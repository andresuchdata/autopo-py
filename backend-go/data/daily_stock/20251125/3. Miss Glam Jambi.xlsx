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Jambi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16</v>
      </c>
      <c r="L2" t="n">
        <v>0</v>
      </c>
      <c r="M2" t="n">
        <v>0</v>
      </c>
      <c r="N2" t="n">
        <v>33</v>
      </c>
      <c r="O2" t="n">
        <v>0.33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2789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9</v>
      </c>
      <c r="AL2" t="inlineStr">
        <is>
          <t>Miss Glam Jambi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Jambi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33</v>
      </c>
      <c r="O3" t="n">
        <v>0.33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2789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9</v>
      </c>
      <c r="AL3" t="inlineStr">
        <is>
          <t>Miss Glam Jambi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Jambi</t>
        </is>
      </c>
      <c r="E4" t="n">
        <v>0</v>
      </c>
      <c r="F4" t="n">
        <v>0.2475</v>
      </c>
      <c r="G4" t="n">
        <v>1.32</v>
      </c>
      <c r="H4" t="n">
        <v>4</v>
      </c>
      <c r="I4" t="n">
        <v>20</v>
      </c>
      <c r="J4" t="n">
        <v>1</v>
      </c>
      <c r="K4" t="n">
        <v>0</v>
      </c>
      <c r="L4" t="n">
        <v>33710</v>
      </c>
      <c r="M4" t="n">
        <v>42500</v>
      </c>
      <c r="N4" t="n">
        <v>33</v>
      </c>
      <c r="O4" t="n">
        <v>0.33</v>
      </c>
      <c r="P4" t="n">
        <v>1</v>
      </c>
      <c r="Q4" t="n">
        <v>0.19</v>
      </c>
      <c r="R4" t="n">
        <v>2</v>
      </c>
      <c r="S4" t="n">
        <v>10518.75</v>
      </c>
      <c r="T4" t="n">
        <v>26</v>
      </c>
      <c r="U4" t="n">
        <v>27</v>
      </c>
      <c r="V4" t="n">
        <v>30</v>
      </c>
      <c r="W4" t="n">
        <v>8</v>
      </c>
      <c r="X4" t="n">
        <v>0</v>
      </c>
      <c r="Y4" t="n">
        <v>1</v>
      </c>
      <c r="Z4" t="n">
        <v>8</v>
      </c>
      <c r="AA4" t="n">
        <v>5</v>
      </c>
      <c r="AB4" t="n">
        <v>3</v>
      </c>
      <c r="AC4" t="n">
        <v>3</v>
      </c>
      <c r="AD4" t="n">
        <v>168550</v>
      </c>
      <c r="AE4" t="n">
        <v>101130</v>
      </c>
      <c r="AF4" t="n">
        <v>2789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9</v>
      </c>
      <c r="AL4" t="inlineStr">
        <is>
          <t>Miss Glam Jambi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Jambi</t>
        </is>
      </c>
      <c r="E5" t="n">
        <v>12</v>
      </c>
      <c r="F5" t="n">
        <v>0.1947</v>
      </c>
      <c r="G5" t="n">
        <v>1.65</v>
      </c>
      <c r="H5" t="n">
        <v>4</v>
      </c>
      <c r="I5" t="n">
        <v>20</v>
      </c>
      <c r="J5" t="n">
        <v>1</v>
      </c>
      <c r="K5" t="n">
        <v>0</v>
      </c>
      <c r="L5" t="n">
        <v>27420</v>
      </c>
      <c r="M5" t="n">
        <v>45000</v>
      </c>
      <c r="N5" t="n">
        <v>33</v>
      </c>
      <c r="O5" t="n">
        <v>0.33</v>
      </c>
      <c r="P5" t="n">
        <v>1</v>
      </c>
      <c r="Q5" t="n">
        <v>0.07000000000000001</v>
      </c>
      <c r="R5" t="n">
        <v>1</v>
      </c>
      <c r="S5" t="n">
        <v>8761.5</v>
      </c>
      <c r="T5" t="n">
        <v>33</v>
      </c>
      <c r="U5" t="n">
        <v>34</v>
      </c>
      <c r="V5" t="n">
        <v>30</v>
      </c>
      <c r="W5" t="n">
        <v>6</v>
      </c>
      <c r="X5" t="n">
        <v>61.63328197226502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2789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9</v>
      </c>
      <c r="AL5" t="inlineStr">
        <is>
          <t>Miss Glam Jambi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Jambi</t>
        </is>
      </c>
      <c r="E6" t="n">
        <v>9</v>
      </c>
      <c r="F6" t="n">
        <v>0.2838</v>
      </c>
      <c r="G6" t="n">
        <v>1.32</v>
      </c>
      <c r="H6" t="n">
        <v>4</v>
      </c>
      <c r="I6" t="n">
        <v>15</v>
      </c>
      <c r="J6" t="n">
        <v>3</v>
      </c>
      <c r="K6" t="n">
        <v>0</v>
      </c>
      <c r="L6" t="n">
        <v>26623</v>
      </c>
      <c r="M6" t="n">
        <v>32500</v>
      </c>
      <c r="N6" t="n">
        <v>33</v>
      </c>
      <c r="O6" t="n">
        <v>0.33</v>
      </c>
      <c r="P6" t="n">
        <v>1</v>
      </c>
      <c r="Q6" t="n">
        <v>0.14</v>
      </c>
      <c r="R6" t="n">
        <v>2</v>
      </c>
      <c r="S6" t="n">
        <v>9223.5</v>
      </c>
      <c r="T6" t="n">
        <v>19</v>
      </c>
      <c r="U6" t="n">
        <v>21</v>
      </c>
      <c r="V6" t="n">
        <v>30</v>
      </c>
      <c r="W6" t="n">
        <v>9</v>
      </c>
      <c r="X6" t="n">
        <v>31.71247357293869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10807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9</v>
      </c>
      <c r="AL6" t="inlineStr">
        <is>
          <t>Miss Glam Jambi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Jambi</t>
        </is>
      </c>
      <c r="E7" t="n">
        <v>6</v>
      </c>
      <c r="F7" t="n">
        <v>0.4521000000000001</v>
      </c>
      <c r="G7" t="n">
        <v>1.65</v>
      </c>
      <c r="H7" t="n">
        <v>4</v>
      </c>
      <c r="I7" t="n">
        <v>15</v>
      </c>
      <c r="J7" t="n">
        <v>3</v>
      </c>
      <c r="K7" t="n">
        <v>7</v>
      </c>
      <c r="L7" t="n">
        <v>15974</v>
      </c>
      <c r="M7" t="n">
        <v>19500</v>
      </c>
      <c r="N7" t="n">
        <v>33</v>
      </c>
      <c r="O7" t="n">
        <v>0.33</v>
      </c>
      <c r="P7" t="n">
        <v>1</v>
      </c>
      <c r="Q7" t="n">
        <v>0.2</v>
      </c>
      <c r="R7" t="n">
        <v>1</v>
      </c>
      <c r="S7" t="n">
        <v>8815.950000000001</v>
      </c>
      <c r="T7" t="n">
        <v>23</v>
      </c>
      <c r="U7" t="n">
        <v>25</v>
      </c>
      <c r="V7" t="n">
        <v>30</v>
      </c>
      <c r="W7" t="n">
        <v>14</v>
      </c>
      <c r="X7" t="n">
        <v>13.271400132714</v>
      </c>
      <c r="Y7" t="n">
        <v>1</v>
      </c>
      <c r="Z7" t="n">
        <v>1</v>
      </c>
      <c r="AA7" t="n">
        <v>0</v>
      </c>
      <c r="AB7" t="n">
        <v>1</v>
      </c>
      <c r="AC7" t="n">
        <v>3</v>
      </c>
      <c r="AD7" t="n">
        <v>0</v>
      </c>
      <c r="AE7" t="n">
        <v>47922</v>
      </c>
      <c r="AF7" t="n">
        <v>10807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9</v>
      </c>
      <c r="AL7" t="inlineStr">
        <is>
          <t>Miss Glam Jambi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Jambi</t>
        </is>
      </c>
      <c r="E8" t="n">
        <v>15</v>
      </c>
      <c r="F8" t="n">
        <v>0.4653</v>
      </c>
      <c r="G8" t="n">
        <v>1.98</v>
      </c>
      <c r="H8" t="n">
        <v>4</v>
      </c>
      <c r="I8" t="n">
        <v>15</v>
      </c>
      <c r="J8" t="n">
        <v>3</v>
      </c>
      <c r="K8" t="n">
        <v>0</v>
      </c>
      <c r="L8" t="n">
        <v>25395</v>
      </c>
      <c r="M8" t="n">
        <v>29000</v>
      </c>
      <c r="N8" t="n">
        <v>33</v>
      </c>
      <c r="O8" t="n">
        <v>0.33</v>
      </c>
      <c r="P8" t="n">
        <v>1</v>
      </c>
      <c r="Q8" t="n">
        <v>0.25</v>
      </c>
      <c r="R8" t="n">
        <v>2</v>
      </c>
      <c r="S8" t="n">
        <v>13493.7</v>
      </c>
      <c r="T8" t="n">
        <v>28</v>
      </c>
      <c r="U8" t="n">
        <v>30</v>
      </c>
      <c r="V8" t="n">
        <v>30</v>
      </c>
      <c r="W8" t="n">
        <v>14</v>
      </c>
      <c r="X8" t="n">
        <v>32.23726627981947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10807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9</v>
      </c>
      <c r="AL8" t="inlineStr">
        <is>
          <t>Miss Glam Jambi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Jambi</t>
        </is>
      </c>
      <c r="E9" t="n">
        <v>14</v>
      </c>
      <c r="F9" t="n">
        <v>0.4356</v>
      </c>
      <c r="G9" t="n">
        <v>1.65</v>
      </c>
      <c r="H9" t="n">
        <v>4</v>
      </c>
      <c r="I9" t="n">
        <v>15</v>
      </c>
      <c r="J9" t="n">
        <v>3</v>
      </c>
      <c r="K9" t="n">
        <v>0</v>
      </c>
      <c r="L9" t="n">
        <v>15155</v>
      </c>
      <c r="M9" t="n">
        <v>18500</v>
      </c>
      <c r="N9" t="n">
        <v>33</v>
      </c>
      <c r="O9" t="n">
        <v>0.33</v>
      </c>
      <c r="P9" t="n">
        <v>1</v>
      </c>
      <c r="Q9" t="n">
        <v>0.29</v>
      </c>
      <c r="R9" t="n">
        <v>3</v>
      </c>
      <c r="S9" t="n">
        <v>8058.6</v>
      </c>
      <c r="T9" t="n">
        <v>24</v>
      </c>
      <c r="U9" t="n">
        <v>26</v>
      </c>
      <c r="V9" t="n">
        <v>30</v>
      </c>
      <c r="W9" t="n">
        <v>14</v>
      </c>
      <c r="X9" t="n">
        <v>32.13957759412305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10807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9</v>
      </c>
      <c r="AL9" t="inlineStr">
        <is>
          <t>Miss Glam Jambi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Jambi</t>
        </is>
      </c>
      <c r="E10" t="n">
        <v>6</v>
      </c>
      <c r="F10" t="n">
        <v>0.297</v>
      </c>
      <c r="G10" t="n">
        <v>1.65</v>
      </c>
      <c r="H10" t="n">
        <v>4</v>
      </c>
      <c r="I10" t="n">
        <v>15</v>
      </c>
      <c r="J10" t="n">
        <v>3</v>
      </c>
      <c r="K10" t="n">
        <v>3</v>
      </c>
      <c r="L10" t="n">
        <v>26623</v>
      </c>
      <c r="M10" t="n">
        <v>31000</v>
      </c>
      <c r="N10" t="n">
        <v>33</v>
      </c>
      <c r="O10" t="n">
        <v>0.33</v>
      </c>
      <c r="P10" t="n">
        <v>1</v>
      </c>
      <c r="Q10" t="n">
        <v>0.15</v>
      </c>
      <c r="R10" t="n">
        <v>2</v>
      </c>
      <c r="S10" t="n">
        <v>9207.000000000002</v>
      </c>
      <c r="T10" t="n">
        <v>24</v>
      </c>
      <c r="U10" t="n">
        <v>26</v>
      </c>
      <c r="V10" t="n">
        <v>30</v>
      </c>
      <c r="W10" t="n">
        <v>9</v>
      </c>
      <c r="X10" t="n">
        <v>20.2020202020202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10807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9</v>
      </c>
      <c r="AL10" t="inlineStr">
        <is>
          <t>Miss Glam Jambi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Jambi</t>
        </is>
      </c>
      <c r="E11" t="n">
        <v>7</v>
      </c>
      <c r="F11" t="n">
        <v>0.363</v>
      </c>
      <c r="G11" t="n">
        <v>1.32</v>
      </c>
      <c r="H11" t="n">
        <v>4</v>
      </c>
      <c r="I11" t="n">
        <v>15</v>
      </c>
      <c r="J11" t="n">
        <v>3</v>
      </c>
      <c r="K11" t="n">
        <v>4</v>
      </c>
      <c r="L11" t="n">
        <v>15974</v>
      </c>
      <c r="M11" t="n">
        <v>18500</v>
      </c>
      <c r="N11" t="n">
        <v>33</v>
      </c>
      <c r="O11" t="n">
        <v>0.33</v>
      </c>
      <c r="P11" t="n">
        <v>1</v>
      </c>
      <c r="Q11" t="n">
        <v>0.12</v>
      </c>
      <c r="R11" t="n">
        <v>1</v>
      </c>
      <c r="S11" t="n">
        <v>6715.500000000001</v>
      </c>
      <c r="T11" t="n">
        <v>19</v>
      </c>
      <c r="U11" t="n">
        <v>21</v>
      </c>
      <c r="V11" t="n">
        <v>30</v>
      </c>
      <c r="W11" t="n">
        <v>11</v>
      </c>
      <c r="X11" t="n">
        <v>19.28374655647383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10807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9</v>
      </c>
      <c r="AL11" t="inlineStr">
        <is>
          <t>Miss Glam Jambi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"8992821103492"</f>
        <v/>
      </c>
      <c r="C12" t="inlineStr">
        <is>
          <t>ACNES Derma Care Anti Blemish Essence 20ml</t>
        </is>
      </c>
      <c r="D12" t="inlineStr">
        <is>
          <t>Miss Glam Jambi</t>
        </is>
      </c>
      <c r="E12" t="n">
        <v>6</v>
      </c>
      <c r="F12" t="n">
        <v>0.02</v>
      </c>
      <c r="G12" t="n">
        <v>1</v>
      </c>
      <c r="H12" t="n">
        <v>4</v>
      </c>
      <c r="I12" t="n">
        <v>15</v>
      </c>
      <c r="J12" t="n">
        <v>3</v>
      </c>
      <c r="K12" t="n">
        <v>0</v>
      </c>
      <c r="L12" t="n">
        <v>66354</v>
      </c>
      <c r="M12" t="n">
        <v>80500</v>
      </c>
      <c r="N12" t="n">
        <v>33</v>
      </c>
      <c r="O12" t="n">
        <v>0.33</v>
      </c>
      <c r="P12" t="n">
        <v>0</v>
      </c>
      <c r="Q12" t="n">
        <v>0.02</v>
      </c>
      <c r="R12" t="n">
        <v>1</v>
      </c>
      <c r="S12" t="n">
        <v>1610</v>
      </c>
      <c r="T12" t="n">
        <v>15</v>
      </c>
      <c r="U12" t="n">
        <v>16</v>
      </c>
      <c r="V12" t="n">
        <v>30</v>
      </c>
      <c r="W12" t="n">
        <v>1</v>
      </c>
      <c r="X12" t="n">
        <v>300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10807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9</v>
      </c>
      <c r="AL12" t="inlineStr">
        <is>
          <t>Miss Glam Jambi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"8992821103508"</f>
        <v/>
      </c>
      <c r="C13" t="inlineStr">
        <is>
          <t>ACNES Derma Care Gentle Cleanser 120g</t>
        </is>
      </c>
      <c r="D13" t="inlineStr">
        <is>
          <t>Miss Glam Jambi</t>
        </is>
      </c>
      <c r="E13" t="n">
        <v>3</v>
      </c>
      <c r="F13" t="n">
        <v>0.0165</v>
      </c>
      <c r="G13" t="n">
        <v>0.33</v>
      </c>
      <c r="H13" t="n">
        <v>4</v>
      </c>
      <c r="I13" t="n">
        <v>15</v>
      </c>
      <c r="J13" t="n">
        <v>3</v>
      </c>
      <c r="K13" t="n">
        <v>0</v>
      </c>
      <c r="L13" t="n">
        <v>50789</v>
      </c>
      <c r="M13" t="n">
        <v>62000</v>
      </c>
      <c r="N13" t="n">
        <v>33</v>
      </c>
      <c r="O13" t="n">
        <v>0.33</v>
      </c>
      <c r="P13" t="n">
        <v>1</v>
      </c>
      <c r="Q13" t="n">
        <v>0.02</v>
      </c>
      <c r="R13" t="n">
        <v>1</v>
      </c>
      <c r="S13" t="n">
        <v>1023</v>
      </c>
      <c r="T13" t="n">
        <v>5</v>
      </c>
      <c r="U13" t="n">
        <v>6</v>
      </c>
      <c r="V13" t="n">
        <v>30</v>
      </c>
      <c r="W13" t="n">
        <v>1</v>
      </c>
      <c r="X13" t="n">
        <v>181.8181818181818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10807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9</v>
      </c>
      <c r="AL13" t="inlineStr">
        <is>
          <t>Miss Glam Jambi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"8992821100293"</f>
        <v/>
      </c>
      <c r="C14" t="inlineStr">
        <is>
          <t>ACNES Foaming Wash 100ml</t>
        </is>
      </c>
      <c r="D14" t="inlineStr">
        <is>
          <t>Miss Glam Jambi</t>
        </is>
      </c>
      <c r="E14" t="n">
        <v>11</v>
      </c>
      <c r="F14" t="n">
        <v>0.009900000000000001</v>
      </c>
      <c r="G14" t="n">
        <v>0.33</v>
      </c>
      <c r="H14" t="n">
        <v>4</v>
      </c>
      <c r="I14" t="n">
        <v>15</v>
      </c>
      <c r="J14" t="n">
        <v>3</v>
      </c>
      <c r="K14" t="n">
        <v>0</v>
      </c>
      <c r="L14" t="n">
        <v>32767</v>
      </c>
      <c r="M14" t="n">
        <v>37000</v>
      </c>
      <c r="N14" t="n">
        <v>33</v>
      </c>
      <c r="O14" t="n">
        <v>0.33</v>
      </c>
      <c r="P14" t="n">
        <v>1</v>
      </c>
      <c r="Q14" t="n">
        <v>0.1</v>
      </c>
      <c r="R14" t="n">
        <v>1</v>
      </c>
      <c r="S14" t="n">
        <v>366.3</v>
      </c>
      <c r="T14" t="n">
        <v>5</v>
      </c>
      <c r="U14" t="n">
        <v>6</v>
      </c>
      <c r="V14" t="n">
        <v>30</v>
      </c>
      <c r="W14" t="n">
        <v>1</v>
      </c>
      <c r="X14" t="n">
        <v>1111.111111111111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10807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9</v>
      </c>
      <c r="AL14" t="inlineStr">
        <is>
          <t>Miss Glam Jambi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"8992821102402"</f>
        <v/>
      </c>
      <c r="C15" t="inlineStr">
        <is>
          <t>ACNES Oil Control and Whitening Cream 40gr</t>
        </is>
      </c>
      <c r="D15" t="inlineStr">
        <is>
          <t>Miss Glam Jambi</t>
        </is>
      </c>
      <c r="E15" t="n">
        <v>12</v>
      </c>
      <c r="F15" t="n">
        <v>0.1</v>
      </c>
      <c r="G15" t="n">
        <v>3</v>
      </c>
      <c r="H15" t="n">
        <v>4</v>
      </c>
      <c r="I15" t="n">
        <v>15</v>
      </c>
      <c r="J15" t="n">
        <v>3</v>
      </c>
      <c r="K15" t="n">
        <v>0</v>
      </c>
      <c r="L15" t="n">
        <v>31948</v>
      </c>
      <c r="M15" t="n">
        <v>36000</v>
      </c>
      <c r="N15" t="n">
        <v>33</v>
      </c>
      <c r="O15" t="n">
        <v>0.33</v>
      </c>
      <c r="P15" t="n">
        <v>0</v>
      </c>
      <c r="Q15" t="n">
        <v>0.1</v>
      </c>
      <c r="R15" t="n">
        <v>3</v>
      </c>
      <c r="S15" t="n">
        <v>3600</v>
      </c>
      <c r="T15" t="n">
        <v>45</v>
      </c>
      <c r="U15" t="n">
        <v>46</v>
      </c>
      <c r="V15" t="n">
        <v>30</v>
      </c>
      <c r="W15" t="n">
        <v>3</v>
      </c>
      <c r="X15" t="n">
        <v>120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10807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9</v>
      </c>
      <c r="AL15" t="inlineStr">
        <is>
          <t>Miss Glam Jambi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Jambi</t>
        </is>
      </c>
      <c r="E16" t="n">
        <v>7</v>
      </c>
      <c r="F16" t="n">
        <v>0.2508</v>
      </c>
      <c r="G16" t="n">
        <v>0.99</v>
      </c>
      <c r="H16" t="n">
        <v>4</v>
      </c>
      <c r="I16" t="n">
        <v>15</v>
      </c>
      <c r="J16" t="n">
        <v>3</v>
      </c>
      <c r="K16" t="n">
        <v>3</v>
      </c>
      <c r="L16" t="n">
        <v>26623</v>
      </c>
      <c r="M16" t="n">
        <v>32500</v>
      </c>
      <c r="N16" t="n">
        <v>33</v>
      </c>
      <c r="O16" t="n">
        <v>0.33</v>
      </c>
      <c r="P16" t="n">
        <v>1</v>
      </c>
      <c r="Q16" t="n">
        <v>0.07000000000000001</v>
      </c>
      <c r="R16" t="n">
        <v>1</v>
      </c>
      <c r="S16" t="n">
        <v>8151.000000000001</v>
      </c>
      <c r="T16" t="n">
        <v>14</v>
      </c>
      <c r="U16" t="n">
        <v>16</v>
      </c>
      <c r="V16" t="n">
        <v>30</v>
      </c>
      <c r="W16" t="n">
        <v>8</v>
      </c>
      <c r="X16" t="n">
        <v>27.91068580542264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10807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9</v>
      </c>
      <c r="AL16" t="inlineStr">
        <is>
          <t>Miss Glam Jambi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Jambi</t>
        </is>
      </c>
      <c r="E17" t="n">
        <v>7</v>
      </c>
      <c r="F17" t="n">
        <v>0.3399</v>
      </c>
      <c r="G17" t="n">
        <v>1.32</v>
      </c>
      <c r="H17" t="n">
        <v>4</v>
      </c>
      <c r="I17" t="n">
        <v>15</v>
      </c>
      <c r="J17" t="n">
        <v>3</v>
      </c>
      <c r="K17" t="n">
        <v>4</v>
      </c>
      <c r="L17" t="n">
        <v>15974</v>
      </c>
      <c r="M17" t="n">
        <v>19500</v>
      </c>
      <c r="N17" t="n">
        <v>33</v>
      </c>
      <c r="O17" t="n">
        <v>0.33</v>
      </c>
      <c r="P17" t="n">
        <v>1</v>
      </c>
      <c r="Q17" t="n">
        <v>0.15</v>
      </c>
      <c r="R17" t="n">
        <v>2</v>
      </c>
      <c r="S17" t="n">
        <v>6628.050000000001</v>
      </c>
      <c r="T17" t="n">
        <v>19</v>
      </c>
      <c r="U17" t="n">
        <v>21</v>
      </c>
      <c r="V17" t="n">
        <v>30</v>
      </c>
      <c r="W17" t="n">
        <v>11</v>
      </c>
      <c r="X17" t="n">
        <v>20.59429243895263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10807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9</v>
      </c>
      <c r="AL17" t="inlineStr">
        <is>
          <t>Miss Glam Jambi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Jambi</t>
        </is>
      </c>
      <c r="E18" t="n">
        <v>7</v>
      </c>
      <c r="F18" t="n">
        <v>0.0495</v>
      </c>
      <c r="G18" t="n">
        <v>0.66</v>
      </c>
      <c r="H18" t="n">
        <v>4</v>
      </c>
      <c r="I18" t="n">
        <v>15</v>
      </c>
      <c r="J18" t="n">
        <v>3</v>
      </c>
      <c r="K18" t="n">
        <v>0</v>
      </c>
      <c r="L18" t="n">
        <v>28671</v>
      </c>
      <c r="M18" t="n">
        <v>33500</v>
      </c>
      <c r="N18" t="n">
        <v>33</v>
      </c>
      <c r="O18" t="n">
        <v>0.33</v>
      </c>
      <c r="P18" t="n">
        <v>1</v>
      </c>
      <c r="Q18" t="n">
        <v>0.08</v>
      </c>
      <c r="R18" t="n">
        <v>2</v>
      </c>
      <c r="S18" t="n">
        <v>1658.25</v>
      </c>
      <c r="T18" t="n">
        <v>10</v>
      </c>
      <c r="U18" t="n">
        <v>11</v>
      </c>
      <c r="V18" t="n">
        <v>30</v>
      </c>
      <c r="W18" t="n">
        <v>2</v>
      </c>
      <c r="X18" t="n">
        <v>141.4141414141414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10807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9</v>
      </c>
      <c r="AL18" t="inlineStr">
        <is>
          <t>Miss Glam Jambi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"8992821102426"</f>
        <v/>
      </c>
      <c r="C19" t="inlineStr">
        <is>
          <t>ACNES Oil Control Milk Cleanser 110ml</t>
        </is>
      </c>
      <c r="D19" t="inlineStr">
        <is>
          <t>Miss Glam Jambi</t>
        </is>
      </c>
      <c r="E19" t="n">
        <v>5</v>
      </c>
      <c r="F19" t="n">
        <v>0.0165</v>
      </c>
      <c r="G19" t="n">
        <v>0.66</v>
      </c>
      <c r="H19" t="n">
        <v>4</v>
      </c>
      <c r="I19" t="n">
        <v>15</v>
      </c>
      <c r="J19" t="n">
        <v>3</v>
      </c>
      <c r="K19" t="n">
        <v>0</v>
      </c>
      <c r="L19" t="n">
        <v>31948</v>
      </c>
      <c r="M19" t="n">
        <v>39000</v>
      </c>
      <c r="N19" t="n">
        <v>33</v>
      </c>
      <c r="O19" t="n">
        <v>0.33</v>
      </c>
      <c r="P19" t="n">
        <v>1</v>
      </c>
      <c r="Q19" t="n">
        <v>0.02</v>
      </c>
      <c r="R19" t="n">
        <v>1</v>
      </c>
      <c r="S19" t="n">
        <v>643.5</v>
      </c>
      <c r="T19" t="n">
        <v>10</v>
      </c>
      <c r="U19" t="n">
        <v>11</v>
      </c>
      <c r="V19" t="n">
        <v>30</v>
      </c>
      <c r="W19" t="n">
        <v>1</v>
      </c>
      <c r="X19" t="n">
        <v>303.030303030303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10807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9</v>
      </c>
      <c r="AL19" t="inlineStr">
        <is>
          <t>Miss Glam Jambi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"8992821102419"</f>
        <v/>
      </c>
      <c r="C20" t="inlineStr">
        <is>
          <t>ACNES Oil Control Toner 110ml</t>
        </is>
      </c>
      <c r="D20" t="inlineStr">
        <is>
          <t>Miss Glam Jambi</t>
        </is>
      </c>
      <c r="E20" t="n">
        <v>11</v>
      </c>
      <c r="F20" t="n">
        <v>0.0495</v>
      </c>
      <c r="G20" t="n">
        <v>0.33</v>
      </c>
      <c r="H20" t="n">
        <v>4</v>
      </c>
      <c r="I20" t="n">
        <v>15</v>
      </c>
      <c r="J20" t="n">
        <v>3</v>
      </c>
      <c r="K20" t="n">
        <v>0</v>
      </c>
      <c r="L20" t="n">
        <v>28671</v>
      </c>
      <c r="M20" t="n">
        <v>34000</v>
      </c>
      <c r="N20" t="n">
        <v>33</v>
      </c>
      <c r="O20" t="n">
        <v>0.33</v>
      </c>
      <c r="P20" t="n">
        <v>1</v>
      </c>
      <c r="Q20" t="n">
        <v>0.07000000000000001</v>
      </c>
      <c r="R20" t="n">
        <v>1</v>
      </c>
      <c r="S20" t="n">
        <v>1683</v>
      </c>
      <c r="T20" t="n">
        <v>5</v>
      </c>
      <c r="U20" t="n">
        <v>6</v>
      </c>
      <c r="V20" t="n">
        <v>30</v>
      </c>
      <c r="W20" t="n">
        <v>2</v>
      </c>
      <c r="X20" t="n">
        <v>222.2222222222222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10807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9</v>
      </c>
      <c r="AL20" t="inlineStr">
        <is>
          <t>Miss Glam Jambi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"8992821100675"</f>
        <v/>
      </c>
      <c r="C21" t="inlineStr">
        <is>
          <t>ACNES Point Clear Roll On 9ml</t>
        </is>
      </c>
      <c r="D21" t="inlineStr">
        <is>
          <t>Miss Glam Jambi</t>
        </is>
      </c>
      <c r="E21" t="n">
        <v>9</v>
      </c>
      <c r="F21" t="n">
        <v>0.0231</v>
      </c>
      <c r="G21" t="n">
        <v>0.33</v>
      </c>
      <c r="H21" t="n">
        <v>4</v>
      </c>
      <c r="I21" t="n">
        <v>15</v>
      </c>
      <c r="J21" t="n">
        <v>3</v>
      </c>
      <c r="K21" t="n">
        <v>0</v>
      </c>
      <c r="L21" t="n">
        <v>22937</v>
      </c>
      <c r="M21" t="n">
        <v>27000</v>
      </c>
      <c r="N21" t="n">
        <v>33</v>
      </c>
      <c r="O21" t="n">
        <v>0.33</v>
      </c>
      <c r="P21" t="n">
        <v>1</v>
      </c>
      <c r="Q21" t="n">
        <v>0.07000000000000001</v>
      </c>
      <c r="R21" t="n">
        <v>1</v>
      </c>
      <c r="S21" t="n">
        <v>623.7</v>
      </c>
      <c r="T21" t="n">
        <v>5</v>
      </c>
      <c r="U21" t="n">
        <v>6</v>
      </c>
      <c r="V21" t="n">
        <v>30</v>
      </c>
      <c r="W21" t="n">
        <v>1</v>
      </c>
      <c r="X21" t="n">
        <v>389.6103896103896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10807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9</v>
      </c>
      <c r="AL21" t="inlineStr">
        <is>
          <t>Miss Glam Jambi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"8992821101375"</f>
        <v/>
      </c>
      <c r="C22" t="inlineStr">
        <is>
          <t>ACNES Pore Strips 3 Sheets</t>
        </is>
      </c>
      <c r="D22" t="inlineStr">
        <is>
          <t>Miss Glam Jambi</t>
        </is>
      </c>
      <c r="E22" t="n">
        <v>6</v>
      </c>
      <c r="F22" t="n">
        <v>0.0231</v>
      </c>
      <c r="G22" t="n">
        <v>0.33</v>
      </c>
      <c r="H22" t="n">
        <v>4</v>
      </c>
      <c r="I22" t="n">
        <v>15</v>
      </c>
      <c r="J22" t="n">
        <v>3</v>
      </c>
      <c r="K22" t="n">
        <v>0</v>
      </c>
      <c r="L22" t="n">
        <v>13107</v>
      </c>
      <c r="M22" t="n">
        <v>17000</v>
      </c>
      <c r="N22" t="n">
        <v>33</v>
      </c>
      <c r="O22" t="n">
        <v>0.33</v>
      </c>
      <c r="P22" t="n">
        <v>1</v>
      </c>
      <c r="Q22" t="n">
        <v>0.08</v>
      </c>
      <c r="R22" t="n">
        <v>2</v>
      </c>
      <c r="S22" t="n">
        <v>392.7</v>
      </c>
      <c r="T22" t="n">
        <v>5</v>
      </c>
      <c r="U22" t="n">
        <v>6</v>
      </c>
      <c r="V22" t="n">
        <v>30</v>
      </c>
      <c r="W22" t="n">
        <v>1</v>
      </c>
      <c r="X22" t="n">
        <v>259.7402597402597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10807</v>
      </c>
      <c r="AG22" t="n">
        <v>2132</v>
      </c>
      <c r="AH22" t="inlineStr">
        <is>
          <t>PT. MENSA BINA SUKSES - PPN (JMB)</t>
        </is>
      </c>
      <c r="AI22" t="n">
        <v>33</v>
      </c>
      <c r="AJ22" t="inlineStr">
        <is>
          <t>ACNES</t>
        </is>
      </c>
      <c r="AK22" t="n">
        <v>9</v>
      </c>
      <c r="AL22" t="inlineStr">
        <is>
          <t>Miss Glam Jambi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"8992821100316"</f>
        <v/>
      </c>
      <c r="C23" t="inlineStr">
        <is>
          <t>ACNES Powder Lotion 100ml</t>
        </is>
      </c>
      <c r="D23" t="inlineStr">
        <is>
          <t>Miss Glam Jambi</t>
        </is>
      </c>
      <c r="E23" t="n">
        <v>5</v>
      </c>
      <c r="F23" t="n">
        <v>0.02</v>
      </c>
      <c r="G23" t="n">
        <v>1</v>
      </c>
      <c r="H23" t="n">
        <v>4</v>
      </c>
      <c r="I23" t="n">
        <v>15</v>
      </c>
      <c r="J23" t="n">
        <v>3</v>
      </c>
      <c r="K23" t="n">
        <v>0</v>
      </c>
      <c r="L23" t="n">
        <v>32358</v>
      </c>
      <c r="M23" t="n">
        <v>37000</v>
      </c>
      <c r="N23" t="n">
        <v>33</v>
      </c>
      <c r="O23" t="n">
        <v>0.33</v>
      </c>
      <c r="P23" t="n">
        <v>0</v>
      </c>
      <c r="Q23" t="n">
        <v>0.02</v>
      </c>
      <c r="R23" t="n">
        <v>1</v>
      </c>
      <c r="S23" t="n">
        <v>740</v>
      </c>
      <c r="T23" t="n">
        <v>15</v>
      </c>
      <c r="U23" t="n">
        <v>16</v>
      </c>
      <c r="V23" t="n">
        <v>30</v>
      </c>
      <c r="W23" t="n">
        <v>1</v>
      </c>
      <c r="X23" t="n">
        <v>250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10807</v>
      </c>
      <c r="AG23" t="n">
        <v>2132</v>
      </c>
      <c r="AH23" t="inlineStr">
        <is>
          <t>PT. MENSA BINA SUKSES - PPN (JMB)</t>
        </is>
      </c>
      <c r="AI23" t="n">
        <v>33</v>
      </c>
      <c r="AJ23" t="inlineStr">
        <is>
          <t>ACNES</t>
        </is>
      </c>
      <c r="AK23" t="n">
        <v>9</v>
      </c>
      <c r="AL23" t="inlineStr">
        <is>
          <t>Miss Glam Jambi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"8992821100415"</f>
        <v/>
      </c>
      <c r="C24" t="inlineStr">
        <is>
          <t>ACNES Sealing Jell 9gr</t>
        </is>
      </c>
      <c r="D24" t="inlineStr">
        <is>
          <t>Miss Glam Jambi</t>
        </is>
      </c>
      <c r="E24" t="n">
        <v>7</v>
      </c>
      <c r="F24" t="n">
        <v>0.4851</v>
      </c>
      <c r="G24" t="n">
        <v>1.98</v>
      </c>
      <c r="H24" t="n">
        <v>4</v>
      </c>
      <c r="I24" t="n">
        <v>15</v>
      </c>
      <c r="J24" t="n">
        <v>3</v>
      </c>
      <c r="K24" t="n">
        <v>7</v>
      </c>
      <c r="L24" t="n">
        <v>17612</v>
      </c>
      <c r="M24" t="n">
        <v>20500</v>
      </c>
      <c r="N24" t="n">
        <v>33</v>
      </c>
      <c r="O24" t="n">
        <v>0.33</v>
      </c>
      <c r="P24" t="n">
        <v>1</v>
      </c>
      <c r="Q24" t="n">
        <v>0.14</v>
      </c>
      <c r="R24" t="n">
        <v>1</v>
      </c>
      <c r="S24" t="n">
        <v>9944.550000000001</v>
      </c>
      <c r="T24" t="n">
        <v>28</v>
      </c>
      <c r="U24" t="n">
        <v>30</v>
      </c>
      <c r="V24" t="n">
        <v>30</v>
      </c>
      <c r="W24" t="n">
        <v>15</v>
      </c>
      <c r="X24" t="n">
        <v>14.43001443001443</v>
      </c>
      <c r="Y24" t="n">
        <v>1</v>
      </c>
      <c r="Z24" t="n">
        <v>1</v>
      </c>
      <c r="AA24" t="n">
        <v>0</v>
      </c>
      <c r="AB24" t="n">
        <v>1</v>
      </c>
      <c r="AC24" t="n">
        <v>3</v>
      </c>
      <c r="AD24" t="n">
        <v>0</v>
      </c>
      <c r="AE24" t="n">
        <v>52836</v>
      </c>
      <c r="AF24" t="n">
        <v>10807</v>
      </c>
      <c r="AG24" t="n">
        <v>2132</v>
      </c>
      <c r="AH24" t="inlineStr">
        <is>
          <t>PT. MENSA BINA SUKSES - PPN (JMB)</t>
        </is>
      </c>
      <c r="AI24" t="n">
        <v>33</v>
      </c>
      <c r="AJ24" t="inlineStr">
        <is>
          <t>ACNES</t>
        </is>
      </c>
      <c r="AK24" t="n">
        <v>9</v>
      </c>
      <c r="AL24" t="inlineStr">
        <is>
          <t>Miss Glam Jambi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"8992821100323"</f>
        <v/>
      </c>
      <c r="C25" t="inlineStr">
        <is>
          <t>ACNES Sealing Jell Gel 18gr</t>
        </is>
      </c>
      <c r="D25" t="inlineStr">
        <is>
          <t>Miss Glam Jambi</t>
        </is>
      </c>
      <c r="E25" t="n">
        <v>8</v>
      </c>
      <c r="F25" t="n">
        <v>0.0231</v>
      </c>
      <c r="G25" t="n">
        <v>0.33</v>
      </c>
      <c r="H25" t="n">
        <v>4</v>
      </c>
      <c r="I25" t="n">
        <v>15</v>
      </c>
      <c r="J25" t="n">
        <v>3</v>
      </c>
      <c r="K25" t="n">
        <v>0</v>
      </c>
      <c r="L25" t="n">
        <v>27852</v>
      </c>
      <c r="M25" t="n">
        <v>34000</v>
      </c>
      <c r="N25" t="n">
        <v>33</v>
      </c>
      <c r="O25" t="n">
        <v>0.33</v>
      </c>
      <c r="P25" t="n">
        <v>1</v>
      </c>
      <c r="Q25" t="n">
        <v>0.07000000000000001</v>
      </c>
      <c r="R25" t="n">
        <v>2</v>
      </c>
      <c r="S25" t="n">
        <v>785.4000000000001</v>
      </c>
      <c r="T25" t="n">
        <v>5</v>
      </c>
      <c r="U25" t="n">
        <v>6</v>
      </c>
      <c r="V25" t="n">
        <v>30</v>
      </c>
      <c r="W25" t="n">
        <v>1</v>
      </c>
      <c r="X25" t="n">
        <v>346.3203463203463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10807</v>
      </c>
      <c r="AG25" t="n">
        <v>2132</v>
      </c>
      <c r="AH25" t="inlineStr">
        <is>
          <t>PT. MENSA BINA SUKSES - PPN (JMB)</t>
        </is>
      </c>
      <c r="AI25" t="n">
        <v>33</v>
      </c>
      <c r="AJ25" t="inlineStr">
        <is>
          <t>ACNES</t>
        </is>
      </c>
      <c r="AK25" t="n">
        <v>9</v>
      </c>
      <c r="AL25" t="inlineStr">
        <is>
          <t>Miss Glam Jambi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"8992821101023"</f>
        <v/>
      </c>
      <c r="C26" t="inlineStr">
        <is>
          <t>ACNES Soft Cotton 45gr</t>
        </is>
      </c>
      <c r="D26" t="inlineStr">
        <is>
          <t>Miss Glam Jambi</t>
        </is>
      </c>
      <c r="E26" t="n">
        <v>26</v>
      </c>
      <c r="F26" t="n">
        <v>0.264</v>
      </c>
      <c r="G26" t="n">
        <v>1.32</v>
      </c>
      <c r="H26" t="n">
        <v>4</v>
      </c>
      <c r="I26" t="n">
        <v>15</v>
      </c>
      <c r="J26" t="n">
        <v>3</v>
      </c>
      <c r="K26" t="n">
        <v>0</v>
      </c>
      <c r="L26" t="n">
        <v>6308</v>
      </c>
      <c r="M26" t="n">
        <v>8000</v>
      </c>
      <c r="N26" t="n">
        <v>33</v>
      </c>
      <c r="O26" t="n">
        <v>0.33</v>
      </c>
      <c r="P26" t="n">
        <v>1</v>
      </c>
      <c r="Q26" t="n">
        <v>0.49</v>
      </c>
      <c r="R26" t="n">
        <v>3</v>
      </c>
      <c r="S26" t="n">
        <v>2112</v>
      </c>
      <c r="T26" t="n">
        <v>19</v>
      </c>
      <c r="U26" t="n">
        <v>21</v>
      </c>
      <c r="V26" t="n">
        <v>30</v>
      </c>
      <c r="W26" t="n">
        <v>8</v>
      </c>
      <c r="X26" t="n">
        <v>98.48484848484848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10807</v>
      </c>
      <c r="AG26" t="n">
        <v>2132</v>
      </c>
      <c r="AH26" t="inlineStr">
        <is>
          <t>PT. MENSA BINA SUKSES - PPN (JMB)</t>
        </is>
      </c>
      <c r="AI26" t="n">
        <v>33</v>
      </c>
      <c r="AJ26" t="inlineStr">
        <is>
          <t>ACNES</t>
        </is>
      </c>
      <c r="AK26" t="n">
        <v>9</v>
      </c>
      <c r="AL26" t="inlineStr">
        <is>
          <t>Miss Glam Jambi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"8992821100439"</f>
        <v/>
      </c>
      <c r="C27" t="inlineStr">
        <is>
          <t>ACNES Spot Care 12gr</t>
        </is>
      </c>
      <c r="D27" t="inlineStr">
        <is>
          <t>Miss Glam Jambi</t>
        </is>
      </c>
      <c r="E27" t="n">
        <v>5</v>
      </c>
      <c r="F27" t="n">
        <v>0.2178</v>
      </c>
      <c r="G27" t="n">
        <v>0.99</v>
      </c>
      <c r="H27" t="n">
        <v>4</v>
      </c>
      <c r="I27" t="n">
        <v>15</v>
      </c>
      <c r="J27" t="n">
        <v>3</v>
      </c>
      <c r="K27" t="n">
        <v>3</v>
      </c>
      <c r="L27" t="n">
        <v>31948</v>
      </c>
      <c r="M27" t="n">
        <v>37000</v>
      </c>
      <c r="N27" t="n">
        <v>33</v>
      </c>
      <c r="O27" t="n">
        <v>0.33</v>
      </c>
      <c r="P27" t="n">
        <v>1</v>
      </c>
      <c r="Q27" t="n">
        <v>0.27</v>
      </c>
      <c r="R27" t="n">
        <v>2</v>
      </c>
      <c r="S27" t="n">
        <v>8058.6</v>
      </c>
      <c r="T27" t="n">
        <v>14</v>
      </c>
      <c r="U27" t="n">
        <v>15</v>
      </c>
      <c r="V27" t="n">
        <v>30</v>
      </c>
      <c r="W27" t="n">
        <v>7</v>
      </c>
      <c r="X27" t="n">
        <v>22.95684113865932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10807</v>
      </c>
      <c r="AG27" t="n">
        <v>2132</v>
      </c>
      <c r="AH27" t="inlineStr">
        <is>
          <t>PT. MENSA BINA SUKSES - PPN (JMB)</t>
        </is>
      </c>
      <c r="AI27" t="n">
        <v>33</v>
      </c>
      <c r="AJ27" t="inlineStr">
        <is>
          <t>ACNES</t>
        </is>
      </c>
      <c r="AK27" t="n">
        <v>9</v>
      </c>
      <c r="AL27" t="inlineStr">
        <is>
          <t>Miss Glam Jambi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"8992821103102"</f>
        <v/>
      </c>
      <c r="C28" t="inlineStr">
        <is>
          <t>ACNES Starter Pack 3 Int 1</t>
        </is>
      </c>
      <c r="D28" t="inlineStr">
        <is>
          <t>Miss Glam Jambi</t>
        </is>
      </c>
      <c r="E28" t="n">
        <v>2</v>
      </c>
      <c r="F28" t="n">
        <v>0.0396</v>
      </c>
      <c r="G28" t="n">
        <v>0.66</v>
      </c>
      <c r="H28" t="n">
        <v>4</v>
      </c>
      <c r="I28" t="n">
        <v>15</v>
      </c>
      <c r="J28" t="n">
        <v>3</v>
      </c>
      <c r="K28" t="n">
        <v>0</v>
      </c>
      <c r="L28" t="n">
        <v>29490</v>
      </c>
      <c r="M28" t="n">
        <v>35000</v>
      </c>
      <c r="N28" t="n">
        <v>33</v>
      </c>
      <c r="O28" t="n">
        <v>0.33</v>
      </c>
      <c r="P28" t="n">
        <v>1</v>
      </c>
      <c r="Q28" t="n">
        <v>0.02</v>
      </c>
      <c r="R28" t="n">
        <v>1</v>
      </c>
      <c r="S28" t="n">
        <v>1386</v>
      </c>
      <c r="T28" t="n">
        <v>10</v>
      </c>
      <c r="U28" t="n">
        <v>11</v>
      </c>
      <c r="V28" t="n">
        <v>30</v>
      </c>
      <c r="W28" t="n">
        <v>2</v>
      </c>
      <c r="X28" t="n">
        <v>50.5050505050505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10807</v>
      </c>
      <c r="AG28" t="n">
        <v>2132</v>
      </c>
      <c r="AH28" t="inlineStr">
        <is>
          <t>PT. MENSA BINA SUKSES - PPN (JMB)</t>
        </is>
      </c>
      <c r="AI28" t="n">
        <v>33</v>
      </c>
      <c r="AJ28" t="inlineStr">
        <is>
          <t>ACNES</t>
        </is>
      </c>
      <c r="AK28" t="n">
        <v>9</v>
      </c>
      <c r="AL28" t="inlineStr">
        <is>
          <t>Miss Glam Jambi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"8992821100422"</f>
        <v/>
      </c>
      <c r="C29" t="inlineStr">
        <is>
          <t>ACNES Uv Tint Natural Beige 30gr</t>
        </is>
      </c>
      <c r="D29" t="inlineStr">
        <is>
          <t>Miss Glam Jambi</t>
        </is>
      </c>
      <c r="E29" t="n">
        <v>8</v>
      </c>
      <c r="F29" t="n">
        <v>0.0264</v>
      </c>
      <c r="G29" t="n">
        <v>0.66</v>
      </c>
      <c r="H29" t="n">
        <v>4</v>
      </c>
      <c r="I29" t="n">
        <v>15</v>
      </c>
      <c r="J29" t="n">
        <v>3</v>
      </c>
      <c r="K29" t="n">
        <v>0</v>
      </c>
      <c r="L29" t="n">
        <v>45874</v>
      </c>
      <c r="M29" t="n">
        <v>54000</v>
      </c>
      <c r="N29" t="n">
        <v>33</v>
      </c>
      <c r="O29" t="n">
        <v>0.33</v>
      </c>
      <c r="P29" t="n">
        <v>1</v>
      </c>
      <c r="Q29" t="n">
        <v>0.14</v>
      </c>
      <c r="R29" t="n">
        <v>2</v>
      </c>
      <c r="S29" t="n">
        <v>1425.6</v>
      </c>
      <c r="T29" t="n">
        <v>10</v>
      </c>
      <c r="U29" t="n">
        <v>11</v>
      </c>
      <c r="V29" t="n">
        <v>30</v>
      </c>
      <c r="W29" t="n">
        <v>1</v>
      </c>
      <c r="X29" t="n">
        <v>303.030303030303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10807</v>
      </c>
      <c r="AG29" t="n">
        <v>2132</v>
      </c>
      <c r="AH29" t="inlineStr">
        <is>
          <t>PT. MENSA BINA SUKSES - PPN (JMB)</t>
        </is>
      </c>
      <c r="AI29" t="n">
        <v>33</v>
      </c>
      <c r="AJ29" t="inlineStr">
        <is>
          <t>ACNES</t>
        </is>
      </c>
      <c r="AK29" t="n">
        <v>9</v>
      </c>
      <c r="AL29" t="inlineStr">
        <is>
          <t>Miss Glam Jambi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"8992821100996"</f>
        <v/>
      </c>
      <c r="C30" t="inlineStr">
        <is>
          <t>ACNES Washing Bar 80gr</t>
        </is>
      </c>
      <c r="D30" t="inlineStr">
        <is>
          <t>Miss Glam Jambi</t>
        </is>
      </c>
      <c r="E30" t="n">
        <v>2</v>
      </c>
      <c r="F30" t="n">
        <v>0.0825</v>
      </c>
      <c r="G30" t="n">
        <v>0.99</v>
      </c>
      <c r="H30" t="n">
        <v>4</v>
      </c>
      <c r="I30" t="n">
        <v>15</v>
      </c>
      <c r="J30" t="n">
        <v>3</v>
      </c>
      <c r="K30" t="n">
        <v>0</v>
      </c>
      <c r="L30" t="n">
        <v>8601</v>
      </c>
      <c r="M30" t="n">
        <v>10500</v>
      </c>
      <c r="N30" t="n">
        <v>33</v>
      </c>
      <c r="O30" t="n">
        <v>0.33</v>
      </c>
      <c r="P30" t="n">
        <v>1</v>
      </c>
      <c r="Q30" t="n">
        <v>0.05</v>
      </c>
      <c r="R30" t="n">
        <v>1</v>
      </c>
      <c r="S30" t="n">
        <v>866.25</v>
      </c>
      <c r="T30" t="n">
        <v>15</v>
      </c>
      <c r="U30" t="n">
        <v>16</v>
      </c>
      <c r="V30" t="n">
        <v>30</v>
      </c>
      <c r="W30" t="n">
        <v>3</v>
      </c>
      <c r="X30" t="n">
        <v>24.24242424242424</v>
      </c>
      <c r="Y30" t="n">
        <v>1</v>
      </c>
      <c r="Z30" t="n">
        <v>1</v>
      </c>
      <c r="AA30" t="n">
        <v>0</v>
      </c>
      <c r="AB30" t="n">
        <v>1</v>
      </c>
      <c r="AC30" t="n">
        <v>3</v>
      </c>
      <c r="AD30" t="n">
        <v>0</v>
      </c>
      <c r="AE30" t="n">
        <v>25803</v>
      </c>
      <c r="AF30" t="n">
        <v>10807</v>
      </c>
      <c r="AG30" t="n">
        <v>2132</v>
      </c>
      <c r="AH30" t="inlineStr">
        <is>
          <t>PT. MENSA BINA SUKSES - PPN (JMB)</t>
        </is>
      </c>
      <c r="AI30" t="n">
        <v>33</v>
      </c>
      <c r="AJ30" t="inlineStr">
        <is>
          <t>ACNES</t>
        </is>
      </c>
      <c r="AK30" t="n">
        <v>9</v>
      </c>
      <c r="AL30" t="inlineStr">
        <is>
          <t>Miss Glam Jambi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"8992821102631"</f>
        <v/>
      </c>
      <c r="C31" t="inlineStr">
        <is>
          <t>ACNES Yoghurt Touch Face Wash  50gr</t>
        </is>
      </c>
      <c r="D31" t="inlineStr">
        <is>
          <t>Miss Glam Jambi</t>
        </is>
      </c>
      <c r="E31" t="n">
        <v>2</v>
      </c>
      <c r="F31" t="n">
        <v>0.1617</v>
      </c>
      <c r="G31" t="n">
        <v>0.66</v>
      </c>
      <c r="H31" t="n">
        <v>4</v>
      </c>
      <c r="I31" t="n">
        <v>15</v>
      </c>
      <c r="J31" t="n">
        <v>3</v>
      </c>
      <c r="K31" t="n">
        <v>3</v>
      </c>
      <c r="L31" t="n">
        <v>15974</v>
      </c>
      <c r="M31" t="n">
        <v>19500</v>
      </c>
      <c r="N31" t="n">
        <v>33</v>
      </c>
      <c r="O31" t="n">
        <v>0.33</v>
      </c>
      <c r="P31" t="n">
        <v>1</v>
      </c>
      <c r="Q31" t="n">
        <v>0.03</v>
      </c>
      <c r="R31" t="n">
        <v>1</v>
      </c>
      <c r="S31" t="n">
        <v>3153.15</v>
      </c>
      <c r="T31" t="n">
        <v>10</v>
      </c>
      <c r="U31" t="n">
        <v>11</v>
      </c>
      <c r="V31" t="n">
        <v>30</v>
      </c>
      <c r="W31" t="n">
        <v>5</v>
      </c>
      <c r="X31" t="n">
        <v>12.36858379715522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10807</v>
      </c>
      <c r="AG31" t="n">
        <v>2132</v>
      </c>
      <c r="AH31" t="inlineStr">
        <is>
          <t>PT. MENSA BINA SUKSES - PPN (JMB)</t>
        </is>
      </c>
      <c r="AI31" t="n">
        <v>33</v>
      </c>
      <c r="AJ31" t="inlineStr">
        <is>
          <t>ACNES</t>
        </is>
      </c>
      <c r="AK31" t="n">
        <v>9</v>
      </c>
      <c r="AL31" t="inlineStr">
        <is>
          <t>Miss Glam Jambi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ACNES</t>
        </is>
      </c>
      <c r="B32" s="2">
        <f>"8992821102624"</f>
        <v/>
      </c>
      <c r="C32" t="inlineStr">
        <is>
          <t>ACNES Yoghurt Touch Face Wash 100g</t>
        </is>
      </c>
      <c r="D32" t="inlineStr">
        <is>
          <t>Miss Glam Jambi</t>
        </is>
      </c>
      <c r="E32" t="n">
        <v>4</v>
      </c>
      <c r="F32" t="n">
        <v>0.1188</v>
      </c>
      <c r="G32" t="n">
        <v>0.66</v>
      </c>
      <c r="H32" t="n">
        <v>4</v>
      </c>
      <c r="I32" t="n">
        <v>15</v>
      </c>
      <c r="J32" t="n">
        <v>3</v>
      </c>
      <c r="K32" t="n">
        <v>0</v>
      </c>
      <c r="L32" t="n">
        <v>26623</v>
      </c>
      <c r="M32" t="n">
        <v>32500</v>
      </c>
      <c r="N32" t="n">
        <v>33</v>
      </c>
      <c r="O32" t="n">
        <v>0.33</v>
      </c>
      <c r="P32" t="n">
        <v>1</v>
      </c>
      <c r="Q32" t="n">
        <v>0.02</v>
      </c>
      <c r="R32" t="n">
        <v>1</v>
      </c>
      <c r="S32" t="n">
        <v>3861</v>
      </c>
      <c r="T32" t="n">
        <v>10</v>
      </c>
      <c r="U32" t="n">
        <v>11</v>
      </c>
      <c r="V32" t="n">
        <v>30</v>
      </c>
      <c r="W32" t="n">
        <v>4</v>
      </c>
      <c r="X32" t="n">
        <v>33.67003367003367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10807</v>
      </c>
      <c r="AG32" t="n">
        <v>2132</v>
      </c>
      <c r="AH32" t="inlineStr">
        <is>
          <t>PT. MENSA BINA SUKSES - PPN (JMB)</t>
        </is>
      </c>
      <c r="AI32" t="n">
        <v>33</v>
      </c>
      <c r="AJ32" t="inlineStr">
        <is>
          <t>ACNES</t>
        </is>
      </c>
      <c r="AK32" t="n">
        <v>9</v>
      </c>
      <c r="AL32" t="inlineStr">
        <is>
          <t>Miss Glam Jambi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"8993035223730"</f>
        <v/>
      </c>
      <c r="C33" t="inlineStr">
        <is>
          <t>ACNOL Gel For Acne Obat Jerawat 10gr</t>
        </is>
      </c>
      <c r="D33" t="inlineStr">
        <is>
          <t>Miss Glam Jambi</t>
        </is>
      </c>
      <c r="E33" t="n">
        <v>0</v>
      </c>
      <c r="F33" t="n">
        <v>0.066</v>
      </c>
      <c r="G33" t="n">
        <v>0.66</v>
      </c>
      <c r="H33" t="n">
        <v>6</v>
      </c>
      <c r="I33" t="n">
        <v>26</v>
      </c>
      <c r="J33" t="n">
        <v>3</v>
      </c>
      <c r="K33" t="n">
        <v>0</v>
      </c>
      <c r="L33" t="n">
        <v>18870</v>
      </c>
      <c r="M33" t="n">
        <v>20900</v>
      </c>
      <c r="N33" t="n">
        <v>33</v>
      </c>
      <c r="O33" t="n">
        <v>0.33</v>
      </c>
      <c r="P33" t="n">
        <v>1</v>
      </c>
      <c r="Q33" t="n">
        <v>0.03</v>
      </c>
      <c r="R33" t="n">
        <v>1</v>
      </c>
      <c r="S33" t="n">
        <v>1379.4</v>
      </c>
      <c r="T33" t="n">
        <v>17</v>
      </c>
      <c r="U33" t="n">
        <v>18</v>
      </c>
      <c r="V33" t="n">
        <v>30</v>
      </c>
      <c r="W33" t="n">
        <v>2</v>
      </c>
      <c r="X33" t="n">
        <v>0</v>
      </c>
      <c r="Y33" t="n">
        <v>1</v>
      </c>
      <c r="Z33" t="n">
        <v>2</v>
      </c>
      <c r="AA33" t="n">
        <v>2</v>
      </c>
      <c r="AB33" t="n">
        <v>0</v>
      </c>
      <c r="AC33" t="n">
        <v>0</v>
      </c>
      <c r="AD33" t="n">
        <v>37740</v>
      </c>
      <c r="AE33" t="n">
        <v>0</v>
      </c>
      <c r="AF33" t="n">
        <v>9826</v>
      </c>
      <c r="AG33" t="n">
        <v>2133</v>
      </c>
      <c r="AH33" t="inlineStr">
        <is>
          <t>PT. ENSEVAL PUTERA MEGATRADING - PPN (JMB)</t>
        </is>
      </c>
      <c r="AI33" t="n">
        <v>34</v>
      </c>
      <c r="AJ33" t="inlineStr">
        <is>
          <t>ACNOL</t>
        </is>
      </c>
      <c r="AK33" t="n">
        <v>9</v>
      </c>
      <c r="AL33" t="inlineStr">
        <is>
          <t>Miss Glam Jambi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ACNOL</t>
        </is>
      </c>
      <c r="B34" s="2">
        <f>"8993035123368"</f>
        <v/>
      </c>
      <c r="C34" t="inlineStr">
        <is>
          <t>ACNOL Lotion For Acne 10ml</t>
        </is>
      </c>
      <c r="D34" t="inlineStr">
        <is>
          <t>Miss Glam Jambi</t>
        </is>
      </c>
      <c r="E34" t="n">
        <v>0</v>
      </c>
      <c r="F34" t="n">
        <v>0.2244</v>
      </c>
      <c r="G34" t="n">
        <v>1.32</v>
      </c>
      <c r="H34" t="n">
        <v>6</v>
      </c>
      <c r="I34" t="n">
        <v>26</v>
      </c>
      <c r="J34" t="n">
        <v>3</v>
      </c>
      <c r="K34" t="n">
        <v>0</v>
      </c>
      <c r="L34" t="n">
        <v>17675</v>
      </c>
      <c r="M34" t="n">
        <v>21000</v>
      </c>
      <c r="N34" t="n">
        <v>33</v>
      </c>
      <c r="O34" t="n">
        <v>0.33</v>
      </c>
      <c r="P34" t="n">
        <v>1</v>
      </c>
      <c r="Q34" t="n">
        <v>0.23</v>
      </c>
      <c r="R34" t="n">
        <v>2</v>
      </c>
      <c r="S34" t="n">
        <v>4712.400000000001</v>
      </c>
      <c r="T34" t="n">
        <v>33</v>
      </c>
      <c r="U34" t="n">
        <v>35</v>
      </c>
      <c r="V34" t="n">
        <v>30</v>
      </c>
      <c r="W34" t="n">
        <v>7</v>
      </c>
      <c r="X34" t="n">
        <v>0</v>
      </c>
      <c r="Y34" t="n">
        <v>1</v>
      </c>
      <c r="Z34" t="n">
        <v>7</v>
      </c>
      <c r="AA34" t="n">
        <v>6</v>
      </c>
      <c r="AB34" t="n">
        <v>1</v>
      </c>
      <c r="AC34" t="n">
        <v>3</v>
      </c>
      <c r="AD34" t="n">
        <v>106050</v>
      </c>
      <c r="AE34" t="n">
        <v>53025</v>
      </c>
      <c r="AF34" t="n">
        <v>9826</v>
      </c>
      <c r="AG34" t="n">
        <v>2133</v>
      </c>
      <c r="AH34" t="inlineStr">
        <is>
          <t>PT. ENSEVAL PUTERA MEGATRADING - PPN (JMB)</t>
        </is>
      </c>
      <c r="AI34" t="n">
        <v>34</v>
      </c>
      <c r="AJ34" t="inlineStr">
        <is>
          <t>ACNOL</t>
        </is>
      </c>
      <c r="AK34" t="n">
        <v>9</v>
      </c>
      <c r="AL34" t="inlineStr">
        <is>
          <t>Miss Glam Jambi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AFTER MY SKIN</t>
        </is>
      </c>
      <c r="B35" s="2">
        <f>"30100167233"</f>
        <v/>
      </c>
      <c r="C35" t="inlineStr">
        <is>
          <t>AFTER MY SKIN Alpha Arbutin Collagen Brightening Body Wash Bar Soap 45gr</t>
        </is>
      </c>
      <c r="D35" t="inlineStr">
        <is>
          <t>Miss Glam Jambi</t>
        </is>
      </c>
      <c r="E35" t="n">
        <v>1</v>
      </c>
      <c r="F35" t="n">
        <v>0.19</v>
      </c>
      <c r="G35" t="n">
        <v>3</v>
      </c>
      <c r="H35" t="n">
        <v>4</v>
      </c>
      <c r="I35" t="n">
        <v>20</v>
      </c>
      <c r="J35" t="n">
        <v>1</v>
      </c>
      <c r="K35" t="n">
        <v>0</v>
      </c>
      <c r="L35" t="n">
        <v>33707</v>
      </c>
      <c r="M35" t="n">
        <v>53000</v>
      </c>
      <c r="N35" t="n">
        <v>33</v>
      </c>
      <c r="O35" t="n">
        <v>0.33</v>
      </c>
      <c r="P35" t="n">
        <v>0</v>
      </c>
      <c r="Q35" t="n">
        <v>0.19</v>
      </c>
      <c r="R35" t="n">
        <v>3</v>
      </c>
      <c r="S35" t="n">
        <v>10070</v>
      </c>
      <c r="T35" t="n">
        <v>60</v>
      </c>
      <c r="U35" t="n">
        <v>61</v>
      </c>
      <c r="V35" t="n">
        <v>30</v>
      </c>
      <c r="W35" t="n">
        <v>6</v>
      </c>
      <c r="X35" t="n">
        <v>5.263157894736842</v>
      </c>
      <c r="Y35" t="n">
        <v>1</v>
      </c>
      <c r="Z35" t="n">
        <v>5</v>
      </c>
      <c r="AA35" t="n">
        <v>3</v>
      </c>
      <c r="AB35" t="n">
        <v>2</v>
      </c>
      <c r="AC35" t="n">
        <v>2</v>
      </c>
      <c r="AD35" t="n">
        <v>101121</v>
      </c>
      <c r="AE35" t="n">
        <v>67414</v>
      </c>
      <c r="AF35" t="n">
        <v>2919</v>
      </c>
      <c r="AG35" t="n">
        <v>1</v>
      </c>
      <c r="AH35" t="inlineStr">
        <is>
          <t>PT. BERSAMA DISTRIVERSA INDONESIA (DC CIPUTAT)</t>
        </is>
      </c>
      <c r="AI35" t="n">
        <v>2278</v>
      </c>
      <c r="AJ35" t="inlineStr">
        <is>
          <t>AFTER MY SKIN</t>
        </is>
      </c>
      <c r="AK35" t="n">
        <v>9</v>
      </c>
      <c r="AL35" t="inlineStr">
        <is>
          <t>Miss Glam Jambi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AFTER MY SKIN</t>
        </is>
      </c>
      <c r="B36" s="2">
        <f>"30200427810"</f>
        <v/>
      </c>
      <c r="C36" t="inlineStr">
        <is>
          <t>AFTER MY SKIN Body Gel Alpha Arbutin 200gr</t>
        </is>
      </c>
      <c r="D36" t="inlineStr">
        <is>
          <t>Miss Glam Jambi</t>
        </is>
      </c>
      <c r="E36" t="n">
        <v>1</v>
      </c>
      <c r="F36" t="n">
        <v>0.05</v>
      </c>
      <c r="G36" t="n">
        <v>1</v>
      </c>
      <c r="H36" t="n">
        <v>4</v>
      </c>
      <c r="I36" t="n">
        <v>20</v>
      </c>
      <c r="J36" t="n">
        <v>1</v>
      </c>
      <c r="K36" t="n">
        <v>0</v>
      </c>
      <c r="L36" t="n">
        <v>107842</v>
      </c>
      <c r="M36" t="n">
        <v>140000</v>
      </c>
      <c r="N36" t="n">
        <v>33</v>
      </c>
      <c r="O36" t="n">
        <v>0.33</v>
      </c>
      <c r="P36" t="n">
        <v>0</v>
      </c>
      <c r="Q36" t="n">
        <v>0.05</v>
      </c>
      <c r="R36" t="n">
        <v>1</v>
      </c>
      <c r="S36" t="n">
        <v>7000</v>
      </c>
      <c r="T36" t="n">
        <v>20</v>
      </c>
      <c r="U36" t="n">
        <v>21</v>
      </c>
      <c r="V36" t="n">
        <v>30</v>
      </c>
      <c r="W36" t="n">
        <v>2</v>
      </c>
      <c r="X36" t="n">
        <v>20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107842</v>
      </c>
      <c r="AF36" t="n">
        <v>2919</v>
      </c>
      <c r="AG36" t="n">
        <v>1</v>
      </c>
      <c r="AH36" t="inlineStr">
        <is>
          <t>PT. BERSAMA DISTRIVERSA INDONESIA (DC CIPUTAT)</t>
        </is>
      </c>
      <c r="AI36" t="n">
        <v>2278</v>
      </c>
      <c r="AJ36" t="inlineStr">
        <is>
          <t>AFTER MY SKIN</t>
        </is>
      </c>
      <c r="AK36" t="n">
        <v>9</v>
      </c>
      <c r="AL36" t="inlineStr">
        <is>
          <t>Miss Glam Jambi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"8991752007572"</f>
        <v/>
      </c>
      <c r="C37" t="inlineStr">
        <is>
          <t>AMATERASUN Brightening Sunscreen SPF 50+PA++++ 40gr</t>
        </is>
      </c>
      <c r="D37" t="inlineStr">
        <is>
          <t>Miss Glam Jambi</t>
        </is>
      </c>
      <c r="E37" t="n">
        <v>7</v>
      </c>
      <c r="F37" t="n">
        <v>0.09569999999999999</v>
      </c>
      <c r="G37" t="n">
        <v>0.33</v>
      </c>
      <c r="H37" t="n">
        <v>2</v>
      </c>
      <c r="I37" t="n">
        <v>13</v>
      </c>
      <c r="J37" t="n">
        <v>1</v>
      </c>
      <c r="K37" t="n">
        <v>0</v>
      </c>
      <c r="L37" t="n">
        <v>46168</v>
      </c>
      <c r="M37" t="n">
        <v>69000</v>
      </c>
      <c r="N37" t="n">
        <v>33</v>
      </c>
      <c r="O37" t="n">
        <v>0.33</v>
      </c>
      <c r="P37" t="n">
        <v>1</v>
      </c>
      <c r="Q37" t="n">
        <v>0.08</v>
      </c>
      <c r="R37" t="n">
        <v>1</v>
      </c>
      <c r="S37" t="n">
        <v>6603.299999999999</v>
      </c>
      <c r="T37" t="n">
        <v>5</v>
      </c>
      <c r="U37" t="n">
        <v>6</v>
      </c>
      <c r="V37" t="n">
        <v>30</v>
      </c>
      <c r="W37" t="n">
        <v>3</v>
      </c>
      <c r="X37" t="n">
        <v>73.14524555903867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1065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9</v>
      </c>
      <c r="AL37" t="inlineStr">
        <is>
          <t>Miss Glam Jambi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"10700324851"</f>
        <v/>
      </c>
      <c r="C38" t="inlineStr">
        <is>
          <t>AMATERASUN Lip Balm Spf 20 Pa+++ 4,5gr</t>
        </is>
      </c>
      <c r="D38" t="inlineStr">
        <is>
          <t>Miss Glam Jambi</t>
        </is>
      </c>
      <c r="E38" t="n">
        <v>12</v>
      </c>
      <c r="F38" t="n">
        <v>0.1023</v>
      </c>
      <c r="G38" t="n">
        <v>0.66</v>
      </c>
      <c r="H38" t="n">
        <v>2</v>
      </c>
      <c r="I38" t="n">
        <v>13</v>
      </c>
      <c r="J38" t="n">
        <v>3</v>
      </c>
      <c r="K38" t="n">
        <v>0</v>
      </c>
      <c r="L38" t="n">
        <v>29250</v>
      </c>
      <c r="M38" t="n">
        <v>39000</v>
      </c>
      <c r="N38" t="n">
        <v>33</v>
      </c>
      <c r="O38" t="n">
        <v>0.33</v>
      </c>
      <c r="P38" t="n">
        <v>1</v>
      </c>
      <c r="Q38" t="n">
        <v>0.17</v>
      </c>
      <c r="R38" t="n">
        <v>2</v>
      </c>
      <c r="S38" t="n">
        <v>3989.7</v>
      </c>
      <c r="T38" t="n">
        <v>9</v>
      </c>
      <c r="U38" t="n">
        <v>10</v>
      </c>
      <c r="V38" t="n">
        <v>30</v>
      </c>
      <c r="W38" t="n">
        <v>4</v>
      </c>
      <c r="X38" t="n">
        <v>117.3020527859237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1065</v>
      </c>
      <c r="AG38" t="n">
        <v>2318</v>
      </c>
      <c r="AH38" t="inlineStr">
        <is>
          <t>CV. KIANO SUKSES MANDIRI - PPN (JMB)</t>
        </is>
      </c>
      <c r="AI38" t="n">
        <v>1806</v>
      </c>
      <c r="AJ38" t="inlineStr">
        <is>
          <t>AMATERASUN</t>
        </is>
      </c>
      <c r="AK38" t="n">
        <v>9</v>
      </c>
      <c r="AL38" t="inlineStr">
        <is>
          <t>Miss Glam Jambi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"20300441756"</f>
        <v/>
      </c>
      <c r="C39" t="inlineStr">
        <is>
          <t>AMATERASUN Lipgloss SPF29 PA++ Mauve 3,8gr</t>
        </is>
      </c>
      <c r="D39" t="inlineStr">
        <is>
          <t>Miss Glam Jambi</t>
        </is>
      </c>
      <c r="E39" t="n">
        <v>2</v>
      </c>
      <c r="F39" t="n">
        <v>0.006600000000000001</v>
      </c>
      <c r="G39" t="n">
        <v>0.33</v>
      </c>
      <c r="H39" t="n">
        <v>2</v>
      </c>
      <c r="I39" t="n">
        <v>13</v>
      </c>
      <c r="J39" t="n">
        <v>3</v>
      </c>
      <c r="K39" t="n">
        <v>0</v>
      </c>
      <c r="L39" t="n">
        <v>52440</v>
      </c>
      <c r="M39" t="n">
        <v>69000</v>
      </c>
      <c r="N39" t="n">
        <v>33</v>
      </c>
      <c r="O39" t="n">
        <v>0.33</v>
      </c>
      <c r="P39" t="n">
        <v>1</v>
      </c>
      <c r="Q39" t="n">
        <v>0.02</v>
      </c>
      <c r="R39" t="n">
        <v>1</v>
      </c>
      <c r="S39" t="n">
        <v>455.4</v>
      </c>
      <c r="T39" t="n">
        <v>5</v>
      </c>
      <c r="U39" t="n">
        <v>6</v>
      </c>
      <c r="V39" t="n">
        <v>30</v>
      </c>
      <c r="W39" t="n">
        <v>1</v>
      </c>
      <c r="X39" t="n">
        <v>303.030303030303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1065</v>
      </c>
      <c r="AG39" t="n">
        <v>2318</v>
      </c>
      <c r="AH39" t="inlineStr">
        <is>
          <t>CV. KIANO SUKSES MANDIRI - PPN (JMB)</t>
        </is>
      </c>
      <c r="AI39" t="n">
        <v>1806</v>
      </c>
      <c r="AJ39" t="inlineStr">
        <is>
          <t>AMATERASUN</t>
        </is>
      </c>
      <c r="AK39" t="n">
        <v>9</v>
      </c>
      <c r="AL39" t="inlineStr">
        <is>
          <t>Miss Glam Jambi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"20300441527"</f>
        <v/>
      </c>
      <c r="C40" t="inlineStr">
        <is>
          <t>AMATERASUN Lipgloss SPF29 PA++ Pink 3,8gr</t>
        </is>
      </c>
      <c r="D40" t="inlineStr">
        <is>
          <t>Miss Glam Jambi</t>
        </is>
      </c>
      <c r="E40" t="n">
        <v>2</v>
      </c>
      <c r="F40" t="n">
        <v>0.009900000000000001</v>
      </c>
      <c r="G40" t="n">
        <v>0.33</v>
      </c>
      <c r="H40" t="n">
        <v>2</v>
      </c>
      <c r="I40" t="n">
        <v>13</v>
      </c>
      <c r="J40" t="n">
        <v>3</v>
      </c>
      <c r="K40" t="n">
        <v>0</v>
      </c>
      <c r="L40" t="n">
        <v>52440</v>
      </c>
      <c r="M40" t="n">
        <v>69000</v>
      </c>
      <c r="N40" t="n">
        <v>33</v>
      </c>
      <c r="O40" t="n">
        <v>0.33</v>
      </c>
      <c r="P40" t="n">
        <v>1</v>
      </c>
      <c r="Q40" t="n">
        <v>0.08</v>
      </c>
      <c r="R40" t="n">
        <v>1</v>
      </c>
      <c r="S40" t="n">
        <v>683.1</v>
      </c>
      <c r="T40" t="n">
        <v>5</v>
      </c>
      <c r="U40" t="n">
        <v>6</v>
      </c>
      <c r="V40" t="n">
        <v>30</v>
      </c>
      <c r="W40" t="n">
        <v>1</v>
      </c>
      <c r="X40" t="n">
        <v>202.020202020202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1065</v>
      </c>
      <c r="AG40" t="n">
        <v>2318</v>
      </c>
      <c r="AH40" t="inlineStr">
        <is>
          <t>CV. KIANO SUKSES MANDIRI - PPN (JMB)</t>
        </is>
      </c>
      <c r="AI40" t="n">
        <v>1806</v>
      </c>
      <c r="AJ40" t="inlineStr">
        <is>
          <t>AMATERASUN</t>
        </is>
      </c>
      <c r="AK40" t="n">
        <v>9</v>
      </c>
      <c r="AL40" t="inlineStr">
        <is>
          <t>Miss Glam Jambi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"8991752006148"</f>
        <v/>
      </c>
      <c r="C41" t="inlineStr">
        <is>
          <t>AMATERASUN Physical Sunscreen SPF 50+ PA+++ 30gr</t>
        </is>
      </c>
      <c r="D41" t="inlineStr">
        <is>
          <t>Miss Glam Jambi</t>
        </is>
      </c>
      <c r="E41" t="n">
        <v>21</v>
      </c>
      <c r="F41" t="n">
        <v>0.3069</v>
      </c>
      <c r="G41" t="n">
        <v>1.65</v>
      </c>
      <c r="H41" t="n">
        <v>2</v>
      </c>
      <c r="I41" t="n">
        <v>13</v>
      </c>
      <c r="J41" t="n">
        <v>3</v>
      </c>
      <c r="K41" t="n">
        <v>0</v>
      </c>
      <c r="L41" t="n">
        <v>59325</v>
      </c>
      <c r="M41" t="n">
        <v>79000</v>
      </c>
      <c r="N41" t="n">
        <v>33</v>
      </c>
      <c r="O41" t="n">
        <v>0.33</v>
      </c>
      <c r="P41" t="n">
        <v>1</v>
      </c>
      <c r="Q41" t="n">
        <v>0.47</v>
      </c>
      <c r="R41" t="n">
        <v>3</v>
      </c>
      <c r="S41" t="n">
        <v>24245.1</v>
      </c>
      <c r="T41" t="n">
        <v>21</v>
      </c>
      <c r="U41" t="n">
        <v>22</v>
      </c>
      <c r="V41" t="n">
        <v>30</v>
      </c>
      <c r="W41" t="n">
        <v>10</v>
      </c>
      <c r="X41" t="n">
        <v>68.42619745845552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1065</v>
      </c>
      <c r="AG41" t="n">
        <v>2318</v>
      </c>
      <c r="AH41" t="inlineStr">
        <is>
          <t>CV. KIANO SUKSES MANDIRI - PPN (JMB)</t>
        </is>
      </c>
      <c r="AI41" t="n">
        <v>1806</v>
      </c>
      <c r="AJ41" t="inlineStr">
        <is>
          <t>AMATERASUN</t>
        </is>
      </c>
      <c r="AK41" t="n">
        <v>9</v>
      </c>
      <c r="AL41" t="inlineStr">
        <is>
          <t>Miss Glam Jambi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"8991758006777"</f>
        <v/>
      </c>
      <c r="C42" t="inlineStr">
        <is>
          <t>AMATERASUN Transparent Sunscreen Moisturizer SPF 43 50ml</t>
        </is>
      </c>
      <c r="D42" t="inlineStr">
        <is>
          <t>Miss Glam Jambi</t>
        </is>
      </c>
      <c r="E42" t="n">
        <v>5</v>
      </c>
      <c r="F42" t="n">
        <v>0.033</v>
      </c>
      <c r="G42" t="n">
        <v>0.33</v>
      </c>
      <c r="H42" t="n">
        <v>2</v>
      </c>
      <c r="I42" t="n">
        <v>13</v>
      </c>
      <c r="J42" t="n">
        <v>3</v>
      </c>
      <c r="K42" t="n">
        <v>0</v>
      </c>
      <c r="L42" t="n">
        <v>68737</v>
      </c>
      <c r="M42" t="n">
        <v>85000</v>
      </c>
      <c r="N42" t="n">
        <v>33</v>
      </c>
      <c r="O42" t="n">
        <v>0.33</v>
      </c>
      <c r="P42" t="n">
        <v>1</v>
      </c>
      <c r="Q42" t="n">
        <v>0.08</v>
      </c>
      <c r="R42" t="n">
        <v>1</v>
      </c>
      <c r="S42" t="n">
        <v>2805</v>
      </c>
      <c r="T42" t="n">
        <v>5</v>
      </c>
      <c r="U42" t="n">
        <v>6</v>
      </c>
      <c r="V42" t="n">
        <v>30</v>
      </c>
      <c r="W42" t="n">
        <v>1</v>
      </c>
      <c r="X42" t="n">
        <v>151.5151515151515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1065</v>
      </c>
      <c r="AG42" t="n">
        <v>2318</v>
      </c>
      <c r="AH42" t="inlineStr">
        <is>
          <t>CV. KIANO SUKSES MANDIRI - PPN (JMB)</t>
        </is>
      </c>
      <c r="AI42" t="n">
        <v>1806</v>
      </c>
      <c r="AJ42" t="inlineStr">
        <is>
          <t>AMATERASUN</t>
        </is>
      </c>
      <c r="AK42" t="n">
        <v>9</v>
      </c>
      <c r="AL42" t="inlineStr">
        <is>
          <t>Miss Glam Jambi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"8991752004410"</f>
        <v/>
      </c>
      <c r="C43" t="inlineStr">
        <is>
          <t>AMATERASUN UV Body Sunscreen SPF 40 100gr</t>
        </is>
      </c>
      <c r="D43" t="inlineStr">
        <is>
          <t>Miss Glam Jambi</t>
        </is>
      </c>
      <c r="E43" t="n">
        <v>3</v>
      </c>
      <c r="F43" t="n">
        <v>0.0165</v>
      </c>
      <c r="G43" t="n">
        <v>0.33</v>
      </c>
      <c r="H43" t="n">
        <v>2</v>
      </c>
      <c r="I43" t="n">
        <v>13</v>
      </c>
      <c r="J43" t="n">
        <v>3</v>
      </c>
      <c r="K43" t="n">
        <v>0</v>
      </c>
      <c r="L43" t="n">
        <v>75240</v>
      </c>
      <c r="M43" t="n">
        <v>99000</v>
      </c>
      <c r="N43" t="n">
        <v>33</v>
      </c>
      <c r="O43" t="n">
        <v>0.33</v>
      </c>
      <c r="P43" t="n">
        <v>1</v>
      </c>
      <c r="Q43" t="n">
        <v>0.02</v>
      </c>
      <c r="R43" t="n">
        <v>1</v>
      </c>
      <c r="S43" t="n">
        <v>1633.5</v>
      </c>
      <c r="T43" t="n">
        <v>5</v>
      </c>
      <c r="U43" t="n">
        <v>6</v>
      </c>
      <c r="V43" t="n">
        <v>30</v>
      </c>
      <c r="W43" t="n">
        <v>1</v>
      </c>
      <c r="X43" t="n">
        <v>181.8181818181818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1065</v>
      </c>
      <c r="AG43" t="n">
        <v>2318</v>
      </c>
      <c r="AH43" t="inlineStr">
        <is>
          <t>CV. KIANO SUKSES MANDIRI - PPN (JMB)</t>
        </is>
      </c>
      <c r="AI43" t="n">
        <v>1806</v>
      </c>
      <c r="AJ43" t="inlineStr">
        <is>
          <t>AMATERASUN</t>
        </is>
      </c>
      <c r="AK43" t="n">
        <v>9</v>
      </c>
      <c r="AL43" t="inlineStr">
        <is>
          <t>Miss Glam Jambi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"10400614055"</f>
        <v/>
      </c>
      <c r="C44" t="inlineStr">
        <is>
          <t>AMATERASUN UV Skin Tint SPF 35 PA++ Light 25gr</t>
        </is>
      </c>
      <c r="D44" t="inlineStr">
        <is>
          <t>Miss Glam Jambi</t>
        </is>
      </c>
      <c r="E44" t="n">
        <v>5</v>
      </c>
      <c r="F44" t="n">
        <v>0.0462</v>
      </c>
      <c r="G44" t="n">
        <v>0.66</v>
      </c>
      <c r="H44" t="n">
        <v>2</v>
      </c>
      <c r="I44" t="n">
        <v>13</v>
      </c>
      <c r="J44" t="n">
        <v>3</v>
      </c>
      <c r="K44" t="n">
        <v>0</v>
      </c>
      <c r="L44" t="n">
        <v>70131</v>
      </c>
      <c r="M44" t="n">
        <v>89000</v>
      </c>
      <c r="N44" t="n">
        <v>33</v>
      </c>
      <c r="O44" t="n">
        <v>0.33</v>
      </c>
      <c r="P44" t="n">
        <v>1</v>
      </c>
      <c r="Q44" t="n">
        <v>0.12</v>
      </c>
      <c r="R44" t="n">
        <v>1</v>
      </c>
      <c r="S44" t="n">
        <v>4111.8</v>
      </c>
      <c r="T44" t="n">
        <v>9</v>
      </c>
      <c r="U44" t="n">
        <v>10</v>
      </c>
      <c r="V44" t="n">
        <v>30</v>
      </c>
      <c r="W44" t="n">
        <v>2</v>
      </c>
      <c r="X44" t="n">
        <v>108.2251082251082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1065</v>
      </c>
      <c r="AG44" t="n">
        <v>2318</v>
      </c>
      <c r="AH44" t="inlineStr">
        <is>
          <t>CV. KIANO SUKSES MANDIRI - PPN (JMB)</t>
        </is>
      </c>
      <c r="AI44" t="n">
        <v>1806</v>
      </c>
      <c r="AJ44" t="inlineStr">
        <is>
          <t>AMATERASUN</t>
        </is>
      </c>
      <c r="AK44" t="n">
        <v>9</v>
      </c>
      <c r="AL44" t="inlineStr">
        <is>
          <t>Miss Glam Jambi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"10400614121"</f>
        <v/>
      </c>
      <c r="C45" t="inlineStr">
        <is>
          <t>AMATERASUN UV Skin Tint SPF 35 PA++ Medium 25gr</t>
        </is>
      </c>
      <c r="D45" t="inlineStr">
        <is>
          <t>Miss Glam Jambi</t>
        </is>
      </c>
      <c r="E45" t="n">
        <v>0</v>
      </c>
      <c r="F45" t="n">
        <v>0.1023</v>
      </c>
      <c r="G45" t="n">
        <v>0.99</v>
      </c>
      <c r="H45" t="n">
        <v>2</v>
      </c>
      <c r="I45" t="n">
        <v>13</v>
      </c>
      <c r="J45" t="n">
        <v>3</v>
      </c>
      <c r="K45" t="n">
        <v>0</v>
      </c>
      <c r="L45" t="n">
        <v>67640</v>
      </c>
      <c r="M45" t="n">
        <v>89000</v>
      </c>
      <c r="N45" t="n">
        <v>33</v>
      </c>
      <c r="O45" t="n">
        <v>0.33</v>
      </c>
      <c r="P45" t="n">
        <v>1</v>
      </c>
      <c r="Q45" t="n">
        <v>0.25</v>
      </c>
      <c r="R45" t="n">
        <v>2</v>
      </c>
      <c r="S45" t="n">
        <v>9104.700000000001</v>
      </c>
      <c r="T45" t="n">
        <v>13</v>
      </c>
      <c r="U45" t="n">
        <v>14</v>
      </c>
      <c r="V45" t="n">
        <v>30</v>
      </c>
      <c r="W45" t="n">
        <v>4</v>
      </c>
      <c r="X45" t="n">
        <v>0</v>
      </c>
      <c r="Y45" t="n">
        <v>1</v>
      </c>
      <c r="Z45" t="n">
        <v>4</v>
      </c>
      <c r="AA45" t="n">
        <v>2</v>
      </c>
      <c r="AB45" t="n">
        <v>2</v>
      </c>
      <c r="AC45" t="n">
        <v>3</v>
      </c>
      <c r="AD45" t="n">
        <v>135280</v>
      </c>
      <c r="AE45" t="n">
        <v>202920</v>
      </c>
      <c r="AF45" t="n">
        <v>1065</v>
      </c>
      <c r="AG45" t="n">
        <v>2318</v>
      </c>
      <c r="AH45" t="inlineStr">
        <is>
          <t>CV. KIANO SUKSES MANDIRI - PPN (JMB)</t>
        </is>
      </c>
      <c r="AI45" t="n">
        <v>1806</v>
      </c>
      <c r="AJ45" t="inlineStr">
        <is>
          <t>AMATERASUN</t>
        </is>
      </c>
      <c r="AK45" t="n">
        <v>9</v>
      </c>
      <c r="AL45" t="inlineStr">
        <is>
          <t>Miss Glam Jambi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"8991752004144"</f>
        <v/>
      </c>
      <c r="C46" t="inlineStr">
        <is>
          <t>AMATERASUN Uv Sunscreen Cream Spf 50+ 50gr</t>
        </is>
      </c>
      <c r="D46" t="inlineStr">
        <is>
          <t>Miss Glam Jambi</t>
        </is>
      </c>
      <c r="E46" t="n">
        <v>7</v>
      </c>
      <c r="F46" t="n">
        <v>0.1551</v>
      </c>
      <c r="G46" t="n">
        <v>0.99</v>
      </c>
      <c r="H46" t="n">
        <v>2</v>
      </c>
      <c r="I46" t="n">
        <v>13</v>
      </c>
      <c r="J46" t="n">
        <v>3</v>
      </c>
      <c r="K46" t="n">
        <v>0</v>
      </c>
      <c r="L46" t="n">
        <v>50729</v>
      </c>
      <c r="M46" t="n">
        <v>59000</v>
      </c>
      <c r="N46" t="n">
        <v>33</v>
      </c>
      <c r="O46" t="n">
        <v>0.33</v>
      </c>
      <c r="P46" t="n">
        <v>1</v>
      </c>
      <c r="Q46" t="n">
        <v>0.08</v>
      </c>
      <c r="R46" t="n">
        <v>1</v>
      </c>
      <c r="S46" t="n">
        <v>9150.9</v>
      </c>
      <c r="T46" t="n">
        <v>13</v>
      </c>
      <c r="U46" t="n">
        <v>14</v>
      </c>
      <c r="V46" t="n">
        <v>30</v>
      </c>
      <c r="W46" t="n">
        <v>5</v>
      </c>
      <c r="X46" t="n">
        <v>45.13217279174727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1065</v>
      </c>
      <c r="AG46" t="n">
        <v>2318</v>
      </c>
      <c r="AH46" t="inlineStr">
        <is>
          <t>CV. KIANO SUKSES MANDIRI - PPN (JMB)</t>
        </is>
      </c>
      <c r="AI46" t="n">
        <v>1806</v>
      </c>
      <c r="AJ46" t="inlineStr">
        <is>
          <t>AMATERASUN</t>
        </is>
      </c>
      <c r="AK46" t="n">
        <v>9</v>
      </c>
      <c r="AL46" t="inlineStr">
        <is>
          <t>Miss Glam Jambi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"8991752004670"</f>
        <v/>
      </c>
      <c r="C47" t="inlineStr">
        <is>
          <t>AMATERASUN Uv Sunscreen Serum Spf 50+ 50gr</t>
        </is>
      </c>
      <c r="D47" t="inlineStr">
        <is>
          <t>Miss Glam Jambi</t>
        </is>
      </c>
      <c r="E47" t="n">
        <v>10</v>
      </c>
      <c r="F47" t="n">
        <v>0.2409</v>
      </c>
      <c r="G47" t="n">
        <v>0.99</v>
      </c>
      <c r="H47" t="n">
        <v>2</v>
      </c>
      <c r="I47" t="n">
        <v>13</v>
      </c>
      <c r="J47" t="n">
        <v>3</v>
      </c>
      <c r="K47" t="n">
        <v>0</v>
      </c>
      <c r="L47" t="n">
        <v>52028</v>
      </c>
      <c r="M47" t="n">
        <v>69000</v>
      </c>
      <c r="N47" t="n">
        <v>33</v>
      </c>
      <c r="O47" t="n">
        <v>0.33</v>
      </c>
      <c r="P47" t="n">
        <v>1</v>
      </c>
      <c r="Q47" t="n">
        <v>0.34</v>
      </c>
      <c r="R47" t="n">
        <v>2</v>
      </c>
      <c r="S47" t="n">
        <v>16622.1</v>
      </c>
      <c r="T47" t="n">
        <v>13</v>
      </c>
      <c r="U47" t="n">
        <v>14</v>
      </c>
      <c r="V47" t="n">
        <v>30</v>
      </c>
      <c r="W47" t="n">
        <v>8</v>
      </c>
      <c r="X47" t="n">
        <v>41.51100041511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1065</v>
      </c>
      <c r="AG47" t="n">
        <v>2318</v>
      </c>
      <c r="AH47" t="inlineStr">
        <is>
          <t>CV. KIANO SUKSES MANDIRI - PPN (JMB)</t>
        </is>
      </c>
      <c r="AI47" t="n">
        <v>1806</v>
      </c>
      <c r="AJ47" t="inlineStr">
        <is>
          <t>AMATERASUN</t>
        </is>
      </c>
      <c r="AK47" t="n">
        <v>9</v>
      </c>
      <c r="AL47" t="inlineStr">
        <is>
          <t>Miss Glam Jambi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"10400515311"</f>
        <v/>
      </c>
      <c r="C48" t="inlineStr">
        <is>
          <t>AMATERASUN Uv Waterbarrier Sunscreen SPF 35 PA++++ 40gr</t>
        </is>
      </c>
      <c r="D48" t="inlineStr">
        <is>
          <t>Miss Glam Jambi</t>
        </is>
      </c>
      <c r="E48" t="n">
        <v>3</v>
      </c>
      <c r="F48" t="n">
        <v>0.2409</v>
      </c>
      <c r="G48" t="n">
        <v>1.32</v>
      </c>
      <c r="H48" t="n">
        <v>2</v>
      </c>
      <c r="I48" t="n">
        <v>13</v>
      </c>
      <c r="J48" t="n">
        <v>1</v>
      </c>
      <c r="K48" t="n">
        <v>0</v>
      </c>
      <c r="L48" t="n">
        <v>29584</v>
      </c>
      <c r="M48" t="n">
        <v>39000</v>
      </c>
      <c r="N48" t="n">
        <v>33</v>
      </c>
      <c r="O48" t="n">
        <v>0.33</v>
      </c>
      <c r="P48" t="n">
        <v>1</v>
      </c>
      <c r="Q48" t="n">
        <v>0.39</v>
      </c>
      <c r="R48" t="n">
        <v>2</v>
      </c>
      <c r="S48" t="n">
        <v>9395.1</v>
      </c>
      <c r="T48" t="n">
        <v>17</v>
      </c>
      <c r="U48" t="n">
        <v>18</v>
      </c>
      <c r="V48" t="n">
        <v>30</v>
      </c>
      <c r="W48" t="n">
        <v>8</v>
      </c>
      <c r="X48" t="n">
        <v>12.453300124533</v>
      </c>
      <c r="Y48" t="n">
        <v>1</v>
      </c>
      <c r="Z48" t="n">
        <v>5</v>
      </c>
      <c r="AA48" t="n">
        <v>1</v>
      </c>
      <c r="AB48" t="n">
        <v>4</v>
      </c>
      <c r="AC48" t="n">
        <v>4</v>
      </c>
      <c r="AD48" t="n">
        <v>29584</v>
      </c>
      <c r="AE48" t="n">
        <v>118336</v>
      </c>
      <c r="AF48" t="n">
        <v>1065</v>
      </c>
      <c r="AG48" t="n">
        <v>2318</v>
      </c>
      <c r="AH48" t="inlineStr">
        <is>
          <t>CV. KIANO SUKSES MANDIRI - PPN (JMB)</t>
        </is>
      </c>
      <c r="AI48" t="n">
        <v>1806</v>
      </c>
      <c r="AJ48" t="inlineStr">
        <is>
          <t>AMATERASUN</t>
        </is>
      </c>
      <c r="AK48" t="n">
        <v>9</v>
      </c>
      <c r="AL48" t="inlineStr">
        <is>
          <t>Miss Glam Jambi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"8993883375612"</f>
        <v/>
      </c>
      <c r="C49" t="inlineStr">
        <is>
          <t>ANIMATE 5x Active Brightening Facial Wash 100ml</t>
        </is>
      </c>
      <c r="D49" t="inlineStr">
        <is>
          <t>Miss Glam Jambi</t>
        </is>
      </c>
      <c r="E49" t="n">
        <v>0</v>
      </c>
      <c r="F49" t="n">
        <v>0.03</v>
      </c>
      <c r="G49" t="n">
        <v>1</v>
      </c>
      <c r="H49" t="n">
        <v>6</v>
      </c>
      <c r="I49" t="n">
        <v>12</v>
      </c>
      <c r="J49" t="n">
        <v>3</v>
      </c>
      <c r="K49" t="n">
        <v>0</v>
      </c>
      <c r="L49" t="n">
        <v>19920</v>
      </c>
      <c r="M49" t="n">
        <v>26000</v>
      </c>
      <c r="N49" t="n">
        <v>33</v>
      </c>
      <c r="O49" t="n">
        <v>0.33</v>
      </c>
      <c r="P49" t="n">
        <v>0</v>
      </c>
      <c r="Q49" t="n">
        <v>0.03</v>
      </c>
      <c r="R49" t="n">
        <v>1</v>
      </c>
      <c r="S49" t="n">
        <v>780</v>
      </c>
      <c r="T49" t="n">
        <v>12</v>
      </c>
      <c r="U49" t="n">
        <v>13</v>
      </c>
      <c r="V49" t="n">
        <v>30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19920</v>
      </c>
      <c r="AE49" t="n">
        <v>0</v>
      </c>
      <c r="AF49" t="n">
        <v>318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9</v>
      </c>
      <c r="AL49" t="inlineStr">
        <is>
          <t>Miss Glam Jambi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"10200513323"</f>
        <v/>
      </c>
      <c r="C50" t="inlineStr">
        <is>
          <t>ANIMATE 5x Active Whitening Series 5 in 1 Pack</t>
        </is>
      </c>
      <c r="D50" t="inlineStr">
        <is>
          <t>Miss Glam Jambi</t>
        </is>
      </c>
      <c r="E50" t="n">
        <v>6</v>
      </c>
      <c r="F50" t="n">
        <v>0.0495</v>
      </c>
      <c r="G50" t="n">
        <v>0.66</v>
      </c>
      <c r="H50" t="n">
        <v>6</v>
      </c>
      <c r="I50" t="n">
        <v>12</v>
      </c>
      <c r="J50" t="n">
        <v>3</v>
      </c>
      <c r="K50" t="n">
        <v>3</v>
      </c>
      <c r="L50" t="n">
        <v>79200</v>
      </c>
      <c r="M50" t="n">
        <v>99000</v>
      </c>
      <c r="N50" t="n">
        <v>33</v>
      </c>
      <c r="O50" t="n">
        <v>0.33</v>
      </c>
      <c r="P50" t="n">
        <v>1</v>
      </c>
      <c r="Q50" t="n">
        <v>0.14</v>
      </c>
      <c r="R50" t="n">
        <v>2</v>
      </c>
      <c r="S50" t="n">
        <v>4900.5</v>
      </c>
      <c r="T50" t="n">
        <v>8</v>
      </c>
      <c r="U50" t="n">
        <v>9</v>
      </c>
      <c r="V50" t="n">
        <v>30</v>
      </c>
      <c r="W50" t="n">
        <v>2</v>
      </c>
      <c r="X50" t="n">
        <v>121.2121212121212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318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9</v>
      </c>
      <c r="AL50" t="inlineStr">
        <is>
          <t>Miss Glam Jambi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"8993883370075"</f>
        <v/>
      </c>
      <c r="C51" t="inlineStr">
        <is>
          <t>ANIMATE Acne Care Serum 20ml</t>
        </is>
      </c>
      <c r="D51" t="inlineStr">
        <is>
          <t>Miss Glam Jambi</t>
        </is>
      </c>
      <c r="E51" t="n">
        <v>2</v>
      </c>
      <c r="F51" t="n">
        <v>0.02</v>
      </c>
      <c r="G51" t="n">
        <v>1</v>
      </c>
      <c r="H51" t="n">
        <v>6</v>
      </c>
      <c r="I51" t="n">
        <v>12</v>
      </c>
      <c r="J51" t="n">
        <v>3</v>
      </c>
      <c r="K51" t="n">
        <v>0</v>
      </c>
      <c r="L51" t="n">
        <v>20720</v>
      </c>
      <c r="M51" t="n">
        <v>27500</v>
      </c>
      <c r="N51" t="n">
        <v>33</v>
      </c>
      <c r="O51" t="n">
        <v>0.33</v>
      </c>
      <c r="P51" t="n">
        <v>0</v>
      </c>
      <c r="Q51" t="n">
        <v>0.02</v>
      </c>
      <c r="R51" t="n">
        <v>1</v>
      </c>
      <c r="S51" t="n">
        <v>550</v>
      </c>
      <c r="T51" t="n">
        <v>12</v>
      </c>
      <c r="U51" t="n">
        <v>13</v>
      </c>
      <c r="V51" t="n">
        <v>30</v>
      </c>
      <c r="W51" t="n">
        <v>1</v>
      </c>
      <c r="X51" t="n">
        <v>100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318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9</v>
      </c>
      <c r="AL51" t="inlineStr">
        <is>
          <t>Miss Glam Jambi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"10600404843"</f>
        <v/>
      </c>
      <c r="C52" t="inlineStr">
        <is>
          <t>ANIMATE Acne Solution Series</t>
        </is>
      </c>
      <c r="D52" t="inlineStr">
        <is>
          <t>Miss Glam Jambi</t>
        </is>
      </c>
      <c r="E52" t="n">
        <v>4</v>
      </c>
      <c r="F52" t="n">
        <v>0.02</v>
      </c>
      <c r="G52" t="n">
        <v>1</v>
      </c>
      <c r="H52" t="n">
        <v>6</v>
      </c>
      <c r="I52" t="n">
        <v>12</v>
      </c>
      <c r="J52" t="n">
        <v>3</v>
      </c>
      <c r="K52" t="n">
        <v>0</v>
      </c>
      <c r="L52" t="n">
        <v>87200</v>
      </c>
      <c r="M52" t="n">
        <v>115000</v>
      </c>
      <c r="N52" t="n">
        <v>33</v>
      </c>
      <c r="O52" t="n">
        <v>0.33</v>
      </c>
      <c r="P52" t="n">
        <v>0</v>
      </c>
      <c r="Q52" t="n">
        <v>0.02</v>
      </c>
      <c r="R52" t="n">
        <v>1</v>
      </c>
      <c r="S52" t="n">
        <v>2300</v>
      </c>
      <c r="T52" t="n">
        <v>12</v>
      </c>
      <c r="U52" t="n">
        <v>13</v>
      </c>
      <c r="V52" t="n">
        <v>30</v>
      </c>
      <c r="W52" t="n">
        <v>1</v>
      </c>
      <c r="X52" t="n">
        <v>200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318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9</v>
      </c>
      <c r="AL52" t="inlineStr">
        <is>
          <t>Miss Glam Jambi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"10200516756"</f>
        <v/>
      </c>
      <c r="C53" t="inlineStr">
        <is>
          <t>ANIMATE By Yunna Mercier Miraculous Dark Spot 5 In 1 Series</t>
        </is>
      </c>
      <c r="D53" t="inlineStr">
        <is>
          <t>Miss Glam Jambi</t>
        </is>
      </c>
      <c r="E53" t="n">
        <v>4</v>
      </c>
      <c r="F53" t="n">
        <v>0.0231</v>
      </c>
      <c r="G53" t="n">
        <v>0.33</v>
      </c>
      <c r="H53" t="n">
        <v>6</v>
      </c>
      <c r="I53" t="n">
        <v>12</v>
      </c>
      <c r="J53" t="n">
        <v>3</v>
      </c>
      <c r="K53" t="n">
        <v>0</v>
      </c>
      <c r="L53" t="n">
        <v>103200</v>
      </c>
      <c r="M53" t="n">
        <v>129000</v>
      </c>
      <c r="N53" t="n">
        <v>33</v>
      </c>
      <c r="O53" t="n">
        <v>0.33</v>
      </c>
      <c r="P53" t="n">
        <v>1</v>
      </c>
      <c r="Q53" t="n">
        <v>0.02</v>
      </c>
      <c r="R53" t="n">
        <v>1</v>
      </c>
      <c r="S53" t="n">
        <v>2979.900000000001</v>
      </c>
      <c r="T53" t="n">
        <v>4</v>
      </c>
      <c r="U53" t="n">
        <v>5</v>
      </c>
      <c r="V53" t="n">
        <v>30</v>
      </c>
      <c r="W53" t="n">
        <v>1</v>
      </c>
      <c r="X53" t="n">
        <v>173.1601731601731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318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9</v>
      </c>
      <c r="AL53" t="inlineStr">
        <is>
          <t>Miss Glam Jambi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"8994453152336"</f>
        <v/>
      </c>
      <c r="C54" t="inlineStr">
        <is>
          <t>ANIMATE Cutey Crush Series</t>
        </is>
      </c>
      <c r="D54" t="inlineStr">
        <is>
          <t>Miss Glam Jambi</t>
        </is>
      </c>
      <c r="E54" t="n">
        <v>3</v>
      </c>
      <c r="F54" t="n">
        <v>0.009900000000000001</v>
      </c>
      <c r="G54" t="n">
        <v>0.33</v>
      </c>
      <c r="H54" t="n">
        <v>6</v>
      </c>
      <c r="I54" t="n">
        <v>12</v>
      </c>
      <c r="J54" t="n">
        <v>3</v>
      </c>
      <c r="K54" t="n">
        <v>0</v>
      </c>
      <c r="L54" t="n">
        <v>47200</v>
      </c>
      <c r="M54" t="n">
        <v>59000</v>
      </c>
      <c r="N54" t="n">
        <v>33</v>
      </c>
      <c r="O54" t="n">
        <v>0.33</v>
      </c>
      <c r="P54" t="n">
        <v>1</v>
      </c>
      <c r="Q54" t="n">
        <v>0.07000000000000001</v>
      </c>
      <c r="R54" t="n">
        <v>1</v>
      </c>
      <c r="S54" t="n">
        <v>584.1</v>
      </c>
      <c r="T54" t="n">
        <v>4</v>
      </c>
      <c r="U54" t="n">
        <v>5</v>
      </c>
      <c r="V54" t="n">
        <v>30</v>
      </c>
      <c r="W54" t="n">
        <v>1</v>
      </c>
      <c r="X54" t="n">
        <v>303.030303030303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318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9</v>
      </c>
      <c r="AL54" t="inlineStr">
        <is>
          <t>Miss Glam Jambi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"8993883370099"</f>
        <v/>
      </c>
      <c r="C55" t="inlineStr">
        <is>
          <t>ANIMATE Dark Spot Witening Serum 20ml</t>
        </is>
      </c>
      <c r="D55" t="inlineStr">
        <is>
          <t>Miss Glam Jambi</t>
        </is>
      </c>
      <c r="E55" t="n">
        <v>3</v>
      </c>
      <c r="F55" t="n">
        <v>0.006600000000000001</v>
      </c>
      <c r="G55" t="n">
        <v>0.33</v>
      </c>
      <c r="H55" t="n">
        <v>6</v>
      </c>
      <c r="I55" t="n">
        <v>12</v>
      </c>
      <c r="J55" t="n">
        <v>3</v>
      </c>
      <c r="K55" t="n">
        <v>0</v>
      </c>
      <c r="L55" t="n">
        <v>20720</v>
      </c>
      <c r="M55" t="n">
        <v>28000</v>
      </c>
      <c r="N55" t="n">
        <v>33</v>
      </c>
      <c r="O55" t="n">
        <v>0.33</v>
      </c>
      <c r="P55" t="n">
        <v>1</v>
      </c>
      <c r="Q55" t="n">
        <v>0.02</v>
      </c>
      <c r="R55" t="n">
        <v>1</v>
      </c>
      <c r="S55" t="n">
        <v>184.8</v>
      </c>
      <c r="T55" t="n">
        <v>4</v>
      </c>
      <c r="U55" t="n">
        <v>5</v>
      </c>
      <c r="V55" t="n">
        <v>30</v>
      </c>
      <c r="W55" t="n">
        <v>1</v>
      </c>
      <c r="X55" t="n">
        <v>454.5454545454545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318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9</v>
      </c>
      <c r="AL55" t="inlineStr">
        <is>
          <t>Miss Glam Jambi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"8993883370013"</f>
        <v/>
      </c>
      <c r="C56" t="inlineStr">
        <is>
          <t>ANIMATE Facial Essence Instan Whitening 60capsules</t>
        </is>
      </c>
      <c r="D56" t="inlineStr">
        <is>
          <t>Miss Glam Jambi</t>
        </is>
      </c>
      <c r="E56" t="n">
        <v>10</v>
      </c>
      <c r="F56" t="n">
        <v>0.066</v>
      </c>
      <c r="G56" t="n">
        <v>0.66</v>
      </c>
      <c r="H56" t="n">
        <v>6</v>
      </c>
      <c r="I56" t="n">
        <v>12</v>
      </c>
      <c r="J56" t="n">
        <v>3</v>
      </c>
      <c r="K56" t="n">
        <v>0</v>
      </c>
      <c r="L56" t="n">
        <v>15120</v>
      </c>
      <c r="M56" t="n">
        <v>19000</v>
      </c>
      <c r="N56" t="n">
        <v>33</v>
      </c>
      <c r="O56" t="n">
        <v>0.33</v>
      </c>
      <c r="P56" t="n">
        <v>1</v>
      </c>
      <c r="Q56" t="n">
        <v>0.08</v>
      </c>
      <c r="R56" t="n">
        <v>1</v>
      </c>
      <c r="S56" t="n">
        <v>1254</v>
      </c>
      <c r="T56" t="n">
        <v>8</v>
      </c>
      <c r="U56" t="n">
        <v>9</v>
      </c>
      <c r="V56" t="n">
        <v>30</v>
      </c>
      <c r="W56" t="n">
        <v>2</v>
      </c>
      <c r="X56" t="n">
        <v>151.5151515151515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318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9</v>
      </c>
      <c r="AL56" t="inlineStr">
        <is>
          <t>Miss Glam Jambi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"8993883370617"</f>
        <v/>
      </c>
      <c r="C57" t="inlineStr">
        <is>
          <t>ANIMATE Glow Lip Serum Honey + Vit E 4ml</t>
        </is>
      </c>
      <c r="D57" t="inlineStr">
        <is>
          <t>Miss Glam Jambi</t>
        </is>
      </c>
      <c r="E57" t="n">
        <v>2</v>
      </c>
      <c r="F57" t="n">
        <v>0.0462</v>
      </c>
      <c r="G57" t="n">
        <v>0.66</v>
      </c>
      <c r="H57" t="n">
        <v>6</v>
      </c>
      <c r="I57" t="n">
        <v>12</v>
      </c>
      <c r="J57" t="n">
        <v>3</v>
      </c>
      <c r="K57" t="n">
        <v>0</v>
      </c>
      <c r="L57" t="n">
        <v>18320</v>
      </c>
      <c r="M57" t="n">
        <v>25000</v>
      </c>
      <c r="N57" t="n">
        <v>33</v>
      </c>
      <c r="O57" t="n">
        <v>0.33</v>
      </c>
      <c r="P57" t="n">
        <v>1</v>
      </c>
      <c r="Q57" t="n">
        <v>0.1</v>
      </c>
      <c r="R57" t="n">
        <v>1</v>
      </c>
      <c r="S57" t="n">
        <v>1155</v>
      </c>
      <c r="T57" t="n">
        <v>8</v>
      </c>
      <c r="U57" t="n">
        <v>9</v>
      </c>
      <c r="V57" t="n">
        <v>30</v>
      </c>
      <c r="W57" t="n">
        <v>2</v>
      </c>
      <c r="X57" t="n">
        <v>43.29004329004329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318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9</v>
      </c>
      <c r="AL57" t="inlineStr">
        <is>
          <t>Miss Glam Jambi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"10300144534"</f>
        <v/>
      </c>
      <c r="C58" t="inlineStr">
        <is>
          <t>ANIMATE Glowing Barrier Day Cream 10gr</t>
        </is>
      </c>
      <c r="D58" t="inlineStr">
        <is>
          <t>Miss Glam Jambi</t>
        </is>
      </c>
      <c r="E58" t="n">
        <v>0</v>
      </c>
      <c r="F58" t="n">
        <v>0.05</v>
      </c>
      <c r="G58" t="n">
        <v>1</v>
      </c>
      <c r="H58" t="n">
        <v>6</v>
      </c>
      <c r="I58" t="n">
        <v>12</v>
      </c>
      <c r="J58" t="n">
        <v>3</v>
      </c>
      <c r="K58" t="n">
        <v>3</v>
      </c>
      <c r="L58" t="n">
        <v>22320</v>
      </c>
      <c r="M58" t="n">
        <v>30000</v>
      </c>
      <c r="N58" t="n">
        <v>33</v>
      </c>
      <c r="O58" t="n">
        <v>0.33</v>
      </c>
      <c r="P58" t="n">
        <v>0</v>
      </c>
      <c r="Q58" t="n">
        <v>0.05</v>
      </c>
      <c r="R58" t="n">
        <v>1</v>
      </c>
      <c r="S58" t="n">
        <v>1500</v>
      </c>
      <c r="T58" t="n">
        <v>12</v>
      </c>
      <c r="U58" t="n">
        <v>13</v>
      </c>
      <c r="V58" t="n">
        <v>30</v>
      </c>
      <c r="W58" t="n">
        <v>2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318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9</v>
      </c>
      <c r="AL58" t="inlineStr">
        <is>
          <t>Miss Glam Jambi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"10300214255"</f>
        <v/>
      </c>
      <c r="C59" t="inlineStr">
        <is>
          <t>ANIMATE Glowing Barrier Night Cream 10gr</t>
        </is>
      </c>
      <c r="D59" t="inlineStr">
        <is>
          <t>Miss Glam Jambi</t>
        </is>
      </c>
      <c r="E59" t="n">
        <v>3</v>
      </c>
      <c r="F59" t="n">
        <v>0.006600000000000001</v>
      </c>
      <c r="G59" t="n">
        <v>0.33</v>
      </c>
      <c r="H59" t="n">
        <v>6</v>
      </c>
      <c r="I59" t="n">
        <v>12</v>
      </c>
      <c r="J59" t="n">
        <v>3</v>
      </c>
      <c r="K59" t="n">
        <v>0</v>
      </c>
      <c r="L59" t="n">
        <v>24053</v>
      </c>
      <c r="M59" t="n">
        <v>32500</v>
      </c>
      <c r="N59" t="n">
        <v>33</v>
      </c>
      <c r="O59" t="n">
        <v>0.33</v>
      </c>
      <c r="P59" t="n">
        <v>1</v>
      </c>
      <c r="Q59" t="n">
        <v>0.02</v>
      </c>
      <c r="R59" t="n">
        <v>1</v>
      </c>
      <c r="S59" t="n">
        <v>214.5</v>
      </c>
      <c r="T59" t="n">
        <v>4</v>
      </c>
      <c r="U59" t="n">
        <v>5</v>
      </c>
      <c r="V59" t="n">
        <v>30</v>
      </c>
      <c r="W59" t="n">
        <v>1</v>
      </c>
      <c r="X59" t="n">
        <v>454.5454545454545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318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9</v>
      </c>
      <c r="AL59" t="inlineStr">
        <is>
          <t>Miss Glam Jambi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"10300142324"</f>
        <v/>
      </c>
      <c r="C60" t="inlineStr">
        <is>
          <t>ANIMATE Perfect Glowing Barrier Series 5in1</t>
        </is>
      </c>
      <c r="D60" t="inlineStr">
        <is>
          <t>Miss Glam Jambi</t>
        </is>
      </c>
      <c r="E60" t="n">
        <v>2</v>
      </c>
      <c r="F60" t="n">
        <v>0.03</v>
      </c>
      <c r="G60" t="n">
        <v>1</v>
      </c>
      <c r="H60" t="n">
        <v>6</v>
      </c>
      <c r="I60" t="n">
        <v>12</v>
      </c>
      <c r="J60" t="n">
        <v>3</v>
      </c>
      <c r="K60" t="n">
        <v>3</v>
      </c>
      <c r="L60" t="n">
        <v>79200</v>
      </c>
      <c r="M60" t="n">
        <v>106500</v>
      </c>
      <c r="N60" t="n">
        <v>33</v>
      </c>
      <c r="O60" t="n">
        <v>0.33</v>
      </c>
      <c r="P60" t="n">
        <v>0</v>
      </c>
      <c r="Q60" t="n">
        <v>0.03</v>
      </c>
      <c r="R60" t="n">
        <v>1</v>
      </c>
      <c r="S60" t="n">
        <v>3195</v>
      </c>
      <c r="T60" t="n">
        <v>12</v>
      </c>
      <c r="U60" t="n">
        <v>13</v>
      </c>
      <c r="V60" t="n">
        <v>30</v>
      </c>
      <c r="W60" t="n">
        <v>1</v>
      </c>
      <c r="X60" t="n">
        <v>66.66666666666667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318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9</v>
      </c>
      <c r="AL60" t="inlineStr">
        <is>
          <t>Miss Glam Jambi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"8993883370105"</f>
        <v/>
      </c>
      <c r="C61" t="inlineStr">
        <is>
          <t>ANIMATE Rich Nutrition Serum 20ml</t>
        </is>
      </c>
      <c r="D61" t="inlineStr">
        <is>
          <t>Miss Glam Jambi</t>
        </is>
      </c>
      <c r="E61" t="n">
        <v>1</v>
      </c>
      <c r="F61" t="n">
        <v>0.009900000000000001</v>
      </c>
      <c r="G61" t="n">
        <v>0.33</v>
      </c>
      <c r="H61" t="n">
        <v>6</v>
      </c>
      <c r="I61" t="n">
        <v>12</v>
      </c>
      <c r="J61" t="n">
        <v>3</v>
      </c>
      <c r="K61" t="n">
        <v>0</v>
      </c>
      <c r="L61" t="n">
        <v>20720</v>
      </c>
      <c r="M61" t="n">
        <v>27000</v>
      </c>
      <c r="N61" t="n">
        <v>33</v>
      </c>
      <c r="O61" t="n">
        <v>0.33</v>
      </c>
      <c r="P61" t="n">
        <v>1</v>
      </c>
      <c r="Q61" t="n">
        <v>0.02</v>
      </c>
      <c r="R61" t="n">
        <v>1</v>
      </c>
      <c r="S61" t="n">
        <v>267.3</v>
      </c>
      <c r="T61" t="n">
        <v>4</v>
      </c>
      <c r="U61" t="n">
        <v>5</v>
      </c>
      <c r="V61" t="n">
        <v>30</v>
      </c>
      <c r="W61" t="n">
        <v>1</v>
      </c>
      <c r="X61" t="n">
        <v>101.010101010101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318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9</v>
      </c>
      <c r="AL61" t="inlineStr">
        <is>
          <t>Miss Glam Jambi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"8994453152343"</f>
        <v/>
      </c>
      <c r="C62" t="inlineStr">
        <is>
          <t>ANIMATE Secret Glints Series</t>
        </is>
      </c>
      <c r="D62" t="inlineStr">
        <is>
          <t>Miss Glam Jambi</t>
        </is>
      </c>
      <c r="E62" t="n">
        <v>3</v>
      </c>
      <c r="F62" t="n">
        <v>0.0231</v>
      </c>
      <c r="G62" t="n">
        <v>0.33</v>
      </c>
      <c r="H62" t="n">
        <v>6</v>
      </c>
      <c r="I62" t="n">
        <v>12</v>
      </c>
      <c r="J62" t="n">
        <v>3</v>
      </c>
      <c r="K62" t="n">
        <v>0</v>
      </c>
      <c r="L62" t="n">
        <v>47200</v>
      </c>
      <c r="M62" t="n">
        <v>59000</v>
      </c>
      <c r="N62" t="n">
        <v>33</v>
      </c>
      <c r="O62" t="n">
        <v>0.33</v>
      </c>
      <c r="P62" t="n">
        <v>1</v>
      </c>
      <c r="Q62" t="n">
        <v>0.02</v>
      </c>
      <c r="R62" t="n">
        <v>1</v>
      </c>
      <c r="S62" t="n">
        <v>1362.9</v>
      </c>
      <c r="T62" t="n">
        <v>4</v>
      </c>
      <c r="U62" t="n">
        <v>5</v>
      </c>
      <c r="V62" t="n">
        <v>30</v>
      </c>
      <c r="W62" t="n">
        <v>1</v>
      </c>
      <c r="X62" t="n">
        <v>129.8701298701299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318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9</v>
      </c>
      <c r="AL62" t="inlineStr">
        <is>
          <t>Miss Glam Jambi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"8994453152350"</f>
        <v/>
      </c>
      <c r="C63" t="inlineStr">
        <is>
          <t>ANIMATE Warm Vanilla Series</t>
        </is>
      </c>
      <c r="D63" t="inlineStr">
        <is>
          <t>Miss Glam Jambi</t>
        </is>
      </c>
      <c r="E63" t="n">
        <v>0</v>
      </c>
      <c r="F63" t="n">
        <v>0.0165</v>
      </c>
      <c r="G63" t="n">
        <v>0.33</v>
      </c>
      <c r="H63" t="n">
        <v>6</v>
      </c>
      <c r="I63" t="n">
        <v>12</v>
      </c>
      <c r="J63" t="n">
        <v>3</v>
      </c>
      <c r="K63" t="n">
        <v>3</v>
      </c>
      <c r="L63" t="n">
        <v>47200</v>
      </c>
      <c r="M63" t="n">
        <v>59000</v>
      </c>
      <c r="N63" t="n">
        <v>33</v>
      </c>
      <c r="O63" t="n">
        <v>0.33</v>
      </c>
      <c r="P63" t="n">
        <v>1</v>
      </c>
      <c r="Q63" t="n">
        <v>0.06</v>
      </c>
      <c r="R63" t="n">
        <v>1</v>
      </c>
      <c r="S63" t="n">
        <v>973.5</v>
      </c>
      <c r="T63" t="n">
        <v>4</v>
      </c>
      <c r="U63" t="n">
        <v>5</v>
      </c>
      <c r="V63" t="n">
        <v>30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318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9</v>
      </c>
      <c r="AL63" t="inlineStr">
        <is>
          <t>Miss Glam Jambi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"8993883370044"</f>
        <v/>
      </c>
      <c r="C64" t="inlineStr">
        <is>
          <t>ANIMATE Whitening Day Cream 10gr</t>
        </is>
      </c>
      <c r="D64" t="inlineStr">
        <is>
          <t>Miss Glam Jambi</t>
        </is>
      </c>
      <c r="E64" t="n">
        <v>6</v>
      </c>
      <c r="F64" t="n">
        <v>0.2508</v>
      </c>
      <c r="G64" t="n">
        <v>1.32</v>
      </c>
      <c r="H64" t="n">
        <v>6</v>
      </c>
      <c r="I64" t="n">
        <v>12</v>
      </c>
      <c r="J64" t="n">
        <v>3</v>
      </c>
      <c r="K64" t="n">
        <v>3</v>
      </c>
      <c r="L64" t="n">
        <v>22320</v>
      </c>
      <c r="M64" t="n">
        <v>28000</v>
      </c>
      <c r="N64" t="n">
        <v>33</v>
      </c>
      <c r="O64" t="n">
        <v>0.33</v>
      </c>
      <c r="P64" t="n">
        <v>1</v>
      </c>
      <c r="Q64" t="n">
        <v>0.22</v>
      </c>
      <c r="R64" t="n">
        <v>2</v>
      </c>
      <c r="S64" t="n">
        <v>7022.400000000001</v>
      </c>
      <c r="T64" t="n">
        <v>15</v>
      </c>
      <c r="U64" t="n">
        <v>17</v>
      </c>
      <c r="V64" t="n">
        <v>30</v>
      </c>
      <c r="W64" t="n">
        <v>8</v>
      </c>
      <c r="X64" t="n">
        <v>23.92344497607655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318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9</v>
      </c>
      <c r="AL64" t="inlineStr">
        <is>
          <t>Miss Glam Jambi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"8993883370068"</f>
        <v/>
      </c>
      <c r="C65" t="inlineStr">
        <is>
          <t>ANIMATE Whitening Facial Serum 20ml</t>
        </is>
      </c>
      <c r="D65" t="inlineStr">
        <is>
          <t>Miss Glam Jambi</t>
        </is>
      </c>
      <c r="E65" t="n">
        <v>8</v>
      </c>
      <c r="F65" t="n">
        <v>0.033</v>
      </c>
      <c r="G65" t="n">
        <v>0.33</v>
      </c>
      <c r="H65" t="n">
        <v>6</v>
      </c>
      <c r="I65" t="n">
        <v>12</v>
      </c>
      <c r="J65" t="n">
        <v>3</v>
      </c>
      <c r="K65" t="n">
        <v>0</v>
      </c>
      <c r="L65" t="n">
        <v>20720</v>
      </c>
      <c r="M65" t="n">
        <v>28000</v>
      </c>
      <c r="N65" t="n">
        <v>33</v>
      </c>
      <c r="O65" t="n">
        <v>0.33</v>
      </c>
      <c r="P65" t="n">
        <v>1</v>
      </c>
      <c r="Q65" t="n">
        <v>0.12</v>
      </c>
      <c r="R65" t="n">
        <v>1</v>
      </c>
      <c r="S65" t="n">
        <v>924</v>
      </c>
      <c r="T65" t="n">
        <v>4</v>
      </c>
      <c r="U65" t="n">
        <v>5</v>
      </c>
      <c r="V65" t="n">
        <v>30</v>
      </c>
      <c r="W65" t="n">
        <v>1</v>
      </c>
      <c r="X65" t="n">
        <v>242.4242424242424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318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9</v>
      </c>
      <c r="AL65" t="inlineStr">
        <is>
          <t>Miss Glam Jambi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"8993883370006"</f>
        <v/>
      </c>
      <c r="C66" t="inlineStr">
        <is>
          <t>ANIMATE Whitening Facial Toner 100ml</t>
        </is>
      </c>
      <c r="D66" t="inlineStr">
        <is>
          <t>Miss Glam Jambi</t>
        </is>
      </c>
      <c r="E66" t="n">
        <v>6</v>
      </c>
      <c r="F66" t="n">
        <v>0.02</v>
      </c>
      <c r="G66" t="n">
        <v>1</v>
      </c>
      <c r="H66" t="n">
        <v>6</v>
      </c>
      <c r="I66" t="n">
        <v>12</v>
      </c>
      <c r="J66" t="n">
        <v>3</v>
      </c>
      <c r="K66" t="n">
        <v>0</v>
      </c>
      <c r="L66" t="n">
        <v>18320</v>
      </c>
      <c r="M66" t="n">
        <v>25000</v>
      </c>
      <c r="N66" t="n">
        <v>33</v>
      </c>
      <c r="O66" t="n">
        <v>0.33</v>
      </c>
      <c r="P66" t="n">
        <v>0</v>
      </c>
      <c r="Q66" t="n">
        <v>0.02</v>
      </c>
      <c r="R66" t="n">
        <v>1</v>
      </c>
      <c r="S66" t="n">
        <v>500</v>
      </c>
      <c r="T66" t="n">
        <v>12</v>
      </c>
      <c r="U66" t="n">
        <v>13</v>
      </c>
      <c r="V66" t="n">
        <v>30</v>
      </c>
      <c r="W66" t="n">
        <v>1</v>
      </c>
      <c r="X66" t="n">
        <v>300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318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9</v>
      </c>
      <c r="AL66" t="inlineStr">
        <is>
          <t>Miss Glam Jambi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"8993883370037"</f>
        <v/>
      </c>
      <c r="C67" t="inlineStr">
        <is>
          <t>ANIMATE Whitening Night Cream 10gr</t>
        </is>
      </c>
      <c r="D67" t="inlineStr">
        <is>
          <t>Miss Glam Jambi</t>
        </is>
      </c>
      <c r="E67" t="n">
        <v>2</v>
      </c>
      <c r="F67" t="n">
        <v>0.033</v>
      </c>
      <c r="G67" t="n">
        <v>0.33</v>
      </c>
      <c r="H67" t="n">
        <v>6</v>
      </c>
      <c r="I67" t="n">
        <v>12</v>
      </c>
      <c r="J67" t="n">
        <v>3</v>
      </c>
      <c r="K67" t="n">
        <v>6</v>
      </c>
      <c r="L67" t="n">
        <v>23920</v>
      </c>
      <c r="M67" t="n">
        <v>30000</v>
      </c>
      <c r="N67" t="n">
        <v>33</v>
      </c>
      <c r="O67" t="n">
        <v>0.33</v>
      </c>
      <c r="P67" t="n">
        <v>1</v>
      </c>
      <c r="Q67" t="n">
        <v>0.07000000000000001</v>
      </c>
      <c r="R67" t="n">
        <v>1</v>
      </c>
      <c r="S67" t="n">
        <v>990</v>
      </c>
      <c r="T67" t="n">
        <v>4</v>
      </c>
      <c r="U67" t="n">
        <v>5</v>
      </c>
      <c r="V67" t="n">
        <v>30</v>
      </c>
      <c r="W67" t="n">
        <v>1</v>
      </c>
      <c r="X67" t="n">
        <v>60.6060606060606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318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9</v>
      </c>
      <c r="AL67" t="inlineStr">
        <is>
          <t>Miss Glam Jambi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ANUA</t>
        </is>
      </c>
      <c r="B68" s="2">
        <f>"8809640730559"</f>
        <v/>
      </c>
      <c r="C68" t="inlineStr">
        <is>
          <t>ANUA Heartleaf 77% Clear Pad 160ml</t>
        </is>
      </c>
      <c r="D68" t="inlineStr">
        <is>
          <t>Miss Glam Jambi</t>
        </is>
      </c>
      <c r="E68" t="n">
        <v>2</v>
      </c>
      <c r="F68" t="n">
        <v>0.02</v>
      </c>
      <c r="G68" t="n">
        <v>1</v>
      </c>
      <c r="H68" t="n">
        <v>4</v>
      </c>
      <c r="I68" t="n">
        <v>20</v>
      </c>
      <c r="J68" t="n">
        <v>3</v>
      </c>
      <c r="K68" t="n">
        <v>0</v>
      </c>
      <c r="L68" t="n">
        <v>250914</v>
      </c>
      <c r="M68" t="n">
        <v>315000</v>
      </c>
      <c r="N68" t="n">
        <v>33</v>
      </c>
      <c r="O68" t="n">
        <v>0.33</v>
      </c>
      <c r="P68" t="n">
        <v>0</v>
      </c>
      <c r="Q68" t="n">
        <v>0.02</v>
      </c>
      <c r="R68" t="n">
        <v>1</v>
      </c>
      <c r="S68" t="n">
        <v>6300</v>
      </c>
      <c r="T68" t="n">
        <v>20</v>
      </c>
      <c r="U68" t="n">
        <v>21</v>
      </c>
      <c r="V68" t="n">
        <v>30</v>
      </c>
      <c r="W68" t="n">
        <v>1</v>
      </c>
      <c r="X68" t="n">
        <v>100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2985</v>
      </c>
      <c r="AG68" t="n">
        <v>1</v>
      </c>
      <c r="AH68" t="inlineStr">
        <is>
          <t>PT. BERSAMA DISTRIVERSA INDONESIA (DC CIPUTAT)</t>
        </is>
      </c>
      <c r="AI68" t="n">
        <v>1757</v>
      </c>
      <c r="AJ68" t="inlineStr">
        <is>
          <t>ANUA</t>
        </is>
      </c>
      <c r="AK68" t="n">
        <v>9</v>
      </c>
      <c r="AL68" t="inlineStr">
        <is>
          <t>Miss Glam Jambi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ANUA</t>
        </is>
      </c>
      <c r="B69" s="2">
        <f>"8809640731457"</f>
        <v/>
      </c>
      <c r="C69" t="inlineStr">
        <is>
          <t>ANUA Heartleaf 77% Soothing Toner 40ml</t>
        </is>
      </c>
      <c r="D69" t="inlineStr">
        <is>
          <t>Miss Glam Jambi</t>
        </is>
      </c>
      <c r="E69" t="n">
        <v>0</v>
      </c>
      <c r="F69" t="n">
        <v>0.06</v>
      </c>
      <c r="G69" t="n">
        <v>1</v>
      </c>
      <c r="H69" t="n">
        <v>4</v>
      </c>
      <c r="I69" t="n">
        <v>20</v>
      </c>
      <c r="J69" t="n">
        <v>3</v>
      </c>
      <c r="K69" t="n">
        <v>0</v>
      </c>
      <c r="L69" t="n">
        <v>81538</v>
      </c>
      <c r="M69" t="n">
        <v>87500</v>
      </c>
      <c r="N69" t="n">
        <v>33</v>
      </c>
      <c r="O69" t="n">
        <v>0.33</v>
      </c>
      <c r="P69" t="n">
        <v>0</v>
      </c>
      <c r="Q69" t="n">
        <v>0.06</v>
      </c>
      <c r="R69" t="n">
        <v>1</v>
      </c>
      <c r="S69" t="n">
        <v>5250</v>
      </c>
      <c r="T69" t="n">
        <v>20</v>
      </c>
      <c r="U69" t="n">
        <v>21</v>
      </c>
      <c r="V69" t="n">
        <v>30</v>
      </c>
      <c r="W69" t="n">
        <v>2</v>
      </c>
      <c r="X69" t="n">
        <v>0</v>
      </c>
      <c r="Y69" t="n">
        <v>1</v>
      </c>
      <c r="Z69" t="n">
        <v>2</v>
      </c>
      <c r="AA69" t="n">
        <v>2</v>
      </c>
      <c r="AB69" t="n">
        <v>0</v>
      </c>
      <c r="AC69" t="n">
        <v>0</v>
      </c>
      <c r="AD69" t="n">
        <v>163076</v>
      </c>
      <c r="AE69" t="n">
        <v>0</v>
      </c>
      <c r="AF69" t="n">
        <v>2985</v>
      </c>
      <c r="AG69" t="n">
        <v>1</v>
      </c>
      <c r="AH69" t="inlineStr">
        <is>
          <t>PT. BERSAMA DISTRIVERSA INDONESIA (DC CIPUTAT)</t>
        </is>
      </c>
      <c r="AI69" t="n">
        <v>1757</v>
      </c>
      <c r="AJ69" t="inlineStr">
        <is>
          <t>ANUA</t>
        </is>
      </c>
      <c r="AK69" t="n">
        <v>9</v>
      </c>
      <c r="AL69" t="inlineStr">
        <is>
          <t>Miss Glam Jambi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ANUA</t>
        </is>
      </c>
      <c r="B70" s="2">
        <f>"8809640732829"</f>
        <v/>
      </c>
      <c r="C70" t="inlineStr">
        <is>
          <t>ANUA Heartleaf Pore Control Cleansing Oil 200ml</t>
        </is>
      </c>
      <c r="D70" t="inlineStr">
        <is>
          <t>Miss Glam Jambi</t>
        </is>
      </c>
      <c r="E70" t="n">
        <v>0</v>
      </c>
      <c r="F70" t="n">
        <v>0.009900000000000001</v>
      </c>
      <c r="G70" t="n">
        <v>0.33</v>
      </c>
      <c r="H70" t="n">
        <v>4</v>
      </c>
      <c r="I70" t="n">
        <v>20</v>
      </c>
      <c r="J70" t="n">
        <v>3</v>
      </c>
      <c r="K70" t="n">
        <v>0</v>
      </c>
      <c r="L70" t="n">
        <v>131538</v>
      </c>
      <c r="M70" t="n">
        <v>239000</v>
      </c>
      <c r="N70" t="n">
        <v>33</v>
      </c>
      <c r="O70" t="n">
        <v>0.33</v>
      </c>
      <c r="P70" t="n">
        <v>1</v>
      </c>
      <c r="Q70" t="n">
        <v>0.03</v>
      </c>
      <c r="R70" t="n">
        <v>1</v>
      </c>
      <c r="S70" t="n">
        <v>2366.1</v>
      </c>
      <c r="T70" t="n">
        <v>7</v>
      </c>
      <c r="U70" t="n">
        <v>8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131538</v>
      </c>
      <c r="AE70" t="n">
        <v>0</v>
      </c>
      <c r="AF70" t="n">
        <v>2985</v>
      </c>
      <c r="AG70" t="n">
        <v>1</v>
      </c>
      <c r="AH70" t="inlineStr">
        <is>
          <t>PT. BERSAMA DISTRIVERSA INDONESIA (DC CIPUTAT)</t>
        </is>
      </c>
      <c r="AI70" t="n">
        <v>1757</v>
      </c>
      <c r="AJ70" t="inlineStr">
        <is>
          <t>ANUA</t>
        </is>
      </c>
      <c r="AK70" t="n">
        <v>9</v>
      </c>
      <c r="AL70" t="inlineStr">
        <is>
          <t>Miss Glam Jambi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"10500176636"</f>
        <v/>
      </c>
      <c r="C71" t="inlineStr">
        <is>
          <t>ARIUL Smooth &amp; Pure Daily Pick Aqua Toning Mask 1Pcs</t>
        </is>
      </c>
      <c r="D71" t="inlineStr">
        <is>
          <t>Miss Glam Jambi</t>
        </is>
      </c>
      <c r="E71" t="n">
        <v>5</v>
      </c>
      <c r="F71" t="n">
        <v>0.1023</v>
      </c>
      <c r="G71" t="n">
        <v>1.65</v>
      </c>
      <c r="H71" t="n">
        <v>7</v>
      </c>
      <c r="I71" t="n">
        <v>19</v>
      </c>
      <c r="J71" t="n">
        <v>1</v>
      </c>
      <c r="K71" t="n">
        <v>0</v>
      </c>
      <c r="L71" t="n">
        <v>15120</v>
      </c>
      <c r="M71" t="n">
        <v>19000</v>
      </c>
      <c r="N71" t="n">
        <v>33</v>
      </c>
      <c r="O71" t="n">
        <v>0.33</v>
      </c>
      <c r="P71" t="n">
        <v>1</v>
      </c>
      <c r="Q71" t="n">
        <v>0.02</v>
      </c>
      <c r="R71" t="n">
        <v>0</v>
      </c>
      <c r="S71" t="n">
        <v>1943.7</v>
      </c>
      <c r="T71" t="n">
        <v>31</v>
      </c>
      <c r="U71" t="n">
        <v>32</v>
      </c>
      <c r="V71" t="n">
        <v>30</v>
      </c>
      <c r="W71" t="n">
        <v>4</v>
      </c>
      <c r="X71" t="n">
        <v>48.87585532746823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11279</v>
      </c>
      <c r="AG71" t="n">
        <v>2173</v>
      </c>
      <c r="AH71" t="inlineStr">
        <is>
          <t>PT. OGAN SAKTI PRATAMA - PPN (JMB)</t>
        </is>
      </c>
      <c r="AI71" t="n">
        <v>349</v>
      </c>
      <c r="AJ71" t="inlineStr">
        <is>
          <t>ARIUL</t>
        </is>
      </c>
      <c r="AK71" t="n">
        <v>9</v>
      </c>
      <c r="AL71" t="inlineStr">
        <is>
          <t>Miss Glam Jambi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"10500176721"</f>
        <v/>
      </c>
      <c r="C72" t="inlineStr">
        <is>
          <t>ARIUL Smooth &amp; Pure Daily Pick Essential Calming Mask 1pcs</t>
        </is>
      </c>
      <c r="D72" t="inlineStr">
        <is>
          <t>Miss Glam Jambi</t>
        </is>
      </c>
      <c r="E72" t="n">
        <v>3</v>
      </c>
      <c r="F72" t="n">
        <v>0.1386</v>
      </c>
      <c r="G72" t="n">
        <v>2.31</v>
      </c>
      <c r="H72" t="n">
        <v>7</v>
      </c>
      <c r="I72" t="n">
        <v>19</v>
      </c>
      <c r="J72" t="n">
        <v>1</v>
      </c>
      <c r="K72" t="n">
        <v>2</v>
      </c>
      <c r="L72" t="n">
        <v>15120</v>
      </c>
      <c r="M72" t="n">
        <v>19000</v>
      </c>
      <c r="N72" t="n">
        <v>33</v>
      </c>
      <c r="O72" t="n">
        <v>0.33</v>
      </c>
      <c r="P72" t="n">
        <v>1</v>
      </c>
      <c r="Q72" t="n">
        <v>0.05</v>
      </c>
      <c r="R72" t="n">
        <v>2</v>
      </c>
      <c r="S72" t="n">
        <v>2633.4</v>
      </c>
      <c r="T72" t="n">
        <v>43</v>
      </c>
      <c r="U72" t="n">
        <v>44</v>
      </c>
      <c r="V72" t="n">
        <v>30</v>
      </c>
      <c r="W72" t="n">
        <v>5</v>
      </c>
      <c r="X72" t="n">
        <v>21.64502164502165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11279</v>
      </c>
      <c r="AG72" t="n">
        <v>2173</v>
      </c>
      <c r="AH72" t="inlineStr">
        <is>
          <t>PT. OGAN SAKTI PRATAMA - PPN (JMB)</t>
        </is>
      </c>
      <c r="AI72" t="n">
        <v>349</v>
      </c>
      <c r="AJ72" t="inlineStr">
        <is>
          <t>ARIUL</t>
        </is>
      </c>
      <c r="AK72" t="n">
        <v>9</v>
      </c>
      <c r="AL72" t="inlineStr">
        <is>
          <t>Miss Glam Jambi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"8809301766613"</f>
        <v/>
      </c>
      <c r="C73" t="inlineStr">
        <is>
          <t>ARIUL Smooth &amp; Pure Micellar Cleansing Water 100ml</t>
        </is>
      </c>
      <c r="D73" t="inlineStr">
        <is>
          <t>Miss Glam Jambi</t>
        </is>
      </c>
      <c r="E73" t="n">
        <v>5</v>
      </c>
      <c r="F73" t="n">
        <v>0.03</v>
      </c>
      <c r="G73" t="n">
        <v>2</v>
      </c>
      <c r="H73" t="n">
        <v>7</v>
      </c>
      <c r="I73" t="n">
        <v>19</v>
      </c>
      <c r="J73" t="n">
        <v>3</v>
      </c>
      <c r="K73" t="n">
        <v>0</v>
      </c>
      <c r="L73" t="n">
        <v>37730</v>
      </c>
      <c r="M73" t="n">
        <v>49000</v>
      </c>
      <c r="N73" t="n">
        <v>33</v>
      </c>
      <c r="O73" t="n">
        <v>0.33</v>
      </c>
      <c r="P73" t="n">
        <v>0</v>
      </c>
      <c r="Q73" t="n">
        <v>0.03</v>
      </c>
      <c r="R73" t="n">
        <v>2</v>
      </c>
      <c r="S73" t="n">
        <v>1470</v>
      </c>
      <c r="T73" t="n">
        <v>38</v>
      </c>
      <c r="U73" t="n">
        <v>39</v>
      </c>
      <c r="V73" t="n">
        <v>30</v>
      </c>
      <c r="W73" t="n">
        <v>1</v>
      </c>
      <c r="X73" t="n">
        <v>166.6666666666667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11279</v>
      </c>
      <c r="AG73" t="n">
        <v>2173</v>
      </c>
      <c r="AH73" t="inlineStr">
        <is>
          <t>PT. OGAN SAKTI PRATAMA - PPN (JMB)</t>
        </is>
      </c>
      <c r="AI73" t="n">
        <v>349</v>
      </c>
      <c r="AJ73" t="inlineStr">
        <is>
          <t>ARIUL</t>
        </is>
      </c>
      <c r="AK73" t="n">
        <v>9</v>
      </c>
      <c r="AL73" t="inlineStr">
        <is>
          <t>Miss Glam Jambi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ARIUL</t>
        </is>
      </c>
      <c r="B74" s="2">
        <f>"8809301760420"</f>
        <v/>
      </c>
      <c r="C74" t="inlineStr">
        <is>
          <t>ARIUL Smooth Pure Deep Clean Cleansing Foam 80ml</t>
        </is>
      </c>
      <c r="D74" t="inlineStr">
        <is>
          <t>Miss Glam Jambi</t>
        </is>
      </c>
      <c r="E74" t="n">
        <v>4</v>
      </c>
      <c r="F74" t="n">
        <v>0.009900000000000001</v>
      </c>
      <c r="G74" t="n">
        <v>0.33</v>
      </c>
      <c r="H74" t="n">
        <v>7</v>
      </c>
      <c r="I74" t="n">
        <v>19</v>
      </c>
      <c r="J74" t="n">
        <v>3</v>
      </c>
      <c r="K74" t="n">
        <v>0</v>
      </c>
      <c r="L74" t="n">
        <v>37423</v>
      </c>
      <c r="M74" t="n">
        <v>69000</v>
      </c>
      <c r="N74" t="n">
        <v>33</v>
      </c>
      <c r="O74" t="n">
        <v>0.33</v>
      </c>
      <c r="P74" t="n">
        <v>1</v>
      </c>
      <c r="Q74" t="n">
        <v>0.02</v>
      </c>
      <c r="R74" t="n">
        <v>1</v>
      </c>
      <c r="S74" t="n">
        <v>683.1</v>
      </c>
      <c r="T74" t="n">
        <v>7</v>
      </c>
      <c r="U74" t="n">
        <v>8</v>
      </c>
      <c r="V74" t="n">
        <v>30</v>
      </c>
      <c r="W74" t="n">
        <v>1</v>
      </c>
      <c r="X74" t="n">
        <v>404.040404040404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11279</v>
      </c>
      <c r="AG74" t="n">
        <v>2173</v>
      </c>
      <c r="AH74" t="inlineStr">
        <is>
          <t>PT. OGAN SAKTI PRATAMA - PPN (JMB)</t>
        </is>
      </c>
      <c r="AI74" t="n">
        <v>349</v>
      </c>
      <c r="AJ74" t="inlineStr">
        <is>
          <t>ARIUL</t>
        </is>
      </c>
      <c r="AK74" t="n">
        <v>9</v>
      </c>
      <c r="AL74" t="inlineStr">
        <is>
          <t>Miss Glam Jambi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ARIUL</t>
        </is>
      </c>
      <c r="B75" s="2">
        <f>"8809301767542"</f>
        <v/>
      </c>
      <c r="C75" t="inlineStr">
        <is>
          <t>ARIUL The Perfect Refresh Your Day Cleansing Tissue Plus 20 Sheets</t>
        </is>
      </c>
      <c r="D75" t="inlineStr">
        <is>
          <t>Miss Glam Jambi</t>
        </is>
      </c>
      <c r="E75" t="n">
        <v>0</v>
      </c>
      <c r="F75" t="n">
        <v>0.4422</v>
      </c>
      <c r="G75" t="n">
        <v>1.65</v>
      </c>
      <c r="H75" t="n">
        <v>7</v>
      </c>
      <c r="I75" t="n">
        <v>19</v>
      </c>
      <c r="J75" t="n">
        <v>3</v>
      </c>
      <c r="K75" t="n">
        <v>29</v>
      </c>
      <c r="L75" t="n">
        <v>27750</v>
      </c>
      <c r="M75" t="n">
        <v>32500</v>
      </c>
      <c r="N75" t="n">
        <v>33</v>
      </c>
      <c r="O75" t="n">
        <v>0.33</v>
      </c>
      <c r="P75" t="n">
        <v>1</v>
      </c>
      <c r="Q75" t="n">
        <v>0.34</v>
      </c>
      <c r="R75" t="n">
        <v>3</v>
      </c>
      <c r="S75" t="n">
        <v>14371.5</v>
      </c>
      <c r="T75" t="n">
        <v>29</v>
      </c>
      <c r="U75" t="n">
        <v>33</v>
      </c>
      <c r="V75" t="n">
        <v>30</v>
      </c>
      <c r="W75" t="n">
        <v>14</v>
      </c>
      <c r="X75" t="n">
        <v>0</v>
      </c>
      <c r="Y75" t="n">
        <v>1</v>
      </c>
      <c r="Z75" t="n">
        <v>0</v>
      </c>
      <c r="AA75" t="n">
        <v>8</v>
      </c>
      <c r="AB75" t="n">
        <v>0</v>
      </c>
      <c r="AC75" t="n">
        <v>0</v>
      </c>
      <c r="AD75" t="n">
        <v>222000</v>
      </c>
      <c r="AE75" t="n">
        <v>0</v>
      </c>
      <c r="AF75" t="n">
        <v>11279</v>
      </c>
      <c r="AG75" t="n">
        <v>2173</v>
      </c>
      <c r="AH75" t="inlineStr">
        <is>
          <t>PT. OGAN SAKTI PRATAMA - PPN (JMB)</t>
        </is>
      </c>
      <c r="AI75" t="n">
        <v>349</v>
      </c>
      <c r="AJ75" t="inlineStr">
        <is>
          <t>ARIUL</t>
        </is>
      </c>
      <c r="AK75" t="n">
        <v>9</v>
      </c>
      <c r="AL75" t="inlineStr">
        <is>
          <t>Miss Glam Jambi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ARIUL</t>
        </is>
      </c>
      <c r="B76" s="2">
        <f>"8809301764787"</f>
        <v/>
      </c>
      <c r="C76" t="inlineStr">
        <is>
          <t>ARIUL The Perfect Refresh Your Day Lip And Eye Remover 30 Pads</t>
        </is>
      </c>
      <c r="D76" t="inlineStr">
        <is>
          <t>Miss Glam Jambi</t>
        </is>
      </c>
      <c r="E76" t="n">
        <v>0</v>
      </c>
      <c r="F76" t="n">
        <v>0.3069</v>
      </c>
      <c r="G76" t="n">
        <v>1.32</v>
      </c>
      <c r="H76" t="n">
        <v>7</v>
      </c>
      <c r="I76" t="n">
        <v>19</v>
      </c>
      <c r="J76" t="n">
        <v>3</v>
      </c>
      <c r="K76" t="n">
        <v>4</v>
      </c>
      <c r="L76" t="n">
        <v>35101</v>
      </c>
      <c r="M76" t="n">
        <v>45000</v>
      </c>
      <c r="N76" t="n">
        <v>33</v>
      </c>
      <c r="O76" t="n">
        <v>0.33</v>
      </c>
      <c r="P76" t="n">
        <v>1</v>
      </c>
      <c r="Q76" t="n">
        <v>0.23</v>
      </c>
      <c r="R76" t="n">
        <v>1</v>
      </c>
      <c r="S76" t="n">
        <v>13810.5</v>
      </c>
      <c r="T76" t="n">
        <v>23</v>
      </c>
      <c r="U76" t="n">
        <v>26</v>
      </c>
      <c r="V76" t="n">
        <v>30</v>
      </c>
      <c r="W76" t="n">
        <v>10</v>
      </c>
      <c r="X76" t="n">
        <v>0</v>
      </c>
      <c r="Y76" t="n">
        <v>1</v>
      </c>
      <c r="Z76" t="n">
        <v>6</v>
      </c>
      <c r="AA76" t="n">
        <v>5</v>
      </c>
      <c r="AB76" t="n">
        <v>1</v>
      </c>
      <c r="AC76" t="n">
        <v>3</v>
      </c>
      <c r="AD76" t="n">
        <v>175505</v>
      </c>
      <c r="AE76" t="n">
        <v>105303</v>
      </c>
      <c r="AF76" t="n">
        <v>11279</v>
      </c>
      <c r="AG76" t="n">
        <v>2173</v>
      </c>
      <c r="AH76" t="inlineStr">
        <is>
          <t>PT. OGAN SAKTI PRATAMA - PPN (JMB)</t>
        </is>
      </c>
      <c r="AI76" t="n">
        <v>349</v>
      </c>
      <c r="AJ76" t="inlineStr">
        <is>
          <t>ARIUL</t>
        </is>
      </c>
      <c r="AK76" t="n">
        <v>9</v>
      </c>
      <c r="AL76" t="inlineStr">
        <is>
          <t>Miss Glam Jambi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"10200161258"</f>
        <v/>
      </c>
      <c r="C77" t="inlineStr">
        <is>
          <t>AUTUMN PURE NATURE  5x Cera-HYA  Skin Barrier Moisture &amp; Hydrating Toner 500ml</t>
        </is>
      </c>
      <c r="D77" t="inlineStr">
        <is>
          <t>Miss Glam Jambi</t>
        </is>
      </c>
      <c r="E77" t="n">
        <v>4</v>
      </c>
      <c r="F77" t="n">
        <v>0.0264</v>
      </c>
      <c r="G77" t="n">
        <v>0.33</v>
      </c>
      <c r="H77" t="n">
        <v>2</v>
      </c>
      <c r="I77" t="n">
        <v>3</v>
      </c>
      <c r="J77" t="n">
        <v>1</v>
      </c>
      <c r="K77" t="n">
        <v>0</v>
      </c>
      <c r="L77" t="n">
        <v>37800</v>
      </c>
      <c r="M77" t="n">
        <v>44500</v>
      </c>
      <c r="N77" t="n">
        <v>33</v>
      </c>
      <c r="O77" t="n">
        <v>0.33</v>
      </c>
      <c r="P77" t="n">
        <v>1</v>
      </c>
      <c r="Q77" t="n">
        <v>0.02</v>
      </c>
      <c r="R77" t="n">
        <v>1</v>
      </c>
      <c r="S77" t="n">
        <v>1174.8</v>
      </c>
      <c r="T77" t="n">
        <v>1</v>
      </c>
      <c r="U77" t="n">
        <v>2</v>
      </c>
      <c r="V77" t="n">
        <v>30</v>
      </c>
      <c r="W77" t="n">
        <v>1</v>
      </c>
      <c r="X77" t="n">
        <v>151.5151515151515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1746</v>
      </c>
      <c r="AG77" t="n">
        <v>2624</v>
      </c>
      <c r="AH77" t="inlineStr">
        <is>
          <t>CV. USAHA MANDIRI - PPN (JMB)</t>
        </is>
      </c>
      <c r="AI77" t="n">
        <v>1161</v>
      </c>
      <c r="AJ77" t="inlineStr">
        <is>
          <t>AUTUMN PURE NATURE</t>
        </is>
      </c>
      <c r="AK77" t="n">
        <v>9</v>
      </c>
      <c r="AL77" t="inlineStr">
        <is>
          <t>Miss Glam Jambi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"8997031153855"</f>
        <v/>
      </c>
      <c r="C78" t="inlineStr">
        <is>
          <t>AUTUMN PURE NATURE 24k Gold Toner 500ml</t>
        </is>
      </c>
      <c r="D78" t="inlineStr">
        <is>
          <t>Miss Glam Jambi</t>
        </is>
      </c>
      <c r="E78" t="n">
        <v>9</v>
      </c>
      <c r="F78" t="n">
        <v>0.009900000000000001</v>
      </c>
      <c r="G78" t="n">
        <v>0.33</v>
      </c>
      <c r="H78" t="n">
        <v>2</v>
      </c>
      <c r="I78" t="n">
        <v>3</v>
      </c>
      <c r="J78" t="n">
        <v>3</v>
      </c>
      <c r="K78" t="n">
        <v>0</v>
      </c>
      <c r="L78" t="n">
        <v>37800</v>
      </c>
      <c r="M78" t="n">
        <v>46000</v>
      </c>
      <c r="N78" t="n">
        <v>33</v>
      </c>
      <c r="O78" t="n">
        <v>0.33</v>
      </c>
      <c r="P78" t="n">
        <v>1</v>
      </c>
      <c r="Q78" t="n">
        <v>0.02</v>
      </c>
      <c r="R78" t="n">
        <v>1</v>
      </c>
      <c r="S78" t="n">
        <v>455.4</v>
      </c>
      <c r="T78" t="n">
        <v>1</v>
      </c>
      <c r="U78" t="n">
        <v>2</v>
      </c>
      <c r="V78" t="n">
        <v>30</v>
      </c>
      <c r="W78" t="n">
        <v>1</v>
      </c>
      <c r="X78" t="n">
        <v>909.090909090909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1746</v>
      </c>
      <c r="AG78" t="n">
        <v>2624</v>
      </c>
      <c r="AH78" t="inlineStr">
        <is>
          <t>CV. USAHA MANDIRI - PPN (JMB)</t>
        </is>
      </c>
      <c r="AI78" t="n">
        <v>1161</v>
      </c>
      <c r="AJ78" t="inlineStr">
        <is>
          <t>AUTUMN PURE NATURE</t>
        </is>
      </c>
      <c r="AK78" t="n">
        <v>9</v>
      </c>
      <c r="AL78" t="inlineStr">
        <is>
          <t>Miss Glam Jambi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"10200160703"</f>
        <v/>
      </c>
      <c r="C79" t="inlineStr">
        <is>
          <t>AUTUMN PURE NATURE 5% NIA–HYA Whitening Toner 500ml</t>
        </is>
      </c>
      <c r="D79" t="inlineStr">
        <is>
          <t>Miss Glam Jambi</t>
        </is>
      </c>
      <c r="E79" t="n">
        <v>12</v>
      </c>
      <c r="F79" t="n">
        <v>0.07920000000000001</v>
      </c>
      <c r="G79" t="n">
        <v>0.66</v>
      </c>
      <c r="H79" t="n">
        <v>2</v>
      </c>
      <c r="I79" t="n">
        <v>3</v>
      </c>
      <c r="J79" t="n">
        <v>1</v>
      </c>
      <c r="K79" t="n">
        <v>0</v>
      </c>
      <c r="L79" t="n">
        <v>37800</v>
      </c>
      <c r="M79" t="n">
        <v>44500</v>
      </c>
      <c r="N79" t="n">
        <v>33</v>
      </c>
      <c r="O79" t="n">
        <v>0.33</v>
      </c>
      <c r="P79" t="n">
        <v>1</v>
      </c>
      <c r="Q79" t="n">
        <v>0.15</v>
      </c>
      <c r="R79" t="n">
        <v>1</v>
      </c>
      <c r="S79" t="n">
        <v>3524.4</v>
      </c>
      <c r="T79" t="n">
        <v>2</v>
      </c>
      <c r="U79" t="n">
        <v>3</v>
      </c>
      <c r="V79" t="n">
        <v>30</v>
      </c>
      <c r="W79" t="n">
        <v>3</v>
      </c>
      <c r="X79" t="n">
        <v>151.5151515151515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1746</v>
      </c>
      <c r="AG79" t="n">
        <v>2624</v>
      </c>
      <c r="AH79" t="inlineStr">
        <is>
          <t>CV. USAHA MANDIRI - PPN (JMB)</t>
        </is>
      </c>
      <c r="AI79" t="n">
        <v>1161</v>
      </c>
      <c r="AJ79" t="inlineStr">
        <is>
          <t>AUTUMN PURE NATURE</t>
        </is>
      </c>
      <c r="AK79" t="n">
        <v>9</v>
      </c>
      <c r="AL79" t="inlineStr">
        <is>
          <t>Miss Glam Jambi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"10200160634"</f>
        <v/>
      </c>
      <c r="C80" t="inlineStr">
        <is>
          <t>AUTUMN PURE NATURE Glycolic Acid 7% Toning Solution Exfoliating Toner 500ml</t>
        </is>
      </c>
      <c r="D80" t="inlineStr">
        <is>
          <t>Miss Glam Jambi</t>
        </is>
      </c>
      <c r="E80" t="n">
        <v>14</v>
      </c>
      <c r="F80" t="n">
        <v>0.6501</v>
      </c>
      <c r="G80" t="n">
        <v>2.31</v>
      </c>
      <c r="H80" t="n">
        <v>2</v>
      </c>
      <c r="I80" t="n">
        <v>3</v>
      </c>
      <c r="J80" t="n">
        <v>1</v>
      </c>
      <c r="K80" t="n">
        <v>0</v>
      </c>
      <c r="L80" t="n">
        <v>54000</v>
      </c>
      <c r="M80" t="n">
        <v>66500</v>
      </c>
      <c r="N80" t="n">
        <v>33</v>
      </c>
      <c r="O80" t="n">
        <v>0.33</v>
      </c>
      <c r="P80" t="n">
        <v>1</v>
      </c>
      <c r="Q80" t="n">
        <v>0.51</v>
      </c>
      <c r="R80" t="n">
        <v>3</v>
      </c>
      <c r="S80" t="n">
        <v>43231.65</v>
      </c>
      <c r="T80" t="n">
        <v>6</v>
      </c>
      <c r="U80" t="n">
        <v>8</v>
      </c>
      <c r="V80" t="n">
        <v>30</v>
      </c>
      <c r="W80" t="n">
        <v>20</v>
      </c>
      <c r="X80" t="n">
        <v>21.53514843870174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1746</v>
      </c>
      <c r="AG80" t="n">
        <v>2624</v>
      </c>
      <c r="AH80" t="inlineStr">
        <is>
          <t>CV. USAHA MANDIRI - PPN (JMB)</t>
        </is>
      </c>
      <c r="AI80" t="n">
        <v>1161</v>
      </c>
      <c r="AJ80" t="inlineStr">
        <is>
          <t>AUTUMN PURE NATURE</t>
        </is>
      </c>
      <c r="AK80" t="n">
        <v>9</v>
      </c>
      <c r="AL80" t="inlineStr">
        <is>
          <t>Miss Glam Jambi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"8997031153541"</f>
        <v/>
      </c>
      <c r="C81" t="inlineStr">
        <is>
          <t>AUTUMN PURE NATURE Skin Conditioner Toner With Hatomugi Extract 100ml</t>
        </is>
      </c>
      <c r="D81" t="inlineStr">
        <is>
          <t>Miss Glam Jambi</t>
        </is>
      </c>
      <c r="E81" t="n">
        <v>0</v>
      </c>
      <c r="F81" t="n">
        <v>0.33</v>
      </c>
      <c r="G81" t="n">
        <v>1.32</v>
      </c>
      <c r="H81" t="n">
        <v>2</v>
      </c>
      <c r="I81" t="n">
        <v>3</v>
      </c>
      <c r="J81" t="n">
        <v>3</v>
      </c>
      <c r="K81" t="n">
        <v>0</v>
      </c>
      <c r="L81" t="n">
        <v>14400</v>
      </c>
      <c r="M81" t="n">
        <v>18800</v>
      </c>
      <c r="N81" t="n">
        <v>33</v>
      </c>
      <c r="O81" t="n">
        <v>0.33</v>
      </c>
      <c r="P81" t="n">
        <v>1</v>
      </c>
      <c r="Q81" t="n">
        <v>0.19</v>
      </c>
      <c r="R81" t="n">
        <v>1</v>
      </c>
      <c r="S81" t="n">
        <v>6204</v>
      </c>
      <c r="T81" t="n">
        <v>4</v>
      </c>
      <c r="U81" t="n">
        <v>5</v>
      </c>
      <c r="V81" t="n">
        <v>30</v>
      </c>
      <c r="W81" t="n">
        <v>10</v>
      </c>
      <c r="X81" t="n">
        <v>0</v>
      </c>
      <c r="Y81" t="n">
        <v>1</v>
      </c>
      <c r="Z81" t="n">
        <v>10</v>
      </c>
      <c r="AA81" t="n">
        <v>1</v>
      </c>
      <c r="AB81" t="n">
        <v>9</v>
      </c>
      <c r="AC81" t="n">
        <v>9</v>
      </c>
      <c r="AD81" t="n">
        <v>14400</v>
      </c>
      <c r="AE81" t="n">
        <v>129600</v>
      </c>
      <c r="AF81" t="n">
        <v>1746</v>
      </c>
      <c r="AG81" t="n">
        <v>2624</v>
      </c>
      <c r="AH81" t="inlineStr">
        <is>
          <t>CV. USAHA MANDIRI - PPN (JMB)</t>
        </is>
      </c>
      <c r="AI81" t="n">
        <v>1161</v>
      </c>
      <c r="AJ81" t="inlineStr">
        <is>
          <t>AUTUMN PURE NATURE</t>
        </is>
      </c>
      <c r="AK81" t="n">
        <v>9</v>
      </c>
      <c r="AL81" t="inlineStr">
        <is>
          <t>Miss Glam Jambi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AUTUMN PURE NATURE</t>
        </is>
      </c>
      <c r="B82" s="2">
        <f>"10200154156"</f>
        <v/>
      </c>
      <c r="C82" t="inlineStr">
        <is>
          <t>AUTUMN PURE NATURE Skin Conditioner Toner With Hatomugi Extract 500ml Kuromi Edition</t>
        </is>
      </c>
      <c r="D82" t="inlineStr">
        <is>
          <t>Miss Glam Jambi</t>
        </is>
      </c>
      <c r="E82" t="n">
        <v>13</v>
      </c>
      <c r="F82" t="n">
        <v>0.1683</v>
      </c>
      <c r="G82" t="n">
        <v>0.66</v>
      </c>
      <c r="H82" t="n">
        <v>2</v>
      </c>
      <c r="I82" t="n">
        <v>3</v>
      </c>
      <c r="J82" t="n">
        <v>3</v>
      </c>
      <c r="K82" t="n">
        <v>0</v>
      </c>
      <c r="L82" t="n">
        <v>34200</v>
      </c>
      <c r="M82" t="n">
        <v>39000</v>
      </c>
      <c r="N82" t="n">
        <v>33</v>
      </c>
      <c r="O82" t="n">
        <v>0.33</v>
      </c>
      <c r="P82" t="n">
        <v>1</v>
      </c>
      <c r="Q82" t="n">
        <v>0.15</v>
      </c>
      <c r="R82" t="n">
        <v>2</v>
      </c>
      <c r="S82" t="n">
        <v>6563.7</v>
      </c>
      <c r="T82" t="n">
        <v>2</v>
      </c>
      <c r="U82" t="n">
        <v>3</v>
      </c>
      <c r="V82" t="n">
        <v>30</v>
      </c>
      <c r="W82" t="n">
        <v>6</v>
      </c>
      <c r="X82" t="n">
        <v>77.243018419489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1746</v>
      </c>
      <c r="AG82" t="n">
        <v>2624</v>
      </c>
      <c r="AH82" t="inlineStr">
        <is>
          <t>CV. USAHA MANDIRI - PPN (JMB)</t>
        </is>
      </c>
      <c r="AI82" t="n">
        <v>1161</v>
      </c>
      <c r="AJ82" t="inlineStr">
        <is>
          <t>AUTUMN PURE NATURE</t>
        </is>
      </c>
      <c r="AK82" t="n">
        <v>9</v>
      </c>
      <c r="AL82" t="inlineStr">
        <is>
          <t>Miss Glam Jambi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AUTUMN PURE NATURE</t>
        </is>
      </c>
      <c r="B83" s="2">
        <f>"8997031154029"</f>
        <v/>
      </c>
      <c r="C83" t="inlineStr">
        <is>
          <t>AUTUMN PURE NATURE Toner Centella Asiatica 100ml</t>
        </is>
      </c>
      <c r="D83" t="inlineStr">
        <is>
          <t>Miss Glam Jambi</t>
        </is>
      </c>
      <c r="E83" t="n">
        <v>3</v>
      </c>
      <c r="F83" t="n">
        <v>0.07920000000000001</v>
      </c>
      <c r="G83" t="n">
        <v>0.99</v>
      </c>
      <c r="H83" t="n">
        <v>2</v>
      </c>
      <c r="I83" t="n">
        <v>3</v>
      </c>
      <c r="J83" t="n">
        <v>3</v>
      </c>
      <c r="K83" t="n">
        <v>0</v>
      </c>
      <c r="L83" t="n">
        <v>14400</v>
      </c>
      <c r="M83" t="n">
        <v>16000</v>
      </c>
      <c r="N83" t="n">
        <v>33</v>
      </c>
      <c r="O83" t="n">
        <v>0.33</v>
      </c>
      <c r="P83" t="n">
        <v>1</v>
      </c>
      <c r="Q83" t="n">
        <v>0.05</v>
      </c>
      <c r="R83" t="n">
        <v>1</v>
      </c>
      <c r="S83" t="n">
        <v>1267.2</v>
      </c>
      <c r="T83" t="n">
        <v>3</v>
      </c>
      <c r="U83" t="n">
        <v>4</v>
      </c>
      <c r="V83" t="n">
        <v>30</v>
      </c>
      <c r="W83" t="n">
        <v>3</v>
      </c>
      <c r="X83" t="n">
        <v>37.87878787878788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1746</v>
      </c>
      <c r="AG83" t="n">
        <v>2624</v>
      </c>
      <c r="AH83" t="inlineStr">
        <is>
          <t>CV. USAHA MANDIRI - PPN (JMB)</t>
        </is>
      </c>
      <c r="AI83" t="n">
        <v>1161</v>
      </c>
      <c r="AJ83" t="inlineStr">
        <is>
          <t>AUTUMN PURE NATURE</t>
        </is>
      </c>
      <c r="AK83" t="n">
        <v>9</v>
      </c>
      <c r="AL83" t="inlineStr">
        <is>
          <t>Miss Glam Jambi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AVERO</t>
        </is>
      </c>
      <c r="B84" s="2">
        <f>"8994449310016"</f>
        <v/>
      </c>
      <c r="C84" t="inlineStr">
        <is>
          <t>AVERO Natural Deodorant Balm Plain 30gr</t>
        </is>
      </c>
      <c r="D84" t="inlineStr">
        <is>
          <t>Miss Glam Jambi</t>
        </is>
      </c>
      <c r="E84" t="n">
        <v>0</v>
      </c>
      <c r="F84" t="n">
        <v>0.05</v>
      </c>
      <c r="G84" t="n">
        <v>2</v>
      </c>
      <c r="H84" t="n">
        <v>4</v>
      </c>
      <c r="I84" t="n">
        <v>20</v>
      </c>
      <c r="J84" t="n">
        <v>3</v>
      </c>
      <c r="K84" t="n">
        <v>0</v>
      </c>
      <c r="L84" t="n">
        <v>31695</v>
      </c>
      <c r="M84" t="n">
        <v>57000</v>
      </c>
      <c r="N84" t="n">
        <v>33</v>
      </c>
      <c r="O84" t="n">
        <v>0.33</v>
      </c>
      <c r="P84" t="n">
        <v>0</v>
      </c>
      <c r="Q84" t="n">
        <v>0.05</v>
      </c>
      <c r="R84" t="n">
        <v>2</v>
      </c>
      <c r="S84" t="n">
        <v>2850</v>
      </c>
      <c r="T84" t="n">
        <v>40</v>
      </c>
      <c r="U84" t="n">
        <v>41</v>
      </c>
      <c r="V84" t="n">
        <v>30</v>
      </c>
      <c r="W84" t="n">
        <v>2</v>
      </c>
      <c r="X84" t="n">
        <v>0</v>
      </c>
      <c r="Y84" t="n">
        <v>1</v>
      </c>
      <c r="Z84" t="n">
        <v>2</v>
      </c>
      <c r="AA84" t="n">
        <v>1</v>
      </c>
      <c r="AB84" t="n">
        <v>1</v>
      </c>
      <c r="AC84" t="n">
        <v>3</v>
      </c>
      <c r="AD84" t="n">
        <v>31695</v>
      </c>
      <c r="AE84" t="n">
        <v>95085</v>
      </c>
      <c r="AF84" t="n">
        <v>3084</v>
      </c>
      <c r="AG84" t="n">
        <v>1</v>
      </c>
      <c r="AH84" t="inlineStr">
        <is>
          <t>PT. BERSAMA DISTRIVERSA INDONESIA (DC CIPUTAT)</t>
        </is>
      </c>
      <c r="AI84" t="n">
        <v>1152</v>
      </c>
      <c r="AJ84" t="inlineStr">
        <is>
          <t>AVERO</t>
        </is>
      </c>
      <c r="AK84" t="n">
        <v>9</v>
      </c>
      <c r="AL84" t="inlineStr">
        <is>
          <t>Miss Glam Jambi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"8997239320226"</f>
        <v/>
      </c>
      <c r="C85" t="inlineStr">
        <is>
          <t>AVOSKIN Miraculos Refining Toner 100ml</t>
        </is>
      </c>
      <c r="D85" t="inlineStr">
        <is>
          <t>Miss Glam Jambi</t>
        </is>
      </c>
      <c r="E85" t="n">
        <v>0</v>
      </c>
      <c r="F85" t="n">
        <v>0.11</v>
      </c>
      <c r="G85" t="n">
        <v>1</v>
      </c>
      <c r="H85" t="n">
        <v>4</v>
      </c>
      <c r="I85" t="n">
        <v>20</v>
      </c>
      <c r="J85" t="n">
        <v>3</v>
      </c>
      <c r="K85" t="n">
        <v>6</v>
      </c>
      <c r="L85" t="n">
        <v>144021</v>
      </c>
      <c r="M85" t="n">
        <v>195000</v>
      </c>
      <c r="N85" t="n">
        <v>33</v>
      </c>
      <c r="O85" t="n">
        <v>0.33</v>
      </c>
      <c r="P85" t="n">
        <v>0</v>
      </c>
      <c r="Q85" t="n">
        <v>0.11</v>
      </c>
      <c r="R85" t="n">
        <v>1</v>
      </c>
      <c r="S85" t="n">
        <v>21450</v>
      </c>
      <c r="T85" t="n">
        <v>20</v>
      </c>
      <c r="U85" t="n">
        <v>21</v>
      </c>
      <c r="V85" t="n">
        <v>30</v>
      </c>
      <c r="W85" t="n">
        <v>4</v>
      </c>
      <c r="X85" t="n">
        <v>0</v>
      </c>
      <c r="Y85" t="n">
        <v>1</v>
      </c>
      <c r="Z85" t="n">
        <v>0</v>
      </c>
      <c r="AA85" t="n">
        <v>2</v>
      </c>
      <c r="AB85" t="n">
        <v>0</v>
      </c>
      <c r="AC85" t="n">
        <v>0</v>
      </c>
      <c r="AD85" t="n">
        <v>288042</v>
      </c>
      <c r="AE85" t="n">
        <v>0</v>
      </c>
      <c r="AF85" t="n">
        <v>3117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9</v>
      </c>
      <c r="AL85" t="inlineStr">
        <is>
          <t>Miss Glam Jambi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"8997239320233"</f>
        <v/>
      </c>
      <c r="C86" t="inlineStr">
        <is>
          <t>AVOSKIN Miraculous Refining Serum 10% AHA + 3% BHA + 2% Niacinamide + Ceramide 30m</t>
        </is>
      </c>
      <c r="D86" t="inlineStr">
        <is>
          <t>Miss Glam Jambi</t>
        </is>
      </c>
      <c r="E86" t="n">
        <v>1</v>
      </c>
      <c r="F86" t="n">
        <v>0.0231</v>
      </c>
      <c r="G86" t="n">
        <v>0.66</v>
      </c>
      <c r="H86" t="n">
        <v>4</v>
      </c>
      <c r="I86" t="n">
        <v>20</v>
      </c>
      <c r="J86" t="n">
        <v>3</v>
      </c>
      <c r="K86" t="n">
        <v>6</v>
      </c>
      <c r="L86" t="n">
        <v>178099</v>
      </c>
      <c r="M86" t="n">
        <v>274000</v>
      </c>
      <c r="N86" t="n">
        <v>33</v>
      </c>
      <c r="O86" t="n">
        <v>0.33</v>
      </c>
      <c r="P86" t="n">
        <v>1</v>
      </c>
      <c r="Q86" t="n">
        <v>0.05</v>
      </c>
      <c r="R86" t="n">
        <v>1</v>
      </c>
      <c r="S86" t="n">
        <v>6329.400000000001</v>
      </c>
      <c r="T86" t="n">
        <v>14</v>
      </c>
      <c r="U86" t="n">
        <v>15</v>
      </c>
      <c r="V86" t="n">
        <v>30</v>
      </c>
      <c r="W86" t="n">
        <v>1</v>
      </c>
      <c r="X86" t="n">
        <v>43.29004329004329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3117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9</v>
      </c>
      <c r="AL86" t="inlineStr">
        <is>
          <t>Miss Glam Jambi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"8997239320417"</f>
        <v/>
      </c>
      <c r="C87" t="inlineStr">
        <is>
          <t>AVOSKIN Miraculous Retinol Ampoule 30ml</t>
        </is>
      </c>
      <c r="D87" t="inlineStr">
        <is>
          <t>Miss Glam Jambi</t>
        </is>
      </c>
      <c r="E87" t="n">
        <v>3</v>
      </c>
      <c r="F87" t="n">
        <v>0.0231</v>
      </c>
      <c r="G87" t="n">
        <v>0.33</v>
      </c>
      <c r="H87" t="n">
        <v>4</v>
      </c>
      <c r="I87" t="n">
        <v>20</v>
      </c>
      <c r="J87" t="n">
        <v>3</v>
      </c>
      <c r="K87" t="n">
        <v>0</v>
      </c>
      <c r="L87" t="n">
        <v>203499</v>
      </c>
      <c r="M87" t="n">
        <v>275000</v>
      </c>
      <c r="N87" t="n">
        <v>33</v>
      </c>
      <c r="O87" t="n">
        <v>0.33</v>
      </c>
      <c r="P87" t="n">
        <v>1</v>
      </c>
      <c r="Q87" t="n">
        <v>0.02</v>
      </c>
      <c r="R87" t="n">
        <v>1</v>
      </c>
      <c r="S87" t="n">
        <v>6352.500000000001</v>
      </c>
      <c r="T87" t="n">
        <v>7</v>
      </c>
      <c r="U87" t="n">
        <v>8</v>
      </c>
      <c r="V87" t="n">
        <v>30</v>
      </c>
      <c r="W87" t="n">
        <v>1</v>
      </c>
      <c r="X87" t="n">
        <v>129.8701298701299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3117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9</v>
      </c>
      <c r="AL87" t="inlineStr">
        <is>
          <t>Miss Glam Jambi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"8997239320400"</f>
        <v/>
      </c>
      <c r="C88" t="inlineStr">
        <is>
          <t>AVOSKIN Miraculous Retinol Toner 100ml</t>
        </is>
      </c>
      <c r="D88" t="inlineStr">
        <is>
          <t>Miss Glam Jambi</t>
        </is>
      </c>
      <c r="E88" t="n">
        <v>0</v>
      </c>
      <c r="F88" t="n">
        <v>0.06</v>
      </c>
      <c r="G88" t="n">
        <v>1</v>
      </c>
      <c r="H88" t="n">
        <v>4</v>
      </c>
      <c r="I88" t="n">
        <v>20</v>
      </c>
      <c r="J88" t="n">
        <v>3</v>
      </c>
      <c r="K88" t="n">
        <v>0</v>
      </c>
      <c r="L88" t="n">
        <v>168720</v>
      </c>
      <c r="M88" t="n">
        <v>228000</v>
      </c>
      <c r="N88" t="n">
        <v>33</v>
      </c>
      <c r="O88" t="n">
        <v>0.33</v>
      </c>
      <c r="P88" t="n">
        <v>0</v>
      </c>
      <c r="Q88" t="n">
        <v>0.06</v>
      </c>
      <c r="R88" t="n">
        <v>1</v>
      </c>
      <c r="S88" t="n">
        <v>13680</v>
      </c>
      <c r="T88" t="n">
        <v>20</v>
      </c>
      <c r="U88" t="n">
        <v>21</v>
      </c>
      <c r="V88" t="n">
        <v>30</v>
      </c>
      <c r="W88" t="n">
        <v>2</v>
      </c>
      <c r="X88" t="n">
        <v>0</v>
      </c>
      <c r="Y88" t="n">
        <v>1</v>
      </c>
      <c r="Z88" t="n">
        <v>2</v>
      </c>
      <c r="AA88" t="n">
        <v>2</v>
      </c>
      <c r="AB88" t="n">
        <v>0</v>
      </c>
      <c r="AC88" t="n">
        <v>0</v>
      </c>
      <c r="AD88" t="n">
        <v>337440</v>
      </c>
      <c r="AE88" t="n">
        <v>0</v>
      </c>
      <c r="AF88" t="n">
        <v>3117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9</v>
      </c>
      <c r="AL88" t="inlineStr">
        <is>
          <t>Miss Glam Jambi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"8997239320486"</f>
        <v/>
      </c>
      <c r="C89" t="inlineStr">
        <is>
          <t>AVOSKIN Natural Sublime Facial Cleanser 100ml</t>
        </is>
      </c>
      <c r="D89" t="inlineStr">
        <is>
          <t>Miss Glam Jambi</t>
        </is>
      </c>
      <c r="E89" t="n">
        <v>1</v>
      </c>
      <c r="F89" t="n">
        <v>0.0264</v>
      </c>
      <c r="G89" t="n">
        <v>0.66</v>
      </c>
      <c r="H89" t="n">
        <v>4</v>
      </c>
      <c r="I89" t="n">
        <v>20</v>
      </c>
      <c r="J89" t="n">
        <v>3</v>
      </c>
      <c r="K89" t="n">
        <v>0</v>
      </c>
      <c r="L89" t="n">
        <v>90519</v>
      </c>
      <c r="M89" t="n">
        <v>124000</v>
      </c>
      <c r="N89" t="n">
        <v>33</v>
      </c>
      <c r="O89" t="n">
        <v>0.33</v>
      </c>
      <c r="P89" t="n">
        <v>1</v>
      </c>
      <c r="Q89" t="n">
        <v>0.02</v>
      </c>
      <c r="R89" t="n">
        <v>1</v>
      </c>
      <c r="S89" t="n">
        <v>3273.6</v>
      </c>
      <c r="T89" t="n">
        <v>14</v>
      </c>
      <c r="U89" t="n">
        <v>15</v>
      </c>
      <c r="V89" t="n">
        <v>30</v>
      </c>
      <c r="W89" t="n">
        <v>1</v>
      </c>
      <c r="X89" t="n">
        <v>37.87878787878788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3117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9</v>
      </c>
      <c r="AL89" t="inlineStr">
        <is>
          <t>Miss Glam Jambi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"8997239320042"</f>
        <v/>
      </c>
      <c r="C90" t="inlineStr">
        <is>
          <t>AVOSKIN Perfect Hydrating Treatment Essence 100ml</t>
        </is>
      </c>
      <c r="D90" t="inlineStr">
        <is>
          <t>Miss Glam Jambi</t>
        </is>
      </c>
      <c r="E90" t="n">
        <v>3</v>
      </c>
      <c r="F90" t="n">
        <v>0.02</v>
      </c>
      <c r="G90" t="n">
        <v>1</v>
      </c>
      <c r="H90" t="n">
        <v>4</v>
      </c>
      <c r="I90" t="n">
        <v>20</v>
      </c>
      <c r="J90" t="n">
        <v>3</v>
      </c>
      <c r="K90" t="n">
        <v>0</v>
      </c>
      <c r="L90" t="n">
        <v>223720</v>
      </c>
      <c r="M90" t="n">
        <v>329000</v>
      </c>
      <c r="N90" t="n">
        <v>33</v>
      </c>
      <c r="O90" t="n">
        <v>0.33</v>
      </c>
      <c r="P90" t="n">
        <v>0</v>
      </c>
      <c r="Q90" t="n">
        <v>0.02</v>
      </c>
      <c r="R90" t="n">
        <v>1</v>
      </c>
      <c r="S90" t="n">
        <v>6580</v>
      </c>
      <c r="T90" t="n">
        <v>20</v>
      </c>
      <c r="U90" t="n">
        <v>21</v>
      </c>
      <c r="V90" t="n">
        <v>30</v>
      </c>
      <c r="W90" t="n">
        <v>1</v>
      </c>
      <c r="X90" t="n">
        <v>150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3117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9</v>
      </c>
      <c r="AL90" t="inlineStr">
        <is>
          <t>Miss Glam Jambi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"8997239323982"</f>
        <v/>
      </c>
      <c r="C91" t="inlineStr">
        <is>
          <t>AVOSKIN Perfect Hydrating Treatment Essence 30ml</t>
        </is>
      </c>
      <c r="D91" t="inlineStr">
        <is>
          <t>Miss Glam Jambi</t>
        </is>
      </c>
      <c r="E91" t="n">
        <v>5</v>
      </c>
      <c r="F91" t="n">
        <v>0.009900000000000001</v>
      </c>
      <c r="G91" t="n">
        <v>0.33</v>
      </c>
      <c r="H91" t="n">
        <v>4</v>
      </c>
      <c r="I91" t="n">
        <v>20</v>
      </c>
      <c r="J91" t="n">
        <v>3</v>
      </c>
      <c r="K91" t="n">
        <v>0</v>
      </c>
      <c r="L91" t="n">
        <v>110260</v>
      </c>
      <c r="M91" t="n">
        <v>149000</v>
      </c>
      <c r="N91" t="n">
        <v>33</v>
      </c>
      <c r="O91" t="n">
        <v>0.33</v>
      </c>
      <c r="P91" t="n">
        <v>1</v>
      </c>
      <c r="Q91" t="n">
        <v>0.02</v>
      </c>
      <c r="R91" t="n">
        <v>1</v>
      </c>
      <c r="S91" t="n">
        <v>1475.1</v>
      </c>
      <c r="T91" t="n">
        <v>7</v>
      </c>
      <c r="U91" t="n">
        <v>8</v>
      </c>
      <c r="V91" t="n">
        <v>30</v>
      </c>
      <c r="W91" t="n">
        <v>1</v>
      </c>
      <c r="X91" t="n">
        <v>505.050505050505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3117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9</v>
      </c>
      <c r="AL91" t="inlineStr">
        <is>
          <t>Miss Glam Jambi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AVOSKIN</t>
        </is>
      </c>
      <c r="B92" s="2">
        <f>"8997239320608"</f>
        <v/>
      </c>
      <c r="C92" t="inlineStr">
        <is>
          <t>AVOSKIN Your Skin Bae  Vitamin C 3% +Niacinamide 2% Serum 30ml</t>
        </is>
      </c>
      <c r="D92" t="inlineStr">
        <is>
          <t>Miss Glam Jambi</t>
        </is>
      </c>
      <c r="E92" t="n">
        <v>0</v>
      </c>
      <c r="F92" t="n">
        <v>0.0297</v>
      </c>
      <c r="G92" t="n">
        <v>0.33</v>
      </c>
      <c r="H92" t="n">
        <v>4</v>
      </c>
      <c r="I92" t="n">
        <v>20</v>
      </c>
      <c r="J92" t="n">
        <v>3</v>
      </c>
      <c r="K92" t="n">
        <v>0</v>
      </c>
      <c r="L92" t="n">
        <v>110260</v>
      </c>
      <c r="M92" t="n">
        <v>149000</v>
      </c>
      <c r="N92" t="n">
        <v>33</v>
      </c>
      <c r="O92" t="n">
        <v>0.33</v>
      </c>
      <c r="P92" t="n">
        <v>1</v>
      </c>
      <c r="Q92" t="n">
        <v>0.15</v>
      </c>
      <c r="R92" t="n">
        <v>1</v>
      </c>
      <c r="S92" t="n">
        <v>4425.3</v>
      </c>
      <c r="T92" t="n">
        <v>7</v>
      </c>
      <c r="U92" t="n">
        <v>8</v>
      </c>
      <c r="V92" t="n">
        <v>30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110260</v>
      </c>
      <c r="AE92" t="n">
        <v>0</v>
      </c>
      <c r="AF92" t="n">
        <v>3117</v>
      </c>
      <c r="AG92" t="n">
        <v>1</v>
      </c>
      <c r="AH92" t="inlineStr">
        <is>
          <t>PT. BERSAMA DISTRIVERSA INDONESIA (DC CIPUTAT)</t>
        </is>
      </c>
      <c r="AI92" t="n">
        <v>320</v>
      </c>
      <c r="AJ92" t="inlineStr">
        <is>
          <t>AVOSKIN</t>
        </is>
      </c>
      <c r="AK92" t="n">
        <v>9</v>
      </c>
      <c r="AL92" t="inlineStr">
        <is>
          <t>Miss Glam Jambi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AXE</t>
        </is>
      </c>
      <c r="B93" s="2">
        <f>"8999999572693"</f>
        <v/>
      </c>
      <c r="C93" t="inlineStr">
        <is>
          <t>AXE Black 48HRS Fragrance 2X Odor Action Deodorant Body Spray 135ml</t>
        </is>
      </c>
      <c r="D93" t="inlineStr">
        <is>
          <t>Miss Glam Jambi</t>
        </is>
      </c>
      <c r="E93" t="n">
        <v>3</v>
      </c>
      <c r="F93" t="n">
        <v>0.0396</v>
      </c>
      <c r="G93" t="n">
        <v>0.33</v>
      </c>
      <c r="H93" t="n">
        <v>3</v>
      </c>
      <c r="I93" t="n">
        <v>19</v>
      </c>
      <c r="J93" t="n">
        <v>3</v>
      </c>
      <c r="K93" t="n">
        <v>0</v>
      </c>
      <c r="L93" t="n">
        <v>26252</v>
      </c>
      <c r="M93" t="n">
        <v>38000</v>
      </c>
      <c r="N93" t="n">
        <v>33</v>
      </c>
      <c r="O93" t="n">
        <v>0.33</v>
      </c>
      <c r="P93" t="n">
        <v>1</v>
      </c>
      <c r="Q93" t="n">
        <v>0.05</v>
      </c>
      <c r="R93" t="n">
        <v>2</v>
      </c>
      <c r="S93" t="n">
        <v>1504.8</v>
      </c>
      <c r="T93" t="n">
        <v>7</v>
      </c>
      <c r="U93" t="n">
        <v>8</v>
      </c>
      <c r="V93" t="n">
        <v>30</v>
      </c>
      <c r="W93" t="n">
        <v>2</v>
      </c>
      <c r="X93" t="n">
        <v>75.75757575757575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9742</v>
      </c>
      <c r="AG93" t="n">
        <v>2206</v>
      </c>
      <c r="AH93" t="inlineStr">
        <is>
          <t>PT. ENHA PUTRA (ONLINE CASH)</t>
        </is>
      </c>
      <c r="AI93" t="n">
        <v>1694</v>
      </c>
      <c r="AJ93" t="inlineStr">
        <is>
          <t>AXE</t>
        </is>
      </c>
      <c r="AK93" t="n">
        <v>9</v>
      </c>
      <c r="AL93" t="inlineStr">
        <is>
          <t>Miss Glam Jambi</t>
        </is>
      </c>
      <c r="AM93" t="n">
        <v>2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AXE</t>
        </is>
      </c>
      <c r="B94" s="2">
        <f>"8999999572709"</f>
        <v/>
      </c>
      <c r="C94" t="inlineStr">
        <is>
          <t>AXE Dark Temptation Dark Chocolate 48HRS Fresh Deodorant Bo</t>
        </is>
      </c>
      <c r="D94" t="inlineStr">
        <is>
          <t>Miss Glam Jambi</t>
        </is>
      </c>
      <c r="E94" t="n">
        <v>2</v>
      </c>
      <c r="F94" t="n">
        <v>0.0165</v>
      </c>
      <c r="G94" t="n">
        <v>0.33</v>
      </c>
      <c r="H94" t="n">
        <v>3</v>
      </c>
      <c r="I94" t="n">
        <v>19</v>
      </c>
      <c r="J94" t="n">
        <v>3</v>
      </c>
      <c r="K94" t="n">
        <v>0</v>
      </c>
      <c r="L94" t="n">
        <v>26131</v>
      </c>
      <c r="M94" t="n">
        <v>38000</v>
      </c>
      <c r="N94" t="n">
        <v>33</v>
      </c>
      <c r="O94" t="n">
        <v>0.33</v>
      </c>
      <c r="P94" t="n">
        <v>1</v>
      </c>
      <c r="Q94" t="n">
        <v>0.05</v>
      </c>
      <c r="R94" t="n">
        <v>1</v>
      </c>
      <c r="S94" t="n">
        <v>627</v>
      </c>
      <c r="T94" t="n">
        <v>7</v>
      </c>
      <c r="U94" t="n">
        <v>8</v>
      </c>
      <c r="V94" t="n">
        <v>30</v>
      </c>
      <c r="W94" t="n">
        <v>1</v>
      </c>
      <c r="X94" t="n">
        <v>121.2121212121212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9742</v>
      </c>
      <c r="AG94" t="n">
        <v>2206</v>
      </c>
      <c r="AH94" t="inlineStr">
        <is>
          <t>PT. ENHA PUTRA (ONLINE CASH)</t>
        </is>
      </c>
      <c r="AI94" t="n">
        <v>1694</v>
      </c>
      <c r="AJ94" t="inlineStr">
        <is>
          <t>AXE</t>
        </is>
      </c>
      <c r="AK94" t="n">
        <v>9</v>
      </c>
      <c r="AL94" t="inlineStr">
        <is>
          <t>Miss Glam Jambi</t>
        </is>
      </c>
      <c r="AM94" t="n">
        <v>2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AXE</t>
        </is>
      </c>
      <c r="B95" s="2">
        <f>"8999999572730"</f>
        <v/>
      </c>
      <c r="C95" t="inlineStr">
        <is>
          <t>AXE Ice Chill 48HRS Deodorant Body Spray 135ml</t>
        </is>
      </c>
      <c r="D95" t="inlineStr">
        <is>
          <t>Miss Glam Jambi</t>
        </is>
      </c>
      <c r="E95" t="n">
        <v>8</v>
      </c>
      <c r="F95" t="n">
        <v>0.0726</v>
      </c>
      <c r="G95" t="n">
        <v>0.66</v>
      </c>
      <c r="H95" t="n">
        <v>3</v>
      </c>
      <c r="I95" t="n">
        <v>19</v>
      </c>
      <c r="J95" t="n">
        <v>3</v>
      </c>
      <c r="K95" t="n">
        <v>0</v>
      </c>
      <c r="L95" t="n">
        <v>26450</v>
      </c>
      <c r="M95" t="n">
        <v>38000</v>
      </c>
      <c r="N95" t="n">
        <v>33</v>
      </c>
      <c r="O95" t="n">
        <v>0.33</v>
      </c>
      <c r="P95" t="n">
        <v>1</v>
      </c>
      <c r="Q95" t="n">
        <v>0.08</v>
      </c>
      <c r="R95" t="n">
        <v>3</v>
      </c>
      <c r="S95" t="n">
        <v>2758.8</v>
      </c>
      <c r="T95" t="n">
        <v>13</v>
      </c>
      <c r="U95" t="n">
        <v>14</v>
      </c>
      <c r="V95" t="n">
        <v>30</v>
      </c>
      <c r="W95" t="n">
        <v>3</v>
      </c>
      <c r="X95" t="n">
        <v>110.1928374655647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9742</v>
      </c>
      <c r="AG95" t="n">
        <v>2206</v>
      </c>
      <c r="AH95" t="inlineStr">
        <is>
          <t>PT. ENHA PUTRA (ONLINE CASH)</t>
        </is>
      </c>
      <c r="AI95" t="n">
        <v>1694</v>
      </c>
      <c r="AJ95" t="inlineStr">
        <is>
          <t>AXE</t>
        </is>
      </c>
      <c r="AK95" t="n">
        <v>9</v>
      </c>
      <c r="AL95" t="inlineStr">
        <is>
          <t>Miss Glam Jambi</t>
        </is>
      </c>
      <c r="AM95" t="n">
        <v>2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AXIS-Y</t>
        </is>
      </c>
      <c r="B96" s="2">
        <f>"8809634610102"</f>
        <v/>
      </c>
      <c r="C96" t="inlineStr">
        <is>
          <t>AXIS-Y Mugwort Pore Clarifying Wash Off Pack 100ml</t>
        </is>
      </c>
      <c r="D96" t="inlineStr">
        <is>
          <t>Miss Glam Jambi</t>
        </is>
      </c>
      <c r="E96" t="n">
        <v>3</v>
      </c>
      <c r="F96" t="n">
        <v>0.03</v>
      </c>
      <c r="G96" t="n">
        <v>1</v>
      </c>
      <c r="H96" t="n">
        <v>4</v>
      </c>
      <c r="I96" t="n">
        <v>20</v>
      </c>
      <c r="J96" t="n">
        <v>3</v>
      </c>
      <c r="K96" t="n">
        <v>0</v>
      </c>
      <c r="L96" t="n">
        <v>160000</v>
      </c>
      <c r="M96" t="n">
        <v>188500</v>
      </c>
      <c r="N96" t="n">
        <v>33</v>
      </c>
      <c r="O96" t="n">
        <v>0.33</v>
      </c>
      <c r="P96" t="n">
        <v>0</v>
      </c>
      <c r="Q96" t="n">
        <v>0.03</v>
      </c>
      <c r="R96" t="n">
        <v>1</v>
      </c>
      <c r="S96" t="n">
        <v>5655</v>
      </c>
      <c r="T96" t="n">
        <v>20</v>
      </c>
      <c r="U96" t="n">
        <v>21</v>
      </c>
      <c r="V96" t="n">
        <v>30</v>
      </c>
      <c r="W96" t="n">
        <v>1</v>
      </c>
      <c r="X96" t="n">
        <v>100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3150</v>
      </c>
      <c r="AG96" t="n">
        <v>1</v>
      </c>
      <c r="AH96" t="inlineStr">
        <is>
          <t>PT. BERSAMA DISTRIVERSA INDONESIA (DC CIPUTAT)</t>
        </is>
      </c>
      <c r="AI96" t="n">
        <v>1144</v>
      </c>
      <c r="AJ96" t="inlineStr">
        <is>
          <t>AXIS-Y</t>
        </is>
      </c>
      <c r="AK96" t="n">
        <v>9</v>
      </c>
      <c r="AL96" t="inlineStr">
        <is>
          <t>Miss Glam Jambi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"101001114836"</f>
        <v/>
      </c>
      <c r="C97" t="inlineStr">
        <is>
          <t>AZARINE Acne Gentle Cleansing Foam 75ml</t>
        </is>
      </c>
      <c r="D97" t="inlineStr">
        <is>
          <t>Miss Glam Jambi</t>
        </is>
      </c>
      <c r="E97" t="n">
        <v>8</v>
      </c>
      <c r="F97" t="n">
        <v>0.1056</v>
      </c>
      <c r="G97" t="n">
        <v>0.66</v>
      </c>
      <c r="H97" t="n">
        <v>2</v>
      </c>
      <c r="I97" t="n">
        <v>6</v>
      </c>
      <c r="J97" t="n">
        <v>1</v>
      </c>
      <c r="K97" t="n">
        <v>0</v>
      </c>
      <c r="L97" t="n">
        <v>24059</v>
      </c>
      <c r="M97" t="n">
        <v>29000</v>
      </c>
      <c r="N97" t="n">
        <v>33</v>
      </c>
      <c r="O97" t="n">
        <v>0.33</v>
      </c>
      <c r="P97" t="n">
        <v>1</v>
      </c>
      <c r="Q97" t="n">
        <v>0.2</v>
      </c>
      <c r="R97" t="n">
        <v>2</v>
      </c>
      <c r="S97" t="n">
        <v>3062.400000000001</v>
      </c>
      <c r="T97" t="n">
        <v>4</v>
      </c>
      <c r="U97" t="n">
        <v>5</v>
      </c>
      <c r="V97" t="n">
        <v>30</v>
      </c>
      <c r="W97" t="n">
        <v>4</v>
      </c>
      <c r="X97" t="n">
        <v>75.75757575757575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1360</v>
      </c>
      <c r="AG97" t="n">
        <v>2136</v>
      </c>
      <c r="AH97" t="inlineStr">
        <is>
          <t>CV. SAMUDRA JAYA ABADI - PPN (JMB)</t>
        </is>
      </c>
      <c r="AI97" t="n">
        <v>38</v>
      </c>
      <c r="AJ97" t="inlineStr">
        <is>
          <t>AZARINE</t>
        </is>
      </c>
      <c r="AK97" t="n">
        <v>9</v>
      </c>
      <c r="AL97" t="inlineStr">
        <is>
          <t>Miss Glam Jambi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"8997208072217"</f>
        <v/>
      </c>
      <c r="C98" t="inlineStr">
        <is>
          <t>AZARINE Acne Spot Serum 20ml</t>
        </is>
      </c>
      <c r="D98" t="inlineStr">
        <is>
          <t>Miss Glam Jambi</t>
        </is>
      </c>
      <c r="E98" t="n">
        <v>10</v>
      </c>
      <c r="F98" t="n">
        <v>0.0495</v>
      </c>
      <c r="G98" t="n">
        <v>0.99</v>
      </c>
      <c r="H98" t="n">
        <v>2</v>
      </c>
      <c r="I98" t="n">
        <v>6</v>
      </c>
      <c r="J98" t="n">
        <v>12</v>
      </c>
      <c r="K98" t="n">
        <v>0</v>
      </c>
      <c r="L98" t="n">
        <v>23200</v>
      </c>
      <c r="M98" t="n">
        <v>29000</v>
      </c>
      <c r="N98" t="n">
        <v>33</v>
      </c>
      <c r="O98" t="n">
        <v>0.33</v>
      </c>
      <c r="P98" t="n">
        <v>1</v>
      </c>
      <c r="Q98" t="n">
        <v>0.08</v>
      </c>
      <c r="R98" t="n">
        <v>1</v>
      </c>
      <c r="S98" t="n">
        <v>1435.5</v>
      </c>
      <c r="T98" t="n">
        <v>6</v>
      </c>
      <c r="U98" t="n">
        <v>7</v>
      </c>
      <c r="V98" t="n">
        <v>30</v>
      </c>
      <c r="W98" t="n">
        <v>2</v>
      </c>
      <c r="X98" t="n">
        <v>202.020202020202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1360</v>
      </c>
      <c r="AG98" t="n">
        <v>2136</v>
      </c>
      <c r="AH98" t="inlineStr">
        <is>
          <t>CV. SAMUDRA JAYA ABADI - PPN (JMB)</t>
        </is>
      </c>
      <c r="AI98" t="n">
        <v>38</v>
      </c>
      <c r="AJ98" t="inlineStr">
        <is>
          <t>AZARINE</t>
        </is>
      </c>
      <c r="AK98" t="n">
        <v>9</v>
      </c>
      <c r="AL98" t="inlineStr">
        <is>
          <t>Miss Glam Jambi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"8997208072491"</f>
        <v/>
      </c>
      <c r="C99" t="inlineStr">
        <is>
          <t>AZARINE Active Bright Brightening Day Moisturiser 20gr</t>
        </is>
      </c>
      <c r="D99" t="inlineStr">
        <is>
          <t>Miss Glam Jambi</t>
        </is>
      </c>
      <c r="E99" t="n">
        <v>2</v>
      </c>
      <c r="F99" t="n">
        <v>0.02</v>
      </c>
      <c r="G99" t="n">
        <v>1</v>
      </c>
      <c r="H99" t="n">
        <v>2</v>
      </c>
      <c r="I99" t="n">
        <v>6</v>
      </c>
      <c r="J99" t="n">
        <v>3</v>
      </c>
      <c r="K99" t="n">
        <v>0</v>
      </c>
      <c r="L99" t="n">
        <v>20000</v>
      </c>
      <c r="M99" t="n">
        <v>25000</v>
      </c>
      <c r="N99" t="n">
        <v>33</v>
      </c>
      <c r="O99" t="n">
        <v>0.33</v>
      </c>
      <c r="P99" t="n">
        <v>0</v>
      </c>
      <c r="Q99" t="n">
        <v>0.02</v>
      </c>
      <c r="R99" t="n">
        <v>1</v>
      </c>
      <c r="S99" t="n">
        <v>500</v>
      </c>
      <c r="T99" t="n">
        <v>6</v>
      </c>
      <c r="U99" t="n">
        <v>7</v>
      </c>
      <c r="V99" t="n">
        <v>30</v>
      </c>
      <c r="W99" t="n">
        <v>1</v>
      </c>
      <c r="X99" t="n">
        <v>100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1360</v>
      </c>
      <c r="AG99" t="n">
        <v>2136</v>
      </c>
      <c r="AH99" t="inlineStr">
        <is>
          <t>CV. SAMUDRA JAYA ABADI - PPN (JMB)</t>
        </is>
      </c>
      <c r="AI99" t="n">
        <v>38</v>
      </c>
      <c r="AJ99" t="inlineStr">
        <is>
          <t>AZARINE</t>
        </is>
      </c>
      <c r="AK99" t="n">
        <v>9</v>
      </c>
      <c r="AL99" t="inlineStr">
        <is>
          <t>Miss Glam Jambi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"8997208072507"</f>
        <v/>
      </c>
      <c r="C100" t="inlineStr">
        <is>
          <t>AZARINE Active Bright Brightening Night Moisturiser 20gr</t>
        </is>
      </c>
      <c r="D100" t="inlineStr">
        <is>
          <t>Miss Glam Jambi</t>
        </is>
      </c>
      <c r="E100" t="n">
        <v>0</v>
      </c>
      <c r="F100" t="n">
        <v>0.033</v>
      </c>
      <c r="G100" t="n">
        <v>0.33</v>
      </c>
      <c r="H100" t="n">
        <v>2</v>
      </c>
      <c r="I100" t="n">
        <v>6</v>
      </c>
      <c r="J100" t="n">
        <v>3</v>
      </c>
      <c r="K100" t="n">
        <v>6</v>
      </c>
      <c r="L100" t="n">
        <v>21250</v>
      </c>
      <c r="M100" t="n">
        <v>25000</v>
      </c>
      <c r="N100" t="n">
        <v>33</v>
      </c>
      <c r="O100" t="n">
        <v>0.33</v>
      </c>
      <c r="P100" t="n">
        <v>1</v>
      </c>
      <c r="Q100" t="n">
        <v>0.04</v>
      </c>
      <c r="R100" t="n">
        <v>1</v>
      </c>
      <c r="S100" t="n">
        <v>825</v>
      </c>
      <c r="T100" t="n">
        <v>2</v>
      </c>
      <c r="U100" t="n">
        <v>3</v>
      </c>
      <c r="V100" t="n">
        <v>30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1360</v>
      </c>
      <c r="AG100" t="n">
        <v>2136</v>
      </c>
      <c r="AH100" t="inlineStr">
        <is>
          <t>CV. SAMUDRA JAYA ABADI - PPN (JMB)</t>
        </is>
      </c>
      <c r="AI100" t="n">
        <v>38</v>
      </c>
      <c r="AJ100" t="inlineStr">
        <is>
          <t>AZARINE</t>
        </is>
      </c>
      <c r="AK100" t="n">
        <v>9</v>
      </c>
      <c r="AL100" t="inlineStr">
        <is>
          <t>Miss Glam Jambi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"8997208073092"</f>
        <v/>
      </c>
      <c r="C101" t="inlineStr">
        <is>
          <t>AZARINE Advanced Youth Barrier Moisturizer 30gr</t>
        </is>
      </c>
      <c r="D101" t="inlineStr">
        <is>
          <t>Miss Glam Jambi</t>
        </is>
      </c>
      <c r="E101" t="n">
        <v>7</v>
      </c>
      <c r="F101" t="n">
        <v>0.0561</v>
      </c>
      <c r="G101" t="n">
        <v>0.33</v>
      </c>
      <c r="H101" t="n">
        <v>2</v>
      </c>
      <c r="I101" t="n">
        <v>6</v>
      </c>
      <c r="J101" t="n">
        <v>12</v>
      </c>
      <c r="K101" t="n">
        <v>0</v>
      </c>
      <c r="L101" t="n">
        <v>39812</v>
      </c>
      <c r="M101" t="n">
        <v>48000</v>
      </c>
      <c r="N101" t="n">
        <v>33</v>
      </c>
      <c r="O101" t="n">
        <v>0.33</v>
      </c>
      <c r="P101" t="n">
        <v>1</v>
      </c>
      <c r="Q101" t="n">
        <v>0.08</v>
      </c>
      <c r="R101" t="n">
        <v>1</v>
      </c>
      <c r="S101" t="n">
        <v>2692.8</v>
      </c>
      <c r="T101" t="n">
        <v>2</v>
      </c>
      <c r="U101" t="n">
        <v>3</v>
      </c>
      <c r="V101" t="n">
        <v>30</v>
      </c>
      <c r="W101" t="n">
        <v>2</v>
      </c>
      <c r="X101" t="n">
        <v>124.777183600713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1360</v>
      </c>
      <c r="AG101" t="n">
        <v>2136</v>
      </c>
      <c r="AH101" t="inlineStr">
        <is>
          <t>CV. SAMUDRA JAYA ABADI - PPN (JMB)</t>
        </is>
      </c>
      <c r="AI101" t="n">
        <v>38</v>
      </c>
      <c r="AJ101" t="inlineStr">
        <is>
          <t>AZARINE</t>
        </is>
      </c>
      <c r="AK101" t="n">
        <v>9</v>
      </c>
      <c r="AL101" t="inlineStr">
        <is>
          <t>Miss Glam Jambi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"8997208072149"</f>
        <v/>
      </c>
      <c r="C102" t="inlineStr">
        <is>
          <t>AZARINE Aha Bha Pha Peeling Serum 20ml</t>
        </is>
      </c>
      <c r="D102" t="inlineStr">
        <is>
          <t>Miss Glam Jambi</t>
        </is>
      </c>
      <c r="E102" t="n">
        <v>1</v>
      </c>
      <c r="F102" t="n">
        <v>0.03</v>
      </c>
      <c r="G102" t="n">
        <v>1</v>
      </c>
      <c r="H102" t="n">
        <v>2</v>
      </c>
      <c r="I102" t="n">
        <v>6</v>
      </c>
      <c r="J102" t="n">
        <v>3</v>
      </c>
      <c r="K102" t="n">
        <v>0</v>
      </c>
      <c r="L102" t="n">
        <v>41650</v>
      </c>
      <c r="M102" t="n">
        <v>49000</v>
      </c>
      <c r="N102" t="n">
        <v>33</v>
      </c>
      <c r="O102" t="n">
        <v>0.33</v>
      </c>
      <c r="P102" t="n">
        <v>0</v>
      </c>
      <c r="Q102" t="n">
        <v>0.03</v>
      </c>
      <c r="R102" t="n">
        <v>1</v>
      </c>
      <c r="S102" t="n">
        <v>1470</v>
      </c>
      <c r="T102" t="n">
        <v>6</v>
      </c>
      <c r="U102" t="n">
        <v>7</v>
      </c>
      <c r="V102" t="n">
        <v>30</v>
      </c>
      <c r="W102" t="n">
        <v>1</v>
      </c>
      <c r="X102" t="n">
        <v>33.33333333333334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1360</v>
      </c>
      <c r="AG102" t="n">
        <v>2136</v>
      </c>
      <c r="AH102" t="inlineStr">
        <is>
          <t>CV. SAMUDRA JAYA ABADI - PPN (JMB)</t>
        </is>
      </c>
      <c r="AI102" t="n">
        <v>38</v>
      </c>
      <c r="AJ102" t="inlineStr">
        <is>
          <t>AZARINE</t>
        </is>
      </c>
      <c r="AK102" t="n">
        <v>9</v>
      </c>
      <c r="AL102" t="inlineStr">
        <is>
          <t>Miss Glam Jambi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"8997208072057"</f>
        <v/>
      </c>
      <c r="C103" t="inlineStr">
        <is>
          <t>AZARINE Blemish Rescue+ Mild Purifying Toner 90ml</t>
        </is>
      </c>
      <c r="D103" t="inlineStr">
        <is>
          <t>Miss Glam Jambi</t>
        </is>
      </c>
      <c r="E103" t="n">
        <v>5</v>
      </c>
      <c r="F103" t="n">
        <v>0.009900000000000001</v>
      </c>
      <c r="G103" t="n">
        <v>0.33</v>
      </c>
      <c r="H103" t="n">
        <v>2</v>
      </c>
      <c r="I103" t="n">
        <v>6</v>
      </c>
      <c r="J103" t="n">
        <v>3</v>
      </c>
      <c r="K103" t="n">
        <v>0</v>
      </c>
      <c r="L103" t="n">
        <v>53544</v>
      </c>
      <c r="M103" t="n">
        <v>68000</v>
      </c>
      <c r="N103" t="n">
        <v>33</v>
      </c>
      <c r="O103" t="n">
        <v>0.33</v>
      </c>
      <c r="P103" t="n">
        <v>1</v>
      </c>
      <c r="Q103" t="n">
        <v>0.07000000000000001</v>
      </c>
      <c r="R103" t="n">
        <v>1</v>
      </c>
      <c r="S103" t="n">
        <v>673.2</v>
      </c>
      <c r="T103" t="n">
        <v>2</v>
      </c>
      <c r="U103" t="n">
        <v>3</v>
      </c>
      <c r="V103" t="n">
        <v>30</v>
      </c>
      <c r="W103" t="n">
        <v>1</v>
      </c>
      <c r="X103" t="n">
        <v>505.050505050505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1360</v>
      </c>
      <c r="AG103" t="n">
        <v>2136</v>
      </c>
      <c r="AH103" t="inlineStr">
        <is>
          <t>CV. SAMUDRA JAYA ABADI - PPN (JMB)</t>
        </is>
      </c>
      <c r="AI103" t="n">
        <v>38</v>
      </c>
      <c r="AJ103" t="inlineStr">
        <is>
          <t>AZARINE</t>
        </is>
      </c>
      <c r="AK103" t="n">
        <v>9</v>
      </c>
      <c r="AL103" t="inlineStr">
        <is>
          <t>Miss Glam Jambi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"8997208072439"</f>
        <v/>
      </c>
      <c r="C104" t="inlineStr">
        <is>
          <t>AZARINE Bodyguard Moisturiser Sunscreen Serum Magical Luv BT21 SPF 50 PA++++ 100ml</t>
        </is>
      </c>
      <c r="D104" t="inlineStr">
        <is>
          <t>Miss Glam Jambi</t>
        </is>
      </c>
      <c r="E104" t="n">
        <v>8</v>
      </c>
      <c r="F104" t="n">
        <v>0.0825</v>
      </c>
      <c r="G104" t="n">
        <v>0.66</v>
      </c>
      <c r="H104" t="n">
        <v>2</v>
      </c>
      <c r="I104" t="n">
        <v>6</v>
      </c>
      <c r="J104" t="n">
        <v>6</v>
      </c>
      <c r="K104" t="n">
        <v>0</v>
      </c>
      <c r="L104" t="n">
        <v>52250</v>
      </c>
      <c r="M104" t="n">
        <v>64000</v>
      </c>
      <c r="N104" t="n">
        <v>33</v>
      </c>
      <c r="O104" t="n">
        <v>0.33</v>
      </c>
      <c r="P104" t="n">
        <v>1</v>
      </c>
      <c r="Q104" t="n">
        <v>0.14</v>
      </c>
      <c r="R104" t="n">
        <v>2</v>
      </c>
      <c r="S104" t="n">
        <v>5280</v>
      </c>
      <c r="T104" t="n">
        <v>4</v>
      </c>
      <c r="U104" t="n">
        <v>5</v>
      </c>
      <c r="V104" t="n">
        <v>30</v>
      </c>
      <c r="W104" t="n">
        <v>3</v>
      </c>
      <c r="X104" t="n">
        <v>96.96969696969697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1360</v>
      </c>
      <c r="AG104" t="n">
        <v>2136</v>
      </c>
      <c r="AH104" t="inlineStr">
        <is>
          <t>CV. SAMUDRA JAYA ABADI - PPN (JMB)</t>
        </is>
      </c>
      <c r="AI104" t="n">
        <v>38</v>
      </c>
      <c r="AJ104" t="inlineStr">
        <is>
          <t>AZARINE</t>
        </is>
      </c>
      <c r="AK104" t="n">
        <v>9</v>
      </c>
      <c r="AL104" t="inlineStr">
        <is>
          <t>Miss Glam Jambi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"8997208072460"</f>
        <v/>
      </c>
      <c r="C105" t="inlineStr">
        <is>
          <t>AZARINE Bodyguard Moisturizer Sunscreen Serum Sweet Treats Baby BT21 Spf 50 PA++++ 100ml</t>
        </is>
      </c>
      <c r="D105" t="inlineStr">
        <is>
          <t>Miss Glam Jambi</t>
        </is>
      </c>
      <c r="E105" t="n">
        <v>7</v>
      </c>
      <c r="F105" t="n">
        <v>0.0165</v>
      </c>
      <c r="G105" t="n">
        <v>0.33</v>
      </c>
      <c r="H105" t="n">
        <v>2</v>
      </c>
      <c r="I105" t="n">
        <v>6</v>
      </c>
      <c r="J105" t="n">
        <v>3</v>
      </c>
      <c r="K105" t="n">
        <v>0</v>
      </c>
      <c r="L105" t="n">
        <v>52116</v>
      </c>
      <c r="M105" t="n">
        <v>64000</v>
      </c>
      <c r="N105" t="n">
        <v>33</v>
      </c>
      <c r="O105" t="n">
        <v>0.33</v>
      </c>
      <c r="P105" t="n">
        <v>1</v>
      </c>
      <c r="Q105" t="n">
        <v>0.05</v>
      </c>
      <c r="R105" t="n">
        <v>1</v>
      </c>
      <c r="S105" t="n">
        <v>1056</v>
      </c>
      <c r="T105" t="n">
        <v>2</v>
      </c>
      <c r="U105" t="n">
        <v>3</v>
      </c>
      <c r="V105" t="n">
        <v>30</v>
      </c>
      <c r="W105" t="n">
        <v>1</v>
      </c>
      <c r="X105" t="n">
        <v>424.2424242424242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1360</v>
      </c>
      <c r="AG105" t="n">
        <v>2136</v>
      </c>
      <c r="AH105" t="inlineStr">
        <is>
          <t>CV. SAMUDRA JAYA ABADI - PPN (JMB)</t>
        </is>
      </c>
      <c r="AI105" t="n">
        <v>38</v>
      </c>
      <c r="AJ105" t="inlineStr">
        <is>
          <t>AZARINE</t>
        </is>
      </c>
      <c r="AK105" t="n">
        <v>9</v>
      </c>
      <c r="AL105" t="inlineStr">
        <is>
          <t>Miss Glam Jambi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"8997208072156"</f>
        <v/>
      </c>
      <c r="C106" t="inlineStr">
        <is>
          <t>AZARINE Brightening C Glow Serum 20ml</t>
        </is>
      </c>
      <c r="D106" t="inlineStr">
        <is>
          <t>Miss Glam Jambi</t>
        </is>
      </c>
      <c r="E106" t="n">
        <v>6</v>
      </c>
      <c r="F106" t="n">
        <v>0.0165</v>
      </c>
      <c r="G106" t="n">
        <v>0.33</v>
      </c>
      <c r="H106" t="n">
        <v>2</v>
      </c>
      <c r="I106" t="n">
        <v>6</v>
      </c>
      <c r="J106" t="n">
        <v>12</v>
      </c>
      <c r="K106" t="n">
        <v>0</v>
      </c>
      <c r="L106" t="n">
        <v>47621</v>
      </c>
      <c r="M106" t="n">
        <v>59000</v>
      </c>
      <c r="N106" t="n">
        <v>33</v>
      </c>
      <c r="O106" t="n">
        <v>0.33</v>
      </c>
      <c r="P106" t="n">
        <v>1</v>
      </c>
      <c r="Q106" t="n">
        <v>0.05</v>
      </c>
      <c r="R106" t="n">
        <v>1</v>
      </c>
      <c r="S106" t="n">
        <v>973.5</v>
      </c>
      <c r="T106" t="n">
        <v>2</v>
      </c>
      <c r="U106" t="n">
        <v>3</v>
      </c>
      <c r="V106" t="n">
        <v>30</v>
      </c>
      <c r="W106" t="n">
        <v>1</v>
      </c>
      <c r="X106" t="n">
        <v>363.6363636363636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1360</v>
      </c>
      <c r="AG106" t="n">
        <v>2136</v>
      </c>
      <c r="AH106" t="inlineStr">
        <is>
          <t>CV. SAMUDRA JAYA ABADI - PPN (JMB)</t>
        </is>
      </c>
      <c r="AI106" t="n">
        <v>38</v>
      </c>
      <c r="AJ106" t="inlineStr">
        <is>
          <t>AZARINE</t>
        </is>
      </c>
      <c r="AK106" t="n">
        <v>9</v>
      </c>
      <c r="AL106" t="inlineStr">
        <is>
          <t>Miss Glam Jambi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"8997208072415"</f>
        <v/>
      </c>
      <c r="C107" t="inlineStr">
        <is>
          <t>AZARINE Brightening Creamy Facial Foam 50gr</t>
        </is>
      </c>
      <c r="D107" t="inlineStr">
        <is>
          <t>Miss Glam Jambi</t>
        </is>
      </c>
      <c r="E107" t="n">
        <v>9</v>
      </c>
      <c r="F107" t="n">
        <v>0.05</v>
      </c>
      <c r="G107" t="n">
        <v>2</v>
      </c>
      <c r="H107" t="n">
        <v>2</v>
      </c>
      <c r="I107" t="n">
        <v>6</v>
      </c>
      <c r="J107" t="n">
        <v>6</v>
      </c>
      <c r="K107" t="n">
        <v>0</v>
      </c>
      <c r="L107" t="n">
        <v>16000</v>
      </c>
      <c r="M107" t="n">
        <v>20000</v>
      </c>
      <c r="N107" t="n">
        <v>33</v>
      </c>
      <c r="O107" t="n">
        <v>0.33</v>
      </c>
      <c r="P107" t="n">
        <v>0</v>
      </c>
      <c r="Q107" t="n">
        <v>0.05</v>
      </c>
      <c r="R107" t="n">
        <v>2</v>
      </c>
      <c r="S107" t="n">
        <v>1000</v>
      </c>
      <c r="T107" t="n">
        <v>12</v>
      </c>
      <c r="U107" t="n">
        <v>13</v>
      </c>
      <c r="V107" t="n">
        <v>30</v>
      </c>
      <c r="W107" t="n">
        <v>2</v>
      </c>
      <c r="X107" t="n">
        <v>180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1360</v>
      </c>
      <c r="AG107" t="n">
        <v>2136</v>
      </c>
      <c r="AH107" t="inlineStr">
        <is>
          <t>CV. SAMUDRA JAYA ABADI - PPN (JMB)</t>
        </is>
      </c>
      <c r="AI107" t="n">
        <v>38</v>
      </c>
      <c r="AJ107" t="inlineStr">
        <is>
          <t>AZARINE</t>
        </is>
      </c>
      <c r="AK107" t="n">
        <v>9</v>
      </c>
      <c r="AL107" t="inlineStr">
        <is>
          <t>Miss Glam Jambi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"101001106215"</f>
        <v/>
      </c>
      <c r="C108" t="inlineStr">
        <is>
          <t>AZARINE Brightening Glowing Cleancer 50ml</t>
        </is>
      </c>
      <c r="D108" t="inlineStr">
        <is>
          <t>Miss Glam Jambi</t>
        </is>
      </c>
      <c r="E108" t="n">
        <v>13</v>
      </c>
      <c r="F108" t="n">
        <v>0.0825</v>
      </c>
      <c r="G108" t="n">
        <v>0.99</v>
      </c>
      <c r="H108" t="n">
        <v>2</v>
      </c>
      <c r="I108" t="n">
        <v>6</v>
      </c>
      <c r="J108" t="n">
        <v>3</v>
      </c>
      <c r="K108" t="n">
        <v>0</v>
      </c>
      <c r="L108" t="n">
        <v>25600</v>
      </c>
      <c r="M108" t="n">
        <v>30000</v>
      </c>
      <c r="N108" t="n">
        <v>33</v>
      </c>
      <c r="O108" t="n">
        <v>0.33</v>
      </c>
      <c r="P108" t="n">
        <v>1</v>
      </c>
      <c r="Q108" t="n">
        <v>0.14</v>
      </c>
      <c r="R108" t="n">
        <v>3</v>
      </c>
      <c r="S108" t="n">
        <v>2475</v>
      </c>
      <c r="T108" t="n">
        <v>6</v>
      </c>
      <c r="U108" t="n">
        <v>7</v>
      </c>
      <c r="V108" t="n">
        <v>30</v>
      </c>
      <c r="W108" t="n">
        <v>3</v>
      </c>
      <c r="X108" t="n">
        <v>157.5757575757576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1360</v>
      </c>
      <c r="AG108" t="n">
        <v>2136</v>
      </c>
      <c r="AH108" t="inlineStr">
        <is>
          <t>CV. SAMUDRA JAYA ABADI - PPN (JMB)</t>
        </is>
      </c>
      <c r="AI108" t="n">
        <v>38</v>
      </c>
      <c r="AJ108" t="inlineStr">
        <is>
          <t>AZARINE</t>
        </is>
      </c>
      <c r="AK108" t="n">
        <v>9</v>
      </c>
      <c r="AL108" t="inlineStr">
        <is>
          <t>Miss Glam Jambi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"8997208072040"</f>
        <v/>
      </c>
      <c r="C109" t="inlineStr">
        <is>
          <t>AZARINE C White Multi-Acids Glowing Toner 90ml</t>
        </is>
      </c>
      <c r="D109" t="inlineStr">
        <is>
          <t>Miss Glam Jambi</t>
        </is>
      </c>
      <c r="E109" t="n">
        <v>5</v>
      </c>
      <c r="F109" t="n">
        <v>0.0165</v>
      </c>
      <c r="G109" t="n">
        <v>0.33</v>
      </c>
      <c r="H109" t="n">
        <v>2</v>
      </c>
      <c r="I109" t="n">
        <v>6</v>
      </c>
      <c r="J109" t="n">
        <v>3</v>
      </c>
      <c r="K109" t="n">
        <v>0</v>
      </c>
      <c r="L109" t="n">
        <v>53942</v>
      </c>
      <c r="M109" t="n">
        <v>68000</v>
      </c>
      <c r="N109" t="n">
        <v>33</v>
      </c>
      <c r="O109" t="n">
        <v>0.33</v>
      </c>
      <c r="P109" t="n">
        <v>1</v>
      </c>
      <c r="Q109" t="n">
        <v>0.03</v>
      </c>
      <c r="R109" t="n">
        <v>1</v>
      </c>
      <c r="S109" t="n">
        <v>1122</v>
      </c>
      <c r="T109" t="n">
        <v>2</v>
      </c>
      <c r="U109" t="n">
        <v>3</v>
      </c>
      <c r="V109" t="n">
        <v>30</v>
      </c>
      <c r="W109" t="n">
        <v>1</v>
      </c>
      <c r="X109" t="n">
        <v>303.030303030303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1360</v>
      </c>
      <c r="AG109" t="n">
        <v>2136</v>
      </c>
      <c r="AH109" t="inlineStr">
        <is>
          <t>CV. SAMUDRA JAYA ABADI - PPN (JMB)</t>
        </is>
      </c>
      <c r="AI109" t="n">
        <v>38</v>
      </c>
      <c r="AJ109" t="inlineStr">
        <is>
          <t>AZARINE</t>
        </is>
      </c>
      <c r="AK109" t="n">
        <v>9</v>
      </c>
      <c r="AL109" t="inlineStr">
        <is>
          <t>Miss Glam Jambi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"8997208071647"</f>
        <v/>
      </c>
      <c r="C110" t="inlineStr">
        <is>
          <t>AZARINE C White Perfect Radiance Night Moisturizer 25gr</t>
        </is>
      </c>
      <c r="D110" t="inlineStr">
        <is>
          <t>Miss Glam Jambi</t>
        </is>
      </c>
      <c r="E110" t="n">
        <v>2</v>
      </c>
      <c r="F110" t="n">
        <v>0.009900000000000001</v>
      </c>
      <c r="G110" t="n">
        <v>0.33</v>
      </c>
      <c r="H110" t="n">
        <v>2</v>
      </c>
      <c r="I110" t="n">
        <v>6</v>
      </c>
      <c r="J110" t="n">
        <v>3</v>
      </c>
      <c r="K110" t="n">
        <v>3</v>
      </c>
      <c r="L110" t="n">
        <v>41800</v>
      </c>
      <c r="M110" t="n">
        <v>55500</v>
      </c>
      <c r="N110" t="n">
        <v>33</v>
      </c>
      <c r="O110" t="n">
        <v>0.33</v>
      </c>
      <c r="P110" t="n">
        <v>1</v>
      </c>
      <c r="Q110" t="n">
        <v>0.07000000000000001</v>
      </c>
      <c r="R110" t="n">
        <v>1</v>
      </c>
      <c r="S110" t="n">
        <v>549.45</v>
      </c>
      <c r="T110" t="n">
        <v>2</v>
      </c>
      <c r="U110" t="n">
        <v>3</v>
      </c>
      <c r="V110" t="n">
        <v>30</v>
      </c>
      <c r="W110" t="n">
        <v>1</v>
      </c>
      <c r="X110" t="n">
        <v>202.020202020202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1360</v>
      </c>
      <c r="AG110" t="n">
        <v>2136</v>
      </c>
      <c r="AH110" t="inlineStr">
        <is>
          <t>CV. SAMUDRA JAYA ABADI - PPN (JMB)</t>
        </is>
      </c>
      <c r="AI110" t="n">
        <v>38</v>
      </c>
      <c r="AJ110" t="inlineStr">
        <is>
          <t>AZARINE</t>
        </is>
      </c>
      <c r="AK110" t="n">
        <v>9</v>
      </c>
      <c r="AL110" t="inlineStr">
        <is>
          <t>Miss Glam Jambi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"8997208071746"</f>
        <v/>
      </c>
      <c r="C111" t="inlineStr">
        <is>
          <t>AZARINE C White Ultra Hydraglow Day Cream Spf 30 25gr</t>
        </is>
      </c>
      <c r="D111" t="inlineStr">
        <is>
          <t>Miss Glam Jambi</t>
        </is>
      </c>
      <c r="E111" t="n">
        <v>1</v>
      </c>
      <c r="F111" t="n">
        <v>0.009900000000000001</v>
      </c>
      <c r="G111" t="n">
        <v>0.33</v>
      </c>
      <c r="H111" t="n">
        <v>2</v>
      </c>
      <c r="I111" t="n">
        <v>6</v>
      </c>
      <c r="J111" t="n">
        <v>3</v>
      </c>
      <c r="K111" t="n">
        <v>3</v>
      </c>
      <c r="L111" t="n">
        <v>41360</v>
      </c>
      <c r="M111" t="n">
        <v>55500</v>
      </c>
      <c r="N111" t="n">
        <v>33</v>
      </c>
      <c r="O111" t="n">
        <v>0.33</v>
      </c>
      <c r="P111" t="n">
        <v>1</v>
      </c>
      <c r="Q111" t="n">
        <v>0.03</v>
      </c>
      <c r="R111" t="n">
        <v>1</v>
      </c>
      <c r="S111" t="n">
        <v>549.45</v>
      </c>
      <c r="T111" t="n">
        <v>2</v>
      </c>
      <c r="U111" t="n">
        <v>3</v>
      </c>
      <c r="V111" t="n">
        <v>30</v>
      </c>
      <c r="W111" t="n">
        <v>1</v>
      </c>
      <c r="X111" t="n">
        <v>101.010101010101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1360</v>
      </c>
      <c r="AG111" t="n">
        <v>2136</v>
      </c>
      <c r="AH111" t="inlineStr">
        <is>
          <t>CV. SAMUDRA JAYA ABADI - PPN (JMB)</t>
        </is>
      </c>
      <c r="AI111" t="n">
        <v>38</v>
      </c>
      <c r="AJ111" t="inlineStr">
        <is>
          <t>AZARINE</t>
        </is>
      </c>
      <c r="AK111" t="n">
        <v>9</v>
      </c>
      <c r="AL111" t="inlineStr">
        <is>
          <t>Miss Glam Jambi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"8997208072590"</f>
        <v/>
      </c>
      <c r="C112" t="inlineStr">
        <is>
          <t>AZARINE Calm My Acne Sunscreen Moisturizer SPF 35 40ml</t>
        </is>
      </c>
      <c r="D112" t="inlineStr">
        <is>
          <t>Miss Glam Jambi</t>
        </is>
      </c>
      <c r="E112" t="n">
        <v>18</v>
      </c>
      <c r="F112" t="n">
        <v>1.8348</v>
      </c>
      <c r="G112" t="n">
        <v>4.62</v>
      </c>
      <c r="H112" t="n">
        <v>2</v>
      </c>
      <c r="I112" t="n">
        <v>6</v>
      </c>
      <c r="J112" t="n">
        <v>3</v>
      </c>
      <c r="K112" t="n">
        <v>37</v>
      </c>
      <c r="L112" t="n">
        <v>27848</v>
      </c>
      <c r="M112" t="n">
        <v>35000</v>
      </c>
      <c r="N112" t="n">
        <v>33</v>
      </c>
      <c r="O112" t="n">
        <v>0.33</v>
      </c>
      <c r="P112" t="n">
        <v>1</v>
      </c>
      <c r="Q112" t="n">
        <v>0.68</v>
      </c>
      <c r="R112" t="n">
        <v>3</v>
      </c>
      <c r="S112" t="n">
        <v>64218</v>
      </c>
      <c r="T112" t="n">
        <v>25</v>
      </c>
      <c r="U112" t="n">
        <v>29</v>
      </c>
      <c r="V112" t="n">
        <v>30</v>
      </c>
      <c r="W112" t="n">
        <v>56</v>
      </c>
      <c r="X112" t="n">
        <v>9.810333551340745</v>
      </c>
      <c r="Y112" t="n">
        <v>1</v>
      </c>
      <c r="Z112" t="n">
        <v>1</v>
      </c>
      <c r="AA112" t="n">
        <v>0</v>
      </c>
      <c r="AB112" t="n">
        <v>1</v>
      </c>
      <c r="AC112" t="n">
        <v>3</v>
      </c>
      <c r="AD112" t="n">
        <v>0</v>
      </c>
      <c r="AE112" t="n">
        <v>83544</v>
      </c>
      <c r="AF112" t="n">
        <v>1360</v>
      </c>
      <c r="AG112" t="n">
        <v>2136</v>
      </c>
      <c r="AH112" t="inlineStr">
        <is>
          <t>CV. SAMUDRA JAYA ABADI - PPN (JMB)</t>
        </is>
      </c>
      <c r="AI112" t="n">
        <v>38</v>
      </c>
      <c r="AJ112" t="inlineStr">
        <is>
          <t>AZARINE</t>
        </is>
      </c>
      <c r="AK112" t="n">
        <v>9</v>
      </c>
      <c r="AL112" t="inlineStr">
        <is>
          <t>Miss Glam Jambi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"8997208072897"</f>
        <v/>
      </c>
      <c r="C113" t="inlineStr">
        <is>
          <t>AZARINE Chic To Cheek Blush 02 Manggo Tango 5,2gr</t>
        </is>
      </c>
      <c r="D113" t="inlineStr">
        <is>
          <t>Miss Glam Jambi</t>
        </is>
      </c>
      <c r="E113" t="n">
        <v>5</v>
      </c>
      <c r="F113" t="n">
        <v>0.03</v>
      </c>
      <c r="G113" t="n">
        <v>1</v>
      </c>
      <c r="H113" t="n">
        <v>2</v>
      </c>
      <c r="I113" t="n">
        <v>6</v>
      </c>
      <c r="J113" t="n">
        <v>3</v>
      </c>
      <c r="K113" t="n">
        <v>0</v>
      </c>
      <c r="L113" t="n">
        <v>44200</v>
      </c>
      <c r="M113" t="n">
        <v>52000</v>
      </c>
      <c r="N113" t="n">
        <v>33</v>
      </c>
      <c r="O113" t="n">
        <v>0.33</v>
      </c>
      <c r="P113" t="n">
        <v>0</v>
      </c>
      <c r="Q113" t="n">
        <v>0.03</v>
      </c>
      <c r="R113" t="n">
        <v>1</v>
      </c>
      <c r="S113" t="n">
        <v>1560</v>
      </c>
      <c r="T113" t="n">
        <v>6</v>
      </c>
      <c r="U113" t="n">
        <v>7</v>
      </c>
      <c r="V113" t="n">
        <v>30</v>
      </c>
      <c r="W113" t="n">
        <v>1</v>
      </c>
      <c r="X113" t="n">
        <v>166.6666666666667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1360</v>
      </c>
      <c r="AG113" t="n">
        <v>2136</v>
      </c>
      <c r="AH113" t="inlineStr">
        <is>
          <t>CV. SAMUDRA JAYA ABADI - PPN (JMB)</t>
        </is>
      </c>
      <c r="AI113" t="n">
        <v>38</v>
      </c>
      <c r="AJ113" t="inlineStr">
        <is>
          <t>AZARINE</t>
        </is>
      </c>
      <c r="AK113" t="n">
        <v>9</v>
      </c>
      <c r="AL113" t="inlineStr">
        <is>
          <t>Miss Glam Jambi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"8997208072606"</f>
        <v/>
      </c>
      <c r="C114" t="inlineStr">
        <is>
          <t>AZARINE Cicamide Barrier Sunscreen Moisturizer SPF 35 PA +++ 40gr</t>
        </is>
      </c>
      <c r="D114" t="inlineStr">
        <is>
          <t>Miss Glam Jambi</t>
        </is>
      </c>
      <c r="E114" t="n">
        <v>38</v>
      </c>
      <c r="F114" t="n">
        <v>1.716</v>
      </c>
      <c r="G114" t="n">
        <v>4.29</v>
      </c>
      <c r="H114" t="n">
        <v>2</v>
      </c>
      <c r="I114" t="n">
        <v>6</v>
      </c>
      <c r="J114" t="n">
        <v>36</v>
      </c>
      <c r="K114" t="n">
        <v>0</v>
      </c>
      <c r="L114" t="n">
        <v>28000</v>
      </c>
      <c r="M114" t="n">
        <v>35000</v>
      </c>
      <c r="N114" t="n">
        <v>33</v>
      </c>
      <c r="O114" t="n">
        <v>0.33</v>
      </c>
      <c r="P114" t="n">
        <v>1</v>
      </c>
      <c r="Q114" t="n">
        <v>0.54</v>
      </c>
      <c r="R114" t="n">
        <v>3</v>
      </c>
      <c r="S114" t="n">
        <v>60060.00000000001</v>
      </c>
      <c r="T114" t="n">
        <v>23</v>
      </c>
      <c r="U114" t="n">
        <v>27</v>
      </c>
      <c r="V114" t="n">
        <v>30</v>
      </c>
      <c r="W114" t="n">
        <v>52</v>
      </c>
      <c r="X114" t="n">
        <v>22.14452214452214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1360</v>
      </c>
      <c r="AG114" t="n">
        <v>2136</v>
      </c>
      <c r="AH114" t="inlineStr">
        <is>
          <t>CV. SAMUDRA JAYA ABADI - PPN (JMB)</t>
        </is>
      </c>
      <c r="AI114" t="n">
        <v>38</v>
      </c>
      <c r="AJ114" t="inlineStr">
        <is>
          <t>AZARINE</t>
        </is>
      </c>
      <c r="AK114" t="n">
        <v>9</v>
      </c>
      <c r="AL114" t="inlineStr">
        <is>
          <t>Miss Glam Jambi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"8997208071807"</f>
        <v/>
      </c>
      <c r="C115" t="inlineStr">
        <is>
          <t>AZARINE City Defense Sun Shield Serum SPF50 PA++++ 100ml</t>
        </is>
      </c>
      <c r="D115" t="inlineStr">
        <is>
          <t>Miss Glam Jambi</t>
        </is>
      </c>
      <c r="E115" t="n">
        <v>5</v>
      </c>
      <c r="F115" t="n">
        <v>0.0396</v>
      </c>
      <c r="G115" t="n">
        <v>0.33</v>
      </c>
      <c r="H115" t="n">
        <v>2</v>
      </c>
      <c r="I115" t="n">
        <v>6</v>
      </c>
      <c r="J115" t="n">
        <v>3</v>
      </c>
      <c r="K115" t="n">
        <v>0</v>
      </c>
      <c r="L115" t="n">
        <v>64330</v>
      </c>
      <c r="M115" t="n">
        <v>75700</v>
      </c>
      <c r="N115" t="n">
        <v>33</v>
      </c>
      <c r="O115" t="n">
        <v>0.33</v>
      </c>
      <c r="P115" t="n">
        <v>1</v>
      </c>
      <c r="Q115" t="n">
        <v>0.07000000000000001</v>
      </c>
      <c r="R115" t="n">
        <v>3</v>
      </c>
      <c r="S115" t="n">
        <v>2997.72</v>
      </c>
      <c r="T115" t="n">
        <v>2</v>
      </c>
      <c r="U115" t="n">
        <v>3</v>
      </c>
      <c r="V115" t="n">
        <v>30</v>
      </c>
      <c r="W115" t="n">
        <v>2</v>
      </c>
      <c r="X115" t="n">
        <v>126.2626262626263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1360</v>
      </c>
      <c r="AG115" t="n">
        <v>2136</v>
      </c>
      <c r="AH115" t="inlineStr">
        <is>
          <t>CV. SAMUDRA JAYA ABADI - PPN (JMB)</t>
        </is>
      </c>
      <c r="AI115" t="n">
        <v>38</v>
      </c>
      <c r="AJ115" t="inlineStr">
        <is>
          <t>AZARINE</t>
        </is>
      </c>
      <c r="AK115" t="n">
        <v>9</v>
      </c>
      <c r="AL115" t="inlineStr">
        <is>
          <t>Miss Glam Jambi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"20100494408"</f>
        <v/>
      </c>
      <c r="C116" t="inlineStr">
        <is>
          <t>AZARINE Covermatte Sunscreen Cushion SPF50+ PA++++ 02 Creme 11gr</t>
        </is>
      </c>
      <c r="D116" t="inlineStr">
        <is>
          <t>Miss Glam Jambi</t>
        </is>
      </c>
      <c r="E116" t="n">
        <v>5</v>
      </c>
      <c r="F116" t="n">
        <v>0.02</v>
      </c>
      <c r="G116" t="n">
        <v>1</v>
      </c>
      <c r="H116" t="n">
        <v>2</v>
      </c>
      <c r="I116" t="n">
        <v>6</v>
      </c>
      <c r="J116" t="n">
        <v>1</v>
      </c>
      <c r="K116" t="n">
        <v>0</v>
      </c>
      <c r="L116" t="n">
        <v>64600</v>
      </c>
      <c r="M116" t="n">
        <v>74500</v>
      </c>
      <c r="N116" t="n">
        <v>33</v>
      </c>
      <c r="O116" t="n">
        <v>0.33</v>
      </c>
      <c r="P116" t="n">
        <v>0</v>
      </c>
      <c r="Q116" t="n">
        <v>0.02</v>
      </c>
      <c r="R116" t="n">
        <v>1</v>
      </c>
      <c r="S116" t="n">
        <v>1490</v>
      </c>
      <c r="T116" t="n">
        <v>6</v>
      </c>
      <c r="U116" t="n">
        <v>7</v>
      </c>
      <c r="V116" t="n">
        <v>30</v>
      </c>
      <c r="W116" t="n">
        <v>1</v>
      </c>
      <c r="X116" t="n">
        <v>250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1360</v>
      </c>
      <c r="AG116" t="n">
        <v>2136</v>
      </c>
      <c r="AH116" t="inlineStr">
        <is>
          <t>CV. SAMUDRA JAYA ABADI - PPN (JMB)</t>
        </is>
      </c>
      <c r="AI116" t="n">
        <v>38</v>
      </c>
      <c r="AJ116" t="inlineStr">
        <is>
          <t>AZARINE</t>
        </is>
      </c>
      <c r="AK116" t="n">
        <v>9</v>
      </c>
      <c r="AL116" t="inlineStr">
        <is>
          <t>Miss Glam Jambi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"8997208072088"</f>
        <v/>
      </c>
      <c r="C117" t="inlineStr">
        <is>
          <t>AZARINE Daily Beginner Exfoliating Toner 90ml</t>
        </is>
      </c>
      <c r="D117" t="inlineStr">
        <is>
          <t>Miss Glam Jambi</t>
        </is>
      </c>
      <c r="E117" t="n">
        <v>4</v>
      </c>
      <c r="F117" t="n">
        <v>0.0165</v>
      </c>
      <c r="G117" t="n">
        <v>0.66</v>
      </c>
      <c r="H117" t="n">
        <v>2</v>
      </c>
      <c r="I117" t="n">
        <v>6</v>
      </c>
      <c r="J117" t="n">
        <v>3</v>
      </c>
      <c r="K117" t="n">
        <v>0</v>
      </c>
      <c r="L117" t="n">
        <v>56793</v>
      </c>
      <c r="M117" t="n">
        <v>68000</v>
      </c>
      <c r="N117" t="n">
        <v>33</v>
      </c>
      <c r="O117" t="n">
        <v>0.33</v>
      </c>
      <c r="P117" t="n">
        <v>1</v>
      </c>
      <c r="Q117" t="n">
        <v>0.02</v>
      </c>
      <c r="R117" t="n">
        <v>0</v>
      </c>
      <c r="S117" t="n">
        <v>1122</v>
      </c>
      <c r="T117" t="n">
        <v>4</v>
      </c>
      <c r="U117" t="n">
        <v>5</v>
      </c>
      <c r="V117" t="n">
        <v>30</v>
      </c>
      <c r="W117" t="n">
        <v>1</v>
      </c>
      <c r="X117" t="n">
        <v>242.4242424242424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1360</v>
      </c>
      <c r="AG117" t="n">
        <v>2136</v>
      </c>
      <c r="AH117" t="inlineStr">
        <is>
          <t>CV. SAMUDRA JAYA ABADI - PPN (JMB)</t>
        </is>
      </c>
      <c r="AI117" t="n">
        <v>38</v>
      </c>
      <c r="AJ117" t="inlineStr">
        <is>
          <t>AZARINE</t>
        </is>
      </c>
      <c r="AK117" t="n">
        <v>9</v>
      </c>
      <c r="AL117" t="inlineStr">
        <is>
          <t>Miss Glam Jambi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"10700339725"</f>
        <v/>
      </c>
      <c r="C118" t="inlineStr">
        <is>
          <t>AZARINE Glowkiss Sunscreen Lip Balm - 01 Sunny Dew 3.5gr</t>
        </is>
      </c>
      <c r="D118" t="inlineStr">
        <is>
          <t>Miss Glam Jambi</t>
        </is>
      </c>
      <c r="E118" t="n">
        <v>5</v>
      </c>
      <c r="F118" t="n">
        <v>0.006600000000000001</v>
      </c>
      <c r="G118" t="n">
        <v>0.33</v>
      </c>
      <c r="H118" t="n">
        <v>2</v>
      </c>
      <c r="I118" t="n">
        <v>6</v>
      </c>
      <c r="J118" t="n">
        <v>1</v>
      </c>
      <c r="K118" t="n">
        <v>0</v>
      </c>
      <c r="L118" t="n">
        <v>55250</v>
      </c>
      <c r="M118" t="n">
        <v>65000</v>
      </c>
      <c r="N118" t="n">
        <v>33</v>
      </c>
      <c r="O118" t="n">
        <v>0.33</v>
      </c>
      <c r="P118" t="n">
        <v>1</v>
      </c>
      <c r="Q118" t="n">
        <v>0.02</v>
      </c>
      <c r="R118" t="n">
        <v>1</v>
      </c>
      <c r="S118" t="n">
        <v>429.0000000000001</v>
      </c>
      <c r="T118" t="n">
        <v>2</v>
      </c>
      <c r="U118" t="n">
        <v>3</v>
      </c>
      <c r="V118" t="n">
        <v>30</v>
      </c>
      <c r="W118" t="n">
        <v>1</v>
      </c>
      <c r="X118" t="n">
        <v>757.5757575757575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1360</v>
      </c>
      <c r="AG118" t="n">
        <v>2136</v>
      </c>
      <c r="AH118" t="inlineStr">
        <is>
          <t>CV. SAMUDRA JAYA ABADI - PPN (JMB)</t>
        </is>
      </c>
      <c r="AI118" t="n">
        <v>38</v>
      </c>
      <c r="AJ118" t="inlineStr">
        <is>
          <t>AZARINE</t>
        </is>
      </c>
      <c r="AK118" t="n">
        <v>9</v>
      </c>
      <c r="AL118" t="inlineStr">
        <is>
          <t>Miss Glam Jambi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"10700340017"</f>
        <v/>
      </c>
      <c r="C119" t="inlineStr">
        <is>
          <t>AZARINE Glowkiss Sunscreen Lip Balm - 04 Rosy Blush 3.5gr</t>
        </is>
      </c>
      <c r="D119" t="inlineStr">
        <is>
          <t>Miss Glam Jambi</t>
        </is>
      </c>
      <c r="E119" t="n">
        <v>3</v>
      </c>
      <c r="F119" t="n">
        <v>0.006600000000000001</v>
      </c>
      <c r="G119" t="n">
        <v>0.33</v>
      </c>
      <c r="H119" t="n">
        <v>2</v>
      </c>
      <c r="I119" t="n">
        <v>6</v>
      </c>
      <c r="J119" t="n">
        <v>1</v>
      </c>
      <c r="K119" t="n">
        <v>6</v>
      </c>
      <c r="L119" t="n">
        <v>52000</v>
      </c>
      <c r="M119" t="n">
        <v>65000</v>
      </c>
      <c r="N119" t="n">
        <v>33</v>
      </c>
      <c r="O119" t="n">
        <v>0.33</v>
      </c>
      <c r="P119" t="n">
        <v>1</v>
      </c>
      <c r="Q119" t="n">
        <v>0.08</v>
      </c>
      <c r="R119" t="n">
        <v>1</v>
      </c>
      <c r="S119" t="n">
        <v>429.0000000000001</v>
      </c>
      <c r="T119" t="n">
        <v>2</v>
      </c>
      <c r="U119" t="n">
        <v>3</v>
      </c>
      <c r="V119" t="n">
        <v>30</v>
      </c>
      <c r="W119" t="n">
        <v>1</v>
      </c>
      <c r="X119" t="n">
        <v>454.5454545454545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1360</v>
      </c>
      <c r="AG119" t="n">
        <v>2136</v>
      </c>
      <c r="AH119" t="inlineStr">
        <is>
          <t>CV. SAMUDRA JAYA ABADI - PPN (JMB)</t>
        </is>
      </c>
      <c r="AI119" t="n">
        <v>38</v>
      </c>
      <c r="AJ119" t="inlineStr">
        <is>
          <t>AZARINE</t>
        </is>
      </c>
      <c r="AK119" t="n">
        <v>9</v>
      </c>
      <c r="AL119" t="inlineStr">
        <is>
          <t>Miss Glam Jambi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"8997208073146"</f>
        <v/>
      </c>
      <c r="C120" t="inlineStr">
        <is>
          <t>AZARINE Hydracool Ceraspray Sunscreen SPF 50++ 50ml</t>
        </is>
      </c>
      <c r="D120" t="inlineStr">
        <is>
          <t>Miss Glam Jambi</t>
        </is>
      </c>
      <c r="E120" t="n">
        <v>0</v>
      </c>
      <c r="F120" t="n">
        <v>0.06</v>
      </c>
      <c r="G120" t="n">
        <v>1</v>
      </c>
      <c r="H120" t="n">
        <v>2</v>
      </c>
      <c r="I120" t="n">
        <v>6</v>
      </c>
      <c r="J120" t="n">
        <v>3</v>
      </c>
      <c r="K120" t="n">
        <v>9</v>
      </c>
      <c r="L120" t="n">
        <v>50151</v>
      </c>
      <c r="M120" t="n">
        <v>59000</v>
      </c>
      <c r="N120" t="n">
        <v>33</v>
      </c>
      <c r="O120" t="n">
        <v>0.33</v>
      </c>
      <c r="P120" t="n">
        <v>0</v>
      </c>
      <c r="Q120" t="n">
        <v>0.06</v>
      </c>
      <c r="R120" t="n">
        <v>1</v>
      </c>
      <c r="S120" t="n">
        <v>3540</v>
      </c>
      <c r="T120" t="n">
        <v>6</v>
      </c>
      <c r="U120" t="n">
        <v>7</v>
      </c>
      <c r="V120" t="n">
        <v>30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1360</v>
      </c>
      <c r="AG120" t="n">
        <v>2136</v>
      </c>
      <c r="AH120" t="inlineStr">
        <is>
          <t>CV. SAMUDRA JAYA ABADI - PPN (JMB)</t>
        </is>
      </c>
      <c r="AI120" t="n">
        <v>38</v>
      </c>
      <c r="AJ120" t="inlineStr">
        <is>
          <t>AZARINE</t>
        </is>
      </c>
      <c r="AK120" t="n">
        <v>9</v>
      </c>
      <c r="AL120" t="inlineStr">
        <is>
          <t>Miss Glam Jambi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"8997208072163"</f>
        <v/>
      </c>
      <c r="C121" t="inlineStr">
        <is>
          <t>AZARINE Hydramax Water Bank Serum 20ml</t>
        </is>
      </c>
      <c r="D121" t="inlineStr">
        <is>
          <t>Miss Glam Jambi</t>
        </is>
      </c>
      <c r="E121" t="n">
        <v>10</v>
      </c>
      <c r="F121" t="n">
        <v>0.006600000000000001</v>
      </c>
      <c r="G121" t="n">
        <v>0.33</v>
      </c>
      <c r="H121" t="n">
        <v>2</v>
      </c>
      <c r="I121" t="n">
        <v>6</v>
      </c>
      <c r="J121" t="n">
        <v>3</v>
      </c>
      <c r="K121" t="n">
        <v>0</v>
      </c>
      <c r="L121" t="n">
        <v>39200</v>
      </c>
      <c r="M121" t="n">
        <v>49000</v>
      </c>
      <c r="N121" t="n">
        <v>33</v>
      </c>
      <c r="O121" t="n">
        <v>0.33</v>
      </c>
      <c r="P121" t="n">
        <v>1</v>
      </c>
      <c r="Q121" t="n">
        <v>0.12</v>
      </c>
      <c r="R121" t="n">
        <v>4</v>
      </c>
      <c r="S121" t="n">
        <v>323.4</v>
      </c>
      <c r="T121" t="n">
        <v>2</v>
      </c>
      <c r="U121" t="n">
        <v>3</v>
      </c>
      <c r="V121" t="n">
        <v>30</v>
      </c>
      <c r="W121" t="n">
        <v>1</v>
      </c>
      <c r="X121" t="n">
        <v>1515.151515151515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1360</v>
      </c>
      <c r="AG121" t="n">
        <v>2136</v>
      </c>
      <c r="AH121" t="inlineStr">
        <is>
          <t>CV. SAMUDRA JAYA ABADI - PPN (JMB)</t>
        </is>
      </c>
      <c r="AI121" t="n">
        <v>38</v>
      </c>
      <c r="AJ121" t="inlineStr">
        <is>
          <t>AZARINE</t>
        </is>
      </c>
      <c r="AK121" t="n">
        <v>9</v>
      </c>
      <c r="AL121" t="inlineStr">
        <is>
          <t>Miss Glam Jambi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"8997208072194"</f>
        <v/>
      </c>
      <c r="C122" t="inlineStr">
        <is>
          <t>AZARINE Hydramax-C Sunscreen Serum SPF 50 PA++++ 40ml</t>
        </is>
      </c>
      <c r="D122" t="inlineStr">
        <is>
          <t>Miss Glam Jambi</t>
        </is>
      </c>
      <c r="E122" t="n">
        <v>18</v>
      </c>
      <c r="F122" t="n">
        <v>1.3992</v>
      </c>
      <c r="G122" t="n">
        <v>3.63</v>
      </c>
      <c r="H122" t="n">
        <v>2</v>
      </c>
      <c r="I122" t="n">
        <v>6</v>
      </c>
      <c r="J122" t="n">
        <v>3</v>
      </c>
      <c r="K122" t="n">
        <v>24</v>
      </c>
      <c r="L122" t="n">
        <v>47201</v>
      </c>
      <c r="M122" t="n">
        <v>59000</v>
      </c>
      <c r="N122" t="n">
        <v>33</v>
      </c>
      <c r="O122" t="n">
        <v>0.33</v>
      </c>
      <c r="P122" t="n">
        <v>1</v>
      </c>
      <c r="Q122" t="n">
        <v>0.8100000000000001</v>
      </c>
      <c r="R122" t="n">
        <v>4</v>
      </c>
      <c r="S122" t="n">
        <v>82552.80000000002</v>
      </c>
      <c r="T122" t="n">
        <v>19</v>
      </c>
      <c r="U122" t="n">
        <v>22</v>
      </c>
      <c r="V122" t="n">
        <v>30</v>
      </c>
      <c r="W122" t="n">
        <v>42</v>
      </c>
      <c r="X122" t="n">
        <v>12.86449399656947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1360</v>
      </c>
      <c r="AG122" t="n">
        <v>2136</v>
      </c>
      <c r="AH122" t="inlineStr">
        <is>
          <t>CV. SAMUDRA JAYA ABADI - PPN (JMB)</t>
        </is>
      </c>
      <c r="AI122" t="n">
        <v>38</v>
      </c>
      <c r="AJ122" t="inlineStr">
        <is>
          <t>AZARINE</t>
        </is>
      </c>
      <c r="AK122" t="n">
        <v>9</v>
      </c>
      <c r="AL122" t="inlineStr">
        <is>
          <t>Miss Glam Jambi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"10400404443"</f>
        <v/>
      </c>
      <c r="C123" t="inlineStr">
        <is>
          <t>AZARINE Hydrasoothe Sunscreen Gel SPF 45 PA++++ 100ml</t>
        </is>
      </c>
      <c r="D123" t="inlineStr">
        <is>
          <t>Miss Glam Jambi</t>
        </is>
      </c>
      <c r="E123" t="n">
        <v>15</v>
      </c>
      <c r="F123" t="n">
        <v>0.3795</v>
      </c>
      <c r="G123" t="n">
        <v>1.65</v>
      </c>
      <c r="H123" t="n">
        <v>2</v>
      </c>
      <c r="I123" t="n">
        <v>6</v>
      </c>
      <c r="J123" t="n">
        <v>3</v>
      </c>
      <c r="K123" t="n">
        <v>0</v>
      </c>
      <c r="L123" t="n">
        <v>92000</v>
      </c>
      <c r="M123" t="n">
        <v>115000</v>
      </c>
      <c r="N123" t="n">
        <v>33</v>
      </c>
      <c r="O123" t="n">
        <v>0.33</v>
      </c>
      <c r="P123" t="n">
        <v>1</v>
      </c>
      <c r="Q123" t="n">
        <v>0.27</v>
      </c>
      <c r="R123" t="n">
        <v>3</v>
      </c>
      <c r="S123" t="n">
        <v>43642.5</v>
      </c>
      <c r="T123" t="n">
        <v>10</v>
      </c>
      <c r="U123" t="n">
        <v>11</v>
      </c>
      <c r="V123" t="n">
        <v>30</v>
      </c>
      <c r="W123" t="n">
        <v>12</v>
      </c>
      <c r="X123" t="n">
        <v>39.52569169960474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1360</v>
      </c>
      <c r="AG123" t="n">
        <v>2136</v>
      </c>
      <c r="AH123" t="inlineStr">
        <is>
          <t>CV. SAMUDRA JAYA ABADI - PPN (JMB)</t>
        </is>
      </c>
      <c r="AI123" t="n">
        <v>38</v>
      </c>
      <c r="AJ123" t="inlineStr">
        <is>
          <t>AZARINE</t>
        </is>
      </c>
      <c r="AK123" t="n">
        <v>9</v>
      </c>
      <c r="AL123" t="inlineStr">
        <is>
          <t>Miss Glam Jambi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"8997208072361"</f>
        <v/>
      </c>
      <c r="C124" t="inlineStr">
        <is>
          <t>AZARINE Hydrasoothe Sunscreen Gel Spf 45 PA++++ 30ml</t>
        </is>
      </c>
      <c r="D124" t="inlineStr">
        <is>
          <t>Miss Glam Jambi</t>
        </is>
      </c>
      <c r="E124" t="n">
        <v>46</v>
      </c>
      <c r="F124" t="n">
        <v>1.2474</v>
      </c>
      <c r="G124" t="n">
        <v>2.97</v>
      </c>
      <c r="H124" t="n">
        <v>2</v>
      </c>
      <c r="I124" t="n">
        <v>6</v>
      </c>
      <c r="J124" t="n">
        <v>36</v>
      </c>
      <c r="K124" t="n">
        <v>0</v>
      </c>
      <c r="L124" t="n">
        <v>31222</v>
      </c>
      <c r="M124" t="n">
        <v>39000</v>
      </c>
      <c r="N124" t="n">
        <v>33</v>
      </c>
      <c r="O124" t="n">
        <v>0.33</v>
      </c>
      <c r="P124" t="n">
        <v>1</v>
      </c>
      <c r="Q124" t="n">
        <v>1.17</v>
      </c>
      <c r="R124" t="n">
        <v>6</v>
      </c>
      <c r="S124" t="n">
        <v>48648.60000000001</v>
      </c>
      <c r="T124" t="n">
        <v>16</v>
      </c>
      <c r="U124" t="n">
        <v>19</v>
      </c>
      <c r="V124" t="n">
        <v>30</v>
      </c>
      <c r="W124" t="n">
        <v>38</v>
      </c>
      <c r="X124" t="n">
        <v>36.8767035433702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1360</v>
      </c>
      <c r="AG124" t="n">
        <v>2136</v>
      </c>
      <c r="AH124" t="inlineStr">
        <is>
          <t>CV. SAMUDRA JAYA ABADI - PPN (JMB)</t>
        </is>
      </c>
      <c r="AI124" t="n">
        <v>38</v>
      </c>
      <c r="AJ124" t="inlineStr">
        <is>
          <t>AZARINE</t>
        </is>
      </c>
      <c r="AK124" t="n">
        <v>9</v>
      </c>
      <c r="AL124" t="inlineStr">
        <is>
          <t>Miss Glam Jambi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"8997208071791"</f>
        <v/>
      </c>
      <c r="C125" t="inlineStr">
        <is>
          <t>AZARINE Hydrasoothe Sunscreen Gel SPF 45 PA++++ 50ml</t>
        </is>
      </c>
      <c r="D125" t="inlineStr">
        <is>
          <t>Miss Glam Jambi</t>
        </is>
      </c>
      <c r="E125" t="n">
        <v>16</v>
      </c>
      <c r="F125" t="n">
        <v>2.7423</v>
      </c>
      <c r="G125" t="n">
        <v>6.27</v>
      </c>
      <c r="H125" t="n">
        <v>2</v>
      </c>
      <c r="I125" t="n">
        <v>6</v>
      </c>
      <c r="J125" t="n">
        <v>3</v>
      </c>
      <c r="K125" t="n">
        <v>67</v>
      </c>
      <c r="L125" t="n">
        <v>47375</v>
      </c>
      <c r="M125" t="n">
        <v>59000</v>
      </c>
      <c r="N125" t="n">
        <v>33</v>
      </c>
      <c r="O125" t="n">
        <v>0.33</v>
      </c>
      <c r="P125" t="n">
        <v>1</v>
      </c>
      <c r="Q125" t="n">
        <v>0.68</v>
      </c>
      <c r="R125" t="n">
        <v>3</v>
      </c>
      <c r="S125" t="n">
        <v>161795.7</v>
      </c>
      <c r="T125" t="n">
        <v>33</v>
      </c>
      <c r="U125" t="n">
        <v>39</v>
      </c>
      <c r="V125" t="n">
        <v>30</v>
      </c>
      <c r="W125" t="n">
        <v>83</v>
      </c>
      <c r="X125" t="n">
        <v>5.834518469897531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1360</v>
      </c>
      <c r="AG125" t="n">
        <v>2136</v>
      </c>
      <c r="AH125" t="inlineStr">
        <is>
          <t>CV. SAMUDRA JAYA ABADI - PPN (JMB)</t>
        </is>
      </c>
      <c r="AI125" t="n">
        <v>38</v>
      </c>
      <c r="AJ125" t="inlineStr">
        <is>
          <t>AZARINE</t>
        </is>
      </c>
      <c r="AK125" t="n">
        <v>9</v>
      </c>
      <c r="AL125" t="inlineStr">
        <is>
          <t>Miss Glam Jambi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"8997208073108"</f>
        <v/>
      </c>
      <c r="C126" t="inlineStr">
        <is>
          <t>AZARINE Intense Luminous Barrier Moisturizer 30gr</t>
        </is>
      </c>
      <c r="D126" t="inlineStr">
        <is>
          <t>Miss Glam Jambi</t>
        </is>
      </c>
      <c r="E126" t="n">
        <v>4</v>
      </c>
      <c r="F126" t="n">
        <v>0.1188</v>
      </c>
      <c r="G126" t="n">
        <v>0.99</v>
      </c>
      <c r="H126" t="n">
        <v>2</v>
      </c>
      <c r="I126" t="n">
        <v>6</v>
      </c>
      <c r="J126" t="n">
        <v>3</v>
      </c>
      <c r="K126" t="n">
        <v>3</v>
      </c>
      <c r="L126" t="n">
        <v>40425</v>
      </c>
      <c r="M126" t="n">
        <v>49000</v>
      </c>
      <c r="N126" t="n">
        <v>33</v>
      </c>
      <c r="O126" t="n">
        <v>0.33</v>
      </c>
      <c r="P126" t="n">
        <v>1</v>
      </c>
      <c r="Q126" t="n">
        <v>0.1</v>
      </c>
      <c r="R126" t="n">
        <v>1</v>
      </c>
      <c r="S126" t="n">
        <v>5821.2</v>
      </c>
      <c r="T126" t="n">
        <v>6</v>
      </c>
      <c r="U126" t="n">
        <v>7</v>
      </c>
      <c r="V126" t="n">
        <v>30</v>
      </c>
      <c r="W126" t="n">
        <v>4</v>
      </c>
      <c r="X126" t="n">
        <v>33.67003367003367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1360</v>
      </c>
      <c r="AG126" t="n">
        <v>2136</v>
      </c>
      <c r="AH126" t="inlineStr">
        <is>
          <t>CV. SAMUDRA JAYA ABADI - PPN (JMB)</t>
        </is>
      </c>
      <c r="AI126" t="n">
        <v>38</v>
      </c>
      <c r="AJ126" t="inlineStr">
        <is>
          <t>AZARINE</t>
        </is>
      </c>
      <c r="AK126" t="n">
        <v>9</v>
      </c>
      <c r="AL126" t="inlineStr">
        <is>
          <t>Miss Glam Jambi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"10400311153"</f>
        <v/>
      </c>
      <c r="C127" t="inlineStr">
        <is>
          <t>AZARINE Invisipore Primer Sunscreen SPF 50 PA++++ 30gr</t>
        </is>
      </c>
      <c r="D127" t="inlineStr">
        <is>
          <t>Miss Glam Jambi</t>
        </is>
      </c>
      <c r="E127" t="n">
        <v>5</v>
      </c>
      <c r="F127" t="n">
        <v>0.009900000000000001</v>
      </c>
      <c r="G127" t="n">
        <v>0.33</v>
      </c>
      <c r="H127" t="n">
        <v>2</v>
      </c>
      <c r="I127" t="n">
        <v>6</v>
      </c>
      <c r="J127" t="n">
        <v>1</v>
      </c>
      <c r="K127" t="n">
        <v>0</v>
      </c>
      <c r="L127" t="n">
        <v>52000</v>
      </c>
      <c r="M127" t="n">
        <v>63000</v>
      </c>
      <c r="N127" t="n">
        <v>33</v>
      </c>
      <c r="O127" t="n">
        <v>0.33</v>
      </c>
      <c r="P127" t="n">
        <v>1</v>
      </c>
      <c r="Q127" t="n">
        <v>0.02</v>
      </c>
      <c r="R127" t="n">
        <v>1</v>
      </c>
      <c r="S127" t="n">
        <v>623.7</v>
      </c>
      <c r="T127" t="n">
        <v>2</v>
      </c>
      <c r="U127" t="n">
        <v>3</v>
      </c>
      <c r="V127" t="n">
        <v>30</v>
      </c>
      <c r="W127" t="n">
        <v>1</v>
      </c>
      <c r="X127" t="n">
        <v>505.050505050505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1360</v>
      </c>
      <c r="AG127" t="n">
        <v>2136</v>
      </c>
      <c r="AH127" t="inlineStr">
        <is>
          <t>CV. SAMUDRA JAYA ABADI - PPN (JMB)</t>
        </is>
      </c>
      <c r="AI127" t="n">
        <v>38</v>
      </c>
      <c r="AJ127" t="inlineStr">
        <is>
          <t>AZARINE</t>
        </is>
      </c>
      <c r="AK127" t="n">
        <v>9</v>
      </c>
      <c r="AL127" t="inlineStr">
        <is>
          <t>Miss Glam Jambi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"8997208074259"</f>
        <v/>
      </c>
      <c r="C128" t="inlineStr">
        <is>
          <t>AZARINE It's So Perfect Powder Foundation 120 Cheese 8gr</t>
        </is>
      </c>
      <c r="D128" t="inlineStr">
        <is>
          <t>Miss Glam Jambi</t>
        </is>
      </c>
      <c r="E128" t="n">
        <v>2</v>
      </c>
      <c r="F128" t="n">
        <v>0.006600000000000001</v>
      </c>
      <c r="G128" t="n">
        <v>0.33</v>
      </c>
      <c r="H128" t="n">
        <v>2</v>
      </c>
      <c r="I128" t="n">
        <v>6</v>
      </c>
      <c r="J128" t="n">
        <v>3</v>
      </c>
      <c r="K128" t="n">
        <v>0</v>
      </c>
      <c r="L128" t="n">
        <v>63769</v>
      </c>
      <c r="M128" t="n">
        <v>73000</v>
      </c>
      <c r="N128" t="n">
        <v>33</v>
      </c>
      <c r="O128" t="n">
        <v>0.33</v>
      </c>
      <c r="P128" t="n">
        <v>1</v>
      </c>
      <c r="Q128" t="n">
        <v>0.02</v>
      </c>
      <c r="R128" t="n">
        <v>1</v>
      </c>
      <c r="S128" t="n">
        <v>481.8000000000001</v>
      </c>
      <c r="T128" t="n">
        <v>2</v>
      </c>
      <c r="U128" t="n">
        <v>3</v>
      </c>
      <c r="V128" t="n">
        <v>30</v>
      </c>
      <c r="W128" t="n">
        <v>1</v>
      </c>
      <c r="X128" t="n">
        <v>303.030303030303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1360</v>
      </c>
      <c r="AG128" t="n">
        <v>2136</v>
      </c>
      <c r="AH128" t="inlineStr">
        <is>
          <t>CV. SAMUDRA JAYA ABADI - PPN (JMB)</t>
        </is>
      </c>
      <c r="AI128" t="n">
        <v>38</v>
      </c>
      <c r="AJ128" t="inlineStr">
        <is>
          <t>AZARINE</t>
        </is>
      </c>
      <c r="AK128" t="n">
        <v>9</v>
      </c>
      <c r="AL128" t="inlineStr">
        <is>
          <t>Miss Glam Jambi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"8997208074266"</f>
        <v/>
      </c>
      <c r="C129" t="inlineStr">
        <is>
          <t>AZARINE It's So Perfect Powder Foundation 210 Almond 8gr</t>
        </is>
      </c>
      <c r="D129" t="inlineStr">
        <is>
          <t>Miss Glam Jambi</t>
        </is>
      </c>
      <c r="E129" t="n">
        <v>5</v>
      </c>
      <c r="F129" t="n">
        <v>0.006600000000000001</v>
      </c>
      <c r="G129" t="n">
        <v>0.33</v>
      </c>
      <c r="H129" t="n">
        <v>2</v>
      </c>
      <c r="I129" t="n">
        <v>6</v>
      </c>
      <c r="J129" t="n">
        <v>3</v>
      </c>
      <c r="K129" t="n">
        <v>0</v>
      </c>
      <c r="L129" t="n">
        <v>63765</v>
      </c>
      <c r="M129" t="n">
        <v>73000</v>
      </c>
      <c r="N129" t="n">
        <v>33</v>
      </c>
      <c r="O129" t="n">
        <v>0.33</v>
      </c>
      <c r="P129" t="n">
        <v>1</v>
      </c>
      <c r="Q129" t="n">
        <v>0.03</v>
      </c>
      <c r="R129" t="n">
        <v>1</v>
      </c>
      <c r="S129" t="n">
        <v>481.8000000000001</v>
      </c>
      <c r="T129" t="n">
        <v>2</v>
      </c>
      <c r="U129" t="n">
        <v>3</v>
      </c>
      <c r="V129" t="n">
        <v>30</v>
      </c>
      <c r="W129" t="n">
        <v>1</v>
      </c>
      <c r="X129" t="n">
        <v>757.5757575757575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1360</v>
      </c>
      <c r="AG129" t="n">
        <v>2136</v>
      </c>
      <c r="AH129" t="inlineStr">
        <is>
          <t>CV. SAMUDRA JAYA ABADI - PPN (JMB)</t>
        </is>
      </c>
      <c r="AI129" t="n">
        <v>38</v>
      </c>
      <c r="AJ129" t="inlineStr">
        <is>
          <t>AZARINE</t>
        </is>
      </c>
      <c r="AK129" t="n">
        <v>9</v>
      </c>
      <c r="AL129" t="inlineStr">
        <is>
          <t>Miss Glam Jambi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"8997208074273"</f>
        <v/>
      </c>
      <c r="C130" t="inlineStr">
        <is>
          <t>AZARINE It's So Perfect Powder Foundation 220 Ginger 8gr</t>
        </is>
      </c>
      <c r="D130" t="inlineStr">
        <is>
          <t>Miss Glam Jambi</t>
        </is>
      </c>
      <c r="E130" t="n">
        <v>3</v>
      </c>
      <c r="F130" t="n">
        <v>0.0165</v>
      </c>
      <c r="G130" t="n">
        <v>0.33</v>
      </c>
      <c r="H130" t="n">
        <v>2</v>
      </c>
      <c r="I130" t="n">
        <v>6</v>
      </c>
      <c r="J130" t="n">
        <v>3</v>
      </c>
      <c r="K130" t="n">
        <v>0</v>
      </c>
      <c r="L130" t="n">
        <v>63750</v>
      </c>
      <c r="M130" t="n">
        <v>73000</v>
      </c>
      <c r="N130" t="n">
        <v>33</v>
      </c>
      <c r="O130" t="n">
        <v>0.33</v>
      </c>
      <c r="P130" t="n">
        <v>1</v>
      </c>
      <c r="Q130" t="n">
        <v>0.02</v>
      </c>
      <c r="R130" t="n">
        <v>1</v>
      </c>
      <c r="S130" t="n">
        <v>1204.5</v>
      </c>
      <c r="T130" t="n">
        <v>2</v>
      </c>
      <c r="U130" t="n">
        <v>3</v>
      </c>
      <c r="V130" t="n">
        <v>30</v>
      </c>
      <c r="W130" t="n">
        <v>1</v>
      </c>
      <c r="X130" t="n">
        <v>181.8181818181818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1360</v>
      </c>
      <c r="AG130" t="n">
        <v>2136</v>
      </c>
      <c r="AH130" t="inlineStr">
        <is>
          <t>CV. SAMUDRA JAYA ABADI - PPN (JMB)</t>
        </is>
      </c>
      <c r="AI130" t="n">
        <v>38</v>
      </c>
      <c r="AJ130" t="inlineStr">
        <is>
          <t>AZARINE</t>
        </is>
      </c>
      <c r="AK130" t="n">
        <v>9</v>
      </c>
      <c r="AL130" t="inlineStr">
        <is>
          <t>Miss Glam Jambi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"8997208074280"</f>
        <v/>
      </c>
      <c r="C131" t="inlineStr">
        <is>
          <t>AZARINE It's So Perfect Powder Foundation 310 Chesnut 8gr</t>
        </is>
      </c>
      <c r="D131" t="inlineStr">
        <is>
          <t>Miss Glam Jambi</t>
        </is>
      </c>
      <c r="E131" t="n">
        <v>2</v>
      </c>
      <c r="F131" t="n">
        <v>0.02</v>
      </c>
      <c r="G131" t="n">
        <v>1</v>
      </c>
      <c r="H131" t="n">
        <v>2</v>
      </c>
      <c r="I131" t="n">
        <v>6</v>
      </c>
      <c r="J131" t="n">
        <v>3</v>
      </c>
      <c r="K131" t="n">
        <v>0</v>
      </c>
      <c r="L131" t="n">
        <v>63750</v>
      </c>
      <c r="M131" t="n">
        <v>73000</v>
      </c>
      <c r="N131" t="n">
        <v>33</v>
      </c>
      <c r="O131" t="n">
        <v>0.33</v>
      </c>
      <c r="P131" t="n">
        <v>0</v>
      </c>
      <c r="Q131" t="n">
        <v>0.02</v>
      </c>
      <c r="R131" t="n">
        <v>1</v>
      </c>
      <c r="S131" t="n">
        <v>1460</v>
      </c>
      <c r="T131" t="n">
        <v>6</v>
      </c>
      <c r="U131" t="n">
        <v>7</v>
      </c>
      <c r="V131" t="n">
        <v>30</v>
      </c>
      <c r="W131" t="n">
        <v>1</v>
      </c>
      <c r="X131" t="n">
        <v>100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1360</v>
      </c>
      <c r="AG131" t="n">
        <v>2136</v>
      </c>
      <c r="AH131" t="inlineStr">
        <is>
          <t>CV. SAMUDRA JAYA ABADI - PPN (JMB)</t>
        </is>
      </c>
      <c r="AI131" t="n">
        <v>38</v>
      </c>
      <c r="AJ131" t="inlineStr">
        <is>
          <t>AZARINE</t>
        </is>
      </c>
      <c r="AK131" t="n">
        <v>9</v>
      </c>
      <c r="AL131" t="inlineStr">
        <is>
          <t>Miss Glam Jambi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"8997208074174"</f>
        <v/>
      </c>
      <c r="C132" t="inlineStr">
        <is>
          <t>AZARINE Kids Fun In The Sun SPF 40 PA+++ 40ml</t>
        </is>
      </c>
      <c r="D132" t="inlineStr">
        <is>
          <t>Miss Glam Jambi</t>
        </is>
      </c>
      <c r="E132" t="n">
        <v>0</v>
      </c>
      <c r="F132" t="n">
        <v>0.08910000000000001</v>
      </c>
      <c r="G132" t="n">
        <v>0.66</v>
      </c>
      <c r="H132" t="n">
        <v>2</v>
      </c>
      <c r="I132" t="n">
        <v>6</v>
      </c>
      <c r="J132" t="n">
        <v>3</v>
      </c>
      <c r="K132" t="n">
        <v>15</v>
      </c>
      <c r="L132" t="n">
        <v>71200</v>
      </c>
      <c r="M132" t="n">
        <v>89000</v>
      </c>
      <c r="N132" t="n">
        <v>33</v>
      </c>
      <c r="O132" t="n">
        <v>0.33</v>
      </c>
      <c r="P132" t="n">
        <v>1</v>
      </c>
      <c r="Q132" t="n">
        <v>0.21</v>
      </c>
      <c r="R132" t="n">
        <v>2</v>
      </c>
      <c r="S132" t="n">
        <v>7929.900000000001</v>
      </c>
      <c r="T132" t="n">
        <v>4</v>
      </c>
      <c r="U132" t="n">
        <v>5</v>
      </c>
      <c r="V132" t="n">
        <v>30</v>
      </c>
      <c r="W132" t="n">
        <v>3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1360</v>
      </c>
      <c r="AG132" t="n">
        <v>2136</v>
      </c>
      <c r="AH132" t="inlineStr">
        <is>
          <t>CV. SAMUDRA JAYA ABADI - PPN (JMB)</t>
        </is>
      </c>
      <c r="AI132" t="n">
        <v>38</v>
      </c>
      <c r="AJ132" t="inlineStr">
        <is>
          <t>AZARINE</t>
        </is>
      </c>
      <c r="AK132" t="n">
        <v>9</v>
      </c>
      <c r="AL132" t="inlineStr">
        <is>
          <t>Miss Glam Jambi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"20300199123"</f>
        <v/>
      </c>
      <c r="C133" t="inlineStr">
        <is>
          <t>AZARINE Mattelite Lock Lipstick – 01 Stardust</t>
        </is>
      </c>
      <c r="D133" t="inlineStr">
        <is>
          <t>Miss Glam Jambi</t>
        </is>
      </c>
      <c r="E133" t="n">
        <v>3</v>
      </c>
      <c r="F133" t="n">
        <v>0.006600000000000001</v>
      </c>
      <c r="G133" t="n">
        <v>0.33</v>
      </c>
      <c r="H133" t="n">
        <v>2</v>
      </c>
      <c r="I133" t="n">
        <v>6</v>
      </c>
      <c r="J133" t="n">
        <v>1</v>
      </c>
      <c r="K133" t="n">
        <v>0</v>
      </c>
      <c r="L133" t="n">
        <v>50151</v>
      </c>
      <c r="M133" t="n">
        <v>59000</v>
      </c>
      <c r="N133" t="n">
        <v>33</v>
      </c>
      <c r="O133" t="n">
        <v>0.33</v>
      </c>
      <c r="P133" t="n">
        <v>1</v>
      </c>
      <c r="Q133" t="n">
        <v>0.05</v>
      </c>
      <c r="R133" t="n">
        <v>1</v>
      </c>
      <c r="S133" t="n">
        <v>389.4</v>
      </c>
      <c r="T133" t="n">
        <v>2</v>
      </c>
      <c r="U133" t="n">
        <v>3</v>
      </c>
      <c r="V133" t="n">
        <v>30</v>
      </c>
      <c r="W133" t="n">
        <v>1</v>
      </c>
      <c r="X133" t="n">
        <v>454.5454545454545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1360</v>
      </c>
      <c r="AG133" t="n">
        <v>2136</v>
      </c>
      <c r="AH133" t="inlineStr">
        <is>
          <t>CV. SAMUDRA JAYA ABADI - PPN (JMB)</t>
        </is>
      </c>
      <c r="AI133" t="n">
        <v>38</v>
      </c>
      <c r="AJ133" t="inlineStr">
        <is>
          <t>AZARINE</t>
        </is>
      </c>
      <c r="AK133" t="n">
        <v>9</v>
      </c>
      <c r="AL133" t="inlineStr">
        <is>
          <t>Miss Glam Jambi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"20300199214"</f>
        <v/>
      </c>
      <c r="C134" t="inlineStr">
        <is>
          <t>AZARINE Mattelite Lock Lipstick – 02 Orion</t>
        </is>
      </c>
      <c r="D134" t="inlineStr">
        <is>
          <t>Miss Glam Jambi</t>
        </is>
      </c>
      <c r="E134" t="n">
        <v>7</v>
      </c>
      <c r="F134" t="n">
        <v>0.006600000000000001</v>
      </c>
      <c r="G134" t="n">
        <v>0.33</v>
      </c>
      <c r="H134" t="n">
        <v>2</v>
      </c>
      <c r="I134" t="n">
        <v>6</v>
      </c>
      <c r="J134" t="n">
        <v>1</v>
      </c>
      <c r="K134" t="n">
        <v>0</v>
      </c>
      <c r="L134" t="n">
        <v>45599</v>
      </c>
      <c r="M134" t="n">
        <v>59000</v>
      </c>
      <c r="N134" t="n">
        <v>33</v>
      </c>
      <c r="O134" t="n">
        <v>0.33</v>
      </c>
      <c r="P134" t="n">
        <v>1</v>
      </c>
      <c r="Q134" t="n">
        <v>0.07000000000000001</v>
      </c>
      <c r="R134" t="n">
        <v>2</v>
      </c>
      <c r="S134" t="n">
        <v>389.4</v>
      </c>
      <c r="T134" t="n">
        <v>2</v>
      </c>
      <c r="U134" t="n">
        <v>3</v>
      </c>
      <c r="V134" t="n">
        <v>30</v>
      </c>
      <c r="W134" t="n">
        <v>1</v>
      </c>
      <c r="X134" t="n">
        <v>1060.606060606061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1360</v>
      </c>
      <c r="AG134" t="n">
        <v>2136</v>
      </c>
      <c r="AH134" t="inlineStr">
        <is>
          <t>CV. SAMUDRA JAYA ABADI - PPN (JMB)</t>
        </is>
      </c>
      <c r="AI134" t="n">
        <v>38</v>
      </c>
      <c r="AJ134" t="inlineStr">
        <is>
          <t>AZARINE</t>
        </is>
      </c>
      <c r="AK134" t="n">
        <v>9</v>
      </c>
      <c r="AL134" t="inlineStr">
        <is>
          <t>Miss Glam Jambi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"203001100103"</f>
        <v/>
      </c>
      <c r="C135" t="inlineStr">
        <is>
          <t>AZARINE Mattelite Lock Lipstick – 11 Eclipse</t>
        </is>
      </c>
      <c r="D135" t="inlineStr">
        <is>
          <t>Miss Glam Jambi</t>
        </is>
      </c>
      <c r="E135" t="n">
        <v>3</v>
      </c>
      <c r="F135" t="n">
        <v>0.009900000000000001</v>
      </c>
      <c r="G135" t="n">
        <v>0.33</v>
      </c>
      <c r="H135" t="n">
        <v>2</v>
      </c>
      <c r="I135" t="n">
        <v>6</v>
      </c>
      <c r="J135" t="n">
        <v>1</v>
      </c>
      <c r="K135" t="n">
        <v>0</v>
      </c>
      <c r="L135" t="n">
        <v>50151</v>
      </c>
      <c r="M135" t="n">
        <v>59000</v>
      </c>
      <c r="N135" t="n">
        <v>33</v>
      </c>
      <c r="O135" t="n">
        <v>0.33</v>
      </c>
      <c r="P135" t="n">
        <v>1</v>
      </c>
      <c r="Q135" t="n">
        <v>0.05</v>
      </c>
      <c r="R135" t="n">
        <v>1</v>
      </c>
      <c r="S135" t="n">
        <v>584.1</v>
      </c>
      <c r="T135" t="n">
        <v>2</v>
      </c>
      <c r="U135" t="n">
        <v>3</v>
      </c>
      <c r="V135" t="n">
        <v>30</v>
      </c>
      <c r="W135" t="n">
        <v>1</v>
      </c>
      <c r="X135" t="n">
        <v>303.030303030303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1360</v>
      </c>
      <c r="AG135" t="n">
        <v>2136</v>
      </c>
      <c r="AH135" t="inlineStr">
        <is>
          <t>CV. SAMUDRA JAYA ABADI - PPN (JMB)</t>
        </is>
      </c>
      <c r="AI135" t="n">
        <v>38</v>
      </c>
      <c r="AJ135" t="inlineStr">
        <is>
          <t>AZARINE</t>
        </is>
      </c>
      <c r="AK135" t="n">
        <v>9</v>
      </c>
      <c r="AL135" t="inlineStr">
        <is>
          <t>Miss Glam Jambi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"203001100260"</f>
        <v/>
      </c>
      <c r="C136" t="inlineStr">
        <is>
          <t>AZARINE Mattelite Lock Lipstick – 12 Artemis</t>
        </is>
      </c>
      <c r="D136" t="inlineStr">
        <is>
          <t>Miss Glam Jambi</t>
        </is>
      </c>
      <c r="E136" t="n">
        <v>4</v>
      </c>
      <c r="F136" t="n">
        <v>0.0165</v>
      </c>
      <c r="G136" t="n">
        <v>0.33</v>
      </c>
      <c r="H136" t="n">
        <v>2</v>
      </c>
      <c r="I136" t="n">
        <v>6</v>
      </c>
      <c r="J136" t="n">
        <v>1</v>
      </c>
      <c r="K136" t="n">
        <v>3</v>
      </c>
      <c r="L136" t="n">
        <v>50151</v>
      </c>
      <c r="M136" t="n">
        <v>59000</v>
      </c>
      <c r="N136" t="n">
        <v>33</v>
      </c>
      <c r="O136" t="n">
        <v>0.33</v>
      </c>
      <c r="P136" t="n">
        <v>1</v>
      </c>
      <c r="Q136" t="n">
        <v>0.07000000000000001</v>
      </c>
      <c r="R136" t="n">
        <v>1</v>
      </c>
      <c r="S136" t="n">
        <v>973.5</v>
      </c>
      <c r="T136" t="n">
        <v>2</v>
      </c>
      <c r="U136" t="n">
        <v>3</v>
      </c>
      <c r="V136" t="n">
        <v>30</v>
      </c>
      <c r="W136" t="n">
        <v>1</v>
      </c>
      <c r="X136" t="n">
        <v>242.4242424242424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1360</v>
      </c>
      <c r="AG136" t="n">
        <v>2136</v>
      </c>
      <c r="AH136" t="inlineStr">
        <is>
          <t>CV. SAMUDRA JAYA ABADI - PPN (JMB)</t>
        </is>
      </c>
      <c r="AI136" t="n">
        <v>38</v>
      </c>
      <c r="AJ136" t="inlineStr">
        <is>
          <t>AZARINE</t>
        </is>
      </c>
      <c r="AK136" t="n">
        <v>9</v>
      </c>
      <c r="AL136" t="inlineStr">
        <is>
          <t>Miss Glam Jambi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"8997208072064"</f>
        <v/>
      </c>
      <c r="C137" t="inlineStr">
        <is>
          <t>AZARINE Moisture Rich Hydrating Toner 90ml</t>
        </is>
      </c>
      <c r="D137" t="inlineStr">
        <is>
          <t>Miss Glam Jambi</t>
        </is>
      </c>
      <c r="E137" t="n">
        <v>1</v>
      </c>
      <c r="F137" t="n">
        <v>0.0231</v>
      </c>
      <c r="G137" t="n">
        <v>0.33</v>
      </c>
      <c r="H137" t="n">
        <v>2</v>
      </c>
      <c r="I137" t="n">
        <v>6</v>
      </c>
      <c r="J137" t="n">
        <v>3</v>
      </c>
      <c r="K137" t="n">
        <v>3</v>
      </c>
      <c r="L137" t="n">
        <v>59183</v>
      </c>
      <c r="M137" t="n">
        <v>68000</v>
      </c>
      <c r="N137" t="n">
        <v>33</v>
      </c>
      <c r="O137" t="n">
        <v>0.33</v>
      </c>
      <c r="P137" t="n">
        <v>1</v>
      </c>
      <c r="Q137" t="n">
        <v>0.02</v>
      </c>
      <c r="R137" t="n">
        <v>1</v>
      </c>
      <c r="S137" t="n">
        <v>1570.8</v>
      </c>
      <c r="T137" t="n">
        <v>2</v>
      </c>
      <c r="U137" t="n">
        <v>3</v>
      </c>
      <c r="V137" t="n">
        <v>30</v>
      </c>
      <c r="W137" t="n">
        <v>1</v>
      </c>
      <c r="X137" t="n">
        <v>43.29004329004329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1360</v>
      </c>
      <c r="AG137" t="n">
        <v>2136</v>
      </c>
      <c r="AH137" t="inlineStr">
        <is>
          <t>CV. SAMUDRA JAYA ABADI - PPN (JMB)</t>
        </is>
      </c>
      <c r="AI137" t="n">
        <v>38</v>
      </c>
      <c r="AJ137" t="inlineStr">
        <is>
          <t>AZARINE</t>
        </is>
      </c>
      <c r="AK137" t="n">
        <v>9</v>
      </c>
      <c r="AL137" t="inlineStr">
        <is>
          <t>Miss Glam Jambi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"8997208072231"</f>
        <v/>
      </c>
      <c r="C138" t="inlineStr">
        <is>
          <t>AZARINE Multi Purpose Miracle face Oil Serum 20ml</t>
        </is>
      </c>
      <c r="D138" t="inlineStr">
        <is>
          <t>Miss Glam Jambi</t>
        </is>
      </c>
      <c r="E138" t="n">
        <v>2</v>
      </c>
      <c r="F138" t="n">
        <v>0.02</v>
      </c>
      <c r="G138" t="n">
        <v>1</v>
      </c>
      <c r="H138" t="n">
        <v>2</v>
      </c>
      <c r="I138" t="n">
        <v>6</v>
      </c>
      <c r="J138" t="n">
        <v>3</v>
      </c>
      <c r="K138" t="n">
        <v>0</v>
      </c>
      <c r="L138" t="n">
        <v>50150</v>
      </c>
      <c r="M138" t="n">
        <v>59000</v>
      </c>
      <c r="N138" t="n">
        <v>33</v>
      </c>
      <c r="O138" t="n">
        <v>0.33</v>
      </c>
      <c r="P138" t="n">
        <v>0</v>
      </c>
      <c r="Q138" t="n">
        <v>0.02</v>
      </c>
      <c r="R138" t="n">
        <v>1</v>
      </c>
      <c r="S138" t="n">
        <v>1180</v>
      </c>
      <c r="T138" t="n">
        <v>6</v>
      </c>
      <c r="U138" t="n">
        <v>7</v>
      </c>
      <c r="V138" t="n">
        <v>30</v>
      </c>
      <c r="W138" t="n">
        <v>1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1360</v>
      </c>
      <c r="AG138" t="n">
        <v>2136</v>
      </c>
      <c r="AH138" t="inlineStr">
        <is>
          <t>CV. SAMUDRA JAYA ABADI - PPN (JMB)</t>
        </is>
      </c>
      <c r="AI138" t="n">
        <v>38</v>
      </c>
      <c r="AJ138" t="inlineStr">
        <is>
          <t>AZARINE</t>
        </is>
      </c>
      <c r="AK138" t="n">
        <v>9</v>
      </c>
      <c r="AL138" t="inlineStr">
        <is>
          <t>Miss Glam Jambi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"8997208072569"</f>
        <v/>
      </c>
      <c r="C139" t="inlineStr">
        <is>
          <t>AZARINE Niacinamide 10% + Dipotassium Glycyrrhizate Glorious Serum 20ml</t>
        </is>
      </c>
      <c r="D139" t="inlineStr">
        <is>
          <t>Miss Glam Jambi</t>
        </is>
      </c>
      <c r="E139" t="n">
        <v>2</v>
      </c>
      <c r="F139" t="n">
        <v>0.009900000000000001</v>
      </c>
      <c r="G139" t="n">
        <v>0.33</v>
      </c>
      <c r="H139" t="n">
        <v>2</v>
      </c>
      <c r="I139" t="n">
        <v>6</v>
      </c>
      <c r="J139" t="n">
        <v>3</v>
      </c>
      <c r="K139" t="n">
        <v>0</v>
      </c>
      <c r="L139" t="n">
        <v>75650</v>
      </c>
      <c r="M139" t="n">
        <v>89000</v>
      </c>
      <c r="N139" t="n">
        <v>33</v>
      </c>
      <c r="O139" t="n">
        <v>0.33</v>
      </c>
      <c r="P139" t="n">
        <v>1</v>
      </c>
      <c r="Q139" t="n">
        <v>0.02</v>
      </c>
      <c r="R139" t="n">
        <v>1</v>
      </c>
      <c r="S139" t="n">
        <v>881.1</v>
      </c>
      <c r="T139" t="n">
        <v>2</v>
      </c>
      <c r="U139" t="n">
        <v>3</v>
      </c>
      <c r="V139" t="n">
        <v>30</v>
      </c>
      <c r="W139" t="n">
        <v>1</v>
      </c>
      <c r="X139" t="n">
        <v>202.020202020202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1360</v>
      </c>
      <c r="AG139" t="n">
        <v>2136</v>
      </c>
      <c r="AH139" t="inlineStr">
        <is>
          <t>CV. SAMUDRA JAYA ABADI - PPN (JMB)</t>
        </is>
      </c>
      <c r="AI139" t="n">
        <v>38</v>
      </c>
      <c r="AJ139" t="inlineStr">
        <is>
          <t>AZARINE</t>
        </is>
      </c>
      <c r="AK139" t="n">
        <v>9</v>
      </c>
      <c r="AL139" t="inlineStr">
        <is>
          <t>Miss Glam Jambi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"8997208072033"</f>
        <v/>
      </c>
      <c r="C140" t="inlineStr">
        <is>
          <t>AZARINE Niacinamide 5% + Moisture Sepiwhite Serum 20ml</t>
        </is>
      </c>
      <c r="D140" t="inlineStr">
        <is>
          <t>Miss Glam Jambi</t>
        </is>
      </c>
      <c r="E140" t="n">
        <v>7</v>
      </c>
      <c r="F140" t="n">
        <v>0.0495</v>
      </c>
      <c r="G140" t="n">
        <v>0.66</v>
      </c>
      <c r="H140" t="n">
        <v>2</v>
      </c>
      <c r="I140" t="n">
        <v>6</v>
      </c>
      <c r="J140" t="n">
        <v>3</v>
      </c>
      <c r="K140" t="n">
        <v>0</v>
      </c>
      <c r="L140" t="n">
        <v>45346</v>
      </c>
      <c r="M140" t="n">
        <v>59000</v>
      </c>
      <c r="N140" t="n">
        <v>33</v>
      </c>
      <c r="O140" t="n">
        <v>0.33</v>
      </c>
      <c r="P140" t="n">
        <v>1</v>
      </c>
      <c r="Q140" t="n">
        <v>0.07000000000000001</v>
      </c>
      <c r="R140" t="n">
        <v>1</v>
      </c>
      <c r="S140" t="n">
        <v>2920.5</v>
      </c>
      <c r="T140" t="n">
        <v>4</v>
      </c>
      <c r="U140" t="n">
        <v>5</v>
      </c>
      <c r="V140" t="n">
        <v>30</v>
      </c>
      <c r="W140" t="n">
        <v>2</v>
      </c>
      <c r="X140" t="n">
        <v>141.4141414141414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1360</v>
      </c>
      <c r="AG140" t="n">
        <v>2136</v>
      </c>
      <c r="AH140" t="inlineStr">
        <is>
          <t>CV. SAMUDRA JAYA ABADI - PPN (JMB)</t>
        </is>
      </c>
      <c r="AI140" t="n">
        <v>38</v>
      </c>
      <c r="AJ140" t="inlineStr">
        <is>
          <t>AZARINE</t>
        </is>
      </c>
      <c r="AK140" t="n">
        <v>9</v>
      </c>
      <c r="AL140" t="inlineStr">
        <is>
          <t>Miss Glam Jambi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"8997208072712"</f>
        <v/>
      </c>
      <c r="C141" t="inlineStr">
        <is>
          <t>AZARINE Oh! My Brow Definer 02 Eyecchiato Warm Brown 0.06gr</t>
        </is>
      </c>
      <c r="D141" t="inlineStr">
        <is>
          <t>Miss Glam Jambi</t>
        </is>
      </c>
      <c r="E141" t="n">
        <v>2</v>
      </c>
      <c r="F141" t="n">
        <v>0.0462</v>
      </c>
      <c r="G141" t="n">
        <v>0.33</v>
      </c>
      <c r="H141" t="n">
        <v>2</v>
      </c>
      <c r="I141" t="n">
        <v>6</v>
      </c>
      <c r="J141" t="n">
        <v>3</v>
      </c>
      <c r="K141" t="n">
        <v>3</v>
      </c>
      <c r="L141" t="n">
        <v>36000</v>
      </c>
      <c r="M141" t="n">
        <v>45000</v>
      </c>
      <c r="N141" t="n">
        <v>33</v>
      </c>
      <c r="O141" t="n">
        <v>0.33</v>
      </c>
      <c r="P141" t="n">
        <v>1</v>
      </c>
      <c r="Q141" t="n">
        <v>0.12</v>
      </c>
      <c r="R141" t="n">
        <v>1</v>
      </c>
      <c r="S141" t="n">
        <v>2079</v>
      </c>
      <c r="T141" t="n">
        <v>2</v>
      </c>
      <c r="U141" t="n">
        <v>3</v>
      </c>
      <c r="V141" t="n">
        <v>30</v>
      </c>
      <c r="W141" t="n">
        <v>2</v>
      </c>
      <c r="X141" t="n">
        <v>43.29004329004329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1360</v>
      </c>
      <c r="AG141" t="n">
        <v>2136</v>
      </c>
      <c r="AH141" t="inlineStr">
        <is>
          <t>CV. SAMUDRA JAYA ABADI - PPN (JMB)</t>
        </is>
      </c>
      <c r="AI141" t="n">
        <v>38</v>
      </c>
      <c r="AJ141" t="inlineStr">
        <is>
          <t>AZARINE</t>
        </is>
      </c>
      <c r="AK141" t="n">
        <v>9</v>
      </c>
      <c r="AL141" t="inlineStr">
        <is>
          <t>Miss Glam Jambi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"8997208072750"</f>
        <v/>
      </c>
      <c r="C142" t="inlineStr">
        <is>
          <t>AZARINE Oh! So Fine Liner 02 Eyeffogatto Brown 1.5ml</t>
        </is>
      </c>
      <c r="D142" t="inlineStr">
        <is>
          <t>Miss Glam Jambi</t>
        </is>
      </c>
      <c r="E142" t="n">
        <v>2</v>
      </c>
      <c r="F142" t="n">
        <v>0.03</v>
      </c>
      <c r="G142" t="n">
        <v>1</v>
      </c>
      <c r="H142" t="n">
        <v>2</v>
      </c>
      <c r="I142" t="n">
        <v>6</v>
      </c>
      <c r="J142" t="n">
        <v>3</v>
      </c>
      <c r="K142" t="n">
        <v>0</v>
      </c>
      <c r="L142" t="n">
        <v>36563</v>
      </c>
      <c r="M142" t="n">
        <v>45000</v>
      </c>
      <c r="N142" t="n">
        <v>33</v>
      </c>
      <c r="O142" t="n">
        <v>0.33</v>
      </c>
      <c r="P142" t="n">
        <v>0</v>
      </c>
      <c r="Q142" t="n">
        <v>0.03</v>
      </c>
      <c r="R142" t="n">
        <v>1</v>
      </c>
      <c r="S142" t="n">
        <v>1350</v>
      </c>
      <c r="T142" t="n">
        <v>6</v>
      </c>
      <c r="U142" t="n">
        <v>7</v>
      </c>
      <c r="V142" t="n">
        <v>30</v>
      </c>
      <c r="W142" t="n">
        <v>1</v>
      </c>
      <c r="X142" t="n">
        <v>66.66666666666667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1360</v>
      </c>
      <c r="AG142" t="n">
        <v>2136</v>
      </c>
      <c r="AH142" t="inlineStr">
        <is>
          <t>CV. SAMUDRA JAYA ABADI - PPN (JMB)</t>
        </is>
      </c>
      <c r="AI142" t="n">
        <v>38</v>
      </c>
      <c r="AJ142" t="inlineStr">
        <is>
          <t>AZARINE</t>
        </is>
      </c>
      <c r="AK142" t="n">
        <v>9</v>
      </c>
      <c r="AL142" t="inlineStr">
        <is>
          <t>Miss Glam Jambi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"8997208071951"</f>
        <v/>
      </c>
      <c r="C143" t="inlineStr">
        <is>
          <t>AZARINE Oil Free Brightening Daily Moisturizer 40gr</t>
        </is>
      </c>
      <c r="D143" t="inlineStr">
        <is>
          <t>Miss Glam Jambi</t>
        </is>
      </c>
      <c r="E143" t="n">
        <v>9</v>
      </c>
      <c r="F143" t="n">
        <v>0.033</v>
      </c>
      <c r="G143" t="n">
        <v>0.66</v>
      </c>
      <c r="H143" t="n">
        <v>2</v>
      </c>
      <c r="I143" t="n">
        <v>6</v>
      </c>
      <c r="J143" t="n">
        <v>3</v>
      </c>
      <c r="K143" t="n">
        <v>0</v>
      </c>
      <c r="L143" t="n">
        <v>47200</v>
      </c>
      <c r="M143" t="n">
        <v>59000</v>
      </c>
      <c r="N143" t="n">
        <v>33</v>
      </c>
      <c r="O143" t="n">
        <v>0.33</v>
      </c>
      <c r="P143" t="n">
        <v>1</v>
      </c>
      <c r="Q143" t="n">
        <v>0.08</v>
      </c>
      <c r="R143" t="n">
        <v>1</v>
      </c>
      <c r="S143" t="n">
        <v>1947</v>
      </c>
      <c r="T143" t="n">
        <v>4</v>
      </c>
      <c r="U143" t="n">
        <v>5</v>
      </c>
      <c r="V143" t="n">
        <v>30</v>
      </c>
      <c r="W143" t="n">
        <v>1</v>
      </c>
      <c r="X143" t="n">
        <v>272.7272727272727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1360</v>
      </c>
      <c r="AG143" t="n">
        <v>2136</v>
      </c>
      <c r="AH143" t="inlineStr">
        <is>
          <t>CV. SAMUDRA JAYA ABADI - PPN (JMB)</t>
        </is>
      </c>
      <c r="AI143" t="n">
        <v>38</v>
      </c>
      <c r="AJ143" t="inlineStr">
        <is>
          <t>AZARINE</t>
        </is>
      </c>
      <c r="AK143" t="n">
        <v>9</v>
      </c>
      <c r="AL143" t="inlineStr">
        <is>
          <t>Miss Glam Jambi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"8997208071999"</f>
        <v/>
      </c>
      <c r="C144" t="inlineStr">
        <is>
          <t>AZARINE Pore Tightening &amp; Oil Control Moist Serum 20ml</t>
        </is>
      </c>
      <c r="D144" t="inlineStr">
        <is>
          <t>Miss Glam Jambi</t>
        </is>
      </c>
      <c r="E144" t="n">
        <v>5</v>
      </c>
      <c r="F144" t="n">
        <v>0.033</v>
      </c>
      <c r="G144" t="n">
        <v>0.66</v>
      </c>
      <c r="H144" t="n">
        <v>2</v>
      </c>
      <c r="I144" t="n">
        <v>6</v>
      </c>
      <c r="J144" t="n">
        <v>3</v>
      </c>
      <c r="K144" t="n">
        <v>0</v>
      </c>
      <c r="L144" t="n">
        <v>39004</v>
      </c>
      <c r="M144" t="n">
        <v>51000</v>
      </c>
      <c r="N144" t="n">
        <v>33</v>
      </c>
      <c r="O144" t="n">
        <v>0.33</v>
      </c>
      <c r="P144" t="n">
        <v>1</v>
      </c>
      <c r="Q144" t="n">
        <v>0.03</v>
      </c>
      <c r="R144" t="n">
        <v>1</v>
      </c>
      <c r="S144" t="n">
        <v>1683</v>
      </c>
      <c r="T144" t="n">
        <v>4</v>
      </c>
      <c r="U144" t="n">
        <v>5</v>
      </c>
      <c r="V144" t="n">
        <v>30</v>
      </c>
      <c r="W144" t="n">
        <v>1</v>
      </c>
      <c r="X144" t="n">
        <v>151.5151515151515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1360</v>
      </c>
      <c r="AG144" t="n">
        <v>2136</v>
      </c>
      <c r="AH144" t="inlineStr">
        <is>
          <t>CV. SAMUDRA JAYA ABADI - PPN (JMB)</t>
        </is>
      </c>
      <c r="AI144" t="n">
        <v>38</v>
      </c>
      <c r="AJ144" t="inlineStr">
        <is>
          <t>AZARINE</t>
        </is>
      </c>
      <c r="AK144" t="n">
        <v>9</v>
      </c>
      <c r="AL144" t="inlineStr">
        <is>
          <t>Miss Glam Jambi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"8997208073115"</f>
        <v/>
      </c>
      <c r="C145" t="inlineStr">
        <is>
          <t>AZARINE Pure Radiance Barrier Moisturizer 30gr</t>
        </is>
      </c>
      <c r="D145" t="inlineStr">
        <is>
          <t>Miss Glam Jambi</t>
        </is>
      </c>
      <c r="E145" t="n">
        <v>8</v>
      </c>
      <c r="F145" t="n">
        <v>0.07920000000000001</v>
      </c>
      <c r="G145" t="n">
        <v>0.99</v>
      </c>
      <c r="H145" t="n">
        <v>2</v>
      </c>
      <c r="I145" t="n">
        <v>6</v>
      </c>
      <c r="J145" t="n">
        <v>3</v>
      </c>
      <c r="K145" t="n">
        <v>0</v>
      </c>
      <c r="L145" t="n">
        <v>37377</v>
      </c>
      <c r="M145" t="n">
        <v>48000</v>
      </c>
      <c r="N145" t="n">
        <v>33</v>
      </c>
      <c r="O145" t="n">
        <v>0.33</v>
      </c>
      <c r="P145" t="n">
        <v>1</v>
      </c>
      <c r="Q145" t="n">
        <v>0.1</v>
      </c>
      <c r="R145" t="n">
        <v>1</v>
      </c>
      <c r="S145" t="n">
        <v>3801.6</v>
      </c>
      <c r="T145" t="n">
        <v>6</v>
      </c>
      <c r="U145" t="n">
        <v>7</v>
      </c>
      <c r="V145" t="n">
        <v>30</v>
      </c>
      <c r="W145" t="n">
        <v>3</v>
      </c>
      <c r="X145" t="n">
        <v>101.010101010101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1360</v>
      </c>
      <c r="AG145" t="n">
        <v>2136</v>
      </c>
      <c r="AH145" t="inlineStr">
        <is>
          <t>CV. SAMUDRA JAYA ABADI - PPN (JMB)</t>
        </is>
      </c>
      <c r="AI145" t="n">
        <v>38</v>
      </c>
      <c r="AJ145" t="inlineStr">
        <is>
          <t>AZARINE</t>
        </is>
      </c>
      <c r="AK145" t="n">
        <v>9</v>
      </c>
      <c r="AL145" t="inlineStr">
        <is>
          <t>Miss Glam Jambi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"8997208072583"</f>
        <v/>
      </c>
      <c r="C146" t="inlineStr">
        <is>
          <t>AZARINE Retinol Complex + 5x Ceramide Mighty Serum Multifunction Supreme Night Elixir 20ml</t>
        </is>
      </c>
      <c r="D146" t="inlineStr">
        <is>
          <t>Miss Glam Jambi</t>
        </is>
      </c>
      <c r="E146" t="n">
        <v>2</v>
      </c>
      <c r="F146" t="n">
        <v>0.02</v>
      </c>
      <c r="G146" t="n">
        <v>1</v>
      </c>
      <c r="H146" t="n">
        <v>2</v>
      </c>
      <c r="I146" t="n">
        <v>6</v>
      </c>
      <c r="J146" t="n">
        <v>3</v>
      </c>
      <c r="K146" t="n">
        <v>0</v>
      </c>
      <c r="L146" t="n">
        <v>75650</v>
      </c>
      <c r="M146" t="n">
        <v>89000</v>
      </c>
      <c r="N146" t="n">
        <v>33</v>
      </c>
      <c r="O146" t="n">
        <v>0.33</v>
      </c>
      <c r="P146" t="n">
        <v>0</v>
      </c>
      <c r="Q146" t="n">
        <v>0.02</v>
      </c>
      <c r="R146" t="n">
        <v>1</v>
      </c>
      <c r="S146" t="n">
        <v>1780</v>
      </c>
      <c r="T146" t="n">
        <v>6</v>
      </c>
      <c r="U146" t="n">
        <v>7</v>
      </c>
      <c r="V146" t="n">
        <v>30</v>
      </c>
      <c r="W146" t="n">
        <v>1</v>
      </c>
      <c r="X146" t="n">
        <v>100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1360</v>
      </c>
      <c r="AG146" t="n">
        <v>2136</v>
      </c>
      <c r="AH146" t="inlineStr">
        <is>
          <t>CV. SAMUDRA JAYA ABADI - PPN (JMB)</t>
        </is>
      </c>
      <c r="AI146" t="n">
        <v>38</v>
      </c>
      <c r="AJ146" t="inlineStr">
        <is>
          <t>AZARINE</t>
        </is>
      </c>
      <c r="AK146" t="n">
        <v>9</v>
      </c>
      <c r="AL146" t="inlineStr">
        <is>
          <t>Miss Glam Jambi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"8997208071944"</f>
        <v/>
      </c>
      <c r="C147" t="inlineStr">
        <is>
          <t>AZARINE Revitalizing Anti Aging Serum 20ml</t>
        </is>
      </c>
      <c r="D147" t="inlineStr">
        <is>
          <t>Miss Glam Jambi</t>
        </is>
      </c>
      <c r="E147" t="n">
        <v>4</v>
      </c>
      <c r="F147" t="n">
        <v>0.0132</v>
      </c>
      <c r="G147" t="n">
        <v>0.33</v>
      </c>
      <c r="H147" t="n">
        <v>2</v>
      </c>
      <c r="I147" t="n">
        <v>6</v>
      </c>
      <c r="J147" t="n">
        <v>3</v>
      </c>
      <c r="K147" t="n">
        <v>0</v>
      </c>
      <c r="L147" t="n">
        <v>47778</v>
      </c>
      <c r="M147" t="n">
        <v>59000</v>
      </c>
      <c r="N147" t="n">
        <v>33</v>
      </c>
      <c r="O147" t="n">
        <v>0.33</v>
      </c>
      <c r="P147" t="n">
        <v>1</v>
      </c>
      <c r="Q147" t="n">
        <v>0.02</v>
      </c>
      <c r="R147" t="n">
        <v>1</v>
      </c>
      <c r="S147" t="n">
        <v>778.8000000000001</v>
      </c>
      <c r="T147" t="n">
        <v>2</v>
      </c>
      <c r="U147" t="n">
        <v>3</v>
      </c>
      <c r="V147" t="n">
        <v>30</v>
      </c>
      <c r="W147" t="n">
        <v>1</v>
      </c>
      <c r="X147" t="n">
        <v>303.030303030303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1360</v>
      </c>
      <c r="AG147" t="n">
        <v>2136</v>
      </c>
      <c r="AH147" t="inlineStr">
        <is>
          <t>CV. SAMUDRA JAYA ABADI - PPN (JMB)</t>
        </is>
      </c>
      <c r="AI147" t="n">
        <v>38</v>
      </c>
      <c r="AJ147" t="inlineStr">
        <is>
          <t>AZARINE</t>
        </is>
      </c>
      <c r="AK147" t="n">
        <v>9</v>
      </c>
      <c r="AL147" t="inlineStr">
        <is>
          <t>Miss Glam Jambi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"102002107356"</f>
        <v/>
      </c>
      <c r="C148" t="inlineStr">
        <is>
          <t>AZARINE Supreme Glow Brightening Moisturizer 20ml</t>
        </is>
      </c>
      <c r="D148" t="inlineStr">
        <is>
          <t>Miss Glam Jambi</t>
        </is>
      </c>
      <c r="E148" t="n">
        <v>10</v>
      </c>
      <c r="F148" t="n">
        <v>0.1221</v>
      </c>
      <c r="G148" t="n">
        <v>0.99</v>
      </c>
      <c r="H148" t="n">
        <v>2</v>
      </c>
      <c r="I148" t="n">
        <v>6</v>
      </c>
      <c r="J148" t="n">
        <v>3</v>
      </c>
      <c r="K148" t="n">
        <v>0</v>
      </c>
      <c r="L148" t="n">
        <v>42120</v>
      </c>
      <c r="M148" t="n">
        <v>54000</v>
      </c>
      <c r="N148" t="n">
        <v>33</v>
      </c>
      <c r="O148" t="n">
        <v>0.33</v>
      </c>
      <c r="P148" t="n">
        <v>1</v>
      </c>
      <c r="Q148" t="n">
        <v>0.24</v>
      </c>
      <c r="R148" t="n">
        <v>2</v>
      </c>
      <c r="S148" t="n">
        <v>6593.4</v>
      </c>
      <c r="T148" t="n">
        <v>6</v>
      </c>
      <c r="U148" t="n">
        <v>7</v>
      </c>
      <c r="V148" t="n">
        <v>30</v>
      </c>
      <c r="W148" t="n">
        <v>4</v>
      </c>
      <c r="X148" t="n">
        <v>81.9000819000819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1360</v>
      </c>
      <c r="AG148" t="n">
        <v>2136</v>
      </c>
      <c r="AH148" t="inlineStr">
        <is>
          <t>CV. SAMUDRA JAYA ABADI - PPN (JMB)</t>
        </is>
      </c>
      <c r="AI148" t="n">
        <v>38</v>
      </c>
      <c r="AJ148" t="inlineStr">
        <is>
          <t>AZARINE</t>
        </is>
      </c>
      <c r="AK148" t="n">
        <v>9</v>
      </c>
      <c r="AL148" t="inlineStr">
        <is>
          <t>Miss Glam Jambi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"8997208072651"</f>
        <v/>
      </c>
      <c r="C149" t="inlineStr">
        <is>
          <t>AZARINE Tinted Lippie Cake 03 Pumpkin Cake 2.9ml</t>
        </is>
      </c>
      <c r="D149" t="inlineStr">
        <is>
          <t>Miss Glam Jambi</t>
        </is>
      </c>
      <c r="E149" t="n">
        <v>1</v>
      </c>
      <c r="F149" t="n">
        <v>0.006600000000000001</v>
      </c>
      <c r="G149" t="n">
        <v>0.33</v>
      </c>
      <c r="H149" t="n">
        <v>2</v>
      </c>
      <c r="I149" t="n">
        <v>6</v>
      </c>
      <c r="J149" t="n">
        <v>3</v>
      </c>
      <c r="K149" t="n">
        <v>6</v>
      </c>
      <c r="L149" t="n">
        <v>31920</v>
      </c>
      <c r="M149" t="n">
        <v>39900</v>
      </c>
      <c r="N149" t="n">
        <v>33</v>
      </c>
      <c r="O149" t="n">
        <v>0.33</v>
      </c>
      <c r="P149" t="n">
        <v>1</v>
      </c>
      <c r="Q149" t="n">
        <v>0.03</v>
      </c>
      <c r="R149" t="n">
        <v>1</v>
      </c>
      <c r="S149" t="n">
        <v>263.34</v>
      </c>
      <c r="T149" t="n">
        <v>2</v>
      </c>
      <c r="U149" t="n">
        <v>3</v>
      </c>
      <c r="V149" t="n">
        <v>30</v>
      </c>
      <c r="W149" t="n">
        <v>1</v>
      </c>
      <c r="X149" t="n">
        <v>151.5151515151515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1360</v>
      </c>
      <c r="AG149" t="n">
        <v>2136</v>
      </c>
      <c r="AH149" t="inlineStr">
        <is>
          <t>CV. SAMUDRA JAYA ABADI - PPN (JMB)</t>
        </is>
      </c>
      <c r="AI149" t="n">
        <v>38</v>
      </c>
      <c r="AJ149" t="inlineStr">
        <is>
          <t>AZARINE</t>
        </is>
      </c>
      <c r="AK149" t="n">
        <v>9</v>
      </c>
      <c r="AL149" t="inlineStr">
        <is>
          <t>Miss Glam Jambi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"8997208072675"</f>
        <v/>
      </c>
      <c r="C150" t="inlineStr">
        <is>
          <t>AZARINE Tinted Lippie Cake 05 Strawberry Pie 2.9ml</t>
        </is>
      </c>
      <c r="D150" t="inlineStr">
        <is>
          <t>Miss Glam Jambi</t>
        </is>
      </c>
      <c r="E150" t="n">
        <v>5</v>
      </c>
      <c r="F150" t="n">
        <v>0.12</v>
      </c>
      <c r="G150" t="n">
        <v>3</v>
      </c>
      <c r="H150" t="n">
        <v>2</v>
      </c>
      <c r="I150" t="n">
        <v>6</v>
      </c>
      <c r="J150" t="n">
        <v>3</v>
      </c>
      <c r="K150" t="n">
        <v>6</v>
      </c>
      <c r="L150" t="n">
        <v>31920</v>
      </c>
      <c r="M150" t="n">
        <v>39900</v>
      </c>
      <c r="N150" t="n">
        <v>33</v>
      </c>
      <c r="O150" t="n">
        <v>0.33</v>
      </c>
      <c r="P150" t="n">
        <v>0</v>
      </c>
      <c r="Q150" t="n">
        <v>0.12</v>
      </c>
      <c r="R150" t="n">
        <v>3</v>
      </c>
      <c r="S150" t="n">
        <v>4788</v>
      </c>
      <c r="T150" t="n">
        <v>18</v>
      </c>
      <c r="U150" t="n">
        <v>19</v>
      </c>
      <c r="V150" t="n">
        <v>30</v>
      </c>
      <c r="W150" t="n">
        <v>4</v>
      </c>
      <c r="X150" t="n">
        <v>41.66666666666667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1360</v>
      </c>
      <c r="AG150" t="n">
        <v>2136</v>
      </c>
      <c r="AH150" t="inlineStr">
        <is>
          <t>CV. SAMUDRA JAYA ABADI - PPN (JMB)</t>
        </is>
      </c>
      <c r="AI150" t="n">
        <v>38</v>
      </c>
      <c r="AJ150" t="inlineStr">
        <is>
          <t>AZARINE</t>
        </is>
      </c>
      <c r="AK150" t="n">
        <v>9</v>
      </c>
      <c r="AL150" t="inlineStr">
        <is>
          <t>Miss Glam Jambi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"8997208072682"</f>
        <v/>
      </c>
      <c r="C151" t="inlineStr">
        <is>
          <t>AZARINE Tinted Lippie Cake 06 Cherry Cupcake  2.9ml</t>
        </is>
      </c>
      <c r="D151" t="inlineStr">
        <is>
          <t>Miss Glam Jambi</t>
        </is>
      </c>
      <c r="E151" t="n">
        <v>7</v>
      </c>
      <c r="F151" t="n">
        <v>0.03</v>
      </c>
      <c r="G151" t="n">
        <v>1</v>
      </c>
      <c r="H151" t="n">
        <v>2</v>
      </c>
      <c r="I151" t="n">
        <v>6</v>
      </c>
      <c r="J151" t="n">
        <v>3</v>
      </c>
      <c r="K151" t="n">
        <v>0</v>
      </c>
      <c r="L151" t="n">
        <v>31920</v>
      </c>
      <c r="M151" t="n">
        <v>39900</v>
      </c>
      <c r="N151" t="n">
        <v>33</v>
      </c>
      <c r="O151" t="n">
        <v>0.33</v>
      </c>
      <c r="P151" t="n">
        <v>0</v>
      </c>
      <c r="Q151" t="n">
        <v>0.03</v>
      </c>
      <c r="R151" t="n">
        <v>1</v>
      </c>
      <c r="S151" t="n">
        <v>1197</v>
      </c>
      <c r="T151" t="n">
        <v>6</v>
      </c>
      <c r="U151" t="n">
        <v>7</v>
      </c>
      <c r="V151" t="n">
        <v>30</v>
      </c>
      <c r="W151" t="n">
        <v>1</v>
      </c>
      <c r="X151" t="n">
        <v>233.3333333333333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1360</v>
      </c>
      <c r="AG151" t="n">
        <v>2136</v>
      </c>
      <c r="AH151" t="inlineStr">
        <is>
          <t>CV. SAMUDRA JAYA ABADI - PPN (JMB)</t>
        </is>
      </c>
      <c r="AI151" t="n">
        <v>38</v>
      </c>
      <c r="AJ151" t="inlineStr">
        <is>
          <t>AZARINE</t>
        </is>
      </c>
      <c r="AK151" t="n">
        <v>9</v>
      </c>
      <c r="AL151" t="inlineStr">
        <is>
          <t>Miss Glam Jambi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"8997208073177"</f>
        <v/>
      </c>
      <c r="C152" t="inlineStr">
        <is>
          <t>AZARINE Tinted Lippie Cake 07 Honey Waffle 2.9ml</t>
        </is>
      </c>
      <c r="D152" t="inlineStr">
        <is>
          <t>Miss Glam Jambi</t>
        </is>
      </c>
      <c r="E152" t="n">
        <v>7</v>
      </c>
      <c r="F152" t="n">
        <v>0.0231</v>
      </c>
      <c r="G152" t="n">
        <v>0.33</v>
      </c>
      <c r="H152" t="n">
        <v>2</v>
      </c>
      <c r="I152" t="n">
        <v>6</v>
      </c>
      <c r="J152" t="n">
        <v>3</v>
      </c>
      <c r="K152" t="n">
        <v>0</v>
      </c>
      <c r="L152" t="n">
        <v>32460</v>
      </c>
      <c r="M152" t="n">
        <v>39900</v>
      </c>
      <c r="N152" t="n">
        <v>33</v>
      </c>
      <c r="O152" t="n">
        <v>0.33</v>
      </c>
      <c r="P152" t="n">
        <v>1</v>
      </c>
      <c r="Q152" t="n">
        <v>0.03</v>
      </c>
      <c r="R152" t="n">
        <v>1</v>
      </c>
      <c r="S152" t="n">
        <v>921.6900000000001</v>
      </c>
      <c r="T152" t="n">
        <v>2</v>
      </c>
      <c r="U152" t="n">
        <v>3</v>
      </c>
      <c r="V152" t="n">
        <v>30</v>
      </c>
      <c r="W152" t="n">
        <v>1</v>
      </c>
      <c r="X152" t="n">
        <v>303.030303030303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1360</v>
      </c>
      <c r="AG152" t="n">
        <v>2136</v>
      </c>
      <c r="AH152" t="inlineStr">
        <is>
          <t>CV. SAMUDRA JAYA ABADI - PPN (JMB)</t>
        </is>
      </c>
      <c r="AI152" t="n">
        <v>38</v>
      </c>
      <c r="AJ152" t="inlineStr">
        <is>
          <t>AZARINE</t>
        </is>
      </c>
      <c r="AK152" t="n">
        <v>9</v>
      </c>
      <c r="AL152" t="inlineStr">
        <is>
          <t>Miss Glam Jambi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"8997208073191"</f>
        <v/>
      </c>
      <c r="C153" t="inlineStr">
        <is>
          <t>AZARINE Tinted Lippie Cake 09 Berry Pancake 2.9ml</t>
        </is>
      </c>
      <c r="D153" t="inlineStr">
        <is>
          <t>Miss Glam Jambi</t>
        </is>
      </c>
      <c r="E153" t="n">
        <v>7</v>
      </c>
      <c r="F153" t="n">
        <v>0.033</v>
      </c>
      <c r="G153" t="n">
        <v>0.33</v>
      </c>
      <c r="H153" t="n">
        <v>2</v>
      </c>
      <c r="I153" t="n">
        <v>6</v>
      </c>
      <c r="J153" t="n">
        <v>3</v>
      </c>
      <c r="K153" t="n">
        <v>0</v>
      </c>
      <c r="L153" t="n">
        <v>34125</v>
      </c>
      <c r="M153" t="n">
        <v>42500</v>
      </c>
      <c r="N153" t="n">
        <v>33</v>
      </c>
      <c r="O153" t="n">
        <v>0.33</v>
      </c>
      <c r="P153" t="n">
        <v>1</v>
      </c>
      <c r="Q153" t="n">
        <v>0.07000000000000001</v>
      </c>
      <c r="R153" t="n">
        <v>2</v>
      </c>
      <c r="S153" t="n">
        <v>1402.5</v>
      </c>
      <c r="T153" t="n">
        <v>2</v>
      </c>
      <c r="U153" t="n">
        <v>3</v>
      </c>
      <c r="V153" t="n">
        <v>30</v>
      </c>
      <c r="W153" t="n">
        <v>1</v>
      </c>
      <c r="X153" t="n">
        <v>212.1212121212121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1360</v>
      </c>
      <c r="AG153" t="n">
        <v>2136</v>
      </c>
      <c r="AH153" t="inlineStr">
        <is>
          <t>CV. SAMUDRA JAYA ABADI - PPN (JMB)</t>
        </is>
      </c>
      <c r="AI153" t="n">
        <v>38</v>
      </c>
      <c r="AJ153" t="inlineStr">
        <is>
          <t>AZARINE</t>
        </is>
      </c>
      <c r="AK153" t="n">
        <v>9</v>
      </c>
      <c r="AL153" t="inlineStr">
        <is>
          <t>Miss Glam Jambi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"8997208072859"</f>
        <v/>
      </c>
      <c r="C154" t="inlineStr">
        <is>
          <t>AZARINE Velvety Lippie Cream 06 Peach Froyo 3,2ml</t>
        </is>
      </c>
      <c r="D154" t="inlineStr">
        <is>
          <t>Miss Glam Jambi</t>
        </is>
      </c>
      <c r="E154" t="n">
        <v>1</v>
      </c>
      <c r="F154" t="n">
        <v>0.02</v>
      </c>
      <c r="G154" t="n">
        <v>1</v>
      </c>
      <c r="H154" t="n">
        <v>2</v>
      </c>
      <c r="I154" t="n">
        <v>6</v>
      </c>
      <c r="J154" t="n">
        <v>3</v>
      </c>
      <c r="K154" t="n">
        <v>0</v>
      </c>
      <c r="L154" t="n">
        <v>41650</v>
      </c>
      <c r="M154" t="n">
        <v>49000</v>
      </c>
      <c r="N154" t="n">
        <v>33</v>
      </c>
      <c r="O154" t="n">
        <v>0.33</v>
      </c>
      <c r="P154" t="n">
        <v>0</v>
      </c>
      <c r="Q154" t="n">
        <v>0.02</v>
      </c>
      <c r="R154" t="n">
        <v>1</v>
      </c>
      <c r="S154" t="n">
        <v>980</v>
      </c>
      <c r="T154" t="n">
        <v>6</v>
      </c>
      <c r="U154" t="n">
        <v>7</v>
      </c>
      <c r="V154" t="n">
        <v>30</v>
      </c>
      <c r="W154" t="n">
        <v>1</v>
      </c>
      <c r="X154" t="n">
        <v>50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1360</v>
      </c>
      <c r="AG154" t="n">
        <v>2136</v>
      </c>
      <c r="AH154" t="inlineStr">
        <is>
          <t>CV. SAMUDRA JAYA ABADI - PPN (JMB)</t>
        </is>
      </c>
      <c r="AI154" t="n">
        <v>38</v>
      </c>
      <c r="AJ154" t="inlineStr">
        <is>
          <t>AZARINE</t>
        </is>
      </c>
      <c r="AK154" t="n">
        <v>9</v>
      </c>
      <c r="AL154" t="inlineStr">
        <is>
          <t>Miss Glam Jambi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"8997208072408"</f>
        <v/>
      </c>
      <c r="C155" t="inlineStr">
        <is>
          <t>AZARINE Xpress Micellar Oil Water 90ml</t>
        </is>
      </c>
      <c r="D155" t="inlineStr">
        <is>
          <t>Miss Glam Jambi</t>
        </is>
      </c>
      <c r="E155" t="n">
        <v>0</v>
      </c>
      <c r="F155" t="n">
        <v>0.03</v>
      </c>
      <c r="G155" t="n">
        <v>1</v>
      </c>
      <c r="H155" t="n">
        <v>2</v>
      </c>
      <c r="I155" t="n">
        <v>6</v>
      </c>
      <c r="J155" t="n">
        <v>3</v>
      </c>
      <c r="K155" t="n">
        <v>3</v>
      </c>
      <c r="L155" t="n">
        <v>38250</v>
      </c>
      <c r="M155" t="n">
        <v>45000</v>
      </c>
      <c r="N155" t="n">
        <v>33</v>
      </c>
      <c r="O155" t="n">
        <v>0.33</v>
      </c>
      <c r="P155" t="n">
        <v>0</v>
      </c>
      <c r="Q155" t="n">
        <v>0.03</v>
      </c>
      <c r="R155" t="n">
        <v>1</v>
      </c>
      <c r="S155" t="n">
        <v>1350</v>
      </c>
      <c r="T155" t="n">
        <v>6</v>
      </c>
      <c r="U155" t="n">
        <v>7</v>
      </c>
      <c r="V155" t="n">
        <v>30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1360</v>
      </c>
      <c r="AG155" t="n">
        <v>2136</v>
      </c>
      <c r="AH155" t="inlineStr">
        <is>
          <t>CV. SAMUDRA JAYA ABADI - PPN (JMB)</t>
        </is>
      </c>
      <c r="AI155" t="n">
        <v>38</v>
      </c>
      <c r="AJ155" t="inlineStr">
        <is>
          <t>AZARINE</t>
        </is>
      </c>
      <c r="AK155" t="n">
        <v>9</v>
      </c>
      <c r="AL155" t="inlineStr">
        <is>
          <t>Miss Glam Jambi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"8998866108577"</f>
        <v/>
      </c>
      <c r="C156" t="inlineStr">
        <is>
          <t>AZZURA  Matte Lip Cream With Cocoa Butter &amp; Vitamin E 03 Rose Wood 4g</t>
        </is>
      </c>
      <c r="D156" t="inlineStr">
        <is>
          <t>Miss Glam Jambi</t>
        </is>
      </c>
      <c r="E156" t="n">
        <v>6</v>
      </c>
      <c r="F156" t="n">
        <v>0.1056</v>
      </c>
      <c r="G156" t="n">
        <v>0.99</v>
      </c>
      <c r="H156" t="n">
        <v>6</v>
      </c>
      <c r="I156" t="n">
        <v>20</v>
      </c>
      <c r="J156" t="n">
        <v>3</v>
      </c>
      <c r="K156" t="n">
        <v>0</v>
      </c>
      <c r="L156" t="n">
        <v>30437</v>
      </c>
      <c r="M156" t="n">
        <v>37000</v>
      </c>
      <c r="N156" t="n">
        <v>33</v>
      </c>
      <c r="O156" t="n">
        <v>0.33</v>
      </c>
      <c r="P156" t="n">
        <v>1</v>
      </c>
      <c r="Q156" t="n">
        <v>0.05</v>
      </c>
      <c r="R156" t="n">
        <v>2</v>
      </c>
      <c r="S156" t="n">
        <v>3907.2</v>
      </c>
      <c r="T156" t="n">
        <v>20</v>
      </c>
      <c r="U156" t="n">
        <v>21</v>
      </c>
      <c r="V156" t="n">
        <v>30</v>
      </c>
      <c r="W156" t="n">
        <v>4</v>
      </c>
      <c r="X156" t="n">
        <v>56.81818181818181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10440</v>
      </c>
      <c r="AG156" t="n">
        <v>2198</v>
      </c>
      <c r="AH156" t="inlineStr">
        <is>
          <t>PT. JAMBI DISTRINDO RAYA - PPN (JMB)</t>
        </is>
      </c>
      <c r="AI156" t="n">
        <v>1031</v>
      </c>
      <c r="AJ156" t="inlineStr">
        <is>
          <t>AZZURA</t>
        </is>
      </c>
      <c r="AK156" t="n">
        <v>9</v>
      </c>
      <c r="AL156" t="inlineStr">
        <is>
          <t>Miss Glam Jambi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"8998866108461"</f>
        <v/>
      </c>
      <c r="C157" t="inlineStr">
        <is>
          <t>AZZURA Compact Powder Fresh Look 01 Light Beige 14gr</t>
        </is>
      </c>
      <c r="D157" t="inlineStr">
        <is>
          <t>Miss Glam Jambi</t>
        </is>
      </c>
      <c r="E157" t="n">
        <v>5</v>
      </c>
      <c r="F157" t="n">
        <v>0.1386</v>
      </c>
      <c r="G157" t="n">
        <v>0.99</v>
      </c>
      <c r="H157" t="n">
        <v>6</v>
      </c>
      <c r="I157" t="n">
        <v>20</v>
      </c>
      <c r="J157" t="n">
        <v>3</v>
      </c>
      <c r="K157" t="n">
        <v>0</v>
      </c>
      <c r="L157" t="n">
        <v>24824</v>
      </c>
      <c r="M157" t="n">
        <v>29500</v>
      </c>
      <c r="N157" t="n">
        <v>33</v>
      </c>
      <c r="O157" t="n">
        <v>0.33</v>
      </c>
      <c r="P157" t="n">
        <v>1</v>
      </c>
      <c r="Q157" t="n">
        <v>0.05</v>
      </c>
      <c r="R157" t="n">
        <v>1</v>
      </c>
      <c r="S157" t="n">
        <v>4088.7</v>
      </c>
      <c r="T157" t="n">
        <v>19</v>
      </c>
      <c r="U157" t="n">
        <v>20</v>
      </c>
      <c r="V157" t="n">
        <v>30</v>
      </c>
      <c r="W157" t="n">
        <v>5</v>
      </c>
      <c r="X157" t="n">
        <v>36.07503607503607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10440</v>
      </c>
      <c r="AG157" t="n">
        <v>2198</v>
      </c>
      <c r="AH157" t="inlineStr">
        <is>
          <t>PT. JAMBI DISTRINDO RAYA - PPN (JMB)</t>
        </is>
      </c>
      <c r="AI157" t="n">
        <v>1031</v>
      </c>
      <c r="AJ157" t="inlineStr">
        <is>
          <t>AZZURA</t>
        </is>
      </c>
      <c r="AK157" t="n">
        <v>9</v>
      </c>
      <c r="AL157" t="inlineStr">
        <is>
          <t>Miss Glam Jambi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"8998866108478"</f>
        <v/>
      </c>
      <c r="C158" t="inlineStr">
        <is>
          <t>AZZURA Compact Powder Fresh Look 02 Natural 14gr</t>
        </is>
      </c>
      <c r="D158" t="inlineStr">
        <is>
          <t>Miss Glam Jambi</t>
        </is>
      </c>
      <c r="E158" t="n">
        <v>15</v>
      </c>
      <c r="F158" t="n">
        <v>0.6105</v>
      </c>
      <c r="G158" t="n">
        <v>1.65</v>
      </c>
      <c r="H158" t="n">
        <v>6</v>
      </c>
      <c r="I158" t="n">
        <v>20</v>
      </c>
      <c r="J158" t="n">
        <v>3</v>
      </c>
      <c r="K158" t="n">
        <v>4</v>
      </c>
      <c r="L158" t="n">
        <v>21100</v>
      </c>
      <c r="M158" t="n">
        <v>29500</v>
      </c>
      <c r="N158" t="n">
        <v>33</v>
      </c>
      <c r="O158" t="n">
        <v>0.33</v>
      </c>
      <c r="P158" t="n">
        <v>1</v>
      </c>
      <c r="Q158" t="n">
        <v>0.07000000000000001</v>
      </c>
      <c r="R158" t="n">
        <v>1</v>
      </c>
      <c r="S158" t="n">
        <v>18009.75</v>
      </c>
      <c r="T158" t="n">
        <v>30</v>
      </c>
      <c r="U158" t="n">
        <v>34</v>
      </c>
      <c r="V158" t="n">
        <v>30</v>
      </c>
      <c r="W158" t="n">
        <v>19</v>
      </c>
      <c r="X158" t="n">
        <v>24.57002457002457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10440</v>
      </c>
      <c r="AG158" t="n">
        <v>2198</v>
      </c>
      <c r="AH158" t="inlineStr">
        <is>
          <t>PT. JAMBI DISTRINDO RAYA - PPN (JMB)</t>
        </is>
      </c>
      <c r="AI158" t="n">
        <v>1031</v>
      </c>
      <c r="AJ158" t="inlineStr">
        <is>
          <t>AZZURA</t>
        </is>
      </c>
      <c r="AK158" t="n">
        <v>9</v>
      </c>
      <c r="AL158" t="inlineStr">
        <is>
          <t>Miss Glam Jambi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"8998866108485"</f>
        <v/>
      </c>
      <c r="C159" t="inlineStr">
        <is>
          <t>AZZURA Compact Powder Fresh Look 03 Ivory 14gr</t>
        </is>
      </c>
      <c r="D159" t="inlineStr">
        <is>
          <t>Miss Glam Jambi</t>
        </is>
      </c>
      <c r="E159" t="n">
        <v>3</v>
      </c>
      <c r="F159" t="n">
        <v>0.1848</v>
      </c>
      <c r="G159" t="n">
        <v>0.99</v>
      </c>
      <c r="H159" t="n">
        <v>6</v>
      </c>
      <c r="I159" t="n">
        <v>20</v>
      </c>
      <c r="J159" t="n">
        <v>3</v>
      </c>
      <c r="K159" t="n">
        <v>3</v>
      </c>
      <c r="L159" t="n">
        <v>21100</v>
      </c>
      <c r="M159" t="n">
        <v>29500</v>
      </c>
      <c r="N159" t="n">
        <v>33</v>
      </c>
      <c r="O159" t="n">
        <v>0.33</v>
      </c>
      <c r="P159" t="n">
        <v>1</v>
      </c>
      <c r="Q159" t="n">
        <v>0.03</v>
      </c>
      <c r="R159" t="n">
        <v>1</v>
      </c>
      <c r="S159" t="n">
        <v>5451.6</v>
      </c>
      <c r="T159" t="n">
        <v>19</v>
      </c>
      <c r="U159" t="n">
        <v>21</v>
      </c>
      <c r="V159" t="n">
        <v>30</v>
      </c>
      <c r="W159" t="n">
        <v>6</v>
      </c>
      <c r="X159" t="n">
        <v>16.23376623376623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10440</v>
      </c>
      <c r="AG159" t="n">
        <v>2198</v>
      </c>
      <c r="AH159" t="inlineStr">
        <is>
          <t>PT. JAMBI DISTRINDO RAYA - PPN (JMB)</t>
        </is>
      </c>
      <c r="AI159" t="n">
        <v>1031</v>
      </c>
      <c r="AJ159" t="inlineStr">
        <is>
          <t>AZZURA</t>
        </is>
      </c>
      <c r="AK159" t="n">
        <v>9</v>
      </c>
      <c r="AL159" t="inlineStr">
        <is>
          <t>Miss Glam Jambi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"10300147110"</f>
        <v/>
      </c>
      <c r="C160" t="inlineStr">
        <is>
          <t>AZZURA Day Cream Azzura Diamond Bright 30gr</t>
        </is>
      </c>
      <c r="D160" t="inlineStr">
        <is>
          <t>Miss Glam Jambi</t>
        </is>
      </c>
      <c r="E160" t="n">
        <v>5</v>
      </c>
      <c r="F160" t="n">
        <v>0.0264</v>
      </c>
      <c r="G160" t="n">
        <v>0.33</v>
      </c>
      <c r="H160" t="n">
        <v>6</v>
      </c>
      <c r="I160" t="n">
        <v>20</v>
      </c>
      <c r="J160" t="n">
        <v>1</v>
      </c>
      <c r="K160" t="n">
        <v>0</v>
      </c>
      <c r="L160" t="n">
        <v>33540</v>
      </c>
      <c r="M160" t="n">
        <v>39500</v>
      </c>
      <c r="N160" t="n">
        <v>33</v>
      </c>
      <c r="O160" t="n">
        <v>0.33</v>
      </c>
      <c r="P160" t="n">
        <v>1</v>
      </c>
      <c r="Q160" t="n">
        <v>0.08</v>
      </c>
      <c r="R160" t="n">
        <v>1</v>
      </c>
      <c r="S160" t="n">
        <v>1042.8</v>
      </c>
      <c r="T160" t="n">
        <v>7</v>
      </c>
      <c r="U160" t="n">
        <v>8</v>
      </c>
      <c r="V160" t="n">
        <v>30</v>
      </c>
      <c r="W160" t="n">
        <v>1</v>
      </c>
      <c r="X160" t="n">
        <v>189.3939393939394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10440</v>
      </c>
      <c r="AG160" t="n">
        <v>2198</v>
      </c>
      <c r="AH160" t="inlineStr">
        <is>
          <t>PT. JAMBI DISTRINDO RAYA - PPN (JMB)</t>
        </is>
      </c>
      <c r="AI160" t="n">
        <v>1031</v>
      </c>
      <c r="AJ160" t="inlineStr">
        <is>
          <t>AZZURA</t>
        </is>
      </c>
      <c r="AK160" t="n">
        <v>9</v>
      </c>
      <c r="AL160" t="inlineStr">
        <is>
          <t>Miss Glam Jambi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"20200467759"</f>
        <v/>
      </c>
      <c r="C161" t="inlineStr">
        <is>
          <t>AZZURA Eyebrow Matic dark Brown 0,08gr</t>
        </is>
      </c>
      <c r="D161" t="inlineStr">
        <is>
          <t>Miss Glam Jambi</t>
        </is>
      </c>
      <c r="E161" t="n">
        <v>5</v>
      </c>
      <c r="F161" t="n">
        <v>0.0231</v>
      </c>
      <c r="G161" t="n">
        <v>0.33</v>
      </c>
      <c r="H161" t="n">
        <v>6</v>
      </c>
      <c r="I161" t="n">
        <v>20</v>
      </c>
      <c r="J161" t="n">
        <v>1</v>
      </c>
      <c r="K161" t="n">
        <v>0</v>
      </c>
      <c r="L161" t="n">
        <v>28980</v>
      </c>
      <c r="M161" t="n">
        <v>33500</v>
      </c>
      <c r="N161" t="n">
        <v>33</v>
      </c>
      <c r="O161" t="n">
        <v>0.33</v>
      </c>
      <c r="P161" t="n">
        <v>1</v>
      </c>
      <c r="Q161" t="n">
        <v>0.08</v>
      </c>
      <c r="R161" t="n">
        <v>1</v>
      </c>
      <c r="S161" t="n">
        <v>773.8500000000001</v>
      </c>
      <c r="T161" t="n">
        <v>7</v>
      </c>
      <c r="U161" t="n">
        <v>8</v>
      </c>
      <c r="V161" t="n">
        <v>30</v>
      </c>
      <c r="W161" t="n">
        <v>1</v>
      </c>
      <c r="X161" t="n">
        <v>216.4502164502164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10440</v>
      </c>
      <c r="AG161" t="n">
        <v>2198</v>
      </c>
      <c r="AH161" t="inlineStr">
        <is>
          <t>PT. JAMBI DISTRINDO RAYA - PPN (JMB)</t>
        </is>
      </c>
      <c r="AI161" t="n">
        <v>1031</v>
      </c>
      <c r="AJ161" t="inlineStr">
        <is>
          <t>AZZURA</t>
        </is>
      </c>
      <c r="AK161" t="n">
        <v>9</v>
      </c>
      <c r="AL161" t="inlineStr">
        <is>
          <t>Miss Glam Jambi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"20200467618"</f>
        <v/>
      </c>
      <c r="C162" t="inlineStr">
        <is>
          <t>AZZURA Eyebrow Matic Medium Brown 0,08gr</t>
        </is>
      </c>
      <c r="D162" t="inlineStr">
        <is>
          <t>Miss Glam Jambi</t>
        </is>
      </c>
      <c r="E162" t="n">
        <v>2</v>
      </c>
      <c r="F162" t="n">
        <v>0.0165</v>
      </c>
      <c r="G162" t="n">
        <v>0.33</v>
      </c>
      <c r="H162" t="n">
        <v>6</v>
      </c>
      <c r="I162" t="n">
        <v>20</v>
      </c>
      <c r="J162" t="n">
        <v>1</v>
      </c>
      <c r="K162" t="n">
        <v>0</v>
      </c>
      <c r="L162" t="n">
        <v>29288</v>
      </c>
      <c r="M162" t="n">
        <v>33500</v>
      </c>
      <c r="N162" t="n">
        <v>33</v>
      </c>
      <c r="O162" t="n">
        <v>0.33</v>
      </c>
      <c r="P162" t="n">
        <v>1</v>
      </c>
      <c r="Q162" t="n">
        <v>0.02</v>
      </c>
      <c r="R162" t="n">
        <v>1</v>
      </c>
      <c r="S162" t="n">
        <v>552.75</v>
      </c>
      <c r="T162" t="n">
        <v>7</v>
      </c>
      <c r="U162" t="n">
        <v>8</v>
      </c>
      <c r="V162" t="n">
        <v>30</v>
      </c>
      <c r="W162" t="n">
        <v>1</v>
      </c>
      <c r="X162" t="n">
        <v>121.2121212121212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10440</v>
      </c>
      <c r="AG162" t="n">
        <v>2198</v>
      </c>
      <c r="AH162" t="inlineStr">
        <is>
          <t>PT. JAMBI DISTRINDO RAYA - PPN (JMB)</t>
        </is>
      </c>
      <c r="AI162" t="n">
        <v>1031</v>
      </c>
      <c r="AJ162" t="inlineStr">
        <is>
          <t>AZZURA</t>
        </is>
      </c>
      <c r="AK162" t="n">
        <v>9</v>
      </c>
      <c r="AL162" t="inlineStr">
        <is>
          <t>Miss Glam Jambi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"20200467537"</f>
        <v/>
      </c>
      <c r="C163" t="inlineStr">
        <is>
          <t>AZZURA Eyebrow Pencil Black 1,5gr</t>
        </is>
      </c>
      <c r="D163" t="inlineStr">
        <is>
          <t>Miss Glam Jambi</t>
        </is>
      </c>
      <c r="E163" t="n">
        <v>3</v>
      </c>
      <c r="F163" t="n">
        <v>0.009900000000000001</v>
      </c>
      <c r="G163" t="n">
        <v>0.33</v>
      </c>
      <c r="H163" t="n">
        <v>6</v>
      </c>
      <c r="I163" t="n">
        <v>20</v>
      </c>
      <c r="J163" t="n">
        <v>1</v>
      </c>
      <c r="K163" t="n">
        <v>0</v>
      </c>
      <c r="L163" t="n">
        <v>23556</v>
      </c>
      <c r="M163" t="n">
        <v>27500</v>
      </c>
      <c r="N163" t="n">
        <v>33</v>
      </c>
      <c r="O163" t="n">
        <v>0.33</v>
      </c>
      <c r="P163" t="n">
        <v>1</v>
      </c>
      <c r="Q163" t="n">
        <v>0.03</v>
      </c>
      <c r="R163" t="n">
        <v>1</v>
      </c>
      <c r="S163" t="n">
        <v>272.25</v>
      </c>
      <c r="T163" t="n">
        <v>7</v>
      </c>
      <c r="U163" t="n">
        <v>8</v>
      </c>
      <c r="V163" t="n">
        <v>30</v>
      </c>
      <c r="W163" t="n">
        <v>1</v>
      </c>
      <c r="X163" t="n">
        <v>303.030303030303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10440</v>
      </c>
      <c r="AG163" t="n">
        <v>2198</v>
      </c>
      <c r="AH163" t="inlineStr">
        <is>
          <t>PT. JAMBI DISTRINDO RAYA - PPN (JMB)</t>
        </is>
      </c>
      <c r="AI163" t="n">
        <v>1031</v>
      </c>
      <c r="AJ163" t="inlineStr">
        <is>
          <t>AZZURA</t>
        </is>
      </c>
      <c r="AK163" t="n">
        <v>9</v>
      </c>
      <c r="AL163" t="inlineStr">
        <is>
          <t>Miss Glam Jambi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"20200467449"</f>
        <v/>
      </c>
      <c r="C164" t="inlineStr">
        <is>
          <t>AZZURA Eyebrow Pencil Brown 1,5gr</t>
        </is>
      </c>
      <c r="D164" t="inlineStr">
        <is>
          <t>Miss Glam Jambi</t>
        </is>
      </c>
      <c r="E164" t="n">
        <v>3</v>
      </c>
      <c r="F164" t="n">
        <v>0.0396</v>
      </c>
      <c r="G164" t="n">
        <v>0.66</v>
      </c>
      <c r="H164" t="n">
        <v>6</v>
      </c>
      <c r="I164" t="n">
        <v>20</v>
      </c>
      <c r="J164" t="n">
        <v>1</v>
      </c>
      <c r="K164" t="n">
        <v>0</v>
      </c>
      <c r="L164" t="n">
        <v>23682</v>
      </c>
      <c r="M164" t="n">
        <v>27500</v>
      </c>
      <c r="N164" t="n">
        <v>33</v>
      </c>
      <c r="O164" t="n">
        <v>0.33</v>
      </c>
      <c r="P164" t="n">
        <v>1</v>
      </c>
      <c r="Q164" t="n">
        <v>0.05</v>
      </c>
      <c r="R164" t="n">
        <v>1</v>
      </c>
      <c r="S164" t="n">
        <v>1089</v>
      </c>
      <c r="T164" t="n">
        <v>13</v>
      </c>
      <c r="U164" t="n">
        <v>14</v>
      </c>
      <c r="V164" t="n">
        <v>30</v>
      </c>
      <c r="W164" t="n">
        <v>2</v>
      </c>
      <c r="X164" t="n">
        <v>75.75757575757575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10440</v>
      </c>
      <c r="AG164" t="n">
        <v>2198</v>
      </c>
      <c r="AH164" t="inlineStr">
        <is>
          <t>PT. JAMBI DISTRINDO RAYA - PPN (JMB)</t>
        </is>
      </c>
      <c r="AI164" t="n">
        <v>1031</v>
      </c>
      <c r="AJ164" t="inlineStr">
        <is>
          <t>AZZURA</t>
        </is>
      </c>
      <c r="AK164" t="n">
        <v>9</v>
      </c>
      <c r="AL164" t="inlineStr">
        <is>
          <t>Miss Glam Jambi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"20200334604"</f>
        <v/>
      </c>
      <c r="C165" t="inlineStr">
        <is>
          <t>AZZURA Eyeliner Gel Black 0,1 gr</t>
        </is>
      </c>
      <c r="D165" t="inlineStr">
        <is>
          <t>Miss Glam Jambi</t>
        </is>
      </c>
      <c r="E165" t="n">
        <v>8</v>
      </c>
      <c r="F165" t="n">
        <v>0.0165</v>
      </c>
      <c r="G165" t="n">
        <v>0.33</v>
      </c>
      <c r="H165" t="n">
        <v>6</v>
      </c>
      <c r="I165" t="n">
        <v>20</v>
      </c>
      <c r="J165" t="n">
        <v>1</v>
      </c>
      <c r="K165" t="n">
        <v>0</v>
      </c>
      <c r="L165" t="n">
        <v>23483</v>
      </c>
      <c r="M165" t="n">
        <v>29000</v>
      </c>
      <c r="N165" t="n">
        <v>33</v>
      </c>
      <c r="O165" t="n">
        <v>0.33</v>
      </c>
      <c r="P165" t="n">
        <v>1</v>
      </c>
      <c r="Q165" t="n">
        <v>0.07000000000000001</v>
      </c>
      <c r="R165" t="n">
        <v>1</v>
      </c>
      <c r="S165" t="n">
        <v>478.5</v>
      </c>
      <c r="T165" t="n">
        <v>7</v>
      </c>
      <c r="U165" t="n">
        <v>8</v>
      </c>
      <c r="V165" t="n">
        <v>30</v>
      </c>
      <c r="W165" t="n">
        <v>1</v>
      </c>
      <c r="X165" t="n">
        <v>484.8484848484848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10440</v>
      </c>
      <c r="AG165" t="n">
        <v>2198</v>
      </c>
      <c r="AH165" t="inlineStr">
        <is>
          <t>PT. JAMBI DISTRINDO RAYA - PPN (JMB)</t>
        </is>
      </c>
      <c r="AI165" t="n">
        <v>1031</v>
      </c>
      <c r="AJ165" t="inlineStr">
        <is>
          <t>AZZURA</t>
        </is>
      </c>
      <c r="AK165" t="n">
        <v>9</v>
      </c>
      <c r="AL165" t="inlineStr">
        <is>
          <t>Miss Glam Jambi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"20200334710"</f>
        <v/>
      </c>
      <c r="C166" t="inlineStr">
        <is>
          <t>AZZURA Eyeliner Liquid Black 6ml</t>
        </is>
      </c>
      <c r="D166" t="inlineStr">
        <is>
          <t>Miss Glam Jambi</t>
        </is>
      </c>
      <c r="E166" t="n">
        <v>5</v>
      </c>
      <c r="F166" t="n">
        <v>0.009900000000000001</v>
      </c>
      <c r="G166" t="n">
        <v>0.33</v>
      </c>
      <c r="H166" t="n">
        <v>6</v>
      </c>
      <c r="I166" t="n">
        <v>20</v>
      </c>
      <c r="J166" t="n">
        <v>1</v>
      </c>
      <c r="K166" t="n">
        <v>0</v>
      </c>
      <c r="L166" t="n">
        <v>39597</v>
      </c>
      <c r="M166" t="n">
        <v>50000</v>
      </c>
      <c r="N166" t="n">
        <v>33</v>
      </c>
      <c r="O166" t="n">
        <v>0.33</v>
      </c>
      <c r="P166" t="n">
        <v>1</v>
      </c>
      <c r="Q166" t="n">
        <v>0.07000000000000001</v>
      </c>
      <c r="R166" t="n">
        <v>1</v>
      </c>
      <c r="S166" t="n">
        <v>495.0000000000001</v>
      </c>
      <c r="T166" t="n">
        <v>7</v>
      </c>
      <c r="U166" t="n">
        <v>8</v>
      </c>
      <c r="V166" t="n">
        <v>30</v>
      </c>
      <c r="W166" t="n">
        <v>1</v>
      </c>
      <c r="X166" t="n">
        <v>505.050505050505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10440</v>
      </c>
      <c r="AG166" t="n">
        <v>2198</v>
      </c>
      <c r="AH166" t="inlineStr">
        <is>
          <t>PT. JAMBI DISTRINDO RAYA - PPN (JMB)</t>
        </is>
      </c>
      <c r="AI166" t="n">
        <v>1031</v>
      </c>
      <c r="AJ166" t="inlineStr">
        <is>
          <t>AZZURA</t>
        </is>
      </c>
      <c r="AK166" t="n">
        <v>9</v>
      </c>
      <c r="AL166" t="inlineStr">
        <is>
          <t>Miss Glam Jambi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"101001115559"</f>
        <v/>
      </c>
      <c r="C167" t="inlineStr">
        <is>
          <t>AZZURA Facial Whip Foam Azzura Db 100ml</t>
        </is>
      </c>
      <c r="D167" t="inlineStr">
        <is>
          <t>Miss Glam Jambi</t>
        </is>
      </c>
      <c r="E167" t="n">
        <v>18</v>
      </c>
      <c r="F167" t="n">
        <v>0.0726</v>
      </c>
      <c r="G167" t="n">
        <v>0.33</v>
      </c>
      <c r="H167" t="n">
        <v>6</v>
      </c>
      <c r="I167" t="n">
        <v>20</v>
      </c>
      <c r="J167" t="n">
        <v>1</v>
      </c>
      <c r="K167" t="n">
        <v>0</v>
      </c>
      <c r="L167" t="n">
        <v>22192</v>
      </c>
      <c r="M167" t="n">
        <v>26500</v>
      </c>
      <c r="N167" t="n">
        <v>33</v>
      </c>
      <c r="O167" t="n">
        <v>0.33</v>
      </c>
      <c r="P167" t="n">
        <v>1</v>
      </c>
      <c r="Q167" t="n">
        <v>0.1</v>
      </c>
      <c r="R167" t="n">
        <v>3</v>
      </c>
      <c r="S167" t="n">
        <v>1923.9</v>
      </c>
      <c r="T167" t="n">
        <v>7</v>
      </c>
      <c r="U167" t="n">
        <v>8</v>
      </c>
      <c r="V167" t="n">
        <v>30</v>
      </c>
      <c r="W167" t="n">
        <v>3</v>
      </c>
      <c r="X167" t="n">
        <v>247.9338842975207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10440</v>
      </c>
      <c r="AG167" t="n">
        <v>2198</v>
      </c>
      <c r="AH167" t="inlineStr">
        <is>
          <t>PT. JAMBI DISTRINDO RAYA - PPN (JMB)</t>
        </is>
      </c>
      <c r="AI167" t="n">
        <v>1031</v>
      </c>
      <c r="AJ167" t="inlineStr">
        <is>
          <t>AZZURA</t>
        </is>
      </c>
      <c r="AK167" t="n">
        <v>9</v>
      </c>
      <c r="AL167" t="inlineStr">
        <is>
          <t>Miss Glam Jambi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"101001115426"</f>
        <v/>
      </c>
      <c r="C168" t="inlineStr">
        <is>
          <t>AZZURA Gentle Facial Wash Azzura Db 100ml</t>
        </is>
      </c>
      <c r="D168" t="inlineStr">
        <is>
          <t>Miss Glam Jambi</t>
        </is>
      </c>
      <c r="E168" t="n">
        <v>17</v>
      </c>
      <c r="F168" t="n">
        <v>0.033</v>
      </c>
      <c r="G168" t="n">
        <v>0.33</v>
      </c>
      <c r="H168" t="n">
        <v>6</v>
      </c>
      <c r="I168" t="n">
        <v>20</v>
      </c>
      <c r="J168" t="n">
        <v>1</v>
      </c>
      <c r="K168" t="n">
        <v>0</v>
      </c>
      <c r="L168" t="n">
        <v>22192</v>
      </c>
      <c r="M168" t="n">
        <v>26500</v>
      </c>
      <c r="N168" t="n">
        <v>33</v>
      </c>
      <c r="O168" t="n">
        <v>0.33</v>
      </c>
      <c r="P168" t="n">
        <v>1</v>
      </c>
      <c r="Q168" t="n">
        <v>0.07000000000000001</v>
      </c>
      <c r="R168" t="n">
        <v>1</v>
      </c>
      <c r="S168" t="n">
        <v>874.5</v>
      </c>
      <c r="T168" t="n">
        <v>7</v>
      </c>
      <c r="U168" t="n">
        <v>8</v>
      </c>
      <c r="V168" t="n">
        <v>30</v>
      </c>
      <c r="W168" t="n">
        <v>1</v>
      </c>
      <c r="X168" t="n">
        <v>515.1515151515151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10440</v>
      </c>
      <c r="AG168" t="n">
        <v>2198</v>
      </c>
      <c r="AH168" t="inlineStr">
        <is>
          <t>PT. JAMBI DISTRINDO RAYA - PPN (JMB)</t>
        </is>
      </c>
      <c r="AI168" t="n">
        <v>1031</v>
      </c>
      <c r="AJ168" t="inlineStr">
        <is>
          <t>AZZURA</t>
        </is>
      </c>
      <c r="AK168" t="n">
        <v>9</v>
      </c>
      <c r="AL168" t="inlineStr">
        <is>
          <t>Miss Glam Jambi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"8998866108768"</f>
        <v/>
      </c>
      <c r="C169" t="inlineStr">
        <is>
          <t>AZZURA Long Lasting Lipstick with Avocado Butter &amp; Vitamin E  06 Choco Mouse 3gr</t>
        </is>
      </c>
      <c r="D169" t="inlineStr">
        <is>
          <t>Miss Glam Jambi</t>
        </is>
      </c>
      <c r="E169" t="n">
        <v>5</v>
      </c>
      <c r="F169" t="n">
        <v>0.0165</v>
      </c>
      <c r="G169" t="n">
        <v>0.66</v>
      </c>
      <c r="H169" t="n">
        <v>6</v>
      </c>
      <c r="I169" t="n">
        <v>20</v>
      </c>
      <c r="J169" t="n">
        <v>3</v>
      </c>
      <c r="K169" t="n">
        <v>0</v>
      </c>
      <c r="L169" t="n">
        <v>23619</v>
      </c>
      <c r="M169" t="n">
        <v>27000</v>
      </c>
      <c r="N169" t="n">
        <v>33</v>
      </c>
      <c r="O169" t="n">
        <v>0.33</v>
      </c>
      <c r="P169" t="n">
        <v>1</v>
      </c>
      <c r="Q169" t="n">
        <v>0.02</v>
      </c>
      <c r="R169" t="n">
        <v>1</v>
      </c>
      <c r="S169" t="n">
        <v>445.5</v>
      </c>
      <c r="T169" t="n">
        <v>14</v>
      </c>
      <c r="U169" t="n">
        <v>15</v>
      </c>
      <c r="V169" t="n">
        <v>30</v>
      </c>
      <c r="W169" t="n">
        <v>1</v>
      </c>
      <c r="X169" t="n">
        <v>303.030303030303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10440</v>
      </c>
      <c r="AG169" t="n">
        <v>2198</v>
      </c>
      <c r="AH169" t="inlineStr">
        <is>
          <t>PT. JAMBI DISTRINDO RAYA - PPN (JMB)</t>
        </is>
      </c>
      <c r="AI169" t="n">
        <v>1031</v>
      </c>
      <c r="AJ169" t="inlineStr">
        <is>
          <t>AZZURA</t>
        </is>
      </c>
      <c r="AK169" t="n">
        <v>9</v>
      </c>
      <c r="AL169" t="inlineStr">
        <is>
          <t>Miss Glam Jambi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"8998866108713"</f>
        <v/>
      </c>
      <c r="C170" t="inlineStr">
        <is>
          <t>AZZURA Long Lasting Lipstick with Avocado Butter &amp; Vitamin E 01 Amazing Nude 3gr</t>
        </is>
      </c>
      <c r="D170" t="inlineStr">
        <is>
          <t>Miss Glam Jambi</t>
        </is>
      </c>
      <c r="E170" t="n">
        <v>4</v>
      </c>
      <c r="F170" t="n">
        <v>0.0462</v>
      </c>
      <c r="G170" t="n">
        <v>0.33</v>
      </c>
      <c r="H170" t="n">
        <v>6</v>
      </c>
      <c r="I170" t="n">
        <v>20</v>
      </c>
      <c r="J170" t="n">
        <v>3</v>
      </c>
      <c r="K170" t="n">
        <v>0</v>
      </c>
      <c r="L170" t="n">
        <v>23619</v>
      </c>
      <c r="M170" t="n">
        <v>27000</v>
      </c>
      <c r="N170" t="n">
        <v>33</v>
      </c>
      <c r="O170" t="n">
        <v>0.33</v>
      </c>
      <c r="P170" t="n">
        <v>1</v>
      </c>
      <c r="Q170" t="n">
        <v>0.05</v>
      </c>
      <c r="R170" t="n">
        <v>1</v>
      </c>
      <c r="S170" t="n">
        <v>1247.4</v>
      </c>
      <c r="T170" t="n">
        <v>7</v>
      </c>
      <c r="U170" t="n">
        <v>8</v>
      </c>
      <c r="V170" t="n">
        <v>30</v>
      </c>
      <c r="W170" t="n">
        <v>2</v>
      </c>
      <c r="X170" t="n">
        <v>86.58008658008657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10440</v>
      </c>
      <c r="AG170" t="n">
        <v>2198</v>
      </c>
      <c r="AH170" t="inlineStr">
        <is>
          <t>PT. JAMBI DISTRINDO RAYA - PPN (JMB)</t>
        </is>
      </c>
      <c r="AI170" t="n">
        <v>1031</v>
      </c>
      <c r="AJ170" t="inlineStr">
        <is>
          <t>AZZURA</t>
        </is>
      </c>
      <c r="AK170" t="n">
        <v>9</v>
      </c>
      <c r="AL170" t="inlineStr">
        <is>
          <t>Miss Glam Jambi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"8998866108737"</f>
        <v/>
      </c>
      <c r="C171" t="inlineStr">
        <is>
          <t>AZZURA Long Lasting Lipstick with Avocado Butter &amp; Vitamin E 03 Passion Peach 3gr</t>
        </is>
      </c>
      <c r="D171" t="inlineStr">
        <is>
          <t>Miss Glam Jambi</t>
        </is>
      </c>
      <c r="E171" t="n">
        <v>4</v>
      </c>
      <c r="F171" t="n">
        <v>0.0264</v>
      </c>
      <c r="G171" t="n">
        <v>0.66</v>
      </c>
      <c r="H171" t="n">
        <v>6</v>
      </c>
      <c r="I171" t="n">
        <v>20</v>
      </c>
      <c r="J171" t="n">
        <v>3</v>
      </c>
      <c r="K171" t="n">
        <v>0</v>
      </c>
      <c r="L171" t="n">
        <v>23583</v>
      </c>
      <c r="M171" t="n">
        <v>26500</v>
      </c>
      <c r="N171" t="n">
        <v>33</v>
      </c>
      <c r="O171" t="n">
        <v>0.33</v>
      </c>
      <c r="P171" t="n">
        <v>1</v>
      </c>
      <c r="Q171" t="n">
        <v>0.05</v>
      </c>
      <c r="R171" t="n">
        <v>1</v>
      </c>
      <c r="S171" t="n">
        <v>699.6000000000001</v>
      </c>
      <c r="T171" t="n">
        <v>14</v>
      </c>
      <c r="U171" t="n">
        <v>15</v>
      </c>
      <c r="V171" t="n">
        <v>30</v>
      </c>
      <c r="W171" t="n">
        <v>1</v>
      </c>
      <c r="X171" t="n">
        <v>151.5151515151515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10440</v>
      </c>
      <c r="AG171" t="n">
        <v>2198</v>
      </c>
      <c r="AH171" t="inlineStr">
        <is>
          <t>PT. JAMBI DISTRINDO RAYA - PPN (JMB)</t>
        </is>
      </c>
      <c r="AI171" t="n">
        <v>1031</v>
      </c>
      <c r="AJ171" t="inlineStr">
        <is>
          <t>AZZURA</t>
        </is>
      </c>
      <c r="AK171" t="n">
        <v>9</v>
      </c>
      <c r="AL171" t="inlineStr">
        <is>
          <t>Miss Glam Jambi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"8998866108744"</f>
        <v/>
      </c>
      <c r="C172" t="inlineStr">
        <is>
          <t>AZZURA Long Lasting Lipstick with Avocado Butter &amp; Vitamin E 04 Fuchsia Blush 3gr</t>
        </is>
      </c>
      <c r="D172" t="inlineStr">
        <is>
          <t>Miss Glam Jambi</t>
        </is>
      </c>
      <c r="E172" t="n">
        <v>12</v>
      </c>
      <c r="F172" t="n">
        <v>0.1221</v>
      </c>
      <c r="G172" t="n">
        <v>1.32</v>
      </c>
      <c r="H172" t="n">
        <v>6</v>
      </c>
      <c r="I172" t="n">
        <v>20</v>
      </c>
      <c r="J172" t="n">
        <v>3</v>
      </c>
      <c r="K172" t="n">
        <v>0</v>
      </c>
      <c r="L172" t="n">
        <v>23619</v>
      </c>
      <c r="M172" t="n">
        <v>28000</v>
      </c>
      <c r="N172" t="n">
        <v>33</v>
      </c>
      <c r="O172" t="n">
        <v>0.33</v>
      </c>
      <c r="P172" t="n">
        <v>1</v>
      </c>
      <c r="Q172" t="n">
        <v>0.05</v>
      </c>
      <c r="R172" t="n">
        <v>2</v>
      </c>
      <c r="S172" t="n">
        <v>3418.8</v>
      </c>
      <c r="T172" t="n">
        <v>26</v>
      </c>
      <c r="U172" t="n">
        <v>27</v>
      </c>
      <c r="V172" t="n">
        <v>30</v>
      </c>
      <c r="W172" t="n">
        <v>4</v>
      </c>
      <c r="X172" t="n">
        <v>98.28009828009829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10440</v>
      </c>
      <c r="AG172" t="n">
        <v>2198</v>
      </c>
      <c r="AH172" t="inlineStr">
        <is>
          <t>PT. JAMBI DISTRINDO RAYA - PPN (JMB)</t>
        </is>
      </c>
      <c r="AI172" t="n">
        <v>1031</v>
      </c>
      <c r="AJ172" t="inlineStr">
        <is>
          <t>AZZURA</t>
        </is>
      </c>
      <c r="AK172" t="n">
        <v>9</v>
      </c>
      <c r="AL172" t="inlineStr">
        <is>
          <t>Miss Glam Jambi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"8998866108751"</f>
        <v/>
      </c>
      <c r="C173" t="inlineStr">
        <is>
          <t>AZZURA Long Lasting Lipstick with Avocado Butter &amp; Vitamin E 05 Passionate Pink 3gr</t>
        </is>
      </c>
      <c r="D173" t="inlineStr">
        <is>
          <t>Miss Glam Jambi</t>
        </is>
      </c>
      <c r="E173" t="n">
        <v>3</v>
      </c>
      <c r="F173" t="n">
        <v>0.1122</v>
      </c>
      <c r="G173" t="n">
        <v>0.99</v>
      </c>
      <c r="H173" t="n">
        <v>6</v>
      </c>
      <c r="I173" t="n">
        <v>20</v>
      </c>
      <c r="J173" t="n">
        <v>3</v>
      </c>
      <c r="K173" t="n">
        <v>3</v>
      </c>
      <c r="L173" t="n">
        <v>23619</v>
      </c>
      <c r="M173" t="n">
        <v>26500</v>
      </c>
      <c r="N173" t="n">
        <v>33</v>
      </c>
      <c r="O173" t="n">
        <v>0.33</v>
      </c>
      <c r="P173" t="n">
        <v>1</v>
      </c>
      <c r="Q173" t="n">
        <v>0.02</v>
      </c>
      <c r="R173" t="n">
        <v>1</v>
      </c>
      <c r="S173" t="n">
        <v>2973.3</v>
      </c>
      <c r="T173" t="n">
        <v>20</v>
      </c>
      <c r="U173" t="n">
        <v>21</v>
      </c>
      <c r="V173" t="n">
        <v>30</v>
      </c>
      <c r="W173" t="n">
        <v>4</v>
      </c>
      <c r="X173" t="n">
        <v>26.7379679144385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10440</v>
      </c>
      <c r="AG173" t="n">
        <v>2198</v>
      </c>
      <c r="AH173" t="inlineStr">
        <is>
          <t>PT. JAMBI DISTRINDO RAYA - PPN (JMB)</t>
        </is>
      </c>
      <c r="AI173" t="n">
        <v>1031</v>
      </c>
      <c r="AJ173" t="inlineStr">
        <is>
          <t>AZZURA</t>
        </is>
      </c>
      <c r="AK173" t="n">
        <v>9</v>
      </c>
      <c r="AL173" t="inlineStr">
        <is>
          <t>Miss Glam Jambi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"8998866109598"</f>
        <v/>
      </c>
      <c r="C174" t="inlineStr">
        <is>
          <t>AZZURA Long Lasting Lipstick With Avocado Butter &amp; Vitamin E 09 Mauve Ruse 3gr</t>
        </is>
      </c>
      <c r="D174" t="inlineStr">
        <is>
          <t>Miss Glam Jambi</t>
        </is>
      </c>
      <c r="E174" t="n">
        <v>3</v>
      </c>
      <c r="F174" t="n">
        <v>0.1551</v>
      </c>
      <c r="G174" t="n">
        <v>1.32</v>
      </c>
      <c r="H174" t="n">
        <v>6</v>
      </c>
      <c r="I174" t="n">
        <v>20</v>
      </c>
      <c r="J174" t="n">
        <v>3</v>
      </c>
      <c r="K174" t="n">
        <v>3</v>
      </c>
      <c r="L174" t="n">
        <v>23619</v>
      </c>
      <c r="M174" t="n">
        <v>26500</v>
      </c>
      <c r="N174" t="n">
        <v>33</v>
      </c>
      <c r="O174" t="n">
        <v>0.33</v>
      </c>
      <c r="P174" t="n">
        <v>1</v>
      </c>
      <c r="Q174" t="n">
        <v>0.08</v>
      </c>
      <c r="R174" t="n">
        <v>1</v>
      </c>
      <c r="S174" t="n">
        <v>4110.15</v>
      </c>
      <c r="T174" t="n">
        <v>26</v>
      </c>
      <c r="U174" t="n">
        <v>27</v>
      </c>
      <c r="V174" t="n">
        <v>30</v>
      </c>
      <c r="W174" t="n">
        <v>5</v>
      </c>
      <c r="X174" t="n">
        <v>19.34235976789168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10440</v>
      </c>
      <c r="AG174" t="n">
        <v>2198</v>
      </c>
      <c r="AH174" t="inlineStr">
        <is>
          <t>PT. JAMBI DISTRINDO RAYA - PPN (JMB)</t>
        </is>
      </c>
      <c r="AI174" t="n">
        <v>1031</v>
      </c>
      <c r="AJ174" t="inlineStr">
        <is>
          <t>AZZURA</t>
        </is>
      </c>
      <c r="AK174" t="n">
        <v>9</v>
      </c>
      <c r="AL174" t="inlineStr">
        <is>
          <t>Miss Glam Jambi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"8998866109611"</f>
        <v/>
      </c>
      <c r="C175" t="inlineStr">
        <is>
          <t>AZZURA Long Lasting Lipstick With Avocado Butter &amp; Vitamin E 11 Peach Beauty 3gr</t>
        </is>
      </c>
      <c r="D175" t="inlineStr">
        <is>
          <t>Miss Glam Jambi</t>
        </is>
      </c>
      <c r="E175" t="n">
        <v>4</v>
      </c>
      <c r="F175" t="n">
        <v>0.009900000000000001</v>
      </c>
      <c r="G175" t="n">
        <v>0.33</v>
      </c>
      <c r="H175" t="n">
        <v>6</v>
      </c>
      <c r="I175" t="n">
        <v>20</v>
      </c>
      <c r="J175" t="n">
        <v>3</v>
      </c>
      <c r="K175" t="n">
        <v>0</v>
      </c>
      <c r="L175" t="n">
        <v>23619</v>
      </c>
      <c r="M175" t="n">
        <v>27000</v>
      </c>
      <c r="N175" t="n">
        <v>33</v>
      </c>
      <c r="O175" t="n">
        <v>0.33</v>
      </c>
      <c r="P175" t="n">
        <v>1</v>
      </c>
      <c r="Q175" t="n">
        <v>0.03</v>
      </c>
      <c r="R175" t="n">
        <v>2</v>
      </c>
      <c r="S175" t="n">
        <v>267.3</v>
      </c>
      <c r="T175" t="n">
        <v>7</v>
      </c>
      <c r="U175" t="n">
        <v>8</v>
      </c>
      <c r="V175" t="n">
        <v>30</v>
      </c>
      <c r="W175" t="n">
        <v>1</v>
      </c>
      <c r="X175" t="n">
        <v>404.040404040404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10440</v>
      </c>
      <c r="AG175" t="n">
        <v>2198</v>
      </c>
      <c r="AH175" t="inlineStr">
        <is>
          <t>PT. JAMBI DISTRINDO RAYA - PPN (JMB)</t>
        </is>
      </c>
      <c r="AI175" t="n">
        <v>1031</v>
      </c>
      <c r="AJ175" t="inlineStr">
        <is>
          <t>AZZURA</t>
        </is>
      </c>
      <c r="AK175" t="n">
        <v>9</v>
      </c>
      <c r="AL175" t="inlineStr">
        <is>
          <t>Miss Glam Jambi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"8998866109628"</f>
        <v/>
      </c>
      <c r="C176" t="inlineStr">
        <is>
          <t>AZZURA Long Lasting Lipstick With Avocado Butter &amp; Vitamin E 12 Bare With Me 3gr</t>
        </is>
      </c>
      <c r="D176" t="inlineStr">
        <is>
          <t>Miss Glam Jambi</t>
        </is>
      </c>
      <c r="E176" t="n">
        <v>5</v>
      </c>
      <c r="F176" t="n">
        <v>0.07920000000000001</v>
      </c>
      <c r="G176" t="n">
        <v>0.66</v>
      </c>
      <c r="H176" t="n">
        <v>6</v>
      </c>
      <c r="I176" t="n">
        <v>20</v>
      </c>
      <c r="J176" t="n">
        <v>3</v>
      </c>
      <c r="K176" t="n">
        <v>0</v>
      </c>
      <c r="L176" t="n">
        <v>23619</v>
      </c>
      <c r="M176" t="n">
        <v>27000</v>
      </c>
      <c r="N176" t="n">
        <v>33</v>
      </c>
      <c r="O176" t="n">
        <v>0.33</v>
      </c>
      <c r="P176" t="n">
        <v>1</v>
      </c>
      <c r="Q176" t="n">
        <v>0.03</v>
      </c>
      <c r="R176" t="n">
        <v>1</v>
      </c>
      <c r="S176" t="n">
        <v>2138.4</v>
      </c>
      <c r="T176" t="n">
        <v>13</v>
      </c>
      <c r="U176" t="n">
        <v>14</v>
      </c>
      <c r="V176" t="n">
        <v>30</v>
      </c>
      <c r="W176" t="n">
        <v>3</v>
      </c>
      <c r="X176" t="n">
        <v>63.13131313131313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10440</v>
      </c>
      <c r="AG176" t="n">
        <v>2198</v>
      </c>
      <c r="AH176" t="inlineStr">
        <is>
          <t>PT. JAMBI DISTRINDO RAYA - PPN (JMB)</t>
        </is>
      </c>
      <c r="AI176" t="n">
        <v>1031</v>
      </c>
      <c r="AJ176" t="inlineStr">
        <is>
          <t>AZZURA</t>
        </is>
      </c>
      <c r="AK176" t="n">
        <v>9</v>
      </c>
      <c r="AL176" t="inlineStr">
        <is>
          <t>Miss Glam Jambi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"8998866109635"</f>
        <v/>
      </c>
      <c r="C177" t="inlineStr">
        <is>
          <t>AZZURA Long Lasting Lipstick With Avocado Butter &amp; Vitamin E 13 Brick Red 3gr</t>
        </is>
      </c>
      <c r="D177" t="inlineStr">
        <is>
          <t>Miss Glam Jambi</t>
        </is>
      </c>
      <c r="E177" t="n">
        <v>6</v>
      </c>
      <c r="F177" t="n">
        <v>0.0726</v>
      </c>
      <c r="G177" t="n">
        <v>0.33</v>
      </c>
      <c r="H177" t="n">
        <v>6</v>
      </c>
      <c r="I177" t="n">
        <v>20</v>
      </c>
      <c r="J177" t="n">
        <v>3</v>
      </c>
      <c r="K177" t="n">
        <v>0</v>
      </c>
      <c r="L177" t="n">
        <v>23619</v>
      </c>
      <c r="M177" t="n">
        <v>26500</v>
      </c>
      <c r="N177" t="n">
        <v>33</v>
      </c>
      <c r="O177" t="n">
        <v>0.33</v>
      </c>
      <c r="P177" t="n">
        <v>1</v>
      </c>
      <c r="Q177" t="n">
        <v>0.02</v>
      </c>
      <c r="R177" t="n">
        <v>1</v>
      </c>
      <c r="S177" t="n">
        <v>1923.9</v>
      </c>
      <c r="T177" t="n">
        <v>7</v>
      </c>
      <c r="U177" t="n">
        <v>8</v>
      </c>
      <c r="V177" t="n">
        <v>30</v>
      </c>
      <c r="W177" t="n">
        <v>3</v>
      </c>
      <c r="X177" t="n">
        <v>82.64462809917356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10440</v>
      </c>
      <c r="AG177" t="n">
        <v>2198</v>
      </c>
      <c r="AH177" t="inlineStr">
        <is>
          <t>PT. JAMBI DISTRINDO RAYA - PPN (JMB)</t>
        </is>
      </c>
      <c r="AI177" t="n">
        <v>1031</v>
      </c>
      <c r="AJ177" t="inlineStr">
        <is>
          <t>AZZURA</t>
        </is>
      </c>
      <c r="AK177" t="n">
        <v>9</v>
      </c>
      <c r="AL177" t="inlineStr">
        <is>
          <t>Miss Glam Jambi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"8998866109642"</f>
        <v/>
      </c>
      <c r="C178" t="inlineStr">
        <is>
          <t>AZZURA Long Lasting Lipstick With Avocado Butter &amp; Vitamin E 14 Sweet Taupe 3gr</t>
        </is>
      </c>
      <c r="D178" t="inlineStr">
        <is>
          <t>Miss Glam Jambi</t>
        </is>
      </c>
      <c r="E178" t="n">
        <v>6</v>
      </c>
      <c r="F178" t="n">
        <v>0.1122</v>
      </c>
      <c r="G178" t="n">
        <v>2.64</v>
      </c>
      <c r="H178" t="n">
        <v>6</v>
      </c>
      <c r="I178" t="n">
        <v>20</v>
      </c>
      <c r="J178" t="n">
        <v>3</v>
      </c>
      <c r="K178" t="n">
        <v>0</v>
      </c>
      <c r="L178" t="n">
        <v>23619</v>
      </c>
      <c r="M178" t="n">
        <v>28000</v>
      </c>
      <c r="N178" t="n">
        <v>33</v>
      </c>
      <c r="O178" t="n">
        <v>0.33</v>
      </c>
      <c r="P178" t="n">
        <v>1</v>
      </c>
      <c r="Q178" t="n">
        <v>0.05</v>
      </c>
      <c r="R178" t="n">
        <v>1</v>
      </c>
      <c r="S178" t="n">
        <v>3141.6</v>
      </c>
      <c r="T178" t="n">
        <v>53</v>
      </c>
      <c r="U178" t="n">
        <v>54</v>
      </c>
      <c r="V178" t="n">
        <v>30</v>
      </c>
      <c r="W178" t="n">
        <v>4</v>
      </c>
      <c r="X178" t="n">
        <v>53.475935828877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10440</v>
      </c>
      <c r="AG178" t="n">
        <v>2198</v>
      </c>
      <c r="AH178" t="inlineStr">
        <is>
          <t>PT. JAMBI DISTRINDO RAYA - PPN (JMB)</t>
        </is>
      </c>
      <c r="AI178" t="n">
        <v>1031</v>
      </c>
      <c r="AJ178" t="inlineStr">
        <is>
          <t>AZZURA</t>
        </is>
      </c>
      <c r="AK178" t="n">
        <v>9</v>
      </c>
      <c r="AL178" t="inlineStr">
        <is>
          <t>Miss Glam Jambi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"8998866108492"</f>
        <v/>
      </c>
      <c r="C179" t="inlineStr">
        <is>
          <t>AZZURA Loose Powder Fresh Look 01 Light Beige 30gr</t>
        </is>
      </c>
      <c r="D179" t="inlineStr">
        <is>
          <t>Miss Glam Jambi</t>
        </is>
      </c>
      <c r="E179" t="n">
        <v>13</v>
      </c>
      <c r="F179" t="n">
        <v>0.8349</v>
      </c>
      <c r="G179" t="n">
        <v>2.31</v>
      </c>
      <c r="H179" t="n">
        <v>6</v>
      </c>
      <c r="I179" t="n">
        <v>20</v>
      </c>
      <c r="J179" t="n">
        <v>3</v>
      </c>
      <c r="K179" t="n">
        <v>8</v>
      </c>
      <c r="L179" t="n">
        <v>19208</v>
      </c>
      <c r="M179" t="n">
        <v>24500</v>
      </c>
      <c r="N179" t="n">
        <v>33</v>
      </c>
      <c r="O179" t="n">
        <v>0.33</v>
      </c>
      <c r="P179" t="n">
        <v>1</v>
      </c>
      <c r="Q179" t="n">
        <v>0.36</v>
      </c>
      <c r="R179" t="n">
        <v>2</v>
      </c>
      <c r="S179" t="n">
        <v>20455.05</v>
      </c>
      <c r="T179" t="n">
        <v>42</v>
      </c>
      <c r="U179" t="n">
        <v>48</v>
      </c>
      <c r="V179" t="n">
        <v>30</v>
      </c>
      <c r="W179" t="n">
        <v>26</v>
      </c>
      <c r="X179" t="n">
        <v>15.57072703317763</v>
      </c>
      <c r="Y179" t="n">
        <v>1</v>
      </c>
      <c r="Z179" t="n">
        <v>5</v>
      </c>
      <c r="AA179" t="n">
        <v>3</v>
      </c>
      <c r="AB179" t="n">
        <v>2</v>
      </c>
      <c r="AC179" t="n">
        <v>3</v>
      </c>
      <c r="AD179" t="n">
        <v>57624</v>
      </c>
      <c r="AE179" t="n">
        <v>57624</v>
      </c>
      <c r="AF179" t="n">
        <v>10440</v>
      </c>
      <c r="AG179" t="n">
        <v>2198</v>
      </c>
      <c r="AH179" t="inlineStr">
        <is>
          <t>PT. JAMBI DISTRINDO RAYA - PPN (JMB)</t>
        </is>
      </c>
      <c r="AI179" t="n">
        <v>1031</v>
      </c>
      <c r="AJ179" t="inlineStr">
        <is>
          <t>AZZURA</t>
        </is>
      </c>
      <c r="AK179" t="n">
        <v>9</v>
      </c>
      <c r="AL179" t="inlineStr">
        <is>
          <t>Miss Glam Jambi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"8998866108508"</f>
        <v/>
      </c>
      <c r="C180" t="inlineStr">
        <is>
          <t>AZZURA Loose Powder Fresh Look 02 Natural 30gr</t>
        </is>
      </c>
      <c r="D180" t="inlineStr">
        <is>
          <t>Miss Glam Jambi</t>
        </is>
      </c>
      <c r="E180" t="n">
        <v>21</v>
      </c>
      <c r="F180" t="n">
        <v>2.2209</v>
      </c>
      <c r="G180" t="n">
        <v>4.62</v>
      </c>
      <c r="H180" t="n">
        <v>6</v>
      </c>
      <c r="I180" t="n">
        <v>20</v>
      </c>
      <c r="J180" t="n">
        <v>3</v>
      </c>
      <c r="K180" t="n">
        <v>23</v>
      </c>
      <c r="L180" t="n">
        <v>19258</v>
      </c>
      <c r="M180" t="n">
        <v>24500</v>
      </c>
      <c r="N180" t="n">
        <v>33</v>
      </c>
      <c r="O180" t="n">
        <v>0.33</v>
      </c>
      <c r="P180" t="n">
        <v>1</v>
      </c>
      <c r="Q180" t="n">
        <v>0.59</v>
      </c>
      <c r="R180" t="n">
        <v>3</v>
      </c>
      <c r="S180" t="n">
        <v>54412.05000000001</v>
      </c>
      <c r="T180" t="n">
        <v>80</v>
      </c>
      <c r="U180" t="n">
        <v>94</v>
      </c>
      <c r="V180" t="n">
        <v>30</v>
      </c>
      <c r="W180" t="n">
        <v>67</v>
      </c>
      <c r="X180" t="n">
        <v>9.455626097528027</v>
      </c>
      <c r="Y180" t="n">
        <v>1</v>
      </c>
      <c r="Z180" t="n">
        <v>23</v>
      </c>
      <c r="AA180" t="n">
        <v>23</v>
      </c>
      <c r="AB180" t="n">
        <v>0</v>
      </c>
      <c r="AC180" t="n">
        <v>0</v>
      </c>
      <c r="AD180" t="n">
        <v>442934</v>
      </c>
      <c r="AE180" t="n">
        <v>0</v>
      </c>
      <c r="AF180" t="n">
        <v>10440</v>
      </c>
      <c r="AG180" t="n">
        <v>2198</v>
      </c>
      <c r="AH180" t="inlineStr">
        <is>
          <t>PT. JAMBI DISTRINDO RAYA - PPN (JMB)</t>
        </is>
      </c>
      <c r="AI180" t="n">
        <v>1031</v>
      </c>
      <c r="AJ180" t="inlineStr">
        <is>
          <t>AZZURA</t>
        </is>
      </c>
      <c r="AK180" t="n">
        <v>9</v>
      </c>
      <c r="AL180" t="inlineStr">
        <is>
          <t>Miss Glam Jambi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"8998866108515"</f>
        <v/>
      </c>
      <c r="C181" t="inlineStr">
        <is>
          <t>AZZURA Loose Powder Fresh Look 03 Ivory 30gr</t>
        </is>
      </c>
      <c r="D181" t="inlineStr">
        <is>
          <t>Miss Glam Jambi</t>
        </is>
      </c>
      <c r="E181" t="n">
        <v>5</v>
      </c>
      <c r="F181" t="n">
        <v>0.9636</v>
      </c>
      <c r="G181" t="n">
        <v>2.97</v>
      </c>
      <c r="H181" t="n">
        <v>6</v>
      </c>
      <c r="I181" t="n">
        <v>20</v>
      </c>
      <c r="J181" t="n">
        <v>3</v>
      </c>
      <c r="K181" t="n">
        <v>10</v>
      </c>
      <c r="L181" t="n">
        <v>19839</v>
      </c>
      <c r="M181" t="n">
        <v>23000</v>
      </c>
      <c r="N181" t="n">
        <v>33</v>
      </c>
      <c r="O181" t="n">
        <v>0.33</v>
      </c>
      <c r="P181" t="n">
        <v>1</v>
      </c>
      <c r="Q181" t="n">
        <v>0.19</v>
      </c>
      <c r="R181" t="n">
        <v>2</v>
      </c>
      <c r="S181" t="n">
        <v>22162.8</v>
      </c>
      <c r="T181" t="n">
        <v>54</v>
      </c>
      <c r="U181" t="n">
        <v>60</v>
      </c>
      <c r="V181" t="n">
        <v>30</v>
      </c>
      <c r="W181" t="n">
        <v>29</v>
      </c>
      <c r="X181" t="n">
        <v>5.188875051888751</v>
      </c>
      <c r="Y181" t="n">
        <v>1</v>
      </c>
      <c r="Z181" t="n">
        <v>14</v>
      </c>
      <c r="AA181" t="n">
        <v>14</v>
      </c>
      <c r="AB181" t="n">
        <v>0</v>
      </c>
      <c r="AC181" t="n">
        <v>0</v>
      </c>
      <c r="AD181" t="n">
        <v>277746</v>
      </c>
      <c r="AE181" t="n">
        <v>0</v>
      </c>
      <c r="AF181" t="n">
        <v>10440</v>
      </c>
      <c r="AG181" t="n">
        <v>2198</v>
      </c>
      <c r="AH181" t="inlineStr">
        <is>
          <t>PT. JAMBI DISTRINDO RAYA - PPN (JMB)</t>
        </is>
      </c>
      <c r="AI181" t="n">
        <v>1031</v>
      </c>
      <c r="AJ181" t="inlineStr">
        <is>
          <t>AZZURA</t>
        </is>
      </c>
      <c r="AK181" t="n">
        <v>9</v>
      </c>
      <c r="AL181" t="inlineStr">
        <is>
          <t>Miss Glam Jambi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"8998866108522"</f>
        <v/>
      </c>
      <c r="C182" t="inlineStr">
        <is>
          <t>AZZURA Luminous Cushion SPF 25 PA+++ 01 Light Beige 15gr</t>
        </is>
      </c>
      <c r="D182" t="inlineStr">
        <is>
          <t>Miss Glam Jambi</t>
        </is>
      </c>
      <c r="E182" t="n">
        <v>6</v>
      </c>
      <c r="F182" t="n">
        <v>0.006600000000000001</v>
      </c>
      <c r="G182" t="n">
        <v>0.33</v>
      </c>
      <c r="H182" t="n">
        <v>6</v>
      </c>
      <c r="I182" t="n">
        <v>20</v>
      </c>
      <c r="J182" t="n">
        <v>3</v>
      </c>
      <c r="K182" t="n">
        <v>0</v>
      </c>
      <c r="L182" t="n">
        <v>75582</v>
      </c>
      <c r="M182" t="n">
        <v>89000</v>
      </c>
      <c r="N182" t="n">
        <v>33</v>
      </c>
      <c r="O182" t="n">
        <v>0.33</v>
      </c>
      <c r="P182" t="n">
        <v>1</v>
      </c>
      <c r="Q182" t="n">
        <v>0.05</v>
      </c>
      <c r="R182" t="n">
        <v>2</v>
      </c>
      <c r="S182" t="n">
        <v>587.4000000000001</v>
      </c>
      <c r="T182" t="n">
        <v>7</v>
      </c>
      <c r="U182" t="n">
        <v>8</v>
      </c>
      <c r="V182" t="n">
        <v>30</v>
      </c>
      <c r="W182" t="n">
        <v>1</v>
      </c>
      <c r="X182" t="n">
        <v>909.090909090909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10440</v>
      </c>
      <c r="AG182" t="n">
        <v>2198</v>
      </c>
      <c r="AH182" t="inlineStr">
        <is>
          <t>PT. JAMBI DISTRINDO RAYA - PPN (JMB)</t>
        </is>
      </c>
      <c r="AI182" t="n">
        <v>1031</v>
      </c>
      <c r="AJ182" t="inlineStr">
        <is>
          <t>AZZURA</t>
        </is>
      </c>
      <c r="AK182" t="n">
        <v>9</v>
      </c>
      <c r="AL182" t="inlineStr">
        <is>
          <t>Miss Glam Jambi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"8998866108539"</f>
        <v/>
      </c>
      <c r="C183" t="inlineStr">
        <is>
          <t>AZZURA Luminous Cushion SPF 25 PA+++ 02 Natural 15gr</t>
        </is>
      </c>
      <c r="D183" t="inlineStr">
        <is>
          <t>Miss Glam Jambi</t>
        </is>
      </c>
      <c r="E183" t="n">
        <v>6</v>
      </c>
      <c r="F183" t="n">
        <v>0.0396</v>
      </c>
      <c r="G183" t="n">
        <v>0.66</v>
      </c>
      <c r="H183" t="n">
        <v>6</v>
      </c>
      <c r="I183" t="n">
        <v>20</v>
      </c>
      <c r="J183" t="n">
        <v>3</v>
      </c>
      <c r="K183" t="n">
        <v>0</v>
      </c>
      <c r="L183" t="n">
        <v>70920</v>
      </c>
      <c r="M183" t="n">
        <v>105000</v>
      </c>
      <c r="N183" t="n">
        <v>33</v>
      </c>
      <c r="O183" t="n">
        <v>0.33</v>
      </c>
      <c r="P183" t="n">
        <v>1</v>
      </c>
      <c r="Q183" t="n">
        <v>0.05</v>
      </c>
      <c r="R183" t="n">
        <v>1</v>
      </c>
      <c r="S183" t="n">
        <v>4158</v>
      </c>
      <c r="T183" t="n">
        <v>13</v>
      </c>
      <c r="U183" t="n">
        <v>14</v>
      </c>
      <c r="V183" t="n">
        <v>30</v>
      </c>
      <c r="W183" t="n">
        <v>2</v>
      </c>
      <c r="X183" t="n">
        <v>151.5151515151515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10440</v>
      </c>
      <c r="AG183" t="n">
        <v>2198</v>
      </c>
      <c r="AH183" t="inlineStr">
        <is>
          <t>PT. JAMBI DISTRINDO RAYA - PPN (JMB)</t>
        </is>
      </c>
      <c r="AI183" t="n">
        <v>1031</v>
      </c>
      <c r="AJ183" t="inlineStr">
        <is>
          <t>AZZURA</t>
        </is>
      </c>
      <c r="AK183" t="n">
        <v>9</v>
      </c>
      <c r="AL183" t="inlineStr">
        <is>
          <t>Miss Glam Jambi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"20200220338"</f>
        <v/>
      </c>
      <c r="C184" t="inlineStr">
        <is>
          <t>AZZURA Mascara Lasting Curl Black 6,5gr</t>
        </is>
      </c>
      <c r="D184" t="inlineStr">
        <is>
          <t>Miss Glam Jambi</t>
        </is>
      </c>
      <c r="E184" t="n">
        <v>4</v>
      </c>
      <c r="F184" t="n">
        <v>0.033</v>
      </c>
      <c r="G184" t="n">
        <v>0.66</v>
      </c>
      <c r="H184" t="n">
        <v>6</v>
      </c>
      <c r="I184" t="n">
        <v>20</v>
      </c>
      <c r="J184" t="n">
        <v>1</v>
      </c>
      <c r="K184" t="n">
        <v>0</v>
      </c>
      <c r="L184" t="n">
        <v>40940</v>
      </c>
      <c r="M184" t="n">
        <v>48500</v>
      </c>
      <c r="N184" t="n">
        <v>33</v>
      </c>
      <c r="O184" t="n">
        <v>0.33</v>
      </c>
      <c r="P184" t="n">
        <v>1</v>
      </c>
      <c r="Q184" t="n">
        <v>0.14</v>
      </c>
      <c r="R184" t="n">
        <v>2</v>
      </c>
      <c r="S184" t="n">
        <v>1600.5</v>
      </c>
      <c r="T184" t="n">
        <v>14</v>
      </c>
      <c r="U184" t="n">
        <v>15</v>
      </c>
      <c r="V184" t="n">
        <v>30</v>
      </c>
      <c r="W184" t="n">
        <v>1</v>
      </c>
      <c r="X184" t="n">
        <v>121.2121212121212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10440</v>
      </c>
      <c r="AG184" t="n">
        <v>2198</v>
      </c>
      <c r="AH184" t="inlineStr">
        <is>
          <t>PT. JAMBI DISTRINDO RAYA - PPN (JMB)</t>
        </is>
      </c>
      <c r="AI184" t="n">
        <v>1031</v>
      </c>
      <c r="AJ184" t="inlineStr">
        <is>
          <t>AZZURA</t>
        </is>
      </c>
      <c r="AK184" t="n">
        <v>9</v>
      </c>
      <c r="AL184" t="inlineStr">
        <is>
          <t>Miss Glam Jambi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"8998866108591"</f>
        <v/>
      </c>
      <c r="C185" t="inlineStr">
        <is>
          <t>AZZURA Matte Lip Cream With Cocoa Butter &amp; Vitamin E 05 Blushing Pink 4g</t>
        </is>
      </c>
      <c r="D185" t="inlineStr">
        <is>
          <t>Miss Glam Jambi</t>
        </is>
      </c>
      <c r="E185" t="n">
        <v>4</v>
      </c>
      <c r="F185" t="n">
        <v>0.06270000000000001</v>
      </c>
      <c r="G185" t="n">
        <v>0.66</v>
      </c>
      <c r="H185" t="n">
        <v>6</v>
      </c>
      <c r="I185" t="n">
        <v>20</v>
      </c>
      <c r="J185" t="n">
        <v>3</v>
      </c>
      <c r="K185" t="n">
        <v>0</v>
      </c>
      <c r="L185" t="n">
        <v>32437</v>
      </c>
      <c r="M185" t="n">
        <v>37000</v>
      </c>
      <c r="N185" t="n">
        <v>33</v>
      </c>
      <c r="O185" t="n">
        <v>0.33</v>
      </c>
      <c r="P185" t="n">
        <v>1</v>
      </c>
      <c r="Q185" t="n">
        <v>0.07000000000000001</v>
      </c>
      <c r="R185" t="n">
        <v>1</v>
      </c>
      <c r="S185" t="n">
        <v>2319.9</v>
      </c>
      <c r="T185" t="n">
        <v>13</v>
      </c>
      <c r="U185" t="n">
        <v>14</v>
      </c>
      <c r="V185" t="n">
        <v>30</v>
      </c>
      <c r="W185" t="n">
        <v>2</v>
      </c>
      <c r="X185" t="n">
        <v>63.79585326953747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10440</v>
      </c>
      <c r="AG185" t="n">
        <v>2198</v>
      </c>
      <c r="AH185" t="inlineStr">
        <is>
          <t>PT. JAMBI DISTRINDO RAYA - PPN (JMB)</t>
        </is>
      </c>
      <c r="AI185" t="n">
        <v>1031</v>
      </c>
      <c r="AJ185" t="inlineStr">
        <is>
          <t>AZZURA</t>
        </is>
      </c>
      <c r="AK185" t="n">
        <v>9</v>
      </c>
      <c r="AL185" t="inlineStr">
        <is>
          <t>Miss Glam Jambi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"8998866109512"</f>
        <v/>
      </c>
      <c r="C186" t="inlineStr">
        <is>
          <t>AZZURA Matte Lipcream 09 Summer Kiss 4gr</t>
        </is>
      </c>
      <c r="D186" t="inlineStr">
        <is>
          <t>Miss Glam Jambi</t>
        </is>
      </c>
      <c r="E186" t="n">
        <v>5</v>
      </c>
      <c r="F186" t="n">
        <v>0.08910000000000001</v>
      </c>
      <c r="G186" t="n">
        <v>0.66</v>
      </c>
      <c r="H186" t="n">
        <v>6</v>
      </c>
      <c r="I186" t="n">
        <v>20</v>
      </c>
      <c r="J186" t="n">
        <v>3</v>
      </c>
      <c r="K186" t="n">
        <v>0</v>
      </c>
      <c r="L186" t="n">
        <v>32437</v>
      </c>
      <c r="M186" t="n">
        <v>38500</v>
      </c>
      <c r="N186" t="n">
        <v>33</v>
      </c>
      <c r="O186" t="n">
        <v>0.33</v>
      </c>
      <c r="P186" t="n">
        <v>1</v>
      </c>
      <c r="Q186" t="n">
        <v>0.14</v>
      </c>
      <c r="R186" t="n">
        <v>2</v>
      </c>
      <c r="S186" t="n">
        <v>3430.35</v>
      </c>
      <c r="T186" t="n">
        <v>13</v>
      </c>
      <c r="U186" t="n">
        <v>14</v>
      </c>
      <c r="V186" t="n">
        <v>30</v>
      </c>
      <c r="W186" t="n">
        <v>3</v>
      </c>
      <c r="X186" t="n">
        <v>56.11672278338944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10440</v>
      </c>
      <c r="AG186" t="n">
        <v>2198</v>
      </c>
      <c r="AH186" t="inlineStr">
        <is>
          <t>PT. JAMBI DISTRINDO RAYA - PPN (JMB)</t>
        </is>
      </c>
      <c r="AI186" t="n">
        <v>1031</v>
      </c>
      <c r="AJ186" t="inlineStr">
        <is>
          <t>AZZURA</t>
        </is>
      </c>
      <c r="AK186" t="n">
        <v>9</v>
      </c>
      <c r="AL186" t="inlineStr">
        <is>
          <t>Miss Glam Jambi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"8998866108584"</f>
        <v/>
      </c>
      <c r="C187" t="inlineStr">
        <is>
          <t>AZZURA Matte LipCream with Cocoa Butter &amp; Vitamin E 04 Perfect Nude 4gr</t>
        </is>
      </c>
      <c r="D187" t="inlineStr">
        <is>
          <t>Miss Glam Jambi</t>
        </is>
      </c>
      <c r="E187" t="n">
        <v>5</v>
      </c>
      <c r="F187" t="n">
        <v>0.0396</v>
      </c>
      <c r="G187" t="n">
        <v>0.66</v>
      </c>
      <c r="H187" t="n">
        <v>6</v>
      </c>
      <c r="I187" t="n">
        <v>20</v>
      </c>
      <c r="J187" t="n">
        <v>3</v>
      </c>
      <c r="K187" t="n">
        <v>0</v>
      </c>
      <c r="L187" t="n">
        <v>31385</v>
      </c>
      <c r="M187" t="n">
        <v>37500</v>
      </c>
      <c r="N187" t="n">
        <v>33</v>
      </c>
      <c r="O187" t="n">
        <v>0.33</v>
      </c>
      <c r="P187" t="n">
        <v>1</v>
      </c>
      <c r="Q187" t="n">
        <v>0.05</v>
      </c>
      <c r="R187" t="n">
        <v>1</v>
      </c>
      <c r="S187" t="n">
        <v>1485</v>
      </c>
      <c r="T187" t="n">
        <v>13</v>
      </c>
      <c r="U187" t="n">
        <v>14</v>
      </c>
      <c r="V187" t="n">
        <v>30</v>
      </c>
      <c r="W187" t="n">
        <v>2</v>
      </c>
      <c r="X187" t="n">
        <v>126.2626262626263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10440</v>
      </c>
      <c r="AG187" t="n">
        <v>2198</v>
      </c>
      <c r="AH187" t="inlineStr">
        <is>
          <t>PT. JAMBI DISTRINDO RAYA - PPN (JMB)</t>
        </is>
      </c>
      <c r="AI187" t="n">
        <v>1031</v>
      </c>
      <c r="AJ187" t="inlineStr">
        <is>
          <t>AZZURA</t>
        </is>
      </c>
      <c r="AK187" t="n">
        <v>9</v>
      </c>
      <c r="AL187" t="inlineStr">
        <is>
          <t>Miss Glam Jambi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"8998866108607"</f>
        <v/>
      </c>
      <c r="C188" t="inlineStr">
        <is>
          <t>AZZURA Matte LipCream with Cocoa Butter &amp; Vitamin E 06 Sweet Brownie 4gr</t>
        </is>
      </c>
      <c r="D188" t="inlineStr">
        <is>
          <t>Miss Glam Jambi</t>
        </is>
      </c>
      <c r="E188" t="n">
        <v>9</v>
      </c>
      <c r="F188" t="n">
        <v>0.1386</v>
      </c>
      <c r="G188" t="n">
        <v>0.66</v>
      </c>
      <c r="H188" t="n">
        <v>6</v>
      </c>
      <c r="I188" t="n">
        <v>20</v>
      </c>
      <c r="J188" t="n">
        <v>3</v>
      </c>
      <c r="K188" t="n">
        <v>0</v>
      </c>
      <c r="L188" t="n">
        <v>30659</v>
      </c>
      <c r="M188" t="n">
        <v>38500</v>
      </c>
      <c r="N188" t="n">
        <v>33</v>
      </c>
      <c r="O188" t="n">
        <v>0.33</v>
      </c>
      <c r="P188" t="n">
        <v>1</v>
      </c>
      <c r="Q188" t="n">
        <v>0.12</v>
      </c>
      <c r="R188" t="n">
        <v>1</v>
      </c>
      <c r="S188" t="n">
        <v>5336.1</v>
      </c>
      <c r="T188" t="n">
        <v>13</v>
      </c>
      <c r="U188" t="n">
        <v>14</v>
      </c>
      <c r="V188" t="n">
        <v>30</v>
      </c>
      <c r="W188" t="n">
        <v>5</v>
      </c>
      <c r="X188" t="n">
        <v>64.93506493506493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10440</v>
      </c>
      <c r="AG188" t="n">
        <v>2198</v>
      </c>
      <c r="AH188" t="inlineStr">
        <is>
          <t>PT. JAMBI DISTRINDO RAYA - PPN (JMB)</t>
        </is>
      </c>
      <c r="AI188" t="n">
        <v>1031</v>
      </c>
      <c r="AJ188" t="inlineStr">
        <is>
          <t>AZZURA</t>
        </is>
      </c>
      <c r="AK188" t="n">
        <v>9</v>
      </c>
      <c r="AL188" t="inlineStr">
        <is>
          <t>Miss Glam Jambi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"8998866108614"</f>
        <v/>
      </c>
      <c r="C189" t="inlineStr">
        <is>
          <t>AZZURA Matte LipCream with Cocoa Butter &amp; Vitamin E 07 Red Poppy 4gr</t>
        </is>
      </c>
      <c r="D189" t="inlineStr">
        <is>
          <t>Miss Glam Jambi</t>
        </is>
      </c>
      <c r="E189" t="n">
        <v>9</v>
      </c>
      <c r="F189" t="n">
        <v>0.1287</v>
      </c>
      <c r="G189" t="n">
        <v>0.99</v>
      </c>
      <c r="H189" t="n">
        <v>6</v>
      </c>
      <c r="I189" t="n">
        <v>20</v>
      </c>
      <c r="J189" t="n">
        <v>3</v>
      </c>
      <c r="K189" t="n">
        <v>0</v>
      </c>
      <c r="L189" t="n">
        <v>31103</v>
      </c>
      <c r="M189" t="n">
        <v>37500</v>
      </c>
      <c r="N189" t="n">
        <v>33</v>
      </c>
      <c r="O189" t="n">
        <v>0.33</v>
      </c>
      <c r="P189" t="n">
        <v>1</v>
      </c>
      <c r="Q189" t="n">
        <v>0.19</v>
      </c>
      <c r="R189" t="n">
        <v>2</v>
      </c>
      <c r="S189" t="n">
        <v>4826.25</v>
      </c>
      <c r="T189" t="n">
        <v>20</v>
      </c>
      <c r="U189" t="n">
        <v>21</v>
      </c>
      <c r="V189" t="n">
        <v>30</v>
      </c>
      <c r="W189" t="n">
        <v>4</v>
      </c>
      <c r="X189" t="n">
        <v>69.93006993006992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10440</v>
      </c>
      <c r="AG189" t="n">
        <v>2198</v>
      </c>
      <c r="AH189" t="inlineStr">
        <is>
          <t>PT. JAMBI DISTRINDO RAYA - PPN (JMB)</t>
        </is>
      </c>
      <c r="AI189" t="n">
        <v>1031</v>
      </c>
      <c r="AJ189" t="inlineStr">
        <is>
          <t>AZZURA</t>
        </is>
      </c>
      <c r="AK189" t="n">
        <v>9</v>
      </c>
      <c r="AL189" t="inlineStr">
        <is>
          <t>Miss Glam Jambi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"8998866108621"</f>
        <v/>
      </c>
      <c r="C190" t="inlineStr">
        <is>
          <t>AZZURA Matte LipCream with Cocoa Butter &amp; Vitamin E 08 Peach Love 4gr</t>
        </is>
      </c>
      <c r="D190" t="inlineStr">
        <is>
          <t>Miss Glam Jambi</t>
        </is>
      </c>
      <c r="E190" t="n">
        <v>2</v>
      </c>
      <c r="F190" t="n">
        <v>0.0396</v>
      </c>
      <c r="G190" t="n">
        <v>0.66</v>
      </c>
      <c r="H190" t="n">
        <v>6</v>
      </c>
      <c r="I190" t="n">
        <v>20</v>
      </c>
      <c r="J190" t="n">
        <v>3</v>
      </c>
      <c r="K190" t="n">
        <v>0</v>
      </c>
      <c r="L190" t="n">
        <v>32437</v>
      </c>
      <c r="M190" t="n">
        <v>37500</v>
      </c>
      <c r="N190" t="n">
        <v>33</v>
      </c>
      <c r="O190" t="n">
        <v>0.33</v>
      </c>
      <c r="P190" t="n">
        <v>1</v>
      </c>
      <c r="Q190" t="n">
        <v>0.05</v>
      </c>
      <c r="R190" t="n">
        <v>1</v>
      </c>
      <c r="S190" t="n">
        <v>1485</v>
      </c>
      <c r="T190" t="n">
        <v>13</v>
      </c>
      <c r="U190" t="n">
        <v>14</v>
      </c>
      <c r="V190" t="n">
        <v>30</v>
      </c>
      <c r="W190" t="n">
        <v>2</v>
      </c>
      <c r="X190" t="n">
        <v>50.5050505050505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10440</v>
      </c>
      <c r="AG190" t="n">
        <v>2198</v>
      </c>
      <c r="AH190" t="inlineStr">
        <is>
          <t>PT. JAMBI DISTRINDO RAYA - PPN (JMB)</t>
        </is>
      </c>
      <c r="AI190" t="n">
        <v>1031</v>
      </c>
      <c r="AJ190" t="inlineStr">
        <is>
          <t>AZZURA</t>
        </is>
      </c>
      <c r="AK190" t="n">
        <v>9</v>
      </c>
      <c r="AL190" t="inlineStr">
        <is>
          <t>Miss Glam Jambi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"8998866109567"</f>
        <v/>
      </c>
      <c r="C191" t="inlineStr">
        <is>
          <t>AZZURA Matte Lipcream With Cocoa Butter &amp; Vitamin E 14 Earthy Brown 4gr</t>
        </is>
      </c>
      <c r="D191" t="inlineStr">
        <is>
          <t>Miss Glam Jambi</t>
        </is>
      </c>
      <c r="E191" t="n">
        <v>5</v>
      </c>
      <c r="F191" t="n">
        <v>0.066</v>
      </c>
      <c r="G191" t="n">
        <v>0.66</v>
      </c>
      <c r="H191" t="n">
        <v>6</v>
      </c>
      <c r="I191" t="n">
        <v>20</v>
      </c>
      <c r="J191" t="n">
        <v>3</v>
      </c>
      <c r="K191" t="n">
        <v>0</v>
      </c>
      <c r="L191" t="n">
        <v>30837</v>
      </c>
      <c r="M191" t="n">
        <v>37000</v>
      </c>
      <c r="N191" t="n">
        <v>33</v>
      </c>
      <c r="O191" t="n">
        <v>0.33</v>
      </c>
      <c r="P191" t="n">
        <v>1</v>
      </c>
      <c r="Q191" t="n">
        <v>0.03</v>
      </c>
      <c r="R191" t="n">
        <v>1</v>
      </c>
      <c r="S191" t="n">
        <v>2442</v>
      </c>
      <c r="T191" t="n">
        <v>13</v>
      </c>
      <c r="U191" t="n">
        <v>14</v>
      </c>
      <c r="V191" t="n">
        <v>30</v>
      </c>
      <c r="W191" t="n">
        <v>2</v>
      </c>
      <c r="X191" t="n">
        <v>75.75757575757575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10440</v>
      </c>
      <c r="AG191" t="n">
        <v>2198</v>
      </c>
      <c r="AH191" t="inlineStr">
        <is>
          <t>PT. JAMBI DISTRINDO RAYA - PPN (JMB)</t>
        </is>
      </c>
      <c r="AI191" t="n">
        <v>1031</v>
      </c>
      <c r="AJ191" t="inlineStr">
        <is>
          <t>AZZURA</t>
        </is>
      </c>
      <c r="AK191" t="n">
        <v>9</v>
      </c>
      <c r="AL191" t="inlineStr">
        <is>
          <t>Miss Glam Jambi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"8998866109574"</f>
        <v/>
      </c>
      <c r="C192" t="inlineStr">
        <is>
          <t>AZZURA Matte Lipcream With Cocoa Butter &amp; Vitamin E 15 Sugar Plum 4gr</t>
        </is>
      </c>
      <c r="D192" t="inlineStr">
        <is>
          <t>Miss Glam Jambi</t>
        </is>
      </c>
      <c r="E192" t="n">
        <v>1</v>
      </c>
      <c r="F192" t="n">
        <v>0.1353</v>
      </c>
      <c r="G192" t="n">
        <v>0.99</v>
      </c>
      <c r="H192" t="n">
        <v>6</v>
      </c>
      <c r="I192" t="n">
        <v>20</v>
      </c>
      <c r="J192" t="n">
        <v>3</v>
      </c>
      <c r="K192" t="n">
        <v>3</v>
      </c>
      <c r="L192" t="n">
        <v>32437</v>
      </c>
      <c r="M192" t="n">
        <v>37000</v>
      </c>
      <c r="N192" t="n">
        <v>33</v>
      </c>
      <c r="O192" t="n">
        <v>0.33</v>
      </c>
      <c r="P192" t="n">
        <v>1</v>
      </c>
      <c r="Q192" t="n">
        <v>0.08</v>
      </c>
      <c r="R192" t="n">
        <v>2</v>
      </c>
      <c r="S192" t="n">
        <v>5006.1</v>
      </c>
      <c r="T192" t="n">
        <v>19</v>
      </c>
      <c r="U192" t="n">
        <v>20</v>
      </c>
      <c r="V192" t="n">
        <v>30</v>
      </c>
      <c r="W192" t="n">
        <v>5</v>
      </c>
      <c r="X192" t="n">
        <v>7.390983000739098</v>
      </c>
      <c r="Y192" t="n">
        <v>1</v>
      </c>
      <c r="Z192" t="n">
        <v>1</v>
      </c>
      <c r="AA192" t="n">
        <v>1</v>
      </c>
      <c r="AB192" t="n">
        <v>0</v>
      </c>
      <c r="AC192" t="n">
        <v>0</v>
      </c>
      <c r="AD192" t="n">
        <v>32437</v>
      </c>
      <c r="AE192" t="n">
        <v>0</v>
      </c>
      <c r="AF192" t="n">
        <v>10440</v>
      </c>
      <c r="AG192" t="n">
        <v>2198</v>
      </c>
      <c r="AH192" t="inlineStr">
        <is>
          <t>PT. JAMBI DISTRINDO RAYA - PPN (JMB)</t>
        </is>
      </c>
      <c r="AI192" t="n">
        <v>1031</v>
      </c>
      <c r="AJ192" t="inlineStr">
        <is>
          <t>AZZURA</t>
        </is>
      </c>
      <c r="AK192" t="n">
        <v>9</v>
      </c>
      <c r="AL192" t="inlineStr">
        <is>
          <t>Miss Glam Jambi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"8998866109536"</f>
        <v/>
      </c>
      <c r="C193" t="inlineStr">
        <is>
          <t>AZZURA Matte Lipcream With Cocoa Butter 11 Roasted Almond</t>
        </is>
      </c>
      <c r="D193" t="inlineStr">
        <is>
          <t>Miss Glam Jambi</t>
        </is>
      </c>
      <c r="E193" t="n">
        <v>7</v>
      </c>
      <c r="F193" t="n">
        <v>0.09569999999999999</v>
      </c>
      <c r="G193" t="n">
        <v>0.66</v>
      </c>
      <c r="H193" t="n">
        <v>6</v>
      </c>
      <c r="I193" t="n">
        <v>20</v>
      </c>
      <c r="J193" t="n">
        <v>3</v>
      </c>
      <c r="K193" t="n">
        <v>0</v>
      </c>
      <c r="L193" t="n">
        <v>32437</v>
      </c>
      <c r="M193" t="n">
        <v>37500</v>
      </c>
      <c r="N193" t="n">
        <v>33</v>
      </c>
      <c r="O193" t="n">
        <v>0.33</v>
      </c>
      <c r="P193" t="n">
        <v>1</v>
      </c>
      <c r="Q193" t="n">
        <v>0.15</v>
      </c>
      <c r="R193" t="n">
        <v>1</v>
      </c>
      <c r="S193" t="n">
        <v>3588.75</v>
      </c>
      <c r="T193" t="n">
        <v>13</v>
      </c>
      <c r="U193" t="n">
        <v>14</v>
      </c>
      <c r="V193" t="n">
        <v>30</v>
      </c>
      <c r="W193" t="n">
        <v>3</v>
      </c>
      <c r="X193" t="n">
        <v>73.14524555903867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10440</v>
      </c>
      <c r="AG193" t="n">
        <v>2198</v>
      </c>
      <c r="AH193" t="inlineStr">
        <is>
          <t>PT. JAMBI DISTRINDO RAYA - PPN (JMB)</t>
        </is>
      </c>
      <c r="AI193" t="n">
        <v>1031</v>
      </c>
      <c r="AJ193" t="inlineStr">
        <is>
          <t>AZZURA</t>
        </is>
      </c>
      <c r="AK193" t="n">
        <v>9</v>
      </c>
      <c r="AL193" t="inlineStr">
        <is>
          <t>Miss Glam Jambi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"8998866109550"</f>
        <v/>
      </c>
      <c r="C194" t="inlineStr">
        <is>
          <t>AZZURA Matte Lipcream With Cocoa Butter 13 Terracotta</t>
        </is>
      </c>
      <c r="D194" t="inlineStr">
        <is>
          <t>Miss Glam Jambi</t>
        </is>
      </c>
      <c r="E194" t="n">
        <v>7</v>
      </c>
      <c r="F194" t="n">
        <v>0.09569999999999999</v>
      </c>
      <c r="G194" t="n">
        <v>0.66</v>
      </c>
      <c r="H194" t="n">
        <v>6</v>
      </c>
      <c r="I194" t="n">
        <v>20</v>
      </c>
      <c r="J194" t="n">
        <v>3</v>
      </c>
      <c r="K194" t="n">
        <v>0</v>
      </c>
      <c r="L194" t="n">
        <v>32437</v>
      </c>
      <c r="M194" t="n">
        <v>37000</v>
      </c>
      <c r="N194" t="n">
        <v>33</v>
      </c>
      <c r="O194" t="n">
        <v>0.33</v>
      </c>
      <c r="P194" t="n">
        <v>1</v>
      </c>
      <c r="Q194" t="n">
        <v>0.02</v>
      </c>
      <c r="R194" t="n">
        <v>1</v>
      </c>
      <c r="S194" t="n">
        <v>3540.9</v>
      </c>
      <c r="T194" t="n">
        <v>13</v>
      </c>
      <c r="U194" t="n">
        <v>14</v>
      </c>
      <c r="V194" t="n">
        <v>30</v>
      </c>
      <c r="W194" t="n">
        <v>3</v>
      </c>
      <c r="X194" t="n">
        <v>73.14524555903867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10440</v>
      </c>
      <c r="AG194" t="n">
        <v>2198</v>
      </c>
      <c r="AH194" t="inlineStr">
        <is>
          <t>PT. JAMBI DISTRINDO RAYA - PPN (JMB)</t>
        </is>
      </c>
      <c r="AI194" t="n">
        <v>1031</v>
      </c>
      <c r="AJ194" t="inlineStr">
        <is>
          <t>AZZURA</t>
        </is>
      </c>
      <c r="AK194" t="n">
        <v>9</v>
      </c>
      <c r="AL194" t="inlineStr">
        <is>
          <t>Miss Glam Jambi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"8998866108706"</f>
        <v/>
      </c>
      <c r="C195" t="inlineStr">
        <is>
          <t>AZZURA Matte Lipstick With Sea Butter &amp; Vitamin E 08 Lady In Red 3g</t>
        </is>
      </c>
      <c r="D195" t="inlineStr">
        <is>
          <t>Miss Glam Jambi</t>
        </is>
      </c>
      <c r="E195" t="n">
        <v>11</v>
      </c>
      <c r="F195" t="n">
        <v>0.1848</v>
      </c>
      <c r="G195" t="n">
        <v>0.66</v>
      </c>
      <c r="H195" t="n">
        <v>6</v>
      </c>
      <c r="I195" t="n">
        <v>20</v>
      </c>
      <c r="J195" t="n">
        <v>3</v>
      </c>
      <c r="K195" t="n">
        <v>0</v>
      </c>
      <c r="L195" t="n">
        <v>26139</v>
      </c>
      <c r="M195" t="n">
        <v>31000</v>
      </c>
      <c r="N195" t="n">
        <v>33</v>
      </c>
      <c r="O195" t="n">
        <v>0.33</v>
      </c>
      <c r="P195" t="n">
        <v>1</v>
      </c>
      <c r="Q195" t="n">
        <v>0.07000000000000001</v>
      </c>
      <c r="R195" t="n">
        <v>1</v>
      </c>
      <c r="S195" t="n">
        <v>5728.8</v>
      </c>
      <c r="T195" t="n">
        <v>13</v>
      </c>
      <c r="U195" t="n">
        <v>15</v>
      </c>
      <c r="V195" t="n">
        <v>30</v>
      </c>
      <c r="W195" t="n">
        <v>6</v>
      </c>
      <c r="X195" t="n">
        <v>59.52380952380952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10440</v>
      </c>
      <c r="AG195" t="n">
        <v>2198</v>
      </c>
      <c r="AH195" t="inlineStr">
        <is>
          <t>PT. JAMBI DISTRINDO RAYA - PPN (JMB)</t>
        </is>
      </c>
      <c r="AI195" t="n">
        <v>1031</v>
      </c>
      <c r="AJ195" t="inlineStr">
        <is>
          <t>AZZURA</t>
        </is>
      </c>
      <c r="AK195" t="n">
        <v>9</v>
      </c>
      <c r="AL195" t="inlineStr">
        <is>
          <t>Miss Glam Jambi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"8998866108645"</f>
        <v/>
      </c>
      <c r="C196" t="inlineStr">
        <is>
          <t>AZZURA Matte Lipstick With Shea Butter &amp; Vitamin E 02 Orange Crush 3gr</t>
        </is>
      </c>
      <c r="D196" t="inlineStr">
        <is>
          <t>Miss Glam Jambi</t>
        </is>
      </c>
      <c r="E196" t="n">
        <v>0</v>
      </c>
      <c r="F196" t="n">
        <v>0.07920000000000001</v>
      </c>
      <c r="G196" t="n">
        <v>0.66</v>
      </c>
      <c r="H196" t="n">
        <v>6</v>
      </c>
      <c r="I196" t="n">
        <v>20</v>
      </c>
      <c r="J196" t="n">
        <v>3</v>
      </c>
      <c r="K196" t="n">
        <v>3</v>
      </c>
      <c r="L196" t="n">
        <v>26139</v>
      </c>
      <c r="M196" t="n">
        <v>31000</v>
      </c>
      <c r="N196" t="n">
        <v>33</v>
      </c>
      <c r="O196" t="n">
        <v>0.33</v>
      </c>
      <c r="P196" t="n">
        <v>1</v>
      </c>
      <c r="Q196" t="n">
        <v>0.02</v>
      </c>
      <c r="R196" t="n">
        <v>1</v>
      </c>
      <c r="S196" t="n">
        <v>2455.2</v>
      </c>
      <c r="T196" t="n">
        <v>13</v>
      </c>
      <c r="U196" t="n">
        <v>14</v>
      </c>
      <c r="V196" t="n">
        <v>30</v>
      </c>
      <c r="W196" t="n">
        <v>3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26139</v>
      </c>
      <c r="AE196" t="n">
        <v>0</v>
      </c>
      <c r="AF196" t="n">
        <v>10440</v>
      </c>
      <c r="AG196" t="n">
        <v>2198</v>
      </c>
      <c r="AH196" t="inlineStr">
        <is>
          <t>PT. JAMBI DISTRINDO RAYA - PPN (JMB)</t>
        </is>
      </c>
      <c r="AI196" t="n">
        <v>1031</v>
      </c>
      <c r="AJ196" t="inlineStr">
        <is>
          <t>AZZURA</t>
        </is>
      </c>
      <c r="AK196" t="n">
        <v>9</v>
      </c>
      <c r="AL196" t="inlineStr">
        <is>
          <t>Miss Glam Jambi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"8998866108669"</f>
        <v/>
      </c>
      <c r="C197" t="inlineStr">
        <is>
          <t>AZZURA Matte Lipstick With Shea Butter &amp; Vitamin E 04 Peach Perfect 3gr</t>
        </is>
      </c>
      <c r="D197" t="inlineStr">
        <is>
          <t>Miss Glam Jambi</t>
        </is>
      </c>
      <c r="E197" t="n">
        <v>1</v>
      </c>
      <c r="F197" t="n">
        <v>0.0231</v>
      </c>
      <c r="G197" t="n">
        <v>0.33</v>
      </c>
      <c r="H197" t="n">
        <v>6</v>
      </c>
      <c r="I197" t="n">
        <v>20</v>
      </c>
      <c r="J197" t="n">
        <v>3</v>
      </c>
      <c r="K197" t="n">
        <v>0</v>
      </c>
      <c r="L197" t="n">
        <v>26139</v>
      </c>
      <c r="M197" t="n">
        <v>31000</v>
      </c>
      <c r="N197" t="n">
        <v>33</v>
      </c>
      <c r="O197" t="n">
        <v>0.33</v>
      </c>
      <c r="P197" t="n">
        <v>1</v>
      </c>
      <c r="Q197" t="n">
        <v>0.03</v>
      </c>
      <c r="R197" t="n">
        <v>1</v>
      </c>
      <c r="S197" t="n">
        <v>716.1</v>
      </c>
      <c r="T197" t="n">
        <v>7</v>
      </c>
      <c r="U197" t="n">
        <v>8</v>
      </c>
      <c r="V197" t="n">
        <v>30</v>
      </c>
      <c r="W197" t="n">
        <v>1</v>
      </c>
      <c r="X197" t="n">
        <v>43.29004329004329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10440</v>
      </c>
      <c r="AG197" t="n">
        <v>2198</v>
      </c>
      <c r="AH197" t="inlineStr">
        <is>
          <t>PT. JAMBI DISTRINDO RAYA - PPN (JMB)</t>
        </is>
      </c>
      <c r="AI197" t="n">
        <v>1031</v>
      </c>
      <c r="AJ197" t="inlineStr">
        <is>
          <t>AZZURA</t>
        </is>
      </c>
      <c r="AK197" t="n">
        <v>9</v>
      </c>
      <c r="AL197" t="inlineStr">
        <is>
          <t>Miss Glam Jambi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"10100724335"</f>
        <v/>
      </c>
      <c r="C198" t="inlineStr">
        <is>
          <t>AZZURA Micellar Water Azzura Db 125ml</t>
        </is>
      </c>
      <c r="D198" t="inlineStr">
        <is>
          <t>Miss Glam Jambi</t>
        </is>
      </c>
      <c r="E198" t="n">
        <v>15</v>
      </c>
      <c r="F198" t="n">
        <v>0.06270000000000001</v>
      </c>
      <c r="G198" t="n">
        <v>0.33</v>
      </c>
      <c r="H198" t="n">
        <v>6</v>
      </c>
      <c r="I198" t="n">
        <v>20</v>
      </c>
      <c r="J198" t="n">
        <v>1</v>
      </c>
      <c r="K198" t="n">
        <v>0</v>
      </c>
      <c r="L198" t="n">
        <v>20058</v>
      </c>
      <c r="M198" t="n">
        <v>24000</v>
      </c>
      <c r="N198" t="n">
        <v>33</v>
      </c>
      <c r="O198" t="n">
        <v>0.33</v>
      </c>
      <c r="P198" t="n">
        <v>1</v>
      </c>
      <c r="Q198" t="n">
        <v>0.1</v>
      </c>
      <c r="R198" t="n">
        <v>1</v>
      </c>
      <c r="S198" t="n">
        <v>1504.8</v>
      </c>
      <c r="T198" t="n">
        <v>7</v>
      </c>
      <c r="U198" t="n">
        <v>8</v>
      </c>
      <c r="V198" t="n">
        <v>30</v>
      </c>
      <c r="W198" t="n">
        <v>2</v>
      </c>
      <c r="X198" t="n">
        <v>239.2344497607655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10440</v>
      </c>
      <c r="AG198" t="n">
        <v>2198</v>
      </c>
      <c r="AH198" t="inlineStr">
        <is>
          <t>PT. JAMBI DISTRINDO RAYA - PPN (JMB)</t>
        </is>
      </c>
      <c r="AI198" t="n">
        <v>1031</v>
      </c>
      <c r="AJ198" t="inlineStr">
        <is>
          <t>AZZURA</t>
        </is>
      </c>
      <c r="AK198" t="n">
        <v>9</v>
      </c>
      <c r="AL198" t="inlineStr">
        <is>
          <t>Miss Glam Jambi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"10300218847"</f>
        <v/>
      </c>
      <c r="C199" t="inlineStr">
        <is>
          <t>AZZURA Night Cream Azzura Diamond Bright 30gr</t>
        </is>
      </c>
      <c r="D199" t="inlineStr">
        <is>
          <t>Miss Glam Jambi</t>
        </is>
      </c>
      <c r="E199" t="n">
        <v>4</v>
      </c>
      <c r="F199" t="n">
        <v>0.009900000000000001</v>
      </c>
      <c r="G199" t="n">
        <v>0.33</v>
      </c>
      <c r="H199" t="n">
        <v>6</v>
      </c>
      <c r="I199" t="n">
        <v>20</v>
      </c>
      <c r="J199" t="n">
        <v>1</v>
      </c>
      <c r="K199" t="n">
        <v>0</v>
      </c>
      <c r="L199" t="n">
        <v>34400</v>
      </c>
      <c r="M199" t="n">
        <v>40500</v>
      </c>
      <c r="N199" t="n">
        <v>33</v>
      </c>
      <c r="O199" t="n">
        <v>0.33</v>
      </c>
      <c r="P199" t="n">
        <v>1</v>
      </c>
      <c r="Q199" t="n">
        <v>0.08</v>
      </c>
      <c r="R199" t="n">
        <v>1</v>
      </c>
      <c r="S199" t="n">
        <v>400.95</v>
      </c>
      <c r="T199" t="n">
        <v>7</v>
      </c>
      <c r="U199" t="n">
        <v>8</v>
      </c>
      <c r="V199" t="n">
        <v>30</v>
      </c>
      <c r="W199" t="n">
        <v>1</v>
      </c>
      <c r="X199" t="n">
        <v>404.040404040404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10440</v>
      </c>
      <c r="AG199" t="n">
        <v>2198</v>
      </c>
      <c r="AH199" t="inlineStr">
        <is>
          <t>PT. JAMBI DISTRINDO RAYA - PPN (JMB)</t>
        </is>
      </c>
      <c r="AI199" t="n">
        <v>1031</v>
      </c>
      <c r="AJ199" t="inlineStr">
        <is>
          <t>AZZURA</t>
        </is>
      </c>
      <c r="AK199" t="n">
        <v>9</v>
      </c>
      <c r="AL199" t="inlineStr">
        <is>
          <t>Miss Glam Jambi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"11200151624"</f>
        <v/>
      </c>
      <c r="C200" t="inlineStr">
        <is>
          <t>AZZURA Serum Azzura Diamond Bright 20ml</t>
        </is>
      </c>
      <c r="D200" t="inlineStr">
        <is>
          <t>Miss Glam Jambi</t>
        </is>
      </c>
      <c r="E200" t="n">
        <v>3</v>
      </c>
      <c r="F200" t="n">
        <v>0.0495</v>
      </c>
      <c r="G200" t="n">
        <v>0.33</v>
      </c>
      <c r="H200" t="n">
        <v>6</v>
      </c>
      <c r="I200" t="n">
        <v>20</v>
      </c>
      <c r="J200" t="n">
        <v>1</v>
      </c>
      <c r="K200" t="n">
        <v>0</v>
      </c>
      <c r="L200" t="n">
        <v>20210</v>
      </c>
      <c r="M200" t="n">
        <v>24000</v>
      </c>
      <c r="N200" t="n">
        <v>33</v>
      </c>
      <c r="O200" t="n">
        <v>0.33</v>
      </c>
      <c r="P200" t="n">
        <v>1</v>
      </c>
      <c r="Q200" t="n">
        <v>0.05</v>
      </c>
      <c r="R200" t="n">
        <v>1</v>
      </c>
      <c r="S200" t="n">
        <v>1188</v>
      </c>
      <c r="T200" t="n">
        <v>7</v>
      </c>
      <c r="U200" t="n">
        <v>8</v>
      </c>
      <c r="V200" t="n">
        <v>30</v>
      </c>
      <c r="W200" t="n">
        <v>2</v>
      </c>
      <c r="X200" t="n">
        <v>60.6060606060606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10440</v>
      </c>
      <c r="AG200" t="n">
        <v>2198</v>
      </c>
      <c r="AH200" t="inlineStr">
        <is>
          <t>PT. JAMBI DISTRINDO RAYA - PPN (JMB)</t>
        </is>
      </c>
      <c r="AI200" t="n">
        <v>1031</v>
      </c>
      <c r="AJ200" t="inlineStr">
        <is>
          <t>AZZURA</t>
        </is>
      </c>
      <c r="AK200" t="n">
        <v>9</v>
      </c>
      <c r="AL200" t="inlineStr">
        <is>
          <t>Miss Glam Jambi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"10400618503"</f>
        <v/>
      </c>
      <c r="C201" t="inlineStr">
        <is>
          <t>AZZURA Sunscreen Azzura Diamond Bri Spf50 30gr</t>
        </is>
      </c>
      <c r="D201" t="inlineStr">
        <is>
          <t>Miss Glam Jambi</t>
        </is>
      </c>
      <c r="E201" t="n">
        <v>13</v>
      </c>
      <c r="F201" t="n">
        <v>0.1287</v>
      </c>
      <c r="G201" t="n">
        <v>0.66</v>
      </c>
      <c r="H201" t="n">
        <v>6</v>
      </c>
      <c r="I201" t="n">
        <v>20</v>
      </c>
      <c r="J201" t="n">
        <v>1</v>
      </c>
      <c r="K201" t="n">
        <v>0</v>
      </c>
      <c r="L201" t="n">
        <v>25180</v>
      </c>
      <c r="M201" t="n">
        <v>30000</v>
      </c>
      <c r="N201" t="n">
        <v>33</v>
      </c>
      <c r="O201" t="n">
        <v>0.33</v>
      </c>
      <c r="P201" t="n">
        <v>1</v>
      </c>
      <c r="Q201" t="n">
        <v>0.19</v>
      </c>
      <c r="R201" t="n">
        <v>3</v>
      </c>
      <c r="S201" t="n">
        <v>3861</v>
      </c>
      <c r="T201" t="n">
        <v>13</v>
      </c>
      <c r="U201" t="n">
        <v>14</v>
      </c>
      <c r="V201" t="n">
        <v>30</v>
      </c>
      <c r="W201" t="n">
        <v>4</v>
      </c>
      <c r="X201" t="n">
        <v>101.010101010101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10440</v>
      </c>
      <c r="AG201" t="n">
        <v>2198</v>
      </c>
      <c r="AH201" t="inlineStr">
        <is>
          <t>PT. JAMBI DISTRINDO RAYA - PPN (JMB)</t>
        </is>
      </c>
      <c r="AI201" t="n">
        <v>1031</v>
      </c>
      <c r="AJ201" t="inlineStr">
        <is>
          <t>AZZURA</t>
        </is>
      </c>
      <c r="AK201" t="n">
        <v>9</v>
      </c>
      <c r="AL201" t="inlineStr">
        <is>
          <t>Miss Glam Jambi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"8998866108430"</f>
        <v/>
      </c>
      <c r="C202" t="inlineStr">
        <is>
          <t>AZZURA Two Way Cake All Day Matte Finish 01 Light Beige 12gr</t>
        </is>
      </c>
      <c r="D202" t="inlineStr">
        <is>
          <t>Miss Glam Jambi</t>
        </is>
      </c>
      <c r="E202" t="n">
        <v>8</v>
      </c>
      <c r="F202" t="n">
        <v>0.2112</v>
      </c>
      <c r="G202" t="n">
        <v>1.32</v>
      </c>
      <c r="H202" t="n">
        <v>6</v>
      </c>
      <c r="I202" t="n">
        <v>20</v>
      </c>
      <c r="J202" t="n">
        <v>3</v>
      </c>
      <c r="K202" t="n">
        <v>0</v>
      </c>
      <c r="L202" t="n">
        <v>27151</v>
      </c>
      <c r="M202" t="n">
        <v>31500</v>
      </c>
      <c r="N202" t="n">
        <v>33</v>
      </c>
      <c r="O202" t="n">
        <v>0.33</v>
      </c>
      <c r="P202" t="n">
        <v>1</v>
      </c>
      <c r="Q202" t="n">
        <v>0.1</v>
      </c>
      <c r="R202" t="n">
        <v>3</v>
      </c>
      <c r="S202" t="n">
        <v>6652.800000000001</v>
      </c>
      <c r="T202" t="n">
        <v>26</v>
      </c>
      <c r="U202" t="n">
        <v>28</v>
      </c>
      <c r="V202" t="n">
        <v>30</v>
      </c>
      <c r="W202" t="n">
        <v>7</v>
      </c>
      <c r="X202" t="n">
        <v>37.87878787878788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10440</v>
      </c>
      <c r="AG202" t="n">
        <v>2198</v>
      </c>
      <c r="AH202" t="inlineStr">
        <is>
          <t>PT. JAMBI DISTRINDO RAYA - PPN (JMB)</t>
        </is>
      </c>
      <c r="AI202" t="n">
        <v>1031</v>
      </c>
      <c r="AJ202" t="inlineStr">
        <is>
          <t>AZZURA</t>
        </is>
      </c>
      <c r="AK202" t="n">
        <v>9</v>
      </c>
      <c r="AL202" t="inlineStr">
        <is>
          <t>Miss Glam Jambi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"8998866108447"</f>
        <v/>
      </c>
      <c r="C203" t="inlineStr">
        <is>
          <t>AZZURA Two Way Cake All Day Matte Finish 02 Natural 12gr</t>
        </is>
      </c>
      <c r="D203" t="inlineStr">
        <is>
          <t>Miss Glam Jambi</t>
        </is>
      </c>
      <c r="E203" t="n">
        <v>27</v>
      </c>
      <c r="F203" t="n">
        <v>0.6336000000000001</v>
      </c>
      <c r="G203" t="n">
        <v>2.31</v>
      </c>
      <c r="H203" t="n">
        <v>6</v>
      </c>
      <c r="I203" t="n">
        <v>20</v>
      </c>
      <c r="J203" t="n">
        <v>3</v>
      </c>
      <c r="K203" t="n">
        <v>0</v>
      </c>
      <c r="L203" t="n">
        <v>26453</v>
      </c>
      <c r="M203" t="n">
        <v>31500</v>
      </c>
      <c r="N203" t="n">
        <v>33</v>
      </c>
      <c r="O203" t="n">
        <v>0.33</v>
      </c>
      <c r="P203" t="n">
        <v>1</v>
      </c>
      <c r="Q203" t="n">
        <v>0.44</v>
      </c>
      <c r="R203" t="n">
        <v>7</v>
      </c>
      <c r="S203" t="n">
        <v>19958.4</v>
      </c>
      <c r="T203" t="n">
        <v>43</v>
      </c>
      <c r="U203" t="n">
        <v>47</v>
      </c>
      <c r="V203" t="n">
        <v>30</v>
      </c>
      <c r="W203" t="n">
        <v>20</v>
      </c>
      <c r="X203" t="n">
        <v>42.61363636363636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10440</v>
      </c>
      <c r="AG203" t="n">
        <v>2198</v>
      </c>
      <c r="AH203" t="inlineStr">
        <is>
          <t>PT. JAMBI DISTRINDO RAYA - PPN (JMB)</t>
        </is>
      </c>
      <c r="AI203" t="n">
        <v>1031</v>
      </c>
      <c r="AJ203" t="inlineStr">
        <is>
          <t>AZZURA</t>
        </is>
      </c>
      <c r="AK203" t="n">
        <v>9</v>
      </c>
      <c r="AL203" t="inlineStr">
        <is>
          <t>Miss Glam Jambi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"8998866108454"</f>
        <v/>
      </c>
      <c r="C204" t="inlineStr">
        <is>
          <t>AZZURA Two Way Cake All Day Matte Finish 03 Ivory 12gr</t>
        </is>
      </c>
      <c r="D204" t="inlineStr">
        <is>
          <t>Miss Glam Jambi</t>
        </is>
      </c>
      <c r="E204" t="n">
        <v>8</v>
      </c>
      <c r="F204" t="n">
        <v>0.1617</v>
      </c>
      <c r="G204" t="n">
        <v>0.99</v>
      </c>
      <c r="H204" t="n">
        <v>6</v>
      </c>
      <c r="I204" t="n">
        <v>20</v>
      </c>
      <c r="J204" t="n">
        <v>3</v>
      </c>
      <c r="K204" t="n">
        <v>0</v>
      </c>
      <c r="L204" t="n">
        <v>26454</v>
      </c>
      <c r="M204" t="n">
        <v>30000</v>
      </c>
      <c r="N204" t="n">
        <v>33</v>
      </c>
      <c r="O204" t="n">
        <v>0.33</v>
      </c>
      <c r="P204" t="n">
        <v>1</v>
      </c>
      <c r="Q204" t="n">
        <v>0.05</v>
      </c>
      <c r="R204" t="n">
        <v>1</v>
      </c>
      <c r="S204" t="n">
        <v>4851</v>
      </c>
      <c r="T204" t="n">
        <v>19</v>
      </c>
      <c r="U204" t="n">
        <v>20</v>
      </c>
      <c r="V204" t="n">
        <v>30</v>
      </c>
      <c r="W204" t="n">
        <v>5</v>
      </c>
      <c r="X204" t="n">
        <v>49.4743351886209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10440</v>
      </c>
      <c r="AG204" t="n">
        <v>2198</v>
      </c>
      <c r="AH204" t="inlineStr">
        <is>
          <t>PT. JAMBI DISTRINDO RAYA - PPN (JMB)</t>
        </is>
      </c>
      <c r="AI204" t="n">
        <v>1031</v>
      </c>
      <c r="AJ204" t="inlineStr">
        <is>
          <t>AZZURA</t>
        </is>
      </c>
      <c r="AK204" t="n">
        <v>9</v>
      </c>
      <c r="AL204" t="inlineStr">
        <is>
          <t>Miss Glam Jambi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"8998866109468"</f>
        <v/>
      </c>
      <c r="C205" t="inlineStr">
        <is>
          <t>AZZURA Two Way Cake All Day Matte Finish Refill 01 Light Beige 12gr</t>
        </is>
      </c>
      <c r="D205" t="inlineStr">
        <is>
          <t>Miss Glam Jambi</t>
        </is>
      </c>
      <c r="E205" t="n">
        <v>0</v>
      </c>
      <c r="F205" t="n">
        <v>0.2013</v>
      </c>
      <c r="G205" t="n">
        <v>0.99</v>
      </c>
      <c r="H205" t="n">
        <v>6</v>
      </c>
      <c r="I205" t="n">
        <v>20</v>
      </c>
      <c r="J205" t="n">
        <v>3</v>
      </c>
      <c r="K205" t="n">
        <v>3</v>
      </c>
      <c r="L205" t="n">
        <v>17006</v>
      </c>
      <c r="M205" t="n">
        <v>19500</v>
      </c>
      <c r="N205" t="n">
        <v>33</v>
      </c>
      <c r="O205" t="n">
        <v>0.33</v>
      </c>
      <c r="P205" t="n">
        <v>1</v>
      </c>
      <c r="Q205" t="n">
        <v>0.04</v>
      </c>
      <c r="R205" t="n">
        <v>1</v>
      </c>
      <c r="S205" t="n">
        <v>3925.35</v>
      </c>
      <c r="T205" t="n">
        <v>19</v>
      </c>
      <c r="U205" t="n">
        <v>21</v>
      </c>
      <c r="V205" t="n">
        <v>30</v>
      </c>
      <c r="W205" t="n">
        <v>7</v>
      </c>
      <c r="X205" t="n">
        <v>0</v>
      </c>
      <c r="Y205" t="n">
        <v>1</v>
      </c>
      <c r="Z205" t="n">
        <v>4</v>
      </c>
      <c r="AA205" t="n">
        <v>4</v>
      </c>
      <c r="AB205" t="n">
        <v>0</v>
      </c>
      <c r="AC205" t="n">
        <v>0</v>
      </c>
      <c r="AD205" t="n">
        <v>68024</v>
      </c>
      <c r="AE205" t="n">
        <v>0</v>
      </c>
      <c r="AF205" t="n">
        <v>10440</v>
      </c>
      <c r="AG205" t="n">
        <v>2198</v>
      </c>
      <c r="AH205" t="inlineStr">
        <is>
          <t>PT. JAMBI DISTRINDO RAYA - PPN (JMB)</t>
        </is>
      </c>
      <c r="AI205" t="n">
        <v>1031</v>
      </c>
      <c r="AJ205" t="inlineStr">
        <is>
          <t>AZZURA</t>
        </is>
      </c>
      <c r="AK205" t="n">
        <v>9</v>
      </c>
      <c r="AL205" t="inlineStr">
        <is>
          <t>Miss Glam Jambi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"8998866109475"</f>
        <v/>
      </c>
      <c r="C206" t="inlineStr">
        <is>
          <t>AZZURA Two Way Cake All Day Matte Finish Refill 02 Natural 12gr</t>
        </is>
      </c>
      <c r="D206" t="inlineStr">
        <is>
          <t>Miss Glam Jambi</t>
        </is>
      </c>
      <c r="E206" t="n">
        <v>2</v>
      </c>
      <c r="F206" t="n">
        <v>0.07000000000000001</v>
      </c>
      <c r="G206" t="n">
        <v>3</v>
      </c>
      <c r="H206" t="n">
        <v>6</v>
      </c>
      <c r="I206" t="n">
        <v>20</v>
      </c>
      <c r="J206" t="n">
        <v>3</v>
      </c>
      <c r="K206" t="n">
        <v>3</v>
      </c>
      <c r="L206" t="n">
        <v>17006</v>
      </c>
      <c r="M206" t="n">
        <v>24000</v>
      </c>
      <c r="N206" t="n">
        <v>33</v>
      </c>
      <c r="O206" t="n">
        <v>0.33</v>
      </c>
      <c r="P206" t="n">
        <v>0</v>
      </c>
      <c r="Q206" t="n">
        <v>0.07000000000000001</v>
      </c>
      <c r="R206" t="n">
        <v>3</v>
      </c>
      <c r="S206" t="n">
        <v>1680</v>
      </c>
      <c r="T206" t="n">
        <v>60</v>
      </c>
      <c r="U206" t="n">
        <v>61</v>
      </c>
      <c r="V206" t="n">
        <v>30</v>
      </c>
      <c r="W206" t="n">
        <v>3</v>
      </c>
      <c r="X206" t="n">
        <v>28.57142857142857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10440</v>
      </c>
      <c r="AG206" t="n">
        <v>2198</v>
      </c>
      <c r="AH206" t="inlineStr">
        <is>
          <t>PT. JAMBI DISTRINDO RAYA - PPN (JMB)</t>
        </is>
      </c>
      <c r="AI206" t="n">
        <v>1031</v>
      </c>
      <c r="AJ206" t="inlineStr">
        <is>
          <t>AZZURA</t>
        </is>
      </c>
      <c r="AK206" t="n">
        <v>9</v>
      </c>
      <c r="AL206" t="inlineStr">
        <is>
          <t>Miss Glam Jambi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"203002185801"</f>
        <v/>
      </c>
      <c r="C207" t="inlineStr">
        <is>
          <t>AZZURA Velvet Lipcream 04 Peanuts Butter 4gr</t>
        </is>
      </c>
      <c r="D207" t="inlineStr">
        <is>
          <t>Miss Glam Jambi</t>
        </is>
      </c>
      <c r="E207" t="n">
        <v>0</v>
      </c>
      <c r="F207" t="n">
        <v>0.0165</v>
      </c>
      <c r="G207" t="n">
        <v>0.33</v>
      </c>
      <c r="H207" t="n">
        <v>6</v>
      </c>
      <c r="I207" t="n">
        <v>20</v>
      </c>
      <c r="J207" t="n">
        <v>1</v>
      </c>
      <c r="K207" t="n">
        <v>0</v>
      </c>
      <c r="L207" t="n">
        <v>37161</v>
      </c>
      <c r="M207" t="n">
        <v>44000</v>
      </c>
      <c r="N207" t="n">
        <v>33</v>
      </c>
      <c r="O207" t="n">
        <v>0.33</v>
      </c>
      <c r="P207" t="n">
        <v>1</v>
      </c>
      <c r="Q207" t="n">
        <v>0.02</v>
      </c>
      <c r="R207" t="n">
        <v>0</v>
      </c>
      <c r="S207" t="n">
        <v>726</v>
      </c>
      <c r="T207" t="n">
        <v>7</v>
      </c>
      <c r="U207" t="n">
        <v>8</v>
      </c>
      <c r="V207" t="n">
        <v>30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0</v>
      </c>
      <c r="AC207" t="n">
        <v>0</v>
      </c>
      <c r="AD207" t="n">
        <v>37161</v>
      </c>
      <c r="AE207" t="n">
        <v>0</v>
      </c>
      <c r="AF207" t="n">
        <v>10440</v>
      </c>
      <c r="AG207" t="n">
        <v>2198</v>
      </c>
      <c r="AH207" t="inlineStr">
        <is>
          <t>PT. JAMBI DISTRINDO RAYA - PPN (JMB)</t>
        </is>
      </c>
      <c r="AI207" t="n">
        <v>1031</v>
      </c>
      <c r="AJ207" t="inlineStr">
        <is>
          <t>AZZURA</t>
        </is>
      </c>
      <c r="AK207" t="n">
        <v>9</v>
      </c>
      <c r="AL207" t="inlineStr">
        <is>
          <t>Miss Glam Jambi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"203002185956"</f>
        <v/>
      </c>
      <c r="C208" t="inlineStr">
        <is>
          <t>AZZURA Velvet Lipcream 05 Chasmier Burnt 4gr</t>
        </is>
      </c>
      <c r="D208" t="inlineStr">
        <is>
          <t>Miss Glam Jambi</t>
        </is>
      </c>
      <c r="E208" t="n">
        <v>9</v>
      </c>
      <c r="F208" t="n">
        <v>0.0594</v>
      </c>
      <c r="G208" t="n">
        <v>0.99</v>
      </c>
      <c r="H208" t="n">
        <v>6</v>
      </c>
      <c r="I208" t="n">
        <v>20</v>
      </c>
      <c r="J208" t="n">
        <v>1</v>
      </c>
      <c r="K208" t="n">
        <v>0</v>
      </c>
      <c r="L208" t="n">
        <v>39117</v>
      </c>
      <c r="M208" t="n">
        <v>46500</v>
      </c>
      <c r="N208" t="n">
        <v>33</v>
      </c>
      <c r="O208" t="n">
        <v>0.33</v>
      </c>
      <c r="P208" t="n">
        <v>1</v>
      </c>
      <c r="Q208" t="n">
        <v>0.05</v>
      </c>
      <c r="R208" t="n">
        <v>1</v>
      </c>
      <c r="S208" t="n">
        <v>2762.1</v>
      </c>
      <c r="T208" t="n">
        <v>20</v>
      </c>
      <c r="U208" t="n">
        <v>21</v>
      </c>
      <c r="V208" t="n">
        <v>30</v>
      </c>
      <c r="W208" t="n">
        <v>2</v>
      </c>
      <c r="X208" t="n">
        <v>151.5151515151515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10440</v>
      </c>
      <c r="AG208" t="n">
        <v>2198</v>
      </c>
      <c r="AH208" t="inlineStr">
        <is>
          <t>PT. JAMBI DISTRINDO RAYA - PPN (JMB)</t>
        </is>
      </c>
      <c r="AI208" t="n">
        <v>1031</v>
      </c>
      <c r="AJ208" t="inlineStr">
        <is>
          <t>AZZURA</t>
        </is>
      </c>
      <c r="AK208" t="n">
        <v>9</v>
      </c>
      <c r="AL208" t="inlineStr">
        <is>
          <t>Miss Glam Jambi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BAD LAB</t>
        </is>
      </c>
      <c r="B209" s="2">
        <f>"9555723800266"</f>
        <v/>
      </c>
      <c r="C209" t="inlineStr">
        <is>
          <t>BAD LAB Baby Faced Assassin Energising Facial Cleanser 100ml</t>
        </is>
      </c>
      <c r="D209" t="inlineStr">
        <is>
          <t>Miss Glam Jambi</t>
        </is>
      </c>
      <c r="E209" t="n">
        <v>0</v>
      </c>
      <c r="F209" t="n">
        <v>0.02</v>
      </c>
      <c r="G209" t="n">
        <v>1</v>
      </c>
      <c r="H209" t="n">
        <v>4</v>
      </c>
      <c r="I209" t="n">
        <v>20</v>
      </c>
      <c r="J209" t="n">
        <v>3</v>
      </c>
      <c r="K209" t="n">
        <v>0</v>
      </c>
      <c r="L209" t="n">
        <v>77856</v>
      </c>
      <c r="M209" t="n">
        <v>95000</v>
      </c>
      <c r="N209" t="n">
        <v>33</v>
      </c>
      <c r="O209" t="n">
        <v>0.33</v>
      </c>
      <c r="P209" t="n">
        <v>0</v>
      </c>
      <c r="Q209" t="n">
        <v>0.02</v>
      </c>
      <c r="R209" t="n">
        <v>1</v>
      </c>
      <c r="S209" t="n">
        <v>1900</v>
      </c>
      <c r="T209" t="n">
        <v>20</v>
      </c>
      <c r="U209" t="n">
        <v>21</v>
      </c>
      <c r="V209" t="n">
        <v>30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n">
        <v>0</v>
      </c>
      <c r="AC209" t="n">
        <v>0</v>
      </c>
      <c r="AD209" t="n">
        <v>77856</v>
      </c>
      <c r="AE209" t="n">
        <v>0</v>
      </c>
      <c r="AF209" t="n">
        <v>3216</v>
      </c>
      <c r="AG209" t="n">
        <v>1</v>
      </c>
      <c r="AH209" t="inlineStr">
        <is>
          <t>PT. BERSAMA DISTRIVERSA INDONESIA (DC CIPUTAT)</t>
        </is>
      </c>
      <c r="AI209" t="n">
        <v>1851</v>
      </c>
      <c r="AJ209" t="inlineStr">
        <is>
          <t>BAD LAB</t>
        </is>
      </c>
      <c r="AK209" t="n">
        <v>9</v>
      </c>
      <c r="AL209" t="inlineStr">
        <is>
          <t>Miss Glam Jambi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"50100447034"</f>
        <v/>
      </c>
      <c r="C210" t="inlineStr">
        <is>
          <t>BAISISI Bulu Mata Palsu A03 Bulumata Aurora</t>
        </is>
      </c>
      <c r="D210" t="inlineStr">
        <is>
          <t>Miss Glam Jambi</t>
        </is>
      </c>
      <c r="E210" t="n">
        <v>2</v>
      </c>
      <c r="F210" t="n">
        <v>0.1353</v>
      </c>
      <c r="G210" t="n">
        <v>0.99</v>
      </c>
      <c r="H210" t="n">
        <v>4</v>
      </c>
      <c r="I210" t="n">
        <v>20</v>
      </c>
      <c r="J210" t="n">
        <v>1</v>
      </c>
      <c r="K210" t="n">
        <v>2</v>
      </c>
      <c r="L210" t="n">
        <v>19599</v>
      </c>
      <c r="M210" t="n">
        <v>29000</v>
      </c>
      <c r="N210" t="n">
        <v>33</v>
      </c>
      <c r="O210" t="n">
        <v>0.33</v>
      </c>
      <c r="P210" t="n">
        <v>1</v>
      </c>
      <c r="Q210" t="n">
        <v>0.05</v>
      </c>
      <c r="R210" t="n">
        <v>1</v>
      </c>
      <c r="S210" t="n">
        <v>3923.7</v>
      </c>
      <c r="T210" t="n">
        <v>20</v>
      </c>
      <c r="U210" t="n">
        <v>21</v>
      </c>
      <c r="V210" t="n">
        <v>30</v>
      </c>
      <c r="W210" t="n">
        <v>5</v>
      </c>
      <c r="X210" t="n">
        <v>14.7819660014782</v>
      </c>
      <c r="Y210" t="n">
        <v>1</v>
      </c>
      <c r="Z210" t="n">
        <v>1</v>
      </c>
      <c r="AA210" t="n">
        <v>0</v>
      </c>
      <c r="AB210" t="n">
        <v>1</v>
      </c>
      <c r="AC210" t="n">
        <v>1</v>
      </c>
      <c r="AD210" t="n">
        <v>0</v>
      </c>
      <c r="AE210" t="n">
        <v>19599</v>
      </c>
      <c r="AF210" t="n">
        <v>3247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9</v>
      </c>
      <c r="AL210" t="inlineStr">
        <is>
          <t>Miss Glam Jambi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"50100446947"</f>
        <v/>
      </c>
      <c r="C211" t="inlineStr">
        <is>
          <t>BAISISI Bulu Mata Palsu A06 Bulumata Russian</t>
        </is>
      </c>
      <c r="D211" t="inlineStr">
        <is>
          <t>Miss Glam Jambi</t>
        </is>
      </c>
      <c r="E211" t="n">
        <v>3</v>
      </c>
      <c r="F211" t="n">
        <v>0.2838</v>
      </c>
      <c r="G211" t="n">
        <v>1.65</v>
      </c>
      <c r="H211" t="n">
        <v>4</v>
      </c>
      <c r="I211" t="n">
        <v>20</v>
      </c>
      <c r="J211" t="n">
        <v>1</v>
      </c>
      <c r="K211" t="n">
        <v>3</v>
      </c>
      <c r="L211" t="n">
        <v>19013</v>
      </c>
      <c r="M211" t="n">
        <v>29000</v>
      </c>
      <c r="N211" t="n">
        <v>33</v>
      </c>
      <c r="O211" t="n">
        <v>0.33</v>
      </c>
      <c r="P211" t="n">
        <v>1</v>
      </c>
      <c r="Q211" t="n">
        <v>0.22</v>
      </c>
      <c r="R211" t="n">
        <v>2</v>
      </c>
      <c r="S211" t="n">
        <v>8230.200000000001</v>
      </c>
      <c r="T211" t="n">
        <v>32</v>
      </c>
      <c r="U211" t="n">
        <v>34</v>
      </c>
      <c r="V211" t="n">
        <v>30</v>
      </c>
      <c r="W211" t="n">
        <v>9</v>
      </c>
      <c r="X211" t="n">
        <v>10.5708245243129</v>
      </c>
      <c r="Y211" t="n">
        <v>1</v>
      </c>
      <c r="Z211" t="n">
        <v>3</v>
      </c>
      <c r="AA211" t="n">
        <v>2</v>
      </c>
      <c r="AB211" t="n">
        <v>1</v>
      </c>
      <c r="AC211" t="n">
        <v>1</v>
      </c>
      <c r="AD211" t="n">
        <v>38026</v>
      </c>
      <c r="AE211" t="n">
        <v>19013</v>
      </c>
      <c r="AF211" t="n">
        <v>3247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9</v>
      </c>
      <c r="AL211" t="inlineStr">
        <is>
          <t>Miss Glam Jambi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"50100446855"</f>
        <v/>
      </c>
      <c r="C212" t="inlineStr">
        <is>
          <t>BAISISI Bulu Mata Palsu A07 Bulumata Arabian Dubai</t>
        </is>
      </c>
      <c r="D212" t="inlineStr">
        <is>
          <t>Miss Glam Jambi</t>
        </is>
      </c>
      <c r="E212" t="n">
        <v>0</v>
      </c>
      <c r="F212" t="n">
        <v>0.2805</v>
      </c>
      <c r="G212" t="n">
        <v>1.65</v>
      </c>
      <c r="H212" t="n">
        <v>4</v>
      </c>
      <c r="I212" t="n">
        <v>20</v>
      </c>
      <c r="J212" t="n">
        <v>1</v>
      </c>
      <c r="K212" t="n">
        <v>3</v>
      </c>
      <c r="L212" t="n">
        <v>19220</v>
      </c>
      <c r="M212" t="n">
        <v>29000</v>
      </c>
      <c r="N212" t="n">
        <v>33</v>
      </c>
      <c r="O212" t="n">
        <v>0.33</v>
      </c>
      <c r="P212" t="n">
        <v>1</v>
      </c>
      <c r="Q212" t="n">
        <v>0.26</v>
      </c>
      <c r="R212" t="n">
        <v>2</v>
      </c>
      <c r="S212" t="n">
        <v>8134.500000000001</v>
      </c>
      <c r="T212" t="n">
        <v>32</v>
      </c>
      <c r="U212" t="n">
        <v>34</v>
      </c>
      <c r="V212" t="n">
        <v>30</v>
      </c>
      <c r="W212" t="n">
        <v>9</v>
      </c>
      <c r="X212" t="n">
        <v>0</v>
      </c>
      <c r="Y212" t="n">
        <v>1</v>
      </c>
      <c r="Z212" t="n">
        <v>6</v>
      </c>
      <c r="AA212" t="n">
        <v>5</v>
      </c>
      <c r="AB212" t="n">
        <v>1</v>
      </c>
      <c r="AC212" t="n">
        <v>1</v>
      </c>
      <c r="AD212" t="n">
        <v>96100</v>
      </c>
      <c r="AE212" t="n">
        <v>19220</v>
      </c>
      <c r="AF212" t="n">
        <v>3247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9</v>
      </c>
      <c r="AL212" t="inlineStr">
        <is>
          <t>Miss Glam Jambi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"50100448758"</f>
        <v/>
      </c>
      <c r="C213" t="inlineStr">
        <is>
          <t>BAISISI Bulu Mata Palsu A07 Bulumata Arabian Dubai + Glue</t>
        </is>
      </c>
      <c r="D213" t="inlineStr">
        <is>
          <t>Miss Glam Jambi</t>
        </is>
      </c>
      <c r="E213" t="n">
        <v>5</v>
      </c>
      <c r="F213" t="n">
        <v>0.06270000000000001</v>
      </c>
      <c r="G213" t="n">
        <v>0.99</v>
      </c>
      <c r="H213" t="n">
        <v>4</v>
      </c>
      <c r="I213" t="n">
        <v>20</v>
      </c>
      <c r="J213" t="n">
        <v>1</v>
      </c>
      <c r="K213" t="n">
        <v>0</v>
      </c>
      <c r="L213" t="n">
        <v>51698</v>
      </c>
      <c r="M213" t="n">
        <v>75000</v>
      </c>
      <c r="N213" t="n">
        <v>33</v>
      </c>
      <c r="O213" t="n">
        <v>0.33</v>
      </c>
      <c r="P213" t="n">
        <v>1</v>
      </c>
      <c r="Q213" t="n">
        <v>0.07000000000000001</v>
      </c>
      <c r="R213" t="n">
        <v>1</v>
      </c>
      <c r="S213" t="n">
        <v>4702.5</v>
      </c>
      <c r="T213" t="n">
        <v>20</v>
      </c>
      <c r="U213" t="n">
        <v>21</v>
      </c>
      <c r="V213" t="n">
        <v>30</v>
      </c>
      <c r="W213" t="n">
        <v>2</v>
      </c>
      <c r="X213" t="n">
        <v>79.74481658692184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3247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9</v>
      </c>
      <c r="AL213" t="inlineStr">
        <is>
          <t>Miss Glam Jambi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"50100446521"</f>
        <v/>
      </c>
      <c r="C214" t="inlineStr">
        <is>
          <t>BAISISI Bulu Mata Palsu A10 Bulumata Idol</t>
        </is>
      </c>
      <c r="D214" t="inlineStr">
        <is>
          <t>Miss Glam Jambi</t>
        </is>
      </c>
      <c r="E214" t="n">
        <v>23</v>
      </c>
      <c r="F214" t="n">
        <v>0.3201</v>
      </c>
      <c r="G214" t="n">
        <v>1.65</v>
      </c>
      <c r="H214" t="n">
        <v>4</v>
      </c>
      <c r="I214" t="n">
        <v>20</v>
      </c>
      <c r="J214" t="n">
        <v>1</v>
      </c>
      <c r="K214" t="n">
        <v>0</v>
      </c>
      <c r="L214" t="n">
        <v>19003</v>
      </c>
      <c r="M214" t="n">
        <v>29000</v>
      </c>
      <c r="N214" t="n">
        <v>33</v>
      </c>
      <c r="O214" t="n">
        <v>0.33</v>
      </c>
      <c r="P214" t="n">
        <v>1</v>
      </c>
      <c r="Q214" t="n">
        <v>0.12</v>
      </c>
      <c r="R214" t="n">
        <v>1</v>
      </c>
      <c r="S214" t="n">
        <v>9282.9</v>
      </c>
      <c r="T214" t="n">
        <v>32</v>
      </c>
      <c r="U214" t="n">
        <v>34</v>
      </c>
      <c r="V214" t="n">
        <v>30</v>
      </c>
      <c r="W214" t="n">
        <v>10</v>
      </c>
      <c r="X214" t="n">
        <v>71.8525460793502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3247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9</v>
      </c>
      <c r="AL214" t="inlineStr">
        <is>
          <t>Miss Glam Jambi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"50100448440"</f>
        <v/>
      </c>
      <c r="C215" t="inlineStr">
        <is>
          <t>BAISISI Bulu Mata Palsu A10 Bulumata Ringan Idol + Glue</t>
        </is>
      </c>
      <c r="D215" t="inlineStr">
        <is>
          <t>Miss Glam Jambi</t>
        </is>
      </c>
      <c r="E215" t="n">
        <v>9</v>
      </c>
      <c r="F215" t="n">
        <v>0.0561</v>
      </c>
      <c r="G215" t="n">
        <v>0.33</v>
      </c>
      <c r="H215" t="n">
        <v>4</v>
      </c>
      <c r="I215" t="n">
        <v>20</v>
      </c>
      <c r="J215" t="n">
        <v>1</v>
      </c>
      <c r="K215" t="n">
        <v>0</v>
      </c>
      <c r="L215" t="n">
        <v>51698</v>
      </c>
      <c r="M215" t="n">
        <v>75000</v>
      </c>
      <c r="N215" t="n">
        <v>33</v>
      </c>
      <c r="O215" t="n">
        <v>0.33</v>
      </c>
      <c r="P215" t="n">
        <v>1</v>
      </c>
      <c r="Q215" t="n">
        <v>0.25</v>
      </c>
      <c r="R215" t="n">
        <v>3</v>
      </c>
      <c r="S215" t="n">
        <v>4207.5</v>
      </c>
      <c r="T215" t="n">
        <v>7</v>
      </c>
      <c r="U215" t="n">
        <v>8</v>
      </c>
      <c r="V215" t="n">
        <v>30</v>
      </c>
      <c r="W215" t="n">
        <v>2</v>
      </c>
      <c r="X215" t="n">
        <v>160.427807486631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3247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9</v>
      </c>
      <c r="AL215" t="inlineStr">
        <is>
          <t>Miss Glam Jambi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"50100446750"</f>
        <v/>
      </c>
      <c r="C216" t="inlineStr">
        <is>
          <t>BAISISI Bulu Mata Palsu A11 Bulumata Super Natural</t>
        </is>
      </c>
      <c r="D216" t="inlineStr">
        <is>
          <t>Miss Glam Jambi</t>
        </is>
      </c>
      <c r="E216" t="n">
        <v>6</v>
      </c>
      <c r="F216" t="n">
        <v>0.297</v>
      </c>
      <c r="G216" t="n">
        <v>1.98</v>
      </c>
      <c r="H216" t="n">
        <v>4</v>
      </c>
      <c r="I216" t="n">
        <v>20</v>
      </c>
      <c r="J216" t="n">
        <v>1</v>
      </c>
      <c r="K216" t="n">
        <v>3</v>
      </c>
      <c r="L216" t="n">
        <v>19318</v>
      </c>
      <c r="M216" t="n">
        <v>29000</v>
      </c>
      <c r="N216" t="n">
        <v>33</v>
      </c>
      <c r="O216" t="n">
        <v>0.33</v>
      </c>
      <c r="P216" t="n">
        <v>1</v>
      </c>
      <c r="Q216" t="n">
        <v>0.05</v>
      </c>
      <c r="R216" t="n">
        <v>2</v>
      </c>
      <c r="S216" t="n">
        <v>8613.000000000002</v>
      </c>
      <c r="T216" t="n">
        <v>39</v>
      </c>
      <c r="U216" t="n">
        <v>41</v>
      </c>
      <c r="V216" t="n">
        <v>30</v>
      </c>
      <c r="W216" t="n">
        <v>9</v>
      </c>
      <c r="X216" t="n">
        <v>20.2020202020202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3247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9</v>
      </c>
      <c r="AL216" t="inlineStr">
        <is>
          <t>Miss Glam Jambi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"50100448537"</f>
        <v/>
      </c>
      <c r="C217" t="inlineStr">
        <is>
          <t>BAISISI Bulu Mata Palsu A11 Bulumata Super Natural + Glue</t>
        </is>
      </c>
      <c r="D217" t="inlineStr">
        <is>
          <t>Miss Glam Jambi</t>
        </is>
      </c>
      <c r="E217" t="n">
        <v>3</v>
      </c>
      <c r="F217" t="n">
        <v>0.0561</v>
      </c>
      <c r="G217" t="n">
        <v>0.66</v>
      </c>
      <c r="H217" t="n">
        <v>4</v>
      </c>
      <c r="I217" t="n">
        <v>20</v>
      </c>
      <c r="J217" t="n">
        <v>1</v>
      </c>
      <c r="K217" t="n">
        <v>0</v>
      </c>
      <c r="L217" t="n">
        <v>51707</v>
      </c>
      <c r="M217" t="n">
        <v>75000</v>
      </c>
      <c r="N217" t="n">
        <v>33</v>
      </c>
      <c r="O217" t="n">
        <v>0.33</v>
      </c>
      <c r="P217" t="n">
        <v>1</v>
      </c>
      <c r="Q217" t="n">
        <v>0.17</v>
      </c>
      <c r="R217" t="n">
        <v>2</v>
      </c>
      <c r="S217" t="n">
        <v>4207.5</v>
      </c>
      <c r="T217" t="n">
        <v>13</v>
      </c>
      <c r="U217" t="n">
        <v>14</v>
      </c>
      <c r="V217" t="n">
        <v>30</v>
      </c>
      <c r="W217" t="n">
        <v>2</v>
      </c>
      <c r="X217" t="n">
        <v>53.475935828877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3247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9</v>
      </c>
      <c r="AL217" t="inlineStr">
        <is>
          <t>Miss Glam Jambi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"50100448616"</f>
        <v/>
      </c>
      <c r="C218" t="inlineStr">
        <is>
          <t>BAISISI Bulu Mata Palsu A12 Bulumata Barbie + Glue</t>
        </is>
      </c>
      <c r="D218" t="inlineStr">
        <is>
          <t>Miss Glam Jambi</t>
        </is>
      </c>
      <c r="E218" t="n">
        <v>8</v>
      </c>
      <c r="F218" t="n">
        <v>0.0231</v>
      </c>
      <c r="G218" t="n">
        <v>0.33</v>
      </c>
      <c r="H218" t="n">
        <v>4</v>
      </c>
      <c r="I218" t="n">
        <v>20</v>
      </c>
      <c r="J218" t="n">
        <v>1</v>
      </c>
      <c r="K218" t="n">
        <v>0</v>
      </c>
      <c r="L218" t="n">
        <v>51698</v>
      </c>
      <c r="M218" t="n">
        <v>75000</v>
      </c>
      <c r="N218" t="n">
        <v>33</v>
      </c>
      <c r="O218" t="n">
        <v>0.33</v>
      </c>
      <c r="P218" t="n">
        <v>1</v>
      </c>
      <c r="Q218" t="n">
        <v>0.02</v>
      </c>
      <c r="R218" t="n">
        <v>1</v>
      </c>
      <c r="S218" t="n">
        <v>1732.5</v>
      </c>
      <c r="T218" t="n">
        <v>7</v>
      </c>
      <c r="U218" t="n">
        <v>8</v>
      </c>
      <c r="V218" t="n">
        <v>30</v>
      </c>
      <c r="W218" t="n">
        <v>1</v>
      </c>
      <c r="X218" t="n">
        <v>346.3203463203463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3247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9</v>
      </c>
      <c r="AL218" t="inlineStr">
        <is>
          <t>Miss Glam Jambi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"50100446656"</f>
        <v/>
      </c>
      <c r="C219" t="inlineStr">
        <is>
          <t>BAISISI Bulu Mata Palsu A14 Bulumata Natural Curly</t>
        </is>
      </c>
      <c r="D219" t="inlineStr">
        <is>
          <t>Miss Glam Jambi</t>
        </is>
      </c>
      <c r="E219" t="n">
        <v>4</v>
      </c>
      <c r="F219" t="n">
        <v>0.2574</v>
      </c>
      <c r="G219" t="n">
        <v>1.65</v>
      </c>
      <c r="H219" t="n">
        <v>4</v>
      </c>
      <c r="I219" t="n">
        <v>20</v>
      </c>
      <c r="J219" t="n">
        <v>1</v>
      </c>
      <c r="K219" t="n">
        <v>2</v>
      </c>
      <c r="L219" t="n">
        <v>19003</v>
      </c>
      <c r="M219" t="n">
        <v>29000</v>
      </c>
      <c r="N219" t="n">
        <v>33</v>
      </c>
      <c r="O219" t="n">
        <v>0.33</v>
      </c>
      <c r="P219" t="n">
        <v>1</v>
      </c>
      <c r="Q219" t="n">
        <v>0.14</v>
      </c>
      <c r="R219" t="n">
        <v>1</v>
      </c>
      <c r="S219" t="n">
        <v>7464.6</v>
      </c>
      <c r="T219" t="n">
        <v>32</v>
      </c>
      <c r="U219" t="n">
        <v>34</v>
      </c>
      <c r="V219" t="n">
        <v>30</v>
      </c>
      <c r="W219" t="n">
        <v>8</v>
      </c>
      <c r="X219" t="n">
        <v>15.54001554001554</v>
      </c>
      <c r="Y219" t="n">
        <v>1</v>
      </c>
      <c r="Z219" t="n">
        <v>2</v>
      </c>
      <c r="AA219" t="n">
        <v>1</v>
      </c>
      <c r="AB219" t="n">
        <v>1</v>
      </c>
      <c r="AC219" t="n">
        <v>1</v>
      </c>
      <c r="AD219" t="n">
        <v>19003</v>
      </c>
      <c r="AE219" t="n">
        <v>19003</v>
      </c>
      <c r="AF219" t="n">
        <v>3247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9</v>
      </c>
      <c r="AL219" t="inlineStr">
        <is>
          <t>Miss Glam Jambi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"50100448320"</f>
        <v/>
      </c>
      <c r="C220" t="inlineStr">
        <is>
          <t>BAISISI Bulu Mata Palsu A14 Bulumata Natural Curly + Glue</t>
        </is>
      </c>
      <c r="D220" t="inlineStr">
        <is>
          <t>Miss Glam Jambi</t>
        </is>
      </c>
      <c r="E220" t="n">
        <v>3</v>
      </c>
      <c r="F220" t="n">
        <v>0.0561</v>
      </c>
      <c r="G220" t="n">
        <v>0.66</v>
      </c>
      <c r="H220" t="n">
        <v>4</v>
      </c>
      <c r="I220" t="n">
        <v>20</v>
      </c>
      <c r="J220" t="n">
        <v>1</v>
      </c>
      <c r="K220" t="n">
        <v>0</v>
      </c>
      <c r="L220" t="n">
        <v>51698</v>
      </c>
      <c r="M220" t="n">
        <v>75000</v>
      </c>
      <c r="N220" t="n">
        <v>33</v>
      </c>
      <c r="O220" t="n">
        <v>0.33</v>
      </c>
      <c r="P220" t="n">
        <v>1</v>
      </c>
      <c r="Q220" t="n">
        <v>0.1</v>
      </c>
      <c r="R220" t="n">
        <v>1</v>
      </c>
      <c r="S220" t="n">
        <v>4207.5</v>
      </c>
      <c r="T220" t="n">
        <v>13</v>
      </c>
      <c r="U220" t="n">
        <v>14</v>
      </c>
      <c r="V220" t="n">
        <v>30</v>
      </c>
      <c r="W220" t="n">
        <v>2</v>
      </c>
      <c r="X220" t="n">
        <v>53.475935828877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3247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9</v>
      </c>
      <c r="AL220" t="inlineStr">
        <is>
          <t>Miss Glam Jambi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"50100446248"</f>
        <v/>
      </c>
      <c r="C221" t="inlineStr">
        <is>
          <t>BAISISI Bulu Mata Palsu Z01 Bulumata Natural</t>
        </is>
      </c>
      <c r="D221" t="inlineStr">
        <is>
          <t>Miss Glam Jambi</t>
        </is>
      </c>
      <c r="E221" t="n">
        <v>9</v>
      </c>
      <c r="F221" t="n">
        <v>0.06270000000000001</v>
      </c>
      <c r="G221" t="n">
        <v>0.66</v>
      </c>
      <c r="H221" t="n">
        <v>4</v>
      </c>
      <c r="I221" t="n">
        <v>20</v>
      </c>
      <c r="J221" t="n">
        <v>1</v>
      </c>
      <c r="K221" t="n">
        <v>0</v>
      </c>
      <c r="L221" t="n">
        <v>29471</v>
      </c>
      <c r="M221" t="n">
        <v>45000</v>
      </c>
      <c r="N221" t="n">
        <v>33</v>
      </c>
      <c r="O221" t="n">
        <v>0.33</v>
      </c>
      <c r="P221" t="n">
        <v>1</v>
      </c>
      <c r="Q221" t="n">
        <v>0.14</v>
      </c>
      <c r="R221" t="n">
        <v>2</v>
      </c>
      <c r="S221" t="n">
        <v>2821.5</v>
      </c>
      <c r="T221" t="n">
        <v>13</v>
      </c>
      <c r="U221" t="n">
        <v>14</v>
      </c>
      <c r="V221" t="n">
        <v>30</v>
      </c>
      <c r="W221" t="n">
        <v>2</v>
      </c>
      <c r="X221" t="n">
        <v>143.5406698564593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3247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9</v>
      </c>
      <c r="AL221" t="inlineStr">
        <is>
          <t>Miss Glam Jambi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"50100446444"</f>
        <v/>
      </c>
      <c r="C222" t="inlineStr">
        <is>
          <t>BAISISI Bulu Mata Palsu Z03 Bulumata Barbie</t>
        </is>
      </c>
      <c r="D222" t="inlineStr">
        <is>
          <t>Miss Glam Jambi</t>
        </is>
      </c>
      <c r="E222" t="n">
        <v>9</v>
      </c>
      <c r="F222" t="n">
        <v>0.09569999999999999</v>
      </c>
      <c r="G222" t="n">
        <v>0.66</v>
      </c>
      <c r="H222" t="n">
        <v>4</v>
      </c>
      <c r="I222" t="n">
        <v>20</v>
      </c>
      <c r="J222" t="n">
        <v>1</v>
      </c>
      <c r="K222" t="n">
        <v>0</v>
      </c>
      <c r="L222" t="n">
        <v>29467</v>
      </c>
      <c r="M222" t="n">
        <v>45000</v>
      </c>
      <c r="N222" t="n">
        <v>33</v>
      </c>
      <c r="O222" t="n">
        <v>0.33</v>
      </c>
      <c r="P222" t="n">
        <v>1</v>
      </c>
      <c r="Q222" t="n">
        <v>0.17</v>
      </c>
      <c r="R222" t="n">
        <v>3</v>
      </c>
      <c r="S222" t="n">
        <v>4306.5</v>
      </c>
      <c r="T222" t="n">
        <v>13</v>
      </c>
      <c r="U222" t="n">
        <v>14</v>
      </c>
      <c r="V222" t="n">
        <v>30</v>
      </c>
      <c r="W222" t="n">
        <v>3</v>
      </c>
      <c r="X222" t="n">
        <v>94.04388714733543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3247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9</v>
      </c>
      <c r="AL222" t="inlineStr">
        <is>
          <t>Miss Glam Jambi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"50100446102"</f>
        <v/>
      </c>
      <c r="C223" t="inlineStr">
        <is>
          <t>BAISISI Bulu Mata Palsu Z04 Bulumata Super Natural Eyelash</t>
        </is>
      </c>
      <c r="D223" t="inlineStr">
        <is>
          <t>Miss Glam Jambi</t>
        </is>
      </c>
      <c r="E223" t="n">
        <v>4</v>
      </c>
      <c r="F223" t="n">
        <v>0.3927</v>
      </c>
      <c r="G223" t="n">
        <v>0.99</v>
      </c>
      <c r="H223" t="n">
        <v>4</v>
      </c>
      <c r="I223" t="n">
        <v>20</v>
      </c>
      <c r="J223" t="n">
        <v>1</v>
      </c>
      <c r="K223" t="n">
        <v>4</v>
      </c>
      <c r="L223" t="n">
        <v>29448</v>
      </c>
      <c r="M223" t="n">
        <v>45000</v>
      </c>
      <c r="N223" t="n">
        <v>33</v>
      </c>
      <c r="O223" t="n">
        <v>0.33</v>
      </c>
      <c r="P223" t="n">
        <v>1</v>
      </c>
      <c r="Q223" t="n">
        <v>0.34</v>
      </c>
      <c r="R223" t="n">
        <v>2</v>
      </c>
      <c r="S223" t="n">
        <v>17671.5</v>
      </c>
      <c r="T223" t="n">
        <v>19</v>
      </c>
      <c r="U223" t="n">
        <v>21</v>
      </c>
      <c r="V223" t="n">
        <v>30</v>
      </c>
      <c r="W223" t="n">
        <v>12</v>
      </c>
      <c r="X223" t="n">
        <v>10.18589253883372</v>
      </c>
      <c r="Y223" t="n">
        <v>1</v>
      </c>
      <c r="Z223" t="n">
        <v>4</v>
      </c>
      <c r="AA223" t="n">
        <v>3</v>
      </c>
      <c r="AB223" t="n">
        <v>1</v>
      </c>
      <c r="AC223" t="n">
        <v>1</v>
      </c>
      <c r="AD223" t="n">
        <v>88344</v>
      </c>
      <c r="AE223" t="n">
        <v>29448</v>
      </c>
      <c r="AF223" t="n">
        <v>3247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9</v>
      </c>
      <c r="AL223" t="inlineStr">
        <is>
          <t>Miss Glam Jambi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"50100446352"</f>
        <v/>
      </c>
      <c r="C224" t="inlineStr">
        <is>
          <t>BAISISI Bulu Mata Palsu Z11 Bulumata Korean</t>
        </is>
      </c>
      <c r="D224" t="inlineStr">
        <is>
          <t>Miss Glam Jambi</t>
        </is>
      </c>
      <c r="E224" t="n">
        <v>5</v>
      </c>
      <c r="F224" t="n">
        <v>0.1023</v>
      </c>
      <c r="G224" t="n">
        <v>0.66</v>
      </c>
      <c r="H224" t="n">
        <v>4</v>
      </c>
      <c r="I224" t="n">
        <v>20</v>
      </c>
      <c r="J224" t="n">
        <v>1</v>
      </c>
      <c r="K224" t="n">
        <v>0</v>
      </c>
      <c r="L224" t="n">
        <v>29470</v>
      </c>
      <c r="M224" t="n">
        <v>45000</v>
      </c>
      <c r="N224" t="n">
        <v>33</v>
      </c>
      <c r="O224" t="n">
        <v>0.33</v>
      </c>
      <c r="P224" t="n">
        <v>1</v>
      </c>
      <c r="Q224" t="n">
        <v>0.15</v>
      </c>
      <c r="R224" t="n">
        <v>2</v>
      </c>
      <c r="S224" t="n">
        <v>4603.5</v>
      </c>
      <c r="T224" t="n">
        <v>13</v>
      </c>
      <c r="U224" t="n">
        <v>14</v>
      </c>
      <c r="V224" t="n">
        <v>30</v>
      </c>
      <c r="W224" t="n">
        <v>4</v>
      </c>
      <c r="X224" t="n">
        <v>48.87585532746823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3247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9</v>
      </c>
      <c r="AL224" t="inlineStr">
        <is>
          <t>Miss Glam Jambi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BARBARA WALDEN</t>
        </is>
      </c>
      <c r="B225" s="2">
        <f>"8999338187878"</f>
        <v/>
      </c>
      <c r="C225" t="inlineStr">
        <is>
          <t>BARBARA WALDEN Fashion Styling Hair Spray 150ml</t>
        </is>
      </c>
      <c r="D225" t="inlineStr">
        <is>
          <t>Miss Glam Jambi</t>
        </is>
      </c>
      <c r="E225" t="n">
        <v>9</v>
      </c>
      <c r="F225" t="n">
        <v>0.2904</v>
      </c>
      <c r="G225" t="n">
        <v>0.99</v>
      </c>
      <c r="H225" t="n">
        <v>3</v>
      </c>
      <c r="I225" t="n">
        <v>5</v>
      </c>
      <c r="J225" t="n">
        <v>6</v>
      </c>
      <c r="K225" t="n">
        <v>0</v>
      </c>
      <c r="L225" t="n">
        <v>26521</v>
      </c>
      <c r="M225" t="n">
        <v>28000</v>
      </c>
      <c r="N225" t="n">
        <v>33</v>
      </c>
      <c r="O225" t="n">
        <v>0.33</v>
      </c>
      <c r="P225" t="n">
        <v>1</v>
      </c>
      <c r="Q225" t="n">
        <v>0.24</v>
      </c>
      <c r="R225" t="n">
        <v>2</v>
      </c>
      <c r="S225" t="n">
        <v>8131.2</v>
      </c>
      <c r="T225" t="n">
        <v>5</v>
      </c>
      <c r="U225" t="n">
        <v>6</v>
      </c>
      <c r="V225" t="n">
        <v>30</v>
      </c>
      <c r="W225" t="n">
        <v>9</v>
      </c>
      <c r="X225" t="n">
        <v>30.99173553719008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12314</v>
      </c>
      <c r="AG225" t="n">
        <v>92</v>
      </c>
      <c r="AH225" t="inlineStr">
        <is>
          <t>PT. SAI (PDG)</t>
        </is>
      </c>
      <c r="AI225" t="n">
        <v>1499</v>
      </c>
      <c r="AJ225" t="inlineStr">
        <is>
          <t>BARBARA WALDEN</t>
        </is>
      </c>
      <c r="AK225" t="n">
        <v>9</v>
      </c>
      <c r="AL225" t="inlineStr">
        <is>
          <t>Miss Glam Jambi</t>
        </is>
      </c>
      <c r="AM225" t="n">
        <v>2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BARBARA WALDEN</t>
        </is>
      </c>
      <c r="B226" s="2">
        <f>"8999338188882"</f>
        <v/>
      </c>
      <c r="C226" t="inlineStr">
        <is>
          <t>BARBARA WALDEN Fashion Styling Hair Spray 168ml</t>
        </is>
      </c>
      <c r="D226" t="inlineStr">
        <is>
          <t>Miss Glam Jambi</t>
        </is>
      </c>
      <c r="E226" t="n">
        <v>3</v>
      </c>
      <c r="F226" t="n">
        <v>0.0561</v>
      </c>
      <c r="G226" t="n">
        <v>0.33</v>
      </c>
      <c r="H226" t="n">
        <v>3</v>
      </c>
      <c r="I226" t="n">
        <v>5</v>
      </c>
      <c r="J226" t="n">
        <v>3</v>
      </c>
      <c r="K226" t="n">
        <v>0</v>
      </c>
      <c r="L226" t="n">
        <v>34041</v>
      </c>
      <c r="M226" t="n">
        <v>35900</v>
      </c>
      <c r="N226" t="n">
        <v>33</v>
      </c>
      <c r="O226" t="n">
        <v>0.33</v>
      </c>
      <c r="P226" t="n">
        <v>1</v>
      </c>
      <c r="Q226" t="n">
        <v>0.05</v>
      </c>
      <c r="R226" t="n">
        <v>1</v>
      </c>
      <c r="S226" t="n">
        <v>2013.99</v>
      </c>
      <c r="T226" t="n">
        <v>2</v>
      </c>
      <c r="U226" t="n">
        <v>3</v>
      </c>
      <c r="V226" t="n">
        <v>30</v>
      </c>
      <c r="W226" t="n">
        <v>2</v>
      </c>
      <c r="X226" t="n">
        <v>53.475935828877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12314</v>
      </c>
      <c r="AG226" t="n">
        <v>92</v>
      </c>
      <c r="AH226" t="inlineStr">
        <is>
          <t>PT. SAI (PDG)</t>
        </is>
      </c>
      <c r="AI226" t="n">
        <v>1499</v>
      </c>
      <c r="AJ226" t="inlineStr">
        <is>
          <t>BARBARA WALDEN</t>
        </is>
      </c>
      <c r="AK226" t="n">
        <v>9</v>
      </c>
      <c r="AL226" t="inlineStr">
        <is>
          <t>Miss Glam Jambi</t>
        </is>
      </c>
      <c r="AM226" t="n">
        <v>2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BARBARA WALDEN</t>
        </is>
      </c>
      <c r="B227" s="2">
        <f>"8999338288872"</f>
        <v/>
      </c>
      <c r="C227" t="inlineStr">
        <is>
          <t>BARBARA WALDEN Fashion Styling Hair Spray Black 280ml</t>
        </is>
      </c>
      <c r="D227" t="inlineStr">
        <is>
          <t>Miss Glam Jambi</t>
        </is>
      </c>
      <c r="E227" t="n">
        <v>2</v>
      </c>
      <c r="F227" t="n">
        <v>0.0462</v>
      </c>
      <c r="G227" t="n">
        <v>0.66</v>
      </c>
      <c r="H227" t="n">
        <v>3</v>
      </c>
      <c r="I227" t="n">
        <v>5</v>
      </c>
      <c r="J227" t="n">
        <v>3</v>
      </c>
      <c r="K227" t="n">
        <v>0</v>
      </c>
      <c r="L227" t="n">
        <v>36813</v>
      </c>
      <c r="M227" t="n">
        <v>38800</v>
      </c>
      <c r="N227" t="n">
        <v>33</v>
      </c>
      <c r="O227" t="n">
        <v>0.33</v>
      </c>
      <c r="P227" t="n">
        <v>1</v>
      </c>
      <c r="Q227" t="n">
        <v>0.02</v>
      </c>
      <c r="R227" t="n">
        <v>1</v>
      </c>
      <c r="S227" t="n">
        <v>1792.56</v>
      </c>
      <c r="T227" t="n">
        <v>4</v>
      </c>
      <c r="U227" t="n">
        <v>5</v>
      </c>
      <c r="V227" t="n">
        <v>30</v>
      </c>
      <c r="W227" t="n">
        <v>2</v>
      </c>
      <c r="X227" t="n">
        <v>43.29004329004329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12314</v>
      </c>
      <c r="AG227" t="n">
        <v>92</v>
      </c>
      <c r="AH227" t="inlineStr">
        <is>
          <t>PT. SAI (PDG)</t>
        </is>
      </c>
      <c r="AI227" t="n">
        <v>1499</v>
      </c>
      <c r="AJ227" t="inlineStr">
        <is>
          <t>BARBARA WALDEN</t>
        </is>
      </c>
      <c r="AK227" t="n">
        <v>9</v>
      </c>
      <c r="AL227" t="inlineStr">
        <is>
          <t>Miss Glam Jambi</t>
        </is>
      </c>
      <c r="AM227" t="n">
        <v>2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BARBARA WALDEN</t>
        </is>
      </c>
      <c r="B228" s="2">
        <f>"8999338278897"</f>
        <v/>
      </c>
      <c r="C228" t="inlineStr">
        <is>
          <t>BARBARA WALDEN Fashion Styling Hair Spray Pink 280ml</t>
        </is>
      </c>
      <c r="D228" t="inlineStr">
        <is>
          <t>Miss Glam Jambi</t>
        </is>
      </c>
      <c r="E228" t="n">
        <v>6</v>
      </c>
      <c r="F228" t="n">
        <v>0.06270000000000001</v>
      </c>
      <c r="G228" t="n">
        <v>0.33</v>
      </c>
      <c r="H228" t="n">
        <v>3</v>
      </c>
      <c r="I228" t="n">
        <v>5</v>
      </c>
      <c r="J228" t="n">
        <v>6</v>
      </c>
      <c r="K228" t="n">
        <v>0</v>
      </c>
      <c r="L228" t="n">
        <v>36813</v>
      </c>
      <c r="M228" t="n">
        <v>38800</v>
      </c>
      <c r="N228" t="n">
        <v>33</v>
      </c>
      <c r="O228" t="n">
        <v>0.33</v>
      </c>
      <c r="P228" t="n">
        <v>1</v>
      </c>
      <c r="Q228" t="n">
        <v>0.07000000000000001</v>
      </c>
      <c r="R228" t="n">
        <v>2</v>
      </c>
      <c r="S228" t="n">
        <v>2432.76</v>
      </c>
      <c r="T228" t="n">
        <v>2</v>
      </c>
      <c r="U228" t="n">
        <v>3</v>
      </c>
      <c r="V228" t="n">
        <v>30</v>
      </c>
      <c r="W228" t="n">
        <v>2</v>
      </c>
      <c r="X228" t="n">
        <v>95.69377990430621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12314</v>
      </c>
      <c r="AG228" t="n">
        <v>92</v>
      </c>
      <c r="AH228" t="inlineStr">
        <is>
          <t>PT. SAI (PDG)</t>
        </is>
      </c>
      <c r="AI228" t="n">
        <v>1499</v>
      </c>
      <c r="AJ228" t="inlineStr">
        <is>
          <t>BARBARA WALDEN</t>
        </is>
      </c>
      <c r="AK228" t="n">
        <v>9</v>
      </c>
      <c r="AL228" t="inlineStr">
        <is>
          <t>Miss Glam Jambi</t>
        </is>
      </c>
      <c r="AM228" t="n">
        <v>2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BARBARA WALDEN</t>
        </is>
      </c>
      <c r="B229" s="2">
        <f>"8999338169881"</f>
        <v/>
      </c>
      <c r="C229" t="inlineStr">
        <is>
          <t>BARBARA WALDEN Mousse Coiffante Hair Spray 180ml</t>
        </is>
      </c>
      <c r="D229" t="inlineStr">
        <is>
          <t>Miss Glam Jambi</t>
        </is>
      </c>
      <c r="E229" t="n">
        <v>1</v>
      </c>
      <c r="F229" t="n">
        <v>0.0264</v>
      </c>
      <c r="G229" t="n">
        <v>0.33</v>
      </c>
      <c r="H229" t="n">
        <v>3</v>
      </c>
      <c r="I229" t="n">
        <v>5</v>
      </c>
      <c r="J229" t="n">
        <v>3</v>
      </c>
      <c r="K229" t="n">
        <v>0</v>
      </c>
      <c r="L229" t="n">
        <v>31271</v>
      </c>
      <c r="M229" t="n">
        <v>37500</v>
      </c>
      <c r="N229" t="n">
        <v>33</v>
      </c>
      <c r="O229" t="n">
        <v>0.33</v>
      </c>
      <c r="P229" t="n">
        <v>1</v>
      </c>
      <c r="Q229" t="n">
        <v>0.02</v>
      </c>
      <c r="R229" t="n">
        <v>1</v>
      </c>
      <c r="S229" t="n">
        <v>990.0000000000001</v>
      </c>
      <c r="T229" t="n">
        <v>2</v>
      </c>
      <c r="U229" t="n">
        <v>3</v>
      </c>
      <c r="V229" t="n">
        <v>30</v>
      </c>
      <c r="W229" t="n">
        <v>1</v>
      </c>
      <c r="X229" t="n">
        <v>37.87878787878788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12314</v>
      </c>
      <c r="AG229" t="n">
        <v>92</v>
      </c>
      <c r="AH229" t="inlineStr">
        <is>
          <t>PT. SAI (PDG)</t>
        </is>
      </c>
      <c r="AI229" t="n">
        <v>1499</v>
      </c>
      <c r="AJ229" t="inlineStr">
        <is>
          <t>BARBARA WALDEN</t>
        </is>
      </c>
      <c r="AK229" t="n">
        <v>9</v>
      </c>
      <c r="AL229" t="inlineStr">
        <is>
          <t>Miss Glam Jambi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BARBARA WALDEN</t>
        </is>
      </c>
      <c r="B230" s="2">
        <f>"8999338166767"</f>
        <v/>
      </c>
      <c r="C230" t="inlineStr">
        <is>
          <t>BARBARA WALDEN Mousse With Conditioner 240ml</t>
        </is>
      </c>
      <c r="D230" t="inlineStr">
        <is>
          <t>Miss Glam Jambi</t>
        </is>
      </c>
      <c r="E230" t="n">
        <v>0</v>
      </c>
      <c r="F230" t="n">
        <v>0.0396</v>
      </c>
      <c r="G230" t="n">
        <v>0.33</v>
      </c>
      <c r="H230" t="n">
        <v>3</v>
      </c>
      <c r="I230" t="n">
        <v>5</v>
      </c>
      <c r="J230" t="n">
        <v>3</v>
      </c>
      <c r="K230" t="n">
        <v>0</v>
      </c>
      <c r="L230" t="n">
        <v>36654</v>
      </c>
      <c r="M230" t="n">
        <v>43500</v>
      </c>
      <c r="N230" t="n">
        <v>33</v>
      </c>
      <c r="O230" t="n">
        <v>0.33</v>
      </c>
      <c r="P230" t="n">
        <v>1</v>
      </c>
      <c r="Q230" t="n">
        <v>0.05</v>
      </c>
      <c r="R230" t="n">
        <v>2</v>
      </c>
      <c r="S230" t="n">
        <v>1722.6</v>
      </c>
      <c r="T230" t="n">
        <v>2</v>
      </c>
      <c r="U230" t="n">
        <v>3</v>
      </c>
      <c r="V230" t="n">
        <v>30</v>
      </c>
      <c r="W230" t="n">
        <v>2</v>
      </c>
      <c r="X230" t="n">
        <v>0</v>
      </c>
      <c r="Y230" t="n">
        <v>1</v>
      </c>
      <c r="Z230" t="n">
        <v>2</v>
      </c>
      <c r="AA230" t="n">
        <v>1</v>
      </c>
      <c r="AB230" t="n">
        <v>1</v>
      </c>
      <c r="AC230" t="n">
        <v>3</v>
      </c>
      <c r="AD230" t="n">
        <v>36654</v>
      </c>
      <c r="AE230" t="n">
        <v>109962</v>
      </c>
      <c r="AF230" t="n">
        <v>12314</v>
      </c>
      <c r="AG230" t="n">
        <v>92</v>
      </c>
      <c r="AH230" t="inlineStr">
        <is>
          <t>PT. SAI (PDG)</t>
        </is>
      </c>
      <c r="AI230" t="n">
        <v>1499</v>
      </c>
      <c r="AJ230" t="inlineStr">
        <is>
          <t>BARBARA WALDEN</t>
        </is>
      </c>
      <c r="AK230" t="n">
        <v>9</v>
      </c>
      <c r="AL230" t="inlineStr">
        <is>
          <t>Miss Glam Jambi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BARBARA WALDEN</t>
        </is>
      </c>
      <c r="B231" s="2">
        <f>"8999338196788"</f>
        <v/>
      </c>
      <c r="C231" t="inlineStr">
        <is>
          <t>BARBARA WALDEN Non Aerosol Hair Spray 168ml</t>
        </is>
      </c>
      <c r="D231" t="inlineStr">
        <is>
          <t>Miss Glam Jambi</t>
        </is>
      </c>
      <c r="E231" t="n">
        <v>8</v>
      </c>
      <c r="F231" t="n">
        <v>0.1782</v>
      </c>
      <c r="G231" t="n">
        <v>0.99</v>
      </c>
      <c r="H231" t="n">
        <v>3</v>
      </c>
      <c r="I231" t="n">
        <v>5</v>
      </c>
      <c r="J231" t="n">
        <v>3</v>
      </c>
      <c r="K231" t="n">
        <v>0</v>
      </c>
      <c r="L231" t="n">
        <v>34041</v>
      </c>
      <c r="M231" t="n">
        <v>35900</v>
      </c>
      <c r="N231" t="n">
        <v>33</v>
      </c>
      <c r="O231" t="n">
        <v>0.33</v>
      </c>
      <c r="P231" t="n">
        <v>1</v>
      </c>
      <c r="Q231" t="n">
        <v>0.22</v>
      </c>
      <c r="R231" t="n">
        <v>2</v>
      </c>
      <c r="S231" t="n">
        <v>6397.380000000001</v>
      </c>
      <c r="T231" t="n">
        <v>5</v>
      </c>
      <c r="U231" t="n">
        <v>6</v>
      </c>
      <c r="V231" t="n">
        <v>30</v>
      </c>
      <c r="W231" t="n">
        <v>6</v>
      </c>
      <c r="X231" t="n">
        <v>44.89337822671155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12314</v>
      </c>
      <c r="AG231" t="n">
        <v>92</v>
      </c>
      <c r="AH231" t="inlineStr">
        <is>
          <t>PT. SAI (PDG)</t>
        </is>
      </c>
      <c r="AI231" t="n">
        <v>1499</v>
      </c>
      <c r="AJ231" t="inlineStr">
        <is>
          <t>BARBARA WALDEN</t>
        </is>
      </c>
      <c r="AK231" t="n">
        <v>9</v>
      </c>
      <c r="AL231" t="inlineStr">
        <is>
          <t>Miss Glam Jambi</t>
        </is>
      </c>
      <c r="AM231" t="n">
        <v>2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BARBER DAILY</t>
        </is>
      </c>
      <c r="B232" s="2">
        <f>"40200407630"</f>
        <v/>
      </c>
      <c r="C232" t="inlineStr">
        <is>
          <t>BARBER DAILY 2 in 1 Hair Tonic Bottle 140ml</t>
        </is>
      </c>
      <c r="D232" t="inlineStr">
        <is>
          <t>Miss Glam Jambi</t>
        </is>
      </c>
      <c r="E232" t="n">
        <v>5</v>
      </c>
      <c r="F232" t="n">
        <v>0.07920000000000001</v>
      </c>
      <c r="G232" t="n">
        <v>0.66</v>
      </c>
      <c r="H232" t="n">
        <v>4</v>
      </c>
      <c r="I232" t="n">
        <v>17</v>
      </c>
      <c r="J232" t="n">
        <v>1</v>
      </c>
      <c r="K232" t="n">
        <v>0</v>
      </c>
      <c r="L232" t="n">
        <v>52380</v>
      </c>
      <c r="M232" t="n">
        <v>62000</v>
      </c>
      <c r="N232" t="n">
        <v>33</v>
      </c>
      <c r="O232" t="n">
        <v>0.33</v>
      </c>
      <c r="P232" t="n">
        <v>1</v>
      </c>
      <c r="Q232" t="n">
        <v>0.05</v>
      </c>
      <c r="R232" t="n">
        <v>1</v>
      </c>
      <c r="S232" t="n">
        <v>4910.400000000001</v>
      </c>
      <c r="T232" t="n">
        <v>11</v>
      </c>
      <c r="U232" t="n">
        <v>12</v>
      </c>
      <c r="V232" t="n">
        <v>30</v>
      </c>
      <c r="W232" t="n">
        <v>3</v>
      </c>
      <c r="X232" t="n">
        <v>63.13131313131313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2259</v>
      </c>
      <c r="AG232" t="n">
        <v>2602</v>
      </c>
      <c r="AH232" t="inlineStr">
        <is>
          <t>PT. AKASHA INTERNATIONAL Tbk - PPN (PLB)</t>
        </is>
      </c>
      <c r="AI232" t="n">
        <v>2392</v>
      </c>
      <c r="AJ232" t="inlineStr">
        <is>
          <t>BARBER DAILY</t>
        </is>
      </c>
      <c r="AK232" t="n">
        <v>9</v>
      </c>
      <c r="AL232" t="inlineStr">
        <is>
          <t>Miss Glam Jambi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BARBER DAILY</t>
        </is>
      </c>
      <c r="B233" s="2">
        <f>"101001112741"</f>
        <v/>
      </c>
      <c r="C233" t="inlineStr">
        <is>
          <t>BARBER DAILY Acne Care &amp; Oil Control Face Wash 100ml</t>
        </is>
      </c>
      <c r="D233" t="inlineStr">
        <is>
          <t>Miss Glam Jambi</t>
        </is>
      </c>
      <c r="E233" t="n">
        <v>27</v>
      </c>
      <c r="F233" t="n">
        <v>0.7655999999999999</v>
      </c>
      <c r="G233" t="n">
        <v>2.64</v>
      </c>
      <c r="H233" t="n">
        <v>4</v>
      </c>
      <c r="I233" t="n">
        <v>17</v>
      </c>
      <c r="J233" t="n">
        <v>1</v>
      </c>
      <c r="K233" t="n">
        <v>0</v>
      </c>
      <c r="L233" t="n">
        <v>26190</v>
      </c>
      <c r="M233" t="n">
        <v>35100</v>
      </c>
      <c r="N233" t="n">
        <v>33</v>
      </c>
      <c r="O233" t="n">
        <v>0.33</v>
      </c>
      <c r="P233" t="n">
        <v>1</v>
      </c>
      <c r="Q233" t="n">
        <v>0.37</v>
      </c>
      <c r="R233" t="n">
        <v>2</v>
      </c>
      <c r="S233" t="n">
        <v>26872.56</v>
      </c>
      <c r="T233" t="n">
        <v>42</v>
      </c>
      <c r="U233" t="n">
        <v>46</v>
      </c>
      <c r="V233" t="n">
        <v>30</v>
      </c>
      <c r="W233" t="n">
        <v>23</v>
      </c>
      <c r="X233" t="n">
        <v>35.26645768025079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2259</v>
      </c>
      <c r="AG233" t="n">
        <v>2602</v>
      </c>
      <c r="AH233" t="inlineStr">
        <is>
          <t>PT. AKASHA INTERNATIONAL Tbk - PPN (PLB)</t>
        </is>
      </c>
      <c r="AI233" t="n">
        <v>2392</v>
      </c>
      <c r="AJ233" t="inlineStr">
        <is>
          <t>BARBER DAILY</t>
        </is>
      </c>
      <c r="AK233" t="n">
        <v>9</v>
      </c>
      <c r="AL233" t="inlineStr">
        <is>
          <t>Miss Glam Jambi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BARBER DAILY</t>
        </is>
      </c>
      <c r="B234" s="2">
        <f>"101001112837"</f>
        <v/>
      </c>
      <c r="C234" t="inlineStr">
        <is>
          <t>BARBER DAILY Bright Radiance Face Wash 100ml</t>
        </is>
      </c>
      <c r="D234" t="inlineStr">
        <is>
          <t>Miss Glam Jambi</t>
        </is>
      </c>
      <c r="E234" t="n">
        <v>16</v>
      </c>
      <c r="F234" t="n">
        <v>0.5247000000000001</v>
      </c>
      <c r="G234" t="n">
        <v>2.31</v>
      </c>
      <c r="H234" t="n">
        <v>4</v>
      </c>
      <c r="I234" t="n">
        <v>17</v>
      </c>
      <c r="J234" t="n">
        <v>1</v>
      </c>
      <c r="K234" t="n">
        <v>0</v>
      </c>
      <c r="L234" t="n">
        <v>26190</v>
      </c>
      <c r="M234" t="n">
        <v>35100</v>
      </c>
      <c r="N234" t="n">
        <v>33</v>
      </c>
      <c r="O234" t="n">
        <v>0.33</v>
      </c>
      <c r="P234" t="n">
        <v>1</v>
      </c>
      <c r="Q234" t="n">
        <v>0.27</v>
      </c>
      <c r="R234" t="n">
        <v>2</v>
      </c>
      <c r="S234" t="n">
        <v>18416.97</v>
      </c>
      <c r="T234" t="n">
        <v>38</v>
      </c>
      <c r="U234" t="n">
        <v>41</v>
      </c>
      <c r="V234" t="n">
        <v>30</v>
      </c>
      <c r="W234" t="n">
        <v>16</v>
      </c>
      <c r="X234" t="n">
        <v>30.49361539927577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2259</v>
      </c>
      <c r="AG234" t="n">
        <v>2602</v>
      </c>
      <c r="AH234" t="inlineStr">
        <is>
          <t>PT. AKASHA INTERNATIONAL Tbk - PPN (PLB)</t>
        </is>
      </c>
      <c r="AI234" t="n">
        <v>2392</v>
      </c>
      <c r="AJ234" t="inlineStr">
        <is>
          <t>BARBER DAILY</t>
        </is>
      </c>
      <c r="AK234" t="n">
        <v>9</v>
      </c>
      <c r="AL234" t="inlineStr">
        <is>
          <t>Miss Glam Jambi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BARBER DAILY</t>
        </is>
      </c>
      <c r="B235" s="2">
        <f>"11000315241"</f>
        <v/>
      </c>
      <c r="C235" t="inlineStr">
        <is>
          <t>BARBER DAILY Moisturizer Tube 50ml</t>
        </is>
      </c>
      <c r="D235" t="inlineStr">
        <is>
          <t>Miss Glam Jambi</t>
        </is>
      </c>
      <c r="E235" t="n">
        <v>14</v>
      </c>
      <c r="F235" t="n">
        <v>0.1353</v>
      </c>
      <c r="G235" t="n">
        <v>0.99</v>
      </c>
      <c r="H235" t="n">
        <v>4</v>
      </c>
      <c r="I235" t="n">
        <v>17</v>
      </c>
      <c r="J235" t="n">
        <v>1</v>
      </c>
      <c r="K235" t="n">
        <v>0</v>
      </c>
      <c r="L235" t="n">
        <v>48500</v>
      </c>
      <c r="M235" t="n">
        <v>59500</v>
      </c>
      <c r="N235" t="n">
        <v>33</v>
      </c>
      <c r="O235" t="n">
        <v>0.33</v>
      </c>
      <c r="P235" t="n">
        <v>1</v>
      </c>
      <c r="Q235" t="n">
        <v>0.15</v>
      </c>
      <c r="R235" t="n">
        <v>2</v>
      </c>
      <c r="S235" t="n">
        <v>8050.35</v>
      </c>
      <c r="T235" t="n">
        <v>17</v>
      </c>
      <c r="U235" t="n">
        <v>18</v>
      </c>
      <c r="V235" t="n">
        <v>30</v>
      </c>
      <c r="W235" t="n">
        <v>5</v>
      </c>
      <c r="X235" t="n">
        <v>103.4737620103474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2259</v>
      </c>
      <c r="AG235" t="n">
        <v>2602</v>
      </c>
      <c r="AH235" t="inlineStr">
        <is>
          <t>PT. AKASHA INTERNATIONAL Tbk - PPN (PLB)</t>
        </is>
      </c>
      <c r="AI235" t="n">
        <v>2392</v>
      </c>
      <c r="AJ235" t="inlineStr">
        <is>
          <t>BARBER DAILY</t>
        </is>
      </c>
      <c r="AK235" t="n">
        <v>9</v>
      </c>
      <c r="AL235" t="inlineStr">
        <is>
          <t>Miss Glam Jambi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BARBER DAILY</t>
        </is>
      </c>
      <c r="B236" s="2">
        <f>"11000314703"</f>
        <v/>
      </c>
      <c r="C236" t="inlineStr">
        <is>
          <t>BARBER DAILY Pomade Medium Compound Jar 120gr</t>
        </is>
      </c>
      <c r="D236" t="inlineStr">
        <is>
          <t>Miss Glam Jambi</t>
        </is>
      </c>
      <c r="E236" t="n">
        <v>4</v>
      </c>
      <c r="F236" t="n">
        <v>0.0231</v>
      </c>
      <c r="G236" t="n">
        <v>0.33</v>
      </c>
      <c r="H236" t="n">
        <v>4</v>
      </c>
      <c r="I236" t="n">
        <v>17</v>
      </c>
      <c r="J236" t="n">
        <v>1</v>
      </c>
      <c r="K236" t="n">
        <v>0</v>
      </c>
      <c r="L236" t="n">
        <v>85360</v>
      </c>
      <c r="M236" t="n">
        <v>104500</v>
      </c>
      <c r="N236" t="n">
        <v>33</v>
      </c>
      <c r="O236" t="n">
        <v>0.33</v>
      </c>
      <c r="P236" t="n">
        <v>1</v>
      </c>
      <c r="Q236" t="n">
        <v>0.03</v>
      </c>
      <c r="R236" t="n">
        <v>1</v>
      </c>
      <c r="S236" t="n">
        <v>2413.95</v>
      </c>
      <c r="T236" t="n">
        <v>6</v>
      </c>
      <c r="U236" t="n">
        <v>7</v>
      </c>
      <c r="V236" t="n">
        <v>30</v>
      </c>
      <c r="W236" t="n">
        <v>1</v>
      </c>
      <c r="X236" t="n">
        <v>173.1601731601731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2259</v>
      </c>
      <c r="AG236" t="n">
        <v>2602</v>
      </c>
      <c r="AH236" t="inlineStr">
        <is>
          <t>PT. AKASHA INTERNATIONAL Tbk - PPN (PLB)</t>
        </is>
      </c>
      <c r="AI236" t="n">
        <v>2392</v>
      </c>
      <c r="AJ236" t="inlineStr">
        <is>
          <t>BARBER DAILY</t>
        </is>
      </c>
      <c r="AK236" t="n">
        <v>9</v>
      </c>
      <c r="AL236" t="inlineStr">
        <is>
          <t>Miss Glam Jambi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"11000315125"</f>
        <v/>
      </c>
      <c r="C237" t="inlineStr">
        <is>
          <t>BARBER DAILY Serum Bottle 40ml</t>
        </is>
      </c>
      <c r="D237" t="inlineStr">
        <is>
          <t>Miss Glam Jambi</t>
        </is>
      </c>
      <c r="E237" t="n">
        <v>7</v>
      </c>
      <c r="F237" t="n">
        <v>0.1023</v>
      </c>
      <c r="G237" t="n">
        <v>0.99</v>
      </c>
      <c r="H237" t="n">
        <v>4</v>
      </c>
      <c r="I237" t="n">
        <v>17</v>
      </c>
      <c r="J237" t="n">
        <v>1</v>
      </c>
      <c r="K237" t="n">
        <v>0</v>
      </c>
      <c r="L237" t="n">
        <v>77600</v>
      </c>
      <c r="M237" t="n">
        <v>95000</v>
      </c>
      <c r="N237" t="n">
        <v>33</v>
      </c>
      <c r="O237" t="n">
        <v>0.33</v>
      </c>
      <c r="P237" t="n">
        <v>1</v>
      </c>
      <c r="Q237" t="n">
        <v>0.14</v>
      </c>
      <c r="R237" t="n">
        <v>1</v>
      </c>
      <c r="S237" t="n">
        <v>9718.5</v>
      </c>
      <c r="T237" t="n">
        <v>17</v>
      </c>
      <c r="U237" t="n">
        <v>18</v>
      </c>
      <c r="V237" t="n">
        <v>30</v>
      </c>
      <c r="W237" t="n">
        <v>4</v>
      </c>
      <c r="X237" t="n">
        <v>68.42619745845552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2259</v>
      </c>
      <c r="AG237" t="n">
        <v>2602</v>
      </c>
      <c r="AH237" t="inlineStr">
        <is>
          <t>PT. AKASHA INTERNATIONAL Tbk - PPN (PLB)</t>
        </is>
      </c>
      <c r="AI237" t="n">
        <v>2392</v>
      </c>
      <c r="AJ237" t="inlineStr">
        <is>
          <t>BARBER DAILY</t>
        </is>
      </c>
      <c r="AK237" t="n">
        <v>9</v>
      </c>
      <c r="AL237" t="inlineStr">
        <is>
          <t>Miss Glam Jambi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BARBER DAILY</t>
        </is>
      </c>
      <c r="B238" s="2">
        <f>"50400107830"</f>
        <v/>
      </c>
      <c r="C238" t="inlineStr">
        <is>
          <t>BARBER DAILY Shaver Six Blade Razor</t>
        </is>
      </c>
      <c r="D238" t="inlineStr">
        <is>
          <t>Miss Glam Jambi</t>
        </is>
      </c>
      <c r="E238" t="n">
        <v>10</v>
      </c>
      <c r="F238" t="n">
        <v>0.03</v>
      </c>
      <c r="G238" t="n">
        <v>0</v>
      </c>
      <c r="H238" t="n">
        <v>4</v>
      </c>
      <c r="I238" t="n">
        <v>17</v>
      </c>
      <c r="J238" t="n">
        <v>1</v>
      </c>
      <c r="K238" t="n">
        <v>0</v>
      </c>
      <c r="L238" t="n">
        <v>9700</v>
      </c>
      <c r="M238" t="n">
        <v>13000</v>
      </c>
      <c r="N238" t="n">
        <v>33</v>
      </c>
      <c r="O238" t="n">
        <v>0.33</v>
      </c>
      <c r="P238" t="n">
        <v>0</v>
      </c>
      <c r="Q238" t="n">
        <v>0.03</v>
      </c>
      <c r="R238" t="n">
        <v>0</v>
      </c>
      <c r="S238" t="n">
        <v>390</v>
      </c>
      <c r="T238" t="n">
        <v>0</v>
      </c>
      <c r="U238" t="n">
        <v>1</v>
      </c>
      <c r="V238" t="n">
        <v>30</v>
      </c>
      <c r="W238" t="n">
        <v>1</v>
      </c>
      <c r="X238" t="n">
        <v>333.3333333333334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2259</v>
      </c>
      <c r="AG238" t="n">
        <v>2602</v>
      </c>
      <c r="AH238" t="inlineStr">
        <is>
          <t>PT. AKASHA INTERNATIONAL Tbk - PPN (PLB)</t>
        </is>
      </c>
      <c r="AI238" t="n">
        <v>2392</v>
      </c>
      <c r="AJ238" t="inlineStr">
        <is>
          <t>BARBER DAILY</t>
        </is>
      </c>
      <c r="AK238" t="n">
        <v>9</v>
      </c>
      <c r="AL238" t="inlineStr">
        <is>
          <t>Miss Glam Jambi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"20300449731"</f>
        <v/>
      </c>
      <c r="C239" t="inlineStr">
        <is>
          <t>BARENBLISS 5% Glycerin-Peptide Nourishing Lipcerin 019 Stellar Glow 1,8g</t>
        </is>
      </c>
      <c r="D239" t="inlineStr">
        <is>
          <t>Miss Glam Jambi</t>
        </is>
      </c>
      <c r="E239" t="n">
        <v>2</v>
      </c>
      <c r="F239" t="n">
        <v>0.006600000000000001</v>
      </c>
      <c r="G239" t="n">
        <v>0</v>
      </c>
      <c r="H239" t="n">
        <v>3</v>
      </c>
      <c r="I239" t="n">
        <v>11</v>
      </c>
      <c r="J239" t="n">
        <v>1</v>
      </c>
      <c r="K239" t="n">
        <v>0</v>
      </c>
      <c r="L239" t="n">
        <v>71920</v>
      </c>
      <c r="M239" t="n">
        <v>89900</v>
      </c>
      <c r="N239" t="n">
        <v>33</v>
      </c>
      <c r="O239" t="n">
        <v>0.33</v>
      </c>
      <c r="P239" t="n">
        <v>1</v>
      </c>
      <c r="Q239" t="n">
        <v>0.07000000000000001</v>
      </c>
      <c r="R239" t="n">
        <v>1</v>
      </c>
      <c r="S239" t="n">
        <v>593.34</v>
      </c>
      <c r="T239" t="n">
        <v>0</v>
      </c>
      <c r="U239" t="n">
        <v>1</v>
      </c>
      <c r="V239" t="n">
        <v>30</v>
      </c>
      <c r="W239" t="n">
        <v>1</v>
      </c>
      <c r="X239" t="n">
        <v>303.030303030303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10348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9</v>
      </c>
      <c r="AL239" t="inlineStr">
        <is>
          <t>Miss Glam Jambi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"8809851671481"</f>
        <v/>
      </c>
      <c r="C240" t="inlineStr">
        <is>
          <t>BARENBLISS Apple Makes Adorable Mousse Tint 01 Coral Wave 2.8gr</t>
        </is>
      </c>
      <c r="D240" t="inlineStr">
        <is>
          <t>Miss Glam Jambi</t>
        </is>
      </c>
      <c r="E240" t="n">
        <v>20</v>
      </c>
      <c r="F240" t="n">
        <v>0.0495</v>
      </c>
      <c r="G240" t="n">
        <v>0.66</v>
      </c>
      <c r="H240" t="n">
        <v>3</v>
      </c>
      <c r="I240" t="n">
        <v>11</v>
      </c>
      <c r="J240" t="n">
        <v>3</v>
      </c>
      <c r="K240" t="n">
        <v>0</v>
      </c>
      <c r="L240" t="n">
        <v>58320</v>
      </c>
      <c r="M240" t="n">
        <v>72900</v>
      </c>
      <c r="N240" t="n">
        <v>33</v>
      </c>
      <c r="O240" t="n">
        <v>0.33</v>
      </c>
      <c r="P240" t="n">
        <v>1</v>
      </c>
      <c r="Q240" t="n">
        <v>0.08</v>
      </c>
      <c r="R240" t="n">
        <v>1</v>
      </c>
      <c r="S240" t="n">
        <v>3608.55</v>
      </c>
      <c r="T240" t="n">
        <v>8</v>
      </c>
      <c r="U240" t="n">
        <v>9</v>
      </c>
      <c r="V240" t="n">
        <v>30</v>
      </c>
      <c r="W240" t="n">
        <v>2</v>
      </c>
      <c r="X240" t="n">
        <v>404.040404040404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10348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9</v>
      </c>
      <c r="AL240" t="inlineStr">
        <is>
          <t>Miss Glam Jambi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"8809851671498"</f>
        <v/>
      </c>
      <c r="C241" t="inlineStr">
        <is>
          <t>BARENBLISS Apple Makes Adorable Mousse Tint 02 Rose Haze 2.8gr</t>
        </is>
      </c>
      <c r="D241" t="inlineStr">
        <is>
          <t>Miss Glam Jambi</t>
        </is>
      </c>
      <c r="E241" t="n">
        <v>21</v>
      </c>
      <c r="F241" t="n">
        <v>0.006600000000000001</v>
      </c>
      <c r="G241" t="n">
        <v>0</v>
      </c>
      <c r="H241" t="n">
        <v>3</v>
      </c>
      <c r="I241" t="n">
        <v>11</v>
      </c>
      <c r="J241" t="n">
        <v>3</v>
      </c>
      <c r="K241" t="n">
        <v>0</v>
      </c>
      <c r="L241" t="n">
        <v>58320</v>
      </c>
      <c r="M241" t="n">
        <v>72900</v>
      </c>
      <c r="N241" t="n">
        <v>33</v>
      </c>
      <c r="O241" t="n">
        <v>0.33</v>
      </c>
      <c r="P241" t="n">
        <v>1</v>
      </c>
      <c r="Q241" t="n">
        <v>0.17</v>
      </c>
      <c r="R241" t="n">
        <v>1</v>
      </c>
      <c r="S241" t="n">
        <v>481.14</v>
      </c>
      <c r="T241" t="n">
        <v>0</v>
      </c>
      <c r="U241" t="n">
        <v>1</v>
      </c>
      <c r="V241" t="n">
        <v>30</v>
      </c>
      <c r="W241" t="n">
        <v>1</v>
      </c>
      <c r="X241" t="n">
        <v>3181.818181818182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10348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9</v>
      </c>
      <c r="AL241" t="inlineStr">
        <is>
          <t>Miss Glam Jambi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"8809851671504"</f>
        <v/>
      </c>
      <c r="C242" t="inlineStr">
        <is>
          <t>BARENBLISS Apple Makes Adorable Mousse Tint 03 Candy Blaze 2.8gr</t>
        </is>
      </c>
      <c r="D242" t="inlineStr">
        <is>
          <t>Miss Glam Jambi</t>
        </is>
      </c>
      <c r="E242" t="n">
        <v>1</v>
      </c>
      <c r="F242" t="n">
        <v>0.1914</v>
      </c>
      <c r="G242" t="n">
        <v>1.32</v>
      </c>
      <c r="H242" t="n">
        <v>3</v>
      </c>
      <c r="I242" t="n">
        <v>11</v>
      </c>
      <c r="J242" t="n">
        <v>3</v>
      </c>
      <c r="K242" t="n">
        <v>4</v>
      </c>
      <c r="L242" t="n">
        <v>58320</v>
      </c>
      <c r="M242" t="n">
        <v>72900</v>
      </c>
      <c r="N242" t="n">
        <v>33</v>
      </c>
      <c r="O242" t="n">
        <v>0.33</v>
      </c>
      <c r="P242" t="n">
        <v>1</v>
      </c>
      <c r="Q242" t="n">
        <v>0.15</v>
      </c>
      <c r="R242" t="n">
        <v>2</v>
      </c>
      <c r="S242" t="n">
        <v>13953.06</v>
      </c>
      <c r="T242" t="n">
        <v>14</v>
      </c>
      <c r="U242" t="n">
        <v>15</v>
      </c>
      <c r="V242" t="n">
        <v>30</v>
      </c>
      <c r="W242" t="n">
        <v>6</v>
      </c>
      <c r="X242" t="n">
        <v>5.22466039707419</v>
      </c>
      <c r="Y242" t="n">
        <v>1</v>
      </c>
      <c r="Z242" t="n">
        <v>1</v>
      </c>
      <c r="AA242" t="n">
        <v>1</v>
      </c>
      <c r="AB242" t="n">
        <v>0</v>
      </c>
      <c r="AC242" t="n">
        <v>0</v>
      </c>
      <c r="AD242" t="n">
        <v>58320</v>
      </c>
      <c r="AE242" t="n">
        <v>0</v>
      </c>
      <c r="AF242" t="n">
        <v>10348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9</v>
      </c>
      <c r="AL242" t="inlineStr">
        <is>
          <t>Miss Glam Jambi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"8809851671511"</f>
        <v/>
      </c>
      <c r="C243" t="inlineStr">
        <is>
          <t>BARENBLISS Apple Makes Adorable Mousse Tint 04 Amber Peel 2.8gr</t>
        </is>
      </c>
      <c r="D243" t="inlineStr">
        <is>
          <t>Miss Glam Jambi</t>
        </is>
      </c>
      <c r="E243" t="n">
        <v>20</v>
      </c>
      <c r="F243" t="n">
        <v>0.06270000000000001</v>
      </c>
      <c r="G243" t="n">
        <v>0.66</v>
      </c>
      <c r="H243" t="n">
        <v>3</v>
      </c>
      <c r="I243" t="n">
        <v>11</v>
      </c>
      <c r="J243" t="n">
        <v>3</v>
      </c>
      <c r="K243" t="n">
        <v>0</v>
      </c>
      <c r="L243" t="n">
        <v>58320</v>
      </c>
      <c r="M243" t="n">
        <v>72900</v>
      </c>
      <c r="N243" t="n">
        <v>33</v>
      </c>
      <c r="O243" t="n">
        <v>0.33</v>
      </c>
      <c r="P243" t="n">
        <v>1</v>
      </c>
      <c r="Q243" t="n">
        <v>0.08</v>
      </c>
      <c r="R243" t="n">
        <v>1</v>
      </c>
      <c r="S243" t="n">
        <v>4570.830000000001</v>
      </c>
      <c r="T243" t="n">
        <v>8</v>
      </c>
      <c r="U243" t="n">
        <v>9</v>
      </c>
      <c r="V243" t="n">
        <v>30</v>
      </c>
      <c r="W243" t="n">
        <v>2</v>
      </c>
      <c r="X243" t="n">
        <v>318.9792663476874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10348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9</v>
      </c>
      <c r="AL243" t="inlineStr">
        <is>
          <t>Miss Glam Jambi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"8809851671528"</f>
        <v/>
      </c>
      <c r="C244" t="inlineStr">
        <is>
          <t>BARENBLISS Apple Makes Adorable Mousse Tint 05 Cocoa Jam 2.8gr</t>
        </is>
      </c>
      <c r="D244" t="inlineStr">
        <is>
          <t>Miss Glam Jambi</t>
        </is>
      </c>
      <c r="E244" t="n">
        <v>8</v>
      </c>
      <c r="F244" t="n">
        <v>0.0462</v>
      </c>
      <c r="G244" t="n">
        <v>0.33</v>
      </c>
      <c r="H244" t="n">
        <v>3</v>
      </c>
      <c r="I244" t="n">
        <v>11</v>
      </c>
      <c r="J244" t="n">
        <v>3</v>
      </c>
      <c r="K244" t="n">
        <v>0</v>
      </c>
      <c r="L244" t="n">
        <v>58320</v>
      </c>
      <c r="M244" t="n">
        <v>72900</v>
      </c>
      <c r="N244" t="n">
        <v>33</v>
      </c>
      <c r="O244" t="n">
        <v>0.33</v>
      </c>
      <c r="P244" t="n">
        <v>1</v>
      </c>
      <c r="Q244" t="n">
        <v>0.02</v>
      </c>
      <c r="R244" t="n">
        <v>1</v>
      </c>
      <c r="S244" t="n">
        <v>3367.98</v>
      </c>
      <c r="T244" t="n">
        <v>4</v>
      </c>
      <c r="U244" t="n">
        <v>5</v>
      </c>
      <c r="V244" t="n">
        <v>30</v>
      </c>
      <c r="W244" t="n">
        <v>2</v>
      </c>
      <c r="X244" t="n">
        <v>173.1601731601731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10348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9</v>
      </c>
      <c r="AL244" t="inlineStr">
        <is>
          <t>Miss Glam Jambi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"8809851671535"</f>
        <v/>
      </c>
      <c r="C245" t="inlineStr">
        <is>
          <t>BARENBLISS Apple Makes Adorable Mousse Tint 06 Burgundy Heart 2.8gr</t>
        </is>
      </c>
      <c r="D245" t="inlineStr">
        <is>
          <t>Miss Glam Jambi</t>
        </is>
      </c>
      <c r="E245" t="n">
        <v>21</v>
      </c>
      <c r="F245" t="n">
        <v>0.0396</v>
      </c>
      <c r="G245" t="n">
        <v>0.33</v>
      </c>
      <c r="H245" t="n">
        <v>3</v>
      </c>
      <c r="I245" t="n">
        <v>11</v>
      </c>
      <c r="J245" t="n">
        <v>3</v>
      </c>
      <c r="K245" t="n">
        <v>0</v>
      </c>
      <c r="L245" t="n">
        <v>58320</v>
      </c>
      <c r="M245" t="n">
        <v>72900</v>
      </c>
      <c r="N245" t="n">
        <v>33</v>
      </c>
      <c r="O245" t="n">
        <v>0.33</v>
      </c>
      <c r="P245" t="n">
        <v>1</v>
      </c>
      <c r="Q245" t="n">
        <v>0.12</v>
      </c>
      <c r="R245" t="n">
        <v>1</v>
      </c>
      <c r="S245" t="n">
        <v>2886.84</v>
      </c>
      <c r="T245" t="n">
        <v>4</v>
      </c>
      <c r="U245" t="n">
        <v>5</v>
      </c>
      <c r="V245" t="n">
        <v>30</v>
      </c>
      <c r="W245" t="n">
        <v>2</v>
      </c>
      <c r="X245" t="n">
        <v>530.3030303030303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10348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9</v>
      </c>
      <c r="AL245" t="inlineStr">
        <is>
          <t>Miss Glam Jambi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"8809851673164"</f>
        <v/>
      </c>
      <c r="C246" t="inlineStr">
        <is>
          <t>BARENBLISS Apple Makes Adorable Mousse Tint 08 Fuschia Berry 2.8gr</t>
        </is>
      </c>
      <c r="D246" t="inlineStr">
        <is>
          <t>Miss Glam Jambi</t>
        </is>
      </c>
      <c r="E246" t="n">
        <v>20</v>
      </c>
      <c r="F246" t="n">
        <v>0.1782</v>
      </c>
      <c r="G246" t="n">
        <v>0.99</v>
      </c>
      <c r="H246" t="n">
        <v>3</v>
      </c>
      <c r="I246" t="n">
        <v>11</v>
      </c>
      <c r="J246" t="n">
        <v>3</v>
      </c>
      <c r="K246" t="n">
        <v>0</v>
      </c>
      <c r="L246" t="n">
        <v>58320</v>
      </c>
      <c r="M246" t="n">
        <v>72900</v>
      </c>
      <c r="N246" t="n">
        <v>33</v>
      </c>
      <c r="O246" t="n">
        <v>0.33</v>
      </c>
      <c r="P246" t="n">
        <v>1</v>
      </c>
      <c r="Q246" t="n">
        <v>0.2</v>
      </c>
      <c r="R246" t="n">
        <v>2</v>
      </c>
      <c r="S246" t="n">
        <v>12990.78</v>
      </c>
      <c r="T246" t="n">
        <v>11</v>
      </c>
      <c r="U246" t="n">
        <v>12</v>
      </c>
      <c r="V246" t="n">
        <v>30</v>
      </c>
      <c r="W246" t="n">
        <v>6</v>
      </c>
      <c r="X246" t="n">
        <v>112.2334455667789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10348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9</v>
      </c>
      <c r="AL246" t="inlineStr">
        <is>
          <t>Miss Glam Jambi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"8809851673171"</f>
        <v/>
      </c>
      <c r="C247" t="inlineStr">
        <is>
          <t>BARENBLISS Apple Makes Adorable Mousse Tint 09 Brick Punch 2.8gr</t>
        </is>
      </c>
      <c r="D247" t="inlineStr">
        <is>
          <t>Miss Glam Jambi</t>
        </is>
      </c>
      <c r="E247" t="n">
        <v>0</v>
      </c>
      <c r="F247" t="n">
        <v>0.2904</v>
      </c>
      <c r="G247" t="n">
        <v>1.32</v>
      </c>
      <c r="H247" t="n">
        <v>3</v>
      </c>
      <c r="I247" t="n">
        <v>11</v>
      </c>
      <c r="J247" t="n">
        <v>3</v>
      </c>
      <c r="K247" t="n">
        <v>6</v>
      </c>
      <c r="L247" t="n">
        <v>58320</v>
      </c>
      <c r="M247" t="n">
        <v>72900</v>
      </c>
      <c r="N247" t="n">
        <v>33</v>
      </c>
      <c r="O247" t="n">
        <v>0.33</v>
      </c>
      <c r="P247" t="n">
        <v>1</v>
      </c>
      <c r="Q247" t="n">
        <v>0.41</v>
      </c>
      <c r="R247" t="n">
        <v>3</v>
      </c>
      <c r="S247" t="n">
        <v>21170.16</v>
      </c>
      <c r="T247" t="n">
        <v>14</v>
      </c>
      <c r="U247" t="n">
        <v>15</v>
      </c>
      <c r="V247" t="n">
        <v>30</v>
      </c>
      <c r="W247" t="n">
        <v>9</v>
      </c>
      <c r="X247" t="n">
        <v>0</v>
      </c>
      <c r="Y247" t="n">
        <v>1</v>
      </c>
      <c r="Z247" t="n">
        <v>3</v>
      </c>
      <c r="AA247" t="n">
        <v>3</v>
      </c>
      <c r="AB247" t="n">
        <v>0</v>
      </c>
      <c r="AC247" t="n">
        <v>0</v>
      </c>
      <c r="AD247" t="n">
        <v>174960</v>
      </c>
      <c r="AE247" t="n">
        <v>0</v>
      </c>
      <c r="AF247" t="n">
        <v>10348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9</v>
      </c>
      <c r="AL247" t="inlineStr">
        <is>
          <t>Miss Glam Jambi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"203002204339"</f>
        <v/>
      </c>
      <c r="C248" t="inlineStr">
        <is>
          <t>BARENBLISS Aura Mood Transferproof Vinyl Lip Cream 333 First Meet 2.5ml</t>
        </is>
      </c>
      <c r="D248" t="inlineStr">
        <is>
          <t>Miss Glam Jambi</t>
        </is>
      </c>
      <c r="E248" t="n">
        <v>23</v>
      </c>
      <c r="F248" t="n">
        <v>0.0561</v>
      </c>
      <c r="G248" t="n">
        <v>0.33</v>
      </c>
      <c r="H248" t="n">
        <v>3</v>
      </c>
      <c r="I248" t="n">
        <v>11</v>
      </c>
      <c r="J248" t="n">
        <v>1</v>
      </c>
      <c r="K248" t="n">
        <v>0</v>
      </c>
      <c r="L248" t="n">
        <v>63920</v>
      </c>
      <c r="M248" t="n">
        <v>79900</v>
      </c>
      <c r="N248" t="n">
        <v>33</v>
      </c>
      <c r="O248" t="n">
        <v>0.33</v>
      </c>
      <c r="P248" t="n">
        <v>1</v>
      </c>
      <c r="Q248" t="n">
        <v>0.02</v>
      </c>
      <c r="R248" t="n">
        <v>1</v>
      </c>
      <c r="S248" t="n">
        <v>4482.39</v>
      </c>
      <c r="T248" t="n">
        <v>4</v>
      </c>
      <c r="U248" t="n">
        <v>5</v>
      </c>
      <c r="V248" t="n">
        <v>30</v>
      </c>
      <c r="W248" t="n">
        <v>2</v>
      </c>
      <c r="X248" t="n">
        <v>409.982174688057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10348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9</v>
      </c>
      <c r="AL248" t="inlineStr">
        <is>
          <t>Miss Glam Jambi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"203002204540"</f>
        <v/>
      </c>
      <c r="C249" t="inlineStr">
        <is>
          <t>BARENBLISS Aura Mood Transferproof Vinyl Lip Cream 600 Midnight Talk 2.5ml</t>
        </is>
      </c>
      <c r="D249" t="inlineStr">
        <is>
          <t>Miss Glam Jambi</t>
        </is>
      </c>
      <c r="E249" t="n">
        <v>23</v>
      </c>
      <c r="F249" t="n">
        <v>0.02</v>
      </c>
      <c r="G249" t="n">
        <v>1</v>
      </c>
      <c r="H249" t="n">
        <v>3</v>
      </c>
      <c r="I249" t="n">
        <v>11</v>
      </c>
      <c r="J249" t="n">
        <v>1</v>
      </c>
      <c r="K249" t="n">
        <v>0</v>
      </c>
      <c r="L249" t="n">
        <v>63920</v>
      </c>
      <c r="M249" t="n">
        <v>79900</v>
      </c>
      <c r="N249" t="n">
        <v>33</v>
      </c>
      <c r="O249" t="n">
        <v>0.33</v>
      </c>
      <c r="P249" t="n">
        <v>0</v>
      </c>
      <c r="Q249" t="n">
        <v>0.02</v>
      </c>
      <c r="R249" t="n">
        <v>1</v>
      </c>
      <c r="S249" t="n">
        <v>1598</v>
      </c>
      <c r="T249" t="n">
        <v>11</v>
      </c>
      <c r="U249" t="n">
        <v>12</v>
      </c>
      <c r="V249" t="n">
        <v>30</v>
      </c>
      <c r="W249" t="n">
        <v>1</v>
      </c>
      <c r="X249" t="n">
        <v>1150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10348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9</v>
      </c>
      <c r="AL249" t="inlineStr">
        <is>
          <t>Miss Glam Jambi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"203002204646"</f>
        <v/>
      </c>
      <c r="C250" t="inlineStr">
        <is>
          <t>BARENBLISS Aura Mood Transferproof Vinyl Lip Cream 789 Cute Smile 2.5ml</t>
        </is>
      </c>
      <c r="D250" t="inlineStr">
        <is>
          <t>Miss Glam Jambi</t>
        </is>
      </c>
      <c r="E250" t="n">
        <v>23</v>
      </c>
      <c r="F250" t="n">
        <v>0.066</v>
      </c>
      <c r="G250" t="n">
        <v>0.66</v>
      </c>
      <c r="H250" t="n">
        <v>3</v>
      </c>
      <c r="I250" t="n">
        <v>11</v>
      </c>
      <c r="J250" t="n">
        <v>1</v>
      </c>
      <c r="K250" t="n">
        <v>0</v>
      </c>
      <c r="L250" t="n">
        <v>63920</v>
      </c>
      <c r="M250" t="n">
        <v>79900</v>
      </c>
      <c r="N250" t="n">
        <v>33</v>
      </c>
      <c r="O250" t="n">
        <v>0.33</v>
      </c>
      <c r="P250" t="n">
        <v>1</v>
      </c>
      <c r="Q250" t="n">
        <v>0.02</v>
      </c>
      <c r="R250" t="n">
        <v>1</v>
      </c>
      <c r="S250" t="n">
        <v>5273.400000000001</v>
      </c>
      <c r="T250" t="n">
        <v>8</v>
      </c>
      <c r="U250" t="n">
        <v>9</v>
      </c>
      <c r="V250" t="n">
        <v>30</v>
      </c>
      <c r="W250" t="n">
        <v>2</v>
      </c>
      <c r="X250" t="n">
        <v>348.4848484848484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10348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9</v>
      </c>
      <c r="AL250" t="inlineStr">
        <is>
          <t>Miss Glam Jambi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"8997227897648"</f>
        <v/>
      </c>
      <c r="C251" t="inlineStr">
        <is>
          <t>BARENBLISS Berry Makes Perfect Lip Tint 04 Never Settle</t>
        </is>
      </c>
      <c r="D251" t="inlineStr">
        <is>
          <t>Miss Glam Jambi</t>
        </is>
      </c>
      <c r="E251" t="n">
        <v>8</v>
      </c>
      <c r="F251" t="n">
        <v>0.1683</v>
      </c>
      <c r="G251" t="n">
        <v>0.99</v>
      </c>
      <c r="H251" t="n">
        <v>3</v>
      </c>
      <c r="I251" t="n">
        <v>11</v>
      </c>
      <c r="J251" t="n">
        <v>3</v>
      </c>
      <c r="K251" t="n">
        <v>0</v>
      </c>
      <c r="L251" t="n">
        <v>52488</v>
      </c>
      <c r="M251" t="n">
        <v>72900</v>
      </c>
      <c r="N251" t="n">
        <v>33</v>
      </c>
      <c r="O251" t="n">
        <v>0.33</v>
      </c>
      <c r="P251" t="n">
        <v>1</v>
      </c>
      <c r="Q251" t="n">
        <v>0.17</v>
      </c>
      <c r="R251" t="n">
        <v>1</v>
      </c>
      <c r="S251" t="n">
        <v>12269.07</v>
      </c>
      <c r="T251" t="n">
        <v>11</v>
      </c>
      <c r="U251" t="n">
        <v>12</v>
      </c>
      <c r="V251" t="n">
        <v>30</v>
      </c>
      <c r="W251" t="n">
        <v>6</v>
      </c>
      <c r="X251" t="n">
        <v>47.534165181224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10348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9</v>
      </c>
      <c r="AL251" t="inlineStr">
        <is>
          <t>Miss Glam Jambi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"20200334120"</f>
        <v/>
      </c>
      <c r="C252" t="inlineStr">
        <is>
          <t>BARENBLISS Black Eclipse Eyeliner 0.5gr</t>
        </is>
      </c>
      <c r="D252" t="inlineStr">
        <is>
          <t>Miss Glam Jambi</t>
        </is>
      </c>
      <c r="E252" t="n">
        <v>15</v>
      </c>
      <c r="F252" t="n">
        <v>0.396</v>
      </c>
      <c r="G252" t="n">
        <v>2.64</v>
      </c>
      <c r="H252" t="n">
        <v>3</v>
      </c>
      <c r="I252" t="n">
        <v>11</v>
      </c>
      <c r="J252" t="n">
        <v>1</v>
      </c>
      <c r="K252" t="n">
        <v>0</v>
      </c>
      <c r="L252" t="n">
        <v>39920</v>
      </c>
      <c r="M252" t="n">
        <v>49900</v>
      </c>
      <c r="N252" t="n">
        <v>33</v>
      </c>
      <c r="O252" t="n">
        <v>0.33</v>
      </c>
      <c r="P252" t="n">
        <v>1</v>
      </c>
      <c r="Q252" t="n">
        <v>0.88</v>
      </c>
      <c r="R252" t="n">
        <v>3</v>
      </c>
      <c r="S252" t="n">
        <v>19760.4</v>
      </c>
      <c r="T252" t="n">
        <v>28</v>
      </c>
      <c r="U252" t="n">
        <v>30</v>
      </c>
      <c r="V252" t="n">
        <v>30</v>
      </c>
      <c r="W252" t="n">
        <v>12</v>
      </c>
      <c r="X252" t="n">
        <v>37.87878787878788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10348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9</v>
      </c>
      <c r="AL252" t="inlineStr">
        <is>
          <t>Miss Glam Jambi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"8809851671696"</f>
        <v/>
      </c>
      <c r="C253" t="inlineStr">
        <is>
          <t>BARENBLISS Bloomatte Hi-Cover Foundation Balm MW1 Honey 12gr</t>
        </is>
      </c>
      <c r="D253" t="inlineStr">
        <is>
          <t>Miss Glam Jambi</t>
        </is>
      </c>
      <c r="E253" t="n">
        <v>1</v>
      </c>
      <c r="F253" t="n">
        <v>0.009900000000000001</v>
      </c>
      <c r="G253" t="n">
        <v>0.33</v>
      </c>
      <c r="H253" t="n">
        <v>3</v>
      </c>
      <c r="I253" t="n">
        <v>11</v>
      </c>
      <c r="J253" t="n">
        <v>3</v>
      </c>
      <c r="K253" t="n">
        <v>0</v>
      </c>
      <c r="L253" t="n">
        <v>116720</v>
      </c>
      <c r="M253" t="n">
        <v>145900</v>
      </c>
      <c r="N253" t="n">
        <v>33</v>
      </c>
      <c r="O253" t="n">
        <v>0.33</v>
      </c>
      <c r="P253" t="n">
        <v>1</v>
      </c>
      <c r="Q253" t="n">
        <v>0.02</v>
      </c>
      <c r="R253" t="n">
        <v>1</v>
      </c>
      <c r="S253" t="n">
        <v>1444.41</v>
      </c>
      <c r="T253" t="n">
        <v>4</v>
      </c>
      <c r="U253" t="n">
        <v>5</v>
      </c>
      <c r="V253" t="n">
        <v>30</v>
      </c>
      <c r="W253" t="n">
        <v>1</v>
      </c>
      <c r="X253" t="n">
        <v>101.010101010101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10348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9</v>
      </c>
      <c r="AL253" t="inlineStr">
        <is>
          <t>Miss Glam Jambi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"8809851672723"</f>
        <v/>
      </c>
      <c r="C254" t="inlineStr">
        <is>
          <t>BARENBLISS Bloomatte Perfect Zoom Cover Cushion Fn1 Aster 15gr</t>
        </is>
      </c>
      <c r="D254" t="inlineStr">
        <is>
          <t>Miss Glam Jambi</t>
        </is>
      </c>
      <c r="E254" t="n">
        <v>4</v>
      </c>
      <c r="F254" t="n">
        <v>0.0495</v>
      </c>
      <c r="G254" t="n">
        <v>0.66</v>
      </c>
      <c r="H254" t="n">
        <v>3</v>
      </c>
      <c r="I254" t="n">
        <v>11</v>
      </c>
      <c r="J254" t="n">
        <v>3</v>
      </c>
      <c r="K254" t="n">
        <v>0</v>
      </c>
      <c r="L254" t="n">
        <v>119920</v>
      </c>
      <c r="M254" t="n">
        <v>149900</v>
      </c>
      <c r="N254" t="n">
        <v>33</v>
      </c>
      <c r="O254" t="n">
        <v>0.33</v>
      </c>
      <c r="P254" t="n">
        <v>1</v>
      </c>
      <c r="Q254" t="n">
        <v>0.07000000000000001</v>
      </c>
      <c r="R254" t="n">
        <v>1</v>
      </c>
      <c r="S254" t="n">
        <v>7420.05</v>
      </c>
      <c r="T254" t="n">
        <v>8</v>
      </c>
      <c r="U254" t="n">
        <v>9</v>
      </c>
      <c r="V254" t="n">
        <v>30</v>
      </c>
      <c r="W254" t="n">
        <v>2</v>
      </c>
      <c r="X254" t="n">
        <v>80.8080808080808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10348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9</v>
      </c>
      <c r="AL254" t="inlineStr">
        <is>
          <t>Miss Glam Jambi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"8809851672747"</f>
        <v/>
      </c>
      <c r="C255" t="inlineStr">
        <is>
          <t>BARENBLISS Bloomatte Perfect Zoom Cover Cushion Ln1 Calendula 15gr</t>
        </is>
      </c>
      <c r="D255" t="inlineStr">
        <is>
          <t>Miss Glam Jambi</t>
        </is>
      </c>
      <c r="E255" t="n">
        <v>18</v>
      </c>
      <c r="F255" t="n">
        <v>0.1386</v>
      </c>
      <c r="G255" t="n">
        <v>0.66</v>
      </c>
      <c r="H255" t="n">
        <v>3</v>
      </c>
      <c r="I255" t="n">
        <v>11</v>
      </c>
      <c r="J255" t="n">
        <v>3</v>
      </c>
      <c r="K255" t="n">
        <v>0</v>
      </c>
      <c r="L255" t="n">
        <v>119920</v>
      </c>
      <c r="M255" t="n">
        <v>149900</v>
      </c>
      <c r="N255" t="n">
        <v>33</v>
      </c>
      <c r="O255" t="n">
        <v>0.33</v>
      </c>
      <c r="P255" t="n">
        <v>1</v>
      </c>
      <c r="Q255" t="n">
        <v>0.03</v>
      </c>
      <c r="R255" t="n">
        <v>1</v>
      </c>
      <c r="S255" t="n">
        <v>20776.14</v>
      </c>
      <c r="T255" t="n">
        <v>7</v>
      </c>
      <c r="U255" t="n">
        <v>8</v>
      </c>
      <c r="V255" t="n">
        <v>30</v>
      </c>
      <c r="W255" t="n">
        <v>5</v>
      </c>
      <c r="X255" t="n">
        <v>129.8701298701299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10348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9</v>
      </c>
      <c r="AL255" t="inlineStr">
        <is>
          <t>Miss Glam Jambi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"8809851672754"</f>
        <v/>
      </c>
      <c r="C256" t="inlineStr">
        <is>
          <t>BARENBLISS Bloomatte Perfect Zoom Cover Cushion Lw2 Daisy 15gr</t>
        </is>
      </c>
      <c r="D256" t="inlineStr">
        <is>
          <t>Miss Glam Jambi</t>
        </is>
      </c>
      <c r="E256" t="n">
        <v>10</v>
      </c>
      <c r="F256" t="n">
        <v>0.1452</v>
      </c>
      <c r="G256" t="n">
        <v>1.32</v>
      </c>
      <c r="H256" t="n">
        <v>3</v>
      </c>
      <c r="I256" t="n">
        <v>11</v>
      </c>
      <c r="J256" t="n">
        <v>3</v>
      </c>
      <c r="K256" t="n">
        <v>0</v>
      </c>
      <c r="L256" t="n">
        <v>119920</v>
      </c>
      <c r="M256" t="n">
        <v>149900</v>
      </c>
      <c r="N256" t="n">
        <v>33</v>
      </c>
      <c r="O256" t="n">
        <v>0.33</v>
      </c>
      <c r="P256" t="n">
        <v>1</v>
      </c>
      <c r="Q256" t="n">
        <v>0.03</v>
      </c>
      <c r="R256" t="n">
        <v>1</v>
      </c>
      <c r="S256" t="n">
        <v>21765.48</v>
      </c>
      <c r="T256" t="n">
        <v>15</v>
      </c>
      <c r="U256" t="n">
        <v>16</v>
      </c>
      <c r="V256" t="n">
        <v>30</v>
      </c>
      <c r="W256" t="n">
        <v>5</v>
      </c>
      <c r="X256" t="n">
        <v>68.87052341597796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10348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9</v>
      </c>
      <c r="AL256" t="inlineStr">
        <is>
          <t>Miss Glam Jambi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"8809851672778"</f>
        <v/>
      </c>
      <c r="C257" t="inlineStr">
        <is>
          <t>BARENBLISS Bloomatte Perfect Zoom Cover Cushion MN1 Frangipani 15gr</t>
        </is>
      </c>
      <c r="D257" t="inlineStr">
        <is>
          <t>Miss Glam Jambi</t>
        </is>
      </c>
      <c r="E257" t="n">
        <v>11</v>
      </c>
      <c r="F257" t="n">
        <v>0.09569999999999999</v>
      </c>
      <c r="G257" t="n">
        <v>0.66</v>
      </c>
      <c r="H257" t="n">
        <v>3</v>
      </c>
      <c r="I257" t="n">
        <v>11</v>
      </c>
      <c r="J257" t="n">
        <v>3</v>
      </c>
      <c r="K257" t="n">
        <v>0</v>
      </c>
      <c r="L257" t="n">
        <v>119920</v>
      </c>
      <c r="M257" t="n">
        <v>149900</v>
      </c>
      <c r="N257" t="n">
        <v>33</v>
      </c>
      <c r="O257" t="n">
        <v>0.33</v>
      </c>
      <c r="P257" t="n">
        <v>1</v>
      </c>
      <c r="Q257" t="n">
        <v>0.03</v>
      </c>
      <c r="R257" t="n">
        <v>1</v>
      </c>
      <c r="S257" t="n">
        <v>14345.43</v>
      </c>
      <c r="T257" t="n">
        <v>7</v>
      </c>
      <c r="U257" t="n">
        <v>8</v>
      </c>
      <c r="V257" t="n">
        <v>30</v>
      </c>
      <c r="W257" t="n">
        <v>3</v>
      </c>
      <c r="X257" t="n">
        <v>114.9425287356322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10348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9</v>
      </c>
      <c r="AL257" t="inlineStr">
        <is>
          <t>Miss Glam Jambi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"8809851672785"</f>
        <v/>
      </c>
      <c r="C258" t="inlineStr">
        <is>
          <t>BARENBLISS Bloomatte Perfect Zoom Cover Cushion Mw1 Gardenia 15gr</t>
        </is>
      </c>
      <c r="D258" t="inlineStr">
        <is>
          <t>Miss Glam Jambi</t>
        </is>
      </c>
      <c r="E258" t="n">
        <v>22</v>
      </c>
      <c r="F258" t="n">
        <v>0.07920000000000001</v>
      </c>
      <c r="G258" t="n">
        <v>0.66</v>
      </c>
      <c r="H258" t="n">
        <v>3</v>
      </c>
      <c r="I258" t="n">
        <v>11</v>
      </c>
      <c r="J258" t="n">
        <v>3</v>
      </c>
      <c r="K258" t="n">
        <v>0</v>
      </c>
      <c r="L258" t="n">
        <v>119920</v>
      </c>
      <c r="M258" t="n">
        <v>149900</v>
      </c>
      <c r="N258" t="n">
        <v>33</v>
      </c>
      <c r="O258" t="n">
        <v>0.33</v>
      </c>
      <c r="P258" t="n">
        <v>1</v>
      </c>
      <c r="Q258" t="n">
        <v>0.02</v>
      </c>
      <c r="R258" t="n">
        <v>1</v>
      </c>
      <c r="S258" t="n">
        <v>11872.08</v>
      </c>
      <c r="T258" t="n">
        <v>8</v>
      </c>
      <c r="U258" t="n">
        <v>9</v>
      </c>
      <c r="V258" t="n">
        <v>30</v>
      </c>
      <c r="W258" t="n">
        <v>3</v>
      </c>
      <c r="X258" t="n">
        <v>277.7777777777778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10348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9</v>
      </c>
      <c r="AL258" t="inlineStr">
        <is>
          <t>Miss Glam Jambi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"8809851672792"</f>
        <v/>
      </c>
      <c r="C259" t="inlineStr">
        <is>
          <t>BARENBLISS Bloomatte Perfect Zoom Cover Cushion Tn1 Jasmine 15gr</t>
        </is>
      </c>
      <c r="D259" t="inlineStr">
        <is>
          <t>Miss Glam Jambi</t>
        </is>
      </c>
      <c r="E259" t="n">
        <v>0</v>
      </c>
      <c r="F259" t="n">
        <v>0.07920000000000001</v>
      </c>
      <c r="G259" t="n">
        <v>0.33</v>
      </c>
      <c r="H259" t="n">
        <v>3</v>
      </c>
      <c r="I259" t="n">
        <v>11</v>
      </c>
      <c r="J259" t="n">
        <v>3</v>
      </c>
      <c r="K259" t="n">
        <v>3</v>
      </c>
      <c r="L259" t="n">
        <v>119920</v>
      </c>
      <c r="M259" t="n">
        <v>149900</v>
      </c>
      <c r="N259" t="n">
        <v>33</v>
      </c>
      <c r="O259" t="n">
        <v>0.33</v>
      </c>
      <c r="P259" t="n">
        <v>1</v>
      </c>
      <c r="Q259" t="n">
        <v>0.06</v>
      </c>
      <c r="R259" t="n">
        <v>1</v>
      </c>
      <c r="S259" t="n">
        <v>11872.08</v>
      </c>
      <c r="T259" t="n">
        <v>4</v>
      </c>
      <c r="U259" t="n">
        <v>5</v>
      </c>
      <c r="V259" t="n">
        <v>30</v>
      </c>
      <c r="W259" t="n">
        <v>3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10348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9</v>
      </c>
      <c r="AL259" t="inlineStr">
        <is>
          <t>Miss Glam Jambi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"8809851672341"</f>
        <v/>
      </c>
      <c r="C260" t="inlineStr">
        <is>
          <t>BARENBLISS Bloomatte Soul-Matte Loose Powder 01 Light Vanilla Ice 6,8gr</t>
        </is>
      </c>
      <c r="D260" t="inlineStr">
        <is>
          <t>Miss Glam Jambi</t>
        </is>
      </c>
      <c r="E260" t="n">
        <v>6</v>
      </c>
      <c r="F260" t="n">
        <v>0.0561</v>
      </c>
      <c r="G260" t="n">
        <v>0.66</v>
      </c>
      <c r="H260" t="n">
        <v>3</v>
      </c>
      <c r="I260" t="n">
        <v>11</v>
      </c>
      <c r="J260" t="n">
        <v>3</v>
      </c>
      <c r="K260" t="n">
        <v>0</v>
      </c>
      <c r="L260" t="n">
        <v>89520</v>
      </c>
      <c r="M260" t="n">
        <v>111900</v>
      </c>
      <c r="N260" t="n">
        <v>33</v>
      </c>
      <c r="O260" t="n">
        <v>0.33</v>
      </c>
      <c r="P260" t="n">
        <v>1</v>
      </c>
      <c r="Q260" t="n">
        <v>0.05</v>
      </c>
      <c r="R260" t="n">
        <v>2</v>
      </c>
      <c r="S260" t="n">
        <v>6277.59</v>
      </c>
      <c r="T260" t="n">
        <v>8</v>
      </c>
      <c r="U260" t="n">
        <v>9</v>
      </c>
      <c r="V260" t="n">
        <v>30</v>
      </c>
      <c r="W260" t="n">
        <v>2</v>
      </c>
      <c r="X260" t="n">
        <v>106.951871657754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10348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9</v>
      </c>
      <c r="AL260" t="inlineStr">
        <is>
          <t>Miss Glam Jambi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"8809851672358"</f>
        <v/>
      </c>
      <c r="C261" t="inlineStr">
        <is>
          <t>BARENBLISS Bloomatte Soul-Matte Loose Powder 02 Medium Mango Sorbet 6,8gr</t>
        </is>
      </c>
      <c r="D261" t="inlineStr">
        <is>
          <t>Miss Glam Jambi</t>
        </is>
      </c>
      <c r="E261" t="n">
        <v>9</v>
      </c>
      <c r="F261" t="n">
        <v>0.0297</v>
      </c>
      <c r="G261" t="n">
        <v>0.33</v>
      </c>
      <c r="H261" t="n">
        <v>3</v>
      </c>
      <c r="I261" t="n">
        <v>11</v>
      </c>
      <c r="J261" t="n">
        <v>3</v>
      </c>
      <c r="K261" t="n">
        <v>0</v>
      </c>
      <c r="L261" t="n">
        <v>89520</v>
      </c>
      <c r="M261" t="n">
        <v>111900</v>
      </c>
      <c r="N261" t="n">
        <v>33</v>
      </c>
      <c r="O261" t="n">
        <v>0.33</v>
      </c>
      <c r="P261" t="n">
        <v>1</v>
      </c>
      <c r="Q261" t="n">
        <v>0.05</v>
      </c>
      <c r="R261" t="n">
        <v>1</v>
      </c>
      <c r="S261" t="n">
        <v>3323.43</v>
      </c>
      <c r="T261" t="n">
        <v>4</v>
      </c>
      <c r="U261" t="n">
        <v>5</v>
      </c>
      <c r="V261" t="n">
        <v>30</v>
      </c>
      <c r="W261" t="n">
        <v>1</v>
      </c>
      <c r="X261" t="n">
        <v>303.030303030303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10348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9</v>
      </c>
      <c r="AL261" t="inlineStr">
        <is>
          <t>Miss Glam Jambi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"8809851672365"</f>
        <v/>
      </c>
      <c r="C262" t="inlineStr">
        <is>
          <t>BARENBLISS Bloomatte Soul-Matte Loose Powder 03 Beige Choco Float 6,8gr</t>
        </is>
      </c>
      <c r="D262" t="inlineStr">
        <is>
          <t>Miss Glam Jambi</t>
        </is>
      </c>
      <c r="E262" t="n">
        <v>4</v>
      </c>
      <c r="F262" t="n">
        <v>0.02</v>
      </c>
      <c r="G262" t="n">
        <v>1</v>
      </c>
      <c r="H262" t="n">
        <v>3</v>
      </c>
      <c r="I262" t="n">
        <v>11</v>
      </c>
      <c r="J262" t="n">
        <v>3</v>
      </c>
      <c r="K262" t="n">
        <v>0</v>
      </c>
      <c r="L262" t="n">
        <v>89520</v>
      </c>
      <c r="M262" t="n">
        <v>111900</v>
      </c>
      <c r="N262" t="n">
        <v>33</v>
      </c>
      <c r="O262" t="n">
        <v>0.33</v>
      </c>
      <c r="P262" t="n">
        <v>0</v>
      </c>
      <c r="Q262" t="n">
        <v>0.02</v>
      </c>
      <c r="R262" t="n">
        <v>1</v>
      </c>
      <c r="S262" t="n">
        <v>2238</v>
      </c>
      <c r="T262" t="n">
        <v>11</v>
      </c>
      <c r="U262" t="n">
        <v>12</v>
      </c>
      <c r="V262" t="n">
        <v>30</v>
      </c>
      <c r="W262" t="n">
        <v>1</v>
      </c>
      <c r="X262" t="n">
        <v>200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10348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9</v>
      </c>
      <c r="AL262" t="inlineStr">
        <is>
          <t>Miss Glam Jambi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"8809851671580"</f>
        <v/>
      </c>
      <c r="C263" t="inlineStr">
        <is>
          <t>BARENBLISS Bloomatte Stay Confident 2-in-1 Foundation FN1 Pearl 20ml+1gr</t>
        </is>
      </c>
      <c r="D263" t="inlineStr">
        <is>
          <t>Miss Glam Jambi</t>
        </is>
      </c>
      <c r="E263" t="n">
        <v>2</v>
      </c>
      <c r="F263" t="n">
        <v>0.009900000000000001</v>
      </c>
      <c r="G263" t="n">
        <v>0.66</v>
      </c>
      <c r="H263" t="n">
        <v>3</v>
      </c>
      <c r="I263" t="n">
        <v>11</v>
      </c>
      <c r="J263" t="n">
        <v>3</v>
      </c>
      <c r="K263" t="n">
        <v>0</v>
      </c>
      <c r="L263" t="n">
        <v>111920</v>
      </c>
      <c r="M263" t="n">
        <v>139900</v>
      </c>
      <c r="N263" t="n">
        <v>33</v>
      </c>
      <c r="O263" t="n">
        <v>0.33</v>
      </c>
      <c r="P263" t="n">
        <v>1</v>
      </c>
      <c r="Q263" t="n">
        <v>0.03</v>
      </c>
      <c r="R263" t="n">
        <v>1</v>
      </c>
      <c r="S263" t="n">
        <v>1385.01</v>
      </c>
      <c r="T263" t="n">
        <v>8</v>
      </c>
      <c r="U263" t="n">
        <v>9</v>
      </c>
      <c r="V263" t="n">
        <v>30</v>
      </c>
      <c r="W263" t="n">
        <v>1</v>
      </c>
      <c r="X263" t="n">
        <v>202.020202020202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10348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9</v>
      </c>
      <c r="AL263" t="inlineStr">
        <is>
          <t>Miss Glam Jambi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"8809851671603"</f>
        <v/>
      </c>
      <c r="C264" t="inlineStr">
        <is>
          <t>BARENBLISS Bloomatte Stay Confident 2-in-1 Foundation lN1 Seashell 20ml+1gr</t>
        </is>
      </c>
      <c r="D264" t="inlineStr">
        <is>
          <t>Miss Glam Jambi</t>
        </is>
      </c>
      <c r="E264" t="n">
        <v>1</v>
      </c>
      <c r="F264" t="n">
        <v>0.0396</v>
      </c>
      <c r="G264" t="n">
        <v>0.33</v>
      </c>
      <c r="H264" t="n">
        <v>3</v>
      </c>
      <c r="I264" t="n">
        <v>11</v>
      </c>
      <c r="J264" t="n">
        <v>3</v>
      </c>
      <c r="K264" t="n">
        <v>3</v>
      </c>
      <c r="L264" t="n">
        <v>111920</v>
      </c>
      <c r="M264" t="n">
        <v>139900</v>
      </c>
      <c r="N264" t="n">
        <v>33</v>
      </c>
      <c r="O264" t="n">
        <v>0.33</v>
      </c>
      <c r="P264" t="n">
        <v>1</v>
      </c>
      <c r="Q264" t="n">
        <v>0.03</v>
      </c>
      <c r="R264" t="n">
        <v>1</v>
      </c>
      <c r="S264" t="n">
        <v>5540.040000000001</v>
      </c>
      <c r="T264" t="n">
        <v>4</v>
      </c>
      <c r="U264" t="n">
        <v>5</v>
      </c>
      <c r="V264" t="n">
        <v>30</v>
      </c>
      <c r="W264" t="n">
        <v>2</v>
      </c>
      <c r="X264" t="n">
        <v>25.25252525252525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10348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9</v>
      </c>
      <c r="AL264" t="inlineStr">
        <is>
          <t>Miss Glam Jambi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"8809851671610"</f>
        <v/>
      </c>
      <c r="C265" t="inlineStr">
        <is>
          <t>BARENBLISS Bloomatte Stay Confident 2-in-1 Foundation LW2 Custard 20ml+1gr</t>
        </is>
      </c>
      <c r="D265" t="inlineStr">
        <is>
          <t>Miss Glam Jambi</t>
        </is>
      </c>
      <c r="E265" t="n">
        <v>18</v>
      </c>
      <c r="F265" t="n">
        <v>0.0165</v>
      </c>
      <c r="G265" t="n">
        <v>0.33</v>
      </c>
      <c r="H265" t="n">
        <v>3</v>
      </c>
      <c r="I265" t="n">
        <v>11</v>
      </c>
      <c r="J265" t="n">
        <v>3</v>
      </c>
      <c r="K265" t="n">
        <v>0</v>
      </c>
      <c r="L265" t="n">
        <v>111920</v>
      </c>
      <c r="M265" t="n">
        <v>139900</v>
      </c>
      <c r="N265" t="n">
        <v>33</v>
      </c>
      <c r="O265" t="n">
        <v>0.33</v>
      </c>
      <c r="P265" t="n">
        <v>1</v>
      </c>
      <c r="Q265" t="n">
        <v>0.03</v>
      </c>
      <c r="R265" t="n">
        <v>1</v>
      </c>
      <c r="S265" t="n">
        <v>2308.35</v>
      </c>
      <c r="T265" t="n">
        <v>4</v>
      </c>
      <c r="U265" t="n">
        <v>5</v>
      </c>
      <c r="V265" t="n">
        <v>30</v>
      </c>
      <c r="W265" t="n">
        <v>1</v>
      </c>
      <c r="X265" t="n">
        <v>1090.909090909091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10348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9</v>
      </c>
      <c r="AL265" t="inlineStr">
        <is>
          <t>Miss Glam Jambi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"8809851671627"</f>
        <v/>
      </c>
      <c r="C266" t="inlineStr">
        <is>
          <t>BARENBLISS Bloomatte Stay Confident 2-in-1 Foundation MC1 Parfait 20ml+1gr</t>
        </is>
      </c>
      <c r="D266" t="inlineStr">
        <is>
          <t>Miss Glam Jambi</t>
        </is>
      </c>
      <c r="E266" t="n">
        <v>8</v>
      </c>
      <c r="F266" t="n">
        <v>0.0165</v>
      </c>
      <c r="G266" t="n">
        <v>0.33</v>
      </c>
      <c r="H266" t="n">
        <v>3</v>
      </c>
      <c r="I266" t="n">
        <v>11</v>
      </c>
      <c r="J266" t="n">
        <v>3</v>
      </c>
      <c r="K266" t="n">
        <v>0</v>
      </c>
      <c r="L266" t="n">
        <v>111920</v>
      </c>
      <c r="M266" t="n">
        <v>139900</v>
      </c>
      <c r="N266" t="n">
        <v>33</v>
      </c>
      <c r="O266" t="n">
        <v>0.33</v>
      </c>
      <c r="P266" t="n">
        <v>1</v>
      </c>
      <c r="Q266" t="n">
        <v>0.03</v>
      </c>
      <c r="R266" t="n">
        <v>1</v>
      </c>
      <c r="S266" t="n">
        <v>2308.35</v>
      </c>
      <c r="T266" t="n">
        <v>4</v>
      </c>
      <c r="U266" t="n">
        <v>5</v>
      </c>
      <c r="V266" t="n">
        <v>30</v>
      </c>
      <c r="W266" t="n">
        <v>1</v>
      </c>
      <c r="X266" t="n">
        <v>484.8484848484848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10348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9</v>
      </c>
      <c r="AL266" t="inlineStr">
        <is>
          <t>Miss Glam Jambi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"8809851671634"</f>
        <v/>
      </c>
      <c r="C267" t="inlineStr">
        <is>
          <t>BARENBLISS Bloomatte Stay Confident 2-in-1 Foundation MN1 Coconut 20ml+1gr</t>
        </is>
      </c>
      <c r="D267" t="inlineStr">
        <is>
          <t>Miss Glam Jambi</t>
        </is>
      </c>
      <c r="E267" t="n">
        <v>8</v>
      </c>
      <c r="F267" t="n">
        <v>0.0165</v>
      </c>
      <c r="G267" t="n">
        <v>0.33</v>
      </c>
      <c r="H267" t="n">
        <v>3</v>
      </c>
      <c r="I267" t="n">
        <v>11</v>
      </c>
      <c r="J267" t="n">
        <v>3</v>
      </c>
      <c r="K267" t="n">
        <v>0</v>
      </c>
      <c r="L267" t="n">
        <v>111920</v>
      </c>
      <c r="M267" t="n">
        <v>139900</v>
      </c>
      <c r="N267" t="n">
        <v>33</v>
      </c>
      <c r="O267" t="n">
        <v>0.33</v>
      </c>
      <c r="P267" t="n">
        <v>1</v>
      </c>
      <c r="Q267" t="n">
        <v>0.03</v>
      </c>
      <c r="R267" t="n">
        <v>1</v>
      </c>
      <c r="S267" t="n">
        <v>2308.35</v>
      </c>
      <c r="T267" t="n">
        <v>4</v>
      </c>
      <c r="U267" t="n">
        <v>5</v>
      </c>
      <c r="V267" t="n">
        <v>30</v>
      </c>
      <c r="W267" t="n">
        <v>1</v>
      </c>
      <c r="X267" t="n">
        <v>484.8484848484848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10348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9</v>
      </c>
      <c r="AL267" t="inlineStr">
        <is>
          <t>Miss Glam Jambi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"20300389512"</f>
        <v/>
      </c>
      <c r="C268" t="inlineStr">
        <is>
          <t>BARENBLISS Bloomdew Inner Light Serum Tint LN0 Cotton 30ml</t>
        </is>
      </c>
      <c r="D268" t="inlineStr">
        <is>
          <t>Miss Glam Jambi</t>
        </is>
      </c>
      <c r="E268" t="n">
        <v>2</v>
      </c>
      <c r="F268" t="n">
        <v>0.0495</v>
      </c>
      <c r="G268" t="n">
        <v>0.33</v>
      </c>
      <c r="H268" t="n">
        <v>3</v>
      </c>
      <c r="I268" t="n">
        <v>11</v>
      </c>
      <c r="J268" t="n">
        <v>3</v>
      </c>
      <c r="K268" t="n">
        <v>0</v>
      </c>
      <c r="L268" t="n">
        <v>103200</v>
      </c>
      <c r="M268" t="n">
        <v>129000</v>
      </c>
      <c r="N268" t="n">
        <v>33</v>
      </c>
      <c r="O268" t="n">
        <v>0.33</v>
      </c>
      <c r="P268" t="n">
        <v>1</v>
      </c>
      <c r="Q268" t="n">
        <v>0.07000000000000001</v>
      </c>
      <c r="R268" t="n">
        <v>1</v>
      </c>
      <c r="S268" t="n">
        <v>6385.5</v>
      </c>
      <c r="T268" t="n">
        <v>4</v>
      </c>
      <c r="U268" t="n">
        <v>5</v>
      </c>
      <c r="V268" t="n">
        <v>30</v>
      </c>
      <c r="W268" t="n">
        <v>2</v>
      </c>
      <c r="X268" t="n">
        <v>40.4040404040404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10348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9</v>
      </c>
      <c r="AL268" t="inlineStr">
        <is>
          <t>Miss Glam Jambi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"20300389131"</f>
        <v/>
      </c>
      <c r="C269" t="inlineStr">
        <is>
          <t>BARENBLISS Bloomdew Inner Light Serum Tint LW0 Hibiscus 30ml</t>
        </is>
      </c>
      <c r="D269" t="inlineStr">
        <is>
          <t>Miss Glam Jambi</t>
        </is>
      </c>
      <c r="E269" t="n">
        <v>7</v>
      </c>
      <c r="F269" t="n">
        <v>0.07920000000000001</v>
      </c>
      <c r="G269" t="n">
        <v>0.66</v>
      </c>
      <c r="H269" t="n">
        <v>3</v>
      </c>
      <c r="I269" t="n">
        <v>11</v>
      </c>
      <c r="J269" t="n">
        <v>3</v>
      </c>
      <c r="K269" t="n">
        <v>0</v>
      </c>
      <c r="L269" t="n">
        <v>103200</v>
      </c>
      <c r="M269" t="n">
        <v>129000</v>
      </c>
      <c r="N269" t="n">
        <v>33</v>
      </c>
      <c r="O269" t="n">
        <v>0.33</v>
      </c>
      <c r="P269" t="n">
        <v>1</v>
      </c>
      <c r="Q269" t="n">
        <v>0.05</v>
      </c>
      <c r="R269" t="n">
        <v>1</v>
      </c>
      <c r="S269" t="n">
        <v>10216.8</v>
      </c>
      <c r="T269" t="n">
        <v>8</v>
      </c>
      <c r="U269" t="n">
        <v>9</v>
      </c>
      <c r="V269" t="n">
        <v>30</v>
      </c>
      <c r="W269" t="n">
        <v>3</v>
      </c>
      <c r="X269" t="n">
        <v>88.38383838383838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10348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9</v>
      </c>
      <c r="AL269" t="inlineStr">
        <is>
          <t>Miss Glam Jambi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"20300389360"</f>
        <v/>
      </c>
      <c r="C270" t="inlineStr">
        <is>
          <t>BARENBLISS Bloomdew Inner Light Serum Tint MW0 Camellia 30ml</t>
        </is>
      </c>
      <c r="D270" t="inlineStr">
        <is>
          <t>Miss Glam Jambi</t>
        </is>
      </c>
      <c r="E270" t="n">
        <v>0</v>
      </c>
      <c r="F270" t="n">
        <v>0.1221</v>
      </c>
      <c r="G270" t="n">
        <v>0.99</v>
      </c>
      <c r="H270" t="n">
        <v>3</v>
      </c>
      <c r="I270" t="n">
        <v>11</v>
      </c>
      <c r="J270" t="n">
        <v>3</v>
      </c>
      <c r="K270" t="n">
        <v>3</v>
      </c>
      <c r="L270" t="n">
        <v>103200</v>
      </c>
      <c r="M270" t="n">
        <v>129000</v>
      </c>
      <c r="N270" t="n">
        <v>33</v>
      </c>
      <c r="O270" t="n">
        <v>0.33</v>
      </c>
      <c r="P270" t="n">
        <v>1</v>
      </c>
      <c r="Q270" t="n">
        <v>0.04</v>
      </c>
      <c r="R270" t="n">
        <v>1</v>
      </c>
      <c r="S270" t="n">
        <v>15750.9</v>
      </c>
      <c r="T270" t="n">
        <v>11</v>
      </c>
      <c r="U270" t="n">
        <v>12</v>
      </c>
      <c r="V270" t="n">
        <v>30</v>
      </c>
      <c r="W270" t="n">
        <v>4</v>
      </c>
      <c r="X270" t="n">
        <v>0</v>
      </c>
      <c r="Y270" t="n">
        <v>1</v>
      </c>
      <c r="Z270" t="n">
        <v>1</v>
      </c>
      <c r="AA270" t="n">
        <v>1</v>
      </c>
      <c r="AB270" t="n">
        <v>0</v>
      </c>
      <c r="AC270" t="n">
        <v>0</v>
      </c>
      <c r="AD270" t="n">
        <v>103200</v>
      </c>
      <c r="AE270" t="n">
        <v>0</v>
      </c>
      <c r="AF270" t="n">
        <v>10348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9</v>
      </c>
      <c r="AL270" t="inlineStr">
        <is>
          <t>Miss Glam Jambi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"20300389228"</f>
        <v/>
      </c>
      <c r="C271" t="inlineStr">
        <is>
          <t>BARENBLISS Bloomdew Inner Light Serum Tint MW1 Cosmos 30ml</t>
        </is>
      </c>
      <c r="D271" t="inlineStr">
        <is>
          <t>Miss Glam Jambi</t>
        </is>
      </c>
      <c r="E271" t="n">
        <v>2</v>
      </c>
      <c r="F271" t="n">
        <v>0.0561</v>
      </c>
      <c r="G271" t="n">
        <v>0.33</v>
      </c>
      <c r="H271" t="n">
        <v>3</v>
      </c>
      <c r="I271" t="n">
        <v>11</v>
      </c>
      <c r="J271" t="n">
        <v>3</v>
      </c>
      <c r="K271" t="n">
        <v>0</v>
      </c>
      <c r="L271" t="n">
        <v>103200</v>
      </c>
      <c r="M271" t="n">
        <v>129000</v>
      </c>
      <c r="N271" t="n">
        <v>33</v>
      </c>
      <c r="O271" t="n">
        <v>0.33</v>
      </c>
      <c r="P271" t="n">
        <v>1</v>
      </c>
      <c r="Q271" t="n">
        <v>0.03</v>
      </c>
      <c r="R271" t="n">
        <v>1</v>
      </c>
      <c r="S271" t="n">
        <v>7236.900000000001</v>
      </c>
      <c r="T271" t="n">
        <v>4</v>
      </c>
      <c r="U271" t="n">
        <v>5</v>
      </c>
      <c r="V271" t="n">
        <v>30</v>
      </c>
      <c r="W271" t="n">
        <v>2</v>
      </c>
      <c r="X271" t="n">
        <v>35.650623885918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10348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9</v>
      </c>
      <c r="AL271" t="inlineStr">
        <is>
          <t>Miss Glam Jambi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"20100484538"</f>
        <v/>
      </c>
      <c r="C272" t="inlineStr">
        <is>
          <t>BARENBLISS Bloomdew Moonlight Dewy Mesh Cushion Fn1 Aster 15gr</t>
        </is>
      </c>
      <c r="D272" t="inlineStr">
        <is>
          <t>Miss Glam Jambi</t>
        </is>
      </c>
      <c r="E272" t="n">
        <v>15</v>
      </c>
      <c r="F272" t="n">
        <v>0.066</v>
      </c>
      <c r="G272" t="n">
        <v>0.33</v>
      </c>
      <c r="H272" t="n">
        <v>3</v>
      </c>
      <c r="I272" t="n">
        <v>11</v>
      </c>
      <c r="J272" t="n">
        <v>1</v>
      </c>
      <c r="K272" t="n">
        <v>0</v>
      </c>
      <c r="L272" t="n">
        <v>119920</v>
      </c>
      <c r="M272" t="n">
        <v>149900</v>
      </c>
      <c r="N272" t="n">
        <v>33</v>
      </c>
      <c r="O272" t="n">
        <v>0.33</v>
      </c>
      <c r="P272" t="n">
        <v>1</v>
      </c>
      <c r="Q272" t="n">
        <v>0.07000000000000001</v>
      </c>
      <c r="R272" t="n">
        <v>1</v>
      </c>
      <c r="S272" t="n">
        <v>9893.4</v>
      </c>
      <c r="T272" t="n">
        <v>4</v>
      </c>
      <c r="U272" t="n">
        <v>5</v>
      </c>
      <c r="V272" t="n">
        <v>30</v>
      </c>
      <c r="W272" t="n">
        <v>2</v>
      </c>
      <c r="X272" t="n">
        <v>227.2727272727273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10348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9</v>
      </c>
      <c r="AL272" t="inlineStr">
        <is>
          <t>Miss Glam Jambi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"20100484626"</f>
        <v/>
      </c>
      <c r="C273" t="inlineStr">
        <is>
          <t>BARENBLISS Bloomdew Moonlight Dewy Mesh Cushion Lc1 Iris 15gr</t>
        </is>
      </c>
      <c r="D273" t="inlineStr">
        <is>
          <t>Miss Glam Jambi</t>
        </is>
      </c>
      <c r="E273" t="n">
        <v>17</v>
      </c>
      <c r="F273" t="n">
        <v>0.0264</v>
      </c>
      <c r="G273" t="n">
        <v>0.66</v>
      </c>
      <c r="H273" t="n">
        <v>3</v>
      </c>
      <c r="I273" t="n">
        <v>11</v>
      </c>
      <c r="J273" t="n">
        <v>1</v>
      </c>
      <c r="K273" t="n">
        <v>0</v>
      </c>
      <c r="L273" t="n">
        <v>119920</v>
      </c>
      <c r="M273" t="n">
        <v>149900</v>
      </c>
      <c r="N273" t="n">
        <v>33</v>
      </c>
      <c r="O273" t="n">
        <v>0.33</v>
      </c>
      <c r="P273" t="n">
        <v>1</v>
      </c>
      <c r="Q273" t="n">
        <v>0.05</v>
      </c>
      <c r="R273" t="n">
        <v>1</v>
      </c>
      <c r="S273" t="n">
        <v>3957.360000000001</v>
      </c>
      <c r="T273" t="n">
        <v>8</v>
      </c>
      <c r="U273" t="n">
        <v>9</v>
      </c>
      <c r="V273" t="n">
        <v>30</v>
      </c>
      <c r="W273" t="n">
        <v>1</v>
      </c>
      <c r="X273" t="n">
        <v>643.9393939393939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10348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9</v>
      </c>
      <c r="AL273" t="inlineStr">
        <is>
          <t>Miss Glam Jambi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"20100479510"</f>
        <v/>
      </c>
      <c r="C274" t="inlineStr">
        <is>
          <t>BARENBLISS Bloomdew Moonlight Dewy Mesh Cushion LN1 Calendula 15gr</t>
        </is>
      </c>
      <c r="D274" t="inlineStr">
        <is>
          <t>Miss Glam Jambi</t>
        </is>
      </c>
      <c r="E274" t="n">
        <v>9</v>
      </c>
      <c r="F274" t="n">
        <v>0.0825</v>
      </c>
      <c r="G274" t="n">
        <v>0.66</v>
      </c>
      <c r="H274" t="n">
        <v>3</v>
      </c>
      <c r="I274" t="n">
        <v>11</v>
      </c>
      <c r="J274" t="n">
        <v>1</v>
      </c>
      <c r="K274" t="n">
        <v>0</v>
      </c>
      <c r="L274" t="n">
        <v>119920</v>
      </c>
      <c r="M274" t="n">
        <v>149900</v>
      </c>
      <c r="N274" t="n">
        <v>33</v>
      </c>
      <c r="O274" t="n">
        <v>0.33</v>
      </c>
      <c r="P274" t="n">
        <v>1</v>
      </c>
      <c r="Q274" t="n">
        <v>0.03</v>
      </c>
      <c r="R274" t="n">
        <v>1</v>
      </c>
      <c r="S274" t="n">
        <v>12366.75</v>
      </c>
      <c r="T274" t="n">
        <v>8</v>
      </c>
      <c r="U274" t="n">
        <v>9</v>
      </c>
      <c r="V274" t="n">
        <v>30</v>
      </c>
      <c r="W274" t="n">
        <v>3</v>
      </c>
      <c r="X274" t="n">
        <v>109.0909090909091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10348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9</v>
      </c>
      <c r="AL274" t="inlineStr">
        <is>
          <t>Miss Glam Jambi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"20100479649"</f>
        <v/>
      </c>
      <c r="C275" t="inlineStr">
        <is>
          <t>BARENBLISS Bloomdew Moonlight Dewy Mesh Cushion LW1 Bluebell 15gr</t>
        </is>
      </c>
      <c r="D275" t="inlineStr">
        <is>
          <t>Miss Glam Jambi</t>
        </is>
      </c>
      <c r="E275" t="n">
        <v>2</v>
      </c>
      <c r="F275" t="n">
        <v>0.0396</v>
      </c>
      <c r="G275" t="n">
        <v>0.33</v>
      </c>
      <c r="H275" t="n">
        <v>3</v>
      </c>
      <c r="I275" t="n">
        <v>11</v>
      </c>
      <c r="J275" t="n">
        <v>1</v>
      </c>
      <c r="K275" t="n">
        <v>0</v>
      </c>
      <c r="L275" t="n">
        <v>119920</v>
      </c>
      <c r="M275" t="n">
        <v>149900</v>
      </c>
      <c r="N275" t="n">
        <v>33</v>
      </c>
      <c r="O275" t="n">
        <v>0.33</v>
      </c>
      <c r="P275" t="n">
        <v>1</v>
      </c>
      <c r="Q275" t="n">
        <v>0.02</v>
      </c>
      <c r="R275" t="n">
        <v>1</v>
      </c>
      <c r="S275" t="n">
        <v>5936.040000000001</v>
      </c>
      <c r="T275" t="n">
        <v>4</v>
      </c>
      <c r="U275" t="n">
        <v>5</v>
      </c>
      <c r="V275" t="n">
        <v>30</v>
      </c>
      <c r="W275" t="n">
        <v>2</v>
      </c>
      <c r="X275" t="n">
        <v>50.5050505050505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10348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9</v>
      </c>
      <c r="AL275" t="inlineStr">
        <is>
          <t>Miss Glam Jambi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"20100479727"</f>
        <v/>
      </c>
      <c r="C276" t="inlineStr">
        <is>
          <t>BARENBLISS Bloomdew Moonlight Dewy Mesh Cushion LW2 Daisy 15gr</t>
        </is>
      </c>
      <c r="D276" t="inlineStr">
        <is>
          <t>Miss Glam Jambi</t>
        </is>
      </c>
      <c r="E276" t="n">
        <v>2</v>
      </c>
      <c r="F276" t="n">
        <v>0.0396</v>
      </c>
      <c r="G276" t="n">
        <v>0.33</v>
      </c>
      <c r="H276" t="n">
        <v>3</v>
      </c>
      <c r="I276" t="n">
        <v>11</v>
      </c>
      <c r="J276" t="n">
        <v>1</v>
      </c>
      <c r="K276" t="n">
        <v>0</v>
      </c>
      <c r="L276" t="n">
        <v>119920</v>
      </c>
      <c r="M276" t="n">
        <v>149900</v>
      </c>
      <c r="N276" t="n">
        <v>33</v>
      </c>
      <c r="O276" t="n">
        <v>0.33</v>
      </c>
      <c r="P276" t="n">
        <v>1</v>
      </c>
      <c r="Q276" t="n">
        <v>0.02</v>
      </c>
      <c r="R276" t="n">
        <v>1</v>
      </c>
      <c r="S276" t="n">
        <v>5936.040000000001</v>
      </c>
      <c r="T276" t="n">
        <v>4</v>
      </c>
      <c r="U276" t="n">
        <v>5</v>
      </c>
      <c r="V276" t="n">
        <v>30</v>
      </c>
      <c r="W276" t="n">
        <v>2</v>
      </c>
      <c r="X276" t="n">
        <v>50.5050505050505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10348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9</v>
      </c>
      <c r="AL276" t="inlineStr">
        <is>
          <t>Miss Glam Jambi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"20100479801"</f>
        <v/>
      </c>
      <c r="C277" t="inlineStr">
        <is>
          <t>BARENBLISS Bloomdew Moonlight Dewy Mesh Cushion MC1 Freesia 15gr</t>
        </is>
      </c>
      <c r="D277" t="inlineStr">
        <is>
          <t>Miss Glam Jambi</t>
        </is>
      </c>
      <c r="E277" t="n">
        <v>3</v>
      </c>
      <c r="F277" t="n">
        <v>0.0231</v>
      </c>
      <c r="G277" t="n">
        <v>0.33</v>
      </c>
      <c r="H277" t="n">
        <v>3</v>
      </c>
      <c r="I277" t="n">
        <v>11</v>
      </c>
      <c r="J277" t="n">
        <v>1</v>
      </c>
      <c r="K277" t="n">
        <v>0</v>
      </c>
      <c r="L277" t="n">
        <v>119920</v>
      </c>
      <c r="M277" t="n">
        <v>149900</v>
      </c>
      <c r="N277" t="n">
        <v>33</v>
      </c>
      <c r="O277" t="n">
        <v>0.33</v>
      </c>
      <c r="P277" t="n">
        <v>1</v>
      </c>
      <c r="Q277" t="n">
        <v>0.02</v>
      </c>
      <c r="R277" t="n">
        <v>1</v>
      </c>
      <c r="S277" t="n">
        <v>3462.690000000001</v>
      </c>
      <c r="T277" t="n">
        <v>4</v>
      </c>
      <c r="U277" t="n">
        <v>5</v>
      </c>
      <c r="V277" t="n">
        <v>30</v>
      </c>
      <c r="W277" t="n">
        <v>1</v>
      </c>
      <c r="X277" t="n">
        <v>129.8701298701299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10348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9</v>
      </c>
      <c r="AL277" t="inlineStr">
        <is>
          <t>Miss Glam Jambi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"20100479955"</f>
        <v/>
      </c>
      <c r="C278" t="inlineStr">
        <is>
          <t>BARENBLISS Bloomdew Moonlight Dewy Mesh Cushion MW1 Gardenia 15r</t>
        </is>
      </c>
      <c r="D278" t="inlineStr">
        <is>
          <t>Miss Glam Jambi</t>
        </is>
      </c>
      <c r="E278" t="n">
        <v>2</v>
      </c>
      <c r="F278" t="n">
        <v>0.0825</v>
      </c>
      <c r="G278" t="n">
        <v>0.66</v>
      </c>
      <c r="H278" t="n">
        <v>3</v>
      </c>
      <c r="I278" t="n">
        <v>11</v>
      </c>
      <c r="J278" t="n">
        <v>1</v>
      </c>
      <c r="K278" t="n">
        <v>1</v>
      </c>
      <c r="L278" t="n">
        <v>119920</v>
      </c>
      <c r="M278" t="n">
        <v>149900</v>
      </c>
      <c r="N278" t="n">
        <v>33</v>
      </c>
      <c r="O278" t="n">
        <v>0.33</v>
      </c>
      <c r="P278" t="n">
        <v>1</v>
      </c>
      <c r="Q278" t="n">
        <v>0.14</v>
      </c>
      <c r="R278" t="n">
        <v>1</v>
      </c>
      <c r="S278" t="n">
        <v>12366.75</v>
      </c>
      <c r="T278" t="n">
        <v>8</v>
      </c>
      <c r="U278" t="n">
        <v>9</v>
      </c>
      <c r="V278" t="n">
        <v>30</v>
      </c>
      <c r="W278" t="n">
        <v>3</v>
      </c>
      <c r="X278" t="n">
        <v>24.24242424242424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10348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9</v>
      </c>
      <c r="AL278" t="inlineStr">
        <is>
          <t>Miss Glam Jambi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"8809851670620"</f>
        <v/>
      </c>
      <c r="C279" t="inlineStr">
        <is>
          <t>BARENBLISS Ceramoist Glow Lip Serum</t>
        </is>
      </c>
      <c r="D279" t="inlineStr">
        <is>
          <t>Miss Glam Jambi</t>
        </is>
      </c>
      <c r="E279" t="n">
        <v>4</v>
      </c>
      <c r="F279" t="n">
        <v>0.1617</v>
      </c>
      <c r="G279" t="n">
        <v>0.99</v>
      </c>
      <c r="H279" t="n">
        <v>3</v>
      </c>
      <c r="I279" t="n">
        <v>11</v>
      </c>
      <c r="J279" t="n">
        <v>3</v>
      </c>
      <c r="K279" t="n">
        <v>3</v>
      </c>
      <c r="L279" t="n">
        <v>50328</v>
      </c>
      <c r="M279" t="n">
        <v>69900</v>
      </c>
      <c r="N279" t="n">
        <v>33</v>
      </c>
      <c r="O279" t="n">
        <v>0.33</v>
      </c>
      <c r="P279" t="n">
        <v>1</v>
      </c>
      <c r="Q279" t="n">
        <v>0.12</v>
      </c>
      <c r="R279" t="n">
        <v>1</v>
      </c>
      <c r="S279" t="n">
        <v>11302.83</v>
      </c>
      <c r="T279" t="n">
        <v>11</v>
      </c>
      <c r="U279" t="n">
        <v>12</v>
      </c>
      <c r="V279" t="n">
        <v>30</v>
      </c>
      <c r="W279" t="n">
        <v>5</v>
      </c>
      <c r="X279" t="n">
        <v>24.73716759431045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10348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9</v>
      </c>
      <c r="AL279" t="inlineStr">
        <is>
          <t>Miss Glam Jambi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"8809851671016"</f>
        <v/>
      </c>
      <c r="C280" t="inlineStr">
        <is>
          <t>BARENBLISS Cheerful Lip Velvel 12 Latte Muse 2.5gr</t>
        </is>
      </c>
      <c r="D280" t="inlineStr">
        <is>
          <t>Miss Glam Jambi</t>
        </is>
      </c>
      <c r="E280" t="n">
        <v>0</v>
      </c>
      <c r="F280" t="n">
        <v>0.0396</v>
      </c>
      <c r="G280" t="n">
        <v>0.66</v>
      </c>
      <c r="H280" t="n">
        <v>3</v>
      </c>
      <c r="I280" t="n">
        <v>11</v>
      </c>
      <c r="J280" t="n">
        <v>3</v>
      </c>
      <c r="K280" t="n">
        <v>3</v>
      </c>
      <c r="L280" t="n">
        <v>52488</v>
      </c>
      <c r="M280" t="n">
        <v>72900</v>
      </c>
      <c r="N280" t="n">
        <v>33</v>
      </c>
      <c r="O280" t="n">
        <v>0.33</v>
      </c>
      <c r="P280" t="n">
        <v>1</v>
      </c>
      <c r="Q280" t="n">
        <v>0.02</v>
      </c>
      <c r="R280" t="n">
        <v>1</v>
      </c>
      <c r="S280" t="n">
        <v>2886.84</v>
      </c>
      <c r="T280" t="n">
        <v>8</v>
      </c>
      <c r="U280" t="n">
        <v>9</v>
      </c>
      <c r="V280" t="n">
        <v>30</v>
      </c>
      <c r="W280" t="n">
        <v>2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10348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9</v>
      </c>
      <c r="AL280" t="inlineStr">
        <is>
          <t>Miss Glam Jambi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"8809851671023"</f>
        <v/>
      </c>
      <c r="C281" t="inlineStr">
        <is>
          <t>BARENBLISS Cheerful Lip Velvet 13 Pumpkin Bite 2.5gr</t>
        </is>
      </c>
      <c r="D281" t="inlineStr">
        <is>
          <t>Miss Glam Jambi</t>
        </is>
      </c>
      <c r="E281" t="n">
        <v>0</v>
      </c>
      <c r="F281" t="n">
        <v>0.16</v>
      </c>
      <c r="G281" t="n">
        <v>2</v>
      </c>
      <c r="H281" t="n">
        <v>3</v>
      </c>
      <c r="I281" t="n">
        <v>11</v>
      </c>
      <c r="J281" t="n">
        <v>3</v>
      </c>
      <c r="K281" t="n">
        <v>3</v>
      </c>
      <c r="L281" t="n">
        <v>49680</v>
      </c>
      <c r="M281" t="n">
        <v>69000</v>
      </c>
      <c r="N281" t="n">
        <v>33</v>
      </c>
      <c r="O281" t="n">
        <v>0.33</v>
      </c>
      <c r="P281" t="n">
        <v>0</v>
      </c>
      <c r="Q281" t="n">
        <v>0.16</v>
      </c>
      <c r="R281" t="n">
        <v>2</v>
      </c>
      <c r="S281" t="n">
        <v>11040</v>
      </c>
      <c r="T281" t="n">
        <v>22</v>
      </c>
      <c r="U281" t="n">
        <v>23</v>
      </c>
      <c r="V281" t="n">
        <v>30</v>
      </c>
      <c r="W281" t="n">
        <v>5</v>
      </c>
      <c r="X281" t="n">
        <v>0</v>
      </c>
      <c r="Y281" t="n">
        <v>1</v>
      </c>
      <c r="Z281" t="n">
        <v>2</v>
      </c>
      <c r="AA281" t="n">
        <v>1</v>
      </c>
      <c r="AB281" t="n">
        <v>1</v>
      </c>
      <c r="AC281" t="n">
        <v>3</v>
      </c>
      <c r="AD281" t="n">
        <v>49680</v>
      </c>
      <c r="AE281" t="n">
        <v>149040</v>
      </c>
      <c r="AF281" t="n">
        <v>10348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9</v>
      </c>
      <c r="AL281" t="inlineStr">
        <is>
          <t>Miss Glam Jambi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"8809851671030"</f>
        <v/>
      </c>
      <c r="C282" t="inlineStr">
        <is>
          <t>BARENBLISS Cheerfull Lip Velvet 14 Amber Flare 2.5gr</t>
        </is>
      </c>
      <c r="D282" t="inlineStr">
        <is>
          <t>Miss Glam Jambi</t>
        </is>
      </c>
      <c r="E282" t="n">
        <v>0</v>
      </c>
      <c r="F282" t="n">
        <v>0.09</v>
      </c>
      <c r="G282" t="n">
        <v>1</v>
      </c>
      <c r="H282" t="n">
        <v>3</v>
      </c>
      <c r="I282" t="n">
        <v>11</v>
      </c>
      <c r="J282" t="n">
        <v>3</v>
      </c>
      <c r="K282" t="n">
        <v>3</v>
      </c>
      <c r="L282" t="n">
        <v>49680</v>
      </c>
      <c r="M282" t="n">
        <v>69000</v>
      </c>
      <c r="N282" t="n">
        <v>33</v>
      </c>
      <c r="O282" t="n">
        <v>0.33</v>
      </c>
      <c r="P282" t="n">
        <v>0</v>
      </c>
      <c r="Q282" t="n">
        <v>0.09</v>
      </c>
      <c r="R282" t="n">
        <v>1</v>
      </c>
      <c r="S282" t="n">
        <v>6210</v>
      </c>
      <c r="T282" t="n">
        <v>11</v>
      </c>
      <c r="U282" t="n">
        <v>12</v>
      </c>
      <c r="V282" t="n">
        <v>30</v>
      </c>
      <c r="W282" t="n">
        <v>3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10348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9</v>
      </c>
      <c r="AL282" t="inlineStr">
        <is>
          <t>Miss Glam Jambi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"8809851671009"</f>
        <v/>
      </c>
      <c r="C283" t="inlineStr">
        <is>
          <t>BARENBLISS Cherrful Lip Velvet 11 Coral Bloom 2.5gr</t>
        </is>
      </c>
      <c r="D283" t="inlineStr">
        <is>
          <t>Miss Glam Jambi</t>
        </is>
      </c>
      <c r="E283" t="n">
        <v>1</v>
      </c>
      <c r="F283" t="n">
        <v>0.0264</v>
      </c>
      <c r="G283" t="n">
        <v>0.33</v>
      </c>
      <c r="H283" t="n">
        <v>3</v>
      </c>
      <c r="I283" t="n">
        <v>11</v>
      </c>
      <c r="J283" t="n">
        <v>3</v>
      </c>
      <c r="K283" t="n">
        <v>0</v>
      </c>
      <c r="L283" t="n">
        <v>52488</v>
      </c>
      <c r="M283" t="n">
        <v>72900</v>
      </c>
      <c r="N283" t="n">
        <v>33</v>
      </c>
      <c r="O283" t="n">
        <v>0.33</v>
      </c>
      <c r="P283" t="n">
        <v>1</v>
      </c>
      <c r="Q283" t="n">
        <v>0.02</v>
      </c>
      <c r="R283" t="n">
        <v>1</v>
      </c>
      <c r="S283" t="n">
        <v>1924.56</v>
      </c>
      <c r="T283" t="n">
        <v>4</v>
      </c>
      <c r="U283" t="n">
        <v>5</v>
      </c>
      <c r="V283" t="n">
        <v>30</v>
      </c>
      <c r="W283" t="n">
        <v>1</v>
      </c>
      <c r="X283" t="n">
        <v>37.87878787878788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10348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9</v>
      </c>
      <c r="AL283" t="inlineStr">
        <is>
          <t>Miss Glam Jambi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"8991748000907"</f>
        <v/>
      </c>
      <c r="C284" t="inlineStr">
        <is>
          <t>BARENBLISS Cherry Makes Cheerful Lip Velvet 01 Blushed Moment</t>
        </is>
      </c>
      <c r="D284" t="inlineStr">
        <is>
          <t>Miss Glam Jambi</t>
        </is>
      </c>
      <c r="E284" t="n">
        <v>32</v>
      </c>
      <c r="F284" t="n">
        <v>0.2475</v>
      </c>
      <c r="G284" t="n">
        <v>0.99</v>
      </c>
      <c r="H284" t="n">
        <v>3</v>
      </c>
      <c r="I284" t="n">
        <v>11</v>
      </c>
      <c r="J284" t="n">
        <v>3</v>
      </c>
      <c r="K284" t="n">
        <v>0</v>
      </c>
      <c r="L284" t="n">
        <v>52488</v>
      </c>
      <c r="M284" t="n">
        <v>72900</v>
      </c>
      <c r="N284" t="n">
        <v>33</v>
      </c>
      <c r="O284" t="n">
        <v>0.33</v>
      </c>
      <c r="P284" t="n">
        <v>1</v>
      </c>
      <c r="Q284" t="n">
        <v>0.19</v>
      </c>
      <c r="R284" t="n">
        <v>2</v>
      </c>
      <c r="S284" t="n">
        <v>18042.75</v>
      </c>
      <c r="T284" t="n">
        <v>11</v>
      </c>
      <c r="U284" t="n">
        <v>12</v>
      </c>
      <c r="V284" t="n">
        <v>30</v>
      </c>
      <c r="W284" t="n">
        <v>8</v>
      </c>
      <c r="X284" t="n">
        <v>129.2929292929293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10348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9</v>
      </c>
      <c r="AL284" t="inlineStr">
        <is>
          <t>Miss Glam Jambi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"8991748000921"</f>
        <v/>
      </c>
      <c r="C285" t="inlineStr">
        <is>
          <t>BARENBLISS Cherry Makes Cheerful Lip Velvet 03 Cherish Delight</t>
        </is>
      </c>
      <c r="D285" t="inlineStr">
        <is>
          <t>Miss Glam Jambi</t>
        </is>
      </c>
      <c r="E285" t="n">
        <v>7</v>
      </c>
      <c r="F285" t="n">
        <v>0.1287</v>
      </c>
      <c r="G285" t="n">
        <v>0.99</v>
      </c>
      <c r="H285" t="n">
        <v>3</v>
      </c>
      <c r="I285" t="n">
        <v>11</v>
      </c>
      <c r="J285" t="n">
        <v>3</v>
      </c>
      <c r="K285" t="n">
        <v>0</v>
      </c>
      <c r="L285" t="n">
        <v>52488</v>
      </c>
      <c r="M285" t="n">
        <v>72900</v>
      </c>
      <c r="N285" t="n">
        <v>33</v>
      </c>
      <c r="O285" t="n">
        <v>0.33</v>
      </c>
      <c r="P285" t="n">
        <v>1</v>
      </c>
      <c r="Q285" t="n">
        <v>0.14</v>
      </c>
      <c r="R285" t="n">
        <v>2</v>
      </c>
      <c r="S285" t="n">
        <v>9382.230000000001</v>
      </c>
      <c r="T285" t="n">
        <v>11</v>
      </c>
      <c r="U285" t="n">
        <v>12</v>
      </c>
      <c r="V285" t="n">
        <v>30</v>
      </c>
      <c r="W285" t="n">
        <v>4</v>
      </c>
      <c r="X285" t="n">
        <v>54.39005439005439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10348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9</v>
      </c>
      <c r="AL285" t="inlineStr">
        <is>
          <t>Miss Glam Jambi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"8991748000938"</f>
        <v/>
      </c>
      <c r="C286" t="inlineStr">
        <is>
          <t>BARENBLISS Cherry Makes Cheerful Lip Velvet 04 Wine Thrill</t>
        </is>
      </c>
      <c r="D286" t="inlineStr">
        <is>
          <t>Miss Glam Jambi</t>
        </is>
      </c>
      <c r="E286" t="n">
        <v>6</v>
      </c>
      <c r="F286" t="n">
        <v>0.1551</v>
      </c>
      <c r="G286" t="n">
        <v>0.99</v>
      </c>
      <c r="H286" t="n">
        <v>3</v>
      </c>
      <c r="I286" t="n">
        <v>11</v>
      </c>
      <c r="J286" t="n">
        <v>3</v>
      </c>
      <c r="K286" t="n">
        <v>0</v>
      </c>
      <c r="L286" t="n">
        <v>52488</v>
      </c>
      <c r="M286" t="n">
        <v>72900</v>
      </c>
      <c r="N286" t="n">
        <v>33</v>
      </c>
      <c r="O286" t="n">
        <v>0.33</v>
      </c>
      <c r="P286" t="n">
        <v>1</v>
      </c>
      <c r="Q286" t="n">
        <v>0.05</v>
      </c>
      <c r="R286" t="n">
        <v>1</v>
      </c>
      <c r="S286" t="n">
        <v>11306.79</v>
      </c>
      <c r="T286" t="n">
        <v>11</v>
      </c>
      <c r="U286" t="n">
        <v>12</v>
      </c>
      <c r="V286" t="n">
        <v>30</v>
      </c>
      <c r="W286" t="n">
        <v>5</v>
      </c>
      <c r="X286" t="n">
        <v>38.68471953578337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10348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9</v>
      </c>
      <c r="AL286" t="inlineStr">
        <is>
          <t>Miss Glam Jambi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"8991748000945"</f>
        <v/>
      </c>
      <c r="C287" t="inlineStr">
        <is>
          <t>BARENBLISS Cherry Makes Cheerful Lip Velvet 05 Autumn Walk</t>
        </is>
      </c>
      <c r="D287" t="inlineStr">
        <is>
          <t>Miss Glam Jambi</t>
        </is>
      </c>
      <c r="E287" t="n">
        <v>0</v>
      </c>
      <c r="F287" t="n">
        <v>0.09569999999999999</v>
      </c>
      <c r="G287" t="n">
        <v>0.66</v>
      </c>
      <c r="H287" t="n">
        <v>3</v>
      </c>
      <c r="I287" t="n">
        <v>11</v>
      </c>
      <c r="J287" t="n">
        <v>3</v>
      </c>
      <c r="K287" t="n">
        <v>3</v>
      </c>
      <c r="L287" t="n">
        <v>52488</v>
      </c>
      <c r="M287" t="n">
        <v>72900</v>
      </c>
      <c r="N287" t="n">
        <v>33</v>
      </c>
      <c r="O287" t="n">
        <v>0.33</v>
      </c>
      <c r="P287" t="n">
        <v>1</v>
      </c>
      <c r="Q287" t="n">
        <v>0.04</v>
      </c>
      <c r="R287" t="n">
        <v>1</v>
      </c>
      <c r="S287" t="n">
        <v>6976.53</v>
      </c>
      <c r="T287" t="n">
        <v>7</v>
      </c>
      <c r="U287" t="n">
        <v>8</v>
      </c>
      <c r="V287" t="n">
        <v>30</v>
      </c>
      <c r="W287" t="n">
        <v>3</v>
      </c>
      <c r="X287" t="n">
        <v>0</v>
      </c>
      <c r="Y287" t="n">
        <v>1</v>
      </c>
      <c r="Z287" t="n">
        <v>0</v>
      </c>
      <c r="AA287" t="n">
        <v>1</v>
      </c>
      <c r="AB287" t="n">
        <v>0</v>
      </c>
      <c r="AC287" t="n">
        <v>0</v>
      </c>
      <c r="AD287" t="n">
        <v>52488</v>
      </c>
      <c r="AE287" t="n">
        <v>0</v>
      </c>
      <c r="AF287" t="n">
        <v>10348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9</v>
      </c>
      <c r="AL287" t="inlineStr">
        <is>
          <t>Miss Glam Jambi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"8991748000952"</f>
        <v/>
      </c>
      <c r="C288" t="inlineStr">
        <is>
          <t>BARENBLISS Cherry Makes Cheerful Lip Velvet 06 Summer Sunset</t>
        </is>
      </c>
      <c r="D288" t="inlineStr">
        <is>
          <t>Miss Glam Jambi</t>
        </is>
      </c>
      <c r="E288" t="n">
        <v>1</v>
      </c>
      <c r="F288" t="n">
        <v>0.1122</v>
      </c>
      <c r="G288" t="n">
        <v>0.66</v>
      </c>
      <c r="H288" t="n">
        <v>3</v>
      </c>
      <c r="I288" t="n">
        <v>11</v>
      </c>
      <c r="J288" t="n">
        <v>3</v>
      </c>
      <c r="K288" t="n">
        <v>3</v>
      </c>
      <c r="L288" t="n">
        <v>52488</v>
      </c>
      <c r="M288" t="n">
        <v>72900</v>
      </c>
      <c r="N288" t="n">
        <v>33</v>
      </c>
      <c r="O288" t="n">
        <v>0.33</v>
      </c>
      <c r="P288" t="n">
        <v>1</v>
      </c>
      <c r="Q288" t="n">
        <v>0.08</v>
      </c>
      <c r="R288" t="n">
        <v>2</v>
      </c>
      <c r="S288" t="n">
        <v>8179.380000000001</v>
      </c>
      <c r="T288" t="n">
        <v>7</v>
      </c>
      <c r="U288" t="n">
        <v>8</v>
      </c>
      <c r="V288" t="n">
        <v>30</v>
      </c>
      <c r="W288" t="n">
        <v>4</v>
      </c>
      <c r="X288" t="n">
        <v>8.9126559714795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10348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9</v>
      </c>
      <c r="AL288" t="inlineStr">
        <is>
          <t>Miss Glam Jambi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"8809851670590"</f>
        <v/>
      </c>
      <c r="C289" t="inlineStr">
        <is>
          <t>BARENBLISS Cherry Makes Cheerful Lip Velvet 08 Choco Sense</t>
        </is>
      </c>
      <c r="D289" t="inlineStr">
        <is>
          <t>Miss Glam Jambi</t>
        </is>
      </c>
      <c r="E289" t="n">
        <v>0</v>
      </c>
      <c r="F289" t="n">
        <v>0.0561</v>
      </c>
      <c r="G289" t="n">
        <v>0.66</v>
      </c>
      <c r="H289" t="n">
        <v>3</v>
      </c>
      <c r="I289" t="n">
        <v>11</v>
      </c>
      <c r="J289" t="n">
        <v>3</v>
      </c>
      <c r="K289" t="n">
        <v>3</v>
      </c>
      <c r="L289" t="n">
        <v>52488</v>
      </c>
      <c r="M289" t="n">
        <v>72900</v>
      </c>
      <c r="N289" t="n">
        <v>33</v>
      </c>
      <c r="O289" t="n">
        <v>0.33</v>
      </c>
      <c r="P289" t="n">
        <v>1</v>
      </c>
      <c r="Q289" t="n">
        <v>0.05</v>
      </c>
      <c r="R289" t="n">
        <v>1</v>
      </c>
      <c r="S289" t="n">
        <v>4089.690000000001</v>
      </c>
      <c r="T289" t="n">
        <v>8</v>
      </c>
      <c r="U289" t="n">
        <v>9</v>
      </c>
      <c r="V289" t="n">
        <v>30</v>
      </c>
      <c r="W289" t="n">
        <v>2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10348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9</v>
      </c>
      <c r="AL289" t="inlineStr">
        <is>
          <t>Miss Glam Jambi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"8809851670606"</f>
        <v/>
      </c>
      <c r="C290" t="inlineStr">
        <is>
          <t>BARENBLISS Cherry Makes Cheerful Lip Velvet 09 Marsalla</t>
        </is>
      </c>
      <c r="D290" t="inlineStr">
        <is>
          <t>Miss Glam Jambi</t>
        </is>
      </c>
      <c r="E290" t="n">
        <v>4</v>
      </c>
      <c r="F290" t="n">
        <v>0.07000000000000001</v>
      </c>
      <c r="G290" t="n">
        <v>1</v>
      </c>
      <c r="H290" t="n">
        <v>3</v>
      </c>
      <c r="I290" t="n">
        <v>11</v>
      </c>
      <c r="J290" t="n">
        <v>3</v>
      </c>
      <c r="K290" t="n">
        <v>0</v>
      </c>
      <c r="L290" t="n">
        <v>52488</v>
      </c>
      <c r="M290" t="n">
        <v>72900</v>
      </c>
      <c r="N290" t="n">
        <v>33</v>
      </c>
      <c r="O290" t="n">
        <v>0.33</v>
      </c>
      <c r="P290" t="n">
        <v>0</v>
      </c>
      <c r="Q290" t="n">
        <v>0.07000000000000001</v>
      </c>
      <c r="R290" t="n">
        <v>1</v>
      </c>
      <c r="S290" t="n">
        <v>5103.000000000001</v>
      </c>
      <c r="T290" t="n">
        <v>11</v>
      </c>
      <c r="U290" t="n">
        <v>12</v>
      </c>
      <c r="V290" t="n">
        <v>30</v>
      </c>
      <c r="W290" t="n">
        <v>3</v>
      </c>
      <c r="X290" t="n">
        <v>57.14285714285714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10348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9</v>
      </c>
      <c r="AL290" t="inlineStr">
        <is>
          <t>Miss Glam Jambi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"8809851670767"</f>
        <v/>
      </c>
      <c r="C291" t="inlineStr">
        <is>
          <t>BARENBLISS Dream Chaser Quad Eyeshadow Palette 02 Coral Cloud</t>
        </is>
      </c>
      <c r="D291" t="inlineStr">
        <is>
          <t>Miss Glam Jambi</t>
        </is>
      </c>
      <c r="E291" t="n">
        <v>1</v>
      </c>
      <c r="F291" t="n">
        <v>0.0561</v>
      </c>
      <c r="G291" t="n">
        <v>0.66</v>
      </c>
      <c r="H291" t="n">
        <v>3</v>
      </c>
      <c r="I291" t="n">
        <v>11</v>
      </c>
      <c r="J291" t="n">
        <v>3</v>
      </c>
      <c r="K291" t="n">
        <v>3</v>
      </c>
      <c r="L291" t="n">
        <v>87920</v>
      </c>
      <c r="M291" t="n">
        <v>109900</v>
      </c>
      <c r="N291" t="n">
        <v>33</v>
      </c>
      <c r="O291" t="n">
        <v>0.33</v>
      </c>
      <c r="P291" t="n">
        <v>1</v>
      </c>
      <c r="Q291" t="n">
        <v>0.03</v>
      </c>
      <c r="R291" t="n">
        <v>1</v>
      </c>
      <c r="S291" t="n">
        <v>6165.39</v>
      </c>
      <c r="T291" t="n">
        <v>8</v>
      </c>
      <c r="U291" t="n">
        <v>9</v>
      </c>
      <c r="V291" t="n">
        <v>30</v>
      </c>
      <c r="W291" t="n">
        <v>2</v>
      </c>
      <c r="X291" t="n">
        <v>17.825311942959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10348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9</v>
      </c>
      <c r="AL291" t="inlineStr">
        <is>
          <t>Miss Glam Jambi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"8809851670781"</f>
        <v/>
      </c>
      <c r="C292" t="inlineStr">
        <is>
          <t>BARENBLISS Dream Chaser Quad Eyeshadow Palette 04 Dreamer Dust</t>
        </is>
      </c>
      <c r="D292" t="inlineStr">
        <is>
          <t>Miss Glam Jambi</t>
        </is>
      </c>
      <c r="E292" t="n">
        <v>9</v>
      </c>
      <c r="F292" t="n">
        <v>0.1188</v>
      </c>
      <c r="G292" t="n">
        <v>0.66</v>
      </c>
      <c r="H292" t="n">
        <v>3</v>
      </c>
      <c r="I292" t="n">
        <v>11</v>
      </c>
      <c r="J292" t="n">
        <v>3</v>
      </c>
      <c r="K292" t="n">
        <v>0</v>
      </c>
      <c r="L292" t="n">
        <v>87920</v>
      </c>
      <c r="M292" t="n">
        <v>109900</v>
      </c>
      <c r="N292" t="n">
        <v>33</v>
      </c>
      <c r="O292" t="n">
        <v>0.33</v>
      </c>
      <c r="P292" t="n">
        <v>1</v>
      </c>
      <c r="Q292" t="n">
        <v>0.03</v>
      </c>
      <c r="R292" t="n">
        <v>0</v>
      </c>
      <c r="S292" t="n">
        <v>13056.12</v>
      </c>
      <c r="T292" t="n">
        <v>7</v>
      </c>
      <c r="U292" t="n">
        <v>8</v>
      </c>
      <c r="V292" t="n">
        <v>30</v>
      </c>
      <c r="W292" t="n">
        <v>4</v>
      </c>
      <c r="X292" t="n">
        <v>75.75757575757575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10348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9</v>
      </c>
      <c r="AL292" t="inlineStr">
        <is>
          <t>Miss Glam Jambi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"8809851670460"</f>
        <v/>
      </c>
      <c r="C293" t="inlineStr">
        <is>
          <t>BARENBLISS Fine To Refine Compact Powder 04 Medium Blossom Burst</t>
        </is>
      </c>
      <c r="D293" t="inlineStr">
        <is>
          <t>Miss Glam Jambi</t>
        </is>
      </c>
      <c r="E293" t="n">
        <v>0</v>
      </c>
      <c r="F293" t="n">
        <v>0.0726</v>
      </c>
      <c r="G293" t="n">
        <v>0.66</v>
      </c>
      <c r="H293" t="n">
        <v>3</v>
      </c>
      <c r="I293" t="n">
        <v>11</v>
      </c>
      <c r="J293" t="n">
        <v>3</v>
      </c>
      <c r="K293" t="n">
        <v>3</v>
      </c>
      <c r="L293" t="n">
        <v>93528</v>
      </c>
      <c r="M293" t="n">
        <v>129900</v>
      </c>
      <c r="N293" t="n">
        <v>33</v>
      </c>
      <c r="O293" t="n">
        <v>0.33</v>
      </c>
      <c r="P293" t="n">
        <v>1</v>
      </c>
      <c r="Q293" t="n">
        <v>0.06</v>
      </c>
      <c r="R293" t="n">
        <v>1</v>
      </c>
      <c r="S293" t="n">
        <v>9430.74</v>
      </c>
      <c r="T293" t="n">
        <v>8</v>
      </c>
      <c r="U293" t="n">
        <v>9</v>
      </c>
      <c r="V293" t="n">
        <v>30</v>
      </c>
      <c r="W293" t="n">
        <v>3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10348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9</v>
      </c>
      <c r="AL293" t="inlineStr">
        <is>
          <t>Miss Glam Jambi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"8991748000877"</f>
        <v/>
      </c>
      <c r="C294" t="inlineStr">
        <is>
          <t>BARENBLISS Fine To Refine Compact Powder Fair Light 01</t>
        </is>
      </c>
      <c r="D294" t="inlineStr">
        <is>
          <t>Miss Glam Jambi</t>
        </is>
      </c>
      <c r="E294" t="n">
        <v>0</v>
      </c>
      <c r="F294" t="n">
        <v>0.0231</v>
      </c>
      <c r="G294" t="n">
        <v>0.33</v>
      </c>
      <c r="H294" t="n">
        <v>3</v>
      </c>
      <c r="I294" t="n">
        <v>11</v>
      </c>
      <c r="J294" t="n">
        <v>3</v>
      </c>
      <c r="K294" t="n">
        <v>0</v>
      </c>
      <c r="L294" t="n">
        <v>93528</v>
      </c>
      <c r="M294" t="n">
        <v>129900</v>
      </c>
      <c r="N294" t="n">
        <v>33</v>
      </c>
      <c r="O294" t="n">
        <v>0.33</v>
      </c>
      <c r="P294" t="n">
        <v>1</v>
      </c>
      <c r="Q294" t="n">
        <v>0.05</v>
      </c>
      <c r="R294" t="n">
        <v>1</v>
      </c>
      <c r="S294" t="n">
        <v>3000.690000000001</v>
      </c>
      <c r="T294" t="n">
        <v>4</v>
      </c>
      <c r="U294" t="n">
        <v>5</v>
      </c>
      <c r="V294" t="n">
        <v>30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n">
        <v>0</v>
      </c>
      <c r="AC294" t="n">
        <v>0</v>
      </c>
      <c r="AD294" t="n">
        <v>93528</v>
      </c>
      <c r="AE294" t="n">
        <v>0</v>
      </c>
      <c r="AF294" t="n">
        <v>10348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9</v>
      </c>
      <c r="AL294" t="inlineStr">
        <is>
          <t>Miss Glam Jambi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"8991748000884"</f>
        <v/>
      </c>
      <c r="C295" t="inlineStr">
        <is>
          <t>BARENBLISS Fine To Refine Compact Powder Natural Blossom Burst 02</t>
        </is>
      </c>
      <c r="D295" t="inlineStr">
        <is>
          <t>Miss Glam Jambi</t>
        </is>
      </c>
      <c r="E295" t="n">
        <v>11</v>
      </c>
      <c r="F295" t="n">
        <v>0.0726</v>
      </c>
      <c r="G295" t="n">
        <v>0.66</v>
      </c>
      <c r="H295" t="n">
        <v>3</v>
      </c>
      <c r="I295" t="n">
        <v>11</v>
      </c>
      <c r="J295" t="n">
        <v>3</v>
      </c>
      <c r="K295" t="n">
        <v>0</v>
      </c>
      <c r="L295" t="n">
        <v>93528</v>
      </c>
      <c r="M295" t="n">
        <v>129900</v>
      </c>
      <c r="N295" t="n">
        <v>33</v>
      </c>
      <c r="O295" t="n">
        <v>0.33</v>
      </c>
      <c r="P295" t="n">
        <v>1</v>
      </c>
      <c r="Q295" t="n">
        <v>0.1</v>
      </c>
      <c r="R295" t="n">
        <v>1</v>
      </c>
      <c r="S295" t="n">
        <v>9430.74</v>
      </c>
      <c r="T295" t="n">
        <v>8</v>
      </c>
      <c r="U295" t="n">
        <v>9</v>
      </c>
      <c r="V295" t="n">
        <v>30</v>
      </c>
      <c r="W295" t="n">
        <v>3</v>
      </c>
      <c r="X295" t="n">
        <v>151.5151515151515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10348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9</v>
      </c>
      <c r="AL295" t="inlineStr">
        <is>
          <t>Miss Glam Jambi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"8991748000891"</f>
        <v/>
      </c>
      <c r="C296" t="inlineStr">
        <is>
          <t>BARENBLISS Fine To Refine Compact Powder Warm Beige Nectar 03</t>
        </is>
      </c>
      <c r="D296" t="inlineStr">
        <is>
          <t>Miss Glam Jambi</t>
        </is>
      </c>
      <c r="E296" t="n">
        <v>9</v>
      </c>
      <c r="F296" t="n">
        <v>0.0264</v>
      </c>
      <c r="G296" t="n">
        <v>0.66</v>
      </c>
      <c r="H296" t="n">
        <v>3</v>
      </c>
      <c r="I296" t="n">
        <v>11</v>
      </c>
      <c r="J296" t="n">
        <v>3</v>
      </c>
      <c r="K296" t="n">
        <v>0</v>
      </c>
      <c r="L296" t="n">
        <v>93528</v>
      </c>
      <c r="M296" t="n">
        <v>129900</v>
      </c>
      <c r="N296" t="n">
        <v>33</v>
      </c>
      <c r="O296" t="n">
        <v>0.33</v>
      </c>
      <c r="P296" t="n">
        <v>1</v>
      </c>
      <c r="Q296" t="n">
        <v>0.03</v>
      </c>
      <c r="R296" t="n">
        <v>1</v>
      </c>
      <c r="S296" t="n">
        <v>3429.360000000001</v>
      </c>
      <c r="T296" t="n">
        <v>8</v>
      </c>
      <c r="U296" t="n">
        <v>9</v>
      </c>
      <c r="V296" t="n">
        <v>30</v>
      </c>
      <c r="W296" t="n">
        <v>1</v>
      </c>
      <c r="X296" t="n">
        <v>340.9090909090909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10348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9</v>
      </c>
      <c r="AL296" t="inlineStr">
        <is>
          <t>Miss Glam Jambi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"8809851670262"</f>
        <v/>
      </c>
      <c r="C297" t="inlineStr">
        <is>
          <t>BARENBLISS Full Bloom Transferproof Matte Tint 01 Fresh Dawn</t>
        </is>
      </c>
      <c r="D297" t="inlineStr">
        <is>
          <t>Miss Glam Jambi</t>
        </is>
      </c>
      <c r="E297" t="n">
        <v>3</v>
      </c>
      <c r="F297" t="n">
        <v>0.033</v>
      </c>
      <c r="G297" t="n">
        <v>0.66</v>
      </c>
      <c r="H297" t="n">
        <v>3</v>
      </c>
      <c r="I297" t="n">
        <v>11</v>
      </c>
      <c r="J297" t="n">
        <v>3</v>
      </c>
      <c r="K297" t="n">
        <v>0</v>
      </c>
      <c r="L297" t="n">
        <v>52488</v>
      </c>
      <c r="M297" t="n">
        <v>72900</v>
      </c>
      <c r="N297" t="n">
        <v>33</v>
      </c>
      <c r="O297" t="n">
        <v>0.33</v>
      </c>
      <c r="P297" t="n">
        <v>1</v>
      </c>
      <c r="Q297" t="n">
        <v>0.12</v>
      </c>
      <c r="R297" t="n">
        <v>2</v>
      </c>
      <c r="S297" t="n">
        <v>2405.7</v>
      </c>
      <c r="T297" t="n">
        <v>8</v>
      </c>
      <c r="U297" t="n">
        <v>9</v>
      </c>
      <c r="V297" t="n">
        <v>30</v>
      </c>
      <c r="W297" t="n">
        <v>1</v>
      </c>
      <c r="X297" t="n">
        <v>90.90909090909091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10348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9</v>
      </c>
      <c r="AL297" t="inlineStr">
        <is>
          <t>Miss Glam Jambi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"8809851670279"</f>
        <v/>
      </c>
      <c r="C298" t="inlineStr">
        <is>
          <t>BARENBLISS Full Bloom Transferproof Matte Tint 02 Magical Mimosa</t>
        </is>
      </c>
      <c r="D298" t="inlineStr">
        <is>
          <t>Miss Glam Jambi</t>
        </is>
      </c>
      <c r="E298" t="n">
        <v>0</v>
      </c>
      <c r="F298" t="n">
        <v>0.1056</v>
      </c>
      <c r="G298" t="n">
        <v>0.66</v>
      </c>
      <c r="H298" t="n">
        <v>3</v>
      </c>
      <c r="I298" t="n">
        <v>11</v>
      </c>
      <c r="J298" t="n">
        <v>3</v>
      </c>
      <c r="K298" t="n">
        <v>3</v>
      </c>
      <c r="L298" t="n">
        <v>52488</v>
      </c>
      <c r="M298" t="n">
        <v>72900</v>
      </c>
      <c r="N298" t="n">
        <v>33</v>
      </c>
      <c r="O298" t="n">
        <v>0.33</v>
      </c>
      <c r="P298" t="n">
        <v>1</v>
      </c>
      <c r="Q298" t="n">
        <v>0.07000000000000001</v>
      </c>
      <c r="R298" t="n">
        <v>1</v>
      </c>
      <c r="S298" t="n">
        <v>7698.240000000001</v>
      </c>
      <c r="T298" t="n">
        <v>7</v>
      </c>
      <c r="U298" t="n">
        <v>8</v>
      </c>
      <c r="V298" t="n">
        <v>30</v>
      </c>
      <c r="W298" t="n">
        <v>4</v>
      </c>
      <c r="X298" t="n">
        <v>0</v>
      </c>
      <c r="Y298" t="n">
        <v>1</v>
      </c>
      <c r="Z298" t="n">
        <v>1</v>
      </c>
      <c r="AA298" t="n">
        <v>1</v>
      </c>
      <c r="AB298" t="n">
        <v>0</v>
      </c>
      <c r="AC298" t="n">
        <v>0</v>
      </c>
      <c r="AD298" t="n">
        <v>52488</v>
      </c>
      <c r="AE298" t="n">
        <v>0</v>
      </c>
      <c r="AF298" t="n">
        <v>10348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9</v>
      </c>
      <c r="AL298" t="inlineStr">
        <is>
          <t>Miss Glam Jambi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"8809851670286"</f>
        <v/>
      </c>
      <c r="C299" t="inlineStr">
        <is>
          <t>BARENBLISS Full Bloom Transferproof Matte Tint 03 Pollen Harvest</t>
        </is>
      </c>
      <c r="D299" t="inlineStr">
        <is>
          <t>Miss Glam Jambi</t>
        </is>
      </c>
      <c r="E299" t="n">
        <v>5</v>
      </c>
      <c r="F299" t="n">
        <v>0.0264</v>
      </c>
      <c r="G299" t="n">
        <v>0.66</v>
      </c>
      <c r="H299" t="n">
        <v>3</v>
      </c>
      <c r="I299" t="n">
        <v>11</v>
      </c>
      <c r="J299" t="n">
        <v>3</v>
      </c>
      <c r="K299" t="n">
        <v>0</v>
      </c>
      <c r="L299" t="n">
        <v>52488</v>
      </c>
      <c r="M299" t="n">
        <v>72900</v>
      </c>
      <c r="N299" t="n">
        <v>33</v>
      </c>
      <c r="O299" t="n">
        <v>0.33</v>
      </c>
      <c r="P299" t="n">
        <v>1</v>
      </c>
      <c r="Q299" t="n">
        <v>0.12</v>
      </c>
      <c r="R299" t="n">
        <v>1</v>
      </c>
      <c r="S299" t="n">
        <v>1924.56</v>
      </c>
      <c r="T299" t="n">
        <v>8</v>
      </c>
      <c r="U299" t="n">
        <v>9</v>
      </c>
      <c r="V299" t="n">
        <v>30</v>
      </c>
      <c r="W299" t="n">
        <v>1</v>
      </c>
      <c r="X299" t="n">
        <v>189.3939393939394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10348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9</v>
      </c>
      <c r="AL299" t="inlineStr">
        <is>
          <t>Miss Glam Jambi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"8809851670293"</f>
        <v/>
      </c>
      <c r="C300" t="inlineStr">
        <is>
          <t>BARENBLISS Full Bloom Transferproof Matte Tint 04 Sunny Rose</t>
        </is>
      </c>
      <c r="D300" t="inlineStr">
        <is>
          <t>Miss Glam Jambi</t>
        </is>
      </c>
      <c r="E300" t="n">
        <v>2</v>
      </c>
      <c r="F300" t="n">
        <v>0.1353</v>
      </c>
      <c r="G300" t="n">
        <v>0.66</v>
      </c>
      <c r="H300" t="n">
        <v>3</v>
      </c>
      <c r="I300" t="n">
        <v>11</v>
      </c>
      <c r="J300" t="n">
        <v>3</v>
      </c>
      <c r="K300" t="n">
        <v>3</v>
      </c>
      <c r="L300" t="n">
        <v>52488</v>
      </c>
      <c r="M300" t="n">
        <v>72900</v>
      </c>
      <c r="N300" t="n">
        <v>33</v>
      </c>
      <c r="O300" t="n">
        <v>0.33</v>
      </c>
      <c r="P300" t="n">
        <v>1</v>
      </c>
      <c r="Q300" t="n">
        <v>0.05</v>
      </c>
      <c r="R300" t="n">
        <v>1</v>
      </c>
      <c r="S300" t="n">
        <v>9863.370000000001</v>
      </c>
      <c r="T300" t="n">
        <v>7</v>
      </c>
      <c r="U300" t="n">
        <v>8</v>
      </c>
      <c r="V300" t="n">
        <v>30</v>
      </c>
      <c r="W300" t="n">
        <v>5</v>
      </c>
      <c r="X300" t="n">
        <v>14.7819660014782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10348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9</v>
      </c>
      <c r="AL300" t="inlineStr">
        <is>
          <t>Miss Glam Jambi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"8809851670316"</f>
        <v/>
      </c>
      <c r="C301" t="inlineStr">
        <is>
          <t>BARENBLISS Full Bloom Transferproof Matte Tint 06 Sassy Season</t>
        </is>
      </c>
      <c r="D301" t="inlineStr">
        <is>
          <t>Miss Glam Jambi</t>
        </is>
      </c>
      <c r="E301" t="n">
        <v>4</v>
      </c>
      <c r="F301" t="n">
        <v>0.066</v>
      </c>
      <c r="G301" t="n">
        <v>0.66</v>
      </c>
      <c r="H301" t="n">
        <v>3</v>
      </c>
      <c r="I301" t="n">
        <v>11</v>
      </c>
      <c r="J301" t="n">
        <v>3</v>
      </c>
      <c r="K301" t="n">
        <v>0</v>
      </c>
      <c r="L301" t="n">
        <v>52488</v>
      </c>
      <c r="M301" t="n">
        <v>72900</v>
      </c>
      <c r="N301" t="n">
        <v>33</v>
      </c>
      <c r="O301" t="n">
        <v>0.33</v>
      </c>
      <c r="P301" t="n">
        <v>1</v>
      </c>
      <c r="Q301" t="n">
        <v>0.02</v>
      </c>
      <c r="R301" t="n">
        <v>1</v>
      </c>
      <c r="S301" t="n">
        <v>4811.400000000001</v>
      </c>
      <c r="T301" t="n">
        <v>8</v>
      </c>
      <c r="U301" t="n">
        <v>9</v>
      </c>
      <c r="V301" t="n">
        <v>30</v>
      </c>
      <c r="W301" t="n">
        <v>2</v>
      </c>
      <c r="X301" t="n">
        <v>60.6060606060606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10348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9</v>
      </c>
      <c r="AL301" t="inlineStr">
        <is>
          <t>Miss Glam Jambi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"8809851671207"</f>
        <v/>
      </c>
      <c r="C302" t="inlineStr">
        <is>
          <t>BARENBLISS Full Bloom Transferproof Matte Tint 07 Water Lily 3gr</t>
        </is>
      </c>
      <c r="D302" t="inlineStr">
        <is>
          <t>Miss Glam Jambi</t>
        </is>
      </c>
      <c r="E302" t="n">
        <v>17</v>
      </c>
      <c r="F302" t="n">
        <v>0.08910000000000001</v>
      </c>
      <c r="G302" t="n">
        <v>0.66</v>
      </c>
      <c r="H302" t="n">
        <v>3</v>
      </c>
      <c r="I302" t="n">
        <v>11</v>
      </c>
      <c r="J302" t="n">
        <v>3</v>
      </c>
      <c r="K302" t="n">
        <v>0</v>
      </c>
      <c r="L302" t="n">
        <v>52488</v>
      </c>
      <c r="M302" t="n">
        <v>72900</v>
      </c>
      <c r="N302" t="n">
        <v>33</v>
      </c>
      <c r="O302" t="n">
        <v>0.33</v>
      </c>
      <c r="P302" t="n">
        <v>1</v>
      </c>
      <c r="Q302" t="n">
        <v>0.12</v>
      </c>
      <c r="R302" t="n">
        <v>3</v>
      </c>
      <c r="S302" t="n">
        <v>6495.390000000001</v>
      </c>
      <c r="T302" t="n">
        <v>7</v>
      </c>
      <c r="U302" t="n">
        <v>8</v>
      </c>
      <c r="V302" t="n">
        <v>30</v>
      </c>
      <c r="W302" t="n">
        <v>3</v>
      </c>
      <c r="X302" t="n">
        <v>190.7968574635241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10348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9</v>
      </c>
      <c r="AL302" t="inlineStr">
        <is>
          <t>Miss Glam Jambi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"8809851672914"</f>
        <v/>
      </c>
      <c r="C303" t="inlineStr">
        <is>
          <t>BARENBLISS Gold Makes Gorgeous Lip Balm 3.2gr</t>
        </is>
      </c>
      <c r="D303" t="inlineStr">
        <is>
          <t>Miss Glam Jambi</t>
        </is>
      </c>
      <c r="E303" t="n">
        <v>1</v>
      </c>
      <c r="F303" t="n">
        <v>0.1188</v>
      </c>
      <c r="G303" t="n">
        <v>0.66</v>
      </c>
      <c r="H303" t="n">
        <v>3</v>
      </c>
      <c r="I303" t="n">
        <v>11</v>
      </c>
      <c r="J303" t="n">
        <v>3</v>
      </c>
      <c r="K303" t="n">
        <v>3</v>
      </c>
      <c r="L303" t="n">
        <v>55920</v>
      </c>
      <c r="M303" t="n">
        <v>69900</v>
      </c>
      <c r="N303" t="n">
        <v>33</v>
      </c>
      <c r="O303" t="n">
        <v>0.33</v>
      </c>
      <c r="P303" t="n">
        <v>1</v>
      </c>
      <c r="Q303" t="n">
        <v>0.22</v>
      </c>
      <c r="R303" t="n">
        <v>1</v>
      </c>
      <c r="S303" t="n">
        <v>8304.120000000001</v>
      </c>
      <c r="T303" t="n">
        <v>7</v>
      </c>
      <c r="U303" t="n">
        <v>8</v>
      </c>
      <c r="V303" t="n">
        <v>30</v>
      </c>
      <c r="W303" t="n">
        <v>4</v>
      </c>
      <c r="X303" t="n">
        <v>8.417508417508417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10348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9</v>
      </c>
      <c r="AL303" t="inlineStr">
        <is>
          <t>Miss Glam Jambi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"8809851672440"</f>
        <v/>
      </c>
      <c r="C304" t="inlineStr">
        <is>
          <t>BARENBLISS Lily Makes Luminous Glow Tint 01 Queen Bae 2.5g</t>
        </is>
      </c>
      <c r="D304" t="inlineStr">
        <is>
          <t>Miss Glam Jambi</t>
        </is>
      </c>
      <c r="E304" t="n">
        <v>48</v>
      </c>
      <c r="F304" t="n">
        <v>0.2343</v>
      </c>
      <c r="G304" t="n">
        <v>1.65</v>
      </c>
      <c r="H304" t="n">
        <v>3</v>
      </c>
      <c r="I304" t="n">
        <v>11</v>
      </c>
      <c r="J304" t="n">
        <v>3</v>
      </c>
      <c r="K304" t="n">
        <v>0</v>
      </c>
      <c r="L304" t="n">
        <v>58320</v>
      </c>
      <c r="M304" t="n">
        <v>72900</v>
      </c>
      <c r="N304" t="n">
        <v>33</v>
      </c>
      <c r="O304" t="n">
        <v>0.33</v>
      </c>
      <c r="P304" t="n">
        <v>1</v>
      </c>
      <c r="Q304" t="n">
        <v>0.29</v>
      </c>
      <c r="R304" t="n">
        <v>2</v>
      </c>
      <c r="S304" t="n">
        <v>17080.47</v>
      </c>
      <c r="T304" t="n">
        <v>18</v>
      </c>
      <c r="U304" t="n">
        <v>19</v>
      </c>
      <c r="V304" t="n">
        <v>30</v>
      </c>
      <c r="W304" t="n">
        <v>8</v>
      </c>
      <c r="X304" t="n">
        <v>204.865556978233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10348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9</v>
      </c>
      <c r="AL304" t="inlineStr">
        <is>
          <t>Miss Glam Jambi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"8809851672457"</f>
        <v/>
      </c>
      <c r="C305" t="inlineStr">
        <is>
          <t>BARENBLISS Lily Makes Luminous Glow Tint 02 Rose Glaze 2.5gr</t>
        </is>
      </c>
      <c r="D305" t="inlineStr">
        <is>
          <t>Miss Glam Jambi</t>
        </is>
      </c>
      <c r="E305" t="n">
        <v>49</v>
      </c>
      <c r="F305" t="n">
        <v>0.1353</v>
      </c>
      <c r="G305" t="n">
        <v>0.99</v>
      </c>
      <c r="H305" t="n">
        <v>3</v>
      </c>
      <c r="I305" t="n">
        <v>11</v>
      </c>
      <c r="J305" t="n">
        <v>3</v>
      </c>
      <c r="K305" t="n">
        <v>0</v>
      </c>
      <c r="L305" t="n">
        <v>58320</v>
      </c>
      <c r="M305" t="n">
        <v>72900</v>
      </c>
      <c r="N305" t="n">
        <v>33</v>
      </c>
      <c r="O305" t="n">
        <v>0.33</v>
      </c>
      <c r="P305" t="n">
        <v>1</v>
      </c>
      <c r="Q305" t="n">
        <v>0.24</v>
      </c>
      <c r="R305" t="n">
        <v>2</v>
      </c>
      <c r="S305" t="n">
        <v>9863.370000000001</v>
      </c>
      <c r="T305" t="n">
        <v>11</v>
      </c>
      <c r="U305" t="n">
        <v>12</v>
      </c>
      <c r="V305" t="n">
        <v>30</v>
      </c>
      <c r="W305" t="n">
        <v>5</v>
      </c>
      <c r="X305" t="n">
        <v>362.1581670362158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10348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9</v>
      </c>
      <c r="AL305" t="inlineStr">
        <is>
          <t>Miss Glam Jambi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"8809851672464"</f>
        <v/>
      </c>
      <c r="C306" t="inlineStr">
        <is>
          <t>BARENBLISS Lily Makes Luminous Glow Tint 03 Figgy Plum 2.5gr</t>
        </is>
      </c>
      <c r="D306" t="inlineStr">
        <is>
          <t>Miss Glam Jambi</t>
        </is>
      </c>
      <c r="E306" t="n">
        <v>7</v>
      </c>
      <c r="F306" t="n">
        <v>0.4488</v>
      </c>
      <c r="G306" t="n">
        <v>1.98</v>
      </c>
      <c r="H306" t="n">
        <v>3</v>
      </c>
      <c r="I306" t="n">
        <v>11</v>
      </c>
      <c r="J306" t="n">
        <v>3</v>
      </c>
      <c r="K306" t="n">
        <v>6</v>
      </c>
      <c r="L306" t="n">
        <v>58320</v>
      </c>
      <c r="M306" t="n">
        <v>72900</v>
      </c>
      <c r="N306" t="n">
        <v>33</v>
      </c>
      <c r="O306" t="n">
        <v>0.33</v>
      </c>
      <c r="P306" t="n">
        <v>1</v>
      </c>
      <c r="Q306" t="n">
        <v>0.37</v>
      </c>
      <c r="R306" t="n">
        <v>3</v>
      </c>
      <c r="S306" t="n">
        <v>32717.52</v>
      </c>
      <c r="T306" t="n">
        <v>21</v>
      </c>
      <c r="U306" t="n">
        <v>23</v>
      </c>
      <c r="V306" t="n">
        <v>30</v>
      </c>
      <c r="W306" t="n">
        <v>14</v>
      </c>
      <c r="X306" t="n">
        <v>15.59714795008913</v>
      </c>
      <c r="Y306" t="n">
        <v>1</v>
      </c>
      <c r="Z306" t="n">
        <v>1</v>
      </c>
      <c r="AA306" t="n">
        <v>0</v>
      </c>
      <c r="AB306" t="n">
        <v>1</v>
      </c>
      <c r="AC306" t="n">
        <v>3</v>
      </c>
      <c r="AD306" t="n">
        <v>0</v>
      </c>
      <c r="AE306" t="n">
        <v>174960</v>
      </c>
      <c r="AF306" t="n">
        <v>10348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9</v>
      </c>
      <c r="AL306" t="inlineStr">
        <is>
          <t>Miss Glam Jambi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"8809851672471"</f>
        <v/>
      </c>
      <c r="C307" t="inlineStr">
        <is>
          <t>BARENBLISS Lily Makes Luminous Glow Tint 04 Sunset Drop 2.5gr</t>
        </is>
      </c>
      <c r="D307" t="inlineStr">
        <is>
          <t>Miss Glam Jambi</t>
        </is>
      </c>
      <c r="E307" t="n">
        <v>6</v>
      </c>
      <c r="F307" t="n">
        <v>0.1683</v>
      </c>
      <c r="G307" t="n">
        <v>1.65</v>
      </c>
      <c r="H307" t="n">
        <v>3</v>
      </c>
      <c r="I307" t="n">
        <v>11</v>
      </c>
      <c r="J307" t="n">
        <v>3</v>
      </c>
      <c r="K307" t="n">
        <v>0</v>
      </c>
      <c r="L307" t="n">
        <v>58320</v>
      </c>
      <c r="M307" t="n">
        <v>72900</v>
      </c>
      <c r="N307" t="n">
        <v>33</v>
      </c>
      <c r="O307" t="n">
        <v>0.33</v>
      </c>
      <c r="P307" t="n">
        <v>1</v>
      </c>
      <c r="Q307" t="n">
        <v>0.17</v>
      </c>
      <c r="R307" t="n">
        <v>1</v>
      </c>
      <c r="S307" t="n">
        <v>12269.07</v>
      </c>
      <c r="T307" t="n">
        <v>18</v>
      </c>
      <c r="U307" t="n">
        <v>19</v>
      </c>
      <c r="V307" t="n">
        <v>30</v>
      </c>
      <c r="W307" t="n">
        <v>6</v>
      </c>
      <c r="X307" t="n">
        <v>35.650623885918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10348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9</v>
      </c>
      <c r="AL307" t="inlineStr">
        <is>
          <t>Miss Glam Jambi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"8809851672488"</f>
        <v/>
      </c>
      <c r="C308" t="inlineStr">
        <is>
          <t>BARENBLISS Lily Makes Luminous Glow Tint 05 Burn Pomelo 2.5gr</t>
        </is>
      </c>
      <c r="D308" t="inlineStr">
        <is>
          <t>Miss Glam Jambi</t>
        </is>
      </c>
      <c r="E308" t="n">
        <v>27</v>
      </c>
      <c r="F308" t="n">
        <v>0.0495</v>
      </c>
      <c r="G308" t="n">
        <v>0.66</v>
      </c>
      <c r="H308" t="n">
        <v>3</v>
      </c>
      <c r="I308" t="n">
        <v>11</v>
      </c>
      <c r="J308" t="n">
        <v>3</v>
      </c>
      <c r="K308" t="n">
        <v>0</v>
      </c>
      <c r="L308" t="n">
        <v>58320</v>
      </c>
      <c r="M308" t="n">
        <v>72900</v>
      </c>
      <c r="N308" t="n">
        <v>33</v>
      </c>
      <c r="O308" t="n">
        <v>0.33</v>
      </c>
      <c r="P308" t="n">
        <v>1</v>
      </c>
      <c r="Q308" t="n">
        <v>0.07000000000000001</v>
      </c>
      <c r="R308" t="n">
        <v>1</v>
      </c>
      <c r="S308" t="n">
        <v>3608.55</v>
      </c>
      <c r="T308" t="n">
        <v>8</v>
      </c>
      <c r="U308" t="n">
        <v>9</v>
      </c>
      <c r="V308" t="n">
        <v>30</v>
      </c>
      <c r="W308" t="n">
        <v>2</v>
      </c>
      <c r="X308" t="n">
        <v>545.4545454545454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10348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9</v>
      </c>
      <c r="AL308" t="inlineStr">
        <is>
          <t>Miss Glam Jambi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"8809851672495"</f>
        <v/>
      </c>
      <c r="C309" t="inlineStr">
        <is>
          <t>BARENBLISS Lily Makes Luminous Glow Tint 06 Garnet Crush 2.5gr</t>
        </is>
      </c>
      <c r="D309" t="inlineStr">
        <is>
          <t>Miss Glam Jambi</t>
        </is>
      </c>
      <c r="E309" t="n">
        <v>37</v>
      </c>
      <c r="F309" t="n">
        <v>0.09569999999999999</v>
      </c>
      <c r="G309" t="n">
        <v>0.99</v>
      </c>
      <c r="H309" t="n">
        <v>3</v>
      </c>
      <c r="I309" t="n">
        <v>11</v>
      </c>
      <c r="J309" t="n">
        <v>3</v>
      </c>
      <c r="K309" t="n">
        <v>0</v>
      </c>
      <c r="L309" t="n">
        <v>58320</v>
      </c>
      <c r="M309" t="n">
        <v>72900</v>
      </c>
      <c r="N309" t="n">
        <v>33</v>
      </c>
      <c r="O309" t="n">
        <v>0.33</v>
      </c>
      <c r="P309" t="n">
        <v>1</v>
      </c>
      <c r="Q309" t="n">
        <v>0.08</v>
      </c>
      <c r="R309" t="n">
        <v>1</v>
      </c>
      <c r="S309" t="n">
        <v>6976.53</v>
      </c>
      <c r="T309" t="n">
        <v>11</v>
      </c>
      <c r="U309" t="n">
        <v>12</v>
      </c>
      <c r="V309" t="n">
        <v>30</v>
      </c>
      <c r="W309" t="n">
        <v>3</v>
      </c>
      <c r="X309" t="n">
        <v>386.6248693834901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10348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9</v>
      </c>
      <c r="AL309" t="inlineStr">
        <is>
          <t>Miss Glam Jambi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"20100706325"</f>
        <v/>
      </c>
      <c r="C310" t="inlineStr">
        <is>
          <t>BARENBLISS LockLock Hydra Smooth Poreless Primer 20gr</t>
        </is>
      </c>
      <c r="D310" t="inlineStr">
        <is>
          <t>Miss Glam Jambi</t>
        </is>
      </c>
      <c r="E310" t="n">
        <v>12</v>
      </c>
      <c r="F310" t="n">
        <v>0.1287</v>
      </c>
      <c r="G310" t="n">
        <v>0.66</v>
      </c>
      <c r="H310" t="n">
        <v>3</v>
      </c>
      <c r="I310" t="n">
        <v>11</v>
      </c>
      <c r="J310" t="n">
        <v>3</v>
      </c>
      <c r="K310" t="n">
        <v>0</v>
      </c>
      <c r="L310" t="n">
        <v>63200</v>
      </c>
      <c r="M310" t="n">
        <v>79000</v>
      </c>
      <c r="N310" t="n">
        <v>33</v>
      </c>
      <c r="O310" t="n">
        <v>0.33</v>
      </c>
      <c r="P310" t="n">
        <v>1</v>
      </c>
      <c r="Q310" t="n">
        <v>0.08</v>
      </c>
      <c r="R310" t="n">
        <v>3</v>
      </c>
      <c r="S310" t="n">
        <v>10167.3</v>
      </c>
      <c r="T310" t="n">
        <v>7</v>
      </c>
      <c r="U310" t="n">
        <v>8</v>
      </c>
      <c r="V310" t="n">
        <v>30</v>
      </c>
      <c r="W310" t="n">
        <v>4</v>
      </c>
      <c r="X310" t="n">
        <v>93.24009324009323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10348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9</v>
      </c>
      <c r="AL310" t="inlineStr">
        <is>
          <t>Miss Glam Jambi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"8809851671573"</f>
        <v/>
      </c>
      <c r="C311" t="inlineStr">
        <is>
          <t>BARENBLISS Locklook Dewy Setting Spray 50ml</t>
        </is>
      </c>
      <c r="D311" t="inlineStr">
        <is>
          <t>Miss Glam Jambi</t>
        </is>
      </c>
      <c r="E311" t="n">
        <v>1</v>
      </c>
      <c r="F311" t="n">
        <v>0.1452</v>
      </c>
      <c r="G311" t="n">
        <v>0.66</v>
      </c>
      <c r="H311" t="n">
        <v>3</v>
      </c>
      <c r="I311" t="n">
        <v>11</v>
      </c>
      <c r="J311" t="n">
        <v>3</v>
      </c>
      <c r="K311" t="n">
        <v>3</v>
      </c>
      <c r="L311" t="n">
        <v>57520</v>
      </c>
      <c r="M311" t="n">
        <v>71900</v>
      </c>
      <c r="N311" t="n">
        <v>33</v>
      </c>
      <c r="O311" t="n">
        <v>0.33</v>
      </c>
      <c r="P311" t="n">
        <v>1</v>
      </c>
      <c r="Q311" t="n">
        <v>0.19</v>
      </c>
      <c r="R311" t="n">
        <v>1</v>
      </c>
      <c r="S311" t="n">
        <v>10439.88</v>
      </c>
      <c r="T311" t="n">
        <v>7</v>
      </c>
      <c r="U311" t="n">
        <v>8</v>
      </c>
      <c r="V311" t="n">
        <v>30</v>
      </c>
      <c r="W311" t="n">
        <v>5</v>
      </c>
      <c r="X311" t="n">
        <v>6.887052341597796</v>
      </c>
      <c r="Y311" t="n">
        <v>1</v>
      </c>
      <c r="Z311" t="n">
        <v>1</v>
      </c>
      <c r="AA311" t="n">
        <v>0</v>
      </c>
      <c r="AB311" t="n">
        <v>1</v>
      </c>
      <c r="AC311" t="n">
        <v>3</v>
      </c>
      <c r="AD311" t="n">
        <v>0</v>
      </c>
      <c r="AE311" t="n">
        <v>172560</v>
      </c>
      <c r="AF311" t="n">
        <v>10348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9</v>
      </c>
      <c r="AL311" t="inlineStr">
        <is>
          <t>Miss Glam Jambi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"20100706742"</f>
        <v/>
      </c>
      <c r="C312" t="inlineStr">
        <is>
          <t>BARENBLISS Locklook Matte &amp; Blur Primer 20gr</t>
        </is>
      </c>
      <c r="D312" t="inlineStr">
        <is>
          <t>Miss Glam Jambi</t>
        </is>
      </c>
      <c r="E312" t="n">
        <v>20</v>
      </c>
      <c r="F312" t="n">
        <v>0.1782</v>
      </c>
      <c r="G312" t="n">
        <v>0.99</v>
      </c>
      <c r="H312" t="n">
        <v>3</v>
      </c>
      <c r="I312" t="n">
        <v>11</v>
      </c>
      <c r="J312" t="n">
        <v>1</v>
      </c>
      <c r="K312" t="n">
        <v>0</v>
      </c>
      <c r="L312" t="n">
        <v>57844</v>
      </c>
      <c r="M312" t="n">
        <v>79000</v>
      </c>
      <c r="N312" t="n">
        <v>33</v>
      </c>
      <c r="O312" t="n">
        <v>0.33</v>
      </c>
      <c r="P312" t="n">
        <v>1</v>
      </c>
      <c r="Q312" t="n">
        <v>0.07000000000000001</v>
      </c>
      <c r="R312" t="n">
        <v>1</v>
      </c>
      <c r="S312" t="n">
        <v>14077.8</v>
      </c>
      <c r="T312" t="n">
        <v>11</v>
      </c>
      <c r="U312" t="n">
        <v>12</v>
      </c>
      <c r="V312" t="n">
        <v>30</v>
      </c>
      <c r="W312" t="n">
        <v>6</v>
      </c>
      <c r="X312" t="n">
        <v>112.2334455667789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10348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9</v>
      </c>
      <c r="AL312" t="inlineStr">
        <is>
          <t>Miss Glam Jambi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"8809851671566"</f>
        <v/>
      </c>
      <c r="C313" t="inlineStr">
        <is>
          <t>BARENBLISS Locklook Matte Setting Spray 50ml</t>
        </is>
      </c>
      <c r="D313" t="inlineStr">
        <is>
          <t>Miss Glam Jambi</t>
        </is>
      </c>
      <c r="E313" t="n">
        <v>10</v>
      </c>
      <c r="F313" t="n">
        <v>0.1782</v>
      </c>
      <c r="G313" t="n">
        <v>0.99</v>
      </c>
      <c r="H313" t="n">
        <v>3</v>
      </c>
      <c r="I313" t="n">
        <v>11</v>
      </c>
      <c r="J313" t="n">
        <v>3</v>
      </c>
      <c r="K313" t="n">
        <v>0</v>
      </c>
      <c r="L313" t="n">
        <v>57520</v>
      </c>
      <c r="M313" t="n">
        <v>71900</v>
      </c>
      <c r="N313" t="n">
        <v>33</v>
      </c>
      <c r="O313" t="n">
        <v>0.33</v>
      </c>
      <c r="P313" t="n">
        <v>1</v>
      </c>
      <c r="Q313" t="n">
        <v>0.15</v>
      </c>
      <c r="R313" t="n">
        <v>2</v>
      </c>
      <c r="S313" t="n">
        <v>12812.58</v>
      </c>
      <c r="T313" t="n">
        <v>11</v>
      </c>
      <c r="U313" t="n">
        <v>12</v>
      </c>
      <c r="V313" t="n">
        <v>30</v>
      </c>
      <c r="W313" t="n">
        <v>6</v>
      </c>
      <c r="X313" t="n">
        <v>56.11672278338944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10348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9</v>
      </c>
      <c r="AL313" t="inlineStr">
        <is>
          <t>Miss Glam Jambi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"20100706131"</f>
        <v/>
      </c>
      <c r="C314" t="inlineStr">
        <is>
          <t>BARENBLISS Locklook Silky Flawless Tinted Primer 20gr</t>
        </is>
      </c>
      <c r="D314" t="inlineStr">
        <is>
          <t>Miss Glam Jambi</t>
        </is>
      </c>
      <c r="E314" t="n">
        <v>7</v>
      </c>
      <c r="F314" t="n">
        <v>0.1287</v>
      </c>
      <c r="G314" t="n">
        <v>0.66</v>
      </c>
      <c r="H314" t="n">
        <v>3</v>
      </c>
      <c r="I314" t="n">
        <v>11</v>
      </c>
      <c r="J314" t="n">
        <v>3</v>
      </c>
      <c r="K314" t="n">
        <v>0</v>
      </c>
      <c r="L314" t="n">
        <v>63200</v>
      </c>
      <c r="M314" t="n">
        <v>79000</v>
      </c>
      <c r="N314" t="n">
        <v>33</v>
      </c>
      <c r="O314" t="n">
        <v>0.33</v>
      </c>
      <c r="P314" t="n">
        <v>1</v>
      </c>
      <c r="Q314" t="n">
        <v>0.08</v>
      </c>
      <c r="R314" t="n">
        <v>1</v>
      </c>
      <c r="S314" t="n">
        <v>10167.3</v>
      </c>
      <c r="T314" t="n">
        <v>7</v>
      </c>
      <c r="U314" t="n">
        <v>8</v>
      </c>
      <c r="V314" t="n">
        <v>30</v>
      </c>
      <c r="W314" t="n">
        <v>4</v>
      </c>
      <c r="X314" t="n">
        <v>54.39005439005439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10348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9</v>
      </c>
      <c r="AL314" t="inlineStr">
        <is>
          <t>Miss Glam Jambi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"20200466131"</f>
        <v/>
      </c>
      <c r="C315" t="inlineStr">
        <is>
          <t>BARENBLISS Make Me Plushy Eyebrow Duo Natural Gray 0.19gr+1gr</t>
        </is>
      </c>
      <c r="D315" t="inlineStr">
        <is>
          <t>Miss Glam Jambi</t>
        </is>
      </c>
      <c r="E315" t="n">
        <v>7</v>
      </c>
      <c r="F315" t="n">
        <v>0.2409</v>
      </c>
      <c r="G315" t="n">
        <v>0.99</v>
      </c>
      <c r="H315" t="n">
        <v>3</v>
      </c>
      <c r="I315" t="n">
        <v>11</v>
      </c>
      <c r="J315" t="n">
        <v>1</v>
      </c>
      <c r="K315" t="n">
        <v>1</v>
      </c>
      <c r="L315" t="n">
        <v>47920</v>
      </c>
      <c r="M315" t="n">
        <v>59900</v>
      </c>
      <c r="N315" t="n">
        <v>33</v>
      </c>
      <c r="O315" t="n">
        <v>0.33</v>
      </c>
      <c r="P315" t="n">
        <v>1</v>
      </c>
      <c r="Q315" t="n">
        <v>0.49</v>
      </c>
      <c r="R315" t="n">
        <v>2</v>
      </c>
      <c r="S315" t="n">
        <v>14429.91</v>
      </c>
      <c r="T315" t="n">
        <v>11</v>
      </c>
      <c r="U315" t="n">
        <v>12</v>
      </c>
      <c r="V315" t="n">
        <v>30</v>
      </c>
      <c r="W315" t="n">
        <v>8</v>
      </c>
      <c r="X315" t="n">
        <v>29.057700290577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10348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9</v>
      </c>
      <c r="AL315" t="inlineStr">
        <is>
          <t>Miss Glam Jambi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"8809851671429"</f>
        <v/>
      </c>
      <c r="C316" t="inlineStr">
        <is>
          <t>BARENBLISS Mari Mori Make Up Remover Wipes 20pcs</t>
        </is>
      </c>
      <c r="D316" t="inlineStr">
        <is>
          <t>Miss Glam Jambi</t>
        </is>
      </c>
      <c r="E316" t="n">
        <v>0</v>
      </c>
      <c r="F316" t="n">
        <v>0.0726</v>
      </c>
      <c r="G316" t="n">
        <v>0.66</v>
      </c>
      <c r="H316" t="n">
        <v>3</v>
      </c>
      <c r="I316" t="n">
        <v>11</v>
      </c>
      <c r="J316" t="n">
        <v>3</v>
      </c>
      <c r="K316" t="n">
        <v>3</v>
      </c>
      <c r="L316" t="n">
        <v>35920</v>
      </c>
      <c r="M316" t="n">
        <v>44900</v>
      </c>
      <c r="N316" t="n">
        <v>33</v>
      </c>
      <c r="O316" t="n">
        <v>0.33</v>
      </c>
      <c r="P316" t="n">
        <v>1</v>
      </c>
      <c r="Q316" t="n">
        <v>0.13</v>
      </c>
      <c r="R316" t="n">
        <v>3</v>
      </c>
      <c r="S316" t="n">
        <v>3259.74</v>
      </c>
      <c r="T316" t="n">
        <v>8</v>
      </c>
      <c r="U316" t="n">
        <v>9</v>
      </c>
      <c r="V316" t="n">
        <v>30</v>
      </c>
      <c r="W316" t="n">
        <v>3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10348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9</v>
      </c>
      <c r="AL316" t="inlineStr">
        <is>
          <t>Miss Glam Jambi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"10100205112"</f>
        <v/>
      </c>
      <c r="C317" t="inlineStr">
        <is>
          <t>BARENBLISS Mari Mori Pore Cleansing Oil 160ml</t>
        </is>
      </c>
      <c r="D317" t="inlineStr">
        <is>
          <t>Miss Glam Jambi</t>
        </is>
      </c>
      <c r="E317" t="n">
        <v>1</v>
      </c>
      <c r="F317" t="n">
        <v>0.08</v>
      </c>
      <c r="G317" t="n">
        <v>2</v>
      </c>
      <c r="H317" t="n">
        <v>3</v>
      </c>
      <c r="I317" t="n">
        <v>11</v>
      </c>
      <c r="J317" t="n">
        <v>1</v>
      </c>
      <c r="K317" t="n">
        <v>2</v>
      </c>
      <c r="L317" t="n">
        <v>111920</v>
      </c>
      <c r="M317" t="n">
        <v>139900</v>
      </c>
      <c r="N317" t="n">
        <v>33</v>
      </c>
      <c r="O317" t="n">
        <v>0.33</v>
      </c>
      <c r="P317" t="n">
        <v>0</v>
      </c>
      <c r="Q317" t="n">
        <v>0.08</v>
      </c>
      <c r="R317" t="n">
        <v>2</v>
      </c>
      <c r="S317" t="n">
        <v>11192</v>
      </c>
      <c r="T317" t="n">
        <v>22</v>
      </c>
      <c r="U317" t="n">
        <v>23</v>
      </c>
      <c r="V317" t="n">
        <v>30</v>
      </c>
      <c r="W317" t="n">
        <v>3</v>
      </c>
      <c r="X317" t="n">
        <v>12.5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10348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9</v>
      </c>
      <c r="AL317" t="inlineStr">
        <is>
          <t>Miss Glam Jambi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"20100964629"</f>
        <v/>
      </c>
      <c r="C318" t="inlineStr">
        <is>
          <t>BARENBLISS Moist Mochi Paste Ph-Cream Blush P06 Mulberry Mist 4.5gr</t>
        </is>
      </c>
      <c r="D318" t="inlineStr">
        <is>
          <t>Miss Glam Jambi</t>
        </is>
      </c>
      <c r="E318" t="n">
        <v>2</v>
      </c>
      <c r="F318" t="n">
        <v>0.0726</v>
      </c>
      <c r="G318" t="n">
        <v>0.66</v>
      </c>
      <c r="H318" t="n">
        <v>3</v>
      </c>
      <c r="I318" t="n">
        <v>11</v>
      </c>
      <c r="J318" t="n">
        <v>1</v>
      </c>
      <c r="K318" t="n">
        <v>0</v>
      </c>
      <c r="L318" t="n">
        <v>63920</v>
      </c>
      <c r="M318" t="n">
        <v>79900</v>
      </c>
      <c r="N318" t="n">
        <v>33</v>
      </c>
      <c r="O318" t="n">
        <v>0.33</v>
      </c>
      <c r="P318" t="n">
        <v>1</v>
      </c>
      <c r="Q318" t="n">
        <v>0.07000000000000001</v>
      </c>
      <c r="R318" t="n">
        <v>1</v>
      </c>
      <c r="S318" t="n">
        <v>5800.74</v>
      </c>
      <c r="T318" t="n">
        <v>8</v>
      </c>
      <c r="U318" t="n">
        <v>9</v>
      </c>
      <c r="V318" t="n">
        <v>30</v>
      </c>
      <c r="W318" t="n">
        <v>3</v>
      </c>
      <c r="X318" t="n">
        <v>27.54820936639118</v>
      </c>
      <c r="Y318" t="n">
        <v>1</v>
      </c>
      <c r="Z318" t="n">
        <v>1</v>
      </c>
      <c r="AA318" t="n">
        <v>0</v>
      </c>
      <c r="AB318" t="n">
        <v>1</v>
      </c>
      <c r="AC318" t="n">
        <v>1</v>
      </c>
      <c r="AD318" t="n">
        <v>0</v>
      </c>
      <c r="AE318" t="n">
        <v>63920</v>
      </c>
      <c r="AF318" t="n">
        <v>10348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9</v>
      </c>
      <c r="AL318" t="inlineStr">
        <is>
          <t>Miss Glam Jambi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"8809851672884"</f>
        <v/>
      </c>
      <c r="C319" t="inlineStr">
        <is>
          <t>BARENBLISS Moist Mochi Paste Powder Blush 01 Berry Lava  4,5gr</t>
        </is>
      </c>
      <c r="D319" t="inlineStr">
        <is>
          <t>Miss Glam Jambi</t>
        </is>
      </c>
      <c r="E319" t="n">
        <v>4</v>
      </c>
      <c r="F319" t="n">
        <v>0.1551</v>
      </c>
      <c r="G319" t="n">
        <v>0.99</v>
      </c>
      <c r="H319" t="n">
        <v>3</v>
      </c>
      <c r="I319" t="n">
        <v>11</v>
      </c>
      <c r="J319" t="n">
        <v>3</v>
      </c>
      <c r="K319" t="n">
        <v>3</v>
      </c>
      <c r="L319" t="n">
        <v>63412</v>
      </c>
      <c r="M319" t="n">
        <v>79900</v>
      </c>
      <c r="N319" t="n">
        <v>33</v>
      </c>
      <c r="O319" t="n">
        <v>0.33</v>
      </c>
      <c r="P319" t="n">
        <v>1</v>
      </c>
      <c r="Q319" t="n">
        <v>0.2</v>
      </c>
      <c r="R319" t="n">
        <v>1</v>
      </c>
      <c r="S319" t="n">
        <v>12392.49</v>
      </c>
      <c r="T319" t="n">
        <v>11</v>
      </c>
      <c r="U319" t="n">
        <v>12</v>
      </c>
      <c r="V319" t="n">
        <v>30</v>
      </c>
      <c r="W319" t="n">
        <v>5</v>
      </c>
      <c r="X319" t="n">
        <v>25.78981302385558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10348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9</v>
      </c>
      <c r="AL319" t="inlineStr">
        <is>
          <t>Miss Glam Jambi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"8809851672891"</f>
        <v/>
      </c>
      <c r="C320" t="inlineStr">
        <is>
          <t>BARENBLISS Moist Mochi Paste Powder Blush 02 Peachy Beach 4,5gr</t>
        </is>
      </c>
      <c r="D320" t="inlineStr">
        <is>
          <t>Miss Glam Jambi</t>
        </is>
      </c>
      <c r="E320" t="n">
        <v>15</v>
      </c>
      <c r="F320" t="n">
        <v>0.09569999999999999</v>
      </c>
      <c r="G320" t="n">
        <v>1.32</v>
      </c>
      <c r="H320" t="n">
        <v>3</v>
      </c>
      <c r="I320" t="n">
        <v>11</v>
      </c>
      <c r="J320" t="n">
        <v>3</v>
      </c>
      <c r="K320" t="n">
        <v>0</v>
      </c>
      <c r="L320" t="n">
        <v>63920</v>
      </c>
      <c r="M320" t="n">
        <v>79900</v>
      </c>
      <c r="N320" t="n">
        <v>33</v>
      </c>
      <c r="O320" t="n">
        <v>0.33</v>
      </c>
      <c r="P320" t="n">
        <v>1</v>
      </c>
      <c r="Q320" t="n">
        <v>0.15</v>
      </c>
      <c r="R320" t="n">
        <v>2</v>
      </c>
      <c r="S320" t="n">
        <v>7646.429999999999</v>
      </c>
      <c r="T320" t="n">
        <v>15</v>
      </c>
      <c r="U320" t="n">
        <v>16</v>
      </c>
      <c r="V320" t="n">
        <v>30</v>
      </c>
      <c r="W320" t="n">
        <v>3</v>
      </c>
      <c r="X320" t="n">
        <v>156.7398119122257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10348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9</v>
      </c>
      <c r="AL320" t="inlineStr">
        <is>
          <t>Miss Glam Jambi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"8809851672907"</f>
        <v/>
      </c>
      <c r="C321" t="inlineStr">
        <is>
          <t>BARENBLISS Moist Mochi Paste Powder Blush 03 Sunset Mango 4,5gr</t>
        </is>
      </c>
      <c r="D321" t="inlineStr">
        <is>
          <t>Miss Glam Jambi</t>
        </is>
      </c>
      <c r="E321" t="n">
        <v>5</v>
      </c>
      <c r="F321" t="n">
        <v>0.3366</v>
      </c>
      <c r="G321" t="n">
        <v>1.65</v>
      </c>
      <c r="H321" t="n">
        <v>3</v>
      </c>
      <c r="I321" t="n">
        <v>11</v>
      </c>
      <c r="J321" t="n">
        <v>3</v>
      </c>
      <c r="K321" t="n">
        <v>5</v>
      </c>
      <c r="L321" t="n">
        <v>63920</v>
      </c>
      <c r="M321" t="n">
        <v>79900</v>
      </c>
      <c r="N321" t="n">
        <v>33</v>
      </c>
      <c r="O321" t="n">
        <v>0.33</v>
      </c>
      <c r="P321" t="n">
        <v>1</v>
      </c>
      <c r="Q321" t="n">
        <v>0.2</v>
      </c>
      <c r="R321" t="n">
        <v>1</v>
      </c>
      <c r="S321" t="n">
        <v>26894.34</v>
      </c>
      <c r="T321" t="n">
        <v>18</v>
      </c>
      <c r="U321" t="n">
        <v>20</v>
      </c>
      <c r="V321" t="n">
        <v>30</v>
      </c>
      <c r="W321" t="n">
        <v>11</v>
      </c>
      <c r="X321" t="n">
        <v>14.8544266191325</v>
      </c>
      <c r="Y321" t="n">
        <v>1</v>
      </c>
      <c r="Z321" t="n">
        <v>1</v>
      </c>
      <c r="AA321" t="n">
        <v>0</v>
      </c>
      <c r="AB321" t="n">
        <v>1</v>
      </c>
      <c r="AC321" t="n">
        <v>3</v>
      </c>
      <c r="AD321" t="n">
        <v>0</v>
      </c>
      <c r="AE321" t="n">
        <v>191760</v>
      </c>
      <c r="AF321" t="n">
        <v>10348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9</v>
      </c>
      <c r="AL321" t="inlineStr">
        <is>
          <t>Miss Glam Jambi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"20100967543"</f>
        <v/>
      </c>
      <c r="C322" t="inlineStr">
        <is>
          <t>BARENBLISS Moist Mochi Paste Powder Blush B10 Cosmic Grape 4.5gr</t>
        </is>
      </c>
      <c r="D322" t="inlineStr">
        <is>
          <t>Miss Glam Jambi</t>
        </is>
      </c>
      <c r="E322" t="n">
        <v>11</v>
      </c>
      <c r="F322" t="n">
        <v>0.02</v>
      </c>
      <c r="G322" t="n">
        <v>1</v>
      </c>
      <c r="H322" t="n">
        <v>3</v>
      </c>
      <c r="I322" t="n">
        <v>11</v>
      </c>
      <c r="J322" t="n">
        <v>1</v>
      </c>
      <c r="K322" t="n">
        <v>0</v>
      </c>
      <c r="L322" t="n">
        <v>63920</v>
      </c>
      <c r="M322" t="n">
        <v>79900</v>
      </c>
      <c r="N322" t="n">
        <v>33</v>
      </c>
      <c r="O322" t="n">
        <v>0.33</v>
      </c>
      <c r="P322" t="n">
        <v>0</v>
      </c>
      <c r="Q322" t="n">
        <v>0.02</v>
      </c>
      <c r="R322" t="n">
        <v>1</v>
      </c>
      <c r="S322" t="n">
        <v>1598</v>
      </c>
      <c r="T322" t="n">
        <v>11</v>
      </c>
      <c r="U322" t="n">
        <v>12</v>
      </c>
      <c r="V322" t="n">
        <v>30</v>
      </c>
      <c r="W322" t="n">
        <v>1</v>
      </c>
      <c r="X322" t="n">
        <v>550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10348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9</v>
      </c>
      <c r="AL322" t="inlineStr">
        <is>
          <t>Miss Glam Jambi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"20100965815"</f>
        <v/>
      </c>
      <c r="C323" t="inlineStr">
        <is>
          <t>BARENBLISS Moist Mochi Paste Powder Blush B12 Fig Delight 4.5gr</t>
        </is>
      </c>
      <c r="D323" t="inlineStr">
        <is>
          <t>Miss Glam Jambi</t>
        </is>
      </c>
      <c r="E323" t="n">
        <v>9</v>
      </c>
      <c r="F323" t="n">
        <v>0.08910000000000001</v>
      </c>
      <c r="G323" t="n">
        <v>1.32</v>
      </c>
      <c r="H323" t="n">
        <v>3</v>
      </c>
      <c r="I323" t="n">
        <v>11</v>
      </c>
      <c r="J323" t="n">
        <v>1</v>
      </c>
      <c r="K323" t="n">
        <v>0</v>
      </c>
      <c r="L323" t="n">
        <v>63920</v>
      </c>
      <c r="M323" t="n">
        <v>79900</v>
      </c>
      <c r="N323" t="n">
        <v>33</v>
      </c>
      <c r="O323" t="n">
        <v>0.33</v>
      </c>
      <c r="P323" t="n">
        <v>1</v>
      </c>
      <c r="Q323" t="n">
        <v>0.14</v>
      </c>
      <c r="R323" t="n">
        <v>3</v>
      </c>
      <c r="S323" t="n">
        <v>7119.090000000001</v>
      </c>
      <c r="T323" t="n">
        <v>15</v>
      </c>
      <c r="U323" t="n">
        <v>16</v>
      </c>
      <c r="V323" t="n">
        <v>30</v>
      </c>
      <c r="W323" t="n">
        <v>3</v>
      </c>
      <c r="X323" t="n">
        <v>101.010101010101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10348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9</v>
      </c>
      <c r="AL323" t="inlineStr">
        <is>
          <t>Miss Glam Jambi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"20100965902"</f>
        <v/>
      </c>
      <c r="C324" t="inlineStr">
        <is>
          <t>BARENBLISS Moist Mochi Paste Powder Blush B25 Sunkist Flush 4.5gr</t>
        </is>
      </c>
      <c r="D324" t="inlineStr">
        <is>
          <t>Miss Glam Jambi</t>
        </is>
      </c>
      <c r="E324" t="n">
        <v>3</v>
      </c>
      <c r="F324" t="n">
        <v>0.08910000000000001</v>
      </c>
      <c r="G324" t="n">
        <v>1.32</v>
      </c>
      <c r="H324" t="n">
        <v>3</v>
      </c>
      <c r="I324" t="n">
        <v>11</v>
      </c>
      <c r="J324" t="n">
        <v>1</v>
      </c>
      <c r="K324" t="n">
        <v>0</v>
      </c>
      <c r="L324" t="n">
        <v>63920</v>
      </c>
      <c r="M324" t="n">
        <v>79900</v>
      </c>
      <c r="N324" t="n">
        <v>33</v>
      </c>
      <c r="O324" t="n">
        <v>0.33</v>
      </c>
      <c r="P324" t="n">
        <v>1</v>
      </c>
      <c r="Q324" t="n">
        <v>0.08</v>
      </c>
      <c r="R324" t="n">
        <v>3</v>
      </c>
      <c r="S324" t="n">
        <v>7119.090000000001</v>
      </c>
      <c r="T324" t="n">
        <v>15</v>
      </c>
      <c r="U324" t="n">
        <v>16</v>
      </c>
      <c r="V324" t="n">
        <v>30</v>
      </c>
      <c r="W324" t="n">
        <v>3</v>
      </c>
      <c r="X324" t="n">
        <v>33.67003367003367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10348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9</v>
      </c>
      <c r="AL324" t="inlineStr">
        <is>
          <t>Miss Glam Jambi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"20101114306"</f>
        <v/>
      </c>
      <c r="C325" t="inlineStr">
        <is>
          <t>BARENBLISS Moist Mochi Paste Powder Highlighter H21 Cream Soda 4.5gr</t>
        </is>
      </c>
      <c r="D325" t="inlineStr">
        <is>
          <t>Miss Glam Jambi</t>
        </is>
      </c>
      <c r="E325" t="n">
        <v>0</v>
      </c>
      <c r="F325" t="n">
        <v>0.0396</v>
      </c>
      <c r="G325" t="n">
        <v>0.99</v>
      </c>
      <c r="H325" t="n">
        <v>3</v>
      </c>
      <c r="I325" t="n">
        <v>11</v>
      </c>
      <c r="J325" t="n">
        <v>1</v>
      </c>
      <c r="K325" t="n">
        <v>1</v>
      </c>
      <c r="L325" t="n">
        <v>63920</v>
      </c>
      <c r="M325" t="n">
        <v>79900</v>
      </c>
      <c r="N325" t="n">
        <v>33</v>
      </c>
      <c r="O325" t="n">
        <v>0.33</v>
      </c>
      <c r="P325" t="n">
        <v>1</v>
      </c>
      <c r="Q325" t="n">
        <v>0.05</v>
      </c>
      <c r="R325" t="n">
        <v>1</v>
      </c>
      <c r="S325" t="n">
        <v>3164.04</v>
      </c>
      <c r="T325" t="n">
        <v>11</v>
      </c>
      <c r="U325" t="n">
        <v>12</v>
      </c>
      <c r="V325" t="n">
        <v>30</v>
      </c>
      <c r="W325" t="n">
        <v>2</v>
      </c>
      <c r="X325" t="n">
        <v>0</v>
      </c>
      <c r="Y325" t="n">
        <v>1</v>
      </c>
      <c r="Z325" t="n">
        <v>1</v>
      </c>
      <c r="AA325" t="n">
        <v>0</v>
      </c>
      <c r="AB325" t="n">
        <v>1</v>
      </c>
      <c r="AC325" t="n">
        <v>1</v>
      </c>
      <c r="AD325" t="n">
        <v>0</v>
      </c>
      <c r="AE325" t="n">
        <v>63920</v>
      </c>
      <c r="AF325" t="n">
        <v>10348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9</v>
      </c>
      <c r="AL325" t="inlineStr">
        <is>
          <t>Miss Glam Jambi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"20101114435"</f>
        <v/>
      </c>
      <c r="C326" t="inlineStr">
        <is>
          <t>BARENBLISS Moist Mochi Paste Powder Highlighter H56 Amber Pear 4.5gr</t>
        </is>
      </c>
      <c r="D326" t="inlineStr">
        <is>
          <t>Miss Glam Jambi</t>
        </is>
      </c>
      <c r="E326" t="n">
        <v>1</v>
      </c>
      <c r="F326" t="n">
        <v>0.0396</v>
      </c>
      <c r="G326" t="n">
        <v>0.99</v>
      </c>
      <c r="H326" t="n">
        <v>3</v>
      </c>
      <c r="I326" t="n">
        <v>11</v>
      </c>
      <c r="J326" t="n">
        <v>1</v>
      </c>
      <c r="K326" t="n">
        <v>1</v>
      </c>
      <c r="L326" t="n">
        <v>63920</v>
      </c>
      <c r="M326" t="n">
        <v>79900</v>
      </c>
      <c r="N326" t="n">
        <v>33</v>
      </c>
      <c r="O326" t="n">
        <v>0.33</v>
      </c>
      <c r="P326" t="n">
        <v>1</v>
      </c>
      <c r="Q326" t="n">
        <v>0.07000000000000001</v>
      </c>
      <c r="R326" t="n">
        <v>1</v>
      </c>
      <c r="S326" t="n">
        <v>3164.04</v>
      </c>
      <c r="T326" t="n">
        <v>11</v>
      </c>
      <c r="U326" t="n">
        <v>12</v>
      </c>
      <c r="V326" t="n">
        <v>30</v>
      </c>
      <c r="W326" t="n">
        <v>2</v>
      </c>
      <c r="X326" t="n">
        <v>25.25252525252525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10348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9</v>
      </c>
      <c r="AL326" t="inlineStr">
        <is>
          <t>Miss Glam Jambi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"20101114517"</f>
        <v/>
      </c>
      <c r="C327" t="inlineStr">
        <is>
          <t>BARENBLISS Moist Mochi Paste Powder Highlighter H99 Cranberry Crush 4.5gr</t>
        </is>
      </c>
      <c r="D327" t="inlineStr">
        <is>
          <t>Miss Glam Jambi</t>
        </is>
      </c>
      <c r="E327" t="n">
        <v>0</v>
      </c>
      <c r="F327" t="n">
        <v>0.0231</v>
      </c>
      <c r="G327" t="n">
        <v>0.33</v>
      </c>
      <c r="H327" t="n">
        <v>3</v>
      </c>
      <c r="I327" t="n">
        <v>11</v>
      </c>
      <c r="J327" t="n">
        <v>1</v>
      </c>
      <c r="K327" t="n">
        <v>0</v>
      </c>
      <c r="L327" t="n">
        <v>63920</v>
      </c>
      <c r="M327" t="n">
        <v>79900</v>
      </c>
      <c r="N327" t="n">
        <v>33</v>
      </c>
      <c r="O327" t="n">
        <v>0.33</v>
      </c>
      <c r="P327" t="n">
        <v>1</v>
      </c>
      <c r="Q327" t="n">
        <v>0.07000000000000001</v>
      </c>
      <c r="R327" t="n">
        <v>1</v>
      </c>
      <c r="S327" t="n">
        <v>1845.69</v>
      </c>
      <c r="T327" t="n">
        <v>4</v>
      </c>
      <c r="U327" t="n">
        <v>5</v>
      </c>
      <c r="V327" t="n">
        <v>30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n">
        <v>0</v>
      </c>
      <c r="AC327" t="n">
        <v>0</v>
      </c>
      <c r="AD327" t="n">
        <v>63920</v>
      </c>
      <c r="AE327" t="n">
        <v>0</v>
      </c>
      <c r="AF327" t="n">
        <v>10348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9</v>
      </c>
      <c r="AL327" t="inlineStr">
        <is>
          <t>Miss Glam Jambi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"8809851672501"</f>
        <v/>
      </c>
      <c r="C328" t="inlineStr">
        <is>
          <t>BARENBLISS My  Uv Sunscreen Serum spf 50 30gr</t>
        </is>
      </c>
      <c r="D328" t="inlineStr">
        <is>
          <t>Miss Glam Jambi</t>
        </is>
      </c>
      <c r="E328" t="n">
        <v>7</v>
      </c>
      <c r="F328" t="n">
        <v>0.0396</v>
      </c>
      <c r="G328" t="n">
        <v>0.66</v>
      </c>
      <c r="H328" t="n">
        <v>3</v>
      </c>
      <c r="I328" t="n">
        <v>11</v>
      </c>
      <c r="J328" t="n">
        <v>3</v>
      </c>
      <c r="K328" t="n">
        <v>0</v>
      </c>
      <c r="L328" t="n">
        <v>71920</v>
      </c>
      <c r="M328" t="n">
        <v>89900</v>
      </c>
      <c r="N328" t="n">
        <v>33</v>
      </c>
      <c r="O328" t="n">
        <v>0.33</v>
      </c>
      <c r="P328" t="n">
        <v>1</v>
      </c>
      <c r="Q328" t="n">
        <v>0.08</v>
      </c>
      <c r="R328" t="n">
        <v>2</v>
      </c>
      <c r="S328" t="n">
        <v>3560.04</v>
      </c>
      <c r="T328" t="n">
        <v>8</v>
      </c>
      <c r="U328" t="n">
        <v>9</v>
      </c>
      <c r="V328" t="n">
        <v>30</v>
      </c>
      <c r="W328" t="n">
        <v>2</v>
      </c>
      <c r="X328" t="n">
        <v>176.7676767676768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10348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9</v>
      </c>
      <c r="AL328" t="inlineStr">
        <is>
          <t>Miss Glam Jambi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"8809851672426"</f>
        <v/>
      </c>
      <c r="C329" t="inlineStr">
        <is>
          <t>BARENBLISS My Uv Amor Sunscreen Spray SPF 50 Pa +++ 100ml</t>
        </is>
      </c>
      <c r="D329" t="inlineStr">
        <is>
          <t>Miss Glam Jambi</t>
        </is>
      </c>
      <c r="E329" t="n">
        <v>6</v>
      </c>
      <c r="F329" t="n">
        <v>0.006600000000000001</v>
      </c>
      <c r="G329" t="n">
        <v>0.33</v>
      </c>
      <c r="H329" t="n">
        <v>3</v>
      </c>
      <c r="I329" t="n">
        <v>11</v>
      </c>
      <c r="J329" t="n">
        <v>3</v>
      </c>
      <c r="K329" t="n">
        <v>0</v>
      </c>
      <c r="L329" t="n">
        <v>95920</v>
      </c>
      <c r="M329" t="n">
        <v>119900</v>
      </c>
      <c r="N329" t="n">
        <v>33</v>
      </c>
      <c r="O329" t="n">
        <v>0.33</v>
      </c>
      <c r="P329" t="n">
        <v>1</v>
      </c>
      <c r="Q329" t="n">
        <v>0.05</v>
      </c>
      <c r="R329" t="n">
        <v>1</v>
      </c>
      <c r="S329" t="n">
        <v>791.3400000000001</v>
      </c>
      <c r="T329" t="n">
        <v>4</v>
      </c>
      <c r="U329" t="n">
        <v>5</v>
      </c>
      <c r="V329" t="n">
        <v>30</v>
      </c>
      <c r="W329" t="n">
        <v>1</v>
      </c>
      <c r="X329" t="n">
        <v>909.090909090909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10348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9</v>
      </c>
      <c r="AL329" t="inlineStr">
        <is>
          <t>Miss Glam Jambi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"8809851670910"</f>
        <v/>
      </c>
      <c r="C330" t="inlineStr">
        <is>
          <t>BARENBLISS No Gravity Transferproof Matte Lipstick 01 Mercury Peach 3gr</t>
        </is>
      </c>
      <c r="D330" t="inlineStr">
        <is>
          <t>Miss Glam Jambi</t>
        </is>
      </c>
      <c r="E330" t="n">
        <v>11</v>
      </c>
      <c r="F330" t="n">
        <v>0.2112</v>
      </c>
      <c r="G330" t="n">
        <v>0.99</v>
      </c>
      <c r="H330" t="n">
        <v>3</v>
      </c>
      <c r="I330" t="n">
        <v>11</v>
      </c>
      <c r="J330" t="n">
        <v>3</v>
      </c>
      <c r="K330" t="n">
        <v>0</v>
      </c>
      <c r="L330" t="n">
        <v>71920</v>
      </c>
      <c r="M330" t="n">
        <v>89900</v>
      </c>
      <c r="N330" t="n">
        <v>33</v>
      </c>
      <c r="O330" t="n">
        <v>0.33</v>
      </c>
      <c r="P330" t="n">
        <v>1</v>
      </c>
      <c r="Q330" t="n">
        <v>0.07000000000000001</v>
      </c>
      <c r="R330" t="n">
        <v>1</v>
      </c>
      <c r="S330" t="n">
        <v>18986.88</v>
      </c>
      <c r="T330" t="n">
        <v>11</v>
      </c>
      <c r="U330" t="n">
        <v>12</v>
      </c>
      <c r="V330" t="n">
        <v>30</v>
      </c>
      <c r="W330" t="n">
        <v>7</v>
      </c>
      <c r="X330" t="n">
        <v>52.08333333333333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10348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9</v>
      </c>
      <c r="AL330" t="inlineStr">
        <is>
          <t>Miss Glam Jambi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"8809851670927"</f>
        <v/>
      </c>
      <c r="C331" t="inlineStr">
        <is>
          <t>BARENBLISS No Gravity Transferproof Matte Lipstick 02 Saturn Nude 3gr</t>
        </is>
      </c>
      <c r="D331" t="inlineStr">
        <is>
          <t>Miss Glam Jambi</t>
        </is>
      </c>
      <c r="E331" t="n">
        <v>31</v>
      </c>
      <c r="F331" t="n">
        <v>0.396</v>
      </c>
      <c r="G331" t="n">
        <v>1.65</v>
      </c>
      <c r="H331" t="n">
        <v>3</v>
      </c>
      <c r="I331" t="n">
        <v>11</v>
      </c>
      <c r="J331" t="n">
        <v>3</v>
      </c>
      <c r="K331" t="n">
        <v>0</v>
      </c>
      <c r="L331" t="n">
        <v>71920</v>
      </c>
      <c r="M331" t="n">
        <v>89900</v>
      </c>
      <c r="N331" t="n">
        <v>33</v>
      </c>
      <c r="O331" t="n">
        <v>0.33</v>
      </c>
      <c r="P331" t="n">
        <v>1</v>
      </c>
      <c r="Q331" t="n">
        <v>0.39</v>
      </c>
      <c r="R331" t="n">
        <v>5</v>
      </c>
      <c r="S331" t="n">
        <v>35600.4</v>
      </c>
      <c r="T331" t="n">
        <v>17</v>
      </c>
      <c r="U331" t="n">
        <v>19</v>
      </c>
      <c r="V331" t="n">
        <v>30</v>
      </c>
      <c r="W331" t="n">
        <v>12</v>
      </c>
      <c r="X331" t="n">
        <v>78.28282828282828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10348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9</v>
      </c>
      <c r="AL331" t="inlineStr">
        <is>
          <t>Miss Glam Jambi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"8809851670934"</f>
        <v/>
      </c>
      <c r="C332" t="inlineStr">
        <is>
          <t>BARENBLISS No Gravity Transferproof Matte Lipstick 03 Venus Coral 3gr</t>
        </is>
      </c>
      <c r="D332" t="inlineStr">
        <is>
          <t>Miss Glam Jambi</t>
        </is>
      </c>
      <c r="E332" t="n">
        <v>9</v>
      </c>
      <c r="F332" t="n">
        <v>0.5049</v>
      </c>
      <c r="G332" t="n">
        <v>1.65</v>
      </c>
      <c r="H332" t="n">
        <v>3</v>
      </c>
      <c r="I332" t="n">
        <v>11</v>
      </c>
      <c r="J332" t="n">
        <v>3</v>
      </c>
      <c r="K332" t="n">
        <v>7</v>
      </c>
      <c r="L332" t="n">
        <v>71920</v>
      </c>
      <c r="M332" t="n">
        <v>89900</v>
      </c>
      <c r="N332" t="n">
        <v>33</v>
      </c>
      <c r="O332" t="n">
        <v>0.33</v>
      </c>
      <c r="P332" t="n">
        <v>1</v>
      </c>
      <c r="Q332" t="n">
        <v>0.22</v>
      </c>
      <c r="R332" t="n">
        <v>2</v>
      </c>
      <c r="S332" t="n">
        <v>45390.51</v>
      </c>
      <c r="T332" t="n">
        <v>17</v>
      </c>
      <c r="U332" t="n">
        <v>19</v>
      </c>
      <c r="V332" t="n">
        <v>30</v>
      </c>
      <c r="W332" t="n">
        <v>16</v>
      </c>
      <c r="X332" t="n">
        <v>17.825311942959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10348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9</v>
      </c>
      <c r="AL332" t="inlineStr">
        <is>
          <t>Miss Glam Jambi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"8809851670941"</f>
        <v/>
      </c>
      <c r="C333" t="inlineStr">
        <is>
          <t>BARENBLISS No Gravity Transferproof Matte Lipstick 04 Jupiter Ruby 3gr</t>
        </is>
      </c>
      <c r="D333" t="inlineStr">
        <is>
          <t>Miss Glam Jambi</t>
        </is>
      </c>
      <c r="E333" t="n">
        <v>13</v>
      </c>
      <c r="F333" t="n">
        <v>0.3762</v>
      </c>
      <c r="G333" t="n">
        <v>1.32</v>
      </c>
      <c r="H333" t="n">
        <v>3</v>
      </c>
      <c r="I333" t="n">
        <v>11</v>
      </c>
      <c r="J333" t="n">
        <v>3</v>
      </c>
      <c r="K333" t="n">
        <v>0</v>
      </c>
      <c r="L333" t="n">
        <v>64240</v>
      </c>
      <c r="M333" t="n">
        <v>89900</v>
      </c>
      <c r="N333" t="n">
        <v>33</v>
      </c>
      <c r="O333" t="n">
        <v>0.33</v>
      </c>
      <c r="P333" t="n">
        <v>1</v>
      </c>
      <c r="Q333" t="n">
        <v>0.19</v>
      </c>
      <c r="R333" t="n">
        <v>1</v>
      </c>
      <c r="S333" t="n">
        <v>33820.38</v>
      </c>
      <c r="T333" t="n">
        <v>14</v>
      </c>
      <c r="U333" t="n">
        <v>16</v>
      </c>
      <c r="V333" t="n">
        <v>30</v>
      </c>
      <c r="W333" t="n">
        <v>12</v>
      </c>
      <c r="X333" t="n">
        <v>34.55608718766614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10348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9</v>
      </c>
      <c r="AL333" t="inlineStr">
        <is>
          <t>Miss Glam Jambi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"8809851672952"</f>
        <v/>
      </c>
      <c r="C334" t="inlineStr">
        <is>
          <t>BARENBLISS No Gravity Transferproof Matte Lipstick 08 Earth Berry 3gr</t>
        </is>
      </c>
      <c r="D334" t="inlineStr">
        <is>
          <t>Miss Glam Jambi</t>
        </is>
      </c>
      <c r="E334" t="n">
        <v>1</v>
      </c>
      <c r="F334" t="n">
        <v>0.0231</v>
      </c>
      <c r="G334" t="n">
        <v>0.66</v>
      </c>
      <c r="H334" t="n">
        <v>3</v>
      </c>
      <c r="I334" t="n">
        <v>11</v>
      </c>
      <c r="J334" t="n">
        <v>3</v>
      </c>
      <c r="K334" t="n">
        <v>0</v>
      </c>
      <c r="L334" t="n">
        <v>71920</v>
      </c>
      <c r="M334" t="n">
        <v>89900</v>
      </c>
      <c r="N334" t="n">
        <v>33</v>
      </c>
      <c r="O334" t="n">
        <v>0.33</v>
      </c>
      <c r="P334" t="n">
        <v>1</v>
      </c>
      <c r="Q334" t="n">
        <v>0.05</v>
      </c>
      <c r="R334" t="n">
        <v>1</v>
      </c>
      <c r="S334" t="n">
        <v>2076.69</v>
      </c>
      <c r="T334" t="n">
        <v>8</v>
      </c>
      <c r="U334" t="n">
        <v>9</v>
      </c>
      <c r="V334" t="n">
        <v>30</v>
      </c>
      <c r="W334" t="n">
        <v>1</v>
      </c>
      <c r="X334" t="n">
        <v>43.29004329004329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10348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9</v>
      </c>
      <c r="AL334" t="inlineStr">
        <is>
          <t>Miss Glam Jambi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"8997227897617"</f>
        <v/>
      </c>
      <c r="C335" t="inlineStr">
        <is>
          <t>BARENBLISS Peach Makes Perfect Lip Tint 01 Paradise Found</t>
        </is>
      </c>
      <c r="D335" t="inlineStr">
        <is>
          <t>Miss Glam Jambi</t>
        </is>
      </c>
      <c r="E335" t="n">
        <v>50</v>
      </c>
      <c r="F335" t="n">
        <v>0.2112</v>
      </c>
      <c r="G335" t="n">
        <v>0.99</v>
      </c>
      <c r="H335" t="n">
        <v>3</v>
      </c>
      <c r="I335" t="n">
        <v>11</v>
      </c>
      <c r="J335" t="n">
        <v>3</v>
      </c>
      <c r="K335" t="n">
        <v>0</v>
      </c>
      <c r="L335" t="n">
        <v>52488</v>
      </c>
      <c r="M335" t="n">
        <v>72900</v>
      </c>
      <c r="N335" t="n">
        <v>33</v>
      </c>
      <c r="O335" t="n">
        <v>0.33</v>
      </c>
      <c r="P335" t="n">
        <v>1</v>
      </c>
      <c r="Q335" t="n">
        <v>0.29</v>
      </c>
      <c r="R335" t="n">
        <v>2</v>
      </c>
      <c r="S335" t="n">
        <v>15396.48</v>
      </c>
      <c r="T335" t="n">
        <v>11</v>
      </c>
      <c r="U335" t="n">
        <v>12</v>
      </c>
      <c r="V335" t="n">
        <v>30</v>
      </c>
      <c r="W335" t="n">
        <v>7</v>
      </c>
      <c r="X335" t="n">
        <v>236.7424242424242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10348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9</v>
      </c>
      <c r="AL335" t="inlineStr">
        <is>
          <t>Miss Glam Jambi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"8997227897624"</f>
        <v/>
      </c>
      <c r="C336" t="inlineStr">
        <is>
          <t>BARENBLISS Peach Makes Perfect Lip Tint 02 Pretty Please</t>
        </is>
      </c>
      <c r="D336" t="inlineStr">
        <is>
          <t>Miss Glam Jambi</t>
        </is>
      </c>
      <c r="E336" t="n">
        <v>0</v>
      </c>
      <c r="F336" t="n">
        <v>0.1287</v>
      </c>
      <c r="G336" t="n">
        <v>0.66</v>
      </c>
      <c r="H336" t="n">
        <v>3</v>
      </c>
      <c r="I336" t="n">
        <v>11</v>
      </c>
      <c r="J336" t="n">
        <v>3</v>
      </c>
      <c r="K336" t="n">
        <v>3</v>
      </c>
      <c r="L336" t="n">
        <v>52488</v>
      </c>
      <c r="M336" t="n">
        <v>72900</v>
      </c>
      <c r="N336" t="n">
        <v>33</v>
      </c>
      <c r="O336" t="n">
        <v>0.33</v>
      </c>
      <c r="P336" t="n">
        <v>1</v>
      </c>
      <c r="Q336" t="n">
        <v>0.43</v>
      </c>
      <c r="R336" t="n">
        <v>2</v>
      </c>
      <c r="S336" t="n">
        <v>9382.230000000001</v>
      </c>
      <c r="T336" t="n">
        <v>7</v>
      </c>
      <c r="U336" t="n">
        <v>8</v>
      </c>
      <c r="V336" t="n">
        <v>30</v>
      </c>
      <c r="W336" t="n">
        <v>4</v>
      </c>
      <c r="X336" t="n">
        <v>0</v>
      </c>
      <c r="Y336" t="n">
        <v>1</v>
      </c>
      <c r="Z336" t="n">
        <v>1</v>
      </c>
      <c r="AA336" t="n">
        <v>1</v>
      </c>
      <c r="AB336" t="n">
        <v>0</v>
      </c>
      <c r="AC336" t="n">
        <v>0</v>
      </c>
      <c r="AD336" t="n">
        <v>52488</v>
      </c>
      <c r="AE336" t="n">
        <v>0</v>
      </c>
      <c r="AF336" t="n">
        <v>10348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9</v>
      </c>
      <c r="AL336" t="inlineStr">
        <is>
          <t>Miss Glam Jambi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"8997227897631"</f>
        <v/>
      </c>
      <c r="C337" t="inlineStr">
        <is>
          <t>BARENBLISS Peach Makes Perfect Lip Tint 03 Take Change</t>
        </is>
      </c>
      <c r="D337" t="inlineStr">
        <is>
          <t>Miss Glam Jambi</t>
        </is>
      </c>
      <c r="E337" t="n">
        <v>28</v>
      </c>
      <c r="F337" t="n">
        <v>0.1617</v>
      </c>
      <c r="G337" t="n">
        <v>1.32</v>
      </c>
      <c r="H337" t="n">
        <v>3</v>
      </c>
      <c r="I337" t="n">
        <v>11</v>
      </c>
      <c r="J337" t="n">
        <v>3</v>
      </c>
      <c r="K337" t="n">
        <v>0</v>
      </c>
      <c r="L337" t="n">
        <v>52488</v>
      </c>
      <c r="M337" t="n">
        <v>72900</v>
      </c>
      <c r="N337" t="n">
        <v>33</v>
      </c>
      <c r="O337" t="n">
        <v>0.33</v>
      </c>
      <c r="P337" t="n">
        <v>1</v>
      </c>
      <c r="Q337" t="n">
        <v>0.31</v>
      </c>
      <c r="R337" t="n">
        <v>1</v>
      </c>
      <c r="S337" t="n">
        <v>11787.93</v>
      </c>
      <c r="T337" t="n">
        <v>15</v>
      </c>
      <c r="U337" t="n">
        <v>16</v>
      </c>
      <c r="V337" t="n">
        <v>30</v>
      </c>
      <c r="W337" t="n">
        <v>5</v>
      </c>
      <c r="X337" t="n">
        <v>173.1601731601731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10348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9</v>
      </c>
      <c r="AL337" t="inlineStr">
        <is>
          <t>Miss Glam Jambi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"8809851670545"</f>
        <v/>
      </c>
      <c r="C338" t="inlineStr">
        <is>
          <t>BARENBLISS Peach Makes Perfect Lip Tint 06 Brave Enough</t>
        </is>
      </c>
      <c r="D338" t="inlineStr">
        <is>
          <t>Miss Glam Jambi</t>
        </is>
      </c>
      <c r="E338" t="n">
        <v>7</v>
      </c>
      <c r="F338" t="n">
        <v>0.1122</v>
      </c>
      <c r="G338" t="n">
        <v>0.66</v>
      </c>
      <c r="H338" t="n">
        <v>3</v>
      </c>
      <c r="I338" t="n">
        <v>11</v>
      </c>
      <c r="J338" t="n">
        <v>3</v>
      </c>
      <c r="K338" t="n">
        <v>0</v>
      </c>
      <c r="L338" t="n">
        <v>52488</v>
      </c>
      <c r="M338" t="n">
        <v>72900</v>
      </c>
      <c r="N338" t="n">
        <v>33</v>
      </c>
      <c r="O338" t="n">
        <v>0.33</v>
      </c>
      <c r="P338" t="n">
        <v>1</v>
      </c>
      <c r="Q338" t="n">
        <v>0.27</v>
      </c>
      <c r="R338" t="n">
        <v>1</v>
      </c>
      <c r="S338" t="n">
        <v>8179.380000000001</v>
      </c>
      <c r="T338" t="n">
        <v>7</v>
      </c>
      <c r="U338" t="n">
        <v>8</v>
      </c>
      <c r="V338" t="n">
        <v>30</v>
      </c>
      <c r="W338" t="n">
        <v>4</v>
      </c>
      <c r="X338" t="n">
        <v>62.3885918003565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10348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9</v>
      </c>
      <c r="AL338" t="inlineStr">
        <is>
          <t>Miss Glam Jambi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"8809851670675"</f>
        <v/>
      </c>
      <c r="C339" t="inlineStr">
        <is>
          <t>BARENBLISS Peach Makes Perfect Lip Tint 07 Love Always</t>
        </is>
      </c>
      <c r="D339" t="inlineStr">
        <is>
          <t>Miss Glam Jambi</t>
        </is>
      </c>
      <c r="E339" t="n">
        <v>0</v>
      </c>
      <c r="F339" t="n">
        <v>0.03</v>
      </c>
      <c r="G339" t="n">
        <v>1</v>
      </c>
      <c r="H339" t="n">
        <v>3</v>
      </c>
      <c r="I339" t="n">
        <v>11</v>
      </c>
      <c r="J339" t="n">
        <v>3</v>
      </c>
      <c r="K339" t="n">
        <v>0</v>
      </c>
      <c r="L339" t="n">
        <v>52488</v>
      </c>
      <c r="M339" t="n">
        <v>72900</v>
      </c>
      <c r="N339" t="n">
        <v>33</v>
      </c>
      <c r="O339" t="n">
        <v>0.33</v>
      </c>
      <c r="P339" t="n">
        <v>0</v>
      </c>
      <c r="Q339" t="n">
        <v>0.03</v>
      </c>
      <c r="R339" t="n">
        <v>1</v>
      </c>
      <c r="S339" t="n">
        <v>2187</v>
      </c>
      <c r="T339" t="n">
        <v>11</v>
      </c>
      <c r="U339" t="n">
        <v>12</v>
      </c>
      <c r="V339" t="n">
        <v>30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52488</v>
      </c>
      <c r="AE339" t="n">
        <v>0</v>
      </c>
      <c r="AF339" t="n">
        <v>10348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9</v>
      </c>
      <c r="AL339" t="inlineStr">
        <is>
          <t>Miss Glam Jambi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"8809851670682"</f>
        <v/>
      </c>
      <c r="C340" t="inlineStr">
        <is>
          <t>BARENBLISS Peach Makes Perfect Lip Tint 08 Peach Out</t>
        </is>
      </c>
      <c r="D340" t="inlineStr">
        <is>
          <t>Miss Glam Jambi</t>
        </is>
      </c>
      <c r="E340" t="n">
        <v>1</v>
      </c>
      <c r="F340" t="n">
        <v>0.0165</v>
      </c>
      <c r="G340" t="n">
        <v>0.33</v>
      </c>
      <c r="H340" t="n">
        <v>3</v>
      </c>
      <c r="I340" t="n">
        <v>11</v>
      </c>
      <c r="J340" t="n">
        <v>3</v>
      </c>
      <c r="K340" t="n">
        <v>0</v>
      </c>
      <c r="L340" t="n">
        <v>52488</v>
      </c>
      <c r="M340" t="n">
        <v>72900</v>
      </c>
      <c r="N340" t="n">
        <v>33</v>
      </c>
      <c r="O340" t="n">
        <v>0.33</v>
      </c>
      <c r="P340" t="n">
        <v>1</v>
      </c>
      <c r="Q340" t="n">
        <v>0.02</v>
      </c>
      <c r="R340" t="n">
        <v>1</v>
      </c>
      <c r="S340" t="n">
        <v>1202.85</v>
      </c>
      <c r="T340" t="n">
        <v>4</v>
      </c>
      <c r="U340" t="n">
        <v>5</v>
      </c>
      <c r="V340" t="n">
        <v>30</v>
      </c>
      <c r="W340" t="n">
        <v>1</v>
      </c>
      <c r="X340" t="n">
        <v>60.6060606060606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10348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9</v>
      </c>
      <c r="AL340" t="inlineStr">
        <is>
          <t>Miss Glam Jambi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"8809851671054"</f>
        <v/>
      </c>
      <c r="C341" t="inlineStr">
        <is>
          <t>BARENBLISS Peach Makes Perfect Liptint 12 Fly High 2,5gr</t>
        </is>
      </c>
      <c r="D341" t="inlineStr">
        <is>
          <t>Miss Glam Jambi</t>
        </is>
      </c>
      <c r="E341" t="n">
        <v>9</v>
      </c>
      <c r="F341" t="n">
        <v>0.1386</v>
      </c>
      <c r="G341" t="n">
        <v>0.99</v>
      </c>
      <c r="H341" t="n">
        <v>3</v>
      </c>
      <c r="I341" t="n">
        <v>11</v>
      </c>
      <c r="J341" t="n">
        <v>3</v>
      </c>
      <c r="K341" t="n">
        <v>0</v>
      </c>
      <c r="L341" t="n">
        <v>52488</v>
      </c>
      <c r="M341" t="n">
        <v>72900</v>
      </c>
      <c r="N341" t="n">
        <v>33</v>
      </c>
      <c r="O341" t="n">
        <v>0.33</v>
      </c>
      <c r="P341" t="n">
        <v>1</v>
      </c>
      <c r="Q341" t="n">
        <v>0.22</v>
      </c>
      <c r="R341" t="n">
        <v>2</v>
      </c>
      <c r="S341" t="n">
        <v>10103.94</v>
      </c>
      <c r="T341" t="n">
        <v>11</v>
      </c>
      <c r="U341" t="n">
        <v>12</v>
      </c>
      <c r="V341" t="n">
        <v>30</v>
      </c>
      <c r="W341" t="n">
        <v>5</v>
      </c>
      <c r="X341" t="n">
        <v>64.93506493506493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10348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9</v>
      </c>
      <c r="AL341" t="inlineStr">
        <is>
          <t>Miss Glam Jambi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"8809851672822"</f>
        <v/>
      </c>
      <c r="C342" t="inlineStr">
        <is>
          <t>BARENBLISS Plum Makes Plumping Lip Gloss 01 Bare 2.5gr</t>
        </is>
      </c>
      <c r="D342" t="inlineStr">
        <is>
          <t>Miss Glam Jambi</t>
        </is>
      </c>
      <c r="E342" t="n">
        <v>14</v>
      </c>
      <c r="F342" t="n">
        <v>0.1617</v>
      </c>
      <c r="G342" t="n">
        <v>0.66</v>
      </c>
      <c r="H342" t="n">
        <v>3</v>
      </c>
      <c r="I342" t="n">
        <v>11</v>
      </c>
      <c r="J342" t="n">
        <v>3</v>
      </c>
      <c r="K342" t="n">
        <v>0</v>
      </c>
      <c r="L342" t="n">
        <v>58320</v>
      </c>
      <c r="M342" t="n">
        <v>72900</v>
      </c>
      <c r="N342" t="n">
        <v>33</v>
      </c>
      <c r="O342" t="n">
        <v>0.33</v>
      </c>
      <c r="P342" t="n">
        <v>1</v>
      </c>
      <c r="Q342" t="n">
        <v>0.19</v>
      </c>
      <c r="R342" t="n">
        <v>3</v>
      </c>
      <c r="S342" t="n">
        <v>11787.93</v>
      </c>
      <c r="T342" t="n">
        <v>7</v>
      </c>
      <c r="U342" t="n">
        <v>8</v>
      </c>
      <c r="V342" t="n">
        <v>30</v>
      </c>
      <c r="W342" t="n">
        <v>5</v>
      </c>
      <c r="X342" t="n">
        <v>86.58008658008657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10348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9</v>
      </c>
      <c r="AL342" t="inlineStr">
        <is>
          <t>Miss Glam Jambi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"8809851672839"</f>
        <v/>
      </c>
      <c r="C343" t="inlineStr">
        <is>
          <t>BARENBLISS Plum Makes Plumping Lip Gloss 02 Mlbb 2.5gr</t>
        </is>
      </c>
      <c r="D343" t="inlineStr">
        <is>
          <t>Miss Glam Jambi</t>
        </is>
      </c>
      <c r="E343" t="n">
        <v>22</v>
      </c>
      <c r="F343" t="n">
        <v>0.1353</v>
      </c>
      <c r="G343" t="n">
        <v>1.98</v>
      </c>
      <c r="H343" t="n">
        <v>3</v>
      </c>
      <c r="I343" t="n">
        <v>11</v>
      </c>
      <c r="J343" t="n">
        <v>3</v>
      </c>
      <c r="K343" t="n">
        <v>0</v>
      </c>
      <c r="L343" t="n">
        <v>58320</v>
      </c>
      <c r="M343" t="n">
        <v>72900</v>
      </c>
      <c r="N343" t="n">
        <v>33</v>
      </c>
      <c r="O343" t="n">
        <v>0.33</v>
      </c>
      <c r="P343" t="n">
        <v>1</v>
      </c>
      <c r="Q343" t="n">
        <v>0.17</v>
      </c>
      <c r="R343" t="n">
        <v>2</v>
      </c>
      <c r="S343" t="n">
        <v>9863.370000000001</v>
      </c>
      <c r="T343" t="n">
        <v>22</v>
      </c>
      <c r="U343" t="n">
        <v>23</v>
      </c>
      <c r="V343" t="n">
        <v>30</v>
      </c>
      <c r="W343" t="n">
        <v>5</v>
      </c>
      <c r="X343" t="n">
        <v>162.6016260162602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10348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9</v>
      </c>
      <c r="AL343" t="inlineStr">
        <is>
          <t>Miss Glam Jambi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"8809851672846"</f>
        <v/>
      </c>
      <c r="C344" t="inlineStr">
        <is>
          <t>BARENBLISS Plum Makes Plumping Lip Gloss 03 Too Hot 2.5gr</t>
        </is>
      </c>
      <c r="D344" t="inlineStr">
        <is>
          <t>Miss Glam Jambi</t>
        </is>
      </c>
      <c r="E344" t="n">
        <v>16</v>
      </c>
      <c r="F344" t="n">
        <v>0.1848</v>
      </c>
      <c r="G344" t="n">
        <v>0.99</v>
      </c>
      <c r="H344" t="n">
        <v>3</v>
      </c>
      <c r="I344" t="n">
        <v>11</v>
      </c>
      <c r="J344" t="n">
        <v>3</v>
      </c>
      <c r="K344" t="n">
        <v>0</v>
      </c>
      <c r="L344" t="n">
        <v>58320</v>
      </c>
      <c r="M344" t="n">
        <v>72900</v>
      </c>
      <c r="N344" t="n">
        <v>33</v>
      </c>
      <c r="O344" t="n">
        <v>0.33</v>
      </c>
      <c r="P344" t="n">
        <v>1</v>
      </c>
      <c r="Q344" t="n">
        <v>0.17</v>
      </c>
      <c r="R344" t="n">
        <v>1</v>
      </c>
      <c r="S344" t="n">
        <v>13471.92</v>
      </c>
      <c r="T344" t="n">
        <v>11</v>
      </c>
      <c r="U344" t="n">
        <v>12</v>
      </c>
      <c r="V344" t="n">
        <v>30</v>
      </c>
      <c r="W344" t="n">
        <v>6</v>
      </c>
      <c r="X344" t="n">
        <v>86.58008658008657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10348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9</v>
      </c>
      <c r="AL344" t="inlineStr">
        <is>
          <t>Miss Glam Jambi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"20200220203"</f>
        <v/>
      </c>
      <c r="C345" t="inlineStr">
        <is>
          <t>BARENBLISS Roll To Clean Mascara Remover 8gr</t>
        </is>
      </c>
      <c r="D345" t="inlineStr">
        <is>
          <t>Miss Glam Jambi</t>
        </is>
      </c>
      <c r="E345" t="n">
        <v>67</v>
      </c>
      <c r="F345" t="n">
        <v>0.33</v>
      </c>
      <c r="G345" t="n">
        <v>1.32</v>
      </c>
      <c r="H345" t="n">
        <v>3</v>
      </c>
      <c r="I345" t="n">
        <v>11</v>
      </c>
      <c r="J345" t="n">
        <v>1</v>
      </c>
      <c r="K345" t="n">
        <v>0</v>
      </c>
      <c r="L345" t="n">
        <v>39920</v>
      </c>
      <c r="M345" t="n">
        <v>49900</v>
      </c>
      <c r="N345" t="n">
        <v>33</v>
      </c>
      <c r="O345" t="n">
        <v>0.33</v>
      </c>
      <c r="P345" t="n">
        <v>1</v>
      </c>
      <c r="Q345" t="n">
        <v>0.39</v>
      </c>
      <c r="R345" t="n">
        <v>4</v>
      </c>
      <c r="S345" t="n">
        <v>16467</v>
      </c>
      <c r="T345" t="n">
        <v>14</v>
      </c>
      <c r="U345" t="n">
        <v>15</v>
      </c>
      <c r="V345" t="n">
        <v>30</v>
      </c>
      <c r="W345" t="n">
        <v>10</v>
      </c>
      <c r="X345" t="n">
        <v>203.030303030303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10348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9</v>
      </c>
      <c r="AL345" t="inlineStr">
        <is>
          <t>Miss Glam Jambi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"20200219335"</f>
        <v/>
      </c>
      <c r="C346" t="inlineStr">
        <is>
          <t>BARENBLISS Roll To High Mascara 8gr</t>
        </is>
      </c>
      <c r="D346" t="inlineStr">
        <is>
          <t>Miss Glam Jambi</t>
        </is>
      </c>
      <c r="E346" t="n">
        <v>20</v>
      </c>
      <c r="F346" t="n">
        <v>0.8778000000000001</v>
      </c>
      <c r="G346" t="n">
        <v>2.31</v>
      </c>
      <c r="H346" t="n">
        <v>3</v>
      </c>
      <c r="I346" t="n">
        <v>11</v>
      </c>
      <c r="J346" t="n">
        <v>3</v>
      </c>
      <c r="K346" t="n">
        <v>6</v>
      </c>
      <c r="L346" t="n">
        <v>66320</v>
      </c>
      <c r="M346" t="n">
        <v>82900</v>
      </c>
      <c r="N346" t="n">
        <v>33</v>
      </c>
      <c r="O346" t="n">
        <v>0.33</v>
      </c>
      <c r="P346" t="n">
        <v>1</v>
      </c>
      <c r="Q346" t="n">
        <v>0.6899999999999999</v>
      </c>
      <c r="R346" t="n">
        <v>4</v>
      </c>
      <c r="S346" t="n">
        <v>72769.62000000001</v>
      </c>
      <c r="T346" t="n">
        <v>23</v>
      </c>
      <c r="U346" t="n">
        <v>26</v>
      </c>
      <c r="V346" t="n">
        <v>30</v>
      </c>
      <c r="W346" t="n">
        <v>27</v>
      </c>
      <c r="X346" t="n">
        <v>22.7842333105491</v>
      </c>
      <c r="Y346" t="n">
        <v>1</v>
      </c>
      <c r="Z346" t="n">
        <v>1</v>
      </c>
      <c r="AA346" t="n">
        <v>0</v>
      </c>
      <c r="AB346" t="n">
        <v>1</v>
      </c>
      <c r="AC346" t="n">
        <v>3</v>
      </c>
      <c r="AD346" t="n">
        <v>0</v>
      </c>
      <c r="AE346" t="n">
        <v>198960</v>
      </c>
      <c r="AF346" t="n">
        <v>10348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9</v>
      </c>
      <c r="AL346" t="inlineStr">
        <is>
          <t>Miss Glam Jambi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"20200218628"</f>
        <v/>
      </c>
      <c r="C347" t="inlineStr">
        <is>
          <t>BARENBLISS Roll To Length Steel Mascara 6gr</t>
        </is>
      </c>
      <c r="D347" t="inlineStr">
        <is>
          <t>Miss Glam Jambi</t>
        </is>
      </c>
      <c r="E347" t="n">
        <v>6</v>
      </c>
      <c r="F347" t="n">
        <v>1.2804</v>
      </c>
      <c r="G347" t="n">
        <v>4.95</v>
      </c>
      <c r="H347" t="n">
        <v>3</v>
      </c>
      <c r="I347" t="n">
        <v>11</v>
      </c>
      <c r="J347" t="n">
        <v>3</v>
      </c>
      <c r="K347" t="n">
        <v>24</v>
      </c>
      <c r="L347" t="n">
        <v>66320</v>
      </c>
      <c r="M347" t="n">
        <v>82900</v>
      </c>
      <c r="N347" t="n">
        <v>33</v>
      </c>
      <c r="O347" t="n">
        <v>0.33</v>
      </c>
      <c r="P347" t="n">
        <v>1</v>
      </c>
      <c r="Q347" t="n">
        <v>1.19</v>
      </c>
      <c r="R347" t="n">
        <v>6</v>
      </c>
      <c r="S347" t="n">
        <v>106145.16</v>
      </c>
      <c r="T347" t="n">
        <v>51</v>
      </c>
      <c r="U347" t="n">
        <v>55</v>
      </c>
      <c r="V347" t="n">
        <v>30</v>
      </c>
      <c r="W347" t="n">
        <v>39</v>
      </c>
      <c r="X347" t="n">
        <v>4.686035613870666</v>
      </c>
      <c r="Y347" t="n">
        <v>1</v>
      </c>
      <c r="Z347" t="n">
        <v>9</v>
      </c>
      <c r="AA347" t="n">
        <v>8</v>
      </c>
      <c r="AB347" t="n">
        <v>1</v>
      </c>
      <c r="AC347" t="n">
        <v>3</v>
      </c>
      <c r="AD347" t="n">
        <v>530560</v>
      </c>
      <c r="AE347" t="n">
        <v>198960</v>
      </c>
      <c r="AF347" t="n">
        <v>10348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9</v>
      </c>
      <c r="AL347" t="inlineStr">
        <is>
          <t>Miss Glam Jambi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"20200219337"</f>
        <v/>
      </c>
      <c r="C348" t="inlineStr">
        <is>
          <t>BARENBLISS Roll To Volume Mascara 8gr</t>
        </is>
      </c>
      <c r="D348" t="inlineStr">
        <is>
          <t>Miss Glam Jambi</t>
        </is>
      </c>
      <c r="E348" t="n">
        <v>30</v>
      </c>
      <c r="F348" t="n">
        <v>1.0692</v>
      </c>
      <c r="G348" t="n">
        <v>3.63</v>
      </c>
      <c r="H348" t="n">
        <v>3</v>
      </c>
      <c r="I348" t="n">
        <v>11</v>
      </c>
      <c r="J348" t="n">
        <v>3</v>
      </c>
      <c r="K348" t="n">
        <v>3</v>
      </c>
      <c r="L348" t="n">
        <v>59688</v>
      </c>
      <c r="M348" t="n">
        <v>82900</v>
      </c>
      <c r="N348" t="n">
        <v>33</v>
      </c>
      <c r="O348" t="n">
        <v>0.33</v>
      </c>
      <c r="P348" t="n">
        <v>1</v>
      </c>
      <c r="Q348" t="n">
        <v>0.8100000000000001</v>
      </c>
      <c r="R348" t="n">
        <v>5</v>
      </c>
      <c r="S348" t="n">
        <v>88636.68000000001</v>
      </c>
      <c r="T348" t="n">
        <v>37</v>
      </c>
      <c r="U348" t="n">
        <v>41</v>
      </c>
      <c r="V348" t="n">
        <v>30</v>
      </c>
      <c r="W348" t="n">
        <v>33</v>
      </c>
      <c r="X348" t="n">
        <v>28.05836139169472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10348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9</v>
      </c>
      <c r="AL348" t="inlineStr">
        <is>
          <t>Miss Glam Jambi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"8809851672921"</f>
        <v/>
      </c>
      <c r="C349" t="inlineStr">
        <is>
          <t>BARENBLISS Silver Makes Stunning Lip Balm 3.2gr</t>
        </is>
      </c>
      <c r="D349" t="inlineStr">
        <is>
          <t>Miss Glam Jambi</t>
        </is>
      </c>
      <c r="E349" t="n">
        <v>14</v>
      </c>
      <c r="F349" t="n">
        <v>0.3069</v>
      </c>
      <c r="G349" t="n">
        <v>1.32</v>
      </c>
      <c r="H349" t="n">
        <v>3</v>
      </c>
      <c r="I349" t="n">
        <v>11</v>
      </c>
      <c r="J349" t="n">
        <v>3</v>
      </c>
      <c r="K349" t="n">
        <v>0</v>
      </c>
      <c r="L349" t="n">
        <v>55920</v>
      </c>
      <c r="M349" t="n">
        <v>69900</v>
      </c>
      <c r="N349" t="n">
        <v>33</v>
      </c>
      <c r="O349" t="n">
        <v>0.33</v>
      </c>
      <c r="P349" t="n">
        <v>1</v>
      </c>
      <c r="Q349" t="n">
        <v>0.36</v>
      </c>
      <c r="R349" t="n">
        <v>3</v>
      </c>
      <c r="S349" t="n">
        <v>21452.31</v>
      </c>
      <c r="T349" t="n">
        <v>14</v>
      </c>
      <c r="U349" t="n">
        <v>15</v>
      </c>
      <c r="V349" t="n">
        <v>30</v>
      </c>
      <c r="W349" t="n">
        <v>10</v>
      </c>
      <c r="X349" t="n">
        <v>45.61746497230368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10348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9</v>
      </c>
      <c r="AL349" t="inlineStr">
        <is>
          <t>Miss Glam Jambi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"203001104644"</f>
        <v/>
      </c>
      <c r="C350" t="inlineStr">
        <is>
          <t>BARENBLISS Star-Glazing Steel Lipcerin 066 Aurora Blaze 1.8gr</t>
        </is>
      </c>
      <c r="D350" t="inlineStr">
        <is>
          <t>Miss Glam Jambi</t>
        </is>
      </c>
      <c r="E350" t="n">
        <v>6</v>
      </c>
      <c r="F350" t="n">
        <v>0.2079</v>
      </c>
      <c r="G350" t="n">
        <v>1.32</v>
      </c>
      <c r="H350" t="n">
        <v>3</v>
      </c>
      <c r="I350" t="n">
        <v>11</v>
      </c>
      <c r="J350" t="n">
        <v>1</v>
      </c>
      <c r="K350" t="n">
        <v>1</v>
      </c>
      <c r="L350" t="n">
        <v>71920</v>
      </c>
      <c r="M350" t="n">
        <v>89900</v>
      </c>
      <c r="N350" t="n">
        <v>33</v>
      </c>
      <c r="O350" t="n">
        <v>0.33</v>
      </c>
      <c r="P350" t="n">
        <v>1</v>
      </c>
      <c r="Q350" t="n">
        <v>0.2</v>
      </c>
      <c r="R350" t="n">
        <v>1</v>
      </c>
      <c r="S350" t="n">
        <v>18690.21</v>
      </c>
      <c r="T350" t="n">
        <v>14</v>
      </c>
      <c r="U350" t="n">
        <v>15</v>
      </c>
      <c r="V350" t="n">
        <v>30</v>
      </c>
      <c r="W350" t="n">
        <v>7</v>
      </c>
      <c r="X350" t="n">
        <v>28.86002886002886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10348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9</v>
      </c>
      <c r="AL350" t="inlineStr">
        <is>
          <t>Miss Glam Jambi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"203001104733"</f>
        <v/>
      </c>
      <c r="C351" t="inlineStr">
        <is>
          <t>BARENBLISS Star-Glazing Steel Lipcerin 118 Nebula Nights 1.8gr</t>
        </is>
      </c>
      <c r="D351" t="inlineStr">
        <is>
          <t>Miss Glam Jambi</t>
        </is>
      </c>
      <c r="E351" t="n">
        <v>10</v>
      </c>
      <c r="F351" t="n">
        <v>0.0495</v>
      </c>
      <c r="G351" t="n">
        <v>0.66</v>
      </c>
      <c r="H351" t="n">
        <v>3</v>
      </c>
      <c r="I351" t="n">
        <v>11</v>
      </c>
      <c r="J351" t="n">
        <v>1</v>
      </c>
      <c r="K351" t="n">
        <v>0</v>
      </c>
      <c r="L351" t="n">
        <v>71920</v>
      </c>
      <c r="M351" t="n">
        <v>89900</v>
      </c>
      <c r="N351" t="n">
        <v>33</v>
      </c>
      <c r="O351" t="n">
        <v>0.33</v>
      </c>
      <c r="P351" t="n">
        <v>1</v>
      </c>
      <c r="Q351" t="n">
        <v>0.05</v>
      </c>
      <c r="R351" t="n">
        <v>1</v>
      </c>
      <c r="S351" t="n">
        <v>4450.05</v>
      </c>
      <c r="T351" t="n">
        <v>8</v>
      </c>
      <c r="U351" t="n">
        <v>9</v>
      </c>
      <c r="V351" t="n">
        <v>30</v>
      </c>
      <c r="W351" t="n">
        <v>2</v>
      </c>
      <c r="X351" t="n">
        <v>202.020202020202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10348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9</v>
      </c>
      <c r="AL351" t="inlineStr">
        <is>
          <t>Miss Glam Jambi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"203001104859"</f>
        <v/>
      </c>
      <c r="C352" t="inlineStr">
        <is>
          <t>BARENBLISS Star-Glazing Steel Lipcerin 222 Dazzling Meteor 1.8gr</t>
        </is>
      </c>
      <c r="D352" t="inlineStr">
        <is>
          <t>Miss Glam Jambi</t>
        </is>
      </c>
      <c r="E352" t="n">
        <v>9</v>
      </c>
      <c r="F352" t="n">
        <v>0.066</v>
      </c>
      <c r="G352" t="n">
        <v>0.99</v>
      </c>
      <c r="H352" t="n">
        <v>3</v>
      </c>
      <c r="I352" t="n">
        <v>11</v>
      </c>
      <c r="J352" t="n">
        <v>1</v>
      </c>
      <c r="K352" t="n">
        <v>0</v>
      </c>
      <c r="L352" t="n">
        <v>71920</v>
      </c>
      <c r="M352" t="n">
        <v>89900</v>
      </c>
      <c r="N352" t="n">
        <v>33</v>
      </c>
      <c r="O352" t="n">
        <v>0.33</v>
      </c>
      <c r="P352" t="n">
        <v>1</v>
      </c>
      <c r="Q352" t="n">
        <v>0.07000000000000001</v>
      </c>
      <c r="R352" t="n">
        <v>1</v>
      </c>
      <c r="S352" t="n">
        <v>5933.400000000001</v>
      </c>
      <c r="T352" t="n">
        <v>11</v>
      </c>
      <c r="U352" t="n">
        <v>12</v>
      </c>
      <c r="V352" t="n">
        <v>30</v>
      </c>
      <c r="W352" t="n">
        <v>2</v>
      </c>
      <c r="X352" t="n">
        <v>136.3636363636363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10348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9</v>
      </c>
      <c r="AL352" t="inlineStr">
        <is>
          <t>Miss Glam Jambi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"203001104933"</f>
        <v/>
      </c>
      <c r="C353" t="inlineStr">
        <is>
          <t>BARENBLISS Star-Glazing Steel Lipcerin 377 Cosmic Comet 1.8gr</t>
        </is>
      </c>
      <c r="D353" t="inlineStr">
        <is>
          <t>Miss Glam Jambi</t>
        </is>
      </c>
      <c r="E353" t="n">
        <v>1</v>
      </c>
      <c r="F353" t="n">
        <v>0.1353</v>
      </c>
      <c r="G353" t="n">
        <v>1.65</v>
      </c>
      <c r="H353" t="n">
        <v>3</v>
      </c>
      <c r="I353" t="n">
        <v>11</v>
      </c>
      <c r="J353" t="n">
        <v>1</v>
      </c>
      <c r="K353" t="n">
        <v>3</v>
      </c>
      <c r="L353" t="n">
        <v>71920</v>
      </c>
      <c r="M353" t="n">
        <v>89900</v>
      </c>
      <c r="N353" t="n">
        <v>33</v>
      </c>
      <c r="O353" t="n">
        <v>0.33</v>
      </c>
      <c r="P353" t="n">
        <v>1</v>
      </c>
      <c r="Q353" t="n">
        <v>0.14</v>
      </c>
      <c r="R353" t="n">
        <v>2</v>
      </c>
      <c r="S353" t="n">
        <v>12163.47</v>
      </c>
      <c r="T353" t="n">
        <v>18</v>
      </c>
      <c r="U353" t="n">
        <v>19</v>
      </c>
      <c r="V353" t="n">
        <v>30</v>
      </c>
      <c r="W353" t="n">
        <v>5</v>
      </c>
      <c r="X353" t="n">
        <v>7.390983000739098</v>
      </c>
      <c r="Y353" t="n">
        <v>1</v>
      </c>
      <c r="Z353" t="n">
        <v>1</v>
      </c>
      <c r="AA353" t="n">
        <v>0</v>
      </c>
      <c r="AB353" t="n">
        <v>1</v>
      </c>
      <c r="AC353" t="n">
        <v>1</v>
      </c>
      <c r="AD353" t="n">
        <v>0</v>
      </c>
      <c r="AE353" t="n">
        <v>71920</v>
      </c>
      <c r="AF353" t="n">
        <v>10348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9</v>
      </c>
      <c r="AL353" t="inlineStr">
        <is>
          <t>Miss Glam Jambi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BATH &amp; BODY WORKS</t>
        </is>
      </c>
      <c r="B354" s="2">
        <f>"667557895536"</f>
        <v/>
      </c>
      <c r="C354" t="inlineStr">
        <is>
          <t>BATH &amp; BODY WORKS Body Mist Gingham Vibrant Guingan Eclatant 236ml</t>
        </is>
      </c>
      <c r="D354" t="inlineStr">
        <is>
          <t>Miss Glam Jambi</t>
        </is>
      </c>
      <c r="E354" t="n">
        <v>2</v>
      </c>
      <c r="F354" t="n">
        <v>0.02</v>
      </c>
      <c r="G354" t="n">
        <v>1</v>
      </c>
      <c r="H354" t="n">
        <v>4</v>
      </c>
      <c r="I354" t="n">
        <v>20</v>
      </c>
      <c r="J354" t="n">
        <v>3</v>
      </c>
      <c r="K354" t="n">
        <v>0</v>
      </c>
      <c r="L354" t="n">
        <v>180387</v>
      </c>
      <c r="M354" t="n">
        <v>225500</v>
      </c>
      <c r="N354" t="n">
        <v>33</v>
      </c>
      <c r="O354" t="n">
        <v>0.33</v>
      </c>
      <c r="P354" t="n">
        <v>0</v>
      </c>
      <c r="Q354" t="n">
        <v>0.02</v>
      </c>
      <c r="R354" t="n">
        <v>1</v>
      </c>
      <c r="S354" t="n">
        <v>4510</v>
      </c>
      <c r="T354" t="n">
        <v>20</v>
      </c>
      <c r="U354" t="n">
        <v>21</v>
      </c>
      <c r="V354" t="n">
        <v>30</v>
      </c>
      <c r="W354" t="n">
        <v>1</v>
      </c>
      <c r="X354" t="n">
        <v>100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3278</v>
      </c>
      <c r="AG354" t="n">
        <v>1</v>
      </c>
      <c r="AH354" t="inlineStr">
        <is>
          <t>PT. BERSAMA DISTRIVERSA INDONESIA (DC CIPUTAT)</t>
        </is>
      </c>
      <c r="AI354" t="n">
        <v>21</v>
      </c>
      <c r="AJ354" t="inlineStr">
        <is>
          <t>BATH &amp; BODY WORKS</t>
        </is>
      </c>
      <c r="AK354" t="n">
        <v>9</v>
      </c>
      <c r="AL354" t="inlineStr">
        <is>
          <t>Miss Glam Jambi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BATH &amp; BODY WORKS</t>
        </is>
      </c>
      <c r="B355" s="2">
        <f>"667559098812"</f>
        <v/>
      </c>
      <c r="C355" t="inlineStr">
        <is>
          <t>BATH &amp; BODY WORKS Calypsa Clementine 75ml</t>
        </is>
      </c>
      <c r="D355" t="inlineStr">
        <is>
          <t>Miss Glam Jambi</t>
        </is>
      </c>
      <c r="E355" t="n">
        <v>2</v>
      </c>
      <c r="F355" t="n">
        <v>0.02</v>
      </c>
      <c r="G355" t="n">
        <v>1</v>
      </c>
      <c r="H355" t="n">
        <v>4</v>
      </c>
      <c r="I355" t="n">
        <v>20</v>
      </c>
      <c r="J355" t="n">
        <v>3</v>
      </c>
      <c r="K355" t="n">
        <v>0</v>
      </c>
      <c r="L355" t="n">
        <v>82905</v>
      </c>
      <c r="M355" t="n">
        <v>115000</v>
      </c>
      <c r="N355" t="n">
        <v>33</v>
      </c>
      <c r="O355" t="n">
        <v>0.33</v>
      </c>
      <c r="P355" t="n">
        <v>0</v>
      </c>
      <c r="Q355" t="n">
        <v>0.02</v>
      </c>
      <c r="R355" t="n">
        <v>1</v>
      </c>
      <c r="S355" t="n">
        <v>2300</v>
      </c>
      <c r="T355" t="n">
        <v>20</v>
      </c>
      <c r="U355" t="n">
        <v>21</v>
      </c>
      <c r="V355" t="n">
        <v>30</v>
      </c>
      <c r="W355" t="n">
        <v>1</v>
      </c>
      <c r="X355" t="n">
        <v>100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3278</v>
      </c>
      <c r="AG355" t="n">
        <v>1</v>
      </c>
      <c r="AH355" t="inlineStr">
        <is>
          <t>PT. BERSAMA DISTRIVERSA INDONESIA (DC CIPUTAT)</t>
        </is>
      </c>
      <c r="AI355" t="n">
        <v>21</v>
      </c>
      <c r="AJ355" t="inlineStr">
        <is>
          <t>BATH &amp; BODY WORKS</t>
        </is>
      </c>
      <c r="AK355" t="n">
        <v>9</v>
      </c>
      <c r="AL355" t="inlineStr">
        <is>
          <t>Miss Glam Jambi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"667556039047"</f>
        <v/>
      </c>
      <c r="C356" t="inlineStr">
        <is>
          <t>BATH &amp; BODY WORKS Dark Kiss Fine Fragrance Mist 236ml</t>
        </is>
      </c>
      <c r="D356" t="inlineStr">
        <is>
          <t>Miss Glam Jambi</t>
        </is>
      </c>
      <c r="E356" t="n">
        <v>3</v>
      </c>
      <c r="F356" t="n">
        <v>0.02</v>
      </c>
      <c r="G356" t="n">
        <v>1</v>
      </c>
      <c r="H356" t="n">
        <v>4</v>
      </c>
      <c r="I356" t="n">
        <v>20</v>
      </c>
      <c r="J356" t="n">
        <v>3</v>
      </c>
      <c r="K356" t="n">
        <v>0</v>
      </c>
      <c r="L356" t="n">
        <v>177320</v>
      </c>
      <c r="M356" t="n">
        <v>215000</v>
      </c>
      <c r="N356" t="n">
        <v>33</v>
      </c>
      <c r="O356" t="n">
        <v>0.33</v>
      </c>
      <c r="P356" t="n">
        <v>0</v>
      </c>
      <c r="Q356" t="n">
        <v>0.02</v>
      </c>
      <c r="R356" t="n">
        <v>1</v>
      </c>
      <c r="S356" t="n">
        <v>4300</v>
      </c>
      <c r="T356" t="n">
        <v>20</v>
      </c>
      <c r="U356" t="n">
        <v>21</v>
      </c>
      <c r="V356" t="n">
        <v>30</v>
      </c>
      <c r="W356" t="n">
        <v>1</v>
      </c>
      <c r="X356" t="n">
        <v>150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3278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9</v>
      </c>
      <c r="AL356" t="inlineStr">
        <is>
          <t>Miss Glam Jambi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"667558733394"</f>
        <v/>
      </c>
      <c r="C357" t="inlineStr">
        <is>
          <t>BATH &amp; BODY WORKS Dark Kiss Fine Fragrance Mist Free Bruine Parfumee 236ml NEW</t>
        </is>
      </c>
      <c r="D357" t="inlineStr">
        <is>
          <t>Miss Glam Jambi</t>
        </is>
      </c>
      <c r="E357" t="n">
        <v>3</v>
      </c>
      <c r="F357" t="n">
        <v>0.03</v>
      </c>
      <c r="G357" t="n">
        <v>1</v>
      </c>
      <c r="H357" t="n">
        <v>4</v>
      </c>
      <c r="I357" t="n">
        <v>20</v>
      </c>
      <c r="J357" t="n">
        <v>3</v>
      </c>
      <c r="K357" t="n">
        <v>0</v>
      </c>
      <c r="L357" t="n">
        <v>180616</v>
      </c>
      <c r="M357" t="n">
        <v>215000</v>
      </c>
      <c r="N357" t="n">
        <v>33</v>
      </c>
      <c r="O357" t="n">
        <v>0.33</v>
      </c>
      <c r="P357" t="n">
        <v>0</v>
      </c>
      <c r="Q357" t="n">
        <v>0.03</v>
      </c>
      <c r="R357" t="n">
        <v>1</v>
      </c>
      <c r="S357" t="n">
        <v>6450</v>
      </c>
      <c r="T357" t="n">
        <v>20</v>
      </c>
      <c r="U357" t="n">
        <v>21</v>
      </c>
      <c r="V357" t="n">
        <v>30</v>
      </c>
      <c r="W357" t="n">
        <v>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3278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9</v>
      </c>
      <c r="AL357" t="inlineStr">
        <is>
          <t>Miss Glam Jambi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"667553393449"</f>
        <v/>
      </c>
      <c r="C358" t="inlineStr">
        <is>
          <t>BATH &amp; BODY WORKS Fragrance Mist Dahlia 236ml</t>
        </is>
      </c>
      <c r="D358" t="inlineStr">
        <is>
          <t>Miss Glam Jambi</t>
        </is>
      </c>
      <c r="E358" t="n">
        <v>2</v>
      </c>
      <c r="F358" t="n">
        <v>0.006600000000000001</v>
      </c>
      <c r="G358" t="n">
        <v>0.33</v>
      </c>
      <c r="H358" t="n">
        <v>4</v>
      </c>
      <c r="I358" t="n">
        <v>20</v>
      </c>
      <c r="J358" t="n">
        <v>3</v>
      </c>
      <c r="K358" t="n">
        <v>0</v>
      </c>
      <c r="L358" t="n">
        <v>149000</v>
      </c>
      <c r="M358" t="n">
        <v>190000</v>
      </c>
      <c r="N358" t="n">
        <v>33</v>
      </c>
      <c r="O358" t="n">
        <v>0.33</v>
      </c>
      <c r="P358" t="n">
        <v>1</v>
      </c>
      <c r="Q358" t="n">
        <v>0.02</v>
      </c>
      <c r="R358" t="n">
        <v>1</v>
      </c>
      <c r="S358" t="n">
        <v>1254</v>
      </c>
      <c r="T358" t="n">
        <v>7</v>
      </c>
      <c r="U358" t="n">
        <v>8</v>
      </c>
      <c r="V358" t="n">
        <v>30</v>
      </c>
      <c r="W358" t="n">
        <v>1</v>
      </c>
      <c r="X358" t="n">
        <v>303.030303030303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3278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9</v>
      </c>
      <c r="AL358" t="inlineStr">
        <is>
          <t>Miss Glam Jambi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"667556039061"</f>
        <v/>
      </c>
      <c r="C359" t="inlineStr">
        <is>
          <t>BATH &amp; BODY WORKS Fragrance Mist Dark Kiss Travel Size 75 ml</t>
        </is>
      </c>
      <c r="D359" t="inlineStr">
        <is>
          <t>Miss Glam Jambi</t>
        </is>
      </c>
      <c r="E359" t="n">
        <v>6</v>
      </c>
      <c r="F359" t="n">
        <v>0.02</v>
      </c>
      <c r="G359" t="n">
        <v>1</v>
      </c>
      <c r="H359" t="n">
        <v>4</v>
      </c>
      <c r="I359" t="n">
        <v>20</v>
      </c>
      <c r="J359" t="n">
        <v>3</v>
      </c>
      <c r="K359" t="n">
        <v>0</v>
      </c>
      <c r="L359" t="n">
        <v>82905</v>
      </c>
      <c r="M359" t="n">
        <v>122500</v>
      </c>
      <c r="N359" t="n">
        <v>33</v>
      </c>
      <c r="O359" t="n">
        <v>0.33</v>
      </c>
      <c r="P359" t="n">
        <v>0</v>
      </c>
      <c r="Q359" t="n">
        <v>0.02</v>
      </c>
      <c r="R359" t="n">
        <v>1</v>
      </c>
      <c r="S359" t="n">
        <v>2450</v>
      </c>
      <c r="T359" t="n">
        <v>20</v>
      </c>
      <c r="U359" t="n">
        <v>21</v>
      </c>
      <c r="V359" t="n">
        <v>30</v>
      </c>
      <c r="W359" t="n">
        <v>1</v>
      </c>
      <c r="X359" t="n">
        <v>300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3278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9</v>
      </c>
      <c r="AL359" t="inlineStr">
        <is>
          <t>Miss Glam Jambi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"667557903620"</f>
        <v/>
      </c>
      <c r="C360" t="inlineStr">
        <is>
          <t>BATH &amp; BODY WORKS Ghingham Fine Fragrance Mist  236ml</t>
        </is>
      </c>
      <c r="D360" t="inlineStr">
        <is>
          <t>Miss Glam Jambi</t>
        </is>
      </c>
      <c r="E360" t="n">
        <v>0</v>
      </c>
      <c r="F360" t="n">
        <v>0.02</v>
      </c>
      <c r="G360" t="n">
        <v>1</v>
      </c>
      <c r="H360" t="n">
        <v>4</v>
      </c>
      <c r="I360" t="n">
        <v>20</v>
      </c>
      <c r="J360" t="n">
        <v>3</v>
      </c>
      <c r="K360" t="n">
        <v>0</v>
      </c>
      <c r="L360" t="n">
        <v>180616</v>
      </c>
      <c r="M360" t="n">
        <v>215000</v>
      </c>
      <c r="N360" t="n">
        <v>33</v>
      </c>
      <c r="O360" t="n">
        <v>0.33</v>
      </c>
      <c r="P360" t="n">
        <v>0</v>
      </c>
      <c r="Q360" t="n">
        <v>0.02</v>
      </c>
      <c r="R360" t="n">
        <v>1</v>
      </c>
      <c r="S360" t="n">
        <v>4300</v>
      </c>
      <c r="T360" t="n">
        <v>20</v>
      </c>
      <c r="U360" t="n">
        <v>21</v>
      </c>
      <c r="V360" t="n">
        <v>30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  <c r="AD360" t="n">
        <v>180616</v>
      </c>
      <c r="AE360" t="n">
        <v>0</v>
      </c>
      <c r="AF360" t="n">
        <v>3278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9</v>
      </c>
      <c r="AL360" t="inlineStr">
        <is>
          <t>Miss Glam Jambi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"667556039054"</f>
        <v/>
      </c>
      <c r="C361" t="inlineStr">
        <is>
          <t>BATH &amp; BODY WORKS Mad About You Fine Fragrance Mist Fine Bruine Parfumee 236ml</t>
        </is>
      </c>
      <c r="D361" t="inlineStr">
        <is>
          <t>Miss Glam Jambi</t>
        </is>
      </c>
      <c r="E361" t="n">
        <v>10</v>
      </c>
      <c r="F361" t="n">
        <v>0.02</v>
      </c>
      <c r="G361" t="n">
        <v>1</v>
      </c>
      <c r="H361" t="n">
        <v>4</v>
      </c>
      <c r="I361" t="n">
        <v>20</v>
      </c>
      <c r="J361" t="n">
        <v>3</v>
      </c>
      <c r="K361" t="n">
        <v>0</v>
      </c>
      <c r="L361" t="n">
        <v>168052</v>
      </c>
      <c r="M361" t="n">
        <v>215000</v>
      </c>
      <c r="N361" t="n">
        <v>33</v>
      </c>
      <c r="O361" t="n">
        <v>0.33</v>
      </c>
      <c r="P361" t="n">
        <v>0</v>
      </c>
      <c r="Q361" t="n">
        <v>0.02</v>
      </c>
      <c r="R361" t="n">
        <v>1</v>
      </c>
      <c r="S361" t="n">
        <v>4300</v>
      </c>
      <c r="T361" t="n">
        <v>20</v>
      </c>
      <c r="U361" t="n">
        <v>21</v>
      </c>
      <c r="V361" t="n">
        <v>30</v>
      </c>
      <c r="W361" t="n">
        <v>1</v>
      </c>
      <c r="X361" t="n">
        <v>500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3278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9</v>
      </c>
      <c r="AL361" t="inlineStr">
        <is>
          <t>Miss Glam Jambi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BATH &amp; BODY WORKS</t>
        </is>
      </c>
      <c r="B362" s="2">
        <f>"667556131970"</f>
        <v/>
      </c>
      <c r="C362" t="inlineStr">
        <is>
          <t>BATH &amp; BODY WORKS Rose Fine Fragrance Mist 236ml</t>
        </is>
      </c>
      <c r="D362" t="inlineStr">
        <is>
          <t>Miss Glam Jambi</t>
        </is>
      </c>
      <c r="E362" t="n">
        <v>4</v>
      </c>
      <c r="F362" t="n">
        <v>0.02</v>
      </c>
      <c r="G362" t="n">
        <v>1</v>
      </c>
      <c r="H362" t="n">
        <v>4</v>
      </c>
      <c r="I362" t="n">
        <v>20</v>
      </c>
      <c r="J362" t="n">
        <v>3</v>
      </c>
      <c r="K362" t="n">
        <v>0</v>
      </c>
      <c r="L362" t="n">
        <v>168052</v>
      </c>
      <c r="M362" t="n">
        <v>215000</v>
      </c>
      <c r="N362" t="n">
        <v>33</v>
      </c>
      <c r="O362" t="n">
        <v>0.33</v>
      </c>
      <c r="P362" t="n">
        <v>0</v>
      </c>
      <c r="Q362" t="n">
        <v>0.02</v>
      </c>
      <c r="R362" t="n">
        <v>1</v>
      </c>
      <c r="S362" t="n">
        <v>4300</v>
      </c>
      <c r="T362" t="n">
        <v>20</v>
      </c>
      <c r="U362" t="n">
        <v>21</v>
      </c>
      <c r="V362" t="n">
        <v>30</v>
      </c>
      <c r="W362" t="n">
        <v>1</v>
      </c>
      <c r="X362" t="n">
        <v>200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3278</v>
      </c>
      <c r="AG362" t="n">
        <v>1</v>
      </c>
      <c r="AH362" t="inlineStr">
        <is>
          <t>PT. BERSAMA DISTRIVERSA INDONESIA (DC CIPUTAT)</t>
        </is>
      </c>
      <c r="AI362" t="n">
        <v>21</v>
      </c>
      <c r="AJ362" t="inlineStr">
        <is>
          <t>BATH &amp; BODY WORKS</t>
        </is>
      </c>
      <c r="AK362" t="n">
        <v>9</v>
      </c>
      <c r="AL362" t="inlineStr">
        <is>
          <t>Miss Glam Jambi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BATH &amp; BODY WORKS</t>
        </is>
      </c>
      <c r="B363" s="2">
        <f>"30400197948"</f>
        <v/>
      </c>
      <c r="C363" t="inlineStr">
        <is>
          <t>BATH &amp; BODY WORKS Strawberry Pound Cake Fragrance Mist 75ml</t>
        </is>
      </c>
      <c r="D363" t="inlineStr">
        <is>
          <t>Miss Glam Jambi</t>
        </is>
      </c>
      <c r="E363" t="n">
        <v>1</v>
      </c>
      <c r="F363" t="n">
        <v>0.02</v>
      </c>
      <c r="G363" t="n">
        <v>1</v>
      </c>
      <c r="H363" t="n">
        <v>4</v>
      </c>
      <c r="I363" t="n">
        <v>20</v>
      </c>
      <c r="J363" t="n">
        <v>3</v>
      </c>
      <c r="K363" t="n">
        <v>0</v>
      </c>
      <c r="L363" t="n">
        <v>113879</v>
      </c>
      <c r="M363" t="n">
        <v>135000</v>
      </c>
      <c r="N363" t="n">
        <v>33</v>
      </c>
      <c r="O363" t="n">
        <v>0.33</v>
      </c>
      <c r="P363" t="n">
        <v>0</v>
      </c>
      <c r="Q363" t="n">
        <v>0.02</v>
      </c>
      <c r="R363" t="n">
        <v>1</v>
      </c>
      <c r="S363" t="n">
        <v>2700</v>
      </c>
      <c r="T363" t="n">
        <v>20</v>
      </c>
      <c r="U363" t="n">
        <v>21</v>
      </c>
      <c r="V363" t="n">
        <v>30</v>
      </c>
      <c r="W363" t="n">
        <v>1</v>
      </c>
      <c r="X363" t="n">
        <v>50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3278</v>
      </c>
      <c r="AG363" t="n">
        <v>1</v>
      </c>
      <c r="AH363" t="inlineStr">
        <is>
          <t>PT. BERSAMA DISTRIVERSA INDONESIA (DC CIPUTAT)</t>
        </is>
      </c>
      <c r="AI363" t="n">
        <v>21</v>
      </c>
      <c r="AJ363" t="inlineStr">
        <is>
          <t>BATH &amp; BODY WORKS</t>
        </is>
      </c>
      <c r="AK363" t="n">
        <v>9</v>
      </c>
      <c r="AL363" t="inlineStr">
        <is>
          <t>Miss Glam Jambi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BATH &amp; BODY WORKS</t>
        </is>
      </c>
      <c r="B364" s="2">
        <f>"667557061429"</f>
        <v/>
      </c>
      <c r="C364" t="inlineStr">
        <is>
          <t>BATH &amp; BODY WORKS Warm Vanilla Sugar Fragrance Mist 236ml</t>
        </is>
      </c>
      <c r="D364" t="inlineStr">
        <is>
          <t>Miss Glam Jambi</t>
        </is>
      </c>
      <c r="E364" t="n">
        <v>0</v>
      </c>
      <c r="F364" t="n">
        <v>0.07000000000000001</v>
      </c>
      <c r="G364" t="n">
        <v>1</v>
      </c>
      <c r="H364" t="n">
        <v>4</v>
      </c>
      <c r="I364" t="n">
        <v>20</v>
      </c>
      <c r="J364" t="n">
        <v>3</v>
      </c>
      <c r="K364" t="n">
        <v>3</v>
      </c>
      <c r="L364" t="n">
        <v>180616</v>
      </c>
      <c r="M364" t="n">
        <v>215000</v>
      </c>
      <c r="N364" t="n">
        <v>33</v>
      </c>
      <c r="O364" t="n">
        <v>0.33</v>
      </c>
      <c r="P364" t="n">
        <v>0</v>
      </c>
      <c r="Q364" t="n">
        <v>0.07000000000000001</v>
      </c>
      <c r="R364" t="n">
        <v>1</v>
      </c>
      <c r="S364" t="n">
        <v>15050</v>
      </c>
      <c r="T364" t="n">
        <v>20</v>
      </c>
      <c r="U364" t="n">
        <v>21</v>
      </c>
      <c r="V364" t="n">
        <v>30</v>
      </c>
      <c r="W364" t="n">
        <v>3</v>
      </c>
      <c r="X364" t="n">
        <v>0</v>
      </c>
      <c r="Y364" t="n">
        <v>1</v>
      </c>
      <c r="Z364" t="n">
        <v>0</v>
      </c>
      <c r="AA364" t="n">
        <v>1</v>
      </c>
      <c r="AB364" t="n">
        <v>0</v>
      </c>
      <c r="AC364" t="n">
        <v>0</v>
      </c>
      <c r="AD364" t="n">
        <v>180616</v>
      </c>
      <c r="AE364" t="n">
        <v>0</v>
      </c>
      <c r="AF364" t="n">
        <v>3278</v>
      </c>
      <c r="AG364" t="n">
        <v>1</v>
      </c>
      <c r="AH364" t="inlineStr">
        <is>
          <t>PT. BERSAMA DISTRIVERSA INDONESIA (DC CIPUTAT)</t>
        </is>
      </c>
      <c r="AI364" t="n">
        <v>21</v>
      </c>
      <c r="AJ364" t="inlineStr">
        <is>
          <t>BATH &amp; BODY WORKS</t>
        </is>
      </c>
      <c r="AK364" t="n">
        <v>9</v>
      </c>
      <c r="AL364" t="inlineStr">
        <is>
          <t>Miss Glam Jambi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BATISTE</t>
        </is>
      </c>
      <c r="B365" s="2">
        <f>"5010724526798"</f>
        <v/>
      </c>
      <c r="C365" t="inlineStr">
        <is>
          <t>BATISTE Dry Shampoo Fruity &amp; Cheeky Cherry 120gr</t>
        </is>
      </c>
      <c r="D365" t="inlineStr">
        <is>
          <t>Miss Glam Jambi</t>
        </is>
      </c>
      <c r="E365" t="n">
        <v>0</v>
      </c>
      <c r="F365" t="n">
        <v>0.04</v>
      </c>
      <c r="G365" t="n">
        <v>1</v>
      </c>
      <c r="H365" t="n">
        <v>4</v>
      </c>
      <c r="I365" t="n">
        <v>28</v>
      </c>
      <c r="J365" t="n">
        <v>3</v>
      </c>
      <c r="K365" t="n">
        <v>0</v>
      </c>
      <c r="L365" t="n">
        <v>84057</v>
      </c>
      <c r="M365" t="n">
        <v>131500</v>
      </c>
      <c r="N365" t="n">
        <v>33</v>
      </c>
      <c r="O365" t="n">
        <v>0.33</v>
      </c>
      <c r="P365" t="n">
        <v>0</v>
      </c>
      <c r="Q365" t="n">
        <v>0.04</v>
      </c>
      <c r="R365" t="n">
        <v>1</v>
      </c>
      <c r="S365" t="n">
        <v>5260</v>
      </c>
      <c r="T365" t="n">
        <v>28</v>
      </c>
      <c r="U365" t="n">
        <v>29</v>
      </c>
      <c r="V365" t="n">
        <v>30</v>
      </c>
      <c r="W365" t="n">
        <v>2</v>
      </c>
      <c r="X365" t="n">
        <v>0</v>
      </c>
      <c r="Y365" t="n">
        <v>1</v>
      </c>
      <c r="Z365" t="n">
        <v>2</v>
      </c>
      <c r="AA365" t="n">
        <v>2</v>
      </c>
      <c r="AB365" t="n">
        <v>0</v>
      </c>
      <c r="AC365" t="n">
        <v>0</v>
      </c>
      <c r="AD365" t="n">
        <v>168114</v>
      </c>
      <c r="AE365" t="n">
        <v>0</v>
      </c>
      <c r="AF365" t="n">
        <v>10489</v>
      </c>
      <c r="AG365" t="n">
        <v>2148</v>
      </c>
      <c r="AH365" t="inlineStr">
        <is>
          <t>PT. JAYA PALEMBANG SUKSES - PPN (JMB)</t>
        </is>
      </c>
      <c r="AI365" t="n">
        <v>981</v>
      </c>
      <c r="AJ365" t="inlineStr">
        <is>
          <t>BATISTE</t>
        </is>
      </c>
      <c r="AK365" t="n">
        <v>9</v>
      </c>
      <c r="AL365" t="inlineStr">
        <is>
          <t>Miss Glam Jambi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BATISTE</t>
        </is>
      </c>
      <c r="B366" s="2">
        <f>"5010724527511"</f>
        <v/>
      </c>
      <c r="C366" t="inlineStr">
        <is>
          <t>BATISTE Dry Shampoo Tropical Exotic Coconut 120gr</t>
        </is>
      </c>
      <c r="D366" t="inlineStr">
        <is>
          <t>Miss Glam Jambi</t>
        </is>
      </c>
      <c r="E366" t="n">
        <v>4</v>
      </c>
      <c r="F366" t="n">
        <v>0.03</v>
      </c>
      <c r="G366" t="n">
        <v>1</v>
      </c>
      <c r="H366" t="n">
        <v>4</v>
      </c>
      <c r="I366" t="n">
        <v>28</v>
      </c>
      <c r="J366" t="n">
        <v>3</v>
      </c>
      <c r="K366" t="n">
        <v>0</v>
      </c>
      <c r="L366" t="n">
        <v>84057</v>
      </c>
      <c r="M366" t="n">
        <v>100000</v>
      </c>
      <c r="N366" t="n">
        <v>33</v>
      </c>
      <c r="O366" t="n">
        <v>0.33</v>
      </c>
      <c r="P366" t="n">
        <v>0</v>
      </c>
      <c r="Q366" t="n">
        <v>0.03</v>
      </c>
      <c r="R366" t="n">
        <v>1</v>
      </c>
      <c r="S366" t="n">
        <v>3000</v>
      </c>
      <c r="T366" t="n">
        <v>28</v>
      </c>
      <c r="U366" t="n">
        <v>29</v>
      </c>
      <c r="V366" t="n">
        <v>30</v>
      </c>
      <c r="W366" t="n">
        <v>1</v>
      </c>
      <c r="X366" t="n">
        <v>133.3333333333333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10489</v>
      </c>
      <c r="AG366" t="n">
        <v>2148</v>
      </c>
      <c r="AH366" t="inlineStr">
        <is>
          <t>PT. JAYA PALEMBANG SUKSES - PPN (JMB)</t>
        </is>
      </c>
      <c r="AI366" t="n">
        <v>981</v>
      </c>
      <c r="AJ366" t="inlineStr">
        <is>
          <t>BATISTE</t>
        </is>
      </c>
      <c r="AK366" t="n">
        <v>9</v>
      </c>
      <c r="AL366" t="inlineStr">
        <is>
          <t>Miss Glam Jambi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BEAUTETOX</t>
        </is>
      </c>
      <c r="B367" s="2">
        <f>"8997235380149"</f>
        <v/>
      </c>
      <c r="C367" t="inlineStr">
        <is>
          <t>BEAUTETOX Chocowhite Body Exfoliator Scrub 120g</t>
        </is>
      </c>
      <c r="D367" t="inlineStr">
        <is>
          <t>Miss Glam Jambi</t>
        </is>
      </c>
      <c r="E367" t="n">
        <v>12</v>
      </c>
      <c r="F367" t="n">
        <v>0.0231</v>
      </c>
      <c r="G367" t="n">
        <v>0.66</v>
      </c>
      <c r="H367" t="n">
        <v>4</v>
      </c>
      <c r="I367" t="n">
        <v>20</v>
      </c>
      <c r="J367" t="n">
        <v>3</v>
      </c>
      <c r="K367" t="n">
        <v>0</v>
      </c>
      <c r="L367" t="n">
        <v>40137</v>
      </c>
      <c r="M367" t="n">
        <v>50000</v>
      </c>
      <c r="N367" t="n">
        <v>33</v>
      </c>
      <c r="O367" t="n">
        <v>0.33</v>
      </c>
      <c r="P367" t="n">
        <v>1</v>
      </c>
      <c r="Q367" t="n">
        <v>0.03</v>
      </c>
      <c r="R367" t="n">
        <v>1</v>
      </c>
      <c r="S367" t="n">
        <v>1155</v>
      </c>
      <c r="T367" t="n">
        <v>14</v>
      </c>
      <c r="U367" t="n">
        <v>15</v>
      </c>
      <c r="V367" t="n">
        <v>30</v>
      </c>
      <c r="W367" t="n">
        <v>1</v>
      </c>
      <c r="X367" t="n">
        <v>519.4805194805194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3342</v>
      </c>
      <c r="AG367" t="n">
        <v>1</v>
      </c>
      <c r="AH367" t="inlineStr">
        <is>
          <t>PT. BERSAMA DISTRIVERSA INDONESIA (DC CIPUTAT)</t>
        </is>
      </c>
      <c r="AI367" t="n">
        <v>76</v>
      </c>
      <c r="AJ367" t="inlineStr">
        <is>
          <t>BEAUTETOX</t>
        </is>
      </c>
      <c r="AK367" t="n">
        <v>9</v>
      </c>
      <c r="AL367" t="inlineStr">
        <is>
          <t>Miss Glam Jambi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BEAUTETOX</t>
        </is>
      </c>
      <c r="B368" s="2">
        <f>"8997235380156"</f>
        <v/>
      </c>
      <c r="C368" t="inlineStr">
        <is>
          <t>BEAUTETOX Whitemilky Brightening Collagen Serum Body Scrub 120gr</t>
        </is>
      </c>
      <c r="D368" t="inlineStr">
        <is>
          <t>Miss Glam Jambi</t>
        </is>
      </c>
      <c r="E368" t="n">
        <v>4</v>
      </c>
      <c r="F368" t="n">
        <v>0.0726</v>
      </c>
      <c r="G368" t="n">
        <v>0.33</v>
      </c>
      <c r="H368" t="n">
        <v>4</v>
      </c>
      <c r="I368" t="n">
        <v>20</v>
      </c>
      <c r="J368" t="n">
        <v>3</v>
      </c>
      <c r="K368" t="n">
        <v>0</v>
      </c>
      <c r="L368" t="n">
        <v>31200</v>
      </c>
      <c r="M368" t="n">
        <v>50000</v>
      </c>
      <c r="N368" t="n">
        <v>33</v>
      </c>
      <c r="O368" t="n">
        <v>0.33</v>
      </c>
      <c r="P368" t="n">
        <v>1</v>
      </c>
      <c r="Q368" t="n">
        <v>0.02</v>
      </c>
      <c r="R368" t="n">
        <v>0</v>
      </c>
      <c r="S368" t="n">
        <v>3630</v>
      </c>
      <c r="T368" t="n">
        <v>7</v>
      </c>
      <c r="U368" t="n">
        <v>8</v>
      </c>
      <c r="V368" t="n">
        <v>30</v>
      </c>
      <c r="W368" t="n">
        <v>3</v>
      </c>
      <c r="X368" t="n">
        <v>55.09641873278237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3342</v>
      </c>
      <c r="AG368" t="n">
        <v>1</v>
      </c>
      <c r="AH368" t="inlineStr">
        <is>
          <t>PT. BERSAMA DISTRIVERSA INDONESIA (DC CIPUTAT)</t>
        </is>
      </c>
      <c r="AI368" t="n">
        <v>76</v>
      </c>
      <c r="AJ368" t="inlineStr">
        <is>
          <t>BEAUTETOX</t>
        </is>
      </c>
      <c r="AK368" t="n">
        <v>9</v>
      </c>
      <c r="AL368" t="inlineStr">
        <is>
          <t>Miss Glam Jambi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BEAUTY OF ANGEL</t>
        </is>
      </c>
      <c r="B369" s="2">
        <f>"8994452610042"</f>
        <v/>
      </c>
      <c r="C369" t="inlineStr">
        <is>
          <t>BEAUTY OF ANGEL Eye Cream Rejuvenate &amp; Revitalize Brightening 15ml</t>
        </is>
      </c>
      <c r="D369" t="inlineStr">
        <is>
          <t>Miss Glam Jambi</t>
        </is>
      </c>
      <c r="E369" t="n">
        <v>14</v>
      </c>
      <c r="F369" t="n">
        <v>0.02</v>
      </c>
      <c r="G369" t="n">
        <v>1</v>
      </c>
      <c r="H369" t="n">
        <v>4</v>
      </c>
      <c r="I369" t="n">
        <v>20</v>
      </c>
      <c r="J369" t="n">
        <v>3</v>
      </c>
      <c r="K369" t="n">
        <v>0</v>
      </c>
      <c r="L369" t="n">
        <v>83727</v>
      </c>
      <c r="M369" t="n">
        <v>103000</v>
      </c>
      <c r="N369" t="n">
        <v>33</v>
      </c>
      <c r="O369" t="n">
        <v>0.33</v>
      </c>
      <c r="P369" t="n">
        <v>0</v>
      </c>
      <c r="Q369" t="n">
        <v>0.02</v>
      </c>
      <c r="R369" t="n">
        <v>1</v>
      </c>
      <c r="S369" t="n">
        <v>2060</v>
      </c>
      <c r="T369" t="n">
        <v>20</v>
      </c>
      <c r="U369" t="n">
        <v>21</v>
      </c>
      <c r="V369" t="n">
        <v>30</v>
      </c>
      <c r="W369" t="n">
        <v>1</v>
      </c>
      <c r="X369" t="n">
        <v>700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3375</v>
      </c>
      <c r="AG369" t="n">
        <v>1</v>
      </c>
      <c r="AH369" t="inlineStr">
        <is>
          <t>PT. BERSAMA DISTRIVERSA INDONESIA (DC CIPUTAT)</t>
        </is>
      </c>
      <c r="AI369" t="n">
        <v>1918</v>
      </c>
      <c r="AJ369" t="inlineStr">
        <is>
          <t>BEAUTY OF ANGEL</t>
        </is>
      </c>
      <c r="AK369" t="n">
        <v>9</v>
      </c>
      <c r="AL369" t="inlineStr">
        <is>
          <t>Miss Glam Jambi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BEAUTYINU</t>
        </is>
      </c>
      <c r="B370" s="2">
        <f>"30200191545"</f>
        <v/>
      </c>
      <c r="C370" t="inlineStr">
        <is>
          <t>BEAUTYINU Brightening Booster Gold Powder Serbuk Pemutih Badan &amp; Wajah 25gr</t>
        </is>
      </c>
      <c r="D370" t="inlineStr">
        <is>
          <t>Miss Glam Jambi</t>
        </is>
      </c>
      <c r="E370" t="n">
        <v>1</v>
      </c>
      <c r="F370" t="n">
        <v>0.0264</v>
      </c>
      <c r="G370" t="n">
        <v>0.33</v>
      </c>
      <c r="H370" t="n">
        <v>4</v>
      </c>
      <c r="I370" t="n">
        <v>20</v>
      </c>
      <c r="J370" t="n">
        <v>1</v>
      </c>
      <c r="K370" t="n">
        <v>0</v>
      </c>
      <c r="L370" t="n">
        <v>28291</v>
      </c>
      <c r="M370" t="n">
        <v>38000</v>
      </c>
      <c r="N370" t="n">
        <v>33</v>
      </c>
      <c r="O370" t="n">
        <v>0.33</v>
      </c>
      <c r="P370" t="n">
        <v>1</v>
      </c>
      <c r="Q370" t="n">
        <v>0.05</v>
      </c>
      <c r="R370" t="n">
        <v>2</v>
      </c>
      <c r="S370" t="n">
        <v>1003.2</v>
      </c>
      <c r="T370" t="n">
        <v>7</v>
      </c>
      <c r="U370" t="n">
        <v>8</v>
      </c>
      <c r="V370" t="n">
        <v>30</v>
      </c>
      <c r="W370" t="n">
        <v>1</v>
      </c>
      <c r="X370" t="n">
        <v>37.87878787878788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3441</v>
      </c>
      <c r="AG370" t="n">
        <v>1</v>
      </c>
      <c r="AH370" t="inlineStr">
        <is>
          <t>PT. BERSAMA DISTRIVERSA INDONESIA (DC CIPUTAT)</t>
        </is>
      </c>
      <c r="AI370" t="n">
        <v>1450</v>
      </c>
      <c r="AJ370" t="inlineStr">
        <is>
          <t>BEAUTYINU</t>
        </is>
      </c>
      <c r="AK370" t="n">
        <v>9</v>
      </c>
      <c r="AL370" t="inlineStr">
        <is>
          <t>Miss Glam Jambi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BEAUTYINU</t>
        </is>
      </c>
      <c r="B371" s="2">
        <f>"30100129707"</f>
        <v/>
      </c>
      <c r="C371" t="inlineStr">
        <is>
          <t>BEAUTYINU Kefir Collagen Soap Bar 60gr</t>
        </is>
      </c>
      <c r="D371" t="inlineStr">
        <is>
          <t>Miss Glam Jambi</t>
        </is>
      </c>
      <c r="E371" t="n">
        <v>18</v>
      </c>
      <c r="F371" t="n">
        <v>0.0165</v>
      </c>
      <c r="G371" t="n">
        <v>0.33</v>
      </c>
      <c r="H371" t="n">
        <v>4</v>
      </c>
      <c r="I371" t="n">
        <v>20</v>
      </c>
      <c r="J371" t="n">
        <v>3</v>
      </c>
      <c r="K371" t="n">
        <v>0</v>
      </c>
      <c r="L371" t="n">
        <v>23701</v>
      </c>
      <c r="M371" t="n">
        <v>30000</v>
      </c>
      <c r="N371" t="n">
        <v>33</v>
      </c>
      <c r="O371" t="n">
        <v>0.33</v>
      </c>
      <c r="P371" t="n">
        <v>1</v>
      </c>
      <c r="Q371" t="n">
        <v>0.07000000000000001</v>
      </c>
      <c r="R371" t="n">
        <v>3</v>
      </c>
      <c r="S371" t="n">
        <v>495</v>
      </c>
      <c r="T371" t="n">
        <v>7</v>
      </c>
      <c r="U371" t="n">
        <v>8</v>
      </c>
      <c r="V371" t="n">
        <v>30</v>
      </c>
      <c r="W371" t="n">
        <v>1</v>
      </c>
      <c r="X371" t="n">
        <v>1090.909090909091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3441</v>
      </c>
      <c r="AG371" t="n">
        <v>1</v>
      </c>
      <c r="AH371" t="inlineStr">
        <is>
          <t>PT. BERSAMA DISTRIVERSA INDONESIA (DC CIPUTAT)</t>
        </is>
      </c>
      <c r="AI371" t="n">
        <v>1450</v>
      </c>
      <c r="AJ371" t="inlineStr">
        <is>
          <t>BEAUTYINU</t>
        </is>
      </c>
      <c r="AK371" t="n">
        <v>9</v>
      </c>
      <c r="AL371" t="inlineStr">
        <is>
          <t>Miss Glam Jambi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"30400485126"</f>
        <v/>
      </c>
      <c r="C372" t="inlineStr">
        <is>
          <t>BEBLISS Body Mist Parfume Creamy Cake 30ml</t>
        </is>
      </c>
      <c r="D372" t="inlineStr">
        <is>
          <t>Miss Glam Jambi</t>
        </is>
      </c>
      <c r="E372" t="n">
        <v>0</v>
      </c>
      <c r="F372" t="n">
        <v>0.2277</v>
      </c>
      <c r="G372" t="n">
        <v>0.99</v>
      </c>
      <c r="H372" t="n">
        <v>4</v>
      </c>
      <c r="I372" t="n">
        <v>20</v>
      </c>
      <c r="J372" t="n">
        <v>1</v>
      </c>
      <c r="K372" t="n">
        <v>6</v>
      </c>
      <c r="L372" t="n">
        <v>6302</v>
      </c>
      <c r="M372" t="n">
        <v>10000</v>
      </c>
      <c r="N372" t="n">
        <v>33</v>
      </c>
      <c r="O372" t="n">
        <v>0.33</v>
      </c>
      <c r="P372" t="n">
        <v>1</v>
      </c>
      <c r="Q372" t="n">
        <v>0.09</v>
      </c>
      <c r="R372" t="n">
        <v>1</v>
      </c>
      <c r="S372" t="n">
        <v>2277</v>
      </c>
      <c r="T372" t="n">
        <v>19</v>
      </c>
      <c r="U372" t="n">
        <v>20</v>
      </c>
      <c r="V372" t="n">
        <v>30</v>
      </c>
      <c r="W372" t="n">
        <v>7</v>
      </c>
      <c r="X372" t="n">
        <v>0</v>
      </c>
      <c r="Y372" t="n">
        <v>1</v>
      </c>
      <c r="Z372" t="n">
        <v>1</v>
      </c>
      <c r="AA372" t="n">
        <v>4</v>
      </c>
      <c r="AB372" t="n">
        <v>0</v>
      </c>
      <c r="AC372" t="n">
        <v>0</v>
      </c>
      <c r="AD372" t="n">
        <v>25208</v>
      </c>
      <c r="AE372" t="n">
        <v>0</v>
      </c>
      <c r="AF372" t="n">
        <v>3474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9</v>
      </c>
      <c r="AL372" t="inlineStr">
        <is>
          <t>Miss Glam Jambi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"30400484842"</f>
        <v/>
      </c>
      <c r="C373" t="inlineStr">
        <is>
          <t>BEBLISS Body Mist Parfume Melted Caramel 30ml</t>
        </is>
      </c>
      <c r="D373" t="inlineStr">
        <is>
          <t>Miss Glam Jambi</t>
        </is>
      </c>
      <c r="E373" t="n">
        <v>10</v>
      </c>
      <c r="F373" t="n">
        <v>0.0825</v>
      </c>
      <c r="G373" t="n">
        <v>0.66</v>
      </c>
      <c r="H373" t="n">
        <v>4</v>
      </c>
      <c r="I373" t="n">
        <v>20</v>
      </c>
      <c r="J373" t="n">
        <v>1</v>
      </c>
      <c r="K373" t="n">
        <v>0</v>
      </c>
      <c r="L373" t="n">
        <v>6302</v>
      </c>
      <c r="M373" t="n">
        <v>10000</v>
      </c>
      <c r="N373" t="n">
        <v>33</v>
      </c>
      <c r="O373" t="n">
        <v>0.33</v>
      </c>
      <c r="P373" t="n">
        <v>1</v>
      </c>
      <c r="Q373" t="n">
        <v>0.12</v>
      </c>
      <c r="R373" t="n">
        <v>1</v>
      </c>
      <c r="S373" t="n">
        <v>825</v>
      </c>
      <c r="T373" t="n">
        <v>13</v>
      </c>
      <c r="U373" t="n">
        <v>14</v>
      </c>
      <c r="V373" t="n">
        <v>30</v>
      </c>
      <c r="W373" t="n">
        <v>3</v>
      </c>
      <c r="X373" t="n">
        <v>121.2121212121212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3474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9</v>
      </c>
      <c r="AL373" t="inlineStr">
        <is>
          <t>Miss Glam Jambi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"30400484940"</f>
        <v/>
      </c>
      <c r="C374" t="inlineStr">
        <is>
          <t>BEBLISS Body Mist Parfume Mood Chocolate 30ml</t>
        </is>
      </c>
      <c r="D374" t="inlineStr">
        <is>
          <t>Miss Glam Jambi</t>
        </is>
      </c>
      <c r="E374" t="n">
        <v>14</v>
      </c>
      <c r="F374" t="n">
        <v>0.0561</v>
      </c>
      <c r="G374" t="n">
        <v>0.66</v>
      </c>
      <c r="H374" t="n">
        <v>4</v>
      </c>
      <c r="I374" t="n">
        <v>20</v>
      </c>
      <c r="J374" t="n">
        <v>1</v>
      </c>
      <c r="K374" t="n">
        <v>0</v>
      </c>
      <c r="L374" t="n">
        <v>6534</v>
      </c>
      <c r="M374" t="n">
        <v>10000</v>
      </c>
      <c r="N374" t="n">
        <v>33</v>
      </c>
      <c r="O374" t="n">
        <v>0.33</v>
      </c>
      <c r="P374" t="n">
        <v>1</v>
      </c>
      <c r="Q374" t="n">
        <v>0.07000000000000001</v>
      </c>
      <c r="R374" t="n">
        <v>1</v>
      </c>
      <c r="S374" t="n">
        <v>561</v>
      </c>
      <c r="T374" t="n">
        <v>13</v>
      </c>
      <c r="U374" t="n">
        <v>14</v>
      </c>
      <c r="V374" t="n">
        <v>30</v>
      </c>
      <c r="W374" t="n">
        <v>2</v>
      </c>
      <c r="X374" t="n">
        <v>249.554367201426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3474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9</v>
      </c>
      <c r="AL374" t="inlineStr">
        <is>
          <t>Miss Glam Jambi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"30400485028"</f>
        <v/>
      </c>
      <c r="C375" t="inlineStr">
        <is>
          <t>BEBLISS Body Mist Parfume O'Milky Cake 30ml</t>
        </is>
      </c>
      <c r="D375" t="inlineStr">
        <is>
          <t>Miss Glam Jambi</t>
        </is>
      </c>
      <c r="E375" t="n">
        <v>19</v>
      </c>
      <c r="F375" t="n">
        <v>0.009900000000000001</v>
      </c>
      <c r="G375" t="n">
        <v>0.66</v>
      </c>
      <c r="H375" t="n">
        <v>4</v>
      </c>
      <c r="I375" t="n">
        <v>20</v>
      </c>
      <c r="J375" t="n">
        <v>1</v>
      </c>
      <c r="K375" t="n">
        <v>0</v>
      </c>
      <c r="L375" t="n">
        <v>6302</v>
      </c>
      <c r="M375" t="n">
        <v>10000</v>
      </c>
      <c r="N375" t="n">
        <v>33</v>
      </c>
      <c r="O375" t="n">
        <v>0.33</v>
      </c>
      <c r="P375" t="n">
        <v>1</v>
      </c>
      <c r="Q375" t="n">
        <v>0.08</v>
      </c>
      <c r="R375" t="n">
        <v>1</v>
      </c>
      <c r="S375" t="n">
        <v>99.00000000000001</v>
      </c>
      <c r="T375" t="n">
        <v>14</v>
      </c>
      <c r="U375" t="n">
        <v>15</v>
      </c>
      <c r="V375" t="n">
        <v>30</v>
      </c>
      <c r="W375" t="n">
        <v>1</v>
      </c>
      <c r="X375" t="n">
        <v>1919.191919191919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3474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9</v>
      </c>
      <c r="AL375" t="inlineStr">
        <is>
          <t>Miss Glam Jambi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BEBLISS</t>
        </is>
      </c>
      <c r="B376" s="2">
        <f>"304002159052"</f>
        <v/>
      </c>
      <c r="C376" t="inlineStr">
        <is>
          <t>BEBLISS Eau De Parfume Butterfly Era Romantic Series 35ml</t>
        </is>
      </c>
      <c r="D376" t="inlineStr">
        <is>
          <t>Miss Glam Jambi</t>
        </is>
      </c>
      <c r="E376" t="n">
        <v>21</v>
      </c>
      <c r="F376" t="n">
        <v>0.2178</v>
      </c>
      <c r="G376" t="n">
        <v>0.99</v>
      </c>
      <c r="H376" t="n">
        <v>4</v>
      </c>
      <c r="I376" t="n">
        <v>20</v>
      </c>
      <c r="J376" t="n">
        <v>1</v>
      </c>
      <c r="K376" t="n">
        <v>0</v>
      </c>
      <c r="L376" t="n">
        <v>16531</v>
      </c>
      <c r="M376" t="n">
        <v>25000</v>
      </c>
      <c r="N376" t="n">
        <v>33</v>
      </c>
      <c r="O376" t="n">
        <v>0.33</v>
      </c>
      <c r="P376" t="n">
        <v>1</v>
      </c>
      <c r="Q376" t="n">
        <v>0.31</v>
      </c>
      <c r="R376" t="n">
        <v>2</v>
      </c>
      <c r="S376" t="n">
        <v>5445.000000000001</v>
      </c>
      <c r="T376" t="n">
        <v>19</v>
      </c>
      <c r="U376" t="n">
        <v>20</v>
      </c>
      <c r="V376" t="n">
        <v>30</v>
      </c>
      <c r="W376" t="n">
        <v>7</v>
      </c>
      <c r="X376" t="n">
        <v>96.41873278236913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3474</v>
      </c>
      <c r="AG376" t="n">
        <v>1</v>
      </c>
      <c r="AH376" t="inlineStr">
        <is>
          <t>PT. BERSAMA DISTRIVERSA INDONESIA (DC CIPUTAT)</t>
        </is>
      </c>
      <c r="AI376" t="n">
        <v>2258</v>
      </c>
      <c r="AJ376" t="inlineStr">
        <is>
          <t>BEBLISS</t>
        </is>
      </c>
      <c r="AK376" t="n">
        <v>9</v>
      </c>
      <c r="AL376" t="inlineStr">
        <is>
          <t>Miss Glam Jambi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BEBLISS</t>
        </is>
      </c>
      <c r="B377" s="2">
        <f>"304002159125"</f>
        <v/>
      </c>
      <c r="C377" t="inlineStr">
        <is>
          <t>BEBLISS Eau De Parfume Keep In Touch Era Romantic Series 35ml</t>
        </is>
      </c>
      <c r="D377" t="inlineStr">
        <is>
          <t>Miss Glam Jambi</t>
        </is>
      </c>
      <c r="E377" t="n">
        <v>16</v>
      </c>
      <c r="F377" t="n">
        <v>0.07920000000000001</v>
      </c>
      <c r="G377" t="n">
        <v>0.66</v>
      </c>
      <c r="H377" t="n">
        <v>4</v>
      </c>
      <c r="I377" t="n">
        <v>20</v>
      </c>
      <c r="J377" t="n">
        <v>1</v>
      </c>
      <c r="K377" t="n">
        <v>0</v>
      </c>
      <c r="L377" t="n">
        <v>15895</v>
      </c>
      <c r="M377" t="n">
        <v>25000</v>
      </c>
      <c r="N377" t="n">
        <v>33</v>
      </c>
      <c r="O377" t="n">
        <v>0.33</v>
      </c>
      <c r="P377" t="n">
        <v>1</v>
      </c>
      <c r="Q377" t="n">
        <v>0.22</v>
      </c>
      <c r="R377" t="n">
        <v>1</v>
      </c>
      <c r="S377" t="n">
        <v>1980</v>
      </c>
      <c r="T377" t="n">
        <v>13</v>
      </c>
      <c r="U377" t="n">
        <v>14</v>
      </c>
      <c r="V377" t="n">
        <v>30</v>
      </c>
      <c r="W377" t="n">
        <v>3</v>
      </c>
      <c r="X377" t="n">
        <v>202.020202020202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3474</v>
      </c>
      <c r="AG377" t="n">
        <v>1</v>
      </c>
      <c r="AH377" t="inlineStr">
        <is>
          <t>PT. BERSAMA DISTRIVERSA INDONESIA (DC CIPUTAT)</t>
        </is>
      </c>
      <c r="AI377" t="n">
        <v>2258</v>
      </c>
      <c r="AJ377" t="inlineStr">
        <is>
          <t>BEBLISS</t>
        </is>
      </c>
      <c r="AK377" t="n">
        <v>9</v>
      </c>
      <c r="AL377" t="inlineStr">
        <is>
          <t>Miss Glam Jambi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BEBLISS</t>
        </is>
      </c>
      <c r="B378" s="2">
        <f>"304002159258"</f>
        <v/>
      </c>
      <c r="C378" t="inlineStr">
        <is>
          <t>BEBLISS Eau De Parfume Timeless Love Era Romantic Series 35ml</t>
        </is>
      </c>
      <c r="D378" t="inlineStr">
        <is>
          <t>Miss Glam Jambi</t>
        </is>
      </c>
      <c r="E378" t="n">
        <v>6</v>
      </c>
      <c r="F378" t="n">
        <v>0.4323</v>
      </c>
      <c r="G378" t="n">
        <v>1.98</v>
      </c>
      <c r="H378" t="n">
        <v>4</v>
      </c>
      <c r="I378" t="n">
        <v>20</v>
      </c>
      <c r="J378" t="n">
        <v>1</v>
      </c>
      <c r="K378" t="n">
        <v>9</v>
      </c>
      <c r="L378" t="n">
        <v>15000</v>
      </c>
      <c r="M378" t="n">
        <v>25000</v>
      </c>
      <c r="N378" t="n">
        <v>33</v>
      </c>
      <c r="O378" t="n">
        <v>0.33</v>
      </c>
      <c r="P378" t="n">
        <v>1</v>
      </c>
      <c r="Q378" t="n">
        <v>0.64</v>
      </c>
      <c r="R378" t="n">
        <v>3</v>
      </c>
      <c r="S378" t="n">
        <v>10807.5</v>
      </c>
      <c r="T378" t="n">
        <v>38</v>
      </c>
      <c r="U378" t="n">
        <v>40</v>
      </c>
      <c r="V378" t="n">
        <v>30</v>
      </c>
      <c r="W378" t="n">
        <v>13</v>
      </c>
      <c r="X378" t="n">
        <v>13.87925052047189</v>
      </c>
      <c r="Y378" t="n">
        <v>1</v>
      </c>
      <c r="Z378" t="n">
        <v>0</v>
      </c>
      <c r="AA378" t="n">
        <v>2</v>
      </c>
      <c r="AB378" t="n">
        <v>0</v>
      </c>
      <c r="AC378" t="n">
        <v>0</v>
      </c>
      <c r="AD378" t="n">
        <v>30000</v>
      </c>
      <c r="AE378" t="n">
        <v>0</v>
      </c>
      <c r="AF378" t="n">
        <v>3474</v>
      </c>
      <c r="AG378" t="n">
        <v>1</v>
      </c>
      <c r="AH378" t="inlineStr">
        <is>
          <t>PT. BERSAMA DISTRIVERSA INDONESIA (DC CIPUTAT)</t>
        </is>
      </c>
      <c r="AI378" t="n">
        <v>2258</v>
      </c>
      <c r="AJ378" t="inlineStr">
        <is>
          <t>BEBLISS</t>
        </is>
      </c>
      <c r="AK378" t="n">
        <v>9</v>
      </c>
      <c r="AL378" t="inlineStr">
        <is>
          <t>Miss Glam Jambi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BEERU</t>
        </is>
      </c>
      <c r="B379" s="2">
        <f>"60100302417"</f>
        <v/>
      </c>
      <c r="C379" t="inlineStr">
        <is>
          <t>BEERU Stevia Natural Sweetener 5ml</t>
        </is>
      </c>
      <c r="D379" t="inlineStr">
        <is>
          <t>Miss Glam Jambi</t>
        </is>
      </c>
      <c r="E379" t="n">
        <v>0</v>
      </c>
      <c r="F379" t="n">
        <v>0.1386</v>
      </c>
      <c r="G379" t="n">
        <v>1.98</v>
      </c>
      <c r="H379" t="n">
        <v>4</v>
      </c>
      <c r="I379" t="n">
        <v>20</v>
      </c>
      <c r="J379" t="n">
        <v>1</v>
      </c>
      <c r="K379" t="n">
        <v>0</v>
      </c>
      <c r="L379" t="n">
        <v>28119</v>
      </c>
      <c r="M379" t="n">
        <v>37000</v>
      </c>
      <c r="N379" t="n">
        <v>33</v>
      </c>
      <c r="O379" t="n">
        <v>0.33</v>
      </c>
      <c r="P379" t="n">
        <v>1</v>
      </c>
      <c r="Q379" t="n">
        <v>0.22</v>
      </c>
      <c r="R379" t="n">
        <v>3</v>
      </c>
      <c r="S379" t="n">
        <v>5128.2</v>
      </c>
      <c r="T379" t="n">
        <v>40</v>
      </c>
      <c r="U379" t="n">
        <v>41</v>
      </c>
      <c r="V379" t="n">
        <v>30</v>
      </c>
      <c r="W379" t="n">
        <v>5</v>
      </c>
      <c r="X379" t="n">
        <v>0</v>
      </c>
      <c r="Y379" t="n">
        <v>1</v>
      </c>
      <c r="Z379" t="n">
        <v>5</v>
      </c>
      <c r="AA379" t="n">
        <v>3</v>
      </c>
      <c r="AB379" t="n">
        <v>2</v>
      </c>
      <c r="AC379" t="n">
        <v>2</v>
      </c>
      <c r="AD379" t="n">
        <v>84357</v>
      </c>
      <c r="AE379" t="n">
        <v>56238</v>
      </c>
      <c r="AF379" t="n">
        <v>3507</v>
      </c>
      <c r="AG379" t="n">
        <v>1</v>
      </c>
      <c r="AH379" t="inlineStr">
        <is>
          <t>PT. BERSAMA DISTRIVERSA INDONESIA (DC CIPUTAT)</t>
        </is>
      </c>
      <c r="AI379" t="n">
        <v>2259</v>
      </c>
      <c r="AJ379" t="inlineStr">
        <is>
          <t>BEERU</t>
        </is>
      </c>
      <c r="AK379" t="n">
        <v>9</v>
      </c>
      <c r="AL379" t="inlineStr">
        <is>
          <t>Miss Glam Jambi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BETADINE</t>
        </is>
      </c>
      <c r="B380" s="2">
        <f>"8992843992111"</f>
        <v/>
      </c>
      <c r="C380" t="inlineStr">
        <is>
          <t>BETADINE Cleanser Povide-lodine 7,5% 100ml</t>
        </is>
      </c>
      <c r="D380" t="inlineStr">
        <is>
          <t>Miss Glam Jambi</t>
        </is>
      </c>
      <c r="E380" t="n">
        <v>0</v>
      </c>
      <c r="F380" t="n">
        <v>0.2277</v>
      </c>
      <c r="G380" t="n">
        <v>1.65</v>
      </c>
      <c r="H380" t="n">
        <v>4</v>
      </c>
      <c r="I380" t="n">
        <v>20</v>
      </c>
      <c r="J380" t="n">
        <v>3</v>
      </c>
      <c r="K380" t="n">
        <v>0</v>
      </c>
      <c r="L380" t="n">
        <v>47287</v>
      </c>
      <c r="M380" t="n">
        <v>79500</v>
      </c>
      <c r="N380" t="n">
        <v>33</v>
      </c>
      <c r="O380" t="n">
        <v>0.33</v>
      </c>
      <c r="P380" t="n">
        <v>1</v>
      </c>
      <c r="Q380" t="n">
        <v>0.07000000000000001</v>
      </c>
      <c r="R380" t="n">
        <v>2</v>
      </c>
      <c r="S380" t="n">
        <v>18102.15</v>
      </c>
      <c r="T380" t="n">
        <v>33</v>
      </c>
      <c r="U380" t="n">
        <v>34</v>
      </c>
      <c r="V380" t="n">
        <v>30</v>
      </c>
      <c r="W380" t="n">
        <v>7</v>
      </c>
      <c r="X380" t="n">
        <v>0</v>
      </c>
      <c r="Y380" t="n">
        <v>1</v>
      </c>
      <c r="Z380" t="n">
        <v>7</v>
      </c>
      <c r="AA380" t="n">
        <v>5</v>
      </c>
      <c r="AB380" t="n">
        <v>2</v>
      </c>
      <c r="AC380" t="n">
        <v>3</v>
      </c>
      <c r="AD380" t="n">
        <v>236435</v>
      </c>
      <c r="AE380" t="n">
        <v>141861</v>
      </c>
      <c r="AF380" t="n">
        <v>3540</v>
      </c>
      <c r="AG380" t="n">
        <v>1</v>
      </c>
      <c r="AH380" t="inlineStr">
        <is>
          <t>PT. BERSAMA DISTRIVERSA INDONESIA (DC CIPUTAT)</t>
        </is>
      </c>
      <c r="AI380" t="n">
        <v>1527</v>
      </c>
      <c r="AJ380" t="inlineStr">
        <is>
          <t>BETADINE</t>
        </is>
      </c>
      <c r="AK380" t="n">
        <v>9</v>
      </c>
      <c r="AL380" t="inlineStr">
        <is>
          <t>Miss Glam Jambi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BETADINE</t>
        </is>
      </c>
      <c r="B381" s="2">
        <f>"8992843100615"</f>
        <v/>
      </c>
      <c r="C381" t="inlineStr">
        <is>
          <t>BETADINE Feminine Hygiene Povidone-Iodine 10% 60ml</t>
        </is>
      </c>
      <c r="D381" t="inlineStr">
        <is>
          <t>Miss Glam Jambi</t>
        </is>
      </c>
      <c r="E381" t="n">
        <v>0</v>
      </c>
      <c r="F381" t="n">
        <v>0.03</v>
      </c>
      <c r="G381" t="n">
        <v>1</v>
      </c>
      <c r="H381" t="n">
        <v>4</v>
      </c>
      <c r="I381" t="n">
        <v>20</v>
      </c>
      <c r="J381" t="n">
        <v>3</v>
      </c>
      <c r="K381" t="n">
        <v>0</v>
      </c>
      <c r="L381" t="n">
        <v>32374</v>
      </c>
      <c r="M381" t="n">
        <v>52500</v>
      </c>
      <c r="N381" t="n">
        <v>33</v>
      </c>
      <c r="O381" t="n">
        <v>0.33</v>
      </c>
      <c r="P381" t="n">
        <v>0</v>
      </c>
      <c r="Q381" t="n">
        <v>0.03</v>
      </c>
      <c r="R381" t="n">
        <v>1</v>
      </c>
      <c r="S381" t="n">
        <v>1575</v>
      </c>
      <c r="T381" t="n">
        <v>20</v>
      </c>
      <c r="U381" t="n">
        <v>21</v>
      </c>
      <c r="V381" t="n">
        <v>30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n">
        <v>0</v>
      </c>
      <c r="AC381" t="n">
        <v>0</v>
      </c>
      <c r="AD381" t="n">
        <v>32374</v>
      </c>
      <c r="AE381" t="n">
        <v>0</v>
      </c>
      <c r="AF381" t="n">
        <v>3540</v>
      </c>
      <c r="AG381" t="n">
        <v>1</v>
      </c>
      <c r="AH381" t="inlineStr">
        <is>
          <t>PT. BERSAMA DISTRIVERSA INDONESIA (DC CIPUTAT)</t>
        </is>
      </c>
      <c r="AI381" t="n">
        <v>1527</v>
      </c>
      <c r="AJ381" t="inlineStr">
        <is>
          <t>BETADINE</t>
        </is>
      </c>
      <c r="AK381" t="n">
        <v>9</v>
      </c>
      <c r="AL381" t="inlineStr">
        <is>
          <t>Miss Glam Jambi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BETADINE</t>
        </is>
      </c>
      <c r="B382" s="2">
        <f>"8859350702209"</f>
        <v/>
      </c>
      <c r="C382" t="inlineStr">
        <is>
          <t>BETADINE Feminine Wash Natural Daun Sirih Radiance Blossom 110ml</t>
        </is>
      </c>
      <c r="D382" t="inlineStr">
        <is>
          <t>Miss Glam Jambi</t>
        </is>
      </c>
      <c r="E382" t="n">
        <v>9</v>
      </c>
      <c r="F382" t="n">
        <v>0.0231</v>
      </c>
      <c r="G382" t="n">
        <v>0.33</v>
      </c>
      <c r="H382" t="n">
        <v>4</v>
      </c>
      <c r="I382" t="n">
        <v>20</v>
      </c>
      <c r="J382" t="n">
        <v>3</v>
      </c>
      <c r="K382" t="n">
        <v>0</v>
      </c>
      <c r="L382" t="n">
        <v>15281</v>
      </c>
      <c r="M382" t="n">
        <v>17000</v>
      </c>
      <c r="N382" t="n">
        <v>33</v>
      </c>
      <c r="O382" t="n">
        <v>0.33</v>
      </c>
      <c r="P382" t="n">
        <v>1</v>
      </c>
      <c r="Q382" t="n">
        <v>0.1</v>
      </c>
      <c r="R382" t="n">
        <v>1</v>
      </c>
      <c r="S382" t="n">
        <v>392.7</v>
      </c>
      <c r="T382" t="n">
        <v>7</v>
      </c>
      <c r="U382" t="n">
        <v>8</v>
      </c>
      <c r="V382" t="n">
        <v>30</v>
      </c>
      <c r="W382" t="n">
        <v>1</v>
      </c>
      <c r="X382" t="n">
        <v>389.6103896103896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3540</v>
      </c>
      <c r="AG382" t="n">
        <v>1</v>
      </c>
      <c r="AH382" t="inlineStr">
        <is>
          <t>PT. BERSAMA DISTRIVERSA INDONESIA (DC CIPUTAT)</t>
        </is>
      </c>
      <c r="AI382" t="n">
        <v>1527</v>
      </c>
      <c r="AJ382" t="inlineStr">
        <is>
          <t>BETADINE</t>
        </is>
      </c>
      <c r="AK382" t="n">
        <v>9</v>
      </c>
      <c r="AL382" t="inlineStr">
        <is>
          <t>Miss Glam Jambi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BETADINE</t>
        </is>
      </c>
      <c r="B383" s="2">
        <f>"8992843121009"</f>
        <v/>
      </c>
      <c r="C383" t="inlineStr">
        <is>
          <t>BETADINE Mouthwash And Gargle Povidone- Iodine 10% 100ml</t>
        </is>
      </c>
      <c r="D383" t="inlineStr">
        <is>
          <t>Miss Glam Jambi</t>
        </is>
      </c>
      <c r="E383" t="n">
        <v>0</v>
      </c>
      <c r="F383" t="n">
        <v>0.04</v>
      </c>
      <c r="G383" t="n">
        <v>1</v>
      </c>
      <c r="H383" t="n">
        <v>4</v>
      </c>
      <c r="I383" t="n">
        <v>20</v>
      </c>
      <c r="J383" t="n">
        <v>1</v>
      </c>
      <c r="K383" t="n">
        <v>0</v>
      </c>
      <c r="L383" t="n">
        <v>20374</v>
      </c>
      <c r="M383" t="n">
        <v>27000</v>
      </c>
      <c r="N383" t="n">
        <v>33</v>
      </c>
      <c r="O383" t="n">
        <v>0.33</v>
      </c>
      <c r="P383" t="n">
        <v>0</v>
      </c>
      <c r="Q383" t="n">
        <v>0.04</v>
      </c>
      <c r="R383" t="n">
        <v>1</v>
      </c>
      <c r="S383" t="n">
        <v>1080</v>
      </c>
      <c r="T383" t="n">
        <v>20</v>
      </c>
      <c r="U383" t="n">
        <v>21</v>
      </c>
      <c r="V383" t="n">
        <v>30</v>
      </c>
      <c r="W383" t="n">
        <v>2</v>
      </c>
      <c r="X383" t="n">
        <v>0</v>
      </c>
      <c r="Y383" t="n">
        <v>1</v>
      </c>
      <c r="Z383" t="n">
        <v>2</v>
      </c>
      <c r="AA383" t="n">
        <v>1</v>
      </c>
      <c r="AB383" t="n">
        <v>1</v>
      </c>
      <c r="AC383" t="n">
        <v>1</v>
      </c>
      <c r="AD383" t="n">
        <v>20374</v>
      </c>
      <c r="AE383" t="n">
        <v>20374</v>
      </c>
      <c r="AF383" t="n">
        <v>3540</v>
      </c>
      <c r="AG383" t="n">
        <v>1</v>
      </c>
      <c r="AH383" t="inlineStr">
        <is>
          <t>PT. BERSAMA DISTRIVERSA INDONESIA (DC CIPUTAT)</t>
        </is>
      </c>
      <c r="AI383" t="n">
        <v>1527</v>
      </c>
      <c r="AJ383" t="inlineStr">
        <is>
          <t>BETADINE</t>
        </is>
      </c>
      <c r="AK383" t="n">
        <v>9</v>
      </c>
      <c r="AL383" t="inlineStr">
        <is>
          <t>Miss Glam Jambi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 2</t>
        </is>
      </c>
      <c r="B384" s="2">
        <f>"9555348108136"</f>
        <v/>
      </c>
      <c r="C384" t="inlineStr">
        <is>
          <t>BIO 2 Anti Frizz Serum Vitamin Rambut 200ml</t>
        </is>
      </c>
      <c r="D384" t="inlineStr">
        <is>
          <t>Miss Glam Jambi</t>
        </is>
      </c>
      <c r="E384" t="n">
        <v>5</v>
      </c>
      <c r="F384" t="n">
        <v>0.264</v>
      </c>
      <c r="G384" t="n">
        <v>1.32</v>
      </c>
      <c r="H384" t="n">
        <v>6</v>
      </c>
      <c r="I384" t="n">
        <v>12</v>
      </c>
      <c r="J384" t="n">
        <v>3</v>
      </c>
      <c r="K384" t="n">
        <v>0</v>
      </c>
      <c r="L384" t="n">
        <v>32850</v>
      </c>
      <c r="M384" t="n">
        <v>45000</v>
      </c>
      <c r="N384" t="n">
        <v>33</v>
      </c>
      <c r="O384" t="n">
        <v>0.33</v>
      </c>
      <c r="P384" t="n">
        <v>1</v>
      </c>
      <c r="Q384" t="n">
        <v>0.02</v>
      </c>
      <c r="R384" t="n">
        <v>1</v>
      </c>
      <c r="S384" t="n">
        <v>11880</v>
      </c>
      <c r="T384" t="n">
        <v>15</v>
      </c>
      <c r="U384" t="n">
        <v>17</v>
      </c>
      <c r="V384" t="n">
        <v>30</v>
      </c>
      <c r="W384" t="n">
        <v>8</v>
      </c>
      <c r="X384" t="n">
        <v>18.93939393939394</v>
      </c>
      <c r="Y384" t="n">
        <v>1</v>
      </c>
      <c r="Z384" t="n">
        <v>3</v>
      </c>
      <c r="AA384" t="n">
        <v>0</v>
      </c>
      <c r="AB384" t="n">
        <v>3</v>
      </c>
      <c r="AC384" t="n">
        <v>3</v>
      </c>
      <c r="AD384" t="n">
        <v>0</v>
      </c>
      <c r="AE384" t="n">
        <v>98550</v>
      </c>
      <c r="AF384" t="n">
        <v>342</v>
      </c>
      <c r="AG384" t="n">
        <v>107</v>
      </c>
      <c r="AH384" t="inlineStr">
        <is>
          <t xml:space="preserve">CV. DAHLIA - PPN (PDG) </t>
        </is>
      </c>
      <c r="AI384" t="n">
        <v>358</v>
      </c>
      <c r="AJ384" t="inlineStr">
        <is>
          <t>BIO 2</t>
        </is>
      </c>
      <c r="AK384" t="n">
        <v>9</v>
      </c>
      <c r="AL384" t="inlineStr">
        <is>
          <t>Miss Glam Jambi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"9555416900761"</f>
        <v/>
      </c>
      <c r="C385" t="inlineStr">
        <is>
          <t>BIO 2 Color Care Hijab Hair Vitamin Rambut 200ml</t>
        </is>
      </c>
      <c r="D385" t="inlineStr">
        <is>
          <t>Miss Glam Jambi</t>
        </is>
      </c>
      <c r="E385" t="n">
        <v>9</v>
      </c>
      <c r="F385" t="n">
        <v>0.1683</v>
      </c>
      <c r="G385" t="n">
        <v>0.66</v>
      </c>
      <c r="H385" t="n">
        <v>6</v>
      </c>
      <c r="I385" t="n">
        <v>12</v>
      </c>
      <c r="J385" t="n">
        <v>3</v>
      </c>
      <c r="K385" t="n">
        <v>0</v>
      </c>
      <c r="L385" t="n">
        <v>33300</v>
      </c>
      <c r="M385" t="n">
        <v>44700</v>
      </c>
      <c r="N385" t="n">
        <v>33</v>
      </c>
      <c r="O385" t="n">
        <v>0.33</v>
      </c>
      <c r="P385" t="n">
        <v>1</v>
      </c>
      <c r="Q385" t="n">
        <v>0.05</v>
      </c>
      <c r="R385" t="n">
        <v>1</v>
      </c>
      <c r="S385" t="n">
        <v>7523.01</v>
      </c>
      <c r="T385" t="n">
        <v>7</v>
      </c>
      <c r="U385" t="n">
        <v>9</v>
      </c>
      <c r="V385" t="n">
        <v>30</v>
      </c>
      <c r="W385" t="n">
        <v>6</v>
      </c>
      <c r="X385" t="n">
        <v>53.47593582887701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342</v>
      </c>
      <c r="AG385" t="n">
        <v>107</v>
      </c>
      <c r="AH385" t="inlineStr">
        <is>
          <t xml:space="preserve">CV. DAHLIA - PPN (PDG) </t>
        </is>
      </c>
      <c r="AI385" t="n">
        <v>358</v>
      </c>
      <c r="AJ385" t="inlineStr">
        <is>
          <t>BIO 2</t>
        </is>
      </c>
      <c r="AK385" t="n">
        <v>9</v>
      </c>
      <c r="AL385" t="inlineStr">
        <is>
          <t>Miss Glam Jambi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"9555416902673"</f>
        <v/>
      </c>
      <c r="C386" t="inlineStr">
        <is>
          <t>BIO 2 Crystalizing Hair Care Serum Blue 70ml</t>
        </is>
      </c>
      <c r="D386" t="inlineStr">
        <is>
          <t>Miss Glam Jambi</t>
        </is>
      </c>
      <c r="E386" t="n">
        <v>11</v>
      </c>
      <c r="F386" t="n">
        <v>0.3531</v>
      </c>
      <c r="G386" t="n">
        <v>1.65</v>
      </c>
      <c r="H386" t="n">
        <v>6</v>
      </c>
      <c r="I386" t="n">
        <v>12</v>
      </c>
      <c r="J386" t="n">
        <v>3</v>
      </c>
      <c r="K386" t="n">
        <v>0</v>
      </c>
      <c r="L386" t="n">
        <v>21600</v>
      </c>
      <c r="M386" t="n">
        <v>25000</v>
      </c>
      <c r="N386" t="n">
        <v>33</v>
      </c>
      <c r="O386" t="n">
        <v>0.33</v>
      </c>
      <c r="P386" t="n">
        <v>1</v>
      </c>
      <c r="Q386" t="n">
        <v>0.02</v>
      </c>
      <c r="R386" t="n">
        <v>0</v>
      </c>
      <c r="S386" t="n">
        <v>8827.5</v>
      </c>
      <c r="T386" t="n">
        <v>18</v>
      </c>
      <c r="U386" t="n">
        <v>21</v>
      </c>
      <c r="V386" t="n">
        <v>30</v>
      </c>
      <c r="W386" t="n">
        <v>11</v>
      </c>
      <c r="X386" t="n">
        <v>31.15264797507788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342</v>
      </c>
      <c r="AG386" t="n">
        <v>107</v>
      </c>
      <c r="AH386" t="inlineStr">
        <is>
          <t xml:space="preserve">CV. DAHLIA - PPN (PDG) </t>
        </is>
      </c>
      <c r="AI386" t="n">
        <v>358</v>
      </c>
      <c r="AJ386" t="inlineStr">
        <is>
          <t>BIO 2</t>
        </is>
      </c>
      <c r="AK386" t="n">
        <v>9</v>
      </c>
      <c r="AL386" t="inlineStr">
        <is>
          <t>Miss Glam Jambi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2</t>
        </is>
      </c>
      <c r="B387" s="2">
        <f>"9555348108129"</f>
        <v/>
      </c>
      <c r="C387" t="inlineStr">
        <is>
          <t>BIO2 Color Care Serum Merah 200ml</t>
        </is>
      </c>
      <c r="D387" t="inlineStr">
        <is>
          <t>Miss Glam Jambi</t>
        </is>
      </c>
      <c r="E387" t="n">
        <v>8</v>
      </c>
      <c r="F387" t="n">
        <v>0.3135</v>
      </c>
      <c r="G387" t="n">
        <v>1.32</v>
      </c>
      <c r="H387" t="n">
        <v>6</v>
      </c>
      <c r="I387" t="n">
        <v>12</v>
      </c>
      <c r="J387" t="n">
        <v>3</v>
      </c>
      <c r="K387" t="n">
        <v>0</v>
      </c>
      <c r="L387" t="n">
        <v>33300</v>
      </c>
      <c r="M387" t="n">
        <v>44000</v>
      </c>
      <c r="N387" t="n">
        <v>33</v>
      </c>
      <c r="O387" t="n">
        <v>0.33</v>
      </c>
      <c r="P387" t="n">
        <v>1</v>
      </c>
      <c r="Q387" t="n">
        <v>0.08</v>
      </c>
      <c r="R387" t="n">
        <v>1</v>
      </c>
      <c r="S387" t="n">
        <v>13794</v>
      </c>
      <c r="T387" t="n">
        <v>14</v>
      </c>
      <c r="U387" t="n">
        <v>16</v>
      </c>
      <c r="V387" t="n">
        <v>30</v>
      </c>
      <c r="W387" t="n">
        <v>10</v>
      </c>
      <c r="X387" t="n">
        <v>25.51834130781499</v>
      </c>
      <c r="Y387" t="n">
        <v>1</v>
      </c>
      <c r="Z387" t="n">
        <v>2</v>
      </c>
      <c r="AA387" t="n">
        <v>0</v>
      </c>
      <c r="AB387" t="n">
        <v>2</v>
      </c>
      <c r="AC387" t="n">
        <v>3</v>
      </c>
      <c r="AD387" t="n">
        <v>0</v>
      </c>
      <c r="AE387" t="n">
        <v>99900</v>
      </c>
      <c r="AF387" t="n">
        <v>342</v>
      </c>
      <c r="AG387" t="n">
        <v>107</v>
      </c>
      <c r="AH387" t="inlineStr">
        <is>
          <t xml:space="preserve">CV. DAHLIA - PPN (PDG) </t>
        </is>
      </c>
      <c r="AI387" t="n">
        <v>358</v>
      </c>
      <c r="AJ387" t="inlineStr">
        <is>
          <t>BIO 2</t>
        </is>
      </c>
      <c r="AK387" t="n">
        <v>9</v>
      </c>
      <c r="AL387" t="inlineStr">
        <is>
          <t>Miss Glam Jambi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2</t>
        </is>
      </c>
      <c r="B388" s="2">
        <f>"9555348108112"</f>
        <v/>
      </c>
      <c r="C388" t="inlineStr">
        <is>
          <t>BIO2 Hair Care Serum Biru 200ml</t>
        </is>
      </c>
      <c r="D388" t="inlineStr">
        <is>
          <t>Miss Glam Jambi</t>
        </is>
      </c>
      <c r="E388" t="n">
        <v>9</v>
      </c>
      <c r="F388" t="n">
        <v>0.2739</v>
      </c>
      <c r="G388" t="n">
        <v>1.65</v>
      </c>
      <c r="H388" t="n">
        <v>6</v>
      </c>
      <c r="I388" t="n">
        <v>12</v>
      </c>
      <c r="J388" t="n">
        <v>3</v>
      </c>
      <c r="K388" t="n">
        <v>0</v>
      </c>
      <c r="L388" t="n">
        <v>33300</v>
      </c>
      <c r="M388" t="n">
        <v>44000</v>
      </c>
      <c r="N388" t="n">
        <v>33</v>
      </c>
      <c r="O388" t="n">
        <v>0.33</v>
      </c>
      <c r="P388" t="n">
        <v>1</v>
      </c>
      <c r="Q388" t="n">
        <v>0.05</v>
      </c>
      <c r="R388" t="n">
        <v>1</v>
      </c>
      <c r="S388" t="n">
        <v>12051.6</v>
      </c>
      <c r="T388" t="n">
        <v>19</v>
      </c>
      <c r="U388" t="n">
        <v>21</v>
      </c>
      <c r="V388" t="n">
        <v>30</v>
      </c>
      <c r="W388" t="n">
        <v>9</v>
      </c>
      <c r="X388" t="n">
        <v>32.85870755750274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342</v>
      </c>
      <c r="AG388" t="n">
        <v>107</v>
      </c>
      <c r="AH388" t="inlineStr">
        <is>
          <t xml:space="preserve">CV. DAHLIA - PPN (PDG) </t>
        </is>
      </c>
      <c r="AI388" t="n">
        <v>358</v>
      </c>
      <c r="AJ388" t="inlineStr">
        <is>
          <t>BIO 2</t>
        </is>
      </c>
      <c r="AK388" t="n">
        <v>9</v>
      </c>
      <c r="AL388" t="inlineStr">
        <is>
          <t>Miss Glam Jambi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 2</t>
        </is>
      </c>
      <c r="B389" s="2">
        <f>"9555900416747"</f>
        <v/>
      </c>
      <c r="C389" t="inlineStr">
        <is>
          <t>BIO2 Hair Care Serum White 200ml</t>
        </is>
      </c>
      <c r="D389" t="inlineStr">
        <is>
          <t>Miss Glam Jambi</t>
        </is>
      </c>
      <c r="E389" t="n">
        <v>5</v>
      </c>
      <c r="F389" t="n">
        <v>0.2475</v>
      </c>
      <c r="G389" t="n">
        <v>1.32</v>
      </c>
      <c r="H389" t="n">
        <v>6</v>
      </c>
      <c r="I389" t="n">
        <v>12</v>
      </c>
      <c r="J389" t="n">
        <v>3</v>
      </c>
      <c r="K389" t="n">
        <v>0</v>
      </c>
      <c r="L389" t="n">
        <v>33300</v>
      </c>
      <c r="M389" t="n">
        <v>45000</v>
      </c>
      <c r="N389" t="n">
        <v>33</v>
      </c>
      <c r="O389" t="n">
        <v>0.33</v>
      </c>
      <c r="P389" t="n">
        <v>1</v>
      </c>
      <c r="Q389" t="n">
        <v>0.12</v>
      </c>
      <c r="R389" t="n">
        <v>1</v>
      </c>
      <c r="S389" t="n">
        <v>11137.5</v>
      </c>
      <c r="T389" t="n">
        <v>15</v>
      </c>
      <c r="U389" t="n">
        <v>17</v>
      </c>
      <c r="V389" t="n">
        <v>30</v>
      </c>
      <c r="W389" t="n">
        <v>8</v>
      </c>
      <c r="X389" t="n">
        <v>20.2020202020202</v>
      </c>
      <c r="Y389" t="n">
        <v>1</v>
      </c>
      <c r="Z389" t="n">
        <v>3</v>
      </c>
      <c r="AA389" t="n">
        <v>0</v>
      </c>
      <c r="AB389" t="n">
        <v>3</v>
      </c>
      <c r="AC389" t="n">
        <v>3</v>
      </c>
      <c r="AD389" t="n">
        <v>0</v>
      </c>
      <c r="AE389" t="n">
        <v>99900</v>
      </c>
      <c r="AF389" t="n">
        <v>342</v>
      </c>
      <c r="AG389" t="n">
        <v>107</v>
      </c>
      <c r="AH389" t="inlineStr">
        <is>
          <t xml:space="preserve">CV. DAHLIA - PPN (PDG) </t>
        </is>
      </c>
      <c r="AI389" t="n">
        <v>358</v>
      </c>
      <c r="AJ389" t="inlineStr">
        <is>
          <t>BIO 2</t>
        </is>
      </c>
      <c r="AK389" t="n">
        <v>9</v>
      </c>
      <c r="AL389" t="inlineStr">
        <is>
          <t>Miss Glam Jambi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 HERBAL</t>
        </is>
      </c>
      <c r="B390" s="2">
        <f>"8997019532788"</f>
        <v/>
      </c>
      <c r="C390" t="inlineStr">
        <is>
          <t>BIO HERBAL Foot &amp; Heel Cream 50gr</t>
        </is>
      </c>
      <c r="D390" t="inlineStr">
        <is>
          <t>Miss Glam Jambi</t>
        </is>
      </c>
      <c r="E390" t="n">
        <v>1</v>
      </c>
      <c r="F390" t="n">
        <v>0.02</v>
      </c>
      <c r="G390" t="n">
        <v>1</v>
      </c>
      <c r="H390" t="n">
        <v>4</v>
      </c>
      <c r="I390" t="n">
        <v>20</v>
      </c>
      <c r="J390" t="n">
        <v>3</v>
      </c>
      <c r="K390" t="n">
        <v>0</v>
      </c>
      <c r="L390" t="n">
        <v>24688</v>
      </c>
      <c r="M390" t="n">
        <v>35000</v>
      </c>
      <c r="N390" t="n">
        <v>33</v>
      </c>
      <c r="O390" t="n">
        <v>0.33</v>
      </c>
      <c r="P390" t="n">
        <v>0</v>
      </c>
      <c r="Q390" t="n">
        <v>0.02</v>
      </c>
      <c r="R390" t="n">
        <v>1</v>
      </c>
      <c r="S390" t="n">
        <v>700</v>
      </c>
      <c r="T390" t="n">
        <v>20</v>
      </c>
      <c r="U390" t="n">
        <v>21</v>
      </c>
      <c r="V390" t="n">
        <v>30</v>
      </c>
      <c r="W390" t="n">
        <v>1</v>
      </c>
      <c r="X390" t="n">
        <v>50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3606</v>
      </c>
      <c r="AG390" t="n">
        <v>1</v>
      </c>
      <c r="AH390" t="inlineStr">
        <is>
          <t>PT. BERSAMA DISTRIVERSA INDONESIA (DC CIPUTAT)</t>
        </is>
      </c>
      <c r="AI390" t="n">
        <v>1016</v>
      </c>
      <c r="AJ390" t="inlineStr">
        <is>
          <t>BIO HERBAL</t>
        </is>
      </c>
      <c r="AK390" t="n">
        <v>9</v>
      </c>
      <c r="AL390" t="inlineStr">
        <is>
          <t>Miss Glam Jambi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 HERBAL</t>
        </is>
      </c>
      <c r="B391" s="2">
        <f>"8997019532474"</f>
        <v/>
      </c>
      <c r="C391" t="inlineStr">
        <is>
          <t>BIO HERBAL Foot Spray 60ml</t>
        </is>
      </c>
      <c r="D391" t="inlineStr">
        <is>
          <t>Miss Glam Jambi</t>
        </is>
      </c>
      <c r="E391" t="n">
        <v>2</v>
      </c>
      <c r="F391" t="n">
        <v>0.03</v>
      </c>
      <c r="G391" t="n">
        <v>1</v>
      </c>
      <c r="H391" t="n">
        <v>4</v>
      </c>
      <c r="I391" t="n">
        <v>20</v>
      </c>
      <c r="J391" t="n">
        <v>3</v>
      </c>
      <c r="K391" t="n">
        <v>0</v>
      </c>
      <c r="L391" t="n">
        <v>23279</v>
      </c>
      <c r="M391" t="n">
        <v>29500</v>
      </c>
      <c r="N391" t="n">
        <v>33</v>
      </c>
      <c r="O391" t="n">
        <v>0.33</v>
      </c>
      <c r="P391" t="n">
        <v>0</v>
      </c>
      <c r="Q391" t="n">
        <v>0.03</v>
      </c>
      <c r="R391" t="n">
        <v>1</v>
      </c>
      <c r="S391" t="n">
        <v>885</v>
      </c>
      <c r="T391" t="n">
        <v>20</v>
      </c>
      <c r="U391" t="n">
        <v>21</v>
      </c>
      <c r="V391" t="n">
        <v>30</v>
      </c>
      <c r="W391" t="n">
        <v>1</v>
      </c>
      <c r="X391" t="n">
        <v>66.66666666666667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3606</v>
      </c>
      <c r="AG391" t="n">
        <v>1</v>
      </c>
      <c r="AH391" t="inlineStr">
        <is>
          <t>PT. BERSAMA DISTRIVERSA INDONESIA (DC CIPUTAT)</t>
        </is>
      </c>
      <c r="AI391" t="n">
        <v>1016</v>
      </c>
      <c r="AJ391" t="inlineStr">
        <is>
          <t>BIO HERBAL</t>
        </is>
      </c>
      <c r="AK391" t="n">
        <v>9</v>
      </c>
      <c r="AL391" t="inlineStr">
        <is>
          <t>Miss Glam Jambi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 HERBAL</t>
        </is>
      </c>
      <c r="B392" s="2">
        <f>"8997019532221"</f>
        <v/>
      </c>
      <c r="C392" t="inlineStr">
        <is>
          <t>BIO HERBAL Ginseng Shampoo 250ml</t>
        </is>
      </c>
      <c r="D392" t="inlineStr">
        <is>
          <t>Miss Glam Jambi</t>
        </is>
      </c>
      <c r="E392" t="n">
        <v>4</v>
      </c>
      <c r="F392" t="n">
        <v>0.0165</v>
      </c>
      <c r="G392" t="n">
        <v>0.33</v>
      </c>
      <c r="H392" t="n">
        <v>4</v>
      </c>
      <c r="I392" t="n">
        <v>20</v>
      </c>
      <c r="J392" t="n">
        <v>3</v>
      </c>
      <c r="K392" t="n">
        <v>0</v>
      </c>
      <c r="L392" t="n">
        <v>39210</v>
      </c>
      <c r="M392" t="n">
        <v>52000</v>
      </c>
      <c r="N392" t="n">
        <v>33</v>
      </c>
      <c r="O392" t="n">
        <v>0.33</v>
      </c>
      <c r="P392" t="n">
        <v>1</v>
      </c>
      <c r="Q392" t="n">
        <v>0.02</v>
      </c>
      <c r="R392" t="n">
        <v>1</v>
      </c>
      <c r="S392" t="n">
        <v>858</v>
      </c>
      <c r="T392" t="n">
        <v>7</v>
      </c>
      <c r="U392" t="n">
        <v>8</v>
      </c>
      <c r="V392" t="n">
        <v>30</v>
      </c>
      <c r="W392" t="n">
        <v>1</v>
      </c>
      <c r="X392" t="n">
        <v>242.4242424242424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3606</v>
      </c>
      <c r="AG392" t="n">
        <v>1</v>
      </c>
      <c r="AH392" t="inlineStr">
        <is>
          <t>PT. BERSAMA DISTRIVERSA INDONESIA (DC CIPUTAT)</t>
        </is>
      </c>
      <c r="AI392" t="n">
        <v>1016</v>
      </c>
      <c r="AJ392" t="inlineStr">
        <is>
          <t>BIO HERBAL</t>
        </is>
      </c>
      <c r="AK392" t="n">
        <v>9</v>
      </c>
      <c r="AL392" t="inlineStr">
        <is>
          <t>Miss Glam Jambi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BIO-OIL</t>
        </is>
      </c>
      <c r="B393" s="2">
        <f>"6001159121787"</f>
        <v/>
      </c>
      <c r="C393" t="inlineStr">
        <is>
          <t>BIO OIL Gel Kulit Kering 50ml</t>
        </is>
      </c>
      <c r="D393" t="inlineStr">
        <is>
          <t>Miss Glam Jambi</t>
        </is>
      </c>
      <c r="E393" t="n">
        <v>2</v>
      </c>
      <c r="F393" t="n">
        <v>0.033</v>
      </c>
      <c r="G393" t="n">
        <v>0.66</v>
      </c>
      <c r="H393" t="n">
        <v>5</v>
      </c>
      <c r="I393" t="n">
        <v>5</v>
      </c>
      <c r="J393" t="n">
        <v>3</v>
      </c>
      <c r="K393" t="n">
        <v>0</v>
      </c>
      <c r="L393" t="n">
        <v>78400</v>
      </c>
      <c r="M393" t="n">
        <v>98000</v>
      </c>
      <c r="N393" t="n">
        <v>33</v>
      </c>
      <c r="O393" t="n">
        <v>0.33</v>
      </c>
      <c r="P393" t="n">
        <v>1</v>
      </c>
      <c r="Q393" t="n">
        <v>0.03</v>
      </c>
      <c r="R393" t="n">
        <v>1</v>
      </c>
      <c r="S393" t="n">
        <v>3234</v>
      </c>
      <c r="T393" t="n">
        <v>4</v>
      </c>
      <c r="U393" t="n">
        <v>5</v>
      </c>
      <c r="V393" t="n">
        <v>30</v>
      </c>
      <c r="W393" t="n">
        <v>1</v>
      </c>
      <c r="X393" t="n">
        <v>60.6060606060606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12077</v>
      </c>
      <c r="AG393" t="n">
        <v>2188</v>
      </c>
      <c r="AH393" t="inlineStr">
        <is>
          <t>PT. RADIANT SENTRAL NUTRINDO - PPN (JMB)</t>
        </is>
      </c>
      <c r="AI393" t="n">
        <v>41</v>
      </c>
      <c r="AJ393" t="inlineStr">
        <is>
          <t>BIO-OIL</t>
        </is>
      </c>
      <c r="AK393" t="n">
        <v>9</v>
      </c>
      <c r="AL393" t="inlineStr">
        <is>
          <t>Miss Glam Jambi</t>
        </is>
      </c>
      <c r="AM393" t="n">
        <v>5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BIO-OIL</t>
        </is>
      </c>
      <c r="B394" s="2">
        <f>"6001159125488"</f>
        <v/>
      </c>
      <c r="C394" t="inlineStr">
        <is>
          <t>BIO-OIL Skin Care (Natural) Oil 25ml</t>
        </is>
      </c>
      <c r="D394" t="inlineStr">
        <is>
          <t>Miss Glam Jambi</t>
        </is>
      </c>
      <c r="E394" t="n">
        <v>3</v>
      </c>
      <c r="F394" t="n">
        <v>0.0561</v>
      </c>
      <c r="G394" t="n">
        <v>0.33</v>
      </c>
      <c r="H394" t="n">
        <v>5</v>
      </c>
      <c r="I394" t="n">
        <v>5</v>
      </c>
      <c r="J394" t="n">
        <v>3</v>
      </c>
      <c r="K394" t="n">
        <v>0</v>
      </c>
      <c r="L394" t="n">
        <v>80000</v>
      </c>
      <c r="M394" t="n">
        <v>98000</v>
      </c>
      <c r="N394" t="n">
        <v>33</v>
      </c>
      <c r="O394" t="n">
        <v>0.33</v>
      </c>
      <c r="P394" t="n">
        <v>1</v>
      </c>
      <c r="Q394" t="n">
        <v>0.02</v>
      </c>
      <c r="R394" t="n">
        <v>0</v>
      </c>
      <c r="S394" t="n">
        <v>5497.8</v>
      </c>
      <c r="T394" t="n">
        <v>2</v>
      </c>
      <c r="U394" t="n">
        <v>3</v>
      </c>
      <c r="V394" t="n">
        <v>30</v>
      </c>
      <c r="W394" t="n">
        <v>2</v>
      </c>
      <c r="X394" t="n">
        <v>53.475935828877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12077</v>
      </c>
      <c r="AG394" t="n">
        <v>2188</v>
      </c>
      <c r="AH394" t="inlineStr">
        <is>
          <t>PT. RADIANT SENTRAL NUTRINDO - PPN (JMB)</t>
        </is>
      </c>
      <c r="AI394" t="n">
        <v>41</v>
      </c>
      <c r="AJ394" t="inlineStr">
        <is>
          <t>BIO-OIL</t>
        </is>
      </c>
      <c r="AK394" t="n">
        <v>9</v>
      </c>
      <c r="AL394" t="inlineStr">
        <is>
          <t>Miss Glam Jambi</t>
        </is>
      </c>
      <c r="AM394" t="n">
        <v>5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BIO-OIL</t>
        </is>
      </c>
      <c r="B395" s="2">
        <f>"6001159113744"</f>
        <v/>
      </c>
      <c r="C395" t="inlineStr">
        <is>
          <t>BIO-OIL Skincare Oil 125ml</t>
        </is>
      </c>
      <c r="D395" t="inlineStr">
        <is>
          <t>Miss Glam Jambi</t>
        </is>
      </c>
      <c r="E395" t="n">
        <v>7</v>
      </c>
      <c r="F395" t="n">
        <v>0.0231</v>
      </c>
      <c r="G395" t="n">
        <v>0.33</v>
      </c>
      <c r="H395" t="n">
        <v>5</v>
      </c>
      <c r="I395" t="n">
        <v>5</v>
      </c>
      <c r="J395" t="n">
        <v>3</v>
      </c>
      <c r="K395" t="n">
        <v>0</v>
      </c>
      <c r="L395" t="n">
        <v>226400</v>
      </c>
      <c r="M395" t="n">
        <v>283000</v>
      </c>
      <c r="N395" t="n">
        <v>33</v>
      </c>
      <c r="O395" t="n">
        <v>0.33</v>
      </c>
      <c r="P395" t="n">
        <v>1</v>
      </c>
      <c r="Q395" t="n">
        <v>0.02</v>
      </c>
      <c r="R395" t="n">
        <v>1</v>
      </c>
      <c r="S395" t="n">
        <v>6537.300000000001</v>
      </c>
      <c r="T395" t="n">
        <v>2</v>
      </c>
      <c r="U395" t="n">
        <v>3</v>
      </c>
      <c r="V395" t="n">
        <v>30</v>
      </c>
      <c r="W395" t="n">
        <v>1</v>
      </c>
      <c r="X395" t="n">
        <v>303.030303030303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12077</v>
      </c>
      <c r="AG395" t="n">
        <v>2188</v>
      </c>
      <c r="AH395" t="inlineStr">
        <is>
          <t>PT. RADIANT SENTRAL NUTRINDO - PPN (JMB)</t>
        </is>
      </c>
      <c r="AI395" t="n">
        <v>41</v>
      </c>
      <c r="AJ395" t="inlineStr">
        <is>
          <t>BIO-OIL</t>
        </is>
      </c>
      <c r="AK395" t="n">
        <v>9</v>
      </c>
      <c r="AL395" t="inlineStr">
        <is>
          <t>Miss Glam Jambi</t>
        </is>
      </c>
      <c r="AM395" t="n">
        <v>5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BIO-OIL</t>
        </is>
      </c>
      <c r="B396" s="2">
        <f>"6001159116684"</f>
        <v/>
      </c>
      <c r="C396" t="inlineStr">
        <is>
          <t>BIO-OIL Skincare Oil 25ml</t>
        </is>
      </c>
      <c r="D396" t="inlineStr">
        <is>
          <t>Miss Glam Jambi</t>
        </is>
      </c>
      <c r="E396" t="n">
        <v>7</v>
      </c>
      <c r="F396" t="n">
        <v>0.07000000000000001</v>
      </c>
      <c r="G396" t="n">
        <v>1</v>
      </c>
      <c r="H396" t="n">
        <v>5</v>
      </c>
      <c r="I396" t="n">
        <v>5</v>
      </c>
      <c r="J396" t="n">
        <v>3</v>
      </c>
      <c r="K396" t="n">
        <v>0</v>
      </c>
      <c r="L396" t="n">
        <v>68000</v>
      </c>
      <c r="M396" t="n">
        <v>84000</v>
      </c>
      <c r="N396" t="n">
        <v>33</v>
      </c>
      <c r="O396" t="n">
        <v>0.33</v>
      </c>
      <c r="P396" t="n">
        <v>0</v>
      </c>
      <c r="Q396" t="n">
        <v>0.07000000000000001</v>
      </c>
      <c r="R396" t="n">
        <v>1</v>
      </c>
      <c r="S396" t="n">
        <v>5880.000000000001</v>
      </c>
      <c r="T396" t="n">
        <v>5</v>
      </c>
      <c r="U396" t="n">
        <v>6</v>
      </c>
      <c r="V396" t="n">
        <v>30</v>
      </c>
      <c r="W396" t="n">
        <v>3</v>
      </c>
      <c r="X396" t="n">
        <v>99.99999999999999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12077</v>
      </c>
      <c r="AG396" t="n">
        <v>2188</v>
      </c>
      <c r="AH396" t="inlineStr">
        <is>
          <t>PT. RADIANT SENTRAL NUTRINDO - PPN (JMB)</t>
        </is>
      </c>
      <c r="AI396" t="n">
        <v>41</v>
      </c>
      <c r="AJ396" t="inlineStr">
        <is>
          <t>BIO-OIL</t>
        </is>
      </c>
      <c r="AK396" t="n">
        <v>9</v>
      </c>
      <c r="AL396" t="inlineStr">
        <is>
          <t>Miss Glam Jambi</t>
        </is>
      </c>
      <c r="AM396" t="n">
        <v>5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BIO-OIL</t>
        </is>
      </c>
      <c r="B397" s="2">
        <f>"6001159113737"</f>
        <v/>
      </c>
      <c r="C397" t="inlineStr">
        <is>
          <t>BIO-OIL Skincare Oil 60ml</t>
        </is>
      </c>
      <c r="D397" t="inlineStr">
        <is>
          <t>Miss Glam Jambi</t>
        </is>
      </c>
      <c r="E397" t="n">
        <v>9</v>
      </c>
      <c r="F397" t="n">
        <v>0.06270000000000001</v>
      </c>
      <c r="G397" t="n">
        <v>0.66</v>
      </c>
      <c r="H397" t="n">
        <v>5</v>
      </c>
      <c r="I397" t="n">
        <v>5</v>
      </c>
      <c r="J397" t="n">
        <v>3</v>
      </c>
      <c r="K397" t="n">
        <v>0</v>
      </c>
      <c r="L397" t="n">
        <v>136000</v>
      </c>
      <c r="M397" t="n">
        <v>167000</v>
      </c>
      <c r="N397" t="n">
        <v>33</v>
      </c>
      <c r="O397" t="n">
        <v>0.33</v>
      </c>
      <c r="P397" t="n">
        <v>1</v>
      </c>
      <c r="Q397" t="n">
        <v>0.02</v>
      </c>
      <c r="R397" t="n">
        <v>1</v>
      </c>
      <c r="S397" t="n">
        <v>10470.9</v>
      </c>
      <c r="T397" t="n">
        <v>3</v>
      </c>
      <c r="U397" t="n">
        <v>4</v>
      </c>
      <c r="V397" t="n">
        <v>30</v>
      </c>
      <c r="W397" t="n">
        <v>2</v>
      </c>
      <c r="X397" t="n">
        <v>143.5406698564593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12077</v>
      </c>
      <c r="AG397" t="n">
        <v>2188</v>
      </c>
      <c r="AH397" t="inlineStr">
        <is>
          <t>PT. RADIANT SENTRAL NUTRINDO - PPN (JMB)</t>
        </is>
      </c>
      <c r="AI397" t="n">
        <v>41</v>
      </c>
      <c r="AJ397" t="inlineStr">
        <is>
          <t>BIO-OIL</t>
        </is>
      </c>
      <c r="AK397" t="n">
        <v>9</v>
      </c>
      <c r="AL397" t="inlineStr">
        <is>
          <t>Miss Glam Jambi</t>
        </is>
      </c>
      <c r="AM397" t="n">
        <v>5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"6957148428453"</f>
        <v/>
      </c>
      <c r="C398" t="inlineStr">
        <is>
          <t>BIOAQUA Apple Ceramide Essence Mask 25g</t>
        </is>
      </c>
      <c r="D398" t="inlineStr">
        <is>
          <t>Miss Glam Jambi</t>
        </is>
      </c>
      <c r="E398" t="n">
        <v>0</v>
      </c>
      <c r="F398" t="n">
        <v>0.06270000000000001</v>
      </c>
      <c r="G398" t="n">
        <v>1.65</v>
      </c>
      <c r="H398" t="n">
        <v>6</v>
      </c>
      <c r="I398" t="n">
        <v>12</v>
      </c>
      <c r="J398" t="n">
        <v>3</v>
      </c>
      <c r="K398" t="n">
        <v>3</v>
      </c>
      <c r="L398" t="n">
        <v>2704</v>
      </c>
      <c r="M398" t="n">
        <v>4000</v>
      </c>
      <c r="N398" t="n">
        <v>33</v>
      </c>
      <c r="O398" t="n">
        <v>0.33</v>
      </c>
      <c r="P398" t="n">
        <v>1</v>
      </c>
      <c r="Q398" t="n">
        <v>0.6</v>
      </c>
      <c r="R398" t="n">
        <v>3</v>
      </c>
      <c r="S398" t="n">
        <v>250.8</v>
      </c>
      <c r="T398" t="n">
        <v>20</v>
      </c>
      <c r="U398" t="n">
        <v>21</v>
      </c>
      <c r="V398" t="n">
        <v>30</v>
      </c>
      <c r="W398" t="n">
        <v>2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362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9</v>
      </c>
      <c r="AL398" t="inlineStr">
        <is>
          <t>Miss Glam Jambi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"6957148425520"</f>
        <v/>
      </c>
      <c r="C399" t="inlineStr">
        <is>
          <t>BIOAQUA Avocado Bifida Ferment Lysate Essence Mask 25gr</t>
        </is>
      </c>
      <c r="D399" t="inlineStr">
        <is>
          <t>Miss Glam Jambi</t>
        </is>
      </c>
      <c r="E399" t="n">
        <v>0</v>
      </c>
      <c r="F399" t="n">
        <v>1.6401</v>
      </c>
      <c r="G399" t="n">
        <v>6.27</v>
      </c>
      <c r="H399" t="n">
        <v>6</v>
      </c>
      <c r="I399" t="n">
        <v>12</v>
      </c>
      <c r="J399" t="n">
        <v>3</v>
      </c>
      <c r="K399" t="n">
        <v>30</v>
      </c>
      <c r="L399" t="n">
        <v>2720</v>
      </c>
      <c r="M399" t="n">
        <v>4000</v>
      </c>
      <c r="N399" t="n">
        <v>33</v>
      </c>
      <c r="O399" t="n">
        <v>0.33</v>
      </c>
      <c r="P399" t="n">
        <v>1</v>
      </c>
      <c r="Q399" t="n">
        <v>1.53</v>
      </c>
      <c r="R399" t="n">
        <v>5</v>
      </c>
      <c r="S399" t="n">
        <v>6560.4</v>
      </c>
      <c r="T399" t="n">
        <v>66</v>
      </c>
      <c r="U399" t="n">
        <v>76</v>
      </c>
      <c r="V399" t="n">
        <v>30</v>
      </c>
      <c r="W399" t="n">
        <v>50</v>
      </c>
      <c r="X399" t="n">
        <v>0</v>
      </c>
      <c r="Y399" t="n">
        <v>1</v>
      </c>
      <c r="Z399" t="n">
        <v>20</v>
      </c>
      <c r="AA399" t="n">
        <v>19</v>
      </c>
      <c r="AB399" t="n">
        <v>1</v>
      </c>
      <c r="AC399" t="n">
        <v>3</v>
      </c>
      <c r="AD399" t="n">
        <v>51680</v>
      </c>
      <c r="AE399" t="n">
        <v>8160</v>
      </c>
      <c r="AF399" t="n">
        <v>362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9</v>
      </c>
      <c r="AL399" t="inlineStr">
        <is>
          <t>Miss Glam Jambi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"6957148425537"</f>
        <v/>
      </c>
      <c r="C400" t="inlineStr">
        <is>
          <t>BIOAQUA Blackcurrant Hyaluronic Acid Essence Mask 25gr</t>
        </is>
      </c>
      <c r="D400" t="inlineStr">
        <is>
          <t>Miss Glam Jambi</t>
        </is>
      </c>
      <c r="E400" t="n">
        <v>0</v>
      </c>
      <c r="F400" t="n">
        <v>0.8052</v>
      </c>
      <c r="G400" t="n">
        <v>2.97</v>
      </c>
      <c r="H400" t="n">
        <v>6</v>
      </c>
      <c r="I400" t="n">
        <v>12</v>
      </c>
      <c r="J400" t="n">
        <v>3</v>
      </c>
      <c r="K400" t="n">
        <v>13</v>
      </c>
      <c r="L400" t="n">
        <v>2720</v>
      </c>
      <c r="M400" t="n">
        <v>4000</v>
      </c>
      <c r="N400" t="n">
        <v>33</v>
      </c>
      <c r="O400" t="n">
        <v>0.33</v>
      </c>
      <c r="P400" t="n">
        <v>1</v>
      </c>
      <c r="Q400" t="n">
        <v>0.63</v>
      </c>
      <c r="R400" t="n">
        <v>4</v>
      </c>
      <c r="S400" t="n">
        <v>3220.8</v>
      </c>
      <c r="T400" t="n">
        <v>31</v>
      </c>
      <c r="U400" t="n">
        <v>36</v>
      </c>
      <c r="V400" t="n">
        <v>30</v>
      </c>
      <c r="W400" t="n">
        <v>25</v>
      </c>
      <c r="X400" t="n">
        <v>0</v>
      </c>
      <c r="Y400" t="n">
        <v>1</v>
      </c>
      <c r="Z400" t="n">
        <v>12</v>
      </c>
      <c r="AA400" t="n">
        <v>9</v>
      </c>
      <c r="AB400" t="n">
        <v>3</v>
      </c>
      <c r="AC400" t="n">
        <v>3</v>
      </c>
      <c r="AD400" t="n">
        <v>24480</v>
      </c>
      <c r="AE400" t="n">
        <v>8160</v>
      </c>
      <c r="AF400" t="n">
        <v>362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9</v>
      </c>
      <c r="AL400" t="inlineStr">
        <is>
          <t>Miss Glam Jambi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"6957148425544"</f>
        <v/>
      </c>
      <c r="C401" t="inlineStr">
        <is>
          <t>BIOAQUA Blueberry Collagen Essence Mask 25g</t>
        </is>
      </c>
      <c r="D401" t="inlineStr">
        <is>
          <t>Miss Glam Jambi</t>
        </is>
      </c>
      <c r="E401" t="n">
        <v>0</v>
      </c>
      <c r="F401" t="n">
        <v>0.5214000000000001</v>
      </c>
      <c r="G401" t="n">
        <v>3.63</v>
      </c>
      <c r="H401" t="n">
        <v>6</v>
      </c>
      <c r="I401" t="n">
        <v>12</v>
      </c>
      <c r="J401" t="n">
        <v>3</v>
      </c>
      <c r="K401" t="n">
        <v>9</v>
      </c>
      <c r="L401" t="n">
        <v>2720</v>
      </c>
      <c r="M401" t="n">
        <v>3500</v>
      </c>
      <c r="N401" t="n">
        <v>33</v>
      </c>
      <c r="O401" t="n">
        <v>0.33</v>
      </c>
      <c r="P401" t="n">
        <v>1</v>
      </c>
      <c r="Q401" t="n">
        <v>1.06</v>
      </c>
      <c r="R401" t="n">
        <v>5</v>
      </c>
      <c r="S401" t="n">
        <v>1824.9</v>
      </c>
      <c r="T401" t="n">
        <v>41</v>
      </c>
      <c r="U401" t="n">
        <v>45</v>
      </c>
      <c r="V401" t="n">
        <v>30</v>
      </c>
      <c r="W401" t="n">
        <v>16</v>
      </c>
      <c r="X401" t="n">
        <v>0</v>
      </c>
      <c r="Y401" t="n">
        <v>1</v>
      </c>
      <c r="Z401" t="n">
        <v>7</v>
      </c>
      <c r="AA401" t="n">
        <v>6</v>
      </c>
      <c r="AB401" t="n">
        <v>1</v>
      </c>
      <c r="AC401" t="n">
        <v>3</v>
      </c>
      <c r="AD401" t="n">
        <v>16320</v>
      </c>
      <c r="AE401" t="n">
        <v>8160</v>
      </c>
      <c r="AF401" t="n">
        <v>362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9</v>
      </c>
      <c r="AL401" t="inlineStr">
        <is>
          <t>Miss Glam Jambi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"6957148427807"</f>
        <v/>
      </c>
      <c r="C402" t="inlineStr">
        <is>
          <t>BIOAQUA Calendula Refreshing Soothing Mask 28gr</t>
        </is>
      </c>
      <c r="D402" t="inlineStr">
        <is>
          <t>Miss Glam Jambi</t>
        </is>
      </c>
      <c r="E402" t="n">
        <v>21</v>
      </c>
      <c r="F402" t="n">
        <v>1.6566</v>
      </c>
      <c r="G402" t="n">
        <v>3.96</v>
      </c>
      <c r="H402" t="n">
        <v>6</v>
      </c>
      <c r="I402" t="n">
        <v>12</v>
      </c>
      <c r="J402" t="n">
        <v>3</v>
      </c>
      <c r="K402" t="n">
        <v>30</v>
      </c>
      <c r="L402" t="n">
        <v>3120</v>
      </c>
      <c r="M402" t="n">
        <v>4000</v>
      </c>
      <c r="N402" t="n">
        <v>33</v>
      </c>
      <c r="O402" t="n">
        <v>0.33</v>
      </c>
      <c r="P402" t="n">
        <v>1</v>
      </c>
      <c r="Q402" t="n">
        <v>1.27</v>
      </c>
      <c r="R402" t="n">
        <v>8</v>
      </c>
      <c r="S402" t="n">
        <v>6626.4</v>
      </c>
      <c r="T402" t="n">
        <v>38</v>
      </c>
      <c r="U402" t="n">
        <v>48</v>
      </c>
      <c r="V402" t="n">
        <v>30</v>
      </c>
      <c r="W402" t="n">
        <v>50</v>
      </c>
      <c r="X402" t="n">
        <v>12.67656646142702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362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9</v>
      </c>
      <c r="AL402" t="inlineStr">
        <is>
          <t>Miss Glam Jambi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"6957148428477"</f>
        <v/>
      </c>
      <c r="C403" t="inlineStr">
        <is>
          <t>BIOAQUA Carrot Hydrating Essence Mask 25gr</t>
        </is>
      </c>
      <c r="D403" t="inlineStr">
        <is>
          <t>Miss Glam Jambi</t>
        </is>
      </c>
      <c r="E403" t="n">
        <v>0</v>
      </c>
      <c r="F403" t="n">
        <v>2.772</v>
      </c>
      <c r="G403" t="n">
        <v>7.590000000000001</v>
      </c>
      <c r="H403" t="n">
        <v>6</v>
      </c>
      <c r="I403" t="n">
        <v>12</v>
      </c>
      <c r="J403" t="n">
        <v>3</v>
      </c>
      <c r="K403" t="n">
        <v>51</v>
      </c>
      <c r="L403" t="n">
        <v>2720</v>
      </c>
      <c r="M403" t="n">
        <v>4000</v>
      </c>
      <c r="N403" t="n">
        <v>33</v>
      </c>
      <c r="O403" t="n">
        <v>0.33</v>
      </c>
      <c r="P403" t="n">
        <v>1</v>
      </c>
      <c r="Q403" t="n">
        <v>2.37</v>
      </c>
      <c r="R403" t="n">
        <v>8</v>
      </c>
      <c r="S403" t="n">
        <v>11088</v>
      </c>
      <c r="T403" t="n">
        <v>75</v>
      </c>
      <c r="U403" t="n">
        <v>92</v>
      </c>
      <c r="V403" t="n">
        <v>30</v>
      </c>
      <c r="W403" t="n">
        <v>84</v>
      </c>
      <c r="X403" t="n">
        <v>0</v>
      </c>
      <c r="Y403" t="n">
        <v>1</v>
      </c>
      <c r="Z403" t="n">
        <v>33</v>
      </c>
      <c r="AA403" t="n">
        <v>33</v>
      </c>
      <c r="AB403" t="n">
        <v>0</v>
      </c>
      <c r="AC403" t="n">
        <v>0</v>
      </c>
      <c r="AD403" t="n">
        <v>89760</v>
      </c>
      <c r="AE403" t="n">
        <v>0</v>
      </c>
      <c r="AF403" t="n">
        <v>362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9</v>
      </c>
      <c r="AL403" t="inlineStr">
        <is>
          <t>Miss Glam Jambi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"6957148425551"</f>
        <v/>
      </c>
      <c r="C404" t="inlineStr">
        <is>
          <t>BIOAQUA Centella Astaxanthin Essence Mask 25g</t>
        </is>
      </c>
      <c r="D404" t="inlineStr">
        <is>
          <t>Miss Glam Jambi</t>
        </is>
      </c>
      <c r="E404" t="n">
        <v>0</v>
      </c>
      <c r="F404" t="n">
        <v>2.7027</v>
      </c>
      <c r="G404" t="n">
        <v>6.600000000000001</v>
      </c>
      <c r="H404" t="n">
        <v>6</v>
      </c>
      <c r="I404" t="n">
        <v>12</v>
      </c>
      <c r="J404" t="n">
        <v>3</v>
      </c>
      <c r="K404" t="n">
        <v>50</v>
      </c>
      <c r="L404" t="n">
        <v>2720</v>
      </c>
      <c r="M404" t="n">
        <v>4000</v>
      </c>
      <c r="N404" t="n">
        <v>33</v>
      </c>
      <c r="O404" t="n">
        <v>0.33</v>
      </c>
      <c r="P404" t="n">
        <v>1</v>
      </c>
      <c r="Q404" t="n">
        <v>1.71</v>
      </c>
      <c r="R404" t="n">
        <v>9</v>
      </c>
      <c r="S404" t="n">
        <v>10810.8</v>
      </c>
      <c r="T404" t="n">
        <v>63</v>
      </c>
      <c r="U404" t="n">
        <v>80</v>
      </c>
      <c r="V404" t="n">
        <v>30</v>
      </c>
      <c r="W404" t="n">
        <v>82</v>
      </c>
      <c r="X404" t="n">
        <v>0</v>
      </c>
      <c r="Y404" t="n">
        <v>1</v>
      </c>
      <c r="Z404" t="n">
        <v>32</v>
      </c>
      <c r="AA404" t="n">
        <v>32</v>
      </c>
      <c r="AB404" t="n">
        <v>0</v>
      </c>
      <c r="AC404" t="n">
        <v>0</v>
      </c>
      <c r="AD404" t="n">
        <v>87040</v>
      </c>
      <c r="AE404" t="n">
        <v>0</v>
      </c>
      <c r="AF404" t="n">
        <v>362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9</v>
      </c>
      <c r="AL404" t="inlineStr">
        <is>
          <t>Miss Glam Jambi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"6957148425568"</f>
        <v/>
      </c>
      <c r="C405" t="inlineStr">
        <is>
          <t>BIOAQUA Chamomile Amino Acid Essence Mask 25g</t>
        </is>
      </c>
      <c r="D405" t="inlineStr">
        <is>
          <t>Miss Glam Jambi</t>
        </is>
      </c>
      <c r="E405" t="n">
        <v>10</v>
      </c>
      <c r="F405" t="n">
        <v>1.4421</v>
      </c>
      <c r="G405" t="n">
        <v>3.96</v>
      </c>
      <c r="H405" t="n">
        <v>6</v>
      </c>
      <c r="I405" t="n">
        <v>12</v>
      </c>
      <c r="J405" t="n">
        <v>3</v>
      </c>
      <c r="K405" t="n">
        <v>0</v>
      </c>
      <c r="L405" t="n">
        <v>2720</v>
      </c>
      <c r="M405" t="n">
        <v>4000</v>
      </c>
      <c r="N405" t="n">
        <v>33</v>
      </c>
      <c r="O405" t="n">
        <v>0.33</v>
      </c>
      <c r="P405" t="n">
        <v>1</v>
      </c>
      <c r="Q405" t="n">
        <v>1.05</v>
      </c>
      <c r="R405" t="n">
        <v>7</v>
      </c>
      <c r="S405" t="n">
        <v>5768.400000000001</v>
      </c>
      <c r="T405" t="n">
        <v>39</v>
      </c>
      <c r="U405" t="n">
        <v>48</v>
      </c>
      <c r="V405" t="n">
        <v>30</v>
      </c>
      <c r="W405" t="n">
        <v>44</v>
      </c>
      <c r="X405" t="n">
        <v>6.934331877123638</v>
      </c>
      <c r="Y405" t="n">
        <v>1</v>
      </c>
      <c r="Z405" t="n">
        <v>34</v>
      </c>
      <c r="AA405" t="n">
        <v>8</v>
      </c>
      <c r="AB405" t="n">
        <v>26</v>
      </c>
      <c r="AC405" t="n">
        <v>26</v>
      </c>
      <c r="AD405" t="n">
        <v>21760</v>
      </c>
      <c r="AE405" t="n">
        <v>70720</v>
      </c>
      <c r="AF405" t="n">
        <v>362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9</v>
      </c>
      <c r="AL405" t="inlineStr">
        <is>
          <t>Miss Glam Jambi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"6957148428408"</f>
        <v/>
      </c>
      <c r="C406" t="inlineStr">
        <is>
          <t>BIOAQUA Coconut Nourishing &amp; Antioxidant Essence Mask 25g</t>
        </is>
      </c>
      <c r="D406" t="inlineStr">
        <is>
          <t>Miss Glam Jambi</t>
        </is>
      </c>
      <c r="E406" t="n">
        <v>12</v>
      </c>
      <c r="F406" t="n">
        <v>1.3101</v>
      </c>
      <c r="G406" t="n">
        <v>4.95</v>
      </c>
      <c r="H406" t="n">
        <v>6</v>
      </c>
      <c r="I406" t="n">
        <v>12</v>
      </c>
      <c r="J406" t="n">
        <v>3</v>
      </c>
      <c r="K406" t="n">
        <v>0</v>
      </c>
      <c r="L406" t="n">
        <v>2720</v>
      </c>
      <c r="M406" t="n">
        <v>3000</v>
      </c>
      <c r="N406" t="n">
        <v>33</v>
      </c>
      <c r="O406" t="n">
        <v>0.33</v>
      </c>
      <c r="P406" t="n">
        <v>1</v>
      </c>
      <c r="Q406" t="n">
        <v>3.08</v>
      </c>
      <c r="R406" t="n">
        <v>20</v>
      </c>
      <c r="S406" t="n">
        <v>3930.3</v>
      </c>
      <c r="T406" t="n">
        <v>52</v>
      </c>
      <c r="U406" t="n">
        <v>60</v>
      </c>
      <c r="V406" t="n">
        <v>30</v>
      </c>
      <c r="W406" t="n">
        <v>40</v>
      </c>
      <c r="X406" t="n">
        <v>9.159606136936111</v>
      </c>
      <c r="Y406" t="n">
        <v>1</v>
      </c>
      <c r="Z406" t="n">
        <v>28</v>
      </c>
      <c r="AA406" t="n">
        <v>4</v>
      </c>
      <c r="AB406" t="n">
        <v>24</v>
      </c>
      <c r="AC406" t="n">
        <v>24</v>
      </c>
      <c r="AD406" t="n">
        <v>10880</v>
      </c>
      <c r="AE406" t="n">
        <v>65280</v>
      </c>
      <c r="AF406" t="n">
        <v>362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9</v>
      </c>
      <c r="AL406" t="inlineStr">
        <is>
          <t>Miss Glam Jambi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"6957148428460"</f>
        <v/>
      </c>
      <c r="C407" t="inlineStr">
        <is>
          <t>BIOAQUA Cucumber Ceramide EOP Fresh &amp; Hydrating Essence Mask 25g</t>
        </is>
      </c>
      <c r="D407" t="inlineStr">
        <is>
          <t>Miss Glam Jambi</t>
        </is>
      </c>
      <c r="E407" t="n">
        <v>2</v>
      </c>
      <c r="F407" t="n">
        <v>2.4288</v>
      </c>
      <c r="G407" t="n">
        <v>6.27</v>
      </c>
      <c r="H407" t="n">
        <v>6</v>
      </c>
      <c r="I407" t="n">
        <v>12</v>
      </c>
      <c r="J407" t="n">
        <v>3</v>
      </c>
      <c r="K407" t="n">
        <v>43</v>
      </c>
      <c r="L407" t="n">
        <v>2720</v>
      </c>
      <c r="M407" t="n">
        <v>3500</v>
      </c>
      <c r="N407" t="n">
        <v>33</v>
      </c>
      <c r="O407" t="n">
        <v>0.33</v>
      </c>
      <c r="P407" t="n">
        <v>1</v>
      </c>
      <c r="Q407" t="n">
        <v>2.61</v>
      </c>
      <c r="R407" t="n">
        <v>14</v>
      </c>
      <c r="S407" t="n">
        <v>8500.800000000001</v>
      </c>
      <c r="T407" t="n">
        <v>61</v>
      </c>
      <c r="U407" t="n">
        <v>76</v>
      </c>
      <c r="V407" t="n">
        <v>30</v>
      </c>
      <c r="W407" t="n">
        <v>73</v>
      </c>
      <c r="X407" t="n">
        <v>0.823451910408432</v>
      </c>
      <c r="Y407" t="n">
        <v>1</v>
      </c>
      <c r="Z407" t="n">
        <v>28</v>
      </c>
      <c r="AA407" t="n">
        <v>27</v>
      </c>
      <c r="AB407" t="n">
        <v>1</v>
      </c>
      <c r="AC407" t="n">
        <v>3</v>
      </c>
      <c r="AD407" t="n">
        <v>73440</v>
      </c>
      <c r="AE407" t="n">
        <v>8160</v>
      </c>
      <c r="AF407" t="n">
        <v>362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9</v>
      </c>
      <c r="AL407" t="inlineStr">
        <is>
          <t>Miss Glam Jambi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"6957148428491"</f>
        <v/>
      </c>
      <c r="C408" t="inlineStr">
        <is>
          <t>BIOAQUA Dragon Fruit Nourishing Essence Mask 25g</t>
        </is>
      </c>
      <c r="D408" t="inlineStr">
        <is>
          <t>Miss Glam Jambi</t>
        </is>
      </c>
      <c r="E408" t="n">
        <v>0</v>
      </c>
      <c r="F408" t="n">
        <v>5.217300000000001</v>
      </c>
      <c r="G408" t="n">
        <v>12.54</v>
      </c>
      <c r="H408" t="n">
        <v>6</v>
      </c>
      <c r="I408" t="n">
        <v>12</v>
      </c>
      <c r="J408" t="n">
        <v>3</v>
      </c>
      <c r="K408" t="n">
        <v>94</v>
      </c>
      <c r="L408" t="n">
        <v>2720</v>
      </c>
      <c r="M408" t="n">
        <v>4000</v>
      </c>
      <c r="N408" t="n">
        <v>33</v>
      </c>
      <c r="O408" t="n">
        <v>0.33</v>
      </c>
      <c r="P408" t="n">
        <v>1</v>
      </c>
      <c r="Q408" t="n">
        <v>1.59</v>
      </c>
      <c r="R408" t="n">
        <v>6</v>
      </c>
      <c r="S408" t="n">
        <v>20869.2</v>
      </c>
      <c r="T408" t="n">
        <v>120</v>
      </c>
      <c r="U408" t="n">
        <v>152</v>
      </c>
      <c r="V408" t="n">
        <v>30</v>
      </c>
      <c r="W408" t="n">
        <v>157</v>
      </c>
      <c r="X408" t="n">
        <v>0</v>
      </c>
      <c r="Y408" t="n">
        <v>1</v>
      </c>
      <c r="Z408" t="n">
        <v>63</v>
      </c>
      <c r="AA408" t="n">
        <v>62</v>
      </c>
      <c r="AB408" t="n">
        <v>1</v>
      </c>
      <c r="AC408" t="n">
        <v>3</v>
      </c>
      <c r="AD408" t="n">
        <v>168640</v>
      </c>
      <c r="AE408" t="n">
        <v>8160</v>
      </c>
      <c r="AF408" t="n">
        <v>362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9</v>
      </c>
      <c r="AL408" t="inlineStr">
        <is>
          <t>Miss Glam Jambi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"6957148427739"</f>
        <v/>
      </c>
      <c r="C409" t="inlineStr">
        <is>
          <t>BIOAQUA Edelweiss Salicylic Acid Acne Mask 28g</t>
        </is>
      </c>
      <c r="D409" t="inlineStr">
        <is>
          <t>Miss Glam Jambi</t>
        </is>
      </c>
      <c r="E409" t="n">
        <v>14</v>
      </c>
      <c r="F409" t="n">
        <v>5.778300000000001</v>
      </c>
      <c r="G409" t="n">
        <v>11.88</v>
      </c>
      <c r="H409" t="n">
        <v>6</v>
      </c>
      <c r="I409" t="n">
        <v>12</v>
      </c>
      <c r="J409" t="n">
        <v>3</v>
      </c>
      <c r="K409" t="n">
        <v>106</v>
      </c>
      <c r="L409" t="n">
        <v>3120</v>
      </c>
      <c r="M409" t="n">
        <v>4000</v>
      </c>
      <c r="N409" t="n">
        <v>33</v>
      </c>
      <c r="O409" t="n">
        <v>0.33</v>
      </c>
      <c r="P409" t="n">
        <v>1</v>
      </c>
      <c r="Q409" t="n">
        <v>2.59</v>
      </c>
      <c r="R409" t="n">
        <v>10</v>
      </c>
      <c r="S409" t="n">
        <v>23113.2</v>
      </c>
      <c r="T409" t="n">
        <v>108</v>
      </c>
      <c r="U409" t="n">
        <v>143</v>
      </c>
      <c r="V409" t="n">
        <v>30</v>
      </c>
      <c r="W409" t="n">
        <v>174</v>
      </c>
      <c r="X409" t="n">
        <v>2.422857933994427</v>
      </c>
      <c r="Y409" t="n">
        <v>1</v>
      </c>
      <c r="Z409" t="n">
        <v>54</v>
      </c>
      <c r="AA409" t="n">
        <v>55</v>
      </c>
      <c r="AB409" t="n">
        <v>0</v>
      </c>
      <c r="AC409" t="n">
        <v>0</v>
      </c>
      <c r="AD409" t="n">
        <v>171600</v>
      </c>
      <c r="AE409" t="n">
        <v>0</v>
      </c>
      <c r="AF409" t="n">
        <v>362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9</v>
      </c>
      <c r="AL409" t="inlineStr">
        <is>
          <t>Miss Glam Jambi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"6957148424417"</f>
        <v/>
      </c>
      <c r="C410" t="inlineStr">
        <is>
          <t>BIOAQUA Facial Essense Capsule Vitamin E 60pcs</t>
        </is>
      </c>
      <c r="D410" t="inlineStr">
        <is>
          <t>Miss Glam Jambi</t>
        </is>
      </c>
      <c r="E410" t="n">
        <v>1</v>
      </c>
      <c r="F410" t="n">
        <v>0.0726</v>
      </c>
      <c r="G410" t="n">
        <v>0.66</v>
      </c>
      <c r="H410" t="n">
        <v>6</v>
      </c>
      <c r="I410" t="n">
        <v>12</v>
      </c>
      <c r="J410" t="n">
        <v>3</v>
      </c>
      <c r="K410" t="n">
        <v>3</v>
      </c>
      <c r="L410" t="n">
        <v>16000</v>
      </c>
      <c r="M410" t="n">
        <v>19000</v>
      </c>
      <c r="N410" t="n">
        <v>33</v>
      </c>
      <c r="O410" t="n">
        <v>0.33</v>
      </c>
      <c r="P410" t="n">
        <v>1</v>
      </c>
      <c r="Q410" t="n">
        <v>0.07000000000000001</v>
      </c>
      <c r="R410" t="n">
        <v>1</v>
      </c>
      <c r="S410" t="n">
        <v>1379.4</v>
      </c>
      <c r="T410" t="n">
        <v>8</v>
      </c>
      <c r="U410" t="n">
        <v>9</v>
      </c>
      <c r="V410" t="n">
        <v>30</v>
      </c>
      <c r="W410" t="n">
        <v>3</v>
      </c>
      <c r="X410" t="n">
        <v>13.77410468319559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362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9</v>
      </c>
      <c r="AL410" t="inlineStr">
        <is>
          <t>Miss Glam Jambi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"6957148431514"</f>
        <v/>
      </c>
      <c r="C411" t="inlineStr">
        <is>
          <t>BIOAQUA Fantastic Me Glossy Lip Tint Nude Pink 2.3gr</t>
        </is>
      </c>
      <c r="D411" t="inlineStr">
        <is>
          <t>Miss Glam Jambi</t>
        </is>
      </c>
      <c r="E411" t="n">
        <v>1</v>
      </c>
      <c r="F411" t="n">
        <v>0.066</v>
      </c>
      <c r="G411" t="n">
        <v>0.66</v>
      </c>
      <c r="H411" t="n">
        <v>6</v>
      </c>
      <c r="I411" t="n">
        <v>12</v>
      </c>
      <c r="J411" t="n">
        <v>3</v>
      </c>
      <c r="K411" t="n">
        <v>3</v>
      </c>
      <c r="L411" t="n">
        <v>23999</v>
      </c>
      <c r="M411" t="n">
        <v>30000</v>
      </c>
      <c r="N411" t="n">
        <v>33</v>
      </c>
      <c r="O411" t="n">
        <v>0.33</v>
      </c>
      <c r="P411" t="n">
        <v>1</v>
      </c>
      <c r="Q411" t="n">
        <v>0.03</v>
      </c>
      <c r="R411" t="n">
        <v>1</v>
      </c>
      <c r="S411" t="n">
        <v>1980</v>
      </c>
      <c r="T411" t="n">
        <v>8</v>
      </c>
      <c r="U411" t="n">
        <v>9</v>
      </c>
      <c r="V411" t="n">
        <v>30</v>
      </c>
      <c r="W411" t="n">
        <v>2</v>
      </c>
      <c r="X411" t="n">
        <v>15.15151515151515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362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9</v>
      </c>
      <c r="AL411" t="inlineStr">
        <is>
          <t>Miss Glam Jambi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"203003106852"</f>
        <v/>
      </c>
      <c r="C412" t="inlineStr">
        <is>
          <t>BIOAQUA Fantastic Me Glossy Lip Tint Peach Glaze 2.3gr</t>
        </is>
      </c>
      <c r="D412" t="inlineStr">
        <is>
          <t>Miss Glam Jambi</t>
        </is>
      </c>
      <c r="E412" t="n">
        <v>5</v>
      </c>
      <c r="F412" t="n">
        <v>0.006600000000000001</v>
      </c>
      <c r="G412" t="n">
        <v>0.33</v>
      </c>
      <c r="H412" t="n">
        <v>6</v>
      </c>
      <c r="I412" t="n">
        <v>12</v>
      </c>
      <c r="J412" t="n">
        <v>1</v>
      </c>
      <c r="K412" t="n">
        <v>0</v>
      </c>
      <c r="L412" t="n">
        <v>24000</v>
      </c>
      <c r="M412" t="n">
        <v>30000</v>
      </c>
      <c r="N412" t="n">
        <v>33</v>
      </c>
      <c r="O412" t="n">
        <v>0.33</v>
      </c>
      <c r="P412" t="n">
        <v>1</v>
      </c>
      <c r="Q412" t="n">
        <v>0.02</v>
      </c>
      <c r="R412" t="n">
        <v>1</v>
      </c>
      <c r="S412" t="n">
        <v>198</v>
      </c>
      <c r="T412" t="n">
        <v>4</v>
      </c>
      <c r="U412" t="n">
        <v>5</v>
      </c>
      <c r="V412" t="n">
        <v>30</v>
      </c>
      <c r="W412" t="n">
        <v>1</v>
      </c>
      <c r="X412" t="n">
        <v>757.5757575757575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362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9</v>
      </c>
      <c r="AL412" t="inlineStr">
        <is>
          <t>Miss Glam Jambi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"10500176207"</f>
        <v/>
      </c>
      <c r="C413" t="inlineStr">
        <is>
          <t>BIOAQUA Fresh Care Mask 30gr</t>
        </is>
      </c>
      <c r="D413" t="inlineStr">
        <is>
          <t>Miss Glam Jambi</t>
        </is>
      </c>
      <c r="E413" t="n">
        <v>42</v>
      </c>
      <c r="F413" t="n">
        <v>6.131399999999999</v>
      </c>
      <c r="G413" t="n">
        <v>11.55</v>
      </c>
      <c r="H413" t="n">
        <v>6</v>
      </c>
      <c r="I413" t="n">
        <v>12</v>
      </c>
      <c r="J413" t="n">
        <v>1</v>
      </c>
      <c r="K413" t="n">
        <v>111</v>
      </c>
      <c r="L413" t="n">
        <v>3120</v>
      </c>
      <c r="M413" t="n">
        <v>4000</v>
      </c>
      <c r="N413" t="n">
        <v>33</v>
      </c>
      <c r="O413" t="n">
        <v>0.33</v>
      </c>
      <c r="P413" t="n">
        <v>1</v>
      </c>
      <c r="Q413" t="n">
        <v>0.1</v>
      </c>
      <c r="R413" t="n">
        <v>0</v>
      </c>
      <c r="S413" t="n">
        <v>24525.6</v>
      </c>
      <c r="T413" t="n">
        <v>102</v>
      </c>
      <c r="U413" t="n">
        <v>139</v>
      </c>
      <c r="V413" t="n">
        <v>30</v>
      </c>
      <c r="W413" t="n">
        <v>184</v>
      </c>
      <c r="X413" t="n">
        <v>6.849985321460026</v>
      </c>
      <c r="Y413" t="n">
        <v>1</v>
      </c>
      <c r="Z413" t="n">
        <v>31</v>
      </c>
      <c r="AA413" t="n">
        <v>31</v>
      </c>
      <c r="AB413" t="n">
        <v>0</v>
      </c>
      <c r="AC413" t="n">
        <v>0</v>
      </c>
      <c r="AD413" t="n">
        <v>96720</v>
      </c>
      <c r="AE413" t="n">
        <v>0</v>
      </c>
      <c r="AF413" t="n">
        <v>362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9</v>
      </c>
      <c r="AL413" t="inlineStr">
        <is>
          <t>Miss Glam Jambi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"6957148428415"</f>
        <v/>
      </c>
      <c r="C414" t="inlineStr">
        <is>
          <t>BIOAQUA Grape Copper Tripeptide Essence Mask 25g</t>
        </is>
      </c>
      <c r="D414" t="inlineStr">
        <is>
          <t>Miss Glam Jambi</t>
        </is>
      </c>
      <c r="E414" t="n">
        <v>5</v>
      </c>
      <c r="F414" t="n">
        <v>1.1451</v>
      </c>
      <c r="G414" t="n">
        <v>7.92</v>
      </c>
      <c r="H414" t="n">
        <v>6</v>
      </c>
      <c r="I414" t="n">
        <v>12</v>
      </c>
      <c r="J414" t="n">
        <v>3</v>
      </c>
      <c r="K414" t="n">
        <v>21</v>
      </c>
      <c r="L414" t="n">
        <v>2707</v>
      </c>
      <c r="M414" t="n">
        <v>4000</v>
      </c>
      <c r="N414" t="n">
        <v>33</v>
      </c>
      <c r="O414" t="n">
        <v>0.33</v>
      </c>
      <c r="P414" t="n">
        <v>1</v>
      </c>
      <c r="Q414" t="n">
        <v>0.9</v>
      </c>
      <c r="R414" t="n">
        <v>5</v>
      </c>
      <c r="S414" t="n">
        <v>4580.400000000001</v>
      </c>
      <c r="T414" t="n">
        <v>89</v>
      </c>
      <c r="U414" t="n">
        <v>96</v>
      </c>
      <c r="V414" t="n">
        <v>30</v>
      </c>
      <c r="W414" t="n">
        <v>35</v>
      </c>
      <c r="X414" t="n">
        <v>4.366430879399179</v>
      </c>
      <c r="Y414" t="n">
        <v>1</v>
      </c>
      <c r="Z414" t="n">
        <v>9</v>
      </c>
      <c r="AA414" t="n">
        <v>8</v>
      </c>
      <c r="AB414" t="n">
        <v>1</v>
      </c>
      <c r="AC414" t="n">
        <v>3</v>
      </c>
      <c r="AD414" t="n">
        <v>21656</v>
      </c>
      <c r="AE414" t="n">
        <v>8121</v>
      </c>
      <c r="AF414" t="n">
        <v>362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9</v>
      </c>
      <c r="AL414" t="inlineStr">
        <is>
          <t>Miss Glam Jambi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"6957148428422"</f>
        <v/>
      </c>
      <c r="C415" t="inlineStr">
        <is>
          <t>BIOAQUA Grapefruit Algae Essence Mask 25g</t>
        </is>
      </c>
      <c r="D415" t="inlineStr">
        <is>
          <t>Miss Glam Jambi</t>
        </is>
      </c>
      <c r="E415" t="n">
        <v>31</v>
      </c>
      <c r="F415" t="n">
        <v>2.343</v>
      </c>
      <c r="G415" t="n">
        <v>6.600000000000001</v>
      </c>
      <c r="H415" t="n">
        <v>6</v>
      </c>
      <c r="I415" t="n">
        <v>12</v>
      </c>
      <c r="J415" t="n">
        <v>3</v>
      </c>
      <c r="K415" t="n">
        <v>38</v>
      </c>
      <c r="L415" t="n">
        <v>2720</v>
      </c>
      <c r="M415" t="n">
        <v>4000</v>
      </c>
      <c r="N415" t="n">
        <v>33</v>
      </c>
      <c r="O415" t="n">
        <v>0.33</v>
      </c>
      <c r="P415" t="n">
        <v>1</v>
      </c>
      <c r="Q415" t="n">
        <v>0.92</v>
      </c>
      <c r="R415" t="n">
        <v>5</v>
      </c>
      <c r="S415" t="n">
        <v>9372</v>
      </c>
      <c r="T415" t="n">
        <v>66</v>
      </c>
      <c r="U415" t="n">
        <v>81</v>
      </c>
      <c r="V415" t="n">
        <v>30</v>
      </c>
      <c r="W415" t="n">
        <v>71</v>
      </c>
      <c r="X415" t="n">
        <v>13.23090055484422</v>
      </c>
      <c r="Y415" t="n">
        <v>1</v>
      </c>
      <c r="Z415" t="n">
        <v>2</v>
      </c>
      <c r="AA415" t="n">
        <v>0</v>
      </c>
      <c r="AB415" t="n">
        <v>2</v>
      </c>
      <c r="AC415" t="n">
        <v>3</v>
      </c>
      <c r="AD415" t="n">
        <v>0</v>
      </c>
      <c r="AE415" t="n">
        <v>8160</v>
      </c>
      <c r="AF415" t="n">
        <v>362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9</v>
      </c>
      <c r="AL415" t="inlineStr">
        <is>
          <t>Miss Glam Jambi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"6957148425575"</f>
        <v/>
      </c>
      <c r="C416" t="inlineStr">
        <is>
          <t>BIOAQUA Honey Fullerene Essence Mask 25gr</t>
        </is>
      </c>
      <c r="D416" t="inlineStr">
        <is>
          <t>Miss Glam Jambi</t>
        </is>
      </c>
      <c r="E416" t="n">
        <v>0</v>
      </c>
      <c r="F416" t="n">
        <v>2.4915</v>
      </c>
      <c r="G416" t="n">
        <v>6.600000000000001</v>
      </c>
      <c r="H416" t="n">
        <v>6</v>
      </c>
      <c r="I416" t="n">
        <v>12</v>
      </c>
      <c r="J416" t="n">
        <v>3</v>
      </c>
      <c r="K416" t="n">
        <v>46</v>
      </c>
      <c r="L416" t="n">
        <v>2720</v>
      </c>
      <c r="M416" t="n">
        <v>4000</v>
      </c>
      <c r="N416" t="n">
        <v>33</v>
      </c>
      <c r="O416" t="n">
        <v>0.33</v>
      </c>
      <c r="P416" t="n">
        <v>1</v>
      </c>
      <c r="Q416" t="n">
        <v>0.79</v>
      </c>
      <c r="R416" t="n">
        <v>4</v>
      </c>
      <c r="S416" t="n">
        <v>9966.000000000002</v>
      </c>
      <c r="T416" t="n">
        <v>65</v>
      </c>
      <c r="U416" t="n">
        <v>80</v>
      </c>
      <c r="V416" t="n">
        <v>30</v>
      </c>
      <c r="W416" t="n">
        <v>75</v>
      </c>
      <c r="X416" t="n">
        <v>0</v>
      </c>
      <c r="Y416" t="n">
        <v>1</v>
      </c>
      <c r="Z416" t="n">
        <v>29</v>
      </c>
      <c r="AA416" t="n">
        <v>29</v>
      </c>
      <c r="AB416" t="n">
        <v>0</v>
      </c>
      <c r="AC416" t="n">
        <v>0</v>
      </c>
      <c r="AD416" t="n">
        <v>78880</v>
      </c>
      <c r="AE416" t="n">
        <v>0</v>
      </c>
      <c r="AF416" t="n">
        <v>362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9</v>
      </c>
      <c r="AL416" t="inlineStr">
        <is>
          <t>Miss Glam Jambi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"6957148425582"</f>
        <v/>
      </c>
      <c r="C417" t="inlineStr">
        <is>
          <t>BIOAQUA Kiwi Vitamin E Delicate Moisturizing Essence Mask 25g</t>
        </is>
      </c>
      <c r="D417" t="inlineStr">
        <is>
          <t>Miss Glam Jambi</t>
        </is>
      </c>
      <c r="E417" t="n">
        <v>0</v>
      </c>
      <c r="F417" t="n">
        <v>0.5940000000000001</v>
      </c>
      <c r="G417" t="n">
        <v>2.97</v>
      </c>
      <c r="H417" t="n">
        <v>6</v>
      </c>
      <c r="I417" t="n">
        <v>12</v>
      </c>
      <c r="J417" t="n">
        <v>3</v>
      </c>
      <c r="K417" t="n">
        <v>11</v>
      </c>
      <c r="L417" t="n">
        <v>2720</v>
      </c>
      <c r="M417" t="n">
        <v>4000</v>
      </c>
      <c r="N417" t="n">
        <v>33</v>
      </c>
      <c r="O417" t="n">
        <v>0.33</v>
      </c>
      <c r="P417" t="n">
        <v>1</v>
      </c>
      <c r="Q417" t="n">
        <v>1.39</v>
      </c>
      <c r="R417" t="n">
        <v>5</v>
      </c>
      <c r="S417" t="n">
        <v>2376</v>
      </c>
      <c r="T417" t="n">
        <v>33</v>
      </c>
      <c r="U417" t="n">
        <v>37</v>
      </c>
      <c r="V417" t="n">
        <v>30</v>
      </c>
      <c r="W417" t="n">
        <v>18</v>
      </c>
      <c r="X417" t="n">
        <v>0</v>
      </c>
      <c r="Y417" t="n">
        <v>1</v>
      </c>
      <c r="Z417" t="n">
        <v>7</v>
      </c>
      <c r="AA417" t="n">
        <v>7</v>
      </c>
      <c r="AB417" t="n">
        <v>0</v>
      </c>
      <c r="AC417" t="n">
        <v>0</v>
      </c>
      <c r="AD417" t="n">
        <v>19040</v>
      </c>
      <c r="AE417" t="n">
        <v>0</v>
      </c>
      <c r="AF417" t="n">
        <v>362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9</v>
      </c>
      <c r="AL417" t="inlineStr">
        <is>
          <t>Miss Glam Jambi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"6957148425599"</f>
        <v/>
      </c>
      <c r="C418" t="inlineStr">
        <is>
          <t>BIOAQUA Lemon Vitamin C Essence Mask 25gr</t>
        </is>
      </c>
      <c r="D418" t="inlineStr">
        <is>
          <t>Miss Glam Jambi</t>
        </is>
      </c>
      <c r="E418" t="n">
        <v>0</v>
      </c>
      <c r="F418" t="n">
        <v>1.7523</v>
      </c>
      <c r="G418" t="n">
        <v>8.58</v>
      </c>
      <c r="H418" t="n">
        <v>6</v>
      </c>
      <c r="I418" t="n">
        <v>12</v>
      </c>
      <c r="J418" t="n">
        <v>3</v>
      </c>
      <c r="K418" t="n">
        <v>32</v>
      </c>
      <c r="L418" t="n">
        <v>2720</v>
      </c>
      <c r="M418" t="n">
        <v>4000</v>
      </c>
      <c r="N418" t="n">
        <v>33</v>
      </c>
      <c r="O418" t="n">
        <v>0.33</v>
      </c>
      <c r="P418" t="n">
        <v>1</v>
      </c>
      <c r="Q418" t="n">
        <v>0.52</v>
      </c>
      <c r="R418" t="n">
        <v>9</v>
      </c>
      <c r="S418" t="n">
        <v>7009.2</v>
      </c>
      <c r="T418" t="n">
        <v>93</v>
      </c>
      <c r="U418" t="n">
        <v>104</v>
      </c>
      <c r="V418" t="n">
        <v>30</v>
      </c>
      <c r="W418" t="n">
        <v>53</v>
      </c>
      <c r="X418" t="n">
        <v>0</v>
      </c>
      <c r="Y418" t="n">
        <v>1</v>
      </c>
      <c r="Z418" t="n">
        <v>21</v>
      </c>
      <c r="AA418" t="n">
        <v>21</v>
      </c>
      <c r="AB418" t="n">
        <v>0</v>
      </c>
      <c r="AC418" t="n">
        <v>0</v>
      </c>
      <c r="AD418" t="n">
        <v>57120</v>
      </c>
      <c r="AE418" t="n">
        <v>0</v>
      </c>
      <c r="AF418" t="n">
        <v>362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9</v>
      </c>
      <c r="AL418" t="inlineStr">
        <is>
          <t>Miss Glam Jambi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"6957148427784"</f>
        <v/>
      </c>
      <c r="C419" t="inlineStr">
        <is>
          <t>BIOAQUA Lily Lactobacillus Anti Aging Mask 28g</t>
        </is>
      </c>
      <c r="D419" t="inlineStr">
        <is>
          <t>Miss Glam Jambi</t>
        </is>
      </c>
      <c r="E419" t="n">
        <v>27</v>
      </c>
      <c r="F419" t="n">
        <v>2.0526</v>
      </c>
      <c r="G419" t="n">
        <v>4.95</v>
      </c>
      <c r="H419" t="n">
        <v>6</v>
      </c>
      <c r="I419" t="n">
        <v>12</v>
      </c>
      <c r="J419" t="n">
        <v>3</v>
      </c>
      <c r="K419" t="n">
        <v>35</v>
      </c>
      <c r="L419" t="n">
        <v>3120</v>
      </c>
      <c r="M419" t="n">
        <v>4000</v>
      </c>
      <c r="N419" t="n">
        <v>33</v>
      </c>
      <c r="O419" t="n">
        <v>0.33</v>
      </c>
      <c r="P419" t="n">
        <v>1</v>
      </c>
      <c r="Q419" t="n">
        <v>1.51</v>
      </c>
      <c r="R419" t="n">
        <v>5</v>
      </c>
      <c r="S419" t="n">
        <v>8210.4</v>
      </c>
      <c r="T419" t="n">
        <v>48</v>
      </c>
      <c r="U419" t="n">
        <v>61</v>
      </c>
      <c r="V419" t="n">
        <v>30</v>
      </c>
      <c r="W419" t="n">
        <v>62</v>
      </c>
      <c r="X419" t="n">
        <v>13.15404852382344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362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9</v>
      </c>
      <c r="AL419" t="inlineStr">
        <is>
          <t>Miss Glam Jambi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"6957148428484"</f>
        <v/>
      </c>
      <c r="C420" t="inlineStr">
        <is>
          <t>BIOAQUA Mangosteen Nourishing Essence Mask 25g</t>
        </is>
      </c>
      <c r="D420" t="inlineStr">
        <is>
          <t>Miss Glam Jambi</t>
        </is>
      </c>
      <c r="E420" t="n">
        <v>0</v>
      </c>
      <c r="F420" t="n">
        <v>2.7885</v>
      </c>
      <c r="G420" t="n">
        <v>8.58</v>
      </c>
      <c r="H420" t="n">
        <v>6</v>
      </c>
      <c r="I420" t="n">
        <v>12</v>
      </c>
      <c r="J420" t="n">
        <v>3</v>
      </c>
      <c r="K420" t="n">
        <v>50</v>
      </c>
      <c r="L420" t="n">
        <v>2720</v>
      </c>
      <c r="M420" t="n">
        <v>3500</v>
      </c>
      <c r="N420" t="n">
        <v>33</v>
      </c>
      <c r="O420" t="n">
        <v>0.33</v>
      </c>
      <c r="P420" t="n">
        <v>1</v>
      </c>
      <c r="Q420" t="n">
        <v>1.95</v>
      </c>
      <c r="R420" t="n">
        <v>7</v>
      </c>
      <c r="S420" t="n">
        <v>9759.75</v>
      </c>
      <c r="T420" t="n">
        <v>87</v>
      </c>
      <c r="U420" t="n">
        <v>104</v>
      </c>
      <c r="V420" t="n">
        <v>30</v>
      </c>
      <c r="W420" t="n">
        <v>84</v>
      </c>
      <c r="X420" t="n">
        <v>0</v>
      </c>
      <c r="Y420" t="n">
        <v>1</v>
      </c>
      <c r="Z420" t="n">
        <v>34</v>
      </c>
      <c r="AA420" t="n">
        <v>33</v>
      </c>
      <c r="AB420" t="n">
        <v>1</v>
      </c>
      <c r="AC420" t="n">
        <v>3</v>
      </c>
      <c r="AD420" t="n">
        <v>89760</v>
      </c>
      <c r="AE420" t="n">
        <v>8160</v>
      </c>
      <c r="AF420" t="n">
        <v>362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9</v>
      </c>
      <c r="AL420" t="inlineStr">
        <is>
          <t>Miss Glam Jambi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"6957148426206"</f>
        <v/>
      </c>
      <c r="C421" t="inlineStr">
        <is>
          <t>BIOAQUA Moisturizing Lip Serum 4ml</t>
        </is>
      </c>
      <c r="D421" t="inlineStr">
        <is>
          <t>Miss Glam Jambi</t>
        </is>
      </c>
      <c r="E421" t="n">
        <v>3</v>
      </c>
      <c r="F421" t="n">
        <v>0.2343</v>
      </c>
      <c r="G421" t="n">
        <v>1.32</v>
      </c>
      <c r="H421" t="n">
        <v>6</v>
      </c>
      <c r="I421" t="n">
        <v>12</v>
      </c>
      <c r="J421" t="n">
        <v>3</v>
      </c>
      <c r="K421" t="n">
        <v>4</v>
      </c>
      <c r="L421" t="n">
        <v>20800</v>
      </c>
      <c r="M421" t="n">
        <v>28000</v>
      </c>
      <c r="N421" t="n">
        <v>33</v>
      </c>
      <c r="O421" t="n">
        <v>0.33</v>
      </c>
      <c r="P421" t="n">
        <v>1</v>
      </c>
      <c r="Q421" t="n">
        <v>0.05</v>
      </c>
      <c r="R421" t="n">
        <v>1</v>
      </c>
      <c r="S421" t="n">
        <v>6560.400000000001</v>
      </c>
      <c r="T421" t="n">
        <v>15</v>
      </c>
      <c r="U421" t="n">
        <v>17</v>
      </c>
      <c r="V421" t="n">
        <v>30</v>
      </c>
      <c r="W421" t="n">
        <v>8</v>
      </c>
      <c r="X421" t="n">
        <v>12.80409731113956</v>
      </c>
      <c r="Y421" t="n">
        <v>1</v>
      </c>
      <c r="Z421" t="n">
        <v>1</v>
      </c>
      <c r="AA421" t="n">
        <v>0</v>
      </c>
      <c r="AB421" t="n">
        <v>1</v>
      </c>
      <c r="AC421" t="n">
        <v>3</v>
      </c>
      <c r="AD421" t="n">
        <v>0</v>
      </c>
      <c r="AE421" t="n">
        <v>62400</v>
      </c>
      <c r="AF421" t="n">
        <v>362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9</v>
      </c>
      <c r="AL421" t="inlineStr">
        <is>
          <t>Miss Glam Jambi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"6957148428439"</f>
        <v/>
      </c>
      <c r="C422" t="inlineStr">
        <is>
          <t>BIOAQUA Orange Moisturizing Essence Mask 25gr</t>
        </is>
      </c>
      <c r="D422" t="inlineStr">
        <is>
          <t>Miss Glam Jambi</t>
        </is>
      </c>
      <c r="E422" t="n">
        <v>1</v>
      </c>
      <c r="F422" t="n">
        <v>0.5313000000000001</v>
      </c>
      <c r="G422" t="n">
        <v>4.29</v>
      </c>
      <c r="H422" t="n">
        <v>6</v>
      </c>
      <c r="I422" t="n">
        <v>12</v>
      </c>
      <c r="J422" t="n">
        <v>3</v>
      </c>
      <c r="K422" t="n">
        <v>9</v>
      </c>
      <c r="L422" t="n">
        <v>2719</v>
      </c>
      <c r="M422" t="n">
        <v>4000</v>
      </c>
      <c r="N422" t="n">
        <v>33</v>
      </c>
      <c r="O422" t="n">
        <v>0.33</v>
      </c>
      <c r="P422" t="n">
        <v>1</v>
      </c>
      <c r="Q422" t="n">
        <v>0.97</v>
      </c>
      <c r="R422" t="n">
        <v>5</v>
      </c>
      <c r="S422" t="n">
        <v>2125.2</v>
      </c>
      <c r="T422" t="n">
        <v>49</v>
      </c>
      <c r="U422" t="n">
        <v>53</v>
      </c>
      <c r="V422" t="n">
        <v>30</v>
      </c>
      <c r="W422" t="n">
        <v>16</v>
      </c>
      <c r="X422" t="n">
        <v>1.882175795219273</v>
      </c>
      <c r="Y422" t="n">
        <v>1</v>
      </c>
      <c r="Z422" t="n">
        <v>6</v>
      </c>
      <c r="AA422" t="n">
        <v>5</v>
      </c>
      <c r="AB422" t="n">
        <v>1</v>
      </c>
      <c r="AC422" t="n">
        <v>3</v>
      </c>
      <c r="AD422" t="n">
        <v>13595</v>
      </c>
      <c r="AE422" t="n">
        <v>8157</v>
      </c>
      <c r="AF422" t="n">
        <v>362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9</v>
      </c>
      <c r="AL422" t="inlineStr">
        <is>
          <t>Miss Glam Jambi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"6957148428507"</f>
        <v/>
      </c>
      <c r="C423" t="inlineStr">
        <is>
          <t>BIOAQUA Papaya Elasticity Essence Mask 25g</t>
        </is>
      </c>
      <c r="D423" t="inlineStr">
        <is>
          <t>Miss Glam Jambi</t>
        </is>
      </c>
      <c r="E423" t="n">
        <v>0</v>
      </c>
      <c r="F423" t="n">
        <v>1.4124</v>
      </c>
      <c r="G423" t="n">
        <v>3.63</v>
      </c>
      <c r="H423" t="n">
        <v>6</v>
      </c>
      <c r="I423" t="n">
        <v>12</v>
      </c>
      <c r="J423" t="n">
        <v>3</v>
      </c>
      <c r="K423" t="n">
        <v>27</v>
      </c>
      <c r="L423" t="n">
        <v>2720</v>
      </c>
      <c r="M423" t="n">
        <v>4000</v>
      </c>
      <c r="N423" t="n">
        <v>33</v>
      </c>
      <c r="O423" t="n">
        <v>0.33</v>
      </c>
      <c r="P423" t="n">
        <v>1</v>
      </c>
      <c r="Q423" t="n">
        <v>1.12</v>
      </c>
      <c r="R423" t="n">
        <v>4</v>
      </c>
      <c r="S423" t="n">
        <v>5649.6</v>
      </c>
      <c r="T423" t="n">
        <v>36</v>
      </c>
      <c r="U423" t="n">
        <v>45</v>
      </c>
      <c r="V423" t="n">
        <v>30</v>
      </c>
      <c r="W423" t="n">
        <v>43</v>
      </c>
      <c r="X423" t="n">
        <v>0</v>
      </c>
      <c r="Y423" t="n">
        <v>1</v>
      </c>
      <c r="Z423" t="n">
        <v>16</v>
      </c>
      <c r="AA423" t="n">
        <v>16</v>
      </c>
      <c r="AB423" t="n">
        <v>0</v>
      </c>
      <c r="AC423" t="n">
        <v>0</v>
      </c>
      <c r="AD423" t="n">
        <v>43520</v>
      </c>
      <c r="AE423" t="n">
        <v>0</v>
      </c>
      <c r="AF423" t="n">
        <v>362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9</v>
      </c>
      <c r="AL423" t="inlineStr">
        <is>
          <t>Miss Glam Jambi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"6957148424400"</f>
        <v/>
      </c>
      <c r="C424" t="inlineStr">
        <is>
          <t>BIOAQUA Peach Extract Sheet Mask 25gr</t>
        </is>
      </c>
      <c r="D424" t="inlineStr">
        <is>
          <t>Miss Glam Jambi</t>
        </is>
      </c>
      <c r="E424" t="n">
        <v>0</v>
      </c>
      <c r="F424" t="n">
        <v>2.3331</v>
      </c>
      <c r="G424" t="n">
        <v>9.9</v>
      </c>
      <c r="H424" t="n">
        <v>6</v>
      </c>
      <c r="I424" t="n">
        <v>12</v>
      </c>
      <c r="J424" t="n">
        <v>36</v>
      </c>
      <c r="K424" t="n">
        <v>42</v>
      </c>
      <c r="L424" t="n">
        <v>2720</v>
      </c>
      <c r="M424" t="n">
        <v>4000</v>
      </c>
      <c r="N424" t="n">
        <v>33</v>
      </c>
      <c r="O424" t="n">
        <v>0.33</v>
      </c>
      <c r="P424" t="n">
        <v>1</v>
      </c>
      <c r="Q424" t="n">
        <v>1.1</v>
      </c>
      <c r="R424" t="n">
        <v>14</v>
      </c>
      <c r="S424" t="n">
        <v>9332.400000000001</v>
      </c>
      <c r="T424" t="n">
        <v>105</v>
      </c>
      <c r="U424" t="n">
        <v>119</v>
      </c>
      <c r="V424" t="n">
        <v>30</v>
      </c>
      <c r="W424" t="n">
        <v>70</v>
      </c>
      <c r="X424" t="n">
        <v>0</v>
      </c>
      <c r="Y424" t="n">
        <v>1</v>
      </c>
      <c r="Z424" t="n">
        <v>28</v>
      </c>
      <c r="AA424" t="n">
        <v>27</v>
      </c>
      <c r="AB424" t="n">
        <v>1</v>
      </c>
      <c r="AC424" t="n">
        <v>36</v>
      </c>
      <c r="AD424" t="n">
        <v>73440</v>
      </c>
      <c r="AE424" t="n">
        <v>97920</v>
      </c>
      <c r="AF424" t="n">
        <v>362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9</v>
      </c>
      <c r="AL424" t="inlineStr">
        <is>
          <t>Miss Glam Jambi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"6957148429078"</f>
        <v/>
      </c>
      <c r="C425" t="inlineStr">
        <is>
          <t>BIOAQUA Peach Niacinamide Facial Exfoliating Gel 100g</t>
        </is>
      </c>
      <c r="D425" t="inlineStr">
        <is>
          <t>Miss Glam Jambi</t>
        </is>
      </c>
      <c r="E425" t="n">
        <v>2</v>
      </c>
      <c r="F425" t="n">
        <v>0.3531</v>
      </c>
      <c r="G425" t="n">
        <v>1.32</v>
      </c>
      <c r="H425" t="n">
        <v>6</v>
      </c>
      <c r="I425" t="n">
        <v>12</v>
      </c>
      <c r="J425" t="n">
        <v>3</v>
      </c>
      <c r="K425" t="n">
        <v>7</v>
      </c>
      <c r="L425" t="n">
        <v>15680</v>
      </c>
      <c r="M425" t="n">
        <v>40000</v>
      </c>
      <c r="N425" t="n">
        <v>33</v>
      </c>
      <c r="O425" t="n">
        <v>0.33</v>
      </c>
      <c r="P425" t="n">
        <v>1</v>
      </c>
      <c r="Q425" t="n">
        <v>0.03</v>
      </c>
      <c r="R425" t="n">
        <v>1</v>
      </c>
      <c r="S425" t="n">
        <v>14124</v>
      </c>
      <c r="T425" t="n">
        <v>14</v>
      </c>
      <c r="U425" t="n">
        <v>17</v>
      </c>
      <c r="V425" t="n">
        <v>30</v>
      </c>
      <c r="W425" t="n">
        <v>11</v>
      </c>
      <c r="X425" t="n">
        <v>5.664117813650524</v>
      </c>
      <c r="Y425" t="n">
        <v>1</v>
      </c>
      <c r="Z425" t="n">
        <v>2</v>
      </c>
      <c r="AA425" t="n">
        <v>2</v>
      </c>
      <c r="AB425" t="n">
        <v>0</v>
      </c>
      <c r="AC425" t="n">
        <v>0</v>
      </c>
      <c r="AD425" t="n">
        <v>31360</v>
      </c>
      <c r="AE425" t="n">
        <v>0</v>
      </c>
      <c r="AF425" t="n">
        <v>362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9</v>
      </c>
      <c r="AL425" t="inlineStr">
        <is>
          <t>Miss Glam Jambi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"6957148427791"</f>
        <v/>
      </c>
      <c r="C426" t="inlineStr">
        <is>
          <t>BIOAQUA Plum Hyaluronic Acid Nourishing Mask 28g</t>
        </is>
      </c>
      <c r="D426" t="inlineStr">
        <is>
          <t>Miss Glam Jambi</t>
        </is>
      </c>
      <c r="E426" t="n">
        <v>0</v>
      </c>
      <c r="F426" t="n">
        <v>4.4253</v>
      </c>
      <c r="G426" t="n">
        <v>11.88</v>
      </c>
      <c r="H426" t="n">
        <v>6</v>
      </c>
      <c r="I426" t="n">
        <v>12</v>
      </c>
      <c r="J426" t="n">
        <v>3</v>
      </c>
      <c r="K426" t="n">
        <v>81</v>
      </c>
      <c r="L426" t="n">
        <v>3120</v>
      </c>
      <c r="M426" t="n">
        <v>5000</v>
      </c>
      <c r="N426" t="n">
        <v>33</v>
      </c>
      <c r="O426" t="n">
        <v>0.33</v>
      </c>
      <c r="P426" t="n">
        <v>1</v>
      </c>
      <c r="Q426" t="n">
        <v>1.5</v>
      </c>
      <c r="R426" t="n">
        <v>7</v>
      </c>
      <c r="S426" t="n">
        <v>22126.5</v>
      </c>
      <c r="T426" t="n">
        <v>117</v>
      </c>
      <c r="U426" t="n">
        <v>144</v>
      </c>
      <c r="V426" t="n">
        <v>30</v>
      </c>
      <c r="W426" t="n">
        <v>133</v>
      </c>
      <c r="X426" t="n">
        <v>0</v>
      </c>
      <c r="Y426" t="n">
        <v>1</v>
      </c>
      <c r="Z426" t="n">
        <v>52</v>
      </c>
      <c r="AA426" t="n">
        <v>53</v>
      </c>
      <c r="AB426" t="n">
        <v>0</v>
      </c>
      <c r="AC426" t="n">
        <v>0</v>
      </c>
      <c r="AD426" t="n">
        <v>165360</v>
      </c>
      <c r="AE426" t="n">
        <v>0</v>
      </c>
      <c r="AF426" t="n">
        <v>362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9</v>
      </c>
      <c r="AL426" t="inlineStr">
        <is>
          <t>Miss Glam Jambi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"6957148425612"</f>
        <v/>
      </c>
      <c r="C427" t="inlineStr">
        <is>
          <t>BIOAQUA Pomegranate Oligopeptide Essence Mask 25gr</t>
        </is>
      </c>
      <c r="D427" t="inlineStr">
        <is>
          <t>Miss Glam Jambi</t>
        </is>
      </c>
      <c r="E427" t="n">
        <v>0</v>
      </c>
      <c r="F427" t="n">
        <v>2.4123</v>
      </c>
      <c r="G427" t="n">
        <v>15.51</v>
      </c>
      <c r="H427" t="n">
        <v>6</v>
      </c>
      <c r="I427" t="n">
        <v>12</v>
      </c>
      <c r="J427" t="n">
        <v>3</v>
      </c>
      <c r="K427" t="n">
        <v>0</v>
      </c>
      <c r="L427" t="n">
        <v>2720</v>
      </c>
      <c r="M427" t="n">
        <v>4000</v>
      </c>
      <c r="N427" t="n">
        <v>33</v>
      </c>
      <c r="O427" t="n">
        <v>0.33</v>
      </c>
      <c r="P427" t="n">
        <v>1</v>
      </c>
      <c r="Q427" t="n">
        <v>1.79</v>
      </c>
      <c r="R427" t="n">
        <v>13</v>
      </c>
      <c r="S427" t="n">
        <v>9649.200000000001</v>
      </c>
      <c r="T427" t="n">
        <v>172</v>
      </c>
      <c r="U427" t="n">
        <v>187</v>
      </c>
      <c r="V427" t="n">
        <v>30</v>
      </c>
      <c r="W427" t="n">
        <v>73</v>
      </c>
      <c r="X427" t="n">
        <v>0</v>
      </c>
      <c r="Y427" t="n">
        <v>1</v>
      </c>
      <c r="Z427" t="n">
        <v>73</v>
      </c>
      <c r="AA427" t="n">
        <v>29</v>
      </c>
      <c r="AB427" t="n">
        <v>44</v>
      </c>
      <c r="AC427" t="n">
        <v>44</v>
      </c>
      <c r="AD427" t="n">
        <v>78880</v>
      </c>
      <c r="AE427" t="n">
        <v>119680</v>
      </c>
      <c r="AF427" t="n">
        <v>362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9</v>
      </c>
      <c r="AL427" t="inlineStr">
        <is>
          <t>Miss Glam Jambi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"6957148427753"</f>
        <v/>
      </c>
      <c r="C428" t="inlineStr">
        <is>
          <t>BIOAQUA Rose Yeast Elastic Tender Mask 28gr</t>
        </is>
      </c>
      <c r="D428" t="inlineStr">
        <is>
          <t>Miss Glam Jambi</t>
        </is>
      </c>
      <c r="E428" t="n">
        <v>28</v>
      </c>
      <c r="F428" t="n">
        <v>1.6104</v>
      </c>
      <c r="G428" t="n">
        <v>4.29</v>
      </c>
      <c r="H428" t="n">
        <v>6</v>
      </c>
      <c r="I428" t="n">
        <v>12</v>
      </c>
      <c r="J428" t="n">
        <v>3</v>
      </c>
      <c r="K428" t="n">
        <v>21</v>
      </c>
      <c r="L428" t="n">
        <v>3120</v>
      </c>
      <c r="M428" t="n">
        <v>5000</v>
      </c>
      <c r="N428" t="n">
        <v>33</v>
      </c>
      <c r="O428" t="n">
        <v>0.33</v>
      </c>
      <c r="P428" t="n">
        <v>1</v>
      </c>
      <c r="Q428" t="n">
        <v>1.97</v>
      </c>
      <c r="R428" t="n">
        <v>6</v>
      </c>
      <c r="S428" t="n">
        <v>8052</v>
      </c>
      <c r="T428" t="n">
        <v>42</v>
      </c>
      <c r="U428" t="n">
        <v>52</v>
      </c>
      <c r="V428" t="n">
        <v>30</v>
      </c>
      <c r="W428" t="n">
        <v>49</v>
      </c>
      <c r="X428" t="n">
        <v>17.38698460009935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362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9</v>
      </c>
      <c r="AL428" t="inlineStr">
        <is>
          <t>Miss Glam Jambi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"6957148427722"</f>
        <v/>
      </c>
      <c r="C429" t="inlineStr">
        <is>
          <t>BIOAQUA Sakura Niacinamide Brightening Mask 28gr</t>
        </is>
      </c>
      <c r="D429" t="inlineStr">
        <is>
          <t>Miss Glam Jambi</t>
        </is>
      </c>
      <c r="E429" t="n">
        <v>9</v>
      </c>
      <c r="F429" t="n">
        <v>5.3757</v>
      </c>
      <c r="G429" t="n">
        <v>16.17</v>
      </c>
      <c r="H429" t="n">
        <v>6</v>
      </c>
      <c r="I429" t="n">
        <v>12</v>
      </c>
      <c r="J429" t="n">
        <v>3</v>
      </c>
      <c r="K429" t="n">
        <v>0</v>
      </c>
      <c r="L429" t="n">
        <v>3120</v>
      </c>
      <c r="M429" t="n">
        <v>5000</v>
      </c>
      <c r="N429" t="n">
        <v>33</v>
      </c>
      <c r="O429" t="n">
        <v>0.33</v>
      </c>
      <c r="P429" t="n">
        <v>1</v>
      </c>
      <c r="Q429" t="n">
        <v>3.49</v>
      </c>
      <c r="R429" t="n">
        <v>17</v>
      </c>
      <c r="S429" t="n">
        <v>26878.5</v>
      </c>
      <c r="T429" t="n">
        <v>162</v>
      </c>
      <c r="U429" t="n">
        <v>195</v>
      </c>
      <c r="V429" t="n">
        <v>30</v>
      </c>
      <c r="W429" t="n">
        <v>162</v>
      </c>
      <c r="X429" t="n">
        <v>1.674200569228194</v>
      </c>
      <c r="Y429" t="n">
        <v>1</v>
      </c>
      <c r="Z429" t="n">
        <v>153</v>
      </c>
      <c r="AA429" t="n">
        <v>56</v>
      </c>
      <c r="AB429" t="n">
        <v>97</v>
      </c>
      <c r="AC429" t="n">
        <v>97</v>
      </c>
      <c r="AD429" t="n">
        <v>174720</v>
      </c>
      <c r="AE429" t="n">
        <v>302640</v>
      </c>
      <c r="AF429" t="n">
        <v>362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9</v>
      </c>
      <c r="AL429" t="inlineStr">
        <is>
          <t>Miss Glam Jambi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"6957148425629"</f>
        <v/>
      </c>
      <c r="C430" t="inlineStr">
        <is>
          <t>BIOAQUA Sea Bucktorn Sheet Mask 25gr</t>
        </is>
      </c>
      <c r="D430" t="inlineStr">
        <is>
          <t>Miss Glam Jambi</t>
        </is>
      </c>
      <c r="E430" t="n">
        <v>80</v>
      </c>
      <c r="F430" t="n">
        <v>2.4717</v>
      </c>
      <c r="G430" t="n">
        <v>6.930000000000001</v>
      </c>
      <c r="H430" t="n">
        <v>6</v>
      </c>
      <c r="I430" t="n">
        <v>12</v>
      </c>
      <c r="J430" t="n">
        <v>3</v>
      </c>
      <c r="K430" t="n">
        <v>0</v>
      </c>
      <c r="L430" t="n">
        <v>2720</v>
      </c>
      <c r="M430" t="n">
        <v>4000</v>
      </c>
      <c r="N430" t="n">
        <v>33</v>
      </c>
      <c r="O430" t="n">
        <v>0.33</v>
      </c>
      <c r="P430" t="n">
        <v>1</v>
      </c>
      <c r="Q430" t="n">
        <v>0.64</v>
      </c>
      <c r="R430" t="n">
        <v>7</v>
      </c>
      <c r="S430" t="n">
        <v>9886.800000000001</v>
      </c>
      <c r="T430" t="n">
        <v>69</v>
      </c>
      <c r="U430" t="n">
        <v>84</v>
      </c>
      <c r="V430" t="n">
        <v>30</v>
      </c>
      <c r="W430" t="n">
        <v>75</v>
      </c>
      <c r="X430" t="n">
        <v>32.36638750657442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362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9</v>
      </c>
      <c r="AL430" t="inlineStr">
        <is>
          <t>Miss Glam Jambi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"6957148427760"</f>
        <v/>
      </c>
      <c r="C431" t="inlineStr">
        <is>
          <t>BIOAQUA Sophora Ceramide Moisturizing Mask 28g</t>
        </is>
      </c>
      <c r="D431" t="inlineStr">
        <is>
          <t>Miss Glam Jambi</t>
        </is>
      </c>
      <c r="E431" t="n">
        <v>105</v>
      </c>
      <c r="F431" t="n">
        <v>1.6269</v>
      </c>
      <c r="G431" t="n">
        <v>4.29</v>
      </c>
      <c r="H431" t="n">
        <v>6</v>
      </c>
      <c r="I431" t="n">
        <v>12</v>
      </c>
      <c r="J431" t="n">
        <v>3</v>
      </c>
      <c r="K431" t="n">
        <v>0</v>
      </c>
      <c r="L431" t="n">
        <v>3120</v>
      </c>
      <c r="M431" t="n">
        <v>4000</v>
      </c>
      <c r="N431" t="n">
        <v>33</v>
      </c>
      <c r="O431" t="n">
        <v>0.33</v>
      </c>
      <c r="P431" t="n">
        <v>1</v>
      </c>
      <c r="Q431" t="n">
        <v>1.36</v>
      </c>
      <c r="R431" t="n">
        <v>7</v>
      </c>
      <c r="S431" t="n">
        <v>6507.6</v>
      </c>
      <c r="T431" t="n">
        <v>42</v>
      </c>
      <c r="U431" t="n">
        <v>52</v>
      </c>
      <c r="V431" t="n">
        <v>30</v>
      </c>
      <c r="W431" t="n">
        <v>49</v>
      </c>
      <c r="X431" t="n">
        <v>64.53992255209293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362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9</v>
      </c>
      <c r="AL431" t="inlineStr">
        <is>
          <t>Miss Glam Jambi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BIODERMA</t>
        </is>
      </c>
      <c r="B432" s="2">
        <f>"3401395376706"</f>
        <v/>
      </c>
      <c r="C432" t="inlineStr">
        <is>
          <t>BIODERMA Sensibio H2O Micellar Water 100ml</t>
        </is>
      </c>
      <c r="D432" t="inlineStr">
        <is>
          <t>Miss Glam Jambi</t>
        </is>
      </c>
      <c r="E432" t="n">
        <v>1</v>
      </c>
      <c r="F432" t="n">
        <v>0.1</v>
      </c>
      <c r="G432" t="n">
        <v>2</v>
      </c>
      <c r="H432" t="n">
        <v>4</v>
      </c>
      <c r="I432" t="n">
        <v>20</v>
      </c>
      <c r="J432" t="n">
        <v>3</v>
      </c>
      <c r="K432" t="n">
        <v>3</v>
      </c>
      <c r="L432" t="n">
        <v>107216</v>
      </c>
      <c r="M432" t="n">
        <v>144000</v>
      </c>
      <c r="N432" t="n">
        <v>33</v>
      </c>
      <c r="O432" t="n">
        <v>0.33</v>
      </c>
      <c r="P432" t="n">
        <v>0</v>
      </c>
      <c r="Q432" t="n">
        <v>0.1</v>
      </c>
      <c r="R432" t="n">
        <v>2</v>
      </c>
      <c r="S432" t="n">
        <v>14400</v>
      </c>
      <c r="T432" t="n">
        <v>40</v>
      </c>
      <c r="U432" t="n">
        <v>41</v>
      </c>
      <c r="V432" t="n">
        <v>30</v>
      </c>
      <c r="W432" t="n">
        <v>3</v>
      </c>
      <c r="X432" t="n">
        <v>10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107216</v>
      </c>
      <c r="AE432" t="n">
        <v>0</v>
      </c>
      <c r="AF432" t="n">
        <v>3672</v>
      </c>
      <c r="AG432" t="n">
        <v>1</v>
      </c>
      <c r="AH432" t="inlineStr">
        <is>
          <t>PT. BERSAMA DISTRIVERSA INDONESIA (DC CIPUTAT)</t>
        </is>
      </c>
      <c r="AI432" t="n">
        <v>42</v>
      </c>
      <c r="AJ432" t="inlineStr">
        <is>
          <t>BIODERMA</t>
        </is>
      </c>
      <c r="AK432" t="n">
        <v>9</v>
      </c>
      <c r="AL432" t="inlineStr">
        <is>
          <t>Miss Glam Jambi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BIORE</t>
        </is>
      </c>
      <c r="B433" s="2">
        <f>"8992727004244"</f>
        <v/>
      </c>
      <c r="C433" t="inlineStr">
        <is>
          <t>BIORE Facial Foam Bright and Oil Clear 100gr</t>
        </is>
      </c>
      <c r="D433" t="inlineStr">
        <is>
          <t>Miss Glam Jambi</t>
        </is>
      </c>
      <c r="E433" t="n">
        <v>5</v>
      </c>
      <c r="F433" t="n">
        <v>0.0231</v>
      </c>
      <c r="G433" t="n">
        <v>0.33</v>
      </c>
      <c r="H433" t="n">
        <v>4</v>
      </c>
      <c r="I433" t="n">
        <v>21</v>
      </c>
      <c r="J433" t="n">
        <v>3</v>
      </c>
      <c r="K433" t="n">
        <v>0</v>
      </c>
      <c r="L433" t="n">
        <v>23643</v>
      </c>
      <c r="M433" t="n">
        <v>28000</v>
      </c>
      <c r="N433" t="n">
        <v>33</v>
      </c>
      <c r="O433" t="n">
        <v>0.33</v>
      </c>
      <c r="P433" t="n">
        <v>1</v>
      </c>
      <c r="Q433" t="n">
        <v>0.02</v>
      </c>
      <c r="R433" t="n">
        <v>1</v>
      </c>
      <c r="S433" t="n">
        <v>646.8000000000001</v>
      </c>
      <c r="T433" t="n">
        <v>7</v>
      </c>
      <c r="U433" t="n">
        <v>8</v>
      </c>
      <c r="V433" t="n">
        <v>30</v>
      </c>
      <c r="W433" t="n">
        <v>1</v>
      </c>
      <c r="X433" t="n">
        <v>216.4502164502164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9406</v>
      </c>
      <c r="AG433" t="n">
        <v>2194</v>
      </c>
      <c r="AH433" t="inlineStr">
        <is>
          <t>PT. BINTANG MAS SURYA - PPN (JMB)</t>
        </is>
      </c>
      <c r="AI433" t="n">
        <v>43</v>
      </c>
      <c r="AJ433" t="inlineStr">
        <is>
          <t>BIORE</t>
        </is>
      </c>
      <c r="AK433" t="n">
        <v>9</v>
      </c>
      <c r="AL433" t="inlineStr">
        <is>
          <t>Miss Glam Jambi</t>
        </is>
      </c>
      <c r="AM433" t="n">
        <v>4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"10100306122"</f>
        <v/>
      </c>
      <c r="C434" t="inlineStr">
        <is>
          <t>BIORE Makeup Remover Perfect Cleansing Water Soften Up 400ml</t>
        </is>
      </c>
      <c r="D434" t="inlineStr">
        <is>
          <t>Miss Glam Jambi</t>
        </is>
      </c>
      <c r="E434" t="n">
        <v>0</v>
      </c>
      <c r="F434" t="n">
        <v>0.006600000000000001</v>
      </c>
      <c r="G434" t="n">
        <v>0.33</v>
      </c>
      <c r="H434" t="n">
        <v>4</v>
      </c>
      <c r="I434" t="n">
        <v>21</v>
      </c>
      <c r="J434" t="n">
        <v>3</v>
      </c>
      <c r="K434" t="n">
        <v>0</v>
      </c>
      <c r="L434" t="n">
        <v>69525</v>
      </c>
      <c r="M434" t="n">
        <v>85000</v>
      </c>
      <c r="N434" t="n">
        <v>33</v>
      </c>
      <c r="O434" t="n">
        <v>0.33</v>
      </c>
      <c r="P434" t="n">
        <v>1</v>
      </c>
      <c r="Q434" t="n">
        <v>0.02</v>
      </c>
      <c r="R434" t="n">
        <v>0</v>
      </c>
      <c r="S434" t="n">
        <v>561.0000000000001</v>
      </c>
      <c r="T434" t="n">
        <v>7</v>
      </c>
      <c r="U434" t="n">
        <v>8</v>
      </c>
      <c r="V434" t="n">
        <v>30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69525</v>
      </c>
      <c r="AE434" t="n">
        <v>0</v>
      </c>
      <c r="AF434" t="n">
        <v>9406</v>
      </c>
      <c r="AG434" t="n">
        <v>2194</v>
      </c>
      <c r="AH434" t="inlineStr">
        <is>
          <t>PT. BINTANG MAS SURYA - PPN (JMB)</t>
        </is>
      </c>
      <c r="AI434" t="n">
        <v>43</v>
      </c>
      <c r="AJ434" t="inlineStr">
        <is>
          <t>BIORE</t>
        </is>
      </c>
      <c r="AK434" t="n">
        <v>9</v>
      </c>
      <c r="AL434" t="inlineStr">
        <is>
          <t>Miss Glam Jambi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"8992727005166"</f>
        <v/>
      </c>
      <c r="C435" t="inlineStr">
        <is>
          <t>BIORE Men's Pore Pack Black Strip Refreshing Cool Charcoal</t>
        </is>
      </c>
      <c r="D435" t="inlineStr">
        <is>
          <t>Miss Glam Jambi</t>
        </is>
      </c>
      <c r="E435" t="n">
        <v>0</v>
      </c>
      <c r="F435" t="n">
        <v>0.37</v>
      </c>
      <c r="G435" t="n">
        <v>3</v>
      </c>
      <c r="H435" t="n">
        <v>4</v>
      </c>
      <c r="I435" t="n">
        <v>21</v>
      </c>
      <c r="J435" t="n">
        <v>3</v>
      </c>
      <c r="K435" t="n">
        <v>0</v>
      </c>
      <c r="L435" t="n">
        <v>10989</v>
      </c>
      <c r="M435" t="n">
        <v>13500</v>
      </c>
      <c r="N435" t="n">
        <v>33</v>
      </c>
      <c r="O435" t="n">
        <v>0.33</v>
      </c>
      <c r="P435" t="n">
        <v>0</v>
      </c>
      <c r="Q435" t="n">
        <v>0.37</v>
      </c>
      <c r="R435" t="n">
        <v>3</v>
      </c>
      <c r="S435" t="n">
        <v>4995</v>
      </c>
      <c r="T435" t="n">
        <v>62</v>
      </c>
      <c r="U435" t="n">
        <v>64</v>
      </c>
      <c r="V435" t="n">
        <v>30</v>
      </c>
      <c r="W435" t="n">
        <v>12</v>
      </c>
      <c r="X435" t="n">
        <v>0</v>
      </c>
      <c r="Y435" t="n">
        <v>1</v>
      </c>
      <c r="Z435" t="n">
        <v>12</v>
      </c>
      <c r="AA435" t="n">
        <v>8</v>
      </c>
      <c r="AB435" t="n">
        <v>4</v>
      </c>
      <c r="AC435" t="n">
        <v>4</v>
      </c>
      <c r="AD435" t="n">
        <v>87912</v>
      </c>
      <c r="AE435" t="n">
        <v>43956</v>
      </c>
      <c r="AF435" t="n">
        <v>9406</v>
      </c>
      <c r="AG435" t="n">
        <v>2194</v>
      </c>
      <c r="AH435" t="inlineStr">
        <is>
          <t>PT. BINTANG MAS SURYA - PPN (JMB)</t>
        </is>
      </c>
      <c r="AI435" t="n">
        <v>43</v>
      </c>
      <c r="AJ435" t="inlineStr">
        <is>
          <t>BIORE</t>
        </is>
      </c>
      <c r="AK435" t="n">
        <v>9</v>
      </c>
      <c r="AL435" t="inlineStr">
        <is>
          <t>Miss Glam Jambi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BIORE</t>
        </is>
      </c>
      <c r="B436" s="2">
        <f>"8992727002837"</f>
        <v/>
      </c>
      <c r="C436" t="inlineStr">
        <is>
          <t>BIORE Pore Pack Bamboo Charcoal</t>
        </is>
      </c>
      <c r="D436" t="inlineStr">
        <is>
          <t>Miss Glam Jambi</t>
        </is>
      </c>
      <c r="E436" t="n">
        <v>4</v>
      </c>
      <c r="F436" t="n">
        <v>0.47</v>
      </c>
      <c r="G436" t="n">
        <v>5</v>
      </c>
      <c r="H436" t="n">
        <v>4</v>
      </c>
      <c r="I436" t="n">
        <v>21</v>
      </c>
      <c r="J436" t="n">
        <v>3</v>
      </c>
      <c r="K436" t="n">
        <v>0</v>
      </c>
      <c r="L436" t="n">
        <v>10989</v>
      </c>
      <c r="M436" t="n">
        <v>13500</v>
      </c>
      <c r="N436" t="n">
        <v>33</v>
      </c>
      <c r="O436" t="n">
        <v>0.33</v>
      </c>
      <c r="P436" t="n">
        <v>0</v>
      </c>
      <c r="Q436" t="n">
        <v>0.47</v>
      </c>
      <c r="R436" t="n">
        <v>5</v>
      </c>
      <c r="S436" t="n">
        <v>6345</v>
      </c>
      <c r="T436" t="n">
        <v>104</v>
      </c>
      <c r="U436" t="n">
        <v>106</v>
      </c>
      <c r="V436" t="n">
        <v>30</v>
      </c>
      <c r="W436" t="n">
        <v>15</v>
      </c>
      <c r="X436" t="n">
        <v>8.51063829787234</v>
      </c>
      <c r="Y436" t="n">
        <v>1</v>
      </c>
      <c r="Z436" t="n">
        <v>11</v>
      </c>
      <c r="AA436" t="n">
        <v>6</v>
      </c>
      <c r="AB436" t="n">
        <v>5</v>
      </c>
      <c r="AC436" t="n">
        <v>5</v>
      </c>
      <c r="AD436" t="n">
        <v>65934</v>
      </c>
      <c r="AE436" t="n">
        <v>54945</v>
      </c>
      <c r="AF436" t="n">
        <v>9406</v>
      </c>
      <c r="AG436" t="n">
        <v>2194</v>
      </c>
      <c r="AH436" t="inlineStr">
        <is>
          <t>PT. BINTANG MAS SURYA - PPN (JMB)</t>
        </is>
      </c>
      <c r="AI436" t="n">
        <v>43</v>
      </c>
      <c r="AJ436" t="inlineStr">
        <is>
          <t>BIORE</t>
        </is>
      </c>
      <c r="AK436" t="n">
        <v>9</v>
      </c>
      <c r="AL436" t="inlineStr">
        <is>
          <t>Miss Glam Jambi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BIORE</t>
        </is>
      </c>
      <c r="B437" s="2">
        <f>"8992727007399"</f>
        <v/>
      </c>
      <c r="C437" t="inlineStr">
        <is>
          <t>BIORE Uv Aqua Rich Watery Essence 15gr</t>
        </is>
      </c>
      <c r="D437" t="inlineStr">
        <is>
          <t>Miss Glam Jambi</t>
        </is>
      </c>
      <c r="E437" t="n">
        <v>1</v>
      </c>
      <c r="F437" t="n">
        <v>0.05</v>
      </c>
      <c r="G437" t="n">
        <v>1</v>
      </c>
      <c r="H437" t="n">
        <v>4</v>
      </c>
      <c r="I437" t="n">
        <v>21</v>
      </c>
      <c r="J437" t="n">
        <v>3</v>
      </c>
      <c r="K437" t="n">
        <v>0</v>
      </c>
      <c r="L437" t="n">
        <v>30633</v>
      </c>
      <c r="M437" t="n">
        <v>42000</v>
      </c>
      <c r="N437" t="n">
        <v>33</v>
      </c>
      <c r="O437" t="n">
        <v>0.33</v>
      </c>
      <c r="P437" t="n">
        <v>0</v>
      </c>
      <c r="Q437" t="n">
        <v>0.05</v>
      </c>
      <c r="R437" t="n">
        <v>1</v>
      </c>
      <c r="S437" t="n">
        <v>2100</v>
      </c>
      <c r="T437" t="n">
        <v>21</v>
      </c>
      <c r="U437" t="n">
        <v>22</v>
      </c>
      <c r="V437" t="n">
        <v>30</v>
      </c>
      <c r="W437" t="n">
        <v>2</v>
      </c>
      <c r="X437" t="n">
        <v>20</v>
      </c>
      <c r="Y437" t="n">
        <v>1</v>
      </c>
      <c r="Z437" t="n">
        <v>1</v>
      </c>
      <c r="AA437" t="n">
        <v>1</v>
      </c>
      <c r="AB437" t="n">
        <v>0</v>
      </c>
      <c r="AC437" t="n">
        <v>0</v>
      </c>
      <c r="AD437" t="n">
        <v>30633</v>
      </c>
      <c r="AE437" t="n">
        <v>0</v>
      </c>
      <c r="AF437" t="n">
        <v>9406</v>
      </c>
      <c r="AG437" t="n">
        <v>2194</v>
      </c>
      <c r="AH437" t="inlineStr">
        <is>
          <t>PT. BINTANG MAS SURYA - PPN (JMB)</t>
        </is>
      </c>
      <c r="AI437" t="n">
        <v>43</v>
      </c>
      <c r="AJ437" t="inlineStr">
        <is>
          <t>BIORE</t>
        </is>
      </c>
      <c r="AK437" t="n">
        <v>9</v>
      </c>
      <c r="AL437" t="inlineStr">
        <is>
          <t>Miss Glam Jambi</t>
        </is>
      </c>
      <c r="AM437" t="n">
        <v>4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BIORE</t>
        </is>
      </c>
      <c r="B438" s="2">
        <f>"8992727008518"</f>
        <v/>
      </c>
      <c r="C438" t="inlineStr">
        <is>
          <t>BIORE Uv Fresh &amp; Bright Instant Cover Spf 50PA+++ 30gr</t>
        </is>
      </c>
      <c r="D438" t="inlineStr">
        <is>
          <t>Miss Glam Jambi</t>
        </is>
      </c>
      <c r="E438" t="n">
        <v>7</v>
      </c>
      <c r="F438" t="n">
        <v>0.22</v>
      </c>
      <c r="G438" t="n">
        <v>2</v>
      </c>
      <c r="H438" t="n">
        <v>4</v>
      </c>
      <c r="I438" t="n">
        <v>21</v>
      </c>
      <c r="J438" t="n">
        <v>3</v>
      </c>
      <c r="K438" t="n">
        <v>0</v>
      </c>
      <c r="L438" t="n">
        <v>31025</v>
      </c>
      <c r="M438" t="n">
        <v>38500</v>
      </c>
      <c r="N438" t="n">
        <v>33</v>
      </c>
      <c r="O438" t="n">
        <v>0.33</v>
      </c>
      <c r="P438" t="n">
        <v>0</v>
      </c>
      <c r="Q438" t="n">
        <v>0.22</v>
      </c>
      <c r="R438" t="n">
        <v>2</v>
      </c>
      <c r="S438" t="n">
        <v>8470</v>
      </c>
      <c r="T438" t="n">
        <v>42</v>
      </c>
      <c r="U438" t="n">
        <v>43</v>
      </c>
      <c r="V438" t="n">
        <v>30</v>
      </c>
      <c r="W438" t="n">
        <v>7</v>
      </c>
      <c r="X438" t="n">
        <v>31.81818181818182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9406</v>
      </c>
      <c r="AG438" t="n">
        <v>2194</v>
      </c>
      <c r="AH438" t="inlineStr">
        <is>
          <t>PT. BINTANG MAS SURYA - PPN (JMB)</t>
        </is>
      </c>
      <c r="AI438" t="n">
        <v>43</v>
      </c>
      <c r="AJ438" t="inlineStr">
        <is>
          <t>BIORE</t>
        </is>
      </c>
      <c r="AK438" t="n">
        <v>9</v>
      </c>
      <c r="AL438" t="inlineStr">
        <is>
          <t>Miss Glam Jambi</t>
        </is>
      </c>
      <c r="AM438" t="n">
        <v>4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BIORE</t>
        </is>
      </c>
      <c r="B439" s="2">
        <f>"8992727008501"</f>
        <v/>
      </c>
      <c r="C439" t="inlineStr">
        <is>
          <t>BIORE Uv Fresh &amp; Bright Oil Control Matte Spf 50 PA+++ 30gr</t>
        </is>
      </c>
      <c r="D439" t="inlineStr">
        <is>
          <t>Miss Glam Jambi</t>
        </is>
      </c>
      <c r="E439" t="n">
        <v>2</v>
      </c>
      <c r="F439" t="n">
        <v>0.03</v>
      </c>
      <c r="G439" t="n">
        <v>1</v>
      </c>
      <c r="H439" t="n">
        <v>4</v>
      </c>
      <c r="I439" t="n">
        <v>21</v>
      </c>
      <c r="J439" t="n">
        <v>3</v>
      </c>
      <c r="K439" t="n">
        <v>0</v>
      </c>
      <c r="L439" t="n">
        <v>27922</v>
      </c>
      <c r="M439" t="n">
        <v>39000</v>
      </c>
      <c r="N439" t="n">
        <v>33</v>
      </c>
      <c r="O439" t="n">
        <v>0.33</v>
      </c>
      <c r="P439" t="n">
        <v>0</v>
      </c>
      <c r="Q439" t="n">
        <v>0.03</v>
      </c>
      <c r="R439" t="n">
        <v>1</v>
      </c>
      <c r="S439" t="n">
        <v>1170</v>
      </c>
      <c r="T439" t="n">
        <v>21</v>
      </c>
      <c r="U439" t="n">
        <v>22</v>
      </c>
      <c r="V439" t="n">
        <v>30</v>
      </c>
      <c r="W439" t="n">
        <v>1</v>
      </c>
      <c r="X439" t="n">
        <v>66.66666666666667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9406</v>
      </c>
      <c r="AG439" t="n">
        <v>2194</v>
      </c>
      <c r="AH439" t="inlineStr">
        <is>
          <t>PT. BINTANG MAS SURYA - PPN (JMB)</t>
        </is>
      </c>
      <c r="AI439" t="n">
        <v>43</v>
      </c>
      <c r="AJ439" t="inlineStr">
        <is>
          <t>BIORE</t>
        </is>
      </c>
      <c r="AK439" t="n">
        <v>9</v>
      </c>
      <c r="AL439" t="inlineStr">
        <is>
          <t>Miss Glam Jambi</t>
        </is>
      </c>
      <c r="AM439" t="n">
        <v>4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BIORE</t>
        </is>
      </c>
      <c r="B440" s="2">
        <f>"8992727009003"</f>
        <v/>
      </c>
      <c r="C440" t="inlineStr">
        <is>
          <t>BIORE Uv Fresh &amp; Bright Oil Control Soothing 30gr</t>
        </is>
      </c>
      <c r="D440" t="inlineStr">
        <is>
          <t>Miss Glam Jambi</t>
        </is>
      </c>
      <c r="E440" t="n">
        <v>6</v>
      </c>
      <c r="F440" t="n">
        <v>0.066</v>
      </c>
      <c r="G440" t="n">
        <v>0.33</v>
      </c>
      <c r="H440" t="n">
        <v>4</v>
      </c>
      <c r="I440" t="n">
        <v>21</v>
      </c>
      <c r="J440" t="n">
        <v>3</v>
      </c>
      <c r="K440" t="n">
        <v>0</v>
      </c>
      <c r="L440" t="n">
        <v>30673</v>
      </c>
      <c r="M440" t="n">
        <v>37500</v>
      </c>
      <c r="N440" t="n">
        <v>33</v>
      </c>
      <c r="O440" t="n">
        <v>0.33</v>
      </c>
      <c r="P440" t="n">
        <v>1</v>
      </c>
      <c r="Q440" t="n">
        <v>0.02</v>
      </c>
      <c r="R440" t="n">
        <v>1</v>
      </c>
      <c r="S440" t="n">
        <v>2475</v>
      </c>
      <c r="T440" t="n">
        <v>7</v>
      </c>
      <c r="U440" t="n">
        <v>8</v>
      </c>
      <c r="V440" t="n">
        <v>30</v>
      </c>
      <c r="W440" t="n">
        <v>2</v>
      </c>
      <c r="X440" t="n">
        <v>90.90909090909091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9406</v>
      </c>
      <c r="AG440" t="n">
        <v>2194</v>
      </c>
      <c r="AH440" t="inlineStr">
        <is>
          <t>PT. BINTANG MAS SURYA - PPN (JMB)</t>
        </is>
      </c>
      <c r="AI440" t="n">
        <v>43</v>
      </c>
      <c r="AJ440" t="inlineStr">
        <is>
          <t>BIORE</t>
        </is>
      </c>
      <c r="AK440" t="n">
        <v>9</v>
      </c>
      <c r="AL440" t="inlineStr">
        <is>
          <t>Miss Glam Jambi</t>
        </is>
      </c>
      <c r="AM440" t="n">
        <v>4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BIZARRE</t>
        </is>
      </c>
      <c r="B441" s="2">
        <f>"8992902212365"</f>
        <v/>
      </c>
      <c r="C441" t="inlineStr">
        <is>
          <t>BIZARRE Eau De Toilette Candy Rose 50ml</t>
        </is>
      </c>
      <c r="D441" t="inlineStr">
        <is>
          <t>Miss Glam Jambi</t>
        </is>
      </c>
      <c r="E441" t="n">
        <v>3</v>
      </c>
      <c r="F441" t="n">
        <v>0.05</v>
      </c>
      <c r="G441" t="n">
        <v>1</v>
      </c>
      <c r="H441" t="n">
        <v>1</v>
      </c>
      <c r="I441" t="n">
        <v>2</v>
      </c>
      <c r="J441" t="n">
        <v>3</v>
      </c>
      <c r="K441" t="n">
        <v>0</v>
      </c>
      <c r="L441" t="n">
        <v>23279</v>
      </c>
      <c r="M441" t="n">
        <v>35000</v>
      </c>
      <c r="N441" t="n">
        <v>33</v>
      </c>
      <c r="O441" t="n">
        <v>0.33</v>
      </c>
      <c r="P441" t="n">
        <v>0</v>
      </c>
      <c r="Q441" t="n">
        <v>0.05</v>
      </c>
      <c r="R441" t="n">
        <v>1</v>
      </c>
      <c r="S441" t="n">
        <v>1750</v>
      </c>
      <c r="T441" t="n">
        <v>2</v>
      </c>
      <c r="U441" t="n">
        <v>3</v>
      </c>
      <c r="V441" t="n">
        <v>30</v>
      </c>
      <c r="W441" t="n">
        <v>2</v>
      </c>
      <c r="X441" t="n">
        <v>60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1044</v>
      </c>
      <c r="AG441" t="n">
        <v>3303</v>
      </c>
      <c r="AH441" t="inlineStr">
        <is>
          <t>CV. JAMBI PATRA TAMA - PPN (JMB)</t>
        </is>
      </c>
      <c r="AI441" t="n">
        <v>44</v>
      </c>
      <c r="AJ441" t="inlineStr">
        <is>
          <t>BIZARRE</t>
        </is>
      </c>
      <c r="AK441" t="n">
        <v>9</v>
      </c>
      <c r="AL441" t="inlineStr">
        <is>
          <t>Miss Glam Jambi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BIZARRE</t>
        </is>
      </c>
      <c r="B442" s="2">
        <f>"8992902212105"</f>
        <v/>
      </c>
      <c r="C442" t="inlineStr">
        <is>
          <t>BIZARRE Eau De Toilette Chic Haute 50ml</t>
        </is>
      </c>
      <c r="D442" t="inlineStr">
        <is>
          <t>Miss Glam Jambi</t>
        </is>
      </c>
      <c r="E442" t="n">
        <v>9</v>
      </c>
      <c r="F442" t="n">
        <v>0.2</v>
      </c>
      <c r="G442" t="n">
        <v>1</v>
      </c>
      <c r="H442" t="n">
        <v>1</v>
      </c>
      <c r="I442" t="n">
        <v>2</v>
      </c>
      <c r="J442" t="n">
        <v>3</v>
      </c>
      <c r="K442" t="n">
        <v>0</v>
      </c>
      <c r="L442" t="n">
        <v>22665</v>
      </c>
      <c r="M442" t="n">
        <v>30000</v>
      </c>
      <c r="N442" t="n">
        <v>33</v>
      </c>
      <c r="O442" t="n">
        <v>0.33</v>
      </c>
      <c r="P442" t="n">
        <v>0</v>
      </c>
      <c r="Q442" t="n">
        <v>0.2</v>
      </c>
      <c r="R442" t="n">
        <v>1</v>
      </c>
      <c r="S442" t="n">
        <v>6000</v>
      </c>
      <c r="T442" t="n">
        <v>2</v>
      </c>
      <c r="U442" t="n">
        <v>3</v>
      </c>
      <c r="V442" t="n">
        <v>30</v>
      </c>
      <c r="W442" t="n">
        <v>6</v>
      </c>
      <c r="X442" t="n">
        <v>45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1044</v>
      </c>
      <c r="AG442" t="n">
        <v>3303</v>
      </c>
      <c r="AH442" t="inlineStr">
        <is>
          <t>CV. JAMBI PATRA TAMA - PPN (JMB)</t>
        </is>
      </c>
      <c r="AI442" t="n">
        <v>44</v>
      </c>
      <c r="AJ442" t="inlineStr">
        <is>
          <t>BIZARRE</t>
        </is>
      </c>
      <c r="AK442" t="n">
        <v>9</v>
      </c>
      <c r="AL442" t="inlineStr">
        <is>
          <t>Miss Glam Jambi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BIZARRE</t>
        </is>
      </c>
      <c r="B443" s="2">
        <f>"8992902212099"</f>
        <v/>
      </c>
      <c r="C443" t="inlineStr">
        <is>
          <t>BIZARRE Eau De Toilette Dream Angel 50ml</t>
        </is>
      </c>
      <c r="D443" t="inlineStr">
        <is>
          <t>Miss Glam Jambi</t>
        </is>
      </c>
      <c r="E443" t="n">
        <v>5</v>
      </c>
      <c r="F443" t="n">
        <v>0.009900000000000001</v>
      </c>
      <c r="G443" t="n">
        <v>0.33</v>
      </c>
      <c r="H443" t="n">
        <v>1</v>
      </c>
      <c r="I443" t="n">
        <v>2</v>
      </c>
      <c r="J443" t="n">
        <v>3</v>
      </c>
      <c r="K443" t="n">
        <v>0</v>
      </c>
      <c r="L443" t="n">
        <v>22665</v>
      </c>
      <c r="M443" t="n">
        <v>35000</v>
      </c>
      <c r="N443" t="n">
        <v>33</v>
      </c>
      <c r="O443" t="n">
        <v>0.33</v>
      </c>
      <c r="P443" t="n">
        <v>1</v>
      </c>
      <c r="Q443" t="n">
        <v>0.02</v>
      </c>
      <c r="R443" t="n">
        <v>1</v>
      </c>
      <c r="S443" t="n">
        <v>346.5000000000001</v>
      </c>
      <c r="T443" t="n">
        <v>1</v>
      </c>
      <c r="U443" t="n">
        <v>2</v>
      </c>
      <c r="V443" t="n">
        <v>30</v>
      </c>
      <c r="W443" t="n">
        <v>1</v>
      </c>
      <c r="X443" t="n">
        <v>505.050505050505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1044</v>
      </c>
      <c r="AG443" t="n">
        <v>3303</v>
      </c>
      <c r="AH443" t="inlineStr">
        <is>
          <t>CV. JAMBI PATRA TAMA - PPN (JMB)</t>
        </is>
      </c>
      <c r="AI443" t="n">
        <v>44</v>
      </c>
      <c r="AJ443" t="inlineStr">
        <is>
          <t>BIZARRE</t>
        </is>
      </c>
      <c r="AK443" t="n">
        <v>9</v>
      </c>
      <c r="AL443" t="inlineStr">
        <is>
          <t>Miss Glam Jambi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BIZARRE</t>
        </is>
      </c>
      <c r="B444" s="2">
        <f>"8992902212082"</f>
        <v/>
      </c>
      <c r="C444" t="inlineStr">
        <is>
          <t>BIZARRE Eau De Toilette Seduction 50ml</t>
        </is>
      </c>
      <c r="D444" t="inlineStr">
        <is>
          <t>Miss Glam Jambi</t>
        </is>
      </c>
      <c r="E444" t="n">
        <v>11</v>
      </c>
      <c r="F444" t="n">
        <v>0.009900000000000001</v>
      </c>
      <c r="G444" t="n">
        <v>0.33</v>
      </c>
      <c r="H444" t="n">
        <v>1</v>
      </c>
      <c r="I444" t="n">
        <v>2</v>
      </c>
      <c r="J444" t="n">
        <v>3</v>
      </c>
      <c r="K444" t="n">
        <v>0</v>
      </c>
      <c r="L444" t="n">
        <v>22665</v>
      </c>
      <c r="M444" t="n">
        <v>35000</v>
      </c>
      <c r="N444" t="n">
        <v>33</v>
      </c>
      <c r="O444" t="n">
        <v>0.33</v>
      </c>
      <c r="P444" t="n">
        <v>1</v>
      </c>
      <c r="Q444" t="n">
        <v>0.02</v>
      </c>
      <c r="R444" t="n">
        <v>1</v>
      </c>
      <c r="S444" t="n">
        <v>346.5000000000001</v>
      </c>
      <c r="T444" t="n">
        <v>1</v>
      </c>
      <c r="U444" t="n">
        <v>2</v>
      </c>
      <c r="V444" t="n">
        <v>30</v>
      </c>
      <c r="W444" t="n">
        <v>1</v>
      </c>
      <c r="X444" t="n">
        <v>1111.111111111111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1044</v>
      </c>
      <c r="AG444" t="n">
        <v>3303</v>
      </c>
      <c r="AH444" t="inlineStr">
        <is>
          <t>CV. JAMBI PATRA TAMA - PPN (JMB)</t>
        </is>
      </c>
      <c r="AI444" t="n">
        <v>44</v>
      </c>
      <c r="AJ444" t="inlineStr">
        <is>
          <t>BIZARRE</t>
        </is>
      </c>
      <c r="AK444" t="n">
        <v>9</v>
      </c>
      <c r="AL444" t="inlineStr">
        <is>
          <t>Miss Glam Jambi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BIZARRE</t>
        </is>
      </c>
      <c r="B445" s="2">
        <f>"8992902212075"</f>
        <v/>
      </c>
      <c r="C445" t="inlineStr">
        <is>
          <t>BIZARRE Eau De Toilette Sexy Killer 50ml</t>
        </is>
      </c>
      <c r="D445" t="inlineStr">
        <is>
          <t>Miss Glam Jambi</t>
        </is>
      </c>
      <c r="E445" t="n">
        <v>2</v>
      </c>
      <c r="F445" t="n">
        <v>0.06270000000000001</v>
      </c>
      <c r="G445" t="n">
        <v>0.66</v>
      </c>
      <c r="H445" t="n">
        <v>1</v>
      </c>
      <c r="I445" t="n">
        <v>2</v>
      </c>
      <c r="J445" t="n">
        <v>3</v>
      </c>
      <c r="K445" t="n">
        <v>0</v>
      </c>
      <c r="L445" t="n">
        <v>22665</v>
      </c>
      <c r="M445" t="n">
        <v>30000</v>
      </c>
      <c r="N445" t="n">
        <v>33</v>
      </c>
      <c r="O445" t="n">
        <v>0.33</v>
      </c>
      <c r="P445" t="n">
        <v>1</v>
      </c>
      <c r="Q445" t="n">
        <v>0.07000000000000001</v>
      </c>
      <c r="R445" t="n">
        <v>2</v>
      </c>
      <c r="S445" t="n">
        <v>1881</v>
      </c>
      <c r="T445" t="n">
        <v>2</v>
      </c>
      <c r="U445" t="n">
        <v>3</v>
      </c>
      <c r="V445" t="n">
        <v>30</v>
      </c>
      <c r="W445" t="n">
        <v>2</v>
      </c>
      <c r="X445" t="n">
        <v>31.89792663476874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1044</v>
      </c>
      <c r="AG445" t="n">
        <v>3303</v>
      </c>
      <c r="AH445" t="inlineStr">
        <is>
          <t>CV. JAMBI PATRA TAMA - PPN (JMB)</t>
        </is>
      </c>
      <c r="AI445" t="n">
        <v>44</v>
      </c>
      <c r="AJ445" t="inlineStr">
        <is>
          <t>BIZARRE</t>
        </is>
      </c>
      <c r="AK445" t="n">
        <v>9</v>
      </c>
      <c r="AL445" t="inlineStr">
        <is>
          <t>Miss Glam Jambi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BIZARRE</t>
        </is>
      </c>
      <c r="B446" s="2">
        <f>"8992902212372"</f>
        <v/>
      </c>
      <c r="C446" t="inlineStr">
        <is>
          <t>BIZARRE Eau De Toilette Sunset Lovers 50ml</t>
        </is>
      </c>
      <c r="D446" t="inlineStr">
        <is>
          <t>Miss Glam Jambi</t>
        </is>
      </c>
      <c r="E446" t="n">
        <v>3</v>
      </c>
      <c r="F446" t="n">
        <v>0.009900000000000001</v>
      </c>
      <c r="G446" t="n">
        <v>0.33</v>
      </c>
      <c r="H446" t="n">
        <v>1</v>
      </c>
      <c r="I446" t="n">
        <v>2</v>
      </c>
      <c r="J446" t="n">
        <v>3</v>
      </c>
      <c r="K446" t="n">
        <v>0</v>
      </c>
      <c r="L446" t="n">
        <v>23279</v>
      </c>
      <c r="M446" t="n">
        <v>35000</v>
      </c>
      <c r="N446" t="n">
        <v>33</v>
      </c>
      <c r="O446" t="n">
        <v>0.33</v>
      </c>
      <c r="P446" t="n">
        <v>1</v>
      </c>
      <c r="Q446" t="n">
        <v>0.03</v>
      </c>
      <c r="R446" t="n">
        <v>1</v>
      </c>
      <c r="S446" t="n">
        <v>346.5000000000001</v>
      </c>
      <c r="T446" t="n">
        <v>1</v>
      </c>
      <c r="U446" t="n">
        <v>2</v>
      </c>
      <c r="V446" t="n">
        <v>30</v>
      </c>
      <c r="W446" t="n">
        <v>1</v>
      </c>
      <c r="X446" t="n">
        <v>303.030303030303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1044</v>
      </c>
      <c r="AG446" t="n">
        <v>3303</v>
      </c>
      <c r="AH446" t="inlineStr">
        <is>
          <t>CV. JAMBI PATRA TAMA - PPN (JMB)</t>
        </is>
      </c>
      <c r="AI446" t="n">
        <v>44</v>
      </c>
      <c r="AJ446" t="inlineStr">
        <is>
          <t>BIZARRE</t>
        </is>
      </c>
      <c r="AK446" t="n">
        <v>9</v>
      </c>
      <c r="AL446" t="inlineStr">
        <is>
          <t>Miss Glam Jambi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BIZARRE</t>
        </is>
      </c>
      <c r="B447" s="2">
        <f>"8992902212396"</f>
        <v/>
      </c>
      <c r="C447" t="inlineStr">
        <is>
          <t>BIZARRE Eau De Toilette Velvet Kiss 50ml</t>
        </is>
      </c>
      <c r="D447" t="inlineStr">
        <is>
          <t>Miss Glam Jambi</t>
        </is>
      </c>
      <c r="E447" t="n">
        <v>9</v>
      </c>
      <c r="F447" t="n">
        <v>0.06270000000000001</v>
      </c>
      <c r="G447" t="n">
        <v>0.33</v>
      </c>
      <c r="H447" t="n">
        <v>1</v>
      </c>
      <c r="I447" t="n">
        <v>2</v>
      </c>
      <c r="J447" t="n">
        <v>3</v>
      </c>
      <c r="K447" t="n">
        <v>0</v>
      </c>
      <c r="L447" t="n">
        <v>22665</v>
      </c>
      <c r="M447" t="n">
        <v>30000</v>
      </c>
      <c r="N447" t="n">
        <v>33</v>
      </c>
      <c r="O447" t="n">
        <v>0.33</v>
      </c>
      <c r="P447" t="n">
        <v>1</v>
      </c>
      <c r="Q447" t="n">
        <v>0.1</v>
      </c>
      <c r="R447" t="n">
        <v>1</v>
      </c>
      <c r="S447" t="n">
        <v>1881</v>
      </c>
      <c r="T447" t="n">
        <v>1</v>
      </c>
      <c r="U447" t="n">
        <v>2</v>
      </c>
      <c r="V447" t="n">
        <v>30</v>
      </c>
      <c r="W447" t="n">
        <v>2</v>
      </c>
      <c r="X447" t="n">
        <v>143.5406698564593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1044</v>
      </c>
      <c r="AG447" t="n">
        <v>3303</v>
      </c>
      <c r="AH447" t="inlineStr">
        <is>
          <t>CV. JAMBI PATRA TAMA - PPN (JMB)</t>
        </is>
      </c>
      <c r="AI447" t="n">
        <v>44</v>
      </c>
      <c r="AJ447" t="inlineStr">
        <is>
          <t>BIZARRE</t>
        </is>
      </c>
      <c r="AK447" t="n">
        <v>9</v>
      </c>
      <c r="AL447" t="inlineStr">
        <is>
          <t>Miss Glam Jambi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BLINKZ</t>
        </is>
      </c>
      <c r="B448" s="2">
        <f>"10100805107"</f>
        <v/>
      </c>
      <c r="C448" t="inlineStr">
        <is>
          <t>BLINKZ Soap 60gr</t>
        </is>
      </c>
      <c r="D448" t="inlineStr">
        <is>
          <t>Miss Glam Jambi</t>
        </is>
      </c>
      <c r="E448" t="n">
        <v>4</v>
      </c>
      <c r="F448" t="n">
        <v>0.1452</v>
      </c>
      <c r="G448" t="n">
        <v>0.99</v>
      </c>
      <c r="H448" t="n">
        <v>4</v>
      </c>
      <c r="I448" t="n">
        <v>20</v>
      </c>
      <c r="J448" t="n">
        <v>3</v>
      </c>
      <c r="K448" t="n">
        <v>3</v>
      </c>
      <c r="L448" t="n">
        <v>24097</v>
      </c>
      <c r="M448" t="n">
        <v>30000</v>
      </c>
      <c r="N448" t="n">
        <v>33</v>
      </c>
      <c r="O448" t="n">
        <v>0.33</v>
      </c>
      <c r="P448" t="n">
        <v>1</v>
      </c>
      <c r="Q448" t="n">
        <v>0.14</v>
      </c>
      <c r="R448" t="n">
        <v>1</v>
      </c>
      <c r="S448" t="n">
        <v>4356</v>
      </c>
      <c r="T448" t="n">
        <v>20</v>
      </c>
      <c r="U448" t="n">
        <v>21</v>
      </c>
      <c r="V448" t="n">
        <v>30</v>
      </c>
      <c r="W448" t="n">
        <v>5</v>
      </c>
      <c r="X448" t="n">
        <v>27.54820936639118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3705</v>
      </c>
      <c r="AG448" t="n">
        <v>1</v>
      </c>
      <c r="AH448" t="inlineStr">
        <is>
          <t>PT. BERSAMA DISTRIVERSA INDONESIA (DC CIPUTAT)</t>
        </is>
      </c>
      <c r="AI448" t="n">
        <v>530</v>
      </c>
      <c r="AJ448" t="inlineStr">
        <is>
          <t>BLINKZ</t>
        </is>
      </c>
      <c r="AK448" t="n">
        <v>9</v>
      </c>
      <c r="AL448" t="inlineStr">
        <is>
          <t>Miss Glam Jambi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BODY WHITE</t>
        </is>
      </c>
      <c r="B449" s="2">
        <f>"8997031153909"</f>
        <v/>
      </c>
      <c r="C449" t="inlineStr">
        <is>
          <t>BODY WHITE AHA Body Booster White Serum 100ml</t>
        </is>
      </c>
      <c r="D449" t="inlineStr">
        <is>
          <t>Miss Glam Jambi</t>
        </is>
      </c>
      <c r="E449" t="n">
        <v>14</v>
      </c>
      <c r="F449" t="n">
        <v>0.2739</v>
      </c>
      <c r="G449" t="n">
        <v>0.99</v>
      </c>
      <c r="H449" t="n">
        <v>2</v>
      </c>
      <c r="I449" t="n">
        <v>3</v>
      </c>
      <c r="J449" t="n">
        <v>3</v>
      </c>
      <c r="K449" t="n">
        <v>0</v>
      </c>
      <c r="L449" t="n">
        <v>31500</v>
      </c>
      <c r="M449" t="n">
        <v>35000</v>
      </c>
      <c r="N449" t="n">
        <v>33</v>
      </c>
      <c r="O449" t="n">
        <v>0.33</v>
      </c>
      <c r="P449" t="n">
        <v>1</v>
      </c>
      <c r="Q449" t="n">
        <v>0.29</v>
      </c>
      <c r="R449" t="n">
        <v>2</v>
      </c>
      <c r="S449" t="n">
        <v>9586.5</v>
      </c>
      <c r="T449" t="n">
        <v>3</v>
      </c>
      <c r="U449" t="n">
        <v>4</v>
      </c>
      <c r="V449" t="n">
        <v>30</v>
      </c>
      <c r="W449" t="n">
        <v>9</v>
      </c>
      <c r="X449" t="n">
        <v>51.11354508944871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1749</v>
      </c>
      <c r="AG449" t="n">
        <v>2624</v>
      </c>
      <c r="AH449" t="inlineStr">
        <is>
          <t>CV. USAHA MANDIRI - PPN (JMB)</t>
        </is>
      </c>
      <c r="AI449" t="n">
        <v>1830</v>
      </c>
      <c r="AJ449" t="inlineStr">
        <is>
          <t>BODY WHITE</t>
        </is>
      </c>
      <c r="AK449" t="n">
        <v>9</v>
      </c>
      <c r="AL449" t="inlineStr">
        <is>
          <t>Miss Glam Jambi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BODY WHITE</t>
        </is>
      </c>
      <c r="B450" s="2">
        <f>"8997031153824"</f>
        <v/>
      </c>
      <c r="C450" t="inlineStr">
        <is>
          <t>BODY WHITE AHA Body Booster White Serum 30ml</t>
        </is>
      </c>
      <c r="D450" t="inlineStr">
        <is>
          <t>Miss Glam Jambi</t>
        </is>
      </c>
      <c r="E450" t="n">
        <v>12</v>
      </c>
      <c r="F450" t="n">
        <v>0.5775</v>
      </c>
      <c r="G450" t="n">
        <v>1.65</v>
      </c>
      <c r="H450" t="n">
        <v>2</v>
      </c>
      <c r="I450" t="n">
        <v>3</v>
      </c>
      <c r="J450" t="n">
        <v>3</v>
      </c>
      <c r="K450" t="n">
        <v>0</v>
      </c>
      <c r="L450" t="n">
        <v>15750</v>
      </c>
      <c r="M450" t="n">
        <v>17500</v>
      </c>
      <c r="N450" t="n">
        <v>33</v>
      </c>
      <c r="O450" t="n">
        <v>0.33</v>
      </c>
      <c r="P450" t="n">
        <v>1</v>
      </c>
      <c r="Q450" t="n">
        <v>0.6899999999999999</v>
      </c>
      <c r="R450" t="n">
        <v>7</v>
      </c>
      <c r="S450" t="n">
        <v>10106.25</v>
      </c>
      <c r="T450" t="n">
        <v>4</v>
      </c>
      <c r="U450" t="n">
        <v>6</v>
      </c>
      <c r="V450" t="n">
        <v>30</v>
      </c>
      <c r="W450" t="n">
        <v>18</v>
      </c>
      <c r="X450" t="n">
        <v>20.77922077922078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1749</v>
      </c>
      <c r="AG450" t="n">
        <v>2624</v>
      </c>
      <c r="AH450" t="inlineStr">
        <is>
          <t>CV. USAHA MANDIRI - PPN (JMB)</t>
        </is>
      </c>
      <c r="AI450" t="n">
        <v>1830</v>
      </c>
      <c r="AJ450" t="inlineStr">
        <is>
          <t>BODY WHITE</t>
        </is>
      </c>
      <c r="AK450" t="n">
        <v>9</v>
      </c>
      <c r="AL450" t="inlineStr">
        <is>
          <t>Miss Glam Jambi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BODY WHITE</t>
        </is>
      </c>
      <c r="B451" s="2">
        <f>"8997031154036"</f>
        <v/>
      </c>
      <c r="C451" t="inlineStr">
        <is>
          <t>BODY WHITE AHA Gluta Hya Brightening Body Tone Up Serum 200ml</t>
        </is>
      </c>
      <c r="D451" t="inlineStr">
        <is>
          <t>Miss Glam Jambi</t>
        </is>
      </c>
      <c r="E451" t="n">
        <v>8</v>
      </c>
      <c r="F451" t="n">
        <v>1.0857</v>
      </c>
      <c r="G451" t="n">
        <v>5.61</v>
      </c>
      <c r="H451" t="n">
        <v>2</v>
      </c>
      <c r="I451" t="n">
        <v>3</v>
      </c>
      <c r="J451" t="n">
        <v>3</v>
      </c>
      <c r="K451" t="n">
        <v>25</v>
      </c>
      <c r="L451" t="n">
        <v>31500</v>
      </c>
      <c r="M451" t="n">
        <v>35000</v>
      </c>
      <c r="N451" t="n">
        <v>33</v>
      </c>
      <c r="O451" t="n">
        <v>0.33</v>
      </c>
      <c r="P451" t="n">
        <v>1</v>
      </c>
      <c r="Q451" t="n">
        <v>0.07000000000000001</v>
      </c>
      <c r="R451" t="n">
        <v>1</v>
      </c>
      <c r="S451" t="n">
        <v>37999.50000000001</v>
      </c>
      <c r="T451" t="n">
        <v>15</v>
      </c>
      <c r="U451" t="n">
        <v>18</v>
      </c>
      <c r="V451" t="n">
        <v>30</v>
      </c>
      <c r="W451" t="n">
        <v>33</v>
      </c>
      <c r="X451" t="n">
        <v>7.368518006815878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1749</v>
      </c>
      <c r="AG451" t="n">
        <v>2624</v>
      </c>
      <c r="AH451" t="inlineStr">
        <is>
          <t>CV. USAHA MANDIRI - PPN (JMB)</t>
        </is>
      </c>
      <c r="AI451" t="n">
        <v>1830</v>
      </c>
      <c r="AJ451" t="inlineStr">
        <is>
          <t>BODY WHITE</t>
        </is>
      </c>
      <c r="AK451" t="n">
        <v>9</v>
      </c>
      <c r="AL451" t="inlineStr">
        <is>
          <t>Miss Glam Jambi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BODY WHITE</t>
        </is>
      </c>
      <c r="B452" s="2">
        <f>"8997031153954"</f>
        <v/>
      </c>
      <c r="C452" t="inlineStr">
        <is>
          <t>BODY WHITE AHA Underarm Bright Cream 50ml</t>
        </is>
      </c>
      <c r="D452" t="inlineStr">
        <is>
          <t>Miss Glam Jambi</t>
        </is>
      </c>
      <c r="E452" t="n">
        <v>2</v>
      </c>
      <c r="F452" t="n">
        <v>0.066</v>
      </c>
      <c r="G452" t="n">
        <v>0.66</v>
      </c>
      <c r="H452" t="n">
        <v>2</v>
      </c>
      <c r="I452" t="n">
        <v>3</v>
      </c>
      <c r="J452" t="n">
        <v>3</v>
      </c>
      <c r="K452" t="n">
        <v>3</v>
      </c>
      <c r="L452" t="n">
        <v>22500</v>
      </c>
      <c r="M452" t="n">
        <v>25000</v>
      </c>
      <c r="N452" t="n">
        <v>33</v>
      </c>
      <c r="O452" t="n">
        <v>0.33</v>
      </c>
      <c r="P452" t="n">
        <v>1</v>
      </c>
      <c r="Q452" t="n">
        <v>0.03</v>
      </c>
      <c r="R452" t="n">
        <v>1</v>
      </c>
      <c r="S452" t="n">
        <v>1650</v>
      </c>
      <c r="T452" t="n">
        <v>2</v>
      </c>
      <c r="U452" t="n">
        <v>3</v>
      </c>
      <c r="V452" t="n">
        <v>30</v>
      </c>
      <c r="W452" t="n">
        <v>2</v>
      </c>
      <c r="X452" t="n">
        <v>30.3030303030303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1749</v>
      </c>
      <c r="AG452" t="n">
        <v>2624</v>
      </c>
      <c r="AH452" t="inlineStr">
        <is>
          <t>CV. USAHA MANDIRI - PPN (JMB)</t>
        </is>
      </c>
      <c r="AI452" t="n">
        <v>1830</v>
      </c>
      <c r="AJ452" t="inlineStr">
        <is>
          <t>BODY WHITE</t>
        </is>
      </c>
      <c r="AK452" t="n">
        <v>9</v>
      </c>
      <c r="AL452" t="inlineStr">
        <is>
          <t>Miss Glam Jambi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"8997008672952"</f>
        <v/>
      </c>
      <c r="C453" t="inlineStr">
        <is>
          <t>BRASOV 2IN1 Volume Mascara &amp; Eyeliner Perfect Black 5gr</t>
        </is>
      </c>
      <c r="D453" t="inlineStr">
        <is>
          <t>Miss Glam Jambi</t>
        </is>
      </c>
      <c r="E453" t="n">
        <v>3</v>
      </c>
      <c r="F453" t="n">
        <v>0.02</v>
      </c>
      <c r="G453" t="n">
        <v>1</v>
      </c>
      <c r="H453" t="n">
        <v>2</v>
      </c>
      <c r="I453" t="n">
        <v>6</v>
      </c>
      <c r="J453" t="n">
        <v>3</v>
      </c>
      <c r="K453" t="n">
        <v>0</v>
      </c>
      <c r="L453" t="n">
        <v>28350</v>
      </c>
      <c r="M453" t="n">
        <v>33500</v>
      </c>
      <c r="N453" t="n">
        <v>33</v>
      </c>
      <c r="O453" t="n">
        <v>0.33</v>
      </c>
      <c r="P453" t="n">
        <v>0</v>
      </c>
      <c r="Q453" t="n">
        <v>0.02</v>
      </c>
      <c r="R453" t="n">
        <v>1</v>
      </c>
      <c r="S453" t="n">
        <v>670</v>
      </c>
      <c r="T453" t="n">
        <v>6</v>
      </c>
      <c r="U453" t="n">
        <v>7</v>
      </c>
      <c r="V453" t="n">
        <v>30</v>
      </c>
      <c r="W453" t="n">
        <v>1</v>
      </c>
      <c r="X453" t="n">
        <v>150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1364</v>
      </c>
      <c r="AG453" t="n">
        <v>2136</v>
      </c>
      <c r="AH453" t="inlineStr">
        <is>
          <t>CV. SAMUDRA JAYA ABADI - PPN (JMB)</t>
        </is>
      </c>
      <c r="AI453" t="n">
        <v>49</v>
      </c>
      <c r="AJ453" t="inlineStr">
        <is>
          <t>BRASOV</t>
        </is>
      </c>
      <c r="AK453" t="n">
        <v>9</v>
      </c>
      <c r="AL453" t="inlineStr">
        <is>
          <t>Miss Glam Jambi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"8997008672037"</f>
        <v/>
      </c>
      <c r="C454" t="inlineStr">
        <is>
          <t>BRASOV Blush On Shade 01</t>
        </is>
      </c>
      <c r="D454" t="inlineStr">
        <is>
          <t>Miss Glam Jambi</t>
        </is>
      </c>
      <c r="E454" t="n">
        <v>5</v>
      </c>
      <c r="F454" t="n">
        <v>0.396</v>
      </c>
      <c r="G454" t="n">
        <v>1.65</v>
      </c>
      <c r="H454" t="n">
        <v>2</v>
      </c>
      <c r="I454" t="n">
        <v>6</v>
      </c>
      <c r="J454" t="n">
        <v>6</v>
      </c>
      <c r="K454" t="n">
        <v>7</v>
      </c>
      <c r="L454" t="n">
        <v>12285</v>
      </c>
      <c r="M454" t="n">
        <v>14500</v>
      </c>
      <c r="N454" t="n">
        <v>33</v>
      </c>
      <c r="O454" t="n">
        <v>0.33</v>
      </c>
      <c r="P454" t="n">
        <v>1</v>
      </c>
      <c r="Q454" t="n">
        <v>0.14</v>
      </c>
      <c r="R454" t="n">
        <v>2</v>
      </c>
      <c r="S454" t="n">
        <v>5742</v>
      </c>
      <c r="T454" t="n">
        <v>10</v>
      </c>
      <c r="U454" t="n">
        <v>11</v>
      </c>
      <c r="V454" t="n">
        <v>30</v>
      </c>
      <c r="W454" t="n">
        <v>12</v>
      </c>
      <c r="X454" t="n">
        <v>12.62626262626263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1364</v>
      </c>
      <c r="AG454" t="n">
        <v>2136</v>
      </c>
      <c r="AH454" t="inlineStr">
        <is>
          <t>CV. SAMUDRA JAYA ABADI - PPN (JMB)</t>
        </is>
      </c>
      <c r="AI454" t="n">
        <v>49</v>
      </c>
      <c r="AJ454" t="inlineStr">
        <is>
          <t>BRASOV</t>
        </is>
      </c>
      <c r="AK454" t="n">
        <v>9</v>
      </c>
      <c r="AL454" t="inlineStr">
        <is>
          <t>Miss Glam Jambi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"8997008672044"</f>
        <v/>
      </c>
      <c r="C455" t="inlineStr">
        <is>
          <t>BRASOV Blush On Shade 02</t>
        </is>
      </c>
      <c r="D455" t="inlineStr">
        <is>
          <t>Miss Glam Jambi</t>
        </is>
      </c>
      <c r="E455" t="n">
        <v>5</v>
      </c>
      <c r="F455" t="n">
        <v>0.15</v>
      </c>
      <c r="G455" t="n">
        <v>3</v>
      </c>
      <c r="H455" t="n">
        <v>2</v>
      </c>
      <c r="I455" t="n">
        <v>6</v>
      </c>
      <c r="J455" t="n">
        <v>3</v>
      </c>
      <c r="K455" t="n">
        <v>3</v>
      </c>
      <c r="L455" t="n">
        <v>12285</v>
      </c>
      <c r="M455" t="n">
        <v>14500</v>
      </c>
      <c r="N455" t="n">
        <v>33</v>
      </c>
      <c r="O455" t="n">
        <v>0.33</v>
      </c>
      <c r="P455" t="n">
        <v>0</v>
      </c>
      <c r="Q455" t="n">
        <v>0.15</v>
      </c>
      <c r="R455" t="n">
        <v>3</v>
      </c>
      <c r="S455" t="n">
        <v>2175</v>
      </c>
      <c r="T455" t="n">
        <v>18</v>
      </c>
      <c r="U455" t="n">
        <v>19</v>
      </c>
      <c r="V455" t="n">
        <v>30</v>
      </c>
      <c r="W455" t="n">
        <v>5</v>
      </c>
      <c r="X455" t="n">
        <v>33.33333333333334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1364</v>
      </c>
      <c r="AG455" t="n">
        <v>2136</v>
      </c>
      <c r="AH455" t="inlineStr">
        <is>
          <t>CV. SAMUDRA JAYA ABADI - PPN (JMB)</t>
        </is>
      </c>
      <c r="AI455" t="n">
        <v>49</v>
      </c>
      <c r="AJ455" t="inlineStr">
        <is>
          <t>BRASOV</t>
        </is>
      </c>
      <c r="AK455" t="n">
        <v>9</v>
      </c>
      <c r="AL455" t="inlineStr">
        <is>
          <t>Miss Glam Jambi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"8997008673249"</f>
        <v/>
      </c>
      <c r="C456" t="inlineStr">
        <is>
          <t>BRASOV Eau De Parfume Aqila 35ml</t>
        </is>
      </c>
      <c r="D456" t="inlineStr">
        <is>
          <t>Miss Glam Jambi</t>
        </is>
      </c>
      <c r="E456" t="n">
        <v>9</v>
      </c>
      <c r="F456" t="n">
        <v>0.0165</v>
      </c>
      <c r="G456" t="n">
        <v>0.33</v>
      </c>
      <c r="H456" t="n">
        <v>2</v>
      </c>
      <c r="I456" t="n">
        <v>6</v>
      </c>
      <c r="J456" t="n">
        <v>3</v>
      </c>
      <c r="K456" t="n">
        <v>0</v>
      </c>
      <c r="L456" t="n">
        <v>20700</v>
      </c>
      <c r="M456" t="n">
        <v>23500</v>
      </c>
      <c r="N456" t="n">
        <v>33</v>
      </c>
      <c r="O456" t="n">
        <v>0.33</v>
      </c>
      <c r="P456" t="n">
        <v>1</v>
      </c>
      <c r="Q456" t="n">
        <v>0.03</v>
      </c>
      <c r="R456" t="n">
        <v>1</v>
      </c>
      <c r="S456" t="n">
        <v>387.75</v>
      </c>
      <c r="T456" t="n">
        <v>2</v>
      </c>
      <c r="U456" t="n">
        <v>3</v>
      </c>
      <c r="V456" t="n">
        <v>30</v>
      </c>
      <c r="W456" t="n">
        <v>1</v>
      </c>
      <c r="X456" t="n">
        <v>545.4545454545454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1364</v>
      </c>
      <c r="AG456" t="n">
        <v>2136</v>
      </c>
      <c r="AH456" t="inlineStr">
        <is>
          <t>CV. SAMUDRA JAYA ABADI - PPN (JMB)</t>
        </is>
      </c>
      <c r="AI456" t="n">
        <v>49</v>
      </c>
      <c r="AJ456" t="inlineStr">
        <is>
          <t>BRASOV</t>
        </is>
      </c>
      <c r="AK456" t="n">
        <v>9</v>
      </c>
      <c r="AL456" t="inlineStr">
        <is>
          <t>Miss Glam Jambi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"8997008673263"</f>
        <v/>
      </c>
      <c r="C457" t="inlineStr">
        <is>
          <t>BRASOV Eau De Parfume Mecca 35ml</t>
        </is>
      </c>
      <c r="D457" t="inlineStr">
        <is>
          <t>Miss Glam Jambi</t>
        </is>
      </c>
      <c r="E457" t="n">
        <v>3</v>
      </c>
      <c r="F457" t="n">
        <v>0.1848</v>
      </c>
      <c r="G457" t="n">
        <v>0.66</v>
      </c>
      <c r="H457" t="n">
        <v>2</v>
      </c>
      <c r="I457" t="n">
        <v>6</v>
      </c>
      <c r="J457" t="n">
        <v>3</v>
      </c>
      <c r="K457" t="n">
        <v>3</v>
      </c>
      <c r="L457" t="n">
        <v>20700</v>
      </c>
      <c r="M457" t="n">
        <v>23500</v>
      </c>
      <c r="N457" t="n">
        <v>33</v>
      </c>
      <c r="O457" t="n">
        <v>0.33</v>
      </c>
      <c r="P457" t="n">
        <v>1</v>
      </c>
      <c r="Q457" t="n">
        <v>0.2</v>
      </c>
      <c r="R457" t="n">
        <v>2</v>
      </c>
      <c r="S457" t="n">
        <v>4342.8</v>
      </c>
      <c r="T457" t="n">
        <v>4</v>
      </c>
      <c r="U457" t="n">
        <v>5</v>
      </c>
      <c r="V457" t="n">
        <v>30</v>
      </c>
      <c r="W457" t="n">
        <v>6</v>
      </c>
      <c r="X457" t="n">
        <v>16.23376623376623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1364</v>
      </c>
      <c r="AG457" t="n">
        <v>2136</v>
      </c>
      <c r="AH457" t="inlineStr">
        <is>
          <t>CV. SAMUDRA JAYA ABADI - PPN (JMB)</t>
        </is>
      </c>
      <c r="AI457" t="n">
        <v>49</v>
      </c>
      <c r="AJ457" t="inlineStr">
        <is>
          <t>BRASOV</t>
        </is>
      </c>
      <c r="AK457" t="n">
        <v>9</v>
      </c>
      <c r="AL457" t="inlineStr">
        <is>
          <t>Miss Glam Jambi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"8997008673270"</f>
        <v/>
      </c>
      <c r="C458" t="inlineStr">
        <is>
          <t>BRASOV Eau De Parfume Najwa 35ml</t>
        </is>
      </c>
      <c r="D458" t="inlineStr">
        <is>
          <t>Miss Glam Jambi</t>
        </is>
      </c>
      <c r="E458" t="n">
        <v>7</v>
      </c>
      <c r="F458" t="n">
        <v>0.4521000000000001</v>
      </c>
      <c r="G458" t="n">
        <v>1.65</v>
      </c>
      <c r="H458" t="n">
        <v>2</v>
      </c>
      <c r="I458" t="n">
        <v>6</v>
      </c>
      <c r="J458" t="n">
        <v>3</v>
      </c>
      <c r="K458" t="n">
        <v>7</v>
      </c>
      <c r="L458" t="n">
        <v>20700</v>
      </c>
      <c r="M458" t="n">
        <v>23500</v>
      </c>
      <c r="N458" t="n">
        <v>33</v>
      </c>
      <c r="O458" t="n">
        <v>0.33</v>
      </c>
      <c r="P458" t="n">
        <v>1</v>
      </c>
      <c r="Q458" t="n">
        <v>0.34</v>
      </c>
      <c r="R458" t="n">
        <v>2</v>
      </c>
      <c r="S458" t="n">
        <v>10624.35</v>
      </c>
      <c r="T458" t="n">
        <v>9</v>
      </c>
      <c r="U458" t="n">
        <v>10</v>
      </c>
      <c r="V458" t="n">
        <v>30</v>
      </c>
      <c r="W458" t="n">
        <v>14</v>
      </c>
      <c r="X458" t="n">
        <v>15.483300154833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1364</v>
      </c>
      <c r="AG458" t="n">
        <v>2136</v>
      </c>
      <c r="AH458" t="inlineStr">
        <is>
          <t>CV. SAMUDRA JAYA ABADI - PPN (JMB)</t>
        </is>
      </c>
      <c r="AI458" t="n">
        <v>49</v>
      </c>
      <c r="AJ458" t="inlineStr">
        <is>
          <t>BRASOV</t>
        </is>
      </c>
      <c r="AK458" t="n">
        <v>9</v>
      </c>
      <c r="AL458" t="inlineStr">
        <is>
          <t>Miss Glam Jambi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"8997008673287"</f>
        <v/>
      </c>
      <c r="C459" t="inlineStr">
        <is>
          <t>BRASOV Eau De Parfume Sulthan 35ml</t>
        </is>
      </c>
      <c r="D459" t="inlineStr">
        <is>
          <t>Miss Glam Jambi</t>
        </is>
      </c>
      <c r="E459" t="n">
        <v>4</v>
      </c>
      <c r="F459" t="n">
        <v>0.07920000000000001</v>
      </c>
      <c r="G459" t="n">
        <v>0.99</v>
      </c>
      <c r="H459" t="n">
        <v>2</v>
      </c>
      <c r="I459" t="n">
        <v>6</v>
      </c>
      <c r="J459" t="n">
        <v>6</v>
      </c>
      <c r="K459" t="n">
        <v>0</v>
      </c>
      <c r="L459" t="n">
        <v>20700</v>
      </c>
      <c r="M459" t="n">
        <v>23500</v>
      </c>
      <c r="N459" t="n">
        <v>33</v>
      </c>
      <c r="O459" t="n">
        <v>0.33</v>
      </c>
      <c r="P459" t="n">
        <v>1</v>
      </c>
      <c r="Q459" t="n">
        <v>0.14</v>
      </c>
      <c r="R459" t="n">
        <v>2</v>
      </c>
      <c r="S459" t="n">
        <v>1861.2</v>
      </c>
      <c r="T459" t="n">
        <v>6</v>
      </c>
      <c r="U459" t="n">
        <v>7</v>
      </c>
      <c r="V459" t="n">
        <v>30</v>
      </c>
      <c r="W459" t="n">
        <v>3</v>
      </c>
      <c r="X459" t="n">
        <v>50.5050505050505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1364</v>
      </c>
      <c r="AG459" t="n">
        <v>2136</v>
      </c>
      <c r="AH459" t="inlineStr">
        <is>
          <t>CV. SAMUDRA JAYA ABADI - PPN (JMB)</t>
        </is>
      </c>
      <c r="AI459" t="n">
        <v>49</v>
      </c>
      <c r="AJ459" t="inlineStr">
        <is>
          <t>BRASOV</t>
        </is>
      </c>
      <c r="AK459" t="n">
        <v>9</v>
      </c>
      <c r="AL459" t="inlineStr">
        <is>
          <t>Miss Glam Jambi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"8997008673294"</f>
        <v/>
      </c>
      <c r="C460" t="inlineStr">
        <is>
          <t>BRASOV Eau De Parfume Yasmeen 35ml</t>
        </is>
      </c>
      <c r="D460" t="inlineStr">
        <is>
          <t>Miss Glam Jambi</t>
        </is>
      </c>
      <c r="E460" t="n">
        <v>8</v>
      </c>
      <c r="F460" t="n">
        <v>0.5478</v>
      </c>
      <c r="G460" t="n">
        <v>1.98</v>
      </c>
      <c r="H460" t="n">
        <v>2</v>
      </c>
      <c r="I460" t="n">
        <v>6</v>
      </c>
      <c r="J460" t="n">
        <v>3</v>
      </c>
      <c r="K460" t="n">
        <v>12</v>
      </c>
      <c r="L460" t="n">
        <v>20700</v>
      </c>
      <c r="M460" t="n">
        <v>23500</v>
      </c>
      <c r="N460" t="n">
        <v>33</v>
      </c>
      <c r="O460" t="n">
        <v>0.33</v>
      </c>
      <c r="P460" t="n">
        <v>1</v>
      </c>
      <c r="Q460" t="n">
        <v>0.73</v>
      </c>
      <c r="R460" t="n">
        <v>3</v>
      </c>
      <c r="S460" t="n">
        <v>12873.3</v>
      </c>
      <c r="T460" t="n">
        <v>11</v>
      </c>
      <c r="U460" t="n">
        <v>13</v>
      </c>
      <c r="V460" t="n">
        <v>30</v>
      </c>
      <c r="W460" t="n">
        <v>17</v>
      </c>
      <c r="X460" t="n">
        <v>14.60387002555677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1364</v>
      </c>
      <c r="AG460" t="n">
        <v>2136</v>
      </c>
      <c r="AH460" t="inlineStr">
        <is>
          <t>CV. SAMUDRA JAYA ABADI - PPN (JMB)</t>
        </is>
      </c>
      <c r="AI460" t="n">
        <v>49</v>
      </c>
      <c r="AJ460" t="inlineStr">
        <is>
          <t>BRASOV</t>
        </is>
      </c>
      <c r="AK460" t="n">
        <v>9</v>
      </c>
      <c r="AL460" t="inlineStr">
        <is>
          <t>Miss Glam Jambi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"8997008671085"</f>
        <v/>
      </c>
      <c r="C461" t="inlineStr">
        <is>
          <t>BRASOV Eau de Toilette Soft  50ml</t>
        </is>
      </c>
      <c r="D461" t="inlineStr">
        <is>
          <t>Miss Glam Jambi</t>
        </is>
      </c>
      <c r="E461" t="n">
        <v>0</v>
      </c>
      <c r="F461" t="n">
        <v>0.02</v>
      </c>
      <c r="G461" t="n">
        <v>1</v>
      </c>
      <c r="H461" t="n">
        <v>2</v>
      </c>
      <c r="I461" t="n">
        <v>6</v>
      </c>
      <c r="J461" t="n">
        <v>3</v>
      </c>
      <c r="K461" t="n">
        <v>0</v>
      </c>
      <c r="L461" t="n">
        <v>13704</v>
      </c>
      <c r="M461" t="n">
        <v>16500</v>
      </c>
      <c r="N461" t="n">
        <v>33</v>
      </c>
      <c r="O461" t="n">
        <v>0.33</v>
      </c>
      <c r="P461" t="n">
        <v>0</v>
      </c>
      <c r="Q461" t="n">
        <v>0.02</v>
      </c>
      <c r="R461" t="n">
        <v>1</v>
      </c>
      <c r="S461" t="n">
        <v>330</v>
      </c>
      <c r="T461" t="n">
        <v>6</v>
      </c>
      <c r="U461" t="n">
        <v>7</v>
      </c>
      <c r="V461" t="n">
        <v>30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n">
        <v>0</v>
      </c>
      <c r="AC461" t="n">
        <v>0</v>
      </c>
      <c r="AD461" t="n">
        <v>13704</v>
      </c>
      <c r="AE461" t="n">
        <v>0</v>
      </c>
      <c r="AF461" t="n">
        <v>1364</v>
      </c>
      <c r="AG461" t="n">
        <v>2136</v>
      </c>
      <c r="AH461" t="inlineStr">
        <is>
          <t>CV. SAMUDRA JAYA ABADI - PPN (JMB)</t>
        </is>
      </c>
      <c r="AI461" t="n">
        <v>49</v>
      </c>
      <c r="AJ461" t="inlineStr">
        <is>
          <t>BRASOV</t>
        </is>
      </c>
      <c r="AK461" t="n">
        <v>9</v>
      </c>
      <c r="AL461" t="inlineStr">
        <is>
          <t>Miss Glam Jambi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"8997008672587"</f>
        <v/>
      </c>
      <c r="C462" t="inlineStr">
        <is>
          <t>BRASOV Eye Shadow Palette 12 Colors 02 Nudes</t>
        </is>
      </c>
      <c r="D462" t="inlineStr">
        <is>
          <t>Miss Glam Jambi</t>
        </is>
      </c>
      <c r="E462" t="n">
        <v>5</v>
      </c>
      <c r="F462" t="n">
        <v>0.1287</v>
      </c>
      <c r="G462" t="n">
        <v>0.66</v>
      </c>
      <c r="H462" t="n">
        <v>2</v>
      </c>
      <c r="I462" t="n">
        <v>6</v>
      </c>
      <c r="J462" t="n">
        <v>12</v>
      </c>
      <c r="K462" t="n">
        <v>12</v>
      </c>
      <c r="L462" t="n">
        <v>30712</v>
      </c>
      <c r="M462" t="n">
        <v>36500</v>
      </c>
      <c r="N462" t="n">
        <v>33</v>
      </c>
      <c r="O462" t="n">
        <v>0.33</v>
      </c>
      <c r="P462" t="n">
        <v>1</v>
      </c>
      <c r="Q462" t="n">
        <v>0.36</v>
      </c>
      <c r="R462" t="n">
        <v>3</v>
      </c>
      <c r="S462" t="n">
        <v>4697.55</v>
      </c>
      <c r="T462" t="n">
        <v>4</v>
      </c>
      <c r="U462" t="n">
        <v>5</v>
      </c>
      <c r="V462" t="n">
        <v>30</v>
      </c>
      <c r="W462" t="n">
        <v>4</v>
      </c>
      <c r="X462" t="n">
        <v>38.85003885003885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1364</v>
      </c>
      <c r="AG462" t="n">
        <v>2136</v>
      </c>
      <c r="AH462" t="inlineStr">
        <is>
          <t>CV. SAMUDRA JAYA ABADI - PPN (JMB)</t>
        </is>
      </c>
      <c r="AI462" t="n">
        <v>49</v>
      </c>
      <c r="AJ462" t="inlineStr">
        <is>
          <t>BRASOV</t>
        </is>
      </c>
      <c r="AK462" t="n">
        <v>9</v>
      </c>
      <c r="AL462" t="inlineStr">
        <is>
          <t>Miss Glam Jambi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"8997008672969"</f>
        <v/>
      </c>
      <c r="C463" t="inlineStr">
        <is>
          <t>BRASOV Lip Serum With Vitamin 5gr</t>
        </is>
      </c>
      <c r="D463" t="inlineStr">
        <is>
          <t>Miss Glam Jambi</t>
        </is>
      </c>
      <c r="E463" t="n">
        <v>0</v>
      </c>
      <c r="F463" t="n">
        <v>0.0231</v>
      </c>
      <c r="G463" t="n">
        <v>0.33</v>
      </c>
      <c r="H463" t="n">
        <v>2</v>
      </c>
      <c r="I463" t="n">
        <v>6</v>
      </c>
      <c r="J463" t="n">
        <v>3</v>
      </c>
      <c r="K463" t="n">
        <v>3</v>
      </c>
      <c r="L463" t="n">
        <v>17483</v>
      </c>
      <c r="M463" t="n">
        <v>21000</v>
      </c>
      <c r="N463" t="n">
        <v>33</v>
      </c>
      <c r="O463" t="n">
        <v>0.33</v>
      </c>
      <c r="P463" t="n">
        <v>1</v>
      </c>
      <c r="Q463" t="n">
        <v>0.04</v>
      </c>
      <c r="R463" t="n">
        <v>1</v>
      </c>
      <c r="S463" t="n">
        <v>485.1000000000001</v>
      </c>
      <c r="T463" t="n">
        <v>2</v>
      </c>
      <c r="U463" t="n">
        <v>3</v>
      </c>
      <c r="V463" t="n">
        <v>30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1364</v>
      </c>
      <c r="AG463" t="n">
        <v>2136</v>
      </c>
      <c r="AH463" t="inlineStr">
        <is>
          <t>CV. SAMUDRA JAYA ABADI - PPN (JMB)</t>
        </is>
      </c>
      <c r="AI463" t="n">
        <v>49</v>
      </c>
      <c r="AJ463" t="inlineStr">
        <is>
          <t>BRASOV</t>
        </is>
      </c>
      <c r="AK463" t="n">
        <v>9</v>
      </c>
      <c r="AL463" t="inlineStr">
        <is>
          <t>Miss Glam Jambi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"8997008672075"</f>
        <v/>
      </c>
      <c r="C464" t="inlineStr">
        <is>
          <t>BRASOV Lipstick Matte Shade 03</t>
        </is>
      </c>
      <c r="D464" t="inlineStr">
        <is>
          <t>Miss Glam Jambi</t>
        </is>
      </c>
      <c r="E464" t="n">
        <v>1</v>
      </c>
      <c r="F464" t="n">
        <v>0.02</v>
      </c>
      <c r="G464" t="n">
        <v>1</v>
      </c>
      <c r="H464" t="n">
        <v>2</v>
      </c>
      <c r="I464" t="n">
        <v>6</v>
      </c>
      <c r="J464" t="n">
        <v>3</v>
      </c>
      <c r="K464" t="n">
        <v>0</v>
      </c>
      <c r="L464" t="n">
        <v>12285</v>
      </c>
      <c r="M464" t="n">
        <v>14500</v>
      </c>
      <c r="N464" t="n">
        <v>33</v>
      </c>
      <c r="O464" t="n">
        <v>0.33</v>
      </c>
      <c r="P464" t="n">
        <v>0</v>
      </c>
      <c r="Q464" t="n">
        <v>0.02</v>
      </c>
      <c r="R464" t="n">
        <v>1</v>
      </c>
      <c r="S464" t="n">
        <v>290</v>
      </c>
      <c r="T464" t="n">
        <v>6</v>
      </c>
      <c r="U464" t="n">
        <v>7</v>
      </c>
      <c r="V464" t="n">
        <v>30</v>
      </c>
      <c r="W464" t="n">
        <v>1</v>
      </c>
      <c r="X464" t="n">
        <v>50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1364</v>
      </c>
      <c r="AG464" t="n">
        <v>2136</v>
      </c>
      <c r="AH464" t="inlineStr">
        <is>
          <t>CV. SAMUDRA JAYA ABADI - PPN (JMB)</t>
        </is>
      </c>
      <c r="AI464" t="n">
        <v>49</v>
      </c>
      <c r="AJ464" t="inlineStr">
        <is>
          <t>BRASOV</t>
        </is>
      </c>
      <c r="AK464" t="n">
        <v>9</v>
      </c>
      <c r="AL464" t="inlineStr">
        <is>
          <t>Miss Glam Jambi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"8997008672013"</f>
        <v/>
      </c>
      <c r="C465" t="inlineStr">
        <is>
          <t>BRASOV Mascara Black 8gr</t>
        </is>
      </c>
      <c r="D465" t="inlineStr">
        <is>
          <t>Miss Glam Jambi</t>
        </is>
      </c>
      <c r="E465" t="n">
        <v>6</v>
      </c>
      <c r="F465" t="n">
        <v>0.2475</v>
      </c>
      <c r="G465" t="n">
        <v>0.99</v>
      </c>
      <c r="H465" t="n">
        <v>2</v>
      </c>
      <c r="I465" t="n">
        <v>6</v>
      </c>
      <c r="J465" t="n">
        <v>3</v>
      </c>
      <c r="K465" t="n">
        <v>6</v>
      </c>
      <c r="L465" t="n">
        <v>18900</v>
      </c>
      <c r="M465" t="n">
        <v>21000</v>
      </c>
      <c r="N465" t="n">
        <v>33</v>
      </c>
      <c r="O465" t="n">
        <v>0.33</v>
      </c>
      <c r="P465" t="n">
        <v>1</v>
      </c>
      <c r="Q465" t="n">
        <v>0.51</v>
      </c>
      <c r="R465" t="n">
        <v>2</v>
      </c>
      <c r="S465" t="n">
        <v>5197.5</v>
      </c>
      <c r="T465" t="n">
        <v>6</v>
      </c>
      <c r="U465" t="n">
        <v>7</v>
      </c>
      <c r="V465" t="n">
        <v>30</v>
      </c>
      <c r="W465" t="n">
        <v>8</v>
      </c>
      <c r="X465" t="n">
        <v>24.24242424242424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1364</v>
      </c>
      <c r="AG465" t="n">
        <v>2136</v>
      </c>
      <c r="AH465" t="inlineStr">
        <is>
          <t>CV. SAMUDRA JAYA ABADI - PPN (JMB)</t>
        </is>
      </c>
      <c r="AI465" t="n">
        <v>49</v>
      </c>
      <c r="AJ465" t="inlineStr">
        <is>
          <t>BRASOV</t>
        </is>
      </c>
      <c r="AK465" t="n">
        <v>9</v>
      </c>
      <c r="AL465" t="inlineStr">
        <is>
          <t>Miss Glam Jambi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"8997008671689"</f>
        <v/>
      </c>
      <c r="C466" t="inlineStr">
        <is>
          <t>BRASOV Nail Polish Bening 8ml</t>
        </is>
      </c>
      <c r="D466" t="inlineStr">
        <is>
          <t>Miss Glam Jambi</t>
        </is>
      </c>
      <c r="E466" t="n">
        <v>23</v>
      </c>
      <c r="F466" t="n">
        <v>0.5247000000000001</v>
      </c>
      <c r="G466" t="n">
        <v>1.65</v>
      </c>
      <c r="H466" t="n">
        <v>2</v>
      </c>
      <c r="I466" t="n">
        <v>6</v>
      </c>
      <c r="J466" t="n">
        <v>12</v>
      </c>
      <c r="K466" t="n">
        <v>0</v>
      </c>
      <c r="L466" t="n">
        <v>4489</v>
      </c>
      <c r="M466" t="n">
        <v>5500</v>
      </c>
      <c r="N466" t="n">
        <v>33</v>
      </c>
      <c r="O466" t="n">
        <v>0.33</v>
      </c>
      <c r="P466" t="n">
        <v>1</v>
      </c>
      <c r="Q466" t="n">
        <v>0.17</v>
      </c>
      <c r="R466" t="n">
        <v>2</v>
      </c>
      <c r="S466" t="n">
        <v>2885.85</v>
      </c>
      <c r="T466" t="n">
        <v>9</v>
      </c>
      <c r="U466" t="n">
        <v>11</v>
      </c>
      <c r="V466" t="n">
        <v>30</v>
      </c>
      <c r="W466" t="n">
        <v>16</v>
      </c>
      <c r="X466" t="n">
        <v>43.83457213645892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1364</v>
      </c>
      <c r="AG466" t="n">
        <v>2136</v>
      </c>
      <c r="AH466" t="inlineStr">
        <is>
          <t>CV. SAMUDRA JAYA ABADI - PPN (JMB)</t>
        </is>
      </c>
      <c r="AI466" t="n">
        <v>49</v>
      </c>
      <c r="AJ466" t="inlineStr">
        <is>
          <t>BRASOV</t>
        </is>
      </c>
      <c r="AK466" t="n">
        <v>9</v>
      </c>
      <c r="AL466" t="inlineStr">
        <is>
          <t>Miss Glam Jambi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"30500210554"</f>
        <v/>
      </c>
      <c r="C467" t="inlineStr">
        <is>
          <t>BRASOV Nail Polish Nude Color 8ml</t>
        </is>
      </c>
      <c r="D467" t="inlineStr">
        <is>
          <t>Miss Glam Jambi</t>
        </is>
      </c>
      <c r="E467" t="n">
        <v>4</v>
      </c>
      <c r="F467" t="n">
        <v>0.0495</v>
      </c>
      <c r="G467" t="n">
        <v>0.66</v>
      </c>
      <c r="H467" t="n">
        <v>2</v>
      </c>
      <c r="I467" t="n">
        <v>6</v>
      </c>
      <c r="J467" t="n">
        <v>12</v>
      </c>
      <c r="K467" t="n">
        <v>0</v>
      </c>
      <c r="L467" t="n">
        <v>4489</v>
      </c>
      <c r="M467" t="n">
        <v>6000</v>
      </c>
      <c r="N467" t="n">
        <v>33</v>
      </c>
      <c r="O467" t="n">
        <v>0.33</v>
      </c>
      <c r="P467" t="n">
        <v>1</v>
      </c>
      <c r="Q467" t="n">
        <v>0.12</v>
      </c>
      <c r="R467" t="n">
        <v>2</v>
      </c>
      <c r="S467" t="n">
        <v>297</v>
      </c>
      <c r="T467" t="n">
        <v>4</v>
      </c>
      <c r="U467" t="n">
        <v>5</v>
      </c>
      <c r="V467" t="n">
        <v>30</v>
      </c>
      <c r="W467" t="n">
        <v>2</v>
      </c>
      <c r="X467" t="n">
        <v>80.8080808080808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1364</v>
      </c>
      <c r="AG467" t="n">
        <v>2136</v>
      </c>
      <c r="AH467" t="inlineStr">
        <is>
          <t>CV. SAMUDRA JAYA ABADI - PPN (JMB)</t>
        </is>
      </c>
      <c r="AI467" t="n">
        <v>49</v>
      </c>
      <c r="AJ467" t="inlineStr">
        <is>
          <t>BRASOV</t>
        </is>
      </c>
      <c r="AK467" t="n">
        <v>9</v>
      </c>
      <c r="AL467" t="inlineStr">
        <is>
          <t>Miss Glam Jambi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"8997008673300"</f>
        <v/>
      </c>
      <c r="C468" t="inlineStr">
        <is>
          <t>BRASOV Nail Polish Pell Off No 2</t>
        </is>
      </c>
      <c r="D468" t="inlineStr">
        <is>
          <t>Miss Glam Jambi</t>
        </is>
      </c>
      <c r="E468" t="n">
        <v>11</v>
      </c>
      <c r="F468" t="n">
        <v>0.1023</v>
      </c>
      <c r="G468" t="n">
        <v>1.32</v>
      </c>
      <c r="H468" t="n">
        <v>2</v>
      </c>
      <c r="I468" t="n">
        <v>6</v>
      </c>
      <c r="J468" t="n">
        <v>12</v>
      </c>
      <c r="K468" t="n">
        <v>0</v>
      </c>
      <c r="L468" t="n">
        <v>7796</v>
      </c>
      <c r="M468" t="n">
        <v>10500</v>
      </c>
      <c r="N468" t="n">
        <v>33</v>
      </c>
      <c r="O468" t="n">
        <v>0.33</v>
      </c>
      <c r="P468" t="n">
        <v>1</v>
      </c>
      <c r="Q468" t="n">
        <v>0.02</v>
      </c>
      <c r="R468" t="n">
        <v>1</v>
      </c>
      <c r="S468" t="n">
        <v>1074.15</v>
      </c>
      <c r="T468" t="n">
        <v>8</v>
      </c>
      <c r="U468" t="n">
        <v>9</v>
      </c>
      <c r="V468" t="n">
        <v>30</v>
      </c>
      <c r="W468" t="n">
        <v>4</v>
      </c>
      <c r="X468" t="n">
        <v>107.5268817204301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1364</v>
      </c>
      <c r="AG468" t="n">
        <v>2136</v>
      </c>
      <c r="AH468" t="inlineStr">
        <is>
          <t>CV. SAMUDRA JAYA ABADI - PPN (JMB)</t>
        </is>
      </c>
      <c r="AI468" t="n">
        <v>49</v>
      </c>
      <c r="AJ468" t="inlineStr">
        <is>
          <t>BRASOV</t>
        </is>
      </c>
      <c r="AK468" t="n">
        <v>9</v>
      </c>
      <c r="AL468" t="inlineStr">
        <is>
          <t>Miss Glam Jambi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"8997008671825"</f>
        <v/>
      </c>
      <c r="C469" t="inlineStr">
        <is>
          <t>BRASOV NAIL POLISH Remover 65ml</t>
        </is>
      </c>
      <c r="D469" t="inlineStr">
        <is>
          <t>Miss Glam Jambi</t>
        </is>
      </c>
      <c r="E469" t="n">
        <v>3</v>
      </c>
      <c r="F469" t="n">
        <v>0.3399</v>
      </c>
      <c r="G469" t="n">
        <v>0.99</v>
      </c>
      <c r="H469" t="n">
        <v>2</v>
      </c>
      <c r="I469" t="n">
        <v>6</v>
      </c>
      <c r="J469" t="n">
        <v>3</v>
      </c>
      <c r="K469" t="n">
        <v>8</v>
      </c>
      <c r="L469" t="n">
        <v>5670</v>
      </c>
      <c r="M469" t="n">
        <v>7000</v>
      </c>
      <c r="N469" t="n">
        <v>33</v>
      </c>
      <c r="O469" t="n">
        <v>0.33</v>
      </c>
      <c r="P469" t="n">
        <v>1</v>
      </c>
      <c r="Q469" t="n">
        <v>0.15</v>
      </c>
      <c r="R469" t="n">
        <v>1</v>
      </c>
      <c r="S469" t="n">
        <v>2379.3</v>
      </c>
      <c r="T469" t="n">
        <v>6</v>
      </c>
      <c r="U469" t="n">
        <v>7</v>
      </c>
      <c r="V469" t="n">
        <v>30</v>
      </c>
      <c r="W469" t="n">
        <v>11</v>
      </c>
      <c r="X469" t="n">
        <v>8.8261253309797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1364</v>
      </c>
      <c r="AG469" t="n">
        <v>2136</v>
      </c>
      <c r="AH469" t="inlineStr">
        <is>
          <t>CV. SAMUDRA JAYA ABADI - PPN (JMB)</t>
        </is>
      </c>
      <c r="AI469" t="n">
        <v>49</v>
      </c>
      <c r="AJ469" t="inlineStr">
        <is>
          <t>BRASOV</t>
        </is>
      </c>
      <c r="AK469" t="n">
        <v>9</v>
      </c>
      <c r="AL469" t="inlineStr">
        <is>
          <t>Miss Glam Jambi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"8997008673089"</f>
        <v/>
      </c>
      <c r="C470" t="inlineStr">
        <is>
          <t>BRASOV Parfume Signature Amber 35ml</t>
        </is>
      </c>
      <c r="D470" t="inlineStr">
        <is>
          <t>Miss Glam Jambi</t>
        </is>
      </c>
      <c r="E470" t="n">
        <v>4</v>
      </c>
      <c r="F470" t="n">
        <v>0.3696</v>
      </c>
      <c r="G470" t="n">
        <v>1.65</v>
      </c>
      <c r="H470" t="n">
        <v>2</v>
      </c>
      <c r="I470" t="n">
        <v>6</v>
      </c>
      <c r="J470" t="n">
        <v>3</v>
      </c>
      <c r="K470" t="n">
        <v>8</v>
      </c>
      <c r="L470" t="n">
        <v>15592</v>
      </c>
      <c r="M470" t="n">
        <v>18000</v>
      </c>
      <c r="N470" t="n">
        <v>33</v>
      </c>
      <c r="O470" t="n">
        <v>0.33</v>
      </c>
      <c r="P470" t="n">
        <v>1</v>
      </c>
      <c r="Q470" t="n">
        <v>0.29</v>
      </c>
      <c r="R470" t="n">
        <v>2</v>
      </c>
      <c r="S470" t="n">
        <v>6652.800000000001</v>
      </c>
      <c r="T470" t="n">
        <v>10</v>
      </c>
      <c r="U470" t="n">
        <v>11</v>
      </c>
      <c r="V470" t="n">
        <v>30</v>
      </c>
      <c r="W470" t="n">
        <v>12</v>
      </c>
      <c r="X470" t="n">
        <v>10.82251082251082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1364</v>
      </c>
      <c r="AG470" t="n">
        <v>2136</v>
      </c>
      <c r="AH470" t="inlineStr">
        <is>
          <t>CV. SAMUDRA JAYA ABADI - PPN (JMB)</t>
        </is>
      </c>
      <c r="AI470" t="n">
        <v>49</v>
      </c>
      <c r="AJ470" t="inlineStr">
        <is>
          <t>BRASOV</t>
        </is>
      </c>
      <c r="AK470" t="n">
        <v>9</v>
      </c>
      <c r="AL470" t="inlineStr">
        <is>
          <t>Miss Glam Jambi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"8997008673003"</f>
        <v/>
      </c>
      <c r="C471" t="inlineStr">
        <is>
          <t>BRASOV Parfume Signature Aquamarine 35ml</t>
        </is>
      </c>
      <c r="D471" t="inlineStr">
        <is>
          <t>Miss Glam Jambi</t>
        </is>
      </c>
      <c r="E471" t="n">
        <v>6</v>
      </c>
      <c r="F471" t="n">
        <v>1.0527</v>
      </c>
      <c r="G471" t="n">
        <v>2.97</v>
      </c>
      <c r="H471" t="n">
        <v>2</v>
      </c>
      <c r="I471" t="n">
        <v>6</v>
      </c>
      <c r="J471" t="n">
        <v>3</v>
      </c>
      <c r="K471" t="n">
        <v>27</v>
      </c>
      <c r="L471" t="n">
        <v>15592</v>
      </c>
      <c r="M471" t="n">
        <v>18000</v>
      </c>
      <c r="N471" t="n">
        <v>33</v>
      </c>
      <c r="O471" t="n">
        <v>0.33</v>
      </c>
      <c r="P471" t="n">
        <v>1</v>
      </c>
      <c r="Q471" t="n">
        <v>0.36</v>
      </c>
      <c r="R471" t="n">
        <v>4</v>
      </c>
      <c r="S471" t="n">
        <v>18948.6</v>
      </c>
      <c r="T471" t="n">
        <v>16</v>
      </c>
      <c r="U471" t="n">
        <v>19</v>
      </c>
      <c r="V471" t="n">
        <v>30</v>
      </c>
      <c r="W471" t="n">
        <v>32</v>
      </c>
      <c r="X471" t="n">
        <v>5.699629524080935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1364</v>
      </c>
      <c r="AG471" t="n">
        <v>2136</v>
      </c>
      <c r="AH471" t="inlineStr">
        <is>
          <t>CV. SAMUDRA JAYA ABADI - PPN (JMB)</t>
        </is>
      </c>
      <c r="AI471" t="n">
        <v>49</v>
      </c>
      <c r="AJ471" t="inlineStr">
        <is>
          <t>BRASOV</t>
        </is>
      </c>
      <c r="AK471" t="n">
        <v>9</v>
      </c>
      <c r="AL471" t="inlineStr">
        <is>
          <t>Miss Glam Jambi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"8997008673010"</f>
        <v/>
      </c>
      <c r="C472" t="inlineStr">
        <is>
          <t>BRASOV Parfume Signature Diamond 35ml</t>
        </is>
      </c>
      <c r="D472" t="inlineStr">
        <is>
          <t>Miss Glam Jambi</t>
        </is>
      </c>
      <c r="E472" t="n">
        <v>0</v>
      </c>
      <c r="F472" t="n">
        <v>0.2838</v>
      </c>
      <c r="G472" t="n">
        <v>1.32</v>
      </c>
      <c r="H472" t="n">
        <v>2</v>
      </c>
      <c r="I472" t="n">
        <v>6</v>
      </c>
      <c r="J472" t="n">
        <v>3</v>
      </c>
      <c r="K472" t="n">
        <v>12</v>
      </c>
      <c r="L472" t="n">
        <v>15592</v>
      </c>
      <c r="M472" t="n">
        <v>18000</v>
      </c>
      <c r="N472" t="n">
        <v>33</v>
      </c>
      <c r="O472" t="n">
        <v>0.33</v>
      </c>
      <c r="P472" t="n">
        <v>1</v>
      </c>
      <c r="Q472" t="n">
        <v>0.16</v>
      </c>
      <c r="R472" t="n">
        <v>2</v>
      </c>
      <c r="S472" t="n">
        <v>5108.4</v>
      </c>
      <c r="T472" t="n">
        <v>8</v>
      </c>
      <c r="U472" t="n">
        <v>9</v>
      </c>
      <c r="V472" t="n">
        <v>30</v>
      </c>
      <c r="W472" t="n">
        <v>9</v>
      </c>
      <c r="X472" t="n">
        <v>0</v>
      </c>
      <c r="Y472" t="n">
        <v>1</v>
      </c>
      <c r="Z472" t="n">
        <v>0</v>
      </c>
      <c r="AA472" t="n">
        <v>1</v>
      </c>
      <c r="AB472" t="n">
        <v>0</v>
      </c>
      <c r="AC472" t="n">
        <v>0</v>
      </c>
      <c r="AD472" t="n">
        <v>15592</v>
      </c>
      <c r="AE472" t="n">
        <v>0</v>
      </c>
      <c r="AF472" t="n">
        <v>1364</v>
      </c>
      <c r="AG472" t="n">
        <v>2136</v>
      </c>
      <c r="AH472" t="inlineStr">
        <is>
          <t>CV. SAMUDRA JAYA ABADI - PPN (JMB)</t>
        </is>
      </c>
      <c r="AI472" t="n">
        <v>49</v>
      </c>
      <c r="AJ472" t="inlineStr">
        <is>
          <t>BRASOV</t>
        </is>
      </c>
      <c r="AK472" t="n">
        <v>9</v>
      </c>
      <c r="AL472" t="inlineStr">
        <is>
          <t>Miss Glam Jambi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"8997008673058"</f>
        <v/>
      </c>
      <c r="C473" t="inlineStr">
        <is>
          <t>BRASOV Parfume Signature Jade 35ml</t>
        </is>
      </c>
      <c r="D473" t="inlineStr">
        <is>
          <t>Miss Glam Jambi</t>
        </is>
      </c>
      <c r="E473" t="n">
        <v>5</v>
      </c>
      <c r="F473" t="n">
        <v>0.297</v>
      </c>
      <c r="G473" t="n">
        <v>1.32</v>
      </c>
      <c r="H473" t="n">
        <v>2</v>
      </c>
      <c r="I473" t="n">
        <v>6</v>
      </c>
      <c r="J473" t="n">
        <v>3</v>
      </c>
      <c r="K473" t="n">
        <v>5</v>
      </c>
      <c r="L473" t="n">
        <v>15592</v>
      </c>
      <c r="M473" t="n">
        <v>18000</v>
      </c>
      <c r="N473" t="n">
        <v>33</v>
      </c>
      <c r="O473" t="n">
        <v>0.33</v>
      </c>
      <c r="P473" t="n">
        <v>1</v>
      </c>
      <c r="Q473" t="n">
        <v>0.14</v>
      </c>
      <c r="R473" t="n">
        <v>2</v>
      </c>
      <c r="S473" t="n">
        <v>5346.000000000001</v>
      </c>
      <c r="T473" t="n">
        <v>8</v>
      </c>
      <c r="U473" t="n">
        <v>9</v>
      </c>
      <c r="V473" t="n">
        <v>30</v>
      </c>
      <c r="W473" t="n">
        <v>9</v>
      </c>
      <c r="X473" t="n">
        <v>16.83501683501683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1364</v>
      </c>
      <c r="AG473" t="n">
        <v>2136</v>
      </c>
      <c r="AH473" t="inlineStr">
        <is>
          <t>CV. SAMUDRA JAYA ABADI - PPN (JMB)</t>
        </is>
      </c>
      <c r="AI473" t="n">
        <v>49</v>
      </c>
      <c r="AJ473" t="inlineStr">
        <is>
          <t>BRASOV</t>
        </is>
      </c>
      <c r="AK473" t="n">
        <v>9</v>
      </c>
      <c r="AL473" t="inlineStr">
        <is>
          <t>Miss Glam Jambi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"8997008673072"</f>
        <v/>
      </c>
      <c r="C474" t="inlineStr">
        <is>
          <t>BRASOV Parfume Signature Opal 35ml</t>
        </is>
      </c>
      <c r="D474" t="inlineStr">
        <is>
          <t>Miss Glam Jambi</t>
        </is>
      </c>
      <c r="E474" t="n">
        <v>11</v>
      </c>
      <c r="F474" t="n">
        <v>1.1517</v>
      </c>
      <c r="G474" t="n">
        <v>3.3</v>
      </c>
      <c r="H474" t="n">
        <v>2</v>
      </c>
      <c r="I474" t="n">
        <v>6</v>
      </c>
      <c r="J474" t="n">
        <v>12</v>
      </c>
      <c r="K474" t="n">
        <v>24</v>
      </c>
      <c r="L474" t="n">
        <v>15592</v>
      </c>
      <c r="M474" t="n">
        <v>18000</v>
      </c>
      <c r="N474" t="n">
        <v>33</v>
      </c>
      <c r="O474" t="n">
        <v>0.33</v>
      </c>
      <c r="P474" t="n">
        <v>1</v>
      </c>
      <c r="Q474" t="n">
        <v>0.47</v>
      </c>
      <c r="R474" t="n">
        <v>2</v>
      </c>
      <c r="S474" t="n">
        <v>20730.6</v>
      </c>
      <c r="T474" t="n">
        <v>18</v>
      </c>
      <c r="U474" t="n">
        <v>21</v>
      </c>
      <c r="V474" t="n">
        <v>30</v>
      </c>
      <c r="W474" t="n">
        <v>35</v>
      </c>
      <c r="X474" t="n">
        <v>9.551098376313275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1364</v>
      </c>
      <c r="AG474" t="n">
        <v>2136</v>
      </c>
      <c r="AH474" t="inlineStr">
        <is>
          <t>CV. SAMUDRA JAYA ABADI - PPN (JMB)</t>
        </is>
      </c>
      <c r="AI474" t="n">
        <v>49</v>
      </c>
      <c r="AJ474" t="inlineStr">
        <is>
          <t>BRASOV</t>
        </is>
      </c>
      <c r="AK474" t="n">
        <v>9</v>
      </c>
      <c r="AL474" t="inlineStr">
        <is>
          <t>Miss Glam Jambi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"8997008673065"</f>
        <v/>
      </c>
      <c r="C475" t="inlineStr">
        <is>
          <t>BRASOV Parfume Signature Sapphire 35ml</t>
        </is>
      </c>
      <c r="D475" t="inlineStr">
        <is>
          <t>Miss Glam Jambi</t>
        </is>
      </c>
      <c r="E475" t="n">
        <v>3</v>
      </c>
      <c r="F475" t="n">
        <v>0.3465</v>
      </c>
      <c r="G475" t="n">
        <v>1.32</v>
      </c>
      <c r="H475" t="n">
        <v>2</v>
      </c>
      <c r="I475" t="n">
        <v>6</v>
      </c>
      <c r="J475" t="n">
        <v>3</v>
      </c>
      <c r="K475" t="n">
        <v>8</v>
      </c>
      <c r="L475" t="n">
        <v>15593</v>
      </c>
      <c r="M475" t="n">
        <v>18000</v>
      </c>
      <c r="N475" t="n">
        <v>33</v>
      </c>
      <c r="O475" t="n">
        <v>0.33</v>
      </c>
      <c r="P475" t="n">
        <v>1</v>
      </c>
      <c r="Q475" t="n">
        <v>0.15</v>
      </c>
      <c r="R475" t="n">
        <v>1</v>
      </c>
      <c r="S475" t="n">
        <v>6237.000000000001</v>
      </c>
      <c r="T475" t="n">
        <v>8</v>
      </c>
      <c r="U475" t="n">
        <v>9</v>
      </c>
      <c r="V475" t="n">
        <v>30</v>
      </c>
      <c r="W475" t="n">
        <v>11</v>
      </c>
      <c r="X475" t="n">
        <v>8.658008658008658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1364</v>
      </c>
      <c r="AG475" t="n">
        <v>2136</v>
      </c>
      <c r="AH475" t="inlineStr">
        <is>
          <t>CV. SAMUDRA JAYA ABADI - PPN (JMB)</t>
        </is>
      </c>
      <c r="AI475" t="n">
        <v>49</v>
      </c>
      <c r="AJ475" t="inlineStr">
        <is>
          <t>BRASOV</t>
        </is>
      </c>
      <c r="AK475" t="n">
        <v>9</v>
      </c>
      <c r="AL475" t="inlineStr">
        <is>
          <t>Miss Glam Jambi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"8997008671887"</f>
        <v/>
      </c>
      <c r="C476" t="inlineStr">
        <is>
          <t>BRASOV Pensil Alis Type A + Serutan Black</t>
        </is>
      </c>
      <c r="D476" t="inlineStr">
        <is>
          <t>Miss Glam Jambi</t>
        </is>
      </c>
      <c r="E476" t="n">
        <v>1</v>
      </c>
      <c r="F476" t="n">
        <v>0.1</v>
      </c>
      <c r="G476" t="n">
        <v>3</v>
      </c>
      <c r="H476" t="n">
        <v>2</v>
      </c>
      <c r="I476" t="n">
        <v>6</v>
      </c>
      <c r="J476" t="n">
        <v>12</v>
      </c>
      <c r="K476" t="n">
        <v>12</v>
      </c>
      <c r="L476" t="n">
        <v>4442</v>
      </c>
      <c r="M476" t="n">
        <v>5500</v>
      </c>
      <c r="N476" t="n">
        <v>33</v>
      </c>
      <c r="O476" t="n">
        <v>0.33</v>
      </c>
      <c r="P476" t="n">
        <v>0</v>
      </c>
      <c r="Q476" t="n">
        <v>0.1</v>
      </c>
      <c r="R476" t="n">
        <v>3</v>
      </c>
      <c r="S476" t="n">
        <v>550</v>
      </c>
      <c r="T476" t="n">
        <v>18</v>
      </c>
      <c r="U476" t="n">
        <v>19</v>
      </c>
      <c r="V476" t="n">
        <v>30</v>
      </c>
      <c r="W476" t="n">
        <v>3</v>
      </c>
      <c r="X476" t="n">
        <v>10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1364</v>
      </c>
      <c r="AG476" t="n">
        <v>2136</v>
      </c>
      <c r="AH476" t="inlineStr">
        <is>
          <t>CV. SAMUDRA JAYA ABADI - PPN (JMB)</t>
        </is>
      </c>
      <c r="AI476" t="n">
        <v>49</v>
      </c>
      <c r="AJ476" t="inlineStr">
        <is>
          <t>BRASOV</t>
        </is>
      </c>
      <c r="AK476" t="n">
        <v>9</v>
      </c>
      <c r="AL476" t="inlineStr">
        <is>
          <t>Miss Glam Jambi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"8997008671665"</f>
        <v/>
      </c>
      <c r="C477" t="inlineStr">
        <is>
          <t>BRASOV Pensil Alis Type A + Serutan Brown</t>
        </is>
      </c>
      <c r="D477" t="inlineStr">
        <is>
          <t>Miss Glam Jambi</t>
        </is>
      </c>
      <c r="E477" t="n">
        <v>3</v>
      </c>
      <c r="F477" t="n">
        <v>0.14</v>
      </c>
      <c r="G477" t="n">
        <v>2</v>
      </c>
      <c r="H477" t="n">
        <v>2</v>
      </c>
      <c r="I477" t="n">
        <v>6</v>
      </c>
      <c r="J477" t="n">
        <v>12</v>
      </c>
      <c r="K477" t="n">
        <v>12</v>
      </c>
      <c r="L477" t="n">
        <v>4442</v>
      </c>
      <c r="M477" t="n">
        <v>5500</v>
      </c>
      <c r="N477" t="n">
        <v>33</v>
      </c>
      <c r="O477" t="n">
        <v>0.33</v>
      </c>
      <c r="P477" t="n">
        <v>0</v>
      </c>
      <c r="Q477" t="n">
        <v>0.14</v>
      </c>
      <c r="R477" t="n">
        <v>2</v>
      </c>
      <c r="S477" t="n">
        <v>770.0000000000001</v>
      </c>
      <c r="T477" t="n">
        <v>12</v>
      </c>
      <c r="U477" t="n">
        <v>13</v>
      </c>
      <c r="V477" t="n">
        <v>30</v>
      </c>
      <c r="W477" t="n">
        <v>5</v>
      </c>
      <c r="X477" t="n">
        <v>21.42857142857143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1364</v>
      </c>
      <c r="AG477" t="n">
        <v>2136</v>
      </c>
      <c r="AH477" t="inlineStr">
        <is>
          <t>CV. SAMUDRA JAYA ABADI - PPN (JMB)</t>
        </is>
      </c>
      <c r="AI477" t="n">
        <v>49</v>
      </c>
      <c r="AJ477" t="inlineStr">
        <is>
          <t>BRASOV</t>
        </is>
      </c>
      <c r="AK477" t="n">
        <v>9</v>
      </c>
      <c r="AL477" t="inlineStr">
        <is>
          <t>Miss Glam Jambi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BRASOV</t>
        </is>
      </c>
      <c r="B478" s="2">
        <f>"8997008671955"</f>
        <v/>
      </c>
      <c r="C478" t="inlineStr">
        <is>
          <t>BRASOV Perfect Black Liquid Black Eyeliner Pen</t>
        </is>
      </c>
      <c r="D478" t="inlineStr">
        <is>
          <t>Miss Glam Jambi</t>
        </is>
      </c>
      <c r="E478" t="n">
        <v>0</v>
      </c>
      <c r="F478" t="n">
        <v>0.06270000000000001</v>
      </c>
      <c r="G478" t="n">
        <v>0.66</v>
      </c>
      <c r="H478" t="n">
        <v>2</v>
      </c>
      <c r="I478" t="n">
        <v>6</v>
      </c>
      <c r="J478" t="n">
        <v>3</v>
      </c>
      <c r="K478" t="n">
        <v>12</v>
      </c>
      <c r="L478" t="n">
        <v>18900</v>
      </c>
      <c r="M478" t="n">
        <v>22500</v>
      </c>
      <c r="N478" t="n">
        <v>33</v>
      </c>
      <c r="O478" t="n">
        <v>0.33</v>
      </c>
      <c r="P478" t="n">
        <v>1</v>
      </c>
      <c r="Q478" t="n">
        <v>0.11</v>
      </c>
      <c r="R478" t="n">
        <v>2</v>
      </c>
      <c r="S478" t="n">
        <v>1410.75</v>
      </c>
      <c r="T478" t="n">
        <v>4</v>
      </c>
      <c r="U478" t="n">
        <v>5</v>
      </c>
      <c r="V478" t="n">
        <v>30</v>
      </c>
      <c r="W478" t="n">
        <v>2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1364</v>
      </c>
      <c r="AG478" t="n">
        <v>2136</v>
      </c>
      <c r="AH478" t="inlineStr">
        <is>
          <t>CV. SAMUDRA JAYA ABADI - PPN (JMB)</t>
        </is>
      </c>
      <c r="AI478" t="n">
        <v>49</v>
      </c>
      <c r="AJ478" t="inlineStr">
        <is>
          <t>BRASOV</t>
        </is>
      </c>
      <c r="AK478" t="n">
        <v>9</v>
      </c>
      <c r="AL478" t="inlineStr">
        <is>
          <t>Miss Glam Jambi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BRASOV</t>
        </is>
      </c>
      <c r="B479" s="2">
        <f>"8997008672983"</f>
        <v/>
      </c>
      <c r="C479" t="inlineStr">
        <is>
          <t>BRASOV Signature Eau De Parfum Garnet 35ml</t>
        </is>
      </c>
      <c r="D479" t="inlineStr">
        <is>
          <t>Miss Glam Jambi</t>
        </is>
      </c>
      <c r="E479" t="n">
        <v>0</v>
      </c>
      <c r="F479" t="n">
        <v>0.44</v>
      </c>
      <c r="G479" t="n">
        <v>2</v>
      </c>
      <c r="H479" t="n">
        <v>2</v>
      </c>
      <c r="I479" t="n">
        <v>6</v>
      </c>
      <c r="J479" t="n">
        <v>3</v>
      </c>
      <c r="K479" t="n">
        <v>24</v>
      </c>
      <c r="L479" t="n">
        <v>15592</v>
      </c>
      <c r="M479" t="n">
        <v>18000</v>
      </c>
      <c r="N479" t="n">
        <v>33</v>
      </c>
      <c r="O479" t="n">
        <v>0.33</v>
      </c>
      <c r="P479" t="n">
        <v>0</v>
      </c>
      <c r="Q479" t="n">
        <v>0.44</v>
      </c>
      <c r="R479" t="n">
        <v>2</v>
      </c>
      <c r="S479" t="n">
        <v>7920</v>
      </c>
      <c r="T479" t="n">
        <v>12</v>
      </c>
      <c r="U479" t="n">
        <v>13</v>
      </c>
      <c r="V479" t="n">
        <v>30</v>
      </c>
      <c r="W479" t="n">
        <v>14</v>
      </c>
      <c r="X479" t="n">
        <v>0</v>
      </c>
      <c r="Y479" t="n">
        <v>1</v>
      </c>
      <c r="Z479" t="n">
        <v>0</v>
      </c>
      <c r="AA479" t="n">
        <v>2</v>
      </c>
      <c r="AB479" t="n">
        <v>0</v>
      </c>
      <c r="AC479" t="n">
        <v>0</v>
      </c>
      <c r="AD479" t="n">
        <v>31184</v>
      </c>
      <c r="AE479" t="n">
        <v>0</v>
      </c>
      <c r="AF479" t="n">
        <v>1364</v>
      </c>
      <c r="AG479" t="n">
        <v>2136</v>
      </c>
      <c r="AH479" t="inlineStr">
        <is>
          <t>CV. SAMUDRA JAYA ABADI - PPN (JMB)</t>
        </is>
      </c>
      <c r="AI479" t="n">
        <v>49</v>
      </c>
      <c r="AJ479" t="inlineStr">
        <is>
          <t>BRASOV</t>
        </is>
      </c>
      <c r="AK479" t="n">
        <v>9</v>
      </c>
      <c r="AL479" t="inlineStr">
        <is>
          <t>Miss Glam Jambi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BRASOV</t>
        </is>
      </c>
      <c r="B480" s="2">
        <f>"8997008672990"</f>
        <v/>
      </c>
      <c r="C480" t="inlineStr">
        <is>
          <t>BRASOV Signature Eau De Parfume Amethyst 35ml</t>
        </is>
      </c>
      <c r="D480" t="inlineStr">
        <is>
          <t>Miss Glam Jambi</t>
        </is>
      </c>
      <c r="E480" t="n">
        <v>16</v>
      </c>
      <c r="F480" t="n">
        <v>4.2438</v>
      </c>
      <c r="G480" t="n">
        <v>8.25</v>
      </c>
      <c r="H480" t="n">
        <v>2</v>
      </c>
      <c r="I480" t="n">
        <v>6</v>
      </c>
      <c r="J480" t="n">
        <v>12</v>
      </c>
      <c r="K480" t="n">
        <v>112</v>
      </c>
      <c r="L480" t="n">
        <v>15592</v>
      </c>
      <c r="M480" t="n">
        <v>18000</v>
      </c>
      <c r="N480" t="n">
        <v>33</v>
      </c>
      <c r="O480" t="n">
        <v>0.33</v>
      </c>
      <c r="P480" t="n">
        <v>1</v>
      </c>
      <c r="Q480" t="n">
        <v>1.54</v>
      </c>
      <c r="R480" t="n">
        <v>6</v>
      </c>
      <c r="S480" t="n">
        <v>76388.40000000001</v>
      </c>
      <c r="T480" t="n">
        <v>42</v>
      </c>
      <c r="U480" t="n">
        <v>51</v>
      </c>
      <c r="V480" t="n">
        <v>30</v>
      </c>
      <c r="W480" t="n">
        <v>128</v>
      </c>
      <c r="X480" t="n">
        <v>3.770205947499882</v>
      </c>
      <c r="Y480" t="n">
        <v>1</v>
      </c>
      <c r="Z480" t="n">
        <v>0</v>
      </c>
      <c r="AA480" t="n">
        <v>9</v>
      </c>
      <c r="AB480" t="n">
        <v>0</v>
      </c>
      <c r="AC480" t="n">
        <v>0</v>
      </c>
      <c r="AD480" t="n">
        <v>140328</v>
      </c>
      <c r="AE480" t="n">
        <v>0</v>
      </c>
      <c r="AF480" t="n">
        <v>1364</v>
      </c>
      <c r="AG480" t="n">
        <v>2136</v>
      </c>
      <c r="AH480" t="inlineStr">
        <is>
          <t>CV. SAMUDRA JAYA ABADI - PPN (JMB)</t>
        </is>
      </c>
      <c r="AI480" t="n">
        <v>49</v>
      </c>
      <c r="AJ480" t="inlineStr">
        <is>
          <t>BRASOV</t>
        </is>
      </c>
      <c r="AK480" t="n">
        <v>9</v>
      </c>
      <c r="AL480" t="inlineStr">
        <is>
          <t>Miss Glam Jambi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BRASOV</t>
        </is>
      </c>
      <c r="B481" s="2">
        <f>"8997008673027"</f>
        <v/>
      </c>
      <c r="C481" t="inlineStr">
        <is>
          <t>BRASOV Signature Eau De Parfume Emerald 35ml</t>
        </is>
      </c>
      <c r="D481" t="inlineStr">
        <is>
          <t>Miss Glam Jambi</t>
        </is>
      </c>
      <c r="E481" t="n">
        <v>20</v>
      </c>
      <c r="F481" t="n">
        <v>2.2638</v>
      </c>
      <c r="G481" t="n">
        <v>5.94</v>
      </c>
      <c r="H481" t="n">
        <v>2</v>
      </c>
      <c r="I481" t="n">
        <v>6</v>
      </c>
      <c r="J481" t="n">
        <v>3</v>
      </c>
      <c r="K481" t="n">
        <v>48</v>
      </c>
      <c r="L481" t="n">
        <v>15592</v>
      </c>
      <c r="M481" t="n">
        <v>18000</v>
      </c>
      <c r="N481" t="n">
        <v>33</v>
      </c>
      <c r="O481" t="n">
        <v>0.33</v>
      </c>
      <c r="P481" t="n">
        <v>1</v>
      </c>
      <c r="Q481" t="n">
        <v>1.07</v>
      </c>
      <c r="R481" t="n">
        <v>6</v>
      </c>
      <c r="S481" t="n">
        <v>40748.4</v>
      </c>
      <c r="T481" t="n">
        <v>32</v>
      </c>
      <c r="U481" t="n">
        <v>37</v>
      </c>
      <c r="V481" t="n">
        <v>30</v>
      </c>
      <c r="W481" t="n">
        <v>68</v>
      </c>
      <c r="X481" t="n">
        <v>8.834702712253732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1364</v>
      </c>
      <c r="AG481" t="n">
        <v>2136</v>
      </c>
      <c r="AH481" t="inlineStr">
        <is>
          <t>CV. SAMUDRA JAYA ABADI - PPN (JMB)</t>
        </is>
      </c>
      <c r="AI481" t="n">
        <v>49</v>
      </c>
      <c r="AJ481" t="inlineStr">
        <is>
          <t>BRASOV</t>
        </is>
      </c>
      <c r="AK481" t="n">
        <v>9</v>
      </c>
      <c r="AL481" t="inlineStr">
        <is>
          <t>Miss Glam Jambi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BRASOV</t>
        </is>
      </c>
      <c r="B482" s="2">
        <f>"8997008673034"</f>
        <v/>
      </c>
      <c r="C482" t="inlineStr">
        <is>
          <t>BRASOV Signature Eau De Parfume Pearl 35ml</t>
        </is>
      </c>
      <c r="D482" t="inlineStr">
        <is>
          <t>Miss Glam Jambi</t>
        </is>
      </c>
      <c r="E482" t="n">
        <v>21</v>
      </c>
      <c r="F482" t="n">
        <v>1.7622</v>
      </c>
      <c r="G482" t="n">
        <v>4.29</v>
      </c>
      <c r="H482" t="n">
        <v>2</v>
      </c>
      <c r="I482" t="n">
        <v>6</v>
      </c>
      <c r="J482" t="n">
        <v>3</v>
      </c>
      <c r="K482" t="n">
        <v>33</v>
      </c>
      <c r="L482" t="n">
        <v>15592</v>
      </c>
      <c r="M482" t="n">
        <v>18000</v>
      </c>
      <c r="N482" t="n">
        <v>33</v>
      </c>
      <c r="O482" t="n">
        <v>0.33</v>
      </c>
      <c r="P482" t="n">
        <v>1</v>
      </c>
      <c r="Q482" t="n">
        <v>0.66</v>
      </c>
      <c r="R482" t="n">
        <v>5</v>
      </c>
      <c r="S482" t="n">
        <v>31719.6</v>
      </c>
      <c r="T482" t="n">
        <v>23</v>
      </c>
      <c r="U482" t="n">
        <v>27</v>
      </c>
      <c r="V482" t="n">
        <v>30</v>
      </c>
      <c r="W482" t="n">
        <v>53</v>
      </c>
      <c r="X482" t="n">
        <v>11.91692202928158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1364</v>
      </c>
      <c r="AG482" t="n">
        <v>2136</v>
      </c>
      <c r="AH482" t="inlineStr">
        <is>
          <t>CV. SAMUDRA JAYA ABADI - PPN (JMB)</t>
        </is>
      </c>
      <c r="AI482" t="n">
        <v>49</v>
      </c>
      <c r="AJ482" t="inlineStr">
        <is>
          <t>BRASOV</t>
        </is>
      </c>
      <c r="AK482" t="n">
        <v>9</v>
      </c>
      <c r="AL482" t="inlineStr">
        <is>
          <t>Miss Glam Jambi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BRASOV</t>
        </is>
      </c>
      <c r="B483" s="2">
        <f>"8997008673041"</f>
        <v/>
      </c>
      <c r="C483" t="inlineStr">
        <is>
          <t>BRASOV Signature Eau De Parfume Ruby 35ml</t>
        </is>
      </c>
      <c r="D483" t="inlineStr">
        <is>
          <t>Miss Glam Jambi</t>
        </is>
      </c>
      <c r="E483" t="n">
        <v>20</v>
      </c>
      <c r="F483" t="n">
        <v>1.1121</v>
      </c>
      <c r="G483" t="n">
        <v>2.64</v>
      </c>
      <c r="H483" t="n">
        <v>2</v>
      </c>
      <c r="I483" t="n">
        <v>6</v>
      </c>
      <c r="J483" t="n">
        <v>3</v>
      </c>
      <c r="K483" t="n">
        <v>0</v>
      </c>
      <c r="L483" t="n">
        <v>15592</v>
      </c>
      <c r="M483" t="n">
        <v>18000</v>
      </c>
      <c r="N483" t="n">
        <v>33</v>
      </c>
      <c r="O483" t="n">
        <v>0.33</v>
      </c>
      <c r="P483" t="n">
        <v>1</v>
      </c>
      <c r="Q483" t="n">
        <v>0.51</v>
      </c>
      <c r="R483" t="n">
        <v>2</v>
      </c>
      <c r="S483" t="n">
        <v>20017.8</v>
      </c>
      <c r="T483" t="n">
        <v>14</v>
      </c>
      <c r="U483" t="n">
        <v>17</v>
      </c>
      <c r="V483" t="n">
        <v>30</v>
      </c>
      <c r="W483" t="n">
        <v>34</v>
      </c>
      <c r="X483" t="n">
        <v>17.98399424512184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1364</v>
      </c>
      <c r="AG483" t="n">
        <v>2136</v>
      </c>
      <c r="AH483" t="inlineStr">
        <is>
          <t>CV. SAMUDRA JAYA ABADI - PPN (JMB)</t>
        </is>
      </c>
      <c r="AI483" t="n">
        <v>49</v>
      </c>
      <c r="AJ483" t="inlineStr">
        <is>
          <t>BRASOV</t>
        </is>
      </c>
      <c r="AK483" t="n">
        <v>9</v>
      </c>
      <c r="AL483" t="inlineStr">
        <is>
          <t>Miss Glam Jambi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BRASOV</t>
        </is>
      </c>
      <c r="B484" s="2">
        <f>"8997008673096"</f>
        <v/>
      </c>
      <c r="C484" t="inlineStr">
        <is>
          <t>BRASOV Signature Eau De Parfume Turquoise 35ml</t>
        </is>
      </c>
      <c r="D484" t="inlineStr">
        <is>
          <t>Miss Glam Jambi</t>
        </is>
      </c>
      <c r="E484" t="n">
        <v>2</v>
      </c>
      <c r="F484" t="n">
        <v>1.3266</v>
      </c>
      <c r="G484" t="n">
        <v>3.63</v>
      </c>
      <c r="H484" t="n">
        <v>2</v>
      </c>
      <c r="I484" t="n">
        <v>6</v>
      </c>
      <c r="J484" t="n">
        <v>3</v>
      </c>
      <c r="K484" t="n">
        <v>39</v>
      </c>
      <c r="L484" t="n">
        <v>15592</v>
      </c>
      <c r="M484" t="n">
        <v>18000</v>
      </c>
      <c r="N484" t="n">
        <v>33</v>
      </c>
      <c r="O484" t="n">
        <v>0.33</v>
      </c>
      <c r="P484" t="n">
        <v>1</v>
      </c>
      <c r="Q484" t="n">
        <v>0.37</v>
      </c>
      <c r="R484" t="n">
        <v>3</v>
      </c>
      <c r="S484" t="n">
        <v>23878.8</v>
      </c>
      <c r="T484" t="n">
        <v>20</v>
      </c>
      <c r="U484" t="n">
        <v>23</v>
      </c>
      <c r="V484" t="n">
        <v>30</v>
      </c>
      <c r="W484" t="n">
        <v>40</v>
      </c>
      <c r="X484" t="n">
        <v>1.507613447911955</v>
      </c>
      <c r="Y484" t="n">
        <v>1</v>
      </c>
      <c r="Z484" t="n">
        <v>0</v>
      </c>
      <c r="AA484" t="n">
        <v>5</v>
      </c>
      <c r="AB484" t="n">
        <v>0</v>
      </c>
      <c r="AC484" t="n">
        <v>0</v>
      </c>
      <c r="AD484" t="n">
        <v>77960</v>
      </c>
      <c r="AE484" t="n">
        <v>0</v>
      </c>
      <c r="AF484" t="n">
        <v>1364</v>
      </c>
      <c r="AG484" t="n">
        <v>2136</v>
      </c>
      <c r="AH484" t="inlineStr">
        <is>
          <t>CV. SAMUDRA JAYA ABADI - PPN (JMB)</t>
        </is>
      </c>
      <c r="AI484" t="n">
        <v>49</v>
      </c>
      <c r="AJ484" t="inlineStr">
        <is>
          <t>BRASOV</t>
        </is>
      </c>
      <c r="AK484" t="n">
        <v>9</v>
      </c>
      <c r="AL484" t="inlineStr">
        <is>
          <t>Miss Glam Jambi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BRAVEN</t>
        </is>
      </c>
      <c r="B485" s="2">
        <f>"11000407502"</f>
        <v/>
      </c>
      <c r="C485" t="inlineStr">
        <is>
          <t>BRAVEN Code Eau De Parfum Cedar Wood 100ml</t>
        </is>
      </c>
      <c r="D485" t="inlineStr">
        <is>
          <t>Miss Glam Jambi</t>
        </is>
      </c>
      <c r="E485" t="n">
        <v>4</v>
      </c>
      <c r="F485" t="n">
        <v>0.033</v>
      </c>
      <c r="G485" t="n">
        <v>0.66</v>
      </c>
      <c r="H485" t="n">
        <v>2</v>
      </c>
      <c r="I485" t="n">
        <v>13</v>
      </c>
      <c r="J485" t="n">
        <v>1</v>
      </c>
      <c r="K485" t="n">
        <v>0</v>
      </c>
      <c r="L485" t="n">
        <v>29970</v>
      </c>
      <c r="M485" t="n">
        <v>35500</v>
      </c>
      <c r="N485" t="n">
        <v>33</v>
      </c>
      <c r="O485" t="n">
        <v>0.33</v>
      </c>
      <c r="P485" t="n">
        <v>1</v>
      </c>
      <c r="Q485" t="n">
        <v>0.03</v>
      </c>
      <c r="R485" t="n">
        <v>1</v>
      </c>
      <c r="S485" t="n">
        <v>1171.5</v>
      </c>
      <c r="T485" t="n">
        <v>9</v>
      </c>
      <c r="U485" t="n">
        <v>10</v>
      </c>
      <c r="V485" t="n">
        <v>30</v>
      </c>
      <c r="W485" t="n">
        <v>1</v>
      </c>
      <c r="X485" t="n">
        <v>121.2121212121212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1069</v>
      </c>
      <c r="AG485" t="n">
        <v>2318</v>
      </c>
      <c r="AH485" t="inlineStr">
        <is>
          <t>CV. KIANO SUKSES MANDIRI - PPN (JMB)</t>
        </is>
      </c>
      <c r="AI485" t="n">
        <v>2322</v>
      </c>
      <c r="AJ485" t="inlineStr">
        <is>
          <t>BRAVEN</t>
        </is>
      </c>
      <c r="AK485" t="n">
        <v>9</v>
      </c>
      <c r="AL485" t="inlineStr">
        <is>
          <t>Miss Glam Jambi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BRAVEN</t>
        </is>
      </c>
      <c r="B486" s="2">
        <f>"11000408124"</f>
        <v/>
      </c>
      <c r="C486" t="inlineStr">
        <is>
          <t>BRAVEN Code Eau De Parfum Cool Water 100ml</t>
        </is>
      </c>
      <c r="D486" t="inlineStr">
        <is>
          <t>Miss Glam Jambi</t>
        </is>
      </c>
      <c r="E486" t="n">
        <v>5</v>
      </c>
      <c r="F486" t="n">
        <v>0.1</v>
      </c>
      <c r="G486" t="n">
        <v>2</v>
      </c>
      <c r="H486" t="n">
        <v>2</v>
      </c>
      <c r="I486" t="n">
        <v>13</v>
      </c>
      <c r="J486" t="n">
        <v>1</v>
      </c>
      <c r="K486" t="n">
        <v>0</v>
      </c>
      <c r="L486" t="n">
        <v>31341</v>
      </c>
      <c r="M486" t="n">
        <v>35500</v>
      </c>
      <c r="N486" t="n">
        <v>33</v>
      </c>
      <c r="O486" t="n">
        <v>0.33</v>
      </c>
      <c r="P486" t="n">
        <v>0</v>
      </c>
      <c r="Q486" t="n">
        <v>0.1</v>
      </c>
      <c r="R486" t="n">
        <v>2</v>
      </c>
      <c r="S486" t="n">
        <v>3550</v>
      </c>
      <c r="T486" t="n">
        <v>26</v>
      </c>
      <c r="U486" t="n">
        <v>27</v>
      </c>
      <c r="V486" t="n">
        <v>30</v>
      </c>
      <c r="W486" t="n">
        <v>3</v>
      </c>
      <c r="X486" t="n">
        <v>50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1069</v>
      </c>
      <c r="AG486" t="n">
        <v>2318</v>
      </c>
      <c r="AH486" t="inlineStr">
        <is>
          <t>CV. KIANO SUKSES MANDIRI - PPN (JMB)</t>
        </is>
      </c>
      <c r="AI486" t="n">
        <v>2322</v>
      </c>
      <c r="AJ486" t="inlineStr">
        <is>
          <t>BRAVEN</t>
        </is>
      </c>
      <c r="AK486" t="n">
        <v>9</v>
      </c>
      <c r="AL486" t="inlineStr">
        <is>
          <t>Miss Glam Jambi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BRAVEN</t>
        </is>
      </c>
      <c r="B487" s="2">
        <f>"11000408222"</f>
        <v/>
      </c>
      <c r="C487" t="inlineStr">
        <is>
          <t>BRAVEN Code Eau De Parfum Oud Wood 100ml</t>
        </is>
      </c>
      <c r="D487" t="inlineStr">
        <is>
          <t>Miss Glam Jambi</t>
        </is>
      </c>
      <c r="E487" t="n">
        <v>7</v>
      </c>
      <c r="F487" t="n">
        <v>0.1</v>
      </c>
      <c r="G487" t="n">
        <v>1</v>
      </c>
      <c r="H487" t="n">
        <v>2</v>
      </c>
      <c r="I487" t="n">
        <v>13</v>
      </c>
      <c r="J487" t="n">
        <v>1</v>
      </c>
      <c r="K487" t="n">
        <v>0</v>
      </c>
      <c r="L487" t="n">
        <v>31683</v>
      </c>
      <c r="M487" t="n">
        <v>35500</v>
      </c>
      <c r="N487" t="n">
        <v>33</v>
      </c>
      <c r="O487" t="n">
        <v>0.33</v>
      </c>
      <c r="P487" t="n">
        <v>0</v>
      </c>
      <c r="Q487" t="n">
        <v>0.1</v>
      </c>
      <c r="R487" t="n">
        <v>1</v>
      </c>
      <c r="S487" t="n">
        <v>3550</v>
      </c>
      <c r="T487" t="n">
        <v>13</v>
      </c>
      <c r="U487" t="n">
        <v>14</v>
      </c>
      <c r="V487" t="n">
        <v>30</v>
      </c>
      <c r="W487" t="n">
        <v>3</v>
      </c>
      <c r="X487" t="n">
        <v>70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1069</v>
      </c>
      <c r="AG487" t="n">
        <v>2318</v>
      </c>
      <c r="AH487" t="inlineStr">
        <is>
          <t>CV. KIANO SUKSES MANDIRI - PPN (JMB)</t>
        </is>
      </c>
      <c r="AI487" t="n">
        <v>2322</v>
      </c>
      <c r="AJ487" t="inlineStr">
        <is>
          <t>BRAVEN</t>
        </is>
      </c>
      <c r="AK487" t="n">
        <v>9</v>
      </c>
      <c r="AL487" t="inlineStr">
        <is>
          <t>Miss Glam Jambi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BRAVEN</t>
        </is>
      </c>
      <c r="B488" s="2">
        <f>"11000407728"</f>
        <v/>
      </c>
      <c r="C488" t="inlineStr">
        <is>
          <t>BRAVEN Collection  Eau De Parfum French Oak 100ml</t>
        </is>
      </c>
      <c r="D488" t="inlineStr">
        <is>
          <t>Miss Glam Jambi</t>
        </is>
      </c>
      <c r="E488" t="n">
        <v>3</v>
      </c>
      <c r="F488" t="n">
        <v>0.0165</v>
      </c>
      <c r="G488" t="n">
        <v>0.33</v>
      </c>
      <c r="H488" t="n">
        <v>2</v>
      </c>
      <c r="I488" t="n">
        <v>13</v>
      </c>
      <c r="J488" t="n">
        <v>1</v>
      </c>
      <c r="K488" t="n">
        <v>0</v>
      </c>
      <c r="L488" t="n">
        <v>30636</v>
      </c>
      <c r="M488" t="n">
        <v>35500</v>
      </c>
      <c r="N488" t="n">
        <v>33</v>
      </c>
      <c r="O488" t="n">
        <v>0.33</v>
      </c>
      <c r="P488" t="n">
        <v>1</v>
      </c>
      <c r="Q488" t="n">
        <v>0.12</v>
      </c>
      <c r="R488" t="n">
        <v>2</v>
      </c>
      <c r="S488" t="n">
        <v>585.75</v>
      </c>
      <c r="T488" t="n">
        <v>5</v>
      </c>
      <c r="U488" t="n">
        <v>6</v>
      </c>
      <c r="V488" t="n">
        <v>30</v>
      </c>
      <c r="W488" t="n">
        <v>1</v>
      </c>
      <c r="X488" t="n">
        <v>181.8181818181818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1069</v>
      </c>
      <c r="AG488" t="n">
        <v>2318</v>
      </c>
      <c r="AH488" t="inlineStr">
        <is>
          <t>CV. KIANO SUKSES MANDIRI - PPN (JMB)</t>
        </is>
      </c>
      <c r="AI488" t="n">
        <v>2322</v>
      </c>
      <c r="AJ488" t="inlineStr">
        <is>
          <t>BRAVEN</t>
        </is>
      </c>
      <c r="AK488" t="n">
        <v>9</v>
      </c>
      <c r="AL488" t="inlineStr">
        <is>
          <t>Miss Glam Jambi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BRAVEN</t>
        </is>
      </c>
      <c r="B489" s="2">
        <f>"11000407905"</f>
        <v/>
      </c>
      <c r="C489" t="inlineStr">
        <is>
          <t>BRAVEN Collection  Eau De Parfum Vanilla Wood 100ml</t>
        </is>
      </c>
      <c r="D489" t="inlineStr">
        <is>
          <t>Miss Glam Jambi</t>
        </is>
      </c>
      <c r="E489" t="n">
        <v>5</v>
      </c>
      <c r="F489" t="n">
        <v>0.0495</v>
      </c>
      <c r="G489" t="n">
        <v>0.33</v>
      </c>
      <c r="H489" t="n">
        <v>2</v>
      </c>
      <c r="I489" t="n">
        <v>13</v>
      </c>
      <c r="J489" t="n">
        <v>1</v>
      </c>
      <c r="K489" t="n">
        <v>0</v>
      </c>
      <c r="L489" t="n">
        <v>31341</v>
      </c>
      <c r="M489" t="n">
        <v>35500</v>
      </c>
      <c r="N489" t="n">
        <v>33</v>
      </c>
      <c r="O489" t="n">
        <v>0.33</v>
      </c>
      <c r="P489" t="n">
        <v>1</v>
      </c>
      <c r="Q489" t="n">
        <v>0.02</v>
      </c>
      <c r="R489" t="n">
        <v>0</v>
      </c>
      <c r="S489" t="n">
        <v>1757.25</v>
      </c>
      <c r="T489" t="n">
        <v>5</v>
      </c>
      <c r="U489" t="n">
        <v>6</v>
      </c>
      <c r="V489" t="n">
        <v>30</v>
      </c>
      <c r="W489" t="n">
        <v>2</v>
      </c>
      <c r="X489" t="n">
        <v>101.010101010101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1069</v>
      </c>
      <c r="AG489" t="n">
        <v>2318</v>
      </c>
      <c r="AH489" t="inlineStr">
        <is>
          <t>CV. KIANO SUKSES MANDIRI - PPN (JMB)</t>
        </is>
      </c>
      <c r="AI489" t="n">
        <v>2322</v>
      </c>
      <c r="AJ489" t="inlineStr">
        <is>
          <t>BRAVEN</t>
        </is>
      </c>
      <c r="AK489" t="n">
        <v>9</v>
      </c>
      <c r="AL489" t="inlineStr">
        <is>
          <t>Miss Glam Jambi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BRAVEN</t>
        </is>
      </c>
      <c r="B490" s="2">
        <f>"11000407644"</f>
        <v/>
      </c>
      <c r="C490" t="inlineStr">
        <is>
          <t>BRAVEN Collection Eau De Parfum Barber 100ml</t>
        </is>
      </c>
      <c r="D490" t="inlineStr">
        <is>
          <t>Miss Glam Jambi</t>
        </is>
      </c>
      <c r="E490" t="n">
        <v>6</v>
      </c>
      <c r="F490" t="n">
        <v>0.07920000000000001</v>
      </c>
      <c r="G490" t="n">
        <v>0.66</v>
      </c>
      <c r="H490" t="n">
        <v>2</v>
      </c>
      <c r="I490" t="n">
        <v>13</v>
      </c>
      <c r="J490" t="n">
        <v>1</v>
      </c>
      <c r="K490" t="n">
        <v>0</v>
      </c>
      <c r="L490" t="n">
        <v>31341</v>
      </c>
      <c r="M490" t="n">
        <v>35500</v>
      </c>
      <c r="N490" t="n">
        <v>33</v>
      </c>
      <c r="O490" t="n">
        <v>0.33</v>
      </c>
      <c r="P490" t="n">
        <v>1</v>
      </c>
      <c r="Q490" t="n">
        <v>0.12</v>
      </c>
      <c r="R490" t="n">
        <v>1</v>
      </c>
      <c r="S490" t="n">
        <v>2811.6</v>
      </c>
      <c r="T490" t="n">
        <v>9</v>
      </c>
      <c r="U490" t="n">
        <v>10</v>
      </c>
      <c r="V490" t="n">
        <v>30</v>
      </c>
      <c r="W490" t="n">
        <v>3</v>
      </c>
      <c r="X490" t="n">
        <v>75.75757575757575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1069</v>
      </c>
      <c r="AG490" t="n">
        <v>2318</v>
      </c>
      <c r="AH490" t="inlineStr">
        <is>
          <t>CV. KIANO SUKSES MANDIRI - PPN (JMB)</t>
        </is>
      </c>
      <c r="AI490" t="n">
        <v>2322</v>
      </c>
      <c r="AJ490" t="inlineStr">
        <is>
          <t>BRAVEN</t>
        </is>
      </c>
      <c r="AK490" t="n">
        <v>9</v>
      </c>
      <c r="AL490" t="inlineStr">
        <is>
          <t>Miss Glam Jambi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BRAVEN</t>
        </is>
      </c>
      <c r="B491" s="2">
        <f>"11000408047"</f>
        <v/>
      </c>
      <c r="C491" t="inlineStr">
        <is>
          <t>BRAVEN Collection Eau De Parfum Dark Polo 100ml</t>
        </is>
      </c>
      <c r="D491" t="inlineStr">
        <is>
          <t>Miss Glam Jambi</t>
        </is>
      </c>
      <c r="E491" t="n">
        <v>7</v>
      </c>
      <c r="F491" t="n">
        <v>0.033</v>
      </c>
      <c r="G491" t="n">
        <v>0.33</v>
      </c>
      <c r="H491" t="n">
        <v>2</v>
      </c>
      <c r="I491" t="n">
        <v>13</v>
      </c>
      <c r="J491" t="n">
        <v>1</v>
      </c>
      <c r="K491" t="n">
        <v>0</v>
      </c>
      <c r="L491" t="n">
        <v>31537</v>
      </c>
      <c r="M491" t="n">
        <v>35500</v>
      </c>
      <c r="N491" t="n">
        <v>33</v>
      </c>
      <c r="O491" t="n">
        <v>0.33</v>
      </c>
      <c r="P491" t="n">
        <v>1</v>
      </c>
      <c r="Q491" t="n">
        <v>0.05</v>
      </c>
      <c r="R491" t="n">
        <v>1</v>
      </c>
      <c r="S491" t="n">
        <v>1171.5</v>
      </c>
      <c r="T491" t="n">
        <v>5</v>
      </c>
      <c r="U491" t="n">
        <v>6</v>
      </c>
      <c r="V491" t="n">
        <v>30</v>
      </c>
      <c r="W491" t="n">
        <v>1</v>
      </c>
      <c r="X491" t="n">
        <v>212.1212121212121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1069</v>
      </c>
      <c r="AG491" t="n">
        <v>2318</v>
      </c>
      <c r="AH491" t="inlineStr">
        <is>
          <t>CV. KIANO SUKSES MANDIRI - PPN (JMB)</t>
        </is>
      </c>
      <c r="AI491" t="n">
        <v>2322</v>
      </c>
      <c r="AJ491" t="inlineStr">
        <is>
          <t>BRAVEN</t>
        </is>
      </c>
      <c r="AK491" t="n">
        <v>9</v>
      </c>
      <c r="AL491" t="inlineStr">
        <is>
          <t>Miss Glam Jambi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BREYLEE</t>
        </is>
      </c>
      <c r="B492" s="2">
        <f>"6970470530663"</f>
        <v/>
      </c>
      <c r="C492" t="inlineStr">
        <is>
          <t>BREYLEE Acne Pimple Patch Night Use 22 Patches</t>
        </is>
      </c>
      <c r="D492" t="inlineStr">
        <is>
          <t>Miss Glam Jambi</t>
        </is>
      </c>
      <c r="E492" t="n">
        <v>0</v>
      </c>
      <c r="F492" t="n">
        <v>0.0264</v>
      </c>
      <c r="G492" t="n">
        <v>0.33</v>
      </c>
      <c r="H492" t="n">
        <v>4</v>
      </c>
      <c r="I492" t="n">
        <v>20</v>
      </c>
      <c r="J492" t="n">
        <v>3</v>
      </c>
      <c r="K492" t="n">
        <v>0</v>
      </c>
      <c r="L492" t="n">
        <v>23172</v>
      </c>
      <c r="M492" t="n">
        <v>29000</v>
      </c>
      <c r="N492" t="n">
        <v>33</v>
      </c>
      <c r="O492" t="n">
        <v>0.33</v>
      </c>
      <c r="P492" t="n">
        <v>1</v>
      </c>
      <c r="Q492" t="n">
        <v>0.15</v>
      </c>
      <c r="R492" t="n">
        <v>2</v>
      </c>
      <c r="S492" t="n">
        <v>765.6000000000001</v>
      </c>
      <c r="T492" t="n">
        <v>7</v>
      </c>
      <c r="U492" t="n">
        <v>8</v>
      </c>
      <c r="V492" t="n">
        <v>30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n">
        <v>0</v>
      </c>
      <c r="AC492" t="n">
        <v>0</v>
      </c>
      <c r="AD492" t="n">
        <v>23172</v>
      </c>
      <c r="AE492" t="n">
        <v>0</v>
      </c>
      <c r="AF492" t="n">
        <v>3869</v>
      </c>
      <c r="AG492" t="n">
        <v>1</v>
      </c>
      <c r="AH492" t="inlineStr">
        <is>
          <t>PT. BERSAMA DISTRIVERSA INDONESIA (DC CIPUTAT)</t>
        </is>
      </c>
      <c r="AI492" t="n">
        <v>308</v>
      </c>
      <c r="AJ492" t="inlineStr">
        <is>
          <t>BREYLEE</t>
        </is>
      </c>
      <c r="AK492" t="n">
        <v>9</v>
      </c>
      <c r="AL492" t="inlineStr">
        <is>
          <t>Miss Glam Jambi</t>
        </is>
      </c>
      <c r="AM492" t="n">
        <v>3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BREYLEE</t>
        </is>
      </c>
      <c r="B493" s="2">
        <f>"6973665944177"</f>
        <v/>
      </c>
      <c r="C493" t="inlineStr">
        <is>
          <t>BREYLEE Blackhead Mask Deeply Cleanse &amp; Purify Step 1 Tea Tree 17ml</t>
        </is>
      </c>
      <c r="D493" t="inlineStr">
        <is>
          <t>Miss Glam Jambi</t>
        </is>
      </c>
      <c r="E493" t="n">
        <v>17</v>
      </c>
      <c r="F493" t="n">
        <v>0.5247000000000001</v>
      </c>
      <c r="G493" t="n">
        <v>1.65</v>
      </c>
      <c r="H493" t="n">
        <v>4</v>
      </c>
      <c r="I493" t="n">
        <v>20</v>
      </c>
      <c r="J493" t="n">
        <v>3</v>
      </c>
      <c r="K493" t="n">
        <v>0</v>
      </c>
      <c r="L493" t="n">
        <v>41769</v>
      </c>
      <c r="M493" t="n">
        <v>50000</v>
      </c>
      <c r="N493" t="n">
        <v>33</v>
      </c>
      <c r="O493" t="n">
        <v>0.33</v>
      </c>
      <c r="P493" t="n">
        <v>1</v>
      </c>
      <c r="Q493" t="n">
        <v>0.59</v>
      </c>
      <c r="R493" t="n">
        <v>3</v>
      </c>
      <c r="S493" t="n">
        <v>26235</v>
      </c>
      <c r="T493" t="n">
        <v>31</v>
      </c>
      <c r="U493" t="n">
        <v>34</v>
      </c>
      <c r="V493" t="n">
        <v>30</v>
      </c>
      <c r="W493" t="n">
        <v>16</v>
      </c>
      <c r="X493" t="n">
        <v>32.39946636173051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3869</v>
      </c>
      <c r="AG493" t="n">
        <v>1</v>
      </c>
      <c r="AH493" t="inlineStr">
        <is>
          <t>PT. BERSAMA DISTRIVERSA INDONESIA (DC CIPUTAT)</t>
        </is>
      </c>
      <c r="AI493" t="n">
        <v>308</v>
      </c>
      <c r="AJ493" t="inlineStr">
        <is>
          <t>BREYLEE</t>
        </is>
      </c>
      <c r="AK493" t="n">
        <v>9</v>
      </c>
      <c r="AL493" t="inlineStr">
        <is>
          <t>Miss Glam Jambi</t>
        </is>
      </c>
      <c r="AM493" t="n">
        <v>3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BREYLEE</t>
        </is>
      </c>
      <c r="B494" s="2">
        <f>"6973665940599"</f>
        <v/>
      </c>
      <c r="C494" t="inlineStr">
        <is>
          <t>BREYLEE Tea Tree Blackhead Mask Nose Strips 1 pcs</t>
        </is>
      </c>
      <c r="D494" t="inlineStr">
        <is>
          <t>Miss Glam Jambi</t>
        </is>
      </c>
      <c r="E494" t="n">
        <v>1</v>
      </c>
      <c r="F494" t="n">
        <v>0.22</v>
      </c>
      <c r="G494" t="n">
        <v>3</v>
      </c>
      <c r="H494" t="n">
        <v>4</v>
      </c>
      <c r="I494" t="n">
        <v>20</v>
      </c>
      <c r="J494" t="n">
        <v>3</v>
      </c>
      <c r="K494" t="n">
        <v>0</v>
      </c>
      <c r="L494" t="n">
        <v>2355</v>
      </c>
      <c r="M494" t="n">
        <v>5000</v>
      </c>
      <c r="N494" t="n">
        <v>33</v>
      </c>
      <c r="O494" t="n">
        <v>0.33</v>
      </c>
      <c r="P494" t="n">
        <v>0</v>
      </c>
      <c r="Q494" t="n">
        <v>0.22</v>
      </c>
      <c r="R494" t="n">
        <v>3</v>
      </c>
      <c r="S494" t="n">
        <v>1100</v>
      </c>
      <c r="T494" t="n">
        <v>60</v>
      </c>
      <c r="U494" t="n">
        <v>61</v>
      </c>
      <c r="V494" t="n">
        <v>30</v>
      </c>
      <c r="W494" t="n">
        <v>7</v>
      </c>
      <c r="X494" t="n">
        <v>4.545454545454546</v>
      </c>
      <c r="Y494" t="n">
        <v>1</v>
      </c>
      <c r="Z494" t="n">
        <v>6</v>
      </c>
      <c r="AA494" t="n">
        <v>4</v>
      </c>
      <c r="AB494" t="n">
        <v>2</v>
      </c>
      <c r="AC494" t="n">
        <v>3</v>
      </c>
      <c r="AD494" t="n">
        <v>9420</v>
      </c>
      <c r="AE494" t="n">
        <v>7065</v>
      </c>
      <c r="AF494" t="n">
        <v>3869</v>
      </c>
      <c r="AG494" t="n">
        <v>1</v>
      </c>
      <c r="AH494" t="inlineStr">
        <is>
          <t>PT. BERSAMA DISTRIVERSA INDONESIA (DC CIPUTAT)</t>
        </is>
      </c>
      <c r="AI494" t="n">
        <v>308</v>
      </c>
      <c r="AJ494" t="inlineStr">
        <is>
          <t>BREYLEE</t>
        </is>
      </c>
      <c r="AK494" t="n">
        <v>9</v>
      </c>
      <c r="AL494" t="inlineStr">
        <is>
          <t>Miss Glam Jambi</t>
        </is>
      </c>
      <c r="AM494" t="n">
        <v>3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BREYLEE</t>
        </is>
      </c>
      <c r="B495" s="2">
        <f>"6973665944184"</f>
        <v/>
      </c>
      <c r="C495" t="inlineStr">
        <is>
          <t>BREYLEE Tea Tree Pore Minimizer Serum Step 2 17ml</t>
        </is>
      </c>
      <c r="D495" t="inlineStr">
        <is>
          <t>Miss Glam Jambi</t>
        </is>
      </c>
      <c r="E495" t="n">
        <v>11</v>
      </c>
      <c r="F495" t="n">
        <v>0.0561</v>
      </c>
      <c r="G495" t="n">
        <v>0.66</v>
      </c>
      <c r="H495" t="n">
        <v>4</v>
      </c>
      <c r="I495" t="n">
        <v>20</v>
      </c>
      <c r="J495" t="n">
        <v>3</v>
      </c>
      <c r="K495" t="n">
        <v>0</v>
      </c>
      <c r="L495" t="n">
        <v>32009</v>
      </c>
      <c r="M495" t="n">
        <v>44000</v>
      </c>
      <c r="N495" t="n">
        <v>33</v>
      </c>
      <c r="O495" t="n">
        <v>0.33</v>
      </c>
      <c r="P495" t="n">
        <v>1</v>
      </c>
      <c r="Q495" t="n">
        <v>0.02</v>
      </c>
      <c r="R495" t="n">
        <v>1</v>
      </c>
      <c r="S495" t="n">
        <v>2468.4</v>
      </c>
      <c r="T495" t="n">
        <v>13</v>
      </c>
      <c r="U495" t="n">
        <v>14</v>
      </c>
      <c r="V495" t="n">
        <v>30</v>
      </c>
      <c r="W495" t="n">
        <v>2</v>
      </c>
      <c r="X495" t="n">
        <v>196.078431372549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3869</v>
      </c>
      <c r="AG495" t="n">
        <v>1</v>
      </c>
      <c r="AH495" t="inlineStr">
        <is>
          <t>PT. BERSAMA DISTRIVERSA INDONESIA (DC CIPUTAT)</t>
        </is>
      </c>
      <c r="AI495" t="n">
        <v>308</v>
      </c>
      <c r="AJ495" t="inlineStr">
        <is>
          <t>BREYLEE</t>
        </is>
      </c>
      <c r="AK495" t="n">
        <v>9</v>
      </c>
      <c r="AL495" t="inlineStr">
        <is>
          <t>Miss Glam Jambi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BRIGHTY</t>
        </is>
      </c>
      <c r="B496" s="2">
        <f>"30200429022"</f>
        <v/>
      </c>
      <c r="C496" t="inlineStr">
        <is>
          <t>BRIGHTY Aha Whitening Concentrate  Booster Serum 90gr</t>
        </is>
      </c>
      <c r="D496" t="inlineStr">
        <is>
          <t>Miss Glam Jambi</t>
        </is>
      </c>
      <c r="E496" t="n">
        <v>2</v>
      </c>
      <c r="F496" t="n">
        <v>0.05</v>
      </c>
      <c r="G496" t="n">
        <v>2</v>
      </c>
      <c r="H496" t="n">
        <v>4</v>
      </c>
      <c r="I496" t="n">
        <v>20</v>
      </c>
      <c r="J496" t="n">
        <v>1</v>
      </c>
      <c r="K496" t="n">
        <v>0</v>
      </c>
      <c r="L496" t="n">
        <v>56145</v>
      </c>
      <c r="M496" t="n">
        <v>70000</v>
      </c>
      <c r="N496" t="n">
        <v>33</v>
      </c>
      <c r="O496" t="n">
        <v>0.33</v>
      </c>
      <c r="P496" t="n">
        <v>0</v>
      </c>
      <c r="Q496" t="n">
        <v>0.05</v>
      </c>
      <c r="R496" t="n">
        <v>2</v>
      </c>
      <c r="S496" t="n">
        <v>3500</v>
      </c>
      <c r="T496" t="n">
        <v>40</v>
      </c>
      <c r="U496" t="n">
        <v>41</v>
      </c>
      <c r="V496" t="n">
        <v>30</v>
      </c>
      <c r="W496" t="n">
        <v>2</v>
      </c>
      <c r="X496" t="n">
        <v>40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3902</v>
      </c>
      <c r="AG496" t="n">
        <v>1</v>
      </c>
      <c r="AH496" t="inlineStr">
        <is>
          <t>PT. BERSAMA DISTRIVERSA INDONESIA (DC CIPUTAT)</t>
        </is>
      </c>
      <c r="AI496" t="n">
        <v>501</v>
      </c>
      <c r="AJ496" t="inlineStr">
        <is>
          <t>BRIGHTY</t>
        </is>
      </c>
      <c r="AK496" t="n">
        <v>9</v>
      </c>
      <c r="AL496" t="inlineStr">
        <is>
          <t>Miss Glam Jambi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BRIGHTY</t>
        </is>
      </c>
      <c r="B497" s="2">
        <f>"8993883100139"</f>
        <v/>
      </c>
      <c r="C497" t="inlineStr">
        <is>
          <t>BRIGHTY Bright My Day Kojic Body Serum 105ml</t>
        </is>
      </c>
      <c r="D497" t="inlineStr">
        <is>
          <t>Miss Glam Jambi</t>
        </is>
      </c>
      <c r="E497" t="n">
        <v>5</v>
      </c>
      <c r="F497" t="n">
        <v>0.02</v>
      </c>
      <c r="G497" t="n">
        <v>1</v>
      </c>
      <c r="H497" t="n">
        <v>4</v>
      </c>
      <c r="I497" t="n">
        <v>20</v>
      </c>
      <c r="J497" t="n">
        <v>3</v>
      </c>
      <c r="K497" t="n">
        <v>0</v>
      </c>
      <c r="L497" t="n">
        <v>70292</v>
      </c>
      <c r="M497" t="n">
        <v>88000</v>
      </c>
      <c r="N497" t="n">
        <v>33</v>
      </c>
      <c r="O497" t="n">
        <v>0.33</v>
      </c>
      <c r="P497" t="n">
        <v>0</v>
      </c>
      <c r="Q497" t="n">
        <v>0.02</v>
      </c>
      <c r="R497" t="n">
        <v>1</v>
      </c>
      <c r="S497" t="n">
        <v>1760</v>
      </c>
      <c r="T497" t="n">
        <v>20</v>
      </c>
      <c r="U497" t="n">
        <v>21</v>
      </c>
      <c r="V497" t="n">
        <v>30</v>
      </c>
      <c r="W497" t="n">
        <v>1</v>
      </c>
      <c r="X497" t="n">
        <v>250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3902</v>
      </c>
      <c r="AG497" t="n">
        <v>1</v>
      </c>
      <c r="AH497" t="inlineStr">
        <is>
          <t>PT. BERSAMA DISTRIVERSA INDONESIA (DC CIPUTAT)</t>
        </is>
      </c>
      <c r="AI497" t="n">
        <v>501</v>
      </c>
      <c r="AJ497" t="inlineStr">
        <is>
          <t>BRIGHTY</t>
        </is>
      </c>
      <c r="AK497" t="n">
        <v>9</v>
      </c>
      <c r="AL497" t="inlineStr">
        <is>
          <t>Miss Glam Jambi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BRIGHTY</t>
        </is>
      </c>
      <c r="B498" s="2">
        <f>"8993883100115"</f>
        <v/>
      </c>
      <c r="C498" t="inlineStr">
        <is>
          <t>BRIGHTY Bright My Day Pomegranate Body Scrub 200gr</t>
        </is>
      </c>
      <c r="D498" t="inlineStr">
        <is>
          <t>Miss Glam Jambi</t>
        </is>
      </c>
      <c r="E498" t="n">
        <v>3</v>
      </c>
      <c r="F498" t="n">
        <v>0.0165</v>
      </c>
      <c r="G498" t="n">
        <v>0.33</v>
      </c>
      <c r="H498" t="n">
        <v>4</v>
      </c>
      <c r="I498" t="n">
        <v>20</v>
      </c>
      <c r="J498" t="n">
        <v>3</v>
      </c>
      <c r="K498" t="n">
        <v>0</v>
      </c>
      <c r="L498" t="n">
        <v>60000</v>
      </c>
      <c r="M498" t="n">
        <v>75000</v>
      </c>
      <c r="N498" t="n">
        <v>33</v>
      </c>
      <c r="O498" t="n">
        <v>0.33</v>
      </c>
      <c r="P498" t="n">
        <v>1</v>
      </c>
      <c r="Q498" t="n">
        <v>0.02</v>
      </c>
      <c r="R498" t="n">
        <v>1</v>
      </c>
      <c r="S498" t="n">
        <v>1237.5</v>
      </c>
      <c r="T498" t="n">
        <v>7</v>
      </c>
      <c r="U498" t="n">
        <v>8</v>
      </c>
      <c r="V498" t="n">
        <v>30</v>
      </c>
      <c r="W498" t="n">
        <v>1</v>
      </c>
      <c r="X498" t="n">
        <v>181.8181818181818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3902</v>
      </c>
      <c r="AG498" t="n">
        <v>1</v>
      </c>
      <c r="AH498" t="inlineStr">
        <is>
          <t>PT. BERSAMA DISTRIVERSA INDONESIA (DC CIPUTAT)</t>
        </is>
      </c>
      <c r="AI498" t="n">
        <v>501</v>
      </c>
      <c r="AJ498" t="inlineStr">
        <is>
          <t>BRIGHTY</t>
        </is>
      </c>
      <c r="AK498" t="n">
        <v>9</v>
      </c>
      <c r="AL498" t="inlineStr">
        <is>
          <t>Miss Glam Jambi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BRIGHTY</t>
        </is>
      </c>
      <c r="B499" s="2">
        <f>"8993883100153"</f>
        <v/>
      </c>
      <c r="C499" t="inlineStr">
        <is>
          <t>BRIGHTY Charcoal Underarm Masque 60gr</t>
        </is>
      </c>
      <c r="D499" t="inlineStr">
        <is>
          <t>Miss Glam Jambi</t>
        </is>
      </c>
      <c r="E499" t="n">
        <v>1</v>
      </c>
      <c r="F499" t="n">
        <v>0.009900000000000001</v>
      </c>
      <c r="G499" t="n">
        <v>0.33</v>
      </c>
      <c r="H499" t="n">
        <v>4</v>
      </c>
      <c r="I499" t="n">
        <v>20</v>
      </c>
      <c r="J499" t="n">
        <v>3</v>
      </c>
      <c r="K499" t="n">
        <v>0</v>
      </c>
      <c r="L499" t="n">
        <v>56250</v>
      </c>
      <c r="M499" t="n">
        <v>74000</v>
      </c>
      <c r="N499" t="n">
        <v>33</v>
      </c>
      <c r="O499" t="n">
        <v>0.33</v>
      </c>
      <c r="P499" t="n">
        <v>1</v>
      </c>
      <c r="Q499" t="n">
        <v>0.03</v>
      </c>
      <c r="R499" t="n">
        <v>2</v>
      </c>
      <c r="S499" t="n">
        <v>732.6</v>
      </c>
      <c r="T499" t="n">
        <v>7</v>
      </c>
      <c r="U499" t="n">
        <v>8</v>
      </c>
      <c r="V499" t="n">
        <v>30</v>
      </c>
      <c r="W499" t="n">
        <v>1</v>
      </c>
      <c r="X499" t="n">
        <v>101.010101010101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3902</v>
      </c>
      <c r="AG499" t="n">
        <v>1</v>
      </c>
      <c r="AH499" t="inlineStr">
        <is>
          <t>PT. BERSAMA DISTRIVERSA INDONESIA (DC CIPUTAT)</t>
        </is>
      </c>
      <c r="AI499" t="n">
        <v>501</v>
      </c>
      <c r="AJ499" t="inlineStr">
        <is>
          <t>BRIGHTY</t>
        </is>
      </c>
      <c r="AK499" t="n">
        <v>9</v>
      </c>
      <c r="AL499" t="inlineStr">
        <is>
          <t>Miss Glam Jambi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BRIGHTY</t>
        </is>
      </c>
      <c r="B500" s="2">
        <f>"30200428958"</f>
        <v/>
      </c>
      <c r="C500" t="inlineStr">
        <is>
          <t>BRIGHTY Glow It Up Body Serum 180ml</t>
        </is>
      </c>
      <c r="D500" t="inlineStr">
        <is>
          <t>Miss Glam Jambi</t>
        </is>
      </c>
      <c r="E500" t="n">
        <v>11</v>
      </c>
      <c r="F500" t="n">
        <v>0.066</v>
      </c>
      <c r="G500" t="n">
        <v>0.66</v>
      </c>
      <c r="H500" t="n">
        <v>4</v>
      </c>
      <c r="I500" t="n">
        <v>20</v>
      </c>
      <c r="J500" t="n">
        <v>1</v>
      </c>
      <c r="K500" t="n">
        <v>0</v>
      </c>
      <c r="L500" t="n">
        <v>47618</v>
      </c>
      <c r="M500" t="n">
        <v>60000</v>
      </c>
      <c r="N500" t="n">
        <v>33</v>
      </c>
      <c r="O500" t="n">
        <v>0.33</v>
      </c>
      <c r="P500" t="n">
        <v>1</v>
      </c>
      <c r="Q500" t="n">
        <v>0.15</v>
      </c>
      <c r="R500" t="n">
        <v>1</v>
      </c>
      <c r="S500" t="n">
        <v>3960</v>
      </c>
      <c r="T500" t="n">
        <v>13</v>
      </c>
      <c r="U500" t="n">
        <v>14</v>
      </c>
      <c r="V500" t="n">
        <v>30</v>
      </c>
      <c r="W500" t="n">
        <v>2</v>
      </c>
      <c r="X500" t="n">
        <v>166.6666666666667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3902</v>
      </c>
      <c r="AG500" t="n">
        <v>1</v>
      </c>
      <c r="AH500" t="inlineStr">
        <is>
          <t>PT. BERSAMA DISTRIVERSA INDONESIA (DC CIPUTAT)</t>
        </is>
      </c>
      <c r="AI500" t="n">
        <v>501</v>
      </c>
      <c r="AJ500" t="inlineStr">
        <is>
          <t>BRIGHTY</t>
        </is>
      </c>
      <c r="AK500" t="n">
        <v>9</v>
      </c>
      <c r="AL500" t="inlineStr">
        <is>
          <t>Miss Glam Jambi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BRIGHTY</t>
        </is>
      </c>
      <c r="B501" s="2">
        <f>"8993883100009"</f>
        <v/>
      </c>
      <c r="C501" t="inlineStr">
        <is>
          <t>BRIGHTY Glowing Underarm 30ml</t>
        </is>
      </c>
      <c r="D501" t="inlineStr">
        <is>
          <t>Miss Glam Jambi</t>
        </is>
      </c>
      <c r="E501" t="n">
        <v>18</v>
      </c>
      <c r="F501" t="n">
        <v>0.06270000000000001</v>
      </c>
      <c r="G501" t="n">
        <v>0.33</v>
      </c>
      <c r="H501" t="n">
        <v>4</v>
      </c>
      <c r="I501" t="n">
        <v>20</v>
      </c>
      <c r="J501" t="n">
        <v>3</v>
      </c>
      <c r="K501" t="n">
        <v>0</v>
      </c>
      <c r="L501" t="n">
        <v>76546</v>
      </c>
      <c r="M501" t="n">
        <v>95000</v>
      </c>
      <c r="N501" t="n">
        <v>33</v>
      </c>
      <c r="O501" t="n">
        <v>0.33</v>
      </c>
      <c r="P501" t="n">
        <v>1</v>
      </c>
      <c r="Q501" t="n">
        <v>0.1</v>
      </c>
      <c r="R501" t="n">
        <v>1</v>
      </c>
      <c r="S501" t="n">
        <v>5956.500000000001</v>
      </c>
      <c r="T501" t="n">
        <v>7</v>
      </c>
      <c r="U501" t="n">
        <v>8</v>
      </c>
      <c r="V501" t="n">
        <v>30</v>
      </c>
      <c r="W501" t="n">
        <v>2</v>
      </c>
      <c r="X501" t="n">
        <v>287.0813397129186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3902</v>
      </c>
      <c r="AG501" t="n">
        <v>1</v>
      </c>
      <c r="AH501" t="inlineStr">
        <is>
          <t>PT. BERSAMA DISTRIVERSA INDONESIA (DC CIPUTAT)</t>
        </is>
      </c>
      <c r="AI501" t="n">
        <v>501</v>
      </c>
      <c r="AJ501" t="inlineStr">
        <is>
          <t>BRIGHTY</t>
        </is>
      </c>
      <c r="AK501" t="n">
        <v>9</v>
      </c>
      <c r="AL501" t="inlineStr">
        <is>
          <t>Miss Glam Jambi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BRIGHTY</t>
        </is>
      </c>
      <c r="B502" s="2">
        <f>"8993883100054"</f>
        <v/>
      </c>
      <c r="C502" t="inlineStr">
        <is>
          <t>BRIGHTY Good Body Odor With Chamomile Extract 30ml</t>
        </is>
      </c>
      <c r="D502" t="inlineStr">
        <is>
          <t>Miss Glam Jambi</t>
        </is>
      </c>
      <c r="E502" t="n">
        <v>1</v>
      </c>
      <c r="F502" t="n">
        <v>0.0231</v>
      </c>
      <c r="G502" t="n">
        <v>0.99</v>
      </c>
      <c r="H502" t="n">
        <v>4</v>
      </c>
      <c r="I502" t="n">
        <v>20</v>
      </c>
      <c r="J502" t="n">
        <v>3</v>
      </c>
      <c r="K502" t="n">
        <v>0</v>
      </c>
      <c r="L502" t="n">
        <v>71250</v>
      </c>
      <c r="M502" t="n">
        <v>94000</v>
      </c>
      <c r="N502" t="n">
        <v>33</v>
      </c>
      <c r="O502" t="n">
        <v>0.33</v>
      </c>
      <c r="P502" t="n">
        <v>1</v>
      </c>
      <c r="Q502" t="n">
        <v>0.05</v>
      </c>
      <c r="R502" t="n">
        <v>1</v>
      </c>
      <c r="S502" t="n">
        <v>2171.4</v>
      </c>
      <c r="T502" t="n">
        <v>20</v>
      </c>
      <c r="U502" t="n">
        <v>21</v>
      </c>
      <c r="V502" t="n">
        <v>30</v>
      </c>
      <c r="W502" t="n">
        <v>1</v>
      </c>
      <c r="X502" t="n">
        <v>43.29004329004329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3902</v>
      </c>
      <c r="AG502" t="n">
        <v>1</v>
      </c>
      <c r="AH502" t="inlineStr">
        <is>
          <t>PT. BERSAMA DISTRIVERSA INDONESIA (DC CIPUTAT)</t>
        </is>
      </c>
      <c r="AI502" t="n">
        <v>501</v>
      </c>
      <c r="AJ502" t="inlineStr">
        <is>
          <t>BRIGHTY</t>
        </is>
      </c>
      <c r="AK502" t="n">
        <v>9</v>
      </c>
      <c r="AL502" t="inlineStr">
        <is>
          <t>Miss Glam Jambi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BRIGHTY</t>
        </is>
      </c>
      <c r="B503" s="2">
        <f>"8993883100061"</f>
        <v/>
      </c>
      <c r="C503" t="inlineStr">
        <is>
          <t>BRIGHTY Hair Removal Waxing Strip Kit 10 Strips</t>
        </is>
      </c>
      <c r="D503" t="inlineStr">
        <is>
          <t>Miss Glam Jambi</t>
        </is>
      </c>
      <c r="E503" t="n">
        <v>3</v>
      </c>
      <c r="F503" t="n">
        <v>0.0396</v>
      </c>
      <c r="G503" t="n">
        <v>0.33</v>
      </c>
      <c r="H503" t="n">
        <v>4</v>
      </c>
      <c r="I503" t="n">
        <v>20</v>
      </c>
      <c r="J503" t="n">
        <v>3</v>
      </c>
      <c r="K503" t="n">
        <v>0</v>
      </c>
      <c r="L503" t="n">
        <v>63750</v>
      </c>
      <c r="M503" t="n">
        <v>84000</v>
      </c>
      <c r="N503" t="n">
        <v>33</v>
      </c>
      <c r="O503" t="n">
        <v>0.33</v>
      </c>
      <c r="P503" t="n">
        <v>1</v>
      </c>
      <c r="Q503" t="n">
        <v>0.07000000000000001</v>
      </c>
      <c r="R503" t="n">
        <v>1</v>
      </c>
      <c r="S503" t="n">
        <v>3326.4</v>
      </c>
      <c r="T503" t="n">
        <v>7</v>
      </c>
      <c r="U503" t="n">
        <v>8</v>
      </c>
      <c r="V503" t="n">
        <v>30</v>
      </c>
      <c r="W503" t="n">
        <v>2</v>
      </c>
      <c r="X503" t="n">
        <v>75.75757575757575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3902</v>
      </c>
      <c r="AG503" t="n">
        <v>1</v>
      </c>
      <c r="AH503" t="inlineStr">
        <is>
          <t>PT. BERSAMA DISTRIVERSA INDONESIA (DC CIPUTAT)</t>
        </is>
      </c>
      <c r="AI503" t="n">
        <v>501</v>
      </c>
      <c r="AJ503" t="inlineStr">
        <is>
          <t>BRIGHTY</t>
        </is>
      </c>
      <c r="AK503" t="n">
        <v>9</v>
      </c>
      <c r="AL503" t="inlineStr">
        <is>
          <t>Miss Glam Jambi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BRIGHTY</t>
        </is>
      </c>
      <c r="B504" s="2">
        <f>"8993883100184"</f>
        <v/>
      </c>
      <c r="C504" t="inlineStr">
        <is>
          <t>BRIGHTY Multipurposes Exfoliating Toner Rose Extract 130ml</t>
        </is>
      </c>
      <c r="D504" t="inlineStr">
        <is>
          <t>Miss Glam Jambi</t>
        </is>
      </c>
      <c r="E504" t="n">
        <v>7</v>
      </c>
      <c r="F504" t="n">
        <v>0.1023</v>
      </c>
      <c r="G504" t="n">
        <v>0.66</v>
      </c>
      <c r="H504" t="n">
        <v>4</v>
      </c>
      <c r="I504" t="n">
        <v>20</v>
      </c>
      <c r="J504" t="n">
        <v>3</v>
      </c>
      <c r="K504" t="n">
        <v>0</v>
      </c>
      <c r="L504" t="n">
        <v>67531</v>
      </c>
      <c r="M504" t="n">
        <v>86000</v>
      </c>
      <c r="N504" t="n">
        <v>33</v>
      </c>
      <c r="O504" t="n">
        <v>0.33</v>
      </c>
      <c r="P504" t="n">
        <v>1</v>
      </c>
      <c r="Q504" t="n">
        <v>0.02</v>
      </c>
      <c r="R504" t="n">
        <v>0</v>
      </c>
      <c r="S504" t="n">
        <v>8797.799999999999</v>
      </c>
      <c r="T504" t="n">
        <v>13</v>
      </c>
      <c r="U504" t="n">
        <v>14</v>
      </c>
      <c r="V504" t="n">
        <v>30</v>
      </c>
      <c r="W504" t="n">
        <v>4</v>
      </c>
      <c r="X504" t="n">
        <v>68.42619745845552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3902</v>
      </c>
      <c r="AG504" t="n">
        <v>1</v>
      </c>
      <c r="AH504" t="inlineStr">
        <is>
          <t>PT. BERSAMA DISTRIVERSA INDONESIA (DC CIPUTAT)</t>
        </is>
      </c>
      <c r="AI504" t="n">
        <v>501</v>
      </c>
      <c r="AJ504" t="inlineStr">
        <is>
          <t>BRIGHTY</t>
        </is>
      </c>
      <c r="AK504" t="n">
        <v>9</v>
      </c>
      <c r="AL504" t="inlineStr">
        <is>
          <t>Miss Glam Jambi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BRIGHTY</t>
        </is>
      </c>
      <c r="B505" s="2">
        <f>"8993883100108"</f>
        <v/>
      </c>
      <c r="C505" t="inlineStr">
        <is>
          <t>BRIGHTY Niacinamide Body Wash 300ml</t>
        </is>
      </c>
      <c r="D505" t="inlineStr">
        <is>
          <t>Miss Glam Jambi</t>
        </is>
      </c>
      <c r="E505" t="n">
        <v>2</v>
      </c>
      <c r="F505" t="n">
        <v>0.0264</v>
      </c>
      <c r="G505" t="n">
        <v>0.33</v>
      </c>
      <c r="H505" t="n">
        <v>4</v>
      </c>
      <c r="I505" t="n">
        <v>20</v>
      </c>
      <c r="J505" t="n">
        <v>3</v>
      </c>
      <c r="K505" t="n">
        <v>0</v>
      </c>
      <c r="L505" t="n">
        <v>52395</v>
      </c>
      <c r="M505" t="n">
        <v>65000</v>
      </c>
      <c r="N505" t="n">
        <v>33</v>
      </c>
      <c r="O505" t="n">
        <v>0.33</v>
      </c>
      <c r="P505" t="n">
        <v>1</v>
      </c>
      <c r="Q505" t="n">
        <v>0.03</v>
      </c>
      <c r="R505" t="n">
        <v>1</v>
      </c>
      <c r="S505" t="n">
        <v>1716</v>
      </c>
      <c r="T505" t="n">
        <v>7</v>
      </c>
      <c r="U505" t="n">
        <v>8</v>
      </c>
      <c r="V505" t="n">
        <v>30</v>
      </c>
      <c r="W505" t="n">
        <v>1</v>
      </c>
      <c r="X505" t="n">
        <v>75.75757575757575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3902</v>
      </c>
      <c r="AG505" t="n">
        <v>1</v>
      </c>
      <c r="AH505" t="inlineStr">
        <is>
          <t>PT. BERSAMA DISTRIVERSA INDONESIA (DC CIPUTAT)</t>
        </is>
      </c>
      <c r="AI505" t="n">
        <v>501</v>
      </c>
      <c r="AJ505" t="inlineStr">
        <is>
          <t>BRIGHTY</t>
        </is>
      </c>
      <c r="AK505" t="n">
        <v>9</v>
      </c>
      <c r="AL505" t="inlineStr">
        <is>
          <t>Miss Glam Jambi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BRIGHTY</t>
        </is>
      </c>
      <c r="B506" s="2">
        <f>"8993883100207"</f>
        <v/>
      </c>
      <c r="C506" t="inlineStr">
        <is>
          <t>BRIGHTY Post Shaving &amp; Waxing Gel 40ml</t>
        </is>
      </c>
      <c r="D506" t="inlineStr">
        <is>
          <t>Miss Glam Jambi</t>
        </is>
      </c>
      <c r="E506" t="n">
        <v>9</v>
      </c>
      <c r="F506" t="n">
        <v>0.009900000000000001</v>
      </c>
      <c r="G506" t="n">
        <v>0.33</v>
      </c>
      <c r="H506" t="n">
        <v>4</v>
      </c>
      <c r="I506" t="n">
        <v>20</v>
      </c>
      <c r="J506" t="n">
        <v>3</v>
      </c>
      <c r="K506" t="n">
        <v>0</v>
      </c>
      <c r="L506" t="n">
        <v>60902</v>
      </c>
      <c r="M506" t="n">
        <v>84000</v>
      </c>
      <c r="N506" t="n">
        <v>33</v>
      </c>
      <c r="O506" t="n">
        <v>0.33</v>
      </c>
      <c r="P506" t="n">
        <v>1</v>
      </c>
      <c r="Q506" t="n">
        <v>0.02</v>
      </c>
      <c r="R506" t="n">
        <v>1</v>
      </c>
      <c r="S506" t="n">
        <v>831.6</v>
      </c>
      <c r="T506" t="n">
        <v>7</v>
      </c>
      <c r="U506" t="n">
        <v>8</v>
      </c>
      <c r="V506" t="n">
        <v>30</v>
      </c>
      <c r="W506" t="n">
        <v>1</v>
      </c>
      <c r="X506" t="n">
        <v>909.090909090909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3902</v>
      </c>
      <c r="AG506" t="n">
        <v>1</v>
      </c>
      <c r="AH506" t="inlineStr">
        <is>
          <t>PT. BERSAMA DISTRIVERSA INDONESIA (DC CIPUTAT)</t>
        </is>
      </c>
      <c r="AI506" t="n">
        <v>501</v>
      </c>
      <c r="AJ506" t="inlineStr">
        <is>
          <t>BRIGHTY</t>
        </is>
      </c>
      <c r="AK506" t="n">
        <v>9</v>
      </c>
      <c r="AL506" t="inlineStr">
        <is>
          <t>Miss Glam Jambi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BRIGHTY</t>
        </is>
      </c>
      <c r="B507" s="2">
        <f>"8993883100306"</f>
        <v/>
      </c>
      <c r="C507" t="inlineStr">
        <is>
          <t>BRIGHTY Super Power Glowing Ingredients Bar Soap 85gr</t>
        </is>
      </c>
      <c r="D507" t="inlineStr">
        <is>
          <t>Miss Glam Jambi</t>
        </is>
      </c>
      <c r="E507" t="n">
        <v>0</v>
      </c>
      <c r="F507" t="n">
        <v>2.013</v>
      </c>
      <c r="G507" t="n">
        <v>6.27</v>
      </c>
      <c r="H507" t="n">
        <v>4</v>
      </c>
      <c r="I507" t="n">
        <v>20</v>
      </c>
      <c r="J507" t="n">
        <v>3</v>
      </c>
      <c r="K507" t="n">
        <v>20</v>
      </c>
      <c r="L507" t="n">
        <v>32438</v>
      </c>
      <c r="M507" t="n">
        <v>39000</v>
      </c>
      <c r="N507" t="n">
        <v>33</v>
      </c>
      <c r="O507" t="n">
        <v>0.33</v>
      </c>
      <c r="P507" t="n">
        <v>1</v>
      </c>
      <c r="Q507" t="n">
        <v>0.63</v>
      </c>
      <c r="R507" t="n">
        <v>4</v>
      </c>
      <c r="S507" t="n">
        <v>78507</v>
      </c>
      <c r="T507" t="n">
        <v>118</v>
      </c>
      <c r="U507" t="n">
        <v>127</v>
      </c>
      <c r="V507" t="n">
        <v>30</v>
      </c>
      <c r="W507" t="n">
        <v>61</v>
      </c>
      <c r="X507" t="n">
        <v>0</v>
      </c>
      <c r="Y507" t="n">
        <v>1</v>
      </c>
      <c r="Z507" t="n">
        <v>41</v>
      </c>
      <c r="AA507" t="n">
        <v>40</v>
      </c>
      <c r="AB507" t="n">
        <v>1</v>
      </c>
      <c r="AC507" t="n">
        <v>3</v>
      </c>
      <c r="AD507" t="n">
        <v>1297520</v>
      </c>
      <c r="AE507" t="n">
        <v>97314</v>
      </c>
      <c r="AF507" t="n">
        <v>3902</v>
      </c>
      <c r="AG507" t="n">
        <v>1</v>
      </c>
      <c r="AH507" t="inlineStr">
        <is>
          <t>PT. BERSAMA DISTRIVERSA INDONESIA (DC CIPUTAT)</t>
        </is>
      </c>
      <c r="AI507" t="n">
        <v>501</v>
      </c>
      <c r="AJ507" t="inlineStr">
        <is>
          <t>BRIGHTY</t>
        </is>
      </c>
      <c r="AK507" t="n">
        <v>9</v>
      </c>
      <c r="AL507" t="inlineStr">
        <is>
          <t>Miss Glam Jambi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BRIGHTY</t>
        </is>
      </c>
      <c r="B508" s="2">
        <f>"8993883100078"</f>
        <v/>
      </c>
      <c r="C508" t="inlineStr">
        <is>
          <t>BRIGHTY Swipe Removal Cream 40gr</t>
        </is>
      </c>
      <c r="D508" t="inlineStr">
        <is>
          <t>Miss Glam Jambi</t>
        </is>
      </c>
      <c r="E508" t="n">
        <v>21</v>
      </c>
      <c r="F508" t="n">
        <v>0.0495</v>
      </c>
      <c r="G508" t="n">
        <v>0.66</v>
      </c>
      <c r="H508" t="n">
        <v>4</v>
      </c>
      <c r="I508" t="n">
        <v>20</v>
      </c>
      <c r="J508" t="n">
        <v>3</v>
      </c>
      <c r="K508" t="n">
        <v>0</v>
      </c>
      <c r="L508" t="n">
        <v>50043</v>
      </c>
      <c r="M508" t="n">
        <v>64000</v>
      </c>
      <c r="N508" t="n">
        <v>33</v>
      </c>
      <c r="O508" t="n">
        <v>0.33</v>
      </c>
      <c r="P508" t="n">
        <v>1</v>
      </c>
      <c r="Q508" t="n">
        <v>0.12</v>
      </c>
      <c r="R508" t="n">
        <v>2</v>
      </c>
      <c r="S508" t="n">
        <v>3168</v>
      </c>
      <c r="T508" t="n">
        <v>14</v>
      </c>
      <c r="U508" t="n">
        <v>15</v>
      </c>
      <c r="V508" t="n">
        <v>30</v>
      </c>
      <c r="W508" t="n">
        <v>2</v>
      </c>
      <c r="X508" t="n">
        <v>424.2424242424242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3902</v>
      </c>
      <c r="AG508" t="n">
        <v>1</v>
      </c>
      <c r="AH508" t="inlineStr">
        <is>
          <t>PT. BERSAMA DISTRIVERSA INDONESIA (DC CIPUTAT)</t>
        </is>
      </c>
      <c r="AI508" t="n">
        <v>501</v>
      </c>
      <c r="AJ508" t="inlineStr">
        <is>
          <t>BRIGHTY</t>
        </is>
      </c>
      <c r="AK508" t="n">
        <v>9</v>
      </c>
      <c r="AL508" t="inlineStr">
        <is>
          <t>Miss Glam Jambi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BRIGHTY</t>
        </is>
      </c>
      <c r="B509" s="2">
        <f>"8993883100016"</f>
        <v/>
      </c>
      <c r="C509" t="inlineStr">
        <is>
          <t>BRIGHTY Underarm Scrub 80gr</t>
        </is>
      </c>
      <c r="D509" t="inlineStr">
        <is>
          <t>Miss Glam Jambi</t>
        </is>
      </c>
      <c r="E509" t="n">
        <v>7</v>
      </c>
      <c r="F509" t="n">
        <v>0.0132</v>
      </c>
      <c r="G509" t="n">
        <v>0.33</v>
      </c>
      <c r="H509" t="n">
        <v>4</v>
      </c>
      <c r="I509" t="n">
        <v>20</v>
      </c>
      <c r="J509" t="n">
        <v>3</v>
      </c>
      <c r="K509" t="n">
        <v>0</v>
      </c>
      <c r="L509" t="n">
        <v>56250</v>
      </c>
      <c r="M509" t="n">
        <v>75000</v>
      </c>
      <c r="N509" t="n">
        <v>33</v>
      </c>
      <c r="O509" t="n">
        <v>0.33</v>
      </c>
      <c r="P509" t="n">
        <v>1</v>
      </c>
      <c r="Q509" t="n">
        <v>0.02</v>
      </c>
      <c r="R509" t="n">
        <v>1</v>
      </c>
      <c r="S509" t="n">
        <v>990.0000000000001</v>
      </c>
      <c r="T509" t="n">
        <v>7</v>
      </c>
      <c r="U509" t="n">
        <v>8</v>
      </c>
      <c r="V509" t="n">
        <v>30</v>
      </c>
      <c r="W509" t="n">
        <v>1</v>
      </c>
      <c r="X509" t="n">
        <v>530.3030303030303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3902</v>
      </c>
      <c r="AG509" t="n">
        <v>1</v>
      </c>
      <c r="AH509" t="inlineStr">
        <is>
          <t>PT. BERSAMA DISTRIVERSA INDONESIA (DC CIPUTAT)</t>
        </is>
      </c>
      <c r="AI509" t="n">
        <v>501</v>
      </c>
      <c r="AJ509" t="inlineStr">
        <is>
          <t>BRIGHTY</t>
        </is>
      </c>
      <c r="AK509" t="n">
        <v>9</v>
      </c>
      <c r="AL509" t="inlineStr">
        <is>
          <t>Miss Glam Jambi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BROMEN</t>
        </is>
      </c>
      <c r="B510" s="2">
        <f>"11000106820"</f>
        <v/>
      </c>
      <c r="C510" t="inlineStr">
        <is>
          <t>BROMEN Brightening Soap Charcoal Active Care 50gr</t>
        </is>
      </c>
      <c r="D510" t="inlineStr">
        <is>
          <t>Miss Glam Jambi</t>
        </is>
      </c>
      <c r="E510" t="n">
        <v>1</v>
      </c>
      <c r="F510" t="n">
        <v>0.03</v>
      </c>
      <c r="G510" t="n">
        <v>1</v>
      </c>
      <c r="H510" t="n">
        <v>4</v>
      </c>
      <c r="I510" t="n">
        <v>20</v>
      </c>
      <c r="J510" t="n">
        <v>3</v>
      </c>
      <c r="K510" t="n">
        <v>0</v>
      </c>
      <c r="L510" t="n">
        <v>32478</v>
      </c>
      <c r="M510" t="n">
        <v>39000</v>
      </c>
      <c r="N510" t="n">
        <v>33</v>
      </c>
      <c r="O510" t="n">
        <v>0.33</v>
      </c>
      <c r="P510" t="n">
        <v>0</v>
      </c>
      <c r="Q510" t="n">
        <v>0.03</v>
      </c>
      <c r="R510" t="n">
        <v>1</v>
      </c>
      <c r="S510" t="n">
        <v>1170</v>
      </c>
      <c r="T510" t="n">
        <v>20</v>
      </c>
      <c r="U510" t="n">
        <v>21</v>
      </c>
      <c r="V510" t="n">
        <v>30</v>
      </c>
      <c r="W510" t="n">
        <v>1</v>
      </c>
      <c r="X510" t="n">
        <v>33.33333333333334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3935</v>
      </c>
      <c r="AG510" t="n">
        <v>1</v>
      </c>
      <c r="AH510" t="inlineStr">
        <is>
          <t>PT. BERSAMA DISTRIVERSA INDONESIA (DC CIPUTAT)</t>
        </is>
      </c>
      <c r="AI510" t="n">
        <v>1504</v>
      </c>
      <c r="AJ510" t="inlineStr">
        <is>
          <t>BROMEN</t>
        </is>
      </c>
      <c r="AK510" t="n">
        <v>9</v>
      </c>
      <c r="AL510" t="inlineStr">
        <is>
          <t>Miss Glam Jambi</t>
        </is>
      </c>
      <c r="AM510" t="n">
        <v>4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BUTTERED</t>
        </is>
      </c>
      <c r="B511" s="2">
        <f>"8997858558437"</f>
        <v/>
      </c>
      <c r="C511" t="inlineStr">
        <is>
          <t>BUTTERED Almond Dry Body Oil 50ml</t>
        </is>
      </c>
      <c r="D511" t="inlineStr">
        <is>
          <t>Miss Glam Jambi</t>
        </is>
      </c>
      <c r="E511" t="n">
        <v>0</v>
      </c>
      <c r="F511" t="n">
        <v>0.066</v>
      </c>
      <c r="G511" t="n">
        <v>0.99</v>
      </c>
      <c r="H511" t="n">
        <v>4</v>
      </c>
      <c r="I511" t="n">
        <v>20</v>
      </c>
      <c r="J511" t="n">
        <v>3</v>
      </c>
      <c r="K511" t="n">
        <v>0</v>
      </c>
      <c r="L511" t="n">
        <v>35308</v>
      </c>
      <c r="M511" t="n">
        <v>45000</v>
      </c>
      <c r="N511" t="n">
        <v>33</v>
      </c>
      <c r="O511" t="n">
        <v>0.33</v>
      </c>
      <c r="P511" t="n">
        <v>1</v>
      </c>
      <c r="Q511" t="n">
        <v>0.28</v>
      </c>
      <c r="R511" t="n">
        <v>2</v>
      </c>
      <c r="S511" t="n">
        <v>2970</v>
      </c>
      <c r="T511" t="n">
        <v>20</v>
      </c>
      <c r="U511" t="n">
        <v>21</v>
      </c>
      <c r="V511" t="n">
        <v>30</v>
      </c>
      <c r="W511" t="n">
        <v>2</v>
      </c>
      <c r="X511" t="n">
        <v>0</v>
      </c>
      <c r="Y511" t="n">
        <v>1</v>
      </c>
      <c r="Z511" t="n">
        <v>2</v>
      </c>
      <c r="AA511" t="n">
        <v>2</v>
      </c>
      <c r="AB511" t="n">
        <v>0</v>
      </c>
      <c r="AC511" t="n">
        <v>0</v>
      </c>
      <c r="AD511" t="n">
        <v>70616</v>
      </c>
      <c r="AE511" t="n">
        <v>0</v>
      </c>
      <c r="AF511" t="n">
        <v>3968</v>
      </c>
      <c r="AG511" t="n">
        <v>1</v>
      </c>
      <c r="AH511" t="inlineStr">
        <is>
          <t>PT. BERSAMA DISTRIVERSA INDONESIA (DC CIPUTAT)</t>
        </is>
      </c>
      <c r="AI511" t="n">
        <v>1609</v>
      </c>
      <c r="AJ511" t="inlineStr">
        <is>
          <t>BUTTERED</t>
        </is>
      </c>
      <c r="AK511" t="n">
        <v>9</v>
      </c>
      <c r="AL511" t="inlineStr">
        <is>
          <t>Miss Glam Jambi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BUTTERED</t>
        </is>
      </c>
      <c r="B512" s="2">
        <f>"8997858557430"</f>
        <v/>
      </c>
      <c r="C512" t="inlineStr">
        <is>
          <t>BUTTERED Almond Shower Oil 160ml</t>
        </is>
      </c>
      <c r="D512" t="inlineStr">
        <is>
          <t>Miss Glam Jambi</t>
        </is>
      </c>
      <c r="E512" t="n">
        <v>2</v>
      </c>
      <c r="F512" t="n">
        <v>0.02</v>
      </c>
      <c r="G512" t="n">
        <v>0</v>
      </c>
      <c r="H512" t="n">
        <v>4</v>
      </c>
      <c r="I512" t="n">
        <v>20</v>
      </c>
      <c r="J512" t="n">
        <v>3</v>
      </c>
      <c r="K512" t="n">
        <v>0</v>
      </c>
      <c r="L512" t="n">
        <v>64174</v>
      </c>
      <c r="M512" t="n">
        <v>95500</v>
      </c>
      <c r="N512" t="n">
        <v>33</v>
      </c>
      <c r="O512" t="n">
        <v>0.33</v>
      </c>
      <c r="P512" t="n">
        <v>0</v>
      </c>
      <c r="Q512" t="n">
        <v>0.02</v>
      </c>
      <c r="R512" t="n">
        <v>0</v>
      </c>
      <c r="S512" t="n">
        <v>1910</v>
      </c>
      <c r="T512" t="n">
        <v>0</v>
      </c>
      <c r="U512" t="n">
        <v>1</v>
      </c>
      <c r="V512" t="n">
        <v>30</v>
      </c>
      <c r="W512" t="n">
        <v>1</v>
      </c>
      <c r="X512" t="n">
        <v>100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3968</v>
      </c>
      <c r="AG512" t="n">
        <v>1</v>
      </c>
      <c r="AH512" t="inlineStr">
        <is>
          <t>PT. BERSAMA DISTRIVERSA INDONESIA (DC CIPUTAT)</t>
        </is>
      </c>
      <c r="AI512" t="n">
        <v>1609</v>
      </c>
      <c r="AJ512" t="inlineStr">
        <is>
          <t>BUTTERED</t>
        </is>
      </c>
      <c r="AK512" t="n">
        <v>9</v>
      </c>
      <c r="AL512" t="inlineStr">
        <is>
          <t>Miss Glam Jambi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BUTTERED</t>
        </is>
      </c>
      <c r="B513" s="2">
        <f>"10700325946"</f>
        <v/>
      </c>
      <c r="C513" t="inlineStr">
        <is>
          <t>BUTTERED Lanosalve Multipurpose Balm Bubble Gum 10gr</t>
        </is>
      </c>
      <c r="D513" t="inlineStr">
        <is>
          <t>Miss Glam Jambi</t>
        </is>
      </c>
      <c r="E513" t="n">
        <v>10</v>
      </c>
      <c r="F513" t="n">
        <v>0.08</v>
      </c>
      <c r="G513" t="n">
        <v>1</v>
      </c>
      <c r="H513" t="n">
        <v>4</v>
      </c>
      <c r="I513" t="n">
        <v>20</v>
      </c>
      <c r="J513" t="n">
        <v>3</v>
      </c>
      <c r="K513" t="n">
        <v>0</v>
      </c>
      <c r="L513" t="n">
        <v>30199</v>
      </c>
      <c r="M513" t="n">
        <v>40000</v>
      </c>
      <c r="N513" t="n">
        <v>33</v>
      </c>
      <c r="O513" t="n">
        <v>0.33</v>
      </c>
      <c r="P513" t="n">
        <v>0</v>
      </c>
      <c r="Q513" t="n">
        <v>0.08</v>
      </c>
      <c r="R513" t="n">
        <v>1</v>
      </c>
      <c r="S513" t="n">
        <v>3200</v>
      </c>
      <c r="T513" t="n">
        <v>20</v>
      </c>
      <c r="U513" t="n">
        <v>21</v>
      </c>
      <c r="V513" t="n">
        <v>30</v>
      </c>
      <c r="W513" t="n">
        <v>3</v>
      </c>
      <c r="X513" t="n">
        <v>125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3968</v>
      </c>
      <c r="AG513" t="n">
        <v>1</v>
      </c>
      <c r="AH513" t="inlineStr">
        <is>
          <t>PT. BERSAMA DISTRIVERSA INDONESIA (DC CIPUTAT)</t>
        </is>
      </c>
      <c r="AI513" t="n">
        <v>1609</v>
      </c>
      <c r="AJ513" t="inlineStr">
        <is>
          <t>BUTTERED</t>
        </is>
      </c>
      <c r="AK513" t="n">
        <v>9</v>
      </c>
      <c r="AL513" t="inlineStr">
        <is>
          <t>Miss Glam Jambi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BUTTERED</t>
        </is>
      </c>
      <c r="B514" s="2">
        <f>"10700326324"</f>
        <v/>
      </c>
      <c r="C514" t="inlineStr">
        <is>
          <t>BUTTERED Lanosalve Multipurpose Balm Grape 10gr</t>
        </is>
      </c>
      <c r="D514" t="inlineStr">
        <is>
          <t>Miss Glam Jambi</t>
        </is>
      </c>
      <c r="E514" t="n">
        <v>1</v>
      </c>
      <c r="F514" t="n">
        <v>0.0495</v>
      </c>
      <c r="G514" t="n">
        <v>0.66</v>
      </c>
      <c r="H514" t="n">
        <v>4</v>
      </c>
      <c r="I514" t="n">
        <v>20</v>
      </c>
      <c r="J514" t="n">
        <v>3</v>
      </c>
      <c r="K514" t="n">
        <v>0</v>
      </c>
      <c r="L514" t="n">
        <v>29777</v>
      </c>
      <c r="M514" t="n">
        <v>40000</v>
      </c>
      <c r="N514" t="n">
        <v>33</v>
      </c>
      <c r="O514" t="n">
        <v>0.33</v>
      </c>
      <c r="P514" t="n">
        <v>1</v>
      </c>
      <c r="Q514" t="n">
        <v>0.03</v>
      </c>
      <c r="R514" t="n">
        <v>1</v>
      </c>
      <c r="S514" t="n">
        <v>1980</v>
      </c>
      <c r="T514" t="n">
        <v>14</v>
      </c>
      <c r="U514" t="n">
        <v>15</v>
      </c>
      <c r="V514" t="n">
        <v>30</v>
      </c>
      <c r="W514" t="n">
        <v>2</v>
      </c>
      <c r="X514" t="n">
        <v>20.2020202020202</v>
      </c>
      <c r="Y514" t="n">
        <v>1</v>
      </c>
      <c r="Z514" t="n">
        <v>1</v>
      </c>
      <c r="AA514" t="n">
        <v>0</v>
      </c>
      <c r="AB514" t="n">
        <v>1</v>
      </c>
      <c r="AC514" t="n">
        <v>3</v>
      </c>
      <c r="AD514" t="n">
        <v>0</v>
      </c>
      <c r="AE514" t="n">
        <v>89331</v>
      </c>
      <c r="AF514" t="n">
        <v>3968</v>
      </c>
      <c r="AG514" t="n">
        <v>1</v>
      </c>
      <c r="AH514" t="inlineStr">
        <is>
          <t>PT. BERSAMA DISTRIVERSA INDONESIA (DC CIPUTAT)</t>
        </is>
      </c>
      <c r="AI514" t="n">
        <v>1609</v>
      </c>
      <c r="AJ514" t="inlineStr">
        <is>
          <t>BUTTERED</t>
        </is>
      </c>
      <c r="AK514" t="n">
        <v>9</v>
      </c>
      <c r="AL514" t="inlineStr">
        <is>
          <t>Miss Glam Jambi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BUTTERED</t>
        </is>
      </c>
      <c r="B515" s="2">
        <f>"10700326449"</f>
        <v/>
      </c>
      <c r="C515" t="inlineStr">
        <is>
          <t>BUTTERED Lanosalve Multipurpose Balm Original 15gr</t>
        </is>
      </c>
      <c r="D515" t="inlineStr">
        <is>
          <t>Miss Glam Jambi</t>
        </is>
      </c>
      <c r="E515" t="n">
        <v>2</v>
      </c>
      <c r="F515" t="n">
        <v>0.02</v>
      </c>
      <c r="G515" t="n">
        <v>1</v>
      </c>
      <c r="H515" t="n">
        <v>4</v>
      </c>
      <c r="I515" t="n">
        <v>20</v>
      </c>
      <c r="J515" t="n">
        <v>3</v>
      </c>
      <c r="K515" t="n">
        <v>0</v>
      </c>
      <c r="L515" t="n">
        <v>29777</v>
      </c>
      <c r="M515" t="n">
        <v>40000</v>
      </c>
      <c r="N515" t="n">
        <v>33</v>
      </c>
      <c r="O515" t="n">
        <v>0.33</v>
      </c>
      <c r="P515" t="n">
        <v>0</v>
      </c>
      <c r="Q515" t="n">
        <v>0.02</v>
      </c>
      <c r="R515" t="n">
        <v>1</v>
      </c>
      <c r="S515" t="n">
        <v>800</v>
      </c>
      <c r="T515" t="n">
        <v>20</v>
      </c>
      <c r="U515" t="n">
        <v>21</v>
      </c>
      <c r="V515" t="n">
        <v>30</v>
      </c>
      <c r="W515" t="n">
        <v>1</v>
      </c>
      <c r="X515" t="n">
        <v>100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3968</v>
      </c>
      <c r="AG515" t="n">
        <v>1</v>
      </c>
      <c r="AH515" t="inlineStr">
        <is>
          <t>PT. BERSAMA DISTRIVERSA INDONESIA (DC CIPUTAT)</t>
        </is>
      </c>
      <c r="AI515" t="n">
        <v>1609</v>
      </c>
      <c r="AJ515" t="inlineStr">
        <is>
          <t>BUTTERED</t>
        </is>
      </c>
      <c r="AK515" t="n">
        <v>9</v>
      </c>
      <c r="AL515" t="inlineStr">
        <is>
          <t>Miss Glam Jambi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BUTTERED</t>
        </is>
      </c>
      <c r="B516" s="2">
        <f>"10700326241"</f>
        <v/>
      </c>
      <c r="C516" t="inlineStr">
        <is>
          <t>BUTTERED Lanosalve Multipurpose Balm Peach 10gr</t>
        </is>
      </c>
      <c r="D516" t="inlineStr">
        <is>
          <t>Miss Glam Jambi</t>
        </is>
      </c>
      <c r="E516" t="n">
        <v>6</v>
      </c>
      <c r="F516" t="n">
        <v>0.05</v>
      </c>
      <c r="G516" t="n">
        <v>1</v>
      </c>
      <c r="H516" t="n">
        <v>4</v>
      </c>
      <c r="I516" t="n">
        <v>20</v>
      </c>
      <c r="J516" t="n">
        <v>3</v>
      </c>
      <c r="K516" t="n">
        <v>0</v>
      </c>
      <c r="L516" t="n">
        <v>30107</v>
      </c>
      <c r="M516" t="n">
        <v>40000</v>
      </c>
      <c r="N516" t="n">
        <v>33</v>
      </c>
      <c r="O516" t="n">
        <v>0.33</v>
      </c>
      <c r="P516" t="n">
        <v>0</v>
      </c>
      <c r="Q516" t="n">
        <v>0.05</v>
      </c>
      <c r="R516" t="n">
        <v>1</v>
      </c>
      <c r="S516" t="n">
        <v>2000</v>
      </c>
      <c r="T516" t="n">
        <v>20</v>
      </c>
      <c r="U516" t="n">
        <v>21</v>
      </c>
      <c r="V516" t="n">
        <v>30</v>
      </c>
      <c r="W516" t="n">
        <v>2</v>
      </c>
      <c r="X516" t="n">
        <v>120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3968</v>
      </c>
      <c r="AG516" t="n">
        <v>1</v>
      </c>
      <c r="AH516" t="inlineStr">
        <is>
          <t>PT. BERSAMA DISTRIVERSA INDONESIA (DC CIPUTAT)</t>
        </is>
      </c>
      <c r="AI516" t="n">
        <v>1609</v>
      </c>
      <c r="AJ516" t="inlineStr">
        <is>
          <t>BUTTERED</t>
        </is>
      </c>
      <c r="AK516" t="n">
        <v>9</v>
      </c>
      <c r="AL516" t="inlineStr">
        <is>
          <t>Miss Glam Jambi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BUTTERED</t>
        </is>
      </c>
      <c r="B517" s="2">
        <f>"10700326031"</f>
        <v/>
      </c>
      <c r="C517" t="inlineStr">
        <is>
          <t>BUTTERED Lanosalve Multipurpose Balm Pineapple 10gr</t>
        </is>
      </c>
      <c r="D517" t="inlineStr">
        <is>
          <t>Miss Glam Jambi</t>
        </is>
      </c>
      <c r="E517" t="n">
        <v>7</v>
      </c>
      <c r="F517" t="n">
        <v>0.02</v>
      </c>
      <c r="G517" t="n">
        <v>1</v>
      </c>
      <c r="H517" t="n">
        <v>4</v>
      </c>
      <c r="I517" t="n">
        <v>20</v>
      </c>
      <c r="J517" t="n">
        <v>3</v>
      </c>
      <c r="K517" t="n">
        <v>0</v>
      </c>
      <c r="L517" t="n">
        <v>31900</v>
      </c>
      <c r="M517" t="n">
        <v>40000</v>
      </c>
      <c r="N517" t="n">
        <v>33</v>
      </c>
      <c r="O517" t="n">
        <v>0.33</v>
      </c>
      <c r="P517" t="n">
        <v>0</v>
      </c>
      <c r="Q517" t="n">
        <v>0.02</v>
      </c>
      <c r="R517" t="n">
        <v>1</v>
      </c>
      <c r="S517" t="n">
        <v>800</v>
      </c>
      <c r="T517" t="n">
        <v>20</v>
      </c>
      <c r="U517" t="n">
        <v>21</v>
      </c>
      <c r="V517" t="n">
        <v>30</v>
      </c>
      <c r="W517" t="n">
        <v>1</v>
      </c>
      <c r="X517" t="n">
        <v>350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3968</v>
      </c>
      <c r="AG517" t="n">
        <v>1</v>
      </c>
      <c r="AH517" t="inlineStr">
        <is>
          <t>PT. BERSAMA DISTRIVERSA INDONESIA (DC CIPUTAT)</t>
        </is>
      </c>
      <c r="AI517" t="n">
        <v>1609</v>
      </c>
      <c r="AJ517" t="inlineStr">
        <is>
          <t>BUTTERED</t>
        </is>
      </c>
      <c r="AK517" t="n">
        <v>9</v>
      </c>
      <c r="AL517" t="inlineStr">
        <is>
          <t>Miss Glam Jambi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BUTTERED</t>
        </is>
      </c>
      <c r="B518" s="2">
        <f>"10700326107"</f>
        <v/>
      </c>
      <c r="C518" t="inlineStr">
        <is>
          <t>BUTTERED Lanosalve Multipurpose Balm Tropical Fruit 10gr</t>
        </is>
      </c>
      <c r="D518" t="inlineStr">
        <is>
          <t>Miss Glam Jambi</t>
        </is>
      </c>
      <c r="E518" t="n">
        <v>4</v>
      </c>
      <c r="F518" t="n">
        <v>0.009900000000000001</v>
      </c>
      <c r="G518" t="n">
        <v>0.33</v>
      </c>
      <c r="H518" t="n">
        <v>4</v>
      </c>
      <c r="I518" t="n">
        <v>20</v>
      </c>
      <c r="J518" t="n">
        <v>3</v>
      </c>
      <c r="K518" t="n">
        <v>0</v>
      </c>
      <c r="L518" t="n">
        <v>29777</v>
      </c>
      <c r="M518" t="n">
        <v>40000</v>
      </c>
      <c r="N518" t="n">
        <v>33</v>
      </c>
      <c r="O518" t="n">
        <v>0.33</v>
      </c>
      <c r="P518" t="n">
        <v>1</v>
      </c>
      <c r="Q518" t="n">
        <v>0.03</v>
      </c>
      <c r="R518" t="n">
        <v>1</v>
      </c>
      <c r="S518" t="n">
        <v>396.0000000000001</v>
      </c>
      <c r="T518" t="n">
        <v>7</v>
      </c>
      <c r="U518" t="n">
        <v>8</v>
      </c>
      <c r="V518" t="n">
        <v>30</v>
      </c>
      <c r="W518" t="n">
        <v>1</v>
      </c>
      <c r="X518" t="n">
        <v>404.040404040404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3968</v>
      </c>
      <c r="AG518" t="n">
        <v>1</v>
      </c>
      <c r="AH518" t="inlineStr">
        <is>
          <t>PT. BERSAMA DISTRIVERSA INDONESIA (DC CIPUTAT)</t>
        </is>
      </c>
      <c r="AI518" t="n">
        <v>1609</v>
      </c>
      <c r="AJ518" t="inlineStr">
        <is>
          <t>BUTTERED</t>
        </is>
      </c>
      <c r="AK518" t="n">
        <v>9</v>
      </c>
      <c r="AL518" t="inlineStr">
        <is>
          <t>Miss Glam Jambi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BUTTERED</t>
        </is>
      </c>
      <c r="B519" s="2">
        <f>"1589325554423"</f>
        <v/>
      </c>
      <c r="C519" t="inlineStr">
        <is>
          <t>BUTTERED Scented Lip Balm Spf 15 No.10 Cherry 4.25gr</t>
        </is>
      </c>
      <c r="D519" t="inlineStr">
        <is>
          <t>Miss Glam Jambi</t>
        </is>
      </c>
      <c r="E519" t="n">
        <v>4</v>
      </c>
      <c r="F519" t="n">
        <v>0.08</v>
      </c>
      <c r="G519" t="n">
        <v>1</v>
      </c>
      <c r="H519" t="n">
        <v>4</v>
      </c>
      <c r="I519" t="n">
        <v>20</v>
      </c>
      <c r="J519" t="n">
        <v>3</v>
      </c>
      <c r="K519" t="n">
        <v>0</v>
      </c>
      <c r="L519" t="n">
        <v>26446</v>
      </c>
      <c r="M519" t="n">
        <v>37000</v>
      </c>
      <c r="N519" t="n">
        <v>33</v>
      </c>
      <c r="O519" t="n">
        <v>0.33</v>
      </c>
      <c r="P519" t="n">
        <v>0</v>
      </c>
      <c r="Q519" t="n">
        <v>0.08</v>
      </c>
      <c r="R519" t="n">
        <v>1</v>
      </c>
      <c r="S519" t="n">
        <v>2960</v>
      </c>
      <c r="T519" t="n">
        <v>20</v>
      </c>
      <c r="U519" t="n">
        <v>21</v>
      </c>
      <c r="V519" t="n">
        <v>30</v>
      </c>
      <c r="W519" t="n">
        <v>3</v>
      </c>
      <c r="X519" t="n">
        <v>50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3968</v>
      </c>
      <c r="AG519" t="n">
        <v>1</v>
      </c>
      <c r="AH519" t="inlineStr">
        <is>
          <t>PT. BERSAMA DISTRIVERSA INDONESIA (DC CIPUTAT)</t>
        </is>
      </c>
      <c r="AI519" t="n">
        <v>1609</v>
      </c>
      <c r="AJ519" t="inlineStr">
        <is>
          <t>BUTTERED</t>
        </is>
      </c>
      <c r="AK519" t="n">
        <v>9</v>
      </c>
      <c r="AL519" t="inlineStr">
        <is>
          <t>Miss Glam Jambi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BUTTERED</t>
        </is>
      </c>
      <c r="B520" s="2">
        <f>"1589325554355"</f>
        <v/>
      </c>
      <c r="C520" t="inlineStr">
        <is>
          <t>BUTTERED Scented Lip Balm Spf 15 No.2 Iced Pear 4.25gr</t>
        </is>
      </c>
      <c r="D520" t="inlineStr">
        <is>
          <t>Miss Glam Jambi</t>
        </is>
      </c>
      <c r="E520" t="n">
        <v>7</v>
      </c>
      <c r="F520" t="n">
        <v>0.0264</v>
      </c>
      <c r="G520" t="n">
        <v>0.66</v>
      </c>
      <c r="H520" t="n">
        <v>4</v>
      </c>
      <c r="I520" t="n">
        <v>20</v>
      </c>
      <c r="J520" t="n">
        <v>3</v>
      </c>
      <c r="K520" t="n">
        <v>0</v>
      </c>
      <c r="L520" t="n">
        <v>26293</v>
      </c>
      <c r="M520" t="n">
        <v>37000</v>
      </c>
      <c r="N520" t="n">
        <v>33</v>
      </c>
      <c r="O520" t="n">
        <v>0.33</v>
      </c>
      <c r="P520" t="n">
        <v>1</v>
      </c>
      <c r="Q520" t="n">
        <v>0.03</v>
      </c>
      <c r="R520" t="n">
        <v>1</v>
      </c>
      <c r="S520" t="n">
        <v>976.8000000000001</v>
      </c>
      <c r="T520" t="n">
        <v>14</v>
      </c>
      <c r="U520" t="n">
        <v>15</v>
      </c>
      <c r="V520" t="n">
        <v>30</v>
      </c>
      <c r="W520" t="n">
        <v>1</v>
      </c>
      <c r="X520" t="n">
        <v>265.1515151515151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3968</v>
      </c>
      <c r="AG520" t="n">
        <v>1</v>
      </c>
      <c r="AH520" t="inlineStr">
        <is>
          <t>PT. BERSAMA DISTRIVERSA INDONESIA (DC CIPUTAT)</t>
        </is>
      </c>
      <c r="AI520" t="n">
        <v>1609</v>
      </c>
      <c r="AJ520" t="inlineStr">
        <is>
          <t>BUTTERED</t>
        </is>
      </c>
      <c r="AK520" t="n">
        <v>9</v>
      </c>
      <c r="AL520" t="inlineStr">
        <is>
          <t>Miss Glam Jambi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BUTTERED</t>
        </is>
      </c>
      <c r="B521" s="2">
        <f>"1589325554393"</f>
        <v/>
      </c>
      <c r="C521" t="inlineStr">
        <is>
          <t>BUTTERED Scented Lip Balm Spf 15 No.3 Watermelon 4.25gr</t>
        </is>
      </c>
      <c r="D521" t="inlineStr">
        <is>
          <t>Miss Glam Jambi</t>
        </is>
      </c>
      <c r="E521" t="n">
        <v>0</v>
      </c>
      <c r="F521" t="n">
        <v>0.0363</v>
      </c>
      <c r="G521" t="n">
        <v>0.66</v>
      </c>
      <c r="H521" t="n">
        <v>4</v>
      </c>
      <c r="I521" t="n">
        <v>20</v>
      </c>
      <c r="J521" t="n">
        <v>3</v>
      </c>
      <c r="K521" t="n">
        <v>0</v>
      </c>
      <c r="L521" t="n">
        <v>25986</v>
      </c>
      <c r="M521" t="n">
        <v>37000</v>
      </c>
      <c r="N521" t="n">
        <v>33</v>
      </c>
      <c r="O521" t="n">
        <v>0.33</v>
      </c>
      <c r="P521" t="n">
        <v>1</v>
      </c>
      <c r="Q521" t="n">
        <v>0.06</v>
      </c>
      <c r="R521" t="n">
        <v>1</v>
      </c>
      <c r="S521" t="n">
        <v>1343.1</v>
      </c>
      <c r="T521" t="n">
        <v>14</v>
      </c>
      <c r="U521" t="n">
        <v>15</v>
      </c>
      <c r="V521" t="n">
        <v>30</v>
      </c>
      <c r="W521" t="n">
        <v>2</v>
      </c>
      <c r="X521" t="n">
        <v>0</v>
      </c>
      <c r="Y521" t="n">
        <v>1</v>
      </c>
      <c r="Z521" t="n">
        <v>2</v>
      </c>
      <c r="AA521" t="n">
        <v>1</v>
      </c>
      <c r="AB521" t="n">
        <v>1</v>
      </c>
      <c r="AC521" t="n">
        <v>3</v>
      </c>
      <c r="AD521" t="n">
        <v>25986</v>
      </c>
      <c r="AE521" t="n">
        <v>77958</v>
      </c>
      <c r="AF521" t="n">
        <v>3968</v>
      </c>
      <c r="AG521" t="n">
        <v>1</v>
      </c>
      <c r="AH521" t="inlineStr">
        <is>
          <t>PT. BERSAMA DISTRIVERSA INDONESIA (DC CIPUTAT)</t>
        </is>
      </c>
      <c r="AI521" t="n">
        <v>1609</v>
      </c>
      <c r="AJ521" t="inlineStr">
        <is>
          <t>BUTTERED</t>
        </is>
      </c>
      <c r="AK521" t="n">
        <v>9</v>
      </c>
      <c r="AL521" t="inlineStr">
        <is>
          <t>Miss Glam Jambi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BUTTERED</t>
        </is>
      </c>
      <c r="B522" s="2">
        <f>"1589325554409"</f>
        <v/>
      </c>
      <c r="C522" t="inlineStr">
        <is>
          <t>BUTTERED Scented Lip Balm Spf 15 No.4 Peppermint 4.25gr</t>
        </is>
      </c>
      <c r="D522" t="inlineStr">
        <is>
          <t>Miss Glam Jambi</t>
        </is>
      </c>
      <c r="E522" t="n">
        <v>5</v>
      </c>
      <c r="F522" t="n">
        <v>0.07000000000000001</v>
      </c>
      <c r="G522" t="n">
        <v>1</v>
      </c>
      <c r="H522" t="n">
        <v>4</v>
      </c>
      <c r="I522" t="n">
        <v>20</v>
      </c>
      <c r="J522" t="n">
        <v>3</v>
      </c>
      <c r="K522" t="n">
        <v>0</v>
      </c>
      <c r="L522" t="n">
        <v>26273</v>
      </c>
      <c r="M522" t="n">
        <v>37000</v>
      </c>
      <c r="N522" t="n">
        <v>33</v>
      </c>
      <c r="O522" t="n">
        <v>0.33</v>
      </c>
      <c r="P522" t="n">
        <v>0</v>
      </c>
      <c r="Q522" t="n">
        <v>0.07000000000000001</v>
      </c>
      <c r="R522" t="n">
        <v>1</v>
      </c>
      <c r="S522" t="n">
        <v>2590</v>
      </c>
      <c r="T522" t="n">
        <v>20</v>
      </c>
      <c r="U522" t="n">
        <v>21</v>
      </c>
      <c r="V522" t="n">
        <v>30</v>
      </c>
      <c r="W522" t="n">
        <v>3</v>
      </c>
      <c r="X522" t="n">
        <v>71.42857142857142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3968</v>
      </c>
      <c r="AG522" t="n">
        <v>1</v>
      </c>
      <c r="AH522" t="inlineStr">
        <is>
          <t>PT. BERSAMA DISTRIVERSA INDONESIA (DC CIPUTAT)</t>
        </is>
      </c>
      <c r="AI522" t="n">
        <v>1609</v>
      </c>
      <c r="AJ522" t="inlineStr">
        <is>
          <t>BUTTERED</t>
        </is>
      </c>
      <c r="AK522" t="n">
        <v>9</v>
      </c>
      <c r="AL522" t="inlineStr">
        <is>
          <t>Miss Glam Jambi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BUTTERED</t>
        </is>
      </c>
      <c r="B523" s="2">
        <f>"1589325554362"</f>
        <v/>
      </c>
      <c r="C523" t="inlineStr">
        <is>
          <t>BUTTERED Scented Lip Balm Spf 15 No.6 Vanilla 4.25gr</t>
        </is>
      </c>
      <c r="D523" t="inlineStr">
        <is>
          <t>Miss Glam Jambi</t>
        </is>
      </c>
      <c r="E523" t="n">
        <v>7</v>
      </c>
      <c r="F523" t="n">
        <v>0.03</v>
      </c>
      <c r="G523" t="n">
        <v>1</v>
      </c>
      <c r="H523" t="n">
        <v>4</v>
      </c>
      <c r="I523" t="n">
        <v>20</v>
      </c>
      <c r="J523" t="n">
        <v>3</v>
      </c>
      <c r="K523" t="n">
        <v>0</v>
      </c>
      <c r="L523" t="n">
        <v>26273</v>
      </c>
      <c r="M523" t="n">
        <v>31000</v>
      </c>
      <c r="N523" t="n">
        <v>33</v>
      </c>
      <c r="O523" t="n">
        <v>0.33</v>
      </c>
      <c r="P523" t="n">
        <v>0</v>
      </c>
      <c r="Q523" t="n">
        <v>0.03</v>
      </c>
      <c r="R523" t="n">
        <v>1</v>
      </c>
      <c r="S523" t="n">
        <v>930</v>
      </c>
      <c r="T523" t="n">
        <v>20</v>
      </c>
      <c r="U523" t="n">
        <v>21</v>
      </c>
      <c r="V523" t="n">
        <v>30</v>
      </c>
      <c r="W523" t="n">
        <v>1</v>
      </c>
      <c r="X523" t="n">
        <v>233.3333333333333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3968</v>
      </c>
      <c r="AG523" t="n">
        <v>1</v>
      </c>
      <c r="AH523" t="inlineStr">
        <is>
          <t>PT. BERSAMA DISTRIVERSA INDONESIA (DC CIPUTAT)</t>
        </is>
      </c>
      <c r="AI523" t="n">
        <v>1609</v>
      </c>
      <c r="AJ523" t="inlineStr">
        <is>
          <t>BUTTERED</t>
        </is>
      </c>
      <c r="AK523" t="n">
        <v>9</v>
      </c>
      <c r="AL523" t="inlineStr">
        <is>
          <t>Miss Glam Jambi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BUTTERED</t>
        </is>
      </c>
      <c r="B524" s="2">
        <f>"1589325554386"</f>
        <v/>
      </c>
      <c r="C524" t="inlineStr">
        <is>
          <t>BUTTERED Scented Lip Balm Spf 15 No.7 Peach Apricot 4.25gr</t>
        </is>
      </c>
      <c r="D524" t="inlineStr">
        <is>
          <t>Miss Glam Jambi</t>
        </is>
      </c>
      <c r="E524" t="n">
        <v>0</v>
      </c>
      <c r="F524" t="n">
        <v>0.06</v>
      </c>
      <c r="G524" t="n">
        <v>1</v>
      </c>
      <c r="H524" t="n">
        <v>4</v>
      </c>
      <c r="I524" t="n">
        <v>20</v>
      </c>
      <c r="J524" t="n">
        <v>3</v>
      </c>
      <c r="K524" t="n">
        <v>0</v>
      </c>
      <c r="L524" t="n">
        <v>25986</v>
      </c>
      <c r="M524" t="n">
        <v>37000</v>
      </c>
      <c r="N524" t="n">
        <v>33</v>
      </c>
      <c r="O524" t="n">
        <v>0.33</v>
      </c>
      <c r="P524" t="n">
        <v>0</v>
      </c>
      <c r="Q524" t="n">
        <v>0.06</v>
      </c>
      <c r="R524" t="n">
        <v>1</v>
      </c>
      <c r="S524" t="n">
        <v>2220</v>
      </c>
      <c r="T524" t="n">
        <v>20</v>
      </c>
      <c r="U524" t="n">
        <v>21</v>
      </c>
      <c r="V524" t="n">
        <v>30</v>
      </c>
      <c r="W524" t="n">
        <v>2</v>
      </c>
      <c r="X524" t="n">
        <v>0</v>
      </c>
      <c r="Y524" t="n">
        <v>1</v>
      </c>
      <c r="Z524" t="n">
        <v>2</v>
      </c>
      <c r="AA524" t="n">
        <v>2</v>
      </c>
      <c r="AB524" t="n">
        <v>0</v>
      </c>
      <c r="AC524" t="n">
        <v>0</v>
      </c>
      <c r="AD524" t="n">
        <v>51972</v>
      </c>
      <c r="AE524" t="n">
        <v>0</v>
      </c>
      <c r="AF524" t="n">
        <v>3968</v>
      </c>
      <c r="AG524" t="n">
        <v>1</v>
      </c>
      <c r="AH524" t="inlineStr">
        <is>
          <t>PT. BERSAMA DISTRIVERSA INDONESIA (DC CIPUTAT)</t>
        </is>
      </c>
      <c r="AI524" t="n">
        <v>1609</v>
      </c>
      <c r="AJ524" t="inlineStr">
        <is>
          <t>BUTTERED</t>
        </is>
      </c>
      <c r="AK524" t="n">
        <v>9</v>
      </c>
      <c r="AL524" t="inlineStr">
        <is>
          <t>Miss Glam Jambi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BUTTERED</t>
        </is>
      </c>
      <c r="B525" s="2">
        <f>"1589325554300"</f>
        <v/>
      </c>
      <c r="C525" t="inlineStr">
        <is>
          <t>BUTTERED Scented Lip Balm Spf 15 No.8 Strawberry 4.25gr</t>
        </is>
      </c>
      <c r="D525" t="inlineStr">
        <is>
          <t>Miss Glam Jambi</t>
        </is>
      </c>
      <c r="E525" t="n">
        <v>4</v>
      </c>
      <c r="F525" t="n">
        <v>0.0396</v>
      </c>
      <c r="G525" t="n">
        <v>0.66</v>
      </c>
      <c r="H525" t="n">
        <v>4</v>
      </c>
      <c r="I525" t="n">
        <v>20</v>
      </c>
      <c r="J525" t="n">
        <v>3</v>
      </c>
      <c r="K525" t="n">
        <v>0</v>
      </c>
      <c r="L525" t="n">
        <v>26273</v>
      </c>
      <c r="M525" t="n">
        <v>45000</v>
      </c>
      <c r="N525" t="n">
        <v>33</v>
      </c>
      <c r="O525" t="n">
        <v>0.33</v>
      </c>
      <c r="P525" t="n">
        <v>1</v>
      </c>
      <c r="Q525" t="n">
        <v>0.08</v>
      </c>
      <c r="R525" t="n">
        <v>2</v>
      </c>
      <c r="S525" t="n">
        <v>1782</v>
      </c>
      <c r="T525" t="n">
        <v>14</v>
      </c>
      <c r="U525" t="n">
        <v>15</v>
      </c>
      <c r="V525" t="n">
        <v>30</v>
      </c>
      <c r="W525" t="n">
        <v>2</v>
      </c>
      <c r="X525" t="n">
        <v>101.010101010101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3968</v>
      </c>
      <c r="AG525" t="n">
        <v>1</v>
      </c>
      <c r="AH525" t="inlineStr">
        <is>
          <t>PT. BERSAMA DISTRIVERSA INDONESIA (DC CIPUTAT)</t>
        </is>
      </c>
      <c r="AI525" t="n">
        <v>1609</v>
      </c>
      <c r="AJ525" t="inlineStr">
        <is>
          <t>BUTTERED</t>
        </is>
      </c>
      <c r="AK525" t="n">
        <v>9</v>
      </c>
      <c r="AL525" t="inlineStr">
        <is>
          <t>Miss Glam Jambi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BUTUH (ENERGY FRESH)</t>
        </is>
      </c>
      <c r="B526" s="2">
        <f>"30300508722"</f>
        <v/>
      </c>
      <c r="C526" t="inlineStr">
        <is>
          <t>BUTUH (Wetless) Antiperspirant 70 ml</t>
        </is>
      </c>
      <c r="D526" t="inlineStr">
        <is>
          <t>Miss Glam Jambi</t>
        </is>
      </c>
      <c r="E526" t="n">
        <v>22</v>
      </c>
      <c r="F526" t="n">
        <v>0.06270000000000001</v>
      </c>
      <c r="G526" t="n">
        <v>1.32</v>
      </c>
      <c r="H526" t="n">
        <v>4</v>
      </c>
      <c r="I526" t="n">
        <v>20</v>
      </c>
      <c r="J526" t="n">
        <v>3</v>
      </c>
      <c r="K526" t="n">
        <v>0</v>
      </c>
      <c r="L526" t="n">
        <v>37156</v>
      </c>
      <c r="M526" t="n">
        <v>48000</v>
      </c>
      <c r="N526" t="n">
        <v>33</v>
      </c>
      <c r="O526" t="n">
        <v>0.33</v>
      </c>
      <c r="P526" t="n">
        <v>1</v>
      </c>
      <c r="Q526" t="n">
        <v>0.27</v>
      </c>
      <c r="R526" t="n">
        <v>2</v>
      </c>
      <c r="S526" t="n">
        <v>3009.6</v>
      </c>
      <c r="T526" t="n">
        <v>27</v>
      </c>
      <c r="U526" t="n">
        <v>28</v>
      </c>
      <c r="V526" t="n">
        <v>30</v>
      </c>
      <c r="W526" t="n">
        <v>2</v>
      </c>
      <c r="X526" t="n">
        <v>350.8771929824561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4001</v>
      </c>
      <c r="AG526" t="n">
        <v>1</v>
      </c>
      <c r="AH526" t="inlineStr">
        <is>
          <t>PT. BERSAMA DISTRIVERSA INDONESIA (DC CIPUTAT)</t>
        </is>
      </c>
      <c r="AI526" t="n">
        <v>884</v>
      </c>
      <c r="AJ526" t="inlineStr">
        <is>
          <t>BUTUH (ENERGY FRESH)</t>
        </is>
      </c>
      <c r="AK526" t="n">
        <v>9</v>
      </c>
      <c r="AL526" t="inlineStr">
        <is>
          <t>Miss Glam Jambi</t>
        </is>
      </c>
      <c r="AM526" t="n">
        <v>3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BYNADS</t>
        </is>
      </c>
      <c r="B527" s="2">
        <f>"10500411332"</f>
        <v/>
      </c>
      <c r="C527" t="inlineStr">
        <is>
          <t>BYNADS Acne Care Sleeping Mask 50ml</t>
        </is>
      </c>
      <c r="D527" t="inlineStr">
        <is>
          <t>Miss Glam Jambi</t>
        </is>
      </c>
      <c r="E527" t="n">
        <v>18</v>
      </c>
      <c r="F527" t="n">
        <v>0.1056</v>
      </c>
      <c r="G527" t="n">
        <v>0.66</v>
      </c>
      <c r="H527" t="n">
        <v>4</v>
      </c>
      <c r="I527" t="n">
        <v>20</v>
      </c>
      <c r="J527" t="n">
        <v>1</v>
      </c>
      <c r="K527" t="n">
        <v>0</v>
      </c>
      <c r="L527" t="n">
        <v>42105</v>
      </c>
      <c r="M527" t="n">
        <v>57000</v>
      </c>
      <c r="N527" t="n">
        <v>33</v>
      </c>
      <c r="O527" t="n">
        <v>0.33</v>
      </c>
      <c r="P527" t="n">
        <v>1</v>
      </c>
      <c r="Q527" t="n">
        <v>0.12</v>
      </c>
      <c r="R527" t="n">
        <v>1</v>
      </c>
      <c r="S527" t="n">
        <v>6019.200000000001</v>
      </c>
      <c r="T527" t="n">
        <v>13</v>
      </c>
      <c r="U527" t="n">
        <v>14</v>
      </c>
      <c r="V527" t="n">
        <v>30</v>
      </c>
      <c r="W527" t="n">
        <v>4</v>
      </c>
      <c r="X527" t="n">
        <v>170.4545454545454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4034</v>
      </c>
      <c r="AG527" t="n">
        <v>1</v>
      </c>
      <c r="AH527" t="inlineStr">
        <is>
          <t>PT. BERSAMA DISTRIVERSA INDONESIA (DC CIPUTAT)</t>
        </is>
      </c>
      <c r="AI527" t="n">
        <v>2316</v>
      </c>
      <c r="AJ527" t="inlineStr">
        <is>
          <t>BYNADS</t>
        </is>
      </c>
      <c r="AK527" t="n">
        <v>9</v>
      </c>
      <c r="AL527" t="inlineStr">
        <is>
          <t>Miss Glam Jambi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BYNADS</t>
        </is>
      </c>
      <c r="B528" s="2">
        <f>"10800603310"</f>
        <v/>
      </c>
      <c r="C528" t="inlineStr">
        <is>
          <t>BYNADS Bombposh Lash And Brow Serum Bynads Eyelash And Eyebrow 5ml</t>
        </is>
      </c>
      <c r="D528" t="inlineStr">
        <is>
          <t>Miss Glam Jambi</t>
        </is>
      </c>
      <c r="E528" t="n">
        <v>13</v>
      </c>
      <c r="F528" t="n">
        <v>0.1848</v>
      </c>
      <c r="G528" t="n">
        <v>0.99</v>
      </c>
      <c r="H528" t="n">
        <v>4</v>
      </c>
      <c r="I528" t="n">
        <v>20</v>
      </c>
      <c r="J528" t="n">
        <v>1</v>
      </c>
      <c r="K528" t="n">
        <v>0</v>
      </c>
      <c r="L528" t="n">
        <v>32960</v>
      </c>
      <c r="M528" t="n">
        <v>47000</v>
      </c>
      <c r="N528" t="n">
        <v>33</v>
      </c>
      <c r="O528" t="n">
        <v>0.33</v>
      </c>
      <c r="P528" t="n">
        <v>1</v>
      </c>
      <c r="Q528" t="n">
        <v>0.08</v>
      </c>
      <c r="R528" t="n">
        <v>2</v>
      </c>
      <c r="S528" t="n">
        <v>8685.6</v>
      </c>
      <c r="T528" t="n">
        <v>20</v>
      </c>
      <c r="U528" t="n">
        <v>21</v>
      </c>
      <c r="V528" t="n">
        <v>30</v>
      </c>
      <c r="W528" t="n">
        <v>6</v>
      </c>
      <c r="X528" t="n">
        <v>70.34632034632034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4034</v>
      </c>
      <c r="AG528" t="n">
        <v>1</v>
      </c>
      <c r="AH528" t="inlineStr">
        <is>
          <t>PT. BERSAMA DISTRIVERSA INDONESIA (DC CIPUTAT)</t>
        </is>
      </c>
      <c r="AI528" t="n">
        <v>2316</v>
      </c>
      <c r="AJ528" t="inlineStr">
        <is>
          <t>BYNADS</t>
        </is>
      </c>
      <c r="AK528" t="n">
        <v>9</v>
      </c>
      <c r="AL528" t="inlineStr">
        <is>
          <t>Miss Glam Jambi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BYNADS</t>
        </is>
      </c>
      <c r="B529" s="2">
        <f>"10500411153"</f>
        <v/>
      </c>
      <c r="C529" t="inlineStr">
        <is>
          <t>BYNADS Bright and Glow Sleeping Mask 50ml</t>
        </is>
      </c>
      <c r="D529" t="inlineStr">
        <is>
          <t>Miss Glam Jambi</t>
        </is>
      </c>
      <c r="E529" t="n">
        <v>13</v>
      </c>
      <c r="F529" t="n">
        <v>0.0726</v>
      </c>
      <c r="G529" t="n">
        <v>0.66</v>
      </c>
      <c r="H529" t="n">
        <v>4</v>
      </c>
      <c r="I529" t="n">
        <v>20</v>
      </c>
      <c r="J529" t="n">
        <v>1</v>
      </c>
      <c r="K529" t="n">
        <v>0</v>
      </c>
      <c r="L529" t="n">
        <v>41982</v>
      </c>
      <c r="M529" t="n">
        <v>57000</v>
      </c>
      <c r="N529" t="n">
        <v>33</v>
      </c>
      <c r="O529" t="n">
        <v>0.33</v>
      </c>
      <c r="P529" t="n">
        <v>1</v>
      </c>
      <c r="Q529" t="n">
        <v>0.2</v>
      </c>
      <c r="R529" t="n">
        <v>2</v>
      </c>
      <c r="S529" t="n">
        <v>4138.2</v>
      </c>
      <c r="T529" t="n">
        <v>13</v>
      </c>
      <c r="U529" t="n">
        <v>14</v>
      </c>
      <c r="V529" t="n">
        <v>30</v>
      </c>
      <c r="W529" t="n">
        <v>3</v>
      </c>
      <c r="X529" t="n">
        <v>179.0633608815427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4034</v>
      </c>
      <c r="AG529" t="n">
        <v>1</v>
      </c>
      <c r="AH529" t="inlineStr">
        <is>
          <t>PT. BERSAMA DISTRIVERSA INDONESIA (DC CIPUTAT)</t>
        </is>
      </c>
      <c r="AI529" t="n">
        <v>2316</v>
      </c>
      <c r="AJ529" t="inlineStr">
        <is>
          <t>BYNADS</t>
        </is>
      </c>
      <c r="AK529" t="n">
        <v>9</v>
      </c>
      <c r="AL529" t="inlineStr">
        <is>
          <t>Miss Glam Jambi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BYNADS</t>
        </is>
      </c>
      <c r="B530" s="2">
        <f>"10100824533"</f>
        <v/>
      </c>
      <c r="C530" t="inlineStr">
        <is>
          <t>BYNADS Pearl Shine Brightening Moisturizing Soap 60gr</t>
        </is>
      </c>
      <c r="D530" t="inlineStr">
        <is>
          <t>Miss Glam Jambi</t>
        </is>
      </c>
      <c r="E530" t="n">
        <v>0</v>
      </c>
      <c r="F530" t="n">
        <v>0.1155</v>
      </c>
      <c r="G530" t="n">
        <v>1.32</v>
      </c>
      <c r="H530" t="n">
        <v>4</v>
      </c>
      <c r="I530" t="n">
        <v>20</v>
      </c>
      <c r="J530" t="n">
        <v>1</v>
      </c>
      <c r="K530" t="n">
        <v>0</v>
      </c>
      <c r="L530" t="n">
        <v>36260</v>
      </c>
      <c r="M530" t="n">
        <v>49000</v>
      </c>
      <c r="N530" t="n">
        <v>33</v>
      </c>
      <c r="O530" t="n">
        <v>0.33</v>
      </c>
      <c r="P530" t="n">
        <v>1</v>
      </c>
      <c r="Q530" t="n">
        <v>0.44</v>
      </c>
      <c r="R530" t="n">
        <v>3</v>
      </c>
      <c r="S530" t="n">
        <v>5659.5</v>
      </c>
      <c r="T530" t="n">
        <v>26</v>
      </c>
      <c r="U530" t="n">
        <v>27</v>
      </c>
      <c r="V530" t="n">
        <v>30</v>
      </c>
      <c r="W530" t="n">
        <v>4</v>
      </c>
      <c r="X530" t="n">
        <v>0</v>
      </c>
      <c r="Y530" t="n">
        <v>1</v>
      </c>
      <c r="Z530" t="n">
        <v>4</v>
      </c>
      <c r="AA530" t="n">
        <v>3</v>
      </c>
      <c r="AB530" t="n">
        <v>1</v>
      </c>
      <c r="AC530" t="n">
        <v>1</v>
      </c>
      <c r="AD530" t="n">
        <v>108780</v>
      </c>
      <c r="AE530" t="n">
        <v>36260</v>
      </c>
      <c r="AF530" t="n">
        <v>4034</v>
      </c>
      <c r="AG530" t="n">
        <v>1</v>
      </c>
      <c r="AH530" t="inlineStr">
        <is>
          <t>PT. BERSAMA DISTRIVERSA INDONESIA (DC CIPUTAT)</t>
        </is>
      </c>
      <c r="AI530" t="n">
        <v>2316</v>
      </c>
      <c r="AJ530" t="inlineStr">
        <is>
          <t>BYNADS</t>
        </is>
      </c>
      <c r="AK530" t="n">
        <v>9</v>
      </c>
      <c r="AL530" t="inlineStr">
        <is>
          <t>Miss Glam Jambi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"101001114214"</f>
        <v/>
      </c>
      <c r="C531" t="inlineStr">
        <is>
          <t>CAMILLE Beauty Charge Facial Wash 120gr</t>
        </is>
      </c>
      <c r="D531" t="inlineStr">
        <is>
          <t>Miss Glam Jambi</t>
        </is>
      </c>
      <c r="E531" t="n">
        <v>4</v>
      </c>
      <c r="F531" t="n">
        <v>0.006600000000000001</v>
      </c>
      <c r="G531" t="n">
        <v>0.33</v>
      </c>
      <c r="H531" t="n">
        <v>4</v>
      </c>
      <c r="I531" t="n">
        <v>20</v>
      </c>
      <c r="J531" t="n">
        <v>3</v>
      </c>
      <c r="K531" t="n">
        <v>0</v>
      </c>
      <c r="L531" t="n">
        <v>80510</v>
      </c>
      <c r="M531" t="n">
        <v>107500</v>
      </c>
      <c r="N531" t="n">
        <v>33</v>
      </c>
      <c r="O531" t="n">
        <v>0.33</v>
      </c>
      <c r="P531" t="n">
        <v>1</v>
      </c>
      <c r="Q531" t="n">
        <v>0.03</v>
      </c>
      <c r="R531" t="n">
        <v>1</v>
      </c>
      <c r="S531" t="n">
        <v>709.5000000000001</v>
      </c>
      <c r="T531" t="n">
        <v>7</v>
      </c>
      <c r="U531" t="n">
        <v>8</v>
      </c>
      <c r="V531" t="n">
        <v>30</v>
      </c>
      <c r="W531" t="n">
        <v>1</v>
      </c>
      <c r="X531" t="n">
        <v>606.060606060606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4067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9</v>
      </c>
      <c r="AL531" t="inlineStr">
        <is>
          <t>Miss Glam Jambi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CAMILLE</t>
        </is>
      </c>
      <c r="B532" s="2">
        <f>"30200426318"</f>
        <v/>
      </c>
      <c r="C532" t="inlineStr">
        <is>
          <t>CAMILLE Brightening Body Serum 200gr</t>
        </is>
      </c>
      <c r="D532" t="inlineStr">
        <is>
          <t>Miss Glam Jambi</t>
        </is>
      </c>
      <c r="E532" t="n">
        <v>6</v>
      </c>
      <c r="F532" t="n">
        <v>0.006600000000000001</v>
      </c>
      <c r="G532" t="n">
        <v>0.33</v>
      </c>
      <c r="H532" t="n">
        <v>4</v>
      </c>
      <c r="I532" t="n">
        <v>20</v>
      </c>
      <c r="J532" t="n">
        <v>1</v>
      </c>
      <c r="K532" t="n">
        <v>0</v>
      </c>
      <c r="L532" t="n">
        <v>122975</v>
      </c>
      <c r="M532" t="n">
        <v>139000</v>
      </c>
      <c r="N532" t="n">
        <v>33</v>
      </c>
      <c r="O532" t="n">
        <v>0.33</v>
      </c>
      <c r="P532" t="n">
        <v>1</v>
      </c>
      <c r="Q532" t="n">
        <v>0.07000000000000001</v>
      </c>
      <c r="R532" t="n">
        <v>2</v>
      </c>
      <c r="S532" t="n">
        <v>917.4000000000001</v>
      </c>
      <c r="T532" t="n">
        <v>7</v>
      </c>
      <c r="U532" t="n">
        <v>8</v>
      </c>
      <c r="V532" t="n">
        <v>30</v>
      </c>
      <c r="W532" t="n">
        <v>1</v>
      </c>
      <c r="X532" t="n">
        <v>909.090909090909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4067</v>
      </c>
      <c r="AG532" t="n">
        <v>1</v>
      </c>
      <c r="AH532" t="inlineStr">
        <is>
          <t>PT. BERSAMA DISTRIVERSA INDONESIA (DC CIPUTAT)</t>
        </is>
      </c>
      <c r="AI532" t="n">
        <v>517</v>
      </c>
      <c r="AJ532" t="inlineStr">
        <is>
          <t>CAMILLE</t>
        </is>
      </c>
      <c r="AK532" t="n">
        <v>9</v>
      </c>
      <c r="AL532" t="inlineStr">
        <is>
          <t>Miss Glam Jambi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"10500522707"</f>
        <v/>
      </c>
      <c r="C533" t="inlineStr">
        <is>
          <t>CAMILLE By Nadshavv Wash Off Mask Chocolate For Acne Scars With Collagen + Bakuchiol Extract 25gr</t>
        </is>
      </c>
      <c r="D533" t="inlineStr">
        <is>
          <t>Miss Glam Jambi</t>
        </is>
      </c>
      <c r="E533" t="n">
        <v>7</v>
      </c>
      <c r="F533" t="n">
        <v>0.1386</v>
      </c>
      <c r="G533" t="n">
        <v>0.66</v>
      </c>
      <c r="H533" t="n">
        <v>4</v>
      </c>
      <c r="I533" t="n">
        <v>20</v>
      </c>
      <c r="J533" t="n">
        <v>3</v>
      </c>
      <c r="K533" t="n">
        <v>0</v>
      </c>
      <c r="L533" t="n">
        <v>19885</v>
      </c>
      <c r="M533" t="n">
        <v>26000</v>
      </c>
      <c r="N533" t="n">
        <v>33</v>
      </c>
      <c r="O533" t="n">
        <v>0.33</v>
      </c>
      <c r="P533" t="n">
        <v>1</v>
      </c>
      <c r="Q533" t="n">
        <v>0.14</v>
      </c>
      <c r="R533" t="n">
        <v>1</v>
      </c>
      <c r="S533" t="n">
        <v>3603.6</v>
      </c>
      <c r="T533" t="n">
        <v>13</v>
      </c>
      <c r="U533" t="n">
        <v>14</v>
      </c>
      <c r="V533" t="n">
        <v>30</v>
      </c>
      <c r="W533" t="n">
        <v>5</v>
      </c>
      <c r="X533" t="n">
        <v>50.50505050505051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4067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9</v>
      </c>
      <c r="AL533" t="inlineStr">
        <is>
          <t>Miss Glam Jambi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"10500522728"</f>
        <v/>
      </c>
      <c r="C534" t="inlineStr">
        <is>
          <t>CAMILLE By Nadshavv Wash Off Mask Chocolate For Acne Scars With Collagen + Bakuchiol Extract 65gr</t>
        </is>
      </c>
      <c r="D534" t="inlineStr">
        <is>
          <t>Miss Glam Jambi</t>
        </is>
      </c>
      <c r="E534" t="n">
        <v>6</v>
      </c>
      <c r="F534" t="n">
        <v>0.0231</v>
      </c>
      <c r="G534" t="n">
        <v>0.33</v>
      </c>
      <c r="H534" t="n">
        <v>4</v>
      </c>
      <c r="I534" t="n">
        <v>20</v>
      </c>
      <c r="J534" t="n">
        <v>3</v>
      </c>
      <c r="K534" t="n">
        <v>0</v>
      </c>
      <c r="L534" t="n">
        <v>35396</v>
      </c>
      <c r="M534" t="n">
        <v>43000</v>
      </c>
      <c r="N534" t="n">
        <v>33</v>
      </c>
      <c r="O534" t="n">
        <v>0.33</v>
      </c>
      <c r="P534" t="n">
        <v>1</v>
      </c>
      <c r="Q534" t="n">
        <v>0.05</v>
      </c>
      <c r="R534" t="n">
        <v>1</v>
      </c>
      <c r="S534" t="n">
        <v>993.3000000000001</v>
      </c>
      <c r="T534" t="n">
        <v>7</v>
      </c>
      <c r="U534" t="n">
        <v>8</v>
      </c>
      <c r="V534" t="n">
        <v>30</v>
      </c>
      <c r="W534" t="n">
        <v>1</v>
      </c>
      <c r="X534" t="n">
        <v>259.7402597402597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4067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9</v>
      </c>
      <c r="AL534" t="inlineStr">
        <is>
          <t>Miss Glam Jambi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CAMILLE</t>
        </is>
      </c>
      <c r="B535" s="2">
        <f>"10500522705"</f>
        <v/>
      </c>
      <c r="C535" t="inlineStr">
        <is>
          <t>CAMILLE By Nadshavv Wash Off Mask Coffee For Acne Scars With Vit E + Coffee Extract 25gr</t>
        </is>
      </c>
      <c r="D535" t="inlineStr">
        <is>
          <t>Miss Glam Jambi</t>
        </is>
      </c>
      <c r="E535" t="n">
        <v>7</v>
      </c>
      <c r="F535" t="n">
        <v>0.1353</v>
      </c>
      <c r="G535" t="n">
        <v>0.66</v>
      </c>
      <c r="H535" t="n">
        <v>4</v>
      </c>
      <c r="I535" t="n">
        <v>20</v>
      </c>
      <c r="J535" t="n">
        <v>3</v>
      </c>
      <c r="K535" t="n">
        <v>0</v>
      </c>
      <c r="L535" t="n">
        <v>19885</v>
      </c>
      <c r="M535" t="n">
        <v>26000</v>
      </c>
      <c r="N535" t="n">
        <v>33</v>
      </c>
      <c r="O535" t="n">
        <v>0.33</v>
      </c>
      <c r="P535" t="n">
        <v>1</v>
      </c>
      <c r="Q535" t="n">
        <v>0.14</v>
      </c>
      <c r="R535" t="n">
        <v>2</v>
      </c>
      <c r="S535" t="n">
        <v>3517.8</v>
      </c>
      <c r="T535" t="n">
        <v>13</v>
      </c>
      <c r="U535" t="n">
        <v>14</v>
      </c>
      <c r="V535" t="n">
        <v>30</v>
      </c>
      <c r="W535" t="n">
        <v>5</v>
      </c>
      <c r="X535" t="n">
        <v>51.73688100517369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4067</v>
      </c>
      <c r="AG535" t="n">
        <v>1</v>
      </c>
      <c r="AH535" t="inlineStr">
        <is>
          <t>PT. BERSAMA DISTRIVERSA INDONESIA (DC CIPUTAT)</t>
        </is>
      </c>
      <c r="AI535" t="n">
        <v>517</v>
      </c>
      <c r="AJ535" t="inlineStr">
        <is>
          <t>CAMILLE</t>
        </is>
      </c>
      <c r="AK535" t="n">
        <v>9</v>
      </c>
      <c r="AL535" t="inlineStr">
        <is>
          <t>Miss Glam Jambi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CAMILLE</t>
        </is>
      </c>
      <c r="B536" s="2">
        <f>"10500522748"</f>
        <v/>
      </c>
      <c r="C536" t="inlineStr">
        <is>
          <t>CAMILLE By Nadshavv Wash Off Mask Coffee For Acne Scars With Vit E + Coffee Extract 65gr</t>
        </is>
      </c>
      <c r="D536" t="inlineStr">
        <is>
          <t>Miss Glam Jambi</t>
        </is>
      </c>
      <c r="E536" t="n">
        <v>7</v>
      </c>
      <c r="F536" t="n">
        <v>0.06270000000000001</v>
      </c>
      <c r="G536" t="n">
        <v>0.66</v>
      </c>
      <c r="H536" t="n">
        <v>4</v>
      </c>
      <c r="I536" t="n">
        <v>20</v>
      </c>
      <c r="J536" t="n">
        <v>3</v>
      </c>
      <c r="K536" t="n">
        <v>0</v>
      </c>
      <c r="L536" t="n">
        <v>32980</v>
      </c>
      <c r="M536" t="n">
        <v>45000</v>
      </c>
      <c r="N536" t="n">
        <v>33</v>
      </c>
      <c r="O536" t="n">
        <v>0.33</v>
      </c>
      <c r="P536" t="n">
        <v>1</v>
      </c>
      <c r="Q536" t="n">
        <v>0.05</v>
      </c>
      <c r="R536" t="n">
        <v>1</v>
      </c>
      <c r="S536" t="n">
        <v>2821.5</v>
      </c>
      <c r="T536" t="n">
        <v>13</v>
      </c>
      <c r="U536" t="n">
        <v>14</v>
      </c>
      <c r="V536" t="n">
        <v>30</v>
      </c>
      <c r="W536" t="n">
        <v>2</v>
      </c>
      <c r="X536" t="n">
        <v>111.6427432216906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4067</v>
      </c>
      <c r="AG536" t="n">
        <v>1</v>
      </c>
      <c r="AH536" t="inlineStr">
        <is>
          <t>PT. BERSAMA DISTRIVERSA INDONESIA (DC CIPUTAT)</t>
        </is>
      </c>
      <c r="AI536" t="n">
        <v>517</v>
      </c>
      <c r="AJ536" t="inlineStr">
        <is>
          <t>CAMILLE</t>
        </is>
      </c>
      <c r="AK536" t="n">
        <v>9</v>
      </c>
      <c r="AL536" t="inlineStr">
        <is>
          <t>Miss Glam Jambi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CAMILLE</t>
        </is>
      </c>
      <c r="B537" s="2">
        <f>"10500522740"</f>
        <v/>
      </c>
      <c r="C537" t="inlineStr">
        <is>
          <t>CAMILLE By Nadshavv Wash Off Mask Green Tea For Oily Skin With Niacinamide + Greentea Extract 25gr</t>
        </is>
      </c>
      <c r="D537" t="inlineStr">
        <is>
          <t>Miss Glam Jambi</t>
        </is>
      </c>
      <c r="E537" t="n">
        <v>11</v>
      </c>
      <c r="F537" t="n">
        <v>0.1848</v>
      </c>
      <c r="G537" t="n">
        <v>0.99</v>
      </c>
      <c r="H537" t="n">
        <v>4</v>
      </c>
      <c r="I537" t="n">
        <v>20</v>
      </c>
      <c r="J537" t="n">
        <v>3</v>
      </c>
      <c r="K537" t="n">
        <v>0</v>
      </c>
      <c r="L537" t="n">
        <v>20696</v>
      </c>
      <c r="M537" t="n">
        <v>26000</v>
      </c>
      <c r="N537" t="n">
        <v>33</v>
      </c>
      <c r="O537" t="n">
        <v>0.33</v>
      </c>
      <c r="P537" t="n">
        <v>1</v>
      </c>
      <c r="Q537" t="n">
        <v>0.24</v>
      </c>
      <c r="R537" t="n">
        <v>2</v>
      </c>
      <c r="S537" t="n">
        <v>4804.8</v>
      </c>
      <c r="T537" t="n">
        <v>20</v>
      </c>
      <c r="U537" t="n">
        <v>21</v>
      </c>
      <c r="V537" t="n">
        <v>30</v>
      </c>
      <c r="W537" t="n">
        <v>6</v>
      </c>
      <c r="X537" t="n">
        <v>59.52380952380952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4067</v>
      </c>
      <c r="AG537" t="n">
        <v>1</v>
      </c>
      <c r="AH537" t="inlineStr">
        <is>
          <t>PT. BERSAMA DISTRIVERSA INDONESIA (DC CIPUTAT)</t>
        </is>
      </c>
      <c r="AI537" t="n">
        <v>517</v>
      </c>
      <c r="AJ537" t="inlineStr">
        <is>
          <t>CAMILLE</t>
        </is>
      </c>
      <c r="AK537" t="n">
        <v>9</v>
      </c>
      <c r="AL537" t="inlineStr">
        <is>
          <t>Miss Glam Jambi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CAMILLE</t>
        </is>
      </c>
      <c r="B538" s="2">
        <f>"10500540826"</f>
        <v/>
      </c>
      <c r="C538" t="inlineStr">
        <is>
          <t>CAMILLE By Nadshavv Wash Off Mask Green Tea For Oily Skin With Niacinamide + Greentea Extract 65gr</t>
        </is>
      </c>
      <c r="D538" t="inlineStr">
        <is>
          <t>Miss Glam Jambi</t>
        </is>
      </c>
      <c r="E538" t="n">
        <v>13</v>
      </c>
      <c r="F538" t="n">
        <v>0.0495</v>
      </c>
      <c r="G538" t="n">
        <v>0.33</v>
      </c>
      <c r="H538" t="n">
        <v>4</v>
      </c>
      <c r="I538" t="n">
        <v>20</v>
      </c>
      <c r="J538" t="n">
        <v>3</v>
      </c>
      <c r="K538" t="n">
        <v>0</v>
      </c>
      <c r="L538" t="n">
        <v>32980</v>
      </c>
      <c r="M538" t="n">
        <v>43000</v>
      </c>
      <c r="N538" t="n">
        <v>33</v>
      </c>
      <c r="O538" t="n">
        <v>0.33</v>
      </c>
      <c r="P538" t="n">
        <v>1</v>
      </c>
      <c r="Q538" t="n">
        <v>0.03</v>
      </c>
      <c r="R538" t="n">
        <v>1</v>
      </c>
      <c r="S538" t="n">
        <v>2128.5</v>
      </c>
      <c r="T538" t="n">
        <v>7</v>
      </c>
      <c r="U538" t="n">
        <v>8</v>
      </c>
      <c r="V538" t="n">
        <v>30</v>
      </c>
      <c r="W538" t="n">
        <v>2</v>
      </c>
      <c r="X538" t="n">
        <v>262.6262626262626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4067</v>
      </c>
      <c r="AG538" t="n">
        <v>1</v>
      </c>
      <c r="AH538" t="inlineStr">
        <is>
          <t>PT. BERSAMA DISTRIVERSA INDONESIA (DC CIPUTAT)</t>
        </is>
      </c>
      <c r="AI538" t="n">
        <v>517</v>
      </c>
      <c r="AJ538" t="inlineStr">
        <is>
          <t>CAMILLE</t>
        </is>
      </c>
      <c r="AK538" t="n">
        <v>9</v>
      </c>
      <c r="AL538" t="inlineStr">
        <is>
          <t>Miss Glam Jambi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CAMILLE</t>
        </is>
      </c>
      <c r="B539" s="2">
        <f>"10500522754"</f>
        <v/>
      </c>
      <c r="C539" t="inlineStr">
        <is>
          <t>CAMILLE By Nadshavv Wash Off Mask Lemon For Acne Prone With Vit C + Licorise Extract 25gr</t>
        </is>
      </c>
      <c r="D539" t="inlineStr">
        <is>
          <t>Miss Glam Jambi</t>
        </is>
      </c>
      <c r="E539" t="n">
        <v>3</v>
      </c>
      <c r="F539" t="n">
        <v>0.09569999999999999</v>
      </c>
      <c r="G539" t="n">
        <v>0.66</v>
      </c>
      <c r="H539" t="n">
        <v>4</v>
      </c>
      <c r="I539" t="n">
        <v>20</v>
      </c>
      <c r="J539" t="n">
        <v>3</v>
      </c>
      <c r="K539" t="n">
        <v>0</v>
      </c>
      <c r="L539" t="n">
        <v>20936</v>
      </c>
      <c r="M539" t="n">
        <v>26000</v>
      </c>
      <c r="N539" t="n">
        <v>33</v>
      </c>
      <c r="O539" t="n">
        <v>0.33</v>
      </c>
      <c r="P539" t="n">
        <v>1</v>
      </c>
      <c r="Q539" t="n">
        <v>0.07000000000000001</v>
      </c>
      <c r="R539" t="n">
        <v>1</v>
      </c>
      <c r="S539" t="n">
        <v>2488.2</v>
      </c>
      <c r="T539" t="n">
        <v>13</v>
      </c>
      <c r="U539" t="n">
        <v>14</v>
      </c>
      <c r="V539" t="n">
        <v>30</v>
      </c>
      <c r="W539" t="n">
        <v>3</v>
      </c>
      <c r="X539" t="n">
        <v>31.34796238244514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4067</v>
      </c>
      <c r="AG539" t="n">
        <v>1</v>
      </c>
      <c r="AH539" t="inlineStr">
        <is>
          <t>PT. BERSAMA DISTRIVERSA INDONESIA (DC CIPUTAT)</t>
        </is>
      </c>
      <c r="AI539" t="n">
        <v>517</v>
      </c>
      <c r="AJ539" t="inlineStr">
        <is>
          <t>CAMILLE</t>
        </is>
      </c>
      <c r="AK539" t="n">
        <v>9</v>
      </c>
      <c r="AL539" t="inlineStr">
        <is>
          <t>Miss Glam Jambi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CAMILLE</t>
        </is>
      </c>
      <c r="B540" s="2">
        <f>"10500522760"</f>
        <v/>
      </c>
      <c r="C540" t="inlineStr">
        <is>
          <t>CAMILLE By Nadshavv Wash Off Mask Lemon For Acne Prone With Vit C + Licorise Extract 65gr</t>
        </is>
      </c>
      <c r="D540" t="inlineStr">
        <is>
          <t>Miss Glam Jambi</t>
        </is>
      </c>
      <c r="E540" t="n">
        <v>3</v>
      </c>
      <c r="F540" t="n">
        <v>0.033</v>
      </c>
      <c r="G540" t="n">
        <v>0.33</v>
      </c>
      <c r="H540" t="n">
        <v>4</v>
      </c>
      <c r="I540" t="n">
        <v>20</v>
      </c>
      <c r="J540" t="n">
        <v>3</v>
      </c>
      <c r="K540" t="n">
        <v>6</v>
      </c>
      <c r="L540" t="n">
        <v>34000</v>
      </c>
      <c r="M540" t="n">
        <v>43000</v>
      </c>
      <c r="N540" t="n">
        <v>33</v>
      </c>
      <c r="O540" t="n">
        <v>0.33</v>
      </c>
      <c r="P540" t="n">
        <v>1</v>
      </c>
      <c r="Q540" t="n">
        <v>0.1</v>
      </c>
      <c r="R540" t="n">
        <v>2</v>
      </c>
      <c r="S540" t="n">
        <v>1419</v>
      </c>
      <c r="T540" t="n">
        <v>7</v>
      </c>
      <c r="U540" t="n">
        <v>8</v>
      </c>
      <c r="V540" t="n">
        <v>30</v>
      </c>
      <c r="W540" t="n">
        <v>1</v>
      </c>
      <c r="X540" t="n">
        <v>90.90909090909091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4067</v>
      </c>
      <c r="AG540" t="n">
        <v>1</v>
      </c>
      <c r="AH540" t="inlineStr">
        <is>
          <t>PT. BERSAMA DISTRIVERSA INDONESIA (DC CIPUTAT)</t>
        </is>
      </c>
      <c r="AI540" t="n">
        <v>517</v>
      </c>
      <c r="AJ540" t="inlineStr">
        <is>
          <t>CAMILLE</t>
        </is>
      </c>
      <c r="AK540" t="n">
        <v>9</v>
      </c>
      <c r="AL540" t="inlineStr">
        <is>
          <t>Miss Glam Jambi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CAMILLE</t>
        </is>
      </c>
      <c r="B541" s="2">
        <f>"10500540733"</f>
        <v/>
      </c>
      <c r="C541" t="inlineStr">
        <is>
          <t>CAMILLE By Nadshavv Wash Off Mask Milk For Acne Prone With Glutathione + Milk Extract 25g</t>
        </is>
      </c>
      <c r="D541" t="inlineStr">
        <is>
          <t>Miss Glam Jambi</t>
        </is>
      </c>
      <c r="E541" t="n">
        <v>28</v>
      </c>
      <c r="F541" t="n">
        <v>0.2244</v>
      </c>
      <c r="G541" t="n">
        <v>0.99</v>
      </c>
      <c r="H541" t="n">
        <v>4</v>
      </c>
      <c r="I541" t="n">
        <v>20</v>
      </c>
      <c r="J541" t="n">
        <v>3</v>
      </c>
      <c r="K541" t="n">
        <v>0</v>
      </c>
      <c r="L541" t="n">
        <v>20500</v>
      </c>
      <c r="M541" t="n">
        <v>26000</v>
      </c>
      <c r="N541" t="n">
        <v>33</v>
      </c>
      <c r="O541" t="n">
        <v>0.33</v>
      </c>
      <c r="P541" t="n">
        <v>1</v>
      </c>
      <c r="Q541" t="n">
        <v>0.46</v>
      </c>
      <c r="R541" t="n">
        <v>3</v>
      </c>
      <c r="S541" t="n">
        <v>5834.400000000001</v>
      </c>
      <c r="T541" t="n">
        <v>19</v>
      </c>
      <c r="U541" t="n">
        <v>20</v>
      </c>
      <c r="V541" t="n">
        <v>30</v>
      </c>
      <c r="W541" t="n">
        <v>7</v>
      </c>
      <c r="X541" t="n">
        <v>124.777183600713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4067</v>
      </c>
      <c r="AG541" t="n">
        <v>1</v>
      </c>
      <c r="AH541" t="inlineStr">
        <is>
          <t>PT. BERSAMA DISTRIVERSA INDONESIA (DC CIPUTAT)</t>
        </is>
      </c>
      <c r="AI541" t="n">
        <v>517</v>
      </c>
      <c r="AJ541" t="inlineStr">
        <is>
          <t>CAMILLE</t>
        </is>
      </c>
      <c r="AK541" t="n">
        <v>9</v>
      </c>
      <c r="AL541" t="inlineStr">
        <is>
          <t>Miss Glam Jambi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CAMILLE</t>
        </is>
      </c>
      <c r="B542" s="2">
        <f>"10500582728"</f>
        <v/>
      </c>
      <c r="C542" t="inlineStr">
        <is>
          <t>CAMILLE By Nadshavv Wash Off Mask Milk For Acne Prone With Glutathione + Milk Extract 65gr</t>
        </is>
      </c>
      <c r="D542" t="inlineStr">
        <is>
          <t>Miss Glam Jambi</t>
        </is>
      </c>
      <c r="E542" t="n">
        <v>13</v>
      </c>
      <c r="F542" t="n">
        <v>0.1056</v>
      </c>
      <c r="G542" t="n">
        <v>0.66</v>
      </c>
      <c r="H542" t="n">
        <v>4</v>
      </c>
      <c r="I542" t="n">
        <v>20</v>
      </c>
      <c r="J542" t="n">
        <v>3</v>
      </c>
      <c r="K542" t="n">
        <v>0</v>
      </c>
      <c r="L542" t="n">
        <v>35801</v>
      </c>
      <c r="M542" t="n">
        <v>44000</v>
      </c>
      <c r="N542" t="n">
        <v>33</v>
      </c>
      <c r="O542" t="n">
        <v>0.33</v>
      </c>
      <c r="P542" t="n">
        <v>1</v>
      </c>
      <c r="Q542" t="n">
        <v>0.15</v>
      </c>
      <c r="R542" t="n">
        <v>2</v>
      </c>
      <c r="S542" t="n">
        <v>4646.400000000001</v>
      </c>
      <c r="T542" t="n">
        <v>13</v>
      </c>
      <c r="U542" t="n">
        <v>14</v>
      </c>
      <c r="V542" t="n">
        <v>30</v>
      </c>
      <c r="W542" t="n">
        <v>4</v>
      </c>
      <c r="X542" t="n">
        <v>123.1060606060606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4067</v>
      </c>
      <c r="AG542" t="n">
        <v>1</v>
      </c>
      <c r="AH542" t="inlineStr">
        <is>
          <t>PT. BERSAMA DISTRIVERSA INDONESIA (DC CIPUTAT)</t>
        </is>
      </c>
      <c r="AI542" t="n">
        <v>517</v>
      </c>
      <c r="AJ542" t="inlineStr">
        <is>
          <t>CAMILLE</t>
        </is>
      </c>
      <c r="AK542" t="n">
        <v>9</v>
      </c>
      <c r="AL542" t="inlineStr">
        <is>
          <t>Miss Glam Jambi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CAMILLE</t>
        </is>
      </c>
      <c r="B543" s="2">
        <f>"10500522729"</f>
        <v/>
      </c>
      <c r="C543" t="inlineStr">
        <is>
          <t>CAMILLE By Nadshavv Wash Off Mask Strawberry For Oily Skin With Niacinamide + Hyaluronic Acid 25gr</t>
        </is>
      </c>
      <c r="D543" t="inlineStr">
        <is>
          <t>Miss Glam Jambi</t>
        </is>
      </c>
      <c r="E543" t="n">
        <v>2</v>
      </c>
      <c r="F543" t="n">
        <v>0.2277</v>
      </c>
      <c r="G543" t="n">
        <v>0.99</v>
      </c>
      <c r="H543" t="n">
        <v>4</v>
      </c>
      <c r="I543" t="n">
        <v>20</v>
      </c>
      <c r="J543" t="n">
        <v>3</v>
      </c>
      <c r="K543" t="n">
        <v>19</v>
      </c>
      <c r="L543" t="n">
        <v>19885</v>
      </c>
      <c r="M543" t="n">
        <v>26000</v>
      </c>
      <c r="N543" t="n">
        <v>33</v>
      </c>
      <c r="O543" t="n">
        <v>0.33</v>
      </c>
      <c r="P543" t="n">
        <v>1</v>
      </c>
      <c r="Q543" t="n">
        <v>0.31</v>
      </c>
      <c r="R543" t="n">
        <v>1</v>
      </c>
      <c r="S543" t="n">
        <v>5920.2</v>
      </c>
      <c r="T543" t="n">
        <v>19</v>
      </c>
      <c r="U543" t="n">
        <v>20</v>
      </c>
      <c r="V543" t="n">
        <v>30</v>
      </c>
      <c r="W543" t="n">
        <v>7</v>
      </c>
      <c r="X543" t="n">
        <v>8.78348704435661</v>
      </c>
      <c r="Y543" t="n">
        <v>1</v>
      </c>
      <c r="Z543" t="n">
        <v>0</v>
      </c>
      <c r="AA543" t="n">
        <v>2</v>
      </c>
      <c r="AB543" t="n">
        <v>0</v>
      </c>
      <c r="AC543" t="n">
        <v>0</v>
      </c>
      <c r="AD543" t="n">
        <v>39770</v>
      </c>
      <c r="AE543" t="n">
        <v>0</v>
      </c>
      <c r="AF543" t="n">
        <v>4067</v>
      </c>
      <c r="AG543" t="n">
        <v>1</v>
      </c>
      <c r="AH543" t="inlineStr">
        <is>
          <t>PT. BERSAMA DISTRIVERSA INDONESIA (DC CIPUTAT)</t>
        </is>
      </c>
      <c r="AI543" t="n">
        <v>517</v>
      </c>
      <c r="AJ543" t="inlineStr">
        <is>
          <t>CAMILLE</t>
        </is>
      </c>
      <c r="AK543" t="n">
        <v>9</v>
      </c>
      <c r="AL543" t="inlineStr">
        <is>
          <t>Miss Glam Jambi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CAMILLE</t>
        </is>
      </c>
      <c r="B544" s="2">
        <f>"10500522727"</f>
        <v/>
      </c>
      <c r="C544" t="inlineStr">
        <is>
          <t>CAMILLE By Nadshavv Wash Off Mask Strawberry For Oily Skin With Niacinamide + Hyaluronic Acid 65gr</t>
        </is>
      </c>
      <c r="D544" t="inlineStr">
        <is>
          <t>Miss Glam Jambi</t>
        </is>
      </c>
      <c r="E544" t="n">
        <v>0</v>
      </c>
      <c r="F544" t="n">
        <v>0.09569999999999999</v>
      </c>
      <c r="G544" t="n">
        <v>0.66</v>
      </c>
      <c r="H544" t="n">
        <v>4</v>
      </c>
      <c r="I544" t="n">
        <v>20</v>
      </c>
      <c r="J544" t="n">
        <v>3</v>
      </c>
      <c r="K544" t="n">
        <v>27</v>
      </c>
      <c r="L544" t="n">
        <v>32980</v>
      </c>
      <c r="M544" t="n">
        <v>43000</v>
      </c>
      <c r="N544" t="n">
        <v>33</v>
      </c>
      <c r="O544" t="n">
        <v>0.33</v>
      </c>
      <c r="P544" t="n">
        <v>1</v>
      </c>
      <c r="Q544" t="n">
        <v>0.18</v>
      </c>
      <c r="R544" t="n">
        <v>2</v>
      </c>
      <c r="S544" t="n">
        <v>4115.099999999999</v>
      </c>
      <c r="T544" t="n">
        <v>13</v>
      </c>
      <c r="U544" t="n">
        <v>14</v>
      </c>
      <c r="V544" t="n">
        <v>30</v>
      </c>
      <c r="W544" t="n">
        <v>3</v>
      </c>
      <c r="X544" t="n">
        <v>0</v>
      </c>
      <c r="Y544" t="n">
        <v>1</v>
      </c>
      <c r="Z544" t="n">
        <v>0</v>
      </c>
      <c r="AA544" t="n">
        <v>1</v>
      </c>
      <c r="AB544" t="n">
        <v>0</v>
      </c>
      <c r="AC544" t="n">
        <v>0</v>
      </c>
      <c r="AD544" t="n">
        <v>32980</v>
      </c>
      <c r="AE544" t="n">
        <v>0</v>
      </c>
      <c r="AF544" t="n">
        <v>4067</v>
      </c>
      <c r="AG544" t="n">
        <v>1</v>
      </c>
      <c r="AH544" t="inlineStr">
        <is>
          <t>PT. BERSAMA DISTRIVERSA INDONESIA (DC CIPUTAT)</t>
        </is>
      </c>
      <c r="AI544" t="n">
        <v>517</v>
      </c>
      <c r="AJ544" t="inlineStr">
        <is>
          <t>CAMILLE</t>
        </is>
      </c>
      <c r="AK544" t="n">
        <v>9</v>
      </c>
      <c r="AL544" t="inlineStr">
        <is>
          <t>Miss Glam Jambi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CAMILLE</t>
        </is>
      </c>
      <c r="B545" s="2">
        <f>"10200274614"</f>
        <v/>
      </c>
      <c r="C545" t="inlineStr">
        <is>
          <t>CAMILLE Happy Day Serum 30ml</t>
        </is>
      </c>
      <c r="D545" t="inlineStr">
        <is>
          <t>Miss Glam Jambi</t>
        </is>
      </c>
      <c r="E545" t="n">
        <v>2</v>
      </c>
      <c r="F545" t="n">
        <v>0.03</v>
      </c>
      <c r="G545" t="n">
        <v>1</v>
      </c>
      <c r="H545" t="n">
        <v>4</v>
      </c>
      <c r="I545" t="n">
        <v>20</v>
      </c>
      <c r="J545" t="n">
        <v>3</v>
      </c>
      <c r="K545" t="n">
        <v>0</v>
      </c>
      <c r="L545" t="n">
        <v>83303</v>
      </c>
      <c r="M545" t="n">
        <v>107500</v>
      </c>
      <c r="N545" t="n">
        <v>33</v>
      </c>
      <c r="O545" t="n">
        <v>0.33</v>
      </c>
      <c r="P545" t="n">
        <v>0</v>
      </c>
      <c r="Q545" t="n">
        <v>0.03</v>
      </c>
      <c r="R545" t="n">
        <v>1</v>
      </c>
      <c r="S545" t="n">
        <v>3225</v>
      </c>
      <c r="T545" t="n">
        <v>20</v>
      </c>
      <c r="U545" t="n">
        <v>21</v>
      </c>
      <c r="V545" t="n">
        <v>30</v>
      </c>
      <c r="W545" t="n">
        <v>1</v>
      </c>
      <c r="X545" t="n">
        <v>66.66666666666667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4067</v>
      </c>
      <c r="AG545" t="n">
        <v>1</v>
      </c>
      <c r="AH545" t="inlineStr">
        <is>
          <t>PT. BERSAMA DISTRIVERSA INDONESIA (DC CIPUTAT)</t>
        </is>
      </c>
      <c r="AI545" t="n">
        <v>517</v>
      </c>
      <c r="AJ545" t="inlineStr">
        <is>
          <t>CAMILLE</t>
        </is>
      </c>
      <c r="AK545" t="n">
        <v>9</v>
      </c>
      <c r="AL545" t="inlineStr">
        <is>
          <t>Miss Glam Jambi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CAMILLE</t>
        </is>
      </c>
      <c r="B546" s="2">
        <f>"10300308710"</f>
        <v/>
      </c>
      <c r="C546" t="inlineStr">
        <is>
          <t>CAMILLE Little Pop Face Mist 100ml</t>
        </is>
      </c>
      <c r="D546" t="inlineStr">
        <is>
          <t>Miss Glam Jambi</t>
        </is>
      </c>
      <c r="E546" t="n">
        <v>18</v>
      </c>
      <c r="F546" t="n">
        <v>0.1749</v>
      </c>
      <c r="G546" t="n">
        <v>1.98</v>
      </c>
      <c r="H546" t="n">
        <v>4</v>
      </c>
      <c r="I546" t="n">
        <v>20</v>
      </c>
      <c r="J546" t="n">
        <v>3</v>
      </c>
      <c r="K546" t="n">
        <v>0</v>
      </c>
      <c r="L546" t="n">
        <v>34911</v>
      </c>
      <c r="M546" t="n">
        <v>43000</v>
      </c>
      <c r="N546" t="n">
        <v>33</v>
      </c>
      <c r="O546" t="n">
        <v>0.33</v>
      </c>
      <c r="P546" t="n">
        <v>1</v>
      </c>
      <c r="Q546" t="n">
        <v>0.36</v>
      </c>
      <c r="R546" t="n">
        <v>2</v>
      </c>
      <c r="S546" t="n">
        <v>7520.700000000002</v>
      </c>
      <c r="T546" t="n">
        <v>39</v>
      </c>
      <c r="U546" t="n">
        <v>40</v>
      </c>
      <c r="V546" t="n">
        <v>30</v>
      </c>
      <c r="W546" t="n">
        <v>6</v>
      </c>
      <c r="X546" t="n">
        <v>102.9159519725557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4067</v>
      </c>
      <c r="AG546" t="n">
        <v>1</v>
      </c>
      <c r="AH546" t="inlineStr">
        <is>
          <t>PT. BERSAMA DISTRIVERSA INDONESIA (DC CIPUTAT)</t>
        </is>
      </c>
      <c r="AI546" t="n">
        <v>517</v>
      </c>
      <c r="AJ546" t="inlineStr">
        <is>
          <t>CAMILLE</t>
        </is>
      </c>
      <c r="AK546" t="n">
        <v>9</v>
      </c>
      <c r="AL546" t="inlineStr">
        <is>
          <t>Miss Glam Jambi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CAMILLE</t>
        </is>
      </c>
      <c r="B547" s="2">
        <f>"10200144325"</f>
        <v/>
      </c>
      <c r="C547" t="inlineStr">
        <is>
          <t>CAMILLE Me With You Essence Toner 100ml</t>
        </is>
      </c>
      <c r="D547" t="inlineStr">
        <is>
          <t>Miss Glam Jambi</t>
        </is>
      </c>
      <c r="E547" t="n">
        <v>6</v>
      </c>
      <c r="F547" t="n">
        <v>0.006600000000000001</v>
      </c>
      <c r="G547" t="n">
        <v>0</v>
      </c>
      <c r="H547" t="n">
        <v>4</v>
      </c>
      <c r="I547" t="n">
        <v>20</v>
      </c>
      <c r="J547" t="n">
        <v>3</v>
      </c>
      <c r="K547" t="n">
        <v>0</v>
      </c>
      <c r="L547" t="n">
        <v>71628</v>
      </c>
      <c r="M547" t="n">
        <v>95000</v>
      </c>
      <c r="N547" t="n">
        <v>33</v>
      </c>
      <c r="O547" t="n">
        <v>0.33</v>
      </c>
      <c r="P547" t="n">
        <v>1</v>
      </c>
      <c r="Q547" t="n">
        <v>0.05</v>
      </c>
      <c r="R547" t="n">
        <v>1</v>
      </c>
      <c r="S547" t="n">
        <v>627.0000000000001</v>
      </c>
      <c r="T547" t="n">
        <v>0</v>
      </c>
      <c r="U547" t="n">
        <v>1</v>
      </c>
      <c r="V547" t="n">
        <v>30</v>
      </c>
      <c r="W547" t="n">
        <v>1</v>
      </c>
      <c r="X547" t="n">
        <v>909.090909090909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4067</v>
      </c>
      <c r="AG547" t="n">
        <v>1</v>
      </c>
      <c r="AH547" t="inlineStr">
        <is>
          <t>PT. BERSAMA DISTRIVERSA INDONESIA (DC CIPUTAT)</t>
        </is>
      </c>
      <c r="AI547" t="n">
        <v>517</v>
      </c>
      <c r="AJ547" t="inlineStr">
        <is>
          <t>CAMILLE</t>
        </is>
      </c>
      <c r="AK547" t="n">
        <v>9</v>
      </c>
      <c r="AL547" t="inlineStr">
        <is>
          <t>Miss Glam Jambi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CAMILLE</t>
        </is>
      </c>
      <c r="B548" s="2">
        <f>"10300213727"</f>
        <v/>
      </c>
      <c r="C548" t="inlineStr">
        <is>
          <t>CAMILLE Moon Night Cream 25gr</t>
        </is>
      </c>
      <c r="D548" t="inlineStr">
        <is>
          <t>Miss Glam Jambi</t>
        </is>
      </c>
      <c r="E548" t="n">
        <v>1</v>
      </c>
      <c r="F548" t="n">
        <v>0.006600000000000001</v>
      </c>
      <c r="G548" t="n">
        <v>0</v>
      </c>
      <c r="H548" t="n">
        <v>4</v>
      </c>
      <c r="I548" t="n">
        <v>20</v>
      </c>
      <c r="J548" t="n">
        <v>3</v>
      </c>
      <c r="K548" t="n">
        <v>9</v>
      </c>
      <c r="L548" t="n">
        <v>79732</v>
      </c>
      <c r="M548" t="n">
        <v>95000</v>
      </c>
      <c r="N548" t="n">
        <v>33</v>
      </c>
      <c r="O548" t="n">
        <v>0.33</v>
      </c>
      <c r="P548" t="n">
        <v>1</v>
      </c>
      <c r="Q548" t="n">
        <v>0.05</v>
      </c>
      <c r="R548" t="n">
        <v>1</v>
      </c>
      <c r="S548" t="n">
        <v>627.0000000000001</v>
      </c>
      <c r="T548" t="n">
        <v>0</v>
      </c>
      <c r="U548" t="n">
        <v>1</v>
      </c>
      <c r="V548" t="n">
        <v>30</v>
      </c>
      <c r="W548" t="n">
        <v>1</v>
      </c>
      <c r="X548" t="n">
        <v>151.5151515151515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4067</v>
      </c>
      <c r="AG548" t="n">
        <v>1</v>
      </c>
      <c r="AH548" t="inlineStr">
        <is>
          <t>PT. BERSAMA DISTRIVERSA INDONESIA (DC CIPUTAT)</t>
        </is>
      </c>
      <c r="AI548" t="n">
        <v>517</v>
      </c>
      <c r="AJ548" t="inlineStr">
        <is>
          <t>CAMILLE</t>
        </is>
      </c>
      <c r="AK548" t="n">
        <v>9</v>
      </c>
      <c r="AL548" t="inlineStr">
        <is>
          <t>Miss Glam Jambi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CAMILLE</t>
        </is>
      </c>
      <c r="B549" s="2">
        <f>"10300604109"</f>
        <v/>
      </c>
      <c r="C549" t="inlineStr">
        <is>
          <t>CAMILLE Say Glowry! Moisturizer 25gr</t>
        </is>
      </c>
      <c r="D549" t="inlineStr">
        <is>
          <t>Miss Glam Jambi</t>
        </is>
      </c>
      <c r="E549" t="n">
        <v>3</v>
      </c>
      <c r="F549" t="n">
        <v>0.05</v>
      </c>
      <c r="G549" t="n">
        <v>1</v>
      </c>
      <c r="H549" t="n">
        <v>4</v>
      </c>
      <c r="I549" t="n">
        <v>20</v>
      </c>
      <c r="J549" t="n">
        <v>3</v>
      </c>
      <c r="K549" t="n">
        <v>0</v>
      </c>
      <c r="L549" t="n">
        <v>78300</v>
      </c>
      <c r="M549" t="n">
        <v>95000</v>
      </c>
      <c r="N549" t="n">
        <v>33</v>
      </c>
      <c r="O549" t="n">
        <v>0.33</v>
      </c>
      <c r="P549" t="n">
        <v>0</v>
      </c>
      <c r="Q549" t="n">
        <v>0.05</v>
      </c>
      <c r="R549" t="n">
        <v>1</v>
      </c>
      <c r="S549" t="n">
        <v>4750</v>
      </c>
      <c r="T549" t="n">
        <v>20</v>
      </c>
      <c r="U549" t="n">
        <v>21</v>
      </c>
      <c r="V549" t="n">
        <v>30</v>
      </c>
      <c r="W549" t="n">
        <v>2</v>
      </c>
      <c r="X549" t="n">
        <v>60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4067</v>
      </c>
      <c r="AG549" t="n">
        <v>1</v>
      </c>
      <c r="AH549" t="inlineStr">
        <is>
          <t>PT. BERSAMA DISTRIVERSA INDONESIA (DC CIPUTAT)</t>
        </is>
      </c>
      <c r="AI549" t="n">
        <v>517</v>
      </c>
      <c r="AJ549" t="inlineStr">
        <is>
          <t>CAMILLE</t>
        </is>
      </c>
      <c r="AK549" t="n">
        <v>9</v>
      </c>
      <c r="AL549" t="inlineStr">
        <is>
          <t>Miss Glam Jambi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CAMILLE</t>
        </is>
      </c>
      <c r="B550" s="2">
        <f>"30100220745"</f>
        <v/>
      </c>
      <c r="C550" t="inlineStr">
        <is>
          <t>CAMILLE Strawberry Yoghurt Body Scrub 250gr</t>
        </is>
      </c>
      <c r="D550" t="inlineStr">
        <is>
          <t>Miss Glam Jambi</t>
        </is>
      </c>
      <c r="E550" t="n">
        <v>4</v>
      </c>
      <c r="F550" t="n">
        <v>0.0264</v>
      </c>
      <c r="G550" t="n">
        <v>0.66</v>
      </c>
      <c r="H550" t="n">
        <v>4</v>
      </c>
      <c r="I550" t="n">
        <v>20</v>
      </c>
      <c r="J550" t="n">
        <v>3</v>
      </c>
      <c r="K550" t="n">
        <v>0</v>
      </c>
      <c r="L550" t="n">
        <v>63387</v>
      </c>
      <c r="M550" t="n">
        <v>85000</v>
      </c>
      <c r="N550" t="n">
        <v>33</v>
      </c>
      <c r="O550" t="n">
        <v>0.33</v>
      </c>
      <c r="P550" t="n">
        <v>1</v>
      </c>
      <c r="Q550" t="n">
        <v>0.07000000000000001</v>
      </c>
      <c r="R550" t="n">
        <v>2</v>
      </c>
      <c r="S550" t="n">
        <v>2244</v>
      </c>
      <c r="T550" t="n">
        <v>14</v>
      </c>
      <c r="U550" t="n">
        <v>15</v>
      </c>
      <c r="V550" t="n">
        <v>30</v>
      </c>
      <c r="W550" t="n">
        <v>1</v>
      </c>
      <c r="X550" t="n">
        <v>151.5151515151515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4067</v>
      </c>
      <c r="AG550" t="n">
        <v>1</v>
      </c>
      <c r="AH550" t="inlineStr">
        <is>
          <t>PT. BERSAMA DISTRIVERSA INDONESIA (DC CIPUTAT)</t>
        </is>
      </c>
      <c r="AI550" t="n">
        <v>517</v>
      </c>
      <c r="AJ550" t="inlineStr">
        <is>
          <t>CAMILLE</t>
        </is>
      </c>
      <c r="AK550" t="n">
        <v>9</v>
      </c>
      <c r="AL550" t="inlineStr">
        <is>
          <t>Miss Glam Jambi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CAMILLE</t>
        </is>
      </c>
      <c r="B551" s="2">
        <f>"10300131935"</f>
        <v/>
      </c>
      <c r="C551" t="inlineStr">
        <is>
          <t>CAMILLE Sunny Day Cream 25gr</t>
        </is>
      </c>
      <c r="D551" t="inlineStr">
        <is>
          <t>Miss Glam Jambi</t>
        </is>
      </c>
      <c r="E551" t="n">
        <v>2</v>
      </c>
      <c r="F551" t="n">
        <v>0.17</v>
      </c>
      <c r="G551" t="n">
        <v>2</v>
      </c>
      <c r="H551" t="n">
        <v>4</v>
      </c>
      <c r="I551" t="n">
        <v>20</v>
      </c>
      <c r="J551" t="n">
        <v>3</v>
      </c>
      <c r="K551" t="n">
        <v>12</v>
      </c>
      <c r="L551" t="n">
        <v>70810</v>
      </c>
      <c r="M551" t="n">
        <v>95000</v>
      </c>
      <c r="N551" t="n">
        <v>33</v>
      </c>
      <c r="O551" t="n">
        <v>0.33</v>
      </c>
      <c r="P551" t="n">
        <v>0</v>
      </c>
      <c r="Q551" t="n">
        <v>0.17</v>
      </c>
      <c r="R551" t="n">
        <v>2</v>
      </c>
      <c r="S551" t="n">
        <v>16150</v>
      </c>
      <c r="T551" t="n">
        <v>40</v>
      </c>
      <c r="U551" t="n">
        <v>41</v>
      </c>
      <c r="V551" t="n">
        <v>30</v>
      </c>
      <c r="W551" t="n">
        <v>6</v>
      </c>
      <c r="X551" t="n">
        <v>11.76470588235294</v>
      </c>
      <c r="Y551" t="n">
        <v>1</v>
      </c>
      <c r="Z551" t="n">
        <v>0</v>
      </c>
      <c r="AA551" t="n">
        <v>1</v>
      </c>
      <c r="AB551" t="n">
        <v>0</v>
      </c>
      <c r="AC551" t="n">
        <v>0</v>
      </c>
      <c r="AD551" t="n">
        <v>70810</v>
      </c>
      <c r="AE551" t="n">
        <v>0</v>
      </c>
      <c r="AF551" t="n">
        <v>4067</v>
      </c>
      <c r="AG551" t="n">
        <v>1</v>
      </c>
      <c r="AH551" t="inlineStr">
        <is>
          <t>PT. BERSAMA DISTRIVERSA INDONESIA (DC CIPUTAT)</t>
        </is>
      </c>
      <c r="AI551" t="n">
        <v>517</v>
      </c>
      <c r="AJ551" t="inlineStr">
        <is>
          <t>CAMILLE</t>
        </is>
      </c>
      <c r="AK551" t="n">
        <v>9</v>
      </c>
      <c r="AL551" t="inlineStr">
        <is>
          <t>Miss Glam Jambi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CARASUN</t>
        </is>
      </c>
      <c r="B552" s="2">
        <f>"8994456051414"</f>
        <v/>
      </c>
      <c r="C552" t="inlineStr">
        <is>
          <t>CARASUN Comfort Shield UV Body Serum Lotion 100ml</t>
        </is>
      </c>
      <c r="D552" t="inlineStr">
        <is>
          <t>Miss Glam Jambi</t>
        </is>
      </c>
      <c r="E552" t="n">
        <v>2</v>
      </c>
      <c r="F552" t="n">
        <v>0.006600000000000001</v>
      </c>
      <c r="G552" t="n">
        <v>0.33</v>
      </c>
      <c r="H552" t="n">
        <v>7</v>
      </c>
      <c r="I552" t="n">
        <v>19</v>
      </c>
      <c r="J552" t="n">
        <v>3</v>
      </c>
      <c r="K552" t="n">
        <v>0</v>
      </c>
      <c r="L552" t="n">
        <v>119200</v>
      </c>
      <c r="M552" t="n">
        <v>149000</v>
      </c>
      <c r="N552" t="n">
        <v>33</v>
      </c>
      <c r="O552" t="n">
        <v>0.33</v>
      </c>
      <c r="P552" t="n">
        <v>1</v>
      </c>
      <c r="Q552" t="n">
        <v>0.02</v>
      </c>
      <c r="R552" t="n">
        <v>1</v>
      </c>
      <c r="S552" t="n">
        <v>983.4000000000001</v>
      </c>
      <c r="T552" t="n">
        <v>7</v>
      </c>
      <c r="U552" t="n">
        <v>8</v>
      </c>
      <c r="V552" t="n">
        <v>30</v>
      </c>
      <c r="W552" t="n">
        <v>1</v>
      </c>
      <c r="X552" t="n">
        <v>303.030303030303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11282</v>
      </c>
      <c r="AG552" t="n">
        <v>2173</v>
      </c>
      <c r="AH552" t="inlineStr">
        <is>
          <t>PT. OGAN SAKTI PRATAMA - PPN (JMB)</t>
        </is>
      </c>
      <c r="AI552" t="n">
        <v>515</v>
      </c>
      <c r="AJ552" t="inlineStr">
        <is>
          <t>CARASUN</t>
        </is>
      </c>
      <c r="AK552" t="n">
        <v>9</v>
      </c>
      <c r="AL552" t="inlineStr">
        <is>
          <t>Miss Glam Jambi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CARASUN</t>
        </is>
      </c>
      <c r="B553" s="2">
        <f>"8991621430562"</f>
        <v/>
      </c>
      <c r="C553" t="inlineStr">
        <is>
          <t>CARASUN Solar Smart UV  Protector SPF 45 70ml</t>
        </is>
      </c>
      <c r="D553" t="inlineStr">
        <is>
          <t>Miss Glam Jambi</t>
        </is>
      </c>
      <c r="E553" t="n">
        <v>6</v>
      </c>
      <c r="F553" t="n">
        <v>0.006600000000000001</v>
      </c>
      <c r="G553" t="n">
        <v>0.33</v>
      </c>
      <c r="H553" t="n">
        <v>7</v>
      </c>
      <c r="I553" t="n">
        <v>19</v>
      </c>
      <c r="J553" t="n">
        <v>3</v>
      </c>
      <c r="K553" t="n">
        <v>0</v>
      </c>
      <c r="L553" t="n">
        <v>127200</v>
      </c>
      <c r="M553" t="n">
        <v>159000</v>
      </c>
      <c r="N553" t="n">
        <v>33</v>
      </c>
      <c r="O553" t="n">
        <v>0.33</v>
      </c>
      <c r="P553" t="n">
        <v>1</v>
      </c>
      <c r="Q553" t="n">
        <v>0.02</v>
      </c>
      <c r="R553" t="n">
        <v>0</v>
      </c>
      <c r="S553" t="n">
        <v>1049.4</v>
      </c>
      <c r="T553" t="n">
        <v>7</v>
      </c>
      <c r="U553" t="n">
        <v>8</v>
      </c>
      <c r="V553" t="n">
        <v>30</v>
      </c>
      <c r="W553" t="n">
        <v>1</v>
      </c>
      <c r="X553" t="n">
        <v>909.090909090909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11282</v>
      </c>
      <c r="AG553" t="n">
        <v>2173</v>
      </c>
      <c r="AH553" t="inlineStr">
        <is>
          <t>PT. OGAN SAKTI PRATAMA - PPN (JMB)</t>
        </is>
      </c>
      <c r="AI553" t="n">
        <v>515</v>
      </c>
      <c r="AJ553" t="inlineStr">
        <is>
          <t>CARASUN</t>
        </is>
      </c>
      <c r="AK553" t="n">
        <v>9</v>
      </c>
      <c r="AL553" t="inlineStr">
        <is>
          <t>Miss Glam Jambi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CARASUN</t>
        </is>
      </c>
      <c r="B554" s="2">
        <f>"8994456051537"</f>
        <v/>
      </c>
      <c r="C554" t="inlineStr">
        <is>
          <t>CARASUN Solar Smart UV Light Sunscreen 30ml</t>
        </is>
      </c>
      <c r="D554" t="inlineStr">
        <is>
          <t>Miss Glam Jambi</t>
        </is>
      </c>
      <c r="E554" t="n">
        <v>13</v>
      </c>
      <c r="F554" t="n">
        <v>0.3465</v>
      </c>
      <c r="G554" t="n">
        <v>1.65</v>
      </c>
      <c r="H554" t="n">
        <v>7</v>
      </c>
      <c r="I554" t="n">
        <v>19</v>
      </c>
      <c r="J554" t="n">
        <v>3</v>
      </c>
      <c r="K554" t="n">
        <v>0</v>
      </c>
      <c r="L554" t="n">
        <v>27014</v>
      </c>
      <c r="M554" t="n">
        <v>39000</v>
      </c>
      <c r="N554" t="n">
        <v>33</v>
      </c>
      <c r="O554" t="n">
        <v>0.33</v>
      </c>
      <c r="P554" t="n">
        <v>1</v>
      </c>
      <c r="Q554" t="n">
        <v>0.12</v>
      </c>
      <c r="R554" t="n">
        <v>1</v>
      </c>
      <c r="S554" t="n">
        <v>13513.5</v>
      </c>
      <c r="T554" t="n">
        <v>29</v>
      </c>
      <c r="U554" t="n">
        <v>32</v>
      </c>
      <c r="V554" t="n">
        <v>30</v>
      </c>
      <c r="W554" t="n">
        <v>11</v>
      </c>
      <c r="X554" t="n">
        <v>37.51803751803752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11282</v>
      </c>
      <c r="AG554" t="n">
        <v>2173</v>
      </c>
      <c r="AH554" t="inlineStr">
        <is>
          <t>PT. OGAN SAKTI PRATAMA - PPN (JMB)</t>
        </is>
      </c>
      <c r="AI554" t="n">
        <v>515</v>
      </c>
      <c r="AJ554" t="inlineStr">
        <is>
          <t>CARASUN</t>
        </is>
      </c>
      <c r="AK554" t="n">
        <v>9</v>
      </c>
      <c r="AL554" t="inlineStr">
        <is>
          <t>Miss Glam Jambi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CARASUN</t>
        </is>
      </c>
      <c r="B555" s="2">
        <f>"8991220190522"</f>
        <v/>
      </c>
      <c r="C555" t="inlineStr">
        <is>
          <t>CARASUN Solar Smart UV Protector SPF 45 30ml</t>
        </is>
      </c>
      <c r="D555" t="inlineStr">
        <is>
          <t>Miss Glam Jambi</t>
        </is>
      </c>
      <c r="E555" t="n">
        <v>6</v>
      </c>
      <c r="F555" t="n">
        <v>0.06270000000000001</v>
      </c>
      <c r="G555" t="n">
        <v>0.66</v>
      </c>
      <c r="H555" t="n">
        <v>7</v>
      </c>
      <c r="I555" t="n">
        <v>19</v>
      </c>
      <c r="J555" t="n">
        <v>3</v>
      </c>
      <c r="K555" t="n">
        <v>0</v>
      </c>
      <c r="L555" t="n">
        <v>42539</v>
      </c>
      <c r="M555" t="n">
        <v>70900</v>
      </c>
      <c r="N555" t="n">
        <v>33</v>
      </c>
      <c r="O555" t="n">
        <v>0.33</v>
      </c>
      <c r="P555" t="n">
        <v>1</v>
      </c>
      <c r="Q555" t="n">
        <v>0.03</v>
      </c>
      <c r="R555" t="n">
        <v>1</v>
      </c>
      <c r="S555" t="n">
        <v>4445.43</v>
      </c>
      <c r="T555" t="n">
        <v>13</v>
      </c>
      <c r="U555" t="n">
        <v>14</v>
      </c>
      <c r="V555" t="n">
        <v>30</v>
      </c>
      <c r="W555" t="n">
        <v>2</v>
      </c>
      <c r="X555" t="n">
        <v>95.69377990430621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11282</v>
      </c>
      <c r="AG555" t="n">
        <v>2173</v>
      </c>
      <c r="AH555" t="inlineStr">
        <is>
          <t>PT. OGAN SAKTI PRATAMA - PPN (JMB)</t>
        </is>
      </c>
      <c r="AI555" t="n">
        <v>515</v>
      </c>
      <c r="AJ555" t="inlineStr">
        <is>
          <t>CARASUN</t>
        </is>
      </c>
      <c r="AK555" t="n">
        <v>9</v>
      </c>
      <c r="AL555" t="inlineStr">
        <is>
          <t>Miss Glam Jambi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CARASUN</t>
        </is>
      </c>
      <c r="B556" s="2">
        <f>"8809301760628"</f>
        <v/>
      </c>
      <c r="C556" t="inlineStr">
        <is>
          <t>CARASUN Tropical Skin Expert Healthy Matte UV Protector SPF50+ Non-Acnegenic 30ml</t>
        </is>
      </c>
      <c r="D556" t="inlineStr">
        <is>
          <t>Miss Glam Jambi</t>
        </is>
      </c>
      <c r="E556" t="n">
        <v>2</v>
      </c>
      <c r="F556" t="n">
        <v>0.0231</v>
      </c>
      <c r="G556" t="n">
        <v>0.66</v>
      </c>
      <c r="H556" t="n">
        <v>7</v>
      </c>
      <c r="I556" t="n">
        <v>19</v>
      </c>
      <c r="J556" t="n">
        <v>3</v>
      </c>
      <c r="K556" t="n">
        <v>0</v>
      </c>
      <c r="L556" t="n">
        <v>67320</v>
      </c>
      <c r="M556" t="n">
        <v>93500</v>
      </c>
      <c r="N556" t="n">
        <v>33</v>
      </c>
      <c r="O556" t="n">
        <v>0.33</v>
      </c>
      <c r="P556" t="n">
        <v>1</v>
      </c>
      <c r="Q556" t="n">
        <v>0.1</v>
      </c>
      <c r="R556" t="n">
        <v>1</v>
      </c>
      <c r="S556" t="n">
        <v>2159.85</v>
      </c>
      <c r="T556" t="n">
        <v>13</v>
      </c>
      <c r="U556" t="n">
        <v>14</v>
      </c>
      <c r="V556" t="n">
        <v>30</v>
      </c>
      <c r="W556" t="n">
        <v>1</v>
      </c>
      <c r="X556" t="n">
        <v>86.58008658008657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11282</v>
      </c>
      <c r="AG556" t="n">
        <v>2173</v>
      </c>
      <c r="AH556" t="inlineStr">
        <is>
          <t>PT. OGAN SAKTI PRATAMA - PPN (JMB)</t>
        </is>
      </c>
      <c r="AI556" t="n">
        <v>515</v>
      </c>
      <c r="AJ556" t="inlineStr">
        <is>
          <t>CARASUN</t>
        </is>
      </c>
      <c r="AK556" t="n">
        <v>9</v>
      </c>
      <c r="AL556" t="inlineStr">
        <is>
          <t>Miss Glam Jambi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CARASUN</t>
        </is>
      </c>
      <c r="B557" s="2">
        <f>"8809301760635"</f>
        <v/>
      </c>
      <c r="C557" t="inlineStr">
        <is>
          <t>CARASUN Tropical Skin Expert Healthy Matte UV Protector SPF50+ Non-Acnegenic 70ml</t>
        </is>
      </c>
      <c r="D557" t="inlineStr">
        <is>
          <t>Miss Glam Jambi</t>
        </is>
      </c>
      <c r="E557" t="n">
        <v>3</v>
      </c>
      <c r="F557" t="n">
        <v>0.006600000000000001</v>
      </c>
      <c r="G557" t="n">
        <v>0.33</v>
      </c>
      <c r="H557" t="n">
        <v>7</v>
      </c>
      <c r="I557" t="n">
        <v>19</v>
      </c>
      <c r="J557" t="n">
        <v>3</v>
      </c>
      <c r="K557" t="n">
        <v>0</v>
      </c>
      <c r="L557" t="n">
        <v>159200</v>
      </c>
      <c r="M557" t="n">
        <v>198000</v>
      </c>
      <c r="N557" t="n">
        <v>33</v>
      </c>
      <c r="O557" t="n">
        <v>0.33</v>
      </c>
      <c r="P557" t="n">
        <v>1</v>
      </c>
      <c r="Q557" t="n">
        <v>0.07000000000000001</v>
      </c>
      <c r="R557" t="n">
        <v>1</v>
      </c>
      <c r="S557" t="n">
        <v>1306.8</v>
      </c>
      <c r="T557" t="n">
        <v>7</v>
      </c>
      <c r="U557" t="n">
        <v>8</v>
      </c>
      <c r="V557" t="n">
        <v>30</v>
      </c>
      <c r="W557" t="n">
        <v>1</v>
      </c>
      <c r="X557" t="n">
        <v>454.5454545454545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11282</v>
      </c>
      <c r="AG557" t="n">
        <v>2173</v>
      </c>
      <c r="AH557" t="inlineStr">
        <is>
          <t>PT. OGAN SAKTI PRATAMA - PPN (JMB)</t>
        </is>
      </c>
      <c r="AI557" t="n">
        <v>515</v>
      </c>
      <c r="AJ557" t="inlineStr">
        <is>
          <t>CARASUN</t>
        </is>
      </c>
      <c r="AK557" t="n">
        <v>9</v>
      </c>
      <c r="AL557" t="inlineStr">
        <is>
          <t>Miss Glam Jambi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"8997234220286"</f>
        <v/>
      </c>
      <c r="C558" t="inlineStr">
        <is>
          <t>CARESO Body Fragrance Candy Crush 100ml</t>
        </is>
      </c>
      <c r="D558" t="inlineStr">
        <is>
          <t>Miss Glam Jambi</t>
        </is>
      </c>
      <c r="E558" t="n">
        <v>1</v>
      </c>
      <c r="F558" t="n">
        <v>0.009900000000000001</v>
      </c>
      <c r="G558" t="n">
        <v>0.33</v>
      </c>
      <c r="H558" t="n">
        <v>6</v>
      </c>
      <c r="I558" t="n">
        <v>12</v>
      </c>
      <c r="J558" t="n">
        <v>3</v>
      </c>
      <c r="K558" t="n">
        <v>0</v>
      </c>
      <c r="L558" t="n">
        <v>30400</v>
      </c>
      <c r="M558" t="n">
        <v>38000</v>
      </c>
      <c r="N558" t="n">
        <v>33</v>
      </c>
      <c r="O558" t="n">
        <v>0.33</v>
      </c>
      <c r="P558" t="n">
        <v>1</v>
      </c>
      <c r="Q558" t="n">
        <v>0.05</v>
      </c>
      <c r="R558" t="n">
        <v>2</v>
      </c>
      <c r="S558" t="n">
        <v>376.2</v>
      </c>
      <c r="T558" t="n">
        <v>4</v>
      </c>
      <c r="U558" t="n">
        <v>5</v>
      </c>
      <c r="V558" t="n">
        <v>30</v>
      </c>
      <c r="W558" t="n">
        <v>1</v>
      </c>
      <c r="X558" t="n">
        <v>101.010101010101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414</v>
      </c>
      <c r="AG558" t="n">
        <v>107</v>
      </c>
      <c r="AH558" t="inlineStr">
        <is>
          <t xml:space="preserve">CV. DAHLIA - PPN (PDG) </t>
        </is>
      </c>
      <c r="AI558" t="n">
        <v>423</v>
      </c>
      <c r="AJ558" t="inlineStr">
        <is>
          <t>CARESO</t>
        </is>
      </c>
      <c r="AK558" t="n">
        <v>9</v>
      </c>
      <c r="AL558" t="inlineStr">
        <is>
          <t>Miss Glam Jambi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"8997234220149"</f>
        <v/>
      </c>
      <c r="C559" t="inlineStr">
        <is>
          <t>CARESO Body Fragrance French Linen 100ml</t>
        </is>
      </c>
      <c r="D559" t="inlineStr">
        <is>
          <t>Miss Glam Jambi</t>
        </is>
      </c>
      <c r="E559" t="n">
        <v>1</v>
      </c>
      <c r="F559" t="n">
        <v>0.006600000000000001</v>
      </c>
      <c r="G559" t="n">
        <v>0.33</v>
      </c>
      <c r="H559" t="n">
        <v>6</v>
      </c>
      <c r="I559" t="n">
        <v>12</v>
      </c>
      <c r="J559" t="n">
        <v>3</v>
      </c>
      <c r="K559" t="n">
        <v>0</v>
      </c>
      <c r="L559" t="n">
        <v>30400</v>
      </c>
      <c r="M559" t="n">
        <v>38000</v>
      </c>
      <c r="N559" t="n">
        <v>33</v>
      </c>
      <c r="O559" t="n">
        <v>0.33</v>
      </c>
      <c r="P559" t="n">
        <v>1</v>
      </c>
      <c r="Q559" t="n">
        <v>0.03</v>
      </c>
      <c r="R559" t="n">
        <v>1</v>
      </c>
      <c r="S559" t="n">
        <v>250.8</v>
      </c>
      <c r="T559" t="n">
        <v>4</v>
      </c>
      <c r="U559" t="n">
        <v>5</v>
      </c>
      <c r="V559" t="n">
        <v>30</v>
      </c>
      <c r="W559" t="n">
        <v>1</v>
      </c>
      <c r="X559" t="n">
        <v>151.5151515151515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414</v>
      </c>
      <c r="AG559" t="n">
        <v>107</v>
      </c>
      <c r="AH559" t="inlineStr">
        <is>
          <t xml:space="preserve">CV. DAHLIA - PPN (PDG) </t>
        </is>
      </c>
      <c r="AI559" t="n">
        <v>423</v>
      </c>
      <c r="AJ559" t="inlineStr">
        <is>
          <t>CARESO</t>
        </is>
      </c>
      <c r="AK559" t="n">
        <v>9</v>
      </c>
      <c r="AL559" t="inlineStr">
        <is>
          <t>Miss Glam Jambi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"8997234220026"</f>
        <v/>
      </c>
      <c r="C560" t="inlineStr">
        <is>
          <t>CARESO Body Fragrance Jasmine Blossom 100ml</t>
        </is>
      </c>
      <c r="D560" t="inlineStr">
        <is>
          <t>Miss Glam Jambi</t>
        </is>
      </c>
      <c r="E560" t="n">
        <v>10</v>
      </c>
      <c r="F560" t="n">
        <v>0.1221</v>
      </c>
      <c r="G560" t="n">
        <v>0.66</v>
      </c>
      <c r="H560" t="n">
        <v>6</v>
      </c>
      <c r="I560" t="n">
        <v>12</v>
      </c>
      <c r="J560" t="n">
        <v>3</v>
      </c>
      <c r="K560" t="n">
        <v>0</v>
      </c>
      <c r="L560" t="n">
        <v>30400</v>
      </c>
      <c r="M560" t="n">
        <v>38000</v>
      </c>
      <c r="N560" t="n">
        <v>33</v>
      </c>
      <c r="O560" t="n">
        <v>0.33</v>
      </c>
      <c r="P560" t="n">
        <v>1</v>
      </c>
      <c r="Q560" t="n">
        <v>0.12</v>
      </c>
      <c r="R560" t="n">
        <v>1</v>
      </c>
      <c r="S560" t="n">
        <v>4639.8</v>
      </c>
      <c r="T560" t="n">
        <v>8</v>
      </c>
      <c r="U560" t="n">
        <v>9</v>
      </c>
      <c r="V560" t="n">
        <v>30</v>
      </c>
      <c r="W560" t="n">
        <v>4</v>
      </c>
      <c r="X560" t="n">
        <v>81.9000819000819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414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9</v>
      </c>
      <c r="AL560" t="inlineStr">
        <is>
          <t>Miss Glam Jambi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"8997234220033"</f>
        <v/>
      </c>
      <c r="C561" t="inlineStr">
        <is>
          <t>CARESO Body Fragrance Rasberry Souffle 100ml</t>
        </is>
      </c>
      <c r="D561" t="inlineStr">
        <is>
          <t>Miss Glam Jambi</t>
        </is>
      </c>
      <c r="E561" t="n">
        <v>2</v>
      </c>
      <c r="F561" t="n">
        <v>0.03</v>
      </c>
      <c r="G561" t="n">
        <v>1</v>
      </c>
      <c r="H561" t="n">
        <v>6</v>
      </c>
      <c r="I561" t="n">
        <v>12</v>
      </c>
      <c r="J561" t="n">
        <v>3</v>
      </c>
      <c r="K561" t="n">
        <v>0</v>
      </c>
      <c r="L561" t="n">
        <v>30400</v>
      </c>
      <c r="M561" t="n">
        <v>38000</v>
      </c>
      <c r="N561" t="n">
        <v>33</v>
      </c>
      <c r="O561" t="n">
        <v>0.33</v>
      </c>
      <c r="P561" t="n">
        <v>0</v>
      </c>
      <c r="Q561" t="n">
        <v>0.03</v>
      </c>
      <c r="R561" t="n">
        <v>1</v>
      </c>
      <c r="S561" t="n">
        <v>1140</v>
      </c>
      <c r="T561" t="n">
        <v>12</v>
      </c>
      <c r="U561" t="n">
        <v>13</v>
      </c>
      <c r="V561" t="n">
        <v>30</v>
      </c>
      <c r="W561" t="n">
        <v>1</v>
      </c>
      <c r="X561" t="n">
        <v>66.66666666666667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414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9</v>
      </c>
      <c r="AL561" t="inlineStr">
        <is>
          <t>Miss Glam Jambi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"8997234220040"</f>
        <v/>
      </c>
      <c r="C562" t="inlineStr">
        <is>
          <t>CARESO Body Fragrance Secret Garden 100ml</t>
        </is>
      </c>
      <c r="D562" t="inlineStr">
        <is>
          <t>Miss Glam Jambi</t>
        </is>
      </c>
      <c r="E562" t="n">
        <v>0</v>
      </c>
      <c r="F562" t="n">
        <v>0.08</v>
      </c>
      <c r="G562" t="n">
        <v>1</v>
      </c>
      <c r="H562" t="n">
        <v>6</v>
      </c>
      <c r="I562" t="n">
        <v>12</v>
      </c>
      <c r="J562" t="n">
        <v>3</v>
      </c>
      <c r="K562" t="n">
        <v>0</v>
      </c>
      <c r="L562" t="n">
        <v>30400</v>
      </c>
      <c r="M562" t="n">
        <v>38000</v>
      </c>
      <c r="N562" t="n">
        <v>33</v>
      </c>
      <c r="O562" t="n">
        <v>0.33</v>
      </c>
      <c r="P562" t="n">
        <v>0</v>
      </c>
      <c r="Q562" t="n">
        <v>0.08</v>
      </c>
      <c r="R562" t="n">
        <v>1</v>
      </c>
      <c r="S562" t="n">
        <v>3040</v>
      </c>
      <c r="T562" t="n">
        <v>12</v>
      </c>
      <c r="U562" t="n">
        <v>13</v>
      </c>
      <c r="V562" t="n">
        <v>30</v>
      </c>
      <c r="W562" t="n">
        <v>3</v>
      </c>
      <c r="X562" t="n">
        <v>0</v>
      </c>
      <c r="Y562" t="n">
        <v>1</v>
      </c>
      <c r="Z562" t="n">
        <v>3</v>
      </c>
      <c r="AA562" t="n">
        <v>1</v>
      </c>
      <c r="AB562" t="n">
        <v>2</v>
      </c>
      <c r="AC562" t="n">
        <v>3</v>
      </c>
      <c r="AD562" t="n">
        <v>30400</v>
      </c>
      <c r="AE562" t="n">
        <v>91200</v>
      </c>
      <c r="AF562" t="n">
        <v>414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9</v>
      </c>
      <c r="AL562" t="inlineStr">
        <is>
          <t>Miss Glam Jambi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"8997234220132"</f>
        <v/>
      </c>
      <c r="C563" t="inlineStr">
        <is>
          <t>CARESO Body Fragrance Spring IN New York 100ml</t>
        </is>
      </c>
      <c r="D563" t="inlineStr">
        <is>
          <t>Miss Glam Jambi</t>
        </is>
      </c>
      <c r="E563" t="n">
        <v>4</v>
      </c>
      <c r="F563" t="n">
        <v>0.0396</v>
      </c>
      <c r="G563" t="n">
        <v>0.66</v>
      </c>
      <c r="H563" t="n">
        <v>6</v>
      </c>
      <c r="I563" t="n">
        <v>12</v>
      </c>
      <c r="J563" t="n">
        <v>3</v>
      </c>
      <c r="K563" t="n">
        <v>0</v>
      </c>
      <c r="L563" t="n">
        <v>30400</v>
      </c>
      <c r="M563" t="n">
        <v>38000</v>
      </c>
      <c r="N563" t="n">
        <v>33</v>
      </c>
      <c r="O563" t="n">
        <v>0.33</v>
      </c>
      <c r="P563" t="n">
        <v>1</v>
      </c>
      <c r="Q563" t="n">
        <v>0.07000000000000001</v>
      </c>
      <c r="R563" t="n">
        <v>1</v>
      </c>
      <c r="S563" t="n">
        <v>1504.8</v>
      </c>
      <c r="T563" t="n">
        <v>8</v>
      </c>
      <c r="U563" t="n">
        <v>9</v>
      </c>
      <c r="V563" t="n">
        <v>30</v>
      </c>
      <c r="W563" t="n">
        <v>2</v>
      </c>
      <c r="X563" t="n">
        <v>101.010101010101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414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9</v>
      </c>
      <c r="AL563" t="inlineStr">
        <is>
          <t>Miss Glam Jambi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"8997234220057"</f>
        <v/>
      </c>
      <c r="C564" t="inlineStr">
        <is>
          <t>CARESO Body Fragrance Velvet Rose 100ml</t>
        </is>
      </c>
      <c r="D564" t="inlineStr">
        <is>
          <t>Miss Glam Jambi</t>
        </is>
      </c>
      <c r="E564" t="n">
        <v>10</v>
      </c>
      <c r="F564" t="n">
        <v>0.1287</v>
      </c>
      <c r="G564" t="n">
        <v>0.66</v>
      </c>
      <c r="H564" t="n">
        <v>6</v>
      </c>
      <c r="I564" t="n">
        <v>12</v>
      </c>
      <c r="J564" t="n">
        <v>3</v>
      </c>
      <c r="K564" t="n">
        <v>0</v>
      </c>
      <c r="L564" t="n">
        <v>30400</v>
      </c>
      <c r="M564" t="n">
        <v>38000</v>
      </c>
      <c r="N564" t="n">
        <v>33</v>
      </c>
      <c r="O564" t="n">
        <v>0.33</v>
      </c>
      <c r="P564" t="n">
        <v>1</v>
      </c>
      <c r="Q564" t="n">
        <v>0.14</v>
      </c>
      <c r="R564" t="n">
        <v>2</v>
      </c>
      <c r="S564" t="n">
        <v>4890.6</v>
      </c>
      <c r="T564" t="n">
        <v>8</v>
      </c>
      <c r="U564" t="n">
        <v>9</v>
      </c>
      <c r="V564" t="n">
        <v>30</v>
      </c>
      <c r="W564" t="n">
        <v>4</v>
      </c>
      <c r="X564" t="n">
        <v>77.7000777000777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414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9</v>
      </c>
      <c r="AL564" t="inlineStr">
        <is>
          <t>Miss Glam Jambi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"8997234220019"</f>
        <v/>
      </c>
      <c r="C565" t="inlineStr">
        <is>
          <t>CARESO Body Frangrance French Vanilla 100ml</t>
        </is>
      </c>
      <c r="D565" t="inlineStr">
        <is>
          <t>Miss Glam Jambi</t>
        </is>
      </c>
      <c r="E565" t="n">
        <v>3</v>
      </c>
      <c r="F565" t="n">
        <v>0.1452</v>
      </c>
      <c r="G565" t="n">
        <v>0.99</v>
      </c>
      <c r="H565" t="n">
        <v>6</v>
      </c>
      <c r="I565" t="n">
        <v>12</v>
      </c>
      <c r="J565" t="n">
        <v>3</v>
      </c>
      <c r="K565" t="n">
        <v>0</v>
      </c>
      <c r="L565" t="n">
        <v>30400</v>
      </c>
      <c r="M565" t="n">
        <v>38000</v>
      </c>
      <c r="N565" t="n">
        <v>33</v>
      </c>
      <c r="O565" t="n">
        <v>0.33</v>
      </c>
      <c r="P565" t="n">
        <v>1</v>
      </c>
      <c r="Q565" t="n">
        <v>0.03</v>
      </c>
      <c r="R565" t="n">
        <v>2</v>
      </c>
      <c r="S565" t="n">
        <v>5517.599999999999</v>
      </c>
      <c r="T565" t="n">
        <v>12</v>
      </c>
      <c r="U565" t="n">
        <v>13</v>
      </c>
      <c r="V565" t="n">
        <v>30</v>
      </c>
      <c r="W565" t="n">
        <v>5</v>
      </c>
      <c r="X565" t="n">
        <v>20.66115702479339</v>
      </c>
      <c r="Y565" t="n">
        <v>1</v>
      </c>
      <c r="Z565" t="n">
        <v>2</v>
      </c>
      <c r="AA565" t="n">
        <v>0</v>
      </c>
      <c r="AB565" t="n">
        <v>2</v>
      </c>
      <c r="AC565" t="n">
        <v>3</v>
      </c>
      <c r="AD565" t="n">
        <v>0</v>
      </c>
      <c r="AE565" t="n">
        <v>91200</v>
      </c>
      <c r="AF565" t="n">
        <v>414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9</v>
      </c>
      <c r="AL565" t="inlineStr">
        <is>
          <t>Miss Glam Jambi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"8997234220507"</f>
        <v/>
      </c>
      <c r="C566" t="inlineStr">
        <is>
          <t>CARESO Body Lotion Brightening Exilir Clean 300ml</t>
        </is>
      </c>
      <c r="D566" t="inlineStr">
        <is>
          <t>Miss Glam Jambi</t>
        </is>
      </c>
      <c r="E566" t="n">
        <v>2</v>
      </c>
      <c r="F566" t="n">
        <v>0.006600000000000001</v>
      </c>
      <c r="G566" t="n">
        <v>0.33</v>
      </c>
      <c r="H566" t="n">
        <v>6</v>
      </c>
      <c r="I566" t="n">
        <v>12</v>
      </c>
      <c r="J566" t="n">
        <v>3</v>
      </c>
      <c r="K566" t="n">
        <v>0</v>
      </c>
      <c r="L566" t="n">
        <v>54400</v>
      </c>
      <c r="M566" t="n">
        <v>68000</v>
      </c>
      <c r="N566" t="n">
        <v>33</v>
      </c>
      <c r="O566" t="n">
        <v>0.33</v>
      </c>
      <c r="P566" t="n">
        <v>1</v>
      </c>
      <c r="Q566" t="n">
        <v>0.02</v>
      </c>
      <c r="R566" t="n">
        <v>1</v>
      </c>
      <c r="S566" t="n">
        <v>448.8000000000001</v>
      </c>
      <c r="T566" t="n">
        <v>4</v>
      </c>
      <c r="U566" t="n">
        <v>5</v>
      </c>
      <c r="V566" t="n">
        <v>30</v>
      </c>
      <c r="W566" t="n">
        <v>1</v>
      </c>
      <c r="X566" t="n">
        <v>303.030303030303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414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9</v>
      </c>
      <c r="AL566" t="inlineStr">
        <is>
          <t>Miss Glam Jambi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"8997234220446"</f>
        <v/>
      </c>
      <c r="C567" t="inlineStr">
        <is>
          <t>CARESO Body Lotion Brightening Exilir French Vanilla 300ml</t>
        </is>
      </c>
      <c r="D567" t="inlineStr">
        <is>
          <t>Miss Glam Jambi</t>
        </is>
      </c>
      <c r="E567" t="n">
        <v>5</v>
      </c>
      <c r="F567" t="n">
        <v>0.0231</v>
      </c>
      <c r="G567" t="n">
        <v>0.33</v>
      </c>
      <c r="H567" t="n">
        <v>6</v>
      </c>
      <c r="I567" t="n">
        <v>12</v>
      </c>
      <c r="J567" t="n">
        <v>3</v>
      </c>
      <c r="K567" t="n">
        <v>0</v>
      </c>
      <c r="L567" t="n">
        <v>54400</v>
      </c>
      <c r="M567" t="n">
        <v>68000</v>
      </c>
      <c r="N567" t="n">
        <v>33</v>
      </c>
      <c r="O567" t="n">
        <v>0.33</v>
      </c>
      <c r="P567" t="n">
        <v>1</v>
      </c>
      <c r="Q567" t="n">
        <v>0.05</v>
      </c>
      <c r="R567" t="n">
        <v>2</v>
      </c>
      <c r="S567" t="n">
        <v>1570.8</v>
      </c>
      <c r="T567" t="n">
        <v>4</v>
      </c>
      <c r="U567" t="n">
        <v>5</v>
      </c>
      <c r="V567" t="n">
        <v>30</v>
      </c>
      <c r="W567" t="n">
        <v>1</v>
      </c>
      <c r="X567" t="n">
        <v>216.4502164502164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414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9</v>
      </c>
      <c r="AL567" t="inlineStr">
        <is>
          <t>Miss Glam Jambi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"8997234220453"</f>
        <v/>
      </c>
      <c r="C568" t="inlineStr">
        <is>
          <t>CARESO Body Lotion Brightening Exilir Jasmine Blossoms 300ml</t>
        </is>
      </c>
      <c r="D568" t="inlineStr">
        <is>
          <t>Miss Glam Jambi</t>
        </is>
      </c>
      <c r="E568" t="n">
        <v>4</v>
      </c>
      <c r="F568" t="n">
        <v>0.0396</v>
      </c>
      <c r="G568" t="n">
        <v>0.33</v>
      </c>
      <c r="H568" t="n">
        <v>6</v>
      </c>
      <c r="I568" t="n">
        <v>12</v>
      </c>
      <c r="J568" t="n">
        <v>6</v>
      </c>
      <c r="K568" t="n">
        <v>0</v>
      </c>
      <c r="L568" t="n">
        <v>54400</v>
      </c>
      <c r="M568" t="n">
        <v>68000</v>
      </c>
      <c r="N568" t="n">
        <v>33</v>
      </c>
      <c r="O568" t="n">
        <v>0.33</v>
      </c>
      <c r="P568" t="n">
        <v>1</v>
      </c>
      <c r="Q568" t="n">
        <v>0.15</v>
      </c>
      <c r="R568" t="n">
        <v>2</v>
      </c>
      <c r="S568" t="n">
        <v>2692.8</v>
      </c>
      <c r="T568" t="n">
        <v>4</v>
      </c>
      <c r="U568" t="n">
        <v>5</v>
      </c>
      <c r="V568" t="n">
        <v>30</v>
      </c>
      <c r="W568" t="n">
        <v>2</v>
      </c>
      <c r="X568" t="n">
        <v>101.010101010101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414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9</v>
      </c>
      <c r="AL568" t="inlineStr">
        <is>
          <t>Miss Glam Jambi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"8997234220378"</f>
        <v/>
      </c>
      <c r="C569" t="inlineStr">
        <is>
          <t>CARESO Body Lotion Brightening Exilir Secret Garden 300ml</t>
        </is>
      </c>
      <c r="D569" t="inlineStr">
        <is>
          <t>Miss Glam Jambi</t>
        </is>
      </c>
      <c r="E569" t="n">
        <v>2</v>
      </c>
      <c r="F569" t="n">
        <v>0.05</v>
      </c>
      <c r="G569" t="n">
        <v>1</v>
      </c>
      <c r="H569" t="n">
        <v>6</v>
      </c>
      <c r="I569" t="n">
        <v>12</v>
      </c>
      <c r="J569" t="n">
        <v>3</v>
      </c>
      <c r="K569" t="n">
        <v>0</v>
      </c>
      <c r="L569" t="n">
        <v>54400</v>
      </c>
      <c r="M569" t="n">
        <v>68000</v>
      </c>
      <c r="N569" t="n">
        <v>33</v>
      </c>
      <c r="O569" t="n">
        <v>0.33</v>
      </c>
      <c r="P569" t="n">
        <v>0</v>
      </c>
      <c r="Q569" t="n">
        <v>0.05</v>
      </c>
      <c r="R569" t="n">
        <v>1</v>
      </c>
      <c r="S569" t="n">
        <v>3400</v>
      </c>
      <c r="T569" t="n">
        <v>12</v>
      </c>
      <c r="U569" t="n">
        <v>13</v>
      </c>
      <c r="V569" t="n">
        <v>30</v>
      </c>
      <c r="W569" t="n">
        <v>2</v>
      </c>
      <c r="X569" t="n">
        <v>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414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9</v>
      </c>
      <c r="AL569" t="inlineStr">
        <is>
          <t>Miss Glam Jambi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"8997234220460"</f>
        <v/>
      </c>
      <c r="C570" t="inlineStr">
        <is>
          <t>CARESO Body Lotion Brightening Exilir Velvet Rose 300ml</t>
        </is>
      </c>
      <c r="D570" t="inlineStr">
        <is>
          <t>Miss Glam Jambi</t>
        </is>
      </c>
      <c r="E570" t="n">
        <v>10</v>
      </c>
      <c r="F570" t="n">
        <v>0.009900000000000001</v>
      </c>
      <c r="G570" t="n">
        <v>0.33</v>
      </c>
      <c r="H570" t="n">
        <v>6</v>
      </c>
      <c r="I570" t="n">
        <v>12</v>
      </c>
      <c r="J570" t="n">
        <v>3</v>
      </c>
      <c r="K570" t="n">
        <v>0</v>
      </c>
      <c r="L570" t="n">
        <v>54400</v>
      </c>
      <c r="M570" t="n">
        <v>68000</v>
      </c>
      <c r="N570" t="n">
        <v>33</v>
      </c>
      <c r="O570" t="n">
        <v>0.33</v>
      </c>
      <c r="P570" t="n">
        <v>1</v>
      </c>
      <c r="Q570" t="n">
        <v>0.08</v>
      </c>
      <c r="R570" t="n">
        <v>2</v>
      </c>
      <c r="S570" t="n">
        <v>673.2</v>
      </c>
      <c r="T570" t="n">
        <v>4</v>
      </c>
      <c r="U570" t="n">
        <v>5</v>
      </c>
      <c r="V570" t="n">
        <v>30</v>
      </c>
      <c r="W570" t="n">
        <v>1</v>
      </c>
      <c r="X570" t="n">
        <v>1010.10101010101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414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9</v>
      </c>
      <c r="AL570" t="inlineStr">
        <is>
          <t>Miss Glam Jambi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"8997234220323"</f>
        <v/>
      </c>
      <c r="C571" t="inlineStr">
        <is>
          <t>CARESO Clean Body Lotion Brightening Elixir 50ml</t>
        </is>
      </c>
      <c r="D571" t="inlineStr">
        <is>
          <t>Miss Glam Jambi</t>
        </is>
      </c>
      <c r="E571" t="n">
        <v>4</v>
      </c>
      <c r="F571" t="n">
        <v>0.033</v>
      </c>
      <c r="G571" t="n">
        <v>0.66</v>
      </c>
      <c r="H571" t="n">
        <v>6</v>
      </c>
      <c r="I571" t="n">
        <v>12</v>
      </c>
      <c r="J571" t="n">
        <v>3</v>
      </c>
      <c r="K571" t="n">
        <v>0</v>
      </c>
      <c r="L571" t="n">
        <v>22400</v>
      </c>
      <c r="M571" t="n">
        <v>28000</v>
      </c>
      <c r="N571" t="n">
        <v>33</v>
      </c>
      <c r="O571" t="n">
        <v>0.33</v>
      </c>
      <c r="P571" t="n">
        <v>1</v>
      </c>
      <c r="Q571" t="n">
        <v>0.03</v>
      </c>
      <c r="R571" t="n">
        <v>1</v>
      </c>
      <c r="S571" t="n">
        <v>924</v>
      </c>
      <c r="T571" t="n">
        <v>8</v>
      </c>
      <c r="U571" t="n">
        <v>9</v>
      </c>
      <c r="V571" t="n">
        <v>30</v>
      </c>
      <c r="W571" t="n">
        <v>1</v>
      </c>
      <c r="X571" t="n">
        <v>121.2121212121212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414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9</v>
      </c>
      <c r="AL571" t="inlineStr">
        <is>
          <t>Miss Glam Jambi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"8997234220774"</f>
        <v/>
      </c>
      <c r="C572" t="inlineStr">
        <is>
          <t>CARESO Cloud Fantasy Body Lotion Brightening Elixir 50ml</t>
        </is>
      </c>
      <c r="D572" t="inlineStr">
        <is>
          <t>Miss Glam Jambi</t>
        </is>
      </c>
      <c r="E572" t="n">
        <v>4</v>
      </c>
      <c r="F572" t="n">
        <v>0.02</v>
      </c>
      <c r="G572" t="n">
        <v>1</v>
      </c>
      <c r="H572" t="n">
        <v>6</v>
      </c>
      <c r="I572" t="n">
        <v>12</v>
      </c>
      <c r="J572" t="n">
        <v>3</v>
      </c>
      <c r="K572" t="n">
        <v>0</v>
      </c>
      <c r="L572" t="n">
        <v>22400</v>
      </c>
      <c r="M572" t="n">
        <v>28000</v>
      </c>
      <c r="N572" t="n">
        <v>33</v>
      </c>
      <c r="O572" t="n">
        <v>0.33</v>
      </c>
      <c r="P572" t="n">
        <v>0</v>
      </c>
      <c r="Q572" t="n">
        <v>0.02</v>
      </c>
      <c r="R572" t="n">
        <v>1</v>
      </c>
      <c r="S572" t="n">
        <v>560</v>
      </c>
      <c r="T572" t="n">
        <v>12</v>
      </c>
      <c r="U572" t="n">
        <v>13</v>
      </c>
      <c r="V572" t="n">
        <v>30</v>
      </c>
      <c r="W572" t="n">
        <v>1</v>
      </c>
      <c r="X572" t="n">
        <v>200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414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9</v>
      </c>
      <c r="AL572" t="inlineStr">
        <is>
          <t>Miss Glam Jambi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"30400259053"</f>
        <v/>
      </c>
      <c r="C573" t="inlineStr">
        <is>
          <t>CARESO Cloud Fantasy Eau de Toilette (EDT) 50ML</t>
        </is>
      </c>
      <c r="D573" t="inlineStr">
        <is>
          <t>Miss Glam Jambi</t>
        </is>
      </c>
      <c r="E573" t="n">
        <v>7</v>
      </c>
      <c r="F573" t="n">
        <v>0.0462</v>
      </c>
      <c r="G573" t="n">
        <v>0.33</v>
      </c>
      <c r="H573" t="n">
        <v>6</v>
      </c>
      <c r="I573" t="n">
        <v>12</v>
      </c>
      <c r="J573" t="n">
        <v>1</v>
      </c>
      <c r="K573" t="n">
        <v>0</v>
      </c>
      <c r="L573" t="n">
        <v>49600</v>
      </c>
      <c r="M573" t="n">
        <v>62000</v>
      </c>
      <c r="N573" t="n">
        <v>33</v>
      </c>
      <c r="O573" t="n">
        <v>0.33</v>
      </c>
      <c r="P573" t="n">
        <v>1</v>
      </c>
      <c r="Q573" t="n">
        <v>0.19</v>
      </c>
      <c r="R573" t="n">
        <v>2</v>
      </c>
      <c r="S573" t="n">
        <v>2864.4</v>
      </c>
      <c r="T573" t="n">
        <v>4</v>
      </c>
      <c r="U573" t="n">
        <v>5</v>
      </c>
      <c r="V573" t="n">
        <v>30</v>
      </c>
      <c r="W573" t="n">
        <v>2</v>
      </c>
      <c r="X573" t="n">
        <v>151.5151515151515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414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9</v>
      </c>
      <c r="AL573" t="inlineStr">
        <is>
          <t>Miss Glam Jambi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"8997234221177"</f>
        <v/>
      </c>
      <c r="C574" t="inlineStr">
        <is>
          <t>CARESO Eau De Parfum Clean 50ml</t>
        </is>
      </c>
      <c r="D574" t="inlineStr">
        <is>
          <t>Miss Glam Jambi</t>
        </is>
      </c>
      <c r="E574" t="n">
        <v>2</v>
      </c>
      <c r="F574" t="n">
        <v>0.0726</v>
      </c>
      <c r="G574" t="n">
        <v>0.66</v>
      </c>
      <c r="H574" t="n">
        <v>6</v>
      </c>
      <c r="I574" t="n">
        <v>12</v>
      </c>
      <c r="J574" t="n">
        <v>3</v>
      </c>
      <c r="K574" t="n">
        <v>0</v>
      </c>
      <c r="L574" t="n">
        <v>96000</v>
      </c>
      <c r="M574" t="n">
        <v>120000</v>
      </c>
      <c r="N574" t="n">
        <v>33</v>
      </c>
      <c r="O574" t="n">
        <v>0.33</v>
      </c>
      <c r="P574" t="n">
        <v>1</v>
      </c>
      <c r="Q574" t="n">
        <v>0.07000000000000001</v>
      </c>
      <c r="R574" t="n">
        <v>1</v>
      </c>
      <c r="S574" t="n">
        <v>8712</v>
      </c>
      <c r="T574" t="n">
        <v>8</v>
      </c>
      <c r="U574" t="n">
        <v>9</v>
      </c>
      <c r="V574" t="n">
        <v>30</v>
      </c>
      <c r="W574" t="n">
        <v>3</v>
      </c>
      <c r="X574" t="n">
        <v>27.54820936639118</v>
      </c>
      <c r="Y574" t="n">
        <v>1</v>
      </c>
      <c r="Z574" t="n">
        <v>1</v>
      </c>
      <c r="AA574" t="n">
        <v>0</v>
      </c>
      <c r="AB574" t="n">
        <v>1</v>
      </c>
      <c r="AC574" t="n">
        <v>3</v>
      </c>
      <c r="AD574" t="n">
        <v>0</v>
      </c>
      <c r="AE574" t="n">
        <v>288000</v>
      </c>
      <c r="AF574" t="n">
        <v>414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9</v>
      </c>
      <c r="AL574" t="inlineStr">
        <is>
          <t>Miss Glam Jambi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"8997234221085"</f>
        <v/>
      </c>
      <c r="C575" t="inlineStr">
        <is>
          <t>CARESO Eau De Parfum French Vanilla 50ml</t>
        </is>
      </c>
      <c r="D575" t="inlineStr">
        <is>
          <t>Miss Glam Jambi</t>
        </is>
      </c>
      <c r="E575" t="n">
        <v>3</v>
      </c>
      <c r="F575" t="n">
        <v>0.0825</v>
      </c>
      <c r="G575" t="n">
        <v>0.66</v>
      </c>
      <c r="H575" t="n">
        <v>6</v>
      </c>
      <c r="I575" t="n">
        <v>12</v>
      </c>
      <c r="J575" t="n">
        <v>6</v>
      </c>
      <c r="K575" t="n">
        <v>0</v>
      </c>
      <c r="L575" t="n">
        <v>96000</v>
      </c>
      <c r="M575" t="n">
        <v>111000</v>
      </c>
      <c r="N575" t="n">
        <v>33</v>
      </c>
      <c r="O575" t="n">
        <v>0.33</v>
      </c>
      <c r="P575" t="n">
        <v>1</v>
      </c>
      <c r="Q575" t="n">
        <v>0.05</v>
      </c>
      <c r="R575" t="n">
        <v>1</v>
      </c>
      <c r="S575" t="n">
        <v>9157.5</v>
      </c>
      <c r="T575" t="n">
        <v>8</v>
      </c>
      <c r="U575" t="n">
        <v>9</v>
      </c>
      <c r="V575" t="n">
        <v>30</v>
      </c>
      <c r="W575" t="n">
        <v>3</v>
      </c>
      <c r="X575" t="n">
        <v>36.36363636363636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414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9</v>
      </c>
      <c r="AL575" t="inlineStr">
        <is>
          <t>Miss Glam Jambi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"8997234221092"</f>
        <v/>
      </c>
      <c r="C576" t="inlineStr">
        <is>
          <t>CARESO Eau De Parfum Jasmine Blossoms 50ml</t>
        </is>
      </c>
      <c r="D576" t="inlineStr">
        <is>
          <t>Miss Glam Jambi</t>
        </is>
      </c>
      <c r="E576" t="n">
        <v>10</v>
      </c>
      <c r="F576" t="n">
        <v>0.0561</v>
      </c>
      <c r="G576" t="n">
        <v>0.66</v>
      </c>
      <c r="H576" t="n">
        <v>6</v>
      </c>
      <c r="I576" t="n">
        <v>12</v>
      </c>
      <c r="J576" t="n">
        <v>3</v>
      </c>
      <c r="K576" t="n">
        <v>0</v>
      </c>
      <c r="L576" t="n">
        <v>96000</v>
      </c>
      <c r="M576" t="n">
        <v>120000</v>
      </c>
      <c r="N576" t="n">
        <v>33</v>
      </c>
      <c r="O576" t="n">
        <v>0.33</v>
      </c>
      <c r="P576" t="n">
        <v>1</v>
      </c>
      <c r="Q576" t="n">
        <v>0.29</v>
      </c>
      <c r="R576" t="n">
        <v>3</v>
      </c>
      <c r="S576" t="n">
        <v>6732.000000000001</v>
      </c>
      <c r="T576" t="n">
        <v>8</v>
      </c>
      <c r="U576" t="n">
        <v>9</v>
      </c>
      <c r="V576" t="n">
        <v>30</v>
      </c>
      <c r="W576" t="n">
        <v>2</v>
      </c>
      <c r="X576" t="n">
        <v>178.25311942959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414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9</v>
      </c>
      <c r="AL576" t="inlineStr">
        <is>
          <t>Miss Glam Jambi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"8997234221108"</f>
        <v/>
      </c>
      <c r="C577" t="inlineStr">
        <is>
          <t>CARESO Eau De Parfum Velvet Rose 50ml</t>
        </is>
      </c>
      <c r="D577" t="inlineStr">
        <is>
          <t>Miss Glam Jambi</t>
        </is>
      </c>
      <c r="E577" t="n">
        <v>5</v>
      </c>
      <c r="F577" t="n">
        <v>0.1188</v>
      </c>
      <c r="G577" t="n">
        <v>0.66</v>
      </c>
      <c r="H577" t="n">
        <v>6</v>
      </c>
      <c r="I577" t="n">
        <v>12</v>
      </c>
      <c r="J577" t="n">
        <v>6</v>
      </c>
      <c r="K577" t="n">
        <v>0</v>
      </c>
      <c r="L577" t="n">
        <v>96000</v>
      </c>
      <c r="M577" t="n">
        <v>120000</v>
      </c>
      <c r="N577" t="n">
        <v>33</v>
      </c>
      <c r="O577" t="n">
        <v>0.33</v>
      </c>
      <c r="P577" t="n">
        <v>1</v>
      </c>
      <c r="Q577" t="n">
        <v>0.07000000000000001</v>
      </c>
      <c r="R577" t="n">
        <v>2</v>
      </c>
      <c r="S577" t="n">
        <v>14256</v>
      </c>
      <c r="T577" t="n">
        <v>8</v>
      </c>
      <c r="U577" t="n">
        <v>9</v>
      </c>
      <c r="V577" t="n">
        <v>30</v>
      </c>
      <c r="W577" t="n">
        <v>4</v>
      </c>
      <c r="X577" t="n">
        <v>42.08754208754209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414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9</v>
      </c>
      <c r="AL577" t="inlineStr">
        <is>
          <t>Miss Glam Jambi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"30400259116"</f>
        <v/>
      </c>
      <c r="C578" t="inlineStr">
        <is>
          <t>CARESO French Linen Eau de Toilette (EDT) 50ML</t>
        </is>
      </c>
      <c r="D578" t="inlineStr">
        <is>
          <t>Miss Glam Jambi</t>
        </is>
      </c>
      <c r="E578" t="n">
        <v>5</v>
      </c>
      <c r="F578" t="n">
        <v>0.12</v>
      </c>
      <c r="G578" t="n">
        <v>2</v>
      </c>
      <c r="H578" t="n">
        <v>6</v>
      </c>
      <c r="I578" t="n">
        <v>12</v>
      </c>
      <c r="J578" t="n">
        <v>1</v>
      </c>
      <c r="K578" t="n">
        <v>0</v>
      </c>
      <c r="L578" t="n">
        <v>49600</v>
      </c>
      <c r="M578" t="n">
        <v>62000</v>
      </c>
      <c r="N578" t="n">
        <v>33</v>
      </c>
      <c r="O578" t="n">
        <v>0.33</v>
      </c>
      <c r="P578" t="n">
        <v>0</v>
      </c>
      <c r="Q578" t="n">
        <v>0.12</v>
      </c>
      <c r="R578" t="n">
        <v>2</v>
      </c>
      <c r="S578" t="n">
        <v>7440</v>
      </c>
      <c r="T578" t="n">
        <v>24</v>
      </c>
      <c r="U578" t="n">
        <v>25</v>
      </c>
      <c r="V578" t="n">
        <v>30</v>
      </c>
      <c r="W578" t="n">
        <v>4</v>
      </c>
      <c r="X578" t="n">
        <v>41.66666666666667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414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9</v>
      </c>
      <c r="AL578" t="inlineStr">
        <is>
          <t>Miss Glam Jambi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"8997234220293"</f>
        <v/>
      </c>
      <c r="C579" t="inlineStr">
        <is>
          <t>CARESO French Vanilla Body Lotion Brightening Elixir 50ml</t>
        </is>
      </c>
      <c r="D579" t="inlineStr">
        <is>
          <t>Miss Glam Jambi</t>
        </is>
      </c>
      <c r="E579" t="n">
        <v>1</v>
      </c>
      <c r="F579" t="n">
        <v>0.07920000000000001</v>
      </c>
      <c r="G579" t="n">
        <v>0.66</v>
      </c>
      <c r="H579" t="n">
        <v>6</v>
      </c>
      <c r="I579" t="n">
        <v>12</v>
      </c>
      <c r="J579" t="n">
        <v>3</v>
      </c>
      <c r="K579" t="n">
        <v>0</v>
      </c>
      <c r="L579" t="n">
        <v>22400</v>
      </c>
      <c r="M579" t="n">
        <v>30000</v>
      </c>
      <c r="N579" t="n">
        <v>33</v>
      </c>
      <c r="O579" t="n">
        <v>0.33</v>
      </c>
      <c r="P579" t="n">
        <v>1</v>
      </c>
      <c r="Q579" t="n">
        <v>0.03</v>
      </c>
      <c r="R579" t="n">
        <v>1</v>
      </c>
      <c r="S579" t="n">
        <v>2376</v>
      </c>
      <c r="T579" t="n">
        <v>8</v>
      </c>
      <c r="U579" t="n">
        <v>9</v>
      </c>
      <c r="V579" t="n">
        <v>30</v>
      </c>
      <c r="W579" t="n">
        <v>3</v>
      </c>
      <c r="X579" t="n">
        <v>12.62626262626262</v>
      </c>
      <c r="Y579" t="n">
        <v>1</v>
      </c>
      <c r="Z579" t="n">
        <v>2</v>
      </c>
      <c r="AA579" t="n">
        <v>0</v>
      </c>
      <c r="AB579" t="n">
        <v>2</v>
      </c>
      <c r="AC579" t="n">
        <v>3</v>
      </c>
      <c r="AD579" t="n">
        <v>0</v>
      </c>
      <c r="AE579" t="n">
        <v>67200</v>
      </c>
      <c r="AF579" t="n">
        <v>414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9</v>
      </c>
      <c r="AL579" t="inlineStr">
        <is>
          <t>Miss Glam Jambi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"8997234221030"</f>
        <v/>
      </c>
      <c r="C580" t="inlineStr">
        <is>
          <t>CARESO French Vanilla Brightening Body Wash 300ml</t>
        </is>
      </c>
      <c r="D580" t="inlineStr">
        <is>
          <t>Miss Glam Jambi</t>
        </is>
      </c>
      <c r="E580" t="n">
        <v>1</v>
      </c>
      <c r="F580" t="n">
        <v>0.006600000000000001</v>
      </c>
      <c r="G580" t="n">
        <v>0.33</v>
      </c>
      <c r="H580" t="n">
        <v>6</v>
      </c>
      <c r="I580" t="n">
        <v>12</v>
      </c>
      <c r="J580" t="n">
        <v>3</v>
      </c>
      <c r="K580" t="n">
        <v>0</v>
      </c>
      <c r="L580" t="n">
        <v>49600</v>
      </c>
      <c r="M580" t="n">
        <v>62000</v>
      </c>
      <c r="N580" t="n">
        <v>33</v>
      </c>
      <c r="O580" t="n">
        <v>0.33</v>
      </c>
      <c r="P580" t="n">
        <v>1</v>
      </c>
      <c r="Q580" t="n">
        <v>0.05</v>
      </c>
      <c r="R580" t="n">
        <v>1</v>
      </c>
      <c r="S580" t="n">
        <v>409.2</v>
      </c>
      <c r="T580" t="n">
        <v>4</v>
      </c>
      <c r="U580" t="n">
        <v>5</v>
      </c>
      <c r="V580" t="n">
        <v>30</v>
      </c>
      <c r="W580" t="n">
        <v>1</v>
      </c>
      <c r="X580" t="n">
        <v>151.5151515151515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414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9</v>
      </c>
      <c r="AL580" t="inlineStr">
        <is>
          <t>Miss Glam Jambi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"30400259452"</f>
        <v/>
      </c>
      <c r="C581" t="inlineStr">
        <is>
          <t>CARESO French Vanilla Eau de Toilette (EDT) 50ml</t>
        </is>
      </c>
      <c r="D581" t="inlineStr">
        <is>
          <t>Miss Glam Jambi</t>
        </is>
      </c>
      <c r="E581" t="n">
        <v>9</v>
      </c>
      <c r="F581" t="n">
        <v>0.0462</v>
      </c>
      <c r="G581" t="n">
        <v>0.66</v>
      </c>
      <c r="H581" t="n">
        <v>6</v>
      </c>
      <c r="I581" t="n">
        <v>12</v>
      </c>
      <c r="J581" t="n">
        <v>1</v>
      </c>
      <c r="K581" t="n">
        <v>0</v>
      </c>
      <c r="L581" t="n">
        <v>49600</v>
      </c>
      <c r="M581" t="n">
        <v>62000</v>
      </c>
      <c r="N581" t="n">
        <v>33</v>
      </c>
      <c r="O581" t="n">
        <v>0.33</v>
      </c>
      <c r="P581" t="n">
        <v>1</v>
      </c>
      <c r="Q581" t="n">
        <v>0.29</v>
      </c>
      <c r="R581" t="n">
        <v>2</v>
      </c>
      <c r="S581" t="n">
        <v>2864.4</v>
      </c>
      <c r="T581" t="n">
        <v>8</v>
      </c>
      <c r="U581" t="n">
        <v>9</v>
      </c>
      <c r="V581" t="n">
        <v>30</v>
      </c>
      <c r="W581" t="n">
        <v>2</v>
      </c>
      <c r="X581" t="n">
        <v>194.8051948051948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414</v>
      </c>
      <c r="AG581" t="n">
        <v>107</v>
      </c>
      <c r="AH581" t="inlineStr">
        <is>
          <t xml:space="preserve">CV. DAHLIA - PPN (PDG) </t>
        </is>
      </c>
      <c r="AI581" t="n">
        <v>423</v>
      </c>
      <c r="AJ581" t="inlineStr">
        <is>
          <t>CARESO</t>
        </is>
      </c>
      <c r="AK581" t="n">
        <v>9</v>
      </c>
      <c r="AL581" t="inlineStr">
        <is>
          <t>Miss Glam Jambi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"30400258929"</f>
        <v/>
      </c>
      <c r="C582" t="inlineStr">
        <is>
          <t>CARESO Fruitee Fresh Eau De Toilette (EDT) 50ml</t>
        </is>
      </c>
      <c r="D582" t="inlineStr">
        <is>
          <t>Miss Glam Jambi</t>
        </is>
      </c>
      <c r="E582" t="n">
        <v>19</v>
      </c>
      <c r="F582" t="n">
        <v>0.0561</v>
      </c>
      <c r="G582" t="n">
        <v>0.66</v>
      </c>
      <c r="H582" t="n">
        <v>6</v>
      </c>
      <c r="I582" t="n">
        <v>12</v>
      </c>
      <c r="J582" t="n">
        <v>1</v>
      </c>
      <c r="K582" t="n">
        <v>0</v>
      </c>
      <c r="L582" t="n">
        <v>49600</v>
      </c>
      <c r="M582" t="n">
        <v>62000</v>
      </c>
      <c r="N582" t="n">
        <v>33</v>
      </c>
      <c r="O582" t="n">
        <v>0.33</v>
      </c>
      <c r="P582" t="n">
        <v>1</v>
      </c>
      <c r="Q582" t="n">
        <v>0.2</v>
      </c>
      <c r="R582" t="n">
        <v>2</v>
      </c>
      <c r="S582" t="n">
        <v>3478.2</v>
      </c>
      <c r="T582" t="n">
        <v>8</v>
      </c>
      <c r="U582" t="n">
        <v>9</v>
      </c>
      <c r="V582" t="n">
        <v>30</v>
      </c>
      <c r="W582" t="n">
        <v>2</v>
      </c>
      <c r="X582" t="n">
        <v>338.680926916221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414</v>
      </c>
      <c r="AG582" t="n">
        <v>107</v>
      </c>
      <c r="AH582" t="inlineStr">
        <is>
          <t xml:space="preserve">CV. DAHLIA - PPN (PDG) </t>
        </is>
      </c>
      <c r="AI582" t="n">
        <v>423</v>
      </c>
      <c r="AJ582" t="inlineStr">
        <is>
          <t>CARESO</t>
        </is>
      </c>
      <c r="AK582" t="n">
        <v>9</v>
      </c>
      <c r="AL582" t="inlineStr">
        <is>
          <t>Miss Glam Jambi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"304002155309"</f>
        <v/>
      </c>
      <c r="C583" t="inlineStr">
        <is>
          <t>CARESO Honey Blush Body Fragrance 100ml</t>
        </is>
      </c>
      <c r="D583" t="inlineStr">
        <is>
          <t>Miss Glam Jambi</t>
        </is>
      </c>
      <c r="E583" t="n">
        <v>5</v>
      </c>
      <c r="F583" t="n">
        <v>0.0462</v>
      </c>
      <c r="G583" t="n">
        <v>0.99</v>
      </c>
      <c r="H583" t="n">
        <v>6</v>
      </c>
      <c r="I583" t="n">
        <v>12</v>
      </c>
      <c r="J583" t="n">
        <v>3</v>
      </c>
      <c r="K583" t="n">
        <v>0</v>
      </c>
      <c r="L583" t="n">
        <v>30400</v>
      </c>
      <c r="M583" t="n">
        <v>38000</v>
      </c>
      <c r="N583" t="n">
        <v>33</v>
      </c>
      <c r="O583" t="n">
        <v>0.33</v>
      </c>
      <c r="P583" t="n">
        <v>1</v>
      </c>
      <c r="Q583" t="n">
        <v>0.02</v>
      </c>
      <c r="R583" t="n">
        <v>1</v>
      </c>
      <c r="S583" t="n">
        <v>1755.6</v>
      </c>
      <c r="T583" t="n">
        <v>12</v>
      </c>
      <c r="U583" t="n">
        <v>13</v>
      </c>
      <c r="V583" t="n">
        <v>30</v>
      </c>
      <c r="W583" t="n">
        <v>2</v>
      </c>
      <c r="X583" t="n">
        <v>108.2251082251082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414</v>
      </c>
      <c r="AG583" t="n">
        <v>107</v>
      </c>
      <c r="AH583" t="inlineStr">
        <is>
          <t xml:space="preserve">CV. DAHLIA - PPN (PDG) </t>
        </is>
      </c>
      <c r="AI583" t="n">
        <v>423</v>
      </c>
      <c r="AJ583" t="inlineStr">
        <is>
          <t>CARESO</t>
        </is>
      </c>
      <c r="AK583" t="n">
        <v>9</v>
      </c>
      <c r="AL583" t="inlineStr">
        <is>
          <t>Miss Glam Jambi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CARESO</t>
        </is>
      </c>
      <c r="B584" s="2">
        <f>"30400259544"</f>
        <v/>
      </c>
      <c r="C584" t="inlineStr">
        <is>
          <t>CARESO Honey Blush Eau de Toilette (EDT) 50ML</t>
        </is>
      </c>
      <c r="D584" t="inlineStr">
        <is>
          <t>Miss Glam Jambi</t>
        </is>
      </c>
      <c r="E584" t="n">
        <v>3</v>
      </c>
      <c r="F584" t="n">
        <v>0.033</v>
      </c>
      <c r="G584" t="n">
        <v>0.33</v>
      </c>
      <c r="H584" t="n">
        <v>6</v>
      </c>
      <c r="I584" t="n">
        <v>12</v>
      </c>
      <c r="J584" t="n">
        <v>1</v>
      </c>
      <c r="K584" t="n">
        <v>0</v>
      </c>
      <c r="L584" t="n">
        <v>49600</v>
      </c>
      <c r="M584" t="n">
        <v>62000</v>
      </c>
      <c r="N584" t="n">
        <v>33</v>
      </c>
      <c r="O584" t="n">
        <v>0.33</v>
      </c>
      <c r="P584" t="n">
        <v>1</v>
      </c>
      <c r="Q584" t="n">
        <v>0.15</v>
      </c>
      <c r="R584" t="n">
        <v>1</v>
      </c>
      <c r="S584" t="n">
        <v>2046</v>
      </c>
      <c r="T584" t="n">
        <v>4</v>
      </c>
      <c r="U584" t="n">
        <v>5</v>
      </c>
      <c r="V584" t="n">
        <v>30</v>
      </c>
      <c r="W584" t="n">
        <v>1</v>
      </c>
      <c r="X584" t="n">
        <v>90.90909090909091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414</v>
      </c>
      <c r="AG584" t="n">
        <v>107</v>
      </c>
      <c r="AH584" t="inlineStr">
        <is>
          <t xml:space="preserve">CV. DAHLIA - PPN (PDG) </t>
        </is>
      </c>
      <c r="AI584" t="n">
        <v>423</v>
      </c>
      <c r="AJ584" t="inlineStr">
        <is>
          <t>CARESO</t>
        </is>
      </c>
      <c r="AK584" t="n">
        <v>9</v>
      </c>
      <c r="AL584" t="inlineStr">
        <is>
          <t>Miss Glam Jambi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CARESO</t>
        </is>
      </c>
      <c r="B585" s="2">
        <f>"30400259216"</f>
        <v/>
      </c>
      <c r="C585" t="inlineStr">
        <is>
          <t>CARESO Jasmine Blossom Eau de Toilette (EDT) 50ML</t>
        </is>
      </c>
      <c r="D585" t="inlineStr">
        <is>
          <t>Miss Glam Jambi</t>
        </is>
      </c>
      <c r="E585" t="n">
        <v>7</v>
      </c>
      <c r="F585" t="n">
        <v>0.0726</v>
      </c>
      <c r="G585" t="n">
        <v>0.66</v>
      </c>
      <c r="H585" t="n">
        <v>6</v>
      </c>
      <c r="I585" t="n">
        <v>12</v>
      </c>
      <c r="J585" t="n">
        <v>1</v>
      </c>
      <c r="K585" t="n">
        <v>0</v>
      </c>
      <c r="L585" t="n">
        <v>49600</v>
      </c>
      <c r="M585" t="n">
        <v>62000</v>
      </c>
      <c r="N585" t="n">
        <v>33</v>
      </c>
      <c r="O585" t="n">
        <v>0.33</v>
      </c>
      <c r="P585" t="n">
        <v>1</v>
      </c>
      <c r="Q585" t="n">
        <v>0.14</v>
      </c>
      <c r="R585" t="n">
        <v>1</v>
      </c>
      <c r="S585" t="n">
        <v>4501.2</v>
      </c>
      <c r="T585" t="n">
        <v>8</v>
      </c>
      <c r="U585" t="n">
        <v>9</v>
      </c>
      <c r="V585" t="n">
        <v>30</v>
      </c>
      <c r="W585" t="n">
        <v>3</v>
      </c>
      <c r="X585" t="n">
        <v>96.41873278236915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414</v>
      </c>
      <c r="AG585" t="n">
        <v>107</v>
      </c>
      <c r="AH585" t="inlineStr">
        <is>
          <t xml:space="preserve">CV. DAHLIA - PPN (PDG) </t>
        </is>
      </c>
      <c r="AI585" t="n">
        <v>423</v>
      </c>
      <c r="AJ585" t="inlineStr">
        <is>
          <t>CARESO</t>
        </is>
      </c>
      <c r="AK585" t="n">
        <v>9</v>
      </c>
      <c r="AL585" t="inlineStr">
        <is>
          <t>Miss Glam Jambi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CARESO</t>
        </is>
      </c>
      <c r="B586" s="2">
        <f>"8997234220309"</f>
        <v/>
      </c>
      <c r="C586" t="inlineStr">
        <is>
          <t>CARESO Jasmine Blossoms Body Lotion Brightening Elixir 50ml</t>
        </is>
      </c>
      <c r="D586" t="inlineStr">
        <is>
          <t>Miss Glam Jambi</t>
        </is>
      </c>
      <c r="E586" t="n">
        <v>6</v>
      </c>
      <c r="F586" t="n">
        <v>0.0396</v>
      </c>
      <c r="G586" t="n">
        <v>0.66</v>
      </c>
      <c r="H586" t="n">
        <v>6</v>
      </c>
      <c r="I586" t="n">
        <v>12</v>
      </c>
      <c r="J586" t="n">
        <v>3</v>
      </c>
      <c r="K586" t="n">
        <v>0</v>
      </c>
      <c r="L586" t="n">
        <v>22400</v>
      </c>
      <c r="M586" t="n">
        <v>28000</v>
      </c>
      <c r="N586" t="n">
        <v>33</v>
      </c>
      <c r="O586" t="n">
        <v>0.33</v>
      </c>
      <c r="P586" t="n">
        <v>1</v>
      </c>
      <c r="Q586" t="n">
        <v>0.14</v>
      </c>
      <c r="R586" t="n">
        <v>1</v>
      </c>
      <c r="S586" t="n">
        <v>1108.8</v>
      </c>
      <c r="T586" t="n">
        <v>8</v>
      </c>
      <c r="U586" t="n">
        <v>9</v>
      </c>
      <c r="V586" t="n">
        <v>30</v>
      </c>
      <c r="W586" t="n">
        <v>2</v>
      </c>
      <c r="X586" t="n">
        <v>151.5151515151515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414</v>
      </c>
      <c r="AG586" t="n">
        <v>107</v>
      </c>
      <c r="AH586" t="inlineStr">
        <is>
          <t xml:space="preserve">CV. DAHLIA - PPN (PDG) </t>
        </is>
      </c>
      <c r="AI586" t="n">
        <v>423</v>
      </c>
      <c r="AJ586" t="inlineStr">
        <is>
          <t>CARESO</t>
        </is>
      </c>
      <c r="AK586" t="n">
        <v>9</v>
      </c>
      <c r="AL586" t="inlineStr">
        <is>
          <t>Miss Glam Jambi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CARESO</t>
        </is>
      </c>
      <c r="B587" s="2">
        <f>"30100166027"</f>
        <v/>
      </c>
      <c r="C587" t="inlineStr">
        <is>
          <t>CARESO Jasmine Blossoms Brightening Body Wash 300ml</t>
        </is>
      </c>
      <c r="D587" t="inlineStr">
        <is>
          <t>Miss Glam Jambi</t>
        </is>
      </c>
      <c r="E587" t="n">
        <v>6</v>
      </c>
      <c r="F587" t="n">
        <v>0.05</v>
      </c>
      <c r="G587" t="n">
        <v>1</v>
      </c>
      <c r="H587" t="n">
        <v>6</v>
      </c>
      <c r="I587" t="n">
        <v>12</v>
      </c>
      <c r="J587" t="n">
        <v>3</v>
      </c>
      <c r="K587" t="n">
        <v>0</v>
      </c>
      <c r="L587" t="n">
        <v>49600</v>
      </c>
      <c r="M587" t="n">
        <v>62000</v>
      </c>
      <c r="N587" t="n">
        <v>33</v>
      </c>
      <c r="O587" t="n">
        <v>0.33</v>
      </c>
      <c r="P587" t="n">
        <v>0</v>
      </c>
      <c r="Q587" t="n">
        <v>0.05</v>
      </c>
      <c r="R587" t="n">
        <v>1</v>
      </c>
      <c r="S587" t="n">
        <v>3100</v>
      </c>
      <c r="T587" t="n">
        <v>12</v>
      </c>
      <c r="U587" t="n">
        <v>13</v>
      </c>
      <c r="V587" t="n">
        <v>30</v>
      </c>
      <c r="W587" t="n">
        <v>2</v>
      </c>
      <c r="X587" t="n">
        <v>120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414</v>
      </c>
      <c r="AG587" t="n">
        <v>107</v>
      </c>
      <c r="AH587" t="inlineStr">
        <is>
          <t xml:space="preserve">CV. DAHLIA - PPN (PDG) </t>
        </is>
      </c>
      <c r="AI587" t="n">
        <v>423</v>
      </c>
      <c r="AJ587" t="inlineStr">
        <is>
          <t>CARESO</t>
        </is>
      </c>
      <c r="AK587" t="n">
        <v>9</v>
      </c>
      <c r="AL587" t="inlineStr">
        <is>
          <t>Miss Glam Jambi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CARESO</t>
        </is>
      </c>
      <c r="B588" s="2">
        <f>"30400360124"</f>
        <v/>
      </c>
      <c r="C588" t="inlineStr">
        <is>
          <t>CARESO Lychee Kiss Eau De Parfum 50ml</t>
        </is>
      </c>
      <c r="D588" t="inlineStr">
        <is>
          <t>Miss Glam Jambi</t>
        </is>
      </c>
      <c r="E588" t="n">
        <v>3</v>
      </c>
      <c r="F588" t="n">
        <v>0.02</v>
      </c>
      <c r="G588" t="n">
        <v>1</v>
      </c>
      <c r="H588" t="n">
        <v>6</v>
      </c>
      <c r="I588" t="n">
        <v>12</v>
      </c>
      <c r="J588" t="n">
        <v>1</v>
      </c>
      <c r="K588" t="n">
        <v>0</v>
      </c>
      <c r="L588" t="n">
        <v>96000</v>
      </c>
      <c r="M588" t="n">
        <v>120000</v>
      </c>
      <c r="N588" t="n">
        <v>33</v>
      </c>
      <c r="O588" t="n">
        <v>0.33</v>
      </c>
      <c r="P588" t="n">
        <v>0</v>
      </c>
      <c r="Q588" t="n">
        <v>0.02</v>
      </c>
      <c r="R588" t="n">
        <v>1</v>
      </c>
      <c r="S588" t="n">
        <v>2400</v>
      </c>
      <c r="T588" t="n">
        <v>12</v>
      </c>
      <c r="U588" t="n">
        <v>13</v>
      </c>
      <c r="V588" t="n">
        <v>30</v>
      </c>
      <c r="W588" t="n">
        <v>1</v>
      </c>
      <c r="X588" t="n">
        <v>150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414</v>
      </c>
      <c r="AG588" t="n">
        <v>107</v>
      </c>
      <c r="AH588" t="inlineStr">
        <is>
          <t xml:space="preserve">CV. DAHLIA - PPN (PDG) </t>
        </is>
      </c>
      <c r="AI588" t="n">
        <v>423</v>
      </c>
      <c r="AJ588" t="inlineStr">
        <is>
          <t>CARESO</t>
        </is>
      </c>
      <c r="AK588" t="n">
        <v>9</v>
      </c>
      <c r="AL588" t="inlineStr">
        <is>
          <t>Miss Glam Jambi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CARESO</t>
        </is>
      </c>
      <c r="B589" s="2">
        <f>"30100165919"</f>
        <v/>
      </c>
      <c r="C589" t="inlineStr">
        <is>
          <t>CARESO Mon Cheri Body Wash 300ml</t>
        </is>
      </c>
      <c r="D589" t="inlineStr">
        <is>
          <t>Miss Glam Jambi</t>
        </is>
      </c>
      <c r="E589" t="n">
        <v>3</v>
      </c>
      <c r="F589" t="n">
        <v>0.006600000000000001</v>
      </c>
      <c r="G589" t="n">
        <v>0.33</v>
      </c>
      <c r="H589" t="n">
        <v>6</v>
      </c>
      <c r="I589" t="n">
        <v>12</v>
      </c>
      <c r="J589" t="n">
        <v>3</v>
      </c>
      <c r="K589" t="n">
        <v>0</v>
      </c>
      <c r="L589" t="n">
        <v>49600</v>
      </c>
      <c r="M589" t="n">
        <v>62000</v>
      </c>
      <c r="N589" t="n">
        <v>33</v>
      </c>
      <c r="O589" t="n">
        <v>0.33</v>
      </c>
      <c r="P589" t="n">
        <v>1</v>
      </c>
      <c r="Q589" t="n">
        <v>0.02</v>
      </c>
      <c r="R589" t="n">
        <v>1</v>
      </c>
      <c r="S589" t="n">
        <v>409.2</v>
      </c>
      <c r="T589" t="n">
        <v>4</v>
      </c>
      <c r="U589" t="n">
        <v>5</v>
      </c>
      <c r="V589" t="n">
        <v>30</v>
      </c>
      <c r="W589" t="n">
        <v>1</v>
      </c>
      <c r="X589" t="n">
        <v>454.5454545454545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414</v>
      </c>
      <c r="AG589" t="n">
        <v>107</v>
      </c>
      <c r="AH589" t="inlineStr">
        <is>
          <t xml:space="preserve">CV. DAHLIA - PPN (PDG) </t>
        </is>
      </c>
      <c r="AI589" t="n">
        <v>423</v>
      </c>
      <c r="AJ589" t="inlineStr">
        <is>
          <t>CARESO</t>
        </is>
      </c>
      <c r="AK589" t="n">
        <v>9</v>
      </c>
      <c r="AL589" t="inlineStr">
        <is>
          <t>Miss Glam Jambi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CARESO</t>
        </is>
      </c>
      <c r="B590" s="2">
        <f>"304002155213"</f>
        <v/>
      </c>
      <c r="C590" t="inlineStr">
        <is>
          <t>CARESO Mon Cheri Eau De Parfum 50ml</t>
        </is>
      </c>
      <c r="D590" t="inlineStr">
        <is>
          <t>Miss Glam Jambi</t>
        </is>
      </c>
      <c r="E590" t="n">
        <v>5</v>
      </c>
      <c r="F590" t="n">
        <v>0.006600000000000001</v>
      </c>
      <c r="G590" t="n">
        <v>0.33</v>
      </c>
      <c r="H590" t="n">
        <v>6</v>
      </c>
      <c r="I590" t="n">
        <v>12</v>
      </c>
      <c r="J590" t="n">
        <v>3</v>
      </c>
      <c r="K590" t="n">
        <v>0</v>
      </c>
      <c r="L590" t="n">
        <v>96000</v>
      </c>
      <c r="M590" t="n">
        <v>120000</v>
      </c>
      <c r="N590" t="n">
        <v>33</v>
      </c>
      <c r="O590" t="n">
        <v>0.33</v>
      </c>
      <c r="P590" t="n">
        <v>1</v>
      </c>
      <c r="Q590" t="n">
        <v>0.05</v>
      </c>
      <c r="R590" t="n">
        <v>2</v>
      </c>
      <c r="S590" t="n">
        <v>792.0000000000001</v>
      </c>
      <c r="T590" t="n">
        <v>4</v>
      </c>
      <c r="U590" t="n">
        <v>5</v>
      </c>
      <c r="V590" t="n">
        <v>30</v>
      </c>
      <c r="W590" t="n">
        <v>1</v>
      </c>
      <c r="X590" t="n">
        <v>757.5757575757575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414</v>
      </c>
      <c r="AG590" t="n">
        <v>107</v>
      </c>
      <c r="AH590" t="inlineStr">
        <is>
          <t xml:space="preserve">CV. DAHLIA - PPN (PDG) </t>
        </is>
      </c>
      <c r="AI590" t="n">
        <v>423</v>
      </c>
      <c r="AJ590" t="inlineStr">
        <is>
          <t>CARESO</t>
        </is>
      </c>
      <c r="AK590" t="n">
        <v>9</v>
      </c>
      <c r="AL590" t="inlineStr">
        <is>
          <t>Miss Glam Jambi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CARESO</t>
        </is>
      </c>
      <c r="B591" s="2">
        <f>"304002155416"</f>
        <v/>
      </c>
      <c r="C591" t="inlineStr">
        <is>
          <t>CARESO Oud Rouge Eau De Parfum 50ml</t>
        </is>
      </c>
      <c r="D591" t="inlineStr">
        <is>
          <t>Miss Glam Jambi</t>
        </is>
      </c>
      <c r="E591" t="n">
        <v>6</v>
      </c>
      <c r="F591" t="n">
        <v>0.07920000000000001</v>
      </c>
      <c r="G591" t="n">
        <v>0.33</v>
      </c>
      <c r="H591" t="n">
        <v>6</v>
      </c>
      <c r="I591" t="n">
        <v>12</v>
      </c>
      <c r="J591" t="n">
        <v>3</v>
      </c>
      <c r="K591" t="n">
        <v>0</v>
      </c>
      <c r="L591" t="n">
        <v>96000</v>
      </c>
      <c r="M591" t="n">
        <v>120000</v>
      </c>
      <c r="N591" t="n">
        <v>33</v>
      </c>
      <c r="O591" t="n">
        <v>0.33</v>
      </c>
      <c r="P591" t="n">
        <v>1</v>
      </c>
      <c r="Q591" t="n">
        <v>0.12</v>
      </c>
      <c r="R591" t="n">
        <v>3</v>
      </c>
      <c r="S591" t="n">
        <v>9504</v>
      </c>
      <c r="T591" t="n">
        <v>4</v>
      </c>
      <c r="U591" t="n">
        <v>5</v>
      </c>
      <c r="V591" t="n">
        <v>30</v>
      </c>
      <c r="W591" t="n">
        <v>3</v>
      </c>
      <c r="X591" t="n">
        <v>75.75757575757575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414</v>
      </c>
      <c r="AG591" t="n">
        <v>107</v>
      </c>
      <c r="AH591" t="inlineStr">
        <is>
          <t xml:space="preserve">CV. DAHLIA - PPN (PDG) </t>
        </is>
      </c>
      <c r="AI591" t="n">
        <v>423</v>
      </c>
      <c r="AJ591" t="inlineStr">
        <is>
          <t>CARESO</t>
        </is>
      </c>
      <c r="AK591" t="n">
        <v>9</v>
      </c>
      <c r="AL591" t="inlineStr">
        <is>
          <t>Miss Glam Jambi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CARESO</t>
        </is>
      </c>
      <c r="B592" s="2">
        <f>"8997234220705"</f>
        <v/>
      </c>
      <c r="C592" t="inlineStr">
        <is>
          <t>CARESO Secret Garden Body Lotion Brightening Elixir 50ml</t>
        </is>
      </c>
      <c r="D592" t="inlineStr">
        <is>
          <t>Miss Glam Jambi</t>
        </is>
      </c>
      <c r="E592" t="n">
        <v>6</v>
      </c>
      <c r="F592" t="n">
        <v>0.009900000000000001</v>
      </c>
      <c r="G592" t="n">
        <v>0.33</v>
      </c>
      <c r="H592" t="n">
        <v>6</v>
      </c>
      <c r="I592" t="n">
        <v>12</v>
      </c>
      <c r="J592" t="n">
        <v>3</v>
      </c>
      <c r="K592" t="n">
        <v>0</v>
      </c>
      <c r="L592" t="n">
        <v>22400</v>
      </c>
      <c r="M592" t="n">
        <v>28000</v>
      </c>
      <c r="N592" t="n">
        <v>33</v>
      </c>
      <c r="O592" t="n">
        <v>0.33</v>
      </c>
      <c r="P592" t="n">
        <v>1</v>
      </c>
      <c r="Q592" t="n">
        <v>0.02</v>
      </c>
      <c r="R592" t="n">
        <v>0</v>
      </c>
      <c r="S592" t="n">
        <v>277.2</v>
      </c>
      <c r="T592" t="n">
        <v>4</v>
      </c>
      <c r="U592" t="n">
        <v>5</v>
      </c>
      <c r="V592" t="n">
        <v>30</v>
      </c>
      <c r="W592" t="n">
        <v>1</v>
      </c>
      <c r="X592" t="n">
        <v>606.060606060606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414</v>
      </c>
      <c r="AG592" t="n">
        <v>107</v>
      </c>
      <c r="AH592" t="inlineStr">
        <is>
          <t xml:space="preserve">CV. DAHLIA - PPN (PDG) </t>
        </is>
      </c>
      <c r="AI592" t="n">
        <v>423</v>
      </c>
      <c r="AJ592" t="inlineStr">
        <is>
          <t>CARESO</t>
        </is>
      </c>
      <c r="AK592" t="n">
        <v>9</v>
      </c>
      <c r="AL592" t="inlineStr">
        <is>
          <t>Miss Glam Jambi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CARESO</t>
        </is>
      </c>
      <c r="B593" s="2">
        <f>"8997234220354"</f>
        <v/>
      </c>
      <c r="C593" t="inlineStr">
        <is>
          <t>CARESO Spring In New York Body Lotion Brightening Elixir 50ml</t>
        </is>
      </c>
      <c r="D593" t="inlineStr">
        <is>
          <t>Miss Glam Jambi</t>
        </is>
      </c>
      <c r="E593" t="n">
        <v>3</v>
      </c>
      <c r="F593" t="n">
        <v>0.0165</v>
      </c>
      <c r="G593" t="n">
        <v>0.33</v>
      </c>
      <c r="H593" t="n">
        <v>6</v>
      </c>
      <c r="I593" t="n">
        <v>12</v>
      </c>
      <c r="J593" t="n">
        <v>3</v>
      </c>
      <c r="K593" t="n">
        <v>0</v>
      </c>
      <c r="L593" t="n">
        <v>22400</v>
      </c>
      <c r="M593" t="n">
        <v>28000</v>
      </c>
      <c r="N593" t="n">
        <v>33</v>
      </c>
      <c r="O593" t="n">
        <v>0.33</v>
      </c>
      <c r="P593" t="n">
        <v>1</v>
      </c>
      <c r="Q593" t="n">
        <v>0.03</v>
      </c>
      <c r="R593" t="n">
        <v>1</v>
      </c>
      <c r="S593" t="n">
        <v>462</v>
      </c>
      <c r="T593" t="n">
        <v>4</v>
      </c>
      <c r="U593" t="n">
        <v>5</v>
      </c>
      <c r="V593" t="n">
        <v>30</v>
      </c>
      <c r="W593" t="n">
        <v>1</v>
      </c>
      <c r="X593" t="n">
        <v>181.8181818181818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414</v>
      </c>
      <c r="AG593" t="n">
        <v>107</v>
      </c>
      <c r="AH593" t="inlineStr">
        <is>
          <t xml:space="preserve">CV. DAHLIA - PPN (PDG) </t>
        </is>
      </c>
      <c r="AI593" t="n">
        <v>423</v>
      </c>
      <c r="AJ593" t="inlineStr">
        <is>
          <t>CARESO</t>
        </is>
      </c>
      <c r="AK593" t="n">
        <v>9</v>
      </c>
      <c r="AL593" t="inlineStr">
        <is>
          <t>Miss Glam Jambi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CARESO</t>
        </is>
      </c>
      <c r="B594" s="2">
        <f>"30400360011"</f>
        <v/>
      </c>
      <c r="C594" t="inlineStr">
        <is>
          <t>CARESO Spring In New York Eau De Parfum 50ml</t>
        </is>
      </c>
      <c r="D594" t="inlineStr">
        <is>
          <t>Miss Glam Jambi</t>
        </is>
      </c>
      <c r="E594" t="n">
        <v>5</v>
      </c>
      <c r="F594" t="n">
        <v>0.0396</v>
      </c>
      <c r="G594" t="n">
        <v>0.33</v>
      </c>
      <c r="H594" t="n">
        <v>6</v>
      </c>
      <c r="I594" t="n">
        <v>12</v>
      </c>
      <c r="J594" t="n">
        <v>1</v>
      </c>
      <c r="K594" t="n">
        <v>0</v>
      </c>
      <c r="L594" t="n">
        <v>96000</v>
      </c>
      <c r="M594" t="n">
        <v>120000</v>
      </c>
      <c r="N594" t="n">
        <v>33</v>
      </c>
      <c r="O594" t="n">
        <v>0.33</v>
      </c>
      <c r="P594" t="n">
        <v>1</v>
      </c>
      <c r="Q594" t="n">
        <v>0.03</v>
      </c>
      <c r="R594" t="n">
        <v>1</v>
      </c>
      <c r="S594" t="n">
        <v>4752</v>
      </c>
      <c r="T594" t="n">
        <v>4</v>
      </c>
      <c r="U594" t="n">
        <v>5</v>
      </c>
      <c r="V594" t="n">
        <v>30</v>
      </c>
      <c r="W594" t="n">
        <v>2</v>
      </c>
      <c r="X594" t="n">
        <v>126.2626262626263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414</v>
      </c>
      <c r="AG594" t="n">
        <v>107</v>
      </c>
      <c r="AH594" t="inlineStr">
        <is>
          <t xml:space="preserve">CV. DAHLIA - PPN (PDG) </t>
        </is>
      </c>
      <c r="AI594" t="n">
        <v>423</v>
      </c>
      <c r="AJ594" t="inlineStr">
        <is>
          <t>CARESO</t>
        </is>
      </c>
      <c r="AK594" t="n">
        <v>9</v>
      </c>
      <c r="AL594" t="inlineStr">
        <is>
          <t>Miss Glam Jambi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CARESO</t>
        </is>
      </c>
      <c r="B595" s="2">
        <f>"30400259605"</f>
        <v/>
      </c>
      <c r="C595" t="inlineStr">
        <is>
          <t>CARESO Spring In New York Eau de Toilette (EDT) 50ML</t>
        </is>
      </c>
      <c r="D595" t="inlineStr">
        <is>
          <t>Miss Glam Jambi</t>
        </is>
      </c>
      <c r="E595" t="n">
        <v>10</v>
      </c>
      <c r="F595" t="n">
        <v>0.0495</v>
      </c>
      <c r="G595" t="n">
        <v>0.66</v>
      </c>
      <c r="H595" t="n">
        <v>6</v>
      </c>
      <c r="I595" t="n">
        <v>12</v>
      </c>
      <c r="J595" t="n">
        <v>1</v>
      </c>
      <c r="K595" t="n">
        <v>0</v>
      </c>
      <c r="L595" t="n">
        <v>49600</v>
      </c>
      <c r="M595" t="n">
        <v>62000</v>
      </c>
      <c r="N595" t="n">
        <v>33</v>
      </c>
      <c r="O595" t="n">
        <v>0.33</v>
      </c>
      <c r="P595" t="n">
        <v>1</v>
      </c>
      <c r="Q595" t="n">
        <v>0.14</v>
      </c>
      <c r="R595" t="n">
        <v>2</v>
      </c>
      <c r="S595" t="n">
        <v>3069</v>
      </c>
      <c r="T595" t="n">
        <v>8</v>
      </c>
      <c r="U595" t="n">
        <v>9</v>
      </c>
      <c r="V595" t="n">
        <v>30</v>
      </c>
      <c r="W595" t="n">
        <v>2</v>
      </c>
      <c r="X595" t="n">
        <v>202.020202020202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414</v>
      </c>
      <c r="AG595" t="n">
        <v>107</v>
      </c>
      <c r="AH595" t="inlineStr">
        <is>
          <t xml:space="preserve">CV. DAHLIA - PPN (PDG) </t>
        </is>
      </c>
      <c r="AI595" t="n">
        <v>423</v>
      </c>
      <c r="AJ595" t="inlineStr">
        <is>
          <t>CARESO</t>
        </is>
      </c>
      <c r="AK595" t="n">
        <v>9</v>
      </c>
      <c r="AL595" t="inlineStr">
        <is>
          <t>Miss Glam Jambi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CARESO</t>
        </is>
      </c>
      <c r="B596" s="2">
        <f>"8997234221238"</f>
        <v/>
      </c>
      <c r="C596" t="inlineStr">
        <is>
          <t>CARESO Sweet Violet Body Lotion Brightening Elixir 300ml</t>
        </is>
      </c>
      <c r="D596" t="inlineStr">
        <is>
          <t>Miss Glam Jambi</t>
        </is>
      </c>
      <c r="E596" t="n">
        <v>2</v>
      </c>
      <c r="F596" t="n">
        <v>0.009900000000000001</v>
      </c>
      <c r="G596" t="n">
        <v>0.33</v>
      </c>
      <c r="H596" t="n">
        <v>6</v>
      </c>
      <c r="I596" t="n">
        <v>12</v>
      </c>
      <c r="J596" t="n">
        <v>3</v>
      </c>
      <c r="K596" t="n">
        <v>0</v>
      </c>
      <c r="L596" t="n">
        <v>54400</v>
      </c>
      <c r="M596" t="n">
        <v>68000</v>
      </c>
      <c r="N596" t="n">
        <v>33</v>
      </c>
      <c r="O596" t="n">
        <v>0.33</v>
      </c>
      <c r="P596" t="n">
        <v>1</v>
      </c>
      <c r="Q596" t="n">
        <v>0.03</v>
      </c>
      <c r="R596" t="n">
        <v>1</v>
      </c>
      <c r="S596" t="n">
        <v>673.2</v>
      </c>
      <c r="T596" t="n">
        <v>4</v>
      </c>
      <c r="U596" t="n">
        <v>5</v>
      </c>
      <c r="V596" t="n">
        <v>30</v>
      </c>
      <c r="W596" t="n">
        <v>1</v>
      </c>
      <c r="X596" t="n">
        <v>202.020202020202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414</v>
      </c>
      <c r="AG596" t="n">
        <v>107</v>
      </c>
      <c r="AH596" t="inlineStr">
        <is>
          <t xml:space="preserve">CV. DAHLIA - PPN (PDG) </t>
        </is>
      </c>
      <c r="AI596" t="n">
        <v>423</v>
      </c>
      <c r="AJ596" t="inlineStr">
        <is>
          <t>CARESO</t>
        </is>
      </c>
      <c r="AK596" t="n">
        <v>9</v>
      </c>
      <c r="AL596" t="inlineStr">
        <is>
          <t>Miss Glam Jambi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CARESO</t>
        </is>
      </c>
      <c r="B597" s="2">
        <f>"8997234221153"</f>
        <v/>
      </c>
      <c r="C597" t="inlineStr">
        <is>
          <t>CARESO Sweet Violet Eau De Parfum 50ml</t>
        </is>
      </c>
      <c r="D597" t="inlineStr">
        <is>
          <t>Miss Glam Jambi</t>
        </is>
      </c>
      <c r="E597" t="n">
        <v>2</v>
      </c>
      <c r="F597" t="n">
        <v>0.009900000000000001</v>
      </c>
      <c r="G597" t="n">
        <v>0.33</v>
      </c>
      <c r="H597" t="n">
        <v>6</v>
      </c>
      <c r="I597" t="n">
        <v>12</v>
      </c>
      <c r="J597" t="n">
        <v>3</v>
      </c>
      <c r="K597" t="n">
        <v>0</v>
      </c>
      <c r="L597" t="n">
        <v>96000</v>
      </c>
      <c r="M597" t="n">
        <v>120000</v>
      </c>
      <c r="N597" t="n">
        <v>33</v>
      </c>
      <c r="O597" t="n">
        <v>0.33</v>
      </c>
      <c r="P597" t="n">
        <v>1</v>
      </c>
      <c r="Q597" t="n">
        <v>0.05</v>
      </c>
      <c r="R597" t="n">
        <v>1</v>
      </c>
      <c r="S597" t="n">
        <v>1188</v>
      </c>
      <c r="T597" t="n">
        <v>4</v>
      </c>
      <c r="U597" t="n">
        <v>5</v>
      </c>
      <c r="V597" t="n">
        <v>30</v>
      </c>
      <c r="W597" t="n">
        <v>1</v>
      </c>
      <c r="X597" t="n">
        <v>202.020202020202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414</v>
      </c>
      <c r="AG597" t="n">
        <v>107</v>
      </c>
      <c r="AH597" t="inlineStr">
        <is>
          <t xml:space="preserve">CV. DAHLIA - PPN (PDG) </t>
        </is>
      </c>
      <c r="AI597" t="n">
        <v>423</v>
      </c>
      <c r="AJ597" t="inlineStr">
        <is>
          <t>CARESO</t>
        </is>
      </c>
      <c r="AK597" t="n">
        <v>9</v>
      </c>
      <c r="AL597" t="inlineStr">
        <is>
          <t>Miss Glam Jambi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CARESO</t>
        </is>
      </c>
      <c r="B598" s="2">
        <f>"8997234220316"</f>
        <v/>
      </c>
      <c r="C598" t="inlineStr">
        <is>
          <t>CARESO Velvet Rose Body Lotion Brightening Elixir 50ml</t>
        </is>
      </c>
      <c r="D598" t="inlineStr">
        <is>
          <t>Miss Glam Jambi</t>
        </is>
      </c>
      <c r="E598" t="n">
        <v>7</v>
      </c>
      <c r="F598" t="n">
        <v>0.0726</v>
      </c>
      <c r="G598" t="n">
        <v>0.66</v>
      </c>
      <c r="H598" t="n">
        <v>6</v>
      </c>
      <c r="I598" t="n">
        <v>12</v>
      </c>
      <c r="J598" t="n">
        <v>3</v>
      </c>
      <c r="K598" t="n">
        <v>0</v>
      </c>
      <c r="L598" t="n">
        <v>22400</v>
      </c>
      <c r="M598" t="n">
        <v>28000</v>
      </c>
      <c r="N598" t="n">
        <v>33</v>
      </c>
      <c r="O598" t="n">
        <v>0.33</v>
      </c>
      <c r="P598" t="n">
        <v>1</v>
      </c>
      <c r="Q598" t="n">
        <v>0.07000000000000001</v>
      </c>
      <c r="R598" t="n">
        <v>2</v>
      </c>
      <c r="S598" t="n">
        <v>2032.8</v>
      </c>
      <c r="T598" t="n">
        <v>8</v>
      </c>
      <c r="U598" t="n">
        <v>9</v>
      </c>
      <c r="V598" t="n">
        <v>30</v>
      </c>
      <c r="W598" t="n">
        <v>3</v>
      </c>
      <c r="X598" t="n">
        <v>96.41873278236915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414</v>
      </c>
      <c r="AG598" t="n">
        <v>107</v>
      </c>
      <c r="AH598" t="inlineStr">
        <is>
          <t xml:space="preserve">CV. DAHLIA - PPN (PDG) </t>
        </is>
      </c>
      <c r="AI598" t="n">
        <v>423</v>
      </c>
      <c r="AJ598" t="inlineStr">
        <is>
          <t>CARESO</t>
        </is>
      </c>
      <c r="AK598" t="n">
        <v>9</v>
      </c>
      <c r="AL598" t="inlineStr">
        <is>
          <t>Miss Glam Jambi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CARESO</t>
        </is>
      </c>
      <c r="B599" s="2">
        <f>"8997234221023"</f>
        <v/>
      </c>
      <c r="C599" t="inlineStr">
        <is>
          <t>CARESO Velvet Rose Brightening Body Wash 300ml</t>
        </is>
      </c>
      <c r="D599" t="inlineStr">
        <is>
          <t>Miss Glam Jambi</t>
        </is>
      </c>
      <c r="E599" t="n">
        <v>3</v>
      </c>
      <c r="F599" t="n">
        <v>0.02</v>
      </c>
      <c r="G599" t="n">
        <v>1</v>
      </c>
      <c r="H599" t="n">
        <v>6</v>
      </c>
      <c r="I599" t="n">
        <v>12</v>
      </c>
      <c r="J599" t="n">
        <v>3</v>
      </c>
      <c r="K599" t="n">
        <v>0</v>
      </c>
      <c r="L599" t="n">
        <v>49600</v>
      </c>
      <c r="M599" t="n">
        <v>62000</v>
      </c>
      <c r="N599" t="n">
        <v>33</v>
      </c>
      <c r="O599" t="n">
        <v>0.33</v>
      </c>
      <c r="P599" t="n">
        <v>0</v>
      </c>
      <c r="Q599" t="n">
        <v>0.02</v>
      </c>
      <c r="R599" t="n">
        <v>1</v>
      </c>
      <c r="S599" t="n">
        <v>1240</v>
      </c>
      <c r="T599" t="n">
        <v>12</v>
      </c>
      <c r="U599" t="n">
        <v>13</v>
      </c>
      <c r="V599" t="n">
        <v>30</v>
      </c>
      <c r="W599" t="n">
        <v>1</v>
      </c>
      <c r="X599" t="n">
        <v>150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414</v>
      </c>
      <c r="AG599" t="n">
        <v>107</v>
      </c>
      <c r="AH599" t="inlineStr">
        <is>
          <t xml:space="preserve">CV. DAHLIA - PPN (PDG) </t>
        </is>
      </c>
      <c r="AI599" t="n">
        <v>423</v>
      </c>
      <c r="AJ599" t="inlineStr">
        <is>
          <t>CARESO</t>
        </is>
      </c>
      <c r="AK599" t="n">
        <v>9</v>
      </c>
      <c r="AL599" t="inlineStr">
        <is>
          <t>Miss Glam Jambi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CARESO</t>
        </is>
      </c>
      <c r="B600" s="2">
        <f>"30400258814"</f>
        <v/>
      </c>
      <c r="C600" t="inlineStr">
        <is>
          <t>CARESO Velvet Rose Eau de Toilette (EDT) 50ml</t>
        </is>
      </c>
      <c r="D600" t="inlineStr">
        <is>
          <t>Miss Glam Jambi</t>
        </is>
      </c>
      <c r="E600" t="n">
        <v>10</v>
      </c>
      <c r="F600" t="n">
        <v>0.0825</v>
      </c>
      <c r="G600" t="n">
        <v>0.99</v>
      </c>
      <c r="H600" t="n">
        <v>6</v>
      </c>
      <c r="I600" t="n">
        <v>12</v>
      </c>
      <c r="J600" t="n">
        <v>1</v>
      </c>
      <c r="K600" t="n">
        <v>0</v>
      </c>
      <c r="L600" t="n">
        <v>49600</v>
      </c>
      <c r="M600" t="n">
        <v>62000</v>
      </c>
      <c r="N600" t="n">
        <v>33</v>
      </c>
      <c r="O600" t="n">
        <v>0.33</v>
      </c>
      <c r="P600" t="n">
        <v>1</v>
      </c>
      <c r="Q600" t="n">
        <v>0.24</v>
      </c>
      <c r="R600" t="n">
        <v>2</v>
      </c>
      <c r="S600" t="n">
        <v>5115</v>
      </c>
      <c r="T600" t="n">
        <v>12</v>
      </c>
      <c r="U600" t="n">
        <v>13</v>
      </c>
      <c r="V600" t="n">
        <v>30</v>
      </c>
      <c r="W600" t="n">
        <v>3</v>
      </c>
      <c r="X600" t="n">
        <v>121.2121212121212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414</v>
      </c>
      <c r="AG600" t="n">
        <v>107</v>
      </c>
      <c r="AH600" t="inlineStr">
        <is>
          <t xml:space="preserve">CV. DAHLIA - PPN (PDG) </t>
        </is>
      </c>
      <c r="AI600" t="n">
        <v>423</v>
      </c>
      <c r="AJ600" t="inlineStr">
        <is>
          <t>CARESO</t>
        </is>
      </c>
      <c r="AK600" t="n">
        <v>9</v>
      </c>
      <c r="AL600" t="inlineStr">
        <is>
          <t>Miss Glam Jambi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CARESO</t>
        </is>
      </c>
      <c r="B601" s="2">
        <f>"30400263116"</f>
        <v/>
      </c>
      <c r="C601" t="inlineStr">
        <is>
          <t>CARESO White Persion Peach Eau De Oud 50ml</t>
        </is>
      </c>
      <c r="D601" t="inlineStr">
        <is>
          <t>Miss Glam Jambi</t>
        </is>
      </c>
      <c r="E601" t="n">
        <v>4</v>
      </c>
      <c r="F601" t="n">
        <v>0.033</v>
      </c>
      <c r="G601" t="n">
        <v>0.66</v>
      </c>
      <c r="H601" t="n">
        <v>6</v>
      </c>
      <c r="I601" t="n">
        <v>12</v>
      </c>
      <c r="J601" t="n">
        <v>1</v>
      </c>
      <c r="K601" t="n">
        <v>0</v>
      </c>
      <c r="L601" t="n">
        <v>49600</v>
      </c>
      <c r="M601" t="n">
        <v>62000</v>
      </c>
      <c r="N601" t="n">
        <v>33</v>
      </c>
      <c r="O601" t="n">
        <v>0.33</v>
      </c>
      <c r="P601" t="n">
        <v>1</v>
      </c>
      <c r="Q601" t="n">
        <v>0.02</v>
      </c>
      <c r="R601" t="n">
        <v>1</v>
      </c>
      <c r="S601" t="n">
        <v>2046</v>
      </c>
      <c r="T601" t="n">
        <v>8</v>
      </c>
      <c r="U601" t="n">
        <v>9</v>
      </c>
      <c r="V601" t="n">
        <v>30</v>
      </c>
      <c r="W601" t="n">
        <v>1</v>
      </c>
      <c r="X601" t="n">
        <v>121.2121212121212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414</v>
      </c>
      <c r="AG601" t="n">
        <v>107</v>
      </c>
      <c r="AH601" t="inlineStr">
        <is>
          <t xml:space="preserve">CV. DAHLIA - PPN (PDG) </t>
        </is>
      </c>
      <c r="AI601" t="n">
        <v>423</v>
      </c>
      <c r="AJ601" t="inlineStr">
        <is>
          <t>CARESO</t>
        </is>
      </c>
      <c r="AK601" t="n">
        <v>9</v>
      </c>
      <c r="AL601" t="inlineStr">
        <is>
          <t>Miss Glam Jambi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CBD</t>
        </is>
      </c>
      <c r="B602" s="2">
        <f>"8997226227262"</f>
        <v/>
      </c>
      <c r="C602" t="inlineStr">
        <is>
          <t>CBD  Color Shield Hair Mask With Pomegranate Extract 250gr</t>
        </is>
      </c>
      <c r="D602" t="inlineStr">
        <is>
          <t>Miss Glam Jambi</t>
        </is>
      </c>
      <c r="E602" t="n">
        <v>2</v>
      </c>
      <c r="F602" t="n">
        <v>0.0462</v>
      </c>
      <c r="G602" t="n">
        <v>0.33</v>
      </c>
      <c r="H602" t="n">
        <v>2</v>
      </c>
      <c r="I602" t="n">
        <v>6</v>
      </c>
      <c r="J602" t="n">
        <v>3</v>
      </c>
      <c r="K602" t="n">
        <v>0</v>
      </c>
      <c r="L602" t="n">
        <v>54079</v>
      </c>
      <c r="M602" t="n">
        <v>60500</v>
      </c>
      <c r="N602" t="n">
        <v>33</v>
      </c>
      <c r="O602" t="n">
        <v>0.33</v>
      </c>
      <c r="P602" t="n">
        <v>1</v>
      </c>
      <c r="Q602" t="n">
        <v>0.17</v>
      </c>
      <c r="R602" t="n">
        <v>2</v>
      </c>
      <c r="S602" t="n">
        <v>2795.1</v>
      </c>
      <c r="T602" t="n">
        <v>2</v>
      </c>
      <c r="U602" t="n">
        <v>3</v>
      </c>
      <c r="V602" t="n">
        <v>30</v>
      </c>
      <c r="W602" t="n">
        <v>2</v>
      </c>
      <c r="X602" t="n">
        <v>43.29004329004329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1366</v>
      </c>
      <c r="AG602" t="n">
        <v>2136</v>
      </c>
      <c r="AH602" t="inlineStr">
        <is>
          <t>CV. SAMUDRA JAYA ABADI - PPN (JMB)</t>
        </is>
      </c>
      <c r="AI602" t="n">
        <v>1160</v>
      </c>
      <c r="AJ602" t="inlineStr">
        <is>
          <t>CBD</t>
        </is>
      </c>
      <c r="AK602" t="n">
        <v>9</v>
      </c>
      <c r="AL602" t="inlineStr">
        <is>
          <t>Miss Glam Jambi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CBD</t>
        </is>
      </c>
      <c r="B603" s="2">
        <f>"40200237905"</f>
        <v/>
      </c>
      <c r="C603" t="inlineStr">
        <is>
          <t>CBD Bio+ Peptide Complex 35gr</t>
        </is>
      </c>
      <c r="D603" t="inlineStr">
        <is>
          <t>Miss Glam Jambi</t>
        </is>
      </c>
      <c r="E603" t="n">
        <v>17</v>
      </c>
      <c r="F603" t="n">
        <v>0.264</v>
      </c>
      <c r="G603" t="n">
        <v>1.32</v>
      </c>
      <c r="H603" t="n">
        <v>2</v>
      </c>
      <c r="I603" t="n">
        <v>6</v>
      </c>
      <c r="J603" t="n">
        <v>1</v>
      </c>
      <c r="K603" t="n">
        <v>0</v>
      </c>
      <c r="L603" t="n">
        <v>7785</v>
      </c>
      <c r="M603" t="n">
        <v>10000</v>
      </c>
      <c r="N603" t="n">
        <v>33</v>
      </c>
      <c r="O603" t="n">
        <v>0.33</v>
      </c>
      <c r="P603" t="n">
        <v>1</v>
      </c>
      <c r="Q603" t="n">
        <v>0.08</v>
      </c>
      <c r="R603" t="n">
        <v>3</v>
      </c>
      <c r="S603" t="n">
        <v>2640</v>
      </c>
      <c r="T603" t="n">
        <v>8</v>
      </c>
      <c r="U603" t="n">
        <v>9</v>
      </c>
      <c r="V603" t="n">
        <v>30</v>
      </c>
      <c r="W603" t="n">
        <v>8</v>
      </c>
      <c r="X603" t="n">
        <v>64.39393939393939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1366</v>
      </c>
      <c r="AG603" t="n">
        <v>2136</v>
      </c>
      <c r="AH603" t="inlineStr">
        <is>
          <t>CV. SAMUDRA JAYA ABADI - PPN (JMB)</t>
        </is>
      </c>
      <c r="AI603" t="n">
        <v>1160</v>
      </c>
      <c r="AJ603" t="inlineStr">
        <is>
          <t>CBD</t>
        </is>
      </c>
      <c r="AK603" t="n">
        <v>9</v>
      </c>
      <c r="AL603" t="inlineStr">
        <is>
          <t>Miss Glam Jambi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CBD</t>
        </is>
      </c>
      <c r="B604" s="2">
        <f>"40200120302"</f>
        <v/>
      </c>
      <c r="C604" t="inlineStr">
        <is>
          <t>CBD Bio+ Peptide Complex Hair Serum 10ml</t>
        </is>
      </c>
      <c r="D604" t="inlineStr">
        <is>
          <t>Miss Glam Jambi</t>
        </is>
      </c>
      <c r="E604" t="n">
        <v>3</v>
      </c>
      <c r="F604" t="n">
        <v>0.1</v>
      </c>
      <c r="G604" t="n">
        <v>4</v>
      </c>
      <c r="H604" t="n">
        <v>2</v>
      </c>
      <c r="I604" t="n">
        <v>6</v>
      </c>
      <c r="J604" t="n">
        <v>1</v>
      </c>
      <c r="K604" t="n">
        <v>0</v>
      </c>
      <c r="L604" t="n">
        <v>25336</v>
      </c>
      <c r="M604" t="n">
        <v>30000</v>
      </c>
      <c r="N604" t="n">
        <v>33</v>
      </c>
      <c r="O604" t="n">
        <v>0.33</v>
      </c>
      <c r="P604" t="n">
        <v>0</v>
      </c>
      <c r="Q604" t="n">
        <v>0.1</v>
      </c>
      <c r="R604" t="n">
        <v>4</v>
      </c>
      <c r="S604" t="n">
        <v>3000</v>
      </c>
      <c r="T604" t="n">
        <v>24</v>
      </c>
      <c r="U604" t="n">
        <v>25</v>
      </c>
      <c r="V604" t="n">
        <v>30</v>
      </c>
      <c r="W604" t="n">
        <v>3</v>
      </c>
      <c r="X604" t="n">
        <v>30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1366</v>
      </c>
      <c r="AG604" t="n">
        <v>2136</v>
      </c>
      <c r="AH604" t="inlineStr">
        <is>
          <t>CV. SAMUDRA JAYA ABADI - PPN (JMB)</t>
        </is>
      </c>
      <c r="AI604" t="n">
        <v>1160</v>
      </c>
      <c r="AJ604" t="inlineStr">
        <is>
          <t>CBD</t>
        </is>
      </c>
      <c r="AK604" t="n">
        <v>9</v>
      </c>
      <c r="AL604" t="inlineStr">
        <is>
          <t>Miss Glam Jambi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CBD</t>
        </is>
      </c>
      <c r="B605" s="2">
        <f>"40200408020"</f>
        <v/>
      </c>
      <c r="C605" t="inlineStr">
        <is>
          <t>CBD Bio+ Peptide Complex Hair Tonic 100ml</t>
        </is>
      </c>
      <c r="D605" t="inlineStr">
        <is>
          <t>Miss Glam Jambi</t>
        </is>
      </c>
      <c r="E605" t="n">
        <v>4</v>
      </c>
      <c r="F605" t="n">
        <v>0.006600000000000001</v>
      </c>
      <c r="G605" t="n">
        <v>0.33</v>
      </c>
      <c r="H605" t="n">
        <v>2</v>
      </c>
      <c r="I605" t="n">
        <v>6</v>
      </c>
      <c r="J605" t="n">
        <v>1</v>
      </c>
      <c r="K605" t="n">
        <v>0</v>
      </c>
      <c r="L605" t="n">
        <v>49185</v>
      </c>
      <c r="M605" t="n">
        <v>58000</v>
      </c>
      <c r="N605" t="n">
        <v>33</v>
      </c>
      <c r="O605" t="n">
        <v>0.33</v>
      </c>
      <c r="P605" t="n">
        <v>1</v>
      </c>
      <c r="Q605" t="n">
        <v>0.03</v>
      </c>
      <c r="R605" t="n">
        <v>1</v>
      </c>
      <c r="S605" t="n">
        <v>382.8000000000001</v>
      </c>
      <c r="T605" t="n">
        <v>2</v>
      </c>
      <c r="U605" t="n">
        <v>3</v>
      </c>
      <c r="V605" t="n">
        <v>30</v>
      </c>
      <c r="W605" t="n">
        <v>1</v>
      </c>
      <c r="X605" t="n">
        <v>606.060606060606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1366</v>
      </c>
      <c r="AG605" t="n">
        <v>2136</v>
      </c>
      <c r="AH605" t="inlineStr">
        <is>
          <t>CV. SAMUDRA JAYA ABADI - PPN (JMB)</t>
        </is>
      </c>
      <c r="AI605" t="n">
        <v>1160</v>
      </c>
      <c r="AJ605" t="inlineStr">
        <is>
          <t>CBD</t>
        </is>
      </c>
      <c r="AK605" t="n">
        <v>9</v>
      </c>
      <c r="AL605" t="inlineStr">
        <is>
          <t>Miss Glam Jambi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"8997226224445"</f>
        <v/>
      </c>
      <c r="C606" t="inlineStr">
        <is>
          <t>CBD Collagen Repair Conditioner With Raspberry Extract Marine Collagen &amp; Pro Vitamin B5 250ml</t>
        </is>
      </c>
      <c r="D606" t="inlineStr">
        <is>
          <t>Miss Glam Jambi</t>
        </is>
      </c>
      <c r="E606" t="n">
        <v>5</v>
      </c>
      <c r="F606" t="n">
        <v>0.0726</v>
      </c>
      <c r="G606" t="n">
        <v>0.66</v>
      </c>
      <c r="H606" t="n">
        <v>2</v>
      </c>
      <c r="I606" t="n">
        <v>6</v>
      </c>
      <c r="J606" t="n">
        <v>3</v>
      </c>
      <c r="K606" t="n">
        <v>0</v>
      </c>
      <c r="L606" t="n">
        <v>40410</v>
      </c>
      <c r="M606" t="n">
        <v>45000</v>
      </c>
      <c r="N606" t="n">
        <v>33</v>
      </c>
      <c r="O606" t="n">
        <v>0.33</v>
      </c>
      <c r="P606" t="n">
        <v>1</v>
      </c>
      <c r="Q606" t="n">
        <v>0.07000000000000001</v>
      </c>
      <c r="R606" t="n">
        <v>2</v>
      </c>
      <c r="S606" t="n">
        <v>3267</v>
      </c>
      <c r="T606" t="n">
        <v>4</v>
      </c>
      <c r="U606" t="n">
        <v>5</v>
      </c>
      <c r="V606" t="n">
        <v>30</v>
      </c>
      <c r="W606" t="n">
        <v>3</v>
      </c>
      <c r="X606" t="n">
        <v>68.87052341597796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1366</v>
      </c>
      <c r="AG606" t="n">
        <v>2136</v>
      </c>
      <c r="AH606" t="inlineStr">
        <is>
          <t>CV. SAMUDRA JAYA ABADI - PPN (JMB)</t>
        </is>
      </c>
      <c r="AI606" t="n">
        <v>1160</v>
      </c>
      <c r="AJ606" t="inlineStr">
        <is>
          <t>CBD</t>
        </is>
      </c>
      <c r="AK606" t="n">
        <v>9</v>
      </c>
      <c r="AL606" t="inlineStr">
        <is>
          <t>Miss Glam Jambi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"40200238057"</f>
        <v/>
      </c>
      <c r="C607" t="inlineStr">
        <is>
          <t>CBD Collagen Repair Hair Mask 35gr</t>
        </is>
      </c>
      <c r="D607" t="inlineStr">
        <is>
          <t>Miss Glam Jambi</t>
        </is>
      </c>
      <c r="E607" t="n">
        <v>8</v>
      </c>
      <c r="F607" t="n">
        <v>0.5346000000000001</v>
      </c>
      <c r="G607" t="n">
        <v>2.31</v>
      </c>
      <c r="H607" t="n">
        <v>2</v>
      </c>
      <c r="I607" t="n">
        <v>6</v>
      </c>
      <c r="J607" t="n">
        <v>1</v>
      </c>
      <c r="K607" t="n">
        <v>9</v>
      </c>
      <c r="L607" t="n">
        <v>8460</v>
      </c>
      <c r="M607" t="n">
        <v>10000</v>
      </c>
      <c r="N607" t="n">
        <v>33</v>
      </c>
      <c r="O607" t="n">
        <v>0.33</v>
      </c>
      <c r="P607" t="n">
        <v>1</v>
      </c>
      <c r="Q607" t="n">
        <v>0.34</v>
      </c>
      <c r="R607" t="n">
        <v>4</v>
      </c>
      <c r="S607" t="n">
        <v>5346.000000000001</v>
      </c>
      <c r="T607" t="n">
        <v>13</v>
      </c>
      <c r="U607" t="n">
        <v>15</v>
      </c>
      <c r="V607" t="n">
        <v>30</v>
      </c>
      <c r="W607" t="n">
        <v>17</v>
      </c>
      <c r="X607" t="n">
        <v>14.96445940890385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1366</v>
      </c>
      <c r="AG607" t="n">
        <v>2136</v>
      </c>
      <c r="AH607" t="inlineStr">
        <is>
          <t>CV. SAMUDRA JAYA ABADI - PPN (JMB)</t>
        </is>
      </c>
      <c r="AI607" t="n">
        <v>1160</v>
      </c>
      <c r="AJ607" t="inlineStr">
        <is>
          <t>CBD</t>
        </is>
      </c>
      <c r="AK607" t="n">
        <v>9</v>
      </c>
      <c r="AL607" t="inlineStr">
        <is>
          <t>Miss Glam Jambi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"8997226228382"</f>
        <v/>
      </c>
      <c r="C608" t="inlineStr">
        <is>
          <t>CBD Collagen Repair Hair Mask with Raspberry Extract 250gr</t>
        </is>
      </c>
      <c r="D608" t="inlineStr">
        <is>
          <t>Miss Glam Jambi</t>
        </is>
      </c>
      <c r="E608" t="n">
        <v>4</v>
      </c>
      <c r="F608" t="n">
        <v>0.0561</v>
      </c>
      <c r="G608" t="n">
        <v>0.66</v>
      </c>
      <c r="H608" t="n">
        <v>2</v>
      </c>
      <c r="I608" t="n">
        <v>6</v>
      </c>
      <c r="J608" t="n">
        <v>3</v>
      </c>
      <c r="K608" t="n">
        <v>0</v>
      </c>
      <c r="L608" t="n">
        <v>54586</v>
      </c>
      <c r="M608" t="n">
        <v>62000</v>
      </c>
      <c r="N608" t="n">
        <v>33</v>
      </c>
      <c r="O608" t="n">
        <v>0.33</v>
      </c>
      <c r="P608" t="n">
        <v>1</v>
      </c>
      <c r="Q608" t="n">
        <v>0.07000000000000001</v>
      </c>
      <c r="R608" t="n">
        <v>1</v>
      </c>
      <c r="S608" t="n">
        <v>3478.2</v>
      </c>
      <c r="T608" t="n">
        <v>4</v>
      </c>
      <c r="U608" t="n">
        <v>5</v>
      </c>
      <c r="V608" t="n">
        <v>30</v>
      </c>
      <c r="W608" t="n">
        <v>2</v>
      </c>
      <c r="X608" t="n">
        <v>71.301247771836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1366</v>
      </c>
      <c r="AG608" t="n">
        <v>2136</v>
      </c>
      <c r="AH608" t="inlineStr">
        <is>
          <t>CV. SAMUDRA JAYA ABADI - PPN (JMB)</t>
        </is>
      </c>
      <c r="AI608" t="n">
        <v>1160</v>
      </c>
      <c r="AJ608" t="inlineStr">
        <is>
          <t>CBD</t>
        </is>
      </c>
      <c r="AK608" t="n">
        <v>9</v>
      </c>
      <c r="AL608" t="inlineStr">
        <is>
          <t>Miss Glam Jambi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"8997226224452"</f>
        <v/>
      </c>
      <c r="C609" t="inlineStr">
        <is>
          <t>CBD Collagen Repair Hair Mask With Raspberry Extract Marine Collagen &amp; Pro Vitamin B5 500gr</t>
        </is>
      </c>
      <c r="D609" t="inlineStr">
        <is>
          <t>Miss Glam Jambi</t>
        </is>
      </c>
      <c r="E609" t="n">
        <v>5</v>
      </c>
      <c r="F609" t="n">
        <v>0.033</v>
      </c>
      <c r="G609" t="n">
        <v>0.66</v>
      </c>
      <c r="H609" t="n">
        <v>2</v>
      </c>
      <c r="I609" t="n">
        <v>6</v>
      </c>
      <c r="J609" t="n">
        <v>3</v>
      </c>
      <c r="K609" t="n">
        <v>0</v>
      </c>
      <c r="L609" t="n">
        <v>85455</v>
      </c>
      <c r="M609" t="n">
        <v>96500</v>
      </c>
      <c r="N609" t="n">
        <v>33</v>
      </c>
      <c r="O609" t="n">
        <v>0.33</v>
      </c>
      <c r="P609" t="n">
        <v>1</v>
      </c>
      <c r="Q609" t="n">
        <v>0.05</v>
      </c>
      <c r="R609" t="n">
        <v>1</v>
      </c>
      <c r="S609" t="n">
        <v>3184.5</v>
      </c>
      <c r="T609" t="n">
        <v>4</v>
      </c>
      <c r="U609" t="n">
        <v>5</v>
      </c>
      <c r="V609" t="n">
        <v>30</v>
      </c>
      <c r="W609" t="n">
        <v>1</v>
      </c>
      <c r="X609" t="n">
        <v>151.5151515151515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1366</v>
      </c>
      <c r="AG609" t="n">
        <v>2136</v>
      </c>
      <c r="AH609" t="inlineStr">
        <is>
          <t>CV. SAMUDRA JAYA ABADI - PPN (JMB)</t>
        </is>
      </c>
      <c r="AI609" t="n">
        <v>1160</v>
      </c>
      <c r="AJ609" t="inlineStr">
        <is>
          <t>CBD</t>
        </is>
      </c>
      <c r="AK609" t="n">
        <v>9</v>
      </c>
      <c r="AL609" t="inlineStr">
        <is>
          <t>Miss Glam Jambi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"8997226225008"</f>
        <v/>
      </c>
      <c r="C610" t="inlineStr">
        <is>
          <t>CBD Collagen Repair Hair Serum Oil With Raspberry Extract, Collagen &amp; Safflower Seed Oil 100ml</t>
        </is>
      </c>
      <c r="D610" t="inlineStr">
        <is>
          <t>Miss Glam Jambi</t>
        </is>
      </c>
      <c r="E610" t="n">
        <v>4</v>
      </c>
      <c r="F610" t="n">
        <v>0.066</v>
      </c>
      <c r="G610" t="n">
        <v>0.33</v>
      </c>
      <c r="H610" t="n">
        <v>2</v>
      </c>
      <c r="I610" t="n">
        <v>6</v>
      </c>
      <c r="J610" t="n">
        <v>3</v>
      </c>
      <c r="K610" t="n">
        <v>0</v>
      </c>
      <c r="L610" t="n">
        <v>59227</v>
      </c>
      <c r="M610" t="n">
        <v>66500</v>
      </c>
      <c r="N610" t="n">
        <v>33</v>
      </c>
      <c r="O610" t="n">
        <v>0.33</v>
      </c>
      <c r="P610" t="n">
        <v>1</v>
      </c>
      <c r="Q610" t="n">
        <v>0.08</v>
      </c>
      <c r="R610" t="n">
        <v>1</v>
      </c>
      <c r="S610" t="n">
        <v>4389</v>
      </c>
      <c r="T610" t="n">
        <v>2</v>
      </c>
      <c r="U610" t="n">
        <v>3</v>
      </c>
      <c r="V610" t="n">
        <v>30</v>
      </c>
      <c r="W610" t="n">
        <v>2</v>
      </c>
      <c r="X610" t="n">
        <v>60.6060606060606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1366</v>
      </c>
      <c r="AG610" t="n">
        <v>2136</v>
      </c>
      <c r="AH610" t="inlineStr">
        <is>
          <t>CV. SAMUDRA JAYA ABADI - PPN (JMB)</t>
        </is>
      </c>
      <c r="AI610" t="n">
        <v>1160</v>
      </c>
      <c r="AJ610" t="inlineStr">
        <is>
          <t>CBD</t>
        </is>
      </c>
      <c r="AK610" t="n">
        <v>9</v>
      </c>
      <c r="AL610" t="inlineStr">
        <is>
          <t>Miss Glam Jambi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CBD</t>
        </is>
      </c>
      <c r="B611" s="2">
        <f>"8997226224438"</f>
        <v/>
      </c>
      <c r="C611" t="inlineStr">
        <is>
          <t>CBD Collagen Repair Shampoo With Raspberry Extract Marine Collagen &amp; Pro Vitamin B5 250ml</t>
        </is>
      </c>
      <c r="D611" t="inlineStr">
        <is>
          <t>Miss Glam Jambi</t>
        </is>
      </c>
      <c r="E611" t="n">
        <v>7</v>
      </c>
      <c r="F611" t="n">
        <v>0.1056</v>
      </c>
      <c r="G611" t="n">
        <v>0.99</v>
      </c>
      <c r="H611" t="n">
        <v>2</v>
      </c>
      <c r="I611" t="n">
        <v>6</v>
      </c>
      <c r="J611" t="n">
        <v>6</v>
      </c>
      <c r="K611" t="n">
        <v>0</v>
      </c>
      <c r="L611" t="n">
        <v>37935</v>
      </c>
      <c r="M611" t="n">
        <v>45000</v>
      </c>
      <c r="N611" t="n">
        <v>33</v>
      </c>
      <c r="O611" t="n">
        <v>0.33</v>
      </c>
      <c r="P611" t="n">
        <v>1</v>
      </c>
      <c r="Q611" t="n">
        <v>0.03</v>
      </c>
      <c r="R611" t="n">
        <v>1</v>
      </c>
      <c r="S611" t="n">
        <v>4752.000000000001</v>
      </c>
      <c r="T611" t="n">
        <v>6</v>
      </c>
      <c r="U611" t="n">
        <v>7</v>
      </c>
      <c r="V611" t="n">
        <v>30</v>
      </c>
      <c r="W611" t="n">
        <v>4</v>
      </c>
      <c r="X611" t="n">
        <v>66.28787878787878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1366</v>
      </c>
      <c r="AG611" t="n">
        <v>2136</v>
      </c>
      <c r="AH611" t="inlineStr">
        <is>
          <t>CV. SAMUDRA JAYA ABADI - PPN (JMB)</t>
        </is>
      </c>
      <c r="AI611" t="n">
        <v>1160</v>
      </c>
      <c r="AJ611" t="inlineStr">
        <is>
          <t>CBD</t>
        </is>
      </c>
      <c r="AK611" t="n">
        <v>9</v>
      </c>
      <c r="AL611" t="inlineStr">
        <is>
          <t>Miss Glam Jambi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CBD</t>
        </is>
      </c>
      <c r="B612" s="2">
        <f>"8997226224414"</f>
        <v/>
      </c>
      <c r="C612" t="inlineStr">
        <is>
          <t>CBD Color Shield Conditioner With Pomegranate Extract 250ml</t>
        </is>
      </c>
      <c r="D612" t="inlineStr">
        <is>
          <t>Miss Glam Jambi</t>
        </is>
      </c>
      <c r="E612" t="n">
        <v>5</v>
      </c>
      <c r="F612" t="n">
        <v>0.06270000000000001</v>
      </c>
      <c r="G612" t="n">
        <v>0.66</v>
      </c>
      <c r="H612" t="n">
        <v>2</v>
      </c>
      <c r="I612" t="n">
        <v>6</v>
      </c>
      <c r="J612" t="n">
        <v>3</v>
      </c>
      <c r="K612" t="n">
        <v>0</v>
      </c>
      <c r="L612" t="n">
        <v>36792</v>
      </c>
      <c r="M612" t="n">
        <v>41000</v>
      </c>
      <c r="N612" t="n">
        <v>33</v>
      </c>
      <c r="O612" t="n">
        <v>0.33</v>
      </c>
      <c r="P612" t="n">
        <v>1</v>
      </c>
      <c r="Q612" t="n">
        <v>0.1</v>
      </c>
      <c r="R612" t="n">
        <v>3</v>
      </c>
      <c r="S612" t="n">
        <v>2570.7</v>
      </c>
      <c r="T612" t="n">
        <v>4</v>
      </c>
      <c r="U612" t="n">
        <v>5</v>
      </c>
      <c r="V612" t="n">
        <v>30</v>
      </c>
      <c r="W612" t="n">
        <v>2</v>
      </c>
      <c r="X612" t="n">
        <v>79.74481658692184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1366</v>
      </c>
      <c r="AG612" t="n">
        <v>2136</v>
      </c>
      <c r="AH612" t="inlineStr">
        <is>
          <t>CV. SAMUDRA JAYA ABADI - PPN (JMB)</t>
        </is>
      </c>
      <c r="AI612" t="n">
        <v>1160</v>
      </c>
      <c r="AJ612" t="inlineStr">
        <is>
          <t>CBD</t>
        </is>
      </c>
      <c r="AK612" t="n">
        <v>9</v>
      </c>
      <c r="AL612" t="inlineStr">
        <is>
          <t>Miss Glam Jambi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CBD</t>
        </is>
      </c>
      <c r="B613" s="2">
        <f>"40200237824"</f>
        <v/>
      </c>
      <c r="C613" t="inlineStr">
        <is>
          <t>CBD Color Shield Hair Mask 35gr</t>
        </is>
      </c>
      <c r="D613" t="inlineStr">
        <is>
          <t>Miss Glam Jambi</t>
        </is>
      </c>
      <c r="E613" t="n">
        <v>8</v>
      </c>
      <c r="F613" t="n">
        <v>0.4422</v>
      </c>
      <c r="G613" t="n">
        <v>1.65</v>
      </c>
      <c r="H613" t="n">
        <v>2</v>
      </c>
      <c r="I613" t="n">
        <v>6</v>
      </c>
      <c r="J613" t="n">
        <v>1</v>
      </c>
      <c r="K613" t="n">
        <v>6</v>
      </c>
      <c r="L613" t="n">
        <v>8101</v>
      </c>
      <c r="M613" t="n">
        <v>10000</v>
      </c>
      <c r="N613" t="n">
        <v>33</v>
      </c>
      <c r="O613" t="n">
        <v>0.33</v>
      </c>
      <c r="P613" t="n">
        <v>1</v>
      </c>
      <c r="Q613" t="n">
        <v>0.24</v>
      </c>
      <c r="R613" t="n">
        <v>2</v>
      </c>
      <c r="S613" t="n">
        <v>4422</v>
      </c>
      <c r="T613" t="n">
        <v>10</v>
      </c>
      <c r="U613" t="n">
        <v>11</v>
      </c>
      <c r="V613" t="n">
        <v>30</v>
      </c>
      <c r="W613" t="n">
        <v>14</v>
      </c>
      <c r="X613" t="n">
        <v>18.09136137494346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1366</v>
      </c>
      <c r="AG613" t="n">
        <v>2136</v>
      </c>
      <c r="AH613" t="inlineStr">
        <is>
          <t>CV. SAMUDRA JAYA ABADI - PPN (JMB)</t>
        </is>
      </c>
      <c r="AI613" t="n">
        <v>1160</v>
      </c>
      <c r="AJ613" t="inlineStr">
        <is>
          <t>CBD</t>
        </is>
      </c>
      <c r="AK613" t="n">
        <v>9</v>
      </c>
      <c r="AL613" t="inlineStr">
        <is>
          <t>Miss Glam Jambi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CBD</t>
        </is>
      </c>
      <c r="B614" s="2">
        <f>"8997226224421"</f>
        <v/>
      </c>
      <c r="C614" t="inlineStr">
        <is>
          <t>CBD Color Shield Hair Mask 500gr</t>
        </is>
      </c>
      <c r="D614" t="inlineStr">
        <is>
          <t>Miss Glam Jambi</t>
        </is>
      </c>
      <c r="E614" t="n">
        <v>3</v>
      </c>
      <c r="F614" t="n">
        <v>0.033</v>
      </c>
      <c r="G614" t="n">
        <v>0.33</v>
      </c>
      <c r="H614" t="n">
        <v>2</v>
      </c>
      <c r="I614" t="n">
        <v>6</v>
      </c>
      <c r="J614" t="n">
        <v>3</v>
      </c>
      <c r="K614" t="n">
        <v>0</v>
      </c>
      <c r="L614" t="n">
        <v>85804</v>
      </c>
      <c r="M614" t="n">
        <v>96500</v>
      </c>
      <c r="N614" t="n">
        <v>33</v>
      </c>
      <c r="O614" t="n">
        <v>0.33</v>
      </c>
      <c r="P614" t="n">
        <v>1</v>
      </c>
      <c r="Q614" t="n">
        <v>0.08</v>
      </c>
      <c r="R614" t="n">
        <v>1</v>
      </c>
      <c r="S614" t="n">
        <v>3184.5</v>
      </c>
      <c r="T614" t="n">
        <v>2</v>
      </c>
      <c r="U614" t="n">
        <v>3</v>
      </c>
      <c r="V614" t="n">
        <v>30</v>
      </c>
      <c r="W614" t="n">
        <v>1</v>
      </c>
      <c r="X614" t="n">
        <v>90.90909090909091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1366</v>
      </c>
      <c r="AG614" t="n">
        <v>2136</v>
      </c>
      <c r="AH614" t="inlineStr">
        <is>
          <t>CV. SAMUDRA JAYA ABADI - PPN (JMB)</t>
        </is>
      </c>
      <c r="AI614" t="n">
        <v>1160</v>
      </c>
      <c r="AJ614" t="inlineStr">
        <is>
          <t>CBD</t>
        </is>
      </c>
      <c r="AK614" t="n">
        <v>9</v>
      </c>
      <c r="AL614" t="inlineStr">
        <is>
          <t>Miss Glam Jambi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CBD</t>
        </is>
      </c>
      <c r="B615" s="2">
        <f>"8997226228344"</f>
        <v/>
      </c>
      <c r="C615" t="inlineStr">
        <is>
          <t>CBD Color Shield Hair Vitamin 24 x 100ml</t>
        </is>
      </c>
      <c r="D615" t="inlineStr">
        <is>
          <t>Miss Glam Jambi</t>
        </is>
      </c>
      <c r="E615" t="n">
        <v>2</v>
      </c>
      <c r="F615" t="n">
        <v>0.0231</v>
      </c>
      <c r="G615" t="n">
        <v>0.33</v>
      </c>
      <c r="H615" t="n">
        <v>2</v>
      </c>
      <c r="I615" t="n">
        <v>6</v>
      </c>
      <c r="J615" t="n">
        <v>3</v>
      </c>
      <c r="K615" t="n">
        <v>0</v>
      </c>
      <c r="L615" t="n">
        <v>54136</v>
      </c>
      <c r="M615" t="n">
        <v>60500</v>
      </c>
      <c r="N615" t="n">
        <v>33</v>
      </c>
      <c r="O615" t="n">
        <v>0.33</v>
      </c>
      <c r="P615" t="n">
        <v>1</v>
      </c>
      <c r="Q615" t="n">
        <v>0.07000000000000001</v>
      </c>
      <c r="R615" t="n">
        <v>1</v>
      </c>
      <c r="S615" t="n">
        <v>1397.55</v>
      </c>
      <c r="T615" t="n">
        <v>2</v>
      </c>
      <c r="U615" t="n">
        <v>3</v>
      </c>
      <c r="V615" t="n">
        <v>30</v>
      </c>
      <c r="W615" t="n">
        <v>1</v>
      </c>
      <c r="X615" t="n">
        <v>86.58008658008657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1366</v>
      </c>
      <c r="AG615" t="n">
        <v>2136</v>
      </c>
      <c r="AH615" t="inlineStr">
        <is>
          <t>CV. SAMUDRA JAYA ABADI - PPN (JMB)</t>
        </is>
      </c>
      <c r="AI615" t="n">
        <v>1160</v>
      </c>
      <c r="AJ615" t="inlineStr">
        <is>
          <t>CBD</t>
        </is>
      </c>
      <c r="AK615" t="n">
        <v>9</v>
      </c>
      <c r="AL615" t="inlineStr">
        <is>
          <t>Miss Glam Jambi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CBD</t>
        </is>
      </c>
      <c r="B616" s="2">
        <f>"8997226224407"</f>
        <v/>
      </c>
      <c r="C616" t="inlineStr">
        <is>
          <t>CBD Color Shield Shampoo with Pomegranate Extract 250ml</t>
        </is>
      </c>
      <c r="D616" t="inlineStr">
        <is>
          <t>Miss Glam Jambi</t>
        </is>
      </c>
      <c r="E616" t="n">
        <v>6</v>
      </c>
      <c r="F616" t="n">
        <v>0.1056</v>
      </c>
      <c r="G616" t="n">
        <v>1.32</v>
      </c>
      <c r="H616" t="n">
        <v>2</v>
      </c>
      <c r="I616" t="n">
        <v>6</v>
      </c>
      <c r="J616" t="n">
        <v>6</v>
      </c>
      <c r="K616" t="n">
        <v>0</v>
      </c>
      <c r="L616" t="n">
        <v>36774</v>
      </c>
      <c r="M616" t="n">
        <v>41000</v>
      </c>
      <c r="N616" t="n">
        <v>33</v>
      </c>
      <c r="O616" t="n">
        <v>0.33</v>
      </c>
      <c r="P616" t="n">
        <v>1</v>
      </c>
      <c r="Q616" t="n">
        <v>0.12</v>
      </c>
      <c r="R616" t="n">
        <v>2</v>
      </c>
      <c r="S616" t="n">
        <v>4329.6</v>
      </c>
      <c r="T616" t="n">
        <v>8</v>
      </c>
      <c r="U616" t="n">
        <v>9</v>
      </c>
      <c r="V616" t="n">
        <v>30</v>
      </c>
      <c r="W616" t="n">
        <v>4</v>
      </c>
      <c r="X616" t="n">
        <v>56.81818181818181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1366</v>
      </c>
      <c r="AG616" t="n">
        <v>2136</v>
      </c>
      <c r="AH616" t="inlineStr">
        <is>
          <t>CV. SAMUDRA JAYA ABADI - PPN (JMB)</t>
        </is>
      </c>
      <c r="AI616" t="n">
        <v>1160</v>
      </c>
      <c r="AJ616" t="inlineStr">
        <is>
          <t>CBD</t>
        </is>
      </c>
      <c r="AK616" t="n">
        <v>9</v>
      </c>
      <c r="AL616" t="inlineStr">
        <is>
          <t>Miss Glam Jambi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CBD</t>
        </is>
      </c>
      <c r="B617" s="2">
        <f>"8997226227798"</f>
        <v/>
      </c>
      <c r="C617" t="inlineStr">
        <is>
          <t>CBD Figo Hair Boost Aqua Glow 100ml</t>
        </is>
      </c>
      <c r="D617" t="inlineStr">
        <is>
          <t>Miss Glam Jambi</t>
        </is>
      </c>
      <c r="E617" t="n">
        <v>8</v>
      </c>
      <c r="F617" t="n">
        <v>0.0561</v>
      </c>
      <c r="G617" t="n">
        <v>0.33</v>
      </c>
      <c r="H617" t="n">
        <v>2</v>
      </c>
      <c r="I617" t="n">
        <v>6</v>
      </c>
      <c r="J617" t="n">
        <v>6</v>
      </c>
      <c r="K617" t="n">
        <v>0</v>
      </c>
      <c r="L617" t="n">
        <v>20720</v>
      </c>
      <c r="M617" t="n">
        <v>27500</v>
      </c>
      <c r="N617" t="n">
        <v>33</v>
      </c>
      <c r="O617" t="n">
        <v>0.33</v>
      </c>
      <c r="P617" t="n">
        <v>1</v>
      </c>
      <c r="Q617" t="n">
        <v>0.02</v>
      </c>
      <c r="R617" t="n">
        <v>1</v>
      </c>
      <c r="S617" t="n">
        <v>1542.75</v>
      </c>
      <c r="T617" t="n">
        <v>2</v>
      </c>
      <c r="U617" t="n">
        <v>3</v>
      </c>
      <c r="V617" t="n">
        <v>30</v>
      </c>
      <c r="W617" t="n">
        <v>2</v>
      </c>
      <c r="X617" t="n">
        <v>142.602495543672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1366</v>
      </c>
      <c r="AG617" t="n">
        <v>2136</v>
      </c>
      <c r="AH617" t="inlineStr">
        <is>
          <t>CV. SAMUDRA JAYA ABADI - PPN (JMB)</t>
        </is>
      </c>
      <c r="AI617" t="n">
        <v>1160</v>
      </c>
      <c r="AJ617" t="inlineStr">
        <is>
          <t>CBD</t>
        </is>
      </c>
      <c r="AK617" t="n">
        <v>9</v>
      </c>
      <c r="AL617" t="inlineStr">
        <is>
          <t>Miss Glam Jambi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CBD</t>
        </is>
      </c>
      <c r="B618" s="2">
        <f>"8997226227811"</f>
        <v/>
      </c>
      <c r="C618" t="inlineStr">
        <is>
          <t>CBD Figo Hair Boost Fairy Blush 100ml</t>
        </is>
      </c>
      <c r="D618" t="inlineStr">
        <is>
          <t>Miss Glam Jambi</t>
        </is>
      </c>
      <c r="E618" t="n">
        <v>3</v>
      </c>
      <c r="F618" t="n">
        <v>0.0231</v>
      </c>
      <c r="G618" t="n">
        <v>0.33</v>
      </c>
      <c r="H618" t="n">
        <v>2</v>
      </c>
      <c r="I618" t="n">
        <v>6</v>
      </c>
      <c r="J618" t="n">
        <v>3</v>
      </c>
      <c r="K618" t="n">
        <v>0</v>
      </c>
      <c r="L618" t="n">
        <v>21321</v>
      </c>
      <c r="M618" t="n">
        <v>32500</v>
      </c>
      <c r="N618" t="n">
        <v>33</v>
      </c>
      <c r="O618" t="n">
        <v>0.33</v>
      </c>
      <c r="P618" t="n">
        <v>1</v>
      </c>
      <c r="Q618" t="n">
        <v>0.03</v>
      </c>
      <c r="R618" t="n">
        <v>1</v>
      </c>
      <c r="S618" t="n">
        <v>750.7500000000001</v>
      </c>
      <c r="T618" t="n">
        <v>2</v>
      </c>
      <c r="U618" t="n">
        <v>3</v>
      </c>
      <c r="V618" t="n">
        <v>30</v>
      </c>
      <c r="W618" t="n">
        <v>1</v>
      </c>
      <c r="X618" t="n">
        <v>129.8701298701299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1366</v>
      </c>
      <c r="AG618" t="n">
        <v>2136</v>
      </c>
      <c r="AH618" t="inlineStr">
        <is>
          <t>CV. SAMUDRA JAYA ABADI - PPN (JMB)</t>
        </is>
      </c>
      <c r="AI618" t="n">
        <v>1160</v>
      </c>
      <c r="AJ618" t="inlineStr">
        <is>
          <t>CBD</t>
        </is>
      </c>
      <c r="AK618" t="n">
        <v>9</v>
      </c>
      <c r="AL618" t="inlineStr">
        <is>
          <t>Miss Glam Jambi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CBD</t>
        </is>
      </c>
      <c r="B619" s="2">
        <f>"8997226227804"</f>
        <v/>
      </c>
      <c r="C619" t="inlineStr">
        <is>
          <t>CBD Figo Hair Boost Love Blooms 100ml</t>
        </is>
      </c>
      <c r="D619" t="inlineStr">
        <is>
          <t>Miss Glam Jambi</t>
        </is>
      </c>
      <c r="E619" t="n">
        <v>3</v>
      </c>
      <c r="F619" t="n">
        <v>0.0495</v>
      </c>
      <c r="G619" t="n">
        <v>0.66</v>
      </c>
      <c r="H619" t="n">
        <v>2</v>
      </c>
      <c r="I619" t="n">
        <v>6</v>
      </c>
      <c r="J619" t="n">
        <v>3</v>
      </c>
      <c r="K619" t="n">
        <v>0</v>
      </c>
      <c r="L619" t="n">
        <v>20721</v>
      </c>
      <c r="M619" t="n">
        <v>27500</v>
      </c>
      <c r="N619" t="n">
        <v>33</v>
      </c>
      <c r="O619" t="n">
        <v>0.33</v>
      </c>
      <c r="P619" t="n">
        <v>1</v>
      </c>
      <c r="Q619" t="n">
        <v>0.05</v>
      </c>
      <c r="R619" t="n">
        <v>2</v>
      </c>
      <c r="S619" t="n">
        <v>1361.25</v>
      </c>
      <c r="T619" t="n">
        <v>4</v>
      </c>
      <c r="U619" t="n">
        <v>5</v>
      </c>
      <c r="V619" t="n">
        <v>30</v>
      </c>
      <c r="W619" t="n">
        <v>2</v>
      </c>
      <c r="X619" t="n">
        <v>60.6060606060606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1366</v>
      </c>
      <c r="AG619" t="n">
        <v>2136</v>
      </c>
      <c r="AH619" t="inlineStr">
        <is>
          <t>CV. SAMUDRA JAYA ABADI - PPN (JMB)</t>
        </is>
      </c>
      <c r="AI619" t="n">
        <v>1160</v>
      </c>
      <c r="AJ619" t="inlineStr">
        <is>
          <t>CBD</t>
        </is>
      </c>
      <c r="AK619" t="n">
        <v>9</v>
      </c>
      <c r="AL619" t="inlineStr">
        <is>
          <t>Miss Glam Jambi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CBD</t>
        </is>
      </c>
      <c r="B620" s="2">
        <f>"8997226226548"</f>
        <v/>
      </c>
      <c r="C620" t="inlineStr">
        <is>
          <t>CBD FIX PRO Supreme Hold Styling Spray 380ml</t>
        </is>
      </c>
      <c r="D620" t="inlineStr">
        <is>
          <t>Miss Glam Jambi</t>
        </is>
      </c>
      <c r="E620" t="n">
        <v>4</v>
      </c>
      <c r="F620" t="n">
        <v>0.0396</v>
      </c>
      <c r="G620" t="n">
        <v>0.66</v>
      </c>
      <c r="H620" t="n">
        <v>2</v>
      </c>
      <c r="I620" t="n">
        <v>6</v>
      </c>
      <c r="J620" t="n">
        <v>3</v>
      </c>
      <c r="K620" t="n">
        <v>0</v>
      </c>
      <c r="L620" t="n">
        <v>74835</v>
      </c>
      <c r="M620" t="n">
        <v>93500</v>
      </c>
      <c r="N620" t="n">
        <v>33</v>
      </c>
      <c r="O620" t="n">
        <v>0.33</v>
      </c>
      <c r="P620" t="n">
        <v>1</v>
      </c>
      <c r="Q620" t="n">
        <v>0.08</v>
      </c>
      <c r="R620" t="n">
        <v>1</v>
      </c>
      <c r="S620" t="n">
        <v>3702.6</v>
      </c>
      <c r="T620" t="n">
        <v>4</v>
      </c>
      <c r="U620" t="n">
        <v>5</v>
      </c>
      <c r="V620" t="n">
        <v>30</v>
      </c>
      <c r="W620" t="n">
        <v>2</v>
      </c>
      <c r="X620" t="n">
        <v>101.010101010101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1366</v>
      </c>
      <c r="AG620" t="n">
        <v>2136</v>
      </c>
      <c r="AH620" t="inlineStr">
        <is>
          <t>CV. SAMUDRA JAYA ABADI - PPN (JMB)</t>
        </is>
      </c>
      <c r="AI620" t="n">
        <v>1160</v>
      </c>
      <c r="AJ620" t="inlineStr">
        <is>
          <t>CBD</t>
        </is>
      </c>
      <c r="AK620" t="n">
        <v>9</v>
      </c>
      <c r="AL620" t="inlineStr">
        <is>
          <t>Miss Glam Jambi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CBD</t>
        </is>
      </c>
      <c r="B621" s="2">
        <f>"8997226225701"</f>
        <v/>
      </c>
      <c r="C621" t="inlineStr">
        <is>
          <t>CBD Keratin Daily Hair Mask Pro With Keratin, Pro Vitamin B5 &amp; Deep Cool Active Fragrance 250gr</t>
        </is>
      </c>
      <c r="D621" t="inlineStr">
        <is>
          <t>Miss Glam Jambi</t>
        </is>
      </c>
      <c r="E621" t="n">
        <v>4</v>
      </c>
      <c r="F621" t="n">
        <v>0.1452</v>
      </c>
      <c r="G621" t="n">
        <v>0.99</v>
      </c>
      <c r="H621" t="n">
        <v>2</v>
      </c>
      <c r="I621" t="n">
        <v>6</v>
      </c>
      <c r="J621" t="n">
        <v>3</v>
      </c>
      <c r="K621" t="n">
        <v>3</v>
      </c>
      <c r="L621" t="n">
        <v>53415</v>
      </c>
      <c r="M621" t="n">
        <v>60000</v>
      </c>
      <c r="N621" t="n">
        <v>33</v>
      </c>
      <c r="O621" t="n">
        <v>0.33</v>
      </c>
      <c r="P621" t="n">
        <v>1</v>
      </c>
      <c r="Q621" t="n">
        <v>0.05</v>
      </c>
      <c r="R621" t="n">
        <v>1</v>
      </c>
      <c r="S621" t="n">
        <v>8712</v>
      </c>
      <c r="T621" t="n">
        <v>6</v>
      </c>
      <c r="U621" t="n">
        <v>7</v>
      </c>
      <c r="V621" t="n">
        <v>30</v>
      </c>
      <c r="W621" t="n">
        <v>5</v>
      </c>
      <c r="X621" t="n">
        <v>27.54820936639118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1366</v>
      </c>
      <c r="AG621" t="n">
        <v>2136</v>
      </c>
      <c r="AH621" t="inlineStr">
        <is>
          <t>CV. SAMUDRA JAYA ABADI - PPN (JMB)</t>
        </is>
      </c>
      <c r="AI621" t="n">
        <v>1160</v>
      </c>
      <c r="AJ621" t="inlineStr">
        <is>
          <t>CBD</t>
        </is>
      </c>
      <c r="AK621" t="n">
        <v>9</v>
      </c>
      <c r="AL621" t="inlineStr">
        <is>
          <t>Miss Glam Jambi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CBD</t>
        </is>
      </c>
      <c r="B622" s="2">
        <f>"8997226221185"</f>
        <v/>
      </c>
      <c r="C622" t="inlineStr">
        <is>
          <t>CBD Keratin Pro Daily Conditioner 1000ml</t>
        </is>
      </c>
      <c r="D622" t="inlineStr">
        <is>
          <t>Miss Glam Jambi</t>
        </is>
      </c>
      <c r="E622" t="n">
        <v>8</v>
      </c>
      <c r="F622" t="n">
        <v>0.02</v>
      </c>
      <c r="G622" t="n">
        <v>1</v>
      </c>
      <c r="H622" t="n">
        <v>2</v>
      </c>
      <c r="I622" t="n">
        <v>6</v>
      </c>
      <c r="J622" t="n">
        <v>3</v>
      </c>
      <c r="K622" t="n">
        <v>0</v>
      </c>
      <c r="L622" t="n">
        <v>84735</v>
      </c>
      <c r="M622" t="n">
        <v>100500</v>
      </c>
      <c r="N622" t="n">
        <v>33</v>
      </c>
      <c r="O622" t="n">
        <v>0.33</v>
      </c>
      <c r="P622" t="n">
        <v>0</v>
      </c>
      <c r="Q622" t="n">
        <v>0.02</v>
      </c>
      <c r="R622" t="n">
        <v>1</v>
      </c>
      <c r="S622" t="n">
        <v>2010</v>
      </c>
      <c r="T622" t="n">
        <v>6</v>
      </c>
      <c r="U622" t="n">
        <v>7</v>
      </c>
      <c r="V622" t="n">
        <v>30</v>
      </c>
      <c r="W622" t="n">
        <v>1</v>
      </c>
      <c r="X622" t="n">
        <v>400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1366</v>
      </c>
      <c r="AG622" t="n">
        <v>2136</v>
      </c>
      <c r="AH622" t="inlineStr">
        <is>
          <t>CV. SAMUDRA JAYA ABADI - PPN (JMB)</t>
        </is>
      </c>
      <c r="AI622" t="n">
        <v>1160</v>
      </c>
      <c r="AJ622" t="inlineStr">
        <is>
          <t>CBD</t>
        </is>
      </c>
      <c r="AK622" t="n">
        <v>9</v>
      </c>
      <c r="AL622" t="inlineStr">
        <is>
          <t>Miss Glam Jambi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CBD</t>
        </is>
      </c>
      <c r="B623" s="2">
        <f>"8997226225695"</f>
        <v/>
      </c>
      <c r="C623" t="inlineStr">
        <is>
          <t>CBD Keratin Pro Daily Conditioner 250ml</t>
        </is>
      </c>
      <c r="D623" t="inlineStr">
        <is>
          <t>Miss Glam Jambi</t>
        </is>
      </c>
      <c r="E623" t="n">
        <v>2</v>
      </c>
      <c r="F623" t="n">
        <v>0.1782</v>
      </c>
      <c r="G623" t="n">
        <v>0.99</v>
      </c>
      <c r="H623" t="n">
        <v>2</v>
      </c>
      <c r="I623" t="n">
        <v>6</v>
      </c>
      <c r="J623" t="n">
        <v>6</v>
      </c>
      <c r="K623" t="n">
        <v>6</v>
      </c>
      <c r="L623" t="n">
        <v>34335</v>
      </c>
      <c r="M623" t="n">
        <v>45000</v>
      </c>
      <c r="N623" t="n">
        <v>33</v>
      </c>
      <c r="O623" t="n">
        <v>0.33</v>
      </c>
      <c r="P623" t="n">
        <v>1</v>
      </c>
      <c r="Q623" t="n">
        <v>0.12</v>
      </c>
      <c r="R623" t="n">
        <v>1</v>
      </c>
      <c r="S623" t="n">
        <v>8019.000000000001</v>
      </c>
      <c r="T623" t="n">
        <v>6</v>
      </c>
      <c r="U623" t="n">
        <v>7</v>
      </c>
      <c r="V623" t="n">
        <v>30</v>
      </c>
      <c r="W623" t="n">
        <v>6</v>
      </c>
      <c r="X623" t="n">
        <v>11.22334455667789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1366</v>
      </c>
      <c r="AG623" t="n">
        <v>2136</v>
      </c>
      <c r="AH623" t="inlineStr">
        <is>
          <t>CV. SAMUDRA JAYA ABADI - PPN (JMB)</t>
        </is>
      </c>
      <c r="AI623" t="n">
        <v>1160</v>
      </c>
      <c r="AJ623" t="inlineStr">
        <is>
          <t>CBD</t>
        </is>
      </c>
      <c r="AK623" t="n">
        <v>9</v>
      </c>
      <c r="AL623" t="inlineStr">
        <is>
          <t>Miss Glam Jambi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CBD</t>
        </is>
      </c>
      <c r="B624" s="2">
        <f>"8997226221499"</f>
        <v/>
      </c>
      <c r="C624" t="inlineStr">
        <is>
          <t>CBD Keratin Pro Daily Hair Mask 500gr</t>
        </is>
      </c>
      <c r="D624" t="inlineStr">
        <is>
          <t>Miss Glam Jambi</t>
        </is>
      </c>
      <c r="E624" t="n">
        <v>4</v>
      </c>
      <c r="F624" t="n">
        <v>0.06270000000000001</v>
      </c>
      <c r="G624" t="n">
        <v>0.66</v>
      </c>
      <c r="H624" t="n">
        <v>2</v>
      </c>
      <c r="I624" t="n">
        <v>6</v>
      </c>
      <c r="J624" t="n">
        <v>3</v>
      </c>
      <c r="K624" t="n">
        <v>0</v>
      </c>
      <c r="L624" t="n">
        <v>83565</v>
      </c>
      <c r="M624" t="n">
        <v>95000</v>
      </c>
      <c r="N624" t="n">
        <v>33</v>
      </c>
      <c r="O624" t="n">
        <v>0.33</v>
      </c>
      <c r="P624" t="n">
        <v>1</v>
      </c>
      <c r="Q624" t="n">
        <v>0.02</v>
      </c>
      <c r="R624" t="n">
        <v>1</v>
      </c>
      <c r="S624" t="n">
        <v>5956.500000000001</v>
      </c>
      <c r="T624" t="n">
        <v>4</v>
      </c>
      <c r="U624" t="n">
        <v>5</v>
      </c>
      <c r="V624" t="n">
        <v>30</v>
      </c>
      <c r="W624" t="n">
        <v>2</v>
      </c>
      <c r="X624" t="n">
        <v>63.79585326953747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1366</v>
      </c>
      <c r="AG624" t="n">
        <v>2136</v>
      </c>
      <c r="AH624" t="inlineStr">
        <is>
          <t>CV. SAMUDRA JAYA ABADI - PPN (JMB)</t>
        </is>
      </c>
      <c r="AI624" t="n">
        <v>1160</v>
      </c>
      <c r="AJ624" t="inlineStr">
        <is>
          <t>CBD</t>
        </is>
      </c>
      <c r="AK624" t="n">
        <v>9</v>
      </c>
      <c r="AL624" t="inlineStr">
        <is>
          <t>Miss Glam Jambi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CBD</t>
        </is>
      </c>
      <c r="B625" s="2">
        <f>"8997226221727"</f>
        <v/>
      </c>
      <c r="C625" t="inlineStr">
        <is>
          <t>CBD Keratin Pro Daily Hair Vitamin Spray 100ml</t>
        </is>
      </c>
      <c r="D625" t="inlineStr">
        <is>
          <t>Miss Glam Jambi</t>
        </is>
      </c>
      <c r="E625" t="n">
        <v>3</v>
      </c>
      <c r="F625" t="n">
        <v>0.0165</v>
      </c>
      <c r="G625" t="n">
        <v>0.33</v>
      </c>
      <c r="H625" t="n">
        <v>2</v>
      </c>
      <c r="I625" t="n">
        <v>6</v>
      </c>
      <c r="J625" t="n">
        <v>3</v>
      </c>
      <c r="K625" t="n">
        <v>0</v>
      </c>
      <c r="L625" t="n">
        <v>53171</v>
      </c>
      <c r="M625" t="n">
        <v>60000</v>
      </c>
      <c r="N625" t="n">
        <v>33</v>
      </c>
      <c r="O625" t="n">
        <v>0.33</v>
      </c>
      <c r="P625" t="n">
        <v>1</v>
      </c>
      <c r="Q625" t="n">
        <v>0.05</v>
      </c>
      <c r="R625" t="n">
        <v>1</v>
      </c>
      <c r="S625" t="n">
        <v>990</v>
      </c>
      <c r="T625" t="n">
        <v>2</v>
      </c>
      <c r="U625" t="n">
        <v>3</v>
      </c>
      <c r="V625" t="n">
        <v>30</v>
      </c>
      <c r="W625" t="n">
        <v>1</v>
      </c>
      <c r="X625" t="n">
        <v>181.8181818181818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1366</v>
      </c>
      <c r="AG625" t="n">
        <v>2136</v>
      </c>
      <c r="AH625" t="inlineStr">
        <is>
          <t>CV. SAMUDRA JAYA ABADI - PPN (JMB)</t>
        </is>
      </c>
      <c r="AI625" t="n">
        <v>1160</v>
      </c>
      <c r="AJ625" t="inlineStr">
        <is>
          <t>CBD</t>
        </is>
      </c>
      <c r="AK625" t="n">
        <v>9</v>
      </c>
      <c r="AL625" t="inlineStr">
        <is>
          <t>Miss Glam Jambi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CBD</t>
        </is>
      </c>
      <c r="B626" s="2">
        <f>"8997226221178"</f>
        <v/>
      </c>
      <c r="C626" t="inlineStr">
        <is>
          <t>CBD Keratin Pro Daily Shampoo 1000ml</t>
        </is>
      </c>
      <c r="D626" t="inlineStr">
        <is>
          <t>Miss Glam Jambi</t>
        </is>
      </c>
      <c r="E626" t="n">
        <v>2</v>
      </c>
      <c r="F626" t="n">
        <v>0.0264</v>
      </c>
      <c r="G626" t="n">
        <v>0.33</v>
      </c>
      <c r="H626" t="n">
        <v>2</v>
      </c>
      <c r="I626" t="n">
        <v>6</v>
      </c>
      <c r="J626" t="n">
        <v>3</v>
      </c>
      <c r="K626" t="n">
        <v>0</v>
      </c>
      <c r="L626" t="n">
        <v>90136</v>
      </c>
      <c r="M626" t="n">
        <v>100500</v>
      </c>
      <c r="N626" t="n">
        <v>33</v>
      </c>
      <c r="O626" t="n">
        <v>0.33</v>
      </c>
      <c r="P626" t="n">
        <v>1</v>
      </c>
      <c r="Q626" t="n">
        <v>0.02</v>
      </c>
      <c r="R626" t="n">
        <v>1</v>
      </c>
      <c r="S626" t="n">
        <v>2653.2</v>
      </c>
      <c r="T626" t="n">
        <v>2</v>
      </c>
      <c r="U626" t="n">
        <v>3</v>
      </c>
      <c r="V626" t="n">
        <v>30</v>
      </c>
      <c r="W626" t="n">
        <v>1</v>
      </c>
      <c r="X626" t="n">
        <v>75.75757575757575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1366</v>
      </c>
      <c r="AG626" t="n">
        <v>2136</v>
      </c>
      <c r="AH626" t="inlineStr">
        <is>
          <t>CV. SAMUDRA JAYA ABADI - PPN (JMB)</t>
        </is>
      </c>
      <c r="AI626" t="n">
        <v>1160</v>
      </c>
      <c r="AJ626" t="inlineStr">
        <is>
          <t>CBD</t>
        </is>
      </c>
      <c r="AK626" t="n">
        <v>9</v>
      </c>
      <c r="AL626" t="inlineStr">
        <is>
          <t>Miss Glam Jambi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CBD</t>
        </is>
      </c>
      <c r="B627" s="2">
        <f>"8997226225688"</f>
        <v/>
      </c>
      <c r="C627" t="inlineStr">
        <is>
          <t>CBD Keratin Pro Daily Shampoo 250ml</t>
        </is>
      </c>
      <c r="D627" t="inlineStr">
        <is>
          <t>Miss Glam Jambi</t>
        </is>
      </c>
      <c r="E627" t="n">
        <v>4</v>
      </c>
      <c r="F627" t="n">
        <v>0.2475</v>
      </c>
      <c r="G627" t="n">
        <v>1.32</v>
      </c>
      <c r="H627" t="n">
        <v>2</v>
      </c>
      <c r="I627" t="n">
        <v>6</v>
      </c>
      <c r="J627" t="n">
        <v>3</v>
      </c>
      <c r="K627" t="n">
        <v>4</v>
      </c>
      <c r="L627" t="n">
        <v>34535</v>
      </c>
      <c r="M627" t="n">
        <v>39000</v>
      </c>
      <c r="N627" t="n">
        <v>33</v>
      </c>
      <c r="O627" t="n">
        <v>0.33</v>
      </c>
      <c r="P627" t="n">
        <v>1</v>
      </c>
      <c r="Q627" t="n">
        <v>0.14</v>
      </c>
      <c r="R627" t="n">
        <v>2</v>
      </c>
      <c r="S627" t="n">
        <v>9652.5</v>
      </c>
      <c r="T627" t="n">
        <v>8</v>
      </c>
      <c r="U627" t="n">
        <v>9</v>
      </c>
      <c r="V627" t="n">
        <v>30</v>
      </c>
      <c r="W627" t="n">
        <v>8</v>
      </c>
      <c r="X627" t="n">
        <v>16.16161616161616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1366</v>
      </c>
      <c r="AG627" t="n">
        <v>2136</v>
      </c>
      <c r="AH627" t="inlineStr">
        <is>
          <t>CV. SAMUDRA JAYA ABADI - PPN (JMB)</t>
        </is>
      </c>
      <c r="AI627" t="n">
        <v>1160</v>
      </c>
      <c r="AJ627" t="inlineStr">
        <is>
          <t>CBD</t>
        </is>
      </c>
      <c r="AK627" t="n">
        <v>9</v>
      </c>
      <c r="AL627" t="inlineStr">
        <is>
          <t>Miss Glam Jambi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CBD</t>
        </is>
      </c>
      <c r="B628" s="2">
        <f>"8997226225510"</f>
        <v/>
      </c>
      <c r="C628" t="inlineStr">
        <is>
          <t>CBD Professional Keratin Daily Hair Mask Pro With Keratin, Pro Vitamin B5 &amp; Deep Cool Active 30g+5g</t>
        </is>
      </c>
      <c r="D628" t="inlineStr">
        <is>
          <t>Miss Glam Jambi</t>
        </is>
      </c>
      <c r="E628" t="n">
        <v>16</v>
      </c>
      <c r="F628" t="n">
        <v>1.353</v>
      </c>
      <c r="G628" t="n">
        <v>5.61</v>
      </c>
      <c r="H628" t="n">
        <v>2</v>
      </c>
      <c r="I628" t="n">
        <v>6</v>
      </c>
      <c r="J628" t="n">
        <v>6</v>
      </c>
      <c r="K628" t="n">
        <v>25</v>
      </c>
      <c r="L628" t="n">
        <v>7764</v>
      </c>
      <c r="M628" t="n">
        <v>9000</v>
      </c>
      <c r="N628" t="n">
        <v>33</v>
      </c>
      <c r="O628" t="n">
        <v>0.33</v>
      </c>
      <c r="P628" t="n">
        <v>1</v>
      </c>
      <c r="Q628" t="n">
        <v>0.19</v>
      </c>
      <c r="R628" t="n">
        <v>2</v>
      </c>
      <c r="S628" t="n">
        <v>12177</v>
      </c>
      <c r="T628" t="n">
        <v>31</v>
      </c>
      <c r="U628" t="n">
        <v>34</v>
      </c>
      <c r="V628" t="n">
        <v>30</v>
      </c>
      <c r="W628" t="n">
        <v>41</v>
      </c>
      <c r="X628" t="n">
        <v>11.82557280118256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1366</v>
      </c>
      <c r="AG628" t="n">
        <v>2136</v>
      </c>
      <c r="AH628" t="inlineStr">
        <is>
          <t>CV. SAMUDRA JAYA ABADI - PPN (JMB)</t>
        </is>
      </c>
      <c r="AI628" t="n">
        <v>1160</v>
      </c>
      <c r="AJ628" t="inlineStr">
        <is>
          <t>CBD</t>
        </is>
      </c>
      <c r="AK628" t="n">
        <v>9</v>
      </c>
      <c r="AL628" t="inlineStr">
        <is>
          <t>Miss Glam Jambi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CBD</t>
        </is>
      </c>
      <c r="B629" s="2">
        <f>"8997226226722"</f>
        <v/>
      </c>
      <c r="C629" t="inlineStr">
        <is>
          <t>CBD Silver Conditioner 250ml</t>
        </is>
      </c>
      <c r="D629" t="inlineStr">
        <is>
          <t>Miss Glam Jambi</t>
        </is>
      </c>
      <c r="E629" t="n">
        <v>6</v>
      </c>
      <c r="F629" t="n">
        <v>0.006600000000000001</v>
      </c>
      <c r="G629" t="n">
        <v>0.33</v>
      </c>
      <c r="H629" t="n">
        <v>2</v>
      </c>
      <c r="I629" t="n">
        <v>6</v>
      </c>
      <c r="J629" t="n">
        <v>3</v>
      </c>
      <c r="K629" t="n">
        <v>0</v>
      </c>
      <c r="L629" t="n">
        <v>65450</v>
      </c>
      <c r="M629" t="n">
        <v>89000</v>
      </c>
      <c r="N629" t="n">
        <v>33</v>
      </c>
      <c r="O629" t="n">
        <v>0.33</v>
      </c>
      <c r="P629" t="n">
        <v>1</v>
      </c>
      <c r="Q629" t="n">
        <v>0.02</v>
      </c>
      <c r="R629" t="n">
        <v>1</v>
      </c>
      <c r="S629" t="n">
        <v>587.4000000000001</v>
      </c>
      <c r="T629" t="n">
        <v>2</v>
      </c>
      <c r="U629" t="n">
        <v>3</v>
      </c>
      <c r="V629" t="n">
        <v>30</v>
      </c>
      <c r="W629" t="n">
        <v>1</v>
      </c>
      <c r="X629" t="n">
        <v>909.090909090909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1366</v>
      </c>
      <c r="AG629" t="n">
        <v>2136</v>
      </c>
      <c r="AH629" t="inlineStr">
        <is>
          <t>CV. SAMUDRA JAYA ABADI - PPN (JMB)</t>
        </is>
      </c>
      <c r="AI629" t="n">
        <v>1160</v>
      </c>
      <c r="AJ629" t="inlineStr">
        <is>
          <t>CBD</t>
        </is>
      </c>
      <c r="AK629" t="n">
        <v>9</v>
      </c>
      <c r="AL629" t="inlineStr">
        <is>
          <t>Miss Glam Jambi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CBD</t>
        </is>
      </c>
      <c r="B630" s="2">
        <f>"8997226226715"</f>
        <v/>
      </c>
      <c r="C630" t="inlineStr">
        <is>
          <t>CBD Silver Screen Shampoo 250ml</t>
        </is>
      </c>
      <c r="D630" t="inlineStr">
        <is>
          <t>Miss Glam Jambi</t>
        </is>
      </c>
      <c r="E630" t="n">
        <v>6</v>
      </c>
      <c r="F630" t="n">
        <v>0.0231</v>
      </c>
      <c r="G630" t="n">
        <v>0.33</v>
      </c>
      <c r="H630" t="n">
        <v>2</v>
      </c>
      <c r="I630" t="n">
        <v>6</v>
      </c>
      <c r="J630" t="n">
        <v>3</v>
      </c>
      <c r="K630" t="n">
        <v>0</v>
      </c>
      <c r="L630" t="n">
        <v>64935</v>
      </c>
      <c r="M630" t="n">
        <v>89000</v>
      </c>
      <c r="N630" t="n">
        <v>33</v>
      </c>
      <c r="O630" t="n">
        <v>0.33</v>
      </c>
      <c r="P630" t="n">
        <v>1</v>
      </c>
      <c r="Q630" t="n">
        <v>0.03</v>
      </c>
      <c r="R630" t="n">
        <v>1</v>
      </c>
      <c r="S630" t="n">
        <v>2055.9</v>
      </c>
      <c r="T630" t="n">
        <v>2</v>
      </c>
      <c r="U630" t="n">
        <v>3</v>
      </c>
      <c r="V630" t="n">
        <v>30</v>
      </c>
      <c r="W630" t="n">
        <v>1</v>
      </c>
      <c r="X630" t="n">
        <v>259.7402597402597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1366</v>
      </c>
      <c r="AG630" t="n">
        <v>2136</v>
      </c>
      <c r="AH630" t="inlineStr">
        <is>
          <t>CV. SAMUDRA JAYA ABADI - PPN (JMB)</t>
        </is>
      </c>
      <c r="AI630" t="n">
        <v>1160</v>
      </c>
      <c r="AJ630" t="inlineStr">
        <is>
          <t>CBD</t>
        </is>
      </c>
      <c r="AK630" t="n">
        <v>9</v>
      </c>
      <c r="AL630" t="inlineStr">
        <is>
          <t>Miss Glam Jambi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CERAVE</t>
        </is>
      </c>
      <c r="B631" s="2">
        <f>"3337875597340"</f>
        <v/>
      </c>
      <c r="C631" t="inlineStr">
        <is>
          <t>CERAVE Foaming Cleanser 88ml</t>
        </is>
      </c>
      <c r="D631" t="inlineStr">
        <is>
          <t>Miss Glam Jambi</t>
        </is>
      </c>
      <c r="E631" t="n">
        <v>1</v>
      </c>
      <c r="F631" t="n">
        <v>0.03</v>
      </c>
      <c r="G631" t="n">
        <v>1</v>
      </c>
      <c r="H631" t="n">
        <v>4</v>
      </c>
      <c r="I631" t="n">
        <v>20</v>
      </c>
      <c r="J631" t="n">
        <v>3</v>
      </c>
      <c r="K631" t="n">
        <v>0</v>
      </c>
      <c r="L631" t="n">
        <v>119769</v>
      </c>
      <c r="M631" t="n">
        <v>141000</v>
      </c>
      <c r="N631" t="n">
        <v>33</v>
      </c>
      <c r="O631" t="n">
        <v>0.33</v>
      </c>
      <c r="P631" t="n">
        <v>0</v>
      </c>
      <c r="Q631" t="n">
        <v>0.03</v>
      </c>
      <c r="R631" t="n">
        <v>1</v>
      </c>
      <c r="S631" t="n">
        <v>4230</v>
      </c>
      <c r="T631" t="n">
        <v>20</v>
      </c>
      <c r="U631" t="n">
        <v>21</v>
      </c>
      <c r="V631" t="n">
        <v>30</v>
      </c>
      <c r="W631" t="n">
        <v>1</v>
      </c>
      <c r="X631" t="n">
        <v>33.33333333333334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4135</v>
      </c>
      <c r="AG631" t="n">
        <v>1</v>
      </c>
      <c r="AH631" t="inlineStr">
        <is>
          <t>PT. BERSAMA DISTRIVERSA INDONESIA (DC CIPUTAT)</t>
        </is>
      </c>
      <c r="AI631" t="n">
        <v>1429</v>
      </c>
      <c r="AJ631" t="inlineStr">
        <is>
          <t>CERAVE</t>
        </is>
      </c>
      <c r="AK631" t="n">
        <v>9</v>
      </c>
      <c r="AL631" t="inlineStr">
        <is>
          <t>Miss Glam Jambi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CETAPHIL</t>
        </is>
      </c>
      <c r="B632" s="2">
        <f>"9318637044313"</f>
        <v/>
      </c>
      <c r="C632" t="inlineStr">
        <is>
          <t>CETAPHIL Daily Facial Cleanser Gel Foaming 236ml</t>
        </is>
      </c>
      <c r="D632" t="inlineStr">
        <is>
          <t>Miss Glam Jambi</t>
        </is>
      </c>
      <c r="E632" t="n">
        <v>8</v>
      </c>
      <c r="F632" t="n">
        <v>0.3399</v>
      </c>
      <c r="G632" t="n">
        <v>1.32</v>
      </c>
      <c r="H632" t="n">
        <v>3</v>
      </c>
      <c r="I632" t="n">
        <v>9</v>
      </c>
      <c r="J632" t="n">
        <v>12</v>
      </c>
      <c r="K632" t="n">
        <v>12</v>
      </c>
      <c r="L632" t="n">
        <v>153966</v>
      </c>
      <c r="M632" t="n">
        <v>181000</v>
      </c>
      <c r="N632" t="n">
        <v>33</v>
      </c>
      <c r="O632" t="n">
        <v>0.33</v>
      </c>
      <c r="P632" t="n">
        <v>1</v>
      </c>
      <c r="Q632" t="n">
        <v>0.25</v>
      </c>
      <c r="R632" t="n">
        <v>3</v>
      </c>
      <c r="S632" t="n">
        <v>61521.90000000001</v>
      </c>
      <c r="T632" t="n">
        <v>11</v>
      </c>
      <c r="U632" t="n">
        <v>13</v>
      </c>
      <c r="V632" t="n">
        <v>30</v>
      </c>
      <c r="W632" t="n">
        <v>11</v>
      </c>
      <c r="X632" t="n">
        <v>23.53633421594586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2524</v>
      </c>
      <c r="AG632" t="n">
        <v>3444</v>
      </c>
      <c r="AH632" t="inlineStr">
        <is>
          <t>PT. ANUGERAH PHARMINDO LESTARI - PPN (JMB)</t>
        </is>
      </c>
      <c r="AI632" t="n">
        <v>326</v>
      </c>
      <c r="AJ632" t="inlineStr">
        <is>
          <t>CETAPHIL</t>
        </is>
      </c>
      <c r="AK632" t="n">
        <v>9</v>
      </c>
      <c r="AL632" t="inlineStr">
        <is>
          <t>Miss Glam Jambi</t>
        </is>
      </c>
      <c r="AM632" t="n">
        <v>3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CETAPHIL</t>
        </is>
      </c>
      <c r="B633" s="2">
        <f>"9318637070510"</f>
        <v/>
      </c>
      <c r="C633" t="inlineStr">
        <is>
          <t>CETAPHIL Gentle Skin Cleanser 118ml</t>
        </is>
      </c>
      <c r="D633" t="inlineStr">
        <is>
          <t>Miss Glam Jambi</t>
        </is>
      </c>
      <c r="E633" t="n">
        <v>0</v>
      </c>
      <c r="F633" t="n">
        <v>0.9405000000000001</v>
      </c>
      <c r="G633" t="n">
        <v>3.96</v>
      </c>
      <c r="H633" t="n">
        <v>3</v>
      </c>
      <c r="I633" t="n">
        <v>9</v>
      </c>
      <c r="J633" t="n">
        <v>3</v>
      </c>
      <c r="K633" t="n">
        <v>21</v>
      </c>
      <c r="L633" t="n">
        <v>65319</v>
      </c>
      <c r="M633" t="n">
        <v>79900</v>
      </c>
      <c r="N633" t="n">
        <v>33</v>
      </c>
      <c r="O633" t="n">
        <v>0.33</v>
      </c>
      <c r="P633" t="n">
        <v>1</v>
      </c>
      <c r="Q633" t="n">
        <v>2.02</v>
      </c>
      <c r="R633" t="n">
        <v>6</v>
      </c>
      <c r="S633" t="n">
        <v>75145.95000000001</v>
      </c>
      <c r="T633" t="n">
        <v>33</v>
      </c>
      <c r="U633" t="n">
        <v>36</v>
      </c>
      <c r="V633" t="n">
        <v>30</v>
      </c>
      <c r="W633" t="n">
        <v>29</v>
      </c>
      <c r="X633" t="n">
        <v>0</v>
      </c>
      <c r="Y633" t="n">
        <v>1</v>
      </c>
      <c r="Z633" t="n">
        <v>8</v>
      </c>
      <c r="AA633" t="n">
        <v>8</v>
      </c>
      <c r="AB633" t="n">
        <v>0</v>
      </c>
      <c r="AC633" t="n">
        <v>0</v>
      </c>
      <c r="AD633" t="n">
        <v>522552</v>
      </c>
      <c r="AE633" t="n">
        <v>0</v>
      </c>
      <c r="AF633" t="n">
        <v>2524</v>
      </c>
      <c r="AG633" t="n">
        <v>3444</v>
      </c>
      <c r="AH633" t="inlineStr">
        <is>
          <t>PT. ANUGERAH PHARMINDO LESTARI - PPN (JMB)</t>
        </is>
      </c>
      <c r="AI633" t="n">
        <v>326</v>
      </c>
      <c r="AJ633" t="inlineStr">
        <is>
          <t>CETAPHIL</t>
        </is>
      </c>
      <c r="AK633" t="n">
        <v>9</v>
      </c>
      <c r="AL633" t="inlineStr">
        <is>
          <t>Miss Glam Jambi</t>
        </is>
      </c>
      <c r="AM633" t="n">
        <v>3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CETAPHIL</t>
        </is>
      </c>
      <c r="B634" s="2">
        <f>"9318637072378"</f>
        <v/>
      </c>
      <c r="C634" t="inlineStr">
        <is>
          <t>CETAPHIL Gentle Skin Cleanser 236ml</t>
        </is>
      </c>
      <c r="D634" t="inlineStr">
        <is>
          <t>Miss Glam Jambi</t>
        </is>
      </c>
      <c r="E634" t="n">
        <v>16</v>
      </c>
      <c r="F634" t="n">
        <v>0.3036</v>
      </c>
      <c r="G634" t="n">
        <v>1.32</v>
      </c>
      <c r="H634" t="n">
        <v>3</v>
      </c>
      <c r="I634" t="n">
        <v>9</v>
      </c>
      <c r="J634" t="n">
        <v>3</v>
      </c>
      <c r="K634" t="n">
        <v>0</v>
      </c>
      <c r="L634" t="n">
        <v>114140</v>
      </c>
      <c r="M634" t="n">
        <v>136000</v>
      </c>
      <c r="N634" t="n">
        <v>33</v>
      </c>
      <c r="O634" t="n">
        <v>0.33</v>
      </c>
      <c r="P634" t="n">
        <v>1</v>
      </c>
      <c r="Q634" t="n">
        <v>0.42</v>
      </c>
      <c r="R634" t="n">
        <v>3</v>
      </c>
      <c r="S634" t="n">
        <v>41289.60000000001</v>
      </c>
      <c r="T634" t="n">
        <v>11</v>
      </c>
      <c r="U634" t="n">
        <v>12</v>
      </c>
      <c r="V634" t="n">
        <v>30</v>
      </c>
      <c r="W634" t="n">
        <v>10</v>
      </c>
      <c r="X634" t="n">
        <v>52.70092226613965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2524</v>
      </c>
      <c r="AG634" t="n">
        <v>3444</v>
      </c>
      <c r="AH634" t="inlineStr">
        <is>
          <t>PT. ANUGERAH PHARMINDO LESTARI - PPN (JMB)</t>
        </is>
      </c>
      <c r="AI634" t="n">
        <v>326</v>
      </c>
      <c r="AJ634" t="inlineStr">
        <is>
          <t>CETAPHIL</t>
        </is>
      </c>
      <c r="AK634" t="n">
        <v>9</v>
      </c>
      <c r="AL634" t="inlineStr">
        <is>
          <t>Miss Glam Jambi</t>
        </is>
      </c>
      <c r="AM634" t="n">
        <v>3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CETAPHIL</t>
        </is>
      </c>
      <c r="B635" s="2">
        <f>"9318637069637"</f>
        <v/>
      </c>
      <c r="C635" t="inlineStr">
        <is>
          <t>CETAPHIL Gentle Skin Cleanser 500ml</t>
        </is>
      </c>
      <c r="D635" t="inlineStr">
        <is>
          <t>Miss Glam Jambi</t>
        </is>
      </c>
      <c r="E635" t="n">
        <v>3</v>
      </c>
      <c r="F635" t="n">
        <v>0.1353</v>
      </c>
      <c r="G635" t="n">
        <v>0.99</v>
      </c>
      <c r="H635" t="n">
        <v>3</v>
      </c>
      <c r="I635" t="n">
        <v>9</v>
      </c>
      <c r="J635" t="n">
        <v>3</v>
      </c>
      <c r="K635" t="n">
        <v>3</v>
      </c>
      <c r="L635" t="n">
        <v>182229</v>
      </c>
      <c r="M635" t="n">
        <v>217000</v>
      </c>
      <c r="N635" t="n">
        <v>33</v>
      </c>
      <c r="O635" t="n">
        <v>0.33</v>
      </c>
      <c r="P635" t="n">
        <v>1</v>
      </c>
      <c r="Q635" t="n">
        <v>0.14</v>
      </c>
      <c r="R635" t="n">
        <v>2</v>
      </c>
      <c r="S635" t="n">
        <v>29360.1</v>
      </c>
      <c r="T635" t="n">
        <v>9</v>
      </c>
      <c r="U635" t="n">
        <v>10</v>
      </c>
      <c r="V635" t="n">
        <v>30</v>
      </c>
      <c r="W635" t="n">
        <v>5</v>
      </c>
      <c r="X635" t="n">
        <v>22.17294900221729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2524</v>
      </c>
      <c r="AG635" t="n">
        <v>3444</v>
      </c>
      <c r="AH635" t="inlineStr">
        <is>
          <t>PT. ANUGERAH PHARMINDO LESTARI - PPN (JMB)</t>
        </is>
      </c>
      <c r="AI635" t="n">
        <v>326</v>
      </c>
      <c r="AJ635" t="inlineStr">
        <is>
          <t>CETAPHIL</t>
        </is>
      </c>
      <c r="AK635" t="n">
        <v>9</v>
      </c>
      <c r="AL635" t="inlineStr">
        <is>
          <t>Miss Glam Jambi</t>
        </is>
      </c>
      <c r="AM635" t="n">
        <v>3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CETAPHIL</t>
        </is>
      </c>
      <c r="B636" s="2">
        <f>"302993921288"</f>
        <v/>
      </c>
      <c r="C636" t="inlineStr">
        <is>
          <t>CETAPHIL Gentle Skin Cleanser 59ml</t>
        </is>
      </c>
      <c r="D636" t="inlineStr">
        <is>
          <t>Miss Glam Jambi</t>
        </is>
      </c>
      <c r="E636" t="n">
        <v>48</v>
      </c>
      <c r="F636" t="n">
        <v>0.7986</v>
      </c>
      <c r="G636" t="n">
        <v>2.97</v>
      </c>
      <c r="H636" t="n">
        <v>3</v>
      </c>
      <c r="I636" t="n">
        <v>9</v>
      </c>
      <c r="J636" t="n">
        <v>3</v>
      </c>
      <c r="K636" t="n">
        <v>0</v>
      </c>
      <c r="L636" t="n">
        <v>37560</v>
      </c>
      <c r="M636" t="n">
        <v>51500</v>
      </c>
      <c r="N636" t="n">
        <v>33</v>
      </c>
      <c r="O636" t="n">
        <v>0.33</v>
      </c>
      <c r="P636" t="n">
        <v>1</v>
      </c>
      <c r="Q636" t="n">
        <v>0.86</v>
      </c>
      <c r="R636" t="n">
        <v>4</v>
      </c>
      <c r="S636" t="n">
        <v>41127.9</v>
      </c>
      <c r="T636" t="n">
        <v>25</v>
      </c>
      <c r="U636" t="n">
        <v>28</v>
      </c>
      <c r="V636" t="n">
        <v>30</v>
      </c>
      <c r="W636" t="n">
        <v>24</v>
      </c>
      <c r="X636" t="n">
        <v>60.10518407212622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2524</v>
      </c>
      <c r="AG636" t="n">
        <v>3444</v>
      </c>
      <c r="AH636" t="inlineStr">
        <is>
          <t>PT. ANUGERAH PHARMINDO LESTARI - PPN (JMB)</t>
        </is>
      </c>
      <c r="AI636" t="n">
        <v>326</v>
      </c>
      <c r="AJ636" t="inlineStr">
        <is>
          <t>CETAPHIL</t>
        </is>
      </c>
      <c r="AK636" t="n">
        <v>9</v>
      </c>
      <c r="AL636" t="inlineStr">
        <is>
          <t>Miss Glam Jambi</t>
        </is>
      </c>
      <c r="AM636" t="n">
        <v>3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CETAPHIL</t>
        </is>
      </c>
      <c r="B637" s="2">
        <f>"3499320014830"</f>
        <v/>
      </c>
      <c r="C637" t="inlineStr">
        <is>
          <t>CETAPHIL Hydrating Foaming Cream Cleanser 236ml</t>
        </is>
      </c>
      <c r="D637" t="inlineStr">
        <is>
          <t>Miss Glam Jambi</t>
        </is>
      </c>
      <c r="E637" t="n">
        <v>5</v>
      </c>
      <c r="F637" t="n">
        <v>0.1353</v>
      </c>
      <c r="G637" t="n">
        <v>0.66</v>
      </c>
      <c r="H637" t="n">
        <v>3</v>
      </c>
      <c r="I637" t="n">
        <v>9</v>
      </c>
      <c r="J637" t="n">
        <v>3</v>
      </c>
      <c r="K637" t="n">
        <v>0</v>
      </c>
      <c r="L637" t="n">
        <v>119099</v>
      </c>
      <c r="M637" t="n">
        <v>138000</v>
      </c>
      <c r="N637" t="n">
        <v>33</v>
      </c>
      <c r="O637" t="n">
        <v>0.33</v>
      </c>
      <c r="P637" t="n">
        <v>1</v>
      </c>
      <c r="Q637" t="n">
        <v>0.14</v>
      </c>
      <c r="R637" t="n">
        <v>2</v>
      </c>
      <c r="S637" t="n">
        <v>18671.4</v>
      </c>
      <c r="T637" t="n">
        <v>6</v>
      </c>
      <c r="U637" t="n">
        <v>7</v>
      </c>
      <c r="V637" t="n">
        <v>30</v>
      </c>
      <c r="W637" t="n">
        <v>5</v>
      </c>
      <c r="X637" t="n">
        <v>36.95491500369549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2524</v>
      </c>
      <c r="AG637" t="n">
        <v>3444</v>
      </c>
      <c r="AH637" t="inlineStr">
        <is>
          <t>PT. ANUGERAH PHARMINDO LESTARI - PPN (JMB)</t>
        </is>
      </c>
      <c r="AI637" t="n">
        <v>326</v>
      </c>
      <c r="AJ637" t="inlineStr">
        <is>
          <t>CETAPHIL</t>
        </is>
      </c>
      <c r="AK637" t="n">
        <v>9</v>
      </c>
      <c r="AL637" t="inlineStr">
        <is>
          <t>Miss Glam Jambi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CETAPHIL</t>
        </is>
      </c>
      <c r="B638" s="2">
        <f>"30200190804"</f>
        <v/>
      </c>
      <c r="C638" t="inlineStr">
        <is>
          <t>CETAPHIL Moisturizing Lotion 237ml</t>
        </is>
      </c>
      <c r="D638" t="inlineStr">
        <is>
          <t>Miss Glam Jambi</t>
        </is>
      </c>
      <c r="E638" t="n">
        <v>3</v>
      </c>
      <c r="F638" t="n">
        <v>0.0462</v>
      </c>
      <c r="G638" t="n">
        <v>0.66</v>
      </c>
      <c r="H638" t="n">
        <v>3</v>
      </c>
      <c r="I638" t="n">
        <v>9</v>
      </c>
      <c r="J638" t="n">
        <v>1</v>
      </c>
      <c r="K638" t="n">
        <v>0</v>
      </c>
      <c r="L638" t="n">
        <v>149953</v>
      </c>
      <c r="M638" t="n">
        <v>185000</v>
      </c>
      <c r="N638" t="n">
        <v>33</v>
      </c>
      <c r="O638" t="n">
        <v>0.33</v>
      </c>
      <c r="P638" t="n">
        <v>1</v>
      </c>
      <c r="Q638" t="n">
        <v>0.05</v>
      </c>
      <c r="R638" t="n">
        <v>1</v>
      </c>
      <c r="S638" t="n">
        <v>8547.000000000002</v>
      </c>
      <c r="T638" t="n">
        <v>6</v>
      </c>
      <c r="U638" t="n">
        <v>7</v>
      </c>
      <c r="V638" t="n">
        <v>30</v>
      </c>
      <c r="W638" t="n">
        <v>2</v>
      </c>
      <c r="X638" t="n">
        <v>64.93506493506493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2524</v>
      </c>
      <c r="AG638" t="n">
        <v>3444</v>
      </c>
      <c r="AH638" t="inlineStr">
        <is>
          <t>PT. ANUGERAH PHARMINDO LESTARI - PPN (JMB)</t>
        </is>
      </c>
      <c r="AI638" t="n">
        <v>326</v>
      </c>
      <c r="AJ638" t="inlineStr">
        <is>
          <t>CETAPHIL</t>
        </is>
      </c>
      <c r="AK638" t="n">
        <v>9</v>
      </c>
      <c r="AL638" t="inlineStr">
        <is>
          <t>Miss Glam Jambi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CIARA</t>
        </is>
      </c>
      <c r="B639" s="2">
        <f>"30200194124"</f>
        <v/>
      </c>
      <c r="C639" t="inlineStr">
        <is>
          <t>CIARA Calm Down Calming Gel 30ml</t>
        </is>
      </c>
      <c r="D639" t="inlineStr">
        <is>
          <t>Miss Glam Jambi</t>
        </is>
      </c>
      <c r="E639" t="n">
        <v>5</v>
      </c>
      <c r="F639" t="n">
        <v>0.0165</v>
      </c>
      <c r="G639" t="n">
        <v>0.33</v>
      </c>
      <c r="H639" t="n">
        <v>4</v>
      </c>
      <c r="I639" t="n">
        <v>20</v>
      </c>
      <c r="J639" t="n">
        <v>1</v>
      </c>
      <c r="K639" t="n">
        <v>0</v>
      </c>
      <c r="L639" t="n">
        <v>46400</v>
      </c>
      <c r="M639" t="n">
        <v>58000</v>
      </c>
      <c r="N639" t="n">
        <v>33</v>
      </c>
      <c r="O639" t="n">
        <v>0.33</v>
      </c>
      <c r="P639" t="n">
        <v>1</v>
      </c>
      <c r="Q639" t="n">
        <v>0.02</v>
      </c>
      <c r="R639" t="n">
        <v>1</v>
      </c>
      <c r="S639" t="n">
        <v>957</v>
      </c>
      <c r="T639" t="n">
        <v>7</v>
      </c>
      <c r="U639" t="n">
        <v>8</v>
      </c>
      <c r="V639" t="n">
        <v>30</v>
      </c>
      <c r="W639" t="n">
        <v>1</v>
      </c>
      <c r="X639" t="n">
        <v>303.030303030303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4168</v>
      </c>
      <c r="AG639" t="n">
        <v>1</v>
      </c>
      <c r="AH639" t="inlineStr">
        <is>
          <t>PT. BERSAMA DISTRIVERSA INDONESIA (DC CIPUTAT)</t>
        </is>
      </c>
      <c r="AI639" t="n">
        <v>1482</v>
      </c>
      <c r="AJ639" t="inlineStr">
        <is>
          <t>CIARA</t>
        </is>
      </c>
      <c r="AK639" t="n">
        <v>9</v>
      </c>
      <c r="AL639" t="inlineStr">
        <is>
          <t>Miss Glam Jambi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CIARA</t>
        </is>
      </c>
      <c r="B640" s="2">
        <f>"8993883100245"</f>
        <v/>
      </c>
      <c r="C640" t="inlineStr">
        <is>
          <t>CIARA Chamomile Calming Cream</t>
        </is>
      </c>
      <c r="D640" t="inlineStr">
        <is>
          <t>Miss Glam Jambi</t>
        </is>
      </c>
      <c r="E640" t="n">
        <v>3</v>
      </c>
      <c r="F640" t="n">
        <v>0.033</v>
      </c>
      <c r="G640" t="n">
        <v>0.66</v>
      </c>
      <c r="H640" t="n">
        <v>4</v>
      </c>
      <c r="I640" t="n">
        <v>20</v>
      </c>
      <c r="J640" t="n">
        <v>3</v>
      </c>
      <c r="K640" t="n">
        <v>0</v>
      </c>
      <c r="L640" t="n">
        <v>60000</v>
      </c>
      <c r="M640" t="n">
        <v>74000</v>
      </c>
      <c r="N640" t="n">
        <v>33</v>
      </c>
      <c r="O640" t="n">
        <v>0.33</v>
      </c>
      <c r="P640" t="n">
        <v>1</v>
      </c>
      <c r="Q640" t="n">
        <v>0.05</v>
      </c>
      <c r="R640" t="n">
        <v>1</v>
      </c>
      <c r="S640" t="n">
        <v>2442</v>
      </c>
      <c r="T640" t="n">
        <v>14</v>
      </c>
      <c r="U640" t="n">
        <v>15</v>
      </c>
      <c r="V640" t="n">
        <v>30</v>
      </c>
      <c r="W640" t="n">
        <v>1</v>
      </c>
      <c r="X640" t="n">
        <v>90.90909090909091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4168</v>
      </c>
      <c r="AG640" t="n">
        <v>1</v>
      </c>
      <c r="AH640" t="inlineStr">
        <is>
          <t>PT. BERSAMA DISTRIVERSA INDONESIA (DC CIPUTAT)</t>
        </is>
      </c>
      <c r="AI640" t="n">
        <v>1482</v>
      </c>
      <c r="AJ640" t="inlineStr">
        <is>
          <t>CIARA</t>
        </is>
      </c>
      <c r="AK640" t="n">
        <v>9</v>
      </c>
      <c r="AL640" t="inlineStr">
        <is>
          <t>Miss Glam Jambi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CIARA</t>
        </is>
      </c>
      <c r="B641" s="2">
        <f>"8993883100788"</f>
        <v/>
      </c>
      <c r="C641" t="inlineStr">
        <is>
          <t>CIARA Liquid Serum For Stretchmark 30ml</t>
        </is>
      </c>
      <c r="D641" t="inlineStr">
        <is>
          <t>Miss Glam Jambi</t>
        </is>
      </c>
      <c r="E641" t="n">
        <v>9</v>
      </c>
      <c r="F641" t="n">
        <v>0.0561</v>
      </c>
      <c r="G641" t="n">
        <v>0.66</v>
      </c>
      <c r="H641" t="n">
        <v>4</v>
      </c>
      <c r="I641" t="n">
        <v>20</v>
      </c>
      <c r="J641" t="n">
        <v>3</v>
      </c>
      <c r="K641" t="n">
        <v>0</v>
      </c>
      <c r="L641" t="n">
        <v>76000</v>
      </c>
      <c r="M641" t="n">
        <v>94000</v>
      </c>
      <c r="N641" t="n">
        <v>33</v>
      </c>
      <c r="O641" t="n">
        <v>0.33</v>
      </c>
      <c r="P641" t="n">
        <v>1</v>
      </c>
      <c r="Q641" t="n">
        <v>0.03</v>
      </c>
      <c r="R641" t="n">
        <v>1</v>
      </c>
      <c r="S641" t="n">
        <v>5273.400000000001</v>
      </c>
      <c r="T641" t="n">
        <v>13</v>
      </c>
      <c r="U641" t="n">
        <v>14</v>
      </c>
      <c r="V641" t="n">
        <v>30</v>
      </c>
      <c r="W641" t="n">
        <v>2</v>
      </c>
      <c r="X641" t="n">
        <v>160.427807486631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4168</v>
      </c>
      <c r="AG641" t="n">
        <v>1</v>
      </c>
      <c r="AH641" t="inlineStr">
        <is>
          <t>PT. BERSAMA DISTRIVERSA INDONESIA (DC CIPUTAT)</t>
        </is>
      </c>
      <c r="AI641" t="n">
        <v>1482</v>
      </c>
      <c r="AJ641" t="inlineStr">
        <is>
          <t>CIARA</t>
        </is>
      </c>
      <c r="AK641" t="n">
        <v>9</v>
      </c>
      <c r="AL641" t="inlineStr">
        <is>
          <t>Miss Glam Jambi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CIARA</t>
        </is>
      </c>
      <c r="B642" s="2">
        <f>"8993883100047"</f>
        <v/>
      </c>
      <c r="C642" t="inlineStr">
        <is>
          <t>CIARA Natural Deodorant 30gr NEW</t>
        </is>
      </c>
      <c r="D642" t="inlineStr">
        <is>
          <t>Miss Glam Jambi</t>
        </is>
      </c>
      <c r="E642" t="n">
        <v>12</v>
      </c>
      <c r="F642" t="n">
        <v>0.0264</v>
      </c>
      <c r="G642" t="n">
        <v>0.66</v>
      </c>
      <c r="H642" t="n">
        <v>4</v>
      </c>
      <c r="I642" t="n">
        <v>20</v>
      </c>
      <c r="J642" t="n">
        <v>3</v>
      </c>
      <c r="K642" t="n">
        <v>0</v>
      </c>
      <c r="L642" t="n">
        <v>65600</v>
      </c>
      <c r="M642" t="n">
        <v>107000</v>
      </c>
      <c r="N642" t="n">
        <v>33</v>
      </c>
      <c r="O642" t="n">
        <v>0.33</v>
      </c>
      <c r="P642" t="n">
        <v>1</v>
      </c>
      <c r="Q642" t="n">
        <v>0.02</v>
      </c>
      <c r="R642" t="n">
        <v>1</v>
      </c>
      <c r="S642" t="n">
        <v>2824.8</v>
      </c>
      <c r="T642" t="n">
        <v>14</v>
      </c>
      <c r="U642" t="n">
        <v>15</v>
      </c>
      <c r="V642" t="n">
        <v>30</v>
      </c>
      <c r="W642" t="n">
        <v>1</v>
      </c>
      <c r="X642" t="n">
        <v>454.5454545454545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4168</v>
      </c>
      <c r="AG642" t="n">
        <v>1</v>
      </c>
      <c r="AH642" t="inlineStr">
        <is>
          <t>PT. BERSAMA DISTRIVERSA INDONESIA (DC CIPUTAT)</t>
        </is>
      </c>
      <c r="AI642" t="n">
        <v>1482</v>
      </c>
      <c r="AJ642" t="inlineStr">
        <is>
          <t>CIARA</t>
        </is>
      </c>
      <c r="AK642" t="n">
        <v>9</v>
      </c>
      <c r="AL642" t="inlineStr">
        <is>
          <t>Miss Glam Jambi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CIARA</t>
        </is>
      </c>
      <c r="B643" s="2">
        <f>"30400422805"</f>
        <v/>
      </c>
      <c r="C643" t="inlineStr">
        <is>
          <t>CIARA Natural Deodorant 50gr</t>
        </is>
      </c>
      <c r="D643" t="inlineStr">
        <is>
          <t>Miss Glam Jambi</t>
        </is>
      </c>
      <c r="E643" t="n">
        <v>4</v>
      </c>
      <c r="F643" t="n">
        <v>0.006600000000000001</v>
      </c>
      <c r="G643" t="n">
        <v>0.66</v>
      </c>
      <c r="H643" t="n">
        <v>4</v>
      </c>
      <c r="I643" t="n">
        <v>20</v>
      </c>
      <c r="J643" t="n">
        <v>3</v>
      </c>
      <c r="K643" t="n">
        <v>0</v>
      </c>
      <c r="L643" t="n">
        <v>89600</v>
      </c>
      <c r="M643" t="n">
        <v>134500</v>
      </c>
      <c r="N643" t="n">
        <v>33</v>
      </c>
      <c r="O643" t="n">
        <v>0.33</v>
      </c>
      <c r="P643" t="n">
        <v>1</v>
      </c>
      <c r="Q643" t="n">
        <v>0.03</v>
      </c>
      <c r="R643" t="n">
        <v>1</v>
      </c>
      <c r="S643" t="n">
        <v>887.7000000000002</v>
      </c>
      <c r="T643" t="n">
        <v>14</v>
      </c>
      <c r="U643" t="n">
        <v>15</v>
      </c>
      <c r="V643" t="n">
        <v>30</v>
      </c>
      <c r="W643" t="n">
        <v>1</v>
      </c>
      <c r="X643" t="n">
        <v>606.060606060606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4168</v>
      </c>
      <c r="AG643" t="n">
        <v>1</v>
      </c>
      <c r="AH643" t="inlineStr">
        <is>
          <t>PT. BERSAMA DISTRIVERSA INDONESIA (DC CIPUTAT)</t>
        </is>
      </c>
      <c r="AI643" t="n">
        <v>1482</v>
      </c>
      <c r="AJ643" t="inlineStr">
        <is>
          <t>CIARA</t>
        </is>
      </c>
      <c r="AK643" t="n">
        <v>9</v>
      </c>
      <c r="AL643" t="inlineStr">
        <is>
          <t>Miss Glam Jambi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CIARA</t>
        </is>
      </c>
      <c r="B644" s="2">
        <f>"8993883100221"</f>
        <v/>
      </c>
      <c r="C644" t="inlineStr">
        <is>
          <t>CIARA Strechmark Treatment Oil</t>
        </is>
      </c>
      <c r="D644" t="inlineStr">
        <is>
          <t>Miss Glam Jambi</t>
        </is>
      </c>
      <c r="E644" t="n">
        <v>2</v>
      </c>
      <c r="F644" t="n">
        <v>0.0462</v>
      </c>
      <c r="G644" t="n">
        <v>0.33</v>
      </c>
      <c r="H644" t="n">
        <v>4</v>
      </c>
      <c r="I644" t="n">
        <v>20</v>
      </c>
      <c r="J644" t="n">
        <v>3</v>
      </c>
      <c r="K644" t="n">
        <v>0</v>
      </c>
      <c r="L644" t="n">
        <v>55200</v>
      </c>
      <c r="M644" t="n">
        <v>68000</v>
      </c>
      <c r="N644" t="n">
        <v>33</v>
      </c>
      <c r="O644" t="n">
        <v>0.33</v>
      </c>
      <c r="P644" t="n">
        <v>1</v>
      </c>
      <c r="Q644" t="n">
        <v>0.07000000000000001</v>
      </c>
      <c r="R644" t="n">
        <v>2</v>
      </c>
      <c r="S644" t="n">
        <v>3141.6</v>
      </c>
      <c r="T644" t="n">
        <v>7</v>
      </c>
      <c r="U644" t="n">
        <v>8</v>
      </c>
      <c r="V644" t="n">
        <v>30</v>
      </c>
      <c r="W644" t="n">
        <v>2</v>
      </c>
      <c r="X644" t="n">
        <v>43.29004329004329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4168</v>
      </c>
      <c r="AG644" t="n">
        <v>1</v>
      </c>
      <c r="AH644" t="inlineStr">
        <is>
          <t>PT. BERSAMA DISTRIVERSA INDONESIA (DC CIPUTAT)</t>
        </is>
      </c>
      <c r="AI644" t="n">
        <v>1482</v>
      </c>
      <c r="AJ644" t="inlineStr">
        <is>
          <t>CIARA</t>
        </is>
      </c>
      <c r="AK644" t="n">
        <v>9</v>
      </c>
      <c r="AL644" t="inlineStr">
        <is>
          <t>Miss Glam Jambi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CITRA</t>
        </is>
      </c>
      <c r="B645" s="2">
        <f>"8999999528850"</f>
        <v/>
      </c>
      <c r="C645" t="inlineStr">
        <is>
          <t>CITRA Body Lotion Bengkoang Natural Glow UV 60ml</t>
        </is>
      </c>
      <c r="D645" t="inlineStr">
        <is>
          <t>Miss Glam Jambi</t>
        </is>
      </c>
      <c r="E645" t="n">
        <v>8</v>
      </c>
      <c r="F645" t="n">
        <v>0.066</v>
      </c>
      <c r="G645" t="n">
        <v>0.99</v>
      </c>
      <c r="H645" t="n">
        <v>3</v>
      </c>
      <c r="I645" t="n">
        <v>19</v>
      </c>
      <c r="J645" t="n">
        <v>3</v>
      </c>
      <c r="K645" t="n">
        <v>0</v>
      </c>
      <c r="L645" t="n">
        <v>6314</v>
      </c>
      <c r="M645" t="n">
        <v>9500</v>
      </c>
      <c r="N645" t="n">
        <v>33</v>
      </c>
      <c r="O645" t="n">
        <v>0.33</v>
      </c>
      <c r="P645" t="n">
        <v>1</v>
      </c>
      <c r="Q645" t="n">
        <v>0.1</v>
      </c>
      <c r="R645" t="n">
        <v>2</v>
      </c>
      <c r="S645" t="n">
        <v>627</v>
      </c>
      <c r="T645" t="n">
        <v>19</v>
      </c>
      <c r="U645" t="n">
        <v>20</v>
      </c>
      <c r="V645" t="n">
        <v>30</v>
      </c>
      <c r="W645" t="n">
        <v>2</v>
      </c>
      <c r="X645" t="n">
        <v>121.2121212121212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9746</v>
      </c>
      <c r="AG645" t="n">
        <v>2206</v>
      </c>
      <c r="AH645" t="inlineStr">
        <is>
          <t>PT. ENHA PUTRA (ONLINE CASH)</t>
        </is>
      </c>
      <c r="AI645" t="n">
        <v>392</v>
      </c>
      <c r="AJ645" t="inlineStr">
        <is>
          <t>CITRA</t>
        </is>
      </c>
      <c r="AK645" t="n">
        <v>9</v>
      </c>
      <c r="AL645" t="inlineStr">
        <is>
          <t>Miss Glam Jambi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CITRA</t>
        </is>
      </c>
      <c r="B646" s="2">
        <f>"30200186227"</f>
        <v/>
      </c>
      <c r="C646" t="inlineStr">
        <is>
          <t>CITRA Body Lotion Perfect Bright Bengkoang 110ml</t>
        </is>
      </c>
      <c r="D646" t="inlineStr">
        <is>
          <t>Miss Glam Jambi</t>
        </is>
      </c>
      <c r="E646" t="n">
        <v>2</v>
      </c>
      <c r="F646" t="n">
        <v>0.9669000000000001</v>
      </c>
      <c r="G646" t="n">
        <v>3.3</v>
      </c>
      <c r="H646" t="n">
        <v>3</v>
      </c>
      <c r="I646" t="n">
        <v>19</v>
      </c>
      <c r="J646" t="n">
        <v>3</v>
      </c>
      <c r="K646" t="n">
        <v>11</v>
      </c>
      <c r="L646" t="n">
        <v>10478</v>
      </c>
      <c r="M646" t="n">
        <v>12500</v>
      </c>
      <c r="N646" t="n">
        <v>33</v>
      </c>
      <c r="O646" t="n">
        <v>0.33</v>
      </c>
      <c r="P646" t="n">
        <v>1</v>
      </c>
      <c r="Q646" t="n">
        <v>0.17</v>
      </c>
      <c r="R646" t="n">
        <v>2</v>
      </c>
      <c r="S646" t="n">
        <v>12086.25</v>
      </c>
      <c r="T646" t="n">
        <v>60</v>
      </c>
      <c r="U646" t="n">
        <v>63</v>
      </c>
      <c r="V646" t="n">
        <v>30</v>
      </c>
      <c r="W646" t="n">
        <v>30</v>
      </c>
      <c r="X646" t="n">
        <v>2.068466232288757</v>
      </c>
      <c r="Y646" t="n">
        <v>1</v>
      </c>
      <c r="Z646" t="n">
        <v>17</v>
      </c>
      <c r="AA646" t="n">
        <v>16</v>
      </c>
      <c r="AB646" t="n">
        <v>1</v>
      </c>
      <c r="AC646" t="n">
        <v>3</v>
      </c>
      <c r="AD646" t="n">
        <v>167648</v>
      </c>
      <c r="AE646" t="n">
        <v>31434</v>
      </c>
      <c r="AF646" t="n">
        <v>9746</v>
      </c>
      <c r="AG646" t="n">
        <v>2206</v>
      </c>
      <c r="AH646" t="inlineStr">
        <is>
          <t>PT. ENHA PUTRA (ONLINE CASH)</t>
        </is>
      </c>
      <c r="AI646" t="n">
        <v>392</v>
      </c>
      <c r="AJ646" t="inlineStr">
        <is>
          <t>CITRA</t>
        </is>
      </c>
      <c r="AK646" t="n">
        <v>9</v>
      </c>
      <c r="AL646" t="inlineStr">
        <is>
          <t>Miss Glam Jambi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CITRA</t>
        </is>
      </c>
      <c r="B647" s="2">
        <f>"30200185814"</f>
        <v/>
      </c>
      <c r="C647" t="inlineStr">
        <is>
          <t>CITRA Body Lotion Perfect Bright Bengkoang 210ml</t>
        </is>
      </c>
      <c r="D647" t="inlineStr">
        <is>
          <t>Miss Glam Jambi</t>
        </is>
      </c>
      <c r="E647" t="n">
        <v>24</v>
      </c>
      <c r="F647" t="n">
        <v>0.8448000000000001</v>
      </c>
      <c r="G647" t="n">
        <v>3.3</v>
      </c>
      <c r="H647" t="n">
        <v>3</v>
      </c>
      <c r="I647" t="n">
        <v>19</v>
      </c>
      <c r="J647" t="n">
        <v>3</v>
      </c>
      <c r="K647" t="n">
        <v>3</v>
      </c>
      <c r="L647" t="n">
        <v>18544</v>
      </c>
      <c r="M647" t="n">
        <v>22000</v>
      </c>
      <c r="N647" t="n">
        <v>33</v>
      </c>
      <c r="O647" t="n">
        <v>0.33</v>
      </c>
      <c r="P647" t="n">
        <v>1</v>
      </c>
      <c r="Q647" t="n">
        <v>0.34</v>
      </c>
      <c r="R647" t="n">
        <v>3</v>
      </c>
      <c r="S647" t="n">
        <v>18585.6</v>
      </c>
      <c r="T647" t="n">
        <v>61</v>
      </c>
      <c r="U647" t="n">
        <v>64</v>
      </c>
      <c r="V647" t="n">
        <v>30</v>
      </c>
      <c r="W647" t="n">
        <v>26</v>
      </c>
      <c r="X647" t="n">
        <v>28.40909090909091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9746</v>
      </c>
      <c r="AG647" t="n">
        <v>2206</v>
      </c>
      <c r="AH647" t="inlineStr">
        <is>
          <t>PT. ENHA PUTRA (ONLINE CASH)</t>
        </is>
      </c>
      <c r="AI647" t="n">
        <v>392</v>
      </c>
      <c r="AJ647" t="inlineStr">
        <is>
          <t>CITRA</t>
        </is>
      </c>
      <c r="AK647" t="n">
        <v>9</v>
      </c>
      <c r="AL647" t="inlineStr">
        <is>
          <t>Miss Glam Jambi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CITRA</t>
        </is>
      </c>
      <c r="B648" s="2">
        <f>"30200190706"</f>
        <v/>
      </c>
      <c r="C648" t="inlineStr">
        <is>
          <t>CITRA Body Lotion Radiant Glow Pearl Bio-Peptide 380ml</t>
        </is>
      </c>
      <c r="D648" t="inlineStr">
        <is>
          <t>Miss Glam Jambi</t>
        </is>
      </c>
      <c r="E648" t="n">
        <v>4</v>
      </c>
      <c r="F648" t="n">
        <v>0.066</v>
      </c>
      <c r="G648" t="n">
        <v>0.66</v>
      </c>
      <c r="H648" t="n">
        <v>3</v>
      </c>
      <c r="I648" t="n">
        <v>19</v>
      </c>
      <c r="J648" t="n">
        <v>1</v>
      </c>
      <c r="K648" t="n">
        <v>0</v>
      </c>
      <c r="L648" t="n">
        <v>33959</v>
      </c>
      <c r="M648" t="n">
        <v>40000</v>
      </c>
      <c r="N648" t="n">
        <v>33</v>
      </c>
      <c r="O648" t="n">
        <v>0.33</v>
      </c>
      <c r="P648" t="n">
        <v>1</v>
      </c>
      <c r="Q648" t="n">
        <v>0.07000000000000001</v>
      </c>
      <c r="R648" t="n">
        <v>1</v>
      </c>
      <c r="S648" t="n">
        <v>2640</v>
      </c>
      <c r="T648" t="n">
        <v>13</v>
      </c>
      <c r="U648" t="n">
        <v>14</v>
      </c>
      <c r="V648" t="n">
        <v>30</v>
      </c>
      <c r="W648" t="n">
        <v>2</v>
      </c>
      <c r="X648" t="n">
        <v>60.6060606060606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9746</v>
      </c>
      <c r="AG648" t="n">
        <v>2206</v>
      </c>
      <c r="AH648" t="inlineStr">
        <is>
          <t>PT. ENHA PUTRA (ONLINE CASH)</t>
        </is>
      </c>
      <c r="AI648" t="n">
        <v>392</v>
      </c>
      <c r="AJ648" t="inlineStr">
        <is>
          <t>CITRA</t>
        </is>
      </c>
      <c r="AK648" t="n">
        <v>9</v>
      </c>
      <c r="AL648" t="inlineStr">
        <is>
          <t>Miss Glam Jambi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CITRA</t>
        </is>
      </c>
      <c r="B649" s="2">
        <f>"30200190953"</f>
        <v/>
      </c>
      <c r="C649" t="inlineStr">
        <is>
          <t>CITRA Body Lotion Supple &amp; Bright Sakura 110ml</t>
        </is>
      </c>
      <c r="D649" t="inlineStr">
        <is>
          <t>Miss Glam Jambi</t>
        </is>
      </c>
      <c r="E649" t="n">
        <v>4</v>
      </c>
      <c r="F649" t="n">
        <v>0.4026</v>
      </c>
      <c r="G649" t="n">
        <v>1.32</v>
      </c>
      <c r="H649" t="n">
        <v>3</v>
      </c>
      <c r="I649" t="n">
        <v>19</v>
      </c>
      <c r="J649" t="n">
        <v>1</v>
      </c>
      <c r="K649" t="n">
        <v>5</v>
      </c>
      <c r="L649" t="n">
        <v>12244</v>
      </c>
      <c r="M649" t="n">
        <v>14500</v>
      </c>
      <c r="N649" t="n">
        <v>33</v>
      </c>
      <c r="O649" t="n">
        <v>0.33</v>
      </c>
      <c r="P649" t="n">
        <v>1</v>
      </c>
      <c r="Q649" t="n">
        <v>0.24</v>
      </c>
      <c r="R649" t="n">
        <v>1</v>
      </c>
      <c r="S649" t="n">
        <v>5837.7</v>
      </c>
      <c r="T649" t="n">
        <v>24</v>
      </c>
      <c r="U649" t="n">
        <v>26</v>
      </c>
      <c r="V649" t="n">
        <v>30</v>
      </c>
      <c r="W649" t="n">
        <v>13</v>
      </c>
      <c r="X649" t="n">
        <v>9.935419771485344</v>
      </c>
      <c r="Y649" t="n">
        <v>1</v>
      </c>
      <c r="Z649" t="n">
        <v>4</v>
      </c>
      <c r="AA649" t="n">
        <v>3</v>
      </c>
      <c r="AB649" t="n">
        <v>1</v>
      </c>
      <c r="AC649" t="n">
        <v>1</v>
      </c>
      <c r="AD649" t="n">
        <v>36732</v>
      </c>
      <c r="AE649" t="n">
        <v>12244</v>
      </c>
      <c r="AF649" t="n">
        <v>9746</v>
      </c>
      <c r="AG649" t="n">
        <v>2206</v>
      </c>
      <c r="AH649" t="inlineStr">
        <is>
          <t>PT. ENHA PUTRA (ONLINE CASH)</t>
        </is>
      </c>
      <c r="AI649" t="n">
        <v>392</v>
      </c>
      <c r="AJ649" t="inlineStr">
        <is>
          <t>CITRA</t>
        </is>
      </c>
      <c r="AK649" t="n">
        <v>9</v>
      </c>
      <c r="AL649" t="inlineStr">
        <is>
          <t>Miss Glam Jambi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CITRA</t>
        </is>
      </c>
      <c r="B650" s="2">
        <f>"8999999596118"</f>
        <v/>
      </c>
      <c r="C650" t="inlineStr">
        <is>
          <t>CITRA Body Serum Protect Glow Spf 20 PA++ 180ml</t>
        </is>
      </c>
      <c r="D650" t="inlineStr">
        <is>
          <t>Miss Glam Jambi</t>
        </is>
      </c>
      <c r="E650" t="n">
        <v>1</v>
      </c>
      <c r="F650" t="n">
        <v>0.05</v>
      </c>
      <c r="G650" t="n">
        <v>1</v>
      </c>
      <c r="H650" t="n">
        <v>3</v>
      </c>
      <c r="I650" t="n">
        <v>19</v>
      </c>
      <c r="J650" t="n">
        <v>3</v>
      </c>
      <c r="K650" t="n">
        <v>3</v>
      </c>
      <c r="L650" t="n">
        <v>21797</v>
      </c>
      <c r="M650" t="n">
        <v>25500</v>
      </c>
      <c r="N650" t="n">
        <v>33</v>
      </c>
      <c r="O650" t="n">
        <v>0.33</v>
      </c>
      <c r="P650" t="n">
        <v>0</v>
      </c>
      <c r="Q650" t="n">
        <v>0.05</v>
      </c>
      <c r="R650" t="n">
        <v>1</v>
      </c>
      <c r="S650" t="n">
        <v>1275</v>
      </c>
      <c r="T650" t="n">
        <v>19</v>
      </c>
      <c r="U650" t="n">
        <v>20</v>
      </c>
      <c r="V650" t="n">
        <v>30</v>
      </c>
      <c r="W650" t="n">
        <v>2</v>
      </c>
      <c r="X650" t="n">
        <v>20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9746</v>
      </c>
      <c r="AG650" t="n">
        <v>2206</v>
      </c>
      <c r="AH650" t="inlineStr">
        <is>
          <t>PT. ENHA PUTRA (ONLINE CASH)</t>
        </is>
      </c>
      <c r="AI650" t="n">
        <v>392</v>
      </c>
      <c r="AJ650" t="inlineStr">
        <is>
          <t>CITRA</t>
        </is>
      </c>
      <c r="AK650" t="n">
        <v>9</v>
      </c>
      <c r="AL650" t="inlineStr">
        <is>
          <t>Miss Glam Jambi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CITRA</t>
        </is>
      </c>
      <c r="B651" s="2">
        <f>"8999999525934"</f>
        <v/>
      </c>
      <c r="C651" t="inlineStr">
        <is>
          <t>CITRA Green Tea Anti Acne Facial Foam 100gr</t>
        </is>
      </c>
      <c r="D651" t="inlineStr">
        <is>
          <t>Miss Glam Jambi</t>
        </is>
      </c>
      <c r="E651" t="n">
        <v>2</v>
      </c>
      <c r="F651" t="n">
        <v>0.0396</v>
      </c>
      <c r="G651" t="n">
        <v>0.66</v>
      </c>
      <c r="H651" t="n">
        <v>3</v>
      </c>
      <c r="I651" t="n">
        <v>19</v>
      </c>
      <c r="J651" t="n">
        <v>3</v>
      </c>
      <c r="K651" t="n">
        <v>0</v>
      </c>
      <c r="L651" t="n">
        <v>23555</v>
      </c>
      <c r="M651" t="n">
        <v>36000</v>
      </c>
      <c r="N651" t="n">
        <v>33</v>
      </c>
      <c r="O651" t="n">
        <v>0.33</v>
      </c>
      <c r="P651" t="n">
        <v>1</v>
      </c>
      <c r="Q651" t="n">
        <v>0.02</v>
      </c>
      <c r="R651" t="n">
        <v>1</v>
      </c>
      <c r="S651" t="n">
        <v>1425.6</v>
      </c>
      <c r="T651" t="n">
        <v>13</v>
      </c>
      <c r="U651" t="n">
        <v>14</v>
      </c>
      <c r="V651" t="n">
        <v>30</v>
      </c>
      <c r="W651" t="n">
        <v>2</v>
      </c>
      <c r="X651" t="n">
        <v>50.5050505050505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9746</v>
      </c>
      <c r="AG651" t="n">
        <v>2206</v>
      </c>
      <c r="AH651" t="inlineStr">
        <is>
          <t>PT. ENHA PUTRA (ONLINE CASH)</t>
        </is>
      </c>
      <c r="AI651" t="n">
        <v>392</v>
      </c>
      <c r="AJ651" t="inlineStr">
        <is>
          <t>CITRA</t>
        </is>
      </c>
      <c r="AK651" t="n">
        <v>9</v>
      </c>
      <c r="AL651" t="inlineStr">
        <is>
          <t>Miss Glam Jambi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CITRA</t>
        </is>
      </c>
      <c r="B652" s="2">
        <f>"8999999511258"</f>
        <v/>
      </c>
      <c r="C652" t="inlineStr">
        <is>
          <t>CITRA Greentea Antiacne Essence Cream 40gr</t>
        </is>
      </c>
      <c r="D652" t="inlineStr">
        <is>
          <t>Miss Glam Jambi</t>
        </is>
      </c>
      <c r="E652" t="n">
        <v>6</v>
      </c>
      <c r="F652" t="n">
        <v>0.0561</v>
      </c>
      <c r="G652" t="n">
        <v>0.66</v>
      </c>
      <c r="H652" t="n">
        <v>3</v>
      </c>
      <c r="I652" t="n">
        <v>19</v>
      </c>
      <c r="J652" t="n">
        <v>3</v>
      </c>
      <c r="K652" t="n">
        <v>0</v>
      </c>
      <c r="L652" t="n">
        <v>42815</v>
      </c>
      <c r="M652" t="n">
        <v>50500</v>
      </c>
      <c r="N652" t="n">
        <v>33</v>
      </c>
      <c r="O652" t="n">
        <v>0.33</v>
      </c>
      <c r="P652" t="n">
        <v>1</v>
      </c>
      <c r="Q652" t="n">
        <v>0.02</v>
      </c>
      <c r="R652" t="n">
        <v>1</v>
      </c>
      <c r="S652" t="n">
        <v>2833.05</v>
      </c>
      <c r="T652" t="n">
        <v>13</v>
      </c>
      <c r="U652" t="n">
        <v>14</v>
      </c>
      <c r="V652" t="n">
        <v>30</v>
      </c>
      <c r="W652" t="n">
        <v>2</v>
      </c>
      <c r="X652" t="n">
        <v>106.951871657754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9746</v>
      </c>
      <c r="AG652" t="n">
        <v>2206</v>
      </c>
      <c r="AH652" t="inlineStr">
        <is>
          <t>PT. ENHA PUTRA (ONLINE CASH)</t>
        </is>
      </c>
      <c r="AI652" t="n">
        <v>392</v>
      </c>
      <c r="AJ652" t="inlineStr">
        <is>
          <t>CITRA</t>
        </is>
      </c>
      <c r="AK652" t="n">
        <v>9</v>
      </c>
      <c r="AL652" t="inlineStr">
        <is>
          <t>Miss Glam Jambi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CITRA</t>
        </is>
      </c>
      <c r="B653" s="2">
        <f>"8999999596095"</f>
        <v/>
      </c>
      <c r="C653" t="inlineStr">
        <is>
          <t>CITRA Natural Booster Body Serum Complete Glow 5 Bright Actions 180ml</t>
        </is>
      </c>
      <c r="D653" t="inlineStr">
        <is>
          <t>Miss Glam Jambi</t>
        </is>
      </c>
      <c r="E653" t="n">
        <v>0</v>
      </c>
      <c r="F653" t="n">
        <v>0.07920000000000001</v>
      </c>
      <c r="G653" t="n">
        <v>0.99</v>
      </c>
      <c r="H653" t="n">
        <v>3</v>
      </c>
      <c r="I653" t="n">
        <v>19</v>
      </c>
      <c r="J653" t="n">
        <v>3</v>
      </c>
      <c r="K653" t="n">
        <v>3</v>
      </c>
      <c r="L653" t="n">
        <v>21797</v>
      </c>
      <c r="M653" t="n">
        <v>25500</v>
      </c>
      <c r="N653" t="n">
        <v>33</v>
      </c>
      <c r="O653" t="n">
        <v>0.33</v>
      </c>
      <c r="P653" t="n">
        <v>1</v>
      </c>
      <c r="Q653" t="n">
        <v>0.05</v>
      </c>
      <c r="R653" t="n">
        <v>1</v>
      </c>
      <c r="S653" t="n">
        <v>2019.6</v>
      </c>
      <c r="T653" t="n">
        <v>19</v>
      </c>
      <c r="U653" t="n">
        <v>20</v>
      </c>
      <c r="V653" t="n">
        <v>30</v>
      </c>
      <c r="W653" t="n">
        <v>3</v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21797</v>
      </c>
      <c r="AE653" t="n">
        <v>0</v>
      </c>
      <c r="AF653" t="n">
        <v>9746</v>
      </c>
      <c r="AG653" t="n">
        <v>2206</v>
      </c>
      <c r="AH653" t="inlineStr">
        <is>
          <t>PT. ENHA PUTRA (ONLINE CASH)</t>
        </is>
      </c>
      <c r="AI653" t="n">
        <v>392</v>
      </c>
      <c r="AJ653" t="inlineStr">
        <is>
          <t>CITRA</t>
        </is>
      </c>
      <c r="AK653" t="n">
        <v>9</v>
      </c>
      <c r="AL653" t="inlineStr">
        <is>
          <t>Miss Glam Jambi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CITRA</t>
        </is>
      </c>
      <c r="B654" s="2">
        <f>"8999999528928"</f>
        <v/>
      </c>
      <c r="C654" t="inlineStr">
        <is>
          <t>CITRA Nourishing Glow UV Avocado  210ml</t>
        </is>
      </c>
      <c r="D654" t="inlineStr">
        <is>
          <t>Miss Glam Jambi</t>
        </is>
      </c>
      <c r="E654" t="n">
        <v>3</v>
      </c>
      <c r="F654" t="n">
        <v>0.1023</v>
      </c>
      <c r="G654" t="n">
        <v>0.66</v>
      </c>
      <c r="H654" t="n">
        <v>3</v>
      </c>
      <c r="I654" t="n">
        <v>19</v>
      </c>
      <c r="J654" t="n">
        <v>3</v>
      </c>
      <c r="K654" t="n">
        <v>3</v>
      </c>
      <c r="L654" t="n">
        <v>22145</v>
      </c>
      <c r="M654" t="n">
        <v>26000</v>
      </c>
      <c r="N654" t="n">
        <v>33</v>
      </c>
      <c r="O654" t="n">
        <v>0.33</v>
      </c>
      <c r="P654" t="n">
        <v>1</v>
      </c>
      <c r="Q654" t="n">
        <v>0.08</v>
      </c>
      <c r="R654" t="n">
        <v>1</v>
      </c>
      <c r="S654" t="n">
        <v>2659.8</v>
      </c>
      <c r="T654" t="n">
        <v>13</v>
      </c>
      <c r="U654" t="n">
        <v>14</v>
      </c>
      <c r="V654" t="n">
        <v>30</v>
      </c>
      <c r="W654" t="n">
        <v>4</v>
      </c>
      <c r="X654" t="n">
        <v>29.32551319648094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9746</v>
      </c>
      <c r="AG654" t="n">
        <v>2206</v>
      </c>
      <c r="AH654" t="inlineStr">
        <is>
          <t>PT. ENHA PUTRA (ONLINE CASH)</t>
        </is>
      </c>
      <c r="AI654" t="n">
        <v>392</v>
      </c>
      <c r="AJ654" t="inlineStr">
        <is>
          <t>CITRA</t>
        </is>
      </c>
      <c r="AK654" t="n">
        <v>9</v>
      </c>
      <c r="AL654" t="inlineStr">
        <is>
          <t>Miss Glam Jambi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CITRA</t>
        </is>
      </c>
      <c r="B655" s="2">
        <f>"8999999003890"</f>
        <v/>
      </c>
      <c r="C655" t="inlineStr">
        <is>
          <t>CITRA Pearly White Cream 40gr</t>
        </is>
      </c>
      <c r="D655" t="inlineStr">
        <is>
          <t>Miss Glam Jambi</t>
        </is>
      </c>
      <c r="E655" t="n">
        <v>3</v>
      </c>
      <c r="F655" t="n">
        <v>0.1683</v>
      </c>
      <c r="G655" t="n">
        <v>0.99</v>
      </c>
      <c r="H655" t="n">
        <v>3</v>
      </c>
      <c r="I655" t="n">
        <v>19</v>
      </c>
      <c r="J655" t="n">
        <v>3</v>
      </c>
      <c r="K655" t="n">
        <v>3</v>
      </c>
      <c r="L655" t="n">
        <v>42806</v>
      </c>
      <c r="M655" t="n">
        <v>50500</v>
      </c>
      <c r="N655" t="n">
        <v>33</v>
      </c>
      <c r="O655" t="n">
        <v>0.33</v>
      </c>
      <c r="P655" t="n">
        <v>1</v>
      </c>
      <c r="Q655" t="n">
        <v>0.03</v>
      </c>
      <c r="R655" t="n">
        <v>1</v>
      </c>
      <c r="S655" t="n">
        <v>8499.15</v>
      </c>
      <c r="T655" t="n">
        <v>19</v>
      </c>
      <c r="U655" t="n">
        <v>20</v>
      </c>
      <c r="V655" t="n">
        <v>30</v>
      </c>
      <c r="W655" t="n">
        <v>6</v>
      </c>
      <c r="X655" t="n">
        <v>17.825311942959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9746</v>
      </c>
      <c r="AG655" t="n">
        <v>2206</v>
      </c>
      <c r="AH655" t="inlineStr">
        <is>
          <t>PT. ENHA PUTRA (ONLINE CASH)</t>
        </is>
      </c>
      <c r="AI655" t="n">
        <v>392</v>
      </c>
      <c r="AJ655" t="inlineStr">
        <is>
          <t>CITRA</t>
        </is>
      </c>
      <c r="AK655" t="n">
        <v>9</v>
      </c>
      <c r="AL655" t="inlineStr">
        <is>
          <t>Miss Glam Jambi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CITRA</t>
        </is>
      </c>
      <c r="B656" s="2">
        <f>"8999999517793"</f>
        <v/>
      </c>
      <c r="C656" t="inlineStr">
        <is>
          <t>CITRA Sakura Glow UV Powder Cream 40g</t>
        </is>
      </c>
      <c r="D656" t="inlineStr">
        <is>
          <t>Miss Glam Jambi</t>
        </is>
      </c>
      <c r="E656" t="n">
        <v>1</v>
      </c>
      <c r="F656" t="n">
        <v>0.02</v>
      </c>
      <c r="G656" t="n">
        <v>0</v>
      </c>
      <c r="H656" t="n">
        <v>3</v>
      </c>
      <c r="I656" t="n">
        <v>19</v>
      </c>
      <c r="J656" t="n">
        <v>3</v>
      </c>
      <c r="K656" t="n">
        <v>0</v>
      </c>
      <c r="L656" t="n">
        <v>42807</v>
      </c>
      <c r="M656" t="n">
        <v>50500</v>
      </c>
      <c r="N656" t="n">
        <v>33</v>
      </c>
      <c r="O656" t="n">
        <v>0.33</v>
      </c>
      <c r="P656" t="n">
        <v>0</v>
      </c>
      <c r="Q656" t="n">
        <v>0.02</v>
      </c>
      <c r="R656" t="n">
        <v>0</v>
      </c>
      <c r="S656" t="n">
        <v>1010</v>
      </c>
      <c r="T656" t="n">
        <v>0</v>
      </c>
      <c r="U656" t="n">
        <v>1</v>
      </c>
      <c r="V656" t="n">
        <v>30</v>
      </c>
      <c r="W656" t="n">
        <v>1</v>
      </c>
      <c r="X656" t="n">
        <v>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9746</v>
      </c>
      <c r="AG656" t="n">
        <v>2206</v>
      </c>
      <c r="AH656" t="inlineStr">
        <is>
          <t>PT. ENHA PUTRA (ONLINE CASH)</t>
        </is>
      </c>
      <c r="AI656" t="n">
        <v>392</v>
      </c>
      <c r="AJ656" t="inlineStr">
        <is>
          <t>CITRA</t>
        </is>
      </c>
      <c r="AK656" t="n">
        <v>9</v>
      </c>
      <c r="AL656" t="inlineStr">
        <is>
          <t>Miss Glam Jambi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CITRA</t>
        </is>
      </c>
      <c r="B657" s="2">
        <f>"30200428421"</f>
        <v/>
      </c>
      <c r="C657" t="inlineStr">
        <is>
          <t>CITRA Uv Body Serum Bouncy Glow 180ml</t>
        </is>
      </c>
      <c r="D657" t="inlineStr">
        <is>
          <t>Miss Glam Jambi</t>
        </is>
      </c>
      <c r="E657" t="n">
        <v>5</v>
      </c>
      <c r="F657" t="n">
        <v>0.07920000000000001</v>
      </c>
      <c r="G657" t="n">
        <v>0.66</v>
      </c>
      <c r="H657" t="n">
        <v>3</v>
      </c>
      <c r="I657" t="n">
        <v>19</v>
      </c>
      <c r="J657" t="n">
        <v>1</v>
      </c>
      <c r="K657" t="n">
        <v>0</v>
      </c>
      <c r="L657" t="n">
        <v>22233</v>
      </c>
      <c r="M657" t="n">
        <v>26500</v>
      </c>
      <c r="N657" t="n">
        <v>33</v>
      </c>
      <c r="O657" t="n">
        <v>0.33</v>
      </c>
      <c r="P657" t="n">
        <v>1</v>
      </c>
      <c r="Q657" t="n">
        <v>0.02</v>
      </c>
      <c r="R657" t="n">
        <v>1</v>
      </c>
      <c r="S657" t="n">
        <v>2098.8</v>
      </c>
      <c r="T657" t="n">
        <v>13</v>
      </c>
      <c r="U657" t="n">
        <v>14</v>
      </c>
      <c r="V657" t="n">
        <v>30</v>
      </c>
      <c r="W657" t="n">
        <v>3</v>
      </c>
      <c r="X657" t="n">
        <v>63.13131313131313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9746</v>
      </c>
      <c r="AG657" t="n">
        <v>2206</v>
      </c>
      <c r="AH657" t="inlineStr">
        <is>
          <t>PT. ENHA PUTRA (ONLINE CASH)</t>
        </is>
      </c>
      <c r="AI657" t="n">
        <v>392</v>
      </c>
      <c r="AJ657" t="inlineStr">
        <is>
          <t>CITRA</t>
        </is>
      </c>
      <c r="AK657" t="n">
        <v>9</v>
      </c>
      <c r="AL657" t="inlineStr">
        <is>
          <t>Miss Glam Jambi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CITRA</t>
        </is>
      </c>
      <c r="B658" s="2">
        <f>"30200428710"</f>
        <v/>
      </c>
      <c r="C658" t="inlineStr">
        <is>
          <t>CITRA Uv Body Serum Radiant Fresh 180ml</t>
        </is>
      </c>
      <c r="D658" t="inlineStr">
        <is>
          <t>Miss Glam Jambi</t>
        </is>
      </c>
      <c r="E658" t="n">
        <v>6</v>
      </c>
      <c r="F658" t="n">
        <v>0.0825</v>
      </c>
      <c r="G658" t="n">
        <v>0.66</v>
      </c>
      <c r="H658" t="n">
        <v>3</v>
      </c>
      <c r="I658" t="n">
        <v>19</v>
      </c>
      <c r="J658" t="n">
        <v>1</v>
      </c>
      <c r="K658" t="n">
        <v>0</v>
      </c>
      <c r="L658" t="n">
        <v>22233</v>
      </c>
      <c r="M658" t="n">
        <v>26500</v>
      </c>
      <c r="N658" t="n">
        <v>33</v>
      </c>
      <c r="O658" t="n">
        <v>0.33</v>
      </c>
      <c r="P658" t="n">
        <v>1</v>
      </c>
      <c r="Q658" t="n">
        <v>0.05</v>
      </c>
      <c r="R658" t="n">
        <v>1</v>
      </c>
      <c r="S658" t="n">
        <v>2186.25</v>
      </c>
      <c r="T658" t="n">
        <v>13</v>
      </c>
      <c r="U658" t="n">
        <v>14</v>
      </c>
      <c r="V658" t="n">
        <v>30</v>
      </c>
      <c r="W658" t="n">
        <v>3</v>
      </c>
      <c r="X658" t="n">
        <v>72.72727272727272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9746</v>
      </c>
      <c r="AG658" t="n">
        <v>2206</v>
      </c>
      <c r="AH658" t="inlineStr">
        <is>
          <t>PT. ENHA PUTRA (ONLINE CASH)</t>
        </is>
      </c>
      <c r="AI658" t="n">
        <v>392</v>
      </c>
      <c r="AJ658" t="inlineStr">
        <is>
          <t>CITRA</t>
        </is>
      </c>
      <c r="AK658" t="n">
        <v>9</v>
      </c>
      <c r="AL658" t="inlineStr">
        <is>
          <t>Miss Glam Jambi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CLEAN &amp; CLEAR</t>
        </is>
      </c>
      <c r="B659" s="2">
        <f>"8991111111995"</f>
        <v/>
      </c>
      <c r="C659" t="inlineStr">
        <is>
          <t>CLEAN &amp; CLEAR  Oil Controling Toner 100ml</t>
        </is>
      </c>
      <c r="D659" t="inlineStr">
        <is>
          <t>Miss Glam Jambi</t>
        </is>
      </c>
      <c r="E659" t="n">
        <v>1</v>
      </c>
      <c r="F659" t="n">
        <v>0.009900000000000001</v>
      </c>
      <c r="G659" t="n">
        <v>0.33</v>
      </c>
      <c r="H659" t="n">
        <v>4</v>
      </c>
      <c r="I659" t="n">
        <v>20</v>
      </c>
      <c r="J659" t="n">
        <v>3</v>
      </c>
      <c r="K659" t="n">
        <v>0</v>
      </c>
      <c r="L659" t="n">
        <v>15873</v>
      </c>
      <c r="M659" t="n">
        <v>20000</v>
      </c>
      <c r="N659" t="n">
        <v>33</v>
      </c>
      <c r="O659" t="n">
        <v>0.33</v>
      </c>
      <c r="P659" t="n">
        <v>1</v>
      </c>
      <c r="Q659" t="n">
        <v>0.03</v>
      </c>
      <c r="R659" t="n">
        <v>1</v>
      </c>
      <c r="S659" t="n">
        <v>198</v>
      </c>
      <c r="T659" t="n">
        <v>7</v>
      </c>
      <c r="U659" t="n">
        <v>8</v>
      </c>
      <c r="V659" t="n">
        <v>30</v>
      </c>
      <c r="W659" t="n">
        <v>1</v>
      </c>
      <c r="X659" t="n">
        <v>101.010101010101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4234</v>
      </c>
      <c r="AG659" t="n">
        <v>1</v>
      </c>
      <c r="AH659" t="inlineStr">
        <is>
          <t>PT. BERSAMA DISTRIVERSA INDONESIA (DC CIPUTAT)</t>
        </is>
      </c>
      <c r="AI659" t="n">
        <v>51</v>
      </c>
      <c r="AJ659" t="inlineStr">
        <is>
          <t>CLEAN &amp; CLEAR</t>
        </is>
      </c>
      <c r="AK659" t="n">
        <v>9</v>
      </c>
      <c r="AL659" t="inlineStr">
        <is>
          <t>Miss Glam Jambi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CLEAN &amp; CLEAR</t>
        </is>
      </c>
      <c r="B660" s="2">
        <f>"8991111111964"</f>
        <v/>
      </c>
      <c r="C660" t="inlineStr">
        <is>
          <t>CLEAN &amp; CLEAR Essentials Foaming Facial Wash 50ml</t>
        </is>
      </c>
      <c r="D660" t="inlineStr">
        <is>
          <t>Miss Glam Jambi</t>
        </is>
      </c>
      <c r="E660" t="n">
        <v>2</v>
      </c>
      <c r="F660" t="n">
        <v>0.0561</v>
      </c>
      <c r="G660" t="n">
        <v>0.66</v>
      </c>
      <c r="H660" t="n">
        <v>4</v>
      </c>
      <c r="I660" t="n">
        <v>20</v>
      </c>
      <c r="J660" t="n">
        <v>3</v>
      </c>
      <c r="K660" t="n">
        <v>0</v>
      </c>
      <c r="L660" t="n">
        <v>13565</v>
      </c>
      <c r="M660" t="n">
        <v>17500</v>
      </c>
      <c r="N660" t="n">
        <v>33</v>
      </c>
      <c r="O660" t="n">
        <v>0.33</v>
      </c>
      <c r="P660" t="n">
        <v>1</v>
      </c>
      <c r="Q660" t="n">
        <v>0.14</v>
      </c>
      <c r="R660" t="n">
        <v>2</v>
      </c>
      <c r="S660" t="n">
        <v>981.7500000000001</v>
      </c>
      <c r="T660" t="n">
        <v>13</v>
      </c>
      <c r="U660" t="n">
        <v>14</v>
      </c>
      <c r="V660" t="n">
        <v>30</v>
      </c>
      <c r="W660" t="n">
        <v>2</v>
      </c>
      <c r="X660" t="n">
        <v>35.650623885918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4234</v>
      </c>
      <c r="AG660" t="n">
        <v>1</v>
      </c>
      <c r="AH660" t="inlineStr">
        <is>
          <t>PT. BERSAMA DISTRIVERSA INDONESIA (DC CIPUTAT)</t>
        </is>
      </c>
      <c r="AI660" t="n">
        <v>51</v>
      </c>
      <c r="AJ660" t="inlineStr">
        <is>
          <t>CLEAN &amp; CLEAR</t>
        </is>
      </c>
      <c r="AK660" t="n">
        <v>9</v>
      </c>
      <c r="AL660" t="inlineStr">
        <is>
          <t>Miss Glam Jambi</t>
        </is>
      </c>
      <c r="AM660" t="n">
        <v>3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CLEAN &amp; CLEAR</t>
        </is>
      </c>
      <c r="B661" s="2">
        <f>"8850007652588"</f>
        <v/>
      </c>
      <c r="C661" t="inlineStr">
        <is>
          <t>CLEAN &amp; CLEAR Face Wash Natural Bright 100gr</t>
        </is>
      </c>
      <c r="D661" t="inlineStr">
        <is>
          <t>Miss Glam Jambi</t>
        </is>
      </c>
      <c r="E661" t="n">
        <v>2</v>
      </c>
      <c r="F661" t="n">
        <v>0.033</v>
      </c>
      <c r="G661" t="n">
        <v>0.33</v>
      </c>
      <c r="H661" t="n">
        <v>4</v>
      </c>
      <c r="I661" t="n">
        <v>20</v>
      </c>
      <c r="J661" t="n">
        <v>3</v>
      </c>
      <c r="K661" t="n">
        <v>0</v>
      </c>
      <c r="L661" t="n">
        <v>27153</v>
      </c>
      <c r="M661" t="n">
        <v>30500</v>
      </c>
      <c r="N661" t="n">
        <v>33</v>
      </c>
      <c r="O661" t="n">
        <v>0.33</v>
      </c>
      <c r="P661" t="n">
        <v>1</v>
      </c>
      <c r="Q661" t="n">
        <v>0.02</v>
      </c>
      <c r="R661" t="n">
        <v>1</v>
      </c>
      <c r="S661" t="n">
        <v>1006.5</v>
      </c>
      <c r="T661" t="n">
        <v>7</v>
      </c>
      <c r="U661" t="n">
        <v>8</v>
      </c>
      <c r="V661" t="n">
        <v>30</v>
      </c>
      <c r="W661" t="n">
        <v>1</v>
      </c>
      <c r="X661" t="n">
        <v>60.6060606060606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4234</v>
      </c>
      <c r="AG661" t="n">
        <v>1</v>
      </c>
      <c r="AH661" t="inlineStr">
        <is>
          <t>PT. BERSAMA DISTRIVERSA INDONESIA (DC CIPUTAT)</t>
        </is>
      </c>
      <c r="AI661" t="n">
        <v>51</v>
      </c>
      <c r="AJ661" t="inlineStr">
        <is>
          <t>CLEAN &amp; CLEAR</t>
        </is>
      </c>
      <c r="AK661" t="n">
        <v>9</v>
      </c>
      <c r="AL661" t="inlineStr">
        <is>
          <t>Miss Glam Jambi</t>
        </is>
      </c>
      <c r="AM661" t="n">
        <v>3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CLEAN &amp; CLEAR</t>
        </is>
      </c>
      <c r="B662" s="2">
        <f>"8850007652564"</f>
        <v/>
      </c>
      <c r="C662" t="inlineStr">
        <is>
          <t>CLEAN &amp; CLEAR Face Wash Natural Bright 50ml</t>
        </is>
      </c>
      <c r="D662" t="inlineStr">
        <is>
          <t>Miss Glam Jambi</t>
        </is>
      </c>
      <c r="E662" t="n">
        <v>4</v>
      </c>
      <c r="F662" t="n">
        <v>0.033</v>
      </c>
      <c r="G662" t="n">
        <v>0.33</v>
      </c>
      <c r="H662" t="n">
        <v>4</v>
      </c>
      <c r="I662" t="n">
        <v>20</v>
      </c>
      <c r="J662" t="n">
        <v>3</v>
      </c>
      <c r="K662" t="n">
        <v>0</v>
      </c>
      <c r="L662" t="n">
        <v>17716</v>
      </c>
      <c r="M662" t="n">
        <v>21000</v>
      </c>
      <c r="N662" t="n">
        <v>33</v>
      </c>
      <c r="O662" t="n">
        <v>0.33</v>
      </c>
      <c r="P662" t="n">
        <v>1</v>
      </c>
      <c r="Q662" t="n">
        <v>0.1</v>
      </c>
      <c r="R662" t="n">
        <v>2</v>
      </c>
      <c r="S662" t="n">
        <v>693</v>
      </c>
      <c r="T662" t="n">
        <v>7</v>
      </c>
      <c r="U662" t="n">
        <v>8</v>
      </c>
      <c r="V662" t="n">
        <v>30</v>
      </c>
      <c r="W662" t="n">
        <v>1</v>
      </c>
      <c r="X662" t="n">
        <v>121.2121212121212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4234</v>
      </c>
      <c r="AG662" t="n">
        <v>1</v>
      </c>
      <c r="AH662" t="inlineStr">
        <is>
          <t>PT. BERSAMA DISTRIVERSA INDONESIA (DC CIPUTAT)</t>
        </is>
      </c>
      <c r="AI662" t="n">
        <v>51</v>
      </c>
      <c r="AJ662" t="inlineStr">
        <is>
          <t>CLEAN &amp; CLEAR</t>
        </is>
      </c>
      <c r="AK662" t="n">
        <v>9</v>
      </c>
      <c r="AL662" t="inlineStr">
        <is>
          <t>Miss Glam Jambi</t>
        </is>
      </c>
      <c r="AM662" t="n">
        <v>3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CLEAN &amp; CLEAR</t>
        </is>
      </c>
      <c r="B663" s="2">
        <f>"8991111111971"</f>
        <v/>
      </c>
      <c r="C663" t="inlineStr">
        <is>
          <t>CLEAN &amp; CLEAR Foaming Face Wash 100ml</t>
        </is>
      </c>
      <c r="D663" t="inlineStr">
        <is>
          <t>Miss Glam Jambi</t>
        </is>
      </c>
      <c r="E663" t="n">
        <v>0</v>
      </c>
      <c r="F663" t="n">
        <v>0.06270000000000001</v>
      </c>
      <c r="G663" t="n">
        <v>0.66</v>
      </c>
      <c r="H663" t="n">
        <v>4</v>
      </c>
      <c r="I663" t="n">
        <v>20</v>
      </c>
      <c r="J663" t="n">
        <v>3</v>
      </c>
      <c r="K663" t="n">
        <v>0</v>
      </c>
      <c r="L663" t="n">
        <v>20255</v>
      </c>
      <c r="M663" t="n">
        <v>29000</v>
      </c>
      <c r="N663" t="n">
        <v>33</v>
      </c>
      <c r="O663" t="n">
        <v>0.33</v>
      </c>
      <c r="P663" t="n">
        <v>1</v>
      </c>
      <c r="Q663" t="n">
        <v>0.1</v>
      </c>
      <c r="R663" t="n">
        <v>2</v>
      </c>
      <c r="S663" t="n">
        <v>1818.3</v>
      </c>
      <c r="T663" t="n">
        <v>13</v>
      </c>
      <c r="U663" t="n">
        <v>14</v>
      </c>
      <c r="V663" t="n">
        <v>30</v>
      </c>
      <c r="W663" t="n">
        <v>2</v>
      </c>
      <c r="X663" t="n">
        <v>0</v>
      </c>
      <c r="Y663" t="n">
        <v>1</v>
      </c>
      <c r="Z663" t="n">
        <v>2</v>
      </c>
      <c r="AA663" t="n">
        <v>2</v>
      </c>
      <c r="AB663" t="n">
        <v>0</v>
      </c>
      <c r="AC663" t="n">
        <v>0</v>
      </c>
      <c r="AD663" t="n">
        <v>40510</v>
      </c>
      <c r="AE663" t="n">
        <v>0</v>
      </c>
      <c r="AF663" t="n">
        <v>4234</v>
      </c>
      <c r="AG663" t="n">
        <v>1</v>
      </c>
      <c r="AH663" t="inlineStr">
        <is>
          <t>PT. BERSAMA DISTRIVERSA INDONESIA (DC CIPUTAT)</t>
        </is>
      </c>
      <c r="AI663" t="n">
        <v>51</v>
      </c>
      <c r="AJ663" t="inlineStr">
        <is>
          <t>CLEAN &amp; CLEAR</t>
        </is>
      </c>
      <c r="AK663" t="n">
        <v>9</v>
      </c>
      <c r="AL663" t="inlineStr">
        <is>
          <t>Miss Glam Jambi</t>
        </is>
      </c>
      <c r="AM663" t="n">
        <v>3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CLEAN &amp; CLEAR</t>
        </is>
      </c>
      <c r="B664" s="2">
        <f>"8991111112466"</f>
        <v/>
      </c>
      <c r="C664" t="inlineStr">
        <is>
          <t>CLEAN &amp; CLEAR Foaming Face Wash Men Acne &amp; Oil Control 100ml</t>
        </is>
      </c>
      <c r="D664" t="inlineStr">
        <is>
          <t>Miss Glam Jambi</t>
        </is>
      </c>
      <c r="E664" t="n">
        <v>4</v>
      </c>
      <c r="F664" t="n">
        <v>0.0231</v>
      </c>
      <c r="G664" t="n">
        <v>0.33</v>
      </c>
      <c r="H664" t="n">
        <v>4</v>
      </c>
      <c r="I664" t="n">
        <v>20</v>
      </c>
      <c r="J664" t="n">
        <v>3</v>
      </c>
      <c r="K664" t="n">
        <v>0</v>
      </c>
      <c r="L664" t="n">
        <v>23252</v>
      </c>
      <c r="M664" t="n">
        <v>29000</v>
      </c>
      <c r="N664" t="n">
        <v>33</v>
      </c>
      <c r="O664" t="n">
        <v>0.33</v>
      </c>
      <c r="P664" t="n">
        <v>1</v>
      </c>
      <c r="Q664" t="n">
        <v>0.03</v>
      </c>
      <c r="R664" t="n">
        <v>1</v>
      </c>
      <c r="S664" t="n">
        <v>669.9000000000001</v>
      </c>
      <c r="T664" t="n">
        <v>7</v>
      </c>
      <c r="U664" t="n">
        <v>8</v>
      </c>
      <c r="V664" t="n">
        <v>30</v>
      </c>
      <c r="W664" t="n">
        <v>1</v>
      </c>
      <c r="X664" t="n">
        <v>173.1601731601731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4234</v>
      </c>
      <c r="AG664" t="n">
        <v>1</v>
      </c>
      <c r="AH664" t="inlineStr">
        <is>
          <t>PT. BERSAMA DISTRIVERSA INDONESIA (DC CIPUTAT)</t>
        </is>
      </c>
      <c r="AI664" t="n">
        <v>51</v>
      </c>
      <c r="AJ664" t="inlineStr">
        <is>
          <t>CLEAN &amp; CLEAR</t>
        </is>
      </c>
      <c r="AK664" t="n">
        <v>9</v>
      </c>
      <c r="AL664" t="inlineStr">
        <is>
          <t>Miss Glam Jambi</t>
        </is>
      </c>
      <c r="AM664" t="n">
        <v>3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CLEAN &amp; CLEAR</t>
        </is>
      </c>
      <c r="B665" s="2">
        <f>"8850007652724"</f>
        <v/>
      </c>
      <c r="C665" t="inlineStr">
        <is>
          <t>CLEAN &amp; CLEAR Micellar Water 100ml</t>
        </is>
      </c>
      <c r="D665" t="inlineStr">
        <is>
          <t>Miss Glam Jambi</t>
        </is>
      </c>
      <c r="E665" t="n">
        <v>5</v>
      </c>
      <c r="F665" t="n">
        <v>0.0165</v>
      </c>
      <c r="G665" t="n">
        <v>0.33</v>
      </c>
      <c r="H665" t="n">
        <v>4</v>
      </c>
      <c r="I665" t="n">
        <v>20</v>
      </c>
      <c r="J665" t="n">
        <v>3</v>
      </c>
      <c r="K665" t="n">
        <v>0</v>
      </c>
      <c r="L665" t="n">
        <v>22935</v>
      </c>
      <c r="M665" t="n">
        <v>27000</v>
      </c>
      <c r="N665" t="n">
        <v>33</v>
      </c>
      <c r="O665" t="n">
        <v>0.33</v>
      </c>
      <c r="P665" t="n">
        <v>1</v>
      </c>
      <c r="Q665" t="n">
        <v>0.02</v>
      </c>
      <c r="R665" t="n">
        <v>1</v>
      </c>
      <c r="S665" t="n">
        <v>445.5</v>
      </c>
      <c r="T665" t="n">
        <v>7</v>
      </c>
      <c r="U665" t="n">
        <v>8</v>
      </c>
      <c r="V665" t="n">
        <v>30</v>
      </c>
      <c r="W665" t="n">
        <v>1</v>
      </c>
      <c r="X665" t="n">
        <v>303.030303030303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4234</v>
      </c>
      <c r="AG665" t="n">
        <v>1</v>
      </c>
      <c r="AH665" t="inlineStr">
        <is>
          <t>PT. BERSAMA DISTRIVERSA INDONESIA (DC CIPUTAT)</t>
        </is>
      </c>
      <c r="AI665" t="n">
        <v>51</v>
      </c>
      <c r="AJ665" t="inlineStr">
        <is>
          <t>CLEAN &amp; CLEAR</t>
        </is>
      </c>
      <c r="AK665" t="n">
        <v>9</v>
      </c>
      <c r="AL665" t="inlineStr">
        <is>
          <t>Miss Glam Jambi</t>
        </is>
      </c>
      <c r="AM665" t="n">
        <v>3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CLEAN &amp; CLEAR</t>
        </is>
      </c>
      <c r="B666" s="2">
        <f>"8850007700050"</f>
        <v/>
      </c>
      <c r="C666" t="inlineStr">
        <is>
          <t>CLEAN &amp; CLEAR Oil Control Film 60s</t>
        </is>
      </c>
      <c r="D666" t="inlineStr">
        <is>
          <t>Miss Glam Jambi</t>
        </is>
      </c>
      <c r="E666" t="n">
        <v>6</v>
      </c>
      <c r="F666" t="n">
        <v>0.0693</v>
      </c>
      <c r="G666" t="n">
        <v>0.66</v>
      </c>
      <c r="H666" t="n">
        <v>4</v>
      </c>
      <c r="I666" t="n">
        <v>20</v>
      </c>
      <c r="J666" t="n">
        <v>12</v>
      </c>
      <c r="K666" t="n">
        <v>0</v>
      </c>
      <c r="L666" t="n">
        <v>26046</v>
      </c>
      <c r="M666" t="n">
        <v>31000</v>
      </c>
      <c r="N666" t="n">
        <v>33</v>
      </c>
      <c r="O666" t="n">
        <v>0.33</v>
      </c>
      <c r="P666" t="n">
        <v>1</v>
      </c>
      <c r="Q666" t="n">
        <v>0.25</v>
      </c>
      <c r="R666" t="n">
        <v>1</v>
      </c>
      <c r="S666" t="n">
        <v>2148.3</v>
      </c>
      <c r="T666" t="n">
        <v>13</v>
      </c>
      <c r="U666" t="n">
        <v>14</v>
      </c>
      <c r="V666" t="n">
        <v>30</v>
      </c>
      <c r="W666" t="n">
        <v>3</v>
      </c>
      <c r="X666" t="n">
        <v>86.58008658008659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4234</v>
      </c>
      <c r="AG666" t="n">
        <v>1</v>
      </c>
      <c r="AH666" t="inlineStr">
        <is>
          <t>PT. BERSAMA DISTRIVERSA INDONESIA (DC CIPUTAT)</t>
        </is>
      </c>
      <c r="AI666" t="n">
        <v>51</v>
      </c>
      <c r="AJ666" t="inlineStr">
        <is>
          <t>CLEAN &amp; CLEAR</t>
        </is>
      </c>
      <c r="AK666" t="n">
        <v>9</v>
      </c>
      <c r="AL666" t="inlineStr">
        <is>
          <t>Miss Glam Jambi</t>
        </is>
      </c>
      <c r="AM666" t="n">
        <v>3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CLEAN &amp; CLEAR</t>
        </is>
      </c>
      <c r="B667" s="2">
        <f>"4901730070010"</f>
        <v/>
      </c>
      <c r="C667" t="inlineStr">
        <is>
          <t>CLEAN &amp; CLEAR Oil Control Film Pink 50s</t>
        </is>
      </c>
      <c r="D667" t="inlineStr">
        <is>
          <t>Miss Glam Jambi</t>
        </is>
      </c>
      <c r="E667" t="n">
        <v>10</v>
      </c>
      <c r="F667" t="n">
        <v>0.2508</v>
      </c>
      <c r="G667" t="n">
        <v>0.99</v>
      </c>
      <c r="H667" t="n">
        <v>4</v>
      </c>
      <c r="I667" t="n">
        <v>20</v>
      </c>
      <c r="J667" t="n">
        <v>12</v>
      </c>
      <c r="K667" t="n">
        <v>0</v>
      </c>
      <c r="L667" t="n">
        <v>26046</v>
      </c>
      <c r="M667" t="n">
        <v>31000</v>
      </c>
      <c r="N667" t="n">
        <v>33</v>
      </c>
      <c r="O667" t="n">
        <v>0.33</v>
      </c>
      <c r="P667" t="n">
        <v>1</v>
      </c>
      <c r="Q667" t="n">
        <v>0.2</v>
      </c>
      <c r="R667" t="n">
        <v>1</v>
      </c>
      <c r="S667" t="n">
        <v>7774.800000000001</v>
      </c>
      <c r="T667" t="n">
        <v>19</v>
      </c>
      <c r="U667" t="n">
        <v>21</v>
      </c>
      <c r="V667" t="n">
        <v>30</v>
      </c>
      <c r="W667" t="n">
        <v>8</v>
      </c>
      <c r="X667" t="n">
        <v>39.87240829346092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4234</v>
      </c>
      <c r="AG667" t="n">
        <v>1</v>
      </c>
      <c r="AH667" t="inlineStr">
        <is>
          <t>PT. BERSAMA DISTRIVERSA INDONESIA (DC CIPUTAT)</t>
        </is>
      </c>
      <c r="AI667" t="n">
        <v>51</v>
      </c>
      <c r="AJ667" t="inlineStr">
        <is>
          <t>CLEAN &amp; CLEAR</t>
        </is>
      </c>
      <c r="AK667" t="n">
        <v>9</v>
      </c>
      <c r="AL667" t="inlineStr">
        <is>
          <t>Miss Glam Jambi</t>
        </is>
      </c>
      <c r="AM667" t="n">
        <v>3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CLEAN FACE</t>
        </is>
      </c>
      <c r="B668" s="2">
        <f>"8999225906810"</f>
        <v/>
      </c>
      <c r="C668" t="inlineStr">
        <is>
          <t>CLEAN FACE Liquid Facial Wash 50ml</t>
        </is>
      </c>
      <c r="D668" t="inlineStr">
        <is>
          <t>Miss Glam Jambi</t>
        </is>
      </c>
      <c r="E668" t="n">
        <v>6</v>
      </c>
      <c r="F668" t="n">
        <v>0.03</v>
      </c>
      <c r="G668" t="n">
        <v>1</v>
      </c>
      <c r="H668" t="n">
        <v>4</v>
      </c>
      <c r="I668" t="n">
        <v>28</v>
      </c>
      <c r="J668" t="n">
        <v>3</v>
      </c>
      <c r="K668" t="n">
        <v>0</v>
      </c>
      <c r="L668" t="n">
        <v>11200</v>
      </c>
      <c r="M668" t="n">
        <v>14000</v>
      </c>
      <c r="N668" t="n">
        <v>33</v>
      </c>
      <c r="O668" t="n">
        <v>0.33</v>
      </c>
      <c r="P668" t="n">
        <v>0</v>
      </c>
      <c r="Q668" t="n">
        <v>0.03</v>
      </c>
      <c r="R668" t="n">
        <v>1</v>
      </c>
      <c r="S668" t="n">
        <v>420</v>
      </c>
      <c r="T668" t="n">
        <v>28</v>
      </c>
      <c r="U668" t="n">
        <v>29</v>
      </c>
      <c r="V668" t="n">
        <v>30</v>
      </c>
      <c r="W668" t="n">
        <v>1</v>
      </c>
      <c r="X668" t="n">
        <v>200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10491</v>
      </c>
      <c r="AG668" t="n">
        <v>2148</v>
      </c>
      <c r="AH668" t="inlineStr">
        <is>
          <t>PT. JAYA PALEMBANG SUKSES - PPN (JMB)</t>
        </is>
      </c>
      <c r="AI668" t="n">
        <v>691</v>
      </c>
      <c r="AJ668" t="inlineStr">
        <is>
          <t>CLEAN FACE</t>
        </is>
      </c>
      <c r="AK668" t="n">
        <v>9</v>
      </c>
      <c r="AL668" t="inlineStr">
        <is>
          <t>Miss Glam Jambi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CLEAN FACE</t>
        </is>
      </c>
      <c r="B669" s="2">
        <f>"8999225908661"</f>
        <v/>
      </c>
      <c r="C669" t="inlineStr">
        <is>
          <t>CLEAN FACE Micellar Water 3in1 Normal Skin 100ml</t>
        </is>
      </c>
      <c r="D669" t="inlineStr">
        <is>
          <t>Miss Glam Jambi</t>
        </is>
      </c>
      <c r="E669" t="n">
        <v>7</v>
      </c>
      <c r="F669" t="n">
        <v>0.0726</v>
      </c>
      <c r="G669" t="n">
        <v>0.66</v>
      </c>
      <c r="H669" t="n">
        <v>4</v>
      </c>
      <c r="I669" t="n">
        <v>28</v>
      </c>
      <c r="J669" t="n">
        <v>3</v>
      </c>
      <c r="K669" t="n">
        <v>0</v>
      </c>
      <c r="L669" t="n">
        <v>13441</v>
      </c>
      <c r="M669" t="n">
        <v>20000</v>
      </c>
      <c r="N669" t="n">
        <v>33</v>
      </c>
      <c r="O669" t="n">
        <v>0.33</v>
      </c>
      <c r="P669" t="n">
        <v>1</v>
      </c>
      <c r="Q669" t="n">
        <v>0.02</v>
      </c>
      <c r="R669" t="n">
        <v>1</v>
      </c>
      <c r="S669" t="n">
        <v>1452</v>
      </c>
      <c r="T669" t="n">
        <v>19</v>
      </c>
      <c r="U669" t="n">
        <v>20</v>
      </c>
      <c r="V669" t="n">
        <v>30</v>
      </c>
      <c r="W669" t="n">
        <v>3</v>
      </c>
      <c r="X669" t="n">
        <v>96.41873278236915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10491</v>
      </c>
      <c r="AG669" t="n">
        <v>2148</v>
      </c>
      <c r="AH669" t="inlineStr">
        <is>
          <t>PT. JAYA PALEMBANG SUKSES - PPN (JMB)</t>
        </is>
      </c>
      <c r="AI669" t="n">
        <v>691</v>
      </c>
      <c r="AJ669" t="inlineStr">
        <is>
          <t>CLEAN FACE</t>
        </is>
      </c>
      <c r="AK669" t="n">
        <v>9</v>
      </c>
      <c r="AL669" t="inlineStr">
        <is>
          <t>Miss Glam Jambi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CLEAN FACE</t>
        </is>
      </c>
      <c r="B670" s="2">
        <f>"8999225908654"</f>
        <v/>
      </c>
      <c r="C670" t="inlineStr">
        <is>
          <t>CLEAN FACE Micellar Water 3in1 Normal Skin 250ml</t>
        </is>
      </c>
      <c r="D670" t="inlineStr">
        <is>
          <t>Miss Glam Jambi</t>
        </is>
      </c>
      <c r="E670" t="n">
        <v>8</v>
      </c>
      <c r="F670" t="n">
        <v>0.1221</v>
      </c>
      <c r="G670" t="n">
        <v>0.66</v>
      </c>
      <c r="H670" t="n">
        <v>4</v>
      </c>
      <c r="I670" t="n">
        <v>28</v>
      </c>
      <c r="J670" t="n">
        <v>3</v>
      </c>
      <c r="K670" t="n">
        <v>0</v>
      </c>
      <c r="L670" t="n">
        <v>22720</v>
      </c>
      <c r="M670" t="n">
        <v>26000</v>
      </c>
      <c r="N670" t="n">
        <v>33</v>
      </c>
      <c r="O670" t="n">
        <v>0.33</v>
      </c>
      <c r="P670" t="n">
        <v>1</v>
      </c>
      <c r="Q670" t="n">
        <v>0.14</v>
      </c>
      <c r="R670" t="n">
        <v>2</v>
      </c>
      <c r="S670" t="n">
        <v>3174.6</v>
      </c>
      <c r="T670" t="n">
        <v>18</v>
      </c>
      <c r="U670" t="n">
        <v>19</v>
      </c>
      <c r="V670" t="n">
        <v>30</v>
      </c>
      <c r="W670" t="n">
        <v>4</v>
      </c>
      <c r="X670" t="n">
        <v>65.52006552006551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10491</v>
      </c>
      <c r="AG670" t="n">
        <v>2148</v>
      </c>
      <c r="AH670" t="inlineStr">
        <is>
          <t>PT. JAYA PALEMBANG SUKSES - PPN (JMB)</t>
        </is>
      </c>
      <c r="AI670" t="n">
        <v>691</v>
      </c>
      <c r="AJ670" t="inlineStr">
        <is>
          <t>CLEAN FACE</t>
        </is>
      </c>
      <c r="AK670" t="n">
        <v>9</v>
      </c>
      <c r="AL670" t="inlineStr">
        <is>
          <t>Miss Glam Jambi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CLEAN FACE</t>
        </is>
      </c>
      <c r="B671" s="2">
        <f>"8999225908685"</f>
        <v/>
      </c>
      <c r="C671" t="inlineStr">
        <is>
          <t>CLEAN FACE Micellar Water 3in1 Oily Skin 100ml</t>
        </is>
      </c>
      <c r="D671" t="inlineStr">
        <is>
          <t>Miss Glam Jambi</t>
        </is>
      </c>
      <c r="E671" t="n">
        <v>7</v>
      </c>
      <c r="F671" t="n">
        <v>0.05280000000000001</v>
      </c>
      <c r="G671" t="n">
        <v>0.33</v>
      </c>
      <c r="H671" t="n">
        <v>4</v>
      </c>
      <c r="I671" t="n">
        <v>28</v>
      </c>
      <c r="J671" t="n">
        <v>3</v>
      </c>
      <c r="K671" t="n">
        <v>0</v>
      </c>
      <c r="L671" t="n">
        <v>13441</v>
      </c>
      <c r="M671" t="n">
        <v>17000</v>
      </c>
      <c r="N671" t="n">
        <v>33</v>
      </c>
      <c r="O671" t="n">
        <v>0.33</v>
      </c>
      <c r="P671" t="n">
        <v>1</v>
      </c>
      <c r="Q671" t="n">
        <v>0.07000000000000001</v>
      </c>
      <c r="R671" t="n">
        <v>1</v>
      </c>
      <c r="S671" t="n">
        <v>897.6000000000001</v>
      </c>
      <c r="T671" t="n">
        <v>10</v>
      </c>
      <c r="U671" t="n">
        <v>11</v>
      </c>
      <c r="V671" t="n">
        <v>30</v>
      </c>
      <c r="W671" t="n">
        <v>2</v>
      </c>
      <c r="X671" t="n">
        <v>132.5757575757576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10491</v>
      </c>
      <c r="AG671" t="n">
        <v>2148</v>
      </c>
      <c r="AH671" t="inlineStr">
        <is>
          <t>PT. JAYA PALEMBANG SUKSES - PPN (JMB)</t>
        </is>
      </c>
      <c r="AI671" t="n">
        <v>691</v>
      </c>
      <c r="AJ671" t="inlineStr">
        <is>
          <t>CLEAN FACE</t>
        </is>
      </c>
      <c r="AK671" t="n">
        <v>9</v>
      </c>
      <c r="AL671" t="inlineStr">
        <is>
          <t>Miss Glam Jambi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CLEAN FACE</t>
        </is>
      </c>
      <c r="B672" s="2">
        <f>"8999225908678"</f>
        <v/>
      </c>
      <c r="C672" t="inlineStr">
        <is>
          <t>CLEAN FACE Micellar Water 3in1 Oily Skin 250ml</t>
        </is>
      </c>
      <c r="D672" t="inlineStr">
        <is>
          <t>Miss Glam Jambi</t>
        </is>
      </c>
      <c r="E672" t="n">
        <v>5</v>
      </c>
      <c r="F672" t="n">
        <v>0.1914</v>
      </c>
      <c r="G672" t="n">
        <v>0.99</v>
      </c>
      <c r="H672" t="n">
        <v>4</v>
      </c>
      <c r="I672" t="n">
        <v>28</v>
      </c>
      <c r="J672" t="n">
        <v>3</v>
      </c>
      <c r="K672" t="n">
        <v>3</v>
      </c>
      <c r="L672" t="n">
        <v>22720</v>
      </c>
      <c r="M672" t="n">
        <v>27000</v>
      </c>
      <c r="N672" t="n">
        <v>33</v>
      </c>
      <c r="O672" t="n">
        <v>0.33</v>
      </c>
      <c r="P672" t="n">
        <v>1</v>
      </c>
      <c r="Q672" t="n">
        <v>0.17</v>
      </c>
      <c r="R672" t="n">
        <v>2</v>
      </c>
      <c r="S672" t="n">
        <v>5167.799999999999</v>
      </c>
      <c r="T672" t="n">
        <v>27</v>
      </c>
      <c r="U672" t="n">
        <v>28</v>
      </c>
      <c r="V672" t="n">
        <v>30</v>
      </c>
      <c r="W672" t="n">
        <v>6</v>
      </c>
      <c r="X672" t="n">
        <v>26.12330198537095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10491</v>
      </c>
      <c r="AG672" t="n">
        <v>2148</v>
      </c>
      <c r="AH672" t="inlineStr">
        <is>
          <t>PT. JAYA PALEMBANG SUKSES - PPN (JMB)</t>
        </is>
      </c>
      <c r="AI672" t="n">
        <v>691</v>
      </c>
      <c r="AJ672" t="inlineStr">
        <is>
          <t>CLEAN FACE</t>
        </is>
      </c>
      <c r="AK672" t="n">
        <v>9</v>
      </c>
      <c r="AL672" t="inlineStr">
        <is>
          <t>Miss Glam Jambi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CLEAN FACE</t>
        </is>
      </c>
      <c r="B673" s="2">
        <f>"8999225912019"</f>
        <v/>
      </c>
      <c r="C673" t="inlineStr">
        <is>
          <t>CLEAN FACE Micellar Water Rose Glow 100ml</t>
        </is>
      </c>
      <c r="D673" t="inlineStr">
        <is>
          <t>Miss Glam Jambi</t>
        </is>
      </c>
      <c r="E673" t="n">
        <v>5</v>
      </c>
      <c r="F673" t="n">
        <v>0.09569999999999999</v>
      </c>
      <c r="G673" t="n">
        <v>0.66</v>
      </c>
      <c r="H673" t="n">
        <v>4</v>
      </c>
      <c r="I673" t="n">
        <v>28</v>
      </c>
      <c r="J673" t="n">
        <v>3</v>
      </c>
      <c r="K673" t="n">
        <v>0</v>
      </c>
      <c r="L673" t="n">
        <v>13441</v>
      </c>
      <c r="M673" t="n">
        <v>17000</v>
      </c>
      <c r="N673" t="n">
        <v>33</v>
      </c>
      <c r="O673" t="n">
        <v>0.33</v>
      </c>
      <c r="P673" t="n">
        <v>1</v>
      </c>
      <c r="Q673" t="n">
        <v>0.02</v>
      </c>
      <c r="R673" t="n">
        <v>1</v>
      </c>
      <c r="S673" t="n">
        <v>1626.9</v>
      </c>
      <c r="T673" t="n">
        <v>19</v>
      </c>
      <c r="U673" t="n">
        <v>20</v>
      </c>
      <c r="V673" t="n">
        <v>30</v>
      </c>
      <c r="W673" t="n">
        <v>3</v>
      </c>
      <c r="X673" t="n">
        <v>52.24660397074191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10491</v>
      </c>
      <c r="AG673" t="n">
        <v>2148</v>
      </c>
      <c r="AH673" t="inlineStr">
        <is>
          <t>PT. JAYA PALEMBANG SUKSES - PPN (JMB)</t>
        </is>
      </c>
      <c r="AI673" t="n">
        <v>691</v>
      </c>
      <c r="AJ673" t="inlineStr">
        <is>
          <t>CLEAN FACE</t>
        </is>
      </c>
      <c r="AK673" t="n">
        <v>9</v>
      </c>
      <c r="AL673" t="inlineStr">
        <is>
          <t>Miss Glam Jambi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CLEAN FACE</t>
        </is>
      </c>
      <c r="B674" s="2">
        <f>"8999225912026"</f>
        <v/>
      </c>
      <c r="C674" t="inlineStr">
        <is>
          <t>CLEAN FACE Micellar Water Rose Glow 250ml</t>
        </is>
      </c>
      <c r="D674" t="inlineStr">
        <is>
          <t>Miss Glam Jambi</t>
        </is>
      </c>
      <c r="E674" t="n">
        <v>2</v>
      </c>
      <c r="F674" t="n">
        <v>0.1551</v>
      </c>
      <c r="G674" t="n">
        <v>0.99</v>
      </c>
      <c r="H674" t="n">
        <v>4</v>
      </c>
      <c r="I674" t="n">
        <v>28</v>
      </c>
      <c r="J674" t="n">
        <v>3</v>
      </c>
      <c r="K674" t="n">
        <v>0</v>
      </c>
      <c r="L674" t="n">
        <v>22720</v>
      </c>
      <c r="M674" t="n">
        <v>28500</v>
      </c>
      <c r="N674" t="n">
        <v>33</v>
      </c>
      <c r="O674" t="n">
        <v>0.33</v>
      </c>
      <c r="P674" t="n">
        <v>1</v>
      </c>
      <c r="Q674" t="n">
        <v>0.39</v>
      </c>
      <c r="R674" t="n">
        <v>3</v>
      </c>
      <c r="S674" t="n">
        <v>4420.349999999999</v>
      </c>
      <c r="T674" t="n">
        <v>28</v>
      </c>
      <c r="U674" t="n">
        <v>29</v>
      </c>
      <c r="V674" t="n">
        <v>30</v>
      </c>
      <c r="W674" t="n">
        <v>5</v>
      </c>
      <c r="X674" t="n">
        <v>12.89490651192779</v>
      </c>
      <c r="Y674" t="n">
        <v>1</v>
      </c>
      <c r="Z674" t="n">
        <v>3</v>
      </c>
      <c r="AA674" t="n">
        <v>3</v>
      </c>
      <c r="AB674" t="n">
        <v>0</v>
      </c>
      <c r="AC674" t="n">
        <v>0</v>
      </c>
      <c r="AD674" t="n">
        <v>68160</v>
      </c>
      <c r="AE674" t="n">
        <v>0</v>
      </c>
      <c r="AF674" t="n">
        <v>10491</v>
      </c>
      <c r="AG674" t="n">
        <v>2148</v>
      </c>
      <c r="AH674" t="inlineStr">
        <is>
          <t>PT. JAYA PALEMBANG SUKSES - PPN (JMB)</t>
        </is>
      </c>
      <c r="AI674" t="n">
        <v>691</v>
      </c>
      <c r="AJ674" t="inlineStr">
        <is>
          <t>CLEAN FACE</t>
        </is>
      </c>
      <c r="AK674" t="n">
        <v>9</v>
      </c>
      <c r="AL674" t="inlineStr">
        <is>
          <t>Miss Glam Jambi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CLEAN FACE</t>
        </is>
      </c>
      <c r="B675" s="2">
        <f>"8999225911999"</f>
        <v/>
      </c>
      <c r="C675" t="inlineStr">
        <is>
          <t>CLEAN FACE Micellar Water Sakura White 100ml</t>
        </is>
      </c>
      <c r="D675" t="inlineStr">
        <is>
          <t>Miss Glam Jambi</t>
        </is>
      </c>
      <c r="E675" t="n">
        <v>6</v>
      </c>
      <c r="F675" t="n">
        <v>0.0495</v>
      </c>
      <c r="G675" t="n">
        <v>0.33</v>
      </c>
      <c r="H675" t="n">
        <v>4</v>
      </c>
      <c r="I675" t="n">
        <v>28</v>
      </c>
      <c r="J675" t="n">
        <v>3</v>
      </c>
      <c r="K675" t="n">
        <v>0</v>
      </c>
      <c r="L675" t="n">
        <v>13441</v>
      </c>
      <c r="M675" t="n">
        <v>17000</v>
      </c>
      <c r="N675" t="n">
        <v>33</v>
      </c>
      <c r="O675" t="n">
        <v>0.33</v>
      </c>
      <c r="P675" t="n">
        <v>1</v>
      </c>
      <c r="Q675" t="n">
        <v>0.07000000000000001</v>
      </c>
      <c r="R675" t="n">
        <v>1</v>
      </c>
      <c r="S675" t="n">
        <v>841.5</v>
      </c>
      <c r="T675" t="n">
        <v>10</v>
      </c>
      <c r="U675" t="n">
        <v>11</v>
      </c>
      <c r="V675" t="n">
        <v>30</v>
      </c>
      <c r="W675" t="n">
        <v>2</v>
      </c>
      <c r="X675" t="n">
        <v>121.2121212121212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10491</v>
      </c>
      <c r="AG675" t="n">
        <v>2148</v>
      </c>
      <c r="AH675" t="inlineStr">
        <is>
          <t>PT. JAYA PALEMBANG SUKSES - PPN (JMB)</t>
        </is>
      </c>
      <c r="AI675" t="n">
        <v>691</v>
      </c>
      <c r="AJ675" t="inlineStr">
        <is>
          <t>CLEAN FACE</t>
        </is>
      </c>
      <c r="AK675" t="n">
        <v>9</v>
      </c>
      <c r="AL675" t="inlineStr">
        <is>
          <t>Miss Glam Jambi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CLEORA BEAUTY</t>
        </is>
      </c>
      <c r="B676" s="2">
        <f>"761373073748"</f>
        <v/>
      </c>
      <c r="C676" t="inlineStr">
        <is>
          <t>CLEORA BEAUTY 3 Minutes Exfoliating Gel 50ml New</t>
        </is>
      </c>
      <c r="D676" t="inlineStr">
        <is>
          <t>Miss Glam Jambi</t>
        </is>
      </c>
      <c r="E676" t="n">
        <v>3</v>
      </c>
      <c r="F676" t="n">
        <v>0.03</v>
      </c>
      <c r="G676" t="n">
        <v>1</v>
      </c>
      <c r="H676" t="n">
        <v>4</v>
      </c>
      <c r="I676" t="n">
        <v>20</v>
      </c>
      <c r="J676" t="n">
        <v>3</v>
      </c>
      <c r="K676" t="n">
        <v>0</v>
      </c>
      <c r="L676" t="n">
        <v>48091</v>
      </c>
      <c r="M676" t="n">
        <v>65000</v>
      </c>
      <c r="N676" t="n">
        <v>33</v>
      </c>
      <c r="O676" t="n">
        <v>0.33</v>
      </c>
      <c r="P676" t="n">
        <v>0</v>
      </c>
      <c r="Q676" t="n">
        <v>0.03</v>
      </c>
      <c r="R676" t="n">
        <v>1</v>
      </c>
      <c r="S676" t="n">
        <v>1950</v>
      </c>
      <c r="T676" t="n">
        <v>20</v>
      </c>
      <c r="U676" t="n">
        <v>21</v>
      </c>
      <c r="V676" t="n">
        <v>30</v>
      </c>
      <c r="W676" t="n">
        <v>1</v>
      </c>
      <c r="X676" t="n">
        <v>100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4296</v>
      </c>
      <c r="AG676" t="n">
        <v>1</v>
      </c>
      <c r="AH676" t="inlineStr">
        <is>
          <t>PT. BERSAMA DISTRIVERSA INDONESIA (DC CIPUTAT)</t>
        </is>
      </c>
      <c r="AI676" t="n">
        <v>531</v>
      </c>
      <c r="AJ676" t="inlineStr">
        <is>
          <t>CLEORA BEAUTY</t>
        </is>
      </c>
      <c r="AK676" t="n">
        <v>9</v>
      </c>
      <c r="AL676" t="inlineStr">
        <is>
          <t>Miss Glam Jambi</t>
        </is>
      </c>
      <c r="AM676" t="n">
        <v>3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CLEVIANT</t>
        </is>
      </c>
      <c r="B677" s="2">
        <f>"20300394149"</f>
        <v/>
      </c>
      <c r="C677" t="inlineStr">
        <is>
          <t>CLEVIANT  Hydrating Serum Tint Spice Up 4,5ml</t>
        </is>
      </c>
      <c r="D677" t="inlineStr">
        <is>
          <t>Miss Glam Jambi</t>
        </is>
      </c>
      <c r="E677" t="n">
        <v>3</v>
      </c>
      <c r="F677" t="n">
        <v>0.03</v>
      </c>
      <c r="G677" t="n">
        <v>1</v>
      </c>
      <c r="H677" t="n">
        <v>4</v>
      </c>
      <c r="I677" t="n">
        <v>20</v>
      </c>
      <c r="J677" t="n">
        <v>1</v>
      </c>
      <c r="K677" t="n">
        <v>0</v>
      </c>
      <c r="L677" t="n">
        <v>74479</v>
      </c>
      <c r="M677" t="n">
        <v>99000</v>
      </c>
      <c r="N677" t="n">
        <v>33</v>
      </c>
      <c r="O677" t="n">
        <v>0.33</v>
      </c>
      <c r="P677" t="n">
        <v>0</v>
      </c>
      <c r="Q677" t="n">
        <v>0.03</v>
      </c>
      <c r="R677" t="n">
        <v>1</v>
      </c>
      <c r="S677" t="n">
        <v>2970</v>
      </c>
      <c r="T677" t="n">
        <v>20</v>
      </c>
      <c r="U677" t="n">
        <v>21</v>
      </c>
      <c r="V677" t="n">
        <v>30</v>
      </c>
      <c r="W677" t="n">
        <v>1</v>
      </c>
      <c r="X677" t="n">
        <v>100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4329</v>
      </c>
      <c r="AG677" t="n">
        <v>1</v>
      </c>
      <c r="AH677" t="inlineStr">
        <is>
          <t>PT. BERSAMA DISTRIVERSA INDONESIA (DC CIPUTAT)</t>
        </is>
      </c>
      <c r="AI677" t="n">
        <v>2266</v>
      </c>
      <c r="AJ677" t="inlineStr">
        <is>
          <t>CLEVIANT</t>
        </is>
      </c>
      <c r="AK677" t="n">
        <v>9</v>
      </c>
      <c r="AL677" t="inlineStr">
        <is>
          <t>Miss Glam Jambi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CLEVIANT</t>
        </is>
      </c>
      <c r="B678" s="2">
        <f>"20300394011"</f>
        <v/>
      </c>
      <c r="C678" t="inlineStr">
        <is>
          <t>CLEVIANT Hydrating Serum Tint Dance Partner 4,5ml</t>
        </is>
      </c>
      <c r="D678" t="inlineStr">
        <is>
          <t>Miss Glam Jambi</t>
        </is>
      </c>
      <c r="E678" t="n">
        <v>6</v>
      </c>
      <c r="F678" t="n">
        <v>0.0231</v>
      </c>
      <c r="G678" t="n">
        <v>0.66</v>
      </c>
      <c r="H678" t="n">
        <v>4</v>
      </c>
      <c r="I678" t="n">
        <v>20</v>
      </c>
      <c r="J678" t="n">
        <v>1</v>
      </c>
      <c r="K678" t="n">
        <v>0</v>
      </c>
      <c r="L678" t="n">
        <v>109866</v>
      </c>
      <c r="M678" t="n">
        <v>149000</v>
      </c>
      <c r="N678" t="n">
        <v>33</v>
      </c>
      <c r="O678" t="n">
        <v>0.33</v>
      </c>
      <c r="P678" t="n">
        <v>1</v>
      </c>
      <c r="Q678" t="n">
        <v>0.03</v>
      </c>
      <c r="R678" t="n">
        <v>1</v>
      </c>
      <c r="S678" t="n">
        <v>3441.900000000001</v>
      </c>
      <c r="T678" t="n">
        <v>14</v>
      </c>
      <c r="U678" t="n">
        <v>15</v>
      </c>
      <c r="V678" t="n">
        <v>30</v>
      </c>
      <c r="W678" t="n">
        <v>1</v>
      </c>
      <c r="X678" t="n">
        <v>259.7402597402597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4329</v>
      </c>
      <c r="AG678" t="n">
        <v>1</v>
      </c>
      <c r="AH678" t="inlineStr">
        <is>
          <t>PT. BERSAMA DISTRIVERSA INDONESIA (DC CIPUTAT)</t>
        </is>
      </c>
      <c r="AI678" t="n">
        <v>2266</v>
      </c>
      <c r="AJ678" t="inlineStr">
        <is>
          <t>CLEVIANT</t>
        </is>
      </c>
      <c r="AK678" t="n">
        <v>9</v>
      </c>
      <c r="AL678" t="inlineStr">
        <is>
          <t>Miss Glam Jambi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CLEVIANT</t>
        </is>
      </c>
      <c r="B679" s="2">
        <f>"203002182411"</f>
        <v/>
      </c>
      <c r="C679" t="inlineStr">
        <is>
          <t>CLEVIANT Juicy Lip Pudding Pink Cherry 8gr</t>
        </is>
      </c>
      <c r="D679" t="inlineStr">
        <is>
          <t>Miss Glam Jambi</t>
        </is>
      </c>
      <c r="E679" t="n">
        <v>3</v>
      </c>
      <c r="F679" t="n">
        <v>0.009900000000000001</v>
      </c>
      <c r="G679" t="n">
        <v>0.33</v>
      </c>
      <c r="H679" t="n">
        <v>4</v>
      </c>
      <c r="I679" t="n">
        <v>20</v>
      </c>
      <c r="J679" t="n">
        <v>1</v>
      </c>
      <c r="K679" t="n">
        <v>0</v>
      </c>
      <c r="L679" t="n">
        <v>89526</v>
      </c>
      <c r="M679" t="n">
        <v>119000</v>
      </c>
      <c r="N679" t="n">
        <v>33</v>
      </c>
      <c r="O679" t="n">
        <v>0.33</v>
      </c>
      <c r="P679" t="n">
        <v>1</v>
      </c>
      <c r="Q679" t="n">
        <v>0.02</v>
      </c>
      <c r="R679" t="n">
        <v>1</v>
      </c>
      <c r="S679" t="n">
        <v>1178.1</v>
      </c>
      <c r="T679" t="n">
        <v>7</v>
      </c>
      <c r="U679" t="n">
        <v>8</v>
      </c>
      <c r="V679" t="n">
        <v>30</v>
      </c>
      <c r="W679" t="n">
        <v>1</v>
      </c>
      <c r="X679" t="n">
        <v>303.030303030303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4329</v>
      </c>
      <c r="AG679" t="n">
        <v>1</v>
      </c>
      <c r="AH679" t="inlineStr">
        <is>
          <t>PT. BERSAMA DISTRIVERSA INDONESIA (DC CIPUTAT)</t>
        </is>
      </c>
      <c r="AI679" t="n">
        <v>2266</v>
      </c>
      <c r="AJ679" t="inlineStr">
        <is>
          <t>CLEVIANT</t>
        </is>
      </c>
      <c r="AK679" t="n">
        <v>9</v>
      </c>
      <c r="AL679" t="inlineStr">
        <is>
          <t>Miss Glam Jambi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CLEVIANT</t>
        </is>
      </c>
      <c r="B680" s="2">
        <f>"20300442721"</f>
        <v/>
      </c>
      <c r="C680" t="inlineStr">
        <is>
          <t>CLEVIANT Plumpy Lip Glass Drama Queen 5,4ml</t>
        </is>
      </c>
      <c r="D680" t="inlineStr">
        <is>
          <t>Miss Glam Jambi</t>
        </is>
      </c>
      <c r="E680" t="n">
        <v>7</v>
      </c>
      <c r="F680" t="n">
        <v>0.006600000000000001</v>
      </c>
      <c r="G680" t="n">
        <v>0.33</v>
      </c>
      <c r="H680" t="n">
        <v>4</v>
      </c>
      <c r="I680" t="n">
        <v>20</v>
      </c>
      <c r="J680" t="n">
        <v>1</v>
      </c>
      <c r="K680" t="n">
        <v>0</v>
      </c>
      <c r="L680" t="n">
        <v>97049</v>
      </c>
      <c r="M680" t="n">
        <v>129000</v>
      </c>
      <c r="N680" t="n">
        <v>33</v>
      </c>
      <c r="O680" t="n">
        <v>0.33</v>
      </c>
      <c r="P680" t="n">
        <v>1</v>
      </c>
      <c r="Q680" t="n">
        <v>0.02</v>
      </c>
      <c r="R680" t="n">
        <v>1</v>
      </c>
      <c r="S680" t="n">
        <v>851.4000000000001</v>
      </c>
      <c r="T680" t="n">
        <v>7</v>
      </c>
      <c r="U680" t="n">
        <v>8</v>
      </c>
      <c r="V680" t="n">
        <v>30</v>
      </c>
      <c r="W680" t="n">
        <v>1</v>
      </c>
      <c r="X680" t="n">
        <v>1060.606060606061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4329</v>
      </c>
      <c r="AG680" t="n">
        <v>1</v>
      </c>
      <c r="AH680" t="inlineStr">
        <is>
          <t>PT. BERSAMA DISTRIVERSA INDONESIA (DC CIPUTAT)</t>
        </is>
      </c>
      <c r="AI680" t="n">
        <v>2266</v>
      </c>
      <c r="AJ680" t="inlineStr">
        <is>
          <t>CLEVIANT</t>
        </is>
      </c>
      <c r="AK680" t="n">
        <v>9</v>
      </c>
      <c r="AL680" t="inlineStr">
        <is>
          <t>Miss Glam Jambi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COOL-VITA</t>
        </is>
      </c>
      <c r="B681" s="2">
        <f>"60100301627"</f>
        <v/>
      </c>
      <c r="C681" t="inlineStr">
        <is>
          <t>COOL-VITA Collagen Gummy Pouch 10pcs</t>
        </is>
      </c>
      <c r="D681" t="inlineStr">
        <is>
          <t>Miss Glam Jambi</t>
        </is>
      </c>
      <c r="E681" t="n">
        <v>5</v>
      </c>
      <c r="F681" t="n">
        <v>0.006600000000000001</v>
      </c>
      <c r="G681" t="n">
        <v>0.33</v>
      </c>
      <c r="H681" t="n">
        <v>9</v>
      </c>
      <c r="I681" t="n">
        <v>22</v>
      </c>
      <c r="J681" t="n">
        <v>1</v>
      </c>
      <c r="K681" t="n">
        <v>0</v>
      </c>
      <c r="L681" t="n">
        <v>26913</v>
      </c>
      <c r="M681" t="n">
        <v>40000</v>
      </c>
      <c r="N681" t="n">
        <v>33</v>
      </c>
      <c r="O681" t="n">
        <v>0.33</v>
      </c>
      <c r="P681" t="n">
        <v>1</v>
      </c>
      <c r="Q681" t="n">
        <v>0.46</v>
      </c>
      <c r="R681" t="n">
        <v>4</v>
      </c>
      <c r="S681" t="n">
        <v>264.0000000000001</v>
      </c>
      <c r="T681" t="n">
        <v>8</v>
      </c>
      <c r="U681" t="n">
        <v>9</v>
      </c>
      <c r="V681" t="n">
        <v>30</v>
      </c>
      <c r="W681" t="n">
        <v>1</v>
      </c>
      <c r="X681" t="n">
        <v>757.5757575757575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11912</v>
      </c>
      <c r="AG681" t="n">
        <v>3108</v>
      </c>
      <c r="AH681" t="inlineStr">
        <is>
          <t>PT. PARIT PADANG GLOBAL - PPN (JMB)</t>
        </is>
      </c>
      <c r="AI681" t="n">
        <v>1641</v>
      </c>
      <c r="AJ681" t="inlineStr">
        <is>
          <t>COOL-VITA</t>
        </is>
      </c>
      <c r="AK681" t="n">
        <v>9</v>
      </c>
      <c r="AL681" t="inlineStr">
        <is>
          <t>Miss Glam Jambi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COOL-VITA</t>
        </is>
      </c>
      <c r="B682" s="2">
        <f>"769503011271"</f>
        <v/>
      </c>
      <c r="C682" t="inlineStr">
        <is>
          <t>COOL-VITA Collagen Minuman Rasa Apel,Persik  dan Blueberry (7pcs) 315ml</t>
        </is>
      </c>
      <c r="D682" t="inlineStr">
        <is>
          <t>Miss Glam Jambi</t>
        </is>
      </c>
      <c r="E682" t="n">
        <v>3</v>
      </c>
      <c r="F682" t="n">
        <v>0.066</v>
      </c>
      <c r="G682" t="n">
        <v>0.66</v>
      </c>
      <c r="H682" t="n">
        <v>9</v>
      </c>
      <c r="I682" t="n">
        <v>22</v>
      </c>
      <c r="J682" t="n">
        <v>3</v>
      </c>
      <c r="K682" t="n">
        <v>0</v>
      </c>
      <c r="L682" t="n">
        <v>47148</v>
      </c>
      <c r="M682" t="n">
        <v>67500</v>
      </c>
      <c r="N682" t="n">
        <v>33</v>
      </c>
      <c r="O682" t="n">
        <v>0.33</v>
      </c>
      <c r="P682" t="n">
        <v>1</v>
      </c>
      <c r="Q682" t="n">
        <v>0.02</v>
      </c>
      <c r="R682" t="n">
        <v>1</v>
      </c>
      <c r="S682" t="n">
        <v>4455</v>
      </c>
      <c r="T682" t="n">
        <v>14</v>
      </c>
      <c r="U682" t="n">
        <v>15</v>
      </c>
      <c r="V682" t="n">
        <v>30</v>
      </c>
      <c r="W682" t="n">
        <v>2</v>
      </c>
      <c r="X682" t="n">
        <v>45.45454545454545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11912</v>
      </c>
      <c r="AG682" t="n">
        <v>3108</v>
      </c>
      <c r="AH682" t="inlineStr">
        <is>
          <t>PT. PARIT PADANG GLOBAL - PPN (JMB)</t>
        </is>
      </c>
      <c r="AI682" t="n">
        <v>1641</v>
      </c>
      <c r="AJ682" t="inlineStr">
        <is>
          <t>COOL-VITA</t>
        </is>
      </c>
      <c r="AK682" t="n">
        <v>9</v>
      </c>
      <c r="AL682" t="inlineStr">
        <is>
          <t>Miss Glam Jambi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COOL-VITA</t>
        </is>
      </c>
      <c r="B683" s="2">
        <f>"60100301511"</f>
        <v/>
      </c>
      <c r="C683" t="inlineStr">
        <is>
          <t>COOL-VITA Dha Gummy Pouch 10pcs</t>
        </is>
      </c>
      <c r="D683" t="inlineStr">
        <is>
          <t>Miss Glam Jambi</t>
        </is>
      </c>
      <c r="E683" t="n">
        <v>3</v>
      </c>
      <c r="F683" t="n">
        <v>0.0396</v>
      </c>
      <c r="G683" t="n">
        <v>0.66</v>
      </c>
      <c r="H683" t="n">
        <v>9</v>
      </c>
      <c r="I683" t="n">
        <v>22</v>
      </c>
      <c r="J683" t="n">
        <v>1</v>
      </c>
      <c r="K683" t="n">
        <v>15</v>
      </c>
      <c r="L683" t="n">
        <v>26913</v>
      </c>
      <c r="M683" t="n">
        <v>40000</v>
      </c>
      <c r="N683" t="n">
        <v>33</v>
      </c>
      <c r="O683" t="n">
        <v>0.33</v>
      </c>
      <c r="P683" t="n">
        <v>1</v>
      </c>
      <c r="Q683" t="n">
        <v>0.49</v>
      </c>
      <c r="R683" t="n">
        <v>3</v>
      </c>
      <c r="S683" t="n">
        <v>1584</v>
      </c>
      <c r="T683" t="n">
        <v>15</v>
      </c>
      <c r="U683" t="n">
        <v>16</v>
      </c>
      <c r="V683" t="n">
        <v>30</v>
      </c>
      <c r="W683" t="n">
        <v>2</v>
      </c>
      <c r="X683" t="n">
        <v>75.75757575757575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11912</v>
      </c>
      <c r="AG683" t="n">
        <v>3108</v>
      </c>
      <c r="AH683" t="inlineStr">
        <is>
          <t>PT. PARIT PADANG GLOBAL - PPN (JMB)</t>
        </is>
      </c>
      <c r="AI683" t="n">
        <v>1641</v>
      </c>
      <c r="AJ683" t="inlineStr">
        <is>
          <t>COOL-VITA</t>
        </is>
      </c>
      <c r="AK683" t="n">
        <v>9</v>
      </c>
      <c r="AL683" t="inlineStr">
        <is>
          <t>Miss Glam Jambi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COOL-VITA</t>
        </is>
      </c>
      <c r="B684" s="2">
        <f>"769503010045"</f>
        <v/>
      </c>
      <c r="C684" t="inlineStr">
        <is>
          <t>COOL-VITA Healthy Skin Collagen+Vitamin C Collagen 500mg+ Vitamin c 100mg</t>
        </is>
      </c>
      <c r="D684" t="inlineStr">
        <is>
          <t>Miss Glam Jambi</t>
        </is>
      </c>
      <c r="E684" t="n">
        <v>3</v>
      </c>
      <c r="F684" t="n">
        <v>0.0165</v>
      </c>
      <c r="G684" t="n">
        <v>0.33</v>
      </c>
      <c r="H684" t="n">
        <v>9</v>
      </c>
      <c r="I684" t="n">
        <v>22</v>
      </c>
      <c r="J684" t="n">
        <v>3</v>
      </c>
      <c r="K684" t="n">
        <v>15</v>
      </c>
      <c r="L684" t="n">
        <v>17190</v>
      </c>
      <c r="M684" t="n">
        <v>25000</v>
      </c>
      <c r="N684" t="n">
        <v>33</v>
      </c>
      <c r="O684" t="n">
        <v>0.33</v>
      </c>
      <c r="P684" t="n">
        <v>1</v>
      </c>
      <c r="Q684" t="n">
        <v>0.46</v>
      </c>
      <c r="R684" t="n">
        <v>3</v>
      </c>
      <c r="S684" t="n">
        <v>412.5</v>
      </c>
      <c r="T684" t="n">
        <v>8</v>
      </c>
      <c r="U684" t="n">
        <v>9</v>
      </c>
      <c r="V684" t="n">
        <v>30</v>
      </c>
      <c r="W684" t="n">
        <v>1</v>
      </c>
      <c r="X684" t="n">
        <v>181.8181818181818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11912</v>
      </c>
      <c r="AG684" t="n">
        <v>3108</v>
      </c>
      <c r="AH684" t="inlineStr">
        <is>
          <t>PT. PARIT PADANG GLOBAL - PPN (JMB)</t>
        </is>
      </c>
      <c r="AI684" t="n">
        <v>1641</v>
      </c>
      <c r="AJ684" t="inlineStr">
        <is>
          <t>COOL-VITA</t>
        </is>
      </c>
      <c r="AK684" t="n">
        <v>9</v>
      </c>
      <c r="AL684" t="inlineStr">
        <is>
          <t>Miss Glam Jambi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COOL-VITA</t>
        </is>
      </c>
      <c r="B685" s="2">
        <f>"769503011295"</f>
        <v/>
      </c>
      <c r="C685" t="inlineStr">
        <is>
          <t>COOL-VITA Slimkeep Minuman Rasa Aneka Buah dan Sayuran (7pcs) 315ml</t>
        </is>
      </c>
      <c r="D685" t="inlineStr">
        <is>
          <t>Miss Glam Jambi</t>
        </is>
      </c>
      <c r="E685" t="n">
        <v>4</v>
      </c>
      <c r="F685" t="n">
        <v>0.03</v>
      </c>
      <c r="G685" t="n">
        <v>1</v>
      </c>
      <c r="H685" t="n">
        <v>9</v>
      </c>
      <c r="I685" t="n">
        <v>22</v>
      </c>
      <c r="J685" t="n">
        <v>3</v>
      </c>
      <c r="K685" t="n">
        <v>0</v>
      </c>
      <c r="L685" t="n">
        <v>47090</v>
      </c>
      <c r="M685" t="n">
        <v>67500</v>
      </c>
      <c r="N685" t="n">
        <v>33</v>
      </c>
      <c r="O685" t="n">
        <v>0.33</v>
      </c>
      <c r="P685" t="n">
        <v>0</v>
      </c>
      <c r="Q685" t="n">
        <v>0.03</v>
      </c>
      <c r="R685" t="n">
        <v>1</v>
      </c>
      <c r="S685" t="n">
        <v>2025</v>
      </c>
      <c r="T685" t="n">
        <v>22</v>
      </c>
      <c r="U685" t="n">
        <v>23</v>
      </c>
      <c r="V685" t="n">
        <v>30</v>
      </c>
      <c r="W685" t="n">
        <v>1</v>
      </c>
      <c r="X685" t="n">
        <v>133.3333333333333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11912</v>
      </c>
      <c r="AG685" t="n">
        <v>3108</v>
      </c>
      <c r="AH685" t="inlineStr">
        <is>
          <t>PT. PARIT PADANG GLOBAL - PPN (JMB)</t>
        </is>
      </c>
      <c r="AI685" t="n">
        <v>1641</v>
      </c>
      <c r="AJ685" t="inlineStr">
        <is>
          <t>COOL-VITA</t>
        </is>
      </c>
      <c r="AK685" t="n">
        <v>9</v>
      </c>
      <c r="AL685" t="inlineStr">
        <is>
          <t>Miss Glam Jambi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COSRX</t>
        </is>
      </c>
      <c r="B686" s="2">
        <f>"8809416470245"</f>
        <v/>
      </c>
      <c r="C686" t="inlineStr">
        <is>
          <t>COSRX Acne Pimple Master Patch 24 Patches</t>
        </is>
      </c>
      <c r="D686" t="inlineStr">
        <is>
          <t>Miss Glam Jambi</t>
        </is>
      </c>
      <c r="E686" t="n">
        <v>3</v>
      </c>
      <c r="F686" t="n">
        <v>0.0561</v>
      </c>
      <c r="G686" t="n">
        <v>0.99</v>
      </c>
      <c r="H686" t="n">
        <v>7</v>
      </c>
      <c r="I686" t="n">
        <v>19</v>
      </c>
      <c r="J686" t="n">
        <v>3</v>
      </c>
      <c r="K686" t="n">
        <v>0</v>
      </c>
      <c r="L686" t="n">
        <v>47200</v>
      </c>
      <c r="M686" t="n">
        <v>59000</v>
      </c>
      <c r="N686" t="n">
        <v>33</v>
      </c>
      <c r="O686" t="n">
        <v>0.33</v>
      </c>
      <c r="P686" t="n">
        <v>1</v>
      </c>
      <c r="Q686" t="n">
        <v>0.02</v>
      </c>
      <c r="R686" t="n">
        <v>1</v>
      </c>
      <c r="S686" t="n">
        <v>3309.9</v>
      </c>
      <c r="T686" t="n">
        <v>19</v>
      </c>
      <c r="U686" t="n">
        <v>20</v>
      </c>
      <c r="V686" t="n">
        <v>30</v>
      </c>
      <c r="W686" t="n">
        <v>2</v>
      </c>
      <c r="X686" t="n">
        <v>53.475935828877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11285</v>
      </c>
      <c r="AG686" t="n">
        <v>2173</v>
      </c>
      <c r="AH686" t="inlineStr">
        <is>
          <t>PT. OGAN SAKTI PRATAMA - PPN (JMB)</t>
        </is>
      </c>
      <c r="AI686" t="n">
        <v>57</v>
      </c>
      <c r="AJ686" t="inlineStr">
        <is>
          <t>COSRX</t>
        </is>
      </c>
      <c r="AK686" t="n">
        <v>9</v>
      </c>
      <c r="AL686" t="inlineStr">
        <is>
          <t>Miss Glam Jambi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COSRX</t>
        </is>
      </c>
      <c r="B687" s="2">
        <f>"8809416470009"</f>
        <v/>
      </c>
      <c r="C687" t="inlineStr">
        <is>
          <t>COSRX Advanced Snail 96 Mucin Power Essence 100ml</t>
        </is>
      </c>
      <c r="D687" t="inlineStr">
        <is>
          <t>Miss Glam Jambi</t>
        </is>
      </c>
      <c r="E687" t="n">
        <v>7</v>
      </c>
      <c r="F687" t="n">
        <v>0.0231</v>
      </c>
      <c r="G687" t="n">
        <v>0.33</v>
      </c>
      <c r="H687" t="n">
        <v>7</v>
      </c>
      <c r="I687" t="n">
        <v>19</v>
      </c>
      <c r="J687" t="n">
        <v>3</v>
      </c>
      <c r="K687" t="n">
        <v>0</v>
      </c>
      <c r="L687" t="n">
        <v>206743</v>
      </c>
      <c r="M687" t="n">
        <v>286500</v>
      </c>
      <c r="N687" t="n">
        <v>33</v>
      </c>
      <c r="O687" t="n">
        <v>0.33</v>
      </c>
      <c r="P687" t="n">
        <v>1</v>
      </c>
      <c r="Q687" t="n">
        <v>0.05</v>
      </c>
      <c r="R687" t="n">
        <v>1</v>
      </c>
      <c r="S687" t="n">
        <v>6618.150000000001</v>
      </c>
      <c r="T687" t="n">
        <v>7</v>
      </c>
      <c r="U687" t="n">
        <v>8</v>
      </c>
      <c r="V687" t="n">
        <v>30</v>
      </c>
      <c r="W687" t="n">
        <v>1</v>
      </c>
      <c r="X687" t="n">
        <v>303.030303030303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11285</v>
      </c>
      <c r="AG687" t="n">
        <v>2173</v>
      </c>
      <c r="AH687" t="inlineStr">
        <is>
          <t>PT. OGAN SAKTI PRATAMA - PPN (JMB)</t>
        </is>
      </c>
      <c r="AI687" t="n">
        <v>57</v>
      </c>
      <c r="AJ687" t="inlineStr">
        <is>
          <t>COSRX</t>
        </is>
      </c>
      <c r="AK687" t="n">
        <v>9</v>
      </c>
      <c r="AL687" t="inlineStr">
        <is>
          <t>Miss Glam Jambi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COSRX</t>
        </is>
      </c>
      <c r="B688" s="2">
        <f>"8809416470016"</f>
        <v/>
      </c>
      <c r="C688" t="inlineStr">
        <is>
          <t>COSRX Advanced Snail All In One Cream 100gr</t>
        </is>
      </c>
      <c r="D688" t="inlineStr">
        <is>
          <t>Miss Glam Jambi</t>
        </is>
      </c>
      <c r="E688" t="n">
        <v>4</v>
      </c>
      <c r="F688" t="n">
        <v>0.0165</v>
      </c>
      <c r="G688" t="n">
        <v>0.33</v>
      </c>
      <c r="H688" t="n">
        <v>7</v>
      </c>
      <c r="I688" t="n">
        <v>19</v>
      </c>
      <c r="J688" t="n">
        <v>3</v>
      </c>
      <c r="K688" t="n">
        <v>0</v>
      </c>
      <c r="L688" t="n">
        <v>236880</v>
      </c>
      <c r="M688" t="n">
        <v>329000</v>
      </c>
      <c r="N688" t="n">
        <v>33</v>
      </c>
      <c r="O688" t="n">
        <v>0.33</v>
      </c>
      <c r="P688" t="n">
        <v>1</v>
      </c>
      <c r="Q688" t="n">
        <v>0.07000000000000001</v>
      </c>
      <c r="R688" t="n">
        <v>1</v>
      </c>
      <c r="S688" t="n">
        <v>5428.5</v>
      </c>
      <c r="T688" t="n">
        <v>7</v>
      </c>
      <c r="U688" t="n">
        <v>8</v>
      </c>
      <c r="V688" t="n">
        <v>30</v>
      </c>
      <c r="W688" t="n">
        <v>1</v>
      </c>
      <c r="X688" t="n">
        <v>242.4242424242424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11285</v>
      </c>
      <c r="AG688" t="n">
        <v>2173</v>
      </c>
      <c r="AH688" t="inlineStr">
        <is>
          <t>PT. OGAN SAKTI PRATAMA - PPN (JMB)</t>
        </is>
      </c>
      <c r="AI688" t="n">
        <v>57</v>
      </c>
      <c r="AJ688" t="inlineStr">
        <is>
          <t>COSRX</t>
        </is>
      </c>
      <c r="AK688" t="n">
        <v>9</v>
      </c>
      <c r="AL688" t="inlineStr">
        <is>
          <t>Miss Glam Jambi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COSRX</t>
        </is>
      </c>
      <c r="B689" s="2">
        <f>"8809416470030"</f>
        <v/>
      </c>
      <c r="C689" t="inlineStr">
        <is>
          <t>COSRX AHA BHA Clarifying Treatment Toner 150ml</t>
        </is>
      </c>
      <c r="D689" t="inlineStr">
        <is>
          <t>Miss Glam Jambi</t>
        </is>
      </c>
      <c r="E689" t="n">
        <v>6</v>
      </c>
      <c r="F689" t="n">
        <v>0.0165</v>
      </c>
      <c r="G689" t="n">
        <v>0.33</v>
      </c>
      <c r="H689" t="n">
        <v>7</v>
      </c>
      <c r="I689" t="n">
        <v>19</v>
      </c>
      <c r="J689" t="n">
        <v>6</v>
      </c>
      <c r="K689" t="n">
        <v>0</v>
      </c>
      <c r="L689" t="n">
        <v>154667</v>
      </c>
      <c r="M689" t="n">
        <v>235300</v>
      </c>
      <c r="N689" t="n">
        <v>33</v>
      </c>
      <c r="O689" t="n">
        <v>0.33</v>
      </c>
      <c r="P689" t="n">
        <v>1</v>
      </c>
      <c r="Q689" t="n">
        <v>0.02</v>
      </c>
      <c r="R689" t="n">
        <v>1</v>
      </c>
      <c r="S689" t="n">
        <v>3882.45</v>
      </c>
      <c r="T689" t="n">
        <v>7</v>
      </c>
      <c r="U689" t="n">
        <v>8</v>
      </c>
      <c r="V689" t="n">
        <v>30</v>
      </c>
      <c r="W689" t="n">
        <v>1</v>
      </c>
      <c r="X689" t="n">
        <v>363.6363636363636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11285</v>
      </c>
      <c r="AG689" t="n">
        <v>2173</v>
      </c>
      <c r="AH689" t="inlineStr">
        <is>
          <t>PT. OGAN SAKTI PRATAMA - PPN (JMB)</t>
        </is>
      </c>
      <c r="AI689" t="n">
        <v>57</v>
      </c>
      <c r="AJ689" t="inlineStr">
        <is>
          <t>COSRX</t>
        </is>
      </c>
      <c r="AK689" t="n">
        <v>9</v>
      </c>
      <c r="AL689" t="inlineStr">
        <is>
          <t>Miss Glam Jambi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COSRX</t>
        </is>
      </c>
      <c r="B690" s="2">
        <f>"8809416470191"</f>
        <v/>
      </c>
      <c r="C690" t="inlineStr">
        <is>
          <t>COSRX Aloe Soothing Sun Cream SPF 50 PA+++  50ml</t>
        </is>
      </c>
      <c r="D690" t="inlineStr">
        <is>
          <t>Miss Glam Jambi</t>
        </is>
      </c>
      <c r="E690" t="n">
        <v>5</v>
      </c>
      <c r="F690" t="n">
        <v>0.0297</v>
      </c>
      <c r="G690" t="n">
        <v>0.66</v>
      </c>
      <c r="H690" t="n">
        <v>7</v>
      </c>
      <c r="I690" t="n">
        <v>19</v>
      </c>
      <c r="J690" t="n">
        <v>3</v>
      </c>
      <c r="K690" t="n">
        <v>0</v>
      </c>
      <c r="L690" t="n">
        <v>172090</v>
      </c>
      <c r="M690" t="n">
        <v>249000</v>
      </c>
      <c r="N690" t="n">
        <v>33</v>
      </c>
      <c r="O690" t="n">
        <v>0.33</v>
      </c>
      <c r="P690" t="n">
        <v>1</v>
      </c>
      <c r="Q690" t="n">
        <v>0.07000000000000001</v>
      </c>
      <c r="R690" t="n">
        <v>1</v>
      </c>
      <c r="S690" t="n">
        <v>7395.3</v>
      </c>
      <c r="T690" t="n">
        <v>13</v>
      </c>
      <c r="U690" t="n">
        <v>14</v>
      </c>
      <c r="V690" t="n">
        <v>30</v>
      </c>
      <c r="W690" t="n">
        <v>1</v>
      </c>
      <c r="X690" t="n">
        <v>168.3501683501684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11285</v>
      </c>
      <c r="AG690" t="n">
        <v>2173</v>
      </c>
      <c r="AH690" t="inlineStr">
        <is>
          <t>PT. OGAN SAKTI PRATAMA - PPN (JMB)</t>
        </is>
      </c>
      <c r="AI690" t="n">
        <v>57</v>
      </c>
      <c r="AJ690" t="inlineStr">
        <is>
          <t>COSRX</t>
        </is>
      </c>
      <c r="AK690" t="n">
        <v>9</v>
      </c>
      <c r="AL690" t="inlineStr">
        <is>
          <t>Miss Glam Jambi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COSRX</t>
        </is>
      </c>
      <c r="B691" s="2">
        <f>"8809416470085"</f>
        <v/>
      </c>
      <c r="C691" t="inlineStr">
        <is>
          <t>COSRX Centella Water Alcohol Free Toner 150ml</t>
        </is>
      </c>
      <c r="D691" t="inlineStr">
        <is>
          <t>Miss Glam Jambi</t>
        </is>
      </c>
      <c r="E691" t="n">
        <v>2</v>
      </c>
      <c r="F691" t="n">
        <v>0.006600000000000001</v>
      </c>
      <c r="G691" t="n">
        <v>0.33</v>
      </c>
      <c r="H691" t="n">
        <v>7</v>
      </c>
      <c r="I691" t="n">
        <v>19</v>
      </c>
      <c r="J691" t="n">
        <v>3</v>
      </c>
      <c r="K691" t="n">
        <v>0</v>
      </c>
      <c r="L691" t="n">
        <v>171999</v>
      </c>
      <c r="M691" t="n">
        <v>215000</v>
      </c>
      <c r="N691" t="n">
        <v>33</v>
      </c>
      <c r="O691" t="n">
        <v>0.33</v>
      </c>
      <c r="P691" t="n">
        <v>1</v>
      </c>
      <c r="Q691" t="n">
        <v>0.03</v>
      </c>
      <c r="R691" t="n">
        <v>1</v>
      </c>
      <c r="S691" t="n">
        <v>1419</v>
      </c>
      <c r="T691" t="n">
        <v>7</v>
      </c>
      <c r="U691" t="n">
        <v>8</v>
      </c>
      <c r="V691" t="n">
        <v>30</v>
      </c>
      <c r="W691" t="n">
        <v>1</v>
      </c>
      <c r="X691" t="n">
        <v>303.030303030303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11285</v>
      </c>
      <c r="AG691" t="n">
        <v>2173</v>
      </c>
      <c r="AH691" t="inlineStr">
        <is>
          <t>PT. OGAN SAKTI PRATAMA - PPN (JMB)</t>
        </is>
      </c>
      <c r="AI691" t="n">
        <v>57</v>
      </c>
      <c r="AJ691" t="inlineStr">
        <is>
          <t>COSRX</t>
        </is>
      </c>
      <c r="AK691" t="n">
        <v>9</v>
      </c>
      <c r="AL691" t="inlineStr">
        <is>
          <t>Miss Glam Jambi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COSRX</t>
        </is>
      </c>
      <c r="B692" s="2">
        <f>"8809416470511"</f>
        <v/>
      </c>
      <c r="C692" t="inlineStr">
        <is>
          <t>COSRX Low PH Good Morning Gel Cleanser 150ml</t>
        </is>
      </c>
      <c r="D692" t="inlineStr">
        <is>
          <t>Miss Glam Jambi</t>
        </is>
      </c>
      <c r="E692" t="n">
        <v>7</v>
      </c>
      <c r="F692" t="n">
        <v>0.2673</v>
      </c>
      <c r="G692" t="n">
        <v>0.99</v>
      </c>
      <c r="H692" t="n">
        <v>7</v>
      </c>
      <c r="I692" t="n">
        <v>19</v>
      </c>
      <c r="J692" t="n">
        <v>3</v>
      </c>
      <c r="K692" t="n">
        <v>6</v>
      </c>
      <c r="L692" t="n">
        <v>119708</v>
      </c>
      <c r="M692" t="n">
        <v>155000</v>
      </c>
      <c r="N692" t="n">
        <v>33</v>
      </c>
      <c r="O692" t="n">
        <v>0.33</v>
      </c>
      <c r="P692" t="n">
        <v>1</v>
      </c>
      <c r="Q692" t="n">
        <v>0.34</v>
      </c>
      <c r="R692" t="n">
        <v>2</v>
      </c>
      <c r="S692" t="n">
        <v>41431.50000000001</v>
      </c>
      <c r="T692" t="n">
        <v>17</v>
      </c>
      <c r="U692" t="n">
        <v>19</v>
      </c>
      <c r="V692" t="n">
        <v>30</v>
      </c>
      <c r="W692" t="n">
        <v>9</v>
      </c>
      <c r="X692" t="n">
        <v>26.18780396558174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11285</v>
      </c>
      <c r="AG692" t="n">
        <v>2173</v>
      </c>
      <c r="AH692" t="inlineStr">
        <is>
          <t>PT. OGAN SAKTI PRATAMA - PPN (JMB)</t>
        </is>
      </c>
      <c r="AI692" t="n">
        <v>57</v>
      </c>
      <c r="AJ692" t="inlineStr">
        <is>
          <t>COSRX</t>
        </is>
      </c>
      <c r="AK692" t="n">
        <v>9</v>
      </c>
      <c r="AL692" t="inlineStr">
        <is>
          <t>Miss Glam Jambi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COSRX</t>
        </is>
      </c>
      <c r="B693" s="2">
        <f>"8809598451766"</f>
        <v/>
      </c>
      <c r="C693" t="inlineStr">
        <is>
          <t>COSRX Low PH Good Morning Gel Cleanser 50ml</t>
        </is>
      </c>
      <c r="D693" t="inlineStr">
        <is>
          <t>Miss Glam Jambi</t>
        </is>
      </c>
      <c r="E693" t="n">
        <v>19</v>
      </c>
      <c r="F693" t="n">
        <v>1.1517</v>
      </c>
      <c r="G693" t="n">
        <v>2.97</v>
      </c>
      <c r="H693" t="n">
        <v>7</v>
      </c>
      <c r="I693" t="n">
        <v>19</v>
      </c>
      <c r="J693" t="n">
        <v>3</v>
      </c>
      <c r="K693" t="n">
        <v>13</v>
      </c>
      <c r="L693" t="n">
        <v>42568</v>
      </c>
      <c r="M693" t="n">
        <v>65000</v>
      </c>
      <c r="N693" t="n">
        <v>33</v>
      </c>
      <c r="O693" t="n">
        <v>0.33</v>
      </c>
      <c r="P693" t="n">
        <v>1</v>
      </c>
      <c r="Q693" t="n">
        <v>0.92</v>
      </c>
      <c r="R693" t="n">
        <v>3</v>
      </c>
      <c r="S693" t="n">
        <v>74860.50000000001</v>
      </c>
      <c r="T693" t="n">
        <v>49</v>
      </c>
      <c r="U693" t="n">
        <v>58</v>
      </c>
      <c r="V693" t="n">
        <v>30</v>
      </c>
      <c r="W693" t="n">
        <v>35</v>
      </c>
      <c r="X693" t="n">
        <v>16.49735174090475</v>
      </c>
      <c r="Y693" t="n">
        <v>1</v>
      </c>
      <c r="Z693" t="n">
        <v>3</v>
      </c>
      <c r="AA693" t="n">
        <v>2</v>
      </c>
      <c r="AB693" t="n">
        <v>1</v>
      </c>
      <c r="AC693" t="n">
        <v>3</v>
      </c>
      <c r="AD693" t="n">
        <v>85136</v>
      </c>
      <c r="AE693" t="n">
        <v>127704</v>
      </c>
      <c r="AF693" t="n">
        <v>11285</v>
      </c>
      <c r="AG693" t="n">
        <v>2173</v>
      </c>
      <c r="AH693" t="inlineStr">
        <is>
          <t>PT. OGAN SAKTI PRATAMA - PPN (JMB)</t>
        </is>
      </c>
      <c r="AI693" t="n">
        <v>57</v>
      </c>
      <c r="AJ693" t="inlineStr">
        <is>
          <t>COSRX</t>
        </is>
      </c>
      <c r="AK693" t="n">
        <v>9</v>
      </c>
      <c r="AL693" t="inlineStr">
        <is>
          <t>Miss Glam Jambi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COSRX</t>
        </is>
      </c>
      <c r="B694" s="2">
        <f>"10100720610"</f>
        <v/>
      </c>
      <c r="C694" t="inlineStr">
        <is>
          <t>COSRX Low Ph Niacinamide Micellar Cleansing Water 100ml</t>
        </is>
      </c>
      <c r="D694" t="inlineStr">
        <is>
          <t>Miss Glam Jambi</t>
        </is>
      </c>
      <c r="E694" t="n">
        <v>1</v>
      </c>
      <c r="F694" t="n">
        <v>0.006600000000000001</v>
      </c>
      <c r="G694" t="n">
        <v>0.33</v>
      </c>
      <c r="H694" t="n">
        <v>7</v>
      </c>
      <c r="I694" t="n">
        <v>19</v>
      </c>
      <c r="J694" t="n">
        <v>3</v>
      </c>
      <c r="K694" t="n">
        <v>0</v>
      </c>
      <c r="L694" t="n">
        <v>95200</v>
      </c>
      <c r="M694" t="n">
        <v>119000</v>
      </c>
      <c r="N694" t="n">
        <v>33</v>
      </c>
      <c r="O694" t="n">
        <v>0.33</v>
      </c>
      <c r="P694" t="n">
        <v>1</v>
      </c>
      <c r="Q694" t="n">
        <v>0.02</v>
      </c>
      <c r="R694" t="n">
        <v>1</v>
      </c>
      <c r="S694" t="n">
        <v>785.4000000000001</v>
      </c>
      <c r="T694" t="n">
        <v>7</v>
      </c>
      <c r="U694" t="n">
        <v>8</v>
      </c>
      <c r="V694" t="n">
        <v>30</v>
      </c>
      <c r="W694" t="n">
        <v>1</v>
      </c>
      <c r="X694" t="n">
        <v>151.5151515151515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11285</v>
      </c>
      <c r="AG694" t="n">
        <v>2173</v>
      </c>
      <c r="AH694" t="inlineStr">
        <is>
          <t>PT. OGAN SAKTI PRATAMA - PPN (JMB)</t>
        </is>
      </c>
      <c r="AI694" t="n">
        <v>57</v>
      </c>
      <c r="AJ694" t="inlineStr">
        <is>
          <t>COSRX</t>
        </is>
      </c>
      <c r="AK694" t="n">
        <v>9</v>
      </c>
      <c r="AL694" t="inlineStr">
        <is>
          <t>Miss Glam Jambi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COSRX</t>
        </is>
      </c>
      <c r="B695" s="2">
        <f>"8809416470559"</f>
        <v/>
      </c>
      <c r="C695" t="inlineStr">
        <is>
          <t>COSRX Oil Free Moisturizing 100ml</t>
        </is>
      </c>
      <c r="D695" t="inlineStr">
        <is>
          <t>Miss Glam Jambi</t>
        </is>
      </c>
      <c r="E695" t="n">
        <v>3</v>
      </c>
      <c r="F695" t="n">
        <v>0.009900000000000001</v>
      </c>
      <c r="G695" t="n">
        <v>0.33</v>
      </c>
      <c r="H695" t="n">
        <v>7</v>
      </c>
      <c r="I695" t="n">
        <v>19</v>
      </c>
      <c r="J695" t="n">
        <v>3</v>
      </c>
      <c r="K695" t="n">
        <v>0</v>
      </c>
      <c r="L695" t="n">
        <v>239920</v>
      </c>
      <c r="M695" t="n">
        <v>299000</v>
      </c>
      <c r="N695" t="n">
        <v>33</v>
      </c>
      <c r="O695" t="n">
        <v>0.33</v>
      </c>
      <c r="P695" t="n">
        <v>1</v>
      </c>
      <c r="Q695" t="n">
        <v>0.03</v>
      </c>
      <c r="R695" t="n">
        <v>1</v>
      </c>
      <c r="S695" t="n">
        <v>2960.1</v>
      </c>
      <c r="T695" t="n">
        <v>7</v>
      </c>
      <c r="U695" t="n">
        <v>8</v>
      </c>
      <c r="V695" t="n">
        <v>30</v>
      </c>
      <c r="W695" t="n">
        <v>1</v>
      </c>
      <c r="X695" t="n">
        <v>303.030303030303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11285</v>
      </c>
      <c r="AG695" t="n">
        <v>2173</v>
      </c>
      <c r="AH695" t="inlineStr">
        <is>
          <t>PT. OGAN SAKTI PRATAMA - PPN (JMB)</t>
        </is>
      </c>
      <c r="AI695" t="n">
        <v>57</v>
      </c>
      <c r="AJ695" t="inlineStr">
        <is>
          <t>COSRX</t>
        </is>
      </c>
      <c r="AK695" t="n">
        <v>9</v>
      </c>
      <c r="AL695" t="inlineStr">
        <is>
          <t>Miss Glam Jambi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COSRX</t>
        </is>
      </c>
      <c r="B696" s="2">
        <f>"8809598451896"</f>
        <v/>
      </c>
      <c r="C696" t="inlineStr">
        <is>
          <t>COSRX Propolish Synergy Toner 150ml</t>
        </is>
      </c>
      <c r="D696" t="inlineStr">
        <is>
          <t>Miss Glam Jambi</t>
        </is>
      </c>
      <c r="E696" t="n">
        <v>5</v>
      </c>
      <c r="F696" t="n">
        <v>0.05</v>
      </c>
      <c r="G696" t="n">
        <v>1</v>
      </c>
      <c r="H696" t="n">
        <v>7</v>
      </c>
      <c r="I696" t="n">
        <v>19</v>
      </c>
      <c r="J696" t="n">
        <v>3</v>
      </c>
      <c r="K696" t="n">
        <v>0</v>
      </c>
      <c r="L696" t="n">
        <v>176400</v>
      </c>
      <c r="M696" t="n">
        <v>245000</v>
      </c>
      <c r="N696" t="n">
        <v>33</v>
      </c>
      <c r="O696" t="n">
        <v>0.33</v>
      </c>
      <c r="P696" t="n">
        <v>0</v>
      </c>
      <c r="Q696" t="n">
        <v>0.05</v>
      </c>
      <c r="R696" t="n">
        <v>1</v>
      </c>
      <c r="S696" t="n">
        <v>12250</v>
      </c>
      <c r="T696" t="n">
        <v>19</v>
      </c>
      <c r="U696" t="n">
        <v>20</v>
      </c>
      <c r="V696" t="n">
        <v>30</v>
      </c>
      <c r="W696" t="n">
        <v>2</v>
      </c>
      <c r="X696" t="n">
        <v>100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11285</v>
      </c>
      <c r="AG696" t="n">
        <v>2173</v>
      </c>
      <c r="AH696" t="inlineStr">
        <is>
          <t>PT. OGAN SAKTI PRATAMA - PPN (JMB)</t>
        </is>
      </c>
      <c r="AI696" t="n">
        <v>57</v>
      </c>
      <c r="AJ696" t="inlineStr">
        <is>
          <t>COSRX</t>
        </is>
      </c>
      <c r="AK696" t="n">
        <v>9</v>
      </c>
      <c r="AL696" t="inlineStr">
        <is>
          <t>Miss Glam Jambi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COSRX</t>
        </is>
      </c>
      <c r="B697" s="2">
        <f>"8809416471112"</f>
        <v/>
      </c>
      <c r="C697" t="inlineStr">
        <is>
          <t>COSRX Salicyd Acid Daily Gentle Cleanser 150ml</t>
        </is>
      </c>
      <c r="D697" t="inlineStr">
        <is>
          <t>Miss Glam Jambi</t>
        </is>
      </c>
      <c r="E697" t="n">
        <v>4</v>
      </c>
      <c r="F697" t="n">
        <v>0.1848</v>
      </c>
      <c r="G697" t="n">
        <v>0.99</v>
      </c>
      <c r="H697" t="n">
        <v>7</v>
      </c>
      <c r="I697" t="n">
        <v>19</v>
      </c>
      <c r="J697" t="n">
        <v>3</v>
      </c>
      <c r="K697" t="n">
        <v>3</v>
      </c>
      <c r="L697" t="n">
        <v>114080</v>
      </c>
      <c r="M697" t="n">
        <v>155000</v>
      </c>
      <c r="N697" t="n">
        <v>33</v>
      </c>
      <c r="O697" t="n">
        <v>0.33</v>
      </c>
      <c r="P697" t="n">
        <v>1</v>
      </c>
      <c r="Q697" t="n">
        <v>0.22</v>
      </c>
      <c r="R697" t="n">
        <v>2</v>
      </c>
      <c r="S697" t="n">
        <v>28644</v>
      </c>
      <c r="T697" t="n">
        <v>18</v>
      </c>
      <c r="U697" t="n">
        <v>20</v>
      </c>
      <c r="V697" t="n">
        <v>30</v>
      </c>
      <c r="W697" t="n">
        <v>6</v>
      </c>
      <c r="X697" t="n">
        <v>21.64502164502164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11285</v>
      </c>
      <c r="AG697" t="n">
        <v>2173</v>
      </c>
      <c r="AH697" t="inlineStr">
        <is>
          <t>PT. OGAN SAKTI PRATAMA - PPN (JMB)</t>
        </is>
      </c>
      <c r="AI697" t="n">
        <v>57</v>
      </c>
      <c r="AJ697" t="inlineStr">
        <is>
          <t>COSRX</t>
        </is>
      </c>
      <c r="AK697" t="n">
        <v>9</v>
      </c>
      <c r="AL697" t="inlineStr">
        <is>
          <t>Miss Glam Jambi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COSRX</t>
        </is>
      </c>
      <c r="B698" s="2">
        <f>"102002106552"</f>
        <v/>
      </c>
      <c r="C698" t="inlineStr">
        <is>
          <t>COSRX The 6 Peptide Skin Booster Serum 150ml</t>
        </is>
      </c>
      <c r="D698" t="inlineStr">
        <is>
          <t>Miss Glam Jambi</t>
        </is>
      </c>
      <c r="E698" t="n">
        <v>2</v>
      </c>
      <c r="F698" t="n">
        <v>0.02</v>
      </c>
      <c r="G698" t="n">
        <v>1</v>
      </c>
      <c r="H698" t="n">
        <v>7</v>
      </c>
      <c r="I698" t="n">
        <v>19</v>
      </c>
      <c r="J698" t="n">
        <v>3</v>
      </c>
      <c r="K698" t="n">
        <v>0</v>
      </c>
      <c r="L698" t="n">
        <v>217600</v>
      </c>
      <c r="M698" t="n">
        <v>320000</v>
      </c>
      <c r="N698" t="n">
        <v>33</v>
      </c>
      <c r="O698" t="n">
        <v>0.33</v>
      </c>
      <c r="P698" t="n">
        <v>0</v>
      </c>
      <c r="Q698" t="n">
        <v>0.02</v>
      </c>
      <c r="R698" t="n">
        <v>1</v>
      </c>
      <c r="S698" t="n">
        <v>6400</v>
      </c>
      <c r="T698" t="n">
        <v>19</v>
      </c>
      <c r="U698" t="n">
        <v>20</v>
      </c>
      <c r="V698" t="n">
        <v>30</v>
      </c>
      <c r="W698" t="n">
        <v>1</v>
      </c>
      <c r="X698" t="n">
        <v>100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11285</v>
      </c>
      <c r="AG698" t="n">
        <v>2173</v>
      </c>
      <c r="AH698" t="inlineStr">
        <is>
          <t>PT. OGAN SAKTI PRATAMA - PPN (JMB)</t>
        </is>
      </c>
      <c r="AI698" t="n">
        <v>57</v>
      </c>
      <c r="AJ698" t="inlineStr">
        <is>
          <t>COSRX</t>
        </is>
      </c>
      <c r="AK698" t="n">
        <v>9</v>
      </c>
      <c r="AL698" t="inlineStr">
        <is>
          <t>Miss Glam Jambi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COSRX</t>
        </is>
      </c>
      <c r="B699" s="2">
        <f>"102002106707"</f>
        <v/>
      </c>
      <c r="C699" t="inlineStr">
        <is>
          <t>COSRX The Niacinamide 15 Serum 20ml</t>
        </is>
      </c>
      <c r="D699" t="inlineStr">
        <is>
          <t>Miss Glam Jambi</t>
        </is>
      </c>
      <c r="E699" t="n">
        <v>2</v>
      </c>
      <c r="F699" t="n">
        <v>0.0561</v>
      </c>
      <c r="G699" t="n">
        <v>1.32</v>
      </c>
      <c r="H699" t="n">
        <v>7</v>
      </c>
      <c r="I699" t="n">
        <v>19</v>
      </c>
      <c r="J699" t="n">
        <v>3</v>
      </c>
      <c r="K699" t="n">
        <v>0</v>
      </c>
      <c r="L699" t="n">
        <v>211750</v>
      </c>
      <c r="M699" t="n">
        <v>275000</v>
      </c>
      <c r="N699" t="n">
        <v>33</v>
      </c>
      <c r="O699" t="n">
        <v>0.33</v>
      </c>
      <c r="P699" t="n">
        <v>1</v>
      </c>
      <c r="Q699" t="n">
        <v>0.1</v>
      </c>
      <c r="R699" t="n">
        <v>2</v>
      </c>
      <c r="S699" t="n">
        <v>15427.5</v>
      </c>
      <c r="T699" t="n">
        <v>25</v>
      </c>
      <c r="U699" t="n">
        <v>26</v>
      </c>
      <c r="V699" t="n">
        <v>30</v>
      </c>
      <c r="W699" t="n">
        <v>2</v>
      </c>
      <c r="X699" t="n">
        <v>35.650623885918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11285</v>
      </c>
      <c r="AG699" t="n">
        <v>2173</v>
      </c>
      <c r="AH699" t="inlineStr">
        <is>
          <t>PT. OGAN SAKTI PRATAMA - PPN (JMB)</t>
        </is>
      </c>
      <c r="AI699" t="n">
        <v>57</v>
      </c>
      <c r="AJ699" t="inlineStr">
        <is>
          <t>COSRX</t>
        </is>
      </c>
      <c r="AK699" t="n">
        <v>9</v>
      </c>
      <c r="AL699" t="inlineStr">
        <is>
          <t>Miss Glam Jambi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COVER MAKE</t>
        </is>
      </c>
      <c r="B700" s="2">
        <f>"8997232435187"</f>
        <v/>
      </c>
      <c r="C700" t="inlineStr">
        <is>
          <t>COVER MAKE Lip Balm Peach Salmon 2,5gr</t>
        </is>
      </c>
      <c r="D700" t="inlineStr">
        <is>
          <t>Miss Glam Jambi</t>
        </is>
      </c>
      <c r="E700" t="n">
        <v>13</v>
      </c>
      <c r="F700" t="n">
        <v>0.033</v>
      </c>
      <c r="G700" t="n">
        <v>0.33</v>
      </c>
      <c r="H700" t="n">
        <v>6</v>
      </c>
      <c r="I700" t="n">
        <v>12</v>
      </c>
      <c r="J700" t="n">
        <v>3</v>
      </c>
      <c r="K700" t="n">
        <v>0</v>
      </c>
      <c r="L700" t="n">
        <v>17760</v>
      </c>
      <c r="M700" t="n">
        <v>22500</v>
      </c>
      <c r="N700" t="n">
        <v>33</v>
      </c>
      <c r="O700" t="n">
        <v>0.33</v>
      </c>
      <c r="P700" t="n">
        <v>1</v>
      </c>
      <c r="Q700" t="n">
        <v>0.03</v>
      </c>
      <c r="R700" t="n">
        <v>1</v>
      </c>
      <c r="S700" t="n">
        <v>742.5</v>
      </c>
      <c r="T700" t="n">
        <v>4</v>
      </c>
      <c r="U700" t="n">
        <v>5</v>
      </c>
      <c r="V700" t="n">
        <v>30</v>
      </c>
      <c r="W700" t="n">
        <v>1</v>
      </c>
      <c r="X700" t="n">
        <v>393.9393939393939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429</v>
      </c>
      <c r="AG700" t="n">
        <v>107</v>
      </c>
      <c r="AH700" t="inlineStr">
        <is>
          <t xml:space="preserve">CV. DAHLIA - PPN (PDG) </t>
        </is>
      </c>
      <c r="AI700" t="n">
        <v>1772</v>
      </c>
      <c r="AJ700" t="inlineStr">
        <is>
          <t>COVER MAKE</t>
        </is>
      </c>
      <c r="AK700" t="n">
        <v>9</v>
      </c>
      <c r="AL700" t="inlineStr">
        <is>
          <t>Miss Glam Jambi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COVER MAKE</t>
        </is>
      </c>
      <c r="B701" s="2">
        <f>"8997232435194"</f>
        <v/>
      </c>
      <c r="C701" t="inlineStr">
        <is>
          <t>COVER MAKE Lip Balm Pink Crush 2,5gr</t>
        </is>
      </c>
      <c r="D701" t="inlineStr">
        <is>
          <t>Miss Glam Jambi</t>
        </is>
      </c>
      <c r="E701" t="n">
        <v>3</v>
      </c>
      <c r="F701" t="n">
        <v>0.1023</v>
      </c>
      <c r="G701" t="n">
        <v>0.99</v>
      </c>
      <c r="H701" t="n">
        <v>6</v>
      </c>
      <c r="I701" t="n">
        <v>12</v>
      </c>
      <c r="J701" t="n">
        <v>3</v>
      </c>
      <c r="K701" t="n">
        <v>0</v>
      </c>
      <c r="L701" t="n">
        <v>17760</v>
      </c>
      <c r="M701" t="n">
        <v>22500</v>
      </c>
      <c r="N701" t="n">
        <v>33</v>
      </c>
      <c r="O701" t="n">
        <v>0.33</v>
      </c>
      <c r="P701" t="n">
        <v>1</v>
      </c>
      <c r="Q701" t="n">
        <v>0.03</v>
      </c>
      <c r="R701" t="n">
        <v>1</v>
      </c>
      <c r="S701" t="n">
        <v>2301.75</v>
      </c>
      <c r="T701" t="n">
        <v>12</v>
      </c>
      <c r="U701" t="n">
        <v>13</v>
      </c>
      <c r="V701" t="n">
        <v>30</v>
      </c>
      <c r="W701" t="n">
        <v>4</v>
      </c>
      <c r="X701" t="n">
        <v>29.32551319648094</v>
      </c>
      <c r="Y701" t="n">
        <v>1</v>
      </c>
      <c r="Z701" t="n">
        <v>1</v>
      </c>
      <c r="AA701" t="n">
        <v>0</v>
      </c>
      <c r="AB701" t="n">
        <v>1</v>
      </c>
      <c r="AC701" t="n">
        <v>3</v>
      </c>
      <c r="AD701" t="n">
        <v>0</v>
      </c>
      <c r="AE701" t="n">
        <v>53280</v>
      </c>
      <c r="AF701" t="n">
        <v>429</v>
      </c>
      <c r="AG701" t="n">
        <v>107</v>
      </c>
      <c r="AH701" t="inlineStr">
        <is>
          <t xml:space="preserve">CV. DAHLIA - PPN (PDG) </t>
        </is>
      </c>
      <c r="AI701" t="n">
        <v>1772</v>
      </c>
      <c r="AJ701" t="inlineStr">
        <is>
          <t>COVER MAKE</t>
        </is>
      </c>
      <c r="AK701" t="n">
        <v>9</v>
      </c>
      <c r="AL701" t="inlineStr">
        <is>
          <t>Miss Glam Jambi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COVER MAKE</t>
        </is>
      </c>
      <c r="B702" s="2">
        <f>"8997232435200"</f>
        <v/>
      </c>
      <c r="C702" t="inlineStr">
        <is>
          <t>COVER MAKE Lip Balm Strawberry Sorbet 2,5gr</t>
        </is>
      </c>
      <c r="D702" t="inlineStr">
        <is>
          <t>Miss Glam Jambi</t>
        </is>
      </c>
      <c r="E702" t="n">
        <v>6</v>
      </c>
      <c r="F702" t="n">
        <v>0.0231</v>
      </c>
      <c r="G702" t="n">
        <v>0.33</v>
      </c>
      <c r="H702" t="n">
        <v>6</v>
      </c>
      <c r="I702" t="n">
        <v>12</v>
      </c>
      <c r="J702" t="n">
        <v>3</v>
      </c>
      <c r="K702" t="n">
        <v>0</v>
      </c>
      <c r="L702" t="n">
        <v>17760</v>
      </c>
      <c r="M702" t="n">
        <v>22500</v>
      </c>
      <c r="N702" t="n">
        <v>33</v>
      </c>
      <c r="O702" t="n">
        <v>0.33</v>
      </c>
      <c r="P702" t="n">
        <v>1</v>
      </c>
      <c r="Q702" t="n">
        <v>0.03</v>
      </c>
      <c r="R702" t="n">
        <v>1</v>
      </c>
      <c r="S702" t="n">
        <v>519.75</v>
      </c>
      <c r="T702" t="n">
        <v>4</v>
      </c>
      <c r="U702" t="n">
        <v>5</v>
      </c>
      <c r="V702" t="n">
        <v>30</v>
      </c>
      <c r="W702" t="n">
        <v>1</v>
      </c>
      <c r="X702" t="n">
        <v>259.7402597402597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429</v>
      </c>
      <c r="AG702" t="n">
        <v>107</v>
      </c>
      <c r="AH702" t="inlineStr">
        <is>
          <t xml:space="preserve">CV. DAHLIA - PPN (PDG) </t>
        </is>
      </c>
      <c r="AI702" t="n">
        <v>1772</v>
      </c>
      <c r="AJ702" t="inlineStr">
        <is>
          <t>COVER MAKE</t>
        </is>
      </c>
      <c r="AK702" t="n">
        <v>9</v>
      </c>
      <c r="AL702" t="inlineStr">
        <is>
          <t>Miss Glam Jambi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COVER MAKE</t>
        </is>
      </c>
      <c r="B703" s="2">
        <f>"8997232437020"</f>
        <v/>
      </c>
      <c r="C703" t="inlineStr">
        <is>
          <t>COVER MAKE Nail Polish 01 Clear 7ml</t>
        </is>
      </c>
      <c r="D703" t="inlineStr">
        <is>
          <t>Miss Glam Jambi</t>
        </is>
      </c>
      <c r="E703" t="n">
        <v>11</v>
      </c>
      <c r="F703" t="n">
        <v>0.8052</v>
      </c>
      <c r="G703" t="n">
        <v>2.64</v>
      </c>
      <c r="H703" t="n">
        <v>6</v>
      </c>
      <c r="I703" t="n">
        <v>12</v>
      </c>
      <c r="J703" t="n">
        <v>3</v>
      </c>
      <c r="K703" t="n">
        <v>0</v>
      </c>
      <c r="L703" t="n">
        <v>4800</v>
      </c>
      <c r="M703" t="n">
        <v>6000</v>
      </c>
      <c r="N703" t="n">
        <v>33</v>
      </c>
      <c r="O703" t="n">
        <v>0.33</v>
      </c>
      <c r="P703" t="n">
        <v>1</v>
      </c>
      <c r="Q703" t="n">
        <v>0.08</v>
      </c>
      <c r="R703" t="n">
        <v>1</v>
      </c>
      <c r="S703" t="n">
        <v>4831.2</v>
      </c>
      <c r="T703" t="n">
        <v>27</v>
      </c>
      <c r="U703" t="n">
        <v>32</v>
      </c>
      <c r="V703" t="n">
        <v>30</v>
      </c>
      <c r="W703" t="n">
        <v>25</v>
      </c>
      <c r="X703" t="n">
        <v>13.66120218579235</v>
      </c>
      <c r="Y703" t="n">
        <v>1</v>
      </c>
      <c r="Z703" t="n">
        <v>14</v>
      </c>
      <c r="AA703" t="n">
        <v>0</v>
      </c>
      <c r="AB703" t="n">
        <v>14</v>
      </c>
      <c r="AC703" t="n">
        <v>14</v>
      </c>
      <c r="AD703" t="n">
        <v>0</v>
      </c>
      <c r="AE703" t="n">
        <v>67200</v>
      </c>
      <c r="AF703" t="n">
        <v>429</v>
      </c>
      <c r="AG703" t="n">
        <v>107</v>
      </c>
      <c r="AH703" t="inlineStr">
        <is>
          <t xml:space="preserve">CV. DAHLIA - PPN (PDG) </t>
        </is>
      </c>
      <c r="AI703" t="n">
        <v>1772</v>
      </c>
      <c r="AJ703" t="inlineStr">
        <is>
          <t>COVER MAKE</t>
        </is>
      </c>
      <c r="AK703" t="n">
        <v>9</v>
      </c>
      <c r="AL703" t="inlineStr">
        <is>
          <t>Miss Glam Jambi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COVER MAKE</t>
        </is>
      </c>
      <c r="B704" s="2">
        <f>"8997232437037"</f>
        <v/>
      </c>
      <c r="C704" t="inlineStr">
        <is>
          <t>COVER MAKE Nail Polish 02 Peach Blink 7ml</t>
        </is>
      </c>
      <c r="D704" t="inlineStr">
        <is>
          <t>Miss Glam Jambi</t>
        </is>
      </c>
      <c r="E704" t="n">
        <v>3</v>
      </c>
      <c r="F704" t="n">
        <v>0.363</v>
      </c>
      <c r="G704" t="n">
        <v>1.65</v>
      </c>
      <c r="H704" t="n">
        <v>6</v>
      </c>
      <c r="I704" t="n">
        <v>12</v>
      </c>
      <c r="J704" t="n">
        <v>3</v>
      </c>
      <c r="K704" t="n">
        <v>0</v>
      </c>
      <c r="L704" t="n">
        <v>4800</v>
      </c>
      <c r="M704" t="n">
        <v>6000</v>
      </c>
      <c r="N704" t="n">
        <v>33</v>
      </c>
      <c r="O704" t="n">
        <v>0.33</v>
      </c>
      <c r="P704" t="n">
        <v>1</v>
      </c>
      <c r="Q704" t="n">
        <v>0.27</v>
      </c>
      <c r="R704" t="n">
        <v>2</v>
      </c>
      <c r="S704" t="n">
        <v>2178</v>
      </c>
      <c r="T704" t="n">
        <v>18</v>
      </c>
      <c r="U704" t="n">
        <v>21</v>
      </c>
      <c r="V704" t="n">
        <v>30</v>
      </c>
      <c r="W704" t="n">
        <v>11</v>
      </c>
      <c r="X704" t="n">
        <v>8.264462809917354</v>
      </c>
      <c r="Y704" t="n">
        <v>1</v>
      </c>
      <c r="Z704" t="n">
        <v>8</v>
      </c>
      <c r="AA704" t="n">
        <v>2</v>
      </c>
      <c r="AB704" t="n">
        <v>6</v>
      </c>
      <c r="AC704" t="n">
        <v>6</v>
      </c>
      <c r="AD704" t="n">
        <v>9600</v>
      </c>
      <c r="AE704" t="n">
        <v>28800</v>
      </c>
      <c r="AF704" t="n">
        <v>429</v>
      </c>
      <c r="AG704" t="n">
        <v>107</v>
      </c>
      <c r="AH704" t="inlineStr">
        <is>
          <t xml:space="preserve">CV. DAHLIA - PPN (PDG) </t>
        </is>
      </c>
      <c r="AI704" t="n">
        <v>1772</v>
      </c>
      <c r="AJ704" t="inlineStr">
        <is>
          <t>COVER MAKE</t>
        </is>
      </c>
      <c r="AK704" t="n">
        <v>9</v>
      </c>
      <c r="AL704" t="inlineStr">
        <is>
          <t>Miss Glam Jambi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COVER MAKE</t>
        </is>
      </c>
      <c r="B705" s="2">
        <f>"8997232437044"</f>
        <v/>
      </c>
      <c r="C705" t="inlineStr">
        <is>
          <t>COVER MAKE Nail Polish 03 Nude 7ml</t>
        </is>
      </c>
      <c r="D705" t="inlineStr">
        <is>
          <t>Miss Glam Jambi</t>
        </is>
      </c>
      <c r="E705" t="n">
        <v>17</v>
      </c>
      <c r="F705" t="n">
        <v>0.1056</v>
      </c>
      <c r="G705" t="n">
        <v>0.66</v>
      </c>
      <c r="H705" t="n">
        <v>6</v>
      </c>
      <c r="I705" t="n">
        <v>12</v>
      </c>
      <c r="J705" t="n">
        <v>3</v>
      </c>
      <c r="K705" t="n">
        <v>0</v>
      </c>
      <c r="L705" t="n">
        <v>4800</v>
      </c>
      <c r="M705" t="n">
        <v>6000</v>
      </c>
      <c r="N705" t="n">
        <v>33</v>
      </c>
      <c r="O705" t="n">
        <v>0.33</v>
      </c>
      <c r="P705" t="n">
        <v>1</v>
      </c>
      <c r="Q705" t="n">
        <v>0.03</v>
      </c>
      <c r="R705" t="n">
        <v>1</v>
      </c>
      <c r="S705" t="n">
        <v>633.6000000000001</v>
      </c>
      <c r="T705" t="n">
        <v>8</v>
      </c>
      <c r="U705" t="n">
        <v>9</v>
      </c>
      <c r="V705" t="n">
        <v>30</v>
      </c>
      <c r="W705" t="n">
        <v>4</v>
      </c>
      <c r="X705" t="n">
        <v>160.9848484848485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429</v>
      </c>
      <c r="AG705" t="n">
        <v>107</v>
      </c>
      <c r="AH705" t="inlineStr">
        <is>
          <t xml:space="preserve">CV. DAHLIA - PPN (PDG) </t>
        </is>
      </c>
      <c r="AI705" t="n">
        <v>1772</v>
      </c>
      <c r="AJ705" t="inlineStr">
        <is>
          <t>COVER MAKE</t>
        </is>
      </c>
      <c r="AK705" t="n">
        <v>9</v>
      </c>
      <c r="AL705" t="inlineStr">
        <is>
          <t>Miss Glam Jambi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COVER MAKE</t>
        </is>
      </c>
      <c r="B706" s="2">
        <f>"8997232437051"</f>
        <v/>
      </c>
      <c r="C706" t="inlineStr">
        <is>
          <t>COVER MAKE Nail Polish 04 Mauve Blink 7ml</t>
        </is>
      </c>
      <c r="D706" t="inlineStr">
        <is>
          <t>Miss Glam Jambi</t>
        </is>
      </c>
      <c r="E706" t="n">
        <v>4</v>
      </c>
      <c r="F706" t="n">
        <v>0.2805</v>
      </c>
      <c r="G706" t="n">
        <v>1.65</v>
      </c>
      <c r="H706" t="n">
        <v>6</v>
      </c>
      <c r="I706" t="n">
        <v>12</v>
      </c>
      <c r="J706" t="n">
        <v>3</v>
      </c>
      <c r="K706" t="n">
        <v>0</v>
      </c>
      <c r="L706" t="n">
        <v>4800</v>
      </c>
      <c r="M706" t="n">
        <v>6000</v>
      </c>
      <c r="N706" t="n">
        <v>33</v>
      </c>
      <c r="O706" t="n">
        <v>0.33</v>
      </c>
      <c r="P706" t="n">
        <v>1</v>
      </c>
      <c r="Q706" t="n">
        <v>0.02</v>
      </c>
      <c r="R706" t="n">
        <v>1</v>
      </c>
      <c r="S706" t="n">
        <v>1683</v>
      </c>
      <c r="T706" t="n">
        <v>19</v>
      </c>
      <c r="U706" t="n">
        <v>21</v>
      </c>
      <c r="V706" t="n">
        <v>30</v>
      </c>
      <c r="W706" t="n">
        <v>9</v>
      </c>
      <c r="X706" t="n">
        <v>14.2602495543672</v>
      </c>
      <c r="Y706" t="n">
        <v>1</v>
      </c>
      <c r="Z706" t="n">
        <v>5</v>
      </c>
      <c r="AA706" t="n">
        <v>0</v>
      </c>
      <c r="AB706" t="n">
        <v>5</v>
      </c>
      <c r="AC706" t="n">
        <v>5</v>
      </c>
      <c r="AD706" t="n">
        <v>0</v>
      </c>
      <c r="AE706" t="n">
        <v>24000</v>
      </c>
      <c r="AF706" t="n">
        <v>429</v>
      </c>
      <c r="AG706" t="n">
        <v>107</v>
      </c>
      <c r="AH706" t="inlineStr">
        <is>
          <t xml:space="preserve">CV. DAHLIA - PPN (PDG) </t>
        </is>
      </c>
      <c r="AI706" t="n">
        <v>1772</v>
      </c>
      <c r="AJ706" t="inlineStr">
        <is>
          <t>COVER MAKE</t>
        </is>
      </c>
      <c r="AK706" t="n">
        <v>9</v>
      </c>
      <c r="AL706" t="inlineStr">
        <is>
          <t>Miss Glam Jambi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COVER MAKE</t>
        </is>
      </c>
      <c r="B707" s="2">
        <f>"8997232437075"</f>
        <v/>
      </c>
      <c r="C707" t="inlineStr">
        <is>
          <t>COVER MAKE Nail Polish 06 Pink Blink 7ml</t>
        </is>
      </c>
      <c r="D707" t="inlineStr">
        <is>
          <t>Miss Glam Jambi</t>
        </is>
      </c>
      <c r="E707" t="n">
        <v>6</v>
      </c>
      <c r="F707" t="n">
        <v>0.1353</v>
      </c>
      <c r="G707" t="n">
        <v>0.99</v>
      </c>
      <c r="H707" t="n">
        <v>6</v>
      </c>
      <c r="I707" t="n">
        <v>12</v>
      </c>
      <c r="J707" t="n">
        <v>3</v>
      </c>
      <c r="K707" t="n">
        <v>0</v>
      </c>
      <c r="L707" t="n">
        <v>4800</v>
      </c>
      <c r="M707" t="n">
        <v>6000</v>
      </c>
      <c r="N707" t="n">
        <v>33</v>
      </c>
      <c r="O707" t="n">
        <v>0.33</v>
      </c>
      <c r="P707" t="n">
        <v>1</v>
      </c>
      <c r="Q707" t="n">
        <v>0.05</v>
      </c>
      <c r="R707" t="n">
        <v>1</v>
      </c>
      <c r="S707" t="n">
        <v>811.8000000000001</v>
      </c>
      <c r="T707" t="n">
        <v>12</v>
      </c>
      <c r="U707" t="n">
        <v>13</v>
      </c>
      <c r="V707" t="n">
        <v>30</v>
      </c>
      <c r="W707" t="n">
        <v>5</v>
      </c>
      <c r="X707" t="n">
        <v>44.34589800443459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429</v>
      </c>
      <c r="AG707" t="n">
        <v>107</v>
      </c>
      <c r="AH707" t="inlineStr">
        <is>
          <t xml:space="preserve">CV. DAHLIA - PPN (PDG) </t>
        </is>
      </c>
      <c r="AI707" t="n">
        <v>1772</v>
      </c>
      <c r="AJ707" t="inlineStr">
        <is>
          <t>COVER MAKE</t>
        </is>
      </c>
      <c r="AK707" t="n">
        <v>9</v>
      </c>
      <c r="AL707" t="inlineStr">
        <is>
          <t>Miss Glam Jambi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COVER MAKE</t>
        </is>
      </c>
      <c r="B708" s="2">
        <f>"8997232437082"</f>
        <v/>
      </c>
      <c r="C708" t="inlineStr">
        <is>
          <t>COVER MAKE Nail Polish 07 Black 7ml</t>
        </is>
      </c>
      <c r="D708" t="inlineStr">
        <is>
          <t>Miss Glam Jambi</t>
        </is>
      </c>
      <c r="E708" t="n">
        <v>6</v>
      </c>
      <c r="F708" t="n">
        <v>0.06270000000000001</v>
      </c>
      <c r="G708" t="n">
        <v>0.66</v>
      </c>
      <c r="H708" t="n">
        <v>6</v>
      </c>
      <c r="I708" t="n">
        <v>12</v>
      </c>
      <c r="J708" t="n">
        <v>3</v>
      </c>
      <c r="K708" t="n">
        <v>0</v>
      </c>
      <c r="L708" t="n">
        <v>4800</v>
      </c>
      <c r="M708" t="n">
        <v>6000</v>
      </c>
      <c r="N708" t="n">
        <v>33</v>
      </c>
      <c r="O708" t="n">
        <v>0.33</v>
      </c>
      <c r="P708" t="n">
        <v>1</v>
      </c>
      <c r="Q708" t="n">
        <v>0.05</v>
      </c>
      <c r="R708" t="n">
        <v>1</v>
      </c>
      <c r="S708" t="n">
        <v>376.2</v>
      </c>
      <c r="T708" t="n">
        <v>8</v>
      </c>
      <c r="U708" t="n">
        <v>9</v>
      </c>
      <c r="V708" t="n">
        <v>30</v>
      </c>
      <c r="W708" t="n">
        <v>2</v>
      </c>
      <c r="X708" t="n">
        <v>95.69377990430621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429</v>
      </c>
      <c r="AG708" t="n">
        <v>107</v>
      </c>
      <c r="AH708" t="inlineStr">
        <is>
          <t xml:space="preserve">CV. DAHLIA - PPN (PDG) </t>
        </is>
      </c>
      <c r="AI708" t="n">
        <v>1772</v>
      </c>
      <c r="AJ708" t="inlineStr">
        <is>
          <t>COVER MAKE</t>
        </is>
      </c>
      <c r="AK708" t="n">
        <v>9</v>
      </c>
      <c r="AL708" t="inlineStr">
        <is>
          <t>Miss Glam Jambi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COVER MAKE</t>
        </is>
      </c>
      <c r="B709" s="2">
        <f>"8997232437099"</f>
        <v/>
      </c>
      <c r="C709" t="inlineStr">
        <is>
          <t>COVER MAKE Nail Polish 08 Brown 7ml</t>
        </is>
      </c>
      <c r="D709" t="inlineStr">
        <is>
          <t>Miss Glam Jambi</t>
        </is>
      </c>
      <c r="E709" t="n">
        <v>1</v>
      </c>
      <c r="F709" t="n">
        <v>0.033</v>
      </c>
      <c r="G709" t="n">
        <v>0.33</v>
      </c>
      <c r="H709" t="n">
        <v>6</v>
      </c>
      <c r="I709" t="n">
        <v>12</v>
      </c>
      <c r="J709" t="n">
        <v>3</v>
      </c>
      <c r="K709" t="n">
        <v>0</v>
      </c>
      <c r="L709" t="n">
        <v>4800</v>
      </c>
      <c r="M709" t="n">
        <v>6000</v>
      </c>
      <c r="N709" t="n">
        <v>33</v>
      </c>
      <c r="O709" t="n">
        <v>0.33</v>
      </c>
      <c r="P709" t="n">
        <v>1</v>
      </c>
      <c r="Q709" t="n">
        <v>0.03</v>
      </c>
      <c r="R709" t="n">
        <v>1</v>
      </c>
      <c r="S709" t="n">
        <v>198</v>
      </c>
      <c r="T709" t="n">
        <v>4</v>
      </c>
      <c r="U709" t="n">
        <v>5</v>
      </c>
      <c r="V709" t="n">
        <v>30</v>
      </c>
      <c r="W709" t="n">
        <v>1</v>
      </c>
      <c r="X709" t="n">
        <v>30.3030303030303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429</v>
      </c>
      <c r="AG709" t="n">
        <v>107</v>
      </c>
      <c r="AH709" t="inlineStr">
        <is>
          <t xml:space="preserve">CV. DAHLIA - PPN (PDG) </t>
        </is>
      </c>
      <c r="AI709" t="n">
        <v>1772</v>
      </c>
      <c r="AJ709" t="inlineStr">
        <is>
          <t>COVER MAKE</t>
        </is>
      </c>
      <c r="AK709" t="n">
        <v>9</v>
      </c>
      <c r="AL709" t="inlineStr">
        <is>
          <t>Miss Glam Jambi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COVER MAKE</t>
        </is>
      </c>
      <c r="B710" s="2">
        <f>"8997232437112"</f>
        <v/>
      </c>
      <c r="C710" t="inlineStr">
        <is>
          <t>COVER MAKE Nail Polish 10 Red Wine 7ml</t>
        </is>
      </c>
      <c r="D710" t="inlineStr">
        <is>
          <t>Miss Glam Jambi</t>
        </is>
      </c>
      <c r="E710" t="n">
        <v>1</v>
      </c>
      <c r="F710" t="n">
        <v>1.4322</v>
      </c>
      <c r="G710" t="n">
        <v>8.25</v>
      </c>
      <c r="H710" t="n">
        <v>6</v>
      </c>
      <c r="I710" t="n">
        <v>12</v>
      </c>
      <c r="J710" t="n">
        <v>3</v>
      </c>
      <c r="K710" t="n">
        <v>0</v>
      </c>
      <c r="L710" t="n">
        <v>4800</v>
      </c>
      <c r="M710" t="n">
        <v>6000</v>
      </c>
      <c r="N710" t="n">
        <v>33</v>
      </c>
      <c r="O710" t="n">
        <v>0.33</v>
      </c>
      <c r="P710" t="n">
        <v>1</v>
      </c>
      <c r="Q710" t="n">
        <v>1</v>
      </c>
      <c r="R710" t="n">
        <v>4</v>
      </c>
      <c r="S710" t="n">
        <v>8593.199999999999</v>
      </c>
      <c r="T710" t="n">
        <v>91</v>
      </c>
      <c r="U710" t="n">
        <v>100</v>
      </c>
      <c r="V710" t="n">
        <v>30</v>
      </c>
      <c r="W710" t="n">
        <v>43</v>
      </c>
      <c r="X710" t="n">
        <v>0.6982265046781176</v>
      </c>
      <c r="Y710" t="n">
        <v>1</v>
      </c>
      <c r="Z710" t="n">
        <v>42</v>
      </c>
      <c r="AA710" t="n">
        <v>17</v>
      </c>
      <c r="AB710" t="n">
        <v>25</v>
      </c>
      <c r="AC710" t="n">
        <v>25</v>
      </c>
      <c r="AD710" t="n">
        <v>81600</v>
      </c>
      <c r="AE710" t="n">
        <v>120000</v>
      </c>
      <c r="AF710" t="n">
        <v>429</v>
      </c>
      <c r="AG710" t="n">
        <v>107</v>
      </c>
      <c r="AH710" t="inlineStr">
        <is>
          <t xml:space="preserve">CV. DAHLIA - PPN (PDG) </t>
        </is>
      </c>
      <c r="AI710" t="n">
        <v>1772</v>
      </c>
      <c r="AJ710" t="inlineStr">
        <is>
          <t>COVER MAKE</t>
        </is>
      </c>
      <c r="AK710" t="n">
        <v>9</v>
      </c>
      <c r="AL710" t="inlineStr">
        <is>
          <t>Miss Glam Jambi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COVER MAKE</t>
        </is>
      </c>
      <c r="B711" s="2">
        <f>"8997232437129"</f>
        <v/>
      </c>
      <c r="C711" t="inlineStr">
        <is>
          <t>COVER MAKE Nail Polish 11 Matcha 7ml</t>
        </is>
      </c>
      <c r="D711" t="inlineStr">
        <is>
          <t>Miss Glam Jambi</t>
        </is>
      </c>
      <c r="E711" t="n">
        <v>10</v>
      </c>
      <c r="F711" t="n">
        <v>0.1122</v>
      </c>
      <c r="G711" t="n">
        <v>0.99</v>
      </c>
      <c r="H711" t="n">
        <v>6</v>
      </c>
      <c r="I711" t="n">
        <v>12</v>
      </c>
      <c r="J711" t="n">
        <v>3</v>
      </c>
      <c r="K711" t="n">
        <v>0</v>
      </c>
      <c r="L711" t="n">
        <v>4800</v>
      </c>
      <c r="M711" t="n">
        <v>6000</v>
      </c>
      <c r="N711" t="n">
        <v>33</v>
      </c>
      <c r="O711" t="n">
        <v>0.33</v>
      </c>
      <c r="P711" t="n">
        <v>1</v>
      </c>
      <c r="Q711" t="n">
        <v>0.08</v>
      </c>
      <c r="R711" t="n">
        <v>2</v>
      </c>
      <c r="S711" t="n">
        <v>673.2</v>
      </c>
      <c r="T711" t="n">
        <v>12</v>
      </c>
      <c r="U711" t="n">
        <v>13</v>
      </c>
      <c r="V711" t="n">
        <v>30</v>
      </c>
      <c r="W711" t="n">
        <v>4</v>
      </c>
      <c r="X711" t="n">
        <v>89.12655971479501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429</v>
      </c>
      <c r="AG711" t="n">
        <v>107</v>
      </c>
      <c r="AH711" t="inlineStr">
        <is>
          <t xml:space="preserve">CV. DAHLIA - PPN (PDG) </t>
        </is>
      </c>
      <c r="AI711" t="n">
        <v>1772</v>
      </c>
      <c r="AJ711" t="inlineStr">
        <is>
          <t>COVER MAKE</t>
        </is>
      </c>
      <c r="AK711" t="n">
        <v>9</v>
      </c>
      <c r="AL711" t="inlineStr">
        <is>
          <t>Miss Glam Jambi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COVER MAKE</t>
        </is>
      </c>
      <c r="B712" s="2">
        <f>"8997232437136"</f>
        <v/>
      </c>
      <c r="C712" t="inlineStr">
        <is>
          <t>COVER MAKE Nail Polish 12 Blue 7ml</t>
        </is>
      </c>
      <c r="D712" t="inlineStr">
        <is>
          <t>Miss Glam Jambi</t>
        </is>
      </c>
      <c r="E712" t="n">
        <v>15</v>
      </c>
      <c r="F712" t="n">
        <v>0.1056</v>
      </c>
      <c r="G712" t="n">
        <v>0.66</v>
      </c>
      <c r="H712" t="n">
        <v>6</v>
      </c>
      <c r="I712" t="n">
        <v>12</v>
      </c>
      <c r="J712" t="n">
        <v>3</v>
      </c>
      <c r="K712" t="n">
        <v>0</v>
      </c>
      <c r="L712" t="n">
        <v>4800</v>
      </c>
      <c r="M712" t="n">
        <v>6000</v>
      </c>
      <c r="N712" t="n">
        <v>33</v>
      </c>
      <c r="O712" t="n">
        <v>0.33</v>
      </c>
      <c r="P712" t="n">
        <v>1</v>
      </c>
      <c r="Q712" t="n">
        <v>0.07000000000000001</v>
      </c>
      <c r="R712" t="n">
        <v>1</v>
      </c>
      <c r="S712" t="n">
        <v>633.6000000000001</v>
      </c>
      <c r="T712" t="n">
        <v>8</v>
      </c>
      <c r="U712" t="n">
        <v>9</v>
      </c>
      <c r="V712" t="n">
        <v>30</v>
      </c>
      <c r="W712" t="n">
        <v>4</v>
      </c>
      <c r="X712" t="n">
        <v>142.0454545454545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429</v>
      </c>
      <c r="AG712" t="n">
        <v>107</v>
      </c>
      <c r="AH712" t="inlineStr">
        <is>
          <t xml:space="preserve">CV. DAHLIA - PPN (PDG) </t>
        </is>
      </c>
      <c r="AI712" t="n">
        <v>1772</v>
      </c>
      <c r="AJ712" t="inlineStr">
        <is>
          <t>COVER MAKE</t>
        </is>
      </c>
      <c r="AK712" t="n">
        <v>9</v>
      </c>
      <c r="AL712" t="inlineStr">
        <is>
          <t>Miss Glam Jambi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CROWNCARE</t>
        </is>
      </c>
      <c r="B713" s="2">
        <f>"40200633115"</f>
        <v/>
      </c>
      <c r="C713" t="inlineStr">
        <is>
          <t>CROWNCARE Bubble Hair Color Foam Cat Pewarna Rambut Black 10pcs/box</t>
        </is>
      </c>
      <c r="D713" t="inlineStr">
        <is>
          <t>Miss Glam Jambi</t>
        </is>
      </c>
      <c r="E713" t="n">
        <v>1</v>
      </c>
      <c r="F713" t="n">
        <v>0.006600000000000001</v>
      </c>
      <c r="G713" t="n">
        <v>0.33</v>
      </c>
      <c r="H713" t="n">
        <v>4</v>
      </c>
      <c r="I713" t="n">
        <v>20</v>
      </c>
      <c r="J713" t="n">
        <v>1</v>
      </c>
      <c r="K713" t="n">
        <v>0</v>
      </c>
      <c r="L713" t="n">
        <v>53820</v>
      </c>
      <c r="M713" t="n">
        <v>80000</v>
      </c>
      <c r="N713" t="n">
        <v>33</v>
      </c>
      <c r="O713" t="n">
        <v>0.33</v>
      </c>
      <c r="P713" t="n">
        <v>1</v>
      </c>
      <c r="Q713" t="n">
        <v>0.02</v>
      </c>
      <c r="R713" t="n">
        <v>1</v>
      </c>
      <c r="S713" t="n">
        <v>528.0000000000001</v>
      </c>
      <c r="T713" t="n">
        <v>7</v>
      </c>
      <c r="U713" t="n">
        <v>8</v>
      </c>
      <c r="V713" t="n">
        <v>30</v>
      </c>
      <c r="W713" t="n">
        <v>1</v>
      </c>
      <c r="X713" t="n">
        <v>151.5151515151515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4364</v>
      </c>
      <c r="AG713" t="n">
        <v>1</v>
      </c>
      <c r="AH713" t="inlineStr">
        <is>
          <t>PT. BERSAMA DISTRIVERSA INDONESIA (DC CIPUTAT)</t>
        </is>
      </c>
      <c r="AI713" t="n">
        <v>2312</v>
      </c>
      <c r="AJ713" t="inlineStr">
        <is>
          <t>CROWNCARE</t>
        </is>
      </c>
      <c r="AK713" t="n">
        <v>9</v>
      </c>
      <c r="AL713" t="inlineStr">
        <is>
          <t>Miss Glam Jambi</t>
        </is>
      </c>
      <c r="AM713" t="n">
        <v>4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CROWNCARE</t>
        </is>
      </c>
      <c r="B714" s="2">
        <f>"40200633329"</f>
        <v/>
      </c>
      <c r="C714" t="inlineStr">
        <is>
          <t>CROWNCARE Bubble Hair Color Foam Cat Pewarna Rambut Black 20ml</t>
        </is>
      </c>
      <c r="D714" t="inlineStr">
        <is>
          <t>Miss Glam Jambi</t>
        </is>
      </c>
      <c r="E714" t="n">
        <v>0</v>
      </c>
      <c r="F714" t="n">
        <v>0.006600000000000001</v>
      </c>
      <c r="G714" t="n">
        <v>0.33</v>
      </c>
      <c r="H714" t="n">
        <v>4</v>
      </c>
      <c r="I714" t="n">
        <v>20</v>
      </c>
      <c r="J714" t="n">
        <v>1</v>
      </c>
      <c r="K714" t="n">
        <v>0</v>
      </c>
      <c r="L714" t="n">
        <v>6240</v>
      </c>
      <c r="M714" t="n">
        <v>9000</v>
      </c>
      <c r="N714" t="n">
        <v>33</v>
      </c>
      <c r="O714" t="n">
        <v>0.33</v>
      </c>
      <c r="P714" t="n">
        <v>1</v>
      </c>
      <c r="Q714" t="n">
        <v>0.05</v>
      </c>
      <c r="R714" t="n">
        <v>2</v>
      </c>
      <c r="S714" t="n">
        <v>59.40000000000001</v>
      </c>
      <c r="T714" t="n">
        <v>7</v>
      </c>
      <c r="U714" t="n">
        <v>8</v>
      </c>
      <c r="V714" t="n">
        <v>30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n">
        <v>0</v>
      </c>
      <c r="AC714" t="n">
        <v>0</v>
      </c>
      <c r="AD714" t="n">
        <v>6240</v>
      </c>
      <c r="AE714" t="n">
        <v>0</v>
      </c>
      <c r="AF714" t="n">
        <v>4364</v>
      </c>
      <c r="AG714" t="n">
        <v>1</v>
      </c>
      <c r="AH714" t="inlineStr">
        <is>
          <t>PT. BERSAMA DISTRIVERSA INDONESIA (DC CIPUTAT)</t>
        </is>
      </c>
      <c r="AI714" t="n">
        <v>2312</v>
      </c>
      <c r="AJ714" t="inlineStr">
        <is>
          <t>CROWNCARE</t>
        </is>
      </c>
      <c r="AK714" t="n">
        <v>9</v>
      </c>
      <c r="AL714" t="inlineStr">
        <is>
          <t>Miss Glam Jambi</t>
        </is>
      </c>
      <c r="AM714" t="n">
        <v>4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CROWNCARE</t>
        </is>
      </c>
      <c r="B715" s="2">
        <f>"40200633410"</f>
        <v/>
      </c>
      <c r="C715" t="inlineStr">
        <is>
          <t>CROWNCARE Bubble Hair Color Foam Cat Pewarna Rambut Dark Brown 20ml</t>
        </is>
      </c>
      <c r="D715" t="inlineStr">
        <is>
          <t>Miss Glam Jambi</t>
        </is>
      </c>
      <c r="E715" t="n">
        <v>0</v>
      </c>
      <c r="F715" t="n">
        <v>0.08</v>
      </c>
      <c r="G715" t="n">
        <v>1</v>
      </c>
      <c r="H715" t="n">
        <v>4</v>
      </c>
      <c r="I715" t="n">
        <v>20</v>
      </c>
      <c r="J715" t="n">
        <v>1</v>
      </c>
      <c r="K715" t="n">
        <v>0</v>
      </c>
      <c r="L715" t="n">
        <v>6240</v>
      </c>
      <c r="M715" t="n">
        <v>9000</v>
      </c>
      <c r="N715" t="n">
        <v>33</v>
      </c>
      <c r="O715" t="n">
        <v>0.33</v>
      </c>
      <c r="P715" t="n">
        <v>0</v>
      </c>
      <c r="Q715" t="n">
        <v>0.08</v>
      </c>
      <c r="R715" t="n">
        <v>1</v>
      </c>
      <c r="S715" t="n">
        <v>720</v>
      </c>
      <c r="T715" t="n">
        <v>20</v>
      </c>
      <c r="U715" t="n">
        <v>21</v>
      </c>
      <c r="V715" t="n">
        <v>30</v>
      </c>
      <c r="W715" t="n">
        <v>3</v>
      </c>
      <c r="X715" t="n">
        <v>0</v>
      </c>
      <c r="Y715" t="n">
        <v>1</v>
      </c>
      <c r="Z715" t="n">
        <v>3</v>
      </c>
      <c r="AA715" t="n">
        <v>2</v>
      </c>
      <c r="AB715" t="n">
        <v>1</v>
      </c>
      <c r="AC715" t="n">
        <v>1</v>
      </c>
      <c r="AD715" t="n">
        <v>12480</v>
      </c>
      <c r="AE715" t="n">
        <v>6240</v>
      </c>
      <c r="AF715" t="n">
        <v>4364</v>
      </c>
      <c r="AG715" t="n">
        <v>1</v>
      </c>
      <c r="AH715" t="inlineStr">
        <is>
          <t>PT. BERSAMA DISTRIVERSA INDONESIA (DC CIPUTAT)</t>
        </is>
      </c>
      <c r="AI715" t="n">
        <v>2312</v>
      </c>
      <c r="AJ715" t="inlineStr">
        <is>
          <t>CROWNCARE</t>
        </is>
      </c>
      <c r="AK715" t="n">
        <v>9</v>
      </c>
      <c r="AL715" t="inlineStr">
        <is>
          <t>Miss Glam Jambi</t>
        </is>
      </c>
      <c r="AM715" t="n">
        <v>4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CROWNCARE</t>
        </is>
      </c>
      <c r="B716" s="2">
        <f>"40200632950"</f>
        <v/>
      </c>
      <c r="C716" t="inlineStr">
        <is>
          <t>CROWNCARE Pewarna Rambut Chestnut Brown 100ml</t>
        </is>
      </c>
      <c r="D716" t="inlineStr">
        <is>
          <t>Miss Glam Jambi</t>
        </is>
      </c>
      <c r="E716" t="n">
        <v>2</v>
      </c>
      <c r="F716" t="n">
        <v>0.0165</v>
      </c>
      <c r="G716" t="n">
        <v>0.33</v>
      </c>
      <c r="H716" t="n">
        <v>4</v>
      </c>
      <c r="I716" t="n">
        <v>20</v>
      </c>
      <c r="J716" t="n">
        <v>1</v>
      </c>
      <c r="K716" t="n">
        <v>0</v>
      </c>
      <c r="L716" t="n">
        <v>58500</v>
      </c>
      <c r="M716" t="n">
        <v>75000</v>
      </c>
      <c r="N716" t="n">
        <v>33</v>
      </c>
      <c r="O716" t="n">
        <v>0.33</v>
      </c>
      <c r="P716" t="n">
        <v>1</v>
      </c>
      <c r="Q716" t="n">
        <v>0.02</v>
      </c>
      <c r="R716" t="n">
        <v>1</v>
      </c>
      <c r="S716" t="n">
        <v>1237.5</v>
      </c>
      <c r="T716" t="n">
        <v>7</v>
      </c>
      <c r="U716" t="n">
        <v>8</v>
      </c>
      <c r="V716" t="n">
        <v>30</v>
      </c>
      <c r="W716" t="n">
        <v>1</v>
      </c>
      <c r="X716" t="n">
        <v>121.2121212121212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4364</v>
      </c>
      <c r="AG716" t="n">
        <v>1</v>
      </c>
      <c r="AH716" t="inlineStr">
        <is>
          <t>PT. BERSAMA DISTRIVERSA INDONESIA (DC CIPUTAT)</t>
        </is>
      </c>
      <c r="AI716" t="n">
        <v>2312</v>
      </c>
      <c r="AJ716" t="inlineStr">
        <is>
          <t>CROWNCARE</t>
        </is>
      </c>
      <c r="AK716" t="n">
        <v>9</v>
      </c>
      <c r="AL716" t="inlineStr">
        <is>
          <t>Miss Glam Jambi</t>
        </is>
      </c>
      <c r="AM716" t="n">
        <v>4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CULTUSIA</t>
        </is>
      </c>
      <c r="B717" s="2">
        <f>"8997004324855"</f>
        <v/>
      </c>
      <c r="C717" t="inlineStr">
        <is>
          <t>CULTUSIA Hair Creambath Ginseng 1kg</t>
        </is>
      </c>
      <c r="D717" t="inlineStr">
        <is>
          <t>Miss Glam Jambi</t>
        </is>
      </c>
      <c r="E717" t="n">
        <v>4</v>
      </c>
      <c r="F717" t="n">
        <v>0.02</v>
      </c>
      <c r="G717" t="n">
        <v>1</v>
      </c>
      <c r="H717" t="n">
        <v>6</v>
      </c>
      <c r="I717" t="n">
        <v>12</v>
      </c>
      <c r="J717" t="n">
        <v>3</v>
      </c>
      <c r="K717" t="n">
        <v>0</v>
      </c>
      <c r="L717" t="n">
        <v>44550</v>
      </c>
      <c r="M717" t="n">
        <v>52500</v>
      </c>
      <c r="N717" t="n">
        <v>33</v>
      </c>
      <c r="O717" t="n">
        <v>0.33</v>
      </c>
      <c r="P717" t="n">
        <v>0</v>
      </c>
      <c r="Q717" t="n">
        <v>0.02</v>
      </c>
      <c r="R717" t="n">
        <v>1</v>
      </c>
      <c r="S717" t="n">
        <v>1050</v>
      </c>
      <c r="T717" t="n">
        <v>12</v>
      </c>
      <c r="U717" t="n">
        <v>13</v>
      </c>
      <c r="V717" t="n">
        <v>30</v>
      </c>
      <c r="W717" t="n">
        <v>1</v>
      </c>
      <c r="X717" t="n">
        <v>200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460</v>
      </c>
      <c r="AG717" t="n">
        <v>107</v>
      </c>
      <c r="AH717" t="inlineStr">
        <is>
          <t xml:space="preserve">CV. DAHLIA - PPN (PDG) </t>
        </is>
      </c>
      <c r="AI717" t="n">
        <v>59</v>
      </c>
      <c r="AJ717" t="inlineStr">
        <is>
          <t>CULTUSIA</t>
        </is>
      </c>
      <c r="AK717" t="n">
        <v>9</v>
      </c>
      <c r="AL717" t="inlineStr">
        <is>
          <t>Miss Glam Jambi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D'ALBA</t>
        </is>
      </c>
      <c r="B718" s="2">
        <f>"8809563065448"</f>
        <v/>
      </c>
      <c r="C718" t="inlineStr">
        <is>
          <t>D'ALBA Double Layer Revitalizing Serum White Truffle 30ml</t>
        </is>
      </c>
      <c r="D718" t="inlineStr">
        <is>
          <t>Miss Glam Jambi</t>
        </is>
      </c>
      <c r="E718" t="n">
        <v>5</v>
      </c>
      <c r="F718" t="n">
        <v>0.03</v>
      </c>
      <c r="G718" t="n">
        <v>1</v>
      </c>
      <c r="H718" t="n">
        <v>4</v>
      </c>
      <c r="I718" t="n">
        <v>20</v>
      </c>
      <c r="J718" t="n">
        <v>3</v>
      </c>
      <c r="K718" t="n">
        <v>0</v>
      </c>
      <c r="L718" t="n">
        <v>401545</v>
      </c>
      <c r="M718" t="n">
        <v>460000</v>
      </c>
      <c r="N718" t="n">
        <v>33</v>
      </c>
      <c r="O718" t="n">
        <v>0.33</v>
      </c>
      <c r="P718" t="n">
        <v>0</v>
      </c>
      <c r="Q718" t="n">
        <v>0.03</v>
      </c>
      <c r="R718" t="n">
        <v>1</v>
      </c>
      <c r="S718" t="n">
        <v>13800</v>
      </c>
      <c r="T718" t="n">
        <v>20</v>
      </c>
      <c r="U718" t="n">
        <v>21</v>
      </c>
      <c r="V718" t="n">
        <v>30</v>
      </c>
      <c r="W718" t="n">
        <v>1</v>
      </c>
      <c r="X718" t="n">
        <v>166.6666666666667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4429</v>
      </c>
      <c r="AG718" t="n">
        <v>1</v>
      </c>
      <c r="AH718" t="inlineStr">
        <is>
          <t>PT. BERSAMA DISTRIVERSA INDONESIA (DC CIPUTAT)</t>
        </is>
      </c>
      <c r="AI718" t="n">
        <v>1679</v>
      </c>
      <c r="AJ718" t="inlineStr">
        <is>
          <t>D'ALBA</t>
        </is>
      </c>
      <c r="AK718" t="n">
        <v>9</v>
      </c>
      <c r="AL718" t="inlineStr">
        <is>
          <t>Miss Glam Jambi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D'ALBA</t>
        </is>
      </c>
      <c r="B719" s="2">
        <f>"8809563068753"</f>
        <v/>
      </c>
      <c r="C719" t="inlineStr">
        <is>
          <t>D'ALBA First Spray Serum Hydrate &amp; Radiant Skin 100ml</t>
        </is>
      </c>
      <c r="D719" t="inlineStr">
        <is>
          <t>Miss Glam Jambi</t>
        </is>
      </c>
      <c r="E719" t="n">
        <v>8</v>
      </c>
      <c r="F719" t="n">
        <v>0.066</v>
      </c>
      <c r="G719" t="n">
        <v>0.99</v>
      </c>
      <c r="H719" t="n">
        <v>4</v>
      </c>
      <c r="I719" t="n">
        <v>20</v>
      </c>
      <c r="J719" t="n">
        <v>3</v>
      </c>
      <c r="K719" t="n">
        <v>0</v>
      </c>
      <c r="L719" t="n">
        <v>210957</v>
      </c>
      <c r="M719" t="n">
        <v>297000</v>
      </c>
      <c r="N719" t="n">
        <v>33</v>
      </c>
      <c r="O719" t="n">
        <v>0.33</v>
      </c>
      <c r="P719" t="n">
        <v>1</v>
      </c>
      <c r="Q719" t="n">
        <v>0.07000000000000001</v>
      </c>
      <c r="R719" t="n">
        <v>1</v>
      </c>
      <c r="S719" t="n">
        <v>19602</v>
      </c>
      <c r="T719" t="n">
        <v>20</v>
      </c>
      <c r="U719" t="n">
        <v>21</v>
      </c>
      <c r="V719" t="n">
        <v>30</v>
      </c>
      <c r="W719" t="n">
        <v>2</v>
      </c>
      <c r="X719" t="n">
        <v>121.2121212121212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4429</v>
      </c>
      <c r="AG719" t="n">
        <v>1</v>
      </c>
      <c r="AH719" t="inlineStr">
        <is>
          <t>PT. BERSAMA DISTRIVERSA INDONESIA (DC CIPUTAT)</t>
        </is>
      </c>
      <c r="AI719" t="n">
        <v>1679</v>
      </c>
      <c r="AJ719" t="inlineStr">
        <is>
          <t>D'ALBA</t>
        </is>
      </c>
      <c r="AK719" t="n">
        <v>9</v>
      </c>
      <c r="AL719" t="inlineStr">
        <is>
          <t>Miss Glam Jambi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D'ALBA</t>
        </is>
      </c>
      <c r="B720" s="2">
        <f>"11200148539"</f>
        <v/>
      </c>
      <c r="C720" t="inlineStr">
        <is>
          <t>D'ALBA Pledmont First Spray Serum Allure From Basic White Truffle 50ml</t>
        </is>
      </c>
      <c r="D720" t="inlineStr">
        <is>
          <t>Miss Glam Jambi</t>
        </is>
      </c>
      <c r="E720" t="n">
        <v>4</v>
      </c>
      <c r="F720" t="n">
        <v>0.009900000000000001</v>
      </c>
      <c r="G720" t="n">
        <v>0.33</v>
      </c>
      <c r="H720" t="n">
        <v>4</v>
      </c>
      <c r="I720" t="n">
        <v>20</v>
      </c>
      <c r="J720" t="n">
        <v>1</v>
      </c>
      <c r="K720" t="n">
        <v>0</v>
      </c>
      <c r="L720" t="n">
        <v>129897</v>
      </c>
      <c r="M720" t="n">
        <v>194000</v>
      </c>
      <c r="N720" t="n">
        <v>33</v>
      </c>
      <c r="O720" t="n">
        <v>0.33</v>
      </c>
      <c r="P720" t="n">
        <v>1</v>
      </c>
      <c r="Q720" t="n">
        <v>0.12</v>
      </c>
      <c r="R720" t="n">
        <v>1</v>
      </c>
      <c r="S720" t="n">
        <v>1920.6</v>
      </c>
      <c r="T720" t="n">
        <v>7</v>
      </c>
      <c r="U720" t="n">
        <v>8</v>
      </c>
      <c r="V720" t="n">
        <v>30</v>
      </c>
      <c r="W720" t="n">
        <v>1</v>
      </c>
      <c r="X720" t="n">
        <v>404.040404040404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4429</v>
      </c>
      <c r="AG720" t="n">
        <v>1</v>
      </c>
      <c r="AH720" t="inlineStr">
        <is>
          <t>PT. BERSAMA DISTRIVERSA INDONESIA (DC CIPUTAT)</t>
        </is>
      </c>
      <c r="AI720" t="n">
        <v>1679</v>
      </c>
      <c r="AJ720" t="inlineStr">
        <is>
          <t>D'ALBA</t>
        </is>
      </c>
      <c r="AK720" t="n">
        <v>9</v>
      </c>
      <c r="AL720" t="inlineStr">
        <is>
          <t>Miss Glam Jambi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D'ALBA</t>
        </is>
      </c>
      <c r="B721" s="2">
        <f>"8809782554884"</f>
        <v/>
      </c>
      <c r="C721" t="inlineStr">
        <is>
          <t>D'ALBA UV Essence Waterfull+ Tone Up Sun Cream SPF50</t>
        </is>
      </c>
      <c r="D721" t="inlineStr">
        <is>
          <t>Miss Glam Jambi</t>
        </is>
      </c>
      <c r="E721" t="n">
        <v>3</v>
      </c>
      <c r="F721" t="n">
        <v>0.006600000000000001</v>
      </c>
      <c r="G721" t="n">
        <v>0.33</v>
      </c>
      <c r="H721" t="n">
        <v>4</v>
      </c>
      <c r="I721" t="n">
        <v>20</v>
      </c>
      <c r="J721" t="n">
        <v>3</v>
      </c>
      <c r="K721" t="n">
        <v>0</v>
      </c>
      <c r="L721" t="n">
        <v>210957</v>
      </c>
      <c r="M721" t="n">
        <v>285000</v>
      </c>
      <c r="N721" t="n">
        <v>33</v>
      </c>
      <c r="O721" t="n">
        <v>0.33</v>
      </c>
      <c r="P721" t="n">
        <v>1</v>
      </c>
      <c r="Q721" t="n">
        <v>0.05</v>
      </c>
      <c r="R721" t="n">
        <v>1</v>
      </c>
      <c r="S721" t="n">
        <v>1881</v>
      </c>
      <c r="T721" t="n">
        <v>7</v>
      </c>
      <c r="U721" t="n">
        <v>8</v>
      </c>
      <c r="V721" t="n">
        <v>30</v>
      </c>
      <c r="W721" t="n">
        <v>1</v>
      </c>
      <c r="X721" t="n">
        <v>454.5454545454545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4429</v>
      </c>
      <c r="AG721" t="n">
        <v>1</v>
      </c>
      <c r="AH721" t="inlineStr">
        <is>
          <t>PT. BERSAMA DISTRIVERSA INDONESIA (DC CIPUTAT)</t>
        </is>
      </c>
      <c r="AI721" t="n">
        <v>1679</v>
      </c>
      <c r="AJ721" t="inlineStr">
        <is>
          <t>D'ALBA</t>
        </is>
      </c>
      <c r="AK721" t="n">
        <v>9</v>
      </c>
      <c r="AL721" t="inlineStr">
        <is>
          <t>Miss Glam Jambi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D'ALBA</t>
        </is>
      </c>
      <c r="B722" s="2">
        <f>"11200431925"</f>
        <v/>
      </c>
      <c r="C722" t="inlineStr">
        <is>
          <t>D'ALBA White Truffle First Aromatic Spray Serum 60ml</t>
        </is>
      </c>
      <c r="D722" t="inlineStr">
        <is>
          <t>Miss Glam Jambi</t>
        </is>
      </c>
      <c r="E722" t="n">
        <v>5</v>
      </c>
      <c r="F722" t="n">
        <v>0.0396</v>
      </c>
      <c r="G722" t="n">
        <v>0.33</v>
      </c>
      <c r="H722" t="n">
        <v>4</v>
      </c>
      <c r="I722" t="n">
        <v>20</v>
      </c>
      <c r="J722" t="n">
        <v>1</v>
      </c>
      <c r="K722" t="n">
        <v>0</v>
      </c>
      <c r="L722" t="n">
        <v>169938</v>
      </c>
      <c r="M722" t="n">
        <v>216500</v>
      </c>
      <c r="N722" t="n">
        <v>33</v>
      </c>
      <c r="O722" t="n">
        <v>0.33</v>
      </c>
      <c r="P722" t="n">
        <v>1</v>
      </c>
      <c r="Q722" t="n">
        <v>0.14</v>
      </c>
      <c r="R722" t="n">
        <v>2</v>
      </c>
      <c r="S722" t="n">
        <v>8573.400000000001</v>
      </c>
      <c r="T722" t="n">
        <v>7</v>
      </c>
      <c r="U722" t="n">
        <v>8</v>
      </c>
      <c r="V722" t="n">
        <v>30</v>
      </c>
      <c r="W722" t="n">
        <v>2</v>
      </c>
      <c r="X722" t="n">
        <v>126.2626262626263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4429</v>
      </c>
      <c r="AG722" t="n">
        <v>1</v>
      </c>
      <c r="AH722" t="inlineStr">
        <is>
          <t>PT. BERSAMA DISTRIVERSA INDONESIA (DC CIPUTAT)</t>
        </is>
      </c>
      <c r="AI722" t="n">
        <v>1679</v>
      </c>
      <c r="AJ722" t="inlineStr">
        <is>
          <t>D'ALBA</t>
        </is>
      </c>
      <c r="AK722" t="n">
        <v>9</v>
      </c>
      <c r="AL722" t="inlineStr">
        <is>
          <t>Miss Glam Jambi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DAISY</t>
        </is>
      </c>
      <c r="B723" s="2">
        <f>"10500537605"</f>
        <v/>
      </c>
      <c r="C723" t="inlineStr">
        <is>
          <t>DAISY Organic Mask Chocolate Anti Aging, Moisturizing &amp; Promotes Skin Glow 60gr</t>
        </is>
      </c>
      <c r="D723" t="inlineStr">
        <is>
          <t>Miss Glam Jambi</t>
        </is>
      </c>
      <c r="E723" t="n">
        <v>0</v>
      </c>
      <c r="F723" t="n">
        <v>0.033</v>
      </c>
      <c r="G723" t="n">
        <v>0.33</v>
      </c>
      <c r="H723" t="n">
        <v>4</v>
      </c>
      <c r="I723" t="n">
        <v>20</v>
      </c>
      <c r="J723" t="n">
        <v>3</v>
      </c>
      <c r="K723" t="n">
        <v>0</v>
      </c>
      <c r="L723" t="n">
        <v>24563</v>
      </c>
      <c r="M723" t="n">
        <v>32500</v>
      </c>
      <c r="N723" t="n">
        <v>33</v>
      </c>
      <c r="O723" t="n">
        <v>0.33</v>
      </c>
      <c r="P723" t="n">
        <v>1</v>
      </c>
      <c r="Q723" t="n">
        <v>0.04</v>
      </c>
      <c r="R723" t="n">
        <v>1</v>
      </c>
      <c r="S723" t="n">
        <v>1072.5</v>
      </c>
      <c r="T723" t="n">
        <v>7</v>
      </c>
      <c r="U723" t="n">
        <v>8</v>
      </c>
      <c r="V723" t="n">
        <v>30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n">
        <v>0</v>
      </c>
      <c r="AC723" t="n">
        <v>0</v>
      </c>
      <c r="AD723" t="n">
        <v>24563</v>
      </c>
      <c r="AE723" t="n">
        <v>0</v>
      </c>
      <c r="AF723" t="n">
        <v>4462</v>
      </c>
      <c r="AG723" t="n">
        <v>1</v>
      </c>
      <c r="AH723" t="inlineStr">
        <is>
          <t>PT. BERSAMA DISTRIVERSA INDONESIA (DC CIPUTAT)</t>
        </is>
      </c>
      <c r="AI723" t="n">
        <v>762</v>
      </c>
      <c r="AJ723" t="inlineStr">
        <is>
          <t>DAISY</t>
        </is>
      </c>
      <c r="AK723" t="n">
        <v>9</v>
      </c>
      <c r="AL723" t="inlineStr">
        <is>
          <t>Miss Glam Jambi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DAISY</t>
        </is>
      </c>
      <c r="B724" s="2">
        <f>"10500537450"</f>
        <v/>
      </c>
      <c r="C724" t="inlineStr">
        <is>
          <t>DAISY Organic Mask Green Tea Treats Acne, Eliminates Blackhead &amp; Reduces Excess Sebum 60gr</t>
        </is>
      </c>
      <c r="D724" t="inlineStr">
        <is>
          <t>Miss Glam Jambi</t>
        </is>
      </c>
      <c r="E724" t="n">
        <v>14</v>
      </c>
      <c r="F724" t="n">
        <v>0.03</v>
      </c>
      <c r="G724" t="n">
        <v>1</v>
      </c>
      <c r="H724" t="n">
        <v>4</v>
      </c>
      <c r="I724" t="n">
        <v>20</v>
      </c>
      <c r="J724" t="n">
        <v>3</v>
      </c>
      <c r="K724" t="n">
        <v>0</v>
      </c>
      <c r="L724" t="n">
        <v>24187</v>
      </c>
      <c r="M724" t="n">
        <v>36000</v>
      </c>
      <c r="N724" t="n">
        <v>33</v>
      </c>
      <c r="O724" t="n">
        <v>0.33</v>
      </c>
      <c r="P724" t="n">
        <v>0</v>
      </c>
      <c r="Q724" t="n">
        <v>0.03</v>
      </c>
      <c r="R724" t="n">
        <v>1</v>
      </c>
      <c r="S724" t="n">
        <v>1080</v>
      </c>
      <c r="T724" t="n">
        <v>20</v>
      </c>
      <c r="U724" t="n">
        <v>21</v>
      </c>
      <c r="V724" t="n">
        <v>30</v>
      </c>
      <c r="W724" t="n">
        <v>1</v>
      </c>
      <c r="X724" t="n">
        <v>466.6666666666667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4462</v>
      </c>
      <c r="AG724" t="n">
        <v>1</v>
      </c>
      <c r="AH724" t="inlineStr">
        <is>
          <t>PT. BERSAMA DISTRIVERSA INDONESIA (DC CIPUTAT)</t>
        </is>
      </c>
      <c r="AI724" t="n">
        <v>762</v>
      </c>
      <c r="AJ724" t="inlineStr">
        <is>
          <t>DAISY</t>
        </is>
      </c>
      <c r="AK724" t="n">
        <v>9</v>
      </c>
      <c r="AL724" t="inlineStr">
        <is>
          <t>Miss Glam Jambi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DAISY</t>
        </is>
      </c>
      <c r="B725" s="2">
        <f>"10500500104"</f>
        <v/>
      </c>
      <c r="C725" t="inlineStr">
        <is>
          <t>DAISY Organic Mask Milk Brightening, Hydrating &amp; Lightens Dark Spots 20g</t>
        </is>
      </c>
      <c r="D725" t="inlineStr">
        <is>
          <t>Miss Glam Jambi</t>
        </is>
      </c>
      <c r="E725" t="n">
        <v>0</v>
      </c>
      <c r="F725" t="n">
        <v>0.0231</v>
      </c>
      <c r="G725" t="n">
        <v>0.33</v>
      </c>
      <c r="H725" t="n">
        <v>4</v>
      </c>
      <c r="I725" t="n">
        <v>20</v>
      </c>
      <c r="J725" t="n">
        <v>3</v>
      </c>
      <c r="K725" t="n">
        <v>0</v>
      </c>
      <c r="L725" t="n">
        <v>9552</v>
      </c>
      <c r="M725" t="n">
        <v>15000</v>
      </c>
      <c r="N725" t="n">
        <v>33</v>
      </c>
      <c r="O725" t="n">
        <v>0.33</v>
      </c>
      <c r="P725" t="n">
        <v>1</v>
      </c>
      <c r="Q725" t="n">
        <v>0.05</v>
      </c>
      <c r="R725" t="n">
        <v>1</v>
      </c>
      <c r="S725" t="n">
        <v>346.5000000000001</v>
      </c>
      <c r="T725" t="n">
        <v>7</v>
      </c>
      <c r="U725" t="n">
        <v>8</v>
      </c>
      <c r="V725" t="n">
        <v>30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n">
        <v>0</v>
      </c>
      <c r="AC725" t="n">
        <v>0</v>
      </c>
      <c r="AD725" t="n">
        <v>9552</v>
      </c>
      <c r="AE725" t="n">
        <v>0</v>
      </c>
      <c r="AF725" t="n">
        <v>4462</v>
      </c>
      <c r="AG725" t="n">
        <v>1</v>
      </c>
      <c r="AH725" t="inlineStr">
        <is>
          <t>PT. BERSAMA DISTRIVERSA INDONESIA (DC CIPUTAT)</t>
        </is>
      </c>
      <c r="AI725" t="n">
        <v>762</v>
      </c>
      <c r="AJ725" t="inlineStr">
        <is>
          <t>DAISY</t>
        </is>
      </c>
      <c r="AK725" t="n">
        <v>9</v>
      </c>
      <c r="AL725" t="inlineStr">
        <is>
          <t>Miss Glam Jambi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DAISY</t>
        </is>
      </c>
      <c r="B726" s="2">
        <f>"10500500106"</f>
        <v/>
      </c>
      <c r="C726" t="inlineStr">
        <is>
          <t>DAISY Organic Mask Strawberry Brightening Nourishing&amp;Revitalizing 20gr</t>
        </is>
      </c>
      <c r="D726" t="inlineStr">
        <is>
          <t>Miss Glam Jambi</t>
        </is>
      </c>
      <c r="E726" t="n">
        <v>8</v>
      </c>
      <c r="F726" t="n">
        <v>0.03</v>
      </c>
      <c r="G726" t="n">
        <v>1</v>
      </c>
      <c r="H726" t="n">
        <v>4</v>
      </c>
      <c r="I726" t="n">
        <v>20</v>
      </c>
      <c r="J726" t="n">
        <v>3</v>
      </c>
      <c r="K726" t="n">
        <v>0</v>
      </c>
      <c r="L726" t="n">
        <v>9552</v>
      </c>
      <c r="M726" t="n">
        <v>15000</v>
      </c>
      <c r="N726" t="n">
        <v>33</v>
      </c>
      <c r="O726" t="n">
        <v>0.33</v>
      </c>
      <c r="P726" t="n">
        <v>0</v>
      </c>
      <c r="Q726" t="n">
        <v>0.03</v>
      </c>
      <c r="R726" t="n">
        <v>1</v>
      </c>
      <c r="S726" t="n">
        <v>450</v>
      </c>
      <c r="T726" t="n">
        <v>20</v>
      </c>
      <c r="U726" t="n">
        <v>21</v>
      </c>
      <c r="V726" t="n">
        <v>30</v>
      </c>
      <c r="W726" t="n">
        <v>1</v>
      </c>
      <c r="X726" t="n">
        <v>266.6666666666667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4462</v>
      </c>
      <c r="AG726" t="n">
        <v>1</v>
      </c>
      <c r="AH726" t="inlineStr">
        <is>
          <t>PT. BERSAMA DISTRIVERSA INDONESIA (DC CIPUTAT)</t>
        </is>
      </c>
      <c r="AI726" t="n">
        <v>762</v>
      </c>
      <c r="AJ726" t="inlineStr">
        <is>
          <t>DAISY</t>
        </is>
      </c>
      <c r="AK726" t="n">
        <v>9</v>
      </c>
      <c r="AL726" t="inlineStr">
        <is>
          <t>Miss Glam Jambi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"8859588106602"</f>
        <v/>
      </c>
      <c r="C727" t="inlineStr">
        <is>
          <t>DAZZLE ME 24/7/ Wonderful Lip Serum 2gr</t>
        </is>
      </c>
      <c r="D727" t="inlineStr">
        <is>
          <t>Miss Glam Jambi</t>
        </is>
      </c>
      <c r="E727" t="n">
        <v>17</v>
      </c>
      <c r="F727" t="n">
        <v>0.09569999999999999</v>
      </c>
      <c r="G727" t="n">
        <v>0.66</v>
      </c>
      <c r="H727" t="n">
        <v>3</v>
      </c>
      <c r="I727" t="n">
        <v>11</v>
      </c>
      <c r="J727" t="n">
        <v>3</v>
      </c>
      <c r="K727" t="n">
        <v>0</v>
      </c>
      <c r="L727" t="n">
        <v>23920</v>
      </c>
      <c r="M727" t="n">
        <v>29900</v>
      </c>
      <c r="N727" t="n">
        <v>33</v>
      </c>
      <c r="O727" t="n">
        <v>0.33</v>
      </c>
      <c r="P727" t="n">
        <v>1</v>
      </c>
      <c r="Q727" t="n">
        <v>0.03</v>
      </c>
      <c r="R727" t="n">
        <v>1</v>
      </c>
      <c r="S727" t="n">
        <v>2861.43</v>
      </c>
      <c r="T727" t="n">
        <v>7</v>
      </c>
      <c r="U727" t="n">
        <v>8</v>
      </c>
      <c r="V727" t="n">
        <v>30</v>
      </c>
      <c r="W727" t="n">
        <v>3</v>
      </c>
      <c r="X727" t="n">
        <v>177.6384535005225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10360</v>
      </c>
      <c r="AG727" t="n">
        <v>170</v>
      </c>
      <c r="AH727" t="inlineStr">
        <is>
          <t>PT. JALUR MANDIRI UTAMA - PPN (PDG)</t>
        </is>
      </c>
      <c r="AI727" t="n">
        <v>1422</v>
      </c>
      <c r="AJ727" t="inlineStr">
        <is>
          <t>DAZZLE ME</t>
        </is>
      </c>
      <c r="AK727" t="n">
        <v>9</v>
      </c>
      <c r="AL727" t="inlineStr">
        <is>
          <t>Miss Glam Jambi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"20300387549"</f>
        <v/>
      </c>
      <c r="C728" t="inlineStr">
        <is>
          <t>DAZZLE ME Acne Armor Cover &amp; Correct Skin Tint C05 Medium Pink</t>
        </is>
      </c>
      <c r="D728" t="inlineStr">
        <is>
          <t>Miss Glam Jambi</t>
        </is>
      </c>
      <c r="E728" t="n">
        <v>1</v>
      </c>
      <c r="F728" t="n">
        <v>0.0264</v>
      </c>
      <c r="G728" t="n">
        <v>0.33</v>
      </c>
      <c r="H728" t="n">
        <v>3</v>
      </c>
      <c r="I728" t="n">
        <v>11</v>
      </c>
      <c r="J728" t="n">
        <v>3</v>
      </c>
      <c r="K728" t="n">
        <v>0</v>
      </c>
      <c r="L728" t="n">
        <v>39921</v>
      </c>
      <c r="M728" t="n">
        <v>49900</v>
      </c>
      <c r="N728" t="n">
        <v>33</v>
      </c>
      <c r="O728" t="n">
        <v>0.33</v>
      </c>
      <c r="P728" t="n">
        <v>1</v>
      </c>
      <c r="Q728" t="n">
        <v>0.02</v>
      </c>
      <c r="R728" t="n">
        <v>1</v>
      </c>
      <c r="S728" t="n">
        <v>1317.36</v>
      </c>
      <c r="T728" t="n">
        <v>4</v>
      </c>
      <c r="U728" t="n">
        <v>5</v>
      </c>
      <c r="V728" t="n">
        <v>30</v>
      </c>
      <c r="W728" t="n">
        <v>1</v>
      </c>
      <c r="X728" t="n">
        <v>37.87878787878788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10360</v>
      </c>
      <c r="AG728" t="n">
        <v>170</v>
      </c>
      <c r="AH728" t="inlineStr">
        <is>
          <t>PT. JALUR MANDIRI UTAMA - PPN (PDG)</t>
        </is>
      </c>
      <c r="AI728" t="n">
        <v>1422</v>
      </c>
      <c r="AJ728" t="inlineStr">
        <is>
          <t>DAZZLE ME</t>
        </is>
      </c>
      <c r="AK728" t="n">
        <v>9</v>
      </c>
      <c r="AL728" t="inlineStr">
        <is>
          <t>Miss Glam Jambi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"20300387641"</f>
        <v/>
      </c>
      <c r="C729" t="inlineStr">
        <is>
          <t>DAZZLE ME Acne Armor Cover &amp; Correct Skin Tint N06 Medium Almond</t>
        </is>
      </c>
      <c r="D729" t="inlineStr">
        <is>
          <t>Miss Glam Jambi</t>
        </is>
      </c>
      <c r="E729" t="n">
        <v>0</v>
      </c>
      <c r="F729" t="n">
        <v>0.0462</v>
      </c>
      <c r="G729" t="n">
        <v>0.33</v>
      </c>
      <c r="H729" t="n">
        <v>3</v>
      </c>
      <c r="I729" t="n">
        <v>11</v>
      </c>
      <c r="J729" t="n">
        <v>3</v>
      </c>
      <c r="K729" t="n">
        <v>3</v>
      </c>
      <c r="L729" t="n">
        <v>39921</v>
      </c>
      <c r="M729" t="n">
        <v>49900</v>
      </c>
      <c r="N729" t="n">
        <v>33</v>
      </c>
      <c r="O729" t="n">
        <v>0.33</v>
      </c>
      <c r="P729" t="n">
        <v>1</v>
      </c>
      <c r="Q729" t="n">
        <v>0.04</v>
      </c>
      <c r="R729" t="n">
        <v>1</v>
      </c>
      <c r="S729" t="n">
        <v>2305.38</v>
      </c>
      <c r="T729" t="n">
        <v>4</v>
      </c>
      <c r="U729" t="n">
        <v>5</v>
      </c>
      <c r="V729" t="n">
        <v>30</v>
      </c>
      <c r="W729" t="n">
        <v>2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10360</v>
      </c>
      <c r="AG729" t="n">
        <v>170</v>
      </c>
      <c r="AH729" t="inlineStr">
        <is>
          <t>PT. JALUR MANDIRI UTAMA - PPN (PDG)</t>
        </is>
      </c>
      <c r="AI729" t="n">
        <v>1422</v>
      </c>
      <c r="AJ729" t="inlineStr">
        <is>
          <t>DAZZLE ME</t>
        </is>
      </c>
      <c r="AK729" t="n">
        <v>9</v>
      </c>
      <c r="AL729" t="inlineStr">
        <is>
          <t>Miss Glam Jambi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"20300387418"</f>
        <v/>
      </c>
      <c r="C730" t="inlineStr">
        <is>
          <t>DAZZLE ME Acne Armor Cover &amp; Correct Skin Tint W04 Yellow Beige</t>
        </is>
      </c>
      <c r="D730" t="inlineStr">
        <is>
          <t>Miss Glam Jambi</t>
        </is>
      </c>
      <c r="E730" t="n">
        <v>2</v>
      </c>
      <c r="F730" t="n">
        <v>0.0165</v>
      </c>
      <c r="G730" t="n">
        <v>0.33</v>
      </c>
      <c r="H730" t="n">
        <v>3</v>
      </c>
      <c r="I730" t="n">
        <v>11</v>
      </c>
      <c r="J730" t="n">
        <v>3</v>
      </c>
      <c r="K730" t="n">
        <v>0</v>
      </c>
      <c r="L730" t="n">
        <v>39920</v>
      </c>
      <c r="M730" t="n">
        <v>49900</v>
      </c>
      <c r="N730" t="n">
        <v>33</v>
      </c>
      <c r="O730" t="n">
        <v>0.33</v>
      </c>
      <c r="P730" t="n">
        <v>1</v>
      </c>
      <c r="Q730" t="n">
        <v>0.02</v>
      </c>
      <c r="R730" t="n">
        <v>1</v>
      </c>
      <c r="S730" t="n">
        <v>823.35</v>
      </c>
      <c r="T730" t="n">
        <v>4</v>
      </c>
      <c r="U730" t="n">
        <v>5</v>
      </c>
      <c r="V730" t="n">
        <v>30</v>
      </c>
      <c r="W730" t="n">
        <v>1</v>
      </c>
      <c r="X730" t="n">
        <v>121.2121212121212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10360</v>
      </c>
      <c r="AG730" t="n">
        <v>170</v>
      </c>
      <c r="AH730" t="inlineStr">
        <is>
          <t>PT. JALUR MANDIRI UTAMA - PPN (PDG)</t>
        </is>
      </c>
      <c r="AI730" t="n">
        <v>1422</v>
      </c>
      <c r="AJ730" t="inlineStr">
        <is>
          <t>DAZZLE ME</t>
        </is>
      </c>
      <c r="AK730" t="n">
        <v>9</v>
      </c>
      <c r="AL730" t="inlineStr">
        <is>
          <t>Miss Glam Jambi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"20100574139"</f>
        <v/>
      </c>
      <c r="C731" t="inlineStr">
        <is>
          <t>DAZZLE ME Acne Armor Flawless Flex Compact C02 Pink Fair 8gr</t>
        </is>
      </c>
      <c r="D731" t="inlineStr">
        <is>
          <t>Miss Glam Jambi</t>
        </is>
      </c>
      <c r="E731" t="n">
        <v>12</v>
      </c>
      <c r="F731" t="n">
        <v>0.02</v>
      </c>
      <c r="G731" t="n">
        <v>1</v>
      </c>
      <c r="H731" t="n">
        <v>3</v>
      </c>
      <c r="I731" t="n">
        <v>11</v>
      </c>
      <c r="J731" t="n">
        <v>1</v>
      </c>
      <c r="K731" t="n">
        <v>0</v>
      </c>
      <c r="L731" t="n">
        <v>39920</v>
      </c>
      <c r="M731" t="n">
        <v>49900</v>
      </c>
      <c r="N731" t="n">
        <v>33</v>
      </c>
      <c r="O731" t="n">
        <v>0.33</v>
      </c>
      <c r="P731" t="n">
        <v>0</v>
      </c>
      <c r="Q731" t="n">
        <v>0.02</v>
      </c>
      <c r="R731" t="n">
        <v>1</v>
      </c>
      <c r="S731" t="n">
        <v>998</v>
      </c>
      <c r="T731" t="n">
        <v>11</v>
      </c>
      <c r="U731" t="n">
        <v>12</v>
      </c>
      <c r="V731" t="n">
        <v>30</v>
      </c>
      <c r="W731" t="n">
        <v>1</v>
      </c>
      <c r="X731" t="n">
        <v>600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10360</v>
      </c>
      <c r="AG731" t="n">
        <v>170</v>
      </c>
      <c r="AH731" t="inlineStr">
        <is>
          <t>PT. JALUR MANDIRI UTAMA - PPN (PDG)</t>
        </is>
      </c>
      <c r="AI731" t="n">
        <v>1422</v>
      </c>
      <c r="AJ731" t="inlineStr">
        <is>
          <t>DAZZLE ME</t>
        </is>
      </c>
      <c r="AK731" t="n">
        <v>9</v>
      </c>
      <c r="AL731" t="inlineStr">
        <is>
          <t>Miss Glam Jambi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"20100574348"</f>
        <v/>
      </c>
      <c r="C732" t="inlineStr">
        <is>
          <t>DAZZLE ME Acne Armor Flawless Flex Compact N08 Hazelnut 8gr</t>
        </is>
      </c>
      <c r="D732" t="inlineStr">
        <is>
          <t>Miss Glam Jambi</t>
        </is>
      </c>
      <c r="E732" t="n">
        <v>10</v>
      </c>
      <c r="F732" t="n">
        <v>0.08910000000000001</v>
      </c>
      <c r="G732" t="n">
        <v>0.66</v>
      </c>
      <c r="H732" t="n">
        <v>3</v>
      </c>
      <c r="I732" t="n">
        <v>11</v>
      </c>
      <c r="J732" t="n">
        <v>1</v>
      </c>
      <c r="K732" t="n">
        <v>0</v>
      </c>
      <c r="L732" t="n">
        <v>39920</v>
      </c>
      <c r="M732" t="n">
        <v>49900</v>
      </c>
      <c r="N732" t="n">
        <v>33</v>
      </c>
      <c r="O732" t="n">
        <v>0.33</v>
      </c>
      <c r="P732" t="n">
        <v>1</v>
      </c>
      <c r="Q732" t="n">
        <v>0.03</v>
      </c>
      <c r="R732" t="n">
        <v>2</v>
      </c>
      <c r="S732" t="n">
        <v>4446.090000000001</v>
      </c>
      <c r="T732" t="n">
        <v>7</v>
      </c>
      <c r="U732" t="n">
        <v>8</v>
      </c>
      <c r="V732" t="n">
        <v>30</v>
      </c>
      <c r="W732" t="n">
        <v>3</v>
      </c>
      <c r="X732" t="n">
        <v>112.2334455667789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10360</v>
      </c>
      <c r="AG732" t="n">
        <v>170</v>
      </c>
      <c r="AH732" t="inlineStr">
        <is>
          <t>PT. JALUR MANDIRI UTAMA - PPN (PDG)</t>
        </is>
      </c>
      <c r="AI732" t="n">
        <v>1422</v>
      </c>
      <c r="AJ732" t="inlineStr">
        <is>
          <t>DAZZLE ME</t>
        </is>
      </c>
      <c r="AK732" t="n">
        <v>9</v>
      </c>
      <c r="AL732" t="inlineStr">
        <is>
          <t>Miss Glam Jambi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"20100574220"</f>
        <v/>
      </c>
      <c r="C733" t="inlineStr">
        <is>
          <t>DAZZLE ME Acne Armor Flawless Flex Compact W01 Light Ivory 8gr</t>
        </is>
      </c>
      <c r="D733" t="inlineStr">
        <is>
          <t>Miss Glam Jambi</t>
        </is>
      </c>
      <c r="E733" t="n">
        <v>10</v>
      </c>
      <c r="F733" t="n">
        <v>0.0825</v>
      </c>
      <c r="G733" t="n">
        <v>0.66</v>
      </c>
      <c r="H733" t="n">
        <v>3</v>
      </c>
      <c r="I733" t="n">
        <v>11</v>
      </c>
      <c r="J733" t="n">
        <v>1</v>
      </c>
      <c r="K733" t="n">
        <v>0</v>
      </c>
      <c r="L733" t="n">
        <v>39920</v>
      </c>
      <c r="M733" t="n">
        <v>49900</v>
      </c>
      <c r="N733" t="n">
        <v>33</v>
      </c>
      <c r="O733" t="n">
        <v>0.33</v>
      </c>
      <c r="P733" t="n">
        <v>1</v>
      </c>
      <c r="Q733" t="n">
        <v>0.03</v>
      </c>
      <c r="R733" t="n">
        <v>1</v>
      </c>
      <c r="S733" t="n">
        <v>4116.75</v>
      </c>
      <c r="T733" t="n">
        <v>8</v>
      </c>
      <c r="U733" t="n">
        <v>9</v>
      </c>
      <c r="V733" t="n">
        <v>30</v>
      </c>
      <c r="W733" t="n">
        <v>3</v>
      </c>
      <c r="X733" t="n">
        <v>121.2121212121212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10360</v>
      </c>
      <c r="AG733" t="n">
        <v>170</v>
      </c>
      <c r="AH733" t="inlineStr">
        <is>
          <t>PT. JALUR MANDIRI UTAMA - PPN (PDG)</t>
        </is>
      </c>
      <c r="AI733" t="n">
        <v>1422</v>
      </c>
      <c r="AJ733" t="inlineStr">
        <is>
          <t>DAZZLE ME</t>
        </is>
      </c>
      <c r="AK733" t="n">
        <v>9</v>
      </c>
      <c r="AL733" t="inlineStr">
        <is>
          <t>Miss Glam Jambi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"8991748005698"</f>
        <v/>
      </c>
      <c r="C734" t="inlineStr">
        <is>
          <t>DAZZLE ME Always Setting Loose Powder 03 Almond Kiss 6gr</t>
        </is>
      </c>
      <c r="D734" t="inlineStr">
        <is>
          <t>Miss Glam Jambi</t>
        </is>
      </c>
      <c r="E734" t="n">
        <v>0</v>
      </c>
      <c r="F734" t="n">
        <v>0.0396</v>
      </c>
      <c r="G734" t="n">
        <v>0.33</v>
      </c>
      <c r="H734" t="n">
        <v>3</v>
      </c>
      <c r="I734" t="n">
        <v>11</v>
      </c>
      <c r="J734" t="n">
        <v>3</v>
      </c>
      <c r="K734" t="n">
        <v>3</v>
      </c>
      <c r="L734" t="n">
        <v>33520</v>
      </c>
      <c r="M734" t="n">
        <v>41900</v>
      </c>
      <c r="N734" t="n">
        <v>33</v>
      </c>
      <c r="O734" t="n">
        <v>0.33</v>
      </c>
      <c r="P734" t="n">
        <v>1</v>
      </c>
      <c r="Q734" t="n">
        <v>0.02</v>
      </c>
      <c r="R734" t="n">
        <v>1</v>
      </c>
      <c r="S734" t="n">
        <v>1659.24</v>
      </c>
      <c r="T734" t="n">
        <v>4</v>
      </c>
      <c r="U734" t="n">
        <v>5</v>
      </c>
      <c r="V734" t="n">
        <v>30</v>
      </c>
      <c r="W734" t="n">
        <v>2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10360</v>
      </c>
      <c r="AG734" t="n">
        <v>170</v>
      </c>
      <c r="AH734" t="inlineStr">
        <is>
          <t>PT. JALUR MANDIRI UTAMA - PPN (PDG)</t>
        </is>
      </c>
      <c r="AI734" t="n">
        <v>1422</v>
      </c>
      <c r="AJ734" t="inlineStr">
        <is>
          <t>DAZZLE ME</t>
        </is>
      </c>
      <c r="AK734" t="n">
        <v>9</v>
      </c>
      <c r="AL734" t="inlineStr">
        <is>
          <t>Miss Glam Jambi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"8859588109573"</f>
        <v/>
      </c>
      <c r="C735" t="inlineStr">
        <is>
          <t>DAZZLE ME Better Than Filter Double Kill Two Way Cake Powder 02 Light Pearl 9gr</t>
        </is>
      </c>
      <c r="D735" t="inlineStr">
        <is>
          <t>Miss Glam Jambi</t>
        </is>
      </c>
      <c r="E735" t="n">
        <v>2</v>
      </c>
      <c r="F735" t="n">
        <v>0.1056</v>
      </c>
      <c r="G735" t="n">
        <v>0.66</v>
      </c>
      <c r="H735" t="n">
        <v>3</v>
      </c>
      <c r="I735" t="n">
        <v>11</v>
      </c>
      <c r="J735" t="n">
        <v>3</v>
      </c>
      <c r="K735" t="n">
        <v>3</v>
      </c>
      <c r="L735" t="n">
        <v>43920</v>
      </c>
      <c r="M735" t="n">
        <v>54900</v>
      </c>
      <c r="N735" t="n">
        <v>33</v>
      </c>
      <c r="O735" t="n">
        <v>0.33</v>
      </c>
      <c r="P735" t="n">
        <v>1</v>
      </c>
      <c r="Q735" t="n">
        <v>0.05</v>
      </c>
      <c r="R735" t="n">
        <v>1</v>
      </c>
      <c r="S735" t="n">
        <v>5797.440000000001</v>
      </c>
      <c r="T735" t="n">
        <v>7</v>
      </c>
      <c r="U735" t="n">
        <v>8</v>
      </c>
      <c r="V735" t="n">
        <v>30</v>
      </c>
      <c r="W735" t="n">
        <v>4</v>
      </c>
      <c r="X735" t="n">
        <v>18.93939393939394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10360</v>
      </c>
      <c r="AG735" t="n">
        <v>170</v>
      </c>
      <c r="AH735" t="inlineStr">
        <is>
          <t>PT. JALUR MANDIRI UTAMA - PPN (PDG)</t>
        </is>
      </c>
      <c r="AI735" t="n">
        <v>1422</v>
      </c>
      <c r="AJ735" t="inlineStr">
        <is>
          <t>DAZZLE ME</t>
        </is>
      </c>
      <c r="AK735" t="n">
        <v>9</v>
      </c>
      <c r="AL735" t="inlineStr">
        <is>
          <t>Miss Glam Jambi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"8859588109580"</f>
        <v/>
      </c>
      <c r="C736" t="inlineStr">
        <is>
          <t>DAZZLE ME Better Than Filter Double Kill Two Way Cake Powder 03 Nude Beige 9gr</t>
        </is>
      </c>
      <c r="D736" t="inlineStr">
        <is>
          <t>Miss Glam Jambi</t>
        </is>
      </c>
      <c r="E736" t="n">
        <v>4</v>
      </c>
      <c r="F736" t="n">
        <v>0.0165</v>
      </c>
      <c r="G736" t="n">
        <v>0.33</v>
      </c>
      <c r="H736" t="n">
        <v>3</v>
      </c>
      <c r="I736" t="n">
        <v>11</v>
      </c>
      <c r="J736" t="n">
        <v>3</v>
      </c>
      <c r="K736" t="n">
        <v>0</v>
      </c>
      <c r="L736" t="n">
        <v>43920</v>
      </c>
      <c r="M736" t="n">
        <v>54900</v>
      </c>
      <c r="N736" t="n">
        <v>33</v>
      </c>
      <c r="O736" t="n">
        <v>0.33</v>
      </c>
      <c r="P736" t="n">
        <v>1</v>
      </c>
      <c r="Q736" t="n">
        <v>0.02</v>
      </c>
      <c r="R736" t="n">
        <v>1</v>
      </c>
      <c r="S736" t="n">
        <v>905.85</v>
      </c>
      <c r="T736" t="n">
        <v>4</v>
      </c>
      <c r="U736" t="n">
        <v>5</v>
      </c>
      <c r="V736" t="n">
        <v>30</v>
      </c>
      <c r="W736" t="n">
        <v>1</v>
      </c>
      <c r="X736" t="n">
        <v>242.4242424242424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10360</v>
      </c>
      <c r="AG736" t="n">
        <v>170</v>
      </c>
      <c r="AH736" t="inlineStr">
        <is>
          <t>PT. JALUR MANDIRI UTAMA - PPN (PDG)</t>
        </is>
      </c>
      <c r="AI736" t="n">
        <v>1422</v>
      </c>
      <c r="AJ736" t="inlineStr">
        <is>
          <t>DAZZLE ME</t>
        </is>
      </c>
      <c r="AK736" t="n">
        <v>9</v>
      </c>
      <c r="AL736" t="inlineStr">
        <is>
          <t>Miss Glam Jambi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"8859588109641"</f>
        <v/>
      </c>
      <c r="C737" t="inlineStr">
        <is>
          <t>DAZZLE ME Better Than Filter Fixed Loose Powder N03 Medium Sand 8g</t>
        </is>
      </c>
      <c r="D737" t="inlineStr">
        <is>
          <t>Miss Glam Jambi</t>
        </is>
      </c>
      <c r="E737" t="n">
        <v>2</v>
      </c>
      <c r="F737" t="n">
        <v>0.2013</v>
      </c>
      <c r="G737" t="n">
        <v>1.65</v>
      </c>
      <c r="H737" t="n">
        <v>3</v>
      </c>
      <c r="I737" t="n">
        <v>11</v>
      </c>
      <c r="J737" t="n">
        <v>3</v>
      </c>
      <c r="K737" t="n">
        <v>4</v>
      </c>
      <c r="L737" t="n">
        <v>43920</v>
      </c>
      <c r="M737" t="n">
        <v>54900</v>
      </c>
      <c r="N737" t="n">
        <v>33</v>
      </c>
      <c r="O737" t="n">
        <v>0.33</v>
      </c>
      <c r="P737" t="n">
        <v>1</v>
      </c>
      <c r="Q737" t="n">
        <v>0.05</v>
      </c>
      <c r="R737" t="n">
        <v>1</v>
      </c>
      <c r="S737" t="n">
        <v>11051.37</v>
      </c>
      <c r="T737" t="n">
        <v>18</v>
      </c>
      <c r="U737" t="n">
        <v>19</v>
      </c>
      <c r="V737" t="n">
        <v>30</v>
      </c>
      <c r="W737" t="n">
        <v>7</v>
      </c>
      <c r="X737" t="n">
        <v>9.935419771485344</v>
      </c>
      <c r="Y737" t="n">
        <v>1</v>
      </c>
      <c r="Z737" t="n">
        <v>1</v>
      </c>
      <c r="AA737" t="n">
        <v>0</v>
      </c>
      <c r="AB737" t="n">
        <v>1</v>
      </c>
      <c r="AC737" t="n">
        <v>3</v>
      </c>
      <c r="AD737" t="n">
        <v>0</v>
      </c>
      <c r="AE737" t="n">
        <v>131760</v>
      </c>
      <c r="AF737" t="n">
        <v>10360</v>
      </c>
      <c r="AG737" t="n">
        <v>170</v>
      </c>
      <c r="AH737" t="inlineStr">
        <is>
          <t>PT. JALUR MANDIRI UTAMA - PPN (PDG)</t>
        </is>
      </c>
      <c r="AI737" t="n">
        <v>1422</v>
      </c>
      <c r="AJ737" t="inlineStr">
        <is>
          <t>DAZZLE ME</t>
        </is>
      </c>
      <c r="AK737" t="n">
        <v>9</v>
      </c>
      <c r="AL737" t="inlineStr">
        <is>
          <t>Miss Glam Jambi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"8859588109627"</f>
        <v/>
      </c>
      <c r="C738" t="inlineStr">
        <is>
          <t>DAZZLE ME Better Than Filter Fixed Loose Powder T01 True Translucent 8gr</t>
        </is>
      </c>
      <c r="D738" t="inlineStr">
        <is>
          <t>Miss Glam Jambi</t>
        </is>
      </c>
      <c r="E738" t="n">
        <v>0</v>
      </c>
      <c r="F738" t="n">
        <v>0.06270000000000001</v>
      </c>
      <c r="G738" t="n">
        <v>0.66</v>
      </c>
      <c r="H738" t="n">
        <v>3</v>
      </c>
      <c r="I738" t="n">
        <v>11</v>
      </c>
      <c r="J738" t="n">
        <v>3</v>
      </c>
      <c r="K738" t="n">
        <v>3</v>
      </c>
      <c r="L738" t="n">
        <v>43920</v>
      </c>
      <c r="M738" t="n">
        <v>54900</v>
      </c>
      <c r="N738" t="n">
        <v>33</v>
      </c>
      <c r="O738" t="n">
        <v>0.33</v>
      </c>
      <c r="P738" t="n">
        <v>1</v>
      </c>
      <c r="Q738" t="n">
        <v>0.12</v>
      </c>
      <c r="R738" t="n">
        <v>2</v>
      </c>
      <c r="S738" t="n">
        <v>3442.23</v>
      </c>
      <c r="T738" t="n">
        <v>8</v>
      </c>
      <c r="U738" t="n">
        <v>9</v>
      </c>
      <c r="V738" t="n">
        <v>30</v>
      </c>
      <c r="W738" t="n">
        <v>2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10360</v>
      </c>
      <c r="AG738" t="n">
        <v>170</v>
      </c>
      <c r="AH738" t="inlineStr">
        <is>
          <t>PT. JALUR MANDIRI UTAMA - PPN (PDG)</t>
        </is>
      </c>
      <c r="AI738" t="n">
        <v>1422</v>
      </c>
      <c r="AJ738" t="inlineStr">
        <is>
          <t>DAZZLE ME</t>
        </is>
      </c>
      <c r="AK738" t="n">
        <v>9</v>
      </c>
      <c r="AL738" t="inlineStr">
        <is>
          <t>Miss Glam Jambi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"20100642838"</f>
        <v/>
      </c>
      <c r="C739" t="inlineStr">
        <is>
          <t>DAZZLE ME Better Than Filter Hd Invisible Powder 5 gr</t>
        </is>
      </c>
      <c r="D739" t="inlineStr">
        <is>
          <t>Miss Glam Jambi</t>
        </is>
      </c>
      <c r="E739" t="n">
        <v>0</v>
      </c>
      <c r="F739" t="n">
        <v>0.0264</v>
      </c>
      <c r="G739" t="n">
        <v>0</v>
      </c>
      <c r="H739" t="n">
        <v>3</v>
      </c>
      <c r="I739" t="n">
        <v>11</v>
      </c>
      <c r="J739" t="n">
        <v>1</v>
      </c>
      <c r="K739" t="n">
        <v>0</v>
      </c>
      <c r="L739" t="n">
        <v>52720</v>
      </c>
      <c r="M739" t="n">
        <v>65900</v>
      </c>
      <c r="N739" t="n">
        <v>33</v>
      </c>
      <c r="O739" t="n">
        <v>0.33</v>
      </c>
      <c r="P739" t="n">
        <v>1</v>
      </c>
      <c r="Q739" t="n">
        <v>0.41</v>
      </c>
      <c r="R739" t="n">
        <v>2</v>
      </c>
      <c r="S739" t="n">
        <v>1739.76</v>
      </c>
      <c r="T739" t="n">
        <v>0</v>
      </c>
      <c r="U739" t="n">
        <v>1</v>
      </c>
      <c r="V739" t="n">
        <v>30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n">
        <v>0</v>
      </c>
      <c r="AC739" t="n">
        <v>0</v>
      </c>
      <c r="AD739" t="n">
        <v>52720</v>
      </c>
      <c r="AE739" t="n">
        <v>0</v>
      </c>
      <c r="AF739" t="n">
        <v>10360</v>
      </c>
      <c r="AG739" t="n">
        <v>170</v>
      </c>
      <c r="AH739" t="inlineStr">
        <is>
          <t>PT. JALUR MANDIRI UTAMA - PPN (PDG)</t>
        </is>
      </c>
      <c r="AI739" t="n">
        <v>1422</v>
      </c>
      <c r="AJ739" t="inlineStr">
        <is>
          <t>DAZZLE ME</t>
        </is>
      </c>
      <c r="AK739" t="n">
        <v>9</v>
      </c>
      <c r="AL739" t="inlineStr">
        <is>
          <t>Miss Glam Jambi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"8859588109443"</f>
        <v/>
      </c>
      <c r="C740" t="inlineStr">
        <is>
          <t>DAZZLE ME Better Than Filter Maxnificent Essence Cushion C01 Fair Porcelain 15gr</t>
        </is>
      </c>
      <c r="D740" t="inlineStr">
        <is>
          <t>Miss Glam Jambi</t>
        </is>
      </c>
      <c r="E740" t="n">
        <v>7</v>
      </c>
      <c r="F740" t="n">
        <v>0.033</v>
      </c>
      <c r="G740" t="n">
        <v>0.33</v>
      </c>
      <c r="H740" t="n">
        <v>3</v>
      </c>
      <c r="I740" t="n">
        <v>11</v>
      </c>
      <c r="J740" t="n">
        <v>3</v>
      </c>
      <c r="K740" t="n">
        <v>0</v>
      </c>
      <c r="L740" t="n">
        <v>57520</v>
      </c>
      <c r="M740" t="n">
        <v>71900</v>
      </c>
      <c r="N740" t="n">
        <v>33</v>
      </c>
      <c r="O740" t="n">
        <v>0.33</v>
      </c>
      <c r="P740" t="n">
        <v>1</v>
      </c>
      <c r="Q740" t="n">
        <v>0.03</v>
      </c>
      <c r="R740" t="n">
        <v>1</v>
      </c>
      <c r="S740" t="n">
        <v>2372.7</v>
      </c>
      <c r="T740" t="n">
        <v>4</v>
      </c>
      <c r="U740" t="n">
        <v>5</v>
      </c>
      <c r="V740" t="n">
        <v>30</v>
      </c>
      <c r="W740" t="n">
        <v>1</v>
      </c>
      <c r="X740" t="n">
        <v>212.1212121212121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10360</v>
      </c>
      <c r="AG740" t="n">
        <v>170</v>
      </c>
      <c r="AH740" t="inlineStr">
        <is>
          <t>PT. JALUR MANDIRI UTAMA - PPN (PDG)</t>
        </is>
      </c>
      <c r="AI740" t="n">
        <v>1422</v>
      </c>
      <c r="AJ740" t="inlineStr">
        <is>
          <t>DAZZLE ME</t>
        </is>
      </c>
      <c r="AK740" t="n">
        <v>9</v>
      </c>
      <c r="AL740" t="inlineStr">
        <is>
          <t>Miss Glam Jambi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"8859588109467"</f>
        <v/>
      </c>
      <c r="C741" t="inlineStr">
        <is>
          <t>DAZZLE ME Better Than Filter Maxnificent Essence Cushion N03 Wheat Beige 15gr</t>
        </is>
      </c>
      <c r="D741" t="inlineStr">
        <is>
          <t>Miss Glam Jambi</t>
        </is>
      </c>
      <c r="E741" t="n">
        <v>21</v>
      </c>
      <c r="F741" t="n">
        <v>0.08910000000000001</v>
      </c>
      <c r="G741" t="n">
        <v>0.99</v>
      </c>
      <c r="H741" t="n">
        <v>3</v>
      </c>
      <c r="I741" t="n">
        <v>11</v>
      </c>
      <c r="J741" t="n">
        <v>3</v>
      </c>
      <c r="K741" t="n">
        <v>0</v>
      </c>
      <c r="L741" t="n">
        <v>57520</v>
      </c>
      <c r="M741" t="n">
        <v>71900</v>
      </c>
      <c r="N741" t="n">
        <v>33</v>
      </c>
      <c r="O741" t="n">
        <v>0.33</v>
      </c>
      <c r="P741" t="n">
        <v>1</v>
      </c>
      <c r="Q741" t="n">
        <v>0.05</v>
      </c>
      <c r="R741" t="n">
        <v>1</v>
      </c>
      <c r="S741" t="n">
        <v>6406.290000000001</v>
      </c>
      <c r="T741" t="n">
        <v>11</v>
      </c>
      <c r="U741" t="n">
        <v>12</v>
      </c>
      <c r="V741" t="n">
        <v>30</v>
      </c>
      <c r="W741" t="n">
        <v>3</v>
      </c>
      <c r="X741" t="n">
        <v>235.6902356902357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10360</v>
      </c>
      <c r="AG741" t="n">
        <v>170</v>
      </c>
      <c r="AH741" t="inlineStr">
        <is>
          <t>PT. JALUR MANDIRI UTAMA - PPN (PDG)</t>
        </is>
      </c>
      <c r="AI741" t="n">
        <v>1422</v>
      </c>
      <c r="AJ741" t="inlineStr">
        <is>
          <t>DAZZLE ME</t>
        </is>
      </c>
      <c r="AK741" t="n">
        <v>9</v>
      </c>
      <c r="AL741" t="inlineStr">
        <is>
          <t>Miss Glam Jambi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"20300197804"</f>
        <v/>
      </c>
      <c r="C742" t="inlineStr">
        <is>
          <t>DAZZLE ME Color Chrome  Lip Matte R08 Charming Rose 3.6gr</t>
        </is>
      </c>
      <c r="D742" t="inlineStr">
        <is>
          <t>Miss Glam Jambi</t>
        </is>
      </c>
      <c r="E742" t="n">
        <v>6</v>
      </c>
      <c r="F742" t="n">
        <v>0.0396</v>
      </c>
      <c r="G742" t="n">
        <v>0.33</v>
      </c>
      <c r="H742" t="n">
        <v>3</v>
      </c>
      <c r="I742" t="n">
        <v>11</v>
      </c>
      <c r="J742" t="n">
        <v>3</v>
      </c>
      <c r="K742" t="n">
        <v>0</v>
      </c>
      <c r="L742" t="n">
        <v>30320</v>
      </c>
      <c r="M742" t="n">
        <v>37900</v>
      </c>
      <c r="N742" t="n">
        <v>33</v>
      </c>
      <c r="O742" t="n">
        <v>0.33</v>
      </c>
      <c r="P742" t="n">
        <v>1</v>
      </c>
      <c r="Q742" t="n">
        <v>0.03</v>
      </c>
      <c r="R742" t="n">
        <v>1</v>
      </c>
      <c r="S742" t="n">
        <v>1500.84</v>
      </c>
      <c r="T742" t="n">
        <v>4</v>
      </c>
      <c r="U742" t="n">
        <v>5</v>
      </c>
      <c r="V742" t="n">
        <v>30</v>
      </c>
      <c r="W742" t="n">
        <v>2</v>
      </c>
      <c r="X742" t="n">
        <v>151.5151515151515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10360</v>
      </c>
      <c r="AG742" t="n">
        <v>170</v>
      </c>
      <c r="AH742" t="inlineStr">
        <is>
          <t>PT. JALUR MANDIRI UTAMA - PPN (PDG)</t>
        </is>
      </c>
      <c r="AI742" t="n">
        <v>1422</v>
      </c>
      <c r="AJ742" t="inlineStr">
        <is>
          <t>DAZZLE ME</t>
        </is>
      </c>
      <c r="AK742" t="n">
        <v>9</v>
      </c>
      <c r="AL742" t="inlineStr">
        <is>
          <t>Miss Glam Jambi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"8859588113600"</f>
        <v/>
      </c>
      <c r="C743" t="inlineStr">
        <is>
          <t>DAZZLE ME Color Chrome Lip Matte B07 Toasted 3.6gr</t>
        </is>
      </c>
      <c r="D743" t="inlineStr">
        <is>
          <t>Miss Glam Jambi</t>
        </is>
      </c>
      <c r="E743" t="n">
        <v>31</v>
      </c>
      <c r="F743" t="n">
        <v>0.06270000000000001</v>
      </c>
      <c r="G743" t="n">
        <v>0.66</v>
      </c>
      <c r="H743" t="n">
        <v>3</v>
      </c>
      <c r="I743" t="n">
        <v>11</v>
      </c>
      <c r="J743" t="n">
        <v>3</v>
      </c>
      <c r="K743" t="n">
        <v>0</v>
      </c>
      <c r="L743" t="n">
        <v>30320</v>
      </c>
      <c r="M743" t="n">
        <v>36000</v>
      </c>
      <c r="N743" t="n">
        <v>33</v>
      </c>
      <c r="O743" t="n">
        <v>0.33</v>
      </c>
      <c r="P743" t="n">
        <v>1</v>
      </c>
      <c r="Q743" t="n">
        <v>0.08</v>
      </c>
      <c r="R743" t="n">
        <v>1</v>
      </c>
      <c r="S743" t="n">
        <v>2257.2</v>
      </c>
      <c r="T743" t="n">
        <v>8</v>
      </c>
      <c r="U743" t="n">
        <v>9</v>
      </c>
      <c r="V743" t="n">
        <v>30</v>
      </c>
      <c r="W743" t="n">
        <v>2</v>
      </c>
      <c r="X743" t="n">
        <v>494.4178628389154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10360</v>
      </c>
      <c r="AG743" t="n">
        <v>170</v>
      </c>
      <c r="AH743" t="inlineStr">
        <is>
          <t>PT. JALUR MANDIRI UTAMA - PPN (PDG)</t>
        </is>
      </c>
      <c r="AI743" t="n">
        <v>1422</v>
      </c>
      <c r="AJ743" t="inlineStr">
        <is>
          <t>DAZZLE ME</t>
        </is>
      </c>
      <c r="AK743" t="n">
        <v>9</v>
      </c>
      <c r="AL743" t="inlineStr">
        <is>
          <t>Miss Glam Jambi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"8859588113587"</f>
        <v/>
      </c>
      <c r="C744" t="inlineStr">
        <is>
          <t>DAZZLE ME Color Chrome Lip Matte P05 Burgundy Bill 3.6gr</t>
        </is>
      </c>
      <c r="D744" t="inlineStr">
        <is>
          <t>Miss Glam Jambi</t>
        </is>
      </c>
      <c r="E744" t="n">
        <v>6</v>
      </c>
      <c r="F744" t="n">
        <v>0.099</v>
      </c>
      <c r="G744" t="n">
        <v>0.99</v>
      </c>
      <c r="H744" t="n">
        <v>3</v>
      </c>
      <c r="I744" t="n">
        <v>11</v>
      </c>
      <c r="J744" t="n">
        <v>3</v>
      </c>
      <c r="K744" t="n">
        <v>0</v>
      </c>
      <c r="L744" t="n">
        <v>30320</v>
      </c>
      <c r="M744" t="n">
        <v>37900</v>
      </c>
      <c r="N744" t="n">
        <v>33</v>
      </c>
      <c r="O744" t="n">
        <v>0.33</v>
      </c>
      <c r="P744" t="n">
        <v>1</v>
      </c>
      <c r="Q744" t="n">
        <v>0.12</v>
      </c>
      <c r="R744" t="n">
        <v>2</v>
      </c>
      <c r="S744" t="n">
        <v>3752.1</v>
      </c>
      <c r="T744" t="n">
        <v>11</v>
      </c>
      <c r="U744" t="n">
        <v>12</v>
      </c>
      <c r="V744" t="n">
        <v>30</v>
      </c>
      <c r="W744" t="n">
        <v>3</v>
      </c>
      <c r="X744" t="n">
        <v>60.6060606060606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10360</v>
      </c>
      <c r="AG744" t="n">
        <v>170</v>
      </c>
      <c r="AH744" t="inlineStr">
        <is>
          <t>PT. JALUR MANDIRI UTAMA - PPN (PDG)</t>
        </is>
      </c>
      <c r="AI744" t="n">
        <v>1422</v>
      </c>
      <c r="AJ744" t="inlineStr">
        <is>
          <t>DAZZLE ME</t>
        </is>
      </c>
      <c r="AK744" t="n">
        <v>9</v>
      </c>
      <c r="AL744" t="inlineStr">
        <is>
          <t>Miss Glam Jambi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"20300197748"</f>
        <v/>
      </c>
      <c r="C745" t="inlineStr">
        <is>
          <t>DAZZLE Me Color Chrome Lip Matte R03 Classy Red 3.6gr</t>
        </is>
      </c>
      <c r="D745" t="inlineStr">
        <is>
          <t>Miss Glam Jambi</t>
        </is>
      </c>
      <c r="E745" t="n">
        <v>0</v>
      </c>
      <c r="F745" t="n">
        <v>0.1188</v>
      </c>
      <c r="G745" t="n">
        <v>0.33</v>
      </c>
      <c r="H745" t="n">
        <v>3</v>
      </c>
      <c r="I745" t="n">
        <v>11</v>
      </c>
      <c r="J745" t="n">
        <v>3</v>
      </c>
      <c r="K745" t="n">
        <v>3</v>
      </c>
      <c r="L745" t="n">
        <v>30320</v>
      </c>
      <c r="M745" t="n">
        <v>37900</v>
      </c>
      <c r="N745" t="n">
        <v>33</v>
      </c>
      <c r="O745" t="n">
        <v>0.33</v>
      </c>
      <c r="P745" t="n">
        <v>1</v>
      </c>
      <c r="Q745" t="n">
        <v>0.06</v>
      </c>
      <c r="R745" t="n">
        <v>1</v>
      </c>
      <c r="S745" t="n">
        <v>4502.52</v>
      </c>
      <c r="T745" t="n">
        <v>4</v>
      </c>
      <c r="U745" t="n">
        <v>5</v>
      </c>
      <c r="V745" t="n">
        <v>30</v>
      </c>
      <c r="W745" t="n">
        <v>4</v>
      </c>
      <c r="X745" t="n">
        <v>0</v>
      </c>
      <c r="Y745" t="n">
        <v>1</v>
      </c>
      <c r="Z745" t="n">
        <v>1</v>
      </c>
      <c r="AA745" t="n">
        <v>1</v>
      </c>
      <c r="AB745" t="n">
        <v>0</v>
      </c>
      <c r="AC745" t="n">
        <v>0</v>
      </c>
      <c r="AD745" t="n">
        <v>30320</v>
      </c>
      <c r="AE745" t="n">
        <v>0</v>
      </c>
      <c r="AF745" t="n">
        <v>10360</v>
      </c>
      <c r="AG745" t="n">
        <v>170</v>
      </c>
      <c r="AH745" t="inlineStr">
        <is>
          <t>PT. JALUR MANDIRI UTAMA - PPN (PDG)</t>
        </is>
      </c>
      <c r="AI745" t="n">
        <v>1422</v>
      </c>
      <c r="AJ745" t="inlineStr">
        <is>
          <t>DAZZLE ME</t>
        </is>
      </c>
      <c r="AK745" t="n">
        <v>9</v>
      </c>
      <c r="AL745" t="inlineStr">
        <is>
          <t>Miss Glam Jambi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"20300197655"</f>
        <v/>
      </c>
      <c r="C746" t="inlineStr">
        <is>
          <t>DAZZLE ME Color Chrome Lip Matte R04 Cerise Cannon 3.6gr</t>
        </is>
      </c>
      <c r="D746" t="inlineStr">
        <is>
          <t>Miss Glam Jambi</t>
        </is>
      </c>
      <c r="E746" t="n">
        <v>15</v>
      </c>
      <c r="F746" t="n">
        <v>0.0825</v>
      </c>
      <c r="G746" t="n">
        <v>0.66</v>
      </c>
      <c r="H746" t="n">
        <v>3</v>
      </c>
      <c r="I746" t="n">
        <v>11</v>
      </c>
      <c r="J746" t="n">
        <v>3</v>
      </c>
      <c r="K746" t="n">
        <v>0</v>
      </c>
      <c r="L746" t="n">
        <v>30320</v>
      </c>
      <c r="M746" t="n">
        <v>37900</v>
      </c>
      <c r="N746" t="n">
        <v>33</v>
      </c>
      <c r="O746" t="n">
        <v>0.33</v>
      </c>
      <c r="P746" t="n">
        <v>1</v>
      </c>
      <c r="Q746" t="n">
        <v>0.02</v>
      </c>
      <c r="R746" t="n">
        <v>1</v>
      </c>
      <c r="S746" t="n">
        <v>3126.75</v>
      </c>
      <c r="T746" t="n">
        <v>8</v>
      </c>
      <c r="U746" t="n">
        <v>9</v>
      </c>
      <c r="V746" t="n">
        <v>30</v>
      </c>
      <c r="W746" t="n">
        <v>3</v>
      </c>
      <c r="X746" t="n">
        <v>181.8181818181818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10360</v>
      </c>
      <c r="AG746" t="n">
        <v>170</v>
      </c>
      <c r="AH746" t="inlineStr">
        <is>
          <t>PT. JALUR MANDIRI UTAMA - PPN (PDG)</t>
        </is>
      </c>
      <c r="AI746" t="n">
        <v>1422</v>
      </c>
      <c r="AJ746" t="inlineStr">
        <is>
          <t>DAZZLE ME</t>
        </is>
      </c>
      <c r="AK746" t="n">
        <v>9</v>
      </c>
      <c r="AL746" t="inlineStr">
        <is>
          <t>Miss Glam Jambi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"8859588111583"</f>
        <v/>
      </c>
      <c r="C747" t="inlineStr">
        <is>
          <t>DAZZLE ME Color Chrome Lipglaze 01 Foxy Pink 3gr</t>
        </is>
      </c>
      <c r="D747" t="inlineStr">
        <is>
          <t>Miss Glam Jambi</t>
        </is>
      </c>
      <c r="E747" t="n">
        <v>3</v>
      </c>
      <c r="F747" t="n">
        <v>0.0264</v>
      </c>
      <c r="G747" t="n">
        <v>0.33</v>
      </c>
      <c r="H747" t="n">
        <v>3</v>
      </c>
      <c r="I747" t="n">
        <v>11</v>
      </c>
      <c r="J747" t="n">
        <v>3</v>
      </c>
      <c r="K747" t="n">
        <v>0</v>
      </c>
      <c r="L747" t="n">
        <v>30320</v>
      </c>
      <c r="M747" t="n">
        <v>37900</v>
      </c>
      <c r="N747" t="n">
        <v>33</v>
      </c>
      <c r="O747" t="n">
        <v>0.33</v>
      </c>
      <c r="P747" t="n">
        <v>1</v>
      </c>
      <c r="Q747" t="n">
        <v>0.08</v>
      </c>
      <c r="R747" t="n">
        <v>1</v>
      </c>
      <c r="S747" t="n">
        <v>1000.56</v>
      </c>
      <c r="T747" t="n">
        <v>4</v>
      </c>
      <c r="U747" t="n">
        <v>5</v>
      </c>
      <c r="V747" t="n">
        <v>30</v>
      </c>
      <c r="W747" t="n">
        <v>1</v>
      </c>
      <c r="X747" t="n">
        <v>113.6363636363636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10360</v>
      </c>
      <c r="AG747" t="n">
        <v>170</v>
      </c>
      <c r="AH747" t="inlineStr">
        <is>
          <t>PT. JALUR MANDIRI UTAMA - PPN (PDG)</t>
        </is>
      </c>
      <c r="AI747" t="n">
        <v>1422</v>
      </c>
      <c r="AJ747" t="inlineStr">
        <is>
          <t>DAZZLE ME</t>
        </is>
      </c>
      <c r="AK747" t="n">
        <v>9</v>
      </c>
      <c r="AL747" t="inlineStr">
        <is>
          <t>Miss Glam Jambi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"8859588111606"</f>
        <v/>
      </c>
      <c r="C748" t="inlineStr">
        <is>
          <t>DAZZLE ME Color Chrome Lipglaze 03 Gin Fire 3gr</t>
        </is>
      </c>
      <c r="D748" t="inlineStr">
        <is>
          <t>Miss Glam Jambi</t>
        </is>
      </c>
      <c r="E748" t="n">
        <v>9</v>
      </c>
      <c r="F748" t="n">
        <v>0.07920000000000001</v>
      </c>
      <c r="G748" t="n">
        <v>0.66</v>
      </c>
      <c r="H748" t="n">
        <v>3</v>
      </c>
      <c r="I748" t="n">
        <v>11</v>
      </c>
      <c r="J748" t="n">
        <v>3</v>
      </c>
      <c r="K748" t="n">
        <v>0</v>
      </c>
      <c r="L748" t="n">
        <v>30320</v>
      </c>
      <c r="M748" t="n">
        <v>37900</v>
      </c>
      <c r="N748" t="n">
        <v>33</v>
      </c>
      <c r="O748" t="n">
        <v>0.33</v>
      </c>
      <c r="P748" t="n">
        <v>1</v>
      </c>
      <c r="Q748" t="n">
        <v>0.08</v>
      </c>
      <c r="R748" t="n">
        <v>1</v>
      </c>
      <c r="S748" t="n">
        <v>3001.68</v>
      </c>
      <c r="T748" t="n">
        <v>8</v>
      </c>
      <c r="U748" t="n">
        <v>9</v>
      </c>
      <c r="V748" t="n">
        <v>30</v>
      </c>
      <c r="W748" t="n">
        <v>3</v>
      </c>
      <c r="X748" t="n">
        <v>113.6363636363636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10360</v>
      </c>
      <c r="AG748" t="n">
        <v>170</v>
      </c>
      <c r="AH748" t="inlineStr">
        <is>
          <t>PT. JALUR MANDIRI UTAMA - PPN (PDG)</t>
        </is>
      </c>
      <c r="AI748" t="n">
        <v>1422</v>
      </c>
      <c r="AJ748" t="inlineStr">
        <is>
          <t>DAZZLE ME</t>
        </is>
      </c>
      <c r="AK748" t="n">
        <v>9</v>
      </c>
      <c r="AL748" t="inlineStr">
        <is>
          <t>Miss Glam Jambi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"8859588111620"</f>
        <v/>
      </c>
      <c r="C749" t="inlineStr">
        <is>
          <t>DAZZLE ME Color Chrome Lipglaze 05 Mapple Hazle 3gr</t>
        </is>
      </c>
      <c r="D749" t="inlineStr">
        <is>
          <t>Miss Glam Jambi</t>
        </is>
      </c>
      <c r="E749" t="n">
        <v>41</v>
      </c>
      <c r="F749" t="n">
        <v>0.1749</v>
      </c>
      <c r="G749" t="n">
        <v>1.65</v>
      </c>
      <c r="H749" t="n">
        <v>3</v>
      </c>
      <c r="I749" t="n">
        <v>11</v>
      </c>
      <c r="J749" t="n">
        <v>3</v>
      </c>
      <c r="K749" t="n">
        <v>0</v>
      </c>
      <c r="L749" t="n">
        <v>30320</v>
      </c>
      <c r="M749" t="n">
        <v>37900</v>
      </c>
      <c r="N749" t="n">
        <v>33</v>
      </c>
      <c r="O749" t="n">
        <v>0.33</v>
      </c>
      <c r="P749" t="n">
        <v>1</v>
      </c>
      <c r="Q749" t="n">
        <v>0.1</v>
      </c>
      <c r="R749" t="n">
        <v>1</v>
      </c>
      <c r="S749" t="n">
        <v>6628.710000000001</v>
      </c>
      <c r="T749" t="n">
        <v>18</v>
      </c>
      <c r="U749" t="n">
        <v>19</v>
      </c>
      <c r="V749" t="n">
        <v>30</v>
      </c>
      <c r="W749" t="n">
        <v>6</v>
      </c>
      <c r="X749" t="n">
        <v>234.4196683819325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10360</v>
      </c>
      <c r="AG749" t="n">
        <v>170</v>
      </c>
      <c r="AH749" t="inlineStr">
        <is>
          <t>PT. JALUR MANDIRI UTAMA - PPN (PDG)</t>
        </is>
      </c>
      <c r="AI749" t="n">
        <v>1422</v>
      </c>
      <c r="AJ749" t="inlineStr">
        <is>
          <t>DAZZLE ME</t>
        </is>
      </c>
      <c r="AK749" t="n">
        <v>9</v>
      </c>
      <c r="AL749" t="inlineStr">
        <is>
          <t>Miss Glam Jambi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"8859588111644"</f>
        <v/>
      </c>
      <c r="C750" t="inlineStr">
        <is>
          <t>DAZZLE ME Color Chrome Lipglaze 07 Rose Blush 3gr</t>
        </is>
      </c>
      <c r="D750" t="inlineStr">
        <is>
          <t>Miss Glam Jambi</t>
        </is>
      </c>
      <c r="E750" t="n">
        <v>29</v>
      </c>
      <c r="F750" t="n">
        <v>0.1089</v>
      </c>
      <c r="G750" t="n">
        <v>0.99</v>
      </c>
      <c r="H750" t="n">
        <v>3</v>
      </c>
      <c r="I750" t="n">
        <v>11</v>
      </c>
      <c r="J750" t="n">
        <v>3</v>
      </c>
      <c r="K750" t="n">
        <v>0</v>
      </c>
      <c r="L750" t="n">
        <v>30320</v>
      </c>
      <c r="M750" t="n">
        <v>37900</v>
      </c>
      <c r="N750" t="n">
        <v>33</v>
      </c>
      <c r="O750" t="n">
        <v>0.33</v>
      </c>
      <c r="P750" t="n">
        <v>1</v>
      </c>
      <c r="Q750" t="n">
        <v>0.05</v>
      </c>
      <c r="R750" t="n">
        <v>1</v>
      </c>
      <c r="S750" t="n">
        <v>4127.31</v>
      </c>
      <c r="T750" t="n">
        <v>11</v>
      </c>
      <c r="U750" t="n">
        <v>12</v>
      </c>
      <c r="V750" t="n">
        <v>30</v>
      </c>
      <c r="W750" t="n">
        <v>4</v>
      </c>
      <c r="X750" t="n">
        <v>266.2993572084481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10360</v>
      </c>
      <c r="AG750" t="n">
        <v>170</v>
      </c>
      <c r="AH750" t="inlineStr">
        <is>
          <t>PT. JALUR MANDIRI UTAMA - PPN (PDG)</t>
        </is>
      </c>
      <c r="AI750" t="n">
        <v>1422</v>
      </c>
      <c r="AJ750" t="inlineStr">
        <is>
          <t>DAZZLE ME</t>
        </is>
      </c>
      <c r="AK750" t="n">
        <v>9</v>
      </c>
      <c r="AL750" t="inlineStr">
        <is>
          <t>Miss Glam Jambi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"203001100852"</f>
        <v/>
      </c>
      <c r="C751" t="inlineStr">
        <is>
          <t>DAZZLE ME Color Chrome Melt To Dew Lip Click 008 Popular 2gr</t>
        </is>
      </c>
      <c r="D751" t="inlineStr">
        <is>
          <t>Miss Glam Jambi</t>
        </is>
      </c>
      <c r="E751" t="n">
        <v>6</v>
      </c>
      <c r="F751" t="n">
        <v>0.15</v>
      </c>
      <c r="G751" t="n">
        <v>3</v>
      </c>
      <c r="H751" t="n">
        <v>3</v>
      </c>
      <c r="I751" t="n">
        <v>11</v>
      </c>
      <c r="J751" t="n">
        <v>1</v>
      </c>
      <c r="K751" t="n">
        <v>0</v>
      </c>
      <c r="L751" t="n">
        <v>35920</v>
      </c>
      <c r="M751" t="n">
        <v>44900</v>
      </c>
      <c r="N751" t="n">
        <v>33</v>
      </c>
      <c r="O751" t="n">
        <v>0.33</v>
      </c>
      <c r="P751" t="n">
        <v>0</v>
      </c>
      <c r="Q751" t="n">
        <v>0.15</v>
      </c>
      <c r="R751" t="n">
        <v>3</v>
      </c>
      <c r="S751" t="n">
        <v>6735</v>
      </c>
      <c r="T751" t="n">
        <v>33</v>
      </c>
      <c r="U751" t="n">
        <v>34</v>
      </c>
      <c r="V751" t="n">
        <v>30</v>
      </c>
      <c r="W751" t="n">
        <v>5</v>
      </c>
      <c r="X751" t="n">
        <v>40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10360</v>
      </c>
      <c r="AG751" t="n">
        <v>170</v>
      </c>
      <c r="AH751" t="inlineStr">
        <is>
          <t>PT. JALUR MANDIRI UTAMA - PPN (PDG)</t>
        </is>
      </c>
      <c r="AI751" t="n">
        <v>1422</v>
      </c>
      <c r="AJ751" t="inlineStr">
        <is>
          <t>DAZZLE ME</t>
        </is>
      </c>
      <c r="AK751" t="n">
        <v>9</v>
      </c>
      <c r="AL751" t="inlineStr">
        <is>
          <t>Miss Glam Jambi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"203001100903"</f>
        <v/>
      </c>
      <c r="C752" t="inlineStr">
        <is>
          <t>DAZZLE ME Color Chrome Melt To Dew Lip Click 096 Shining Muscat 2gr</t>
        </is>
      </c>
      <c r="D752" t="inlineStr">
        <is>
          <t>Miss Glam Jambi</t>
        </is>
      </c>
      <c r="E752" t="n">
        <v>0</v>
      </c>
      <c r="F752" t="n">
        <v>0.0726</v>
      </c>
      <c r="G752" t="n">
        <v>0.66</v>
      </c>
      <c r="H752" t="n">
        <v>3</v>
      </c>
      <c r="I752" t="n">
        <v>11</v>
      </c>
      <c r="J752" t="n">
        <v>1</v>
      </c>
      <c r="K752" t="n">
        <v>2</v>
      </c>
      <c r="L752" t="n">
        <v>35920</v>
      </c>
      <c r="M752" t="n">
        <v>44900</v>
      </c>
      <c r="N752" t="n">
        <v>33</v>
      </c>
      <c r="O752" t="n">
        <v>0.33</v>
      </c>
      <c r="P752" t="n">
        <v>1</v>
      </c>
      <c r="Q752" t="n">
        <v>0.09</v>
      </c>
      <c r="R752" t="n">
        <v>1</v>
      </c>
      <c r="S752" t="n">
        <v>3259.74</v>
      </c>
      <c r="T752" t="n">
        <v>8</v>
      </c>
      <c r="U752" t="n">
        <v>9</v>
      </c>
      <c r="V752" t="n">
        <v>30</v>
      </c>
      <c r="W752" t="n">
        <v>3</v>
      </c>
      <c r="X752" t="n">
        <v>0</v>
      </c>
      <c r="Y752" t="n">
        <v>1</v>
      </c>
      <c r="Z752" t="n">
        <v>1</v>
      </c>
      <c r="AA752" t="n">
        <v>0</v>
      </c>
      <c r="AB752" t="n">
        <v>1</v>
      </c>
      <c r="AC752" t="n">
        <v>1</v>
      </c>
      <c r="AD752" t="n">
        <v>0</v>
      </c>
      <c r="AE752" t="n">
        <v>35920</v>
      </c>
      <c r="AF752" t="n">
        <v>10360</v>
      </c>
      <c r="AG752" t="n">
        <v>170</v>
      </c>
      <c r="AH752" t="inlineStr">
        <is>
          <t>PT. JALUR MANDIRI UTAMA - PPN (PDG)</t>
        </is>
      </c>
      <c r="AI752" t="n">
        <v>1422</v>
      </c>
      <c r="AJ752" t="inlineStr">
        <is>
          <t>DAZZLE ME</t>
        </is>
      </c>
      <c r="AK752" t="n">
        <v>9</v>
      </c>
      <c r="AL752" t="inlineStr">
        <is>
          <t>Miss Glam Jambi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"203001101048"</f>
        <v/>
      </c>
      <c r="C753" t="inlineStr">
        <is>
          <t>DAZZLE ME Color Chrome Melt To Dew Lip Click 101 Bunny Tongue 2gr</t>
        </is>
      </c>
      <c r="D753" t="inlineStr">
        <is>
          <t>Miss Glam Jambi</t>
        </is>
      </c>
      <c r="E753" t="n">
        <v>0</v>
      </c>
      <c r="F753" t="n">
        <v>0.1617</v>
      </c>
      <c r="G753" t="n">
        <v>1.65</v>
      </c>
      <c r="H753" t="n">
        <v>3</v>
      </c>
      <c r="I753" t="n">
        <v>11</v>
      </c>
      <c r="J753" t="n">
        <v>1</v>
      </c>
      <c r="K753" t="n">
        <v>3</v>
      </c>
      <c r="L753" t="n">
        <v>35920</v>
      </c>
      <c r="M753" t="n">
        <v>44900</v>
      </c>
      <c r="N753" t="n">
        <v>33</v>
      </c>
      <c r="O753" t="n">
        <v>0.33</v>
      </c>
      <c r="P753" t="n">
        <v>1</v>
      </c>
      <c r="Q753" t="n">
        <v>0.26</v>
      </c>
      <c r="R753" t="n">
        <v>4</v>
      </c>
      <c r="S753" t="n">
        <v>7260.330000000001</v>
      </c>
      <c r="T753" t="n">
        <v>18</v>
      </c>
      <c r="U753" t="n">
        <v>19</v>
      </c>
      <c r="V753" t="n">
        <v>30</v>
      </c>
      <c r="W753" t="n">
        <v>5</v>
      </c>
      <c r="X753" t="n">
        <v>0</v>
      </c>
      <c r="Y753" t="n">
        <v>1</v>
      </c>
      <c r="Z753" t="n">
        <v>2</v>
      </c>
      <c r="AA753" t="n">
        <v>1</v>
      </c>
      <c r="AB753" t="n">
        <v>1</v>
      </c>
      <c r="AC753" t="n">
        <v>1</v>
      </c>
      <c r="AD753" t="n">
        <v>35920</v>
      </c>
      <c r="AE753" t="n">
        <v>35920</v>
      </c>
      <c r="AF753" t="n">
        <v>10360</v>
      </c>
      <c r="AG753" t="n">
        <v>170</v>
      </c>
      <c r="AH753" t="inlineStr">
        <is>
          <t>PT. JALUR MANDIRI UTAMA - PPN (PDG)</t>
        </is>
      </c>
      <c r="AI753" t="n">
        <v>1422</v>
      </c>
      <c r="AJ753" t="inlineStr">
        <is>
          <t>DAZZLE ME</t>
        </is>
      </c>
      <c r="AK753" t="n">
        <v>9</v>
      </c>
      <c r="AL753" t="inlineStr">
        <is>
          <t>Miss Glam Jambi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"203001101214"</f>
        <v/>
      </c>
      <c r="C754" t="inlineStr">
        <is>
          <t>DAZZLE ME Color Chrome Melt To Dew Lip Click 732 Honey Gaze 2gr</t>
        </is>
      </c>
      <c r="D754" t="inlineStr">
        <is>
          <t>Miss Glam Jambi</t>
        </is>
      </c>
      <c r="E754" t="n">
        <v>7</v>
      </c>
      <c r="F754" t="n">
        <v>0.1221</v>
      </c>
      <c r="G754" t="n">
        <v>0.99</v>
      </c>
      <c r="H754" t="n">
        <v>3</v>
      </c>
      <c r="I754" t="n">
        <v>11</v>
      </c>
      <c r="J754" t="n">
        <v>1</v>
      </c>
      <c r="K754" t="n">
        <v>0</v>
      </c>
      <c r="L754" t="n">
        <v>35920</v>
      </c>
      <c r="M754" t="n">
        <v>44900</v>
      </c>
      <c r="N754" t="n">
        <v>33</v>
      </c>
      <c r="O754" t="n">
        <v>0.33</v>
      </c>
      <c r="P754" t="n">
        <v>1</v>
      </c>
      <c r="Q754" t="n">
        <v>0.24</v>
      </c>
      <c r="R754" t="n">
        <v>6</v>
      </c>
      <c r="S754" t="n">
        <v>5482.29</v>
      </c>
      <c r="T754" t="n">
        <v>11</v>
      </c>
      <c r="U754" t="n">
        <v>12</v>
      </c>
      <c r="V754" t="n">
        <v>30</v>
      </c>
      <c r="W754" t="n">
        <v>4</v>
      </c>
      <c r="X754" t="n">
        <v>57.33005733005733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10360</v>
      </c>
      <c r="AG754" t="n">
        <v>170</v>
      </c>
      <c r="AH754" t="inlineStr">
        <is>
          <t>PT. JALUR MANDIRI UTAMA - PPN (PDG)</t>
        </is>
      </c>
      <c r="AI754" t="n">
        <v>1422</v>
      </c>
      <c r="AJ754" t="inlineStr">
        <is>
          <t>DAZZLE ME</t>
        </is>
      </c>
      <c r="AK754" t="n">
        <v>9</v>
      </c>
      <c r="AL754" t="inlineStr">
        <is>
          <t>Miss Glam Jambi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"203001101308"</f>
        <v/>
      </c>
      <c r="C755" t="inlineStr">
        <is>
          <t>DAZZLE ME Color Chrome Melt To Dew Lip Click 821 Star World 2gr</t>
        </is>
      </c>
      <c r="D755" t="inlineStr">
        <is>
          <t>Miss Glam Jambi</t>
        </is>
      </c>
      <c r="E755" t="n">
        <v>10</v>
      </c>
      <c r="F755" t="n">
        <v>0.0561</v>
      </c>
      <c r="G755" t="n">
        <v>0.66</v>
      </c>
      <c r="H755" t="n">
        <v>3</v>
      </c>
      <c r="I755" t="n">
        <v>11</v>
      </c>
      <c r="J755" t="n">
        <v>1</v>
      </c>
      <c r="K755" t="n">
        <v>0</v>
      </c>
      <c r="L755" t="n">
        <v>35920</v>
      </c>
      <c r="M755" t="n">
        <v>44900</v>
      </c>
      <c r="N755" t="n">
        <v>33</v>
      </c>
      <c r="O755" t="n">
        <v>0.33</v>
      </c>
      <c r="P755" t="n">
        <v>1</v>
      </c>
      <c r="Q755" t="n">
        <v>0.02</v>
      </c>
      <c r="R755" t="n">
        <v>1</v>
      </c>
      <c r="S755" t="n">
        <v>2518.89</v>
      </c>
      <c r="T755" t="n">
        <v>8</v>
      </c>
      <c r="U755" t="n">
        <v>9</v>
      </c>
      <c r="V755" t="n">
        <v>30</v>
      </c>
      <c r="W755" t="n">
        <v>2</v>
      </c>
      <c r="X755" t="n">
        <v>178.25311942959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10360</v>
      </c>
      <c r="AG755" t="n">
        <v>170</v>
      </c>
      <c r="AH755" t="inlineStr">
        <is>
          <t>PT. JALUR MANDIRI UTAMA - PPN (PDG)</t>
        </is>
      </c>
      <c r="AI755" t="n">
        <v>1422</v>
      </c>
      <c r="AJ755" t="inlineStr">
        <is>
          <t>DAZZLE ME</t>
        </is>
      </c>
      <c r="AK755" t="n">
        <v>9</v>
      </c>
      <c r="AL755" t="inlineStr">
        <is>
          <t>Miss Glam Jambi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"8991748004561"</f>
        <v/>
      </c>
      <c r="C756" t="inlineStr">
        <is>
          <t>DAZZLE ME Fruit Justice Lip Balm 01 Super Berry 3.5gr</t>
        </is>
      </c>
      <c r="D756" t="inlineStr">
        <is>
          <t>Miss Glam Jambi</t>
        </is>
      </c>
      <c r="E756" t="n">
        <v>0</v>
      </c>
      <c r="F756" t="n">
        <v>0.02</v>
      </c>
      <c r="G756" t="n">
        <v>0</v>
      </c>
      <c r="H756" t="n">
        <v>3</v>
      </c>
      <c r="I756" t="n">
        <v>11</v>
      </c>
      <c r="J756" t="n">
        <v>3</v>
      </c>
      <c r="K756" t="n">
        <v>0</v>
      </c>
      <c r="L756" t="n">
        <v>24720</v>
      </c>
      <c r="M756" t="n">
        <v>30900</v>
      </c>
      <c r="N756" t="n">
        <v>33</v>
      </c>
      <c r="O756" t="n">
        <v>0.33</v>
      </c>
      <c r="P756" t="n">
        <v>0</v>
      </c>
      <c r="Q756" t="n">
        <v>0.02</v>
      </c>
      <c r="R756" t="n">
        <v>0</v>
      </c>
      <c r="S756" t="n">
        <v>618</v>
      </c>
      <c r="T756" t="n">
        <v>0</v>
      </c>
      <c r="U756" t="n">
        <v>1</v>
      </c>
      <c r="V756" t="n">
        <v>30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n">
        <v>0</v>
      </c>
      <c r="AC756" t="n">
        <v>0</v>
      </c>
      <c r="AD756" t="n">
        <v>24720</v>
      </c>
      <c r="AE756" t="n">
        <v>0</v>
      </c>
      <c r="AF756" t="n">
        <v>10360</v>
      </c>
      <c r="AG756" t="n">
        <v>170</v>
      </c>
      <c r="AH756" t="inlineStr">
        <is>
          <t>PT. JALUR MANDIRI UTAMA - PPN (PDG)</t>
        </is>
      </c>
      <c r="AI756" t="n">
        <v>1422</v>
      </c>
      <c r="AJ756" t="inlineStr">
        <is>
          <t>DAZZLE ME</t>
        </is>
      </c>
      <c r="AK756" t="n">
        <v>9</v>
      </c>
      <c r="AL756" t="inlineStr">
        <is>
          <t>Miss Glam Jambi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"8991748004578"</f>
        <v/>
      </c>
      <c r="C757" t="inlineStr">
        <is>
          <t>DAZZLE ME Fruit Justice Lip Balm 02 Avok.O 3.5gr</t>
        </is>
      </c>
      <c r="D757" t="inlineStr">
        <is>
          <t>Miss Glam Jambi</t>
        </is>
      </c>
      <c r="E757" t="n">
        <v>5</v>
      </c>
      <c r="F757" t="n">
        <v>0.02</v>
      </c>
      <c r="G757" t="n">
        <v>1</v>
      </c>
      <c r="H757" t="n">
        <v>3</v>
      </c>
      <c r="I757" t="n">
        <v>11</v>
      </c>
      <c r="J757" t="n">
        <v>3</v>
      </c>
      <c r="K757" t="n">
        <v>0</v>
      </c>
      <c r="L757" t="n">
        <v>24720</v>
      </c>
      <c r="M757" t="n">
        <v>30900</v>
      </c>
      <c r="N757" t="n">
        <v>33</v>
      </c>
      <c r="O757" t="n">
        <v>0.33</v>
      </c>
      <c r="P757" t="n">
        <v>0</v>
      </c>
      <c r="Q757" t="n">
        <v>0.02</v>
      </c>
      <c r="R757" t="n">
        <v>1</v>
      </c>
      <c r="S757" t="n">
        <v>618</v>
      </c>
      <c r="T757" t="n">
        <v>11</v>
      </c>
      <c r="U757" t="n">
        <v>12</v>
      </c>
      <c r="V757" t="n">
        <v>30</v>
      </c>
      <c r="W757" t="n">
        <v>1</v>
      </c>
      <c r="X757" t="n">
        <v>250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10360</v>
      </c>
      <c r="AG757" t="n">
        <v>170</v>
      </c>
      <c r="AH757" t="inlineStr">
        <is>
          <t>PT. JALUR MANDIRI UTAMA - PPN (PDG)</t>
        </is>
      </c>
      <c r="AI757" t="n">
        <v>1422</v>
      </c>
      <c r="AJ757" t="inlineStr">
        <is>
          <t>DAZZLE ME</t>
        </is>
      </c>
      <c r="AK757" t="n">
        <v>9</v>
      </c>
      <c r="AL757" t="inlineStr">
        <is>
          <t>Miss Glam Jambi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"10700325855"</f>
        <v/>
      </c>
      <c r="C758" t="inlineStr">
        <is>
          <t>DAZZLE ME Fruit Justice Lip Balm 05 Black Honey 3,5gr</t>
        </is>
      </c>
      <c r="D758" t="inlineStr">
        <is>
          <t>Miss Glam Jambi</t>
        </is>
      </c>
      <c r="E758" t="n">
        <v>6</v>
      </c>
      <c r="F758" t="n">
        <v>0.03</v>
      </c>
      <c r="G758" t="n">
        <v>2</v>
      </c>
      <c r="H758" t="n">
        <v>3</v>
      </c>
      <c r="I758" t="n">
        <v>11</v>
      </c>
      <c r="J758" t="n">
        <v>3</v>
      </c>
      <c r="K758" t="n">
        <v>0</v>
      </c>
      <c r="L758" t="n">
        <v>24720</v>
      </c>
      <c r="M758" t="n">
        <v>30900</v>
      </c>
      <c r="N758" t="n">
        <v>33</v>
      </c>
      <c r="O758" t="n">
        <v>0.33</v>
      </c>
      <c r="P758" t="n">
        <v>0</v>
      </c>
      <c r="Q758" t="n">
        <v>0.03</v>
      </c>
      <c r="R758" t="n">
        <v>2</v>
      </c>
      <c r="S758" t="n">
        <v>927</v>
      </c>
      <c r="T758" t="n">
        <v>22</v>
      </c>
      <c r="U758" t="n">
        <v>23</v>
      </c>
      <c r="V758" t="n">
        <v>30</v>
      </c>
      <c r="W758" t="n">
        <v>1</v>
      </c>
      <c r="X758" t="n">
        <v>200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10360</v>
      </c>
      <c r="AG758" t="n">
        <v>170</v>
      </c>
      <c r="AH758" t="inlineStr">
        <is>
          <t>PT. JALUR MANDIRI UTAMA - PPN (PDG)</t>
        </is>
      </c>
      <c r="AI758" t="n">
        <v>1422</v>
      </c>
      <c r="AJ758" t="inlineStr">
        <is>
          <t>DAZZLE ME</t>
        </is>
      </c>
      <c r="AK758" t="n">
        <v>9</v>
      </c>
      <c r="AL758" t="inlineStr">
        <is>
          <t>Miss Glam Jambi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"8859588111798"</f>
        <v/>
      </c>
      <c r="C759" t="inlineStr">
        <is>
          <t>DAZZLE ME Get A Grip Dewy Fix Setting Spray 60ml</t>
        </is>
      </c>
      <c r="D759" t="inlineStr">
        <is>
          <t>Miss Glam Jambi</t>
        </is>
      </c>
      <c r="E759" t="n">
        <v>51</v>
      </c>
      <c r="F759" t="n">
        <v>2.2473</v>
      </c>
      <c r="G759" t="n">
        <v>5.28</v>
      </c>
      <c r="H759" t="n">
        <v>3</v>
      </c>
      <c r="I759" t="n">
        <v>11</v>
      </c>
      <c r="J759" t="n">
        <v>3</v>
      </c>
      <c r="K759" t="n">
        <v>14</v>
      </c>
      <c r="L759" t="n">
        <v>34320</v>
      </c>
      <c r="M759" t="n">
        <v>42900</v>
      </c>
      <c r="N759" t="n">
        <v>33</v>
      </c>
      <c r="O759" t="n">
        <v>0.33</v>
      </c>
      <c r="P759" t="n">
        <v>1</v>
      </c>
      <c r="Q759" t="n">
        <v>1.46</v>
      </c>
      <c r="R759" t="n">
        <v>5</v>
      </c>
      <c r="S759" t="n">
        <v>96409.17</v>
      </c>
      <c r="T759" t="n">
        <v>52</v>
      </c>
      <c r="U759" t="n">
        <v>59</v>
      </c>
      <c r="V759" t="n">
        <v>30</v>
      </c>
      <c r="W759" t="n">
        <v>68</v>
      </c>
      <c r="X759" t="n">
        <v>22.69389934588173</v>
      </c>
      <c r="Y759" t="n">
        <v>1</v>
      </c>
      <c r="Z759" t="n">
        <v>3</v>
      </c>
      <c r="AA759" t="n">
        <v>0</v>
      </c>
      <c r="AB759" t="n">
        <v>3</v>
      </c>
      <c r="AC759" t="n">
        <v>3</v>
      </c>
      <c r="AD759" t="n">
        <v>0</v>
      </c>
      <c r="AE759" t="n">
        <v>102960</v>
      </c>
      <c r="AF759" t="n">
        <v>10360</v>
      </c>
      <c r="AG759" t="n">
        <v>170</v>
      </c>
      <c r="AH759" t="inlineStr">
        <is>
          <t>PT. JALUR MANDIRI UTAMA - PPN (PDG)</t>
        </is>
      </c>
      <c r="AI759" t="n">
        <v>1422</v>
      </c>
      <c r="AJ759" t="inlineStr">
        <is>
          <t>DAZZLE ME</t>
        </is>
      </c>
      <c r="AK759" t="n">
        <v>9</v>
      </c>
      <c r="AL759" t="inlineStr">
        <is>
          <t>Miss Glam Jambi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"8859588111781"</f>
        <v/>
      </c>
      <c r="C760" t="inlineStr">
        <is>
          <t>DAZZLE ME Get A Grip Make Up Setting Spray Mate Fix 60ml</t>
        </is>
      </c>
      <c r="D760" t="inlineStr">
        <is>
          <t>Miss Glam Jambi</t>
        </is>
      </c>
      <c r="E760" t="n">
        <v>44</v>
      </c>
      <c r="F760" t="n">
        <v>1.584</v>
      </c>
      <c r="G760" t="n">
        <v>4.29</v>
      </c>
      <c r="H760" t="n">
        <v>3</v>
      </c>
      <c r="I760" t="n">
        <v>11</v>
      </c>
      <c r="J760" t="n">
        <v>3</v>
      </c>
      <c r="K760" t="n">
        <v>4</v>
      </c>
      <c r="L760" t="n">
        <v>34320</v>
      </c>
      <c r="M760" t="n">
        <v>42900</v>
      </c>
      <c r="N760" t="n">
        <v>33</v>
      </c>
      <c r="O760" t="n">
        <v>0.33</v>
      </c>
      <c r="P760" t="n">
        <v>1</v>
      </c>
      <c r="Q760" t="n">
        <v>0.98</v>
      </c>
      <c r="R760" t="n">
        <v>3</v>
      </c>
      <c r="S760" t="n">
        <v>67953.60000000001</v>
      </c>
      <c r="T760" t="n">
        <v>43</v>
      </c>
      <c r="U760" t="n">
        <v>48</v>
      </c>
      <c r="V760" t="n">
        <v>30</v>
      </c>
      <c r="W760" t="n">
        <v>48</v>
      </c>
      <c r="X760" t="n">
        <v>27.77777777777778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10360</v>
      </c>
      <c r="AG760" t="n">
        <v>170</v>
      </c>
      <c r="AH760" t="inlineStr">
        <is>
          <t>PT. JALUR MANDIRI UTAMA - PPN (PDG)</t>
        </is>
      </c>
      <c r="AI760" t="n">
        <v>1422</v>
      </c>
      <c r="AJ760" t="inlineStr">
        <is>
          <t>DAZZLE ME</t>
        </is>
      </c>
      <c r="AK760" t="n">
        <v>9</v>
      </c>
      <c r="AL760" t="inlineStr">
        <is>
          <t>Miss Glam Jambi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"20101209910"</f>
        <v/>
      </c>
      <c r="C761" t="inlineStr">
        <is>
          <t>DAZZLE ME Get A Grip! Make Up Setting Spray Prime + Set Anti-Polution 50ml (New)</t>
        </is>
      </c>
      <c r="D761" t="inlineStr">
        <is>
          <t>Miss Glam Jambi</t>
        </is>
      </c>
      <c r="E761" t="n">
        <v>34</v>
      </c>
      <c r="F761" t="n">
        <v>0.2178</v>
      </c>
      <c r="G761" t="n">
        <v>1.65</v>
      </c>
      <c r="H761" t="n">
        <v>3</v>
      </c>
      <c r="I761" t="n">
        <v>11</v>
      </c>
      <c r="J761" t="n">
        <v>1</v>
      </c>
      <c r="K761" t="n">
        <v>0</v>
      </c>
      <c r="L761" t="n">
        <v>36720</v>
      </c>
      <c r="M761" t="n">
        <v>45900</v>
      </c>
      <c r="N761" t="n">
        <v>33</v>
      </c>
      <c r="O761" t="n">
        <v>0.33</v>
      </c>
      <c r="P761" t="n">
        <v>1</v>
      </c>
      <c r="Q761" t="n">
        <v>0.22</v>
      </c>
      <c r="R761" t="n">
        <v>2</v>
      </c>
      <c r="S761" t="n">
        <v>9997.02</v>
      </c>
      <c r="T761" t="n">
        <v>18</v>
      </c>
      <c r="U761" t="n">
        <v>19</v>
      </c>
      <c r="V761" t="n">
        <v>30</v>
      </c>
      <c r="W761" t="n">
        <v>7</v>
      </c>
      <c r="X761" t="n">
        <v>156.1065197428834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10360</v>
      </c>
      <c r="AG761" t="n">
        <v>170</v>
      </c>
      <c r="AH761" t="inlineStr">
        <is>
          <t>PT. JALUR MANDIRI UTAMA - PPN (PDG)</t>
        </is>
      </c>
      <c r="AI761" t="n">
        <v>1422</v>
      </c>
      <c r="AJ761" t="inlineStr">
        <is>
          <t>DAZZLE ME</t>
        </is>
      </c>
      <c r="AK761" t="n">
        <v>9</v>
      </c>
      <c r="AL761" t="inlineStr">
        <is>
          <t>Miss Glam Jambi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"20101207415"</f>
        <v/>
      </c>
      <c r="C762" t="inlineStr">
        <is>
          <t>DAZZLE ME Get A Grip! Makeup Setting Spray Acne Soothing 60ml</t>
        </is>
      </c>
      <c r="D762" t="inlineStr">
        <is>
          <t>Miss Glam Jambi</t>
        </is>
      </c>
      <c r="E762" t="n">
        <v>34</v>
      </c>
      <c r="F762" t="n">
        <v>0.5709000000000001</v>
      </c>
      <c r="G762" t="n">
        <v>1.98</v>
      </c>
      <c r="H762" t="n">
        <v>3</v>
      </c>
      <c r="I762" t="n">
        <v>11</v>
      </c>
      <c r="J762" t="n">
        <v>3</v>
      </c>
      <c r="K762" t="n">
        <v>0</v>
      </c>
      <c r="L762" t="n">
        <v>34320</v>
      </c>
      <c r="M762" t="n">
        <v>42900</v>
      </c>
      <c r="N762" t="n">
        <v>33</v>
      </c>
      <c r="O762" t="n">
        <v>0.33</v>
      </c>
      <c r="P762" t="n">
        <v>1</v>
      </c>
      <c r="Q762" t="n">
        <v>0.44</v>
      </c>
      <c r="R762" t="n">
        <v>2</v>
      </c>
      <c r="S762" t="n">
        <v>24491.61</v>
      </c>
      <c r="T762" t="n">
        <v>21</v>
      </c>
      <c r="U762" t="n">
        <v>23</v>
      </c>
      <c r="V762" t="n">
        <v>30</v>
      </c>
      <c r="W762" t="n">
        <v>18</v>
      </c>
      <c r="X762" t="n">
        <v>59.55508845682255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10360</v>
      </c>
      <c r="AG762" t="n">
        <v>170</v>
      </c>
      <c r="AH762" t="inlineStr">
        <is>
          <t>PT. JALUR MANDIRI UTAMA - PPN (PDG)</t>
        </is>
      </c>
      <c r="AI762" t="n">
        <v>1422</v>
      </c>
      <c r="AJ762" t="inlineStr">
        <is>
          <t>DAZZLE ME</t>
        </is>
      </c>
      <c r="AK762" t="n">
        <v>9</v>
      </c>
      <c r="AL762" t="inlineStr">
        <is>
          <t>Miss Glam Jambi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"8991748004653"</f>
        <v/>
      </c>
      <c r="C763" t="inlineStr">
        <is>
          <t>DAZZLE ME Heart Melt Creamy Liquid Blush 02 Cheeky Orange 2.5gr</t>
        </is>
      </c>
      <c r="D763" t="inlineStr">
        <is>
          <t>Miss Glam Jambi</t>
        </is>
      </c>
      <c r="E763" t="n">
        <v>15</v>
      </c>
      <c r="F763" t="n">
        <v>0.006600000000000001</v>
      </c>
      <c r="G763" t="n">
        <v>0.33</v>
      </c>
      <c r="H763" t="n">
        <v>3</v>
      </c>
      <c r="I763" t="n">
        <v>11</v>
      </c>
      <c r="J763" t="n">
        <v>3</v>
      </c>
      <c r="K763" t="n">
        <v>0</v>
      </c>
      <c r="L763" t="n">
        <v>27120</v>
      </c>
      <c r="M763" t="n">
        <v>33900</v>
      </c>
      <c r="N763" t="n">
        <v>33</v>
      </c>
      <c r="O763" t="n">
        <v>0.33</v>
      </c>
      <c r="P763" t="n">
        <v>1</v>
      </c>
      <c r="Q763" t="n">
        <v>0.1</v>
      </c>
      <c r="R763" t="n">
        <v>1</v>
      </c>
      <c r="S763" t="n">
        <v>223.74</v>
      </c>
      <c r="T763" t="n">
        <v>4</v>
      </c>
      <c r="U763" t="n">
        <v>5</v>
      </c>
      <c r="V763" t="n">
        <v>30</v>
      </c>
      <c r="W763" t="n">
        <v>1</v>
      </c>
      <c r="X763" t="n">
        <v>2272.727272727273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10360</v>
      </c>
      <c r="AG763" t="n">
        <v>170</v>
      </c>
      <c r="AH763" t="inlineStr">
        <is>
          <t>PT. JALUR MANDIRI UTAMA - PPN (PDG)</t>
        </is>
      </c>
      <c r="AI763" t="n">
        <v>1422</v>
      </c>
      <c r="AJ763" t="inlineStr">
        <is>
          <t>DAZZLE ME</t>
        </is>
      </c>
      <c r="AK763" t="n">
        <v>9</v>
      </c>
      <c r="AL763" t="inlineStr">
        <is>
          <t>Miss Glam Jambi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"8991748004660"</f>
        <v/>
      </c>
      <c r="C764" t="inlineStr">
        <is>
          <t>DAZZLE ME Heart Melt Creamy Liquid Blush 03 Flirty Peach 2.5 gr</t>
        </is>
      </c>
      <c r="D764" t="inlineStr">
        <is>
          <t>Miss Glam Jambi</t>
        </is>
      </c>
      <c r="E764" t="n">
        <v>1</v>
      </c>
      <c r="F764" t="n">
        <v>0.1617</v>
      </c>
      <c r="G764" t="n">
        <v>1.65</v>
      </c>
      <c r="H764" t="n">
        <v>3</v>
      </c>
      <c r="I764" t="n">
        <v>11</v>
      </c>
      <c r="J764" t="n">
        <v>3</v>
      </c>
      <c r="K764" t="n">
        <v>3</v>
      </c>
      <c r="L764" t="n">
        <v>27120</v>
      </c>
      <c r="M764" t="n">
        <v>33900</v>
      </c>
      <c r="N764" t="n">
        <v>33</v>
      </c>
      <c r="O764" t="n">
        <v>0.33</v>
      </c>
      <c r="P764" t="n">
        <v>1</v>
      </c>
      <c r="Q764" t="n">
        <v>0.27</v>
      </c>
      <c r="R764" t="n">
        <v>2</v>
      </c>
      <c r="S764" t="n">
        <v>5481.63</v>
      </c>
      <c r="T764" t="n">
        <v>18</v>
      </c>
      <c r="U764" t="n">
        <v>19</v>
      </c>
      <c r="V764" t="n">
        <v>30</v>
      </c>
      <c r="W764" t="n">
        <v>5</v>
      </c>
      <c r="X764" t="n">
        <v>6.184291898577612</v>
      </c>
      <c r="Y764" t="n">
        <v>1</v>
      </c>
      <c r="Z764" t="n">
        <v>1</v>
      </c>
      <c r="AA764" t="n">
        <v>0</v>
      </c>
      <c r="AB764" t="n">
        <v>1</v>
      </c>
      <c r="AC764" t="n">
        <v>3</v>
      </c>
      <c r="AD764" t="n">
        <v>0</v>
      </c>
      <c r="AE764" t="n">
        <v>81360</v>
      </c>
      <c r="AF764" t="n">
        <v>10360</v>
      </c>
      <c r="AG764" t="n">
        <v>170</v>
      </c>
      <c r="AH764" t="inlineStr">
        <is>
          <t>PT. JALUR MANDIRI UTAMA - PPN (PDG)</t>
        </is>
      </c>
      <c r="AI764" t="n">
        <v>1422</v>
      </c>
      <c r="AJ764" t="inlineStr">
        <is>
          <t>DAZZLE ME</t>
        </is>
      </c>
      <c r="AK764" t="n">
        <v>9</v>
      </c>
      <c r="AL764" t="inlineStr">
        <is>
          <t>Miss Glam Jambi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"8859588113662"</f>
        <v/>
      </c>
      <c r="C765" t="inlineStr">
        <is>
          <t>DAZZLE ME Ink Matte Lip Cream 005 Lush Ink 2.5ml</t>
        </is>
      </c>
      <c r="D765" t="inlineStr">
        <is>
          <t>Miss Glam Jambi</t>
        </is>
      </c>
      <c r="E765" t="n">
        <v>17</v>
      </c>
      <c r="F765" t="n">
        <v>0.0726</v>
      </c>
      <c r="G765" t="n">
        <v>0.66</v>
      </c>
      <c r="H765" t="n">
        <v>3</v>
      </c>
      <c r="I765" t="n">
        <v>11</v>
      </c>
      <c r="J765" t="n">
        <v>3</v>
      </c>
      <c r="K765" t="n">
        <v>0</v>
      </c>
      <c r="L765" t="n">
        <v>17520</v>
      </c>
      <c r="M765" t="n">
        <v>21900</v>
      </c>
      <c r="N765" t="n">
        <v>33</v>
      </c>
      <c r="O765" t="n">
        <v>0.33</v>
      </c>
      <c r="P765" t="n">
        <v>1</v>
      </c>
      <c r="Q765" t="n">
        <v>0.07000000000000001</v>
      </c>
      <c r="R765" t="n">
        <v>1</v>
      </c>
      <c r="S765" t="n">
        <v>1589.94</v>
      </c>
      <c r="T765" t="n">
        <v>8</v>
      </c>
      <c r="U765" t="n">
        <v>9</v>
      </c>
      <c r="V765" t="n">
        <v>30</v>
      </c>
      <c r="W765" t="n">
        <v>3</v>
      </c>
      <c r="X765" t="n">
        <v>234.1597796143251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10360</v>
      </c>
      <c r="AG765" t="n">
        <v>170</v>
      </c>
      <c r="AH765" t="inlineStr">
        <is>
          <t>PT. JALUR MANDIRI UTAMA - PPN (PDG)</t>
        </is>
      </c>
      <c r="AI765" t="n">
        <v>1422</v>
      </c>
      <c r="AJ765" t="inlineStr">
        <is>
          <t>DAZZLE ME</t>
        </is>
      </c>
      <c r="AK765" t="n">
        <v>9</v>
      </c>
      <c r="AL765" t="inlineStr">
        <is>
          <t>Miss Glam Jambi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"8859588115345"</f>
        <v/>
      </c>
      <c r="C766" t="inlineStr">
        <is>
          <t>DAZZLE ME Ink Matte Lip Cream P01 Peach Ink 2.5ml</t>
        </is>
      </c>
      <c r="D766" t="inlineStr">
        <is>
          <t>Miss Glam Jambi</t>
        </is>
      </c>
      <c r="E766" t="n">
        <v>0</v>
      </c>
      <c r="F766" t="n">
        <v>0.0561</v>
      </c>
      <c r="G766" t="n">
        <v>0.66</v>
      </c>
      <c r="H766" t="n">
        <v>3</v>
      </c>
      <c r="I766" t="n">
        <v>11</v>
      </c>
      <c r="J766" t="n">
        <v>3</v>
      </c>
      <c r="K766" t="n">
        <v>3</v>
      </c>
      <c r="L766" t="n">
        <v>17520</v>
      </c>
      <c r="M766" t="n">
        <v>21900</v>
      </c>
      <c r="N766" t="n">
        <v>33</v>
      </c>
      <c r="O766" t="n">
        <v>0.33</v>
      </c>
      <c r="P766" t="n">
        <v>1</v>
      </c>
      <c r="Q766" t="n">
        <v>0.18</v>
      </c>
      <c r="R766" t="n">
        <v>3</v>
      </c>
      <c r="S766" t="n">
        <v>1228.59</v>
      </c>
      <c r="T766" t="n">
        <v>8</v>
      </c>
      <c r="U766" t="n">
        <v>9</v>
      </c>
      <c r="V766" t="n">
        <v>30</v>
      </c>
      <c r="W766" t="n">
        <v>2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10360</v>
      </c>
      <c r="AG766" t="n">
        <v>170</v>
      </c>
      <c r="AH766" t="inlineStr">
        <is>
          <t>PT. JALUR MANDIRI UTAMA - PPN (PDG)</t>
        </is>
      </c>
      <c r="AI766" t="n">
        <v>1422</v>
      </c>
      <c r="AJ766" t="inlineStr">
        <is>
          <t>DAZZLE ME</t>
        </is>
      </c>
      <c r="AK766" t="n">
        <v>9</v>
      </c>
      <c r="AL766" t="inlineStr">
        <is>
          <t>Miss Glam Jambi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"203002176327"</f>
        <v/>
      </c>
      <c r="C767" t="inlineStr">
        <is>
          <t>DAZZLE ME Ink-Gloss Lip Tint B07 Amber-Ink 2.5ml</t>
        </is>
      </c>
      <c r="D767" t="inlineStr">
        <is>
          <t>Miss Glam Jambi</t>
        </is>
      </c>
      <c r="E767" t="n">
        <v>4</v>
      </c>
      <c r="F767" t="n">
        <v>0.0726</v>
      </c>
      <c r="G767" t="n">
        <v>0.66</v>
      </c>
      <c r="H767" t="n">
        <v>3</v>
      </c>
      <c r="I767" t="n">
        <v>11</v>
      </c>
      <c r="J767" t="n">
        <v>3</v>
      </c>
      <c r="K767" t="n">
        <v>0</v>
      </c>
      <c r="L767" t="n">
        <v>17520</v>
      </c>
      <c r="M767" t="n">
        <v>21900</v>
      </c>
      <c r="N767" t="n">
        <v>33</v>
      </c>
      <c r="O767" t="n">
        <v>0.33</v>
      </c>
      <c r="P767" t="n">
        <v>1</v>
      </c>
      <c r="Q767" t="n">
        <v>0.07000000000000001</v>
      </c>
      <c r="R767" t="n">
        <v>2</v>
      </c>
      <c r="S767" t="n">
        <v>1589.94</v>
      </c>
      <c r="T767" t="n">
        <v>8</v>
      </c>
      <c r="U767" t="n">
        <v>9</v>
      </c>
      <c r="V767" t="n">
        <v>30</v>
      </c>
      <c r="W767" t="n">
        <v>3</v>
      </c>
      <c r="X767" t="n">
        <v>55.09641873278237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10360</v>
      </c>
      <c r="AG767" t="n">
        <v>170</v>
      </c>
      <c r="AH767" t="inlineStr">
        <is>
          <t>PT. JALUR MANDIRI UTAMA - PPN (PDG)</t>
        </is>
      </c>
      <c r="AI767" t="n">
        <v>1422</v>
      </c>
      <c r="AJ767" t="inlineStr">
        <is>
          <t>DAZZLE ME</t>
        </is>
      </c>
      <c r="AK767" t="n">
        <v>9</v>
      </c>
      <c r="AL767" t="inlineStr">
        <is>
          <t>Miss Glam Jambi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"8859588112269"</f>
        <v/>
      </c>
      <c r="C768" t="inlineStr">
        <is>
          <t>DAZZLE Me Ink-Gloss Lip Tint O06 Fresh-Ink 2.5ml</t>
        </is>
      </c>
      <c r="D768" t="inlineStr">
        <is>
          <t>Miss Glam Jambi</t>
        </is>
      </c>
      <c r="E768" t="n">
        <v>2</v>
      </c>
      <c r="F768" t="n">
        <v>0.1287</v>
      </c>
      <c r="G768" t="n">
        <v>0.99</v>
      </c>
      <c r="H768" t="n">
        <v>3</v>
      </c>
      <c r="I768" t="n">
        <v>11</v>
      </c>
      <c r="J768" t="n">
        <v>3</v>
      </c>
      <c r="K768" t="n">
        <v>3</v>
      </c>
      <c r="L768" t="n">
        <v>17520</v>
      </c>
      <c r="M768" t="n">
        <v>21900</v>
      </c>
      <c r="N768" t="n">
        <v>33</v>
      </c>
      <c r="O768" t="n">
        <v>0.33</v>
      </c>
      <c r="P768" t="n">
        <v>1</v>
      </c>
      <c r="Q768" t="n">
        <v>0.31</v>
      </c>
      <c r="R768" t="n">
        <v>4</v>
      </c>
      <c r="S768" t="n">
        <v>2818.53</v>
      </c>
      <c r="T768" t="n">
        <v>11</v>
      </c>
      <c r="U768" t="n">
        <v>12</v>
      </c>
      <c r="V768" t="n">
        <v>30</v>
      </c>
      <c r="W768" t="n">
        <v>4</v>
      </c>
      <c r="X768" t="n">
        <v>15.54001554001554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10360</v>
      </c>
      <c r="AG768" t="n">
        <v>170</v>
      </c>
      <c r="AH768" t="inlineStr">
        <is>
          <t>PT. JALUR MANDIRI UTAMA - PPN (PDG)</t>
        </is>
      </c>
      <c r="AI768" t="n">
        <v>1422</v>
      </c>
      <c r="AJ768" t="inlineStr">
        <is>
          <t>DAZZLE ME</t>
        </is>
      </c>
      <c r="AK768" t="n">
        <v>9</v>
      </c>
      <c r="AL768" t="inlineStr">
        <is>
          <t>Miss Glam Jambi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"203002176460"</f>
        <v/>
      </c>
      <c r="C769" t="inlineStr">
        <is>
          <t>DAZZLE ME Ink-Gloss Lip Tint R02 Allure-Ink 2.5ml</t>
        </is>
      </c>
      <c r="D769" t="inlineStr">
        <is>
          <t>Miss Glam Jambi</t>
        </is>
      </c>
      <c r="E769" t="n">
        <v>11</v>
      </c>
      <c r="F769" t="n">
        <v>0.07920000000000001</v>
      </c>
      <c r="G769" t="n">
        <v>0.99</v>
      </c>
      <c r="H769" t="n">
        <v>3</v>
      </c>
      <c r="I769" t="n">
        <v>11</v>
      </c>
      <c r="J769" t="n">
        <v>3</v>
      </c>
      <c r="K769" t="n">
        <v>0</v>
      </c>
      <c r="L769" t="n">
        <v>17520</v>
      </c>
      <c r="M769" t="n">
        <v>21900</v>
      </c>
      <c r="N769" t="n">
        <v>33</v>
      </c>
      <c r="O769" t="n">
        <v>0.33</v>
      </c>
      <c r="P769" t="n">
        <v>1</v>
      </c>
      <c r="Q769" t="n">
        <v>0.14</v>
      </c>
      <c r="R769" t="n">
        <v>2</v>
      </c>
      <c r="S769" t="n">
        <v>1734.48</v>
      </c>
      <c r="T769" t="n">
        <v>11</v>
      </c>
      <c r="U769" t="n">
        <v>12</v>
      </c>
      <c r="V769" t="n">
        <v>30</v>
      </c>
      <c r="W769" t="n">
        <v>3</v>
      </c>
      <c r="X769" t="n">
        <v>138.8888888888889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10360</v>
      </c>
      <c r="AG769" t="n">
        <v>170</v>
      </c>
      <c r="AH769" t="inlineStr">
        <is>
          <t>PT. JALUR MANDIRI UTAMA - PPN (PDG)</t>
        </is>
      </c>
      <c r="AI769" t="n">
        <v>1422</v>
      </c>
      <c r="AJ769" t="inlineStr">
        <is>
          <t>DAZZLE ME</t>
        </is>
      </c>
      <c r="AK769" t="n">
        <v>9</v>
      </c>
      <c r="AL769" t="inlineStr">
        <is>
          <t>Miss Glam Jambi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"8859588112238"</f>
        <v/>
      </c>
      <c r="C770" t="inlineStr">
        <is>
          <t>DAZZLE Me Ink-Gloss Lip Tint R03 Femme-Ink 2.5ml</t>
        </is>
      </c>
      <c r="D770" t="inlineStr">
        <is>
          <t>Miss Glam Jambi</t>
        </is>
      </c>
      <c r="E770" t="n">
        <v>13</v>
      </c>
      <c r="F770" t="n">
        <v>0.1749</v>
      </c>
      <c r="G770" t="n">
        <v>0.99</v>
      </c>
      <c r="H770" t="n">
        <v>3</v>
      </c>
      <c r="I770" t="n">
        <v>11</v>
      </c>
      <c r="J770" t="n">
        <v>3</v>
      </c>
      <c r="K770" t="n">
        <v>0</v>
      </c>
      <c r="L770" t="n">
        <v>17520</v>
      </c>
      <c r="M770" t="n">
        <v>21900</v>
      </c>
      <c r="N770" t="n">
        <v>33</v>
      </c>
      <c r="O770" t="n">
        <v>0.33</v>
      </c>
      <c r="P770" t="n">
        <v>1</v>
      </c>
      <c r="Q770" t="n">
        <v>0.03</v>
      </c>
      <c r="R770" t="n">
        <v>1</v>
      </c>
      <c r="S770" t="n">
        <v>3830.31</v>
      </c>
      <c r="T770" t="n">
        <v>11</v>
      </c>
      <c r="U770" t="n">
        <v>12</v>
      </c>
      <c r="V770" t="n">
        <v>30</v>
      </c>
      <c r="W770" t="n">
        <v>6</v>
      </c>
      <c r="X770" t="n">
        <v>74.3281875357347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10360</v>
      </c>
      <c r="AG770" t="n">
        <v>170</v>
      </c>
      <c r="AH770" t="inlineStr">
        <is>
          <t>PT. JALUR MANDIRI UTAMA - PPN (PDG)</t>
        </is>
      </c>
      <c r="AI770" t="n">
        <v>1422</v>
      </c>
      <c r="AJ770" t="inlineStr">
        <is>
          <t>DAZZLE ME</t>
        </is>
      </c>
      <c r="AK770" t="n">
        <v>9</v>
      </c>
      <c r="AL770" t="inlineStr">
        <is>
          <t>Miss Glam Jambi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"203002176241"</f>
        <v/>
      </c>
      <c r="C771" t="inlineStr">
        <is>
          <t>DAZZLE ME Ink-Gloss Lip Tint R04 Toasty-Ink 2.5ml</t>
        </is>
      </c>
      <c r="D771" t="inlineStr">
        <is>
          <t>Miss Glam Jambi</t>
        </is>
      </c>
      <c r="E771" t="n">
        <v>11</v>
      </c>
      <c r="F771" t="n">
        <v>0.0495</v>
      </c>
      <c r="G771" t="n">
        <v>0.33</v>
      </c>
      <c r="H771" t="n">
        <v>3</v>
      </c>
      <c r="I771" t="n">
        <v>11</v>
      </c>
      <c r="J771" t="n">
        <v>3</v>
      </c>
      <c r="K771" t="n">
        <v>0</v>
      </c>
      <c r="L771" t="n">
        <v>17520</v>
      </c>
      <c r="M771" t="n">
        <v>21900</v>
      </c>
      <c r="N771" t="n">
        <v>33</v>
      </c>
      <c r="O771" t="n">
        <v>0.33</v>
      </c>
      <c r="P771" t="n">
        <v>1</v>
      </c>
      <c r="Q771" t="n">
        <v>0.1</v>
      </c>
      <c r="R771" t="n">
        <v>2</v>
      </c>
      <c r="S771" t="n">
        <v>1084.05</v>
      </c>
      <c r="T771" t="n">
        <v>4</v>
      </c>
      <c r="U771" t="n">
        <v>5</v>
      </c>
      <c r="V771" t="n">
        <v>30</v>
      </c>
      <c r="W771" t="n">
        <v>2</v>
      </c>
      <c r="X771" t="n">
        <v>222.2222222222222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10360</v>
      </c>
      <c r="AG771" t="n">
        <v>170</v>
      </c>
      <c r="AH771" t="inlineStr">
        <is>
          <t>PT. JALUR MANDIRI UTAMA - PPN (PDG)</t>
        </is>
      </c>
      <c r="AI771" t="n">
        <v>1422</v>
      </c>
      <c r="AJ771" t="inlineStr">
        <is>
          <t>DAZZLE ME</t>
        </is>
      </c>
      <c r="AK771" t="n">
        <v>9</v>
      </c>
      <c r="AL771" t="inlineStr">
        <is>
          <t>Miss Glam Jambi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"203002175603"</f>
        <v/>
      </c>
      <c r="C772" t="inlineStr">
        <is>
          <t>DAZZLE ME Ink-Matte Lip Cream B06 Worth-Ink 2.5 ml - Box</t>
        </is>
      </c>
      <c r="D772" t="inlineStr">
        <is>
          <t>Miss Glam Jambi</t>
        </is>
      </c>
      <c r="E772" t="n">
        <v>5</v>
      </c>
      <c r="F772" t="n">
        <v>0.1023</v>
      </c>
      <c r="G772" t="n">
        <v>0.66</v>
      </c>
      <c r="H772" t="n">
        <v>3</v>
      </c>
      <c r="I772" t="n">
        <v>11</v>
      </c>
      <c r="J772" t="n">
        <v>3</v>
      </c>
      <c r="K772" t="n">
        <v>0</v>
      </c>
      <c r="L772" t="n">
        <v>17520</v>
      </c>
      <c r="M772" t="n">
        <v>21900</v>
      </c>
      <c r="N772" t="n">
        <v>33</v>
      </c>
      <c r="O772" t="n">
        <v>0.33</v>
      </c>
      <c r="P772" t="n">
        <v>1</v>
      </c>
      <c r="Q772" t="n">
        <v>0.07000000000000001</v>
      </c>
      <c r="R772" t="n">
        <v>1</v>
      </c>
      <c r="S772" t="n">
        <v>2240.37</v>
      </c>
      <c r="T772" t="n">
        <v>7</v>
      </c>
      <c r="U772" t="n">
        <v>8</v>
      </c>
      <c r="V772" t="n">
        <v>30</v>
      </c>
      <c r="W772" t="n">
        <v>4</v>
      </c>
      <c r="X772" t="n">
        <v>48.87585532746823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10360</v>
      </c>
      <c r="AG772" t="n">
        <v>170</v>
      </c>
      <c r="AH772" t="inlineStr">
        <is>
          <t>PT. JALUR MANDIRI UTAMA - PPN (PDG)</t>
        </is>
      </c>
      <c r="AI772" t="n">
        <v>1422</v>
      </c>
      <c r="AJ772" t="inlineStr">
        <is>
          <t>DAZZLE ME</t>
        </is>
      </c>
      <c r="AK772" t="n">
        <v>9</v>
      </c>
      <c r="AL772" t="inlineStr">
        <is>
          <t>Miss Glam Jambi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"203002175811"</f>
        <v/>
      </c>
      <c r="C773" t="inlineStr">
        <is>
          <t>DAZZLE ME Ink-Matte Lip Cream P04 Wonder-Ink 2.5 ml Box</t>
        </is>
      </c>
      <c r="D773" t="inlineStr">
        <is>
          <t>Miss Glam Jambi</t>
        </is>
      </c>
      <c r="E773" t="n">
        <v>8</v>
      </c>
      <c r="F773" t="n">
        <v>0.1287</v>
      </c>
      <c r="G773" t="n">
        <v>0.66</v>
      </c>
      <c r="H773" t="n">
        <v>3</v>
      </c>
      <c r="I773" t="n">
        <v>11</v>
      </c>
      <c r="J773" t="n">
        <v>3</v>
      </c>
      <c r="K773" t="n">
        <v>0</v>
      </c>
      <c r="L773" t="n">
        <v>17520</v>
      </c>
      <c r="M773" t="n">
        <v>21900</v>
      </c>
      <c r="N773" t="n">
        <v>33</v>
      </c>
      <c r="O773" t="n">
        <v>0.33</v>
      </c>
      <c r="P773" t="n">
        <v>1</v>
      </c>
      <c r="Q773" t="n">
        <v>0.07000000000000001</v>
      </c>
      <c r="R773" t="n">
        <v>2</v>
      </c>
      <c r="S773" t="n">
        <v>2818.53</v>
      </c>
      <c r="T773" t="n">
        <v>7</v>
      </c>
      <c r="U773" t="n">
        <v>8</v>
      </c>
      <c r="V773" t="n">
        <v>30</v>
      </c>
      <c r="W773" t="n">
        <v>4</v>
      </c>
      <c r="X773" t="n">
        <v>62.16006216006215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10360</v>
      </c>
      <c r="AG773" t="n">
        <v>170</v>
      </c>
      <c r="AH773" t="inlineStr">
        <is>
          <t>PT. JALUR MANDIRI UTAMA - PPN (PDG)</t>
        </is>
      </c>
      <c r="AI773" t="n">
        <v>1422</v>
      </c>
      <c r="AJ773" t="inlineStr">
        <is>
          <t>DAZZLE ME</t>
        </is>
      </c>
      <c r="AK773" t="n">
        <v>9</v>
      </c>
      <c r="AL773" t="inlineStr">
        <is>
          <t>Miss Glam Jambi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"8859588113693"</f>
        <v/>
      </c>
      <c r="C774" t="inlineStr">
        <is>
          <t>DAZZLE ME Ink-Matte Lip Cream R08 Joy-Ink 2.5 ml</t>
        </is>
      </c>
      <c r="D774" t="inlineStr">
        <is>
          <t>Miss Glam Jambi</t>
        </is>
      </c>
      <c r="E774" t="n">
        <v>0</v>
      </c>
      <c r="F774" t="n">
        <v>0.2475</v>
      </c>
      <c r="G774" t="n">
        <v>0.99</v>
      </c>
      <c r="H774" t="n">
        <v>3</v>
      </c>
      <c r="I774" t="n">
        <v>11</v>
      </c>
      <c r="J774" t="n">
        <v>3</v>
      </c>
      <c r="K774" t="n">
        <v>5</v>
      </c>
      <c r="L774" t="n">
        <v>17520</v>
      </c>
      <c r="M774" t="n">
        <v>21900</v>
      </c>
      <c r="N774" t="n">
        <v>33</v>
      </c>
      <c r="O774" t="n">
        <v>0.33</v>
      </c>
      <c r="P774" t="n">
        <v>1</v>
      </c>
      <c r="Q774" t="n">
        <v>0.12</v>
      </c>
      <c r="R774" t="n">
        <v>3</v>
      </c>
      <c r="S774" t="n">
        <v>5420.25</v>
      </c>
      <c r="T774" t="n">
        <v>11</v>
      </c>
      <c r="U774" t="n">
        <v>12</v>
      </c>
      <c r="V774" t="n">
        <v>30</v>
      </c>
      <c r="W774" t="n">
        <v>8</v>
      </c>
      <c r="X774" t="n">
        <v>0</v>
      </c>
      <c r="Y774" t="n">
        <v>1</v>
      </c>
      <c r="Z774" t="n">
        <v>3</v>
      </c>
      <c r="AA774" t="n">
        <v>2</v>
      </c>
      <c r="AB774" t="n">
        <v>1</v>
      </c>
      <c r="AC774" t="n">
        <v>3</v>
      </c>
      <c r="AD774" t="n">
        <v>35040</v>
      </c>
      <c r="AE774" t="n">
        <v>52560</v>
      </c>
      <c r="AF774" t="n">
        <v>10360</v>
      </c>
      <c r="AG774" t="n">
        <v>170</v>
      </c>
      <c r="AH774" t="inlineStr">
        <is>
          <t>PT. JALUR MANDIRI UTAMA - PPN (PDG)</t>
        </is>
      </c>
      <c r="AI774" t="n">
        <v>1422</v>
      </c>
      <c r="AJ774" t="inlineStr">
        <is>
          <t>DAZZLE ME</t>
        </is>
      </c>
      <c r="AK774" t="n">
        <v>9</v>
      </c>
      <c r="AL774" t="inlineStr">
        <is>
          <t>Miss Glam Jambi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"203002199740"</f>
        <v/>
      </c>
      <c r="C775" t="inlineStr">
        <is>
          <t>DAZZLE ME Ink-Mousse Lip Cream N819 Not Today 2.5ml</t>
        </is>
      </c>
      <c r="D775" t="inlineStr">
        <is>
          <t>Miss Glam Jambi</t>
        </is>
      </c>
      <c r="E775" t="n">
        <v>4</v>
      </c>
      <c r="F775" t="n">
        <v>0.07000000000000001</v>
      </c>
      <c r="G775" t="n">
        <v>2</v>
      </c>
      <c r="H775" t="n">
        <v>3</v>
      </c>
      <c r="I775" t="n">
        <v>11</v>
      </c>
      <c r="J775" t="n">
        <v>1</v>
      </c>
      <c r="K775" t="n">
        <v>0</v>
      </c>
      <c r="L775" t="n">
        <v>31920</v>
      </c>
      <c r="M775" t="n">
        <v>39900</v>
      </c>
      <c r="N775" t="n">
        <v>33</v>
      </c>
      <c r="O775" t="n">
        <v>0.33</v>
      </c>
      <c r="P775" t="n">
        <v>0</v>
      </c>
      <c r="Q775" t="n">
        <v>0.07000000000000001</v>
      </c>
      <c r="R775" t="n">
        <v>2</v>
      </c>
      <c r="S775" t="n">
        <v>2793</v>
      </c>
      <c r="T775" t="n">
        <v>22</v>
      </c>
      <c r="U775" t="n">
        <v>23</v>
      </c>
      <c r="V775" t="n">
        <v>30</v>
      </c>
      <c r="W775" t="n">
        <v>3</v>
      </c>
      <c r="X775" t="n">
        <v>57.14285714285714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10360</v>
      </c>
      <c r="AG775" t="n">
        <v>170</v>
      </c>
      <c r="AH775" t="inlineStr">
        <is>
          <t>PT. JALUR MANDIRI UTAMA - PPN (PDG)</t>
        </is>
      </c>
      <c r="AI775" t="n">
        <v>1422</v>
      </c>
      <c r="AJ775" t="inlineStr">
        <is>
          <t>DAZZLE ME</t>
        </is>
      </c>
      <c r="AK775" t="n">
        <v>9</v>
      </c>
      <c r="AL775" t="inlineStr">
        <is>
          <t>Miss Glam Jambi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"203002199348"</f>
        <v/>
      </c>
      <c r="C776" t="inlineStr">
        <is>
          <t>DAZZLE ME Ink-Mousse Lip Cream O066 Release Me 2.5ml</t>
        </is>
      </c>
      <c r="D776" t="inlineStr">
        <is>
          <t>Miss Glam Jambi</t>
        </is>
      </c>
      <c r="E776" t="n">
        <v>7</v>
      </c>
      <c r="F776" t="n">
        <v>0.006600000000000001</v>
      </c>
      <c r="G776" t="n">
        <v>0.33</v>
      </c>
      <c r="H776" t="n">
        <v>3</v>
      </c>
      <c r="I776" t="n">
        <v>11</v>
      </c>
      <c r="J776" t="n">
        <v>1</v>
      </c>
      <c r="K776" t="n">
        <v>0</v>
      </c>
      <c r="L776" t="n">
        <v>31920</v>
      </c>
      <c r="M776" t="n">
        <v>39900</v>
      </c>
      <c r="N776" t="n">
        <v>33</v>
      </c>
      <c r="O776" t="n">
        <v>0.33</v>
      </c>
      <c r="P776" t="n">
        <v>1</v>
      </c>
      <c r="Q776" t="n">
        <v>0.08</v>
      </c>
      <c r="R776" t="n">
        <v>1</v>
      </c>
      <c r="S776" t="n">
        <v>263.34</v>
      </c>
      <c r="T776" t="n">
        <v>4</v>
      </c>
      <c r="U776" t="n">
        <v>5</v>
      </c>
      <c r="V776" t="n">
        <v>30</v>
      </c>
      <c r="W776" t="n">
        <v>1</v>
      </c>
      <c r="X776" t="n">
        <v>1060.606060606061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10360</v>
      </c>
      <c r="AG776" t="n">
        <v>170</v>
      </c>
      <c r="AH776" t="inlineStr">
        <is>
          <t>PT. JALUR MANDIRI UTAMA - PPN (PDG)</t>
        </is>
      </c>
      <c r="AI776" t="n">
        <v>1422</v>
      </c>
      <c r="AJ776" t="inlineStr">
        <is>
          <t>DAZZLE ME</t>
        </is>
      </c>
      <c r="AK776" t="n">
        <v>9</v>
      </c>
      <c r="AL776" t="inlineStr">
        <is>
          <t>Miss Glam Jambi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"203002199504"</f>
        <v/>
      </c>
      <c r="C777" t="inlineStr">
        <is>
          <t>DAZZLE ME Ink-Mousse Lip Cream R666 Blazing Hot 2.5ml</t>
        </is>
      </c>
      <c r="D777" t="inlineStr">
        <is>
          <t>Miss Glam Jambi</t>
        </is>
      </c>
      <c r="E777" t="n">
        <v>0</v>
      </c>
      <c r="F777" t="n">
        <v>0.0561</v>
      </c>
      <c r="G777" t="n">
        <v>0.99</v>
      </c>
      <c r="H777" t="n">
        <v>3</v>
      </c>
      <c r="I777" t="n">
        <v>11</v>
      </c>
      <c r="J777" t="n">
        <v>1</v>
      </c>
      <c r="K777" t="n">
        <v>1</v>
      </c>
      <c r="L777" t="n">
        <v>31920</v>
      </c>
      <c r="M777" t="n">
        <v>39900</v>
      </c>
      <c r="N777" t="n">
        <v>33</v>
      </c>
      <c r="O777" t="n">
        <v>0.33</v>
      </c>
      <c r="P777" t="n">
        <v>1</v>
      </c>
      <c r="Q777" t="n">
        <v>0.14</v>
      </c>
      <c r="R777" t="n">
        <v>2</v>
      </c>
      <c r="S777" t="n">
        <v>2238.39</v>
      </c>
      <c r="T777" t="n">
        <v>11</v>
      </c>
      <c r="U777" t="n">
        <v>12</v>
      </c>
      <c r="V777" t="n">
        <v>30</v>
      </c>
      <c r="W777" t="n">
        <v>2</v>
      </c>
      <c r="X777" t="n">
        <v>0</v>
      </c>
      <c r="Y777" t="n">
        <v>1</v>
      </c>
      <c r="Z777" t="n">
        <v>1</v>
      </c>
      <c r="AA777" t="n">
        <v>0</v>
      </c>
      <c r="AB777" t="n">
        <v>1</v>
      </c>
      <c r="AC777" t="n">
        <v>1</v>
      </c>
      <c r="AD777" t="n">
        <v>0</v>
      </c>
      <c r="AE777" t="n">
        <v>31920</v>
      </c>
      <c r="AF777" t="n">
        <v>10360</v>
      </c>
      <c r="AG777" t="n">
        <v>170</v>
      </c>
      <c r="AH777" t="inlineStr">
        <is>
          <t>PT. JALUR MANDIRI UTAMA - PPN (PDG)</t>
        </is>
      </c>
      <c r="AI777" t="n">
        <v>1422</v>
      </c>
      <c r="AJ777" t="inlineStr">
        <is>
          <t>DAZZLE ME</t>
        </is>
      </c>
      <c r="AK777" t="n">
        <v>9</v>
      </c>
      <c r="AL777" t="inlineStr">
        <is>
          <t>Miss Glam Jambi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"203002199655"</f>
        <v/>
      </c>
      <c r="C778" t="inlineStr">
        <is>
          <t>DAZZLE ME Ink-Mousse Lip Cream R757 Joyful 2.5ml</t>
        </is>
      </c>
      <c r="D778" t="inlineStr">
        <is>
          <t>Miss Glam Jambi</t>
        </is>
      </c>
      <c r="E778" t="n">
        <v>3</v>
      </c>
      <c r="F778" t="n">
        <v>0.0165</v>
      </c>
      <c r="G778" t="n">
        <v>0.66</v>
      </c>
      <c r="H778" t="n">
        <v>3</v>
      </c>
      <c r="I778" t="n">
        <v>11</v>
      </c>
      <c r="J778" t="n">
        <v>1</v>
      </c>
      <c r="K778" t="n">
        <v>0</v>
      </c>
      <c r="L778" t="n">
        <v>31920</v>
      </c>
      <c r="M778" t="n">
        <v>39900</v>
      </c>
      <c r="N778" t="n">
        <v>33</v>
      </c>
      <c r="O778" t="n">
        <v>0.33</v>
      </c>
      <c r="P778" t="n">
        <v>1</v>
      </c>
      <c r="Q778" t="n">
        <v>0.12</v>
      </c>
      <c r="R778" t="n">
        <v>2</v>
      </c>
      <c r="S778" t="n">
        <v>658.35</v>
      </c>
      <c r="T778" t="n">
        <v>8</v>
      </c>
      <c r="U778" t="n">
        <v>9</v>
      </c>
      <c r="V778" t="n">
        <v>30</v>
      </c>
      <c r="W778" t="n">
        <v>1</v>
      </c>
      <c r="X778" t="n">
        <v>181.8181818181818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10360</v>
      </c>
      <c r="AG778" t="n">
        <v>170</v>
      </c>
      <c r="AH778" t="inlineStr">
        <is>
          <t>PT. JALUR MANDIRI UTAMA - PPN (PDG)</t>
        </is>
      </c>
      <c r="AI778" t="n">
        <v>1422</v>
      </c>
      <c r="AJ778" t="inlineStr">
        <is>
          <t>DAZZLE ME</t>
        </is>
      </c>
      <c r="AK778" t="n">
        <v>9</v>
      </c>
      <c r="AL778" t="inlineStr">
        <is>
          <t>Miss Glam Jambi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"203002199803"</f>
        <v/>
      </c>
      <c r="C779" t="inlineStr">
        <is>
          <t>DAZZLE ME Ink-Vinyl Lip Lacquer 008 Power-Ink 2.5ml</t>
        </is>
      </c>
      <c r="D779" t="inlineStr">
        <is>
          <t>Miss Glam Jambi</t>
        </is>
      </c>
      <c r="E779" t="n">
        <v>2</v>
      </c>
      <c r="F779" t="n">
        <v>0.1353</v>
      </c>
      <c r="G779" t="n">
        <v>0.99</v>
      </c>
      <c r="H779" t="n">
        <v>3</v>
      </c>
      <c r="I779" t="n">
        <v>11</v>
      </c>
      <c r="J779" t="n">
        <v>1</v>
      </c>
      <c r="K779" t="n">
        <v>3</v>
      </c>
      <c r="L779" t="n">
        <v>31920</v>
      </c>
      <c r="M779" t="n">
        <v>39900</v>
      </c>
      <c r="N779" t="n">
        <v>33</v>
      </c>
      <c r="O779" t="n">
        <v>0.33</v>
      </c>
      <c r="P779" t="n">
        <v>1</v>
      </c>
      <c r="Q779" t="n">
        <v>0.1</v>
      </c>
      <c r="R779" t="n">
        <v>2</v>
      </c>
      <c r="S779" t="n">
        <v>5398.47</v>
      </c>
      <c r="T779" t="n">
        <v>11</v>
      </c>
      <c r="U779" t="n">
        <v>12</v>
      </c>
      <c r="V779" t="n">
        <v>30</v>
      </c>
      <c r="W779" t="n">
        <v>5</v>
      </c>
      <c r="X779" t="n">
        <v>14.7819660014782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10360</v>
      </c>
      <c r="AG779" t="n">
        <v>170</v>
      </c>
      <c r="AH779" t="inlineStr">
        <is>
          <t>PT. JALUR MANDIRI UTAMA - PPN (PDG)</t>
        </is>
      </c>
      <c r="AI779" t="n">
        <v>1422</v>
      </c>
      <c r="AJ779" t="inlineStr">
        <is>
          <t>DAZZLE ME</t>
        </is>
      </c>
      <c r="AK779" t="n">
        <v>9</v>
      </c>
      <c r="AL779" t="inlineStr">
        <is>
          <t>Miss Glam Jambi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"203002199926"</f>
        <v/>
      </c>
      <c r="C780" t="inlineStr">
        <is>
          <t>DAZZLE ME Ink-Vinyl Lip Lacquer 035 Icon-Ink 2.5ml</t>
        </is>
      </c>
      <c r="D780" t="inlineStr">
        <is>
          <t>Miss Glam Jambi</t>
        </is>
      </c>
      <c r="E780" t="n">
        <v>30</v>
      </c>
      <c r="F780" t="n">
        <v>0.396</v>
      </c>
      <c r="G780" t="n">
        <v>1.65</v>
      </c>
      <c r="H780" t="n">
        <v>3</v>
      </c>
      <c r="I780" t="n">
        <v>11</v>
      </c>
      <c r="J780" t="n">
        <v>1</v>
      </c>
      <c r="K780" t="n">
        <v>0</v>
      </c>
      <c r="L780" t="n">
        <v>35946</v>
      </c>
      <c r="M780" t="n">
        <v>39900</v>
      </c>
      <c r="N780" t="n">
        <v>33</v>
      </c>
      <c r="O780" t="n">
        <v>0.33</v>
      </c>
      <c r="P780" t="n">
        <v>1</v>
      </c>
      <c r="Q780" t="n">
        <v>0.27</v>
      </c>
      <c r="R780" t="n">
        <v>4</v>
      </c>
      <c r="S780" t="n">
        <v>15800.4</v>
      </c>
      <c r="T780" t="n">
        <v>17</v>
      </c>
      <c r="U780" t="n">
        <v>19</v>
      </c>
      <c r="V780" t="n">
        <v>30</v>
      </c>
      <c r="W780" t="n">
        <v>12</v>
      </c>
      <c r="X780" t="n">
        <v>75.75757575757575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10360</v>
      </c>
      <c r="AG780" t="n">
        <v>170</v>
      </c>
      <c r="AH780" t="inlineStr">
        <is>
          <t>PT. JALUR MANDIRI UTAMA - PPN (PDG)</t>
        </is>
      </c>
      <c r="AI780" t="n">
        <v>1422</v>
      </c>
      <c r="AJ780" t="inlineStr">
        <is>
          <t>DAZZLE ME</t>
        </is>
      </c>
      <c r="AK780" t="n">
        <v>9</v>
      </c>
      <c r="AL780" t="inlineStr">
        <is>
          <t>Miss Glam Jambi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"203002200012"</f>
        <v/>
      </c>
      <c r="C781" t="inlineStr">
        <is>
          <t>DAZZLE ME Ink-Vinyl Lip Lacquer 099 Posh-Ink 2.5ml</t>
        </is>
      </c>
      <c r="D781" t="inlineStr">
        <is>
          <t>Miss Glam Jambi</t>
        </is>
      </c>
      <c r="E781" t="n">
        <v>7</v>
      </c>
      <c r="F781" t="n">
        <v>0.1056</v>
      </c>
      <c r="G781" t="n">
        <v>0.99</v>
      </c>
      <c r="H781" t="n">
        <v>3</v>
      </c>
      <c r="I781" t="n">
        <v>11</v>
      </c>
      <c r="J781" t="n">
        <v>1</v>
      </c>
      <c r="K781" t="n">
        <v>0</v>
      </c>
      <c r="L781" t="n">
        <v>31920</v>
      </c>
      <c r="M781" t="n">
        <v>39900</v>
      </c>
      <c r="N781" t="n">
        <v>33</v>
      </c>
      <c r="O781" t="n">
        <v>0.33</v>
      </c>
      <c r="P781" t="n">
        <v>1</v>
      </c>
      <c r="Q781" t="n">
        <v>0.08</v>
      </c>
      <c r="R781" t="n">
        <v>3</v>
      </c>
      <c r="S781" t="n">
        <v>4213.440000000001</v>
      </c>
      <c r="T781" t="n">
        <v>11</v>
      </c>
      <c r="U781" t="n">
        <v>12</v>
      </c>
      <c r="V781" t="n">
        <v>30</v>
      </c>
      <c r="W781" t="n">
        <v>4</v>
      </c>
      <c r="X781" t="n">
        <v>66.28787878787878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10360</v>
      </c>
      <c r="AG781" t="n">
        <v>170</v>
      </c>
      <c r="AH781" t="inlineStr">
        <is>
          <t>PT. JALUR MANDIRI UTAMA - PPN (PDG)</t>
        </is>
      </c>
      <c r="AI781" t="n">
        <v>1422</v>
      </c>
      <c r="AJ781" t="inlineStr">
        <is>
          <t>DAZZLE ME</t>
        </is>
      </c>
      <c r="AK781" t="n">
        <v>9</v>
      </c>
      <c r="AL781" t="inlineStr">
        <is>
          <t>Miss Glam Jambi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"203002200107"</f>
        <v/>
      </c>
      <c r="C782" t="inlineStr">
        <is>
          <t>DAZZLE ME Ink-Vinyl Lip Lacquer 233 Magic-Ink 2.5ml</t>
        </is>
      </c>
      <c r="D782" t="inlineStr">
        <is>
          <t>Miss Glam Jambi</t>
        </is>
      </c>
      <c r="E782" t="n">
        <v>5</v>
      </c>
      <c r="F782" t="n">
        <v>0.4257</v>
      </c>
      <c r="G782" t="n">
        <v>3.96</v>
      </c>
      <c r="H782" t="n">
        <v>3</v>
      </c>
      <c r="I782" t="n">
        <v>11</v>
      </c>
      <c r="J782" t="n">
        <v>1</v>
      </c>
      <c r="K782" t="n">
        <v>6</v>
      </c>
      <c r="L782" t="n">
        <v>31920</v>
      </c>
      <c r="M782" t="n">
        <v>39900</v>
      </c>
      <c r="N782" t="n">
        <v>33</v>
      </c>
      <c r="O782" t="n">
        <v>0.33</v>
      </c>
      <c r="P782" t="n">
        <v>1</v>
      </c>
      <c r="Q782" t="n">
        <v>0.36</v>
      </c>
      <c r="R782" t="n">
        <v>5</v>
      </c>
      <c r="S782" t="n">
        <v>16985.43</v>
      </c>
      <c r="T782" t="n">
        <v>43</v>
      </c>
      <c r="U782" t="n">
        <v>45</v>
      </c>
      <c r="V782" t="n">
        <v>30</v>
      </c>
      <c r="W782" t="n">
        <v>13</v>
      </c>
      <c r="X782" t="n">
        <v>11.74536058256988</v>
      </c>
      <c r="Y782" t="n">
        <v>1</v>
      </c>
      <c r="Z782" t="n">
        <v>2</v>
      </c>
      <c r="AA782" t="n">
        <v>0</v>
      </c>
      <c r="AB782" t="n">
        <v>2</v>
      </c>
      <c r="AC782" t="n">
        <v>2</v>
      </c>
      <c r="AD782" t="n">
        <v>0</v>
      </c>
      <c r="AE782" t="n">
        <v>63840</v>
      </c>
      <c r="AF782" t="n">
        <v>10360</v>
      </c>
      <c r="AG782" t="n">
        <v>170</v>
      </c>
      <c r="AH782" t="inlineStr">
        <is>
          <t>PT. JALUR MANDIRI UTAMA - PPN (PDG)</t>
        </is>
      </c>
      <c r="AI782" t="n">
        <v>1422</v>
      </c>
      <c r="AJ782" t="inlineStr">
        <is>
          <t>DAZZLE ME</t>
        </is>
      </c>
      <c r="AK782" t="n">
        <v>9</v>
      </c>
      <c r="AL782" t="inlineStr">
        <is>
          <t>Miss Glam Jambi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"203002200247"</f>
        <v/>
      </c>
      <c r="C783" t="inlineStr">
        <is>
          <t>DAZZLE ME Ink-Vinyl Lip Lacquer 555 Famous-Ink 2.5ml</t>
        </is>
      </c>
      <c r="D783" t="inlineStr">
        <is>
          <t>Miss Glam Jambi</t>
        </is>
      </c>
      <c r="E783" t="n">
        <v>23</v>
      </c>
      <c r="F783" t="n">
        <v>0.2178</v>
      </c>
      <c r="G783" t="n">
        <v>1.32</v>
      </c>
      <c r="H783" t="n">
        <v>3</v>
      </c>
      <c r="I783" t="n">
        <v>11</v>
      </c>
      <c r="J783" t="n">
        <v>1</v>
      </c>
      <c r="K783" t="n">
        <v>0</v>
      </c>
      <c r="L783" t="n">
        <v>31920</v>
      </c>
      <c r="M783" t="n">
        <v>39900</v>
      </c>
      <c r="N783" t="n">
        <v>33</v>
      </c>
      <c r="O783" t="n">
        <v>0.33</v>
      </c>
      <c r="P783" t="n">
        <v>1</v>
      </c>
      <c r="Q783" t="n">
        <v>0.19</v>
      </c>
      <c r="R783" t="n">
        <v>2</v>
      </c>
      <c r="S783" t="n">
        <v>8690.220000000001</v>
      </c>
      <c r="T783" t="n">
        <v>14</v>
      </c>
      <c r="U783" t="n">
        <v>15</v>
      </c>
      <c r="V783" t="n">
        <v>30</v>
      </c>
      <c r="W783" t="n">
        <v>7</v>
      </c>
      <c r="X783" t="n">
        <v>105.6014692378329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10360</v>
      </c>
      <c r="AG783" t="n">
        <v>170</v>
      </c>
      <c r="AH783" t="inlineStr">
        <is>
          <t>PT. JALUR MANDIRI UTAMA - PPN (PDG)</t>
        </is>
      </c>
      <c r="AI783" t="n">
        <v>1422</v>
      </c>
      <c r="AJ783" t="inlineStr">
        <is>
          <t>DAZZLE ME</t>
        </is>
      </c>
      <c r="AK783" t="n">
        <v>9</v>
      </c>
      <c r="AL783" t="inlineStr">
        <is>
          <t>Miss Glam Jambi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"20200219411"</f>
        <v/>
      </c>
      <c r="C784" t="inlineStr">
        <is>
          <t>DAZZLE ME Lock &amp; Pop! Longlash-ting Mascara 7gr</t>
        </is>
      </c>
      <c r="D784" t="inlineStr">
        <is>
          <t>Miss Glam Jambi</t>
        </is>
      </c>
      <c r="E784" t="n">
        <v>73</v>
      </c>
      <c r="F784" t="n">
        <v>0.4686</v>
      </c>
      <c r="G784" t="n">
        <v>2.97</v>
      </c>
      <c r="H784" t="n">
        <v>3</v>
      </c>
      <c r="I784" t="n">
        <v>11</v>
      </c>
      <c r="J784" t="n">
        <v>1</v>
      </c>
      <c r="K784" t="n">
        <v>0</v>
      </c>
      <c r="L784" t="n">
        <v>27920</v>
      </c>
      <c r="M784" t="n">
        <v>34900</v>
      </c>
      <c r="N784" t="n">
        <v>33</v>
      </c>
      <c r="O784" t="n">
        <v>0.33</v>
      </c>
      <c r="P784" t="n">
        <v>1</v>
      </c>
      <c r="Q784" t="n">
        <v>0.46</v>
      </c>
      <c r="R784" t="n">
        <v>4</v>
      </c>
      <c r="S784" t="n">
        <v>16354.14</v>
      </c>
      <c r="T784" t="n">
        <v>32</v>
      </c>
      <c r="U784" t="n">
        <v>34</v>
      </c>
      <c r="V784" t="n">
        <v>30</v>
      </c>
      <c r="W784" t="n">
        <v>15</v>
      </c>
      <c r="X784" t="n">
        <v>155.783183952198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10360</v>
      </c>
      <c r="AG784" t="n">
        <v>170</v>
      </c>
      <c r="AH784" t="inlineStr">
        <is>
          <t>PT. JALUR MANDIRI UTAMA - PPN (PDG)</t>
        </is>
      </c>
      <c r="AI784" t="n">
        <v>1422</v>
      </c>
      <c r="AJ784" t="inlineStr">
        <is>
          <t>DAZZLE ME</t>
        </is>
      </c>
      <c r="AK784" t="n">
        <v>9</v>
      </c>
      <c r="AL784" t="inlineStr">
        <is>
          <t>Miss Glam Jambi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"20200219540"</f>
        <v/>
      </c>
      <c r="C785" t="inlineStr">
        <is>
          <t>DAZZLE ME Lock &amp; Pop! Volumx-ing Mascara 7gr</t>
        </is>
      </c>
      <c r="D785" t="inlineStr">
        <is>
          <t>Miss Glam Jambi</t>
        </is>
      </c>
      <c r="E785" t="n">
        <v>78</v>
      </c>
      <c r="F785" t="n">
        <v>0.5049</v>
      </c>
      <c r="G785" t="n">
        <v>3.3</v>
      </c>
      <c r="H785" t="n">
        <v>3</v>
      </c>
      <c r="I785" t="n">
        <v>11</v>
      </c>
      <c r="J785" t="n">
        <v>1</v>
      </c>
      <c r="K785" t="n">
        <v>0</v>
      </c>
      <c r="L785" t="n">
        <v>27920</v>
      </c>
      <c r="M785" t="n">
        <v>34900</v>
      </c>
      <c r="N785" t="n">
        <v>33</v>
      </c>
      <c r="O785" t="n">
        <v>0.33</v>
      </c>
      <c r="P785" t="n">
        <v>1</v>
      </c>
      <c r="Q785" t="n">
        <v>0.39</v>
      </c>
      <c r="R785" t="n">
        <v>4</v>
      </c>
      <c r="S785" t="n">
        <v>17621.01</v>
      </c>
      <c r="T785" t="n">
        <v>35</v>
      </c>
      <c r="U785" t="n">
        <v>37</v>
      </c>
      <c r="V785" t="n">
        <v>30</v>
      </c>
      <c r="W785" t="n">
        <v>16</v>
      </c>
      <c r="X785" t="n">
        <v>154.486036838978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10360</v>
      </c>
      <c r="AG785" t="n">
        <v>170</v>
      </c>
      <c r="AH785" t="inlineStr">
        <is>
          <t>PT. JALUR MANDIRI UTAMA - PPN (PDG)</t>
        </is>
      </c>
      <c r="AI785" t="n">
        <v>1422</v>
      </c>
      <c r="AJ785" t="inlineStr">
        <is>
          <t>DAZZLE ME</t>
        </is>
      </c>
      <c r="AK785" t="n">
        <v>9</v>
      </c>
      <c r="AL785" t="inlineStr">
        <is>
          <t>Miss Glam Jambi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"20200469404"</f>
        <v/>
      </c>
      <c r="C786" t="inlineStr">
        <is>
          <t>DAZZLE ME Lock &amp; Shape! Slim-Fit Eyebrow Pencil Natural Gray 0.1gr</t>
        </is>
      </c>
      <c r="D786" t="inlineStr">
        <is>
          <t>Miss Glam Jambi</t>
        </is>
      </c>
      <c r="E786" t="n">
        <v>10</v>
      </c>
      <c r="F786" t="n">
        <v>0.1551</v>
      </c>
      <c r="G786" t="n">
        <v>0.99</v>
      </c>
      <c r="H786" t="n">
        <v>3</v>
      </c>
      <c r="I786" t="n">
        <v>11</v>
      </c>
      <c r="J786" t="n">
        <v>1</v>
      </c>
      <c r="K786" t="n">
        <v>0</v>
      </c>
      <c r="L786" t="n">
        <v>25135</v>
      </c>
      <c r="M786" t="n">
        <v>27900</v>
      </c>
      <c r="N786" t="n">
        <v>33</v>
      </c>
      <c r="O786" t="n">
        <v>0.33</v>
      </c>
      <c r="P786" t="n">
        <v>1</v>
      </c>
      <c r="Q786" t="n">
        <v>0.37</v>
      </c>
      <c r="R786" t="n">
        <v>2</v>
      </c>
      <c r="S786" t="n">
        <v>4327.29</v>
      </c>
      <c r="T786" t="n">
        <v>11</v>
      </c>
      <c r="U786" t="n">
        <v>12</v>
      </c>
      <c r="V786" t="n">
        <v>30</v>
      </c>
      <c r="W786" t="n">
        <v>5</v>
      </c>
      <c r="X786" t="n">
        <v>64.47453255963894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10360</v>
      </c>
      <c r="AG786" t="n">
        <v>170</v>
      </c>
      <c r="AH786" t="inlineStr">
        <is>
          <t>PT. JALUR MANDIRI UTAMA - PPN (PDG)</t>
        </is>
      </c>
      <c r="AI786" t="n">
        <v>1422</v>
      </c>
      <c r="AJ786" t="inlineStr">
        <is>
          <t>DAZZLE ME</t>
        </is>
      </c>
      <c r="AK786" t="n">
        <v>9</v>
      </c>
      <c r="AL786" t="inlineStr">
        <is>
          <t>Miss Glam Jambi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"20200468653"</f>
        <v/>
      </c>
      <c r="C787" t="inlineStr">
        <is>
          <t>DAZZLE ME Lock &amp; Shape! Super Stay Eyebrow Pencil Natural Gray 0.4gr</t>
        </is>
      </c>
      <c r="D787" t="inlineStr">
        <is>
          <t>Miss Glam Jambi</t>
        </is>
      </c>
      <c r="E787" t="n">
        <v>18</v>
      </c>
      <c r="F787" t="n">
        <v>0.1122</v>
      </c>
      <c r="G787" t="n">
        <v>0.99</v>
      </c>
      <c r="H787" t="n">
        <v>3</v>
      </c>
      <c r="I787" t="n">
        <v>11</v>
      </c>
      <c r="J787" t="n">
        <v>1</v>
      </c>
      <c r="K787" t="n">
        <v>0</v>
      </c>
      <c r="L787" t="n">
        <v>19920</v>
      </c>
      <c r="M787" t="n">
        <v>24900</v>
      </c>
      <c r="N787" t="n">
        <v>33</v>
      </c>
      <c r="O787" t="n">
        <v>0.33</v>
      </c>
      <c r="P787" t="n">
        <v>1</v>
      </c>
      <c r="Q787" t="n">
        <v>0.32</v>
      </c>
      <c r="R787" t="n">
        <v>2</v>
      </c>
      <c r="S787" t="n">
        <v>2793.78</v>
      </c>
      <c r="T787" t="n">
        <v>11</v>
      </c>
      <c r="U787" t="n">
        <v>12</v>
      </c>
      <c r="V787" t="n">
        <v>30</v>
      </c>
      <c r="W787" t="n">
        <v>4</v>
      </c>
      <c r="X787" t="n">
        <v>160.427807486631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10360</v>
      </c>
      <c r="AG787" t="n">
        <v>170</v>
      </c>
      <c r="AH787" t="inlineStr">
        <is>
          <t>PT. JALUR MANDIRI UTAMA - PPN (PDG)</t>
        </is>
      </c>
      <c r="AI787" t="n">
        <v>1422</v>
      </c>
      <c r="AJ787" t="inlineStr">
        <is>
          <t>DAZZLE ME</t>
        </is>
      </c>
      <c r="AK787" t="n">
        <v>9</v>
      </c>
      <c r="AL787" t="inlineStr">
        <is>
          <t>Miss Glam Jambi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"20200335013"</f>
        <v/>
      </c>
      <c r="C788" t="inlineStr">
        <is>
          <t>DAZZLE ME Lock &amp; Wing! Hyper Slim Eyeliner 0,55ml</t>
        </is>
      </c>
      <c r="D788" t="inlineStr">
        <is>
          <t>Miss Glam Jambi</t>
        </is>
      </c>
      <c r="E788" t="n">
        <v>16</v>
      </c>
      <c r="F788" t="n">
        <v>0.2739</v>
      </c>
      <c r="G788" t="n">
        <v>0.99</v>
      </c>
      <c r="H788" t="n">
        <v>3</v>
      </c>
      <c r="I788" t="n">
        <v>11</v>
      </c>
      <c r="J788" t="n">
        <v>1</v>
      </c>
      <c r="K788" t="n">
        <v>0</v>
      </c>
      <c r="L788" t="n">
        <v>26938</v>
      </c>
      <c r="M788" t="n">
        <v>29900</v>
      </c>
      <c r="N788" t="n">
        <v>33</v>
      </c>
      <c r="O788" t="n">
        <v>0.33</v>
      </c>
      <c r="P788" t="n">
        <v>1</v>
      </c>
      <c r="Q788" t="n">
        <v>0.66</v>
      </c>
      <c r="R788" t="n">
        <v>6</v>
      </c>
      <c r="S788" t="n">
        <v>8189.61</v>
      </c>
      <c r="T788" t="n">
        <v>11</v>
      </c>
      <c r="U788" t="n">
        <v>12</v>
      </c>
      <c r="V788" t="n">
        <v>30</v>
      </c>
      <c r="W788" t="n">
        <v>9</v>
      </c>
      <c r="X788" t="n">
        <v>58.41548010222709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10360</v>
      </c>
      <c r="AG788" t="n">
        <v>170</v>
      </c>
      <c r="AH788" t="inlineStr">
        <is>
          <t>PT. JALUR MANDIRI UTAMA - PPN (PDG)</t>
        </is>
      </c>
      <c r="AI788" t="n">
        <v>1422</v>
      </c>
      <c r="AJ788" t="inlineStr">
        <is>
          <t>DAZZLE ME</t>
        </is>
      </c>
      <c r="AK788" t="n">
        <v>9</v>
      </c>
      <c r="AL788" t="inlineStr">
        <is>
          <t>Miss Glam Jambi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"20200333945"</f>
        <v/>
      </c>
      <c r="C789" t="inlineStr">
        <is>
          <t>DAZZLE ME Lock &amp; Wings Hyper Stay Eyeliner 55ml</t>
        </is>
      </c>
      <c r="D789" t="inlineStr">
        <is>
          <t>Miss Glam Jambi</t>
        </is>
      </c>
      <c r="E789" t="n">
        <v>19</v>
      </c>
      <c r="F789" t="n">
        <v>0.0396</v>
      </c>
      <c r="G789" t="n">
        <v>1.32</v>
      </c>
      <c r="H789" t="n">
        <v>3</v>
      </c>
      <c r="I789" t="n">
        <v>11</v>
      </c>
      <c r="J789" t="n">
        <v>1</v>
      </c>
      <c r="K789" t="n">
        <v>0</v>
      </c>
      <c r="L789" t="n">
        <v>21520</v>
      </c>
      <c r="M789" t="n">
        <v>26900</v>
      </c>
      <c r="N789" t="n">
        <v>33</v>
      </c>
      <c r="O789" t="n">
        <v>0.33</v>
      </c>
      <c r="P789" t="n">
        <v>1</v>
      </c>
      <c r="Q789" t="n">
        <v>0.29</v>
      </c>
      <c r="R789" t="n">
        <v>4</v>
      </c>
      <c r="S789" t="n">
        <v>1065.24</v>
      </c>
      <c r="T789" t="n">
        <v>15</v>
      </c>
      <c r="U789" t="n">
        <v>16</v>
      </c>
      <c r="V789" t="n">
        <v>30</v>
      </c>
      <c r="W789" t="n">
        <v>2</v>
      </c>
      <c r="X789" t="n">
        <v>479.7979797979797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10360</v>
      </c>
      <c r="AG789" t="n">
        <v>170</v>
      </c>
      <c r="AH789" t="inlineStr">
        <is>
          <t>PT. JALUR MANDIRI UTAMA - PPN (PDG)</t>
        </is>
      </c>
      <c r="AI789" t="n">
        <v>1422</v>
      </c>
      <c r="AJ789" t="inlineStr">
        <is>
          <t>DAZZLE ME</t>
        </is>
      </c>
      <c r="AK789" t="n">
        <v>9</v>
      </c>
      <c r="AL789" t="inlineStr">
        <is>
          <t>Miss Glam Jambi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"8859588111927"</f>
        <v/>
      </c>
      <c r="C790" t="inlineStr">
        <is>
          <t>DAZZLE ME Matte &amp; Gloss Lip Cream Duo P06 Cherry Bomb 1,5gr</t>
        </is>
      </c>
      <c r="D790" t="inlineStr">
        <is>
          <t>Miss Glam Jambi</t>
        </is>
      </c>
      <c r="E790" t="n">
        <v>11</v>
      </c>
      <c r="F790" t="n">
        <v>0.1386</v>
      </c>
      <c r="G790" t="n">
        <v>0.99</v>
      </c>
      <c r="H790" t="n">
        <v>3</v>
      </c>
      <c r="I790" t="n">
        <v>11</v>
      </c>
      <c r="J790" t="n">
        <v>3</v>
      </c>
      <c r="K790" t="n">
        <v>0</v>
      </c>
      <c r="L790" t="n">
        <v>32720</v>
      </c>
      <c r="M790" t="n">
        <v>40900</v>
      </c>
      <c r="N790" t="n">
        <v>33</v>
      </c>
      <c r="O790" t="n">
        <v>0.33</v>
      </c>
      <c r="P790" t="n">
        <v>1</v>
      </c>
      <c r="Q790" t="n">
        <v>0.05</v>
      </c>
      <c r="R790" t="n">
        <v>1</v>
      </c>
      <c r="S790" t="n">
        <v>5668.74</v>
      </c>
      <c r="T790" t="n">
        <v>11</v>
      </c>
      <c r="U790" t="n">
        <v>12</v>
      </c>
      <c r="V790" t="n">
        <v>30</v>
      </c>
      <c r="W790" t="n">
        <v>5</v>
      </c>
      <c r="X790" t="n">
        <v>79.36507936507937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10360</v>
      </c>
      <c r="AG790" t="n">
        <v>170</v>
      </c>
      <c r="AH790" t="inlineStr">
        <is>
          <t>PT. JALUR MANDIRI UTAMA - PPN (PDG)</t>
        </is>
      </c>
      <c r="AI790" t="n">
        <v>1422</v>
      </c>
      <c r="AJ790" t="inlineStr">
        <is>
          <t>DAZZLE ME</t>
        </is>
      </c>
      <c r="AK790" t="n">
        <v>9</v>
      </c>
      <c r="AL790" t="inlineStr">
        <is>
          <t>Miss Glam Jambi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"8859588111965"</f>
        <v/>
      </c>
      <c r="C791" t="inlineStr">
        <is>
          <t>DAZZLE ME Matte &amp; Gloss Lip Cream Duo P10 Berry Banger 1,5gr</t>
        </is>
      </c>
      <c r="D791" t="inlineStr">
        <is>
          <t>Miss Glam Jambi</t>
        </is>
      </c>
      <c r="E791" t="n">
        <v>27</v>
      </c>
      <c r="F791" t="n">
        <v>0.1683</v>
      </c>
      <c r="G791" t="n">
        <v>1.65</v>
      </c>
      <c r="H791" t="n">
        <v>3</v>
      </c>
      <c r="I791" t="n">
        <v>11</v>
      </c>
      <c r="J791" t="n">
        <v>3</v>
      </c>
      <c r="K791" t="n">
        <v>0</v>
      </c>
      <c r="L791" t="n">
        <v>32720</v>
      </c>
      <c r="M791" t="n">
        <v>40900</v>
      </c>
      <c r="N791" t="n">
        <v>33</v>
      </c>
      <c r="O791" t="n">
        <v>0.33</v>
      </c>
      <c r="P791" t="n">
        <v>1</v>
      </c>
      <c r="Q791" t="n">
        <v>0.08</v>
      </c>
      <c r="R791" t="n">
        <v>1</v>
      </c>
      <c r="S791" t="n">
        <v>6883.47</v>
      </c>
      <c r="T791" t="n">
        <v>18</v>
      </c>
      <c r="U791" t="n">
        <v>19</v>
      </c>
      <c r="V791" t="n">
        <v>30</v>
      </c>
      <c r="W791" t="n">
        <v>6</v>
      </c>
      <c r="X791" t="n">
        <v>160.427807486631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10360</v>
      </c>
      <c r="AG791" t="n">
        <v>170</v>
      </c>
      <c r="AH791" t="inlineStr">
        <is>
          <t>PT. JALUR MANDIRI UTAMA - PPN (PDG)</t>
        </is>
      </c>
      <c r="AI791" t="n">
        <v>1422</v>
      </c>
      <c r="AJ791" t="inlineStr">
        <is>
          <t>DAZZLE ME</t>
        </is>
      </c>
      <c r="AK791" t="n">
        <v>9</v>
      </c>
      <c r="AL791" t="inlineStr">
        <is>
          <t>Miss Glam Jambi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"8991748004073"</f>
        <v/>
      </c>
      <c r="C792" t="inlineStr">
        <is>
          <t>DAZZLE ME Misty Matte Lip Cream 03 Heartbeat 2g</t>
        </is>
      </c>
      <c r="D792" t="inlineStr">
        <is>
          <t>Miss Glam Jambi</t>
        </is>
      </c>
      <c r="E792" t="n">
        <v>0</v>
      </c>
      <c r="F792" t="n">
        <v>0.02</v>
      </c>
      <c r="G792" t="n">
        <v>1</v>
      </c>
      <c r="H792" t="n">
        <v>3</v>
      </c>
      <c r="I792" t="n">
        <v>11</v>
      </c>
      <c r="J792" t="n">
        <v>3</v>
      </c>
      <c r="K792" t="n">
        <v>0</v>
      </c>
      <c r="L792" t="n">
        <v>27500</v>
      </c>
      <c r="M792" t="n">
        <v>34375</v>
      </c>
      <c r="N792" t="n">
        <v>33</v>
      </c>
      <c r="O792" t="n">
        <v>0.33</v>
      </c>
      <c r="P792" t="n">
        <v>0</v>
      </c>
      <c r="Q792" t="n">
        <v>0.02</v>
      </c>
      <c r="R792" t="n">
        <v>1</v>
      </c>
      <c r="S792" t="n">
        <v>687.5</v>
      </c>
      <c r="T792" t="n">
        <v>11</v>
      </c>
      <c r="U792" t="n">
        <v>12</v>
      </c>
      <c r="V792" t="n">
        <v>30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n">
        <v>0</v>
      </c>
      <c r="AC792" t="n">
        <v>0</v>
      </c>
      <c r="AD792" t="n">
        <v>27500</v>
      </c>
      <c r="AE792" t="n">
        <v>0</v>
      </c>
      <c r="AF792" t="n">
        <v>10360</v>
      </c>
      <c r="AG792" t="n">
        <v>170</v>
      </c>
      <c r="AH792" t="inlineStr">
        <is>
          <t>PT. JALUR MANDIRI UTAMA - PPN (PDG)</t>
        </is>
      </c>
      <c r="AI792" t="n">
        <v>1422</v>
      </c>
      <c r="AJ792" t="inlineStr">
        <is>
          <t>DAZZLE ME</t>
        </is>
      </c>
      <c r="AK792" t="n">
        <v>9</v>
      </c>
      <c r="AL792" t="inlineStr">
        <is>
          <t>Miss Glam Jambi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"8991748004080"</f>
        <v/>
      </c>
      <c r="C793" t="inlineStr">
        <is>
          <t>DAZZLE ME Misty Matte Lip Cream 04 Poppy  2g</t>
        </is>
      </c>
      <c r="D793" t="inlineStr">
        <is>
          <t>Miss Glam Jambi</t>
        </is>
      </c>
      <c r="E793" t="n">
        <v>4</v>
      </c>
      <c r="F793" t="n">
        <v>0.006600000000000001</v>
      </c>
      <c r="G793" t="n">
        <v>0.33</v>
      </c>
      <c r="H793" t="n">
        <v>3</v>
      </c>
      <c r="I793" t="n">
        <v>11</v>
      </c>
      <c r="J793" t="n">
        <v>3</v>
      </c>
      <c r="K793" t="n">
        <v>0</v>
      </c>
      <c r="L793" t="n">
        <v>27500</v>
      </c>
      <c r="M793" t="n">
        <v>34375</v>
      </c>
      <c r="N793" t="n">
        <v>33</v>
      </c>
      <c r="O793" t="n">
        <v>0.33</v>
      </c>
      <c r="P793" t="n">
        <v>1</v>
      </c>
      <c r="Q793" t="n">
        <v>0.02</v>
      </c>
      <c r="R793" t="n">
        <v>1</v>
      </c>
      <c r="S793" t="n">
        <v>226.875</v>
      </c>
      <c r="T793" t="n">
        <v>4</v>
      </c>
      <c r="U793" t="n">
        <v>5</v>
      </c>
      <c r="V793" t="n">
        <v>30</v>
      </c>
      <c r="W793" t="n">
        <v>1</v>
      </c>
      <c r="X793" t="n">
        <v>606.060606060606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10360</v>
      </c>
      <c r="AG793" t="n">
        <v>170</v>
      </c>
      <c r="AH793" t="inlineStr">
        <is>
          <t>PT. JALUR MANDIRI UTAMA - PPN (PDG)</t>
        </is>
      </c>
      <c r="AI793" t="n">
        <v>1422</v>
      </c>
      <c r="AJ793" t="inlineStr">
        <is>
          <t>DAZZLE ME</t>
        </is>
      </c>
      <c r="AK793" t="n">
        <v>9</v>
      </c>
      <c r="AL793" t="inlineStr">
        <is>
          <t>Miss Glam Jambi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"8991748001478"</f>
        <v/>
      </c>
      <c r="C794" t="inlineStr">
        <is>
          <t>DAZZLE ME Mousse Lip Cream O066 Release Me</t>
        </is>
      </c>
      <c r="D794" t="inlineStr">
        <is>
          <t>Miss Glam Jambi</t>
        </is>
      </c>
      <c r="E794" t="n">
        <v>0</v>
      </c>
      <c r="F794" t="n">
        <v>0.12</v>
      </c>
      <c r="G794" t="n">
        <v>1</v>
      </c>
      <c r="H794" t="n">
        <v>3</v>
      </c>
      <c r="I794" t="n">
        <v>11</v>
      </c>
      <c r="J794" t="n">
        <v>3</v>
      </c>
      <c r="K794" t="n">
        <v>3</v>
      </c>
      <c r="L794" t="n">
        <v>32720</v>
      </c>
      <c r="M794" t="n">
        <v>40900</v>
      </c>
      <c r="N794" t="n">
        <v>33</v>
      </c>
      <c r="O794" t="n">
        <v>0.33</v>
      </c>
      <c r="P794" t="n">
        <v>0</v>
      </c>
      <c r="Q794" t="n">
        <v>0.12</v>
      </c>
      <c r="R794" t="n">
        <v>1</v>
      </c>
      <c r="S794" t="n">
        <v>4908</v>
      </c>
      <c r="T794" t="n">
        <v>11</v>
      </c>
      <c r="U794" t="n">
        <v>12</v>
      </c>
      <c r="V794" t="n">
        <v>30</v>
      </c>
      <c r="W794" t="n">
        <v>4</v>
      </c>
      <c r="X794" t="n">
        <v>0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32720</v>
      </c>
      <c r="AE794" t="n">
        <v>0</v>
      </c>
      <c r="AF794" t="n">
        <v>10360</v>
      </c>
      <c r="AG794" t="n">
        <v>170</v>
      </c>
      <c r="AH794" t="inlineStr">
        <is>
          <t>PT. JALUR MANDIRI UTAMA - PPN (PDG)</t>
        </is>
      </c>
      <c r="AI794" t="n">
        <v>1422</v>
      </c>
      <c r="AJ794" t="inlineStr">
        <is>
          <t>DAZZLE ME</t>
        </is>
      </c>
      <c r="AK794" t="n">
        <v>9</v>
      </c>
      <c r="AL794" t="inlineStr">
        <is>
          <t>Miss Glam Jambi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"8991748001461"</f>
        <v/>
      </c>
      <c r="C795" t="inlineStr">
        <is>
          <t>DAZZLE ME Mousse Lip Cream R666 Blazzing Hot</t>
        </is>
      </c>
      <c r="D795" t="inlineStr">
        <is>
          <t>Miss Glam Jambi</t>
        </is>
      </c>
      <c r="E795" t="n">
        <v>8</v>
      </c>
      <c r="F795" t="n">
        <v>0.1</v>
      </c>
      <c r="G795" t="n">
        <v>2</v>
      </c>
      <c r="H795" t="n">
        <v>3</v>
      </c>
      <c r="I795" t="n">
        <v>11</v>
      </c>
      <c r="J795" t="n">
        <v>3</v>
      </c>
      <c r="K795" t="n">
        <v>0</v>
      </c>
      <c r="L795" t="n">
        <v>32720</v>
      </c>
      <c r="M795" t="n">
        <v>40900</v>
      </c>
      <c r="N795" t="n">
        <v>33</v>
      </c>
      <c r="O795" t="n">
        <v>0.33</v>
      </c>
      <c r="P795" t="n">
        <v>0</v>
      </c>
      <c r="Q795" t="n">
        <v>0.1</v>
      </c>
      <c r="R795" t="n">
        <v>2</v>
      </c>
      <c r="S795" t="n">
        <v>4090</v>
      </c>
      <c r="T795" t="n">
        <v>22</v>
      </c>
      <c r="U795" t="n">
        <v>23</v>
      </c>
      <c r="V795" t="n">
        <v>30</v>
      </c>
      <c r="W795" t="n">
        <v>3</v>
      </c>
      <c r="X795" t="n">
        <v>80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10360</v>
      </c>
      <c r="AG795" t="n">
        <v>170</v>
      </c>
      <c r="AH795" t="inlineStr">
        <is>
          <t>PT. JALUR MANDIRI UTAMA - PPN (PDG)</t>
        </is>
      </c>
      <c r="AI795" t="n">
        <v>1422</v>
      </c>
      <c r="AJ795" t="inlineStr">
        <is>
          <t>DAZZLE ME</t>
        </is>
      </c>
      <c r="AK795" t="n">
        <v>9</v>
      </c>
      <c r="AL795" t="inlineStr">
        <is>
          <t>Miss Glam Jambi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"8991748001454"</f>
        <v/>
      </c>
      <c r="C796" t="inlineStr">
        <is>
          <t>DAZZLE ME Mousse Lip Cream R757 Joyful</t>
        </is>
      </c>
      <c r="D796" t="inlineStr">
        <is>
          <t>Miss Glam Jambi</t>
        </is>
      </c>
      <c r="E796" t="n">
        <v>0</v>
      </c>
      <c r="F796" t="n">
        <v>0.11</v>
      </c>
      <c r="G796" t="n">
        <v>1</v>
      </c>
      <c r="H796" t="n">
        <v>3</v>
      </c>
      <c r="I796" t="n">
        <v>11</v>
      </c>
      <c r="J796" t="n">
        <v>3</v>
      </c>
      <c r="K796" t="n">
        <v>3</v>
      </c>
      <c r="L796" t="n">
        <v>32720</v>
      </c>
      <c r="M796" t="n">
        <v>40900</v>
      </c>
      <c r="N796" t="n">
        <v>33</v>
      </c>
      <c r="O796" t="n">
        <v>0.33</v>
      </c>
      <c r="P796" t="n">
        <v>0</v>
      </c>
      <c r="Q796" t="n">
        <v>0.11</v>
      </c>
      <c r="R796" t="n">
        <v>1</v>
      </c>
      <c r="S796" t="n">
        <v>4499</v>
      </c>
      <c r="T796" t="n">
        <v>11</v>
      </c>
      <c r="U796" t="n">
        <v>12</v>
      </c>
      <c r="V796" t="n">
        <v>30</v>
      </c>
      <c r="W796" t="n">
        <v>4</v>
      </c>
      <c r="X796" t="n">
        <v>0</v>
      </c>
      <c r="Y796" t="n">
        <v>1</v>
      </c>
      <c r="Z796" t="n">
        <v>1</v>
      </c>
      <c r="AA796" t="n">
        <v>1</v>
      </c>
      <c r="AB796" t="n">
        <v>0</v>
      </c>
      <c r="AC796" t="n">
        <v>0</v>
      </c>
      <c r="AD796" t="n">
        <v>32720</v>
      </c>
      <c r="AE796" t="n">
        <v>0</v>
      </c>
      <c r="AF796" t="n">
        <v>10360</v>
      </c>
      <c r="AG796" t="n">
        <v>170</v>
      </c>
      <c r="AH796" t="inlineStr">
        <is>
          <t>PT. JALUR MANDIRI UTAMA - PPN (PDG)</t>
        </is>
      </c>
      <c r="AI796" t="n">
        <v>1422</v>
      </c>
      <c r="AJ796" t="inlineStr">
        <is>
          <t>DAZZLE ME</t>
        </is>
      </c>
      <c r="AK796" t="n">
        <v>9</v>
      </c>
      <c r="AL796" t="inlineStr">
        <is>
          <t>Miss Glam Jambi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"8859588108026"</f>
        <v/>
      </c>
      <c r="C797" t="inlineStr">
        <is>
          <t>DAZZLE ME Muse Pressed Foundation 03 Caramel Touch 6g</t>
        </is>
      </c>
      <c r="D797" t="inlineStr">
        <is>
          <t>Miss Glam Jambi</t>
        </is>
      </c>
      <c r="E797" t="n">
        <v>6</v>
      </c>
      <c r="F797" t="n">
        <v>0.07920000000000001</v>
      </c>
      <c r="G797" t="n">
        <v>0.66</v>
      </c>
      <c r="H797" t="n">
        <v>3</v>
      </c>
      <c r="I797" t="n">
        <v>11</v>
      </c>
      <c r="J797" t="n">
        <v>3</v>
      </c>
      <c r="K797" t="n">
        <v>0</v>
      </c>
      <c r="L797" t="n">
        <v>35920</v>
      </c>
      <c r="M797" t="n">
        <v>44900</v>
      </c>
      <c r="N797" t="n">
        <v>33</v>
      </c>
      <c r="O797" t="n">
        <v>0.33</v>
      </c>
      <c r="P797" t="n">
        <v>1</v>
      </c>
      <c r="Q797" t="n">
        <v>0.02</v>
      </c>
      <c r="R797" t="n">
        <v>1</v>
      </c>
      <c r="S797" t="n">
        <v>3556.08</v>
      </c>
      <c r="T797" t="n">
        <v>8</v>
      </c>
      <c r="U797" t="n">
        <v>9</v>
      </c>
      <c r="V797" t="n">
        <v>30</v>
      </c>
      <c r="W797" t="n">
        <v>3</v>
      </c>
      <c r="X797" t="n">
        <v>75.75757575757575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10360</v>
      </c>
      <c r="AG797" t="n">
        <v>170</v>
      </c>
      <c r="AH797" t="inlineStr">
        <is>
          <t>PT. JALUR MANDIRI UTAMA - PPN (PDG)</t>
        </is>
      </c>
      <c r="AI797" t="n">
        <v>1422</v>
      </c>
      <c r="AJ797" t="inlineStr">
        <is>
          <t>DAZZLE ME</t>
        </is>
      </c>
      <c r="AK797" t="n">
        <v>9</v>
      </c>
      <c r="AL797" t="inlineStr">
        <is>
          <t>Miss Glam Jambi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"8991748001591"</f>
        <v/>
      </c>
      <c r="C798" t="inlineStr">
        <is>
          <t>DAZZLE ME Our Secret Cover Concealer 01 Light</t>
        </is>
      </c>
      <c r="D798" t="inlineStr">
        <is>
          <t>Miss Glam Jambi</t>
        </is>
      </c>
      <c r="E798" t="n">
        <v>3</v>
      </c>
      <c r="F798" t="n">
        <v>0.05</v>
      </c>
      <c r="G798" t="n">
        <v>1</v>
      </c>
      <c r="H798" t="n">
        <v>3</v>
      </c>
      <c r="I798" t="n">
        <v>11</v>
      </c>
      <c r="J798" t="n">
        <v>3</v>
      </c>
      <c r="K798" t="n">
        <v>0</v>
      </c>
      <c r="L798" t="n">
        <v>29765</v>
      </c>
      <c r="M798" t="n">
        <v>38900</v>
      </c>
      <c r="N798" t="n">
        <v>33</v>
      </c>
      <c r="O798" t="n">
        <v>0.33</v>
      </c>
      <c r="P798" t="n">
        <v>0</v>
      </c>
      <c r="Q798" t="n">
        <v>0.05</v>
      </c>
      <c r="R798" t="n">
        <v>1</v>
      </c>
      <c r="S798" t="n">
        <v>1945</v>
      </c>
      <c r="T798" t="n">
        <v>11</v>
      </c>
      <c r="U798" t="n">
        <v>12</v>
      </c>
      <c r="V798" t="n">
        <v>30</v>
      </c>
      <c r="W798" t="n">
        <v>2</v>
      </c>
      <c r="X798" t="n">
        <v>60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10360</v>
      </c>
      <c r="AG798" t="n">
        <v>170</v>
      </c>
      <c r="AH798" t="inlineStr">
        <is>
          <t>PT. JALUR MANDIRI UTAMA - PPN (PDG)</t>
        </is>
      </c>
      <c r="AI798" t="n">
        <v>1422</v>
      </c>
      <c r="AJ798" t="inlineStr">
        <is>
          <t>DAZZLE ME</t>
        </is>
      </c>
      <c r="AK798" t="n">
        <v>9</v>
      </c>
      <c r="AL798" t="inlineStr">
        <is>
          <t>Miss Glam Jambi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"20100706546"</f>
        <v/>
      </c>
      <c r="C799" t="inlineStr">
        <is>
          <t>DAZZLE Me Supore-Fine Skin Makeup Primer 20gr</t>
        </is>
      </c>
      <c r="D799" t="inlineStr">
        <is>
          <t>Miss Glam Jambi</t>
        </is>
      </c>
      <c r="E799" t="n">
        <v>12</v>
      </c>
      <c r="F799" t="n">
        <v>0.0462</v>
      </c>
      <c r="G799" t="n">
        <v>0.99</v>
      </c>
      <c r="H799" t="n">
        <v>3</v>
      </c>
      <c r="I799" t="n">
        <v>11</v>
      </c>
      <c r="J799" t="n">
        <v>3</v>
      </c>
      <c r="K799" t="n">
        <v>0</v>
      </c>
      <c r="L799" t="n">
        <v>39920</v>
      </c>
      <c r="M799" t="n">
        <v>49900</v>
      </c>
      <c r="N799" t="n">
        <v>33</v>
      </c>
      <c r="O799" t="n">
        <v>0.33</v>
      </c>
      <c r="P799" t="n">
        <v>1</v>
      </c>
      <c r="Q799" t="n">
        <v>0.05</v>
      </c>
      <c r="R799" t="n">
        <v>1</v>
      </c>
      <c r="S799" t="n">
        <v>2305.38</v>
      </c>
      <c r="T799" t="n">
        <v>11</v>
      </c>
      <c r="U799" t="n">
        <v>12</v>
      </c>
      <c r="V799" t="n">
        <v>30</v>
      </c>
      <c r="W799" t="n">
        <v>2</v>
      </c>
      <c r="X799" t="n">
        <v>259.7402597402597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10360</v>
      </c>
      <c r="AG799" t="n">
        <v>170</v>
      </c>
      <c r="AH799" t="inlineStr">
        <is>
          <t>PT. JALUR MANDIRI UTAMA - PPN (PDG)</t>
        </is>
      </c>
      <c r="AI799" t="n">
        <v>1422</v>
      </c>
      <c r="AJ799" t="inlineStr">
        <is>
          <t>DAZZLE ME</t>
        </is>
      </c>
      <c r="AK799" t="n">
        <v>9</v>
      </c>
      <c r="AL799" t="inlineStr">
        <is>
          <t>Miss Glam Jambi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"8991748004677"</f>
        <v/>
      </c>
      <c r="C800" t="inlineStr">
        <is>
          <t>DAZZLE ME The World Travelere Eyeshadow Palatte 01 Arabian Nights 8g</t>
        </is>
      </c>
      <c r="D800" t="inlineStr">
        <is>
          <t>Miss Glam Jambi</t>
        </is>
      </c>
      <c r="E800" t="n">
        <v>3</v>
      </c>
      <c r="F800" t="n">
        <v>0.22</v>
      </c>
      <c r="G800" t="n">
        <v>7</v>
      </c>
      <c r="H800" t="n">
        <v>3</v>
      </c>
      <c r="I800" t="n">
        <v>11</v>
      </c>
      <c r="J800" t="n">
        <v>3</v>
      </c>
      <c r="K800" t="n">
        <v>4</v>
      </c>
      <c r="L800" t="n">
        <v>36720</v>
      </c>
      <c r="M800" t="n">
        <v>45900</v>
      </c>
      <c r="N800" t="n">
        <v>33</v>
      </c>
      <c r="O800" t="n">
        <v>0.33</v>
      </c>
      <c r="P800" t="n">
        <v>0</v>
      </c>
      <c r="Q800" t="n">
        <v>0.22</v>
      </c>
      <c r="R800" t="n">
        <v>7</v>
      </c>
      <c r="S800" t="n">
        <v>10098</v>
      </c>
      <c r="T800" t="n">
        <v>77</v>
      </c>
      <c r="U800" t="n">
        <v>78</v>
      </c>
      <c r="V800" t="n">
        <v>30</v>
      </c>
      <c r="W800" t="n">
        <v>7</v>
      </c>
      <c r="X800" t="n">
        <v>13.63636363636364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10360</v>
      </c>
      <c r="AG800" t="n">
        <v>170</v>
      </c>
      <c r="AH800" t="inlineStr">
        <is>
          <t>PT. JALUR MANDIRI UTAMA - PPN (PDG)</t>
        </is>
      </c>
      <c r="AI800" t="n">
        <v>1422</v>
      </c>
      <c r="AJ800" t="inlineStr">
        <is>
          <t>DAZZLE ME</t>
        </is>
      </c>
      <c r="AK800" t="n">
        <v>9</v>
      </c>
      <c r="AL800" t="inlineStr">
        <is>
          <t>Miss Glam Jambi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"20101210559"</f>
        <v/>
      </c>
      <c r="C801" t="inlineStr">
        <is>
          <t>DAZZLE ME X Smileyworld Get A Grip! Makeup Setting Spray Prime+Set Anti-Pollution 100ml</t>
        </is>
      </c>
      <c r="D801" t="inlineStr">
        <is>
          <t>Miss Glam Jambi</t>
        </is>
      </c>
      <c r="E801" t="n">
        <v>33</v>
      </c>
      <c r="F801" t="n">
        <v>0.05</v>
      </c>
      <c r="G801" t="n">
        <v>1</v>
      </c>
      <c r="H801" t="n">
        <v>3</v>
      </c>
      <c r="I801" t="n">
        <v>11</v>
      </c>
      <c r="J801" t="n">
        <v>1</v>
      </c>
      <c r="K801" t="n">
        <v>0</v>
      </c>
      <c r="L801" t="n">
        <v>55920</v>
      </c>
      <c r="M801" t="n">
        <v>69900</v>
      </c>
      <c r="N801" t="n">
        <v>33</v>
      </c>
      <c r="O801" t="n">
        <v>0.33</v>
      </c>
      <c r="P801" t="n">
        <v>0</v>
      </c>
      <c r="Q801" t="n">
        <v>0.05</v>
      </c>
      <c r="R801" t="n">
        <v>1</v>
      </c>
      <c r="S801" t="n">
        <v>3495</v>
      </c>
      <c r="T801" t="n">
        <v>11</v>
      </c>
      <c r="U801" t="n">
        <v>12</v>
      </c>
      <c r="V801" t="n">
        <v>30</v>
      </c>
      <c r="W801" t="n">
        <v>2</v>
      </c>
      <c r="X801" t="n">
        <v>660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10360</v>
      </c>
      <c r="AG801" t="n">
        <v>170</v>
      </c>
      <c r="AH801" t="inlineStr">
        <is>
          <t>PT. JALUR MANDIRI UTAMA - PPN (PDG)</t>
        </is>
      </c>
      <c r="AI801" t="n">
        <v>1422</v>
      </c>
      <c r="AJ801" t="inlineStr">
        <is>
          <t>DAZZLE ME</t>
        </is>
      </c>
      <c r="AK801" t="n">
        <v>9</v>
      </c>
      <c r="AL801" t="inlineStr">
        <is>
          <t>Miss Glam Jambi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"203002199430"</f>
        <v/>
      </c>
      <c r="C802" t="inlineStr">
        <is>
          <t>DAZZLE MEe Ink-Mousse Lip Cream O376 Pumpkin Magic 2.5ml</t>
        </is>
      </c>
      <c r="D802" t="inlineStr">
        <is>
          <t>Miss Glam Jambi</t>
        </is>
      </c>
      <c r="E802" t="n">
        <v>9</v>
      </c>
      <c r="F802" t="n">
        <v>0.0231</v>
      </c>
      <c r="G802" t="n">
        <v>0.33</v>
      </c>
      <c r="H802" t="n">
        <v>3</v>
      </c>
      <c r="I802" t="n">
        <v>11</v>
      </c>
      <c r="J802" t="n">
        <v>1</v>
      </c>
      <c r="K802" t="n">
        <v>0</v>
      </c>
      <c r="L802" t="n">
        <v>31920</v>
      </c>
      <c r="M802" t="n">
        <v>39900</v>
      </c>
      <c r="N802" t="n">
        <v>33</v>
      </c>
      <c r="O802" t="n">
        <v>0.33</v>
      </c>
      <c r="P802" t="n">
        <v>1</v>
      </c>
      <c r="Q802" t="n">
        <v>0.03</v>
      </c>
      <c r="R802" t="n">
        <v>1</v>
      </c>
      <c r="S802" t="n">
        <v>921.6900000000001</v>
      </c>
      <c r="T802" t="n">
        <v>4</v>
      </c>
      <c r="U802" t="n">
        <v>5</v>
      </c>
      <c r="V802" t="n">
        <v>30</v>
      </c>
      <c r="W802" t="n">
        <v>1</v>
      </c>
      <c r="X802" t="n">
        <v>389.6103896103896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10360</v>
      </c>
      <c r="AG802" t="n">
        <v>170</v>
      </c>
      <c r="AH802" t="inlineStr">
        <is>
          <t>PT. JALUR MANDIRI UTAMA - PPN (PDG)</t>
        </is>
      </c>
      <c r="AI802" t="n">
        <v>1422</v>
      </c>
      <c r="AJ802" t="inlineStr">
        <is>
          <t>DAZZLE ME</t>
        </is>
      </c>
      <c r="AK802" t="n">
        <v>9</v>
      </c>
      <c r="AL802" t="inlineStr">
        <is>
          <t>Miss Glam Jambi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DEAR ME BEAUTY</t>
        </is>
      </c>
      <c r="B803" s="2">
        <f>"8997230372101"</f>
        <v/>
      </c>
      <c r="C803" t="inlineStr">
        <is>
          <t>DEAR ME BEAUTY Foundation Golden Porcelain 30gr</t>
        </is>
      </c>
      <c r="D803" t="inlineStr">
        <is>
          <t>Miss Glam Jambi</t>
        </is>
      </c>
      <c r="E803" t="n">
        <v>2</v>
      </c>
      <c r="F803" t="n">
        <v>0.02</v>
      </c>
      <c r="G803" t="n">
        <v>1</v>
      </c>
      <c r="H803" t="n">
        <v>6</v>
      </c>
      <c r="I803" t="n">
        <v>12</v>
      </c>
      <c r="J803" t="n">
        <v>3</v>
      </c>
      <c r="K803" t="n">
        <v>0</v>
      </c>
      <c r="L803" t="n">
        <v>79200</v>
      </c>
      <c r="M803" t="n">
        <v>99000</v>
      </c>
      <c r="N803" t="n">
        <v>33</v>
      </c>
      <c r="O803" t="n">
        <v>0.33</v>
      </c>
      <c r="P803" t="n">
        <v>0</v>
      </c>
      <c r="Q803" t="n">
        <v>0.02</v>
      </c>
      <c r="R803" t="n">
        <v>1</v>
      </c>
      <c r="S803" t="n">
        <v>1980</v>
      </c>
      <c r="T803" t="n">
        <v>12</v>
      </c>
      <c r="U803" t="n">
        <v>13</v>
      </c>
      <c r="V803" t="n">
        <v>30</v>
      </c>
      <c r="W803" t="n">
        <v>1</v>
      </c>
      <c r="X803" t="n">
        <v>100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477</v>
      </c>
      <c r="AG803" t="n">
        <v>107</v>
      </c>
      <c r="AH803" t="inlineStr">
        <is>
          <t xml:space="preserve">CV. DAHLIA - PPN (PDG) </t>
        </is>
      </c>
      <c r="AI803" t="n">
        <v>61</v>
      </c>
      <c r="AJ803" t="inlineStr">
        <is>
          <t>DEAR ME BEAUTY</t>
        </is>
      </c>
      <c r="AK803" t="n">
        <v>9</v>
      </c>
      <c r="AL803" t="inlineStr">
        <is>
          <t>Miss Glam Jambi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DEAR ME BEAUTY</t>
        </is>
      </c>
      <c r="B804" s="2">
        <f>"203002191112"</f>
        <v/>
      </c>
      <c r="C804" t="inlineStr">
        <is>
          <t>DEAR ME BEAUTY Hydraglow Lip Stain Dear Gracia 3.5ml</t>
        </is>
      </c>
      <c r="D804" t="inlineStr">
        <is>
          <t>Miss Glam Jambi</t>
        </is>
      </c>
      <c r="E804" t="n">
        <v>20</v>
      </c>
      <c r="F804" t="n">
        <v>0.1947</v>
      </c>
      <c r="G804" t="n">
        <v>1.32</v>
      </c>
      <c r="H804" t="n">
        <v>6</v>
      </c>
      <c r="I804" t="n">
        <v>12</v>
      </c>
      <c r="J804" t="n">
        <v>1</v>
      </c>
      <c r="K804" t="n">
        <v>0</v>
      </c>
      <c r="L804" t="n">
        <v>55200</v>
      </c>
      <c r="M804" t="n">
        <v>69000</v>
      </c>
      <c r="N804" t="n">
        <v>33</v>
      </c>
      <c r="O804" t="n">
        <v>0.33</v>
      </c>
      <c r="P804" t="n">
        <v>1</v>
      </c>
      <c r="Q804" t="n">
        <v>0.31</v>
      </c>
      <c r="R804" t="n">
        <v>3</v>
      </c>
      <c r="S804" t="n">
        <v>13434.3</v>
      </c>
      <c r="T804" t="n">
        <v>15</v>
      </c>
      <c r="U804" t="n">
        <v>17</v>
      </c>
      <c r="V804" t="n">
        <v>30</v>
      </c>
      <c r="W804" t="n">
        <v>6</v>
      </c>
      <c r="X804" t="n">
        <v>102.7221366204417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477</v>
      </c>
      <c r="AG804" t="n">
        <v>107</v>
      </c>
      <c r="AH804" t="inlineStr">
        <is>
          <t xml:space="preserve">CV. DAHLIA - PPN (PDG) </t>
        </is>
      </c>
      <c r="AI804" t="n">
        <v>61</v>
      </c>
      <c r="AJ804" t="inlineStr">
        <is>
          <t>DEAR ME BEAUTY</t>
        </is>
      </c>
      <c r="AK804" t="n">
        <v>9</v>
      </c>
      <c r="AL804" t="inlineStr">
        <is>
          <t>Miss Glam Jambi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DEAR ME BEAUTY</t>
        </is>
      </c>
      <c r="B805" s="2">
        <f>"8997230374754"</f>
        <v/>
      </c>
      <c r="C805" t="inlineStr">
        <is>
          <t>DEAR ME BEAUTY Hypergloss Lip Balm Dear Lala 3.5gr</t>
        </is>
      </c>
      <c r="D805" t="inlineStr">
        <is>
          <t>Miss Glam Jambi</t>
        </is>
      </c>
      <c r="E805" t="n">
        <v>4</v>
      </c>
      <c r="F805" t="n">
        <v>0.1221</v>
      </c>
      <c r="G805" t="n">
        <v>0.66</v>
      </c>
      <c r="H805" t="n">
        <v>6</v>
      </c>
      <c r="I805" t="n">
        <v>12</v>
      </c>
      <c r="J805" t="n">
        <v>3</v>
      </c>
      <c r="K805" t="n">
        <v>0</v>
      </c>
      <c r="L805" t="n">
        <v>71200</v>
      </c>
      <c r="M805" t="n">
        <v>88000</v>
      </c>
      <c r="N805" t="n">
        <v>33</v>
      </c>
      <c r="O805" t="n">
        <v>0.33</v>
      </c>
      <c r="P805" t="n">
        <v>1</v>
      </c>
      <c r="Q805" t="n">
        <v>0.03</v>
      </c>
      <c r="R805" t="n">
        <v>1</v>
      </c>
      <c r="S805" t="n">
        <v>10744.8</v>
      </c>
      <c r="T805" t="n">
        <v>8</v>
      </c>
      <c r="U805" t="n">
        <v>9</v>
      </c>
      <c r="V805" t="n">
        <v>30</v>
      </c>
      <c r="W805" t="n">
        <v>4</v>
      </c>
      <c r="X805" t="n">
        <v>32.76003276003276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477</v>
      </c>
      <c r="AG805" t="n">
        <v>107</v>
      </c>
      <c r="AH805" t="inlineStr">
        <is>
          <t xml:space="preserve">CV. DAHLIA - PPN (PDG) </t>
        </is>
      </c>
      <c r="AI805" t="n">
        <v>61</v>
      </c>
      <c r="AJ805" t="inlineStr">
        <is>
          <t>DEAR ME BEAUTY</t>
        </is>
      </c>
      <c r="AK805" t="n">
        <v>9</v>
      </c>
      <c r="AL805" t="inlineStr">
        <is>
          <t>Miss Glam Jambi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DEAR ME BEAUTY</t>
        </is>
      </c>
      <c r="B806" s="2">
        <f>"8997230374655"</f>
        <v/>
      </c>
      <c r="C806" t="inlineStr">
        <is>
          <t>DEAR ME BEAUTY Hypergloss Lip Balm Dear Lia 3.5gr</t>
        </is>
      </c>
      <c r="D806" t="inlineStr">
        <is>
          <t>Miss Glam Jambi</t>
        </is>
      </c>
      <c r="E806" t="n">
        <v>6</v>
      </c>
      <c r="F806" t="n">
        <v>0.03</v>
      </c>
      <c r="G806" t="n">
        <v>1</v>
      </c>
      <c r="H806" t="n">
        <v>6</v>
      </c>
      <c r="I806" t="n">
        <v>12</v>
      </c>
      <c r="J806" t="n">
        <v>3</v>
      </c>
      <c r="K806" t="n">
        <v>0</v>
      </c>
      <c r="L806" t="n">
        <v>71200</v>
      </c>
      <c r="M806" t="n">
        <v>88000</v>
      </c>
      <c r="N806" t="n">
        <v>33</v>
      </c>
      <c r="O806" t="n">
        <v>0.33</v>
      </c>
      <c r="P806" t="n">
        <v>0</v>
      </c>
      <c r="Q806" t="n">
        <v>0.03</v>
      </c>
      <c r="R806" t="n">
        <v>1</v>
      </c>
      <c r="S806" t="n">
        <v>2640</v>
      </c>
      <c r="T806" t="n">
        <v>12</v>
      </c>
      <c r="U806" t="n">
        <v>13</v>
      </c>
      <c r="V806" t="n">
        <v>30</v>
      </c>
      <c r="W806" t="n">
        <v>1</v>
      </c>
      <c r="X806" t="n">
        <v>200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477</v>
      </c>
      <c r="AG806" t="n">
        <v>107</v>
      </c>
      <c r="AH806" t="inlineStr">
        <is>
          <t xml:space="preserve">CV. DAHLIA - PPN (PDG) </t>
        </is>
      </c>
      <c r="AI806" t="n">
        <v>61</v>
      </c>
      <c r="AJ806" t="inlineStr">
        <is>
          <t>DEAR ME BEAUTY</t>
        </is>
      </c>
      <c r="AK806" t="n">
        <v>9</v>
      </c>
      <c r="AL806" t="inlineStr">
        <is>
          <t>Miss Glam Jambi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DEAR ME BEAUTY</t>
        </is>
      </c>
      <c r="B807" s="2">
        <f>"8997230377496"</f>
        <v/>
      </c>
      <c r="C807" t="inlineStr">
        <is>
          <t>DEAR ME BEAUTY Hypergloss Lip Balm Dear Rachel 3.5gr</t>
        </is>
      </c>
      <c r="D807" t="inlineStr">
        <is>
          <t>Miss Glam Jambi</t>
        </is>
      </c>
      <c r="E807" t="n">
        <v>1</v>
      </c>
      <c r="F807" t="n">
        <v>0.09569999999999999</v>
      </c>
      <c r="G807" t="n">
        <v>0.66</v>
      </c>
      <c r="H807" t="n">
        <v>6</v>
      </c>
      <c r="I807" t="n">
        <v>12</v>
      </c>
      <c r="J807" t="n">
        <v>3</v>
      </c>
      <c r="K807" t="n">
        <v>0</v>
      </c>
      <c r="L807" t="n">
        <v>71200</v>
      </c>
      <c r="M807" t="n">
        <v>88000</v>
      </c>
      <c r="N807" t="n">
        <v>33</v>
      </c>
      <c r="O807" t="n">
        <v>0.33</v>
      </c>
      <c r="P807" t="n">
        <v>1</v>
      </c>
      <c r="Q807" t="n">
        <v>0.03</v>
      </c>
      <c r="R807" t="n">
        <v>1</v>
      </c>
      <c r="S807" t="n">
        <v>8421.599999999999</v>
      </c>
      <c r="T807" t="n">
        <v>8</v>
      </c>
      <c r="U807" t="n">
        <v>9</v>
      </c>
      <c r="V807" t="n">
        <v>30</v>
      </c>
      <c r="W807" t="n">
        <v>3</v>
      </c>
      <c r="X807" t="n">
        <v>10.44932079414838</v>
      </c>
      <c r="Y807" t="n">
        <v>1</v>
      </c>
      <c r="Z807" t="n">
        <v>2</v>
      </c>
      <c r="AA807" t="n">
        <v>1</v>
      </c>
      <c r="AB807" t="n">
        <v>1</v>
      </c>
      <c r="AC807" t="n">
        <v>3</v>
      </c>
      <c r="AD807" t="n">
        <v>71200</v>
      </c>
      <c r="AE807" t="n">
        <v>213600</v>
      </c>
      <c r="AF807" t="n">
        <v>477</v>
      </c>
      <c r="AG807" t="n">
        <v>107</v>
      </c>
      <c r="AH807" t="inlineStr">
        <is>
          <t xml:space="preserve">CV. DAHLIA - PPN (PDG) </t>
        </is>
      </c>
      <c r="AI807" t="n">
        <v>61</v>
      </c>
      <c r="AJ807" t="inlineStr">
        <is>
          <t>DEAR ME BEAUTY</t>
        </is>
      </c>
      <c r="AK807" t="n">
        <v>9</v>
      </c>
      <c r="AL807" t="inlineStr">
        <is>
          <t>Miss Glam Jambi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DEAR ME BEAUTY</t>
        </is>
      </c>
      <c r="B808" s="2">
        <f>"8997230374624"</f>
        <v/>
      </c>
      <c r="C808" t="inlineStr">
        <is>
          <t>DEAR ME BEAUTY Hypergloss Lip Balm Dear Rene 3.5gr</t>
        </is>
      </c>
      <c r="D808" t="inlineStr">
        <is>
          <t>Miss Glam Jambi</t>
        </is>
      </c>
      <c r="E808" t="n">
        <v>8</v>
      </c>
      <c r="F808" t="n">
        <v>0.06270000000000001</v>
      </c>
      <c r="G808" t="n">
        <v>1.32</v>
      </c>
      <c r="H808" t="n">
        <v>6</v>
      </c>
      <c r="I808" t="n">
        <v>12</v>
      </c>
      <c r="J808" t="n">
        <v>3</v>
      </c>
      <c r="K808" t="n">
        <v>0</v>
      </c>
      <c r="L808" t="n">
        <v>71200</v>
      </c>
      <c r="M808" t="n">
        <v>88000</v>
      </c>
      <c r="N808" t="n">
        <v>33</v>
      </c>
      <c r="O808" t="n">
        <v>0.33</v>
      </c>
      <c r="P808" t="n">
        <v>1</v>
      </c>
      <c r="Q808" t="n">
        <v>0.07000000000000001</v>
      </c>
      <c r="R808" t="n">
        <v>1</v>
      </c>
      <c r="S808" t="n">
        <v>5517.6</v>
      </c>
      <c r="T808" t="n">
        <v>16</v>
      </c>
      <c r="U808" t="n">
        <v>17</v>
      </c>
      <c r="V808" t="n">
        <v>30</v>
      </c>
      <c r="W808" t="n">
        <v>2</v>
      </c>
      <c r="X808" t="n">
        <v>127.5917065390749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477</v>
      </c>
      <c r="AG808" t="n">
        <v>107</v>
      </c>
      <c r="AH808" t="inlineStr">
        <is>
          <t xml:space="preserve">CV. DAHLIA - PPN (PDG) </t>
        </is>
      </c>
      <c r="AI808" t="n">
        <v>61</v>
      </c>
      <c r="AJ808" t="inlineStr">
        <is>
          <t>DEAR ME BEAUTY</t>
        </is>
      </c>
      <c r="AK808" t="n">
        <v>9</v>
      </c>
      <c r="AL808" t="inlineStr">
        <is>
          <t>Miss Glam Jambi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DEAR ME BEAUTY</t>
        </is>
      </c>
      <c r="B809" s="2">
        <f>"8997230374631"</f>
        <v/>
      </c>
      <c r="C809" t="inlineStr">
        <is>
          <t>DEAR ME BEAUTY Hypergloss Lip Balm Dear Sonya 3.5gr</t>
        </is>
      </c>
      <c r="D809" t="inlineStr">
        <is>
          <t>Miss Glam Jambi</t>
        </is>
      </c>
      <c r="E809" t="n">
        <v>2</v>
      </c>
      <c r="F809" t="n">
        <v>0.0495</v>
      </c>
      <c r="G809" t="n">
        <v>0.33</v>
      </c>
      <c r="H809" t="n">
        <v>6</v>
      </c>
      <c r="I809" t="n">
        <v>12</v>
      </c>
      <c r="J809" t="n">
        <v>3</v>
      </c>
      <c r="K809" t="n">
        <v>0</v>
      </c>
      <c r="L809" t="n">
        <v>71200</v>
      </c>
      <c r="M809" t="n">
        <v>88000</v>
      </c>
      <c r="N809" t="n">
        <v>33</v>
      </c>
      <c r="O809" t="n">
        <v>0.33</v>
      </c>
      <c r="P809" t="n">
        <v>1</v>
      </c>
      <c r="Q809" t="n">
        <v>0.02</v>
      </c>
      <c r="R809" t="n">
        <v>1</v>
      </c>
      <c r="S809" t="n">
        <v>4356</v>
      </c>
      <c r="T809" t="n">
        <v>4</v>
      </c>
      <c r="U809" t="n">
        <v>5</v>
      </c>
      <c r="V809" t="n">
        <v>30</v>
      </c>
      <c r="W809" t="n">
        <v>2</v>
      </c>
      <c r="X809" t="n">
        <v>40.4040404040404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477</v>
      </c>
      <c r="AG809" t="n">
        <v>107</v>
      </c>
      <c r="AH809" t="inlineStr">
        <is>
          <t xml:space="preserve">CV. DAHLIA - PPN (PDG) </t>
        </is>
      </c>
      <c r="AI809" t="n">
        <v>61</v>
      </c>
      <c r="AJ809" t="inlineStr">
        <is>
          <t>DEAR ME BEAUTY</t>
        </is>
      </c>
      <c r="AK809" t="n">
        <v>9</v>
      </c>
      <c r="AL809" t="inlineStr">
        <is>
          <t>Miss Glam Jambi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DEAR ME BEAUTY</t>
        </is>
      </c>
      <c r="B810" s="2">
        <f>"20300444854"</f>
        <v/>
      </c>
      <c r="C810" t="inlineStr">
        <is>
          <t>DEAR ME BEAUTY Lip Stain Dear Luna 3.5ml</t>
        </is>
      </c>
      <c r="D810" t="inlineStr">
        <is>
          <t>Miss Glam Jambi</t>
        </is>
      </c>
      <c r="E810" t="n">
        <v>2</v>
      </c>
      <c r="F810" t="n">
        <v>0.1353</v>
      </c>
      <c r="G810" t="n">
        <v>0.99</v>
      </c>
      <c r="H810" t="n">
        <v>6</v>
      </c>
      <c r="I810" t="n">
        <v>12</v>
      </c>
      <c r="J810" t="n">
        <v>1</v>
      </c>
      <c r="K810" t="n">
        <v>0</v>
      </c>
      <c r="L810" t="n">
        <v>55200</v>
      </c>
      <c r="M810" t="n">
        <v>69000</v>
      </c>
      <c r="N810" t="n">
        <v>33</v>
      </c>
      <c r="O810" t="n">
        <v>0.33</v>
      </c>
      <c r="P810" t="n">
        <v>1</v>
      </c>
      <c r="Q810" t="n">
        <v>0.17</v>
      </c>
      <c r="R810" t="n">
        <v>1</v>
      </c>
      <c r="S810" t="n">
        <v>9335.700000000001</v>
      </c>
      <c r="T810" t="n">
        <v>12</v>
      </c>
      <c r="U810" t="n">
        <v>13</v>
      </c>
      <c r="V810" t="n">
        <v>30</v>
      </c>
      <c r="W810" t="n">
        <v>5</v>
      </c>
      <c r="X810" t="n">
        <v>14.7819660014782</v>
      </c>
      <c r="Y810" t="n">
        <v>1</v>
      </c>
      <c r="Z810" t="n">
        <v>3</v>
      </c>
      <c r="AA810" t="n">
        <v>0</v>
      </c>
      <c r="AB810" t="n">
        <v>3</v>
      </c>
      <c r="AC810" t="n">
        <v>3</v>
      </c>
      <c r="AD810" t="n">
        <v>0</v>
      </c>
      <c r="AE810" t="n">
        <v>165600</v>
      </c>
      <c r="AF810" t="n">
        <v>477</v>
      </c>
      <c r="AG810" t="n">
        <v>107</v>
      </c>
      <c r="AH810" t="inlineStr">
        <is>
          <t xml:space="preserve">CV. DAHLIA - PPN (PDG) </t>
        </is>
      </c>
      <c r="AI810" t="n">
        <v>61</v>
      </c>
      <c r="AJ810" t="inlineStr">
        <is>
          <t>DEAR ME BEAUTY</t>
        </is>
      </c>
      <c r="AK810" t="n">
        <v>9</v>
      </c>
      <c r="AL810" t="inlineStr">
        <is>
          <t>Miss Glam Jambi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DEAR ME BEAUTY</t>
        </is>
      </c>
      <c r="B811" s="2">
        <f>"20300445010"</f>
        <v/>
      </c>
      <c r="C811" t="inlineStr">
        <is>
          <t>DEAR ME BEAUTY Lip Stain Dear Sabrina 3.5ml</t>
        </is>
      </c>
      <c r="D811" t="inlineStr">
        <is>
          <t>Miss Glam Jambi</t>
        </is>
      </c>
      <c r="E811" t="n">
        <v>1</v>
      </c>
      <c r="F811" t="n">
        <v>0.0231</v>
      </c>
      <c r="G811" t="n">
        <v>0.33</v>
      </c>
      <c r="H811" t="n">
        <v>6</v>
      </c>
      <c r="I811" t="n">
        <v>12</v>
      </c>
      <c r="J811" t="n">
        <v>1</v>
      </c>
      <c r="K811" t="n">
        <v>0</v>
      </c>
      <c r="L811" t="n">
        <v>55200</v>
      </c>
      <c r="M811" t="n">
        <v>69000</v>
      </c>
      <c r="N811" t="n">
        <v>33</v>
      </c>
      <c r="O811" t="n">
        <v>0.33</v>
      </c>
      <c r="P811" t="n">
        <v>1</v>
      </c>
      <c r="Q811" t="n">
        <v>0.03</v>
      </c>
      <c r="R811" t="n">
        <v>1</v>
      </c>
      <c r="S811" t="n">
        <v>1593.9</v>
      </c>
      <c r="T811" t="n">
        <v>4</v>
      </c>
      <c r="U811" t="n">
        <v>5</v>
      </c>
      <c r="V811" t="n">
        <v>30</v>
      </c>
      <c r="W811" t="n">
        <v>1</v>
      </c>
      <c r="X811" t="n">
        <v>43.29004329004329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477</v>
      </c>
      <c r="AG811" t="n">
        <v>107</v>
      </c>
      <c r="AH811" t="inlineStr">
        <is>
          <t xml:space="preserve">CV. DAHLIA - PPN (PDG) </t>
        </is>
      </c>
      <c r="AI811" t="n">
        <v>61</v>
      </c>
      <c r="AJ811" t="inlineStr">
        <is>
          <t>DEAR ME BEAUTY</t>
        </is>
      </c>
      <c r="AK811" t="n">
        <v>9</v>
      </c>
      <c r="AL811" t="inlineStr">
        <is>
          <t>Miss Glam Jambi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DEAR ME BEAUTY</t>
        </is>
      </c>
      <c r="B812" s="2">
        <f>"20300444818"</f>
        <v/>
      </c>
      <c r="C812" t="inlineStr">
        <is>
          <t>DEAR ME BEAUTY Lip Stain Dear Sharon 3.5ml</t>
        </is>
      </c>
      <c r="D812" t="inlineStr">
        <is>
          <t>Miss Glam Jambi</t>
        </is>
      </c>
      <c r="E812" t="n">
        <v>15</v>
      </c>
      <c r="F812" t="n">
        <v>0.1023</v>
      </c>
      <c r="G812" t="n">
        <v>1.32</v>
      </c>
      <c r="H812" t="n">
        <v>6</v>
      </c>
      <c r="I812" t="n">
        <v>12</v>
      </c>
      <c r="J812" t="n">
        <v>1</v>
      </c>
      <c r="K812" t="n">
        <v>0</v>
      </c>
      <c r="L812" t="n">
        <v>55200</v>
      </c>
      <c r="M812" t="n">
        <v>69000</v>
      </c>
      <c r="N812" t="n">
        <v>33</v>
      </c>
      <c r="O812" t="n">
        <v>0.33</v>
      </c>
      <c r="P812" t="n">
        <v>1</v>
      </c>
      <c r="Q812" t="n">
        <v>0.19</v>
      </c>
      <c r="R812" t="n">
        <v>3</v>
      </c>
      <c r="S812" t="n">
        <v>7058.7</v>
      </c>
      <c r="T812" t="n">
        <v>16</v>
      </c>
      <c r="U812" t="n">
        <v>17</v>
      </c>
      <c r="V812" t="n">
        <v>30</v>
      </c>
      <c r="W812" t="n">
        <v>4</v>
      </c>
      <c r="X812" t="n">
        <v>146.6275659824047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477</v>
      </c>
      <c r="AG812" t="n">
        <v>107</v>
      </c>
      <c r="AH812" t="inlineStr">
        <is>
          <t xml:space="preserve">CV. DAHLIA - PPN (PDG) </t>
        </is>
      </c>
      <c r="AI812" t="n">
        <v>61</v>
      </c>
      <c r="AJ812" t="inlineStr">
        <is>
          <t>DEAR ME BEAUTY</t>
        </is>
      </c>
      <c r="AK812" t="n">
        <v>9</v>
      </c>
      <c r="AL812" t="inlineStr">
        <is>
          <t>Miss Glam Jambi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DEAR ME BEAUTY</t>
        </is>
      </c>
      <c r="B813" s="2">
        <f>"8997230373962"</f>
        <v/>
      </c>
      <c r="C813" t="inlineStr">
        <is>
          <t>DEAR ME BEAUTY Meltaway Balm Blueberry 100gr</t>
        </is>
      </c>
      <c r="D813" t="inlineStr">
        <is>
          <t>Miss Glam Jambi</t>
        </is>
      </c>
      <c r="E813" t="n">
        <v>4</v>
      </c>
      <c r="F813" t="n">
        <v>0.009900000000000001</v>
      </c>
      <c r="G813" t="n">
        <v>0.33</v>
      </c>
      <c r="H813" t="n">
        <v>6</v>
      </c>
      <c r="I813" t="n">
        <v>12</v>
      </c>
      <c r="J813" t="n">
        <v>3</v>
      </c>
      <c r="K813" t="n">
        <v>0</v>
      </c>
      <c r="L813" t="n">
        <v>119200</v>
      </c>
      <c r="M813" t="n">
        <v>148000</v>
      </c>
      <c r="N813" t="n">
        <v>33</v>
      </c>
      <c r="O813" t="n">
        <v>0.33</v>
      </c>
      <c r="P813" t="n">
        <v>1</v>
      </c>
      <c r="Q813" t="n">
        <v>0.05</v>
      </c>
      <c r="R813" t="n">
        <v>1</v>
      </c>
      <c r="S813" t="n">
        <v>1465.2</v>
      </c>
      <c r="T813" t="n">
        <v>4</v>
      </c>
      <c r="U813" t="n">
        <v>5</v>
      </c>
      <c r="V813" t="n">
        <v>30</v>
      </c>
      <c r="W813" t="n">
        <v>1</v>
      </c>
      <c r="X813" t="n">
        <v>404.040404040404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477</v>
      </c>
      <c r="AG813" t="n">
        <v>107</v>
      </c>
      <c r="AH813" t="inlineStr">
        <is>
          <t xml:space="preserve">CV. DAHLIA - PPN (PDG) </t>
        </is>
      </c>
      <c r="AI813" t="n">
        <v>61</v>
      </c>
      <c r="AJ813" t="inlineStr">
        <is>
          <t>DEAR ME BEAUTY</t>
        </is>
      </c>
      <c r="AK813" t="n">
        <v>9</v>
      </c>
      <c r="AL813" t="inlineStr">
        <is>
          <t>Miss Glam Jambi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DEAR ME BEAUTY</t>
        </is>
      </c>
      <c r="B814" s="2">
        <f>"8997230373870"</f>
        <v/>
      </c>
      <c r="C814" t="inlineStr">
        <is>
          <t>DEAR ME BEAUTY Serum Lip Tint Dear Anastasia 3.5ml</t>
        </is>
      </c>
      <c r="D814" t="inlineStr">
        <is>
          <t>Miss Glam Jambi</t>
        </is>
      </c>
      <c r="E814" t="n">
        <v>7</v>
      </c>
      <c r="F814" t="n">
        <v>0.1683</v>
      </c>
      <c r="G814" t="n">
        <v>0.66</v>
      </c>
      <c r="H814" t="n">
        <v>6</v>
      </c>
      <c r="I814" t="n">
        <v>12</v>
      </c>
      <c r="J814" t="n">
        <v>3</v>
      </c>
      <c r="K814" t="n">
        <v>0</v>
      </c>
      <c r="L814" t="n">
        <v>39200</v>
      </c>
      <c r="M814" t="n">
        <v>46500</v>
      </c>
      <c r="N814" t="n">
        <v>33</v>
      </c>
      <c r="O814" t="n">
        <v>0.33</v>
      </c>
      <c r="P814" t="n">
        <v>1</v>
      </c>
      <c r="Q814" t="n">
        <v>0.12</v>
      </c>
      <c r="R814" t="n">
        <v>1</v>
      </c>
      <c r="S814" t="n">
        <v>7825.95</v>
      </c>
      <c r="T814" t="n">
        <v>7</v>
      </c>
      <c r="U814" t="n">
        <v>9</v>
      </c>
      <c r="V814" t="n">
        <v>30</v>
      </c>
      <c r="W814" t="n">
        <v>6</v>
      </c>
      <c r="X814" t="n">
        <v>41.592394533571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477</v>
      </c>
      <c r="AG814" t="n">
        <v>107</v>
      </c>
      <c r="AH814" t="inlineStr">
        <is>
          <t xml:space="preserve">CV. DAHLIA - PPN (PDG) </t>
        </is>
      </c>
      <c r="AI814" t="n">
        <v>61</v>
      </c>
      <c r="AJ814" t="inlineStr">
        <is>
          <t>DEAR ME BEAUTY</t>
        </is>
      </c>
      <c r="AK814" t="n">
        <v>9</v>
      </c>
      <c r="AL814" t="inlineStr">
        <is>
          <t>Miss Glam Jambi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DEAR ME BEAUTY</t>
        </is>
      </c>
      <c r="B815" s="2">
        <f>"8997230373979"</f>
        <v/>
      </c>
      <c r="C815" t="inlineStr">
        <is>
          <t>DEAR ME BEAUTY Serum Lip Tint Dear Elise 3.5ml</t>
        </is>
      </c>
      <c r="D815" t="inlineStr">
        <is>
          <t>Miss Glam Jambi</t>
        </is>
      </c>
      <c r="E815" t="n">
        <v>3</v>
      </c>
      <c r="F815" t="n">
        <v>0.0264</v>
      </c>
      <c r="G815" t="n">
        <v>0.33</v>
      </c>
      <c r="H815" t="n">
        <v>6</v>
      </c>
      <c r="I815" t="n">
        <v>12</v>
      </c>
      <c r="J815" t="n">
        <v>3</v>
      </c>
      <c r="K815" t="n">
        <v>0</v>
      </c>
      <c r="L815" t="n">
        <v>39200</v>
      </c>
      <c r="M815" t="n">
        <v>49000</v>
      </c>
      <c r="N815" t="n">
        <v>33</v>
      </c>
      <c r="O815" t="n">
        <v>0.33</v>
      </c>
      <c r="P815" t="n">
        <v>1</v>
      </c>
      <c r="Q815" t="n">
        <v>0.03</v>
      </c>
      <c r="R815" t="n">
        <v>1</v>
      </c>
      <c r="S815" t="n">
        <v>1293.6</v>
      </c>
      <c r="T815" t="n">
        <v>4</v>
      </c>
      <c r="U815" t="n">
        <v>5</v>
      </c>
      <c r="V815" t="n">
        <v>30</v>
      </c>
      <c r="W815" t="n">
        <v>1</v>
      </c>
      <c r="X815" t="n">
        <v>113.6363636363636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477</v>
      </c>
      <c r="AG815" t="n">
        <v>107</v>
      </c>
      <c r="AH815" t="inlineStr">
        <is>
          <t xml:space="preserve">CV. DAHLIA - PPN (PDG) </t>
        </is>
      </c>
      <c r="AI815" t="n">
        <v>61</v>
      </c>
      <c r="AJ815" t="inlineStr">
        <is>
          <t>DEAR ME BEAUTY</t>
        </is>
      </c>
      <c r="AK815" t="n">
        <v>9</v>
      </c>
      <c r="AL815" t="inlineStr">
        <is>
          <t>Miss Glam Jambi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DEAR ME BEAUTY</t>
        </is>
      </c>
      <c r="B816" s="2">
        <f>"8997230373900"</f>
        <v/>
      </c>
      <c r="C816" t="inlineStr">
        <is>
          <t>DEAR ME BEAUTY Serum Lip Tint Dear Elly 3.5ml</t>
        </is>
      </c>
      <c r="D816" t="inlineStr">
        <is>
          <t>Miss Glam Jambi</t>
        </is>
      </c>
      <c r="E816" t="n">
        <v>0</v>
      </c>
      <c r="F816" t="n">
        <v>0.4257</v>
      </c>
      <c r="G816" t="n">
        <v>1.32</v>
      </c>
      <c r="H816" t="n">
        <v>6</v>
      </c>
      <c r="I816" t="n">
        <v>12</v>
      </c>
      <c r="J816" t="n">
        <v>3</v>
      </c>
      <c r="K816" t="n">
        <v>0</v>
      </c>
      <c r="L816" t="n">
        <v>39200</v>
      </c>
      <c r="M816" t="n">
        <v>46500</v>
      </c>
      <c r="N816" t="n">
        <v>33</v>
      </c>
      <c r="O816" t="n">
        <v>0.33</v>
      </c>
      <c r="P816" t="n">
        <v>1</v>
      </c>
      <c r="Q816" t="n">
        <v>0.14</v>
      </c>
      <c r="R816" t="n">
        <v>2</v>
      </c>
      <c r="S816" t="n">
        <v>19795.05</v>
      </c>
      <c r="T816" t="n">
        <v>14</v>
      </c>
      <c r="U816" t="n">
        <v>17</v>
      </c>
      <c r="V816" t="n">
        <v>30</v>
      </c>
      <c r="W816" t="n">
        <v>13</v>
      </c>
      <c r="X816" t="n">
        <v>0</v>
      </c>
      <c r="Y816" t="n">
        <v>1</v>
      </c>
      <c r="Z816" t="n">
        <v>13</v>
      </c>
      <c r="AA816" t="n">
        <v>6</v>
      </c>
      <c r="AB816" t="n">
        <v>7</v>
      </c>
      <c r="AC816" t="n">
        <v>7</v>
      </c>
      <c r="AD816" t="n">
        <v>235200</v>
      </c>
      <c r="AE816" t="n">
        <v>274400</v>
      </c>
      <c r="AF816" t="n">
        <v>477</v>
      </c>
      <c r="AG816" t="n">
        <v>107</v>
      </c>
      <c r="AH816" t="inlineStr">
        <is>
          <t xml:space="preserve">CV. DAHLIA - PPN (PDG) </t>
        </is>
      </c>
      <c r="AI816" t="n">
        <v>61</v>
      </c>
      <c r="AJ816" t="inlineStr">
        <is>
          <t>DEAR ME BEAUTY</t>
        </is>
      </c>
      <c r="AK816" t="n">
        <v>9</v>
      </c>
      <c r="AL816" t="inlineStr">
        <is>
          <t>Miss Glam Jambi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DEAR ME BEAUTY</t>
        </is>
      </c>
      <c r="B817" s="2">
        <f>"8997230373887"</f>
        <v/>
      </c>
      <c r="C817" t="inlineStr">
        <is>
          <t>DEAR ME BEAUTY Serum Lip Tint Dear Kyla 3.5ml</t>
        </is>
      </c>
      <c r="D817" t="inlineStr">
        <is>
          <t>Miss Glam Jambi</t>
        </is>
      </c>
      <c r="E817" t="n">
        <v>9</v>
      </c>
      <c r="F817" t="n">
        <v>0.1023</v>
      </c>
      <c r="G817" t="n">
        <v>0.66</v>
      </c>
      <c r="H817" t="n">
        <v>6</v>
      </c>
      <c r="I817" t="n">
        <v>12</v>
      </c>
      <c r="J817" t="n">
        <v>3</v>
      </c>
      <c r="K817" t="n">
        <v>0</v>
      </c>
      <c r="L817" t="n">
        <v>39200</v>
      </c>
      <c r="M817" t="n">
        <v>46500</v>
      </c>
      <c r="N817" t="n">
        <v>33</v>
      </c>
      <c r="O817" t="n">
        <v>0.33</v>
      </c>
      <c r="P817" t="n">
        <v>1</v>
      </c>
      <c r="Q817" t="n">
        <v>0.07000000000000001</v>
      </c>
      <c r="R817" t="n">
        <v>2</v>
      </c>
      <c r="S817" t="n">
        <v>4756.95</v>
      </c>
      <c r="T817" t="n">
        <v>8</v>
      </c>
      <c r="U817" t="n">
        <v>9</v>
      </c>
      <c r="V817" t="n">
        <v>30</v>
      </c>
      <c r="W817" t="n">
        <v>4</v>
      </c>
      <c r="X817" t="n">
        <v>87.97653958944281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477</v>
      </c>
      <c r="AG817" t="n">
        <v>107</v>
      </c>
      <c r="AH817" t="inlineStr">
        <is>
          <t xml:space="preserve">CV. DAHLIA - PPN (PDG) </t>
        </is>
      </c>
      <c r="AI817" t="n">
        <v>61</v>
      </c>
      <c r="AJ817" t="inlineStr">
        <is>
          <t>DEAR ME BEAUTY</t>
        </is>
      </c>
      <c r="AK817" t="n">
        <v>9</v>
      </c>
      <c r="AL817" t="inlineStr">
        <is>
          <t>Miss Glam Jambi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DEAR ME BEAUTY</t>
        </is>
      </c>
      <c r="B818" s="2">
        <f>"8997230373993"</f>
        <v/>
      </c>
      <c r="C818" t="inlineStr">
        <is>
          <t>DEAR ME BEAUTY Serum Lip Tint Dear Maudy 3.5ml</t>
        </is>
      </c>
      <c r="D818" t="inlineStr">
        <is>
          <t>Miss Glam Jambi</t>
        </is>
      </c>
      <c r="E818" t="n">
        <v>6</v>
      </c>
      <c r="F818" t="n">
        <v>0.2805</v>
      </c>
      <c r="G818" t="n">
        <v>1.32</v>
      </c>
      <c r="H818" t="n">
        <v>6</v>
      </c>
      <c r="I818" t="n">
        <v>12</v>
      </c>
      <c r="J818" t="n">
        <v>3</v>
      </c>
      <c r="K818" t="n">
        <v>0</v>
      </c>
      <c r="L818" t="n">
        <v>39200</v>
      </c>
      <c r="M818" t="n">
        <v>49000</v>
      </c>
      <c r="N818" t="n">
        <v>33</v>
      </c>
      <c r="O818" t="n">
        <v>0.33</v>
      </c>
      <c r="P818" t="n">
        <v>1</v>
      </c>
      <c r="Q818" t="n">
        <v>0.32</v>
      </c>
      <c r="R818" t="n">
        <v>1</v>
      </c>
      <c r="S818" t="n">
        <v>13744.5</v>
      </c>
      <c r="T818" t="n">
        <v>15</v>
      </c>
      <c r="U818" t="n">
        <v>17</v>
      </c>
      <c r="V818" t="n">
        <v>30</v>
      </c>
      <c r="W818" t="n">
        <v>9</v>
      </c>
      <c r="X818" t="n">
        <v>21.3903743315508</v>
      </c>
      <c r="Y818" t="n">
        <v>1</v>
      </c>
      <c r="Z818" t="n">
        <v>3</v>
      </c>
      <c r="AA818" t="n">
        <v>0</v>
      </c>
      <c r="AB818" t="n">
        <v>3</v>
      </c>
      <c r="AC818" t="n">
        <v>3</v>
      </c>
      <c r="AD818" t="n">
        <v>0</v>
      </c>
      <c r="AE818" t="n">
        <v>117600</v>
      </c>
      <c r="AF818" t="n">
        <v>477</v>
      </c>
      <c r="AG818" t="n">
        <v>107</v>
      </c>
      <c r="AH818" t="inlineStr">
        <is>
          <t xml:space="preserve">CV. DAHLIA - PPN (PDG) </t>
        </is>
      </c>
      <c r="AI818" t="n">
        <v>61</v>
      </c>
      <c r="AJ818" t="inlineStr">
        <is>
          <t>DEAR ME BEAUTY</t>
        </is>
      </c>
      <c r="AK818" t="n">
        <v>9</v>
      </c>
      <c r="AL818" t="inlineStr">
        <is>
          <t>Miss Glam Jambi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DEAR ME BEAUTY</t>
        </is>
      </c>
      <c r="B819" s="2">
        <f>"8997230373986"</f>
        <v/>
      </c>
      <c r="C819" t="inlineStr">
        <is>
          <t>DEAR ME BEAUTY Serum Lip Tint Dear Monica 3.5ml</t>
        </is>
      </c>
      <c r="D819" t="inlineStr">
        <is>
          <t>Miss Glam Jambi</t>
        </is>
      </c>
      <c r="E819" t="n">
        <v>15</v>
      </c>
      <c r="F819" t="n">
        <v>0.5049</v>
      </c>
      <c r="G819" t="n">
        <v>1.32</v>
      </c>
      <c r="H819" t="n">
        <v>6</v>
      </c>
      <c r="I819" t="n">
        <v>12</v>
      </c>
      <c r="J819" t="n">
        <v>3</v>
      </c>
      <c r="K819" t="n">
        <v>0</v>
      </c>
      <c r="L819" t="n">
        <v>39200</v>
      </c>
      <c r="M819" t="n">
        <v>49000</v>
      </c>
      <c r="N819" t="n">
        <v>33</v>
      </c>
      <c r="O819" t="n">
        <v>0.33</v>
      </c>
      <c r="P819" t="n">
        <v>1</v>
      </c>
      <c r="Q819" t="n">
        <v>0.27</v>
      </c>
      <c r="R819" t="n">
        <v>4</v>
      </c>
      <c r="S819" t="n">
        <v>24740.1</v>
      </c>
      <c r="T819" t="n">
        <v>13</v>
      </c>
      <c r="U819" t="n">
        <v>17</v>
      </c>
      <c r="V819" t="n">
        <v>30</v>
      </c>
      <c r="W819" t="n">
        <v>16</v>
      </c>
      <c r="X819" t="n">
        <v>29.708853238265</v>
      </c>
      <c r="Y819" t="n">
        <v>1</v>
      </c>
      <c r="Z819" t="n">
        <v>1</v>
      </c>
      <c r="AA819" t="n">
        <v>0</v>
      </c>
      <c r="AB819" t="n">
        <v>1</v>
      </c>
      <c r="AC819" t="n">
        <v>3</v>
      </c>
      <c r="AD819" t="n">
        <v>0</v>
      </c>
      <c r="AE819" t="n">
        <v>117600</v>
      </c>
      <c r="AF819" t="n">
        <v>477</v>
      </c>
      <c r="AG819" t="n">
        <v>107</v>
      </c>
      <c r="AH819" t="inlineStr">
        <is>
          <t xml:space="preserve">CV. DAHLIA - PPN (PDG) </t>
        </is>
      </c>
      <c r="AI819" t="n">
        <v>61</v>
      </c>
      <c r="AJ819" t="inlineStr">
        <is>
          <t>DEAR ME BEAUTY</t>
        </is>
      </c>
      <c r="AK819" t="n">
        <v>9</v>
      </c>
      <c r="AL819" t="inlineStr">
        <is>
          <t>Miss Glam Jambi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DEAR ME BEAUTY</t>
        </is>
      </c>
      <c r="B820" s="2">
        <f>"8997230373917"</f>
        <v/>
      </c>
      <c r="C820" t="inlineStr">
        <is>
          <t>DEAR ME BEAUTY Serum Lip Tint Dear Rissa 3.5ml</t>
        </is>
      </c>
      <c r="D820" t="inlineStr">
        <is>
          <t>Miss Glam Jambi</t>
        </is>
      </c>
      <c r="E820" t="n">
        <v>1</v>
      </c>
      <c r="F820" t="n">
        <v>0.3795</v>
      </c>
      <c r="G820" t="n">
        <v>1.32</v>
      </c>
      <c r="H820" t="n">
        <v>6</v>
      </c>
      <c r="I820" t="n">
        <v>12</v>
      </c>
      <c r="J820" t="n">
        <v>3</v>
      </c>
      <c r="K820" t="n">
        <v>0</v>
      </c>
      <c r="L820" t="n">
        <v>39200</v>
      </c>
      <c r="M820" t="n">
        <v>46500</v>
      </c>
      <c r="N820" t="n">
        <v>33</v>
      </c>
      <c r="O820" t="n">
        <v>0.33</v>
      </c>
      <c r="P820" t="n">
        <v>1</v>
      </c>
      <c r="Q820" t="n">
        <v>0.14</v>
      </c>
      <c r="R820" t="n">
        <v>2</v>
      </c>
      <c r="S820" t="n">
        <v>17646.75</v>
      </c>
      <c r="T820" t="n">
        <v>14</v>
      </c>
      <c r="U820" t="n">
        <v>17</v>
      </c>
      <c r="V820" t="n">
        <v>30</v>
      </c>
      <c r="W820" t="n">
        <v>12</v>
      </c>
      <c r="X820" t="n">
        <v>2.635046113306983</v>
      </c>
      <c r="Y820" t="n">
        <v>1</v>
      </c>
      <c r="Z820" t="n">
        <v>11</v>
      </c>
      <c r="AA820" t="n">
        <v>4</v>
      </c>
      <c r="AB820" t="n">
        <v>7</v>
      </c>
      <c r="AC820" t="n">
        <v>7</v>
      </c>
      <c r="AD820" t="n">
        <v>156800</v>
      </c>
      <c r="AE820" t="n">
        <v>274400</v>
      </c>
      <c r="AF820" t="n">
        <v>477</v>
      </c>
      <c r="AG820" t="n">
        <v>107</v>
      </c>
      <c r="AH820" t="inlineStr">
        <is>
          <t xml:space="preserve">CV. DAHLIA - PPN (PDG) </t>
        </is>
      </c>
      <c r="AI820" t="n">
        <v>61</v>
      </c>
      <c r="AJ820" t="inlineStr">
        <is>
          <t>DEAR ME BEAUTY</t>
        </is>
      </c>
      <c r="AK820" t="n">
        <v>9</v>
      </c>
      <c r="AL820" t="inlineStr">
        <is>
          <t>Miss Glam Jambi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DEAR ME BEAUTY</t>
        </is>
      </c>
      <c r="B821" s="2">
        <f>"8997230374006"</f>
        <v/>
      </c>
      <c r="C821" t="inlineStr">
        <is>
          <t>DEAR ME BEAUTY Serum Lip Tint Dear Valerie 3.5ml</t>
        </is>
      </c>
      <c r="D821" t="inlineStr">
        <is>
          <t>Miss Glam Jambi</t>
        </is>
      </c>
      <c r="E821" t="n">
        <v>4</v>
      </c>
      <c r="F821" t="n">
        <v>0.0231</v>
      </c>
      <c r="G821" t="n">
        <v>0.33</v>
      </c>
      <c r="H821" t="n">
        <v>6</v>
      </c>
      <c r="I821" t="n">
        <v>12</v>
      </c>
      <c r="J821" t="n">
        <v>3</v>
      </c>
      <c r="K821" t="n">
        <v>0</v>
      </c>
      <c r="L821" t="n">
        <v>39200</v>
      </c>
      <c r="M821" t="n">
        <v>49000</v>
      </c>
      <c r="N821" t="n">
        <v>33</v>
      </c>
      <c r="O821" t="n">
        <v>0.33</v>
      </c>
      <c r="P821" t="n">
        <v>1</v>
      </c>
      <c r="Q821" t="n">
        <v>0.02</v>
      </c>
      <c r="R821" t="n">
        <v>1</v>
      </c>
      <c r="S821" t="n">
        <v>1131.9</v>
      </c>
      <c r="T821" t="n">
        <v>4</v>
      </c>
      <c r="U821" t="n">
        <v>5</v>
      </c>
      <c r="V821" t="n">
        <v>30</v>
      </c>
      <c r="W821" t="n">
        <v>1</v>
      </c>
      <c r="X821" t="n">
        <v>173.1601731601731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477</v>
      </c>
      <c r="AG821" t="n">
        <v>107</v>
      </c>
      <c r="AH821" t="inlineStr">
        <is>
          <t xml:space="preserve">CV. DAHLIA - PPN (PDG) </t>
        </is>
      </c>
      <c r="AI821" t="n">
        <v>61</v>
      </c>
      <c r="AJ821" t="inlineStr">
        <is>
          <t>DEAR ME BEAUTY</t>
        </is>
      </c>
      <c r="AK821" t="n">
        <v>9</v>
      </c>
      <c r="AL821" t="inlineStr">
        <is>
          <t>Miss Glam Jambi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DEAR ME BEAUTY</t>
        </is>
      </c>
      <c r="B822" s="2">
        <f>"8997230373894"</f>
        <v/>
      </c>
      <c r="C822" t="inlineStr">
        <is>
          <t>DEAR ME BEAUTY Serum Lip Tint Dear Vania 3.5ml</t>
        </is>
      </c>
      <c r="D822" t="inlineStr">
        <is>
          <t>Miss Glam Jambi</t>
        </is>
      </c>
      <c r="E822" t="n">
        <v>0</v>
      </c>
      <c r="F822" t="n">
        <v>0.5973000000000001</v>
      </c>
      <c r="G822" t="n">
        <v>2.31</v>
      </c>
      <c r="H822" t="n">
        <v>6</v>
      </c>
      <c r="I822" t="n">
        <v>12</v>
      </c>
      <c r="J822" t="n">
        <v>3</v>
      </c>
      <c r="K822" t="n">
        <v>0</v>
      </c>
      <c r="L822" t="n">
        <v>39200</v>
      </c>
      <c r="M822" t="n">
        <v>46500</v>
      </c>
      <c r="N822" t="n">
        <v>33</v>
      </c>
      <c r="O822" t="n">
        <v>0.33</v>
      </c>
      <c r="P822" t="n">
        <v>1</v>
      </c>
      <c r="Q822" t="n">
        <v>0.31</v>
      </c>
      <c r="R822" t="n">
        <v>4</v>
      </c>
      <c r="S822" t="n">
        <v>27774.45</v>
      </c>
      <c r="T822" t="n">
        <v>25</v>
      </c>
      <c r="U822" t="n">
        <v>29</v>
      </c>
      <c r="V822" t="n">
        <v>30</v>
      </c>
      <c r="W822" t="n">
        <v>18</v>
      </c>
      <c r="X822" t="n">
        <v>0</v>
      </c>
      <c r="Y822" t="n">
        <v>1</v>
      </c>
      <c r="Z822" t="n">
        <v>18</v>
      </c>
      <c r="AA822" t="n">
        <v>8</v>
      </c>
      <c r="AB822" t="n">
        <v>10</v>
      </c>
      <c r="AC822" t="n">
        <v>10</v>
      </c>
      <c r="AD822" t="n">
        <v>313600</v>
      </c>
      <c r="AE822" t="n">
        <v>392000</v>
      </c>
      <c r="AF822" t="n">
        <v>477</v>
      </c>
      <c r="AG822" t="n">
        <v>107</v>
      </c>
      <c r="AH822" t="inlineStr">
        <is>
          <t xml:space="preserve">CV. DAHLIA - PPN (PDG) </t>
        </is>
      </c>
      <c r="AI822" t="n">
        <v>61</v>
      </c>
      <c r="AJ822" t="inlineStr">
        <is>
          <t>DEAR ME BEAUTY</t>
        </is>
      </c>
      <c r="AK822" t="n">
        <v>9</v>
      </c>
      <c r="AL822" t="inlineStr">
        <is>
          <t>Miss Glam Jambi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DEAR ME BEAUTY</t>
        </is>
      </c>
      <c r="B823" s="2">
        <f>"8997230373023"</f>
        <v/>
      </c>
      <c r="C823" t="inlineStr">
        <is>
          <t>DEAR ME BEAUTY Skin Barrier Face Gel Cleanser 100ml</t>
        </is>
      </c>
      <c r="D823" t="inlineStr">
        <is>
          <t>Miss Glam Jambi</t>
        </is>
      </c>
      <c r="E823" t="n">
        <v>3</v>
      </c>
      <c r="F823" t="n">
        <v>0.1353</v>
      </c>
      <c r="G823" t="n">
        <v>1.32</v>
      </c>
      <c r="H823" t="n">
        <v>6</v>
      </c>
      <c r="I823" t="n">
        <v>12</v>
      </c>
      <c r="J823" t="n">
        <v>3</v>
      </c>
      <c r="K823" t="n">
        <v>0</v>
      </c>
      <c r="L823" t="n">
        <v>63200</v>
      </c>
      <c r="M823" t="n">
        <v>79000</v>
      </c>
      <c r="N823" t="n">
        <v>33</v>
      </c>
      <c r="O823" t="n">
        <v>0.33</v>
      </c>
      <c r="P823" t="n">
        <v>1</v>
      </c>
      <c r="Q823" t="n">
        <v>0.03</v>
      </c>
      <c r="R823" t="n">
        <v>1</v>
      </c>
      <c r="S823" t="n">
        <v>10688.7</v>
      </c>
      <c r="T823" t="n">
        <v>16</v>
      </c>
      <c r="U823" t="n">
        <v>17</v>
      </c>
      <c r="V823" t="n">
        <v>30</v>
      </c>
      <c r="W823" t="n">
        <v>5</v>
      </c>
      <c r="X823" t="n">
        <v>22.17294900221729</v>
      </c>
      <c r="Y823" t="n">
        <v>1</v>
      </c>
      <c r="Z823" t="n">
        <v>2</v>
      </c>
      <c r="AA823" t="n">
        <v>0</v>
      </c>
      <c r="AB823" t="n">
        <v>2</v>
      </c>
      <c r="AC823" t="n">
        <v>3</v>
      </c>
      <c r="AD823" t="n">
        <v>0</v>
      </c>
      <c r="AE823" t="n">
        <v>189600</v>
      </c>
      <c r="AF823" t="n">
        <v>477</v>
      </c>
      <c r="AG823" t="n">
        <v>107</v>
      </c>
      <c r="AH823" t="inlineStr">
        <is>
          <t xml:space="preserve">CV. DAHLIA - PPN (PDG) </t>
        </is>
      </c>
      <c r="AI823" t="n">
        <v>61</v>
      </c>
      <c r="AJ823" t="inlineStr">
        <is>
          <t>DEAR ME BEAUTY</t>
        </is>
      </c>
      <c r="AK823" t="n">
        <v>9</v>
      </c>
      <c r="AL823" t="inlineStr">
        <is>
          <t>Miss Glam Jambi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DEAR ME BEAUTY</t>
        </is>
      </c>
      <c r="B824" s="2">
        <f>"10400405802"</f>
        <v/>
      </c>
      <c r="C824" t="inlineStr">
        <is>
          <t>DEAR ME BEAUTY Skin Barrier Sunscreen Gel Care Bears 35ml</t>
        </is>
      </c>
      <c r="D824" t="inlineStr">
        <is>
          <t>Miss Glam Jambi</t>
        </is>
      </c>
      <c r="E824" t="n">
        <v>11</v>
      </c>
      <c r="F824" t="n">
        <v>0.009900000000000001</v>
      </c>
      <c r="G824" t="n">
        <v>0.33</v>
      </c>
      <c r="H824" t="n">
        <v>6</v>
      </c>
      <c r="I824" t="n">
        <v>12</v>
      </c>
      <c r="J824" t="n">
        <v>1</v>
      </c>
      <c r="K824" t="n">
        <v>0</v>
      </c>
      <c r="L824" t="n">
        <v>81749</v>
      </c>
      <c r="M824" t="n">
        <v>105500</v>
      </c>
      <c r="N824" t="n">
        <v>33</v>
      </c>
      <c r="O824" t="n">
        <v>0.33</v>
      </c>
      <c r="P824" t="n">
        <v>1</v>
      </c>
      <c r="Q824" t="n">
        <v>0.02</v>
      </c>
      <c r="R824" t="n">
        <v>1</v>
      </c>
      <c r="S824" t="n">
        <v>1044.45</v>
      </c>
      <c r="T824" t="n">
        <v>4</v>
      </c>
      <c r="U824" t="n">
        <v>5</v>
      </c>
      <c r="V824" t="n">
        <v>30</v>
      </c>
      <c r="W824" t="n">
        <v>1</v>
      </c>
      <c r="X824" t="n">
        <v>1111.111111111111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477</v>
      </c>
      <c r="AG824" t="n">
        <v>107</v>
      </c>
      <c r="AH824" t="inlineStr">
        <is>
          <t xml:space="preserve">CV. DAHLIA - PPN (PDG) </t>
        </is>
      </c>
      <c r="AI824" t="n">
        <v>61</v>
      </c>
      <c r="AJ824" t="inlineStr">
        <is>
          <t>DEAR ME BEAUTY</t>
        </is>
      </c>
      <c r="AK824" t="n">
        <v>9</v>
      </c>
      <c r="AL824" t="inlineStr">
        <is>
          <t>Miss Glam Jambi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DEAR ME BEAUTY</t>
        </is>
      </c>
      <c r="B825" s="2">
        <f>"8997230373085"</f>
        <v/>
      </c>
      <c r="C825" t="inlineStr">
        <is>
          <t>DEAR ME BEAUTY Spf 50 + Skin Barrier Sunscreen Gel 35ml</t>
        </is>
      </c>
      <c r="D825" t="inlineStr">
        <is>
          <t>Miss Glam Jambi</t>
        </is>
      </c>
      <c r="E825" t="n">
        <v>24</v>
      </c>
      <c r="F825" t="n">
        <v>0.5808</v>
      </c>
      <c r="G825" t="n">
        <v>1.98</v>
      </c>
      <c r="H825" t="n">
        <v>6</v>
      </c>
      <c r="I825" t="n">
        <v>12</v>
      </c>
      <c r="J825" t="n">
        <v>3</v>
      </c>
      <c r="K825" t="n">
        <v>0</v>
      </c>
      <c r="L825" t="n">
        <v>79200</v>
      </c>
      <c r="M825" t="n">
        <v>99000</v>
      </c>
      <c r="N825" t="n">
        <v>33</v>
      </c>
      <c r="O825" t="n">
        <v>0.33</v>
      </c>
      <c r="P825" t="n">
        <v>1</v>
      </c>
      <c r="Q825" t="n">
        <v>0.2</v>
      </c>
      <c r="R825" t="n">
        <v>2</v>
      </c>
      <c r="S825" t="n">
        <v>57499.2</v>
      </c>
      <c r="T825" t="n">
        <v>21</v>
      </c>
      <c r="U825" t="n">
        <v>25</v>
      </c>
      <c r="V825" t="n">
        <v>30</v>
      </c>
      <c r="W825" t="n">
        <v>18</v>
      </c>
      <c r="X825" t="n">
        <v>41.32231404958678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477</v>
      </c>
      <c r="AG825" t="n">
        <v>107</v>
      </c>
      <c r="AH825" t="inlineStr">
        <is>
          <t xml:space="preserve">CV. DAHLIA - PPN (PDG) </t>
        </is>
      </c>
      <c r="AI825" t="n">
        <v>61</v>
      </c>
      <c r="AJ825" t="inlineStr">
        <is>
          <t>DEAR ME BEAUTY</t>
        </is>
      </c>
      <c r="AK825" t="n">
        <v>9</v>
      </c>
      <c r="AL825" t="inlineStr">
        <is>
          <t>Miss Glam Jambi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DEAR ME BEAUTY</t>
        </is>
      </c>
      <c r="B826" s="2">
        <f>"8997230374136"</f>
        <v/>
      </c>
      <c r="C826" t="inlineStr">
        <is>
          <t>DEAR ME BEAUTY Velvet Lip Tint Dear Aulia 3.5ml</t>
        </is>
      </c>
      <c r="D826" t="inlineStr">
        <is>
          <t>Miss Glam Jambi</t>
        </is>
      </c>
      <c r="E826" t="n">
        <v>3</v>
      </c>
      <c r="F826" t="n">
        <v>0.0462</v>
      </c>
      <c r="G826" t="n">
        <v>0.66</v>
      </c>
      <c r="H826" t="n">
        <v>6</v>
      </c>
      <c r="I826" t="n">
        <v>12</v>
      </c>
      <c r="J826" t="n">
        <v>3</v>
      </c>
      <c r="K826" t="n">
        <v>0</v>
      </c>
      <c r="L826" t="n">
        <v>63200</v>
      </c>
      <c r="M826" t="n">
        <v>79000</v>
      </c>
      <c r="N826" t="n">
        <v>33</v>
      </c>
      <c r="O826" t="n">
        <v>0.33</v>
      </c>
      <c r="P826" t="n">
        <v>1</v>
      </c>
      <c r="Q826" t="n">
        <v>0.03</v>
      </c>
      <c r="R826" t="n">
        <v>1</v>
      </c>
      <c r="S826" t="n">
        <v>3649.8</v>
      </c>
      <c r="T826" t="n">
        <v>8</v>
      </c>
      <c r="U826" t="n">
        <v>9</v>
      </c>
      <c r="V826" t="n">
        <v>30</v>
      </c>
      <c r="W826" t="n">
        <v>2</v>
      </c>
      <c r="X826" t="n">
        <v>64.93506493506493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477</v>
      </c>
      <c r="AG826" t="n">
        <v>107</v>
      </c>
      <c r="AH826" t="inlineStr">
        <is>
          <t xml:space="preserve">CV. DAHLIA - PPN (PDG) </t>
        </is>
      </c>
      <c r="AI826" t="n">
        <v>61</v>
      </c>
      <c r="AJ826" t="inlineStr">
        <is>
          <t>DEAR ME BEAUTY</t>
        </is>
      </c>
      <c r="AK826" t="n">
        <v>9</v>
      </c>
      <c r="AL826" t="inlineStr">
        <is>
          <t>Miss Glam Jambi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DEAR ME BEAUTY</t>
        </is>
      </c>
      <c r="B827" s="2">
        <f>"8997230374167"</f>
        <v/>
      </c>
      <c r="C827" t="inlineStr">
        <is>
          <t>DEAR ME BEAUTY Velvet Lip Tint Dear Vinna 3.5ml</t>
        </is>
      </c>
      <c r="D827" t="inlineStr">
        <is>
          <t>Miss Glam Jambi</t>
        </is>
      </c>
      <c r="E827" t="n">
        <v>4</v>
      </c>
      <c r="F827" t="n">
        <v>0.066</v>
      </c>
      <c r="G827" t="n">
        <v>0.66</v>
      </c>
      <c r="H827" t="n">
        <v>6</v>
      </c>
      <c r="I827" t="n">
        <v>12</v>
      </c>
      <c r="J827" t="n">
        <v>3</v>
      </c>
      <c r="K827" t="n">
        <v>0</v>
      </c>
      <c r="L827" t="n">
        <v>63200</v>
      </c>
      <c r="M827" t="n">
        <v>79000</v>
      </c>
      <c r="N827" t="n">
        <v>33</v>
      </c>
      <c r="O827" t="n">
        <v>0.33</v>
      </c>
      <c r="P827" t="n">
        <v>1</v>
      </c>
      <c r="Q827" t="n">
        <v>0.03</v>
      </c>
      <c r="R827" t="n">
        <v>1</v>
      </c>
      <c r="S827" t="n">
        <v>5214</v>
      </c>
      <c r="T827" t="n">
        <v>8</v>
      </c>
      <c r="U827" t="n">
        <v>9</v>
      </c>
      <c r="V827" t="n">
        <v>30</v>
      </c>
      <c r="W827" t="n">
        <v>2</v>
      </c>
      <c r="X827" t="n">
        <v>60.6060606060606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477</v>
      </c>
      <c r="AG827" t="n">
        <v>107</v>
      </c>
      <c r="AH827" t="inlineStr">
        <is>
          <t xml:space="preserve">CV. DAHLIA - PPN (PDG) </t>
        </is>
      </c>
      <c r="AI827" t="n">
        <v>61</v>
      </c>
      <c r="AJ827" t="inlineStr">
        <is>
          <t>DEAR ME BEAUTY</t>
        </is>
      </c>
      <c r="AK827" t="n">
        <v>9</v>
      </c>
      <c r="AL827" t="inlineStr">
        <is>
          <t>Miss Glam Jambi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DEOREX</t>
        </is>
      </c>
      <c r="B828" s="2">
        <f>"8992863662810"</f>
        <v/>
      </c>
      <c r="C828" t="inlineStr">
        <is>
          <t>DEOREX Body Odorizer Spray Extra Whitening 60ml</t>
        </is>
      </c>
      <c r="D828" t="inlineStr">
        <is>
          <t>Miss Glam Jambi</t>
        </is>
      </c>
      <c r="E828" t="n">
        <v>26</v>
      </c>
      <c r="F828" t="n">
        <v>0.6039000000000001</v>
      </c>
      <c r="G828" t="n">
        <v>2.64</v>
      </c>
      <c r="H828" t="n">
        <v>4</v>
      </c>
      <c r="I828" t="n">
        <v>20</v>
      </c>
      <c r="J828" t="n">
        <v>3</v>
      </c>
      <c r="K828" t="n">
        <v>0</v>
      </c>
      <c r="L828" t="n">
        <v>64746</v>
      </c>
      <c r="M828" t="n">
        <v>76000</v>
      </c>
      <c r="N828" t="n">
        <v>33</v>
      </c>
      <c r="O828" t="n">
        <v>0.33</v>
      </c>
      <c r="P828" t="n">
        <v>1</v>
      </c>
      <c r="Q828" t="n">
        <v>1.03</v>
      </c>
      <c r="R828" t="n">
        <v>5</v>
      </c>
      <c r="S828" t="n">
        <v>45896.40000000001</v>
      </c>
      <c r="T828" t="n">
        <v>51</v>
      </c>
      <c r="U828" t="n">
        <v>54</v>
      </c>
      <c r="V828" t="n">
        <v>30</v>
      </c>
      <c r="W828" t="n">
        <v>19</v>
      </c>
      <c r="X828" t="n">
        <v>43.05348567643649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4493</v>
      </c>
      <c r="AG828" t="n">
        <v>1</v>
      </c>
      <c r="AH828" t="inlineStr">
        <is>
          <t>PT. BERSAMA DISTRIVERSA INDONESIA (DC CIPUTAT)</t>
        </is>
      </c>
      <c r="AI828" t="n">
        <v>1310</v>
      </c>
      <c r="AJ828" t="inlineStr">
        <is>
          <t>DEOREX</t>
        </is>
      </c>
      <c r="AK828" t="n">
        <v>9</v>
      </c>
      <c r="AL828" t="inlineStr">
        <is>
          <t>Miss Glam Jambi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DEOREX</t>
        </is>
      </c>
      <c r="B829" s="2">
        <f>"8992863662803"</f>
        <v/>
      </c>
      <c r="C829" t="inlineStr">
        <is>
          <t>DEOREX Body Odorizer Spray for Men 60ml</t>
        </is>
      </c>
      <c r="D829" t="inlineStr">
        <is>
          <t>Miss Glam Jambi</t>
        </is>
      </c>
      <c r="E829" t="n">
        <v>0</v>
      </c>
      <c r="F829" t="n">
        <v>0.1287</v>
      </c>
      <c r="G829" t="n">
        <v>0.99</v>
      </c>
      <c r="H829" t="n">
        <v>4</v>
      </c>
      <c r="I829" t="n">
        <v>20</v>
      </c>
      <c r="J829" t="n">
        <v>3</v>
      </c>
      <c r="K829" t="n">
        <v>3</v>
      </c>
      <c r="L829" t="n">
        <v>58908</v>
      </c>
      <c r="M829" t="n">
        <v>79000</v>
      </c>
      <c r="N829" t="n">
        <v>33</v>
      </c>
      <c r="O829" t="n">
        <v>0.33</v>
      </c>
      <c r="P829" t="n">
        <v>1</v>
      </c>
      <c r="Q829" t="n">
        <v>0.22</v>
      </c>
      <c r="R829" t="n">
        <v>3</v>
      </c>
      <c r="S829" t="n">
        <v>10167.3</v>
      </c>
      <c r="T829" t="n">
        <v>20</v>
      </c>
      <c r="U829" t="n">
        <v>21</v>
      </c>
      <c r="V829" t="n">
        <v>30</v>
      </c>
      <c r="W829" t="n">
        <v>4</v>
      </c>
      <c r="X829" t="n">
        <v>0</v>
      </c>
      <c r="Y829" t="n">
        <v>1</v>
      </c>
      <c r="Z829" t="n">
        <v>1</v>
      </c>
      <c r="AA829" t="n">
        <v>2</v>
      </c>
      <c r="AB829" t="n">
        <v>0</v>
      </c>
      <c r="AC829" t="n">
        <v>0</v>
      </c>
      <c r="AD829" t="n">
        <v>117816</v>
      </c>
      <c r="AE829" t="n">
        <v>0</v>
      </c>
      <c r="AF829" t="n">
        <v>4493</v>
      </c>
      <c r="AG829" t="n">
        <v>1</v>
      </c>
      <c r="AH829" t="inlineStr">
        <is>
          <t>PT. BERSAMA DISTRIVERSA INDONESIA (DC CIPUTAT)</t>
        </is>
      </c>
      <c r="AI829" t="n">
        <v>1310</v>
      </c>
      <c r="AJ829" t="inlineStr">
        <is>
          <t>DEOREX</t>
        </is>
      </c>
      <c r="AK829" t="n">
        <v>9</v>
      </c>
      <c r="AL829" t="inlineStr">
        <is>
          <t>Miss Glam Jambi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DEOREX</t>
        </is>
      </c>
      <c r="B830" s="2">
        <f>"8992863662797"</f>
        <v/>
      </c>
      <c r="C830" t="inlineStr">
        <is>
          <t>DEOREX Body Odorizer Spray Musk 60ml New</t>
        </is>
      </c>
      <c r="D830" t="inlineStr">
        <is>
          <t>Miss Glam Jambi</t>
        </is>
      </c>
      <c r="E830" t="n">
        <v>5</v>
      </c>
      <c r="F830" t="n">
        <v>0.1518</v>
      </c>
      <c r="G830" t="n">
        <v>1.32</v>
      </c>
      <c r="H830" t="n">
        <v>4</v>
      </c>
      <c r="I830" t="n">
        <v>20</v>
      </c>
      <c r="J830" t="n">
        <v>3</v>
      </c>
      <c r="K830" t="n">
        <v>0</v>
      </c>
      <c r="L830" t="n">
        <v>60420</v>
      </c>
      <c r="M830" t="n">
        <v>70500</v>
      </c>
      <c r="N830" t="n">
        <v>33</v>
      </c>
      <c r="O830" t="n">
        <v>0.33</v>
      </c>
      <c r="P830" t="n">
        <v>1</v>
      </c>
      <c r="Q830" t="n">
        <v>0.32</v>
      </c>
      <c r="R830" t="n">
        <v>3</v>
      </c>
      <c r="S830" t="n">
        <v>10701.9</v>
      </c>
      <c r="T830" t="n">
        <v>26</v>
      </c>
      <c r="U830" t="n">
        <v>27</v>
      </c>
      <c r="V830" t="n">
        <v>30</v>
      </c>
      <c r="W830" t="n">
        <v>5</v>
      </c>
      <c r="X830" t="n">
        <v>32.93807641633728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4493</v>
      </c>
      <c r="AG830" t="n">
        <v>1</v>
      </c>
      <c r="AH830" t="inlineStr">
        <is>
          <t>PT. BERSAMA DISTRIVERSA INDONESIA (DC CIPUTAT)</t>
        </is>
      </c>
      <c r="AI830" t="n">
        <v>1310</v>
      </c>
      <c r="AJ830" t="inlineStr">
        <is>
          <t>DEOREX</t>
        </is>
      </c>
      <c r="AK830" t="n">
        <v>9</v>
      </c>
      <c r="AL830" t="inlineStr">
        <is>
          <t>Miss Glam Jambi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DEOREX</t>
        </is>
      </c>
      <c r="B831" s="2">
        <f>"731559330071"</f>
        <v/>
      </c>
      <c r="C831" t="inlineStr">
        <is>
          <t>DEOREX Body Odorizer Spray Non Fragrance 60ml</t>
        </is>
      </c>
      <c r="D831" t="inlineStr">
        <is>
          <t>Miss Glam Jambi</t>
        </is>
      </c>
      <c r="E831" t="n">
        <v>15</v>
      </c>
      <c r="F831" t="n">
        <v>0.08910000000000001</v>
      </c>
      <c r="G831" t="n">
        <v>0.66</v>
      </c>
      <c r="H831" t="n">
        <v>4</v>
      </c>
      <c r="I831" t="n">
        <v>20</v>
      </c>
      <c r="J831" t="n">
        <v>3</v>
      </c>
      <c r="K831" t="n">
        <v>0</v>
      </c>
      <c r="L831" t="n">
        <v>54652</v>
      </c>
      <c r="M831" t="n">
        <v>73000</v>
      </c>
      <c r="N831" t="n">
        <v>33</v>
      </c>
      <c r="O831" t="n">
        <v>0.33</v>
      </c>
      <c r="P831" t="n">
        <v>1</v>
      </c>
      <c r="Q831" t="n">
        <v>0.24</v>
      </c>
      <c r="R831" t="n">
        <v>2</v>
      </c>
      <c r="S831" t="n">
        <v>6504.300000000001</v>
      </c>
      <c r="T831" t="n">
        <v>13</v>
      </c>
      <c r="U831" t="n">
        <v>14</v>
      </c>
      <c r="V831" t="n">
        <v>30</v>
      </c>
      <c r="W831" t="n">
        <v>3</v>
      </c>
      <c r="X831" t="n">
        <v>168.3501683501683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4493</v>
      </c>
      <c r="AG831" t="n">
        <v>1</v>
      </c>
      <c r="AH831" t="inlineStr">
        <is>
          <t>PT. BERSAMA DISTRIVERSA INDONESIA (DC CIPUTAT)</t>
        </is>
      </c>
      <c r="AI831" t="n">
        <v>1310</v>
      </c>
      <c r="AJ831" t="inlineStr">
        <is>
          <t>DEOREX</t>
        </is>
      </c>
      <c r="AK831" t="n">
        <v>9</v>
      </c>
      <c r="AL831" t="inlineStr">
        <is>
          <t>Miss Glam Jambi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DEOREX</t>
        </is>
      </c>
      <c r="B832" s="2">
        <f>"8992863662919"</f>
        <v/>
      </c>
      <c r="C832" t="inlineStr">
        <is>
          <t>DEOREX Drymax Extra 30ml</t>
        </is>
      </c>
      <c r="D832" t="inlineStr">
        <is>
          <t>Miss Glam Jambi</t>
        </is>
      </c>
      <c r="E832" t="n">
        <v>10</v>
      </c>
      <c r="F832" t="n">
        <v>0.1122</v>
      </c>
      <c r="G832" t="n">
        <v>0.99</v>
      </c>
      <c r="H832" t="n">
        <v>4</v>
      </c>
      <c r="I832" t="n">
        <v>20</v>
      </c>
      <c r="J832" t="n">
        <v>3</v>
      </c>
      <c r="K832" t="n">
        <v>0</v>
      </c>
      <c r="L832" t="n">
        <v>85670</v>
      </c>
      <c r="M832" t="n">
        <v>109000</v>
      </c>
      <c r="N832" t="n">
        <v>33</v>
      </c>
      <c r="O832" t="n">
        <v>0.33</v>
      </c>
      <c r="P832" t="n">
        <v>1</v>
      </c>
      <c r="Q832" t="n">
        <v>0.12</v>
      </c>
      <c r="R832" t="n">
        <v>1</v>
      </c>
      <c r="S832" t="n">
        <v>12229.8</v>
      </c>
      <c r="T832" t="n">
        <v>20</v>
      </c>
      <c r="U832" t="n">
        <v>21</v>
      </c>
      <c r="V832" t="n">
        <v>30</v>
      </c>
      <c r="W832" t="n">
        <v>4</v>
      </c>
      <c r="X832" t="n">
        <v>89.12655971479501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4493</v>
      </c>
      <c r="AG832" t="n">
        <v>1</v>
      </c>
      <c r="AH832" t="inlineStr">
        <is>
          <t>PT. BERSAMA DISTRIVERSA INDONESIA (DC CIPUTAT)</t>
        </is>
      </c>
      <c r="AI832" t="n">
        <v>1310</v>
      </c>
      <c r="AJ832" t="inlineStr">
        <is>
          <t>DEOREX</t>
        </is>
      </c>
      <c r="AK832" t="n">
        <v>9</v>
      </c>
      <c r="AL832" t="inlineStr">
        <is>
          <t>Miss Glam Jambi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DEOREX</t>
        </is>
      </c>
      <c r="B833" s="2">
        <f>"8992863662926"</f>
        <v/>
      </c>
      <c r="C833" t="inlineStr">
        <is>
          <t>DEOREX Drymax Gentle 30ml</t>
        </is>
      </c>
      <c r="D833" t="inlineStr">
        <is>
          <t>Miss Glam Jambi</t>
        </is>
      </c>
      <c r="E833" t="n">
        <v>2</v>
      </c>
      <c r="F833" t="n">
        <v>0.066</v>
      </c>
      <c r="G833" t="n">
        <v>0.99</v>
      </c>
      <c r="H833" t="n">
        <v>4</v>
      </c>
      <c r="I833" t="n">
        <v>20</v>
      </c>
      <c r="J833" t="n">
        <v>3</v>
      </c>
      <c r="K833" t="n">
        <v>0</v>
      </c>
      <c r="L833" t="n">
        <v>77181</v>
      </c>
      <c r="M833" t="n">
        <v>99000</v>
      </c>
      <c r="N833" t="n">
        <v>33</v>
      </c>
      <c r="O833" t="n">
        <v>0.33</v>
      </c>
      <c r="P833" t="n">
        <v>1</v>
      </c>
      <c r="Q833" t="n">
        <v>0.08</v>
      </c>
      <c r="R833" t="n">
        <v>1</v>
      </c>
      <c r="S833" t="n">
        <v>6534</v>
      </c>
      <c r="T833" t="n">
        <v>20</v>
      </c>
      <c r="U833" t="n">
        <v>21</v>
      </c>
      <c r="V833" t="n">
        <v>30</v>
      </c>
      <c r="W833" t="n">
        <v>2</v>
      </c>
      <c r="X833" t="n">
        <v>30.3030303030303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4493</v>
      </c>
      <c r="AG833" t="n">
        <v>1</v>
      </c>
      <c r="AH833" t="inlineStr">
        <is>
          <t>PT. BERSAMA DISTRIVERSA INDONESIA (DC CIPUTAT)</t>
        </is>
      </c>
      <c r="AI833" t="n">
        <v>1310</v>
      </c>
      <c r="AJ833" t="inlineStr">
        <is>
          <t>DEOREX</t>
        </is>
      </c>
      <c r="AK833" t="n">
        <v>9</v>
      </c>
      <c r="AL833" t="inlineStr">
        <is>
          <t>Miss Glam Jambi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DEOREX</t>
        </is>
      </c>
      <c r="B834" s="2">
        <f>"8992863662902"</f>
        <v/>
      </c>
      <c r="C834" t="inlineStr">
        <is>
          <t>DEOREX Drymax Original 30ml</t>
        </is>
      </c>
      <c r="D834" t="inlineStr">
        <is>
          <t>Miss Glam Jambi</t>
        </is>
      </c>
      <c r="E834" t="n">
        <v>0</v>
      </c>
      <c r="F834" t="n">
        <v>0.0396</v>
      </c>
      <c r="G834" t="n">
        <v>0.99</v>
      </c>
      <c r="H834" t="n">
        <v>4</v>
      </c>
      <c r="I834" t="n">
        <v>20</v>
      </c>
      <c r="J834" t="n">
        <v>3</v>
      </c>
      <c r="K834" t="n">
        <v>3</v>
      </c>
      <c r="L834" t="n">
        <v>77082</v>
      </c>
      <c r="M834" t="n">
        <v>99000</v>
      </c>
      <c r="N834" t="n">
        <v>33</v>
      </c>
      <c r="O834" t="n">
        <v>0.33</v>
      </c>
      <c r="P834" t="n">
        <v>1</v>
      </c>
      <c r="Q834" t="n">
        <v>0.18</v>
      </c>
      <c r="R834" t="n">
        <v>1</v>
      </c>
      <c r="S834" t="n">
        <v>3920.400000000001</v>
      </c>
      <c r="T834" t="n">
        <v>20</v>
      </c>
      <c r="U834" t="n">
        <v>21</v>
      </c>
      <c r="V834" t="n">
        <v>30</v>
      </c>
      <c r="W834" t="n">
        <v>2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4493</v>
      </c>
      <c r="AG834" t="n">
        <v>1</v>
      </c>
      <c r="AH834" t="inlineStr">
        <is>
          <t>PT. BERSAMA DISTRIVERSA INDONESIA (DC CIPUTAT)</t>
        </is>
      </c>
      <c r="AI834" t="n">
        <v>1310</v>
      </c>
      <c r="AJ834" t="inlineStr">
        <is>
          <t>DEOREX</t>
        </is>
      </c>
      <c r="AK834" t="n">
        <v>9</v>
      </c>
      <c r="AL834" t="inlineStr">
        <is>
          <t>Miss Glam Jambi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DEOXIDE</t>
        </is>
      </c>
      <c r="B835" s="2">
        <f>"30400519747"</f>
        <v/>
      </c>
      <c r="C835" t="inlineStr">
        <is>
          <t>DEOXIDE Antiperspirant Deodorant Roll On BRIGHT+ For Brightening  60gr</t>
        </is>
      </c>
      <c r="D835" t="inlineStr">
        <is>
          <t>Miss Glam Jambi</t>
        </is>
      </c>
      <c r="E835" t="n">
        <v>8</v>
      </c>
      <c r="F835" t="n">
        <v>0.3696</v>
      </c>
      <c r="G835" t="n">
        <v>1.65</v>
      </c>
      <c r="H835" t="n">
        <v>4</v>
      </c>
      <c r="I835" t="n">
        <v>20</v>
      </c>
      <c r="J835" t="n">
        <v>1</v>
      </c>
      <c r="K835" t="n">
        <v>12</v>
      </c>
      <c r="L835" t="n">
        <v>32980</v>
      </c>
      <c r="M835" t="n">
        <v>42500</v>
      </c>
      <c r="N835" t="n">
        <v>33</v>
      </c>
      <c r="O835" t="n">
        <v>0.33</v>
      </c>
      <c r="P835" t="n">
        <v>1</v>
      </c>
      <c r="Q835" t="n">
        <v>0.39</v>
      </c>
      <c r="R835" t="n">
        <v>2</v>
      </c>
      <c r="S835" t="n">
        <v>15708</v>
      </c>
      <c r="T835" t="n">
        <v>32</v>
      </c>
      <c r="U835" t="n">
        <v>34</v>
      </c>
      <c r="V835" t="n">
        <v>30</v>
      </c>
      <c r="W835" t="n">
        <v>12</v>
      </c>
      <c r="X835" t="n">
        <v>21.64502164502164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4526</v>
      </c>
      <c r="AG835" t="n">
        <v>1</v>
      </c>
      <c r="AH835" t="inlineStr">
        <is>
          <t>PT. BERSAMA DISTRIVERSA INDONESIA (DC CIPUTAT)</t>
        </is>
      </c>
      <c r="AI835" t="n">
        <v>2396</v>
      </c>
      <c r="AJ835" t="inlineStr">
        <is>
          <t>DEOXIDE</t>
        </is>
      </c>
      <c r="AK835" t="n">
        <v>9</v>
      </c>
      <c r="AL835" t="inlineStr">
        <is>
          <t>Miss Glam Jambi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DEOXIDE</t>
        </is>
      </c>
      <c r="B836" s="2">
        <f>"30400519657"</f>
        <v/>
      </c>
      <c r="C836" t="inlineStr">
        <is>
          <t>DEOXIDE Antiperspirant Deodorant Roll On POWER+ For Hyperhidrosis 60gr</t>
        </is>
      </c>
      <c r="D836" t="inlineStr">
        <is>
          <t>Miss Glam Jambi</t>
        </is>
      </c>
      <c r="E836" t="n">
        <v>16</v>
      </c>
      <c r="F836" t="n">
        <v>0.4653</v>
      </c>
      <c r="G836" t="n">
        <v>2.31</v>
      </c>
      <c r="H836" t="n">
        <v>4</v>
      </c>
      <c r="I836" t="n">
        <v>20</v>
      </c>
      <c r="J836" t="n">
        <v>1</v>
      </c>
      <c r="K836" t="n">
        <v>0</v>
      </c>
      <c r="L836" t="n">
        <v>32980</v>
      </c>
      <c r="M836" t="n">
        <v>42500</v>
      </c>
      <c r="N836" t="n">
        <v>33</v>
      </c>
      <c r="O836" t="n">
        <v>0.33</v>
      </c>
      <c r="P836" t="n">
        <v>1</v>
      </c>
      <c r="Q836" t="n">
        <v>0.25</v>
      </c>
      <c r="R836" t="n">
        <v>2</v>
      </c>
      <c r="S836" t="n">
        <v>19775.25</v>
      </c>
      <c r="T836" t="n">
        <v>45</v>
      </c>
      <c r="U836" t="n">
        <v>47</v>
      </c>
      <c r="V836" t="n">
        <v>30</v>
      </c>
      <c r="W836" t="n">
        <v>14</v>
      </c>
      <c r="X836" t="n">
        <v>34.38641736514077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4526</v>
      </c>
      <c r="AG836" t="n">
        <v>1</v>
      </c>
      <c r="AH836" t="inlineStr">
        <is>
          <t>PT. BERSAMA DISTRIVERSA INDONESIA (DC CIPUTAT)</t>
        </is>
      </c>
      <c r="AI836" t="n">
        <v>2396</v>
      </c>
      <c r="AJ836" t="inlineStr">
        <is>
          <t>DEOXIDE</t>
        </is>
      </c>
      <c r="AK836" t="n">
        <v>9</v>
      </c>
      <c r="AL836" t="inlineStr">
        <is>
          <t>Miss Glam Jambi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DERMA ANGEL</t>
        </is>
      </c>
      <c r="B837" s="2">
        <f>"10600214302"</f>
        <v/>
      </c>
      <c r="C837" t="inlineStr">
        <is>
          <t>DERMA ANGEL Acne Beauty Patch Flowers - Colorful Mix Shaped (12pcs)</t>
        </is>
      </c>
      <c r="D837" t="inlineStr">
        <is>
          <t>Miss Glam Jambi</t>
        </is>
      </c>
      <c r="E837" t="n">
        <v>5</v>
      </c>
      <c r="F837" t="n">
        <v>0.0825</v>
      </c>
      <c r="G837" t="n">
        <v>0.66</v>
      </c>
      <c r="H837" t="n">
        <v>7</v>
      </c>
      <c r="I837" t="n">
        <v>19</v>
      </c>
      <c r="J837" t="n">
        <v>1</v>
      </c>
      <c r="K837" t="n">
        <v>0</v>
      </c>
      <c r="L837" t="n">
        <v>31452</v>
      </c>
      <c r="M837" t="n">
        <v>43000</v>
      </c>
      <c r="N837" t="n">
        <v>33</v>
      </c>
      <c r="O837" t="n">
        <v>0.33</v>
      </c>
      <c r="P837" t="n">
        <v>1</v>
      </c>
      <c r="Q837" t="n">
        <v>0.17</v>
      </c>
      <c r="R837" t="n">
        <v>2</v>
      </c>
      <c r="S837" t="n">
        <v>3547.5</v>
      </c>
      <c r="T837" t="n">
        <v>12</v>
      </c>
      <c r="U837" t="n">
        <v>13</v>
      </c>
      <c r="V837" t="n">
        <v>30</v>
      </c>
      <c r="W837" t="n">
        <v>3</v>
      </c>
      <c r="X837" t="n">
        <v>60.6060606060606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11288</v>
      </c>
      <c r="AG837" t="n">
        <v>2173</v>
      </c>
      <c r="AH837" t="inlineStr">
        <is>
          <t>PT. OGAN SAKTI PRATAMA - PPN (JMB)</t>
        </is>
      </c>
      <c r="AI837" t="n">
        <v>350</v>
      </c>
      <c r="AJ837" t="inlineStr">
        <is>
          <t>DERMA ANGEL</t>
        </is>
      </c>
      <c r="AK837" t="n">
        <v>9</v>
      </c>
      <c r="AL837" t="inlineStr">
        <is>
          <t>Miss Glam Jambi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DERMA ANGEL</t>
        </is>
      </c>
      <c r="B838" s="2">
        <f>"4719745088209"</f>
        <v/>
      </c>
      <c r="C838" t="inlineStr">
        <is>
          <t>DERMA ANGEL Acne Beauty Patch Hologram - Playful Cloud &amp; Moon Shaped</t>
        </is>
      </c>
      <c r="D838" t="inlineStr">
        <is>
          <t>Miss Glam Jambi</t>
        </is>
      </c>
      <c r="E838" t="n">
        <v>2</v>
      </c>
      <c r="F838" t="n">
        <v>0.0264</v>
      </c>
      <c r="G838" t="n">
        <v>0.66</v>
      </c>
      <c r="H838" t="n">
        <v>7</v>
      </c>
      <c r="I838" t="n">
        <v>19</v>
      </c>
      <c r="J838" t="n">
        <v>3</v>
      </c>
      <c r="K838" t="n">
        <v>0</v>
      </c>
      <c r="L838" t="n">
        <v>33970</v>
      </c>
      <c r="M838" t="n">
        <v>43000</v>
      </c>
      <c r="N838" t="n">
        <v>33</v>
      </c>
      <c r="O838" t="n">
        <v>0.33</v>
      </c>
      <c r="P838" t="n">
        <v>1</v>
      </c>
      <c r="Q838" t="n">
        <v>0.1</v>
      </c>
      <c r="R838" t="n">
        <v>2</v>
      </c>
      <c r="S838" t="n">
        <v>1135.2</v>
      </c>
      <c r="T838" t="n">
        <v>13</v>
      </c>
      <c r="U838" t="n">
        <v>14</v>
      </c>
      <c r="V838" t="n">
        <v>30</v>
      </c>
      <c r="W838" t="n">
        <v>1</v>
      </c>
      <c r="X838" t="n">
        <v>75.75757575757575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11288</v>
      </c>
      <c r="AG838" t="n">
        <v>2173</v>
      </c>
      <c r="AH838" t="inlineStr">
        <is>
          <t>PT. OGAN SAKTI PRATAMA - PPN (JMB)</t>
        </is>
      </c>
      <c r="AI838" t="n">
        <v>350</v>
      </c>
      <c r="AJ838" t="inlineStr">
        <is>
          <t>DERMA ANGEL</t>
        </is>
      </c>
      <c r="AK838" t="n">
        <v>9</v>
      </c>
      <c r="AL838" t="inlineStr">
        <is>
          <t>Miss Glam Jambi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DERMA ANGEL</t>
        </is>
      </c>
      <c r="B839" s="2">
        <f>"4719745088179"</f>
        <v/>
      </c>
      <c r="C839" t="inlineStr">
        <is>
          <t>DERMA ANGEL Acne Beauty Patch Hologram - Playful Heart &amp; Flower Shaped</t>
        </is>
      </c>
      <c r="D839" t="inlineStr">
        <is>
          <t>Miss Glam Jambi</t>
        </is>
      </c>
      <c r="E839" t="n">
        <v>5</v>
      </c>
      <c r="F839" t="n">
        <v>0.0165</v>
      </c>
      <c r="G839" t="n">
        <v>0.33</v>
      </c>
      <c r="H839" t="n">
        <v>7</v>
      </c>
      <c r="I839" t="n">
        <v>19</v>
      </c>
      <c r="J839" t="n">
        <v>3</v>
      </c>
      <c r="K839" t="n">
        <v>0</v>
      </c>
      <c r="L839" t="n">
        <v>34400</v>
      </c>
      <c r="M839" t="n">
        <v>43000</v>
      </c>
      <c r="N839" t="n">
        <v>33</v>
      </c>
      <c r="O839" t="n">
        <v>0.33</v>
      </c>
      <c r="P839" t="n">
        <v>1</v>
      </c>
      <c r="Q839" t="n">
        <v>0.08</v>
      </c>
      <c r="R839" t="n">
        <v>1</v>
      </c>
      <c r="S839" t="n">
        <v>709.5</v>
      </c>
      <c r="T839" t="n">
        <v>7</v>
      </c>
      <c r="U839" t="n">
        <v>8</v>
      </c>
      <c r="V839" t="n">
        <v>30</v>
      </c>
      <c r="W839" t="n">
        <v>1</v>
      </c>
      <c r="X839" t="n">
        <v>303.030303030303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11288</v>
      </c>
      <c r="AG839" t="n">
        <v>2173</v>
      </c>
      <c r="AH839" t="inlineStr">
        <is>
          <t>PT. OGAN SAKTI PRATAMA - PPN (JMB)</t>
        </is>
      </c>
      <c r="AI839" t="n">
        <v>350</v>
      </c>
      <c r="AJ839" t="inlineStr">
        <is>
          <t>DERMA ANGEL</t>
        </is>
      </c>
      <c r="AK839" t="n">
        <v>9</v>
      </c>
      <c r="AL839" t="inlineStr">
        <is>
          <t>Miss Glam Jambi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DERMA ANGEL</t>
        </is>
      </c>
      <c r="B840" s="2">
        <f>"4719745088148"</f>
        <v/>
      </c>
      <c r="C840" t="inlineStr">
        <is>
          <t>DERMA ANGEL Acne Beauty Patch Hologram- Playful Buterfly &amp; Star Shaped</t>
        </is>
      </c>
      <c r="D840" t="inlineStr">
        <is>
          <t>Miss Glam Jambi</t>
        </is>
      </c>
      <c r="E840" t="n">
        <v>3</v>
      </c>
      <c r="F840" t="n">
        <v>0.0561</v>
      </c>
      <c r="G840" t="n">
        <v>0.66</v>
      </c>
      <c r="H840" t="n">
        <v>7</v>
      </c>
      <c r="I840" t="n">
        <v>19</v>
      </c>
      <c r="J840" t="n">
        <v>3</v>
      </c>
      <c r="K840" t="n">
        <v>0</v>
      </c>
      <c r="L840" t="n">
        <v>34400</v>
      </c>
      <c r="M840" t="n">
        <v>43000</v>
      </c>
      <c r="N840" t="n">
        <v>33</v>
      </c>
      <c r="O840" t="n">
        <v>0.33</v>
      </c>
      <c r="P840" t="n">
        <v>1</v>
      </c>
      <c r="Q840" t="n">
        <v>0.14</v>
      </c>
      <c r="R840" t="n">
        <v>2</v>
      </c>
      <c r="S840" t="n">
        <v>2412.3</v>
      </c>
      <c r="T840" t="n">
        <v>13</v>
      </c>
      <c r="U840" t="n">
        <v>14</v>
      </c>
      <c r="V840" t="n">
        <v>30</v>
      </c>
      <c r="W840" t="n">
        <v>2</v>
      </c>
      <c r="X840" t="n">
        <v>53.475935828877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11288</v>
      </c>
      <c r="AG840" t="n">
        <v>2173</v>
      </c>
      <c r="AH840" t="inlineStr">
        <is>
          <t>PT. OGAN SAKTI PRATAMA - PPN (JMB)</t>
        </is>
      </c>
      <c r="AI840" t="n">
        <v>350</v>
      </c>
      <c r="AJ840" t="inlineStr">
        <is>
          <t>DERMA ANGEL</t>
        </is>
      </c>
      <c r="AK840" t="n">
        <v>9</v>
      </c>
      <c r="AL840" t="inlineStr">
        <is>
          <t>Miss Glam Jambi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DERMA ANGEL</t>
        </is>
      </c>
      <c r="B841" s="2">
        <f>"10600214453"</f>
        <v/>
      </c>
      <c r="C841" t="inlineStr">
        <is>
          <t>DERMA ANGEL Acne Beauty Patch Kitties - Colorful Mix Shaped (12pcs)</t>
        </is>
      </c>
      <c r="D841" t="inlineStr">
        <is>
          <t>Miss Glam Jambi</t>
        </is>
      </c>
      <c r="E841" t="n">
        <v>7</v>
      </c>
      <c r="F841" t="n">
        <v>0.08910000000000001</v>
      </c>
      <c r="G841" t="n">
        <v>0.66</v>
      </c>
      <c r="H841" t="n">
        <v>7</v>
      </c>
      <c r="I841" t="n">
        <v>19</v>
      </c>
      <c r="J841" t="n">
        <v>1</v>
      </c>
      <c r="K841" t="n">
        <v>0</v>
      </c>
      <c r="L841" t="n">
        <v>29240</v>
      </c>
      <c r="M841" t="n">
        <v>43000</v>
      </c>
      <c r="N841" t="n">
        <v>33</v>
      </c>
      <c r="O841" t="n">
        <v>0.33</v>
      </c>
      <c r="P841" t="n">
        <v>1</v>
      </c>
      <c r="Q841" t="n">
        <v>0.08</v>
      </c>
      <c r="R841" t="n">
        <v>2</v>
      </c>
      <c r="S841" t="n">
        <v>3831.300000000001</v>
      </c>
      <c r="T841" t="n">
        <v>12</v>
      </c>
      <c r="U841" t="n">
        <v>13</v>
      </c>
      <c r="V841" t="n">
        <v>30</v>
      </c>
      <c r="W841" t="n">
        <v>3</v>
      </c>
      <c r="X841" t="n">
        <v>78.56341189674522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11288</v>
      </c>
      <c r="AG841" t="n">
        <v>2173</v>
      </c>
      <c r="AH841" t="inlineStr">
        <is>
          <t>PT. OGAN SAKTI PRATAMA - PPN (JMB)</t>
        </is>
      </c>
      <c r="AI841" t="n">
        <v>350</v>
      </c>
      <c r="AJ841" t="inlineStr">
        <is>
          <t>DERMA ANGEL</t>
        </is>
      </c>
      <c r="AK841" t="n">
        <v>9</v>
      </c>
      <c r="AL841" t="inlineStr">
        <is>
          <t>Miss Glam Jambi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DERMA ANGEL</t>
        </is>
      </c>
      <c r="B842" s="2">
        <f>"4719745505454"</f>
        <v/>
      </c>
      <c r="C842" t="inlineStr">
        <is>
          <t>DERMA ANGEL Acne Care Acne Patch Day 6 Pcs</t>
        </is>
      </c>
      <c r="D842" t="inlineStr">
        <is>
          <t>Miss Glam Jambi</t>
        </is>
      </c>
      <c r="E842" t="n">
        <v>2</v>
      </c>
      <c r="F842" t="n">
        <v>1.4949</v>
      </c>
      <c r="G842" t="n">
        <v>3.96</v>
      </c>
      <c r="H842" t="n">
        <v>7</v>
      </c>
      <c r="I842" t="n">
        <v>19</v>
      </c>
      <c r="J842" t="n">
        <v>3</v>
      </c>
      <c r="K842" t="n">
        <v>28</v>
      </c>
      <c r="L842" t="n">
        <v>13308</v>
      </c>
      <c r="M842" t="n">
        <v>17000</v>
      </c>
      <c r="N842" t="n">
        <v>33</v>
      </c>
      <c r="O842" t="n">
        <v>0.33</v>
      </c>
      <c r="P842" t="n">
        <v>1</v>
      </c>
      <c r="Q842" t="n">
        <v>0.71</v>
      </c>
      <c r="R842" t="n">
        <v>3</v>
      </c>
      <c r="S842" t="n">
        <v>25413.3</v>
      </c>
      <c r="T842" t="n">
        <v>65</v>
      </c>
      <c r="U842" t="n">
        <v>76</v>
      </c>
      <c r="V842" t="n">
        <v>30</v>
      </c>
      <c r="W842" t="n">
        <v>45</v>
      </c>
      <c r="X842" t="n">
        <v>1.337882132584119</v>
      </c>
      <c r="Y842" t="n">
        <v>1</v>
      </c>
      <c r="Z842" t="n">
        <v>15</v>
      </c>
      <c r="AA842" t="n">
        <v>26</v>
      </c>
      <c r="AB842" t="n">
        <v>0</v>
      </c>
      <c r="AC842" t="n">
        <v>0</v>
      </c>
      <c r="AD842" t="n">
        <v>346008</v>
      </c>
      <c r="AE842" t="n">
        <v>0</v>
      </c>
      <c r="AF842" t="n">
        <v>11288</v>
      </c>
      <c r="AG842" t="n">
        <v>2173</v>
      </c>
      <c r="AH842" t="inlineStr">
        <is>
          <t>PT. OGAN SAKTI PRATAMA - PPN (JMB)</t>
        </is>
      </c>
      <c r="AI842" t="n">
        <v>350</v>
      </c>
      <c r="AJ842" t="inlineStr">
        <is>
          <t>DERMA ANGEL</t>
        </is>
      </c>
      <c r="AK842" t="n">
        <v>9</v>
      </c>
      <c r="AL842" t="inlineStr">
        <is>
          <t>Miss Glam Jambi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DERMA ANGEL</t>
        </is>
      </c>
      <c r="B843" s="2">
        <f>"4719745505119"</f>
        <v/>
      </c>
      <c r="C843" t="inlineStr">
        <is>
          <t>DERMA ANGEL Acne Patch Day 12pcs</t>
        </is>
      </c>
      <c r="D843" t="inlineStr">
        <is>
          <t>Miss Glam Jambi</t>
        </is>
      </c>
      <c r="E843" t="n">
        <v>12</v>
      </c>
      <c r="F843" t="n">
        <v>0.3564000000000001</v>
      </c>
      <c r="G843" t="n">
        <v>1.65</v>
      </c>
      <c r="H843" t="n">
        <v>7</v>
      </c>
      <c r="I843" t="n">
        <v>19</v>
      </c>
      <c r="J843" t="n">
        <v>3</v>
      </c>
      <c r="K843" t="n">
        <v>0</v>
      </c>
      <c r="L843" t="n">
        <v>25798</v>
      </c>
      <c r="M843" t="n">
        <v>33000</v>
      </c>
      <c r="N843" t="n">
        <v>33</v>
      </c>
      <c r="O843" t="n">
        <v>0.33</v>
      </c>
      <c r="P843" t="n">
        <v>1</v>
      </c>
      <c r="Q843" t="n">
        <v>0.51</v>
      </c>
      <c r="R843" t="n">
        <v>3</v>
      </c>
      <c r="S843" t="n">
        <v>11761.2</v>
      </c>
      <c r="T843" t="n">
        <v>29</v>
      </c>
      <c r="U843" t="n">
        <v>32</v>
      </c>
      <c r="V843" t="n">
        <v>30</v>
      </c>
      <c r="W843" t="n">
        <v>11</v>
      </c>
      <c r="X843" t="n">
        <v>33.67003367003367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11288</v>
      </c>
      <c r="AG843" t="n">
        <v>2173</v>
      </c>
      <c r="AH843" t="inlineStr">
        <is>
          <t>PT. OGAN SAKTI PRATAMA - PPN (JMB)</t>
        </is>
      </c>
      <c r="AI843" t="n">
        <v>350</v>
      </c>
      <c r="AJ843" t="inlineStr">
        <is>
          <t>DERMA ANGEL</t>
        </is>
      </c>
      <c r="AK843" t="n">
        <v>9</v>
      </c>
      <c r="AL843" t="inlineStr">
        <is>
          <t>Miss Glam Jambi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DERMA ANGEL</t>
        </is>
      </c>
      <c r="B844" s="2">
        <f>"4719745505133"</f>
        <v/>
      </c>
      <c r="C844" t="inlineStr">
        <is>
          <t>DERMA ANGEL Acne Patch Mix 18 pcs (Day 12 pcs + Night 6 pcs)</t>
        </is>
      </c>
      <c r="D844" t="inlineStr">
        <is>
          <t>Miss Glam Jambi</t>
        </is>
      </c>
      <c r="E844" t="n">
        <v>1</v>
      </c>
      <c r="F844" t="n">
        <v>0.1518</v>
      </c>
      <c r="G844" t="n">
        <v>0.99</v>
      </c>
      <c r="H844" t="n">
        <v>7</v>
      </c>
      <c r="I844" t="n">
        <v>19</v>
      </c>
      <c r="J844" t="n">
        <v>3</v>
      </c>
      <c r="K844" t="n">
        <v>15</v>
      </c>
      <c r="L844" t="n">
        <v>35748</v>
      </c>
      <c r="M844" t="n">
        <v>45000</v>
      </c>
      <c r="N844" t="n">
        <v>33</v>
      </c>
      <c r="O844" t="n">
        <v>0.33</v>
      </c>
      <c r="P844" t="n">
        <v>1</v>
      </c>
      <c r="Q844" t="n">
        <v>0.27</v>
      </c>
      <c r="R844" t="n">
        <v>2</v>
      </c>
      <c r="S844" t="n">
        <v>6831.000000000001</v>
      </c>
      <c r="T844" t="n">
        <v>18</v>
      </c>
      <c r="U844" t="n">
        <v>20</v>
      </c>
      <c r="V844" t="n">
        <v>30</v>
      </c>
      <c r="W844" t="n">
        <v>5</v>
      </c>
      <c r="X844" t="n">
        <v>6.587615283267456</v>
      </c>
      <c r="Y844" t="n">
        <v>1</v>
      </c>
      <c r="Z844" t="n">
        <v>0</v>
      </c>
      <c r="AA844" t="n">
        <v>1</v>
      </c>
      <c r="AB844" t="n">
        <v>0</v>
      </c>
      <c r="AC844" t="n">
        <v>0</v>
      </c>
      <c r="AD844" t="n">
        <v>35748</v>
      </c>
      <c r="AE844" t="n">
        <v>0</v>
      </c>
      <c r="AF844" t="n">
        <v>11288</v>
      </c>
      <c r="AG844" t="n">
        <v>2173</v>
      </c>
      <c r="AH844" t="inlineStr">
        <is>
          <t>PT. OGAN SAKTI PRATAMA - PPN (JMB)</t>
        </is>
      </c>
      <c r="AI844" t="n">
        <v>350</v>
      </c>
      <c r="AJ844" t="inlineStr">
        <is>
          <t>DERMA ANGEL</t>
        </is>
      </c>
      <c r="AK844" t="n">
        <v>9</v>
      </c>
      <c r="AL844" t="inlineStr">
        <is>
          <t>Miss Glam Jambi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DERMA ANGEL</t>
        </is>
      </c>
      <c r="B845" s="2">
        <f>"4719745505126"</f>
        <v/>
      </c>
      <c r="C845" t="inlineStr">
        <is>
          <t>DERMA ANGEL Acne Patch Night 12pcs</t>
        </is>
      </c>
      <c r="D845" t="inlineStr">
        <is>
          <t>Miss Glam Jambi</t>
        </is>
      </c>
      <c r="E845" t="n">
        <v>5</v>
      </c>
      <c r="F845" t="n">
        <v>0.1056</v>
      </c>
      <c r="G845" t="n">
        <v>0.99</v>
      </c>
      <c r="H845" t="n">
        <v>7</v>
      </c>
      <c r="I845" t="n">
        <v>19</v>
      </c>
      <c r="J845" t="n">
        <v>3</v>
      </c>
      <c r="K845" t="n">
        <v>0</v>
      </c>
      <c r="L845" t="n">
        <v>25808</v>
      </c>
      <c r="M845" t="n">
        <v>34000</v>
      </c>
      <c r="N845" t="n">
        <v>33</v>
      </c>
      <c r="O845" t="n">
        <v>0.33</v>
      </c>
      <c r="P845" t="n">
        <v>1</v>
      </c>
      <c r="Q845" t="n">
        <v>0.27</v>
      </c>
      <c r="R845" t="n">
        <v>2</v>
      </c>
      <c r="S845" t="n">
        <v>3590.400000000001</v>
      </c>
      <c r="T845" t="n">
        <v>19</v>
      </c>
      <c r="U845" t="n">
        <v>20</v>
      </c>
      <c r="V845" t="n">
        <v>30</v>
      </c>
      <c r="W845" t="n">
        <v>4</v>
      </c>
      <c r="X845" t="n">
        <v>47.34848484848484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11288</v>
      </c>
      <c r="AG845" t="n">
        <v>2173</v>
      </c>
      <c r="AH845" t="inlineStr">
        <is>
          <t>PT. OGAN SAKTI PRATAMA - PPN (JMB)</t>
        </is>
      </c>
      <c r="AI845" t="n">
        <v>350</v>
      </c>
      <c r="AJ845" t="inlineStr">
        <is>
          <t>DERMA ANGEL</t>
        </is>
      </c>
      <c r="AK845" t="n">
        <v>9</v>
      </c>
      <c r="AL845" t="inlineStr">
        <is>
          <t>Miss Glam Jambi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DERMA ANGEL</t>
        </is>
      </c>
      <c r="B846" s="2">
        <f>"4719745505461"</f>
        <v/>
      </c>
      <c r="C846" t="inlineStr">
        <is>
          <t>DERMA ANGEL Acne Patch Night 6pcs</t>
        </is>
      </c>
      <c r="D846" t="inlineStr">
        <is>
          <t>Miss Glam Jambi</t>
        </is>
      </c>
      <c r="E846" t="n">
        <v>0</v>
      </c>
      <c r="F846" t="n">
        <v>0.3927</v>
      </c>
      <c r="G846" t="n">
        <v>1.32</v>
      </c>
      <c r="H846" t="n">
        <v>7</v>
      </c>
      <c r="I846" t="n">
        <v>19</v>
      </c>
      <c r="J846" t="n">
        <v>12</v>
      </c>
      <c r="K846" t="n">
        <v>12</v>
      </c>
      <c r="L846" t="n">
        <v>12240</v>
      </c>
      <c r="M846" t="n">
        <v>19500</v>
      </c>
      <c r="N846" t="n">
        <v>33</v>
      </c>
      <c r="O846" t="n">
        <v>0.33</v>
      </c>
      <c r="P846" t="n">
        <v>1</v>
      </c>
      <c r="Q846" t="n">
        <v>0.72</v>
      </c>
      <c r="R846" t="n">
        <v>6</v>
      </c>
      <c r="S846" t="n">
        <v>7657.65</v>
      </c>
      <c r="T846" t="n">
        <v>23</v>
      </c>
      <c r="U846" t="n">
        <v>26</v>
      </c>
      <c r="V846" t="n">
        <v>30</v>
      </c>
      <c r="W846" t="n">
        <v>12</v>
      </c>
      <c r="X846" t="n">
        <v>0</v>
      </c>
      <c r="Y846" t="n">
        <v>1</v>
      </c>
      <c r="Z846" t="n">
        <v>0</v>
      </c>
      <c r="AA846" t="n">
        <v>7</v>
      </c>
      <c r="AB846" t="n">
        <v>0</v>
      </c>
      <c r="AC846" t="n">
        <v>0</v>
      </c>
      <c r="AD846" t="n">
        <v>85680</v>
      </c>
      <c r="AE846" t="n">
        <v>0</v>
      </c>
      <c r="AF846" t="n">
        <v>11288</v>
      </c>
      <c r="AG846" t="n">
        <v>2173</v>
      </c>
      <c r="AH846" t="inlineStr">
        <is>
          <t>PT. OGAN SAKTI PRATAMA - PPN (JMB)</t>
        </is>
      </c>
      <c r="AI846" t="n">
        <v>350</v>
      </c>
      <c r="AJ846" t="inlineStr">
        <is>
          <t>DERMA ANGEL</t>
        </is>
      </c>
      <c r="AK846" t="n">
        <v>9</v>
      </c>
      <c r="AL846" t="inlineStr">
        <is>
          <t>Miss Glam Jambi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DERMA ANGEL</t>
        </is>
      </c>
      <c r="B847" s="2">
        <f>"4719745015885"</f>
        <v/>
      </c>
      <c r="C847" t="inlineStr">
        <is>
          <t>DERMA ANGEL Acne Patch Plus With Salicylic Acid Day 12 pcs</t>
        </is>
      </c>
      <c r="D847" t="inlineStr">
        <is>
          <t>Miss Glam Jambi</t>
        </is>
      </c>
      <c r="E847" t="n">
        <v>8</v>
      </c>
      <c r="F847" t="n">
        <v>0.3036</v>
      </c>
      <c r="G847" t="n">
        <v>1.32</v>
      </c>
      <c r="H847" t="n">
        <v>7</v>
      </c>
      <c r="I847" t="n">
        <v>19</v>
      </c>
      <c r="J847" t="n">
        <v>3</v>
      </c>
      <c r="K847" t="n">
        <v>0</v>
      </c>
      <c r="L847" t="n">
        <v>30921</v>
      </c>
      <c r="M847" t="n">
        <v>37000</v>
      </c>
      <c r="N847" t="n">
        <v>33</v>
      </c>
      <c r="O847" t="n">
        <v>0.33</v>
      </c>
      <c r="P847" t="n">
        <v>1</v>
      </c>
      <c r="Q847" t="n">
        <v>0.24</v>
      </c>
      <c r="R847" t="n">
        <v>4</v>
      </c>
      <c r="S847" t="n">
        <v>11233.2</v>
      </c>
      <c r="T847" t="n">
        <v>23</v>
      </c>
      <c r="U847" t="n">
        <v>26</v>
      </c>
      <c r="V847" t="n">
        <v>30</v>
      </c>
      <c r="W847" t="n">
        <v>10</v>
      </c>
      <c r="X847" t="n">
        <v>26.35046113306982</v>
      </c>
      <c r="Y847" t="n">
        <v>1</v>
      </c>
      <c r="Z847" t="n">
        <v>2</v>
      </c>
      <c r="AA847" t="n">
        <v>0</v>
      </c>
      <c r="AB847" t="n">
        <v>2</v>
      </c>
      <c r="AC847" t="n">
        <v>3</v>
      </c>
      <c r="AD847" t="n">
        <v>0</v>
      </c>
      <c r="AE847" t="n">
        <v>92763</v>
      </c>
      <c r="AF847" t="n">
        <v>11288</v>
      </c>
      <c r="AG847" t="n">
        <v>2173</v>
      </c>
      <c r="AH847" t="inlineStr">
        <is>
          <t>PT. OGAN SAKTI PRATAMA - PPN (JMB)</t>
        </is>
      </c>
      <c r="AI847" t="n">
        <v>350</v>
      </c>
      <c r="AJ847" t="inlineStr">
        <is>
          <t>DERMA ANGEL</t>
        </is>
      </c>
      <c r="AK847" t="n">
        <v>9</v>
      </c>
      <c r="AL847" t="inlineStr">
        <is>
          <t>Miss Glam Jambi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DERMA ANGEL</t>
        </is>
      </c>
      <c r="B848" s="2">
        <f>"4719745015915"</f>
        <v/>
      </c>
      <c r="C848" t="inlineStr">
        <is>
          <t>DERMA ANGEL Acne Patch Plus With Salicylic Acid Night 12 pcs</t>
        </is>
      </c>
      <c r="D848" t="inlineStr">
        <is>
          <t>Miss Glam Jambi</t>
        </is>
      </c>
      <c r="E848" t="n">
        <v>10</v>
      </c>
      <c r="F848" t="n">
        <v>0.1452</v>
      </c>
      <c r="G848" t="n">
        <v>0.99</v>
      </c>
      <c r="H848" t="n">
        <v>7</v>
      </c>
      <c r="I848" t="n">
        <v>19</v>
      </c>
      <c r="J848" t="n">
        <v>3</v>
      </c>
      <c r="K848" t="n">
        <v>0</v>
      </c>
      <c r="L848" t="n">
        <v>32507</v>
      </c>
      <c r="M848" t="n">
        <v>39000</v>
      </c>
      <c r="N848" t="n">
        <v>33</v>
      </c>
      <c r="O848" t="n">
        <v>0.33</v>
      </c>
      <c r="P848" t="n">
        <v>1</v>
      </c>
      <c r="Q848" t="n">
        <v>0.24</v>
      </c>
      <c r="R848" t="n">
        <v>4</v>
      </c>
      <c r="S848" t="n">
        <v>5662.8</v>
      </c>
      <c r="T848" t="n">
        <v>18</v>
      </c>
      <c r="U848" t="n">
        <v>20</v>
      </c>
      <c r="V848" t="n">
        <v>30</v>
      </c>
      <c r="W848" t="n">
        <v>5</v>
      </c>
      <c r="X848" t="n">
        <v>68.87052341597796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11288</v>
      </c>
      <c r="AG848" t="n">
        <v>2173</v>
      </c>
      <c r="AH848" t="inlineStr">
        <is>
          <t>PT. OGAN SAKTI PRATAMA - PPN (JMB)</t>
        </is>
      </c>
      <c r="AI848" t="n">
        <v>350</v>
      </c>
      <c r="AJ848" t="inlineStr">
        <is>
          <t>DERMA ANGEL</t>
        </is>
      </c>
      <c r="AK848" t="n">
        <v>9</v>
      </c>
      <c r="AL848" t="inlineStr">
        <is>
          <t>Miss Glam Jambi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DOJAKO</t>
        </is>
      </c>
      <c r="B849" s="2">
        <f>"6941733201446"</f>
        <v/>
      </c>
      <c r="C849" t="inlineStr">
        <is>
          <t>DOJAKO Clear And Skin Toner 400ml</t>
        </is>
      </c>
      <c r="D849" t="inlineStr">
        <is>
          <t>Miss Glam Jambi</t>
        </is>
      </c>
      <c r="E849" t="n">
        <v>0</v>
      </c>
      <c r="F849" t="n">
        <v>0.03</v>
      </c>
      <c r="G849" t="n">
        <v>1</v>
      </c>
      <c r="H849" t="n">
        <v>4</v>
      </c>
      <c r="I849" t="n">
        <v>20</v>
      </c>
      <c r="J849" t="n">
        <v>3</v>
      </c>
      <c r="K849" t="n">
        <v>0</v>
      </c>
      <c r="L849" t="n">
        <v>145833</v>
      </c>
      <c r="M849" t="n">
        <v>198500</v>
      </c>
      <c r="N849" t="n">
        <v>33</v>
      </c>
      <c r="O849" t="n">
        <v>0.33</v>
      </c>
      <c r="P849" t="n">
        <v>0</v>
      </c>
      <c r="Q849" t="n">
        <v>0.03</v>
      </c>
      <c r="R849" t="n">
        <v>1</v>
      </c>
      <c r="S849" t="n">
        <v>5955</v>
      </c>
      <c r="T849" t="n">
        <v>20</v>
      </c>
      <c r="U849" t="n">
        <v>21</v>
      </c>
      <c r="V849" t="n">
        <v>30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n">
        <v>0</v>
      </c>
      <c r="AC849" t="n">
        <v>0</v>
      </c>
      <c r="AD849" t="n">
        <v>145833</v>
      </c>
      <c r="AE849" t="n">
        <v>0</v>
      </c>
      <c r="AF849" t="n">
        <v>4559</v>
      </c>
      <c r="AG849" t="n">
        <v>1</v>
      </c>
      <c r="AH849" t="inlineStr">
        <is>
          <t>PT. BERSAMA DISTRIVERSA INDONESIA (DC CIPUTAT)</t>
        </is>
      </c>
      <c r="AI849" t="n">
        <v>1885</v>
      </c>
      <c r="AJ849" t="inlineStr">
        <is>
          <t>DOJAKO</t>
        </is>
      </c>
      <c r="AK849" t="n">
        <v>9</v>
      </c>
      <c r="AL849" t="inlineStr">
        <is>
          <t>Miss Glam Jambi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DOVE</t>
        </is>
      </c>
      <c r="B850" s="2">
        <f>"8999999005580"</f>
        <v/>
      </c>
      <c r="C850" t="inlineStr">
        <is>
          <t>DOVE Deodorant Roll On Nourish And Smooth 40ml</t>
        </is>
      </c>
      <c r="D850" t="inlineStr">
        <is>
          <t>Miss Glam Jambi</t>
        </is>
      </c>
      <c r="E850" t="n">
        <v>1</v>
      </c>
      <c r="F850" t="n">
        <v>0.1188</v>
      </c>
      <c r="G850" t="n">
        <v>0.66</v>
      </c>
      <c r="H850" t="n">
        <v>3</v>
      </c>
      <c r="I850" t="n">
        <v>19</v>
      </c>
      <c r="J850" t="n">
        <v>3</v>
      </c>
      <c r="K850" t="n">
        <v>3</v>
      </c>
      <c r="L850" t="n">
        <v>21930</v>
      </c>
      <c r="M850" t="n">
        <v>27000</v>
      </c>
      <c r="N850" t="n">
        <v>33</v>
      </c>
      <c r="O850" t="n">
        <v>0.33</v>
      </c>
      <c r="P850" t="n">
        <v>1</v>
      </c>
      <c r="Q850" t="n">
        <v>0.08</v>
      </c>
      <c r="R850" t="n">
        <v>1</v>
      </c>
      <c r="S850" t="n">
        <v>3207.6</v>
      </c>
      <c r="T850" t="n">
        <v>13</v>
      </c>
      <c r="U850" t="n">
        <v>14</v>
      </c>
      <c r="V850" t="n">
        <v>30</v>
      </c>
      <c r="W850" t="n">
        <v>4</v>
      </c>
      <c r="X850" t="n">
        <v>8.417508417508417</v>
      </c>
      <c r="Y850" t="n">
        <v>1</v>
      </c>
      <c r="Z850" t="n">
        <v>0</v>
      </c>
      <c r="AA850" t="n">
        <v>1</v>
      </c>
      <c r="AB850" t="n">
        <v>0</v>
      </c>
      <c r="AC850" t="n">
        <v>0</v>
      </c>
      <c r="AD850" t="n">
        <v>21930</v>
      </c>
      <c r="AE850" t="n">
        <v>0</v>
      </c>
      <c r="AF850" t="n">
        <v>9752</v>
      </c>
      <c r="AG850" t="n">
        <v>2206</v>
      </c>
      <c r="AH850" t="inlineStr">
        <is>
          <t>PT. ENHA PUTRA (ONLINE CASH)</t>
        </is>
      </c>
      <c r="AI850" t="n">
        <v>393</v>
      </c>
      <c r="AJ850" t="inlineStr">
        <is>
          <t>DOVE</t>
        </is>
      </c>
      <c r="AK850" t="n">
        <v>9</v>
      </c>
      <c r="AL850" t="inlineStr">
        <is>
          <t>Miss Glam Jambi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DOVE</t>
        </is>
      </c>
      <c r="B851" s="2">
        <f>"8999999027865"</f>
        <v/>
      </c>
      <c r="C851" t="inlineStr">
        <is>
          <t>DOVE Deodorant Roll On Ultimate Repair Anti Bakteri 40ml</t>
        </is>
      </c>
      <c r="D851" t="inlineStr">
        <is>
          <t>Miss Glam Jambi</t>
        </is>
      </c>
      <c r="E851" t="n">
        <v>6</v>
      </c>
      <c r="F851" t="n">
        <v>0.1947</v>
      </c>
      <c r="G851" t="n">
        <v>0.99</v>
      </c>
      <c r="H851" t="n">
        <v>3</v>
      </c>
      <c r="I851" t="n">
        <v>19</v>
      </c>
      <c r="J851" t="n">
        <v>3</v>
      </c>
      <c r="K851" t="n">
        <v>3</v>
      </c>
      <c r="L851" t="n">
        <v>21925</v>
      </c>
      <c r="M851" t="n">
        <v>27000</v>
      </c>
      <c r="N851" t="n">
        <v>33</v>
      </c>
      <c r="O851" t="n">
        <v>0.33</v>
      </c>
      <c r="P851" t="n">
        <v>1</v>
      </c>
      <c r="Q851" t="n">
        <v>0.15</v>
      </c>
      <c r="R851" t="n">
        <v>1</v>
      </c>
      <c r="S851" t="n">
        <v>5256.900000000001</v>
      </c>
      <c r="T851" t="n">
        <v>19</v>
      </c>
      <c r="U851" t="n">
        <v>20</v>
      </c>
      <c r="V851" t="n">
        <v>30</v>
      </c>
      <c r="W851" t="n">
        <v>6</v>
      </c>
      <c r="X851" t="n">
        <v>30.81664098613251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9752</v>
      </c>
      <c r="AG851" t="n">
        <v>2206</v>
      </c>
      <c r="AH851" t="inlineStr">
        <is>
          <t>PT. ENHA PUTRA (ONLINE CASH)</t>
        </is>
      </c>
      <c r="AI851" t="n">
        <v>393</v>
      </c>
      <c r="AJ851" t="inlineStr">
        <is>
          <t>DOVE</t>
        </is>
      </c>
      <c r="AK851" t="n">
        <v>9</v>
      </c>
      <c r="AL851" t="inlineStr">
        <is>
          <t>Miss Glam Jambi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DOVE</t>
        </is>
      </c>
      <c r="B852" s="2">
        <f>"8999999519865"</f>
        <v/>
      </c>
      <c r="C852" t="inlineStr">
        <is>
          <t>DOVE Go Fresh Cucumber &amp; Green Tea Scent 40ml</t>
        </is>
      </c>
      <c r="D852" t="inlineStr">
        <is>
          <t>Miss Glam Jambi</t>
        </is>
      </c>
      <c r="E852" t="n">
        <v>5</v>
      </c>
      <c r="F852" t="n">
        <v>0.0396</v>
      </c>
      <c r="G852" t="n">
        <v>0.66</v>
      </c>
      <c r="H852" t="n">
        <v>3</v>
      </c>
      <c r="I852" t="n">
        <v>19</v>
      </c>
      <c r="J852" t="n">
        <v>3</v>
      </c>
      <c r="K852" t="n">
        <v>0</v>
      </c>
      <c r="L852" t="n">
        <v>21020</v>
      </c>
      <c r="M852" t="n">
        <v>25000</v>
      </c>
      <c r="N852" t="n">
        <v>33</v>
      </c>
      <c r="O852" t="n">
        <v>0.33</v>
      </c>
      <c r="P852" t="n">
        <v>1</v>
      </c>
      <c r="Q852" t="n">
        <v>0.07000000000000001</v>
      </c>
      <c r="R852" t="n">
        <v>1</v>
      </c>
      <c r="S852" t="n">
        <v>990.0000000000001</v>
      </c>
      <c r="T852" t="n">
        <v>13</v>
      </c>
      <c r="U852" t="n">
        <v>14</v>
      </c>
      <c r="V852" t="n">
        <v>30</v>
      </c>
      <c r="W852" t="n">
        <v>2</v>
      </c>
      <c r="X852" t="n">
        <v>126.2626262626263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9752</v>
      </c>
      <c r="AG852" t="n">
        <v>2206</v>
      </c>
      <c r="AH852" t="inlineStr">
        <is>
          <t>PT. ENHA PUTRA (ONLINE CASH)</t>
        </is>
      </c>
      <c r="AI852" t="n">
        <v>393</v>
      </c>
      <c r="AJ852" t="inlineStr">
        <is>
          <t>DOVE</t>
        </is>
      </c>
      <c r="AK852" t="n">
        <v>9</v>
      </c>
      <c r="AL852" t="inlineStr">
        <is>
          <t>Miss Glam Jambi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DOVE</t>
        </is>
      </c>
      <c r="B853" s="2">
        <f>"8999999519872"</f>
        <v/>
      </c>
      <c r="C853" t="inlineStr">
        <is>
          <t>DOVE Go Fresh Pomegranate &amp; Lemon Verbena Scent 40ml</t>
        </is>
      </c>
      <c r="D853" t="inlineStr">
        <is>
          <t>Miss Glam Jambi</t>
        </is>
      </c>
      <c r="E853" t="n">
        <v>1</v>
      </c>
      <c r="F853" t="n">
        <v>0.1188</v>
      </c>
      <c r="G853" t="n">
        <v>0.99</v>
      </c>
      <c r="H853" t="n">
        <v>3</v>
      </c>
      <c r="I853" t="n">
        <v>19</v>
      </c>
      <c r="J853" t="n">
        <v>3</v>
      </c>
      <c r="K853" t="n">
        <v>3</v>
      </c>
      <c r="L853" t="n">
        <v>20823</v>
      </c>
      <c r="M853" t="n">
        <v>26000</v>
      </c>
      <c r="N853" t="n">
        <v>33</v>
      </c>
      <c r="O853" t="n">
        <v>0.33</v>
      </c>
      <c r="P853" t="n">
        <v>1</v>
      </c>
      <c r="Q853" t="n">
        <v>0.14</v>
      </c>
      <c r="R853" t="n">
        <v>2</v>
      </c>
      <c r="S853" t="n">
        <v>3088.8</v>
      </c>
      <c r="T853" t="n">
        <v>19</v>
      </c>
      <c r="U853" t="n">
        <v>20</v>
      </c>
      <c r="V853" t="n">
        <v>30</v>
      </c>
      <c r="W853" t="n">
        <v>4</v>
      </c>
      <c r="X853" t="n">
        <v>8.417508417508417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20823</v>
      </c>
      <c r="AE853" t="n">
        <v>0</v>
      </c>
      <c r="AF853" t="n">
        <v>9752</v>
      </c>
      <c r="AG853" t="n">
        <v>2206</v>
      </c>
      <c r="AH853" t="inlineStr">
        <is>
          <t>PT. ENHA PUTRA (ONLINE CASH)</t>
        </is>
      </c>
      <c r="AI853" t="n">
        <v>393</v>
      </c>
      <c r="AJ853" t="inlineStr">
        <is>
          <t>DOVE</t>
        </is>
      </c>
      <c r="AK853" t="n">
        <v>9</v>
      </c>
      <c r="AL853" t="inlineStr">
        <is>
          <t>Miss Glam Jambi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DOVE</t>
        </is>
      </c>
      <c r="B854" s="2">
        <f>"8999999601454"</f>
        <v/>
      </c>
      <c r="C854" t="inlineStr">
        <is>
          <t>DOVE Radiant and Care Deodorant Serum Even Tone + Dark Marks Reducer 45ml</t>
        </is>
      </c>
      <c r="D854" t="inlineStr">
        <is>
          <t>Miss Glam Jambi</t>
        </is>
      </c>
      <c r="E854" t="n">
        <v>7</v>
      </c>
      <c r="F854" t="n">
        <v>0.1056</v>
      </c>
      <c r="G854" t="n">
        <v>0.66</v>
      </c>
      <c r="H854" t="n">
        <v>3</v>
      </c>
      <c r="I854" t="n">
        <v>19</v>
      </c>
      <c r="J854" t="n">
        <v>3</v>
      </c>
      <c r="K854" t="n">
        <v>0</v>
      </c>
      <c r="L854" t="n">
        <v>20771</v>
      </c>
      <c r="M854" t="n">
        <v>27000</v>
      </c>
      <c r="N854" t="n">
        <v>33</v>
      </c>
      <c r="O854" t="n">
        <v>0.33</v>
      </c>
      <c r="P854" t="n">
        <v>1</v>
      </c>
      <c r="Q854" t="n">
        <v>0.1</v>
      </c>
      <c r="R854" t="n">
        <v>2</v>
      </c>
      <c r="S854" t="n">
        <v>2851.2</v>
      </c>
      <c r="T854" t="n">
        <v>13</v>
      </c>
      <c r="U854" t="n">
        <v>14</v>
      </c>
      <c r="V854" t="n">
        <v>30</v>
      </c>
      <c r="W854" t="n">
        <v>4</v>
      </c>
      <c r="X854" t="n">
        <v>66.28787878787878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9752</v>
      </c>
      <c r="AG854" t="n">
        <v>2206</v>
      </c>
      <c r="AH854" t="inlineStr">
        <is>
          <t>PT. ENHA PUTRA (ONLINE CASH)</t>
        </is>
      </c>
      <c r="AI854" t="n">
        <v>393</v>
      </c>
      <c r="AJ854" t="inlineStr">
        <is>
          <t>DOVE</t>
        </is>
      </c>
      <c r="AK854" t="n">
        <v>9</v>
      </c>
      <c r="AL854" t="inlineStr">
        <is>
          <t>Miss Glam Jambi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DOVE</t>
        </is>
      </c>
      <c r="B855" s="2">
        <f>"8999999601430"</f>
        <v/>
      </c>
      <c r="C855" t="inlineStr">
        <is>
          <t>DOVE Radiant and Care Deodorant Serum Even Tone + Deep Renew 45ml</t>
        </is>
      </c>
      <c r="D855" t="inlineStr">
        <is>
          <t>Miss Glam Jambi</t>
        </is>
      </c>
      <c r="E855" t="n">
        <v>4</v>
      </c>
      <c r="F855" t="n">
        <v>0.1914</v>
      </c>
      <c r="G855" t="n">
        <v>0.99</v>
      </c>
      <c r="H855" t="n">
        <v>3</v>
      </c>
      <c r="I855" t="n">
        <v>19</v>
      </c>
      <c r="J855" t="n">
        <v>3</v>
      </c>
      <c r="K855" t="n">
        <v>3</v>
      </c>
      <c r="L855" t="n">
        <v>21402</v>
      </c>
      <c r="M855" t="n">
        <v>27000</v>
      </c>
      <c r="N855" t="n">
        <v>33</v>
      </c>
      <c r="O855" t="n">
        <v>0.33</v>
      </c>
      <c r="P855" t="n">
        <v>1</v>
      </c>
      <c r="Q855" t="n">
        <v>0.14</v>
      </c>
      <c r="R855" t="n">
        <v>2</v>
      </c>
      <c r="S855" t="n">
        <v>5167.799999999999</v>
      </c>
      <c r="T855" t="n">
        <v>19</v>
      </c>
      <c r="U855" t="n">
        <v>20</v>
      </c>
      <c r="V855" t="n">
        <v>30</v>
      </c>
      <c r="W855" t="n">
        <v>6</v>
      </c>
      <c r="X855" t="n">
        <v>20.89864158829676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9752</v>
      </c>
      <c r="AG855" t="n">
        <v>2206</v>
      </c>
      <c r="AH855" t="inlineStr">
        <is>
          <t>PT. ENHA PUTRA (ONLINE CASH)</t>
        </is>
      </c>
      <c r="AI855" t="n">
        <v>393</v>
      </c>
      <c r="AJ855" t="inlineStr">
        <is>
          <t>DOVE</t>
        </is>
      </c>
      <c r="AK855" t="n">
        <v>9</v>
      </c>
      <c r="AL855" t="inlineStr">
        <is>
          <t>Miss Glam Jambi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DOVE</t>
        </is>
      </c>
      <c r="B856" s="2">
        <f>"8999999601447"</f>
        <v/>
      </c>
      <c r="C856" t="inlineStr">
        <is>
          <t>DOVE Radiant and Care Deodorant Serum Even Tone + Skin Smoothener 45ml</t>
        </is>
      </c>
      <c r="D856" t="inlineStr">
        <is>
          <t>Miss Glam Jambi</t>
        </is>
      </c>
      <c r="E856" t="n">
        <v>6</v>
      </c>
      <c r="F856" t="n">
        <v>0.1782</v>
      </c>
      <c r="G856" t="n">
        <v>1.32</v>
      </c>
      <c r="H856" t="n">
        <v>3</v>
      </c>
      <c r="I856" t="n">
        <v>19</v>
      </c>
      <c r="J856" t="n">
        <v>3</v>
      </c>
      <c r="K856" t="n">
        <v>0</v>
      </c>
      <c r="L856" t="n">
        <v>21402</v>
      </c>
      <c r="M856" t="n">
        <v>27000</v>
      </c>
      <c r="N856" t="n">
        <v>33</v>
      </c>
      <c r="O856" t="n">
        <v>0.33</v>
      </c>
      <c r="P856" t="n">
        <v>1</v>
      </c>
      <c r="Q856" t="n">
        <v>0.17</v>
      </c>
      <c r="R856" t="n">
        <v>2</v>
      </c>
      <c r="S856" t="n">
        <v>4811.400000000001</v>
      </c>
      <c r="T856" t="n">
        <v>25</v>
      </c>
      <c r="U856" t="n">
        <v>26</v>
      </c>
      <c r="V856" t="n">
        <v>30</v>
      </c>
      <c r="W856" t="n">
        <v>6</v>
      </c>
      <c r="X856" t="n">
        <v>33.67003367003367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9752</v>
      </c>
      <c r="AG856" t="n">
        <v>2206</v>
      </c>
      <c r="AH856" t="inlineStr">
        <is>
          <t>PT. ENHA PUTRA (ONLINE CASH)</t>
        </is>
      </c>
      <c r="AI856" t="n">
        <v>393</v>
      </c>
      <c r="AJ856" t="inlineStr">
        <is>
          <t>DOVE</t>
        </is>
      </c>
      <c r="AK856" t="n">
        <v>9</v>
      </c>
      <c r="AL856" t="inlineStr">
        <is>
          <t>Miss Glam Jambi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DOVE</t>
        </is>
      </c>
      <c r="B857" s="2">
        <f>"8999999548629"</f>
        <v/>
      </c>
      <c r="C857" t="inlineStr">
        <is>
          <t>DOVE Radiant Care Dry Serum Deodorant Skin Smoothener 40ml</t>
        </is>
      </c>
      <c r="D857" t="inlineStr">
        <is>
          <t>Miss Glam Jambi</t>
        </is>
      </c>
      <c r="E857" t="n">
        <v>8</v>
      </c>
      <c r="F857" t="n">
        <v>0.0462</v>
      </c>
      <c r="G857" t="n">
        <v>0.66</v>
      </c>
      <c r="H857" t="n">
        <v>3</v>
      </c>
      <c r="I857" t="n">
        <v>19</v>
      </c>
      <c r="J857" t="n">
        <v>3</v>
      </c>
      <c r="K857" t="n">
        <v>0</v>
      </c>
      <c r="L857" t="n">
        <v>24463</v>
      </c>
      <c r="M857" t="n">
        <v>25000</v>
      </c>
      <c r="N857" t="n">
        <v>33</v>
      </c>
      <c r="O857" t="n">
        <v>0.33</v>
      </c>
      <c r="P857" t="n">
        <v>1</v>
      </c>
      <c r="Q857" t="n">
        <v>0.1</v>
      </c>
      <c r="R857" t="n">
        <v>1</v>
      </c>
      <c r="S857" t="n">
        <v>1155</v>
      </c>
      <c r="T857" t="n">
        <v>13</v>
      </c>
      <c r="U857" t="n">
        <v>14</v>
      </c>
      <c r="V857" t="n">
        <v>30</v>
      </c>
      <c r="W857" t="n">
        <v>2</v>
      </c>
      <c r="X857" t="n">
        <v>173.1601731601731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9752</v>
      </c>
      <c r="AG857" t="n">
        <v>2206</v>
      </c>
      <c r="AH857" t="inlineStr">
        <is>
          <t>PT. ENHA PUTRA (ONLINE CASH)</t>
        </is>
      </c>
      <c r="AI857" t="n">
        <v>393</v>
      </c>
      <c r="AJ857" t="inlineStr">
        <is>
          <t>DOVE</t>
        </is>
      </c>
      <c r="AK857" t="n">
        <v>9</v>
      </c>
      <c r="AL857" t="inlineStr">
        <is>
          <t>Miss Glam Jambi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DOVE</t>
        </is>
      </c>
      <c r="B858" s="2">
        <f>"8999999573058"</f>
        <v/>
      </c>
      <c r="C858" t="inlineStr">
        <is>
          <t>DOVE Sampo Perawatan Rambut Berkilau 135ml</t>
        </is>
      </c>
      <c r="D858" t="inlineStr">
        <is>
          <t>Miss Glam Jambi</t>
        </is>
      </c>
      <c r="E858" t="n">
        <v>0</v>
      </c>
      <c r="F858" t="n">
        <v>0.04</v>
      </c>
      <c r="G858" t="n">
        <v>1</v>
      </c>
      <c r="H858" t="n">
        <v>3</v>
      </c>
      <c r="I858" t="n">
        <v>19</v>
      </c>
      <c r="J858" t="n">
        <v>3</v>
      </c>
      <c r="K858" t="n">
        <v>0</v>
      </c>
      <c r="L858" t="n">
        <v>19810</v>
      </c>
      <c r="M858" t="n">
        <v>24500</v>
      </c>
      <c r="N858" t="n">
        <v>33</v>
      </c>
      <c r="O858" t="n">
        <v>0.33</v>
      </c>
      <c r="P858" t="n">
        <v>0</v>
      </c>
      <c r="Q858" t="n">
        <v>0.04</v>
      </c>
      <c r="R858" t="n">
        <v>1</v>
      </c>
      <c r="S858" t="n">
        <v>980</v>
      </c>
      <c r="T858" t="n">
        <v>19</v>
      </c>
      <c r="U858" t="n">
        <v>20</v>
      </c>
      <c r="V858" t="n">
        <v>30</v>
      </c>
      <c r="W858" t="n">
        <v>2</v>
      </c>
      <c r="X858" t="n">
        <v>0</v>
      </c>
      <c r="Y858" t="n">
        <v>1</v>
      </c>
      <c r="Z858" t="n">
        <v>2</v>
      </c>
      <c r="AA858" t="n">
        <v>1</v>
      </c>
      <c r="AB858" t="n">
        <v>1</v>
      </c>
      <c r="AC858" t="n">
        <v>3</v>
      </c>
      <c r="AD858" t="n">
        <v>19810</v>
      </c>
      <c r="AE858" t="n">
        <v>59430</v>
      </c>
      <c r="AF858" t="n">
        <v>9752</v>
      </c>
      <c r="AG858" t="n">
        <v>2206</v>
      </c>
      <c r="AH858" t="inlineStr">
        <is>
          <t>PT. ENHA PUTRA (ONLINE CASH)</t>
        </is>
      </c>
      <c r="AI858" t="n">
        <v>393</v>
      </c>
      <c r="AJ858" t="inlineStr">
        <is>
          <t>DOVE</t>
        </is>
      </c>
      <c r="AK858" t="n">
        <v>9</v>
      </c>
      <c r="AL858" t="inlineStr">
        <is>
          <t>Miss Glam Jambi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DOVE</t>
        </is>
      </c>
      <c r="B859" s="2">
        <f>"8999999573072"</f>
        <v/>
      </c>
      <c r="C859" t="inlineStr">
        <is>
          <t>DOVE Sampo Perawatan Rambut Rusak 135ml</t>
        </is>
      </c>
      <c r="D859" t="inlineStr">
        <is>
          <t>Miss Glam Jambi</t>
        </is>
      </c>
      <c r="E859" t="n">
        <v>6</v>
      </c>
      <c r="F859" t="n">
        <v>0.02</v>
      </c>
      <c r="G859" t="n">
        <v>1</v>
      </c>
      <c r="H859" t="n">
        <v>3</v>
      </c>
      <c r="I859" t="n">
        <v>19</v>
      </c>
      <c r="J859" t="n">
        <v>3</v>
      </c>
      <c r="K859" t="n">
        <v>0</v>
      </c>
      <c r="L859" t="n">
        <v>19810</v>
      </c>
      <c r="M859" t="n">
        <v>24500</v>
      </c>
      <c r="N859" t="n">
        <v>33</v>
      </c>
      <c r="O859" t="n">
        <v>0.33</v>
      </c>
      <c r="P859" t="n">
        <v>0</v>
      </c>
      <c r="Q859" t="n">
        <v>0.02</v>
      </c>
      <c r="R859" t="n">
        <v>1</v>
      </c>
      <c r="S859" t="n">
        <v>490</v>
      </c>
      <c r="T859" t="n">
        <v>19</v>
      </c>
      <c r="U859" t="n">
        <v>20</v>
      </c>
      <c r="V859" t="n">
        <v>30</v>
      </c>
      <c r="W859" t="n">
        <v>1</v>
      </c>
      <c r="X859" t="n">
        <v>300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9752</v>
      </c>
      <c r="AG859" t="n">
        <v>2206</v>
      </c>
      <c r="AH859" t="inlineStr">
        <is>
          <t>PT. ENHA PUTRA (ONLINE CASH)</t>
        </is>
      </c>
      <c r="AI859" t="n">
        <v>393</v>
      </c>
      <c r="AJ859" t="inlineStr">
        <is>
          <t>DOVE</t>
        </is>
      </c>
      <c r="AK859" t="n">
        <v>9</v>
      </c>
      <c r="AL859" t="inlineStr">
        <is>
          <t>Miss Glam Jambi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EARTH LOVE LIFE</t>
        </is>
      </c>
      <c r="B860" s="2">
        <f>"8993137721806"</f>
        <v/>
      </c>
      <c r="C860" t="inlineStr">
        <is>
          <t>EARTH LOVE LIFE Body Lotion Serum Bulgarian Rose &amp; East Nusa Vanilla 250ml</t>
        </is>
      </c>
      <c r="D860" t="inlineStr">
        <is>
          <t>Miss Glam Jambi</t>
        </is>
      </c>
      <c r="E860" t="n">
        <v>7</v>
      </c>
      <c r="F860" t="n">
        <v>0.0264</v>
      </c>
      <c r="G860" t="n">
        <v>0.33</v>
      </c>
      <c r="H860" t="n">
        <v>2</v>
      </c>
      <c r="I860" t="n">
        <v>7</v>
      </c>
      <c r="J860" t="n">
        <v>3</v>
      </c>
      <c r="K860" t="n">
        <v>0</v>
      </c>
      <c r="L860" t="n">
        <v>58304</v>
      </c>
      <c r="M860" t="n">
        <v>78000</v>
      </c>
      <c r="N860" t="n">
        <v>33</v>
      </c>
      <c r="O860" t="n">
        <v>0.33</v>
      </c>
      <c r="P860" t="n">
        <v>1</v>
      </c>
      <c r="Q860" t="n">
        <v>0.03</v>
      </c>
      <c r="R860" t="n">
        <v>1</v>
      </c>
      <c r="S860" t="n">
        <v>2059.2</v>
      </c>
      <c r="T860" t="n">
        <v>3</v>
      </c>
      <c r="U860" t="n">
        <v>4</v>
      </c>
      <c r="V860" t="n">
        <v>30</v>
      </c>
      <c r="W860" t="n">
        <v>1</v>
      </c>
      <c r="X860" t="n">
        <v>265.1515151515151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11572</v>
      </c>
      <c r="AG860" t="n">
        <v>2141</v>
      </c>
      <c r="AH860" t="inlineStr">
        <is>
          <t>PT. PARAMA GLOBAL INSPIRA - PPN (JMB)</t>
        </is>
      </c>
      <c r="AI860" t="n">
        <v>1993</v>
      </c>
      <c r="AJ860" t="inlineStr">
        <is>
          <t>EARTH LOVE LIFE</t>
        </is>
      </c>
      <c r="AK860" t="n">
        <v>9</v>
      </c>
      <c r="AL860" t="inlineStr">
        <is>
          <t>Miss Glam Jambi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EARTH LOVE LIFE</t>
        </is>
      </c>
      <c r="B861" s="2">
        <f>"8993137721783"</f>
        <v/>
      </c>
      <c r="C861" t="inlineStr">
        <is>
          <t>EARTH LOVE LIFE Body Lotion Serum East Balinese Bamboo &amp; Oriental Mint 250ml</t>
        </is>
      </c>
      <c r="D861" t="inlineStr">
        <is>
          <t>Miss Glam Jambi</t>
        </is>
      </c>
      <c r="E861" t="n">
        <v>4</v>
      </c>
      <c r="F861" t="n">
        <v>0.006600000000000001</v>
      </c>
      <c r="G861" t="n">
        <v>0.33</v>
      </c>
      <c r="H861" t="n">
        <v>2</v>
      </c>
      <c r="I861" t="n">
        <v>7</v>
      </c>
      <c r="J861" t="n">
        <v>3</v>
      </c>
      <c r="K861" t="n">
        <v>0</v>
      </c>
      <c r="L861" t="n">
        <v>58450</v>
      </c>
      <c r="M861" t="n">
        <v>78000</v>
      </c>
      <c r="N861" t="n">
        <v>33</v>
      </c>
      <c r="O861" t="n">
        <v>0.33</v>
      </c>
      <c r="P861" t="n">
        <v>1</v>
      </c>
      <c r="Q861" t="n">
        <v>0.03</v>
      </c>
      <c r="R861" t="n">
        <v>1</v>
      </c>
      <c r="S861" t="n">
        <v>514.8000000000001</v>
      </c>
      <c r="T861" t="n">
        <v>3</v>
      </c>
      <c r="U861" t="n">
        <v>4</v>
      </c>
      <c r="V861" t="n">
        <v>30</v>
      </c>
      <c r="W861" t="n">
        <v>1</v>
      </c>
      <c r="X861" t="n">
        <v>606.060606060606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11572</v>
      </c>
      <c r="AG861" t="n">
        <v>2141</v>
      </c>
      <c r="AH861" t="inlineStr">
        <is>
          <t>PT. PARAMA GLOBAL INSPIRA - PPN (JMB)</t>
        </is>
      </c>
      <c r="AI861" t="n">
        <v>1993</v>
      </c>
      <c r="AJ861" t="inlineStr">
        <is>
          <t>EARTH LOVE LIFE</t>
        </is>
      </c>
      <c r="AK861" t="n">
        <v>9</v>
      </c>
      <c r="AL861" t="inlineStr">
        <is>
          <t>Miss Glam Jambi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EARTH LOVE LIFE</t>
        </is>
      </c>
      <c r="B862" s="2">
        <f>"8993137721790"</f>
        <v/>
      </c>
      <c r="C862" t="inlineStr">
        <is>
          <t>EARTH LOVE LIFE Body Lotion Serum Javanese Moringa  &amp; Balinese Starfruit 250ml</t>
        </is>
      </c>
      <c r="D862" t="inlineStr">
        <is>
          <t>Miss Glam Jambi</t>
        </is>
      </c>
      <c r="E862" t="n">
        <v>5</v>
      </c>
      <c r="F862" t="n">
        <v>0.0132</v>
      </c>
      <c r="G862" t="n">
        <v>0.33</v>
      </c>
      <c r="H862" t="n">
        <v>2</v>
      </c>
      <c r="I862" t="n">
        <v>7</v>
      </c>
      <c r="J862" t="n">
        <v>3</v>
      </c>
      <c r="K862" t="n">
        <v>0</v>
      </c>
      <c r="L862" t="n">
        <v>58450</v>
      </c>
      <c r="M862" t="n">
        <v>78000</v>
      </c>
      <c r="N862" t="n">
        <v>33</v>
      </c>
      <c r="O862" t="n">
        <v>0.33</v>
      </c>
      <c r="P862" t="n">
        <v>1</v>
      </c>
      <c r="Q862" t="n">
        <v>0.08</v>
      </c>
      <c r="R862" t="n">
        <v>1</v>
      </c>
      <c r="S862" t="n">
        <v>1029.6</v>
      </c>
      <c r="T862" t="n">
        <v>3</v>
      </c>
      <c r="U862" t="n">
        <v>4</v>
      </c>
      <c r="V862" t="n">
        <v>30</v>
      </c>
      <c r="W862" t="n">
        <v>1</v>
      </c>
      <c r="X862" t="n">
        <v>378.7878787878788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11572</v>
      </c>
      <c r="AG862" t="n">
        <v>2141</v>
      </c>
      <c r="AH862" t="inlineStr">
        <is>
          <t>PT. PARAMA GLOBAL INSPIRA - PPN (JMB)</t>
        </is>
      </c>
      <c r="AI862" t="n">
        <v>1993</v>
      </c>
      <c r="AJ862" t="inlineStr">
        <is>
          <t>EARTH LOVE LIFE</t>
        </is>
      </c>
      <c r="AK862" t="n">
        <v>9</v>
      </c>
      <c r="AL862" t="inlineStr">
        <is>
          <t>Miss Glam Jambi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EARTH LOVE LIFE</t>
        </is>
      </c>
      <c r="B863" s="2">
        <f>"8993137721813"</f>
        <v/>
      </c>
      <c r="C863" t="inlineStr">
        <is>
          <t>EARTH LOVE LIFE Body Lotion Serum Spanish Lavender &amp; Javanese Rice Milk 250ml</t>
        </is>
      </c>
      <c r="D863" t="inlineStr">
        <is>
          <t>Miss Glam Jambi</t>
        </is>
      </c>
      <c r="E863" t="n">
        <v>2</v>
      </c>
      <c r="F863" t="n">
        <v>0.03</v>
      </c>
      <c r="G863" t="n">
        <v>1</v>
      </c>
      <c r="H863" t="n">
        <v>2</v>
      </c>
      <c r="I863" t="n">
        <v>7</v>
      </c>
      <c r="J863" t="n">
        <v>3</v>
      </c>
      <c r="K863" t="n">
        <v>0</v>
      </c>
      <c r="L863" t="n">
        <v>58450</v>
      </c>
      <c r="M863" t="n">
        <v>78000</v>
      </c>
      <c r="N863" t="n">
        <v>33</v>
      </c>
      <c r="O863" t="n">
        <v>0.33</v>
      </c>
      <c r="P863" t="n">
        <v>0</v>
      </c>
      <c r="Q863" t="n">
        <v>0.03</v>
      </c>
      <c r="R863" t="n">
        <v>1</v>
      </c>
      <c r="S863" t="n">
        <v>2340</v>
      </c>
      <c r="T863" t="n">
        <v>7</v>
      </c>
      <c r="U863" t="n">
        <v>8</v>
      </c>
      <c r="V863" t="n">
        <v>30</v>
      </c>
      <c r="W863" t="n">
        <v>1</v>
      </c>
      <c r="X863" t="n">
        <v>66.66666666666667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11572</v>
      </c>
      <c r="AG863" t="n">
        <v>2141</v>
      </c>
      <c r="AH863" t="inlineStr">
        <is>
          <t>PT. PARAMA GLOBAL INSPIRA - PPN (JMB)</t>
        </is>
      </c>
      <c r="AI863" t="n">
        <v>1993</v>
      </c>
      <c r="AJ863" t="inlineStr">
        <is>
          <t>EARTH LOVE LIFE</t>
        </is>
      </c>
      <c r="AK863" t="n">
        <v>9</v>
      </c>
      <c r="AL863" t="inlineStr">
        <is>
          <t>Miss Glam Jambi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EARTH LOVE LIFE</t>
        </is>
      </c>
      <c r="B864" s="2">
        <f>"8993137721707"</f>
        <v/>
      </c>
      <c r="C864" t="inlineStr">
        <is>
          <t>EARTH LOVE LIFE Body Wash Bulgarian Rose &amp; East Nusa Vanilla 250ml</t>
        </is>
      </c>
      <c r="D864" t="inlineStr">
        <is>
          <t>Miss Glam Jambi</t>
        </is>
      </c>
      <c r="E864" t="n">
        <v>6</v>
      </c>
      <c r="F864" t="n">
        <v>0.033</v>
      </c>
      <c r="G864" t="n">
        <v>0.33</v>
      </c>
      <c r="H864" t="n">
        <v>2</v>
      </c>
      <c r="I864" t="n">
        <v>7</v>
      </c>
      <c r="J864" t="n">
        <v>3</v>
      </c>
      <c r="K864" t="n">
        <v>0</v>
      </c>
      <c r="L864" t="n">
        <v>52500</v>
      </c>
      <c r="M864" t="n">
        <v>70000</v>
      </c>
      <c r="N864" t="n">
        <v>33</v>
      </c>
      <c r="O864" t="n">
        <v>0.33</v>
      </c>
      <c r="P864" t="n">
        <v>1</v>
      </c>
      <c r="Q864" t="n">
        <v>0.05</v>
      </c>
      <c r="R864" t="n">
        <v>2</v>
      </c>
      <c r="S864" t="n">
        <v>2310</v>
      </c>
      <c r="T864" t="n">
        <v>3</v>
      </c>
      <c r="U864" t="n">
        <v>4</v>
      </c>
      <c r="V864" t="n">
        <v>30</v>
      </c>
      <c r="W864" t="n">
        <v>1</v>
      </c>
      <c r="X864" t="n">
        <v>181.8181818181818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11572</v>
      </c>
      <c r="AG864" t="n">
        <v>2141</v>
      </c>
      <c r="AH864" t="inlineStr">
        <is>
          <t>PT. PARAMA GLOBAL INSPIRA - PPN (JMB)</t>
        </is>
      </c>
      <c r="AI864" t="n">
        <v>1993</v>
      </c>
      <c r="AJ864" t="inlineStr">
        <is>
          <t>EARTH LOVE LIFE</t>
        </is>
      </c>
      <c r="AK864" t="n">
        <v>9</v>
      </c>
      <c r="AL864" t="inlineStr">
        <is>
          <t>Miss Glam Jambi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EARTH LOVE LIFE</t>
        </is>
      </c>
      <c r="B865" s="2">
        <f>"8993137721691"</f>
        <v/>
      </c>
      <c r="C865" t="inlineStr">
        <is>
          <t>EARTH LOVE LIFE Body Wash Javanese Moringa &amp; Balinese Starfruit 250ml</t>
        </is>
      </c>
      <c r="D865" t="inlineStr">
        <is>
          <t>Miss Glam Jambi</t>
        </is>
      </c>
      <c r="E865" t="n">
        <v>6</v>
      </c>
      <c r="F865" t="n">
        <v>0.07000000000000001</v>
      </c>
      <c r="G865" t="n">
        <v>2</v>
      </c>
      <c r="H865" t="n">
        <v>2</v>
      </c>
      <c r="I865" t="n">
        <v>7</v>
      </c>
      <c r="J865" t="n">
        <v>3</v>
      </c>
      <c r="K865" t="n">
        <v>0</v>
      </c>
      <c r="L865" t="n">
        <v>52500</v>
      </c>
      <c r="M865" t="n">
        <v>70000</v>
      </c>
      <c r="N865" t="n">
        <v>33</v>
      </c>
      <c r="O865" t="n">
        <v>0.33</v>
      </c>
      <c r="P865" t="n">
        <v>0</v>
      </c>
      <c r="Q865" t="n">
        <v>0.07000000000000001</v>
      </c>
      <c r="R865" t="n">
        <v>2</v>
      </c>
      <c r="S865" t="n">
        <v>4900.000000000001</v>
      </c>
      <c r="T865" t="n">
        <v>14</v>
      </c>
      <c r="U865" t="n">
        <v>15</v>
      </c>
      <c r="V865" t="n">
        <v>30</v>
      </c>
      <c r="W865" t="n">
        <v>3</v>
      </c>
      <c r="X865" t="n">
        <v>85.71428571428571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11572</v>
      </c>
      <c r="AG865" t="n">
        <v>2141</v>
      </c>
      <c r="AH865" t="inlineStr">
        <is>
          <t>PT. PARAMA GLOBAL INSPIRA - PPN (JMB)</t>
        </is>
      </c>
      <c r="AI865" t="n">
        <v>1993</v>
      </c>
      <c r="AJ865" t="inlineStr">
        <is>
          <t>EARTH LOVE LIFE</t>
        </is>
      </c>
      <c r="AK865" t="n">
        <v>9</v>
      </c>
      <c r="AL865" t="inlineStr">
        <is>
          <t>Miss Glam Jambi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EARTH LOVE LIFE</t>
        </is>
      </c>
      <c r="B866" s="2">
        <f>"8993137721721"</f>
        <v/>
      </c>
      <c r="C866" t="inlineStr">
        <is>
          <t>EARTH LOVE LIFE Body Wash South Bali Frangipani &amp; Tropical Coconut Water 250ml</t>
        </is>
      </c>
      <c r="D866" t="inlineStr">
        <is>
          <t>Miss Glam Jambi</t>
        </is>
      </c>
      <c r="E866" t="n">
        <v>0</v>
      </c>
      <c r="F866" t="n">
        <v>0.04</v>
      </c>
      <c r="G866" t="n">
        <v>1</v>
      </c>
      <c r="H866" t="n">
        <v>2</v>
      </c>
      <c r="I866" t="n">
        <v>7</v>
      </c>
      <c r="J866" t="n">
        <v>3</v>
      </c>
      <c r="K866" t="n">
        <v>0</v>
      </c>
      <c r="L866" t="n">
        <v>52500</v>
      </c>
      <c r="M866" t="n">
        <v>70000</v>
      </c>
      <c r="N866" t="n">
        <v>33</v>
      </c>
      <c r="O866" t="n">
        <v>0.33</v>
      </c>
      <c r="P866" t="n">
        <v>0</v>
      </c>
      <c r="Q866" t="n">
        <v>0.04</v>
      </c>
      <c r="R866" t="n">
        <v>1</v>
      </c>
      <c r="S866" t="n">
        <v>2800</v>
      </c>
      <c r="T866" t="n">
        <v>7</v>
      </c>
      <c r="U866" t="n">
        <v>8</v>
      </c>
      <c r="V866" t="n">
        <v>30</v>
      </c>
      <c r="W866" t="n">
        <v>2</v>
      </c>
      <c r="X866" t="n">
        <v>0</v>
      </c>
      <c r="Y866" t="n">
        <v>1</v>
      </c>
      <c r="Z866" t="n">
        <v>2</v>
      </c>
      <c r="AA866" t="n">
        <v>1</v>
      </c>
      <c r="AB866" t="n">
        <v>1</v>
      </c>
      <c r="AC866" t="n">
        <v>3</v>
      </c>
      <c r="AD866" t="n">
        <v>52500</v>
      </c>
      <c r="AE866" t="n">
        <v>157500</v>
      </c>
      <c r="AF866" t="n">
        <v>11572</v>
      </c>
      <c r="AG866" t="n">
        <v>2141</v>
      </c>
      <c r="AH866" t="inlineStr">
        <is>
          <t>PT. PARAMA GLOBAL INSPIRA - PPN (JMB)</t>
        </is>
      </c>
      <c r="AI866" t="n">
        <v>1993</v>
      </c>
      <c r="AJ866" t="inlineStr">
        <is>
          <t>EARTH LOVE LIFE</t>
        </is>
      </c>
      <c r="AK866" t="n">
        <v>9</v>
      </c>
      <c r="AL866" t="inlineStr">
        <is>
          <t>Miss Glam Jambi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EARTH LOVE LIFE</t>
        </is>
      </c>
      <c r="B867" s="2">
        <f>"8993137721714"</f>
        <v/>
      </c>
      <c r="C867" t="inlineStr">
        <is>
          <t>EARTH LOVE LIFE Body Wash Spanish Lavender &amp; Javanese Rice Milk 250ml</t>
        </is>
      </c>
      <c r="D867" t="inlineStr">
        <is>
          <t>Miss Glam Jambi</t>
        </is>
      </c>
      <c r="E867" t="n">
        <v>3</v>
      </c>
      <c r="F867" t="n">
        <v>0.0231</v>
      </c>
      <c r="G867" t="n">
        <v>0.66</v>
      </c>
      <c r="H867" t="n">
        <v>2</v>
      </c>
      <c r="I867" t="n">
        <v>7</v>
      </c>
      <c r="J867" t="n">
        <v>3</v>
      </c>
      <c r="K867" t="n">
        <v>0</v>
      </c>
      <c r="L867" t="n">
        <v>52500</v>
      </c>
      <c r="M867" t="n">
        <v>70000</v>
      </c>
      <c r="N867" t="n">
        <v>33</v>
      </c>
      <c r="O867" t="n">
        <v>0.33</v>
      </c>
      <c r="P867" t="n">
        <v>1</v>
      </c>
      <c r="Q867" t="n">
        <v>0.03</v>
      </c>
      <c r="R867" t="n">
        <v>1</v>
      </c>
      <c r="S867" t="n">
        <v>1617</v>
      </c>
      <c r="T867" t="n">
        <v>5</v>
      </c>
      <c r="U867" t="n">
        <v>6</v>
      </c>
      <c r="V867" t="n">
        <v>30</v>
      </c>
      <c r="W867" t="n">
        <v>1</v>
      </c>
      <c r="X867" t="n">
        <v>129.8701298701299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11572</v>
      </c>
      <c r="AG867" t="n">
        <v>2141</v>
      </c>
      <c r="AH867" t="inlineStr">
        <is>
          <t>PT. PARAMA GLOBAL INSPIRA - PPN (JMB)</t>
        </is>
      </c>
      <c r="AI867" t="n">
        <v>1993</v>
      </c>
      <c r="AJ867" t="inlineStr">
        <is>
          <t>EARTH LOVE LIFE</t>
        </is>
      </c>
      <c r="AK867" t="n">
        <v>9</v>
      </c>
      <c r="AL867" t="inlineStr">
        <is>
          <t>Miss Glam Jambi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EARTH LOVE LIFE</t>
        </is>
      </c>
      <c r="B868" s="2">
        <f>"30200195514"</f>
        <v/>
      </c>
      <c r="C868" t="inlineStr">
        <is>
          <t>EARTH LOVE LIFE Bulgarian Rose &amp; East Nusa Vanilla Body Lotion Serum 60ml</t>
        </is>
      </c>
      <c r="D868" t="inlineStr">
        <is>
          <t>Miss Glam Jambi</t>
        </is>
      </c>
      <c r="E868" t="n">
        <v>0</v>
      </c>
      <c r="F868" t="n">
        <v>0.0561</v>
      </c>
      <c r="G868" t="n">
        <v>0.66</v>
      </c>
      <c r="H868" t="n">
        <v>2</v>
      </c>
      <c r="I868" t="n">
        <v>7</v>
      </c>
      <c r="J868" t="n">
        <v>1</v>
      </c>
      <c r="K868" t="n">
        <v>0</v>
      </c>
      <c r="L868" t="n">
        <v>23500</v>
      </c>
      <c r="M868" t="n">
        <v>33500</v>
      </c>
      <c r="N868" t="n">
        <v>33</v>
      </c>
      <c r="O868" t="n">
        <v>0.33</v>
      </c>
      <c r="P868" t="n">
        <v>1</v>
      </c>
      <c r="Q868" t="n">
        <v>0.07000000000000001</v>
      </c>
      <c r="R868" t="n">
        <v>2</v>
      </c>
      <c r="S868" t="n">
        <v>1879.35</v>
      </c>
      <c r="T868" t="n">
        <v>5</v>
      </c>
      <c r="U868" t="n">
        <v>6</v>
      </c>
      <c r="V868" t="n">
        <v>30</v>
      </c>
      <c r="W868" t="n">
        <v>2</v>
      </c>
      <c r="X868" t="n">
        <v>0</v>
      </c>
      <c r="Y868" t="n">
        <v>1</v>
      </c>
      <c r="Z868" t="n">
        <v>2</v>
      </c>
      <c r="AA868" t="n">
        <v>1</v>
      </c>
      <c r="AB868" t="n">
        <v>1</v>
      </c>
      <c r="AC868" t="n">
        <v>1</v>
      </c>
      <c r="AD868" t="n">
        <v>23500</v>
      </c>
      <c r="AE868" t="n">
        <v>23500</v>
      </c>
      <c r="AF868" t="n">
        <v>11572</v>
      </c>
      <c r="AG868" t="n">
        <v>2141</v>
      </c>
      <c r="AH868" t="inlineStr">
        <is>
          <t>PT. PARAMA GLOBAL INSPIRA - PPN (JMB)</t>
        </is>
      </c>
      <c r="AI868" t="n">
        <v>1993</v>
      </c>
      <c r="AJ868" t="inlineStr">
        <is>
          <t>EARTH LOVE LIFE</t>
        </is>
      </c>
      <c r="AK868" t="n">
        <v>9</v>
      </c>
      <c r="AL868" t="inlineStr">
        <is>
          <t>Miss Glam Jambi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EARTH LOVE LIFE</t>
        </is>
      </c>
      <c r="B869" s="2">
        <f>"30100170041"</f>
        <v/>
      </c>
      <c r="C869" t="inlineStr">
        <is>
          <t>EARTH LOVE LIFE Bulgarian Rose &amp; East Nusa Vanilla Body Wash 60ml</t>
        </is>
      </c>
      <c r="D869" t="inlineStr">
        <is>
          <t>Miss Glam Jambi</t>
        </is>
      </c>
      <c r="E869" t="n">
        <v>0</v>
      </c>
      <c r="F869" t="n">
        <v>0.009900000000000001</v>
      </c>
      <c r="G869" t="n">
        <v>0.33</v>
      </c>
      <c r="H869" t="n">
        <v>2</v>
      </c>
      <c r="I869" t="n">
        <v>7</v>
      </c>
      <c r="J869" t="n">
        <v>1</v>
      </c>
      <c r="K869" t="n">
        <v>0</v>
      </c>
      <c r="L869" t="n">
        <v>21500</v>
      </c>
      <c r="M869" t="n">
        <v>30500</v>
      </c>
      <c r="N869" t="n">
        <v>33</v>
      </c>
      <c r="O869" t="n">
        <v>0.33</v>
      </c>
      <c r="P869" t="n">
        <v>1</v>
      </c>
      <c r="Q869" t="n">
        <v>0.04</v>
      </c>
      <c r="R869" t="n">
        <v>1</v>
      </c>
      <c r="S869" t="n">
        <v>301.95</v>
      </c>
      <c r="T869" t="n">
        <v>3</v>
      </c>
      <c r="U869" t="n">
        <v>4</v>
      </c>
      <c r="V869" t="n">
        <v>30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n">
        <v>0</v>
      </c>
      <c r="AC869" t="n">
        <v>0</v>
      </c>
      <c r="AD869" t="n">
        <v>21500</v>
      </c>
      <c r="AE869" t="n">
        <v>0</v>
      </c>
      <c r="AF869" t="n">
        <v>11572</v>
      </c>
      <c r="AG869" t="n">
        <v>2141</v>
      </c>
      <c r="AH869" t="inlineStr">
        <is>
          <t>PT. PARAMA GLOBAL INSPIRA - PPN (JMB)</t>
        </is>
      </c>
      <c r="AI869" t="n">
        <v>1993</v>
      </c>
      <c r="AJ869" t="inlineStr">
        <is>
          <t>EARTH LOVE LIFE</t>
        </is>
      </c>
      <c r="AK869" t="n">
        <v>9</v>
      </c>
      <c r="AL869" t="inlineStr">
        <is>
          <t>Miss Glam Jambi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EARTH LOVE LIFE</t>
        </is>
      </c>
      <c r="B870" s="2">
        <f>"30200195325"</f>
        <v/>
      </c>
      <c r="C870" t="inlineStr">
        <is>
          <t>EARTH LOVE LIFE East Balinese Bamboo &amp; Oriental Mint Body Lotion Serum 60ml</t>
        </is>
      </c>
      <c r="D870" t="inlineStr">
        <is>
          <t>Miss Glam Jambi</t>
        </is>
      </c>
      <c r="E870" t="n">
        <v>4</v>
      </c>
      <c r="F870" t="n">
        <v>0.0165</v>
      </c>
      <c r="G870" t="n">
        <v>0.33</v>
      </c>
      <c r="H870" t="n">
        <v>2</v>
      </c>
      <c r="I870" t="n">
        <v>7</v>
      </c>
      <c r="J870" t="n">
        <v>1</v>
      </c>
      <c r="K870" t="n">
        <v>0</v>
      </c>
      <c r="L870" t="n">
        <v>23500</v>
      </c>
      <c r="M870" t="n">
        <v>33500</v>
      </c>
      <c r="N870" t="n">
        <v>33</v>
      </c>
      <c r="O870" t="n">
        <v>0.33</v>
      </c>
      <c r="P870" t="n">
        <v>1</v>
      </c>
      <c r="Q870" t="n">
        <v>0.02</v>
      </c>
      <c r="R870" t="n">
        <v>0</v>
      </c>
      <c r="S870" t="n">
        <v>552.75</v>
      </c>
      <c r="T870" t="n">
        <v>3</v>
      </c>
      <c r="U870" t="n">
        <v>4</v>
      </c>
      <c r="V870" t="n">
        <v>30</v>
      </c>
      <c r="W870" t="n">
        <v>1</v>
      </c>
      <c r="X870" t="n">
        <v>242.4242424242424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11572</v>
      </c>
      <c r="AG870" t="n">
        <v>2141</v>
      </c>
      <c r="AH870" t="inlineStr">
        <is>
          <t>PT. PARAMA GLOBAL INSPIRA - PPN (JMB)</t>
        </is>
      </c>
      <c r="AI870" t="n">
        <v>1993</v>
      </c>
      <c r="AJ870" t="inlineStr">
        <is>
          <t>EARTH LOVE LIFE</t>
        </is>
      </c>
      <c r="AK870" t="n">
        <v>9</v>
      </c>
      <c r="AL870" t="inlineStr">
        <is>
          <t>Miss Glam Jambi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EARTH LOVE LIFE</t>
        </is>
      </c>
      <c r="B871" s="2">
        <f>"8993137721684"</f>
        <v/>
      </c>
      <c r="C871" t="inlineStr">
        <is>
          <t>EARTH LOVE LIFE East Balinese Bamboo &amp; Oriental Mint Body Wash 250ml</t>
        </is>
      </c>
      <c r="D871" t="inlineStr">
        <is>
          <t>Miss Glam Jambi</t>
        </is>
      </c>
      <c r="E871" t="n">
        <v>6</v>
      </c>
      <c r="F871" t="n">
        <v>0.0231</v>
      </c>
      <c r="G871" t="n">
        <v>0.33</v>
      </c>
      <c r="H871" t="n">
        <v>2</v>
      </c>
      <c r="I871" t="n">
        <v>7</v>
      </c>
      <c r="J871" t="n">
        <v>3</v>
      </c>
      <c r="K871" t="n">
        <v>0</v>
      </c>
      <c r="L871" t="n">
        <v>52500</v>
      </c>
      <c r="M871" t="n">
        <v>70000</v>
      </c>
      <c r="N871" t="n">
        <v>33</v>
      </c>
      <c r="O871" t="n">
        <v>0.33</v>
      </c>
      <c r="P871" t="n">
        <v>1</v>
      </c>
      <c r="Q871" t="n">
        <v>0.05</v>
      </c>
      <c r="R871" t="n">
        <v>3</v>
      </c>
      <c r="S871" t="n">
        <v>1617</v>
      </c>
      <c r="T871" t="n">
        <v>3</v>
      </c>
      <c r="U871" t="n">
        <v>4</v>
      </c>
      <c r="V871" t="n">
        <v>30</v>
      </c>
      <c r="W871" t="n">
        <v>1</v>
      </c>
      <c r="X871" t="n">
        <v>259.7402597402597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11572</v>
      </c>
      <c r="AG871" t="n">
        <v>2141</v>
      </c>
      <c r="AH871" t="inlineStr">
        <is>
          <t>PT. PARAMA GLOBAL INSPIRA - PPN (JMB)</t>
        </is>
      </c>
      <c r="AI871" t="n">
        <v>1993</v>
      </c>
      <c r="AJ871" t="inlineStr">
        <is>
          <t>EARTH LOVE LIFE</t>
        </is>
      </c>
      <c r="AK871" t="n">
        <v>9</v>
      </c>
      <c r="AL871" t="inlineStr">
        <is>
          <t>Miss Glam Jambi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EARTH LOVE LIFE</t>
        </is>
      </c>
      <c r="B872" s="2">
        <f>"30100169835"</f>
        <v/>
      </c>
      <c r="C872" t="inlineStr">
        <is>
          <t>EARTH LOVE LIFE East Balinese Bamboo &amp; Oriental Mint Body Wash 60ml</t>
        </is>
      </c>
      <c r="D872" t="inlineStr">
        <is>
          <t>Miss Glam Jambi</t>
        </is>
      </c>
      <c r="E872" t="n">
        <v>3</v>
      </c>
      <c r="F872" t="n">
        <v>0.0264</v>
      </c>
      <c r="G872" t="n">
        <v>0.33</v>
      </c>
      <c r="H872" t="n">
        <v>2</v>
      </c>
      <c r="I872" t="n">
        <v>7</v>
      </c>
      <c r="J872" t="n">
        <v>1</v>
      </c>
      <c r="K872" t="n">
        <v>0</v>
      </c>
      <c r="L872" t="n">
        <v>21500</v>
      </c>
      <c r="M872" t="n">
        <v>30500</v>
      </c>
      <c r="N872" t="n">
        <v>33</v>
      </c>
      <c r="O872" t="n">
        <v>0.33</v>
      </c>
      <c r="P872" t="n">
        <v>1</v>
      </c>
      <c r="Q872" t="n">
        <v>0.03</v>
      </c>
      <c r="R872" t="n">
        <v>1</v>
      </c>
      <c r="S872" t="n">
        <v>805.2</v>
      </c>
      <c r="T872" t="n">
        <v>3</v>
      </c>
      <c r="U872" t="n">
        <v>4</v>
      </c>
      <c r="V872" t="n">
        <v>30</v>
      </c>
      <c r="W872" t="n">
        <v>1</v>
      </c>
      <c r="X872" t="n">
        <v>113.6363636363636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11572</v>
      </c>
      <c r="AG872" t="n">
        <v>2141</v>
      </c>
      <c r="AH872" t="inlineStr">
        <is>
          <t>PT. PARAMA GLOBAL INSPIRA - PPN (JMB)</t>
        </is>
      </c>
      <c r="AI872" t="n">
        <v>1993</v>
      </c>
      <c r="AJ872" t="inlineStr">
        <is>
          <t>EARTH LOVE LIFE</t>
        </is>
      </c>
      <c r="AK872" t="n">
        <v>9</v>
      </c>
      <c r="AL872" t="inlineStr">
        <is>
          <t>Miss Glam Jambi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EARTH LOVE LIFE</t>
        </is>
      </c>
      <c r="B873" s="2">
        <f>"30200195422"</f>
        <v/>
      </c>
      <c r="C873" t="inlineStr">
        <is>
          <t>EARTH LOVE LIFE Javanese Moringa &amp; Balinese Starfruit Body Lotion Serum 60 ml</t>
        </is>
      </c>
      <c r="D873" t="inlineStr">
        <is>
          <t>Miss Glam Jambi</t>
        </is>
      </c>
      <c r="E873" t="n">
        <v>1</v>
      </c>
      <c r="F873" t="n">
        <v>0.0132</v>
      </c>
      <c r="G873" t="n">
        <v>0.33</v>
      </c>
      <c r="H873" t="n">
        <v>2</v>
      </c>
      <c r="I873" t="n">
        <v>7</v>
      </c>
      <c r="J873" t="n">
        <v>1</v>
      </c>
      <c r="K873" t="n">
        <v>0</v>
      </c>
      <c r="L873" t="n">
        <v>23500</v>
      </c>
      <c r="M873" t="n">
        <v>33500</v>
      </c>
      <c r="N873" t="n">
        <v>33</v>
      </c>
      <c r="O873" t="n">
        <v>0.33</v>
      </c>
      <c r="P873" t="n">
        <v>1</v>
      </c>
      <c r="Q873" t="n">
        <v>0.05</v>
      </c>
      <c r="R873" t="n">
        <v>1</v>
      </c>
      <c r="S873" t="n">
        <v>442.2</v>
      </c>
      <c r="T873" t="n">
        <v>3</v>
      </c>
      <c r="U873" t="n">
        <v>4</v>
      </c>
      <c r="V873" t="n">
        <v>30</v>
      </c>
      <c r="W873" t="n">
        <v>1</v>
      </c>
      <c r="X873" t="n">
        <v>75.75757575757575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11572</v>
      </c>
      <c r="AG873" t="n">
        <v>2141</v>
      </c>
      <c r="AH873" t="inlineStr">
        <is>
          <t>PT. PARAMA GLOBAL INSPIRA - PPN (JMB)</t>
        </is>
      </c>
      <c r="AI873" t="n">
        <v>1993</v>
      </c>
      <c r="AJ873" t="inlineStr">
        <is>
          <t>EARTH LOVE LIFE</t>
        </is>
      </c>
      <c r="AK873" t="n">
        <v>9</v>
      </c>
      <c r="AL873" t="inlineStr">
        <is>
          <t>Miss Glam Jambi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EARTH LOVE LIFE</t>
        </is>
      </c>
      <c r="B874" s="2">
        <f>"30100169953"</f>
        <v/>
      </c>
      <c r="C874" t="inlineStr">
        <is>
          <t>EARTH LOVE LIFE Javanese Moringa &amp; Balinese Starfruit Body Wash 60ml</t>
        </is>
      </c>
      <c r="D874" t="inlineStr">
        <is>
          <t>Miss Glam Jambi</t>
        </is>
      </c>
      <c r="E874" t="n">
        <v>5</v>
      </c>
      <c r="F874" t="n">
        <v>0.0231</v>
      </c>
      <c r="G874" t="n">
        <v>0.33</v>
      </c>
      <c r="H874" t="n">
        <v>2</v>
      </c>
      <c r="I874" t="n">
        <v>7</v>
      </c>
      <c r="J874" t="n">
        <v>1</v>
      </c>
      <c r="K874" t="n">
        <v>0</v>
      </c>
      <c r="L874" t="n">
        <v>21500</v>
      </c>
      <c r="M874" t="n">
        <v>30500</v>
      </c>
      <c r="N874" t="n">
        <v>33</v>
      </c>
      <c r="O874" t="n">
        <v>0.33</v>
      </c>
      <c r="P874" t="n">
        <v>1</v>
      </c>
      <c r="Q874" t="n">
        <v>0.02</v>
      </c>
      <c r="R874" t="n">
        <v>1</v>
      </c>
      <c r="S874" t="n">
        <v>704.5500000000001</v>
      </c>
      <c r="T874" t="n">
        <v>3</v>
      </c>
      <c r="U874" t="n">
        <v>4</v>
      </c>
      <c r="V874" t="n">
        <v>30</v>
      </c>
      <c r="W874" t="n">
        <v>1</v>
      </c>
      <c r="X874" t="n">
        <v>216.4502164502164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11572</v>
      </c>
      <c r="AG874" t="n">
        <v>2141</v>
      </c>
      <c r="AH874" t="inlineStr">
        <is>
          <t>PT. PARAMA GLOBAL INSPIRA - PPN (JMB)</t>
        </is>
      </c>
      <c r="AI874" t="n">
        <v>1993</v>
      </c>
      <c r="AJ874" t="inlineStr">
        <is>
          <t>EARTH LOVE LIFE</t>
        </is>
      </c>
      <c r="AK874" t="n">
        <v>9</v>
      </c>
      <c r="AL874" t="inlineStr">
        <is>
          <t>Miss Glam Jambi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EARTH LOVE LIFE</t>
        </is>
      </c>
      <c r="B875" s="2">
        <f>"30200428342"</f>
        <v/>
      </c>
      <c r="C875" t="inlineStr">
        <is>
          <t>EARTH LOVE LIFE South Bali Frangipani &amp; Tropical Coconut Water Body Gel Serum 60 ml</t>
        </is>
      </c>
      <c r="D875" t="inlineStr">
        <is>
          <t>Miss Glam Jambi</t>
        </is>
      </c>
      <c r="E875" t="n">
        <v>5</v>
      </c>
      <c r="F875" t="n">
        <v>0.006600000000000001</v>
      </c>
      <c r="G875" t="n">
        <v>0.33</v>
      </c>
      <c r="H875" t="n">
        <v>2</v>
      </c>
      <c r="I875" t="n">
        <v>7</v>
      </c>
      <c r="J875" t="n">
        <v>1</v>
      </c>
      <c r="K875" t="n">
        <v>0</v>
      </c>
      <c r="L875" t="n">
        <v>23500</v>
      </c>
      <c r="M875" t="n">
        <v>33500</v>
      </c>
      <c r="N875" t="n">
        <v>33</v>
      </c>
      <c r="O875" t="n">
        <v>0.33</v>
      </c>
      <c r="P875" t="n">
        <v>1</v>
      </c>
      <c r="Q875" t="n">
        <v>0.02</v>
      </c>
      <c r="R875" t="n">
        <v>1</v>
      </c>
      <c r="S875" t="n">
        <v>221.1</v>
      </c>
      <c r="T875" t="n">
        <v>3</v>
      </c>
      <c r="U875" t="n">
        <v>4</v>
      </c>
      <c r="V875" t="n">
        <v>30</v>
      </c>
      <c r="W875" t="n">
        <v>1</v>
      </c>
      <c r="X875" t="n">
        <v>757.5757575757575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11572</v>
      </c>
      <c r="AG875" t="n">
        <v>2141</v>
      </c>
      <c r="AH875" t="inlineStr">
        <is>
          <t>PT. PARAMA GLOBAL INSPIRA - PPN (JMB)</t>
        </is>
      </c>
      <c r="AI875" t="n">
        <v>1993</v>
      </c>
      <c r="AJ875" t="inlineStr">
        <is>
          <t>EARTH LOVE LIFE</t>
        </is>
      </c>
      <c r="AK875" t="n">
        <v>9</v>
      </c>
      <c r="AL875" t="inlineStr">
        <is>
          <t>Miss Glam Jambi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EARTH LOVE LIFE</t>
        </is>
      </c>
      <c r="B876" s="2">
        <f>"30100170235"</f>
        <v/>
      </c>
      <c r="C876" t="inlineStr">
        <is>
          <t>EARTH LOVE LIFE South Bali Frangipani &amp; Tropical Coconut Water Body Wash 60ml</t>
        </is>
      </c>
      <c r="D876" t="inlineStr">
        <is>
          <t>Miss Glam Jambi</t>
        </is>
      </c>
      <c r="E876" t="n">
        <v>4</v>
      </c>
      <c r="F876" t="n">
        <v>0.006600000000000001</v>
      </c>
      <c r="G876" t="n">
        <v>0.33</v>
      </c>
      <c r="H876" t="n">
        <v>2</v>
      </c>
      <c r="I876" t="n">
        <v>7</v>
      </c>
      <c r="J876" t="n">
        <v>1</v>
      </c>
      <c r="K876" t="n">
        <v>0</v>
      </c>
      <c r="L876" t="n">
        <v>21500</v>
      </c>
      <c r="M876" t="n">
        <v>30500</v>
      </c>
      <c r="N876" t="n">
        <v>33</v>
      </c>
      <c r="O876" t="n">
        <v>0.33</v>
      </c>
      <c r="P876" t="n">
        <v>1</v>
      </c>
      <c r="Q876" t="n">
        <v>0.02</v>
      </c>
      <c r="R876" t="n">
        <v>1</v>
      </c>
      <c r="S876" t="n">
        <v>201.3</v>
      </c>
      <c r="T876" t="n">
        <v>3</v>
      </c>
      <c r="U876" t="n">
        <v>4</v>
      </c>
      <c r="V876" t="n">
        <v>30</v>
      </c>
      <c r="W876" t="n">
        <v>1</v>
      </c>
      <c r="X876" t="n">
        <v>606.060606060606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11572</v>
      </c>
      <c r="AG876" t="n">
        <v>2141</v>
      </c>
      <c r="AH876" t="inlineStr">
        <is>
          <t>PT. PARAMA GLOBAL INSPIRA - PPN (JMB)</t>
        </is>
      </c>
      <c r="AI876" t="n">
        <v>1993</v>
      </c>
      <c r="AJ876" t="inlineStr">
        <is>
          <t>EARTH LOVE LIFE</t>
        </is>
      </c>
      <c r="AK876" t="n">
        <v>9</v>
      </c>
      <c r="AL876" t="inlineStr">
        <is>
          <t>Miss Glam Jambi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EARTH LOVE LIFE</t>
        </is>
      </c>
      <c r="B877" s="2">
        <f>"8993137721820"</f>
        <v/>
      </c>
      <c r="C877" t="inlineStr">
        <is>
          <t>EARTH LOVE LIFE South Body Gel Serum Bali Frangipani &amp; Tropical Coconut Water 250ml</t>
        </is>
      </c>
      <c r="D877" t="inlineStr">
        <is>
          <t>Miss Glam Jambi</t>
        </is>
      </c>
      <c r="E877" t="n">
        <v>5</v>
      </c>
      <c r="F877" t="n">
        <v>0.02</v>
      </c>
      <c r="G877" t="n">
        <v>1</v>
      </c>
      <c r="H877" t="n">
        <v>2</v>
      </c>
      <c r="I877" t="n">
        <v>7</v>
      </c>
      <c r="J877" t="n">
        <v>3</v>
      </c>
      <c r="K877" t="n">
        <v>0</v>
      </c>
      <c r="L877" t="n">
        <v>55528</v>
      </c>
      <c r="M877" t="n">
        <v>78000</v>
      </c>
      <c r="N877" t="n">
        <v>33</v>
      </c>
      <c r="O877" t="n">
        <v>0.33</v>
      </c>
      <c r="P877" t="n">
        <v>0</v>
      </c>
      <c r="Q877" t="n">
        <v>0.02</v>
      </c>
      <c r="R877" t="n">
        <v>1</v>
      </c>
      <c r="S877" t="n">
        <v>1560</v>
      </c>
      <c r="T877" t="n">
        <v>7</v>
      </c>
      <c r="U877" t="n">
        <v>8</v>
      </c>
      <c r="V877" t="n">
        <v>30</v>
      </c>
      <c r="W877" t="n">
        <v>1</v>
      </c>
      <c r="X877" t="n">
        <v>250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11572</v>
      </c>
      <c r="AG877" t="n">
        <v>2141</v>
      </c>
      <c r="AH877" t="inlineStr">
        <is>
          <t>PT. PARAMA GLOBAL INSPIRA - PPN (JMB)</t>
        </is>
      </c>
      <c r="AI877" t="n">
        <v>1993</v>
      </c>
      <c r="AJ877" t="inlineStr">
        <is>
          <t>EARTH LOVE LIFE</t>
        </is>
      </c>
      <c r="AK877" t="n">
        <v>9</v>
      </c>
      <c r="AL877" t="inlineStr">
        <is>
          <t>Miss Glam Jambi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EARTH LOVE LIFE</t>
        </is>
      </c>
      <c r="B878" s="2">
        <f>"30200195651"</f>
        <v/>
      </c>
      <c r="C878" t="inlineStr">
        <is>
          <t>EARTH LOVE LIFE Spanish Lavender &amp; Javanese Rice Milk Body Lotion Serum 60 ml</t>
        </is>
      </c>
      <c r="D878" t="inlineStr">
        <is>
          <t>Miss Glam Jambi</t>
        </is>
      </c>
      <c r="E878" t="n">
        <v>1</v>
      </c>
      <c r="F878" t="n">
        <v>0.0231</v>
      </c>
      <c r="G878" t="n">
        <v>0.33</v>
      </c>
      <c r="H878" t="n">
        <v>2</v>
      </c>
      <c r="I878" t="n">
        <v>7</v>
      </c>
      <c r="J878" t="n">
        <v>1</v>
      </c>
      <c r="K878" t="n">
        <v>0</v>
      </c>
      <c r="L878" t="n">
        <v>23500</v>
      </c>
      <c r="M878" t="n">
        <v>33500</v>
      </c>
      <c r="N878" t="n">
        <v>33</v>
      </c>
      <c r="O878" t="n">
        <v>0.33</v>
      </c>
      <c r="P878" t="n">
        <v>1</v>
      </c>
      <c r="Q878" t="n">
        <v>0.07000000000000001</v>
      </c>
      <c r="R878" t="n">
        <v>1</v>
      </c>
      <c r="S878" t="n">
        <v>773.8500000000001</v>
      </c>
      <c r="T878" t="n">
        <v>3</v>
      </c>
      <c r="U878" t="n">
        <v>4</v>
      </c>
      <c r="V878" t="n">
        <v>30</v>
      </c>
      <c r="W878" t="n">
        <v>1</v>
      </c>
      <c r="X878" t="n">
        <v>43.29004329004329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11572</v>
      </c>
      <c r="AG878" t="n">
        <v>2141</v>
      </c>
      <c r="AH878" t="inlineStr">
        <is>
          <t>PT. PARAMA GLOBAL INSPIRA - PPN (JMB)</t>
        </is>
      </c>
      <c r="AI878" t="n">
        <v>1993</v>
      </c>
      <c r="AJ878" t="inlineStr">
        <is>
          <t>EARTH LOVE LIFE</t>
        </is>
      </c>
      <c r="AK878" t="n">
        <v>9</v>
      </c>
      <c r="AL878" t="inlineStr">
        <is>
          <t>Miss Glam Jambi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EARTH LOVE LIFE</t>
        </is>
      </c>
      <c r="B879" s="2">
        <f>"30100170147"</f>
        <v/>
      </c>
      <c r="C879" t="inlineStr">
        <is>
          <t>EARTH LOVE LIFE Spanish Lavender &amp; Javanese Rice Milk Body Wash 60ml</t>
        </is>
      </c>
      <c r="D879" t="inlineStr">
        <is>
          <t>Miss Glam Jambi</t>
        </is>
      </c>
      <c r="E879" t="n">
        <v>4</v>
      </c>
      <c r="F879" t="n">
        <v>0.009900000000000001</v>
      </c>
      <c r="G879" t="n">
        <v>0.33</v>
      </c>
      <c r="H879" t="n">
        <v>2</v>
      </c>
      <c r="I879" t="n">
        <v>7</v>
      </c>
      <c r="J879" t="n">
        <v>1</v>
      </c>
      <c r="K879" t="n">
        <v>0</v>
      </c>
      <c r="L879" t="n">
        <v>21500</v>
      </c>
      <c r="M879" t="n">
        <v>30500</v>
      </c>
      <c r="N879" t="n">
        <v>33</v>
      </c>
      <c r="O879" t="n">
        <v>0.33</v>
      </c>
      <c r="P879" t="n">
        <v>1</v>
      </c>
      <c r="Q879" t="n">
        <v>0.02</v>
      </c>
      <c r="R879" t="n">
        <v>1</v>
      </c>
      <c r="S879" t="n">
        <v>301.95</v>
      </c>
      <c r="T879" t="n">
        <v>3</v>
      </c>
      <c r="U879" t="n">
        <v>4</v>
      </c>
      <c r="V879" t="n">
        <v>30</v>
      </c>
      <c r="W879" t="n">
        <v>1</v>
      </c>
      <c r="X879" t="n">
        <v>404.040404040404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11572</v>
      </c>
      <c r="AG879" t="n">
        <v>2141</v>
      </c>
      <c r="AH879" t="inlineStr">
        <is>
          <t>PT. PARAMA GLOBAL INSPIRA - PPN (JMB)</t>
        </is>
      </c>
      <c r="AI879" t="n">
        <v>1993</v>
      </c>
      <c r="AJ879" t="inlineStr">
        <is>
          <t>EARTH LOVE LIFE</t>
        </is>
      </c>
      <c r="AK879" t="n">
        <v>9</v>
      </c>
      <c r="AL879" t="inlineStr">
        <is>
          <t>Miss Glam Jambi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EILEEN GRACE</t>
        </is>
      </c>
      <c r="B880" s="2">
        <f>"4717002592148"</f>
        <v/>
      </c>
      <c r="C880" t="inlineStr">
        <is>
          <t>EILEEN GRACE Deep Cleansing Black Jelly Mask 300ml</t>
        </is>
      </c>
      <c r="D880" t="inlineStr">
        <is>
          <t>Miss Glam Jambi</t>
        </is>
      </c>
      <c r="E880" t="n">
        <v>7</v>
      </c>
      <c r="F880" t="n">
        <v>0.033</v>
      </c>
      <c r="G880" t="n">
        <v>0.33</v>
      </c>
      <c r="H880" t="n">
        <v>4</v>
      </c>
      <c r="I880" t="n">
        <v>20</v>
      </c>
      <c r="J880" t="n">
        <v>3</v>
      </c>
      <c r="K880" t="n">
        <v>0</v>
      </c>
      <c r="L880" t="n">
        <v>299156</v>
      </c>
      <c r="M880" t="n">
        <v>399000</v>
      </c>
      <c r="N880" t="n">
        <v>33</v>
      </c>
      <c r="O880" t="n">
        <v>0.33</v>
      </c>
      <c r="P880" t="n">
        <v>1</v>
      </c>
      <c r="Q880" t="n">
        <v>0.05</v>
      </c>
      <c r="R880" t="n">
        <v>1</v>
      </c>
      <c r="S880" t="n">
        <v>13167</v>
      </c>
      <c r="T880" t="n">
        <v>7</v>
      </c>
      <c r="U880" t="n">
        <v>8</v>
      </c>
      <c r="V880" t="n">
        <v>30</v>
      </c>
      <c r="W880" t="n">
        <v>1</v>
      </c>
      <c r="X880" t="n">
        <v>212.1212121212121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4592</v>
      </c>
      <c r="AG880" t="n">
        <v>1</v>
      </c>
      <c r="AH880" t="inlineStr">
        <is>
          <t>PT. BERSAMA DISTRIVERSA INDONESIA (DC CIPUTAT)</t>
        </is>
      </c>
      <c r="AI880" t="n">
        <v>1474</v>
      </c>
      <c r="AJ880" t="inlineStr">
        <is>
          <t>EILEEN GRACE</t>
        </is>
      </c>
      <c r="AK880" t="n">
        <v>9</v>
      </c>
      <c r="AL880" t="inlineStr">
        <is>
          <t>Miss Glam Jambi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EILEEN GRACE</t>
        </is>
      </c>
      <c r="B881" s="2">
        <f>"4717002592131"</f>
        <v/>
      </c>
      <c r="C881" t="inlineStr">
        <is>
          <t>EILEEN GRACE Moisture Rose Jelly Mask 300ml</t>
        </is>
      </c>
      <c r="D881" t="inlineStr">
        <is>
          <t>Miss Glam Jambi</t>
        </is>
      </c>
      <c r="E881" t="n">
        <v>6</v>
      </c>
      <c r="F881" t="n">
        <v>0.05</v>
      </c>
      <c r="G881" t="n">
        <v>1</v>
      </c>
      <c r="H881" t="n">
        <v>4</v>
      </c>
      <c r="I881" t="n">
        <v>20</v>
      </c>
      <c r="J881" t="n">
        <v>3</v>
      </c>
      <c r="K881" t="n">
        <v>0</v>
      </c>
      <c r="L881" t="n">
        <v>298243</v>
      </c>
      <c r="M881" t="n">
        <v>322000</v>
      </c>
      <c r="N881" t="n">
        <v>33</v>
      </c>
      <c r="O881" t="n">
        <v>0.33</v>
      </c>
      <c r="P881" t="n">
        <v>0</v>
      </c>
      <c r="Q881" t="n">
        <v>0.05</v>
      </c>
      <c r="R881" t="n">
        <v>1</v>
      </c>
      <c r="S881" t="n">
        <v>16100</v>
      </c>
      <c r="T881" t="n">
        <v>20</v>
      </c>
      <c r="U881" t="n">
        <v>21</v>
      </c>
      <c r="V881" t="n">
        <v>30</v>
      </c>
      <c r="W881" t="n">
        <v>2</v>
      </c>
      <c r="X881" t="n">
        <v>120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4592</v>
      </c>
      <c r="AG881" t="n">
        <v>1</v>
      </c>
      <c r="AH881" t="inlineStr">
        <is>
          <t>PT. BERSAMA DISTRIVERSA INDONESIA (DC CIPUTAT)</t>
        </is>
      </c>
      <c r="AI881" t="n">
        <v>1474</v>
      </c>
      <c r="AJ881" t="inlineStr">
        <is>
          <t>EILEEN GRACE</t>
        </is>
      </c>
      <c r="AK881" t="n">
        <v>9</v>
      </c>
      <c r="AL881" t="inlineStr">
        <is>
          <t>Miss Glam Jambi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ELLIPS</t>
        </is>
      </c>
      <c r="B882" s="2">
        <f>"8993417200038"</f>
        <v/>
      </c>
      <c r="C882" t="inlineStr">
        <is>
          <t>ELLIPS Hair Vitamin Nutri Color</t>
        </is>
      </c>
      <c r="D882" t="inlineStr">
        <is>
          <t>Miss Glam Jambi</t>
        </is>
      </c>
      <c r="E882" t="n">
        <v>5</v>
      </c>
      <c r="F882" t="n">
        <v>0.4686</v>
      </c>
      <c r="G882" t="n">
        <v>4.62</v>
      </c>
      <c r="H882" t="n">
        <v>2</v>
      </c>
      <c r="I882" t="n">
        <v>12</v>
      </c>
      <c r="J882" t="n">
        <v>12</v>
      </c>
      <c r="K882" t="n">
        <v>12</v>
      </c>
      <c r="L882" t="n">
        <v>11016</v>
      </c>
      <c r="M882" t="n">
        <v>14000</v>
      </c>
      <c r="N882" t="n">
        <v>33</v>
      </c>
      <c r="O882" t="n">
        <v>0.33</v>
      </c>
      <c r="P882" t="n">
        <v>1</v>
      </c>
      <c r="Q882" t="n">
        <v>0.05</v>
      </c>
      <c r="R882" t="n">
        <v>1</v>
      </c>
      <c r="S882" t="n">
        <v>6560.400000000001</v>
      </c>
      <c r="T882" t="n">
        <v>55</v>
      </c>
      <c r="U882" t="n">
        <v>56</v>
      </c>
      <c r="V882" t="n">
        <v>30</v>
      </c>
      <c r="W882" t="n">
        <v>15</v>
      </c>
      <c r="X882" t="n">
        <v>10.6700810926163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12708</v>
      </c>
      <c r="AG882" t="n">
        <v>2137</v>
      </c>
      <c r="AH882" t="inlineStr">
        <is>
          <t>PT. SAMUDRA JAYA ANUGRAH - PPN (JMB)</t>
        </is>
      </c>
      <c r="AI882" t="n">
        <v>64</v>
      </c>
      <c r="AJ882" t="inlineStr">
        <is>
          <t>ELLIPS</t>
        </is>
      </c>
      <c r="AK882" t="n">
        <v>9</v>
      </c>
      <c r="AL882" t="inlineStr">
        <is>
          <t>Miss Glam Jambi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ELLIPS</t>
        </is>
      </c>
      <c r="B883" s="2">
        <f>"8993417200069"</f>
        <v/>
      </c>
      <c r="C883" t="inlineStr">
        <is>
          <t>ELLIPS Hair Vitamin Repair</t>
        </is>
      </c>
      <c r="D883" t="inlineStr">
        <is>
          <t>Miss Glam Jambi</t>
        </is>
      </c>
      <c r="E883" t="n">
        <v>1</v>
      </c>
      <c r="F883" t="n">
        <v>0.8679</v>
      </c>
      <c r="G883" t="n">
        <v>2.64</v>
      </c>
      <c r="H883" t="n">
        <v>2</v>
      </c>
      <c r="I883" t="n">
        <v>12</v>
      </c>
      <c r="J883" t="n">
        <v>12</v>
      </c>
      <c r="K883" t="n">
        <v>17</v>
      </c>
      <c r="L883" t="n">
        <v>10984</v>
      </c>
      <c r="M883" t="n">
        <v>14000</v>
      </c>
      <c r="N883" t="n">
        <v>33</v>
      </c>
      <c r="O883" t="n">
        <v>0.33</v>
      </c>
      <c r="P883" t="n">
        <v>1</v>
      </c>
      <c r="Q883" t="n">
        <v>0.36</v>
      </c>
      <c r="R883" t="n">
        <v>3</v>
      </c>
      <c r="S883" t="n">
        <v>12150.6</v>
      </c>
      <c r="T883" t="n">
        <v>30</v>
      </c>
      <c r="U883" t="n">
        <v>32</v>
      </c>
      <c r="V883" t="n">
        <v>30</v>
      </c>
      <c r="W883" t="n">
        <v>27</v>
      </c>
      <c r="X883" t="n">
        <v>1.152206475400392</v>
      </c>
      <c r="Y883" t="n">
        <v>1</v>
      </c>
      <c r="Z883" t="n">
        <v>9</v>
      </c>
      <c r="AA883" t="n">
        <v>9</v>
      </c>
      <c r="AB883" t="n">
        <v>0</v>
      </c>
      <c r="AC883" t="n">
        <v>0</v>
      </c>
      <c r="AD883" t="n">
        <v>98856</v>
      </c>
      <c r="AE883" t="n">
        <v>0</v>
      </c>
      <c r="AF883" t="n">
        <v>12708</v>
      </c>
      <c r="AG883" t="n">
        <v>2137</v>
      </c>
      <c r="AH883" t="inlineStr">
        <is>
          <t>PT. SAMUDRA JAYA ANUGRAH - PPN (JMB)</t>
        </is>
      </c>
      <c r="AI883" t="n">
        <v>64</v>
      </c>
      <c r="AJ883" t="inlineStr">
        <is>
          <t>ELLIPS</t>
        </is>
      </c>
      <c r="AK883" t="n">
        <v>9</v>
      </c>
      <c r="AL883" t="inlineStr">
        <is>
          <t>Miss Glam Jambi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ELLIPS</t>
        </is>
      </c>
      <c r="B884" s="2">
        <f>"8993417200465"</f>
        <v/>
      </c>
      <c r="C884" t="inlineStr">
        <is>
          <t>ELLIPS Hair Vitamin Repair 50Cap</t>
        </is>
      </c>
      <c r="D884" t="inlineStr">
        <is>
          <t>Miss Glam Jambi</t>
        </is>
      </c>
      <c r="E884" t="n">
        <v>5</v>
      </c>
      <c r="F884" t="n">
        <v>0.02</v>
      </c>
      <c r="G884" t="n">
        <v>1</v>
      </c>
      <c r="H884" t="n">
        <v>2</v>
      </c>
      <c r="I884" t="n">
        <v>12</v>
      </c>
      <c r="J884" t="n">
        <v>3</v>
      </c>
      <c r="K884" t="n">
        <v>0</v>
      </c>
      <c r="L884" t="n">
        <v>78100</v>
      </c>
      <c r="M884" t="n">
        <v>103000</v>
      </c>
      <c r="N884" t="n">
        <v>33</v>
      </c>
      <c r="O884" t="n">
        <v>0.33</v>
      </c>
      <c r="P884" t="n">
        <v>0</v>
      </c>
      <c r="Q884" t="n">
        <v>0.02</v>
      </c>
      <c r="R884" t="n">
        <v>1</v>
      </c>
      <c r="S884" t="n">
        <v>2060</v>
      </c>
      <c r="T884" t="n">
        <v>12</v>
      </c>
      <c r="U884" t="n">
        <v>13</v>
      </c>
      <c r="V884" t="n">
        <v>30</v>
      </c>
      <c r="W884" t="n">
        <v>1</v>
      </c>
      <c r="X884" t="n">
        <v>250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12708</v>
      </c>
      <c r="AG884" t="n">
        <v>2137</v>
      </c>
      <c r="AH884" t="inlineStr">
        <is>
          <t>PT. SAMUDRA JAYA ANUGRAH - PPN (JMB)</t>
        </is>
      </c>
      <c r="AI884" t="n">
        <v>64</v>
      </c>
      <c r="AJ884" t="inlineStr">
        <is>
          <t>ELLIPS</t>
        </is>
      </c>
      <c r="AK884" t="n">
        <v>9</v>
      </c>
      <c r="AL884" t="inlineStr">
        <is>
          <t>Miss Glam Jambi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ELLIPS</t>
        </is>
      </c>
      <c r="B885" s="2">
        <f>"8993417200045"</f>
        <v/>
      </c>
      <c r="C885" t="inlineStr">
        <is>
          <t>ELLIPS Hair Vitamin Shiny Black</t>
        </is>
      </c>
      <c r="D885" t="inlineStr">
        <is>
          <t>Miss Glam Jambi</t>
        </is>
      </c>
      <c r="E885" t="n">
        <v>4</v>
      </c>
      <c r="F885" t="n">
        <v>0.4818</v>
      </c>
      <c r="G885" t="n">
        <v>2.97</v>
      </c>
      <c r="H885" t="n">
        <v>2</v>
      </c>
      <c r="I885" t="n">
        <v>12</v>
      </c>
      <c r="J885" t="n">
        <v>12</v>
      </c>
      <c r="K885" t="n">
        <v>12</v>
      </c>
      <c r="L885" t="n">
        <v>11061</v>
      </c>
      <c r="M885" t="n">
        <v>14000</v>
      </c>
      <c r="N885" t="n">
        <v>33</v>
      </c>
      <c r="O885" t="n">
        <v>0.33</v>
      </c>
      <c r="P885" t="n">
        <v>1</v>
      </c>
      <c r="Q885" t="n">
        <v>0.03</v>
      </c>
      <c r="R885" t="n">
        <v>1</v>
      </c>
      <c r="S885" t="n">
        <v>6745.2</v>
      </c>
      <c r="T885" t="n">
        <v>35</v>
      </c>
      <c r="U885" t="n">
        <v>36</v>
      </c>
      <c r="V885" t="n">
        <v>30</v>
      </c>
      <c r="W885" t="n">
        <v>15</v>
      </c>
      <c r="X885" t="n">
        <v>8.302200083022001</v>
      </c>
      <c r="Y885" t="n">
        <v>1</v>
      </c>
      <c r="Z885" t="n">
        <v>0</v>
      </c>
      <c r="AA885" t="n">
        <v>1</v>
      </c>
      <c r="AB885" t="n">
        <v>0</v>
      </c>
      <c r="AC885" t="n">
        <v>0</v>
      </c>
      <c r="AD885" t="n">
        <v>11061</v>
      </c>
      <c r="AE885" t="n">
        <v>0</v>
      </c>
      <c r="AF885" t="n">
        <v>12708</v>
      </c>
      <c r="AG885" t="n">
        <v>2137</v>
      </c>
      <c r="AH885" t="inlineStr">
        <is>
          <t>PT. SAMUDRA JAYA ANUGRAH - PPN (JMB)</t>
        </is>
      </c>
      <c r="AI885" t="n">
        <v>64</v>
      </c>
      <c r="AJ885" t="inlineStr">
        <is>
          <t>ELLIPS</t>
        </is>
      </c>
      <c r="AK885" t="n">
        <v>9</v>
      </c>
      <c r="AL885" t="inlineStr">
        <is>
          <t>Miss Glam Jambi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ELLIPS</t>
        </is>
      </c>
      <c r="B886" s="2">
        <f>"8993417200083"</f>
        <v/>
      </c>
      <c r="C886" t="inlineStr">
        <is>
          <t>ELLIPS Hair Vitamin Silky Black</t>
        </is>
      </c>
      <c r="D886" t="inlineStr">
        <is>
          <t>Miss Glam Jambi</t>
        </is>
      </c>
      <c r="E886" t="n">
        <v>6</v>
      </c>
      <c r="F886" t="n">
        <v>0.1947</v>
      </c>
      <c r="G886" t="n">
        <v>0.99</v>
      </c>
      <c r="H886" t="n">
        <v>2</v>
      </c>
      <c r="I886" t="n">
        <v>12</v>
      </c>
      <c r="J886" t="n">
        <v>12</v>
      </c>
      <c r="K886" t="n">
        <v>0</v>
      </c>
      <c r="L886" t="n">
        <v>10961</v>
      </c>
      <c r="M886" t="n">
        <v>14000</v>
      </c>
      <c r="N886" t="n">
        <v>33</v>
      </c>
      <c r="O886" t="n">
        <v>0.33</v>
      </c>
      <c r="P886" t="n">
        <v>1</v>
      </c>
      <c r="Q886" t="n">
        <v>0.1</v>
      </c>
      <c r="R886" t="n">
        <v>2</v>
      </c>
      <c r="S886" t="n">
        <v>2725.8</v>
      </c>
      <c r="T886" t="n">
        <v>12</v>
      </c>
      <c r="U886" t="n">
        <v>13</v>
      </c>
      <c r="V886" t="n">
        <v>30</v>
      </c>
      <c r="W886" t="n">
        <v>6</v>
      </c>
      <c r="X886" t="n">
        <v>30.81664098613251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12708</v>
      </c>
      <c r="AG886" t="n">
        <v>2137</v>
      </c>
      <c r="AH886" t="inlineStr">
        <is>
          <t>PT. SAMUDRA JAYA ANUGRAH - PPN (JMB)</t>
        </is>
      </c>
      <c r="AI886" t="n">
        <v>64</v>
      </c>
      <c r="AJ886" t="inlineStr">
        <is>
          <t>ELLIPS</t>
        </is>
      </c>
      <c r="AK886" t="n">
        <v>9</v>
      </c>
      <c r="AL886" t="inlineStr">
        <is>
          <t>Miss Glam Jambi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ELLIPS</t>
        </is>
      </c>
      <c r="B887" s="2">
        <f>"8993417200014"</f>
        <v/>
      </c>
      <c r="C887" t="inlineStr">
        <is>
          <t>ELLIPS Hair Vitamin Smooth</t>
        </is>
      </c>
      <c r="D887" t="inlineStr">
        <is>
          <t>Miss Glam Jambi</t>
        </is>
      </c>
      <c r="E887" t="n">
        <v>12</v>
      </c>
      <c r="F887" t="n">
        <v>0.3795</v>
      </c>
      <c r="G887" t="n">
        <v>1.65</v>
      </c>
      <c r="H887" t="n">
        <v>2</v>
      </c>
      <c r="I887" t="n">
        <v>12</v>
      </c>
      <c r="J887" t="n">
        <v>12</v>
      </c>
      <c r="K887" t="n">
        <v>12</v>
      </c>
      <c r="L887" t="n">
        <v>11013</v>
      </c>
      <c r="M887" t="n">
        <v>14000</v>
      </c>
      <c r="N887" t="n">
        <v>33</v>
      </c>
      <c r="O887" t="n">
        <v>0.33</v>
      </c>
      <c r="P887" t="n">
        <v>1</v>
      </c>
      <c r="Q887" t="n">
        <v>0.15</v>
      </c>
      <c r="R887" t="n">
        <v>2</v>
      </c>
      <c r="S887" t="n">
        <v>5313</v>
      </c>
      <c r="T887" t="n">
        <v>20</v>
      </c>
      <c r="U887" t="n">
        <v>21</v>
      </c>
      <c r="V887" t="n">
        <v>30</v>
      </c>
      <c r="W887" t="n">
        <v>12</v>
      </c>
      <c r="X887" t="n">
        <v>31.62055335968379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12708</v>
      </c>
      <c r="AG887" t="n">
        <v>2137</v>
      </c>
      <c r="AH887" t="inlineStr">
        <is>
          <t>PT. SAMUDRA JAYA ANUGRAH - PPN (JMB)</t>
        </is>
      </c>
      <c r="AI887" t="n">
        <v>64</v>
      </c>
      <c r="AJ887" t="inlineStr">
        <is>
          <t>ELLIPS</t>
        </is>
      </c>
      <c r="AK887" t="n">
        <v>9</v>
      </c>
      <c r="AL887" t="inlineStr">
        <is>
          <t>Miss Glam Jambi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ELLIPS</t>
        </is>
      </c>
      <c r="B888" s="2">
        <f>"8993417200076"</f>
        <v/>
      </c>
      <c r="C888" t="inlineStr">
        <is>
          <t>ELLIPS Hair Vitamin Smooth &amp; Silky With Pro Keratin Complex</t>
        </is>
      </c>
      <c r="D888" t="inlineStr">
        <is>
          <t>Miss Glam Jambi</t>
        </is>
      </c>
      <c r="E888" t="n">
        <v>0</v>
      </c>
      <c r="F888" t="n">
        <v>0.2475</v>
      </c>
      <c r="G888" t="n">
        <v>1.32</v>
      </c>
      <c r="H888" t="n">
        <v>2</v>
      </c>
      <c r="I888" t="n">
        <v>12</v>
      </c>
      <c r="J888" t="n">
        <v>12</v>
      </c>
      <c r="K888" t="n">
        <v>12</v>
      </c>
      <c r="L888" t="n">
        <v>11009</v>
      </c>
      <c r="M888" t="n">
        <v>13500</v>
      </c>
      <c r="N888" t="n">
        <v>33</v>
      </c>
      <c r="O888" t="n">
        <v>0.33</v>
      </c>
      <c r="P888" t="n">
        <v>1</v>
      </c>
      <c r="Q888" t="n">
        <v>0.3</v>
      </c>
      <c r="R888" t="n">
        <v>6</v>
      </c>
      <c r="S888" t="n">
        <v>3341.25</v>
      </c>
      <c r="T888" t="n">
        <v>16</v>
      </c>
      <c r="U888" t="n">
        <v>17</v>
      </c>
      <c r="V888" t="n">
        <v>30</v>
      </c>
      <c r="W888" t="n">
        <v>8</v>
      </c>
      <c r="X888" t="n">
        <v>0</v>
      </c>
      <c r="Y888" t="n">
        <v>1</v>
      </c>
      <c r="Z888" t="n">
        <v>0</v>
      </c>
      <c r="AA888" t="n">
        <v>2</v>
      </c>
      <c r="AB888" t="n">
        <v>0</v>
      </c>
      <c r="AC888" t="n">
        <v>0</v>
      </c>
      <c r="AD888" t="n">
        <v>22018</v>
      </c>
      <c r="AE888" t="n">
        <v>0</v>
      </c>
      <c r="AF888" t="n">
        <v>12708</v>
      </c>
      <c r="AG888" t="n">
        <v>2137</v>
      </c>
      <c r="AH888" t="inlineStr">
        <is>
          <t>PT. SAMUDRA JAYA ANUGRAH - PPN (JMB)</t>
        </is>
      </c>
      <c r="AI888" t="n">
        <v>64</v>
      </c>
      <c r="AJ888" t="inlineStr">
        <is>
          <t>ELLIPS</t>
        </is>
      </c>
      <c r="AK888" t="n">
        <v>9</v>
      </c>
      <c r="AL888" t="inlineStr">
        <is>
          <t>Miss Glam Jambi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ELLIPS</t>
        </is>
      </c>
      <c r="B889" s="2">
        <f>"8993417200472"</f>
        <v/>
      </c>
      <c r="C889" t="inlineStr">
        <is>
          <t>ELLIPS Hair Vitamin Smooth&amp;Silky 50Caps</t>
        </is>
      </c>
      <c r="D889" t="inlineStr">
        <is>
          <t>Miss Glam Jambi</t>
        </is>
      </c>
      <c r="E889" t="n">
        <v>2</v>
      </c>
      <c r="F889" t="n">
        <v>0.009900000000000001</v>
      </c>
      <c r="G889" t="n">
        <v>0.33</v>
      </c>
      <c r="H889" t="n">
        <v>2</v>
      </c>
      <c r="I889" t="n">
        <v>12</v>
      </c>
      <c r="J889" t="n">
        <v>3</v>
      </c>
      <c r="K889" t="n">
        <v>0</v>
      </c>
      <c r="L889" t="n">
        <v>78100</v>
      </c>
      <c r="M889" t="n">
        <v>93900</v>
      </c>
      <c r="N889" t="n">
        <v>33</v>
      </c>
      <c r="O889" t="n">
        <v>0.33</v>
      </c>
      <c r="P889" t="n">
        <v>1</v>
      </c>
      <c r="Q889" t="n">
        <v>0.03</v>
      </c>
      <c r="R889" t="n">
        <v>1</v>
      </c>
      <c r="S889" t="n">
        <v>929.6100000000001</v>
      </c>
      <c r="T889" t="n">
        <v>4</v>
      </c>
      <c r="U889" t="n">
        <v>5</v>
      </c>
      <c r="V889" t="n">
        <v>30</v>
      </c>
      <c r="W889" t="n">
        <v>1</v>
      </c>
      <c r="X889" t="n">
        <v>202.020202020202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12708</v>
      </c>
      <c r="AG889" t="n">
        <v>2137</v>
      </c>
      <c r="AH889" t="inlineStr">
        <is>
          <t>PT. SAMUDRA JAYA ANUGRAH - PPN (JMB)</t>
        </is>
      </c>
      <c r="AI889" t="n">
        <v>64</v>
      </c>
      <c r="AJ889" t="inlineStr">
        <is>
          <t>ELLIPS</t>
        </is>
      </c>
      <c r="AK889" t="n">
        <v>9</v>
      </c>
      <c r="AL889" t="inlineStr">
        <is>
          <t>Miss Glam Jambi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ELLIPS</t>
        </is>
      </c>
      <c r="B890" s="2">
        <f>"8993417200021"</f>
        <v/>
      </c>
      <c r="C890" t="inlineStr">
        <is>
          <t>ELLIPS Hair Vitamin Treatment Jojoba</t>
        </is>
      </c>
      <c r="D890" t="inlineStr">
        <is>
          <t>Miss Glam Jambi</t>
        </is>
      </c>
      <c r="E890" t="n">
        <v>9</v>
      </c>
      <c r="F890" t="n">
        <v>0.4092</v>
      </c>
      <c r="G890" t="n">
        <v>1.32</v>
      </c>
      <c r="H890" t="n">
        <v>2</v>
      </c>
      <c r="I890" t="n">
        <v>12</v>
      </c>
      <c r="J890" t="n">
        <v>12</v>
      </c>
      <c r="K890" t="n">
        <v>12</v>
      </c>
      <c r="L890" t="n">
        <v>10999</v>
      </c>
      <c r="M890" t="n">
        <v>14000</v>
      </c>
      <c r="N890" t="n">
        <v>33</v>
      </c>
      <c r="O890" t="n">
        <v>0.33</v>
      </c>
      <c r="P890" t="n">
        <v>1</v>
      </c>
      <c r="Q890" t="n">
        <v>0.27</v>
      </c>
      <c r="R890" t="n">
        <v>2</v>
      </c>
      <c r="S890" t="n">
        <v>5728.8</v>
      </c>
      <c r="T890" t="n">
        <v>16</v>
      </c>
      <c r="U890" t="n">
        <v>17</v>
      </c>
      <c r="V890" t="n">
        <v>30</v>
      </c>
      <c r="W890" t="n">
        <v>13</v>
      </c>
      <c r="X890" t="n">
        <v>21.9941348973607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12708</v>
      </c>
      <c r="AG890" t="n">
        <v>2137</v>
      </c>
      <c r="AH890" t="inlineStr">
        <is>
          <t>PT. SAMUDRA JAYA ANUGRAH - PPN (JMB)</t>
        </is>
      </c>
      <c r="AI890" t="n">
        <v>64</v>
      </c>
      <c r="AJ890" t="inlineStr">
        <is>
          <t>ELLIPS</t>
        </is>
      </c>
      <c r="AK890" t="n">
        <v>9</v>
      </c>
      <c r="AL890" t="inlineStr">
        <is>
          <t>Miss Glam Jambi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ELLIPS</t>
        </is>
      </c>
      <c r="B891" s="2">
        <f>"8993417200052"</f>
        <v/>
      </c>
      <c r="C891" t="inlineStr">
        <is>
          <t>ELLIPS Hair Vitamin Vitality With Ginseng &amp; Honey Oil 6x1ml</t>
        </is>
      </c>
      <c r="D891" t="inlineStr">
        <is>
          <t>Miss Glam Jambi</t>
        </is>
      </c>
      <c r="E891" t="n">
        <v>12</v>
      </c>
      <c r="F891" t="n">
        <v>0.5808</v>
      </c>
      <c r="G891" t="n">
        <v>1.98</v>
      </c>
      <c r="H891" t="n">
        <v>2</v>
      </c>
      <c r="I891" t="n">
        <v>12</v>
      </c>
      <c r="J891" t="n">
        <v>12</v>
      </c>
      <c r="K891" t="n">
        <v>12</v>
      </c>
      <c r="L891" t="n">
        <v>10989</v>
      </c>
      <c r="M891" t="n">
        <v>14000</v>
      </c>
      <c r="N891" t="n">
        <v>33</v>
      </c>
      <c r="O891" t="n">
        <v>0.33</v>
      </c>
      <c r="P891" t="n">
        <v>1</v>
      </c>
      <c r="Q891" t="n">
        <v>0.12</v>
      </c>
      <c r="R891" t="n">
        <v>2</v>
      </c>
      <c r="S891" t="n">
        <v>8131.2</v>
      </c>
      <c r="T891" t="n">
        <v>23</v>
      </c>
      <c r="U891" t="n">
        <v>25</v>
      </c>
      <c r="V891" t="n">
        <v>30</v>
      </c>
      <c r="W891" t="n">
        <v>18</v>
      </c>
      <c r="X891" t="n">
        <v>20.66115702479339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12708</v>
      </c>
      <c r="AG891" t="n">
        <v>2137</v>
      </c>
      <c r="AH891" t="inlineStr">
        <is>
          <t>PT. SAMUDRA JAYA ANUGRAH - PPN (JMB)</t>
        </is>
      </c>
      <c r="AI891" t="n">
        <v>64</v>
      </c>
      <c r="AJ891" t="inlineStr">
        <is>
          <t>ELLIPS</t>
        </is>
      </c>
      <c r="AK891" t="n">
        <v>9</v>
      </c>
      <c r="AL891" t="inlineStr">
        <is>
          <t>Miss Glam Jambi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ELLIPS</t>
        </is>
      </c>
      <c r="B892" s="2">
        <f>"8993417307225"</f>
        <v/>
      </c>
      <c r="C892" t="inlineStr">
        <is>
          <t>ELLIPS Vitamin Hair Mist Fragrance Booster Fresh &amp; Smooth 100ml</t>
        </is>
      </c>
      <c r="D892" t="inlineStr">
        <is>
          <t>Miss Glam Jambi</t>
        </is>
      </c>
      <c r="E892" t="n">
        <v>4</v>
      </c>
      <c r="F892" t="n">
        <v>0.2739</v>
      </c>
      <c r="G892" t="n">
        <v>1.32</v>
      </c>
      <c r="H892" t="n">
        <v>2</v>
      </c>
      <c r="I892" t="n">
        <v>12</v>
      </c>
      <c r="J892" t="n">
        <v>3</v>
      </c>
      <c r="K892" t="n">
        <v>5</v>
      </c>
      <c r="L892" t="n">
        <v>21560</v>
      </c>
      <c r="M892" t="n">
        <v>28000</v>
      </c>
      <c r="N892" t="n">
        <v>33</v>
      </c>
      <c r="O892" t="n">
        <v>0.33</v>
      </c>
      <c r="P892" t="n">
        <v>1</v>
      </c>
      <c r="Q892" t="n">
        <v>0.1</v>
      </c>
      <c r="R892" t="n">
        <v>1</v>
      </c>
      <c r="S892" t="n">
        <v>7669.199999999999</v>
      </c>
      <c r="T892" t="n">
        <v>16</v>
      </c>
      <c r="U892" t="n">
        <v>17</v>
      </c>
      <c r="V892" t="n">
        <v>30</v>
      </c>
      <c r="W892" t="n">
        <v>9</v>
      </c>
      <c r="X892" t="n">
        <v>14.60387002555677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12708</v>
      </c>
      <c r="AG892" t="n">
        <v>2137</v>
      </c>
      <c r="AH892" t="inlineStr">
        <is>
          <t>PT. SAMUDRA JAYA ANUGRAH - PPN (JMB)</t>
        </is>
      </c>
      <c r="AI892" t="n">
        <v>64</v>
      </c>
      <c r="AJ892" t="inlineStr">
        <is>
          <t>ELLIPS</t>
        </is>
      </c>
      <c r="AK892" t="n">
        <v>9</v>
      </c>
      <c r="AL892" t="inlineStr">
        <is>
          <t>Miss Glam Jambi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ELLIPS</t>
        </is>
      </c>
      <c r="B893" s="2">
        <f>"8993417307218"</f>
        <v/>
      </c>
      <c r="C893" t="inlineStr">
        <is>
          <t>ELLIPS Vitamin Hair Mist Fragrance Booster Sweet &amp; Silky 100ml</t>
        </is>
      </c>
      <c r="D893" t="inlineStr">
        <is>
          <t>Miss Glam Jambi</t>
        </is>
      </c>
      <c r="E893" t="n">
        <v>1</v>
      </c>
      <c r="F893" t="n">
        <v>0.3366</v>
      </c>
      <c r="G893" t="n">
        <v>1.32</v>
      </c>
      <c r="H893" t="n">
        <v>2</v>
      </c>
      <c r="I893" t="n">
        <v>12</v>
      </c>
      <c r="J893" t="n">
        <v>3</v>
      </c>
      <c r="K893" t="n">
        <v>6</v>
      </c>
      <c r="L893" t="n">
        <v>21340</v>
      </c>
      <c r="M893" t="n">
        <v>28000</v>
      </c>
      <c r="N893" t="n">
        <v>33</v>
      </c>
      <c r="O893" t="n">
        <v>0.33</v>
      </c>
      <c r="P893" t="n">
        <v>1</v>
      </c>
      <c r="Q893" t="n">
        <v>0.12</v>
      </c>
      <c r="R893" t="n">
        <v>2</v>
      </c>
      <c r="S893" t="n">
        <v>9424.800000000001</v>
      </c>
      <c r="T893" t="n">
        <v>16</v>
      </c>
      <c r="U893" t="n">
        <v>17</v>
      </c>
      <c r="V893" t="n">
        <v>30</v>
      </c>
      <c r="W893" t="n">
        <v>11</v>
      </c>
      <c r="X893" t="n">
        <v>2.9708853238265</v>
      </c>
      <c r="Y893" t="n">
        <v>1</v>
      </c>
      <c r="Z893" t="n">
        <v>4</v>
      </c>
      <c r="AA893" t="n">
        <v>3</v>
      </c>
      <c r="AB893" t="n">
        <v>1</v>
      </c>
      <c r="AC893" t="n">
        <v>3</v>
      </c>
      <c r="AD893" t="n">
        <v>64020</v>
      </c>
      <c r="AE893" t="n">
        <v>64020</v>
      </c>
      <c r="AF893" t="n">
        <v>12708</v>
      </c>
      <c r="AG893" t="n">
        <v>2137</v>
      </c>
      <c r="AH893" t="inlineStr">
        <is>
          <t>PT. SAMUDRA JAYA ANUGRAH - PPN (JMB)</t>
        </is>
      </c>
      <c r="AI893" t="n">
        <v>64</v>
      </c>
      <c r="AJ893" t="inlineStr">
        <is>
          <t>ELLIPS</t>
        </is>
      </c>
      <c r="AK893" t="n">
        <v>9</v>
      </c>
      <c r="AL893" t="inlineStr">
        <is>
          <t>Miss Glam Jambi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ELVICTO</t>
        </is>
      </c>
      <c r="B894" s="2">
        <f>"8994451190071"</f>
        <v/>
      </c>
      <c r="C894" t="inlineStr">
        <is>
          <t>ELVICTO 10PM Parfum Full Of Desire 35ml</t>
        </is>
      </c>
      <c r="D894" t="inlineStr">
        <is>
          <t>Miss Glam Jambi</t>
        </is>
      </c>
      <c r="E894" t="n">
        <v>8</v>
      </c>
      <c r="F894" t="n">
        <v>0.0825</v>
      </c>
      <c r="G894" t="n">
        <v>0.66</v>
      </c>
      <c r="H894" t="n">
        <v>6</v>
      </c>
      <c r="I894" t="n">
        <v>12</v>
      </c>
      <c r="J894" t="n">
        <v>3</v>
      </c>
      <c r="K894" t="n">
        <v>0</v>
      </c>
      <c r="L894" t="n">
        <v>100575</v>
      </c>
      <c r="M894" t="n">
        <v>134000</v>
      </c>
      <c r="N894" t="n">
        <v>33</v>
      </c>
      <c r="O894" t="n">
        <v>0.33</v>
      </c>
      <c r="P894" t="n">
        <v>1</v>
      </c>
      <c r="Q894" t="n">
        <v>0.03</v>
      </c>
      <c r="R894" t="n">
        <v>1</v>
      </c>
      <c r="S894" t="n">
        <v>11055</v>
      </c>
      <c r="T894" t="n">
        <v>8</v>
      </c>
      <c r="U894" t="n">
        <v>9</v>
      </c>
      <c r="V894" t="n">
        <v>30</v>
      </c>
      <c r="W894" t="n">
        <v>3</v>
      </c>
      <c r="X894" t="n">
        <v>96.96969696969697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504</v>
      </c>
      <c r="AG894" t="n">
        <v>107</v>
      </c>
      <c r="AH894" t="inlineStr">
        <is>
          <t xml:space="preserve">CV. DAHLIA - PPN (PDG) </t>
        </is>
      </c>
      <c r="AI894" t="n">
        <v>1296</v>
      </c>
      <c r="AJ894" t="inlineStr">
        <is>
          <t>ELVICTO</t>
        </is>
      </c>
      <c r="AK894" t="n">
        <v>9</v>
      </c>
      <c r="AL894" t="inlineStr">
        <is>
          <t>Miss Glam Jambi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ELVICTO</t>
        </is>
      </c>
      <c r="B895" s="2">
        <f>"8994461350014"</f>
        <v/>
      </c>
      <c r="C895" t="inlineStr">
        <is>
          <t>ELVICTO Anti Acne Face Wash 92.27% 100ml</t>
        </is>
      </c>
      <c r="D895" t="inlineStr">
        <is>
          <t>Miss Glam Jambi</t>
        </is>
      </c>
      <c r="E895" t="n">
        <v>9</v>
      </c>
      <c r="F895" t="n">
        <v>0.08910000000000001</v>
      </c>
      <c r="G895" t="n">
        <v>0.66</v>
      </c>
      <c r="H895" t="n">
        <v>6</v>
      </c>
      <c r="I895" t="n">
        <v>12</v>
      </c>
      <c r="J895" t="n">
        <v>1</v>
      </c>
      <c r="K895" t="n">
        <v>0</v>
      </c>
      <c r="L895" t="n">
        <v>0</v>
      </c>
      <c r="M895" t="n">
        <v>47000</v>
      </c>
      <c r="N895" t="n">
        <v>33</v>
      </c>
      <c r="O895" t="n">
        <v>0.33</v>
      </c>
      <c r="P895" t="n">
        <v>1</v>
      </c>
      <c r="Q895" t="n">
        <v>0.03</v>
      </c>
      <c r="R895" t="n">
        <v>1</v>
      </c>
      <c r="S895" t="n">
        <v>4187.700000000001</v>
      </c>
      <c r="T895" t="n">
        <v>8</v>
      </c>
      <c r="U895" t="n">
        <v>9</v>
      </c>
      <c r="V895" t="n">
        <v>30</v>
      </c>
      <c r="W895" t="n">
        <v>3</v>
      </c>
      <c r="X895" t="n">
        <v>101.010101010101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504</v>
      </c>
      <c r="AG895" t="n">
        <v>107</v>
      </c>
      <c r="AH895" t="inlineStr">
        <is>
          <t xml:space="preserve">CV. DAHLIA - PPN (PDG) </t>
        </is>
      </c>
      <c r="AI895" t="n">
        <v>1296</v>
      </c>
      <c r="AJ895" t="inlineStr">
        <is>
          <t>ELVICTO</t>
        </is>
      </c>
      <c r="AK895" t="n">
        <v>9</v>
      </c>
      <c r="AL895" t="inlineStr">
        <is>
          <t>Miss Glam Jambi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ELVICTO</t>
        </is>
      </c>
      <c r="B896" s="2">
        <f>"8994451190118"</f>
        <v/>
      </c>
      <c r="C896" t="inlineStr">
        <is>
          <t>ELVICTO Barrier Up Moisturizer 15 gr</t>
        </is>
      </c>
      <c r="D896" t="inlineStr">
        <is>
          <t>Miss Glam Jambi</t>
        </is>
      </c>
      <c r="E896" t="n">
        <v>2</v>
      </c>
      <c r="F896" t="n">
        <v>0.02</v>
      </c>
      <c r="G896" t="n">
        <v>1</v>
      </c>
      <c r="H896" t="n">
        <v>6</v>
      </c>
      <c r="I896" t="n">
        <v>12</v>
      </c>
      <c r="J896" t="n">
        <v>3</v>
      </c>
      <c r="K896" t="n">
        <v>0</v>
      </c>
      <c r="L896" t="n">
        <v>67500</v>
      </c>
      <c r="M896" t="n">
        <v>90000</v>
      </c>
      <c r="N896" t="n">
        <v>33</v>
      </c>
      <c r="O896" t="n">
        <v>0.33</v>
      </c>
      <c r="P896" t="n">
        <v>0</v>
      </c>
      <c r="Q896" t="n">
        <v>0.02</v>
      </c>
      <c r="R896" t="n">
        <v>1</v>
      </c>
      <c r="S896" t="n">
        <v>1800</v>
      </c>
      <c r="T896" t="n">
        <v>12</v>
      </c>
      <c r="U896" t="n">
        <v>13</v>
      </c>
      <c r="V896" t="n">
        <v>30</v>
      </c>
      <c r="W896" t="n">
        <v>1</v>
      </c>
      <c r="X896" t="n">
        <v>100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504</v>
      </c>
      <c r="AG896" t="n">
        <v>107</v>
      </c>
      <c r="AH896" t="inlineStr">
        <is>
          <t xml:space="preserve">CV. DAHLIA - PPN (PDG) </t>
        </is>
      </c>
      <c r="AI896" t="n">
        <v>1296</v>
      </c>
      <c r="AJ896" t="inlineStr">
        <is>
          <t>ELVICTO</t>
        </is>
      </c>
      <c r="AK896" t="n">
        <v>9</v>
      </c>
      <c r="AL896" t="inlineStr">
        <is>
          <t>Miss Glam Jambi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ELVICTO</t>
        </is>
      </c>
      <c r="B897" s="2">
        <f>"10300601934"</f>
        <v/>
      </c>
      <c r="C897" t="inlineStr">
        <is>
          <t>ELVICTO Bright Up Moisturizer 15gr</t>
        </is>
      </c>
      <c r="D897" t="inlineStr">
        <is>
          <t>Miss Glam Jambi</t>
        </is>
      </c>
      <c r="E897" t="n">
        <v>3</v>
      </c>
      <c r="F897" t="n">
        <v>0.0561</v>
      </c>
      <c r="G897" t="n">
        <v>1.32</v>
      </c>
      <c r="H897" t="n">
        <v>6</v>
      </c>
      <c r="I897" t="n">
        <v>12</v>
      </c>
      <c r="J897" t="n">
        <v>3</v>
      </c>
      <c r="K897" t="n">
        <v>0</v>
      </c>
      <c r="L897" t="n">
        <v>67500</v>
      </c>
      <c r="M897" t="n">
        <v>90000</v>
      </c>
      <c r="N897" t="n">
        <v>33</v>
      </c>
      <c r="O897" t="n">
        <v>0.33</v>
      </c>
      <c r="P897" t="n">
        <v>1</v>
      </c>
      <c r="Q897" t="n">
        <v>0.07000000000000001</v>
      </c>
      <c r="R897" t="n">
        <v>2</v>
      </c>
      <c r="S897" t="n">
        <v>5049</v>
      </c>
      <c r="T897" t="n">
        <v>16</v>
      </c>
      <c r="U897" t="n">
        <v>17</v>
      </c>
      <c r="V897" t="n">
        <v>30</v>
      </c>
      <c r="W897" t="n">
        <v>2</v>
      </c>
      <c r="X897" t="n">
        <v>53.475935828877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504</v>
      </c>
      <c r="AG897" t="n">
        <v>107</v>
      </c>
      <c r="AH897" t="inlineStr">
        <is>
          <t xml:space="preserve">CV. DAHLIA - PPN (PDG) </t>
        </is>
      </c>
      <c r="AI897" t="n">
        <v>1296</v>
      </c>
      <c r="AJ897" t="inlineStr">
        <is>
          <t>ELVICTO</t>
        </is>
      </c>
      <c r="AK897" t="n">
        <v>9</v>
      </c>
      <c r="AL897" t="inlineStr">
        <is>
          <t>Miss Glam Jambi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ELVICTO</t>
        </is>
      </c>
      <c r="B898" s="2">
        <f>"10200266225"</f>
        <v/>
      </c>
      <c r="C898" t="inlineStr">
        <is>
          <t>ELVICTO Brightening Serum 30ml</t>
        </is>
      </c>
      <c r="D898" t="inlineStr">
        <is>
          <t>Miss Glam Jambi</t>
        </is>
      </c>
      <c r="E898" t="n">
        <v>4</v>
      </c>
      <c r="F898" t="n">
        <v>0.009900000000000001</v>
      </c>
      <c r="G898" t="n">
        <v>0.33</v>
      </c>
      <c r="H898" t="n">
        <v>6</v>
      </c>
      <c r="I898" t="n">
        <v>12</v>
      </c>
      <c r="J898" t="n">
        <v>3</v>
      </c>
      <c r="K898" t="n">
        <v>0</v>
      </c>
      <c r="L898" t="n">
        <v>120538</v>
      </c>
      <c r="M898" t="n">
        <v>165000</v>
      </c>
      <c r="N898" t="n">
        <v>33</v>
      </c>
      <c r="O898" t="n">
        <v>0.33</v>
      </c>
      <c r="P898" t="n">
        <v>1</v>
      </c>
      <c r="Q898" t="n">
        <v>0.07000000000000001</v>
      </c>
      <c r="R898" t="n">
        <v>2</v>
      </c>
      <c r="S898" t="n">
        <v>1633.5</v>
      </c>
      <c r="T898" t="n">
        <v>4</v>
      </c>
      <c r="U898" t="n">
        <v>5</v>
      </c>
      <c r="V898" t="n">
        <v>30</v>
      </c>
      <c r="W898" t="n">
        <v>1</v>
      </c>
      <c r="X898" t="n">
        <v>404.040404040404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504</v>
      </c>
      <c r="AG898" t="n">
        <v>107</v>
      </c>
      <c r="AH898" t="inlineStr">
        <is>
          <t xml:space="preserve">CV. DAHLIA - PPN (PDG) </t>
        </is>
      </c>
      <c r="AI898" t="n">
        <v>1296</v>
      </c>
      <c r="AJ898" t="inlineStr">
        <is>
          <t>ELVICTO</t>
        </is>
      </c>
      <c r="AK898" t="n">
        <v>9</v>
      </c>
      <c r="AL898" t="inlineStr">
        <is>
          <t>Miss Glam Jambi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ELVICTO</t>
        </is>
      </c>
      <c r="B899" s="2">
        <f>"8994451190552"</f>
        <v/>
      </c>
      <c r="C899" t="inlineStr">
        <is>
          <t>ELVICTO Deep Bright Face Wash 100ml</t>
        </is>
      </c>
      <c r="D899" t="inlineStr">
        <is>
          <t>Miss Glam Jambi</t>
        </is>
      </c>
      <c r="E899" t="n">
        <v>3</v>
      </c>
      <c r="F899" t="n">
        <v>0.2013</v>
      </c>
      <c r="G899" t="n">
        <v>1.32</v>
      </c>
      <c r="H899" t="n">
        <v>6</v>
      </c>
      <c r="I899" t="n">
        <v>12</v>
      </c>
      <c r="J899" t="n">
        <v>3</v>
      </c>
      <c r="K899" t="n">
        <v>9</v>
      </c>
      <c r="L899" t="n">
        <v>34849</v>
      </c>
      <c r="M899" t="n">
        <v>46500</v>
      </c>
      <c r="N899" t="n">
        <v>33</v>
      </c>
      <c r="O899" t="n">
        <v>0.33</v>
      </c>
      <c r="P899" t="n">
        <v>1</v>
      </c>
      <c r="Q899" t="n">
        <v>0.17</v>
      </c>
      <c r="R899" t="n">
        <v>1</v>
      </c>
      <c r="S899" t="n">
        <v>9360.450000000001</v>
      </c>
      <c r="T899" t="n">
        <v>15</v>
      </c>
      <c r="U899" t="n">
        <v>17</v>
      </c>
      <c r="V899" t="n">
        <v>30</v>
      </c>
      <c r="W899" t="n">
        <v>7</v>
      </c>
      <c r="X899" t="n">
        <v>14.90312965722802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504</v>
      </c>
      <c r="AG899" t="n">
        <v>107</v>
      </c>
      <c r="AH899" t="inlineStr">
        <is>
          <t xml:space="preserve">CV. DAHLIA - PPN (PDG) </t>
        </is>
      </c>
      <c r="AI899" t="n">
        <v>1296</v>
      </c>
      <c r="AJ899" t="inlineStr">
        <is>
          <t>ELVICTO</t>
        </is>
      </c>
      <c r="AK899" t="n">
        <v>9</v>
      </c>
      <c r="AL899" t="inlineStr">
        <is>
          <t>Miss Glam Jambi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ELVICTO</t>
        </is>
      </c>
      <c r="B900" s="2">
        <f>"8994451190088"</f>
        <v/>
      </c>
      <c r="C900" t="inlineStr">
        <is>
          <t>ELVICTO Escobar Parfum 35ml</t>
        </is>
      </c>
      <c r="D900" t="inlineStr">
        <is>
          <t>Miss Glam Jambi</t>
        </is>
      </c>
      <c r="E900" t="n">
        <v>2</v>
      </c>
      <c r="F900" t="n">
        <v>0.07920000000000001</v>
      </c>
      <c r="G900" t="n">
        <v>0.66</v>
      </c>
      <c r="H900" t="n">
        <v>6</v>
      </c>
      <c r="I900" t="n">
        <v>12</v>
      </c>
      <c r="J900" t="n">
        <v>3</v>
      </c>
      <c r="K900" t="n">
        <v>3</v>
      </c>
      <c r="L900" t="n">
        <v>100575</v>
      </c>
      <c r="M900" t="n">
        <v>134000</v>
      </c>
      <c r="N900" t="n">
        <v>33</v>
      </c>
      <c r="O900" t="n">
        <v>0.33</v>
      </c>
      <c r="P900" t="n">
        <v>1</v>
      </c>
      <c r="Q900" t="n">
        <v>0.03</v>
      </c>
      <c r="R900" t="n">
        <v>1</v>
      </c>
      <c r="S900" t="n">
        <v>10612.8</v>
      </c>
      <c r="T900" t="n">
        <v>8</v>
      </c>
      <c r="U900" t="n">
        <v>9</v>
      </c>
      <c r="V900" t="n">
        <v>30</v>
      </c>
      <c r="W900" t="n">
        <v>3</v>
      </c>
      <c r="X900" t="n">
        <v>25.25252525252525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504</v>
      </c>
      <c r="AG900" t="n">
        <v>107</v>
      </c>
      <c r="AH900" t="inlineStr">
        <is>
          <t xml:space="preserve">CV. DAHLIA - PPN (PDG) </t>
        </is>
      </c>
      <c r="AI900" t="n">
        <v>1296</v>
      </c>
      <c r="AJ900" t="inlineStr">
        <is>
          <t>ELVICTO</t>
        </is>
      </c>
      <c r="AK900" t="n">
        <v>9</v>
      </c>
      <c r="AL900" t="inlineStr">
        <is>
          <t>Miss Glam Jambi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ELVICTO</t>
        </is>
      </c>
      <c r="B901" s="2">
        <f>"8994451190316"</f>
        <v/>
      </c>
      <c r="C901" t="inlineStr">
        <is>
          <t>ELVICTO Sunscreen Expert Spf 50+ PA++++ New Formulation 30gr</t>
        </is>
      </c>
      <c r="D901" t="inlineStr">
        <is>
          <t>Miss Glam Jambi</t>
        </is>
      </c>
      <c r="E901" t="n">
        <v>3</v>
      </c>
      <c r="F901" t="n">
        <v>0.009900000000000001</v>
      </c>
      <c r="G901" t="n">
        <v>0.66</v>
      </c>
      <c r="H901" t="n">
        <v>6</v>
      </c>
      <c r="I901" t="n">
        <v>12</v>
      </c>
      <c r="J901" t="n">
        <v>3</v>
      </c>
      <c r="K901" t="n">
        <v>0</v>
      </c>
      <c r="L901" t="n">
        <v>87750</v>
      </c>
      <c r="M901" t="n">
        <v>117000</v>
      </c>
      <c r="N901" t="n">
        <v>33</v>
      </c>
      <c r="O901" t="n">
        <v>0.33</v>
      </c>
      <c r="P901" t="n">
        <v>1</v>
      </c>
      <c r="Q901" t="n">
        <v>0.02</v>
      </c>
      <c r="R901" t="n">
        <v>1</v>
      </c>
      <c r="S901" t="n">
        <v>1158.3</v>
      </c>
      <c r="T901" t="n">
        <v>8</v>
      </c>
      <c r="U901" t="n">
        <v>9</v>
      </c>
      <c r="V901" t="n">
        <v>30</v>
      </c>
      <c r="W901" t="n">
        <v>1</v>
      </c>
      <c r="X901" t="n">
        <v>303.030303030303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504</v>
      </c>
      <c r="AG901" t="n">
        <v>107</v>
      </c>
      <c r="AH901" t="inlineStr">
        <is>
          <t xml:space="preserve">CV. DAHLIA - PPN (PDG) </t>
        </is>
      </c>
      <c r="AI901" t="n">
        <v>1296</v>
      </c>
      <c r="AJ901" t="inlineStr">
        <is>
          <t>ELVICTO</t>
        </is>
      </c>
      <c r="AK901" t="n">
        <v>9</v>
      </c>
      <c r="AL901" t="inlineStr">
        <is>
          <t>Miss Glam Jambi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ELVICTO</t>
        </is>
      </c>
      <c r="B902" s="2">
        <f>"8994451195076"</f>
        <v/>
      </c>
      <c r="C902" t="inlineStr">
        <is>
          <t>ELVICTO Xtrovert Parfum Tell New Stories 35ml</t>
        </is>
      </c>
      <c r="D902" t="inlineStr">
        <is>
          <t>Miss Glam Jambi</t>
        </is>
      </c>
      <c r="E902" t="n">
        <v>1</v>
      </c>
      <c r="F902" t="n">
        <v>0.2244</v>
      </c>
      <c r="G902" t="n">
        <v>0.99</v>
      </c>
      <c r="H902" t="n">
        <v>6</v>
      </c>
      <c r="I902" t="n">
        <v>12</v>
      </c>
      <c r="J902" t="n">
        <v>3</v>
      </c>
      <c r="K902" t="n">
        <v>1</v>
      </c>
      <c r="L902" t="n">
        <v>90115</v>
      </c>
      <c r="M902" t="n">
        <v>122500</v>
      </c>
      <c r="N902" t="n">
        <v>33</v>
      </c>
      <c r="O902" t="n">
        <v>0.33</v>
      </c>
      <c r="P902" t="n">
        <v>1</v>
      </c>
      <c r="Q902" t="n">
        <v>0.17</v>
      </c>
      <c r="R902" t="n">
        <v>1</v>
      </c>
      <c r="S902" t="n">
        <v>27489</v>
      </c>
      <c r="T902" t="n">
        <v>11</v>
      </c>
      <c r="U902" t="n">
        <v>13</v>
      </c>
      <c r="V902" t="n">
        <v>30</v>
      </c>
      <c r="W902" t="n">
        <v>7</v>
      </c>
      <c r="X902" t="n">
        <v>4.45632798573975</v>
      </c>
      <c r="Y902" t="n">
        <v>1</v>
      </c>
      <c r="Z902" t="n">
        <v>5</v>
      </c>
      <c r="AA902" t="n">
        <v>1</v>
      </c>
      <c r="AB902" t="n">
        <v>4</v>
      </c>
      <c r="AC902" t="n">
        <v>4</v>
      </c>
      <c r="AD902" t="n">
        <v>90115</v>
      </c>
      <c r="AE902" t="n">
        <v>360460</v>
      </c>
      <c r="AF902" t="n">
        <v>504</v>
      </c>
      <c r="AG902" t="n">
        <v>107</v>
      </c>
      <c r="AH902" t="inlineStr">
        <is>
          <t xml:space="preserve">CV. DAHLIA - PPN (PDG) </t>
        </is>
      </c>
      <c r="AI902" t="n">
        <v>1296</v>
      </c>
      <c r="AJ902" t="inlineStr">
        <is>
          <t>ELVICTO</t>
        </is>
      </c>
      <c r="AK902" t="n">
        <v>9</v>
      </c>
      <c r="AL902" t="inlineStr">
        <is>
          <t>Miss Glam Jambi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"8993137704151"</f>
        <v/>
      </c>
      <c r="C903" t="inlineStr">
        <is>
          <t>EMINA 2In1 Scrub Mask 50ml</t>
        </is>
      </c>
      <c r="D903" t="inlineStr">
        <is>
          <t>Miss Glam Jambi</t>
        </is>
      </c>
      <c r="E903" t="n">
        <v>5</v>
      </c>
      <c r="F903" t="n">
        <v>0.02</v>
      </c>
      <c r="G903" t="n">
        <v>1</v>
      </c>
      <c r="H903" t="n">
        <v>2</v>
      </c>
      <c r="I903" t="n">
        <v>7</v>
      </c>
      <c r="J903" t="n">
        <v>3</v>
      </c>
      <c r="K903" t="n">
        <v>0</v>
      </c>
      <c r="L903" t="n">
        <v>34867</v>
      </c>
      <c r="M903" t="n">
        <v>42500</v>
      </c>
      <c r="N903" t="n">
        <v>33</v>
      </c>
      <c r="O903" t="n">
        <v>0.33</v>
      </c>
      <c r="P903" t="n">
        <v>0</v>
      </c>
      <c r="Q903" t="n">
        <v>0.02</v>
      </c>
      <c r="R903" t="n">
        <v>1</v>
      </c>
      <c r="S903" t="n">
        <v>850</v>
      </c>
      <c r="T903" t="n">
        <v>7</v>
      </c>
      <c r="U903" t="n">
        <v>8</v>
      </c>
      <c r="V903" t="n">
        <v>30</v>
      </c>
      <c r="W903" t="n">
        <v>1</v>
      </c>
      <c r="X903" t="n">
        <v>250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11575</v>
      </c>
      <c r="AG903" t="n">
        <v>2141</v>
      </c>
      <c r="AH903" t="inlineStr">
        <is>
          <t>PT. PARAMA GLOBAL INSPIRA - PPN (JMB)</t>
        </is>
      </c>
      <c r="AI903" t="n">
        <v>63</v>
      </c>
      <c r="AJ903" t="inlineStr">
        <is>
          <t>EMINA</t>
        </is>
      </c>
      <c r="AK903" t="n">
        <v>9</v>
      </c>
      <c r="AL903" t="inlineStr">
        <is>
          <t>Miss Glam Jambi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"8993137002165"</f>
        <v/>
      </c>
      <c r="C904" t="inlineStr">
        <is>
          <t>EMINA Airy Surprise Tint 01 Y2k gal 3gr</t>
        </is>
      </c>
      <c r="D904" t="inlineStr">
        <is>
          <t>Miss Glam Jambi</t>
        </is>
      </c>
      <c r="E904" t="n">
        <v>6</v>
      </c>
      <c r="F904" t="n">
        <v>0.0297</v>
      </c>
      <c r="G904" t="n">
        <v>0.33</v>
      </c>
      <c r="H904" t="n">
        <v>2</v>
      </c>
      <c r="I904" t="n">
        <v>7</v>
      </c>
      <c r="J904" t="n">
        <v>3</v>
      </c>
      <c r="K904" t="n">
        <v>0</v>
      </c>
      <c r="L904" t="n">
        <v>51036</v>
      </c>
      <c r="M904" t="n">
        <v>62500</v>
      </c>
      <c r="N904" t="n">
        <v>33</v>
      </c>
      <c r="O904" t="n">
        <v>0.33</v>
      </c>
      <c r="P904" t="n">
        <v>1</v>
      </c>
      <c r="Q904" t="n">
        <v>0.03</v>
      </c>
      <c r="R904" t="n">
        <v>1</v>
      </c>
      <c r="S904" t="n">
        <v>1856.25</v>
      </c>
      <c r="T904" t="n">
        <v>3</v>
      </c>
      <c r="U904" t="n">
        <v>4</v>
      </c>
      <c r="V904" t="n">
        <v>30</v>
      </c>
      <c r="W904" t="n">
        <v>1</v>
      </c>
      <c r="X904" t="n">
        <v>202.020202020202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11575</v>
      </c>
      <c r="AG904" t="n">
        <v>2141</v>
      </c>
      <c r="AH904" t="inlineStr">
        <is>
          <t>PT. PARAMA GLOBAL INSPIRA - PPN (JMB)</t>
        </is>
      </c>
      <c r="AI904" t="n">
        <v>63</v>
      </c>
      <c r="AJ904" t="inlineStr">
        <is>
          <t>EMINA</t>
        </is>
      </c>
      <c r="AK904" t="n">
        <v>9</v>
      </c>
      <c r="AL904" t="inlineStr">
        <is>
          <t>Miss Glam Jambi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"8993137002172"</f>
        <v/>
      </c>
      <c r="C905" t="inlineStr">
        <is>
          <t>EMINA Airy Surprise Tint 02 Chillax 3gr</t>
        </is>
      </c>
      <c r="D905" t="inlineStr">
        <is>
          <t>Miss Glam Jambi</t>
        </is>
      </c>
      <c r="E905" t="n">
        <v>8</v>
      </c>
      <c r="F905" t="n">
        <v>0.0165</v>
      </c>
      <c r="G905" t="n">
        <v>0.33</v>
      </c>
      <c r="H905" t="n">
        <v>2</v>
      </c>
      <c r="I905" t="n">
        <v>7</v>
      </c>
      <c r="J905" t="n">
        <v>3</v>
      </c>
      <c r="K905" t="n">
        <v>0</v>
      </c>
      <c r="L905" t="n">
        <v>51036</v>
      </c>
      <c r="M905" t="n">
        <v>62500</v>
      </c>
      <c r="N905" t="n">
        <v>33</v>
      </c>
      <c r="O905" t="n">
        <v>0.33</v>
      </c>
      <c r="P905" t="n">
        <v>1</v>
      </c>
      <c r="Q905" t="n">
        <v>0.05</v>
      </c>
      <c r="R905" t="n">
        <v>1</v>
      </c>
      <c r="S905" t="n">
        <v>1031.25</v>
      </c>
      <c r="T905" t="n">
        <v>3</v>
      </c>
      <c r="U905" t="n">
        <v>4</v>
      </c>
      <c r="V905" t="n">
        <v>30</v>
      </c>
      <c r="W905" t="n">
        <v>1</v>
      </c>
      <c r="X905" t="n">
        <v>484.8484848484848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11575</v>
      </c>
      <c r="AG905" t="n">
        <v>2141</v>
      </c>
      <c r="AH905" t="inlineStr">
        <is>
          <t>PT. PARAMA GLOBAL INSPIRA - PPN (JMB)</t>
        </is>
      </c>
      <c r="AI905" t="n">
        <v>63</v>
      </c>
      <c r="AJ905" t="inlineStr">
        <is>
          <t>EMINA</t>
        </is>
      </c>
      <c r="AK905" t="n">
        <v>9</v>
      </c>
      <c r="AL905" t="inlineStr">
        <is>
          <t>Miss Glam Jambi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"8993137002189"</f>
        <v/>
      </c>
      <c r="C906" t="inlineStr">
        <is>
          <t>EMINA Airy Surprise Tint 03 1-000-Pink 3gr</t>
        </is>
      </c>
      <c r="D906" t="inlineStr">
        <is>
          <t>Miss Glam Jambi</t>
        </is>
      </c>
      <c r="E906" t="n">
        <v>5</v>
      </c>
      <c r="F906" t="n">
        <v>0.0396</v>
      </c>
      <c r="G906" t="n">
        <v>0.66</v>
      </c>
      <c r="H906" t="n">
        <v>2</v>
      </c>
      <c r="I906" t="n">
        <v>7</v>
      </c>
      <c r="J906" t="n">
        <v>3</v>
      </c>
      <c r="K906" t="n">
        <v>0</v>
      </c>
      <c r="L906" t="n">
        <v>51036</v>
      </c>
      <c r="M906" t="n">
        <v>62500</v>
      </c>
      <c r="N906" t="n">
        <v>33</v>
      </c>
      <c r="O906" t="n">
        <v>0.33</v>
      </c>
      <c r="P906" t="n">
        <v>1</v>
      </c>
      <c r="Q906" t="n">
        <v>0.07000000000000001</v>
      </c>
      <c r="R906" t="n">
        <v>2</v>
      </c>
      <c r="S906" t="n">
        <v>2475</v>
      </c>
      <c r="T906" t="n">
        <v>5</v>
      </c>
      <c r="U906" t="n">
        <v>6</v>
      </c>
      <c r="V906" t="n">
        <v>30</v>
      </c>
      <c r="W906" t="n">
        <v>2</v>
      </c>
      <c r="X906" t="n">
        <v>126.2626262626263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11575</v>
      </c>
      <c r="AG906" t="n">
        <v>2141</v>
      </c>
      <c r="AH906" t="inlineStr">
        <is>
          <t>PT. PARAMA GLOBAL INSPIRA - PPN (JMB)</t>
        </is>
      </c>
      <c r="AI906" t="n">
        <v>63</v>
      </c>
      <c r="AJ906" t="inlineStr">
        <is>
          <t>EMINA</t>
        </is>
      </c>
      <c r="AK906" t="n">
        <v>9</v>
      </c>
      <c r="AL906" t="inlineStr">
        <is>
          <t>Miss Glam Jambi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"8993137002196"</f>
        <v/>
      </c>
      <c r="C907" t="inlineStr">
        <is>
          <t>EMINA Airy Surprise Tint 04 Bewitched 3gr</t>
        </is>
      </c>
      <c r="D907" t="inlineStr">
        <is>
          <t>Miss Glam Jambi</t>
        </is>
      </c>
      <c r="E907" t="n">
        <v>6</v>
      </c>
      <c r="F907" t="n">
        <v>0.006600000000000001</v>
      </c>
      <c r="G907" t="n">
        <v>0.33</v>
      </c>
      <c r="H907" t="n">
        <v>2</v>
      </c>
      <c r="I907" t="n">
        <v>7</v>
      </c>
      <c r="J907" t="n">
        <v>3</v>
      </c>
      <c r="K907" t="n">
        <v>0</v>
      </c>
      <c r="L907" t="n">
        <v>51036</v>
      </c>
      <c r="M907" t="n">
        <v>62500</v>
      </c>
      <c r="N907" t="n">
        <v>33</v>
      </c>
      <c r="O907" t="n">
        <v>0.33</v>
      </c>
      <c r="P907" t="n">
        <v>1</v>
      </c>
      <c r="Q907" t="n">
        <v>0.02</v>
      </c>
      <c r="R907" t="n">
        <v>1</v>
      </c>
      <c r="S907" t="n">
        <v>412.5000000000001</v>
      </c>
      <c r="T907" t="n">
        <v>3</v>
      </c>
      <c r="U907" t="n">
        <v>4</v>
      </c>
      <c r="V907" t="n">
        <v>30</v>
      </c>
      <c r="W907" t="n">
        <v>1</v>
      </c>
      <c r="X907" t="n">
        <v>909.090909090909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11575</v>
      </c>
      <c r="AG907" t="n">
        <v>2141</v>
      </c>
      <c r="AH907" t="inlineStr">
        <is>
          <t>PT. PARAMA GLOBAL INSPIRA - PPN (JMB)</t>
        </is>
      </c>
      <c r="AI907" t="n">
        <v>63</v>
      </c>
      <c r="AJ907" t="inlineStr">
        <is>
          <t>EMINA</t>
        </is>
      </c>
      <c r="AK907" t="n">
        <v>9</v>
      </c>
      <c r="AL907" t="inlineStr">
        <is>
          <t>Miss Glam Jambi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"8993137002202"</f>
        <v/>
      </c>
      <c r="C908" t="inlineStr">
        <is>
          <t>EMINA Airy Surprise Tint 05 Flip  Phone 3gr</t>
        </is>
      </c>
      <c r="D908" t="inlineStr">
        <is>
          <t>Miss Glam Jambi</t>
        </is>
      </c>
      <c r="E908" t="n">
        <v>3</v>
      </c>
      <c r="F908" t="n">
        <v>0.0165</v>
      </c>
      <c r="G908" t="n">
        <v>0.66</v>
      </c>
      <c r="H908" t="n">
        <v>2</v>
      </c>
      <c r="I908" t="n">
        <v>7</v>
      </c>
      <c r="J908" t="n">
        <v>3</v>
      </c>
      <c r="K908" t="n">
        <v>0</v>
      </c>
      <c r="L908" t="n">
        <v>51036</v>
      </c>
      <c r="M908" t="n">
        <v>62500</v>
      </c>
      <c r="N908" t="n">
        <v>33</v>
      </c>
      <c r="O908" t="n">
        <v>0.33</v>
      </c>
      <c r="P908" t="n">
        <v>1</v>
      </c>
      <c r="Q908" t="n">
        <v>0.03</v>
      </c>
      <c r="R908" t="n">
        <v>1</v>
      </c>
      <c r="S908" t="n">
        <v>1031.25</v>
      </c>
      <c r="T908" t="n">
        <v>5</v>
      </c>
      <c r="U908" t="n">
        <v>6</v>
      </c>
      <c r="V908" t="n">
        <v>30</v>
      </c>
      <c r="W908" t="n">
        <v>1</v>
      </c>
      <c r="X908" t="n">
        <v>181.8181818181818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11575</v>
      </c>
      <c r="AG908" t="n">
        <v>2141</v>
      </c>
      <c r="AH908" t="inlineStr">
        <is>
          <t>PT. PARAMA GLOBAL INSPIRA - PPN (JMB)</t>
        </is>
      </c>
      <c r="AI908" t="n">
        <v>63</v>
      </c>
      <c r="AJ908" t="inlineStr">
        <is>
          <t>EMINA</t>
        </is>
      </c>
      <c r="AK908" t="n">
        <v>9</v>
      </c>
      <c r="AL908" t="inlineStr">
        <is>
          <t>Miss Glam Jambi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"8993137002219"</f>
        <v/>
      </c>
      <c r="C909" t="inlineStr">
        <is>
          <t>EMINA Airy Surprise Tint 06 Dot-com 3gr</t>
        </is>
      </c>
      <c r="D909" t="inlineStr">
        <is>
          <t>Miss Glam Jambi</t>
        </is>
      </c>
      <c r="E909" t="n">
        <v>3</v>
      </c>
      <c r="F909" t="n">
        <v>0.0396</v>
      </c>
      <c r="G909" t="n">
        <v>0.33</v>
      </c>
      <c r="H909" t="n">
        <v>2</v>
      </c>
      <c r="I909" t="n">
        <v>7</v>
      </c>
      <c r="J909" t="n">
        <v>3</v>
      </c>
      <c r="K909" t="n">
        <v>0</v>
      </c>
      <c r="L909" t="n">
        <v>51036</v>
      </c>
      <c r="M909" t="n">
        <v>62500</v>
      </c>
      <c r="N909" t="n">
        <v>33</v>
      </c>
      <c r="O909" t="n">
        <v>0.33</v>
      </c>
      <c r="P909" t="n">
        <v>1</v>
      </c>
      <c r="Q909" t="n">
        <v>0.03</v>
      </c>
      <c r="R909" t="n">
        <v>1</v>
      </c>
      <c r="S909" t="n">
        <v>2475</v>
      </c>
      <c r="T909" t="n">
        <v>3</v>
      </c>
      <c r="U909" t="n">
        <v>4</v>
      </c>
      <c r="V909" t="n">
        <v>30</v>
      </c>
      <c r="W909" t="n">
        <v>2</v>
      </c>
      <c r="X909" t="n">
        <v>75.75757575757575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11575</v>
      </c>
      <c r="AG909" t="n">
        <v>2141</v>
      </c>
      <c r="AH909" t="inlineStr">
        <is>
          <t>PT. PARAMA GLOBAL INSPIRA - PPN (JMB)</t>
        </is>
      </c>
      <c r="AI909" t="n">
        <v>63</v>
      </c>
      <c r="AJ909" t="inlineStr">
        <is>
          <t>EMINA</t>
        </is>
      </c>
      <c r="AK909" t="n">
        <v>9</v>
      </c>
      <c r="AL909" t="inlineStr">
        <is>
          <t>Miss Glam Jambi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"8993137002226"</f>
        <v/>
      </c>
      <c r="C910" t="inlineStr">
        <is>
          <t>EMINA Airy Surprise Tint 07 Pixelated  3gr</t>
        </is>
      </c>
      <c r="D910" t="inlineStr">
        <is>
          <t>Miss Glam Jambi</t>
        </is>
      </c>
      <c r="E910" t="n">
        <v>5</v>
      </c>
      <c r="F910" t="n">
        <v>0.0165</v>
      </c>
      <c r="G910" t="n">
        <v>0.33</v>
      </c>
      <c r="H910" t="n">
        <v>2</v>
      </c>
      <c r="I910" t="n">
        <v>7</v>
      </c>
      <c r="J910" t="n">
        <v>3</v>
      </c>
      <c r="K910" t="n">
        <v>0</v>
      </c>
      <c r="L910" t="n">
        <v>51036</v>
      </c>
      <c r="M910" t="n">
        <v>62500</v>
      </c>
      <c r="N910" t="n">
        <v>33</v>
      </c>
      <c r="O910" t="n">
        <v>0.33</v>
      </c>
      <c r="P910" t="n">
        <v>1</v>
      </c>
      <c r="Q910" t="n">
        <v>0.05</v>
      </c>
      <c r="R910" t="n">
        <v>1</v>
      </c>
      <c r="S910" t="n">
        <v>1031.25</v>
      </c>
      <c r="T910" t="n">
        <v>3</v>
      </c>
      <c r="U910" t="n">
        <v>4</v>
      </c>
      <c r="V910" t="n">
        <v>30</v>
      </c>
      <c r="W910" t="n">
        <v>1</v>
      </c>
      <c r="X910" t="n">
        <v>303.030303030303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11575</v>
      </c>
      <c r="AG910" t="n">
        <v>2141</v>
      </c>
      <c r="AH910" t="inlineStr">
        <is>
          <t>PT. PARAMA GLOBAL INSPIRA - PPN (JMB)</t>
        </is>
      </c>
      <c r="AI910" t="n">
        <v>63</v>
      </c>
      <c r="AJ910" t="inlineStr">
        <is>
          <t>EMINA</t>
        </is>
      </c>
      <c r="AK910" t="n">
        <v>9</v>
      </c>
      <c r="AL910" t="inlineStr">
        <is>
          <t>Miss Glam Jambi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"20300394232"</f>
        <v/>
      </c>
      <c r="C911" t="inlineStr">
        <is>
          <t>EMINA Airy Surprise Tint 09 URL 3gr</t>
        </is>
      </c>
      <c r="D911" t="inlineStr">
        <is>
          <t>Miss Glam Jambi</t>
        </is>
      </c>
      <c r="E911" t="n">
        <v>9</v>
      </c>
      <c r="F911" t="n">
        <v>0.0231</v>
      </c>
      <c r="G911" t="n">
        <v>0.33</v>
      </c>
      <c r="H911" t="n">
        <v>2</v>
      </c>
      <c r="I911" t="n">
        <v>7</v>
      </c>
      <c r="J911" t="n">
        <v>1</v>
      </c>
      <c r="K911" t="n">
        <v>0</v>
      </c>
      <c r="L911" t="n">
        <v>51036</v>
      </c>
      <c r="M911" t="n">
        <v>62500</v>
      </c>
      <c r="N911" t="n">
        <v>33</v>
      </c>
      <c r="O911" t="n">
        <v>0.33</v>
      </c>
      <c r="P911" t="n">
        <v>1</v>
      </c>
      <c r="Q911" t="n">
        <v>0.02</v>
      </c>
      <c r="R911" t="n">
        <v>1</v>
      </c>
      <c r="S911" t="n">
        <v>1443.75</v>
      </c>
      <c r="T911" t="n">
        <v>3</v>
      </c>
      <c r="U911" t="n">
        <v>4</v>
      </c>
      <c r="V911" t="n">
        <v>30</v>
      </c>
      <c r="W911" t="n">
        <v>1</v>
      </c>
      <c r="X911" t="n">
        <v>389.6103896103896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11575</v>
      </c>
      <c r="AG911" t="n">
        <v>2141</v>
      </c>
      <c r="AH911" t="inlineStr">
        <is>
          <t>PT. PARAMA GLOBAL INSPIRA - PPN (JMB)</t>
        </is>
      </c>
      <c r="AI911" t="n">
        <v>63</v>
      </c>
      <c r="AJ911" t="inlineStr">
        <is>
          <t>EMINA</t>
        </is>
      </c>
      <c r="AK911" t="n">
        <v>9</v>
      </c>
      <c r="AL911" t="inlineStr">
        <is>
          <t>Miss Glam Jambi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"20300394441"</f>
        <v/>
      </c>
      <c r="C912" t="inlineStr">
        <is>
          <t>EMINA Airy Surprise Tint 11 So Fetch 3gr</t>
        </is>
      </c>
      <c r="D912" t="inlineStr">
        <is>
          <t>Miss Glam Jambi</t>
        </is>
      </c>
      <c r="E912" t="n">
        <v>3</v>
      </c>
      <c r="F912" t="n">
        <v>0.02</v>
      </c>
      <c r="G912" t="n">
        <v>1</v>
      </c>
      <c r="H912" t="n">
        <v>2</v>
      </c>
      <c r="I912" t="n">
        <v>7</v>
      </c>
      <c r="J912" t="n">
        <v>1</v>
      </c>
      <c r="K912" t="n">
        <v>0</v>
      </c>
      <c r="L912" t="n">
        <v>51036</v>
      </c>
      <c r="M912" t="n">
        <v>62500</v>
      </c>
      <c r="N912" t="n">
        <v>33</v>
      </c>
      <c r="O912" t="n">
        <v>0.33</v>
      </c>
      <c r="P912" t="n">
        <v>0</v>
      </c>
      <c r="Q912" t="n">
        <v>0.02</v>
      </c>
      <c r="R912" t="n">
        <v>1</v>
      </c>
      <c r="S912" t="n">
        <v>1250</v>
      </c>
      <c r="T912" t="n">
        <v>7</v>
      </c>
      <c r="U912" t="n">
        <v>8</v>
      </c>
      <c r="V912" t="n">
        <v>30</v>
      </c>
      <c r="W912" t="n">
        <v>1</v>
      </c>
      <c r="X912" t="n">
        <v>150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11575</v>
      </c>
      <c r="AG912" t="n">
        <v>2141</v>
      </c>
      <c r="AH912" t="inlineStr">
        <is>
          <t>PT. PARAMA GLOBAL INSPIRA - PPN (JMB)</t>
        </is>
      </c>
      <c r="AI912" t="n">
        <v>63</v>
      </c>
      <c r="AJ912" t="inlineStr">
        <is>
          <t>EMINA</t>
        </is>
      </c>
      <c r="AK912" t="n">
        <v>9</v>
      </c>
      <c r="AL912" t="inlineStr">
        <is>
          <t>Miss Glam Jambi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"10400310714"</f>
        <v/>
      </c>
      <c r="C913" t="inlineStr">
        <is>
          <t>EMINA Airy UV Gel 25 ml</t>
        </is>
      </c>
      <c r="D913" t="inlineStr">
        <is>
          <t>Miss Glam Jambi</t>
        </is>
      </c>
      <c r="E913" t="n">
        <v>5</v>
      </c>
      <c r="F913" t="n">
        <v>0.1287</v>
      </c>
      <c r="G913" t="n">
        <v>0.99</v>
      </c>
      <c r="H913" t="n">
        <v>2</v>
      </c>
      <c r="I913" t="n">
        <v>7</v>
      </c>
      <c r="J913" t="n">
        <v>1</v>
      </c>
      <c r="K913" t="n">
        <v>0</v>
      </c>
      <c r="L913" t="n">
        <v>27970</v>
      </c>
      <c r="M913" t="n">
        <v>34500</v>
      </c>
      <c r="N913" t="n">
        <v>33</v>
      </c>
      <c r="O913" t="n">
        <v>0.33</v>
      </c>
      <c r="P913" t="n">
        <v>1</v>
      </c>
      <c r="Q913" t="n">
        <v>0.05</v>
      </c>
      <c r="R913" t="n">
        <v>1</v>
      </c>
      <c r="S913" t="n">
        <v>4440.150000000001</v>
      </c>
      <c r="T913" t="n">
        <v>7</v>
      </c>
      <c r="U913" t="n">
        <v>8</v>
      </c>
      <c r="V913" t="n">
        <v>30</v>
      </c>
      <c r="W913" t="n">
        <v>4</v>
      </c>
      <c r="X913" t="n">
        <v>38.85003885003885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11575</v>
      </c>
      <c r="AG913" t="n">
        <v>2141</v>
      </c>
      <c r="AH913" t="inlineStr">
        <is>
          <t>PT. PARAMA GLOBAL INSPIRA - PPN (JMB)</t>
        </is>
      </c>
      <c r="AI913" t="n">
        <v>63</v>
      </c>
      <c r="AJ913" t="inlineStr">
        <is>
          <t>EMINA</t>
        </is>
      </c>
      <c r="AK913" t="n">
        <v>9</v>
      </c>
      <c r="AL913" t="inlineStr">
        <is>
          <t>Miss Glam Jambi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"8993137703055"</f>
        <v/>
      </c>
      <c r="C914" t="inlineStr">
        <is>
          <t>EMINA All Day Glow Tone Up Gel Spf 15 PA*** 20ml</t>
        </is>
      </c>
      <c r="D914" t="inlineStr">
        <is>
          <t>Miss Glam Jambi</t>
        </is>
      </c>
      <c r="E914" t="n">
        <v>53</v>
      </c>
      <c r="F914" t="n">
        <v>2.6004</v>
      </c>
      <c r="G914" t="n">
        <v>5.61</v>
      </c>
      <c r="H914" t="n">
        <v>2</v>
      </c>
      <c r="I914" t="n">
        <v>7</v>
      </c>
      <c r="J914" t="n">
        <v>6</v>
      </c>
      <c r="K914" t="n">
        <v>0</v>
      </c>
      <c r="L914" t="n">
        <v>19541</v>
      </c>
      <c r="M914" t="n">
        <v>25000</v>
      </c>
      <c r="N914" t="n">
        <v>33</v>
      </c>
      <c r="O914" t="n">
        <v>0.33</v>
      </c>
      <c r="P914" t="n">
        <v>1</v>
      </c>
      <c r="Q914" t="n">
        <v>1.75</v>
      </c>
      <c r="R914" t="n">
        <v>6</v>
      </c>
      <c r="S914" t="n">
        <v>65010</v>
      </c>
      <c r="T914" t="n">
        <v>35</v>
      </c>
      <c r="U914" t="n">
        <v>41</v>
      </c>
      <c r="V914" t="n">
        <v>30</v>
      </c>
      <c r="W914" t="n">
        <v>79</v>
      </c>
      <c r="X914" t="n">
        <v>20.38147977234271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11575</v>
      </c>
      <c r="AG914" t="n">
        <v>2141</v>
      </c>
      <c r="AH914" t="inlineStr">
        <is>
          <t>PT. PARAMA GLOBAL INSPIRA - PPN (JMB)</t>
        </is>
      </c>
      <c r="AI914" t="n">
        <v>63</v>
      </c>
      <c r="AJ914" t="inlineStr">
        <is>
          <t>EMINA</t>
        </is>
      </c>
      <c r="AK914" t="n">
        <v>9</v>
      </c>
      <c r="AL914" t="inlineStr">
        <is>
          <t>Miss Glam Jambi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"8993137705981"</f>
        <v/>
      </c>
      <c r="C915" t="inlineStr">
        <is>
          <t>EMINA Aloe Vera Face Mist 60ml</t>
        </is>
      </c>
      <c r="D915" t="inlineStr">
        <is>
          <t>Miss Glam Jambi</t>
        </is>
      </c>
      <c r="E915" t="n">
        <v>3</v>
      </c>
      <c r="F915" t="n">
        <v>0.02</v>
      </c>
      <c r="G915" t="n">
        <v>1</v>
      </c>
      <c r="H915" t="n">
        <v>2</v>
      </c>
      <c r="I915" t="n">
        <v>7</v>
      </c>
      <c r="J915" t="n">
        <v>3</v>
      </c>
      <c r="K915" t="n">
        <v>0</v>
      </c>
      <c r="L915" t="n">
        <v>30652</v>
      </c>
      <c r="M915" t="n">
        <v>37500</v>
      </c>
      <c r="N915" t="n">
        <v>33</v>
      </c>
      <c r="O915" t="n">
        <v>0.33</v>
      </c>
      <c r="P915" t="n">
        <v>0</v>
      </c>
      <c r="Q915" t="n">
        <v>0.02</v>
      </c>
      <c r="R915" t="n">
        <v>1</v>
      </c>
      <c r="S915" t="n">
        <v>750</v>
      </c>
      <c r="T915" t="n">
        <v>7</v>
      </c>
      <c r="U915" t="n">
        <v>8</v>
      </c>
      <c r="V915" t="n">
        <v>30</v>
      </c>
      <c r="W915" t="n">
        <v>1</v>
      </c>
      <c r="X915" t="n">
        <v>150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11575</v>
      </c>
      <c r="AG915" t="n">
        <v>2141</v>
      </c>
      <c r="AH915" t="inlineStr">
        <is>
          <t>PT. PARAMA GLOBAL INSPIRA - PPN (JMB)</t>
        </is>
      </c>
      <c r="AI915" t="n">
        <v>63</v>
      </c>
      <c r="AJ915" t="inlineStr">
        <is>
          <t>EMINA</t>
        </is>
      </c>
      <c r="AK915" t="n">
        <v>9</v>
      </c>
      <c r="AL915" t="inlineStr">
        <is>
          <t>Miss Glam Jambi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"8993137702201"</f>
        <v/>
      </c>
      <c r="C916" t="inlineStr">
        <is>
          <t>EMINA Aloe Vera Gel 60ml</t>
        </is>
      </c>
      <c r="D916" t="inlineStr">
        <is>
          <t>Miss Glam Jambi</t>
        </is>
      </c>
      <c r="E916" t="n">
        <v>4</v>
      </c>
      <c r="F916" t="n">
        <v>0.05</v>
      </c>
      <c r="G916" t="n">
        <v>1</v>
      </c>
      <c r="H916" t="n">
        <v>2</v>
      </c>
      <c r="I916" t="n">
        <v>7</v>
      </c>
      <c r="J916" t="n">
        <v>3</v>
      </c>
      <c r="K916" t="n">
        <v>0</v>
      </c>
      <c r="L916" t="n">
        <v>25288</v>
      </c>
      <c r="M916" t="n">
        <v>28500</v>
      </c>
      <c r="N916" t="n">
        <v>33</v>
      </c>
      <c r="O916" t="n">
        <v>0.33</v>
      </c>
      <c r="P916" t="n">
        <v>0</v>
      </c>
      <c r="Q916" t="n">
        <v>0.05</v>
      </c>
      <c r="R916" t="n">
        <v>1</v>
      </c>
      <c r="S916" t="n">
        <v>1425</v>
      </c>
      <c r="T916" t="n">
        <v>7</v>
      </c>
      <c r="U916" t="n">
        <v>8</v>
      </c>
      <c r="V916" t="n">
        <v>30</v>
      </c>
      <c r="W916" t="n">
        <v>2</v>
      </c>
      <c r="X916" t="n">
        <v>80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11575</v>
      </c>
      <c r="AG916" t="n">
        <v>2141</v>
      </c>
      <c r="AH916" t="inlineStr">
        <is>
          <t>PT. PARAMA GLOBAL INSPIRA - PPN (JMB)</t>
        </is>
      </c>
      <c r="AI916" t="n">
        <v>63</v>
      </c>
      <c r="AJ916" t="inlineStr">
        <is>
          <t>EMINA</t>
        </is>
      </c>
      <c r="AK916" t="n">
        <v>9</v>
      </c>
      <c r="AL916" t="inlineStr">
        <is>
          <t>Miss Glam Jambi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"101001115224"</f>
        <v/>
      </c>
      <c r="C917" t="inlineStr">
        <is>
          <t>EMINA Amino PHA Brightening Low pH Cleanser 70 ml</t>
        </is>
      </c>
      <c r="D917" t="inlineStr">
        <is>
          <t>Miss Glam Jambi</t>
        </is>
      </c>
      <c r="E917" t="n">
        <v>4</v>
      </c>
      <c r="F917" t="n">
        <v>0.0462</v>
      </c>
      <c r="G917" t="n">
        <v>0.33</v>
      </c>
      <c r="H917" t="n">
        <v>2</v>
      </c>
      <c r="I917" t="n">
        <v>7</v>
      </c>
      <c r="J917" t="n">
        <v>1</v>
      </c>
      <c r="K917" t="n">
        <v>0</v>
      </c>
      <c r="L917" t="n">
        <v>26054</v>
      </c>
      <c r="M917" t="n">
        <v>32000</v>
      </c>
      <c r="N917" t="n">
        <v>33</v>
      </c>
      <c r="O917" t="n">
        <v>0.33</v>
      </c>
      <c r="P917" t="n">
        <v>1</v>
      </c>
      <c r="Q917" t="n">
        <v>0.14</v>
      </c>
      <c r="R917" t="n">
        <v>2</v>
      </c>
      <c r="S917" t="n">
        <v>1478.4</v>
      </c>
      <c r="T917" t="n">
        <v>3</v>
      </c>
      <c r="U917" t="n">
        <v>4</v>
      </c>
      <c r="V917" t="n">
        <v>30</v>
      </c>
      <c r="W917" t="n">
        <v>2</v>
      </c>
      <c r="X917" t="n">
        <v>86.58008658008657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11575</v>
      </c>
      <c r="AG917" t="n">
        <v>2141</v>
      </c>
      <c r="AH917" t="inlineStr">
        <is>
          <t>PT. PARAMA GLOBAL INSPIRA - PPN (JMB)</t>
        </is>
      </c>
      <c r="AI917" t="n">
        <v>63</v>
      </c>
      <c r="AJ917" t="inlineStr">
        <is>
          <t>EMINA</t>
        </is>
      </c>
      <c r="AK917" t="n">
        <v>9</v>
      </c>
      <c r="AL917" t="inlineStr">
        <is>
          <t>Miss Glam Jambi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"203003102901"</f>
        <v/>
      </c>
      <c r="C918" t="inlineStr">
        <is>
          <t>EMINA Bouncy Tint 01 Ginger Cloud 7.4gr</t>
        </is>
      </c>
      <c r="D918" t="inlineStr">
        <is>
          <t>Miss Glam Jambi</t>
        </is>
      </c>
      <c r="E918" t="n">
        <v>0</v>
      </c>
      <c r="F918" t="n">
        <v>0.0495</v>
      </c>
      <c r="G918" t="n">
        <v>0.33</v>
      </c>
      <c r="H918" t="n">
        <v>2</v>
      </c>
      <c r="I918" t="n">
        <v>7</v>
      </c>
      <c r="J918" t="n">
        <v>1</v>
      </c>
      <c r="K918" t="n">
        <v>1</v>
      </c>
      <c r="L918" t="n">
        <v>50576</v>
      </c>
      <c r="M918" t="n">
        <v>62000</v>
      </c>
      <c r="N918" t="n">
        <v>33</v>
      </c>
      <c r="O918" t="n">
        <v>0.33</v>
      </c>
      <c r="P918" t="n">
        <v>1</v>
      </c>
      <c r="Q918" t="n">
        <v>0.16</v>
      </c>
      <c r="R918" t="n">
        <v>1</v>
      </c>
      <c r="S918" t="n">
        <v>3069</v>
      </c>
      <c r="T918" t="n">
        <v>3</v>
      </c>
      <c r="U918" t="n">
        <v>4</v>
      </c>
      <c r="V918" t="n">
        <v>30</v>
      </c>
      <c r="W918" t="n">
        <v>2</v>
      </c>
      <c r="X918" t="n">
        <v>0</v>
      </c>
      <c r="Y918" t="n">
        <v>1</v>
      </c>
      <c r="Z918" t="n">
        <v>1</v>
      </c>
      <c r="AA918" t="n">
        <v>0</v>
      </c>
      <c r="AB918" t="n">
        <v>1</v>
      </c>
      <c r="AC918" t="n">
        <v>1</v>
      </c>
      <c r="AD918" t="n">
        <v>0</v>
      </c>
      <c r="AE918" t="n">
        <v>50576</v>
      </c>
      <c r="AF918" t="n">
        <v>11575</v>
      </c>
      <c r="AG918" t="n">
        <v>2141</v>
      </c>
      <c r="AH918" t="inlineStr">
        <is>
          <t>PT. PARAMA GLOBAL INSPIRA - PPN (JMB)</t>
        </is>
      </c>
      <c r="AI918" t="n">
        <v>63</v>
      </c>
      <c r="AJ918" t="inlineStr">
        <is>
          <t>EMINA</t>
        </is>
      </c>
      <c r="AK918" t="n">
        <v>9</v>
      </c>
      <c r="AL918" t="inlineStr">
        <is>
          <t>Miss Glam Jambi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"203003103039"</f>
        <v/>
      </c>
      <c r="C919" t="inlineStr">
        <is>
          <t>EMINA Bouncy Tint 02 Plush Popsicle 7.4gr</t>
        </is>
      </c>
      <c r="D919" t="inlineStr">
        <is>
          <t>Miss Glam Jambi</t>
        </is>
      </c>
      <c r="E919" t="n">
        <v>6</v>
      </c>
      <c r="F919" t="n">
        <v>0.066</v>
      </c>
      <c r="G919" t="n">
        <v>0.66</v>
      </c>
      <c r="H919" t="n">
        <v>2</v>
      </c>
      <c r="I919" t="n">
        <v>7</v>
      </c>
      <c r="J919" t="n">
        <v>1</v>
      </c>
      <c r="K919" t="n">
        <v>0</v>
      </c>
      <c r="L919" t="n">
        <v>50576</v>
      </c>
      <c r="M919" t="n">
        <v>62000</v>
      </c>
      <c r="N919" t="n">
        <v>33</v>
      </c>
      <c r="O919" t="n">
        <v>0.33</v>
      </c>
      <c r="P919" t="n">
        <v>1</v>
      </c>
      <c r="Q919" t="n">
        <v>0.07000000000000001</v>
      </c>
      <c r="R919" t="n">
        <v>1</v>
      </c>
      <c r="S919" t="n">
        <v>4092</v>
      </c>
      <c r="T919" t="n">
        <v>5</v>
      </c>
      <c r="U919" t="n">
        <v>6</v>
      </c>
      <c r="V919" t="n">
        <v>30</v>
      </c>
      <c r="W919" t="n">
        <v>2</v>
      </c>
      <c r="X919" t="n">
        <v>90.90909090909091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11575</v>
      </c>
      <c r="AG919" t="n">
        <v>2141</v>
      </c>
      <c r="AH919" t="inlineStr">
        <is>
          <t>PT. PARAMA GLOBAL INSPIRA - PPN (JMB)</t>
        </is>
      </c>
      <c r="AI919" t="n">
        <v>63</v>
      </c>
      <c r="AJ919" t="inlineStr">
        <is>
          <t>EMINA</t>
        </is>
      </c>
      <c r="AK919" t="n">
        <v>9</v>
      </c>
      <c r="AL919" t="inlineStr">
        <is>
          <t>Miss Glam Jambi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"203003103111"</f>
        <v/>
      </c>
      <c r="C920" t="inlineStr">
        <is>
          <t>EMINA Bouncy Tint 03 Tea Puff 7.4gr</t>
        </is>
      </c>
      <c r="D920" t="inlineStr">
        <is>
          <t>Miss Glam Jambi</t>
        </is>
      </c>
      <c r="E920" t="n">
        <v>6</v>
      </c>
      <c r="F920" t="n">
        <v>0.07920000000000001</v>
      </c>
      <c r="G920" t="n">
        <v>0.66</v>
      </c>
      <c r="H920" t="n">
        <v>2</v>
      </c>
      <c r="I920" t="n">
        <v>7</v>
      </c>
      <c r="J920" t="n">
        <v>1</v>
      </c>
      <c r="K920" t="n">
        <v>0</v>
      </c>
      <c r="L920" t="n">
        <v>50576</v>
      </c>
      <c r="M920" t="n">
        <v>62000</v>
      </c>
      <c r="N920" t="n">
        <v>33</v>
      </c>
      <c r="O920" t="n">
        <v>0.33</v>
      </c>
      <c r="P920" t="n">
        <v>1</v>
      </c>
      <c r="Q920" t="n">
        <v>0.1</v>
      </c>
      <c r="R920" t="n">
        <v>1</v>
      </c>
      <c r="S920" t="n">
        <v>4910.400000000001</v>
      </c>
      <c r="T920" t="n">
        <v>5</v>
      </c>
      <c r="U920" t="n">
        <v>6</v>
      </c>
      <c r="V920" t="n">
        <v>30</v>
      </c>
      <c r="W920" t="n">
        <v>3</v>
      </c>
      <c r="X920" t="n">
        <v>75.75757575757575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11575</v>
      </c>
      <c r="AG920" t="n">
        <v>2141</v>
      </c>
      <c r="AH920" t="inlineStr">
        <is>
          <t>PT. PARAMA GLOBAL INSPIRA - PPN (JMB)</t>
        </is>
      </c>
      <c r="AI920" t="n">
        <v>63</v>
      </c>
      <c r="AJ920" t="inlineStr">
        <is>
          <t>EMINA</t>
        </is>
      </c>
      <c r="AK920" t="n">
        <v>9</v>
      </c>
      <c r="AL920" t="inlineStr">
        <is>
          <t>Miss Glam Jambi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"203003103245"</f>
        <v/>
      </c>
      <c r="C921" t="inlineStr">
        <is>
          <t>EMINA Bouncy Tint 04 Berry Mousse 7.4gr</t>
        </is>
      </c>
      <c r="D921" t="inlineStr">
        <is>
          <t>Miss Glam Jambi</t>
        </is>
      </c>
      <c r="E921" t="n">
        <v>0</v>
      </c>
      <c r="F921" t="n">
        <v>0.0264</v>
      </c>
      <c r="G921" t="n">
        <v>0.33</v>
      </c>
      <c r="H921" t="n">
        <v>2</v>
      </c>
      <c r="I921" t="n">
        <v>7</v>
      </c>
      <c r="J921" t="n">
        <v>1</v>
      </c>
      <c r="K921" t="n">
        <v>0</v>
      </c>
      <c r="L921" t="n">
        <v>50576</v>
      </c>
      <c r="M921" t="n">
        <v>62000</v>
      </c>
      <c r="N921" t="n">
        <v>33</v>
      </c>
      <c r="O921" t="n">
        <v>0.33</v>
      </c>
      <c r="P921" t="n">
        <v>1</v>
      </c>
      <c r="Q921" t="n">
        <v>0.02</v>
      </c>
      <c r="R921" t="n">
        <v>1</v>
      </c>
      <c r="S921" t="n">
        <v>1636.8</v>
      </c>
      <c r="T921" t="n">
        <v>3</v>
      </c>
      <c r="U921" t="n">
        <v>4</v>
      </c>
      <c r="V921" t="n">
        <v>30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n">
        <v>0</v>
      </c>
      <c r="AC921" t="n">
        <v>0</v>
      </c>
      <c r="AD921" t="n">
        <v>50576</v>
      </c>
      <c r="AE921" t="n">
        <v>0</v>
      </c>
      <c r="AF921" t="n">
        <v>11575</v>
      </c>
      <c r="AG921" t="n">
        <v>2141</v>
      </c>
      <c r="AH921" t="inlineStr">
        <is>
          <t>PT. PARAMA GLOBAL INSPIRA - PPN (JMB)</t>
        </is>
      </c>
      <c r="AI921" t="n">
        <v>63</v>
      </c>
      <c r="AJ921" t="inlineStr">
        <is>
          <t>EMINA</t>
        </is>
      </c>
      <c r="AK921" t="n">
        <v>9</v>
      </c>
      <c r="AL921" t="inlineStr">
        <is>
          <t>Miss Glam Jambi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"203003103405"</f>
        <v/>
      </c>
      <c r="C922" t="inlineStr">
        <is>
          <t>EMINA Bouncy Tint 05 Peach Fluff 7.4gr</t>
        </is>
      </c>
      <c r="D922" t="inlineStr">
        <is>
          <t>Miss Glam Jambi</t>
        </is>
      </c>
      <c r="E922" t="n">
        <v>0</v>
      </c>
      <c r="F922" t="n">
        <v>0.0396</v>
      </c>
      <c r="G922" t="n">
        <v>0.33</v>
      </c>
      <c r="H922" t="n">
        <v>2</v>
      </c>
      <c r="I922" t="n">
        <v>7</v>
      </c>
      <c r="J922" t="n">
        <v>1</v>
      </c>
      <c r="K922" t="n">
        <v>1</v>
      </c>
      <c r="L922" t="n">
        <v>50576</v>
      </c>
      <c r="M922" t="n">
        <v>62000</v>
      </c>
      <c r="N922" t="n">
        <v>33</v>
      </c>
      <c r="O922" t="n">
        <v>0.33</v>
      </c>
      <c r="P922" t="n">
        <v>1</v>
      </c>
      <c r="Q922" t="n">
        <v>0.1</v>
      </c>
      <c r="R922" t="n">
        <v>2</v>
      </c>
      <c r="S922" t="n">
        <v>2455.2</v>
      </c>
      <c r="T922" t="n">
        <v>3</v>
      </c>
      <c r="U922" t="n">
        <v>4</v>
      </c>
      <c r="V922" t="n">
        <v>30</v>
      </c>
      <c r="W922" t="n">
        <v>2</v>
      </c>
      <c r="X922" t="n">
        <v>0</v>
      </c>
      <c r="Y922" t="n">
        <v>1</v>
      </c>
      <c r="Z922" t="n">
        <v>1</v>
      </c>
      <c r="AA922" t="n">
        <v>0</v>
      </c>
      <c r="AB922" t="n">
        <v>1</v>
      </c>
      <c r="AC922" t="n">
        <v>1</v>
      </c>
      <c r="AD922" t="n">
        <v>0</v>
      </c>
      <c r="AE922" t="n">
        <v>50576</v>
      </c>
      <c r="AF922" t="n">
        <v>11575</v>
      </c>
      <c r="AG922" t="n">
        <v>2141</v>
      </c>
      <c r="AH922" t="inlineStr">
        <is>
          <t>PT. PARAMA GLOBAL INSPIRA - PPN (JMB)</t>
        </is>
      </c>
      <c r="AI922" t="n">
        <v>63</v>
      </c>
      <c r="AJ922" t="inlineStr">
        <is>
          <t>EMINA</t>
        </is>
      </c>
      <c r="AK922" t="n">
        <v>9</v>
      </c>
      <c r="AL922" t="inlineStr">
        <is>
          <t>Miss Glam Jambi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"203003103345"</f>
        <v/>
      </c>
      <c r="C923" t="inlineStr">
        <is>
          <t>EMINA Bouncy Tint 06 Bouncy Blush 7.4gr</t>
        </is>
      </c>
      <c r="D923" t="inlineStr">
        <is>
          <t>Miss Glam Jambi</t>
        </is>
      </c>
      <c r="E923" t="n">
        <v>5</v>
      </c>
      <c r="F923" t="n">
        <v>0.0396</v>
      </c>
      <c r="G923" t="n">
        <v>0.33</v>
      </c>
      <c r="H923" t="n">
        <v>2</v>
      </c>
      <c r="I923" t="n">
        <v>7</v>
      </c>
      <c r="J923" t="n">
        <v>1</v>
      </c>
      <c r="K923" t="n">
        <v>0</v>
      </c>
      <c r="L923" t="n">
        <v>50576</v>
      </c>
      <c r="M923" t="n">
        <v>62000</v>
      </c>
      <c r="N923" t="n">
        <v>33</v>
      </c>
      <c r="O923" t="n">
        <v>0.33</v>
      </c>
      <c r="P923" t="n">
        <v>1</v>
      </c>
      <c r="Q923" t="n">
        <v>0.07000000000000001</v>
      </c>
      <c r="R923" t="n">
        <v>1</v>
      </c>
      <c r="S923" t="n">
        <v>2455.2</v>
      </c>
      <c r="T923" t="n">
        <v>3</v>
      </c>
      <c r="U923" t="n">
        <v>4</v>
      </c>
      <c r="V923" t="n">
        <v>30</v>
      </c>
      <c r="W923" t="n">
        <v>2</v>
      </c>
      <c r="X923" t="n">
        <v>126.2626262626263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11575</v>
      </c>
      <c r="AG923" t="n">
        <v>2141</v>
      </c>
      <c r="AH923" t="inlineStr">
        <is>
          <t>PT. PARAMA GLOBAL INSPIRA - PPN (JMB)</t>
        </is>
      </c>
      <c r="AI923" t="n">
        <v>63</v>
      </c>
      <c r="AJ923" t="inlineStr">
        <is>
          <t>EMINA</t>
        </is>
      </c>
      <c r="AK923" t="n">
        <v>9</v>
      </c>
      <c r="AL923" t="inlineStr">
        <is>
          <t>Miss Glam Jambi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"8993137704069"</f>
        <v/>
      </c>
      <c r="C924" t="inlineStr">
        <is>
          <t>EMINA Bright Stuff Essence Sheet Mask 23gr</t>
        </is>
      </c>
      <c r="D924" t="inlineStr">
        <is>
          <t>Miss Glam Jambi</t>
        </is>
      </c>
      <c r="E924" t="n">
        <v>36</v>
      </c>
      <c r="F924" t="n">
        <v>1.03</v>
      </c>
      <c r="G924" t="n">
        <v>8</v>
      </c>
      <c r="H924" t="n">
        <v>2</v>
      </c>
      <c r="I924" t="n">
        <v>7</v>
      </c>
      <c r="J924" t="n">
        <v>3</v>
      </c>
      <c r="K924" t="n">
        <v>0</v>
      </c>
      <c r="L924" t="n">
        <v>11495</v>
      </c>
      <c r="M924" t="n">
        <v>14000</v>
      </c>
      <c r="N924" t="n">
        <v>33</v>
      </c>
      <c r="O924" t="n">
        <v>0.33</v>
      </c>
      <c r="P924" t="n">
        <v>0</v>
      </c>
      <c r="Q924" t="n">
        <v>1.03</v>
      </c>
      <c r="R924" t="n">
        <v>8</v>
      </c>
      <c r="S924" t="n">
        <v>14420</v>
      </c>
      <c r="T924" t="n">
        <v>54</v>
      </c>
      <c r="U924" t="n">
        <v>57</v>
      </c>
      <c r="V924" t="n">
        <v>30</v>
      </c>
      <c r="W924" t="n">
        <v>31</v>
      </c>
      <c r="X924" t="n">
        <v>34.95145631067961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11575</v>
      </c>
      <c r="AG924" t="n">
        <v>2141</v>
      </c>
      <c r="AH924" t="inlineStr">
        <is>
          <t>PT. PARAMA GLOBAL INSPIRA - PPN (JMB)</t>
        </is>
      </c>
      <c r="AI924" t="n">
        <v>63</v>
      </c>
      <c r="AJ924" t="inlineStr">
        <is>
          <t>EMINA</t>
        </is>
      </c>
      <c r="AK924" t="n">
        <v>9</v>
      </c>
      <c r="AL924" t="inlineStr">
        <is>
          <t>Miss Glam Jambi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"8993137727709"</f>
        <v/>
      </c>
      <c r="C925" t="inlineStr">
        <is>
          <t>EMINA Bright Stuff Exfoliating Toner 100ml</t>
        </is>
      </c>
      <c r="D925" t="inlineStr">
        <is>
          <t>Miss Glam Jambi</t>
        </is>
      </c>
      <c r="E925" t="n">
        <v>1</v>
      </c>
      <c r="F925" t="n">
        <v>0.0231</v>
      </c>
      <c r="G925" t="n">
        <v>0.33</v>
      </c>
      <c r="H925" t="n">
        <v>2</v>
      </c>
      <c r="I925" t="n">
        <v>7</v>
      </c>
      <c r="J925" t="n">
        <v>3</v>
      </c>
      <c r="K925" t="n">
        <v>0</v>
      </c>
      <c r="L925" t="n">
        <v>29503</v>
      </c>
      <c r="M925" t="n">
        <v>36000</v>
      </c>
      <c r="N925" t="n">
        <v>33</v>
      </c>
      <c r="O925" t="n">
        <v>0.33</v>
      </c>
      <c r="P925" t="n">
        <v>1</v>
      </c>
      <c r="Q925" t="n">
        <v>0.03</v>
      </c>
      <c r="R925" t="n">
        <v>1</v>
      </c>
      <c r="S925" t="n">
        <v>831.6000000000001</v>
      </c>
      <c r="T925" t="n">
        <v>3</v>
      </c>
      <c r="U925" t="n">
        <v>4</v>
      </c>
      <c r="V925" t="n">
        <v>30</v>
      </c>
      <c r="W925" t="n">
        <v>1</v>
      </c>
      <c r="X925" t="n">
        <v>43.29004329004329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11575</v>
      </c>
      <c r="AG925" t="n">
        <v>2141</v>
      </c>
      <c r="AH925" t="inlineStr">
        <is>
          <t>PT. PARAMA GLOBAL INSPIRA - PPN (JMB)</t>
        </is>
      </c>
      <c r="AI925" t="n">
        <v>63</v>
      </c>
      <c r="AJ925" t="inlineStr">
        <is>
          <t>EMINA</t>
        </is>
      </c>
      <c r="AK925" t="n">
        <v>9</v>
      </c>
      <c r="AL925" t="inlineStr">
        <is>
          <t>Miss Glam Jambi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"8993137712811"</f>
        <v/>
      </c>
      <c r="C926" t="inlineStr">
        <is>
          <t>EMINA Bright Stuff Face Serum 30ml</t>
        </is>
      </c>
      <c r="D926" t="inlineStr">
        <is>
          <t>Miss Glam Jambi</t>
        </is>
      </c>
      <c r="E926" t="n">
        <v>1</v>
      </c>
      <c r="F926" t="n">
        <v>0.1617</v>
      </c>
      <c r="G926" t="n">
        <v>1.32</v>
      </c>
      <c r="H926" t="n">
        <v>2</v>
      </c>
      <c r="I926" t="n">
        <v>7</v>
      </c>
      <c r="J926" t="n">
        <v>3</v>
      </c>
      <c r="K926" t="n">
        <v>3</v>
      </c>
      <c r="L926" t="n">
        <v>40997</v>
      </c>
      <c r="M926" t="n">
        <v>50000</v>
      </c>
      <c r="N926" t="n">
        <v>33</v>
      </c>
      <c r="O926" t="n">
        <v>0.33</v>
      </c>
      <c r="P926" t="n">
        <v>1</v>
      </c>
      <c r="Q926" t="n">
        <v>0.1</v>
      </c>
      <c r="R926" t="n">
        <v>1</v>
      </c>
      <c r="S926" t="n">
        <v>8085.000000000001</v>
      </c>
      <c r="T926" t="n">
        <v>9</v>
      </c>
      <c r="U926" t="n">
        <v>10</v>
      </c>
      <c r="V926" t="n">
        <v>30</v>
      </c>
      <c r="W926" t="n">
        <v>5</v>
      </c>
      <c r="X926" t="n">
        <v>6.184291898577612</v>
      </c>
      <c r="Y926" t="n">
        <v>1</v>
      </c>
      <c r="Z926" t="n">
        <v>1</v>
      </c>
      <c r="AA926" t="n">
        <v>0</v>
      </c>
      <c r="AB926" t="n">
        <v>1</v>
      </c>
      <c r="AC926" t="n">
        <v>3</v>
      </c>
      <c r="AD926" t="n">
        <v>0</v>
      </c>
      <c r="AE926" t="n">
        <v>122991</v>
      </c>
      <c r="AF926" t="n">
        <v>11575</v>
      </c>
      <c r="AG926" t="n">
        <v>2141</v>
      </c>
      <c r="AH926" t="inlineStr">
        <is>
          <t>PT. PARAMA GLOBAL INSPIRA - PPN (JMB)</t>
        </is>
      </c>
      <c r="AI926" t="n">
        <v>63</v>
      </c>
      <c r="AJ926" t="inlineStr">
        <is>
          <t>EMINA</t>
        </is>
      </c>
      <c r="AK926" t="n">
        <v>9</v>
      </c>
      <c r="AL926" t="inlineStr">
        <is>
          <t>Miss Glam Jambi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"8993137713733"</f>
        <v/>
      </c>
      <c r="C927" t="inlineStr">
        <is>
          <t>EMINA Bright Stuff Face Serum 7.5ml</t>
        </is>
      </c>
      <c r="D927" t="inlineStr">
        <is>
          <t>Miss Glam Jambi</t>
        </is>
      </c>
      <c r="E927" t="n">
        <v>2</v>
      </c>
      <c r="F927" t="n">
        <v>0.07000000000000001</v>
      </c>
      <c r="G927" t="n">
        <v>1</v>
      </c>
      <c r="H927" t="n">
        <v>2</v>
      </c>
      <c r="I927" t="n">
        <v>7</v>
      </c>
      <c r="J927" t="n">
        <v>3</v>
      </c>
      <c r="K927" t="n">
        <v>3</v>
      </c>
      <c r="L927" t="n">
        <v>13410</v>
      </c>
      <c r="M927" t="n">
        <v>16500</v>
      </c>
      <c r="N927" t="n">
        <v>33</v>
      </c>
      <c r="O927" t="n">
        <v>0.33</v>
      </c>
      <c r="P927" t="n">
        <v>0</v>
      </c>
      <c r="Q927" t="n">
        <v>0.07000000000000001</v>
      </c>
      <c r="R927" t="n">
        <v>1</v>
      </c>
      <c r="S927" t="n">
        <v>1155</v>
      </c>
      <c r="T927" t="n">
        <v>7</v>
      </c>
      <c r="U927" t="n">
        <v>8</v>
      </c>
      <c r="V927" t="n">
        <v>30</v>
      </c>
      <c r="W927" t="n">
        <v>3</v>
      </c>
      <c r="X927" t="n">
        <v>28.57142857142857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11575</v>
      </c>
      <c r="AG927" t="n">
        <v>2141</v>
      </c>
      <c r="AH927" t="inlineStr">
        <is>
          <t>PT. PARAMA GLOBAL INSPIRA - PPN (JMB)</t>
        </is>
      </c>
      <c r="AI927" t="n">
        <v>63</v>
      </c>
      <c r="AJ927" t="inlineStr">
        <is>
          <t>EMINA</t>
        </is>
      </c>
      <c r="AK927" t="n">
        <v>9</v>
      </c>
      <c r="AL927" t="inlineStr">
        <is>
          <t>Miss Glam Jambi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"8993137711029"</f>
        <v/>
      </c>
      <c r="C928" t="inlineStr">
        <is>
          <t>EMINA Bright Stuff Face Toner 100ml</t>
        </is>
      </c>
      <c r="D928" t="inlineStr">
        <is>
          <t>Miss Glam Jambi</t>
        </is>
      </c>
      <c r="E928" t="n">
        <v>1</v>
      </c>
      <c r="F928" t="n">
        <v>0.2574</v>
      </c>
      <c r="G928" t="n">
        <v>1.32</v>
      </c>
      <c r="H928" t="n">
        <v>2</v>
      </c>
      <c r="I928" t="n">
        <v>7</v>
      </c>
      <c r="J928" t="n">
        <v>3</v>
      </c>
      <c r="K928" t="n">
        <v>6</v>
      </c>
      <c r="L928" t="n">
        <v>22989</v>
      </c>
      <c r="M928" t="n">
        <v>28000</v>
      </c>
      <c r="N928" t="n">
        <v>33</v>
      </c>
      <c r="O928" t="n">
        <v>0.33</v>
      </c>
      <c r="P928" t="n">
        <v>1</v>
      </c>
      <c r="Q928" t="n">
        <v>0.1</v>
      </c>
      <c r="R928" t="n">
        <v>2</v>
      </c>
      <c r="S928" t="n">
        <v>7207.200000000001</v>
      </c>
      <c r="T928" t="n">
        <v>9</v>
      </c>
      <c r="U928" t="n">
        <v>10</v>
      </c>
      <c r="V928" t="n">
        <v>30</v>
      </c>
      <c r="W928" t="n">
        <v>8</v>
      </c>
      <c r="X928" t="n">
        <v>3.885003885003885</v>
      </c>
      <c r="Y928" t="n">
        <v>1</v>
      </c>
      <c r="Z928" t="n">
        <v>1</v>
      </c>
      <c r="AA928" t="n">
        <v>0</v>
      </c>
      <c r="AB928" t="n">
        <v>1</v>
      </c>
      <c r="AC928" t="n">
        <v>3</v>
      </c>
      <c r="AD928" t="n">
        <v>0</v>
      </c>
      <c r="AE928" t="n">
        <v>68967</v>
      </c>
      <c r="AF928" t="n">
        <v>11575</v>
      </c>
      <c r="AG928" t="n">
        <v>2141</v>
      </c>
      <c r="AH928" t="inlineStr">
        <is>
          <t>PT. PARAMA GLOBAL INSPIRA - PPN (JMB)</t>
        </is>
      </c>
      <c r="AI928" t="n">
        <v>63</v>
      </c>
      <c r="AJ928" t="inlineStr">
        <is>
          <t>EMINA</t>
        </is>
      </c>
      <c r="AK928" t="n">
        <v>9</v>
      </c>
      <c r="AL928" t="inlineStr">
        <is>
          <t>Miss Glam Jambi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"8993137713184"</f>
        <v/>
      </c>
      <c r="C929" t="inlineStr">
        <is>
          <t>EMINA Bright Stuff Face Toner 50 ml</t>
        </is>
      </c>
      <c r="D929" t="inlineStr">
        <is>
          <t>Miss Glam Jambi</t>
        </is>
      </c>
      <c r="E929" t="n">
        <v>33</v>
      </c>
      <c r="F929" t="n">
        <v>0.1056</v>
      </c>
      <c r="G929" t="n">
        <v>0.99</v>
      </c>
      <c r="H929" t="n">
        <v>2</v>
      </c>
      <c r="I929" t="n">
        <v>7</v>
      </c>
      <c r="J929" t="n">
        <v>3</v>
      </c>
      <c r="K929" t="n">
        <v>0</v>
      </c>
      <c r="L929" t="n">
        <v>14560</v>
      </c>
      <c r="M929" t="n">
        <v>18000</v>
      </c>
      <c r="N929" t="n">
        <v>33</v>
      </c>
      <c r="O929" t="n">
        <v>0.33</v>
      </c>
      <c r="P929" t="n">
        <v>1</v>
      </c>
      <c r="Q929" t="n">
        <v>0.14</v>
      </c>
      <c r="R929" t="n">
        <v>2</v>
      </c>
      <c r="S929" t="n">
        <v>1900.8</v>
      </c>
      <c r="T929" t="n">
        <v>7</v>
      </c>
      <c r="U929" t="n">
        <v>8</v>
      </c>
      <c r="V929" t="n">
        <v>30</v>
      </c>
      <c r="W929" t="n">
        <v>4</v>
      </c>
      <c r="X929" t="n">
        <v>312.4999999999999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11575</v>
      </c>
      <c r="AG929" t="n">
        <v>2141</v>
      </c>
      <c r="AH929" t="inlineStr">
        <is>
          <t>PT. PARAMA GLOBAL INSPIRA - PPN (JMB)</t>
        </is>
      </c>
      <c r="AI929" t="n">
        <v>63</v>
      </c>
      <c r="AJ929" t="inlineStr">
        <is>
          <t>EMINA</t>
        </is>
      </c>
      <c r="AK929" t="n">
        <v>9</v>
      </c>
      <c r="AL929" t="inlineStr">
        <is>
          <t>Miss Glam Jambi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"8993137708289"</f>
        <v/>
      </c>
      <c r="C930" t="inlineStr">
        <is>
          <t>EMINA Bright Stuff for Acne Prone Skin Face Wash 50ml</t>
        </is>
      </c>
      <c r="D930" t="inlineStr">
        <is>
          <t>Miss Glam Jambi</t>
        </is>
      </c>
      <c r="E930" t="n">
        <v>13</v>
      </c>
      <c r="F930" t="n">
        <v>0.4092</v>
      </c>
      <c r="G930" t="n">
        <v>1.98</v>
      </c>
      <c r="H930" t="n">
        <v>2</v>
      </c>
      <c r="I930" t="n">
        <v>7</v>
      </c>
      <c r="J930" t="n">
        <v>3</v>
      </c>
      <c r="K930" t="n">
        <v>0</v>
      </c>
      <c r="L930" t="n">
        <v>15709</v>
      </c>
      <c r="M930" t="n">
        <v>19500</v>
      </c>
      <c r="N930" t="n">
        <v>33</v>
      </c>
      <c r="O930" t="n">
        <v>0.33</v>
      </c>
      <c r="P930" t="n">
        <v>1</v>
      </c>
      <c r="Q930" t="n">
        <v>0.34</v>
      </c>
      <c r="R930" t="n">
        <v>4</v>
      </c>
      <c r="S930" t="n">
        <v>7979.400000000001</v>
      </c>
      <c r="T930" t="n">
        <v>14</v>
      </c>
      <c r="U930" t="n">
        <v>15</v>
      </c>
      <c r="V930" t="n">
        <v>30</v>
      </c>
      <c r="W930" t="n">
        <v>13</v>
      </c>
      <c r="X930" t="n">
        <v>31.76930596285435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11575</v>
      </c>
      <c r="AG930" t="n">
        <v>2141</v>
      </c>
      <c r="AH930" t="inlineStr">
        <is>
          <t>PT. PARAMA GLOBAL INSPIRA - PPN (JMB)</t>
        </is>
      </c>
      <c r="AI930" t="n">
        <v>63</v>
      </c>
      <c r="AJ930" t="inlineStr">
        <is>
          <t>EMINA</t>
        </is>
      </c>
      <c r="AK930" t="n">
        <v>9</v>
      </c>
      <c r="AL930" t="inlineStr">
        <is>
          <t>Miss Glam Jambi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"8993137707510"</f>
        <v/>
      </c>
      <c r="C931" t="inlineStr">
        <is>
          <t>EMINA Bright Stuff for Acne Prone Skin Moisturizing Cream 20ml</t>
        </is>
      </c>
      <c r="D931" t="inlineStr">
        <is>
          <t>Miss Glam Jambi</t>
        </is>
      </c>
      <c r="E931" t="n">
        <v>0</v>
      </c>
      <c r="F931" t="n">
        <v>0.3927</v>
      </c>
      <c r="G931" t="n">
        <v>2.97</v>
      </c>
      <c r="H931" t="n">
        <v>2</v>
      </c>
      <c r="I931" t="n">
        <v>7</v>
      </c>
      <c r="J931" t="n">
        <v>3</v>
      </c>
      <c r="K931" t="n">
        <v>10</v>
      </c>
      <c r="L931" t="n">
        <v>20307</v>
      </c>
      <c r="M931" t="n">
        <v>25000</v>
      </c>
      <c r="N931" t="n">
        <v>33</v>
      </c>
      <c r="O931" t="n">
        <v>0.33</v>
      </c>
      <c r="P931" t="n">
        <v>1</v>
      </c>
      <c r="Q931" t="n">
        <v>0.15</v>
      </c>
      <c r="R931" t="n">
        <v>2</v>
      </c>
      <c r="S931" t="n">
        <v>9817.5</v>
      </c>
      <c r="T931" t="n">
        <v>21</v>
      </c>
      <c r="U931" t="n">
        <v>22</v>
      </c>
      <c r="V931" t="n">
        <v>30</v>
      </c>
      <c r="W931" t="n">
        <v>12</v>
      </c>
      <c r="X931" t="n">
        <v>0</v>
      </c>
      <c r="Y931" t="n">
        <v>1</v>
      </c>
      <c r="Z931" t="n">
        <v>2</v>
      </c>
      <c r="AA931" t="n">
        <v>2</v>
      </c>
      <c r="AB931" t="n">
        <v>0</v>
      </c>
      <c r="AC931" t="n">
        <v>0</v>
      </c>
      <c r="AD931" t="n">
        <v>40614</v>
      </c>
      <c r="AE931" t="n">
        <v>0</v>
      </c>
      <c r="AF931" t="n">
        <v>11575</v>
      </c>
      <c r="AG931" t="n">
        <v>2141</v>
      </c>
      <c r="AH931" t="inlineStr">
        <is>
          <t>PT. PARAMA GLOBAL INSPIRA - PPN (JMB)</t>
        </is>
      </c>
      <c r="AI931" t="n">
        <v>63</v>
      </c>
      <c r="AJ931" t="inlineStr">
        <is>
          <t>EMINA</t>
        </is>
      </c>
      <c r="AK931" t="n">
        <v>9</v>
      </c>
      <c r="AL931" t="inlineStr">
        <is>
          <t>Miss Glam Jambi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"8993137703246"</f>
        <v/>
      </c>
      <c r="C932" t="inlineStr">
        <is>
          <t>EMINA Bright Stuff Loose Powder 55gr</t>
        </is>
      </c>
      <c r="D932" t="inlineStr">
        <is>
          <t>Miss Glam Jambi</t>
        </is>
      </c>
      <c r="E932" t="n">
        <v>8</v>
      </c>
      <c r="F932" t="n">
        <v>1.5675</v>
      </c>
      <c r="G932" t="n">
        <v>2.97</v>
      </c>
      <c r="H932" t="n">
        <v>2</v>
      </c>
      <c r="I932" t="n">
        <v>7</v>
      </c>
      <c r="J932" t="n">
        <v>6</v>
      </c>
      <c r="K932" t="n">
        <v>35</v>
      </c>
      <c r="L932" t="n">
        <v>20684</v>
      </c>
      <c r="M932" t="n">
        <v>24500</v>
      </c>
      <c r="N932" t="n">
        <v>33</v>
      </c>
      <c r="O932" t="n">
        <v>0.33</v>
      </c>
      <c r="P932" t="n">
        <v>1</v>
      </c>
      <c r="Q932" t="n">
        <v>0.66</v>
      </c>
      <c r="R932" t="n">
        <v>3</v>
      </c>
      <c r="S932" t="n">
        <v>38403.75</v>
      </c>
      <c r="T932" t="n">
        <v>18</v>
      </c>
      <c r="U932" t="n">
        <v>22</v>
      </c>
      <c r="V932" t="n">
        <v>30</v>
      </c>
      <c r="W932" t="n">
        <v>48</v>
      </c>
      <c r="X932" t="n">
        <v>5.103668261562998</v>
      </c>
      <c r="Y932" t="n">
        <v>1</v>
      </c>
      <c r="Z932" t="n">
        <v>5</v>
      </c>
      <c r="AA932" t="n">
        <v>2</v>
      </c>
      <c r="AB932" t="n">
        <v>3</v>
      </c>
      <c r="AC932" t="n">
        <v>6</v>
      </c>
      <c r="AD932" t="n">
        <v>41368</v>
      </c>
      <c r="AE932" t="n">
        <v>124104</v>
      </c>
      <c r="AF932" t="n">
        <v>11575</v>
      </c>
      <c r="AG932" t="n">
        <v>2141</v>
      </c>
      <c r="AH932" t="inlineStr">
        <is>
          <t>PT. PARAMA GLOBAL INSPIRA - PPN (JMB)</t>
        </is>
      </c>
      <c r="AI932" t="n">
        <v>63</v>
      </c>
      <c r="AJ932" t="inlineStr">
        <is>
          <t>EMINA</t>
        </is>
      </c>
      <c r="AK932" t="n">
        <v>9</v>
      </c>
      <c r="AL932" t="inlineStr">
        <is>
          <t>Miss Glam Jambi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"8993137712408"</f>
        <v/>
      </c>
      <c r="C933" t="inlineStr">
        <is>
          <t>EMINA Bright Stuff Micellar Water 50ml</t>
        </is>
      </c>
      <c r="D933" t="inlineStr">
        <is>
          <t>Miss Glam Jambi</t>
        </is>
      </c>
      <c r="E933" t="n">
        <v>6</v>
      </c>
      <c r="F933" t="n">
        <v>0.1188</v>
      </c>
      <c r="G933" t="n">
        <v>0.99</v>
      </c>
      <c r="H933" t="n">
        <v>2</v>
      </c>
      <c r="I933" t="n">
        <v>7</v>
      </c>
      <c r="J933" t="n">
        <v>3</v>
      </c>
      <c r="K933" t="n">
        <v>0</v>
      </c>
      <c r="L933" t="n">
        <v>13410</v>
      </c>
      <c r="M933" t="n">
        <v>16500</v>
      </c>
      <c r="N933" t="n">
        <v>33</v>
      </c>
      <c r="O933" t="n">
        <v>0.33</v>
      </c>
      <c r="P933" t="n">
        <v>1</v>
      </c>
      <c r="Q933" t="n">
        <v>0.12</v>
      </c>
      <c r="R933" t="n">
        <v>2</v>
      </c>
      <c r="S933" t="n">
        <v>1960.2</v>
      </c>
      <c r="T933" t="n">
        <v>7</v>
      </c>
      <c r="U933" t="n">
        <v>8</v>
      </c>
      <c r="V933" t="n">
        <v>30</v>
      </c>
      <c r="W933" t="n">
        <v>4</v>
      </c>
      <c r="X933" t="n">
        <v>50.50505050505051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11575</v>
      </c>
      <c r="AG933" t="n">
        <v>2141</v>
      </c>
      <c r="AH933" t="inlineStr">
        <is>
          <t>PT. PARAMA GLOBAL INSPIRA - PPN (JMB)</t>
        </is>
      </c>
      <c r="AI933" t="n">
        <v>63</v>
      </c>
      <c r="AJ933" t="inlineStr">
        <is>
          <t>EMINA</t>
        </is>
      </c>
      <c r="AK933" t="n">
        <v>9</v>
      </c>
      <c r="AL933" t="inlineStr">
        <is>
          <t>Miss Glam Jambi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"8993137702102"</f>
        <v/>
      </c>
      <c r="C934" t="inlineStr">
        <is>
          <t>EMINA Bright Stuff Moisturizing Cream 20ml</t>
        </is>
      </c>
      <c r="D934" t="inlineStr">
        <is>
          <t>Miss Glam Jambi</t>
        </is>
      </c>
      <c r="E934" t="n">
        <v>15</v>
      </c>
      <c r="F934" t="n">
        <v>0.7161</v>
      </c>
      <c r="G934" t="n">
        <v>3.3</v>
      </c>
      <c r="H934" t="n">
        <v>2</v>
      </c>
      <c r="I934" t="n">
        <v>7</v>
      </c>
      <c r="J934" t="n">
        <v>3</v>
      </c>
      <c r="K934" t="n">
        <v>7</v>
      </c>
      <c r="L934" t="n">
        <v>19541</v>
      </c>
      <c r="M934" t="n">
        <v>24000</v>
      </c>
      <c r="N934" t="n">
        <v>33</v>
      </c>
      <c r="O934" t="n">
        <v>0.33</v>
      </c>
      <c r="P934" t="n">
        <v>1</v>
      </c>
      <c r="Q934" t="n">
        <v>0.24</v>
      </c>
      <c r="R934" t="n">
        <v>4</v>
      </c>
      <c r="S934" t="n">
        <v>17186.4</v>
      </c>
      <c r="T934" t="n">
        <v>22</v>
      </c>
      <c r="U934" t="n">
        <v>24</v>
      </c>
      <c r="V934" t="n">
        <v>30</v>
      </c>
      <c r="W934" t="n">
        <v>22</v>
      </c>
      <c r="X934" t="n">
        <v>20.94679514034353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11575</v>
      </c>
      <c r="AG934" t="n">
        <v>2141</v>
      </c>
      <c r="AH934" t="inlineStr">
        <is>
          <t>PT. PARAMA GLOBAL INSPIRA - PPN (JMB)</t>
        </is>
      </c>
      <c r="AI934" t="n">
        <v>63</v>
      </c>
      <c r="AJ934" t="inlineStr">
        <is>
          <t>EMINA</t>
        </is>
      </c>
      <c r="AK934" t="n">
        <v>9</v>
      </c>
      <c r="AL934" t="inlineStr">
        <is>
          <t>Miss Glam Jambi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"8993137727716"</f>
        <v/>
      </c>
      <c r="C935" t="inlineStr">
        <is>
          <t>EMINA Bright Stuff Night Cream With Summer Plum Extract 20gr</t>
        </is>
      </c>
      <c r="D935" t="inlineStr">
        <is>
          <t>Miss Glam Jambi</t>
        </is>
      </c>
      <c r="E935" t="n">
        <v>2</v>
      </c>
      <c r="F935" t="n">
        <v>0.066</v>
      </c>
      <c r="G935" t="n">
        <v>0.66</v>
      </c>
      <c r="H935" t="n">
        <v>2</v>
      </c>
      <c r="I935" t="n">
        <v>7</v>
      </c>
      <c r="J935" t="n">
        <v>3</v>
      </c>
      <c r="K935" t="n">
        <v>0</v>
      </c>
      <c r="L935" t="n">
        <v>20690</v>
      </c>
      <c r="M935" t="n">
        <v>25500</v>
      </c>
      <c r="N935" t="n">
        <v>33</v>
      </c>
      <c r="O935" t="n">
        <v>0.33</v>
      </c>
      <c r="P935" t="n">
        <v>1</v>
      </c>
      <c r="Q935" t="n">
        <v>0.12</v>
      </c>
      <c r="R935" t="n">
        <v>1</v>
      </c>
      <c r="S935" t="n">
        <v>1683</v>
      </c>
      <c r="T935" t="n">
        <v>5</v>
      </c>
      <c r="U935" t="n">
        <v>6</v>
      </c>
      <c r="V935" t="n">
        <v>30</v>
      </c>
      <c r="W935" t="n">
        <v>2</v>
      </c>
      <c r="X935" t="n">
        <v>30.3030303030303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11575</v>
      </c>
      <c r="AG935" t="n">
        <v>2141</v>
      </c>
      <c r="AH935" t="inlineStr">
        <is>
          <t>PT. PARAMA GLOBAL INSPIRA - PPN (JMB)</t>
        </is>
      </c>
      <c r="AI935" t="n">
        <v>63</v>
      </c>
      <c r="AJ935" t="inlineStr">
        <is>
          <t>EMINA</t>
        </is>
      </c>
      <c r="AK935" t="n">
        <v>9</v>
      </c>
      <c r="AL935" t="inlineStr">
        <is>
          <t>Miss Glam Jambi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"8993137694582"</f>
        <v/>
      </c>
      <c r="C936" t="inlineStr">
        <is>
          <t>EMINA Brush Set</t>
        </is>
      </c>
      <c r="D936" t="inlineStr">
        <is>
          <t>Miss Glam Jambi</t>
        </is>
      </c>
      <c r="E936" t="n">
        <v>2</v>
      </c>
      <c r="F936" t="n">
        <v>0.14</v>
      </c>
      <c r="G936" t="n">
        <v>2</v>
      </c>
      <c r="H936" t="n">
        <v>2</v>
      </c>
      <c r="I936" t="n">
        <v>7</v>
      </c>
      <c r="J936" t="n">
        <v>3</v>
      </c>
      <c r="K936" t="n">
        <v>3</v>
      </c>
      <c r="L936" t="n">
        <v>65116</v>
      </c>
      <c r="M936" t="n">
        <v>89000</v>
      </c>
      <c r="N936" t="n">
        <v>33</v>
      </c>
      <c r="O936" t="n">
        <v>0.33</v>
      </c>
      <c r="P936" t="n">
        <v>0</v>
      </c>
      <c r="Q936" t="n">
        <v>0.14</v>
      </c>
      <c r="R936" t="n">
        <v>2</v>
      </c>
      <c r="S936" t="n">
        <v>12460</v>
      </c>
      <c r="T936" t="n">
        <v>14</v>
      </c>
      <c r="U936" t="n">
        <v>15</v>
      </c>
      <c r="V936" t="n">
        <v>30</v>
      </c>
      <c r="W936" t="n">
        <v>5</v>
      </c>
      <c r="X936" t="n">
        <v>14.28571428571428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11575</v>
      </c>
      <c r="AG936" t="n">
        <v>2141</v>
      </c>
      <c r="AH936" t="inlineStr">
        <is>
          <t>PT. PARAMA GLOBAL INSPIRA - PPN (JMB)</t>
        </is>
      </c>
      <c r="AI936" t="n">
        <v>63</v>
      </c>
      <c r="AJ936" t="inlineStr">
        <is>
          <t>EMINA</t>
        </is>
      </c>
      <c r="AK936" t="n">
        <v>9</v>
      </c>
      <c r="AL936" t="inlineStr">
        <is>
          <t>Miss Glam Jambi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"8993137708944"</f>
        <v/>
      </c>
      <c r="C937" t="inlineStr">
        <is>
          <t>EMINA Cheek Lit Blush Stick Pink 7gr</t>
        </is>
      </c>
      <c r="D937" t="inlineStr">
        <is>
          <t>Miss Glam Jambi</t>
        </is>
      </c>
      <c r="E937" t="n">
        <v>2</v>
      </c>
      <c r="F937" t="n">
        <v>0.0561</v>
      </c>
      <c r="G937" t="n">
        <v>0.33</v>
      </c>
      <c r="H937" t="n">
        <v>2</v>
      </c>
      <c r="I937" t="n">
        <v>7</v>
      </c>
      <c r="J937" t="n">
        <v>3</v>
      </c>
      <c r="K937" t="n">
        <v>0</v>
      </c>
      <c r="L937" t="n">
        <v>44541</v>
      </c>
      <c r="M937" t="n">
        <v>52000</v>
      </c>
      <c r="N937" t="n">
        <v>33</v>
      </c>
      <c r="O937" t="n">
        <v>0.33</v>
      </c>
      <c r="P937" t="n">
        <v>1</v>
      </c>
      <c r="Q937" t="n">
        <v>0.07000000000000001</v>
      </c>
      <c r="R937" t="n">
        <v>1</v>
      </c>
      <c r="S937" t="n">
        <v>2917.2</v>
      </c>
      <c r="T937" t="n">
        <v>3</v>
      </c>
      <c r="U937" t="n">
        <v>4</v>
      </c>
      <c r="V937" t="n">
        <v>30</v>
      </c>
      <c r="W937" t="n">
        <v>2</v>
      </c>
      <c r="X937" t="n">
        <v>35.650623885918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11575</v>
      </c>
      <c r="AG937" t="n">
        <v>2141</v>
      </c>
      <c r="AH937" t="inlineStr">
        <is>
          <t>PT. PARAMA GLOBAL INSPIRA - PPN (JMB)</t>
        </is>
      </c>
      <c r="AI937" t="n">
        <v>63</v>
      </c>
      <c r="AJ937" t="inlineStr">
        <is>
          <t>EMINA</t>
        </is>
      </c>
      <c r="AK937" t="n">
        <v>9</v>
      </c>
      <c r="AL937" t="inlineStr">
        <is>
          <t>Miss Glam Jambi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"8993137691499"</f>
        <v/>
      </c>
      <c r="C938" t="inlineStr">
        <is>
          <t>EMINA Cheek Lit Cream Blush Nudie Pink 10ml</t>
        </is>
      </c>
      <c r="D938" t="inlineStr">
        <is>
          <t>Miss Glam Jambi</t>
        </is>
      </c>
      <c r="E938" t="n">
        <v>0</v>
      </c>
      <c r="F938" t="n">
        <v>0.006600000000000001</v>
      </c>
      <c r="G938" t="n">
        <v>0.33</v>
      </c>
      <c r="H938" t="n">
        <v>2</v>
      </c>
      <c r="I938" t="n">
        <v>7</v>
      </c>
      <c r="J938" t="n">
        <v>3</v>
      </c>
      <c r="K938" t="n">
        <v>0</v>
      </c>
      <c r="L938" t="n">
        <v>26054</v>
      </c>
      <c r="M938" t="n">
        <v>31000</v>
      </c>
      <c r="N938" t="n">
        <v>33</v>
      </c>
      <c r="O938" t="n">
        <v>0.33</v>
      </c>
      <c r="P938" t="n">
        <v>1</v>
      </c>
      <c r="Q938" t="n">
        <v>0.08</v>
      </c>
      <c r="R938" t="n">
        <v>1</v>
      </c>
      <c r="S938" t="n">
        <v>204.6</v>
      </c>
      <c r="T938" t="n">
        <v>3</v>
      </c>
      <c r="U938" t="n">
        <v>4</v>
      </c>
      <c r="V938" t="n">
        <v>30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n">
        <v>0</v>
      </c>
      <c r="AC938" t="n">
        <v>0</v>
      </c>
      <c r="AD938" t="n">
        <v>26054</v>
      </c>
      <c r="AE938" t="n">
        <v>0</v>
      </c>
      <c r="AF938" t="n">
        <v>11575</v>
      </c>
      <c r="AG938" t="n">
        <v>2141</v>
      </c>
      <c r="AH938" t="inlineStr">
        <is>
          <t>PT. PARAMA GLOBAL INSPIRA - PPN (JMB)</t>
        </is>
      </c>
      <c r="AI938" t="n">
        <v>63</v>
      </c>
      <c r="AJ938" t="inlineStr">
        <is>
          <t>EMINA</t>
        </is>
      </c>
      <c r="AK938" t="n">
        <v>9</v>
      </c>
      <c r="AL938" t="inlineStr">
        <is>
          <t>Miss Glam Jambi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"8993137711579"</f>
        <v/>
      </c>
      <c r="C939" t="inlineStr">
        <is>
          <t>EMINA Cheek Lit Highlighter Powder Nudesparkle 3.8gr</t>
        </is>
      </c>
      <c r="D939" t="inlineStr">
        <is>
          <t>Miss Glam Jambi</t>
        </is>
      </c>
      <c r="E939" t="n">
        <v>0</v>
      </c>
      <c r="F939" t="n">
        <v>0.06</v>
      </c>
      <c r="G939" t="n">
        <v>1</v>
      </c>
      <c r="H939" t="n">
        <v>2</v>
      </c>
      <c r="I939" t="n">
        <v>7</v>
      </c>
      <c r="J939" t="n">
        <v>3</v>
      </c>
      <c r="K939" t="n">
        <v>3</v>
      </c>
      <c r="L939" t="n">
        <v>35633</v>
      </c>
      <c r="M939" t="n">
        <v>42500</v>
      </c>
      <c r="N939" t="n">
        <v>33</v>
      </c>
      <c r="O939" t="n">
        <v>0.33</v>
      </c>
      <c r="P939" t="n">
        <v>0</v>
      </c>
      <c r="Q939" t="n">
        <v>0.06</v>
      </c>
      <c r="R939" t="n">
        <v>1</v>
      </c>
      <c r="S939" t="n">
        <v>2550</v>
      </c>
      <c r="T939" t="n">
        <v>7</v>
      </c>
      <c r="U939" t="n">
        <v>8</v>
      </c>
      <c r="V939" t="n">
        <v>30</v>
      </c>
      <c r="W939" t="n">
        <v>2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11575</v>
      </c>
      <c r="AG939" t="n">
        <v>2141</v>
      </c>
      <c r="AH939" t="inlineStr">
        <is>
          <t>PT. PARAMA GLOBAL INSPIRA - PPN (JMB)</t>
        </is>
      </c>
      <c r="AI939" t="n">
        <v>63</v>
      </c>
      <c r="AJ939" t="inlineStr">
        <is>
          <t>EMINA</t>
        </is>
      </c>
      <c r="AK939" t="n">
        <v>9</v>
      </c>
      <c r="AL939" t="inlineStr">
        <is>
          <t>Miss Glam Jambi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"8993137708968"</f>
        <v/>
      </c>
      <c r="C940" t="inlineStr">
        <is>
          <t>EMINA Cheek Lit Highlighter Stick Nudetwinkle 7gr</t>
        </is>
      </c>
      <c r="D940" t="inlineStr">
        <is>
          <t>Miss Glam Jambi</t>
        </is>
      </c>
      <c r="E940" t="n">
        <v>1</v>
      </c>
      <c r="F940" t="n">
        <v>0.03</v>
      </c>
      <c r="G940" t="n">
        <v>1</v>
      </c>
      <c r="H940" t="n">
        <v>2</v>
      </c>
      <c r="I940" t="n">
        <v>7</v>
      </c>
      <c r="J940" t="n">
        <v>3</v>
      </c>
      <c r="K940" t="n">
        <v>0</v>
      </c>
      <c r="L940" t="n">
        <v>42913</v>
      </c>
      <c r="M940" t="n">
        <v>52500</v>
      </c>
      <c r="N940" t="n">
        <v>33</v>
      </c>
      <c r="O940" t="n">
        <v>0.33</v>
      </c>
      <c r="P940" t="n">
        <v>0</v>
      </c>
      <c r="Q940" t="n">
        <v>0.03</v>
      </c>
      <c r="R940" t="n">
        <v>1</v>
      </c>
      <c r="S940" t="n">
        <v>1575</v>
      </c>
      <c r="T940" t="n">
        <v>7</v>
      </c>
      <c r="U940" t="n">
        <v>8</v>
      </c>
      <c r="V940" t="n">
        <v>30</v>
      </c>
      <c r="W940" t="n">
        <v>1</v>
      </c>
      <c r="X940" t="n">
        <v>33.33333333333334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11575</v>
      </c>
      <c r="AG940" t="n">
        <v>2141</v>
      </c>
      <c r="AH940" t="inlineStr">
        <is>
          <t>PT. PARAMA GLOBAL INSPIRA - PPN (JMB)</t>
        </is>
      </c>
      <c r="AI940" t="n">
        <v>63</v>
      </c>
      <c r="AJ940" t="inlineStr">
        <is>
          <t>EMINA</t>
        </is>
      </c>
      <c r="AK940" t="n">
        <v>9</v>
      </c>
      <c r="AL940" t="inlineStr">
        <is>
          <t>Miss Glam Jambi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"8993137731478"</f>
        <v/>
      </c>
      <c r="C941" t="inlineStr">
        <is>
          <t>EMINA Cheek Lit Pressed Blush Apple Crumble 3,5 gr</t>
        </is>
      </c>
      <c r="D941" t="inlineStr">
        <is>
          <t>Miss Glam Jambi</t>
        </is>
      </c>
      <c r="E941" t="n">
        <v>1</v>
      </c>
      <c r="F941" t="n">
        <v>0.0231</v>
      </c>
      <c r="G941" t="n">
        <v>0.66</v>
      </c>
      <c r="H941" t="n">
        <v>2</v>
      </c>
      <c r="I941" t="n">
        <v>7</v>
      </c>
      <c r="J941" t="n">
        <v>3</v>
      </c>
      <c r="K941" t="n">
        <v>0</v>
      </c>
      <c r="L941" t="n">
        <v>31878</v>
      </c>
      <c r="M941" t="n">
        <v>39500</v>
      </c>
      <c r="N941" t="n">
        <v>33</v>
      </c>
      <c r="O941" t="n">
        <v>0.33</v>
      </c>
      <c r="P941" t="n">
        <v>1</v>
      </c>
      <c r="Q941" t="n">
        <v>0.07000000000000001</v>
      </c>
      <c r="R941" t="n">
        <v>1</v>
      </c>
      <c r="S941" t="n">
        <v>912.45</v>
      </c>
      <c r="T941" t="n">
        <v>5</v>
      </c>
      <c r="U941" t="n">
        <v>6</v>
      </c>
      <c r="V941" t="n">
        <v>30</v>
      </c>
      <c r="W941" t="n">
        <v>1</v>
      </c>
      <c r="X941" t="n">
        <v>43.29004329004329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11575</v>
      </c>
      <c r="AG941" t="n">
        <v>2141</v>
      </c>
      <c r="AH941" t="inlineStr">
        <is>
          <t>PT. PARAMA GLOBAL INSPIRA - PPN (JMB)</t>
        </is>
      </c>
      <c r="AI941" t="n">
        <v>63</v>
      </c>
      <c r="AJ941" t="inlineStr">
        <is>
          <t>EMINA</t>
        </is>
      </c>
      <c r="AK941" t="n">
        <v>9</v>
      </c>
      <c r="AL941" t="inlineStr">
        <is>
          <t>Miss Glam Jambi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"8993137731485"</f>
        <v/>
      </c>
      <c r="C942" t="inlineStr">
        <is>
          <t>EMINA Cheek Lit Pressed Blush Cherry Popsicle 3,5gr</t>
        </is>
      </c>
      <c r="D942" t="inlineStr">
        <is>
          <t>Miss Glam Jambi</t>
        </is>
      </c>
      <c r="E942" t="n">
        <v>2</v>
      </c>
      <c r="F942" t="n">
        <v>0.15</v>
      </c>
      <c r="G942" t="n">
        <v>2</v>
      </c>
      <c r="H942" t="n">
        <v>2</v>
      </c>
      <c r="I942" t="n">
        <v>7</v>
      </c>
      <c r="J942" t="n">
        <v>3</v>
      </c>
      <c r="K942" t="n">
        <v>3</v>
      </c>
      <c r="L942" t="n">
        <v>32951</v>
      </c>
      <c r="M942" t="n">
        <v>39500</v>
      </c>
      <c r="N942" t="n">
        <v>33</v>
      </c>
      <c r="O942" t="n">
        <v>0.33</v>
      </c>
      <c r="P942" t="n">
        <v>0</v>
      </c>
      <c r="Q942" t="n">
        <v>0.15</v>
      </c>
      <c r="R942" t="n">
        <v>2</v>
      </c>
      <c r="S942" t="n">
        <v>5925</v>
      </c>
      <c r="T942" t="n">
        <v>14</v>
      </c>
      <c r="U942" t="n">
        <v>15</v>
      </c>
      <c r="V942" t="n">
        <v>30</v>
      </c>
      <c r="W942" t="n">
        <v>5</v>
      </c>
      <c r="X942" t="n">
        <v>13.33333333333333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11575</v>
      </c>
      <c r="AG942" t="n">
        <v>2141</v>
      </c>
      <c r="AH942" t="inlineStr">
        <is>
          <t>PT. PARAMA GLOBAL INSPIRA - PPN (JMB)</t>
        </is>
      </c>
      <c r="AI942" t="n">
        <v>63</v>
      </c>
      <c r="AJ942" t="inlineStr">
        <is>
          <t>EMINA</t>
        </is>
      </c>
      <c r="AK942" t="n">
        <v>9</v>
      </c>
      <c r="AL942" t="inlineStr">
        <is>
          <t>Miss Glam Jambi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"8993137691956"</f>
        <v/>
      </c>
      <c r="C943" t="inlineStr">
        <is>
          <t>EMINA Cheek Lit Pressed Blush Violet Berry 3.5gr</t>
        </is>
      </c>
      <c r="D943" t="inlineStr">
        <is>
          <t>Miss Glam Jambi</t>
        </is>
      </c>
      <c r="E943" t="n">
        <v>4</v>
      </c>
      <c r="F943" t="n">
        <v>0.1</v>
      </c>
      <c r="G943" t="n">
        <v>2</v>
      </c>
      <c r="H943" t="n">
        <v>2</v>
      </c>
      <c r="I943" t="n">
        <v>7</v>
      </c>
      <c r="J943" t="n">
        <v>3</v>
      </c>
      <c r="K943" t="n">
        <v>0</v>
      </c>
      <c r="L943" t="n">
        <v>32913</v>
      </c>
      <c r="M943" t="n">
        <v>39500</v>
      </c>
      <c r="N943" t="n">
        <v>33</v>
      </c>
      <c r="O943" t="n">
        <v>0.33</v>
      </c>
      <c r="P943" t="n">
        <v>0</v>
      </c>
      <c r="Q943" t="n">
        <v>0.1</v>
      </c>
      <c r="R943" t="n">
        <v>2</v>
      </c>
      <c r="S943" t="n">
        <v>3950</v>
      </c>
      <c r="T943" t="n">
        <v>14</v>
      </c>
      <c r="U943" t="n">
        <v>15</v>
      </c>
      <c r="V943" t="n">
        <v>30</v>
      </c>
      <c r="W943" t="n">
        <v>3</v>
      </c>
      <c r="X943" t="n">
        <v>40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11575</v>
      </c>
      <c r="AG943" t="n">
        <v>2141</v>
      </c>
      <c r="AH943" t="inlineStr">
        <is>
          <t>PT. PARAMA GLOBAL INSPIRA - PPN (JMB)</t>
        </is>
      </c>
      <c r="AI943" t="n">
        <v>63</v>
      </c>
      <c r="AJ943" t="inlineStr">
        <is>
          <t>EMINA</t>
        </is>
      </c>
      <c r="AK943" t="n">
        <v>9</v>
      </c>
      <c r="AL943" t="inlineStr">
        <is>
          <t>Miss Glam Jambi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"8993137691963"</f>
        <v/>
      </c>
      <c r="C944" t="inlineStr">
        <is>
          <t>EMINA Cheeklit Pressed Blush Cotton Candy 3,5gr</t>
        </is>
      </c>
      <c r="D944" t="inlineStr">
        <is>
          <t>Miss Glam Jambi</t>
        </is>
      </c>
      <c r="E944" t="n">
        <v>0</v>
      </c>
      <c r="F944" t="n">
        <v>0.0495</v>
      </c>
      <c r="G944" t="n">
        <v>0.66</v>
      </c>
      <c r="H944" t="n">
        <v>2</v>
      </c>
      <c r="I944" t="n">
        <v>7</v>
      </c>
      <c r="J944" t="n">
        <v>3</v>
      </c>
      <c r="K944" t="n">
        <v>3</v>
      </c>
      <c r="L944" t="n">
        <v>32863</v>
      </c>
      <c r="M944" t="n">
        <v>39500</v>
      </c>
      <c r="N944" t="n">
        <v>33</v>
      </c>
      <c r="O944" t="n">
        <v>0.33</v>
      </c>
      <c r="P944" t="n">
        <v>1</v>
      </c>
      <c r="Q944" t="n">
        <v>0.14</v>
      </c>
      <c r="R944" t="n">
        <v>1</v>
      </c>
      <c r="S944" t="n">
        <v>1955.25</v>
      </c>
      <c r="T944" t="n">
        <v>5</v>
      </c>
      <c r="U944" t="n">
        <v>6</v>
      </c>
      <c r="V944" t="n">
        <v>30</v>
      </c>
      <c r="W944" t="n">
        <v>2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11575</v>
      </c>
      <c r="AG944" t="n">
        <v>2141</v>
      </c>
      <c r="AH944" t="inlineStr">
        <is>
          <t>PT. PARAMA GLOBAL INSPIRA - PPN (JMB)</t>
        </is>
      </c>
      <c r="AI944" t="n">
        <v>63</v>
      </c>
      <c r="AJ944" t="inlineStr">
        <is>
          <t>EMINA</t>
        </is>
      </c>
      <c r="AK944" t="n">
        <v>9</v>
      </c>
      <c r="AL944" t="inlineStr">
        <is>
          <t>Miss Glam Jambi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"10300515323"</f>
        <v/>
      </c>
      <c r="C945" t="inlineStr">
        <is>
          <t>EMINA Cica Triacid Acne Clear Water Gel 30gr</t>
        </is>
      </c>
      <c r="D945" t="inlineStr">
        <is>
          <t>Miss Glam Jambi</t>
        </is>
      </c>
      <c r="E945" t="n">
        <v>10</v>
      </c>
      <c r="F945" t="n">
        <v>0.0165</v>
      </c>
      <c r="G945" t="n">
        <v>0.33</v>
      </c>
      <c r="H945" t="n">
        <v>2</v>
      </c>
      <c r="I945" t="n">
        <v>7</v>
      </c>
      <c r="J945" t="n">
        <v>1</v>
      </c>
      <c r="K945" t="n">
        <v>0</v>
      </c>
      <c r="L945" t="n">
        <v>32185</v>
      </c>
      <c r="M945" t="n">
        <v>39500</v>
      </c>
      <c r="N945" t="n">
        <v>33</v>
      </c>
      <c r="O945" t="n">
        <v>0.33</v>
      </c>
      <c r="P945" t="n">
        <v>1</v>
      </c>
      <c r="Q945" t="n">
        <v>0.03</v>
      </c>
      <c r="R945" t="n">
        <v>1</v>
      </c>
      <c r="S945" t="n">
        <v>651.75</v>
      </c>
      <c r="T945" t="n">
        <v>3</v>
      </c>
      <c r="U945" t="n">
        <v>4</v>
      </c>
      <c r="V945" t="n">
        <v>30</v>
      </c>
      <c r="W945" t="n">
        <v>1</v>
      </c>
      <c r="X945" t="n">
        <v>606.060606060606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11575</v>
      </c>
      <c r="AG945" t="n">
        <v>2141</v>
      </c>
      <c r="AH945" t="inlineStr">
        <is>
          <t>PT. PARAMA GLOBAL INSPIRA - PPN (JMB)</t>
        </is>
      </c>
      <c r="AI945" t="n">
        <v>63</v>
      </c>
      <c r="AJ945" t="inlineStr">
        <is>
          <t>EMINA</t>
        </is>
      </c>
      <c r="AK945" t="n">
        <v>9</v>
      </c>
      <c r="AL945" t="inlineStr">
        <is>
          <t>Miss Glam Jambi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"8993137708104"</f>
        <v/>
      </c>
      <c r="C946" t="inlineStr">
        <is>
          <t>EMINA Clay Mask Soothe &amp; Smooth 60ml</t>
        </is>
      </c>
      <c r="D946" t="inlineStr">
        <is>
          <t>Miss Glam Jambi</t>
        </is>
      </c>
      <c r="E946" t="n">
        <v>4</v>
      </c>
      <c r="F946" t="n">
        <v>0.02</v>
      </c>
      <c r="G946" t="n">
        <v>1</v>
      </c>
      <c r="H946" t="n">
        <v>2</v>
      </c>
      <c r="I946" t="n">
        <v>7</v>
      </c>
      <c r="J946" t="n">
        <v>3</v>
      </c>
      <c r="K946" t="n">
        <v>0</v>
      </c>
      <c r="L946" t="n">
        <v>32951</v>
      </c>
      <c r="M946" t="n">
        <v>40000</v>
      </c>
      <c r="N946" t="n">
        <v>33</v>
      </c>
      <c r="O946" t="n">
        <v>0.33</v>
      </c>
      <c r="P946" t="n">
        <v>0</v>
      </c>
      <c r="Q946" t="n">
        <v>0.02</v>
      </c>
      <c r="R946" t="n">
        <v>1</v>
      </c>
      <c r="S946" t="n">
        <v>800</v>
      </c>
      <c r="T946" t="n">
        <v>7</v>
      </c>
      <c r="U946" t="n">
        <v>8</v>
      </c>
      <c r="V946" t="n">
        <v>30</v>
      </c>
      <c r="W946" t="n">
        <v>1</v>
      </c>
      <c r="X946" t="n">
        <v>200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11575</v>
      </c>
      <c r="AG946" t="n">
        <v>2141</v>
      </c>
      <c r="AH946" t="inlineStr">
        <is>
          <t>PT. PARAMA GLOBAL INSPIRA - PPN (JMB)</t>
        </is>
      </c>
      <c r="AI946" t="n">
        <v>63</v>
      </c>
      <c r="AJ946" t="inlineStr">
        <is>
          <t>EMINA</t>
        </is>
      </c>
      <c r="AK946" t="n">
        <v>9</v>
      </c>
      <c r="AL946" t="inlineStr">
        <is>
          <t>Miss Glam Jambi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"8993137694322"</f>
        <v/>
      </c>
      <c r="C947" t="inlineStr">
        <is>
          <t>EMINA Creamatte 03 Mauvelous 5.5gr</t>
        </is>
      </c>
      <c r="D947" t="inlineStr">
        <is>
          <t>Miss Glam Jambi</t>
        </is>
      </c>
      <c r="E947" t="n">
        <v>4</v>
      </c>
      <c r="F947" t="n">
        <v>0.006600000000000001</v>
      </c>
      <c r="G947" t="n">
        <v>0.33</v>
      </c>
      <c r="H947" t="n">
        <v>2</v>
      </c>
      <c r="I947" t="n">
        <v>7</v>
      </c>
      <c r="J947" t="n">
        <v>3</v>
      </c>
      <c r="K947" t="n">
        <v>0</v>
      </c>
      <c r="L947" t="n">
        <v>38315</v>
      </c>
      <c r="M947" t="n">
        <v>47000</v>
      </c>
      <c r="N947" t="n">
        <v>33</v>
      </c>
      <c r="O947" t="n">
        <v>0.33</v>
      </c>
      <c r="P947" t="n">
        <v>1</v>
      </c>
      <c r="Q947" t="n">
        <v>0.02</v>
      </c>
      <c r="R947" t="n">
        <v>1</v>
      </c>
      <c r="S947" t="n">
        <v>310.2</v>
      </c>
      <c r="T947" t="n">
        <v>3</v>
      </c>
      <c r="U947" t="n">
        <v>4</v>
      </c>
      <c r="V947" t="n">
        <v>30</v>
      </c>
      <c r="W947" t="n">
        <v>1</v>
      </c>
      <c r="X947" t="n">
        <v>606.060606060606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11575</v>
      </c>
      <c r="AG947" t="n">
        <v>2141</v>
      </c>
      <c r="AH947" t="inlineStr">
        <is>
          <t>PT. PARAMA GLOBAL INSPIRA - PPN (JMB)</t>
        </is>
      </c>
      <c r="AI947" t="n">
        <v>63</v>
      </c>
      <c r="AJ947" t="inlineStr">
        <is>
          <t>EMINA</t>
        </is>
      </c>
      <c r="AK947" t="n">
        <v>9</v>
      </c>
      <c r="AL947" t="inlineStr">
        <is>
          <t>Miss Glam Jambi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"8993137700535"</f>
        <v/>
      </c>
      <c r="C948" t="inlineStr">
        <is>
          <t>EMINA Creamatte 09 Baby Fox 5.5g</t>
        </is>
      </c>
      <c r="D948" t="inlineStr">
        <is>
          <t>Miss Glam Jambi</t>
        </is>
      </c>
      <c r="E948" t="n">
        <v>3</v>
      </c>
      <c r="F948" t="n">
        <v>0.009900000000000001</v>
      </c>
      <c r="G948" t="n">
        <v>0.33</v>
      </c>
      <c r="H948" t="n">
        <v>2</v>
      </c>
      <c r="I948" t="n">
        <v>7</v>
      </c>
      <c r="J948" t="n">
        <v>3</v>
      </c>
      <c r="K948" t="n">
        <v>0</v>
      </c>
      <c r="L948" t="n">
        <v>38100</v>
      </c>
      <c r="M948" t="n">
        <v>47000</v>
      </c>
      <c r="N948" t="n">
        <v>33</v>
      </c>
      <c r="O948" t="n">
        <v>0.33</v>
      </c>
      <c r="P948" t="n">
        <v>1</v>
      </c>
      <c r="Q948" t="n">
        <v>0.02</v>
      </c>
      <c r="R948" t="n">
        <v>1</v>
      </c>
      <c r="S948" t="n">
        <v>465.3</v>
      </c>
      <c r="T948" t="n">
        <v>3</v>
      </c>
      <c r="U948" t="n">
        <v>4</v>
      </c>
      <c r="V948" t="n">
        <v>30</v>
      </c>
      <c r="W948" t="n">
        <v>1</v>
      </c>
      <c r="X948" t="n">
        <v>303.030303030303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11575</v>
      </c>
      <c r="AG948" t="n">
        <v>2141</v>
      </c>
      <c r="AH948" t="inlineStr">
        <is>
          <t>PT. PARAMA GLOBAL INSPIRA - PPN (JMB)</t>
        </is>
      </c>
      <c r="AI948" t="n">
        <v>63</v>
      </c>
      <c r="AJ948" t="inlineStr">
        <is>
          <t>EMINA</t>
        </is>
      </c>
      <c r="AK948" t="n">
        <v>9</v>
      </c>
      <c r="AL948" t="inlineStr">
        <is>
          <t>Miss Glam Jambi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"8993137700559"</f>
        <v/>
      </c>
      <c r="C949" t="inlineStr">
        <is>
          <t>EMINA Creamatte 11 Amazeballs 5.5gr</t>
        </is>
      </c>
      <c r="D949" t="inlineStr">
        <is>
          <t>Miss Glam Jambi</t>
        </is>
      </c>
      <c r="E949" t="n">
        <v>4</v>
      </c>
      <c r="F949" t="n">
        <v>0.0264</v>
      </c>
      <c r="G949" t="n">
        <v>0.66</v>
      </c>
      <c r="H949" t="n">
        <v>2</v>
      </c>
      <c r="I949" t="n">
        <v>7</v>
      </c>
      <c r="J949" t="n">
        <v>3</v>
      </c>
      <c r="K949" t="n">
        <v>0</v>
      </c>
      <c r="L949" t="n">
        <v>38315</v>
      </c>
      <c r="M949" t="n">
        <v>47000</v>
      </c>
      <c r="N949" t="n">
        <v>33</v>
      </c>
      <c r="O949" t="n">
        <v>0.33</v>
      </c>
      <c r="P949" t="n">
        <v>1</v>
      </c>
      <c r="Q949" t="n">
        <v>0.02</v>
      </c>
      <c r="R949" t="n">
        <v>1</v>
      </c>
      <c r="S949" t="n">
        <v>1240.8</v>
      </c>
      <c r="T949" t="n">
        <v>5</v>
      </c>
      <c r="U949" t="n">
        <v>6</v>
      </c>
      <c r="V949" t="n">
        <v>30</v>
      </c>
      <c r="W949" t="n">
        <v>1</v>
      </c>
      <c r="X949" t="n">
        <v>151.5151515151515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11575</v>
      </c>
      <c r="AG949" t="n">
        <v>2141</v>
      </c>
      <c r="AH949" t="inlineStr">
        <is>
          <t>PT. PARAMA GLOBAL INSPIRA - PPN (JMB)</t>
        </is>
      </c>
      <c r="AI949" t="n">
        <v>63</v>
      </c>
      <c r="AJ949" t="inlineStr">
        <is>
          <t>EMINA</t>
        </is>
      </c>
      <c r="AK949" t="n">
        <v>9</v>
      </c>
      <c r="AL949" t="inlineStr">
        <is>
          <t>Miss Glam Jambi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"8993137742481"</f>
        <v/>
      </c>
      <c r="C950" t="inlineStr">
        <is>
          <t>EMINA Creamatte BR21 Caramel Drop 5.5gr</t>
        </is>
      </c>
      <c r="D950" t="inlineStr">
        <is>
          <t>Miss Glam Jambi</t>
        </is>
      </c>
      <c r="E950" t="n">
        <v>4</v>
      </c>
      <c r="F950" t="n">
        <v>0.009900000000000001</v>
      </c>
      <c r="G950" t="n">
        <v>0.33</v>
      </c>
      <c r="H950" t="n">
        <v>2</v>
      </c>
      <c r="I950" t="n">
        <v>7</v>
      </c>
      <c r="J950" t="n">
        <v>3</v>
      </c>
      <c r="K950" t="n">
        <v>0</v>
      </c>
      <c r="L950" t="n">
        <v>38315</v>
      </c>
      <c r="M950" t="n">
        <v>47000</v>
      </c>
      <c r="N950" t="n">
        <v>33</v>
      </c>
      <c r="O950" t="n">
        <v>0.33</v>
      </c>
      <c r="P950" t="n">
        <v>1</v>
      </c>
      <c r="Q950" t="n">
        <v>0.03</v>
      </c>
      <c r="R950" t="n">
        <v>1</v>
      </c>
      <c r="S950" t="n">
        <v>465.3</v>
      </c>
      <c r="T950" t="n">
        <v>3</v>
      </c>
      <c r="U950" t="n">
        <v>4</v>
      </c>
      <c r="V950" t="n">
        <v>30</v>
      </c>
      <c r="W950" t="n">
        <v>1</v>
      </c>
      <c r="X950" t="n">
        <v>404.040404040404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11575</v>
      </c>
      <c r="AG950" t="n">
        <v>2141</v>
      </c>
      <c r="AH950" t="inlineStr">
        <is>
          <t>PT. PARAMA GLOBAL INSPIRA - PPN (JMB)</t>
        </is>
      </c>
      <c r="AI950" t="n">
        <v>63</v>
      </c>
      <c r="AJ950" t="inlineStr">
        <is>
          <t>EMINA</t>
        </is>
      </c>
      <c r="AK950" t="n">
        <v>9</v>
      </c>
      <c r="AL950" t="inlineStr">
        <is>
          <t>Miss Glam Jambi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"8993137742511"</f>
        <v/>
      </c>
      <c r="C951" t="inlineStr">
        <is>
          <t>EMINA Creamatte BR22 Blushberry 5.5gr</t>
        </is>
      </c>
      <c r="D951" t="inlineStr">
        <is>
          <t>Miss Glam Jambi</t>
        </is>
      </c>
      <c r="E951" t="n">
        <v>2</v>
      </c>
      <c r="F951" t="n">
        <v>0.033</v>
      </c>
      <c r="G951" t="n">
        <v>0.66</v>
      </c>
      <c r="H951" t="n">
        <v>2</v>
      </c>
      <c r="I951" t="n">
        <v>7</v>
      </c>
      <c r="J951" t="n">
        <v>3</v>
      </c>
      <c r="K951" t="n">
        <v>0</v>
      </c>
      <c r="L951" t="n">
        <v>38315</v>
      </c>
      <c r="M951" t="n">
        <v>47000</v>
      </c>
      <c r="N951" t="n">
        <v>33</v>
      </c>
      <c r="O951" t="n">
        <v>0.33</v>
      </c>
      <c r="P951" t="n">
        <v>1</v>
      </c>
      <c r="Q951" t="n">
        <v>0.03</v>
      </c>
      <c r="R951" t="n">
        <v>1</v>
      </c>
      <c r="S951" t="n">
        <v>1551</v>
      </c>
      <c r="T951" t="n">
        <v>5</v>
      </c>
      <c r="U951" t="n">
        <v>6</v>
      </c>
      <c r="V951" t="n">
        <v>30</v>
      </c>
      <c r="W951" t="n">
        <v>1</v>
      </c>
      <c r="X951" t="n">
        <v>60.6060606060606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11575</v>
      </c>
      <c r="AG951" t="n">
        <v>2141</v>
      </c>
      <c r="AH951" t="inlineStr">
        <is>
          <t>PT. PARAMA GLOBAL INSPIRA - PPN (JMB)</t>
        </is>
      </c>
      <c r="AI951" t="n">
        <v>63</v>
      </c>
      <c r="AJ951" t="inlineStr">
        <is>
          <t>EMINA</t>
        </is>
      </c>
      <c r="AK951" t="n">
        <v>9</v>
      </c>
      <c r="AL951" t="inlineStr">
        <is>
          <t>Miss Glam Jambi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"8993137742542"</f>
        <v/>
      </c>
      <c r="C952" t="inlineStr">
        <is>
          <t>EMINA Creamatte Cherry Bomb 5.5gr</t>
        </is>
      </c>
      <c r="D952" t="inlineStr">
        <is>
          <t>Miss Glam Jambi</t>
        </is>
      </c>
      <c r="E952" t="n">
        <v>4</v>
      </c>
      <c r="F952" t="n">
        <v>0.0825</v>
      </c>
      <c r="G952" t="n">
        <v>0.33</v>
      </c>
      <c r="H952" t="n">
        <v>2</v>
      </c>
      <c r="I952" t="n">
        <v>7</v>
      </c>
      <c r="J952" t="n">
        <v>3</v>
      </c>
      <c r="K952" t="n">
        <v>0</v>
      </c>
      <c r="L952" t="n">
        <v>38315</v>
      </c>
      <c r="M952" t="n">
        <v>47000</v>
      </c>
      <c r="N952" t="n">
        <v>33</v>
      </c>
      <c r="O952" t="n">
        <v>0.33</v>
      </c>
      <c r="P952" t="n">
        <v>1</v>
      </c>
      <c r="Q952" t="n">
        <v>0.07000000000000001</v>
      </c>
      <c r="R952" t="n">
        <v>1</v>
      </c>
      <c r="S952" t="n">
        <v>3877.5</v>
      </c>
      <c r="T952" t="n">
        <v>3</v>
      </c>
      <c r="U952" t="n">
        <v>4</v>
      </c>
      <c r="V952" t="n">
        <v>30</v>
      </c>
      <c r="W952" t="n">
        <v>3</v>
      </c>
      <c r="X952" t="n">
        <v>48.48484848484848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11575</v>
      </c>
      <c r="AG952" t="n">
        <v>2141</v>
      </c>
      <c r="AH952" t="inlineStr">
        <is>
          <t>PT. PARAMA GLOBAL INSPIRA - PPN (JMB)</t>
        </is>
      </c>
      <c r="AI952" t="n">
        <v>63</v>
      </c>
      <c r="AJ952" t="inlineStr">
        <is>
          <t>EMINA</t>
        </is>
      </c>
      <c r="AK952" t="n">
        <v>9</v>
      </c>
      <c r="AL952" t="inlineStr">
        <is>
          <t>Miss Glam Jambi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"8993137742450"</f>
        <v/>
      </c>
      <c r="C953" t="inlineStr">
        <is>
          <t>EMINA Creamatte OR21 Pomelova 5.5gr</t>
        </is>
      </c>
      <c r="D953" t="inlineStr">
        <is>
          <t>Miss Glam Jambi</t>
        </is>
      </c>
      <c r="E953" t="n">
        <v>3</v>
      </c>
      <c r="F953" t="n">
        <v>0.0462</v>
      </c>
      <c r="G953" t="n">
        <v>0.66</v>
      </c>
      <c r="H953" t="n">
        <v>2</v>
      </c>
      <c r="I953" t="n">
        <v>7</v>
      </c>
      <c r="J953" t="n">
        <v>3</v>
      </c>
      <c r="K953" t="n">
        <v>0</v>
      </c>
      <c r="L953" t="n">
        <v>38315</v>
      </c>
      <c r="M953" t="n">
        <v>47000</v>
      </c>
      <c r="N953" t="n">
        <v>33</v>
      </c>
      <c r="O953" t="n">
        <v>0.33</v>
      </c>
      <c r="P953" t="n">
        <v>1</v>
      </c>
      <c r="Q953" t="n">
        <v>0.07000000000000001</v>
      </c>
      <c r="R953" t="n">
        <v>1</v>
      </c>
      <c r="S953" t="n">
        <v>2171.4</v>
      </c>
      <c r="T953" t="n">
        <v>5</v>
      </c>
      <c r="U953" t="n">
        <v>6</v>
      </c>
      <c r="V953" t="n">
        <v>30</v>
      </c>
      <c r="W953" t="n">
        <v>2</v>
      </c>
      <c r="X953" t="n">
        <v>64.93506493506493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11575</v>
      </c>
      <c r="AG953" t="n">
        <v>2141</v>
      </c>
      <c r="AH953" t="inlineStr">
        <is>
          <t>PT. PARAMA GLOBAL INSPIRA - PPN (JMB)</t>
        </is>
      </c>
      <c r="AI953" t="n">
        <v>63</v>
      </c>
      <c r="AJ953" t="inlineStr">
        <is>
          <t>EMINA</t>
        </is>
      </c>
      <c r="AK953" t="n">
        <v>9</v>
      </c>
      <c r="AL953" t="inlineStr">
        <is>
          <t>Miss Glam Jambi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"8993137742498"</f>
        <v/>
      </c>
      <c r="C954" t="inlineStr">
        <is>
          <t>EMINA Creamatte OR22 Sunset Blaze 5.5gr</t>
        </is>
      </c>
      <c r="D954" t="inlineStr">
        <is>
          <t>Miss Glam Jambi</t>
        </is>
      </c>
      <c r="E954" t="n">
        <v>2</v>
      </c>
      <c r="F954" t="n">
        <v>0.08910000000000001</v>
      </c>
      <c r="G954" t="n">
        <v>0.99</v>
      </c>
      <c r="H954" t="n">
        <v>2</v>
      </c>
      <c r="I954" t="n">
        <v>7</v>
      </c>
      <c r="J954" t="n">
        <v>3</v>
      </c>
      <c r="K954" t="n">
        <v>3</v>
      </c>
      <c r="L954" t="n">
        <v>38315</v>
      </c>
      <c r="M954" t="n">
        <v>47000</v>
      </c>
      <c r="N954" t="n">
        <v>33</v>
      </c>
      <c r="O954" t="n">
        <v>0.33</v>
      </c>
      <c r="P954" t="n">
        <v>1</v>
      </c>
      <c r="Q954" t="n">
        <v>0.08</v>
      </c>
      <c r="R954" t="n">
        <v>2</v>
      </c>
      <c r="S954" t="n">
        <v>4187.700000000001</v>
      </c>
      <c r="T954" t="n">
        <v>7</v>
      </c>
      <c r="U954" t="n">
        <v>8</v>
      </c>
      <c r="V954" t="n">
        <v>30</v>
      </c>
      <c r="W954" t="n">
        <v>3</v>
      </c>
      <c r="X954" t="n">
        <v>22.44668911335578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11575</v>
      </c>
      <c r="AG954" t="n">
        <v>2141</v>
      </c>
      <c r="AH954" t="inlineStr">
        <is>
          <t>PT. PARAMA GLOBAL INSPIRA - PPN (JMB)</t>
        </is>
      </c>
      <c r="AI954" t="n">
        <v>63</v>
      </c>
      <c r="AJ954" t="inlineStr">
        <is>
          <t>EMINA</t>
        </is>
      </c>
      <c r="AK954" t="n">
        <v>9</v>
      </c>
      <c r="AL954" t="inlineStr">
        <is>
          <t>Miss Glam Jambi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"8993137742467"</f>
        <v/>
      </c>
      <c r="C955" t="inlineStr">
        <is>
          <t>EMINA Creamatte PC11 Peach-A-Boo  5.5gr</t>
        </is>
      </c>
      <c r="D955" t="inlineStr">
        <is>
          <t>Miss Glam Jambi</t>
        </is>
      </c>
      <c r="E955" t="n">
        <v>4</v>
      </c>
      <c r="F955" t="n">
        <v>0.066</v>
      </c>
      <c r="G955" t="n">
        <v>0.66</v>
      </c>
      <c r="H955" t="n">
        <v>2</v>
      </c>
      <c r="I955" t="n">
        <v>7</v>
      </c>
      <c r="J955" t="n">
        <v>3</v>
      </c>
      <c r="K955" t="n">
        <v>0</v>
      </c>
      <c r="L955" t="n">
        <v>38049</v>
      </c>
      <c r="M955" t="n">
        <v>47000</v>
      </c>
      <c r="N955" t="n">
        <v>33</v>
      </c>
      <c r="O955" t="n">
        <v>0.33</v>
      </c>
      <c r="P955" t="n">
        <v>1</v>
      </c>
      <c r="Q955" t="n">
        <v>0.03</v>
      </c>
      <c r="R955" t="n">
        <v>1</v>
      </c>
      <c r="S955" t="n">
        <v>3102</v>
      </c>
      <c r="T955" t="n">
        <v>5</v>
      </c>
      <c r="U955" t="n">
        <v>6</v>
      </c>
      <c r="V955" t="n">
        <v>30</v>
      </c>
      <c r="W955" t="n">
        <v>2</v>
      </c>
      <c r="X955" t="n">
        <v>60.6060606060606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11575</v>
      </c>
      <c r="AG955" t="n">
        <v>2141</v>
      </c>
      <c r="AH955" t="inlineStr">
        <is>
          <t>PT. PARAMA GLOBAL INSPIRA - PPN (JMB)</t>
        </is>
      </c>
      <c r="AI955" t="n">
        <v>63</v>
      </c>
      <c r="AJ955" t="inlineStr">
        <is>
          <t>EMINA</t>
        </is>
      </c>
      <c r="AK955" t="n">
        <v>9</v>
      </c>
      <c r="AL955" t="inlineStr">
        <is>
          <t>Miss Glam Jambi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"8993137742474"</f>
        <v/>
      </c>
      <c r="C956" t="inlineStr">
        <is>
          <t>EMINA Creamatte PC22 Coral Crush 5.5gr</t>
        </is>
      </c>
      <c r="D956" t="inlineStr">
        <is>
          <t>Miss Glam Jambi</t>
        </is>
      </c>
      <c r="E956" t="n">
        <v>2</v>
      </c>
      <c r="F956" t="n">
        <v>0.0264</v>
      </c>
      <c r="G956" t="n">
        <v>0.66</v>
      </c>
      <c r="H956" t="n">
        <v>2</v>
      </c>
      <c r="I956" t="n">
        <v>7</v>
      </c>
      <c r="J956" t="n">
        <v>3</v>
      </c>
      <c r="K956" t="n">
        <v>0</v>
      </c>
      <c r="L956" t="n">
        <v>38315</v>
      </c>
      <c r="M956" t="n">
        <v>47000</v>
      </c>
      <c r="N956" t="n">
        <v>33</v>
      </c>
      <c r="O956" t="n">
        <v>0.33</v>
      </c>
      <c r="P956" t="n">
        <v>1</v>
      </c>
      <c r="Q956" t="n">
        <v>0.08</v>
      </c>
      <c r="R956" t="n">
        <v>2</v>
      </c>
      <c r="S956" t="n">
        <v>1240.8</v>
      </c>
      <c r="T956" t="n">
        <v>5</v>
      </c>
      <c r="U956" t="n">
        <v>6</v>
      </c>
      <c r="V956" t="n">
        <v>30</v>
      </c>
      <c r="W956" t="n">
        <v>1</v>
      </c>
      <c r="X956" t="n">
        <v>75.75757575757575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11575</v>
      </c>
      <c r="AG956" t="n">
        <v>2141</v>
      </c>
      <c r="AH956" t="inlineStr">
        <is>
          <t>PT. PARAMA GLOBAL INSPIRA - PPN (JMB)</t>
        </is>
      </c>
      <c r="AI956" t="n">
        <v>63</v>
      </c>
      <c r="AJ956" t="inlineStr">
        <is>
          <t>EMINA</t>
        </is>
      </c>
      <c r="AK956" t="n">
        <v>9</v>
      </c>
      <c r="AL956" t="inlineStr">
        <is>
          <t>Miss Glam Jambi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"8993137714112"</f>
        <v/>
      </c>
      <c r="C957" t="inlineStr">
        <is>
          <t>EMINA Daily Matte BB Cream Spf25 01 Light 16g</t>
        </is>
      </c>
      <c r="D957" t="inlineStr">
        <is>
          <t>Miss Glam Jambi</t>
        </is>
      </c>
      <c r="E957" t="n">
        <v>3</v>
      </c>
      <c r="F957" t="n">
        <v>0.09569999999999999</v>
      </c>
      <c r="G957" t="n">
        <v>0.99</v>
      </c>
      <c r="H957" t="n">
        <v>2</v>
      </c>
      <c r="I957" t="n">
        <v>7</v>
      </c>
      <c r="J957" t="n">
        <v>3</v>
      </c>
      <c r="K957" t="n">
        <v>0</v>
      </c>
      <c r="L957" t="n">
        <v>24522</v>
      </c>
      <c r="M957" t="n">
        <v>28500</v>
      </c>
      <c r="N957" t="n">
        <v>33</v>
      </c>
      <c r="O957" t="n">
        <v>0.33</v>
      </c>
      <c r="P957" t="n">
        <v>1</v>
      </c>
      <c r="Q957" t="n">
        <v>0.05</v>
      </c>
      <c r="R957" t="n">
        <v>2</v>
      </c>
      <c r="S957" t="n">
        <v>2727.45</v>
      </c>
      <c r="T957" t="n">
        <v>7</v>
      </c>
      <c r="U957" t="n">
        <v>8</v>
      </c>
      <c r="V957" t="n">
        <v>30</v>
      </c>
      <c r="W957" t="n">
        <v>3</v>
      </c>
      <c r="X957" t="n">
        <v>31.34796238244514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11575</v>
      </c>
      <c r="AG957" t="n">
        <v>2141</v>
      </c>
      <c r="AH957" t="inlineStr">
        <is>
          <t>PT. PARAMA GLOBAL INSPIRA - PPN (JMB)</t>
        </is>
      </c>
      <c r="AI957" t="n">
        <v>63</v>
      </c>
      <c r="AJ957" t="inlineStr">
        <is>
          <t>EMINA</t>
        </is>
      </c>
      <c r="AK957" t="n">
        <v>9</v>
      </c>
      <c r="AL957" t="inlineStr">
        <is>
          <t>Miss Glam Jambi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"8993137714129"</f>
        <v/>
      </c>
      <c r="C958" t="inlineStr">
        <is>
          <t>EMINA Daily Matte BB Cream Spf25 02 Natural 16gr</t>
        </is>
      </c>
      <c r="D958" t="inlineStr">
        <is>
          <t>Miss Glam Jambi</t>
        </is>
      </c>
      <c r="E958" t="n">
        <v>2</v>
      </c>
      <c r="F958" t="n">
        <v>0.264</v>
      </c>
      <c r="G958" t="n">
        <v>1.32</v>
      </c>
      <c r="H958" t="n">
        <v>2</v>
      </c>
      <c r="I958" t="n">
        <v>7</v>
      </c>
      <c r="J958" t="n">
        <v>3</v>
      </c>
      <c r="K958" t="n">
        <v>6</v>
      </c>
      <c r="L958" t="n">
        <v>24425</v>
      </c>
      <c r="M958" t="n">
        <v>28500</v>
      </c>
      <c r="N958" t="n">
        <v>33</v>
      </c>
      <c r="O958" t="n">
        <v>0.33</v>
      </c>
      <c r="P958" t="n">
        <v>1</v>
      </c>
      <c r="Q958" t="n">
        <v>0.08</v>
      </c>
      <c r="R958" t="n">
        <v>1</v>
      </c>
      <c r="S958" t="n">
        <v>7524</v>
      </c>
      <c r="T958" t="n">
        <v>9</v>
      </c>
      <c r="U958" t="n">
        <v>10</v>
      </c>
      <c r="V958" t="n">
        <v>30</v>
      </c>
      <c r="W958" t="n">
        <v>8</v>
      </c>
      <c r="X958" t="n">
        <v>7.575757575757575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11575</v>
      </c>
      <c r="AG958" t="n">
        <v>2141</v>
      </c>
      <c r="AH958" t="inlineStr">
        <is>
          <t>PT. PARAMA GLOBAL INSPIRA - PPN (JMB)</t>
        </is>
      </c>
      <c r="AI958" t="n">
        <v>63</v>
      </c>
      <c r="AJ958" t="inlineStr">
        <is>
          <t>EMINA</t>
        </is>
      </c>
      <c r="AK958" t="n">
        <v>9</v>
      </c>
      <c r="AL958" t="inlineStr">
        <is>
          <t>Miss Glam Jambi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"8993137714136"</f>
        <v/>
      </c>
      <c r="C959" t="inlineStr">
        <is>
          <t>EMINA Daily Matte BB Cream Spf25 03 Caramel 16g</t>
        </is>
      </c>
      <c r="D959" t="inlineStr">
        <is>
          <t>Miss Glam Jambi</t>
        </is>
      </c>
      <c r="E959" t="n">
        <v>9</v>
      </c>
      <c r="F959" t="n">
        <v>0.03</v>
      </c>
      <c r="G959" t="n">
        <v>1</v>
      </c>
      <c r="H959" t="n">
        <v>2</v>
      </c>
      <c r="I959" t="n">
        <v>7</v>
      </c>
      <c r="J959" t="n">
        <v>3</v>
      </c>
      <c r="K959" t="n">
        <v>0</v>
      </c>
      <c r="L959" t="n">
        <v>24522</v>
      </c>
      <c r="M959" t="n">
        <v>28500</v>
      </c>
      <c r="N959" t="n">
        <v>33</v>
      </c>
      <c r="O959" t="n">
        <v>0.33</v>
      </c>
      <c r="P959" t="n">
        <v>0</v>
      </c>
      <c r="Q959" t="n">
        <v>0.03</v>
      </c>
      <c r="R959" t="n">
        <v>1</v>
      </c>
      <c r="S959" t="n">
        <v>855</v>
      </c>
      <c r="T959" t="n">
        <v>7</v>
      </c>
      <c r="U959" t="n">
        <v>8</v>
      </c>
      <c r="V959" t="n">
        <v>30</v>
      </c>
      <c r="W959" t="n">
        <v>1</v>
      </c>
      <c r="X959" t="n">
        <v>300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11575</v>
      </c>
      <c r="AG959" t="n">
        <v>2141</v>
      </c>
      <c r="AH959" t="inlineStr">
        <is>
          <t>PT. PARAMA GLOBAL INSPIRA - PPN (JMB)</t>
        </is>
      </c>
      <c r="AI959" t="n">
        <v>63</v>
      </c>
      <c r="AJ959" t="inlineStr">
        <is>
          <t>EMINA</t>
        </is>
      </c>
      <c r="AK959" t="n">
        <v>9</v>
      </c>
      <c r="AL959" t="inlineStr">
        <is>
          <t>Miss Glam Jambi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"8993137714464"</f>
        <v/>
      </c>
      <c r="C960" t="inlineStr">
        <is>
          <t>EMINA Daily Matte Compact Powder 01 Light 11gr</t>
        </is>
      </c>
      <c r="D960" t="inlineStr">
        <is>
          <t>Miss Glam Jambi</t>
        </is>
      </c>
      <c r="E960" t="n">
        <v>1</v>
      </c>
      <c r="F960" t="n">
        <v>0.1617</v>
      </c>
      <c r="G960" t="n">
        <v>1.32</v>
      </c>
      <c r="H960" t="n">
        <v>2</v>
      </c>
      <c r="I960" t="n">
        <v>7</v>
      </c>
      <c r="J960" t="n">
        <v>3</v>
      </c>
      <c r="K960" t="n">
        <v>3</v>
      </c>
      <c r="L960" t="n">
        <v>30492</v>
      </c>
      <c r="M960" t="n">
        <v>35500</v>
      </c>
      <c r="N960" t="n">
        <v>33</v>
      </c>
      <c r="O960" t="n">
        <v>0.33</v>
      </c>
      <c r="P960" t="n">
        <v>1</v>
      </c>
      <c r="Q960" t="n">
        <v>0.1</v>
      </c>
      <c r="R960" t="n">
        <v>1</v>
      </c>
      <c r="S960" t="n">
        <v>5740.35</v>
      </c>
      <c r="T960" t="n">
        <v>9</v>
      </c>
      <c r="U960" t="n">
        <v>10</v>
      </c>
      <c r="V960" t="n">
        <v>30</v>
      </c>
      <c r="W960" t="n">
        <v>5</v>
      </c>
      <c r="X960" t="n">
        <v>6.184291898577612</v>
      </c>
      <c r="Y960" t="n">
        <v>1</v>
      </c>
      <c r="Z960" t="n">
        <v>1</v>
      </c>
      <c r="AA960" t="n">
        <v>0</v>
      </c>
      <c r="AB960" t="n">
        <v>1</v>
      </c>
      <c r="AC960" t="n">
        <v>3</v>
      </c>
      <c r="AD960" t="n">
        <v>0</v>
      </c>
      <c r="AE960" t="n">
        <v>91476</v>
      </c>
      <c r="AF960" t="n">
        <v>11575</v>
      </c>
      <c r="AG960" t="n">
        <v>2141</v>
      </c>
      <c r="AH960" t="inlineStr">
        <is>
          <t>PT. PARAMA GLOBAL INSPIRA - PPN (JMB)</t>
        </is>
      </c>
      <c r="AI960" t="n">
        <v>63</v>
      </c>
      <c r="AJ960" t="inlineStr">
        <is>
          <t>EMINA</t>
        </is>
      </c>
      <c r="AK960" t="n">
        <v>9</v>
      </c>
      <c r="AL960" t="inlineStr">
        <is>
          <t>Miss Glam Jambi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"8993137714471"</f>
        <v/>
      </c>
      <c r="C961" t="inlineStr">
        <is>
          <t>EMINA Daily Matte Compact Powder 02 Natural 11g</t>
        </is>
      </c>
      <c r="D961" t="inlineStr">
        <is>
          <t>Miss Glam Jambi</t>
        </is>
      </c>
      <c r="E961" t="n">
        <v>2</v>
      </c>
      <c r="F961" t="n">
        <v>0.3927</v>
      </c>
      <c r="G961" t="n">
        <v>1.32</v>
      </c>
      <c r="H961" t="n">
        <v>2</v>
      </c>
      <c r="I961" t="n">
        <v>7</v>
      </c>
      <c r="J961" t="n">
        <v>3</v>
      </c>
      <c r="K961" t="n">
        <v>9</v>
      </c>
      <c r="L961" t="n">
        <v>30652</v>
      </c>
      <c r="M961" t="n">
        <v>35500</v>
      </c>
      <c r="N961" t="n">
        <v>33</v>
      </c>
      <c r="O961" t="n">
        <v>0.33</v>
      </c>
      <c r="P961" t="n">
        <v>1</v>
      </c>
      <c r="Q961" t="n">
        <v>0.27</v>
      </c>
      <c r="R961" t="n">
        <v>1</v>
      </c>
      <c r="S961" t="n">
        <v>13940.85</v>
      </c>
      <c r="T961" t="n">
        <v>9</v>
      </c>
      <c r="U961" t="n">
        <v>10</v>
      </c>
      <c r="V961" t="n">
        <v>30</v>
      </c>
      <c r="W961" t="n">
        <v>12</v>
      </c>
      <c r="X961" t="n">
        <v>5.092946269416858</v>
      </c>
      <c r="Y961" t="n">
        <v>1</v>
      </c>
      <c r="Z961" t="n">
        <v>1</v>
      </c>
      <c r="AA961" t="n">
        <v>0</v>
      </c>
      <c r="AB961" t="n">
        <v>1</v>
      </c>
      <c r="AC961" t="n">
        <v>3</v>
      </c>
      <c r="AD961" t="n">
        <v>0</v>
      </c>
      <c r="AE961" t="n">
        <v>91956</v>
      </c>
      <c r="AF961" t="n">
        <v>11575</v>
      </c>
      <c r="AG961" t="n">
        <v>2141</v>
      </c>
      <c r="AH961" t="inlineStr">
        <is>
          <t>PT. PARAMA GLOBAL INSPIRA - PPN (JMB)</t>
        </is>
      </c>
      <c r="AI961" t="n">
        <v>63</v>
      </c>
      <c r="AJ961" t="inlineStr">
        <is>
          <t>EMINA</t>
        </is>
      </c>
      <c r="AK961" t="n">
        <v>9</v>
      </c>
      <c r="AL961" t="inlineStr">
        <is>
          <t>Miss Glam Jambi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"8993137714488"</f>
        <v/>
      </c>
      <c r="C962" t="inlineStr">
        <is>
          <t>EMINA Daily Matte Compact Powder 03 Caramel 11gr</t>
        </is>
      </c>
      <c r="D962" t="inlineStr">
        <is>
          <t>Miss Glam Jambi</t>
        </is>
      </c>
      <c r="E962" t="n">
        <v>1</v>
      </c>
      <c r="F962" t="n">
        <v>0.15</v>
      </c>
      <c r="G962" t="n">
        <v>3</v>
      </c>
      <c r="H962" t="n">
        <v>2</v>
      </c>
      <c r="I962" t="n">
        <v>7</v>
      </c>
      <c r="J962" t="n">
        <v>3</v>
      </c>
      <c r="K962" t="n">
        <v>3</v>
      </c>
      <c r="L962" t="n">
        <v>30652</v>
      </c>
      <c r="M962" t="n">
        <v>35500</v>
      </c>
      <c r="N962" t="n">
        <v>33</v>
      </c>
      <c r="O962" t="n">
        <v>0.33</v>
      </c>
      <c r="P962" t="n">
        <v>0</v>
      </c>
      <c r="Q962" t="n">
        <v>0.15</v>
      </c>
      <c r="R962" t="n">
        <v>3</v>
      </c>
      <c r="S962" t="n">
        <v>5325</v>
      </c>
      <c r="T962" t="n">
        <v>21</v>
      </c>
      <c r="U962" t="n">
        <v>22</v>
      </c>
      <c r="V962" t="n">
        <v>30</v>
      </c>
      <c r="W962" t="n">
        <v>5</v>
      </c>
      <c r="X962" t="n">
        <v>6.666666666666667</v>
      </c>
      <c r="Y962" t="n">
        <v>1</v>
      </c>
      <c r="Z962" t="n">
        <v>1</v>
      </c>
      <c r="AA962" t="n">
        <v>0</v>
      </c>
      <c r="AB962" t="n">
        <v>1</v>
      </c>
      <c r="AC962" t="n">
        <v>3</v>
      </c>
      <c r="AD962" t="n">
        <v>0</v>
      </c>
      <c r="AE962" t="n">
        <v>91956</v>
      </c>
      <c r="AF962" t="n">
        <v>11575</v>
      </c>
      <c r="AG962" t="n">
        <v>2141</v>
      </c>
      <c r="AH962" t="inlineStr">
        <is>
          <t>PT. PARAMA GLOBAL INSPIRA - PPN (JMB)</t>
        </is>
      </c>
      <c r="AI962" t="n">
        <v>63</v>
      </c>
      <c r="AJ962" t="inlineStr">
        <is>
          <t>EMINA</t>
        </is>
      </c>
      <c r="AK962" t="n">
        <v>9</v>
      </c>
      <c r="AL962" t="inlineStr">
        <is>
          <t>Miss Glam Jambi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"8993137714495"</f>
        <v/>
      </c>
      <c r="C963" t="inlineStr">
        <is>
          <t>EMINA Daily Matte Compact Powder 04 Mocca 11g</t>
        </is>
      </c>
      <c r="D963" t="inlineStr">
        <is>
          <t>Miss Glam Jambi</t>
        </is>
      </c>
      <c r="E963" t="n">
        <v>1</v>
      </c>
      <c r="F963" t="n">
        <v>0.05</v>
      </c>
      <c r="G963" t="n">
        <v>1</v>
      </c>
      <c r="H963" t="n">
        <v>2</v>
      </c>
      <c r="I963" t="n">
        <v>7</v>
      </c>
      <c r="J963" t="n">
        <v>3</v>
      </c>
      <c r="K963" t="n">
        <v>3</v>
      </c>
      <c r="L963" t="n">
        <v>30269</v>
      </c>
      <c r="M963" t="n">
        <v>35500</v>
      </c>
      <c r="N963" t="n">
        <v>33</v>
      </c>
      <c r="O963" t="n">
        <v>0.33</v>
      </c>
      <c r="P963" t="n">
        <v>0</v>
      </c>
      <c r="Q963" t="n">
        <v>0.05</v>
      </c>
      <c r="R963" t="n">
        <v>1</v>
      </c>
      <c r="S963" t="n">
        <v>1775</v>
      </c>
      <c r="T963" t="n">
        <v>7</v>
      </c>
      <c r="U963" t="n">
        <v>8</v>
      </c>
      <c r="V963" t="n">
        <v>30</v>
      </c>
      <c r="W963" t="n">
        <v>2</v>
      </c>
      <c r="X963" t="n">
        <v>20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11575</v>
      </c>
      <c r="AG963" t="n">
        <v>2141</v>
      </c>
      <c r="AH963" t="inlineStr">
        <is>
          <t>PT. PARAMA GLOBAL INSPIRA - PPN (JMB)</t>
        </is>
      </c>
      <c r="AI963" t="n">
        <v>63</v>
      </c>
      <c r="AJ963" t="inlineStr">
        <is>
          <t>EMINA</t>
        </is>
      </c>
      <c r="AK963" t="n">
        <v>9</v>
      </c>
      <c r="AL963" t="inlineStr">
        <is>
          <t>Miss Glam Jambi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"8993137729451"</f>
        <v/>
      </c>
      <c r="C964" t="inlineStr">
        <is>
          <t>EMINA Daily Matte Cushion SPF 25 PA++ C01 Light 15gr</t>
        </is>
      </c>
      <c r="D964" t="inlineStr">
        <is>
          <t>Miss Glam Jambi</t>
        </is>
      </c>
      <c r="E964" t="n">
        <v>3</v>
      </c>
      <c r="F964" t="n">
        <v>0.02</v>
      </c>
      <c r="G964" t="n">
        <v>1</v>
      </c>
      <c r="H964" t="n">
        <v>2</v>
      </c>
      <c r="I964" t="n">
        <v>7</v>
      </c>
      <c r="J964" t="n">
        <v>3</v>
      </c>
      <c r="K964" t="n">
        <v>0</v>
      </c>
      <c r="L964" t="n">
        <v>70116</v>
      </c>
      <c r="M964" t="n">
        <v>86000</v>
      </c>
      <c r="N964" t="n">
        <v>33</v>
      </c>
      <c r="O964" t="n">
        <v>0.33</v>
      </c>
      <c r="P964" t="n">
        <v>0</v>
      </c>
      <c r="Q964" t="n">
        <v>0.02</v>
      </c>
      <c r="R964" t="n">
        <v>1</v>
      </c>
      <c r="S964" t="n">
        <v>1720</v>
      </c>
      <c r="T964" t="n">
        <v>7</v>
      </c>
      <c r="U964" t="n">
        <v>8</v>
      </c>
      <c r="V964" t="n">
        <v>30</v>
      </c>
      <c r="W964" t="n">
        <v>1</v>
      </c>
      <c r="X964" t="n">
        <v>150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11575</v>
      </c>
      <c r="AG964" t="n">
        <v>2141</v>
      </c>
      <c r="AH964" t="inlineStr">
        <is>
          <t>PT. PARAMA GLOBAL INSPIRA - PPN (JMB)</t>
        </is>
      </c>
      <c r="AI964" t="n">
        <v>63</v>
      </c>
      <c r="AJ964" t="inlineStr">
        <is>
          <t>EMINA</t>
        </is>
      </c>
      <c r="AK964" t="n">
        <v>9</v>
      </c>
      <c r="AL964" t="inlineStr">
        <is>
          <t>Miss Glam Jambi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"8993137729482"</f>
        <v/>
      </c>
      <c r="C965" t="inlineStr">
        <is>
          <t>EMINA Daily Matte Cushion SPF 25 PA++ N02 Natural 15gr</t>
        </is>
      </c>
      <c r="D965" t="inlineStr">
        <is>
          <t>Miss Glam Jambi</t>
        </is>
      </c>
      <c r="E965" t="n">
        <v>3</v>
      </c>
      <c r="F965" t="n">
        <v>0.02</v>
      </c>
      <c r="G965" t="n">
        <v>1</v>
      </c>
      <c r="H965" t="n">
        <v>2</v>
      </c>
      <c r="I965" t="n">
        <v>7</v>
      </c>
      <c r="J965" t="n">
        <v>3</v>
      </c>
      <c r="K965" t="n">
        <v>0</v>
      </c>
      <c r="L965" t="n">
        <v>71726</v>
      </c>
      <c r="M965" t="n">
        <v>86000</v>
      </c>
      <c r="N965" t="n">
        <v>33</v>
      </c>
      <c r="O965" t="n">
        <v>0.33</v>
      </c>
      <c r="P965" t="n">
        <v>0</v>
      </c>
      <c r="Q965" t="n">
        <v>0.02</v>
      </c>
      <c r="R965" t="n">
        <v>1</v>
      </c>
      <c r="S965" t="n">
        <v>1720</v>
      </c>
      <c r="T965" t="n">
        <v>7</v>
      </c>
      <c r="U965" t="n">
        <v>8</v>
      </c>
      <c r="V965" t="n">
        <v>30</v>
      </c>
      <c r="W965" t="n">
        <v>1</v>
      </c>
      <c r="X965" t="n">
        <v>150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11575</v>
      </c>
      <c r="AG965" t="n">
        <v>2141</v>
      </c>
      <c r="AH965" t="inlineStr">
        <is>
          <t>PT. PARAMA GLOBAL INSPIRA - PPN (JMB)</t>
        </is>
      </c>
      <c r="AI965" t="n">
        <v>63</v>
      </c>
      <c r="AJ965" t="inlineStr">
        <is>
          <t>EMINA</t>
        </is>
      </c>
      <c r="AK965" t="n">
        <v>9</v>
      </c>
      <c r="AL965" t="inlineStr">
        <is>
          <t>Miss Glam Jambi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"8993137729475"</f>
        <v/>
      </c>
      <c r="C966" t="inlineStr">
        <is>
          <t>EMINA Daily Matte Cushion SPF 25 PA++ W02 Natural 15gr</t>
        </is>
      </c>
      <c r="D966" t="inlineStr">
        <is>
          <t>Miss Glam Jambi</t>
        </is>
      </c>
      <c r="E966" t="n">
        <v>3</v>
      </c>
      <c r="F966" t="n">
        <v>0.009900000000000001</v>
      </c>
      <c r="G966" t="n">
        <v>0.33</v>
      </c>
      <c r="H966" t="n">
        <v>2</v>
      </c>
      <c r="I966" t="n">
        <v>7</v>
      </c>
      <c r="J966" t="n">
        <v>3</v>
      </c>
      <c r="K966" t="n">
        <v>0</v>
      </c>
      <c r="L966" t="n">
        <v>71074</v>
      </c>
      <c r="M966" t="n">
        <v>86000</v>
      </c>
      <c r="N966" t="n">
        <v>33</v>
      </c>
      <c r="O966" t="n">
        <v>0.33</v>
      </c>
      <c r="P966" t="n">
        <v>1</v>
      </c>
      <c r="Q966" t="n">
        <v>0.03</v>
      </c>
      <c r="R966" t="n">
        <v>1</v>
      </c>
      <c r="S966" t="n">
        <v>851.4000000000001</v>
      </c>
      <c r="T966" t="n">
        <v>3</v>
      </c>
      <c r="U966" t="n">
        <v>4</v>
      </c>
      <c r="V966" t="n">
        <v>30</v>
      </c>
      <c r="W966" t="n">
        <v>1</v>
      </c>
      <c r="X966" t="n">
        <v>303.030303030303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11575</v>
      </c>
      <c r="AG966" t="n">
        <v>2141</v>
      </c>
      <c r="AH966" t="inlineStr">
        <is>
          <t>PT. PARAMA GLOBAL INSPIRA - PPN (JMB)</t>
        </is>
      </c>
      <c r="AI966" t="n">
        <v>63</v>
      </c>
      <c r="AJ966" t="inlineStr">
        <is>
          <t>EMINA</t>
        </is>
      </c>
      <c r="AK966" t="n">
        <v>9</v>
      </c>
      <c r="AL966" t="inlineStr">
        <is>
          <t>Miss Glam Jambi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"8993137729499"</f>
        <v/>
      </c>
      <c r="C967" t="inlineStr">
        <is>
          <t>EMINA Daily Matte Cushion SPF 25 PA++ W03 Caramel 15gr</t>
        </is>
      </c>
      <c r="D967" t="inlineStr">
        <is>
          <t>Miss Glam Jambi</t>
        </is>
      </c>
      <c r="E967" t="n">
        <v>2</v>
      </c>
      <c r="F967" t="n">
        <v>0.006600000000000001</v>
      </c>
      <c r="G967" t="n">
        <v>0.33</v>
      </c>
      <c r="H967" t="n">
        <v>2</v>
      </c>
      <c r="I967" t="n">
        <v>7</v>
      </c>
      <c r="J967" t="n">
        <v>3</v>
      </c>
      <c r="K967" t="n">
        <v>0</v>
      </c>
      <c r="L967" t="n">
        <v>70116</v>
      </c>
      <c r="M967" t="n">
        <v>86000</v>
      </c>
      <c r="N967" t="n">
        <v>33</v>
      </c>
      <c r="O967" t="n">
        <v>0.33</v>
      </c>
      <c r="P967" t="n">
        <v>1</v>
      </c>
      <c r="Q967" t="n">
        <v>0.03</v>
      </c>
      <c r="R967" t="n">
        <v>1</v>
      </c>
      <c r="S967" t="n">
        <v>567.6</v>
      </c>
      <c r="T967" t="n">
        <v>3</v>
      </c>
      <c r="U967" t="n">
        <v>4</v>
      </c>
      <c r="V967" t="n">
        <v>30</v>
      </c>
      <c r="W967" t="n">
        <v>1</v>
      </c>
      <c r="X967" t="n">
        <v>303.030303030303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11575</v>
      </c>
      <c r="AG967" t="n">
        <v>2141</v>
      </c>
      <c r="AH967" t="inlineStr">
        <is>
          <t>PT. PARAMA GLOBAL INSPIRA - PPN (JMB)</t>
        </is>
      </c>
      <c r="AI967" t="n">
        <v>63</v>
      </c>
      <c r="AJ967" t="inlineStr">
        <is>
          <t>EMINA</t>
        </is>
      </c>
      <c r="AK967" t="n">
        <v>9</v>
      </c>
      <c r="AL967" t="inlineStr">
        <is>
          <t>Miss Glam Jambi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"8993137702010"</f>
        <v/>
      </c>
      <c r="C968" t="inlineStr">
        <is>
          <t>EMINA Daily Matte Loose Powder 01 Light Beige 20gr</t>
        </is>
      </c>
      <c r="D968" t="inlineStr">
        <is>
          <t>Miss Glam Jambi</t>
        </is>
      </c>
      <c r="E968" t="n">
        <v>0</v>
      </c>
      <c r="F968" t="n">
        <v>0.1353</v>
      </c>
      <c r="G968" t="n">
        <v>0.99</v>
      </c>
      <c r="H968" t="n">
        <v>2</v>
      </c>
      <c r="I968" t="n">
        <v>7</v>
      </c>
      <c r="J968" t="n">
        <v>3</v>
      </c>
      <c r="K968" t="n">
        <v>4</v>
      </c>
      <c r="L968" t="n">
        <v>29886</v>
      </c>
      <c r="M968" t="n">
        <v>34500</v>
      </c>
      <c r="N968" t="n">
        <v>33</v>
      </c>
      <c r="O968" t="n">
        <v>0.33</v>
      </c>
      <c r="P968" t="n">
        <v>1</v>
      </c>
      <c r="Q968" t="n">
        <v>0.17</v>
      </c>
      <c r="R968" t="n">
        <v>2</v>
      </c>
      <c r="S968" t="n">
        <v>4667.85</v>
      </c>
      <c r="T968" t="n">
        <v>7</v>
      </c>
      <c r="U968" t="n">
        <v>8</v>
      </c>
      <c r="V968" t="n">
        <v>30</v>
      </c>
      <c r="W968" t="n">
        <v>5</v>
      </c>
      <c r="X968" t="n">
        <v>0</v>
      </c>
      <c r="Y968" t="n">
        <v>1</v>
      </c>
      <c r="Z968" t="n">
        <v>1</v>
      </c>
      <c r="AA968" t="n">
        <v>0</v>
      </c>
      <c r="AB968" t="n">
        <v>1</v>
      </c>
      <c r="AC968" t="n">
        <v>3</v>
      </c>
      <c r="AD968" t="n">
        <v>0</v>
      </c>
      <c r="AE968" t="n">
        <v>89658</v>
      </c>
      <c r="AF968" t="n">
        <v>11575</v>
      </c>
      <c r="AG968" t="n">
        <v>2141</v>
      </c>
      <c r="AH968" t="inlineStr">
        <is>
          <t>PT. PARAMA GLOBAL INSPIRA - PPN (JMB)</t>
        </is>
      </c>
      <c r="AI968" t="n">
        <v>63</v>
      </c>
      <c r="AJ968" t="inlineStr">
        <is>
          <t>EMINA</t>
        </is>
      </c>
      <c r="AK968" t="n">
        <v>9</v>
      </c>
      <c r="AL968" t="inlineStr">
        <is>
          <t>Miss Glam Jambi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"8993137702027"</f>
        <v/>
      </c>
      <c r="C969" t="inlineStr">
        <is>
          <t>EMINA Daily Matte Loose Powder 02 Natural Beige 20gr</t>
        </is>
      </c>
      <c r="D969" t="inlineStr">
        <is>
          <t>Miss Glam Jambi</t>
        </is>
      </c>
      <c r="E969" t="n">
        <v>4</v>
      </c>
      <c r="F969" t="n">
        <v>0.297</v>
      </c>
      <c r="G969" t="n">
        <v>0.99</v>
      </c>
      <c r="H969" t="n">
        <v>2</v>
      </c>
      <c r="I969" t="n">
        <v>7</v>
      </c>
      <c r="J969" t="n">
        <v>3</v>
      </c>
      <c r="K969" t="n">
        <v>5</v>
      </c>
      <c r="L969" t="n">
        <v>29776</v>
      </c>
      <c r="M969" t="n">
        <v>34500</v>
      </c>
      <c r="N969" t="n">
        <v>33</v>
      </c>
      <c r="O969" t="n">
        <v>0.33</v>
      </c>
      <c r="P969" t="n">
        <v>1</v>
      </c>
      <c r="Q969" t="n">
        <v>0.17</v>
      </c>
      <c r="R969" t="n">
        <v>2</v>
      </c>
      <c r="S969" t="n">
        <v>10246.5</v>
      </c>
      <c r="T969" t="n">
        <v>7</v>
      </c>
      <c r="U969" t="n">
        <v>8</v>
      </c>
      <c r="V969" t="n">
        <v>30</v>
      </c>
      <c r="W969" t="n">
        <v>9</v>
      </c>
      <c r="X969" t="n">
        <v>13.46801346801347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11575</v>
      </c>
      <c r="AG969" t="n">
        <v>2141</v>
      </c>
      <c r="AH969" t="inlineStr">
        <is>
          <t>PT. PARAMA GLOBAL INSPIRA - PPN (JMB)</t>
        </is>
      </c>
      <c r="AI969" t="n">
        <v>63</v>
      </c>
      <c r="AJ969" t="inlineStr">
        <is>
          <t>EMINA</t>
        </is>
      </c>
      <c r="AK969" t="n">
        <v>9</v>
      </c>
      <c r="AL969" t="inlineStr">
        <is>
          <t>Miss Glam Jambi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"8993137707503"</f>
        <v/>
      </c>
      <c r="C970" t="inlineStr">
        <is>
          <t>EMINA Facial wash Acne Prone Skin 100</t>
        </is>
      </c>
      <c r="D970" t="inlineStr">
        <is>
          <t>Miss Glam Jambi</t>
        </is>
      </c>
      <c r="E970" t="n">
        <v>5</v>
      </c>
      <c r="F970" t="n">
        <v>0.5247000000000001</v>
      </c>
      <c r="G970" t="n">
        <v>1.65</v>
      </c>
      <c r="H970" t="n">
        <v>2</v>
      </c>
      <c r="I970" t="n">
        <v>7</v>
      </c>
      <c r="J970" t="n">
        <v>3</v>
      </c>
      <c r="K970" t="n">
        <v>10</v>
      </c>
      <c r="L970" t="n">
        <v>24905</v>
      </c>
      <c r="M970" t="n">
        <v>32500</v>
      </c>
      <c r="N970" t="n">
        <v>33</v>
      </c>
      <c r="O970" t="n">
        <v>0.33</v>
      </c>
      <c r="P970" t="n">
        <v>1</v>
      </c>
      <c r="Q970" t="n">
        <v>0.31</v>
      </c>
      <c r="R970" t="n">
        <v>2</v>
      </c>
      <c r="S970" t="n">
        <v>17052.75</v>
      </c>
      <c r="T970" t="n">
        <v>11</v>
      </c>
      <c r="U970" t="n">
        <v>13</v>
      </c>
      <c r="V970" t="n">
        <v>30</v>
      </c>
      <c r="W970" t="n">
        <v>16</v>
      </c>
      <c r="X970" t="n">
        <v>9.529254812273679</v>
      </c>
      <c r="Y970" t="n">
        <v>1</v>
      </c>
      <c r="Z970" t="n">
        <v>1</v>
      </c>
      <c r="AA970" t="n">
        <v>0</v>
      </c>
      <c r="AB970" t="n">
        <v>1</v>
      </c>
      <c r="AC970" t="n">
        <v>3</v>
      </c>
      <c r="AD970" t="n">
        <v>0</v>
      </c>
      <c r="AE970" t="n">
        <v>74715</v>
      </c>
      <c r="AF970" t="n">
        <v>11575</v>
      </c>
      <c r="AG970" t="n">
        <v>2141</v>
      </c>
      <c r="AH970" t="inlineStr">
        <is>
          <t>PT. PARAMA GLOBAL INSPIRA - PPN (JMB)</t>
        </is>
      </c>
      <c r="AI970" t="n">
        <v>63</v>
      </c>
      <c r="AJ970" t="inlineStr">
        <is>
          <t>EMINA</t>
        </is>
      </c>
      <c r="AK970" t="n">
        <v>9</v>
      </c>
      <c r="AL970" t="inlineStr">
        <is>
          <t>Miss Glam Jambi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"8993137703888"</f>
        <v/>
      </c>
      <c r="C971" t="inlineStr">
        <is>
          <t>EMINA Facial Wash Bright Stuff 100ml</t>
        </is>
      </c>
      <c r="D971" t="inlineStr">
        <is>
          <t>Miss Glam Jambi</t>
        </is>
      </c>
      <c r="E971" t="n">
        <v>0</v>
      </c>
      <c r="F971" t="n">
        <v>1.8018</v>
      </c>
      <c r="G971" t="n">
        <v>4.62</v>
      </c>
      <c r="H971" t="n">
        <v>2</v>
      </c>
      <c r="I971" t="n">
        <v>7</v>
      </c>
      <c r="J971" t="n">
        <v>3</v>
      </c>
      <c r="K971" t="n">
        <v>42</v>
      </c>
      <c r="L971" t="n">
        <v>23624</v>
      </c>
      <c r="M971" t="n">
        <v>29000</v>
      </c>
      <c r="N971" t="n">
        <v>33</v>
      </c>
      <c r="O971" t="n">
        <v>0.33</v>
      </c>
      <c r="P971" t="n">
        <v>1</v>
      </c>
      <c r="Q971" t="n">
        <v>0.68</v>
      </c>
      <c r="R971" t="n">
        <v>3</v>
      </c>
      <c r="S971" t="n">
        <v>52252.2</v>
      </c>
      <c r="T971" t="n">
        <v>29</v>
      </c>
      <c r="U971" t="n">
        <v>33</v>
      </c>
      <c r="V971" t="n">
        <v>30</v>
      </c>
      <c r="W971" t="n">
        <v>55</v>
      </c>
      <c r="X971" t="n">
        <v>0</v>
      </c>
      <c r="Y971" t="n">
        <v>1</v>
      </c>
      <c r="Z971" t="n">
        <v>13</v>
      </c>
      <c r="AA971" t="n">
        <v>12</v>
      </c>
      <c r="AB971" t="n">
        <v>1</v>
      </c>
      <c r="AC971" t="n">
        <v>3</v>
      </c>
      <c r="AD971" t="n">
        <v>283488</v>
      </c>
      <c r="AE971" t="n">
        <v>70872</v>
      </c>
      <c r="AF971" t="n">
        <v>11575</v>
      </c>
      <c r="AG971" t="n">
        <v>2141</v>
      </c>
      <c r="AH971" t="inlineStr">
        <is>
          <t>PT. PARAMA GLOBAL INSPIRA - PPN (JMB)</t>
        </is>
      </c>
      <c r="AI971" t="n">
        <v>63</v>
      </c>
      <c r="AJ971" t="inlineStr">
        <is>
          <t>EMINA</t>
        </is>
      </c>
      <c r="AK971" t="n">
        <v>9</v>
      </c>
      <c r="AL971" t="inlineStr">
        <is>
          <t>Miss Glam Jambi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"8993137701419"</f>
        <v/>
      </c>
      <c r="C972" t="inlineStr">
        <is>
          <t>EMINA Facial Wash Bright Stuff 50ml</t>
        </is>
      </c>
      <c r="D972" t="inlineStr">
        <is>
          <t>Miss Glam Jambi</t>
        </is>
      </c>
      <c r="E972" t="n">
        <v>6</v>
      </c>
      <c r="F972" t="n">
        <v>1.0395</v>
      </c>
      <c r="G972" t="n">
        <v>3.3</v>
      </c>
      <c r="H972" t="n">
        <v>2</v>
      </c>
      <c r="I972" t="n">
        <v>7</v>
      </c>
      <c r="J972" t="n">
        <v>3</v>
      </c>
      <c r="K972" t="n">
        <v>24</v>
      </c>
      <c r="L972" t="n">
        <v>14526</v>
      </c>
      <c r="M972" t="n">
        <v>17500</v>
      </c>
      <c r="N972" t="n">
        <v>33</v>
      </c>
      <c r="O972" t="n">
        <v>0.33</v>
      </c>
      <c r="P972" t="n">
        <v>1</v>
      </c>
      <c r="Q972" t="n">
        <v>0.32</v>
      </c>
      <c r="R972" t="n">
        <v>1</v>
      </c>
      <c r="S972" t="n">
        <v>18191.25</v>
      </c>
      <c r="T972" t="n">
        <v>22</v>
      </c>
      <c r="U972" t="n">
        <v>25</v>
      </c>
      <c r="V972" t="n">
        <v>30</v>
      </c>
      <c r="W972" t="n">
        <v>32</v>
      </c>
      <c r="X972" t="n">
        <v>5.772005772005771</v>
      </c>
      <c r="Y972" t="n">
        <v>1</v>
      </c>
      <c r="Z972" t="n">
        <v>2</v>
      </c>
      <c r="AA972" t="n">
        <v>1</v>
      </c>
      <c r="AB972" t="n">
        <v>1</v>
      </c>
      <c r="AC972" t="n">
        <v>3</v>
      </c>
      <c r="AD972" t="n">
        <v>14526</v>
      </c>
      <c r="AE972" t="n">
        <v>43578</v>
      </c>
      <c r="AF972" t="n">
        <v>11575</v>
      </c>
      <c r="AG972" t="n">
        <v>2141</v>
      </c>
      <c r="AH972" t="inlineStr">
        <is>
          <t>PT. PARAMA GLOBAL INSPIRA - PPN (JMB)</t>
        </is>
      </c>
      <c r="AI972" t="n">
        <v>63</v>
      </c>
      <c r="AJ972" t="inlineStr">
        <is>
          <t>EMINA</t>
        </is>
      </c>
      <c r="AK972" t="n">
        <v>9</v>
      </c>
      <c r="AL972" t="inlineStr">
        <is>
          <t>Miss Glam Jambi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"203003109701"</f>
        <v/>
      </c>
      <c r="C973" t="inlineStr">
        <is>
          <t>EMINA Glass Tint 01 Glaze 3gr</t>
        </is>
      </c>
      <c r="D973" t="inlineStr">
        <is>
          <t>Miss Glam Jambi</t>
        </is>
      </c>
      <c r="E973" t="n">
        <v>6</v>
      </c>
      <c r="F973" t="n">
        <v>0.06270000000000001</v>
      </c>
      <c r="G973" t="n">
        <v>0.66</v>
      </c>
      <c r="H973" t="n">
        <v>2</v>
      </c>
      <c r="I973" t="n">
        <v>7</v>
      </c>
      <c r="J973" t="n">
        <v>1</v>
      </c>
      <c r="K973" t="n">
        <v>0</v>
      </c>
      <c r="L973" t="n">
        <v>50576</v>
      </c>
      <c r="M973" t="n">
        <v>62000</v>
      </c>
      <c r="N973" t="n">
        <v>33</v>
      </c>
      <c r="O973" t="n">
        <v>0.33</v>
      </c>
      <c r="P973" t="n">
        <v>1</v>
      </c>
      <c r="Q973" t="n">
        <v>0.07000000000000001</v>
      </c>
      <c r="R973" t="n">
        <v>1</v>
      </c>
      <c r="S973" t="n">
        <v>3887.400000000001</v>
      </c>
      <c r="T973" t="n">
        <v>5</v>
      </c>
      <c r="U973" t="n">
        <v>6</v>
      </c>
      <c r="V973" t="n">
        <v>30</v>
      </c>
      <c r="W973" t="n">
        <v>2</v>
      </c>
      <c r="X973" t="n">
        <v>95.69377990430621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11575</v>
      </c>
      <c r="AG973" t="n">
        <v>2141</v>
      </c>
      <c r="AH973" t="inlineStr">
        <is>
          <t>PT. PARAMA GLOBAL INSPIRA - PPN (JMB)</t>
        </is>
      </c>
      <c r="AI973" t="n">
        <v>63</v>
      </c>
      <c r="AJ973" t="inlineStr">
        <is>
          <t>EMINA</t>
        </is>
      </c>
      <c r="AK973" t="n">
        <v>9</v>
      </c>
      <c r="AL973" t="inlineStr">
        <is>
          <t>Miss Glam Jambi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"203003109858"</f>
        <v/>
      </c>
      <c r="C974" t="inlineStr">
        <is>
          <t>EMINA Glass Tint 02 Burnt 3gr</t>
        </is>
      </c>
      <c r="D974" t="inlineStr">
        <is>
          <t>Miss Glam Jambi</t>
        </is>
      </c>
      <c r="E974" t="n">
        <v>3</v>
      </c>
      <c r="F974" t="n">
        <v>0.033</v>
      </c>
      <c r="G974" t="n">
        <v>0.33</v>
      </c>
      <c r="H974" t="n">
        <v>2</v>
      </c>
      <c r="I974" t="n">
        <v>7</v>
      </c>
      <c r="J974" t="n">
        <v>1</v>
      </c>
      <c r="K974" t="n">
        <v>0</v>
      </c>
      <c r="L974" t="n">
        <v>50576</v>
      </c>
      <c r="M974" t="n">
        <v>62000</v>
      </c>
      <c r="N974" t="n">
        <v>33</v>
      </c>
      <c r="O974" t="n">
        <v>0.33</v>
      </c>
      <c r="P974" t="n">
        <v>1</v>
      </c>
      <c r="Q974" t="n">
        <v>0.05</v>
      </c>
      <c r="R974" t="n">
        <v>2</v>
      </c>
      <c r="S974" t="n">
        <v>2046</v>
      </c>
      <c r="T974" t="n">
        <v>3</v>
      </c>
      <c r="U974" t="n">
        <v>4</v>
      </c>
      <c r="V974" t="n">
        <v>30</v>
      </c>
      <c r="W974" t="n">
        <v>1</v>
      </c>
      <c r="X974" t="n">
        <v>90.90909090909091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11575</v>
      </c>
      <c r="AG974" t="n">
        <v>2141</v>
      </c>
      <c r="AH974" t="inlineStr">
        <is>
          <t>PT. PARAMA GLOBAL INSPIRA - PPN (JMB)</t>
        </is>
      </c>
      <c r="AI974" t="n">
        <v>63</v>
      </c>
      <c r="AJ974" t="inlineStr">
        <is>
          <t>EMINA</t>
        </is>
      </c>
      <c r="AK974" t="n">
        <v>9</v>
      </c>
      <c r="AL974" t="inlineStr">
        <is>
          <t>Miss Glam Jambi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"203003109937"</f>
        <v/>
      </c>
      <c r="C975" t="inlineStr">
        <is>
          <t>EMINA Glass Tint 03 Sugar 3gr</t>
        </is>
      </c>
      <c r="D975" t="inlineStr">
        <is>
          <t>Miss Glam Jambi</t>
        </is>
      </c>
      <c r="E975" t="n">
        <v>5</v>
      </c>
      <c r="F975" t="n">
        <v>0.0231</v>
      </c>
      <c r="G975" t="n">
        <v>0.33</v>
      </c>
      <c r="H975" t="n">
        <v>2</v>
      </c>
      <c r="I975" t="n">
        <v>7</v>
      </c>
      <c r="J975" t="n">
        <v>1</v>
      </c>
      <c r="K975" t="n">
        <v>0</v>
      </c>
      <c r="L975" t="n">
        <v>50576</v>
      </c>
      <c r="M975" t="n">
        <v>62000</v>
      </c>
      <c r="N975" t="n">
        <v>33</v>
      </c>
      <c r="O975" t="n">
        <v>0.33</v>
      </c>
      <c r="P975" t="n">
        <v>1</v>
      </c>
      <c r="Q975" t="n">
        <v>0.03</v>
      </c>
      <c r="R975" t="n">
        <v>1</v>
      </c>
      <c r="S975" t="n">
        <v>1432.2</v>
      </c>
      <c r="T975" t="n">
        <v>3</v>
      </c>
      <c r="U975" t="n">
        <v>4</v>
      </c>
      <c r="V975" t="n">
        <v>30</v>
      </c>
      <c r="W975" t="n">
        <v>1</v>
      </c>
      <c r="X975" t="n">
        <v>216.4502164502164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11575</v>
      </c>
      <c r="AG975" t="n">
        <v>2141</v>
      </c>
      <c r="AH975" t="inlineStr">
        <is>
          <t>PT. PARAMA GLOBAL INSPIRA - PPN (JMB)</t>
        </is>
      </c>
      <c r="AI975" t="n">
        <v>63</v>
      </c>
      <c r="AJ975" t="inlineStr">
        <is>
          <t>EMINA</t>
        </is>
      </c>
      <c r="AK975" t="n">
        <v>9</v>
      </c>
      <c r="AL975" t="inlineStr">
        <is>
          <t>Miss Glam Jambi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"203003110021"</f>
        <v/>
      </c>
      <c r="C976" t="inlineStr">
        <is>
          <t>EMINA Glass Tint 04 Plum 3gr</t>
        </is>
      </c>
      <c r="D976" t="inlineStr">
        <is>
          <t>Miss Glam Jambi</t>
        </is>
      </c>
      <c r="E976" t="n">
        <v>9</v>
      </c>
      <c r="F976" t="n">
        <v>0.0396</v>
      </c>
      <c r="G976" t="n">
        <v>0.33</v>
      </c>
      <c r="H976" t="n">
        <v>2</v>
      </c>
      <c r="I976" t="n">
        <v>7</v>
      </c>
      <c r="J976" t="n">
        <v>1</v>
      </c>
      <c r="K976" t="n">
        <v>0</v>
      </c>
      <c r="L976" t="n">
        <v>50575</v>
      </c>
      <c r="M976" t="n">
        <v>62000</v>
      </c>
      <c r="N976" t="n">
        <v>33</v>
      </c>
      <c r="O976" t="n">
        <v>0.33</v>
      </c>
      <c r="P976" t="n">
        <v>1</v>
      </c>
      <c r="Q976" t="n">
        <v>0.15</v>
      </c>
      <c r="R976" t="n">
        <v>1</v>
      </c>
      <c r="S976" t="n">
        <v>2455.2</v>
      </c>
      <c r="T976" t="n">
        <v>3</v>
      </c>
      <c r="U976" t="n">
        <v>4</v>
      </c>
      <c r="V976" t="n">
        <v>30</v>
      </c>
      <c r="W976" t="n">
        <v>2</v>
      </c>
      <c r="X976" t="n">
        <v>227.2727272727273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11575</v>
      </c>
      <c r="AG976" t="n">
        <v>2141</v>
      </c>
      <c r="AH976" t="inlineStr">
        <is>
          <t>PT. PARAMA GLOBAL INSPIRA - PPN (JMB)</t>
        </is>
      </c>
      <c r="AI976" t="n">
        <v>63</v>
      </c>
      <c r="AJ976" t="inlineStr">
        <is>
          <t>EMINA</t>
        </is>
      </c>
      <c r="AK976" t="n">
        <v>9</v>
      </c>
      <c r="AL976" t="inlineStr">
        <is>
          <t>Miss Glam Jambi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"203003110151"</f>
        <v/>
      </c>
      <c r="C977" t="inlineStr">
        <is>
          <t>EMINA Glass Tint 05 Cherry 3gr</t>
        </is>
      </c>
      <c r="D977" t="inlineStr">
        <is>
          <t>Miss Glam Jambi</t>
        </is>
      </c>
      <c r="E977" t="n">
        <v>1</v>
      </c>
      <c r="F977" t="n">
        <v>0.09569999999999999</v>
      </c>
      <c r="G977" t="n">
        <v>0.99</v>
      </c>
      <c r="H977" t="n">
        <v>2</v>
      </c>
      <c r="I977" t="n">
        <v>7</v>
      </c>
      <c r="J977" t="n">
        <v>1</v>
      </c>
      <c r="K977" t="n">
        <v>2</v>
      </c>
      <c r="L977" t="n">
        <v>50576</v>
      </c>
      <c r="M977" t="n">
        <v>62000</v>
      </c>
      <c r="N977" t="n">
        <v>33</v>
      </c>
      <c r="O977" t="n">
        <v>0.33</v>
      </c>
      <c r="P977" t="n">
        <v>1</v>
      </c>
      <c r="Q977" t="n">
        <v>0.08</v>
      </c>
      <c r="R977" t="n">
        <v>1</v>
      </c>
      <c r="S977" t="n">
        <v>5933.4</v>
      </c>
      <c r="T977" t="n">
        <v>7</v>
      </c>
      <c r="U977" t="n">
        <v>8</v>
      </c>
      <c r="V977" t="n">
        <v>30</v>
      </c>
      <c r="W977" t="n">
        <v>3</v>
      </c>
      <c r="X977" t="n">
        <v>10.44932079414838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11575</v>
      </c>
      <c r="AG977" t="n">
        <v>2141</v>
      </c>
      <c r="AH977" t="inlineStr">
        <is>
          <t>PT. PARAMA GLOBAL INSPIRA - PPN (JMB)</t>
        </is>
      </c>
      <c r="AI977" t="n">
        <v>63</v>
      </c>
      <c r="AJ977" t="inlineStr">
        <is>
          <t>EMINA</t>
        </is>
      </c>
      <c r="AK977" t="n">
        <v>9</v>
      </c>
      <c r="AL977" t="inlineStr">
        <is>
          <t>Miss Glam Jambi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"203003110238"</f>
        <v/>
      </c>
      <c r="C978" t="inlineStr">
        <is>
          <t>EMINA Glass Tint 06 Bomb 3gr</t>
        </is>
      </c>
      <c r="D978" t="inlineStr">
        <is>
          <t>Miss Glam Jambi</t>
        </is>
      </c>
      <c r="E978" t="n">
        <v>0</v>
      </c>
      <c r="F978" t="n">
        <v>0.06270000000000001</v>
      </c>
      <c r="G978" t="n">
        <v>0.66</v>
      </c>
      <c r="H978" t="n">
        <v>2</v>
      </c>
      <c r="I978" t="n">
        <v>7</v>
      </c>
      <c r="J978" t="n">
        <v>1</v>
      </c>
      <c r="K978" t="n">
        <v>1</v>
      </c>
      <c r="L978" t="n">
        <v>50576</v>
      </c>
      <c r="M978" t="n">
        <v>62000</v>
      </c>
      <c r="N978" t="n">
        <v>33</v>
      </c>
      <c r="O978" t="n">
        <v>0.33</v>
      </c>
      <c r="P978" t="n">
        <v>1</v>
      </c>
      <c r="Q978" t="n">
        <v>0.1</v>
      </c>
      <c r="R978" t="n">
        <v>2</v>
      </c>
      <c r="S978" t="n">
        <v>3887.400000000001</v>
      </c>
      <c r="T978" t="n">
        <v>5</v>
      </c>
      <c r="U978" t="n">
        <v>6</v>
      </c>
      <c r="V978" t="n">
        <v>30</v>
      </c>
      <c r="W978" t="n">
        <v>2</v>
      </c>
      <c r="X978" t="n">
        <v>0</v>
      </c>
      <c r="Y978" t="n">
        <v>1</v>
      </c>
      <c r="Z978" t="n">
        <v>1</v>
      </c>
      <c r="AA978" t="n">
        <v>0</v>
      </c>
      <c r="AB978" t="n">
        <v>1</v>
      </c>
      <c r="AC978" t="n">
        <v>1</v>
      </c>
      <c r="AD978" t="n">
        <v>0</v>
      </c>
      <c r="AE978" t="n">
        <v>50576</v>
      </c>
      <c r="AF978" t="n">
        <v>11575</v>
      </c>
      <c r="AG978" t="n">
        <v>2141</v>
      </c>
      <c r="AH978" t="inlineStr">
        <is>
          <t>PT. PARAMA GLOBAL INSPIRA - PPN (JMB)</t>
        </is>
      </c>
      <c r="AI978" t="n">
        <v>63</v>
      </c>
      <c r="AJ978" t="inlineStr">
        <is>
          <t>EMINA</t>
        </is>
      </c>
      <c r="AK978" t="n">
        <v>9</v>
      </c>
      <c r="AL978" t="inlineStr">
        <is>
          <t>Miss Glam Jambi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"8993137005081"</f>
        <v/>
      </c>
      <c r="C979" t="inlineStr">
        <is>
          <t>EMINA Glo Rad+ 9-Hyalucica Glow Moisture Gel 50ml</t>
        </is>
      </c>
      <c r="D979" t="inlineStr">
        <is>
          <t>Miss Glam Jambi</t>
        </is>
      </c>
      <c r="E979" t="n">
        <v>3</v>
      </c>
      <c r="F979" t="n">
        <v>0.0231</v>
      </c>
      <c r="G979" t="n">
        <v>0.33</v>
      </c>
      <c r="H979" t="n">
        <v>2</v>
      </c>
      <c r="I979" t="n">
        <v>7</v>
      </c>
      <c r="J979" t="n">
        <v>3</v>
      </c>
      <c r="K979" t="n">
        <v>0</v>
      </c>
      <c r="L979" t="n">
        <v>68584</v>
      </c>
      <c r="M979" t="n">
        <v>84000</v>
      </c>
      <c r="N979" t="n">
        <v>33</v>
      </c>
      <c r="O979" t="n">
        <v>0.33</v>
      </c>
      <c r="P979" t="n">
        <v>1</v>
      </c>
      <c r="Q979" t="n">
        <v>0.03</v>
      </c>
      <c r="R979" t="n">
        <v>1</v>
      </c>
      <c r="S979" t="n">
        <v>1940.4</v>
      </c>
      <c r="T979" t="n">
        <v>3</v>
      </c>
      <c r="U979" t="n">
        <v>4</v>
      </c>
      <c r="V979" t="n">
        <v>30</v>
      </c>
      <c r="W979" t="n">
        <v>1</v>
      </c>
      <c r="X979" t="n">
        <v>129.8701298701299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11575</v>
      </c>
      <c r="AG979" t="n">
        <v>2141</v>
      </c>
      <c r="AH979" t="inlineStr">
        <is>
          <t>PT. PARAMA GLOBAL INSPIRA - PPN (JMB)</t>
        </is>
      </c>
      <c r="AI979" t="n">
        <v>63</v>
      </c>
      <c r="AJ979" t="inlineStr">
        <is>
          <t>EMINA</t>
        </is>
      </c>
      <c r="AK979" t="n">
        <v>9</v>
      </c>
      <c r="AL979" t="inlineStr">
        <is>
          <t>Miss Glam Jambi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"8993137005098"</f>
        <v/>
      </c>
      <c r="C980" t="inlineStr">
        <is>
          <t>EMINA Glo Rad+ Hassle Free Cleanser Amino Fusion ProCleanser 100ml</t>
        </is>
      </c>
      <c r="D980" t="inlineStr">
        <is>
          <t>Miss Glam Jambi</t>
        </is>
      </c>
      <c r="E980" t="n">
        <v>7</v>
      </c>
      <c r="F980" t="n">
        <v>0.009900000000000001</v>
      </c>
      <c r="G980" t="n">
        <v>0.33</v>
      </c>
      <c r="H980" t="n">
        <v>2</v>
      </c>
      <c r="I980" t="n">
        <v>7</v>
      </c>
      <c r="J980" t="n">
        <v>3</v>
      </c>
      <c r="K980" t="n">
        <v>0</v>
      </c>
      <c r="L980" t="n">
        <v>45978</v>
      </c>
      <c r="M980" t="n">
        <v>56000</v>
      </c>
      <c r="N980" t="n">
        <v>33</v>
      </c>
      <c r="O980" t="n">
        <v>0.33</v>
      </c>
      <c r="P980" t="n">
        <v>1</v>
      </c>
      <c r="Q980" t="n">
        <v>0.02</v>
      </c>
      <c r="R980" t="n">
        <v>1</v>
      </c>
      <c r="S980" t="n">
        <v>554.4000000000001</v>
      </c>
      <c r="T980" t="n">
        <v>3</v>
      </c>
      <c r="U980" t="n">
        <v>4</v>
      </c>
      <c r="V980" t="n">
        <v>30</v>
      </c>
      <c r="W980" t="n">
        <v>1</v>
      </c>
      <c r="X980" t="n">
        <v>707.070707070707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11575</v>
      </c>
      <c r="AG980" t="n">
        <v>2141</v>
      </c>
      <c r="AH980" t="inlineStr">
        <is>
          <t>PT. PARAMA GLOBAL INSPIRA - PPN (JMB)</t>
        </is>
      </c>
      <c r="AI980" t="n">
        <v>63</v>
      </c>
      <c r="AJ980" t="inlineStr">
        <is>
          <t>EMINA</t>
        </is>
      </c>
      <c r="AK980" t="n">
        <v>9</v>
      </c>
      <c r="AL980" t="inlineStr">
        <is>
          <t>Miss Glam Jambi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"8993137005074"</f>
        <v/>
      </c>
      <c r="C981" t="inlineStr">
        <is>
          <t>EMINA Glo Rad+ High-Res Bright Glow Water-Sphere Serum 20ml</t>
        </is>
      </c>
      <c r="D981" t="inlineStr">
        <is>
          <t>Miss Glam Jambi</t>
        </is>
      </c>
      <c r="E981" t="n">
        <v>3</v>
      </c>
      <c r="F981" t="n">
        <v>0.0264</v>
      </c>
      <c r="G981" t="n">
        <v>0.33</v>
      </c>
      <c r="H981" t="n">
        <v>2</v>
      </c>
      <c r="I981" t="n">
        <v>7</v>
      </c>
      <c r="J981" t="n">
        <v>3</v>
      </c>
      <c r="K981" t="n">
        <v>0</v>
      </c>
      <c r="L981" t="n">
        <v>72032</v>
      </c>
      <c r="M981" t="n">
        <v>88000</v>
      </c>
      <c r="N981" t="n">
        <v>33</v>
      </c>
      <c r="O981" t="n">
        <v>0.33</v>
      </c>
      <c r="P981" t="n">
        <v>1</v>
      </c>
      <c r="Q981" t="n">
        <v>0.02</v>
      </c>
      <c r="R981" t="n">
        <v>1</v>
      </c>
      <c r="S981" t="n">
        <v>2323.2</v>
      </c>
      <c r="T981" t="n">
        <v>3</v>
      </c>
      <c r="U981" t="n">
        <v>4</v>
      </c>
      <c r="V981" t="n">
        <v>30</v>
      </c>
      <c r="W981" t="n">
        <v>1</v>
      </c>
      <c r="X981" t="n">
        <v>113.6363636363636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11575</v>
      </c>
      <c r="AG981" t="n">
        <v>2141</v>
      </c>
      <c r="AH981" t="inlineStr">
        <is>
          <t>PT. PARAMA GLOBAL INSPIRA - PPN (JMB)</t>
        </is>
      </c>
      <c r="AI981" t="n">
        <v>63</v>
      </c>
      <c r="AJ981" t="inlineStr">
        <is>
          <t>EMINA</t>
        </is>
      </c>
      <c r="AK981" t="n">
        <v>9</v>
      </c>
      <c r="AL981" t="inlineStr">
        <is>
          <t>Miss Glam Jambi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"8993137707220"</f>
        <v/>
      </c>
      <c r="C982" t="inlineStr">
        <is>
          <t>EMINA Glossy Stain 01 Autumn Bell 3gr</t>
        </is>
      </c>
      <c r="D982" t="inlineStr">
        <is>
          <t>Miss Glam Jambi</t>
        </is>
      </c>
      <c r="E982" t="n">
        <v>2</v>
      </c>
      <c r="F982" t="n">
        <v>0.1683</v>
      </c>
      <c r="G982" t="n">
        <v>0.99</v>
      </c>
      <c r="H982" t="n">
        <v>2</v>
      </c>
      <c r="I982" t="n">
        <v>7</v>
      </c>
      <c r="J982" t="n">
        <v>3</v>
      </c>
      <c r="K982" t="n">
        <v>4</v>
      </c>
      <c r="L982" t="n">
        <v>39599</v>
      </c>
      <c r="M982" t="n">
        <v>48500</v>
      </c>
      <c r="N982" t="n">
        <v>33</v>
      </c>
      <c r="O982" t="n">
        <v>0.33</v>
      </c>
      <c r="P982" t="n">
        <v>1</v>
      </c>
      <c r="Q982" t="n">
        <v>0.17</v>
      </c>
      <c r="R982" t="n">
        <v>1</v>
      </c>
      <c r="S982" t="n">
        <v>8162.55</v>
      </c>
      <c r="T982" t="n">
        <v>7</v>
      </c>
      <c r="U982" t="n">
        <v>8</v>
      </c>
      <c r="V982" t="n">
        <v>30</v>
      </c>
      <c r="W982" t="n">
        <v>6</v>
      </c>
      <c r="X982" t="n">
        <v>11.883541295306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11575</v>
      </c>
      <c r="AG982" t="n">
        <v>2141</v>
      </c>
      <c r="AH982" t="inlineStr">
        <is>
          <t>PT. PARAMA GLOBAL INSPIRA - PPN (JMB)</t>
        </is>
      </c>
      <c r="AI982" t="n">
        <v>63</v>
      </c>
      <c r="AJ982" t="inlineStr">
        <is>
          <t>EMINA</t>
        </is>
      </c>
      <c r="AK982" t="n">
        <v>9</v>
      </c>
      <c r="AL982" t="inlineStr">
        <is>
          <t>Miss Glam Jambi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"8993137707237"</f>
        <v/>
      </c>
      <c r="C983" t="inlineStr">
        <is>
          <t>EMINA Glossy Stain 02 Apple Shower 3gr</t>
        </is>
      </c>
      <c r="D983" t="inlineStr">
        <is>
          <t>Miss Glam Jambi</t>
        </is>
      </c>
      <c r="E983" t="n">
        <v>8</v>
      </c>
      <c r="F983" t="n">
        <v>0.0693</v>
      </c>
      <c r="G983" t="n">
        <v>0.66</v>
      </c>
      <c r="H983" t="n">
        <v>2</v>
      </c>
      <c r="I983" t="n">
        <v>7</v>
      </c>
      <c r="J983" t="n">
        <v>3</v>
      </c>
      <c r="K983" t="n">
        <v>0</v>
      </c>
      <c r="L983" t="n">
        <v>39848</v>
      </c>
      <c r="M983" t="n">
        <v>48500</v>
      </c>
      <c r="N983" t="n">
        <v>33</v>
      </c>
      <c r="O983" t="n">
        <v>0.33</v>
      </c>
      <c r="P983" t="n">
        <v>1</v>
      </c>
      <c r="Q983" t="n">
        <v>0.07000000000000001</v>
      </c>
      <c r="R983" t="n">
        <v>2</v>
      </c>
      <c r="S983" t="n">
        <v>3361.05</v>
      </c>
      <c r="T983" t="n">
        <v>5</v>
      </c>
      <c r="U983" t="n">
        <v>6</v>
      </c>
      <c r="V983" t="n">
        <v>30</v>
      </c>
      <c r="W983" t="n">
        <v>3</v>
      </c>
      <c r="X983" t="n">
        <v>115.4401154401154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11575</v>
      </c>
      <c r="AG983" t="n">
        <v>2141</v>
      </c>
      <c r="AH983" t="inlineStr">
        <is>
          <t>PT. PARAMA GLOBAL INSPIRA - PPN (JMB)</t>
        </is>
      </c>
      <c r="AI983" t="n">
        <v>63</v>
      </c>
      <c r="AJ983" t="inlineStr">
        <is>
          <t>EMINA</t>
        </is>
      </c>
      <c r="AK983" t="n">
        <v>9</v>
      </c>
      <c r="AL983" t="inlineStr">
        <is>
          <t>Miss Glam Jambi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"8993137707244"</f>
        <v/>
      </c>
      <c r="C984" t="inlineStr">
        <is>
          <t>EMINA Glossy Stain 03 Rainy Hazel Rose 3gr</t>
        </is>
      </c>
      <c r="D984" t="inlineStr">
        <is>
          <t>Miss Glam Jambi</t>
        </is>
      </c>
      <c r="E984" t="n">
        <v>7</v>
      </c>
      <c r="F984" t="n">
        <v>0.0726</v>
      </c>
      <c r="G984" t="n">
        <v>0.66</v>
      </c>
      <c r="H984" t="n">
        <v>2</v>
      </c>
      <c r="I984" t="n">
        <v>7</v>
      </c>
      <c r="J984" t="n">
        <v>3</v>
      </c>
      <c r="K984" t="n">
        <v>0</v>
      </c>
      <c r="L984" t="n">
        <v>39848</v>
      </c>
      <c r="M984" t="n">
        <v>48500</v>
      </c>
      <c r="N984" t="n">
        <v>33</v>
      </c>
      <c r="O984" t="n">
        <v>0.33</v>
      </c>
      <c r="P984" t="n">
        <v>1</v>
      </c>
      <c r="Q984" t="n">
        <v>0.05</v>
      </c>
      <c r="R984" t="n">
        <v>1</v>
      </c>
      <c r="S984" t="n">
        <v>3521.1</v>
      </c>
      <c r="T984" t="n">
        <v>5</v>
      </c>
      <c r="U984" t="n">
        <v>6</v>
      </c>
      <c r="V984" t="n">
        <v>30</v>
      </c>
      <c r="W984" t="n">
        <v>3</v>
      </c>
      <c r="X984" t="n">
        <v>96.41873278236915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11575</v>
      </c>
      <c r="AG984" t="n">
        <v>2141</v>
      </c>
      <c r="AH984" t="inlineStr">
        <is>
          <t>PT. PARAMA GLOBAL INSPIRA - PPN (JMB)</t>
        </is>
      </c>
      <c r="AI984" t="n">
        <v>63</v>
      </c>
      <c r="AJ984" t="inlineStr">
        <is>
          <t>EMINA</t>
        </is>
      </c>
      <c r="AK984" t="n">
        <v>9</v>
      </c>
      <c r="AL984" t="inlineStr">
        <is>
          <t>Miss Glam Jambi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"8993137707268"</f>
        <v/>
      </c>
      <c r="C985" t="inlineStr">
        <is>
          <t>EMINA Glossy Stain 05 Spring Dazzle 3gr</t>
        </is>
      </c>
      <c r="D985" t="inlineStr">
        <is>
          <t>Miss Glam Jambi</t>
        </is>
      </c>
      <c r="E985" t="n">
        <v>2</v>
      </c>
      <c r="F985" t="n">
        <v>0.1</v>
      </c>
      <c r="G985" t="n">
        <v>2</v>
      </c>
      <c r="H985" t="n">
        <v>2</v>
      </c>
      <c r="I985" t="n">
        <v>7</v>
      </c>
      <c r="J985" t="n">
        <v>3</v>
      </c>
      <c r="K985" t="n">
        <v>0</v>
      </c>
      <c r="L985" t="n">
        <v>39848</v>
      </c>
      <c r="M985" t="n">
        <v>48500</v>
      </c>
      <c r="N985" t="n">
        <v>33</v>
      </c>
      <c r="O985" t="n">
        <v>0.33</v>
      </c>
      <c r="P985" t="n">
        <v>0</v>
      </c>
      <c r="Q985" t="n">
        <v>0.1</v>
      </c>
      <c r="R985" t="n">
        <v>2</v>
      </c>
      <c r="S985" t="n">
        <v>4850</v>
      </c>
      <c r="T985" t="n">
        <v>14</v>
      </c>
      <c r="U985" t="n">
        <v>15</v>
      </c>
      <c r="V985" t="n">
        <v>30</v>
      </c>
      <c r="W985" t="n">
        <v>3</v>
      </c>
      <c r="X985" t="n">
        <v>20</v>
      </c>
      <c r="Y985" t="n">
        <v>1</v>
      </c>
      <c r="Z985" t="n">
        <v>1</v>
      </c>
      <c r="AA985" t="n">
        <v>0</v>
      </c>
      <c r="AB985" t="n">
        <v>1</v>
      </c>
      <c r="AC985" t="n">
        <v>3</v>
      </c>
      <c r="AD985" t="n">
        <v>0</v>
      </c>
      <c r="AE985" t="n">
        <v>119544</v>
      </c>
      <c r="AF985" t="n">
        <v>11575</v>
      </c>
      <c r="AG985" t="n">
        <v>2141</v>
      </c>
      <c r="AH985" t="inlineStr">
        <is>
          <t>PT. PARAMA GLOBAL INSPIRA - PPN (JMB)</t>
        </is>
      </c>
      <c r="AI985" t="n">
        <v>63</v>
      </c>
      <c r="AJ985" t="inlineStr">
        <is>
          <t>EMINA</t>
        </is>
      </c>
      <c r="AK985" t="n">
        <v>9</v>
      </c>
      <c r="AL985" t="inlineStr">
        <is>
          <t>Miss Glam Jambi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"8993137731935"</f>
        <v/>
      </c>
      <c r="C986" t="inlineStr">
        <is>
          <t>EMINA Glossy Stain 06 Coffee Drop 3gr</t>
        </is>
      </c>
      <c r="D986" t="inlineStr">
        <is>
          <t>Miss Glam Jambi</t>
        </is>
      </c>
      <c r="E986" t="n">
        <v>5</v>
      </c>
      <c r="F986" t="n">
        <v>0.0165</v>
      </c>
      <c r="G986" t="n">
        <v>0.33</v>
      </c>
      <c r="H986" t="n">
        <v>2</v>
      </c>
      <c r="I986" t="n">
        <v>7</v>
      </c>
      <c r="J986" t="n">
        <v>3</v>
      </c>
      <c r="K986" t="n">
        <v>0</v>
      </c>
      <c r="L986" t="n">
        <v>39848</v>
      </c>
      <c r="M986" t="n">
        <v>48500</v>
      </c>
      <c r="N986" t="n">
        <v>33</v>
      </c>
      <c r="O986" t="n">
        <v>0.33</v>
      </c>
      <c r="P986" t="n">
        <v>1</v>
      </c>
      <c r="Q986" t="n">
        <v>0.02</v>
      </c>
      <c r="R986" t="n">
        <v>1</v>
      </c>
      <c r="S986" t="n">
        <v>800.25</v>
      </c>
      <c r="T986" t="n">
        <v>3</v>
      </c>
      <c r="U986" t="n">
        <v>4</v>
      </c>
      <c r="V986" t="n">
        <v>30</v>
      </c>
      <c r="W986" t="n">
        <v>1</v>
      </c>
      <c r="X986" t="n">
        <v>303.030303030303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11575</v>
      </c>
      <c r="AG986" t="n">
        <v>2141</v>
      </c>
      <c r="AH986" t="inlineStr">
        <is>
          <t>PT. PARAMA GLOBAL INSPIRA - PPN (JMB)</t>
        </is>
      </c>
      <c r="AI986" t="n">
        <v>63</v>
      </c>
      <c r="AJ986" t="inlineStr">
        <is>
          <t>EMINA</t>
        </is>
      </c>
      <c r="AK986" t="n">
        <v>9</v>
      </c>
      <c r="AL986" t="inlineStr">
        <is>
          <t>Miss Glam Jambi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"8993137731942"</f>
        <v/>
      </c>
      <c r="C987" t="inlineStr">
        <is>
          <t>EMINA Glossy Stain 07 French Vanila 3gr</t>
        </is>
      </c>
      <c r="D987" t="inlineStr">
        <is>
          <t>Miss Glam Jambi</t>
        </is>
      </c>
      <c r="E987" t="n">
        <v>6</v>
      </c>
      <c r="F987" t="n">
        <v>0.1122</v>
      </c>
      <c r="G987" t="n">
        <v>0.66</v>
      </c>
      <c r="H987" t="n">
        <v>2</v>
      </c>
      <c r="I987" t="n">
        <v>7</v>
      </c>
      <c r="J987" t="n">
        <v>3</v>
      </c>
      <c r="K987" t="n">
        <v>0</v>
      </c>
      <c r="L987" t="n">
        <v>39847</v>
      </c>
      <c r="M987" t="n">
        <v>48500</v>
      </c>
      <c r="N987" t="n">
        <v>33</v>
      </c>
      <c r="O987" t="n">
        <v>0.33</v>
      </c>
      <c r="P987" t="n">
        <v>1</v>
      </c>
      <c r="Q987" t="n">
        <v>0.22</v>
      </c>
      <c r="R987" t="n">
        <v>2</v>
      </c>
      <c r="S987" t="n">
        <v>5441.700000000001</v>
      </c>
      <c r="T987" t="n">
        <v>5</v>
      </c>
      <c r="U987" t="n">
        <v>6</v>
      </c>
      <c r="V987" t="n">
        <v>30</v>
      </c>
      <c r="W987" t="n">
        <v>4</v>
      </c>
      <c r="X987" t="n">
        <v>53.475935828877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11575</v>
      </c>
      <c r="AG987" t="n">
        <v>2141</v>
      </c>
      <c r="AH987" t="inlineStr">
        <is>
          <t>PT. PARAMA GLOBAL INSPIRA - PPN (JMB)</t>
        </is>
      </c>
      <c r="AI987" t="n">
        <v>63</v>
      </c>
      <c r="AJ987" t="inlineStr">
        <is>
          <t>EMINA</t>
        </is>
      </c>
      <c r="AK987" t="n">
        <v>9</v>
      </c>
      <c r="AL987" t="inlineStr">
        <is>
          <t>Miss Glam Jambi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"8993137731966"</f>
        <v/>
      </c>
      <c r="C988" t="inlineStr">
        <is>
          <t>EMINA Glossy Stain 09 Red Bean 9gr</t>
        </is>
      </c>
      <c r="D988" t="inlineStr">
        <is>
          <t>Miss Glam Jambi</t>
        </is>
      </c>
      <c r="E988" t="n">
        <v>0</v>
      </c>
      <c r="F988" t="n">
        <v>0.0462</v>
      </c>
      <c r="G988" t="n">
        <v>0.66</v>
      </c>
      <c r="H988" t="n">
        <v>2</v>
      </c>
      <c r="I988" t="n">
        <v>7</v>
      </c>
      <c r="J988" t="n">
        <v>3</v>
      </c>
      <c r="K988" t="n">
        <v>3</v>
      </c>
      <c r="L988" t="n">
        <v>39848</v>
      </c>
      <c r="M988" t="n">
        <v>48500</v>
      </c>
      <c r="N988" t="n">
        <v>33</v>
      </c>
      <c r="O988" t="n">
        <v>0.33</v>
      </c>
      <c r="P988" t="n">
        <v>1</v>
      </c>
      <c r="Q988" t="n">
        <v>0.11</v>
      </c>
      <c r="R988" t="n">
        <v>1</v>
      </c>
      <c r="S988" t="n">
        <v>2240.7</v>
      </c>
      <c r="T988" t="n">
        <v>5</v>
      </c>
      <c r="U988" t="n">
        <v>6</v>
      </c>
      <c r="V988" t="n">
        <v>30</v>
      </c>
      <c r="W988" t="n">
        <v>2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11575</v>
      </c>
      <c r="AG988" t="n">
        <v>2141</v>
      </c>
      <c r="AH988" t="inlineStr">
        <is>
          <t>PT. PARAMA GLOBAL INSPIRA - PPN (JMB)</t>
        </is>
      </c>
      <c r="AI988" t="n">
        <v>63</v>
      </c>
      <c r="AJ988" t="inlineStr">
        <is>
          <t>EMINA</t>
        </is>
      </c>
      <c r="AK988" t="n">
        <v>9</v>
      </c>
      <c r="AL988" t="inlineStr">
        <is>
          <t>Miss Glam Jambi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"8993137731973"</f>
        <v/>
      </c>
      <c r="C989" t="inlineStr">
        <is>
          <t>EMINA Glossy Stain 10 Choco Praline 9gr</t>
        </is>
      </c>
      <c r="D989" t="inlineStr">
        <is>
          <t>Miss Glam Jambi</t>
        </is>
      </c>
      <c r="E989" t="n">
        <v>2</v>
      </c>
      <c r="F989" t="n">
        <v>0.0231</v>
      </c>
      <c r="G989" t="n">
        <v>0.33</v>
      </c>
      <c r="H989" t="n">
        <v>2</v>
      </c>
      <c r="I989" t="n">
        <v>7</v>
      </c>
      <c r="J989" t="n">
        <v>3</v>
      </c>
      <c r="K989" t="n">
        <v>0</v>
      </c>
      <c r="L989" t="n">
        <v>39848</v>
      </c>
      <c r="M989" t="n">
        <v>48500</v>
      </c>
      <c r="N989" t="n">
        <v>33</v>
      </c>
      <c r="O989" t="n">
        <v>0.33</v>
      </c>
      <c r="P989" t="n">
        <v>1</v>
      </c>
      <c r="Q989" t="n">
        <v>0.02</v>
      </c>
      <c r="R989" t="n">
        <v>0</v>
      </c>
      <c r="S989" t="n">
        <v>1120.35</v>
      </c>
      <c r="T989" t="n">
        <v>3</v>
      </c>
      <c r="U989" t="n">
        <v>4</v>
      </c>
      <c r="V989" t="n">
        <v>30</v>
      </c>
      <c r="W989" t="n">
        <v>1</v>
      </c>
      <c r="X989" t="n">
        <v>86.58008658008657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11575</v>
      </c>
      <c r="AG989" t="n">
        <v>2141</v>
      </c>
      <c r="AH989" t="inlineStr">
        <is>
          <t>PT. PARAMA GLOBAL INSPIRA - PPN (JMB)</t>
        </is>
      </c>
      <c r="AI989" t="n">
        <v>63</v>
      </c>
      <c r="AJ989" t="inlineStr">
        <is>
          <t>EMINA</t>
        </is>
      </c>
      <c r="AK989" t="n">
        <v>9</v>
      </c>
      <c r="AL989" t="inlineStr">
        <is>
          <t>Miss Glam Jambi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"20100486858"</f>
        <v/>
      </c>
      <c r="C990" t="inlineStr">
        <is>
          <t>EMINA Glow Vibe Cushion O03 Chai 13gr</t>
        </is>
      </c>
      <c r="D990" t="inlineStr">
        <is>
          <t>Miss Glam Jambi</t>
        </is>
      </c>
      <c r="E990" t="n">
        <v>5</v>
      </c>
      <c r="F990" t="n">
        <v>0.02</v>
      </c>
      <c r="G990" t="n">
        <v>1</v>
      </c>
      <c r="H990" t="n">
        <v>2</v>
      </c>
      <c r="I990" t="n">
        <v>7</v>
      </c>
      <c r="J990" t="n">
        <v>1</v>
      </c>
      <c r="K990" t="n">
        <v>0</v>
      </c>
      <c r="L990" t="n">
        <v>91956</v>
      </c>
      <c r="M990" t="n">
        <v>120000</v>
      </c>
      <c r="N990" t="n">
        <v>33</v>
      </c>
      <c r="O990" t="n">
        <v>0.33</v>
      </c>
      <c r="P990" t="n">
        <v>0</v>
      </c>
      <c r="Q990" t="n">
        <v>0.02</v>
      </c>
      <c r="R990" t="n">
        <v>1</v>
      </c>
      <c r="S990" t="n">
        <v>2400</v>
      </c>
      <c r="T990" t="n">
        <v>7</v>
      </c>
      <c r="U990" t="n">
        <v>8</v>
      </c>
      <c r="V990" t="n">
        <v>30</v>
      </c>
      <c r="W990" t="n">
        <v>1</v>
      </c>
      <c r="X990" t="n">
        <v>250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11575</v>
      </c>
      <c r="AG990" t="n">
        <v>2141</v>
      </c>
      <c r="AH990" t="inlineStr">
        <is>
          <t>PT. PARAMA GLOBAL INSPIRA - PPN (JMB)</t>
        </is>
      </c>
      <c r="AI990" t="n">
        <v>63</v>
      </c>
      <c r="AJ990" t="inlineStr">
        <is>
          <t>EMINA</t>
        </is>
      </c>
      <c r="AK990" t="n">
        <v>9</v>
      </c>
      <c r="AL990" t="inlineStr">
        <is>
          <t>Miss Glam Jambi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"8993137701464"</f>
        <v/>
      </c>
      <c r="C991" t="inlineStr">
        <is>
          <t>EMINA HyaluBright &amp; Smooth Low pH Micellar Water 125ml</t>
        </is>
      </c>
      <c r="D991" t="inlineStr">
        <is>
          <t>Miss Glam Jambi</t>
        </is>
      </c>
      <c r="E991" t="n">
        <v>8</v>
      </c>
      <c r="F991" t="n">
        <v>0.1287</v>
      </c>
      <c r="G991" t="n">
        <v>0.66</v>
      </c>
      <c r="H991" t="n">
        <v>2</v>
      </c>
      <c r="I991" t="n">
        <v>7</v>
      </c>
      <c r="J991" t="n">
        <v>3</v>
      </c>
      <c r="K991" t="n">
        <v>0</v>
      </c>
      <c r="L991" t="n">
        <v>25671</v>
      </c>
      <c r="M991" t="n">
        <v>31500</v>
      </c>
      <c r="N991" t="n">
        <v>33</v>
      </c>
      <c r="O991" t="n">
        <v>0.33</v>
      </c>
      <c r="P991" t="n">
        <v>1</v>
      </c>
      <c r="Q991" t="n">
        <v>0.15</v>
      </c>
      <c r="R991" t="n">
        <v>1</v>
      </c>
      <c r="S991" t="n">
        <v>4054.05</v>
      </c>
      <c r="T991" t="n">
        <v>5</v>
      </c>
      <c r="U991" t="n">
        <v>6</v>
      </c>
      <c r="V991" t="n">
        <v>30</v>
      </c>
      <c r="W991" t="n">
        <v>4</v>
      </c>
      <c r="X991" t="n">
        <v>62.16006216006215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11575</v>
      </c>
      <c r="AG991" t="n">
        <v>2141</v>
      </c>
      <c r="AH991" t="inlineStr">
        <is>
          <t>PT. PARAMA GLOBAL INSPIRA - PPN (JMB)</t>
        </is>
      </c>
      <c r="AI991" t="n">
        <v>63</v>
      </c>
      <c r="AJ991" t="inlineStr">
        <is>
          <t>EMINA</t>
        </is>
      </c>
      <c r="AK991" t="n">
        <v>9</v>
      </c>
      <c r="AL991" t="inlineStr">
        <is>
          <t>Miss Glam Jambi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"8993137013314"</f>
        <v/>
      </c>
      <c r="C992" t="inlineStr">
        <is>
          <t>EMINA HyaluBright &amp; Smooth Low pH Micellar Water 300ml</t>
        </is>
      </c>
      <c r="D992" t="inlineStr">
        <is>
          <t>Miss Glam Jambi</t>
        </is>
      </c>
      <c r="E992" t="n">
        <v>2</v>
      </c>
      <c r="F992" t="n">
        <v>0.3564000000000001</v>
      </c>
      <c r="G992" t="n">
        <v>1.32</v>
      </c>
      <c r="H992" t="n">
        <v>2</v>
      </c>
      <c r="I992" t="n">
        <v>7</v>
      </c>
      <c r="J992" t="n">
        <v>1</v>
      </c>
      <c r="K992" t="n">
        <v>9</v>
      </c>
      <c r="L992" t="n">
        <v>40614</v>
      </c>
      <c r="M992" t="n">
        <v>50000</v>
      </c>
      <c r="N992" t="n">
        <v>33</v>
      </c>
      <c r="O992" t="n">
        <v>0.33</v>
      </c>
      <c r="P992" t="n">
        <v>1</v>
      </c>
      <c r="Q992" t="n">
        <v>0.22</v>
      </c>
      <c r="R992" t="n">
        <v>1</v>
      </c>
      <c r="S992" t="n">
        <v>17820</v>
      </c>
      <c r="T992" t="n">
        <v>9</v>
      </c>
      <c r="U992" t="n">
        <v>10</v>
      </c>
      <c r="V992" t="n">
        <v>30</v>
      </c>
      <c r="W992" t="n">
        <v>11</v>
      </c>
      <c r="X992" t="n">
        <v>5.611672278338944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11575</v>
      </c>
      <c r="AG992" t="n">
        <v>2141</v>
      </c>
      <c r="AH992" t="inlineStr">
        <is>
          <t>PT. PARAMA GLOBAL INSPIRA - PPN (JMB)</t>
        </is>
      </c>
      <c r="AI992" t="n">
        <v>63</v>
      </c>
      <c r="AJ992" t="inlineStr">
        <is>
          <t>EMINA</t>
        </is>
      </c>
      <c r="AK992" t="n">
        <v>9</v>
      </c>
      <c r="AL992" t="inlineStr">
        <is>
          <t>Miss Glam Jambi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"10700332742"</f>
        <v/>
      </c>
      <c r="C993" t="inlineStr">
        <is>
          <t>EMINA Hyalupeptide Color Melt Balm 01 Brick Rizz 1.8gr</t>
        </is>
      </c>
      <c r="D993" t="inlineStr">
        <is>
          <t>Miss Glam Jambi</t>
        </is>
      </c>
      <c r="E993" t="n">
        <v>3</v>
      </c>
      <c r="F993" t="n">
        <v>0.009900000000000001</v>
      </c>
      <c r="G993" t="n">
        <v>0.33</v>
      </c>
      <c r="H993" t="n">
        <v>2</v>
      </c>
      <c r="I993" t="n">
        <v>7</v>
      </c>
      <c r="J993" t="n">
        <v>1</v>
      </c>
      <c r="K993" t="n">
        <v>0</v>
      </c>
      <c r="L993" t="n">
        <v>45978</v>
      </c>
      <c r="M993" t="n">
        <v>64000</v>
      </c>
      <c r="N993" t="n">
        <v>33</v>
      </c>
      <c r="O993" t="n">
        <v>0.33</v>
      </c>
      <c r="P993" t="n">
        <v>1</v>
      </c>
      <c r="Q993" t="n">
        <v>0.05</v>
      </c>
      <c r="R993" t="n">
        <v>1</v>
      </c>
      <c r="S993" t="n">
        <v>633.6</v>
      </c>
      <c r="T993" t="n">
        <v>3</v>
      </c>
      <c r="U993" t="n">
        <v>4</v>
      </c>
      <c r="V993" t="n">
        <v>30</v>
      </c>
      <c r="W993" t="n">
        <v>1</v>
      </c>
      <c r="X993" t="n">
        <v>303.030303030303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11575</v>
      </c>
      <c r="AG993" t="n">
        <v>2141</v>
      </c>
      <c r="AH993" t="inlineStr">
        <is>
          <t>PT. PARAMA GLOBAL INSPIRA - PPN (JMB)</t>
        </is>
      </c>
      <c r="AI993" t="n">
        <v>63</v>
      </c>
      <c r="AJ993" t="inlineStr">
        <is>
          <t>EMINA</t>
        </is>
      </c>
      <c r="AK993" t="n">
        <v>9</v>
      </c>
      <c r="AL993" t="inlineStr">
        <is>
          <t>Miss Glam Jambi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"10700333003"</f>
        <v/>
      </c>
      <c r="C994" t="inlineStr">
        <is>
          <t>EMINA Hyalupeptide Color Melt Balm 04 Never Too Pink 1.8gr</t>
        </is>
      </c>
      <c r="D994" t="inlineStr">
        <is>
          <t>Miss Glam Jambi</t>
        </is>
      </c>
      <c r="E994" t="n">
        <v>5</v>
      </c>
      <c r="F994" t="n">
        <v>0.03</v>
      </c>
      <c r="G994" t="n">
        <v>1</v>
      </c>
      <c r="H994" t="n">
        <v>2</v>
      </c>
      <c r="I994" t="n">
        <v>7</v>
      </c>
      <c r="J994" t="n">
        <v>1</v>
      </c>
      <c r="K994" t="n">
        <v>0</v>
      </c>
      <c r="L994" t="n">
        <v>47160</v>
      </c>
      <c r="M994" t="n">
        <v>64000</v>
      </c>
      <c r="N994" t="n">
        <v>33</v>
      </c>
      <c r="O994" t="n">
        <v>0.33</v>
      </c>
      <c r="P994" t="n">
        <v>0</v>
      </c>
      <c r="Q994" t="n">
        <v>0.03</v>
      </c>
      <c r="R994" t="n">
        <v>1</v>
      </c>
      <c r="S994" t="n">
        <v>1920</v>
      </c>
      <c r="T994" t="n">
        <v>7</v>
      </c>
      <c r="U994" t="n">
        <v>8</v>
      </c>
      <c r="V994" t="n">
        <v>30</v>
      </c>
      <c r="W994" t="n">
        <v>1</v>
      </c>
      <c r="X994" t="n">
        <v>166.6666666666667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11575</v>
      </c>
      <c r="AG994" t="n">
        <v>2141</v>
      </c>
      <c r="AH994" t="inlineStr">
        <is>
          <t>PT. PARAMA GLOBAL INSPIRA - PPN (JMB)</t>
        </is>
      </c>
      <c r="AI994" t="n">
        <v>63</v>
      </c>
      <c r="AJ994" t="inlineStr">
        <is>
          <t>EMINA</t>
        </is>
      </c>
      <c r="AK994" t="n">
        <v>9</v>
      </c>
      <c r="AL994" t="inlineStr">
        <is>
          <t>Miss Glam Jambi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"203003109354"</f>
        <v/>
      </c>
      <c r="C995" t="inlineStr">
        <is>
          <t>EMINA Jelly Stain 01 Crimson Berry 3gr</t>
        </is>
      </c>
      <c r="D995" t="inlineStr">
        <is>
          <t>Miss Glam Jambi</t>
        </is>
      </c>
      <c r="E995" t="n">
        <v>1</v>
      </c>
      <c r="F995" t="n">
        <v>0.0561</v>
      </c>
      <c r="G995" t="n">
        <v>0.33</v>
      </c>
      <c r="H995" t="n">
        <v>2</v>
      </c>
      <c r="I995" t="n">
        <v>7</v>
      </c>
      <c r="J995" t="n">
        <v>1</v>
      </c>
      <c r="K995" t="n">
        <v>1</v>
      </c>
      <c r="L995" t="n">
        <v>42912</v>
      </c>
      <c r="M995" t="n">
        <v>50500</v>
      </c>
      <c r="N995" t="n">
        <v>33</v>
      </c>
      <c r="O995" t="n">
        <v>0.33</v>
      </c>
      <c r="P995" t="n">
        <v>1</v>
      </c>
      <c r="Q995" t="n">
        <v>0.03</v>
      </c>
      <c r="R995" t="n">
        <v>1</v>
      </c>
      <c r="S995" t="n">
        <v>2833.05</v>
      </c>
      <c r="T995" t="n">
        <v>3</v>
      </c>
      <c r="U995" t="n">
        <v>4</v>
      </c>
      <c r="V995" t="n">
        <v>30</v>
      </c>
      <c r="W995" t="n">
        <v>2</v>
      </c>
      <c r="X995" t="n">
        <v>17.825311942959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11575</v>
      </c>
      <c r="AG995" t="n">
        <v>2141</v>
      </c>
      <c r="AH995" t="inlineStr">
        <is>
          <t>PT. PARAMA GLOBAL INSPIRA - PPN (JMB)</t>
        </is>
      </c>
      <c r="AI995" t="n">
        <v>63</v>
      </c>
      <c r="AJ995" t="inlineStr">
        <is>
          <t>EMINA</t>
        </is>
      </c>
      <c r="AK995" t="n">
        <v>9</v>
      </c>
      <c r="AL995" t="inlineStr">
        <is>
          <t>Miss Glam Jambi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"203003109437"</f>
        <v/>
      </c>
      <c r="C996" t="inlineStr">
        <is>
          <t>EMINA Jelly Stain 02 Tomato Drop 3gr</t>
        </is>
      </c>
      <c r="D996" t="inlineStr">
        <is>
          <t>Miss Glam Jambi</t>
        </is>
      </c>
      <c r="E996" t="n">
        <v>0</v>
      </c>
      <c r="F996" t="n">
        <v>0.06270000000000001</v>
      </c>
      <c r="G996" t="n">
        <v>0.66</v>
      </c>
      <c r="H996" t="n">
        <v>2</v>
      </c>
      <c r="I996" t="n">
        <v>7</v>
      </c>
      <c r="J996" t="n">
        <v>1</v>
      </c>
      <c r="K996" t="n">
        <v>1</v>
      </c>
      <c r="L996" t="n">
        <v>42913</v>
      </c>
      <c r="M996" t="n">
        <v>50500</v>
      </c>
      <c r="N996" t="n">
        <v>33</v>
      </c>
      <c r="O996" t="n">
        <v>0.33</v>
      </c>
      <c r="P996" t="n">
        <v>1</v>
      </c>
      <c r="Q996" t="n">
        <v>0.07000000000000001</v>
      </c>
      <c r="R996" t="n">
        <v>3</v>
      </c>
      <c r="S996" t="n">
        <v>3166.35</v>
      </c>
      <c r="T996" t="n">
        <v>5</v>
      </c>
      <c r="U996" t="n">
        <v>6</v>
      </c>
      <c r="V996" t="n">
        <v>30</v>
      </c>
      <c r="W996" t="n">
        <v>2</v>
      </c>
      <c r="X996" t="n">
        <v>0</v>
      </c>
      <c r="Y996" t="n">
        <v>1</v>
      </c>
      <c r="Z996" t="n">
        <v>1</v>
      </c>
      <c r="AA996" t="n">
        <v>0</v>
      </c>
      <c r="AB996" t="n">
        <v>1</v>
      </c>
      <c r="AC996" t="n">
        <v>1</v>
      </c>
      <c r="AD996" t="n">
        <v>0</v>
      </c>
      <c r="AE996" t="n">
        <v>42913</v>
      </c>
      <c r="AF996" t="n">
        <v>11575</v>
      </c>
      <c r="AG996" t="n">
        <v>2141</v>
      </c>
      <c r="AH996" t="inlineStr">
        <is>
          <t>PT. PARAMA GLOBAL INSPIRA - PPN (JMB)</t>
        </is>
      </c>
      <c r="AI996" t="n">
        <v>63</v>
      </c>
      <c r="AJ996" t="inlineStr">
        <is>
          <t>EMINA</t>
        </is>
      </c>
      <c r="AK996" t="n">
        <v>9</v>
      </c>
      <c r="AL996" t="inlineStr">
        <is>
          <t>Miss Glam Jambi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"203003109522"</f>
        <v/>
      </c>
      <c r="C997" t="inlineStr">
        <is>
          <t>EMINA Jelly Stain 03 Gummy Pink 3gr</t>
        </is>
      </c>
      <c r="D997" t="inlineStr">
        <is>
          <t>Miss Glam Jambi</t>
        </is>
      </c>
      <c r="E997" t="n">
        <v>2</v>
      </c>
      <c r="F997" t="n">
        <v>0.05</v>
      </c>
      <c r="G997" t="n">
        <v>1</v>
      </c>
      <c r="H997" t="n">
        <v>2</v>
      </c>
      <c r="I997" t="n">
        <v>7</v>
      </c>
      <c r="J997" t="n">
        <v>1</v>
      </c>
      <c r="K997" t="n">
        <v>0</v>
      </c>
      <c r="L997" t="n">
        <v>42913</v>
      </c>
      <c r="M997" t="n">
        <v>50500</v>
      </c>
      <c r="N997" t="n">
        <v>33</v>
      </c>
      <c r="O997" t="n">
        <v>0.33</v>
      </c>
      <c r="P997" t="n">
        <v>0</v>
      </c>
      <c r="Q997" t="n">
        <v>0.05</v>
      </c>
      <c r="R997" t="n">
        <v>1</v>
      </c>
      <c r="S997" t="n">
        <v>2525</v>
      </c>
      <c r="T997" t="n">
        <v>7</v>
      </c>
      <c r="U997" t="n">
        <v>8</v>
      </c>
      <c r="V997" t="n">
        <v>30</v>
      </c>
      <c r="W997" t="n">
        <v>2</v>
      </c>
      <c r="X997" t="n">
        <v>40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11575</v>
      </c>
      <c r="AG997" t="n">
        <v>2141</v>
      </c>
      <c r="AH997" t="inlineStr">
        <is>
          <t>PT. PARAMA GLOBAL INSPIRA - PPN (JMB)</t>
        </is>
      </c>
      <c r="AI997" t="n">
        <v>63</v>
      </c>
      <c r="AJ997" t="inlineStr">
        <is>
          <t>EMINA</t>
        </is>
      </c>
      <c r="AK997" t="n">
        <v>9</v>
      </c>
      <c r="AL997" t="inlineStr">
        <is>
          <t>Miss Glam Jambi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"203003109620"</f>
        <v/>
      </c>
      <c r="C998" t="inlineStr">
        <is>
          <t>EMINA Jelly Stain 04 Cream Peach 3gr</t>
        </is>
      </c>
      <c r="D998" t="inlineStr">
        <is>
          <t>Miss Glam Jambi</t>
        </is>
      </c>
      <c r="E998" t="n">
        <v>1</v>
      </c>
      <c r="F998" t="n">
        <v>0.03</v>
      </c>
      <c r="G998" t="n">
        <v>1</v>
      </c>
      <c r="H998" t="n">
        <v>2</v>
      </c>
      <c r="I998" t="n">
        <v>7</v>
      </c>
      <c r="J998" t="n">
        <v>1</v>
      </c>
      <c r="K998" t="n">
        <v>0</v>
      </c>
      <c r="L998" t="n">
        <v>42912</v>
      </c>
      <c r="M998" t="n">
        <v>50500</v>
      </c>
      <c r="N998" t="n">
        <v>33</v>
      </c>
      <c r="O998" t="n">
        <v>0.33</v>
      </c>
      <c r="P998" t="n">
        <v>0</v>
      </c>
      <c r="Q998" t="n">
        <v>0.03</v>
      </c>
      <c r="R998" t="n">
        <v>1</v>
      </c>
      <c r="S998" t="n">
        <v>1515</v>
      </c>
      <c r="T998" t="n">
        <v>7</v>
      </c>
      <c r="U998" t="n">
        <v>8</v>
      </c>
      <c r="V998" t="n">
        <v>30</v>
      </c>
      <c r="W998" t="n">
        <v>1</v>
      </c>
      <c r="X998" t="n">
        <v>33.33333333333334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11575</v>
      </c>
      <c r="AG998" t="n">
        <v>2141</v>
      </c>
      <c r="AH998" t="inlineStr">
        <is>
          <t>PT. PARAMA GLOBAL INSPIRA - PPN (JMB)</t>
        </is>
      </c>
      <c r="AI998" t="n">
        <v>63</v>
      </c>
      <c r="AJ998" t="inlineStr">
        <is>
          <t>EMINA</t>
        </is>
      </c>
      <c r="AK998" t="n">
        <v>9</v>
      </c>
      <c r="AL998" t="inlineStr">
        <is>
          <t>Miss Glam Jambi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"8993137715508"</f>
        <v/>
      </c>
      <c r="C999" t="inlineStr">
        <is>
          <t>EMINA Lip Mask Milky Matcha 9gr</t>
        </is>
      </c>
      <c r="D999" t="inlineStr">
        <is>
          <t>Miss Glam Jambi</t>
        </is>
      </c>
      <c r="E999" t="n">
        <v>7</v>
      </c>
      <c r="F999" t="n">
        <v>0.0561</v>
      </c>
      <c r="G999" t="n">
        <v>0.66</v>
      </c>
      <c r="H999" t="n">
        <v>2</v>
      </c>
      <c r="I999" t="n">
        <v>7</v>
      </c>
      <c r="J999" t="n">
        <v>3</v>
      </c>
      <c r="K999" t="n">
        <v>0</v>
      </c>
      <c r="L999" t="n">
        <v>33346</v>
      </c>
      <c r="M999" t="n">
        <v>42000</v>
      </c>
      <c r="N999" t="n">
        <v>33</v>
      </c>
      <c r="O999" t="n">
        <v>0.33</v>
      </c>
      <c r="P999" t="n">
        <v>1</v>
      </c>
      <c r="Q999" t="n">
        <v>0.03</v>
      </c>
      <c r="R999" t="n">
        <v>1</v>
      </c>
      <c r="S999" t="n">
        <v>2356.2</v>
      </c>
      <c r="T999" t="n">
        <v>5</v>
      </c>
      <c r="U999" t="n">
        <v>6</v>
      </c>
      <c r="V999" t="n">
        <v>30</v>
      </c>
      <c r="W999" t="n">
        <v>2</v>
      </c>
      <c r="X999" t="n">
        <v>124.777183600713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11575</v>
      </c>
      <c r="AG999" t="n">
        <v>2141</v>
      </c>
      <c r="AH999" t="inlineStr">
        <is>
          <t>PT. PARAMA GLOBAL INSPIRA - PPN (JMB)</t>
        </is>
      </c>
      <c r="AI999" t="n">
        <v>63</v>
      </c>
      <c r="AJ999" t="inlineStr">
        <is>
          <t>EMINA</t>
        </is>
      </c>
      <c r="AK999" t="n">
        <v>9</v>
      </c>
      <c r="AL999" t="inlineStr">
        <is>
          <t>Miss Glam Jambi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"8993137715515"</f>
        <v/>
      </c>
      <c r="C1000" t="inlineStr">
        <is>
          <t>EMINA Lip Mask Orange Squash 9gr</t>
        </is>
      </c>
      <c r="D1000" t="inlineStr">
        <is>
          <t>Miss Glam Jambi</t>
        </is>
      </c>
      <c r="E1000" t="n">
        <v>5</v>
      </c>
      <c r="F1000" t="n">
        <v>0.009900000000000001</v>
      </c>
      <c r="G1000" t="n">
        <v>0.33</v>
      </c>
      <c r="H1000" t="n">
        <v>2</v>
      </c>
      <c r="I1000" t="n">
        <v>7</v>
      </c>
      <c r="J1000" t="n">
        <v>3</v>
      </c>
      <c r="K1000" t="n">
        <v>0</v>
      </c>
      <c r="L1000" t="n">
        <v>32185</v>
      </c>
      <c r="M1000" t="n">
        <v>42000</v>
      </c>
      <c r="N1000" t="n">
        <v>33</v>
      </c>
      <c r="O1000" t="n">
        <v>0.33</v>
      </c>
      <c r="P1000" t="n">
        <v>1</v>
      </c>
      <c r="Q1000" t="n">
        <v>0.02</v>
      </c>
      <c r="R1000" t="n">
        <v>1</v>
      </c>
      <c r="S1000" t="n">
        <v>415.8</v>
      </c>
      <c r="T1000" t="n">
        <v>3</v>
      </c>
      <c r="U1000" t="n">
        <v>4</v>
      </c>
      <c r="V1000" t="n">
        <v>30</v>
      </c>
      <c r="W1000" t="n">
        <v>1</v>
      </c>
      <c r="X1000" t="n">
        <v>505.050505050505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11575</v>
      </c>
      <c r="AG1000" t="n">
        <v>2141</v>
      </c>
      <c r="AH1000" t="inlineStr">
        <is>
          <t>PT. PARAMA GLOBAL INSPIRA - PPN (JMB)</t>
        </is>
      </c>
      <c r="AI1000" t="n">
        <v>63</v>
      </c>
      <c r="AJ1000" t="inlineStr">
        <is>
          <t>EMINA</t>
        </is>
      </c>
      <c r="AK1000" t="n">
        <v>9</v>
      </c>
      <c r="AL1000" t="inlineStr">
        <is>
          <t>Miss Glam Jambi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"8993137715492"</f>
        <v/>
      </c>
      <c r="C1001" t="inlineStr">
        <is>
          <t>EMINA Lip Mask Vanilla Pretzel 9gr</t>
        </is>
      </c>
      <c r="D1001" t="inlineStr">
        <is>
          <t>Miss Glam Jambi</t>
        </is>
      </c>
      <c r="E1001" t="n">
        <v>2</v>
      </c>
      <c r="F1001" t="n">
        <v>0.0462</v>
      </c>
      <c r="G1001" t="n">
        <v>0.66</v>
      </c>
      <c r="H1001" t="n">
        <v>2</v>
      </c>
      <c r="I1001" t="n">
        <v>7</v>
      </c>
      <c r="J1001" t="n">
        <v>3</v>
      </c>
      <c r="K1001" t="n">
        <v>0</v>
      </c>
      <c r="L1001" t="n">
        <v>33717</v>
      </c>
      <c r="M1001" t="n">
        <v>42000</v>
      </c>
      <c r="N1001" t="n">
        <v>33</v>
      </c>
      <c r="O1001" t="n">
        <v>0.33</v>
      </c>
      <c r="P1001" t="n">
        <v>1</v>
      </c>
      <c r="Q1001" t="n">
        <v>0.02</v>
      </c>
      <c r="R1001" t="n">
        <v>1</v>
      </c>
      <c r="S1001" t="n">
        <v>1940.4</v>
      </c>
      <c r="T1001" t="n">
        <v>5</v>
      </c>
      <c r="U1001" t="n">
        <v>6</v>
      </c>
      <c r="V1001" t="n">
        <v>30</v>
      </c>
      <c r="W1001" t="n">
        <v>2</v>
      </c>
      <c r="X1001" t="n">
        <v>43.29004329004329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11575</v>
      </c>
      <c r="AG1001" t="n">
        <v>2141</v>
      </c>
      <c r="AH1001" t="inlineStr">
        <is>
          <t>PT. PARAMA GLOBAL INSPIRA - PPN (JMB)</t>
        </is>
      </c>
      <c r="AI1001" t="n">
        <v>63</v>
      </c>
      <c r="AJ1001" t="inlineStr">
        <is>
          <t>EMINA</t>
        </is>
      </c>
      <c r="AK1001" t="n">
        <v>9</v>
      </c>
      <c r="AL1001" t="inlineStr">
        <is>
          <t>Miss Glam Jambi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"8993137703048"</f>
        <v/>
      </c>
      <c r="C1002" t="inlineStr">
        <is>
          <t>EMINA Lip Mask Watermelon Sorbet 9gr</t>
        </is>
      </c>
      <c r="D1002" t="inlineStr">
        <is>
          <t>Miss Glam Jambi</t>
        </is>
      </c>
      <c r="E1002" t="n">
        <v>10</v>
      </c>
      <c r="F1002" t="n">
        <v>0.2277</v>
      </c>
      <c r="G1002" t="n">
        <v>0.99</v>
      </c>
      <c r="H1002" t="n">
        <v>2</v>
      </c>
      <c r="I1002" t="n">
        <v>7</v>
      </c>
      <c r="J1002" t="n">
        <v>3</v>
      </c>
      <c r="K1002" t="n">
        <v>0</v>
      </c>
      <c r="L1002" t="n">
        <v>33850</v>
      </c>
      <c r="M1002" t="n">
        <v>42000</v>
      </c>
      <c r="N1002" t="n">
        <v>33</v>
      </c>
      <c r="O1002" t="n">
        <v>0.33</v>
      </c>
      <c r="P1002" t="n">
        <v>1</v>
      </c>
      <c r="Q1002" t="n">
        <v>0.34</v>
      </c>
      <c r="R1002" t="n">
        <v>2</v>
      </c>
      <c r="S1002" t="n">
        <v>9563.4</v>
      </c>
      <c r="T1002" t="n">
        <v>7</v>
      </c>
      <c r="U1002" t="n">
        <v>8</v>
      </c>
      <c r="V1002" t="n">
        <v>30</v>
      </c>
      <c r="W1002" t="n">
        <v>7</v>
      </c>
      <c r="X1002" t="n">
        <v>43.91743522178305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11575</v>
      </c>
      <c r="AG1002" t="n">
        <v>2141</v>
      </c>
      <c r="AH1002" t="inlineStr">
        <is>
          <t>PT. PARAMA GLOBAL INSPIRA - PPN (JMB)</t>
        </is>
      </c>
      <c r="AI1002" t="n">
        <v>63</v>
      </c>
      <c r="AJ1002" t="inlineStr">
        <is>
          <t>EMINA</t>
        </is>
      </c>
      <c r="AK1002" t="n">
        <v>9</v>
      </c>
      <c r="AL1002" t="inlineStr">
        <is>
          <t>Miss Glam Jambi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"8993137013321"</f>
        <v/>
      </c>
      <c r="C1003" t="inlineStr">
        <is>
          <t>EMINA Made-Calm &amp; Purify Low pH Micellar Water 125ml</t>
        </is>
      </c>
      <c r="D1003" t="inlineStr">
        <is>
          <t>Miss Glam Jambi</t>
        </is>
      </c>
      <c r="E1003" t="n">
        <v>3</v>
      </c>
      <c r="F1003" t="n">
        <v>0.066</v>
      </c>
      <c r="G1003" t="n">
        <v>0.33</v>
      </c>
      <c r="H1003" t="n">
        <v>2</v>
      </c>
      <c r="I1003" t="n">
        <v>7</v>
      </c>
      <c r="J1003" t="n">
        <v>1</v>
      </c>
      <c r="K1003" t="n">
        <v>0</v>
      </c>
      <c r="L1003" t="n">
        <v>25671</v>
      </c>
      <c r="M1003" t="n">
        <v>31500</v>
      </c>
      <c r="N1003" t="n">
        <v>33</v>
      </c>
      <c r="O1003" t="n">
        <v>0.33</v>
      </c>
      <c r="P1003" t="n">
        <v>1</v>
      </c>
      <c r="Q1003" t="n">
        <v>0.03</v>
      </c>
      <c r="R1003" t="n">
        <v>1</v>
      </c>
      <c r="S1003" t="n">
        <v>2079</v>
      </c>
      <c r="T1003" t="n">
        <v>3</v>
      </c>
      <c r="U1003" t="n">
        <v>4</v>
      </c>
      <c r="V1003" t="n">
        <v>30</v>
      </c>
      <c r="W1003" t="n">
        <v>2</v>
      </c>
      <c r="X1003" t="n">
        <v>45.45454545454545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11575</v>
      </c>
      <c r="AG1003" t="n">
        <v>2141</v>
      </c>
      <c r="AH1003" t="inlineStr">
        <is>
          <t>PT. PARAMA GLOBAL INSPIRA - PPN (JMB)</t>
        </is>
      </c>
      <c r="AI1003" t="n">
        <v>63</v>
      </c>
      <c r="AJ1003" t="inlineStr">
        <is>
          <t>EMINA</t>
        </is>
      </c>
      <c r="AK1003" t="n">
        <v>9</v>
      </c>
      <c r="AL1003" t="inlineStr">
        <is>
          <t>Miss Glam Jambi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"8993137013338"</f>
        <v/>
      </c>
      <c r="C1004" t="inlineStr">
        <is>
          <t>EMINA Made-Calm &amp; Purify Low pH Micellar Water 300ml</t>
        </is>
      </c>
      <c r="D1004" t="inlineStr">
        <is>
          <t>Miss Glam Jambi</t>
        </is>
      </c>
      <c r="E1004" t="n">
        <v>8</v>
      </c>
      <c r="F1004" t="n">
        <v>0.1122</v>
      </c>
      <c r="G1004" t="n">
        <v>1.32</v>
      </c>
      <c r="H1004" t="n">
        <v>2</v>
      </c>
      <c r="I1004" t="n">
        <v>7</v>
      </c>
      <c r="J1004" t="n">
        <v>1</v>
      </c>
      <c r="K1004" t="n">
        <v>0</v>
      </c>
      <c r="L1004" t="n">
        <v>40614</v>
      </c>
      <c r="M1004" t="n">
        <v>50000</v>
      </c>
      <c r="N1004" t="n">
        <v>33</v>
      </c>
      <c r="O1004" t="n">
        <v>0.33</v>
      </c>
      <c r="P1004" t="n">
        <v>1</v>
      </c>
      <c r="Q1004" t="n">
        <v>0.1</v>
      </c>
      <c r="R1004" t="n">
        <v>1</v>
      </c>
      <c r="S1004" t="n">
        <v>5610</v>
      </c>
      <c r="T1004" t="n">
        <v>10</v>
      </c>
      <c r="U1004" t="n">
        <v>11</v>
      </c>
      <c r="V1004" t="n">
        <v>30</v>
      </c>
      <c r="W1004" t="n">
        <v>4</v>
      </c>
      <c r="X1004" t="n">
        <v>71.301247771836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11575</v>
      </c>
      <c r="AG1004" t="n">
        <v>2141</v>
      </c>
      <c r="AH1004" t="inlineStr">
        <is>
          <t>PT. PARAMA GLOBAL INSPIRA - PPN (JMB)</t>
        </is>
      </c>
      <c r="AI1004" t="n">
        <v>63</v>
      </c>
      <c r="AJ1004" t="inlineStr">
        <is>
          <t>EMINA</t>
        </is>
      </c>
      <c r="AK1004" t="n">
        <v>9</v>
      </c>
      <c r="AL1004" t="inlineStr">
        <is>
          <t>Miss Glam Jambi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"20100487325"</f>
        <v/>
      </c>
      <c r="C1005" t="inlineStr">
        <is>
          <t>EMINA Matte Core Cushion N02 Amber 13gr</t>
        </is>
      </c>
      <c r="D1005" t="inlineStr">
        <is>
          <t>Miss Glam Jambi</t>
        </is>
      </c>
      <c r="E1005" t="n">
        <v>4</v>
      </c>
      <c r="F1005" t="n">
        <v>0.006600000000000001</v>
      </c>
      <c r="G1005" t="n">
        <v>0.33</v>
      </c>
      <c r="H1005" t="n">
        <v>2</v>
      </c>
      <c r="I1005" t="n">
        <v>7</v>
      </c>
      <c r="J1005" t="n">
        <v>1</v>
      </c>
      <c r="K1005" t="n">
        <v>0</v>
      </c>
      <c r="L1005" t="n">
        <v>91956</v>
      </c>
      <c r="M1005" t="n">
        <v>120000</v>
      </c>
      <c r="N1005" t="n">
        <v>33</v>
      </c>
      <c r="O1005" t="n">
        <v>0.33</v>
      </c>
      <c r="P1005" t="n">
        <v>1</v>
      </c>
      <c r="Q1005" t="n">
        <v>0.02</v>
      </c>
      <c r="R1005" t="n">
        <v>1</v>
      </c>
      <c r="S1005" t="n">
        <v>792.0000000000001</v>
      </c>
      <c r="T1005" t="n">
        <v>3</v>
      </c>
      <c r="U1005" t="n">
        <v>4</v>
      </c>
      <c r="V1005" t="n">
        <v>30</v>
      </c>
      <c r="W1005" t="n">
        <v>1</v>
      </c>
      <c r="X1005" t="n">
        <v>606.060606060606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11575</v>
      </c>
      <c r="AG1005" t="n">
        <v>2141</v>
      </c>
      <c r="AH1005" t="inlineStr">
        <is>
          <t>PT. PARAMA GLOBAL INSPIRA - PPN (JMB)</t>
        </is>
      </c>
      <c r="AI1005" t="n">
        <v>63</v>
      </c>
      <c r="AJ1005" t="inlineStr">
        <is>
          <t>EMINA</t>
        </is>
      </c>
      <c r="AK1005" t="n">
        <v>9</v>
      </c>
      <c r="AL1005" t="inlineStr">
        <is>
          <t>Miss Glam Jambi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"8993137716499"</f>
        <v/>
      </c>
      <c r="C1006" t="inlineStr">
        <is>
          <t>EMINA Ms. Pimple Acne Solution Calming Gel 20ml</t>
        </is>
      </c>
      <c r="D1006" t="inlineStr">
        <is>
          <t>Miss Glam Jambi</t>
        </is>
      </c>
      <c r="E1006" t="n">
        <v>7</v>
      </c>
      <c r="F1006" t="n">
        <v>0.009900000000000001</v>
      </c>
      <c r="G1006" t="n">
        <v>0.33</v>
      </c>
      <c r="H1006" t="n">
        <v>2</v>
      </c>
      <c r="I1006" t="n">
        <v>7</v>
      </c>
      <c r="J1006" t="n">
        <v>3</v>
      </c>
      <c r="K1006" t="n">
        <v>0</v>
      </c>
      <c r="L1006" t="n">
        <v>22606</v>
      </c>
      <c r="M1006" t="n">
        <v>28000</v>
      </c>
      <c r="N1006" t="n">
        <v>33</v>
      </c>
      <c r="O1006" t="n">
        <v>0.33</v>
      </c>
      <c r="P1006" t="n">
        <v>1</v>
      </c>
      <c r="Q1006" t="n">
        <v>0.05</v>
      </c>
      <c r="R1006" t="n">
        <v>1</v>
      </c>
      <c r="S1006" t="n">
        <v>277.2</v>
      </c>
      <c r="T1006" t="n">
        <v>3</v>
      </c>
      <c r="U1006" t="n">
        <v>4</v>
      </c>
      <c r="V1006" t="n">
        <v>30</v>
      </c>
      <c r="W1006" t="n">
        <v>1</v>
      </c>
      <c r="X1006" t="n">
        <v>707.070707070707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11575</v>
      </c>
      <c r="AG1006" t="n">
        <v>2141</v>
      </c>
      <c r="AH1006" t="inlineStr">
        <is>
          <t>PT. PARAMA GLOBAL INSPIRA - PPN (JMB)</t>
        </is>
      </c>
      <c r="AI1006" t="n">
        <v>63</v>
      </c>
      <c r="AJ1006" t="inlineStr">
        <is>
          <t>EMINA</t>
        </is>
      </c>
      <c r="AK1006" t="n">
        <v>9</v>
      </c>
      <c r="AL1006" t="inlineStr">
        <is>
          <t>Miss Glam Jambi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"8993137716482"</f>
        <v/>
      </c>
      <c r="C1007" t="inlineStr">
        <is>
          <t>EMINA Ms. Pimple Acne Solution Face Serum 30ml</t>
        </is>
      </c>
      <c r="D1007" t="inlineStr">
        <is>
          <t>Miss Glam Jambi</t>
        </is>
      </c>
      <c r="E1007" t="n">
        <v>4</v>
      </c>
      <c r="F1007" t="n">
        <v>0.0264</v>
      </c>
      <c r="G1007" t="n">
        <v>0.33</v>
      </c>
      <c r="H1007" t="n">
        <v>2</v>
      </c>
      <c r="I1007" t="n">
        <v>7</v>
      </c>
      <c r="J1007" t="n">
        <v>3</v>
      </c>
      <c r="K1007" t="n">
        <v>0</v>
      </c>
      <c r="L1007" t="n">
        <v>44829</v>
      </c>
      <c r="M1007" t="n">
        <v>53000</v>
      </c>
      <c r="N1007" t="n">
        <v>33</v>
      </c>
      <c r="O1007" t="n">
        <v>0.33</v>
      </c>
      <c r="P1007" t="n">
        <v>1</v>
      </c>
      <c r="Q1007" t="n">
        <v>0.02</v>
      </c>
      <c r="R1007" t="n">
        <v>1</v>
      </c>
      <c r="S1007" t="n">
        <v>1399.2</v>
      </c>
      <c r="T1007" t="n">
        <v>3</v>
      </c>
      <c r="U1007" t="n">
        <v>4</v>
      </c>
      <c r="V1007" t="n">
        <v>30</v>
      </c>
      <c r="W1007" t="n">
        <v>1</v>
      </c>
      <c r="X1007" t="n">
        <v>151.5151515151515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11575</v>
      </c>
      <c r="AG1007" t="n">
        <v>2141</v>
      </c>
      <c r="AH1007" t="inlineStr">
        <is>
          <t>PT. PARAMA GLOBAL INSPIRA - PPN (JMB)</t>
        </is>
      </c>
      <c r="AI1007" t="n">
        <v>63</v>
      </c>
      <c r="AJ1007" t="inlineStr">
        <is>
          <t>EMINA</t>
        </is>
      </c>
      <c r="AK1007" t="n">
        <v>9</v>
      </c>
      <c r="AL1007" t="inlineStr">
        <is>
          <t>Miss Glam Jambi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"8993137713191"</f>
        <v/>
      </c>
      <c r="C1008" t="inlineStr">
        <is>
          <t>EMINA Ms. Pimple Acne Solution Face Toner 50ml</t>
        </is>
      </c>
      <c r="D1008" t="inlineStr">
        <is>
          <t>Miss Glam Jambi</t>
        </is>
      </c>
      <c r="E1008" t="n">
        <v>9</v>
      </c>
      <c r="F1008" t="n">
        <v>0.009900000000000001</v>
      </c>
      <c r="G1008" t="n">
        <v>0.33</v>
      </c>
      <c r="H1008" t="n">
        <v>2</v>
      </c>
      <c r="I1008" t="n">
        <v>7</v>
      </c>
      <c r="J1008" t="n">
        <v>3</v>
      </c>
      <c r="K1008" t="n">
        <v>0</v>
      </c>
      <c r="L1008" t="n">
        <v>15326</v>
      </c>
      <c r="M1008" t="n">
        <v>19000</v>
      </c>
      <c r="N1008" t="n">
        <v>33</v>
      </c>
      <c r="O1008" t="n">
        <v>0.33</v>
      </c>
      <c r="P1008" t="n">
        <v>1</v>
      </c>
      <c r="Q1008" t="n">
        <v>0.05</v>
      </c>
      <c r="R1008" t="n">
        <v>1</v>
      </c>
      <c r="S1008" t="n">
        <v>188.1</v>
      </c>
      <c r="T1008" t="n">
        <v>3</v>
      </c>
      <c r="U1008" t="n">
        <v>4</v>
      </c>
      <c r="V1008" t="n">
        <v>30</v>
      </c>
      <c r="W1008" t="n">
        <v>1</v>
      </c>
      <c r="X1008" t="n">
        <v>909.090909090909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11575</v>
      </c>
      <c r="AG1008" t="n">
        <v>2141</v>
      </c>
      <c r="AH1008" t="inlineStr">
        <is>
          <t>PT. PARAMA GLOBAL INSPIRA - PPN (JMB)</t>
        </is>
      </c>
      <c r="AI1008" t="n">
        <v>63</v>
      </c>
      <c r="AJ1008" t="inlineStr">
        <is>
          <t>EMINA</t>
        </is>
      </c>
      <c r="AK1008" t="n">
        <v>9</v>
      </c>
      <c r="AL1008" t="inlineStr">
        <is>
          <t>Miss Glam Jambi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"8993137701990"</f>
        <v/>
      </c>
      <c r="C1009" t="inlineStr">
        <is>
          <t>EMINA Ms. Pimple Acne Solution Face Wash 50ml</t>
        </is>
      </c>
      <c r="D1009" t="inlineStr">
        <is>
          <t>Miss Glam Jambi</t>
        </is>
      </c>
      <c r="E1009" t="n">
        <v>7</v>
      </c>
      <c r="F1009" t="n">
        <v>0.2244</v>
      </c>
      <c r="G1009" t="n">
        <v>0.99</v>
      </c>
      <c r="H1009" t="n">
        <v>2</v>
      </c>
      <c r="I1009" t="n">
        <v>7</v>
      </c>
      <c r="J1009" t="n">
        <v>3</v>
      </c>
      <c r="K1009" t="n">
        <v>0</v>
      </c>
      <c r="L1009" t="n">
        <v>16822</v>
      </c>
      <c r="M1009" t="n">
        <v>20000</v>
      </c>
      <c r="N1009" t="n">
        <v>33</v>
      </c>
      <c r="O1009" t="n">
        <v>0.33</v>
      </c>
      <c r="P1009" t="n">
        <v>1</v>
      </c>
      <c r="Q1009" t="n">
        <v>0.05</v>
      </c>
      <c r="R1009" t="n">
        <v>1</v>
      </c>
      <c r="S1009" t="n">
        <v>4488</v>
      </c>
      <c r="T1009" t="n">
        <v>7</v>
      </c>
      <c r="U1009" t="n">
        <v>8</v>
      </c>
      <c r="V1009" t="n">
        <v>30</v>
      </c>
      <c r="W1009" t="n">
        <v>7</v>
      </c>
      <c r="X1009" t="n">
        <v>31.19429590017825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11575</v>
      </c>
      <c r="AG1009" t="n">
        <v>2141</v>
      </c>
      <c r="AH1009" t="inlineStr">
        <is>
          <t>PT. PARAMA GLOBAL INSPIRA - PPN (JMB)</t>
        </is>
      </c>
      <c r="AI1009" t="n">
        <v>63</v>
      </c>
      <c r="AJ1009" t="inlineStr">
        <is>
          <t>EMINA</t>
        </is>
      </c>
      <c r="AK1009" t="n">
        <v>9</v>
      </c>
      <c r="AL1009" t="inlineStr">
        <is>
          <t>Miss Glam Jambi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"8993137702041"</f>
        <v/>
      </c>
      <c r="C1010" t="inlineStr">
        <is>
          <t>EMINA Ms. Pimple Acne Solution Moisturizing Gel 20ml</t>
        </is>
      </c>
      <c r="D1010" t="inlineStr">
        <is>
          <t>Miss Glam Jambi</t>
        </is>
      </c>
      <c r="E1010" t="n">
        <v>2</v>
      </c>
      <c r="F1010" t="n">
        <v>0.0825</v>
      </c>
      <c r="G1010" t="n">
        <v>0.66</v>
      </c>
      <c r="H1010" t="n">
        <v>2</v>
      </c>
      <c r="I1010" t="n">
        <v>7</v>
      </c>
      <c r="J1010" t="n">
        <v>3</v>
      </c>
      <c r="K1010" t="n">
        <v>3</v>
      </c>
      <c r="L1010" t="n">
        <v>21073</v>
      </c>
      <c r="M1010" t="n">
        <v>26000</v>
      </c>
      <c r="N1010" t="n">
        <v>33</v>
      </c>
      <c r="O1010" t="n">
        <v>0.33</v>
      </c>
      <c r="P1010" t="n">
        <v>1</v>
      </c>
      <c r="Q1010" t="n">
        <v>0.02</v>
      </c>
      <c r="R1010" t="n">
        <v>1</v>
      </c>
      <c r="S1010" t="n">
        <v>2145</v>
      </c>
      <c r="T1010" t="n">
        <v>5</v>
      </c>
      <c r="U1010" t="n">
        <v>6</v>
      </c>
      <c r="V1010" t="n">
        <v>30</v>
      </c>
      <c r="W1010" t="n">
        <v>3</v>
      </c>
      <c r="X1010" t="n">
        <v>24.24242424242424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11575</v>
      </c>
      <c r="AG1010" t="n">
        <v>2141</v>
      </c>
      <c r="AH1010" t="inlineStr">
        <is>
          <t>PT. PARAMA GLOBAL INSPIRA - PPN (JMB)</t>
        </is>
      </c>
      <c r="AI1010" t="n">
        <v>63</v>
      </c>
      <c r="AJ1010" t="inlineStr">
        <is>
          <t>EMINA</t>
        </is>
      </c>
      <c r="AK1010" t="n">
        <v>9</v>
      </c>
      <c r="AL1010" t="inlineStr">
        <is>
          <t>Miss Glam Jambi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"8993137697170"</f>
        <v/>
      </c>
      <c r="C1011" t="inlineStr">
        <is>
          <t>EMINA Ms. Pimple Acne Solution Spot Gel 15ml</t>
        </is>
      </c>
      <c r="D1011" t="inlineStr">
        <is>
          <t>Miss Glam Jambi</t>
        </is>
      </c>
      <c r="E1011" t="n">
        <v>3</v>
      </c>
      <c r="F1011" t="n">
        <v>0.0264</v>
      </c>
      <c r="G1011" t="n">
        <v>0.66</v>
      </c>
      <c r="H1011" t="n">
        <v>2</v>
      </c>
      <c r="I1011" t="n">
        <v>7</v>
      </c>
      <c r="J1011" t="n">
        <v>3</v>
      </c>
      <c r="K1011" t="n">
        <v>0</v>
      </c>
      <c r="L1011" t="n">
        <v>29043</v>
      </c>
      <c r="M1011" t="n">
        <v>35000</v>
      </c>
      <c r="N1011" t="n">
        <v>33</v>
      </c>
      <c r="O1011" t="n">
        <v>0.33</v>
      </c>
      <c r="P1011" t="n">
        <v>1</v>
      </c>
      <c r="Q1011" t="n">
        <v>0.05</v>
      </c>
      <c r="R1011" t="n">
        <v>1</v>
      </c>
      <c r="S1011" t="n">
        <v>924.0000000000001</v>
      </c>
      <c r="T1011" t="n">
        <v>5</v>
      </c>
      <c r="U1011" t="n">
        <v>6</v>
      </c>
      <c r="V1011" t="n">
        <v>30</v>
      </c>
      <c r="W1011" t="n">
        <v>1</v>
      </c>
      <c r="X1011" t="n">
        <v>113.6363636363636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11575</v>
      </c>
      <c r="AG1011" t="n">
        <v>2141</v>
      </c>
      <c r="AH1011" t="inlineStr">
        <is>
          <t>PT. PARAMA GLOBAL INSPIRA - PPN (JMB)</t>
        </is>
      </c>
      <c r="AI1011" t="n">
        <v>63</v>
      </c>
      <c r="AJ1011" t="inlineStr">
        <is>
          <t>EMINA</t>
        </is>
      </c>
      <c r="AK1011" t="n">
        <v>9</v>
      </c>
      <c r="AL1011" t="inlineStr">
        <is>
          <t>Miss Glam Jambi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"10600213643"</f>
        <v/>
      </c>
      <c r="C1012" t="inlineStr">
        <is>
          <t>EMINA Ms. Pimple S.O.S Acne Patch InvisiClear 12pcs</t>
        </is>
      </c>
      <c r="D1012" t="inlineStr">
        <is>
          <t>Miss Glam Jambi</t>
        </is>
      </c>
      <c r="E1012" t="n">
        <v>1</v>
      </c>
      <c r="F1012" t="n">
        <v>0.0264</v>
      </c>
      <c r="G1012" t="n">
        <v>0.66</v>
      </c>
      <c r="H1012" t="n">
        <v>2</v>
      </c>
      <c r="I1012" t="n">
        <v>7</v>
      </c>
      <c r="J1012" t="n">
        <v>1</v>
      </c>
      <c r="K1012" t="n">
        <v>0</v>
      </c>
      <c r="L1012" t="n">
        <v>20690</v>
      </c>
      <c r="M1012" t="n">
        <v>25500</v>
      </c>
      <c r="N1012" t="n">
        <v>33</v>
      </c>
      <c r="O1012" t="n">
        <v>0.33</v>
      </c>
      <c r="P1012" t="n">
        <v>1</v>
      </c>
      <c r="Q1012" t="n">
        <v>0.19</v>
      </c>
      <c r="R1012" t="n">
        <v>2</v>
      </c>
      <c r="S1012" t="n">
        <v>673.2</v>
      </c>
      <c r="T1012" t="n">
        <v>5</v>
      </c>
      <c r="U1012" t="n">
        <v>6</v>
      </c>
      <c r="V1012" t="n">
        <v>30</v>
      </c>
      <c r="W1012" t="n">
        <v>1</v>
      </c>
      <c r="X1012" t="n">
        <v>37.87878787878788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11575</v>
      </c>
      <c r="AG1012" t="n">
        <v>2141</v>
      </c>
      <c r="AH1012" t="inlineStr">
        <is>
          <t>PT. PARAMA GLOBAL INSPIRA - PPN (JMB)</t>
        </is>
      </c>
      <c r="AI1012" t="n">
        <v>63</v>
      </c>
      <c r="AJ1012" t="inlineStr">
        <is>
          <t>EMINA</t>
        </is>
      </c>
      <c r="AK1012" t="n">
        <v>9</v>
      </c>
      <c r="AL1012" t="inlineStr">
        <is>
          <t>Miss Glam Jambi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"10600213705"</f>
        <v/>
      </c>
      <c r="C1013" t="inlineStr">
        <is>
          <t>EMINA Ms. Pimple S.O.S Patch Party 15pcs</t>
        </is>
      </c>
      <c r="D1013" t="inlineStr">
        <is>
          <t>Miss Glam Jambi</t>
        </is>
      </c>
      <c r="E1013" t="n">
        <v>4</v>
      </c>
      <c r="F1013" t="n">
        <v>0.1</v>
      </c>
      <c r="G1013" t="n">
        <v>1</v>
      </c>
      <c r="H1013" t="n">
        <v>2</v>
      </c>
      <c r="I1013" t="n">
        <v>7</v>
      </c>
      <c r="J1013" t="n">
        <v>1</v>
      </c>
      <c r="K1013" t="n">
        <v>0</v>
      </c>
      <c r="L1013" t="n">
        <v>20690</v>
      </c>
      <c r="M1013" t="n">
        <v>25500</v>
      </c>
      <c r="N1013" t="n">
        <v>33</v>
      </c>
      <c r="O1013" t="n">
        <v>0.33</v>
      </c>
      <c r="P1013" t="n">
        <v>0</v>
      </c>
      <c r="Q1013" t="n">
        <v>0.1</v>
      </c>
      <c r="R1013" t="n">
        <v>1</v>
      </c>
      <c r="S1013" t="n">
        <v>2550</v>
      </c>
      <c r="T1013" t="n">
        <v>7</v>
      </c>
      <c r="U1013" t="n">
        <v>8</v>
      </c>
      <c r="V1013" t="n">
        <v>30</v>
      </c>
      <c r="W1013" t="n">
        <v>3</v>
      </c>
      <c r="X1013" t="n">
        <v>40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11575</v>
      </c>
      <c r="AG1013" t="n">
        <v>2141</v>
      </c>
      <c r="AH1013" t="inlineStr">
        <is>
          <t>PT. PARAMA GLOBAL INSPIRA - PPN (JMB)</t>
        </is>
      </c>
      <c r="AI1013" t="n">
        <v>63</v>
      </c>
      <c r="AJ1013" t="inlineStr">
        <is>
          <t>EMINA</t>
        </is>
      </c>
      <c r="AK1013" t="n">
        <v>9</v>
      </c>
      <c r="AL1013" t="inlineStr">
        <is>
          <t>Miss Glam Jambi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"8993137716475"</f>
        <v/>
      </c>
      <c r="C1014" t="inlineStr">
        <is>
          <t>EMINA Ms.Pimple Acne Solution Exfoliating Toner 100ml</t>
        </is>
      </c>
      <c r="D1014" t="inlineStr">
        <is>
          <t>Miss Glam Jambi</t>
        </is>
      </c>
      <c r="E1014" t="n">
        <v>4</v>
      </c>
      <c r="F1014" t="n">
        <v>0.006600000000000001</v>
      </c>
      <c r="G1014" t="n">
        <v>0.33</v>
      </c>
      <c r="H1014" t="n">
        <v>2</v>
      </c>
      <c r="I1014" t="n">
        <v>7</v>
      </c>
      <c r="J1014" t="n">
        <v>3</v>
      </c>
      <c r="K1014" t="n">
        <v>0</v>
      </c>
      <c r="L1014" t="n">
        <v>30652</v>
      </c>
      <c r="M1014" t="n">
        <v>38000</v>
      </c>
      <c r="N1014" t="n">
        <v>33</v>
      </c>
      <c r="O1014" t="n">
        <v>0.33</v>
      </c>
      <c r="P1014" t="n">
        <v>1</v>
      </c>
      <c r="Q1014" t="n">
        <v>0.02</v>
      </c>
      <c r="R1014" t="n">
        <v>1</v>
      </c>
      <c r="S1014" t="n">
        <v>250.8</v>
      </c>
      <c r="T1014" t="n">
        <v>3</v>
      </c>
      <c r="U1014" t="n">
        <v>4</v>
      </c>
      <c r="V1014" t="n">
        <v>30</v>
      </c>
      <c r="W1014" t="n">
        <v>1</v>
      </c>
      <c r="X1014" t="n">
        <v>606.060606060606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11575</v>
      </c>
      <c r="AG1014" t="n">
        <v>2141</v>
      </c>
      <c r="AH1014" t="inlineStr">
        <is>
          <t>PT. PARAMA GLOBAL INSPIRA - PPN (JMB)</t>
        </is>
      </c>
      <c r="AI1014" t="n">
        <v>63</v>
      </c>
      <c r="AJ1014" t="inlineStr">
        <is>
          <t>EMINA</t>
        </is>
      </c>
      <c r="AK1014" t="n">
        <v>9</v>
      </c>
      <c r="AL1014" t="inlineStr">
        <is>
          <t>Miss Glam Jambi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"101001115027"</f>
        <v/>
      </c>
      <c r="C1015" t="inlineStr">
        <is>
          <t>EMINA Oat Amino Barrier Low pH Cleanser 70 ml</t>
        </is>
      </c>
      <c r="D1015" t="inlineStr">
        <is>
          <t>Miss Glam Jambi</t>
        </is>
      </c>
      <c r="E1015" t="n">
        <v>16</v>
      </c>
      <c r="F1015" t="n">
        <v>0.0297</v>
      </c>
      <c r="G1015" t="n">
        <v>0.33</v>
      </c>
      <c r="H1015" t="n">
        <v>2</v>
      </c>
      <c r="I1015" t="n">
        <v>7</v>
      </c>
      <c r="J1015" t="n">
        <v>1</v>
      </c>
      <c r="K1015" t="n">
        <v>0</v>
      </c>
      <c r="L1015" t="n">
        <v>26054</v>
      </c>
      <c r="M1015" t="n">
        <v>32000</v>
      </c>
      <c r="N1015" t="n">
        <v>33</v>
      </c>
      <c r="O1015" t="n">
        <v>0.33</v>
      </c>
      <c r="P1015" t="n">
        <v>1</v>
      </c>
      <c r="Q1015" t="n">
        <v>0.03</v>
      </c>
      <c r="R1015" t="n">
        <v>1</v>
      </c>
      <c r="S1015" t="n">
        <v>950.4</v>
      </c>
      <c r="T1015" t="n">
        <v>3</v>
      </c>
      <c r="U1015" t="n">
        <v>4</v>
      </c>
      <c r="V1015" t="n">
        <v>30</v>
      </c>
      <c r="W1015" t="n">
        <v>1</v>
      </c>
      <c r="X1015" t="n">
        <v>538.7205387205387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11575</v>
      </c>
      <c r="AG1015" t="n">
        <v>2141</v>
      </c>
      <c r="AH1015" t="inlineStr">
        <is>
          <t>PT. PARAMA GLOBAL INSPIRA - PPN (JMB)</t>
        </is>
      </c>
      <c r="AI1015" t="n">
        <v>63</v>
      </c>
      <c r="AJ1015" t="inlineStr">
        <is>
          <t>EMINA</t>
        </is>
      </c>
      <c r="AK1015" t="n">
        <v>9</v>
      </c>
      <c r="AL1015" t="inlineStr">
        <is>
          <t>Miss Glam Jambi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"101001115101"</f>
        <v/>
      </c>
      <c r="C1016" t="inlineStr">
        <is>
          <t>EMINA Oat MadeCica Acne Calm Low pH Cleanser 70 ml</t>
        </is>
      </c>
      <c r="D1016" t="inlineStr">
        <is>
          <t>Miss Glam Jambi</t>
        </is>
      </c>
      <c r="E1016" t="n">
        <v>5</v>
      </c>
      <c r="F1016" t="n">
        <v>0.033</v>
      </c>
      <c r="G1016" t="n">
        <v>0.33</v>
      </c>
      <c r="H1016" t="n">
        <v>2</v>
      </c>
      <c r="I1016" t="n">
        <v>7</v>
      </c>
      <c r="J1016" t="n">
        <v>1</v>
      </c>
      <c r="K1016" t="n">
        <v>0</v>
      </c>
      <c r="L1016" t="n">
        <v>26054</v>
      </c>
      <c r="M1016" t="n">
        <v>32000</v>
      </c>
      <c r="N1016" t="n">
        <v>33</v>
      </c>
      <c r="O1016" t="n">
        <v>0.33</v>
      </c>
      <c r="P1016" t="n">
        <v>1</v>
      </c>
      <c r="Q1016" t="n">
        <v>0.03</v>
      </c>
      <c r="R1016" t="n">
        <v>1</v>
      </c>
      <c r="S1016" t="n">
        <v>1056</v>
      </c>
      <c r="T1016" t="n">
        <v>3</v>
      </c>
      <c r="U1016" t="n">
        <v>4</v>
      </c>
      <c r="V1016" t="n">
        <v>30</v>
      </c>
      <c r="W1016" t="n">
        <v>1</v>
      </c>
      <c r="X1016" t="n">
        <v>151.5151515151515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11575</v>
      </c>
      <c r="AG1016" t="n">
        <v>2141</v>
      </c>
      <c r="AH1016" t="inlineStr">
        <is>
          <t>PT. PARAMA GLOBAL INSPIRA - PPN (JMB)</t>
        </is>
      </c>
      <c r="AI1016" t="n">
        <v>63</v>
      </c>
      <c r="AJ1016" t="inlineStr">
        <is>
          <t>EMINA</t>
        </is>
      </c>
      <c r="AK1016" t="n">
        <v>9</v>
      </c>
      <c r="AL1016" t="inlineStr">
        <is>
          <t>Miss Glam Jambi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"8993137702836"</f>
        <v/>
      </c>
      <c r="C1017" t="inlineStr">
        <is>
          <t>EMINA Oh So Kissable Tinted Balm Stick Pink Bonbons 3.4gr</t>
        </is>
      </c>
      <c r="D1017" t="inlineStr">
        <is>
          <t>Miss Glam Jambi</t>
        </is>
      </c>
      <c r="E1017" t="n">
        <v>2</v>
      </c>
      <c r="F1017" t="n">
        <v>0.3201</v>
      </c>
      <c r="G1017" t="n">
        <v>2.31</v>
      </c>
      <c r="H1017" t="n">
        <v>2</v>
      </c>
      <c r="I1017" t="n">
        <v>7</v>
      </c>
      <c r="J1017" t="n">
        <v>3</v>
      </c>
      <c r="K1017" t="n">
        <v>7</v>
      </c>
      <c r="L1017" t="n">
        <v>23247</v>
      </c>
      <c r="M1017" t="n">
        <v>27500</v>
      </c>
      <c r="N1017" t="n">
        <v>33</v>
      </c>
      <c r="O1017" t="n">
        <v>0.33</v>
      </c>
      <c r="P1017" t="n">
        <v>1</v>
      </c>
      <c r="Q1017" t="n">
        <v>0.14</v>
      </c>
      <c r="R1017" t="n">
        <v>3</v>
      </c>
      <c r="S1017" t="n">
        <v>8802.75</v>
      </c>
      <c r="T1017" t="n">
        <v>16</v>
      </c>
      <c r="U1017" t="n">
        <v>17</v>
      </c>
      <c r="V1017" t="n">
        <v>30</v>
      </c>
      <c r="W1017" t="n">
        <v>10</v>
      </c>
      <c r="X1017" t="n">
        <v>6.248047485160887</v>
      </c>
      <c r="Y1017" t="n">
        <v>1</v>
      </c>
      <c r="Z1017" t="n">
        <v>1</v>
      </c>
      <c r="AA1017" t="n">
        <v>0</v>
      </c>
      <c r="AB1017" t="n">
        <v>1</v>
      </c>
      <c r="AC1017" t="n">
        <v>3</v>
      </c>
      <c r="AD1017" t="n">
        <v>0</v>
      </c>
      <c r="AE1017" t="n">
        <v>69741</v>
      </c>
      <c r="AF1017" t="n">
        <v>11575</v>
      </c>
      <c r="AG1017" t="n">
        <v>2141</v>
      </c>
      <c r="AH1017" t="inlineStr">
        <is>
          <t>PT. PARAMA GLOBAL INSPIRA - PPN (JMB)</t>
        </is>
      </c>
      <c r="AI1017" t="n">
        <v>63</v>
      </c>
      <c r="AJ1017" t="inlineStr">
        <is>
          <t>EMINA</t>
        </is>
      </c>
      <c r="AK1017" t="n">
        <v>9</v>
      </c>
      <c r="AL1017" t="inlineStr">
        <is>
          <t>Miss Glam Jambi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"8993137702843"</f>
        <v/>
      </c>
      <c r="C1018" t="inlineStr">
        <is>
          <t>EMINA Oh So Kissable Tinted Balm Stick Plum Candy 3.4gr</t>
        </is>
      </c>
      <c r="D1018" t="inlineStr">
        <is>
          <t>Miss Glam Jambi</t>
        </is>
      </c>
      <c r="E1018" t="n">
        <v>5</v>
      </c>
      <c r="F1018" t="n">
        <v>0.1221</v>
      </c>
      <c r="G1018" t="n">
        <v>0.66</v>
      </c>
      <c r="H1018" t="n">
        <v>2</v>
      </c>
      <c r="I1018" t="n">
        <v>7</v>
      </c>
      <c r="J1018" t="n">
        <v>3</v>
      </c>
      <c r="K1018" t="n">
        <v>0</v>
      </c>
      <c r="L1018" t="n">
        <v>23372</v>
      </c>
      <c r="M1018" t="n">
        <v>27500</v>
      </c>
      <c r="N1018" t="n">
        <v>33</v>
      </c>
      <c r="O1018" t="n">
        <v>0.33</v>
      </c>
      <c r="P1018" t="n">
        <v>1</v>
      </c>
      <c r="Q1018" t="n">
        <v>0.19</v>
      </c>
      <c r="R1018" t="n">
        <v>1</v>
      </c>
      <c r="S1018" t="n">
        <v>3357.75</v>
      </c>
      <c r="T1018" t="n">
        <v>5</v>
      </c>
      <c r="U1018" t="n">
        <v>6</v>
      </c>
      <c r="V1018" t="n">
        <v>30</v>
      </c>
      <c r="W1018" t="n">
        <v>4</v>
      </c>
      <c r="X1018" t="n">
        <v>40.95004095004095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11575</v>
      </c>
      <c r="AG1018" t="n">
        <v>2141</v>
      </c>
      <c r="AH1018" t="inlineStr">
        <is>
          <t>PT. PARAMA GLOBAL INSPIRA - PPN (JMB)</t>
        </is>
      </c>
      <c r="AI1018" t="n">
        <v>63</v>
      </c>
      <c r="AJ1018" t="inlineStr">
        <is>
          <t>EMINA</t>
        </is>
      </c>
      <c r="AK1018" t="n">
        <v>9</v>
      </c>
      <c r="AL1018" t="inlineStr">
        <is>
          <t>Miss Glam Jambi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"20100706352"</f>
        <v/>
      </c>
      <c r="C1019" t="inlineStr">
        <is>
          <t>EMINA Pore Ranger Blur Hydraglow Primer 20ml</t>
        </is>
      </c>
      <c r="D1019" t="inlineStr">
        <is>
          <t>Miss Glam Jambi</t>
        </is>
      </c>
      <c r="E1019" t="n">
        <v>5</v>
      </c>
      <c r="F1019" t="n">
        <v>0.0264</v>
      </c>
      <c r="G1019" t="n">
        <v>0.33</v>
      </c>
      <c r="H1019" t="n">
        <v>2</v>
      </c>
      <c r="I1019" t="n">
        <v>7</v>
      </c>
      <c r="J1019" t="n">
        <v>3</v>
      </c>
      <c r="K1019" t="n">
        <v>0</v>
      </c>
      <c r="L1019" t="n">
        <v>51534</v>
      </c>
      <c r="M1019" t="n">
        <v>59000</v>
      </c>
      <c r="N1019" t="n">
        <v>33</v>
      </c>
      <c r="O1019" t="n">
        <v>0.33</v>
      </c>
      <c r="P1019" t="n">
        <v>1</v>
      </c>
      <c r="Q1019" t="n">
        <v>0.03</v>
      </c>
      <c r="R1019" t="n">
        <v>1</v>
      </c>
      <c r="S1019" t="n">
        <v>1557.6</v>
      </c>
      <c r="T1019" t="n">
        <v>3</v>
      </c>
      <c r="U1019" t="n">
        <v>4</v>
      </c>
      <c r="V1019" t="n">
        <v>30</v>
      </c>
      <c r="W1019" t="n">
        <v>1</v>
      </c>
      <c r="X1019" t="n">
        <v>189.3939393939394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11575</v>
      </c>
      <c r="AG1019" t="n">
        <v>2141</v>
      </c>
      <c r="AH1019" t="inlineStr">
        <is>
          <t>PT. PARAMA GLOBAL INSPIRA - PPN (JMB)</t>
        </is>
      </c>
      <c r="AI1019" t="n">
        <v>63</v>
      </c>
      <c r="AJ1019" t="inlineStr">
        <is>
          <t>EMINA</t>
        </is>
      </c>
      <c r="AK1019" t="n">
        <v>9</v>
      </c>
      <c r="AL1019" t="inlineStr">
        <is>
          <t>Miss Glam Jambi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"8993137698542"</f>
        <v/>
      </c>
      <c r="C1020" t="inlineStr">
        <is>
          <t>EMINA Pore Ranger Poreless Matte Primer 20ml</t>
        </is>
      </c>
      <c r="D1020" t="inlineStr">
        <is>
          <t>Miss Glam Jambi</t>
        </is>
      </c>
      <c r="E1020" t="n">
        <v>5</v>
      </c>
      <c r="F1020" t="n">
        <v>0.07920000000000001</v>
      </c>
      <c r="G1020" t="n">
        <v>0.66</v>
      </c>
      <c r="H1020" t="n">
        <v>2</v>
      </c>
      <c r="I1020" t="n">
        <v>7</v>
      </c>
      <c r="J1020" t="n">
        <v>3</v>
      </c>
      <c r="K1020" t="n">
        <v>0</v>
      </c>
      <c r="L1020" t="n">
        <v>49809</v>
      </c>
      <c r="M1020" t="n">
        <v>61000</v>
      </c>
      <c r="N1020" t="n">
        <v>33</v>
      </c>
      <c r="O1020" t="n">
        <v>0.33</v>
      </c>
      <c r="P1020" t="n">
        <v>1</v>
      </c>
      <c r="Q1020" t="n">
        <v>0.07000000000000001</v>
      </c>
      <c r="R1020" t="n">
        <v>1</v>
      </c>
      <c r="S1020" t="n">
        <v>4831.200000000001</v>
      </c>
      <c r="T1020" t="n">
        <v>5</v>
      </c>
      <c r="U1020" t="n">
        <v>6</v>
      </c>
      <c r="V1020" t="n">
        <v>30</v>
      </c>
      <c r="W1020" t="n">
        <v>3</v>
      </c>
      <c r="X1020" t="n">
        <v>63.13131313131313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11575</v>
      </c>
      <c r="AG1020" t="n">
        <v>2141</v>
      </c>
      <c r="AH1020" t="inlineStr">
        <is>
          <t>PT. PARAMA GLOBAL INSPIRA - PPN (JMB)</t>
        </is>
      </c>
      <c r="AI1020" t="n">
        <v>63</v>
      </c>
      <c r="AJ1020" t="inlineStr">
        <is>
          <t>EMINA</t>
        </is>
      </c>
      <c r="AK1020" t="n">
        <v>9</v>
      </c>
      <c r="AL1020" t="inlineStr">
        <is>
          <t>Miss Glam Jambi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"10300515438"</f>
        <v/>
      </c>
      <c r="C1021" t="inlineStr">
        <is>
          <t>EMINA Retinart Water Gel 30gr</t>
        </is>
      </c>
      <c r="D1021" t="inlineStr">
        <is>
          <t>Miss Glam Jambi</t>
        </is>
      </c>
      <c r="E1021" t="n">
        <v>11</v>
      </c>
      <c r="F1021" t="n">
        <v>0.0396</v>
      </c>
      <c r="G1021" t="n">
        <v>0.66</v>
      </c>
      <c r="H1021" t="n">
        <v>2</v>
      </c>
      <c r="I1021" t="n">
        <v>7</v>
      </c>
      <c r="J1021" t="n">
        <v>1</v>
      </c>
      <c r="K1021" t="n">
        <v>0</v>
      </c>
      <c r="L1021" t="n">
        <v>32185</v>
      </c>
      <c r="M1021" t="n">
        <v>39500</v>
      </c>
      <c r="N1021" t="n">
        <v>33</v>
      </c>
      <c r="O1021" t="n">
        <v>0.33</v>
      </c>
      <c r="P1021" t="n">
        <v>1</v>
      </c>
      <c r="Q1021" t="n">
        <v>0.02</v>
      </c>
      <c r="R1021" t="n">
        <v>1</v>
      </c>
      <c r="S1021" t="n">
        <v>1564.2</v>
      </c>
      <c r="T1021" t="n">
        <v>5</v>
      </c>
      <c r="U1021" t="n">
        <v>6</v>
      </c>
      <c r="V1021" t="n">
        <v>30</v>
      </c>
      <c r="W1021" t="n">
        <v>2</v>
      </c>
      <c r="X1021" t="n">
        <v>277.7777777777778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11575</v>
      </c>
      <c r="AG1021" t="n">
        <v>2141</v>
      </c>
      <c r="AH1021" t="inlineStr">
        <is>
          <t>PT. PARAMA GLOBAL INSPIRA - PPN (JMB)</t>
        </is>
      </c>
      <c r="AI1021" t="n">
        <v>63</v>
      </c>
      <c r="AJ1021" t="inlineStr">
        <is>
          <t>EMINA</t>
        </is>
      </c>
      <c r="AK1021" t="n">
        <v>9</v>
      </c>
      <c r="AL1021" t="inlineStr">
        <is>
          <t>Miss Glam Jambi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"8993137702034"</f>
        <v/>
      </c>
      <c r="C1022" t="inlineStr">
        <is>
          <t>EMINA Sebum Fighter Loose Powder 8gr</t>
        </is>
      </c>
      <c r="D1022" t="inlineStr">
        <is>
          <t>Miss Glam Jambi</t>
        </is>
      </c>
      <c r="E1022" t="n">
        <v>2</v>
      </c>
      <c r="F1022" t="n">
        <v>0.0231</v>
      </c>
      <c r="G1022" t="n">
        <v>0.33</v>
      </c>
      <c r="H1022" t="n">
        <v>2</v>
      </c>
      <c r="I1022" t="n">
        <v>7</v>
      </c>
      <c r="J1022" t="n">
        <v>3</v>
      </c>
      <c r="K1022" t="n">
        <v>0</v>
      </c>
      <c r="L1022" t="n">
        <v>48430</v>
      </c>
      <c r="M1022" t="n">
        <v>58000</v>
      </c>
      <c r="N1022" t="n">
        <v>33</v>
      </c>
      <c r="O1022" t="n">
        <v>0.33</v>
      </c>
      <c r="P1022" t="n">
        <v>1</v>
      </c>
      <c r="Q1022" t="n">
        <v>0.05</v>
      </c>
      <c r="R1022" t="n">
        <v>1</v>
      </c>
      <c r="S1022" t="n">
        <v>1339.8</v>
      </c>
      <c r="T1022" t="n">
        <v>3</v>
      </c>
      <c r="U1022" t="n">
        <v>4</v>
      </c>
      <c r="V1022" t="n">
        <v>30</v>
      </c>
      <c r="W1022" t="n">
        <v>1</v>
      </c>
      <c r="X1022" t="n">
        <v>86.58008658008657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11575</v>
      </c>
      <c r="AG1022" t="n">
        <v>2141</v>
      </c>
      <c r="AH1022" t="inlineStr">
        <is>
          <t>PT. PARAMA GLOBAL INSPIRA - PPN (JMB)</t>
        </is>
      </c>
      <c r="AI1022" t="n">
        <v>63</v>
      </c>
      <c r="AJ1022" t="inlineStr">
        <is>
          <t>EMINA</t>
        </is>
      </c>
      <c r="AK1022" t="n">
        <v>9</v>
      </c>
      <c r="AL1022" t="inlineStr">
        <is>
          <t>Miss Glam Jambi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"8993137693165"</f>
        <v/>
      </c>
      <c r="C1023" t="inlineStr">
        <is>
          <t>EMINA Sugar Rush Lip Scrub 4.2gr</t>
        </is>
      </c>
      <c r="D1023" t="inlineStr">
        <is>
          <t>Miss Glam Jambi</t>
        </is>
      </c>
      <c r="E1023" t="n">
        <v>6</v>
      </c>
      <c r="F1023" t="n">
        <v>0.1287</v>
      </c>
      <c r="G1023" t="n">
        <v>0.66</v>
      </c>
      <c r="H1023" t="n">
        <v>2</v>
      </c>
      <c r="I1023" t="n">
        <v>7</v>
      </c>
      <c r="J1023" t="n">
        <v>3</v>
      </c>
      <c r="K1023" t="n">
        <v>0</v>
      </c>
      <c r="L1023" t="n">
        <v>33717</v>
      </c>
      <c r="M1023" t="n">
        <v>37000</v>
      </c>
      <c r="N1023" t="n">
        <v>33</v>
      </c>
      <c r="O1023" t="n">
        <v>0.33</v>
      </c>
      <c r="P1023" t="n">
        <v>1</v>
      </c>
      <c r="Q1023" t="n">
        <v>0.17</v>
      </c>
      <c r="R1023" t="n">
        <v>2</v>
      </c>
      <c r="S1023" t="n">
        <v>4761.900000000001</v>
      </c>
      <c r="T1023" t="n">
        <v>5</v>
      </c>
      <c r="U1023" t="n">
        <v>6</v>
      </c>
      <c r="V1023" t="n">
        <v>30</v>
      </c>
      <c r="W1023" t="n">
        <v>4</v>
      </c>
      <c r="X1023" t="n">
        <v>46.62004662004662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11575</v>
      </c>
      <c r="AG1023" t="n">
        <v>2141</v>
      </c>
      <c r="AH1023" t="inlineStr">
        <is>
          <t>PT. PARAMA GLOBAL INSPIRA - PPN (JMB)</t>
        </is>
      </c>
      <c r="AI1023" t="n">
        <v>63</v>
      </c>
      <c r="AJ1023" t="inlineStr">
        <is>
          <t>EMINA</t>
        </is>
      </c>
      <c r="AK1023" t="n">
        <v>9</v>
      </c>
      <c r="AL1023" t="inlineStr">
        <is>
          <t>Miss Glam Jambi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"8993137728638"</f>
        <v/>
      </c>
      <c r="C1024" t="inlineStr">
        <is>
          <t>EMINA Sun Battle Bright Glow Honestly Comfy Brighten &amp; Repair Barrier  Protection SPF 35 PA+ 20ml</t>
        </is>
      </c>
      <c r="D1024" t="inlineStr">
        <is>
          <t>Miss Glam Jambi</t>
        </is>
      </c>
      <c r="E1024" t="n">
        <v>0</v>
      </c>
      <c r="F1024" t="n">
        <v>0.4092</v>
      </c>
      <c r="G1024" t="n">
        <v>1.65</v>
      </c>
      <c r="H1024" t="n">
        <v>2</v>
      </c>
      <c r="I1024" t="n">
        <v>7</v>
      </c>
      <c r="J1024" t="n">
        <v>3</v>
      </c>
      <c r="K1024" t="n">
        <v>10</v>
      </c>
      <c r="L1024" t="n">
        <v>13975</v>
      </c>
      <c r="M1024" t="n">
        <v>16500</v>
      </c>
      <c r="N1024" t="n">
        <v>33</v>
      </c>
      <c r="O1024" t="n">
        <v>0.33</v>
      </c>
      <c r="P1024" t="n">
        <v>1</v>
      </c>
      <c r="Q1024" t="n">
        <v>0.31</v>
      </c>
      <c r="R1024" t="n">
        <v>2</v>
      </c>
      <c r="S1024" t="n">
        <v>6751.8</v>
      </c>
      <c r="T1024" t="n">
        <v>11</v>
      </c>
      <c r="U1024" t="n">
        <v>12</v>
      </c>
      <c r="V1024" t="n">
        <v>30</v>
      </c>
      <c r="W1024" t="n">
        <v>13</v>
      </c>
      <c r="X1024" t="n">
        <v>0</v>
      </c>
      <c r="Y1024" t="n">
        <v>1</v>
      </c>
      <c r="Z1024" t="n">
        <v>3</v>
      </c>
      <c r="AA1024" t="n">
        <v>2</v>
      </c>
      <c r="AB1024" t="n">
        <v>1</v>
      </c>
      <c r="AC1024" t="n">
        <v>3</v>
      </c>
      <c r="AD1024" t="n">
        <v>27950</v>
      </c>
      <c r="AE1024" t="n">
        <v>41925</v>
      </c>
      <c r="AF1024" t="n">
        <v>11575</v>
      </c>
      <c r="AG1024" t="n">
        <v>2141</v>
      </c>
      <c r="AH1024" t="inlineStr">
        <is>
          <t>PT. PARAMA GLOBAL INSPIRA - PPN (JMB)</t>
        </is>
      </c>
      <c r="AI1024" t="n">
        <v>63</v>
      </c>
      <c r="AJ1024" t="inlineStr">
        <is>
          <t>EMINA</t>
        </is>
      </c>
      <c r="AK1024" t="n">
        <v>9</v>
      </c>
      <c r="AL1024" t="inlineStr">
        <is>
          <t>Miss Glam Jambi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"8993137692762"</f>
        <v/>
      </c>
      <c r="C1025" t="inlineStr">
        <is>
          <t>EMINA Sun Battle Bright Glow Honestly Comfy Brighten &amp; Repair Barrier  Protection SPF 35 PA+ 50ml</t>
        </is>
      </c>
      <c r="D1025" t="inlineStr">
        <is>
          <t>Miss Glam Jambi</t>
        </is>
      </c>
      <c r="E1025" t="n">
        <v>3</v>
      </c>
      <c r="F1025" t="n">
        <v>2.376</v>
      </c>
      <c r="G1025" t="n">
        <v>7.590000000000001</v>
      </c>
      <c r="H1025" t="n">
        <v>2</v>
      </c>
      <c r="I1025" t="n">
        <v>7</v>
      </c>
      <c r="J1025" t="n">
        <v>3</v>
      </c>
      <c r="K1025" t="n">
        <v>55</v>
      </c>
      <c r="L1025" t="n">
        <v>24903</v>
      </c>
      <c r="M1025" t="n">
        <v>31000</v>
      </c>
      <c r="N1025" t="n">
        <v>33</v>
      </c>
      <c r="O1025" t="n">
        <v>0.33</v>
      </c>
      <c r="P1025" t="n">
        <v>1</v>
      </c>
      <c r="Q1025" t="n">
        <v>0.78</v>
      </c>
      <c r="R1025" t="n">
        <v>4</v>
      </c>
      <c r="S1025" t="n">
        <v>73656.00000000001</v>
      </c>
      <c r="T1025" t="n">
        <v>49</v>
      </c>
      <c r="U1025" t="n">
        <v>54</v>
      </c>
      <c r="V1025" t="n">
        <v>30</v>
      </c>
      <c r="W1025" t="n">
        <v>72</v>
      </c>
      <c r="X1025" t="n">
        <v>1.262626262626263</v>
      </c>
      <c r="Y1025" t="n">
        <v>1</v>
      </c>
      <c r="Z1025" t="n">
        <v>14</v>
      </c>
      <c r="AA1025" t="n">
        <v>13</v>
      </c>
      <c r="AB1025" t="n">
        <v>1</v>
      </c>
      <c r="AC1025" t="n">
        <v>3</v>
      </c>
      <c r="AD1025" t="n">
        <v>323739</v>
      </c>
      <c r="AE1025" t="n">
        <v>74709</v>
      </c>
      <c r="AF1025" t="n">
        <v>11575</v>
      </c>
      <c r="AG1025" t="n">
        <v>2141</v>
      </c>
      <c r="AH1025" t="inlineStr">
        <is>
          <t>PT. PARAMA GLOBAL INSPIRA - PPN (JMB)</t>
        </is>
      </c>
      <c r="AI1025" t="n">
        <v>63</v>
      </c>
      <c r="AJ1025" t="inlineStr">
        <is>
          <t>EMINA</t>
        </is>
      </c>
      <c r="AK1025" t="n">
        <v>9</v>
      </c>
      <c r="AL1025" t="inlineStr">
        <is>
          <t>Miss Glam Jambi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"10400614418"</f>
        <v/>
      </c>
      <c r="C1026" t="inlineStr">
        <is>
          <t>EMINA Sun Battle SPF 35 PA +++ Acne Clear Cica + Allantoin Airy Acne Soothing 50ml</t>
        </is>
      </c>
      <c r="D1026" t="inlineStr">
        <is>
          <t>Miss Glam Jambi</t>
        </is>
      </c>
      <c r="E1026" t="n">
        <v>5</v>
      </c>
      <c r="F1026" t="n">
        <v>0.4356</v>
      </c>
      <c r="G1026" t="n">
        <v>2.31</v>
      </c>
      <c r="H1026" t="n">
        <v>2</v>
      </c>
      <c r="I1026" t="n">
        <v>7</v>
      </c>
      <c r="J1026" t="n">
        <v>3</v>
      </c>
      <c r="K1026" t="n">
        <v>9</v>
      </c>
      <c r="L1026" t="n">
        <v>22063</v>
      </c>
      <c r="M1026" t="n">
        <v>32500</v>
      </c>
      <c r="N1026" t="n">
        <v>33</v>
      </c>
      <c r="O1026" t="n">
        <v>0.33</v>
      </c>
      <c r="P1026" t="n">
        <v>1</v>
      </c>
      <c r="Q1026" t="n">
        <v>0.17</v>
      </c>
      <c r="R1026" t="n">
        <v>3</v>
      </c>
      <c r="S1026" t="n">
        <v>14157</v>
      </c>
      <c r="T1026" t="n">
        <v>16</v>
      </c>
      <c r="U1026" t="n">
        <v>17</v>
      </c>
      <c r="V1026" t="n">
        <v>30</v>
      </c>
      <c r="W1026" t="n">
        <v>14</v>
      </c>
      <c r="X1026" t="n">
        <v>11.47842056932966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11575</v>
      </c>
      <c r="AG1026" t="n">
        <v>2141</v>
      </c>
      <c r="AH1026" t="inlineStr">
        <is>
          <t>PT. PARAMA GLOBAL INSPIRA - PPN (JMB)</t>
        </is>
      </c>
      <c r="AI1026" t="n">
        <v>63</v>
      </c>
      <c r="AJ1026" t="inlineStr">
        <is>
          <t>EMINA</t>
        </is>
      </c>
      <c r="AK1026" t="n">
        <v>9</v>
      </c>
      <c r="AL1026" t="inlineStr">
        <is>
          <t>Miss Glam Jambi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"8993137005111"</f>
        <v/>
      </c>
      <c r="C1027" t="inlineStr">
        <is>
          <t>EMINA Sun Battle SPF 50 PA ++++ Cica Acne Fighter Sunscreen 20ml</t>
        </is>
      </c>
      <c r="D1027" t="inlineStr">
        <is>
          <t>Miss Glam Jambi</t>
        </is>
      </c>
      <c r="E1027" t="n">
        <v>1</v>
      </c>
      <c r="F1027" t="n">
        <v>0.0462</v>
      </c>
      <c r="G1027" t="n">
        <v>0.33</v>
      </c>
      <c r="H1027" t="n">
        <v>2</v>
      </c>
      <c r="I1027" t="n">
        <v>7</v>
      </c>
      <c r="J1027" t="n">
        <v>3</v>
      </c>
      <c r="K1027" t="n">
        <v>3</v>
      </c>
      <c r="L1027" t="n">
        <v>25696</v>
      </c>
      <c r="M1027" t="n">
        <v>31500</v>
      </c>
      <c r="N1027" t="n">
        <v>33</v>
      </c>
      <c r="O1027" t="n">
        <v>0.33</v>
      </c>
      <c r="P1027" t="n">
        <v>1</v>
      </c>
      <c r="Q1027" t="n">
        <v>0.02</v>
      </c>
      <c r="R1027" t="n">
        <v>1</v>
      </c>
      <c r="S1027" t="n">
        <v>1455.3</v>
      </c>
      <c r="T1027" t="n">
        <v>3</v>
      </c>
      <c r="U1027" t="n">
        <v>4</v>
      </c>
      <c r="V1027" t="n">
        <v>30</v>
      </c>
      <c r="W1027" t="n">
        <v>2</v>
      </c>
      <c r="X1027" t="n">
        <v>21.64502164502164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11575</v>
      </c>
      <c r="AG1027" t="n">
        <v>2141</v>
      </c>
      <c r="AH1027" t="inlineStr">
        <is>
          <t>PT. PARAMA GLOBAL INSPIRA - PPN (JMB)</t>
        </is>
      </c>
      <c r="AI1027" t="n">
        <v>63</v>
      </c>
      <c r="AJ1027" t="inlineStr">
        <is>
          <t>EMINA</t>
        </is>
      </c>
      <c r="AK1027" t="n">
        <v>9</v>
      </c>
      <c r="AL1027" t="inlineStr">
        <is>
          <t>Miss Glam Jambi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"8993137738323"</f>
        <v/>
      </c>
      <c r="C1028" t="inlineStr">
        <is>
          <t>EMINA Sun Battle SPF 50 PA++++ Barrier Hydraburst Sunscreen 30 ml</t>
        </is>
      </c>
      <c r="D1028" t="inlineStr">
        <is>
          <t>Miss Glam Jambi</t>
        </is>
      </c>
      <c r="E1028" t="n">
        <v>3</v>
      </c>
      <c r="F1028" t="n">
        <v>0.2838</v>
      </c>
      <c r="G1028" t="n">
        <v>1.65</v>
      </c>
      <c r="H1028" t="n">
        <v>2</v>
      </c>
      <c r="I1028" t="n">
        <v>7</v>
      </c>
      <c r="J1028" t="n">
        <v>3</v>
      </c>
      <c r="K1028" t="n">
        <v>6</v>
      </c>
      <c r="L1028" t="n">
        <v>27233</v>
      </c>
      <c r="M1028" t="n">
        <v>45000</v>
      </c>
      <c r="N1028" t="n">
        <v>33</v>
      </c>
      <c r="O1028" t="n">
        <v>0.33</v>
      </c>
      <c r="P1028" t="n">
        <v>1</v>
      </c>
      <c r="Q1028" t="n">
        <v>0.14</v>
      </c>
      <c r="R1028" t="n">
        <v>2</v>
      </c>
      <c r="S1028" t="n">
        <v>12771</v>
      </c>
      <c r="T1028" t="n">
        <v>11</v>
      </c>
      <c r="U1028" t="n">
        <v>12</v>
      </c>
      <c r="V1028" t="n">
        <v>30</v>
      </c>
      <c r="W1028" t="n">
        <v>9</v>
      </c>
      <c r="X1028" t="n">
        <v>10.5708245243129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11575</v>
      </c>
      <c r="AG1028" t="n">
        <v>2141</v>
      </c>
      <c r="AH1028" t="inlineStr">
        <is>
          <t>PT. PARAMA GLOBAL INSPIRA - PPN (JMB)</t>
        </is>
      </c>
      <c r="AI1028" t="n">
        <v>63</v>
      </c>
      <c r="AJ1028" t="inlineStr">
        <is>
          <t>EMINA</t>
        </is>
      </c>
      <c r="AK1028" t="n">
        <v>9</v>
      </c>
      <c r="AL1028" t="inlineStr">
        <is>
          <t>Miss Glam Jambi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"8993137738293"</f>
        <v/>
      </c>
      <c r="C1029" t="inlineStr">
        <is>
          <t>EMINA Sun Battle SPF50 Cica Acne Fighter 30ml</t>
        </is>
      </c>
      <c r="D1029" t="inlineStr">
        <is>
          <t>Miss Glam Jambi</t>
        </is>
      </c>
      <c r="E1029" t="n">
        <v>1</v>
      </c>
      <c r="F1029" t="n">
        <v>0.1947</v>
      </c>
      <c r="G1029" t="n">
        <v>0.99</v>
      </c>
      <c r="H1029" t="n">
        <v>2</v>
      </c>
      <c r="I1029" t="n">
        <v>7</v>
      </c>
      <c r="J1029" t="n">
        <v>3</v>
      </c>
      <c r="K1029" t="n">
        <v>5</v>
      </c>
      <c r="L1029" t="n">
        <v>32185</v>
      </c>
      <c r="M1029" t="n">
        <v>39500</v>
      </c>
      <c r="N1029" t="n">
        <v>33</v>
      </c>
      <c r="O1029" t="n">
        <v>0.33</v>
      </c>
      <c r="P1029" t="n">
        <v>1</v>
      </c>
      <c r="Q1029" t="n">
        <v>0.19</v>
      </c>
      <c r="R1029" t="n">
        <v>2</v>
      </c>
      <c r="S1029" t="n">
        <v>7690.650000000001</v>
      </c>
      <c r="T1029" t="n">
        <v>7</v>
      </c>
      <c r="U1029" t="n">
        <v>8</v>
      </c>
      <c r="V1029" t="n">
        <v>30</v>
      </c>
      <c r="W1029" t="n">
        <v>6</v>
      </c>
      <c r="X1029" t="n">
        <v>5.136106831022085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11575</v>
      </c>
      <c r="AG1029" t="n">
        <v>2141</v>
      </c>
      <c r="AH1029" t="inlineStr">
        <is>
          <t>PT. PARAMA GLOBAL INSPIRA - PPN (JMB)</t>
        </is>
      </c>
      <c r="AI1029" t="n">
        <v>63</v>
      </c>
      <c r="AJ1029" t="inlineStr">
        <is>
          <t>EMINA</t>
        </is>
      </c>
      <c r="AK1029" t="n">
        <v>9</v>
      </c>
      <c r="AL1029" t="inlineStr">
        <is>
          <t>Miss Glam Jambi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"10300721237"</f>
        <v/>
      </c>
      <c r="C1030" t="inlineStr">
        <is>
          <t>EMINA Water Barrier Balancing Gel 30gr</t>
        </is>
      </c>
      <c r="D1030" t="inlineStr">
        <is>
          <t>Miss Glam Jambi</t>
        </is>
      </c>
      <c r="E1030" t="n">
        <v>2</v>
      </c>
      <c r="F1030" t="n">
        <v>0.5247000000000001</v>
      </c>
      <c r="G1030" t="n">
        <v>1.98</v>
      </c>
      <c r="H1030" t="n">
        <v>2</v>
      </c>
      <c r="I1030" t="n">
        <v>7</v>
      </c>
      <c r="J1030" t="n">
        <v>3</v>
      </c>
      <c r="K1030" t="n">
        <v>12</v>
      </c>
      <c r="L1030" t="n">
        <v>32185</v>
      </c>
      <c r="M1030" t="n">
        <v>42000</v>
      </c>
      <c r="N1030" t="n">
        <v>33</v>
      </c>
      <c r="O1030" t="n">
        <v>0.33</v>
      </c>
      <c r="P1030" t="n">
        <v>1</v>
      </c>
      <c r="Q1030" t="n">
        <v>0.46</v>
      </c>
      <c r="R1030" t="n">
        <v>3</v>
      </c>
      <c r="S1030" t="n">
        <v>22037.4</v>
      </c>
      <c r="T1030" t="n">
        <v>13</v>
      </c>
      <c r="U1030" t="n">
        <v>15</v>
      </c>
      <c r="V1030" t="n">
        <v>30</v>
      </c>
      <c r="W1030" t="n">
        <v>16</v>
      </c>
      <c r="X1030" t="n">
        <v>3.811701924909471</v>
      </c>
      <c r="Y1030" t="n">
        <v>1</v>
      </c>
      <c r="Z1030" t="n">
        <v>2</v>
      </c>
      <c r="AA1030" t="n">
        <v>1</v>
      </c>
      <c r="AB1030" t="n">
        <v>1</v>
      </c>
      <c r="AC1030" t="n">
        <v>3</v>
      </c>
      <c r="AD1030" t="n">
        <v>32185</v>
      </c>
      <c r="AE1030" t="n">
        <v>96555</v>
      </c>
      <c r="AF1030" t="n">
        <v>11575</v>
      </c>
      <c r="AG1030" t="n">
        <v>2141</v>
      </c>
      <c r="AH1030" t="inlineStr">
        <is>
          <t>PT. PARAMA GLOBAL INSPIRA - PPN (JMB)</t>
        </is>
      </c>
      <c r="AI1030" t="n">
        <v>63</v>
      </c>
      <c r="AJ1030" t="inlineStr">
        <is>
          <t>EMINA</t>
        </is>
      </c>
      <c r="AK1030" t="n">
        <v>9</v>
      </c>
      <c r="AL1030" t="inlineStr">
        <is>
          <t>Miss Glam Jambi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"10300721153"</f>
        <v/>
      </c>
      <c r="C1031" t="inlineStr">
        <is>
          <t>EMINA Water Bright Glow Gel 30gr</t>
        </is>
      </c>
      <c r="D1031" t="inlineStr">
        <is>
          <t>Miss Glam Jambi</t>
        </is>
      </c>
      <c r="E1031" t="n">
        <v>32</v>
      </c>
      <c r="F1031" t="n">
        <v>1.0131</v>
      </c>
      <c r="G1031" t="n">
        <v>3.63</v>
      </c>
      <c r="H1031" t="n">
        <v>2</v>
      </c>
      <c r="I1031" t="n">
        <v>7</v>
      </c>
      <c r="J1031" t="n">
        <v>3</v>
      </c>
      <c r="K1031" t="n">
        <v>0</v>
      </c>
      <c r="L1031" t="n">
        <v>32185</v>
      </c>
      <c r="M1031" t="n">
        <v>42000</v>
      </c>
      <c r="N1031" t="n">
        <v>33</v>
      </c>
      <c r="O1031" t="n">
        <v>0.33</v>
      </c>
      <c r="P1031" t="n">
        <v>1</v>
      </c>
      <c r="Q1031" t="n">
        <v>0.83</v>
      </c>
      <c r="R1031" t="n">
        <v>3</v>
      </c>
      <c r="S1031" t="n">
        <v>42550.2</v>
      </c>
      <c r="T1031" t="n">
        <v>24</v>
      </c>
      <c r="U1031" t="n">
        <v>27</v>
      </c>
      <c r="V1031" t="n">
        <v>30</v>
      </c>
      <c r="W1031" t="n">
        <v>31</v>
      </c>
      <c r="X1031" t="n">
        <v>31.58622051130195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11575</v>
      </c>
      <c r="AG1031" t="n">
        <v>2141</v>
      </c>
      <c r="AH1031" t="inlineStr">
        <is>
          <t>PT. PARAMA GLOBAL INSPIRA - PPN (JMB)</t>
        </is>
      </c>
      <c r="AI1031" t="n">
        <v>63</v>
      </c>
      <c r="AJ1031" t="inlineStr">
        <is>
          <t>EMINA</t>
        </is>
      </c>
      <c r="AK1031" t="n">
        <v>9</v>
      </c>
      <c r="AL1031" t="inlineStr">
        <is>
          <t>Miss Glam Jambi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"10300721056"</f>
        <v/>
      </c>
      <c r="C1032" t="inlineStr">
        <is>
          <t>EMINA Water Calming Gel 30gr</t>
        </is>
      </c>
      <c r="D1032" t="inlineStr">
        <is>
          <t>Miss Glam Jambi</t>
        </is>
      </c>
      <c r="E1032" t="n">
        <v>8</v>
      </c>
      <c r="F1032" t="n">
        <v>0.2904</v>
      </c>
      <c r="G1032" t="n">
        <v>1.32</v>
      </c>
      <c r="H1032" t="n">
        <v>2</v>
      </c>
      <c r="I1032" t="n">
        <v>7</v>
      </c>
      <c r="J1032" t="n">
        <v>3</v>
      </c>
      <c r="K1032" t="n">
        <v>3</v>
      </c>
      <c r="L1032" t="n">
        <v>32185</v>
      </c>
      <c r="M1032" t="n">
        <v>42000</v>
      </c>
      <c r="N1032" t="n">
        <v>33</v>
      </c>
      <c r="O1032" t="n">
        <v>0.33</v>
      </c>
      <c r="P1032" t="n">
        <v>1</v>
      </c>
      <c r="Q1032" t="n">
        <v>0.17</v>
      </c>
      <c r="R1032" t="n">
        <v>1</v>
      </c>
      <c r="S1032" t="n">
        <v>12196.8</v>
      </c>
      <c r="T1032" t="n">
        <v>9</v>
      </c>
      <c r="U1032" t="n">
        <v>10</v>
      </c>
      <c r="V1032" t="n">
        <v>30</v>
      </c>
      <c r="W1032" t="n">
        <v>9</v>
      </c>
      <c r="X1032" t="n">
        <v>27.54820936639118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11575</v>
      </c>
      <c r="AG1032" t="n">
        <v>2141</v>
      </c>
      <c r="AH1032" t="inlineStr">
        <is>
          <t>PT. PARAMA GLOBAL INSPIRA - PPN (JMB)</t>
        </is>
      </c>
      <c r="AI1032" t="n">
        <v>63</v>
      </c>
      <c r="AJ1032" t="inlineStr">
        <is>
          <t>EMINA</t>
        </is>
      </c>
      <c r="AK1032" t="n">
        <v>9</v>
      </c>
      <c r="AL1032" t="inlineStr">
        <is>
          <t>Miss Glam Jambi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"10400310858"</f>
        <v/>
      </c>
      <c r="C1033" t="inlineStr">
        <is>
          <t>EMINA Water UV Gel 25 ml</t>
        </is>
      </c>
      <c r="D1033" t="inlineStr">
        <is>
          <t>Miss Glam Jambi</t>
        </is>
      </c>
      <c r="E1033" t="n">
        <v>1</v>
      </c>
      <c r="F1033" t="n">
        <v>0.297</v>
      </c>
      <c r="G1033" t="n">
        <v>1.32</v>
      </c>
      <c r="H1033" t="n">
        <v>2</v>
      </c>
      <c r="I1033" t="n">
        <v>7</v>
      </c>
      <c r="J1033" t="n">
        <v>1</v>
      </c>
      <c r="K1033" t="n">
        <v>6</v>
      </c>
      <c r="L1033" t="n">
        <v>27970</v>
      </c>
      <c r="M1033" t="n">
        <v>34500</v>
      </c>
      <c r="N1033" t="n">
        <v>33</v>
      </c>
      <c r="O1033" t="n">
        <v>0.33</v>
      </c>
      <c r="P1033" t="n">
        <v>1</v>
      </c>
      <c r="Q1033" t="n">
        <v>0.25</v>
      </c>
      <c r="R1033" t="n">
        <v>2</v>
      </c>
      <c r="S1033" t="n">
        <v>10246.5</v>
      </c>
      <c r="T1033" t="n">
        <v>9</v>
      </c>
      <c r="U1033" t="n">
        <v>10</v>
      </c>
      <c r="V1033" t="n">
        <v>30</v>
      </c>
      <c r="W1033" t="n">
        <v>9</v>
      </c>
      <c r="X1033" t="n">
        <v>3.367003367003366</v>
      </c>
      <c r="Y1033" t="n">
        <v>1</v>
      </c>
      <c r="Z1033" t="n">
        <v>2</v>
      </c>
      <c r="AA1033" t="n">
        <v>1</v>
      </c>
      <c r="AB1033" t="n">
        <v>1</v>
      </c>
      <c r="AC1033" t="n">
        <v>1</v>
      </c>
      <c r="AD1033" t="n">
        <v>27970</v>
      </c>
      <c r="AE1033" t="n">
        <v>27970</v>
      </c>
      <c r="AF1033" t="n">
        <v>11575</v>
      </c>
      <c r="AG1033" t="n">
        <v>2141</v>
      </c>
      <c r="AH1033" t="inlineStr">
        <is>
          <t>PT. PARAMA GLOBAL INSPIRA - PPN (JMB)</t>
        </is>
      </c>
      <c r="AI1033" t="n">
        <v>63</v>
      </c>
      <c r="AJ1033" t="inlineStr">
        <is>
          <t>EMINA</t>
        </is>
      </c>
      <c r="AK1033" t="n">
        <v>9</v>
      </c>
      <c r="AL1033" t="inlineStr">
        <is>
          <t>Miss Glam Jambi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"8993137716611"</f>
        <v/>
      </c>
      <c r="C1034" t="inlineStr">
        <is>
          <t>EMINA Watercolor Lip Serum 01 Dawn 2gr</t>
        </is>
      </c>
      <c r="D1034" t="inlineStr">
        <is>
          <t>Miss Glam Jambi</t>
        </is>
      </c>
      <c r="E1034" t="n">
        <v>3</v>
      </c>
      <c r="F1034" t="n">
        <v>0.1221</v>
      </c>
      <c r="G1034" t="n">
        <v>0.99</v>
      </c>
      <c r="H1034" t="n">
        <v>2</v>
      </c>
      <c r="I1034" t="n">
        <v>7</v>
      </c>
      <c r="J1034" t="n">
        <v>3</v>
      </c>
      <c r="K1034" t="n">
        <v>3</v>
      </c>
      <c r="L1034" t="n">
        <v>29150</v>
      </c>
      <c r="M1034" t="n">
        <v>35000</v>
      </c>
      <c r="N1034" t="n">
        <v>33</v>
      </c>
      <c r="O1034" t="n">
        <v>0.33</v>
      </c>
      <c r="P1034" t="n">
        <v>1</v>
      </c>
      <c r="Q1034" t="n">
        <v>0.1</v>
      </c>
      <c r="R1034" t="n">
        <v>1</v>
      </c>
      <c r="S1034" t="n">
        <v>4273.5</v>
      </c>
      <c r="T1034" t="n">
        <v>7</v>
      </c>
      <c r="U1034" t="n">
        <v>8</v>
      </c>
      <c r="V1034" t="n">
        <v>30</v>
      </c>
      <c r="W1034" t="n">
        <v>4</v>
      </c>
      <c r="X1034" t="n">
        <v>24.57002457002457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11575</v>
      </c>
      <c r="AG1034" t="n">
        <v>2141</v>
      </c>
      <c r="AH1034" t="inlineStr">
        <is>
          <t>PT. PARAMA GLOBAL INSPIRA - PPN (JMB)</t>
        </is>
      </c>
      <c r="AI1034" t="n">
        <v>63</v>
      </c>
      <c r="AJ1034" t="inlineStr">
        <is>
          <t>EMINA</t>
        </is>
      </c>
      <c r="AK1034" t="n">
        <v>9</v>
      </c>
      <c r="AL1034" t="inlineStr">
        <is>
          <t>Miss Glam Jambi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"8993137716628"</f>
        <v/>
      </c>
      <c r="C1035" t="inlineStr">
        <is>
          <t>EMINA Watercolor Lip Serum 02 Mist 2gr</t>
        </is>
      </c>
      <c r="D1035" t="inlineStr">
        <is>
          <t>Miss Glam Jambi</t>
        </is>
      </c>
      <c r="E1035" t="n">
        <v>3</v>
      </c>
      <c r="F1035" t="n">
        <v>0.08</v>
      </c>
      <c r="G1035" t="n">
        <v>1</v>
      </c>
      <c r="H1035" t="n">
        <v>2</v>
      </c>
      <c r="I1035" t="n">
        <v>7</v>
      </c>
      <c r="J1035" t="n">
        <v>3</v>
      </c>
      <c r="K1035" t="n">
        <v>0</v>
      </c>
      <c r="L1035" t="n">
        <v>30269</v>
      </c>
      <c r="M1035" t="n">
        <v>35000</v>
      </c>
      <c r="N1035" t="n">
        <v>33</v>
      </c>
      <c r="O1035" t="n">
        <v>0.33</v>
      </c>
      <c r="P1035" t="n">
        <v>0</v>
      </c>
      <c r="Q1035" t="n">
        <v>0.08</v>
      </c>
      <c r="R1035" t="n">
        <v>1</v>
      </c>
      <c r="S1035" t="n">
        <v>2800</v>
      </c>
      <c r="T1035" t="n">
        <v>7</v>
      </c>
      <c r="U1035" t="n">
        <v>8</v>
      </c>
      <c r="V1035" t="n">
        <v>30</v>
      </c>
      <c r="W1035" t="n">
        <v>3</v>
      </c>
      <c r="X1035" t="n">
        <v>37.5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11575</v>
      </c>
      <c r="AG1035" t="n">
        <v>2141</v>
      </c>
      <c r="AH1035" t="inlineStr">
        <is>
          <t>PT. PARAMA GLOBAL INSPIRA - PPN (JMB)</t>
        </is>
      </c>
      <c r="AI1035" t="n">
        <v>63</v>
      </c>
      <c r="AJ1035" t="inlineStr">
        <is>
          <t>EMINA</t>
        </is>
      </c>
      <c r="AK1035" t="n">
        <v>9</v>
      </c>
      <c r="AL1035" t="inlineStr">
        <is>
          <t>Miss Glam Jambi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"8993137716635"</f>
        <v/>
      </c>
      <c r="C1036" t="inlineStr">
        <is>
          <t>EMINA Watercolor Lip Serum 03 Dusk 2gr</t>
        </is>
      </c>
      <c r="D1036" t="inlineStr">
        <is>
          <t>Miss Glam Jambi</t>
        </is>
      </c>
      <c r="E1036" t="n">
        <v>4</v>
      </c>
      <c r="F1036" t="n">
        <v>0.0396</v>
      </c>
      <c r="G1036" t="n">
        <v>0.33</v>
      </c>
      <c r="H1036" t="n">
        <v>2</v>
      </c>
      <c r="I1036" t="n">
        <v>7</v>
      </c>
      <c r="J1036" t="n">
        <v>3</v>
      </c>
      <c r="K1036" t="n">
        <v>0</v>
      </c>
      <c r="L1036" t="n">
        <v>30269</v>
      </c>
      <c r="M1036" t="n">
        <v>35000</v>
      </c>
      <c r="N1036" t="n">
        <v>33</v>
      </c>
      <c r="O1036" t="n">
        <v>0.33</v>
      </c>
      <c r="P1036" t="n">
        <v>1</v>
      </c>
      <c r="Q1036" t="n">
        <v>0.1</v>
      </c>
      <c r="R1036" t="n">
        <v>1</v>
      </c>
      <c r="S1036" t="n">
        <v>1386</v>
      </c>
      <c r="T1036" t="n">
        <v>3</v>
      </c>
      <c r="U1036" t="n">
        <v>4</v>
      </c>
      <c r="V1036" t="n">
        <v>30</v>
      </c>
      <c r="W1036" t="n">
        <v>2</v>
      </c>
      <c r="X1036" t="n">
        <v>101.010101010101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11575</v>
      </c>
      <c r="AG1036" t="n">
        <v>2141</v>
      </c>
      <c r="AH1036" t="inlineStr">
        <is>
          <t>PT. PARAMA GLOBAL INSPIRA - PPN (JMB)</t>
        </is>
      </c>
      <c r="AI1036" t="n">
        <v>63</v>
      </c>
      <c r="AJ1036" t="inlineStr">
        <is>
          <t>EMINA</t>
        </is>
      </c>
      <c r="AK1036" t="n">
        <v>9</v>
      </c>
      <c r="AL1036" t="inlineStr">
        <is>
          <t>Miss Glam Jambi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"8993137716642"</f>
        <v/>
      </c>
      <c r="C1037" t="inlineStr">
        <is>
          <t>EMINA Watercolor Lip Serum 04 Haze 2gr</t>
        </is>
      </c>
      <c r="D1037" t="inlineStr">
        <is>
          <t>Miss Glam Jambi</t>
        </is>
      </c>
      <c r="E1037" t="n">
        <v>2</v>
      </c>
      <c r="F1037" t="n">
        <v>0.009900000000000001</v>
      </c>
      <c r="G1037" t="n">
        <v>0.33</v>
      </c>
      <c r="H1037" t="n">
        <v>2</v>
      </c>
      <c r="I1037" t="n">
        <v>7</v>
      </c>
      <c r="J1037" t="n">
        <v>3</v>
      </c>
      <c r="K1037" t="n">
        <v>0</v>
      </c>
      <c r="L1037" t="n">
        <v>28754</v>
      </c>
      <c r="M1037" t="n">
        <v>35000</v>
      </c>
      <c r="N1037" t="n">
        <v>33</v>
      </c>
      <c r="O1037" t="n">
        <v>0.33</v>
      </c>
      <c r="P1037" t="n">
        <v>1</v>
      </c>
      <c r="Q1037" t="n">
        <v>0.05</v>
      </c>
      <c r="R1037" t="n">
        <v>1</v>
      </c>
      <c r="S1037" t="n">
        <v>346.5000000000001</v>
      </c>
      <c r="T1037" t="n">
        <v>3</v>
      </c>
      <c r="U1037" t="n">
        <v>4</v>
      </c>
      <c r="V1037" t="n">
        <v>30</v>
      </c>
      <c r="W1037" t="n">
        <v>1</v>
      </c>
      <c r="X1037" t="n">
        <v>202.020202020202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11575</v>
      </c>
      <c r="AG1037" t="n">
        <v>2141</v>
      </c>
      <c r="AH1037" t="inlineStr">
        <is>
          <t>PT. PARAMA GLOBAL INSPIRA - PPN (JMB)</t>
        </is>
      </c>
      <c r="AI1037" t="n">
        <v>63</v>
      </c>
      <c r="AJ1037" t="inlineStr">
        <is>
          <t>EMINA</t>
        </is>
      </c>
      <c r="AK1037" t="n">
        <v>9</v>
      </c>
      <c r="AL1037" t="inlineStr">
        <is>
          <t>Miss Glam Jambi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ERHA</t>
        </is>
      </c>
      <c r="B1038" s="2">
        <f>"8997017130986"</f>
        <v/>
      </c>
      <c r="C1038" t="inlineStr">
        <is>
          <t>ERHA Acneact BHA &amp; SUIPHUR Acne Spot Gel 10gr</t>
        </is>
      </c>
      <c r="D1038" t="inlineStr">
        <is>
          <t>Miss Glam Jambi</t>
        </is>
      </c>
      <c r="E1038" t="n">
        <v>3</v>
      </c>
      <c r="F1038" t="n">
        <v>0.07000000000000001</v>
      </c>
      <c r="G1038" t="n">
        <v>1</v>
      </c>
      <c r="H1038" t="n">
        <v>4</v>
      </c>
      <c r="I1038" t="n">
        <v>28</v>
      </c>
      <c r="J1038" t="n">
        <v>3</v>
      </c>
      <c r="K1038" t="n">
        <v>0</v>
      </c>
      <c r="L1038" t="n">
        <v>52000</v>
      </c>
      <c r="M1038" t="n">
        <v>66500</v>
      </c>
      <c r="N1038" t="n">
        <v>33</v>
      </c>
      <c r="O1038" t="n">
        <v>0.33</v>
      </c>
      <c r="P1038" t="n">
        <v>0</v>
      </c>
      <c r="Q1038" t="n">
        <v>0.07000000000000001</v>
      </c>
      <c r="R1038" t="n">
        <v>1</v>
      </c>
      <c r="S1038" t="n">
        <v>4655</v>
      </c>
      <c r="T1038" t="n">
        <v>28</v>
      </c>
      <c r="U1038" t="n">
        <v>29</v>
      </c>
      <c r="V1038" t="n">
        <v>30</v>
      </c>
      <c r="W1038" t="n">
        <v>3</v>
      </c>
      <c r="X1038" t="n">
        <v>42.85714285714285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10499</v>
      </c>
      <c r="AG1038" t="n">
        <v>2148</v>
      </c>
      <c r="AH1038" t="inlineStr">
        <is>
          <t>PT. JAYA PALEMBANG SUKSES - PPN (JMB)</t>
        </is>
      </c>
      <c r="AI1038" t="n">
        <v>431</v>
      </c>
      <c r="AJ1038" t="inlineStr">
        <is>
          <t>ERHA</t>
        </is>
      </c>
      <c r="AK1038" t="n">
        <v>9</v>
      </c>
      <c r="AL1038" t="inlineStr">
        <is>
          <t>Miss Glam Jambi</t>
        </is>
      </c>
      <c r="AM1038" t="n">
        <v>4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ESENSES</t>
        </is>
      </c>
      <c r="B1039" s="2">
        <f>"8994037835976"</f>
        <v/>
      </c>
      <c r="C1039" t="inlineStr">
        <is>
          <t>ESENSES Colagen Lip Serum 3ml</t>
        </is>
      </c>
      <c r="D1039" t="inlineStr">
        <is>
          <t>Miss Glam Jambi</t>
        </is>
      </c>
      <c r="E1039" t="n">
        <v>1</v>
      </c>
      <c r="F1039" t="n">
        <v>0.033</v>
      </c>
      <c r="G1039" t="n">
        <v>0.33</v>
      </c>
      <c r="H1039" t="n">
        <v>2</v>
      </c>
      <c r="I1039" t="n">
        <v>13</v>
      </c>
      <c r="J1039" t="n">
        <v>3</v>
      </c>
      <c r="K1039" t="n">
        <v>0</v>
      </c>
      <c r="L1039" t="n">
        <v>23670</v>
      </c>
      <c r="M1039" t="n">
        <v>30000</v>
      </c>
      <c r="N1039" t="n">
        <v>33</v>
      </c>
      <c r="O1039" t="n">
        <v>0.33</v>
      </c>
      <c r="P1039" t="n">
        <v>1</v>
      </c>
      <c r="Q1039" t="n">
        <v>0.07000000000000001</v>
      </c>
      <c r="R1039" t="n">
        <v>1</v>
      </c>
      <c r="S1039" t="n">
        <v>990</v>
      </c>
      <c r="T1039" t="n">
        <v>5</v>
      </c>
      <c r="U1039" t="n">
        <v>6</v>
      </c>
      <c r="V1039" t="n">
        <v>30</v>
      </c>
      <c r="W1039" t="n">
        <v>1</v>
      </c>
      <c r="X1039" t="n">
        <v>30.3030303030303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1072</v>
      </c>
      <c r="AG1039" t="n">
        <v>2318</v>
      </c>
      <c r="AH1039" t="inlineStr">
        <is>
          <t>CV. KIANO SUKSES MANDIRI - PPN (JMB)</t>
        </is>
      </c>
      <c r="AI1039" t="n">
        <v>778</v>
      </c>
      <c r="AJ1039" t="inlineStr">
        <is>
          <t>ESENSES</t>
        </is>
      </c>
      <c r="AK1039" t="n">
        <v>9</v>
      </c>
      <c r="AL1039" t="inlineStr">
        <is>
          <t>Miss Glam Jambi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ESENSES</t>
        </is>
      </c>
      <c r="B1040" s="2">
        <f>"8994037801339"</f>
        <v/>
      </c>
      <c r="C1040" t="inlineStr">
        <is>
          <t>ESENSES Mascara Volume Waterproff Black</t>
        </is>
      </c>
      <c r="D1040" t="inlineStr">
        <is>
          <t>Miss Glam Jambi</t>
        </is>
      </c>
      <c r="E1040" t="n">
        <v>22</v>
      </c>
      <c r="F1040" t="n">
        <v>0.5247000000000001</v>
      </c>
      <c r="G1040" t="n">
        <v>2.64</v>
      </c>
      <c r="H1040" t="n">
        <v>2</v>
      </c>
      <c r="I1040" t="n">
        <v>13</v>
      </c>
      <c r="J1040" t="n">
        <v>12</v>
      </c>
      <c r="K1040" t="n">
        <v>0</v>
      </c>
      <c r="L1040" t="n">
        <v>17400</v>
      </c>
      <c r="M1040" t="n">
        <v>24500</v>
      </c>
      <c r="N1040" t="n">
        <v>33</v>
      </c>
      <c r="O1040" t="n">
        <v>0.33</v>
      </c>
      <c r="P1040" t="n">
        <v>1</v>
      </c>
      <c r="Q1040" t="n">
        <v>0.31</v>
      </c>
      <c r="R1040" t="n">
        <v>3</v>
      </c>
      <c r="S1040" t="n">
        <v>12855.15</v>
      </c>
      <c r="T1040" t="n">
        <v>34</v>
      </c>
      <c r="U1040" t="n">
        <v>36</v>
      </c>
      <c r="V1040" t="n">
        <v>30</v>
      </c>
      <c r="W1040" t="n">
        <v>16</v>
      </c>
      <c r="X1040" t="n">
        <v>41.92872117400419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1072</v>
      </c>
      <c r="AG1040" t="n">
        <v>2318</v>
      </c>
      <c r="AH1040" t="inlineStr">
        <is>
          <t>CV. KIANO SUKSES MANDIRI - PPN (JMB)</t>
        </is>
      </c>
      <c r="AI1040" t="n">
        <v>778</v>
      </c>
      <c r="AJ1040" t="inlineStr">
        <is>
          <t>ESENSES</t>
        </is>
      </c>
      <c r="AK1040" t="n">
        <v>9</v>
      </c>
      <c r="AL1040" t="inlineStr">
        <is>
          <t>Miss Glam Jambi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ESENSES</t>
        </is>
      </c>
      <c r="B1041" s="2">
        <f>"8994037802527"</f>
        <v/>
      </c>
      <c r="C1041" t="inlineStr">
        <is>
          <t>ESENSES Stay On Eyeliner Black 3.8ml</t>
        </is>
      </c>
      <c r="D1041" t="inlineStr">
        <is>
          <t>Miss Glam Jambi</t>
        </is>
      </c>
      <c r="E1041" t="n">
        <v>2</v>
      </c>
      <c r="F1041" t="n">
        <v>0.0561</v>
      </c>
      <c r="G1041" t="n">
        <v>0.33</v>
      </c>
      <c r="H1041" t="n">
        <v>2</v>
      </c>
      <c r="I1041" t="n">
        <v>13</v>
      </c>
      <c r="J1041" t="n">
        <v>3</v>
      </c>
      <c r="K1041" t="n">
        <v>0</v>
      </c>
      <c r="L1041" t="n">
        <v>17730</v>
      </c>
      <c r="M1041" t="n">
        <v>24000</v>
      </c>
      <c r="N1041" t="n">
        <v>33</v>
      </c>
      <c r="O1041" t="n">
        <v>0.33</v>
      </c>
      <c r="P1041" t="n">
        <v>1</v>
      </c>
      <c r="Q1041" t="n">
        <v>0.03</v>
      </c>
      <c r="R1041" t="n">
        <v>1</v>
      </c>
      <c r="S1041" t="n">
        <v>1346.4</v>
      </c>
      <c r="T1041" t="n">
        <v>5</v>
      </c>
      <c r="U1041" t="n">
        <v>6</v>
      </c>
      <c r="V1041" t="n">
        <v>30</v>
      </c>
      <c r="W1041" t="n">
        <v>2</v>
      </c>
      <c r="X1041" t="n">
        <v>35.650623885918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1072</v>
      </c>
      <c r="AG1041" t="n">
        <v>2318</v>
      </c>
      <c r="AH1041" t="inlineStr">
        <is>
          <t>CV. KIANO SUKSES MANDIRI - PPN (JMB)</t>
        </is>
      </c>
      <c r="AI1041" t="n">
        <v>778</v>
      </c>
      <c r="AJ1041" t="inlineStr">
        <is>
          <t>ESENSES</t>
        </is>
      </c>
      <c r="AK1041" t="n">
        <v>9</v>
      </c>
      <c r="AL1041" t="inlineStr">
        <is>
          <t>Miss Glam Jambi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ESQA</t>
        </is>
      </c>
      <c r="B1042" s="2">
        <f>"20100966948"</f>
        <v/>
      </c>
      <c r="C1042" t="inlineStr">
        <is>
          <t>ESQA Bitty Balm Stick Blush - Desire 6gr</t>
        </is>
      </c>
      <c r="D1042" t="inlineStr">
        <is>
          <t>Miss Glam Jambi</t>
        </is>
      </c>
      <c r="E1042" t="n">
        <v>13</v>
      </c>
      <c r="F1042" t="n">
        <v>0.03</v>
      </c>
      <c r="G1042" t="n">
        <v>1</v>
      </c>
      <c r="H1042" t="n">
        <v>4</v>
      </c>
      <c r="I1042" t="n">
        <v>20</v>
      </c>
      <c r="J1042" t="n">
        <v>1</v>
      </c>
      <c r="K1042" t="n">
        <v>0</v>
      </c>
      <c r="L1042" t="n">
        <v>89700</v>
      </c>
      <c r="M1042" t="n">
        <v>115000</v>
      </c>
      <c r="N1042" t="n">
        <v>33</v>
      </c>
      <c r="O1042" t="n">
        <v>0.33</v>
      </c>
      <c r="P1042" t="n">
        <v>0</v>
      </c>
      <c r="Q1042" t="n">
        <v>0.03</v>
      </c>
      <c r="R1042" t="n">
        <v>1</v>
      </c>
      <c r="S1042" t="n">
        <v>3450</v>
      </c>
      <c r="T1042" t="n">
        <v>20</v>
      </c>
      <c r="U1042" t="n">
        <v>21</v>
      </c>
      <c r="V1042" t="n">
        <v>30</v>
      </c>
      <c r="W1042" t="n">
        <v>1</v>
      </c>
      <c r="X1042" t="n">
        <v>433.3333333333334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4691</v>
      </c>
      <c r="AG1042" t="n">
        <v>1</v>
      </c>
      <c r="AH1042" t="inlineStr">
        <is>
          <t>PT. BERSAMA DISTRIVERSA INDONESIA (DC CIPUTAT)</t>
        </is>
      </c>
      <c r="AI1042" t="n">
        <v>458</v>
      </c>
      <c r="AJ1042" t="inlineStr">
        <is>
          <t>ESQA</t>
        </is>
      </c>
      <c r="AK1042" t="n">
        <v>9</v>
      </c>
      <c r="AL1042" t="inlineStr">
        <is>
          <t>Miss Glam Jambi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ESQA</t>
        </is>
      </c>
      <c r="B1043" s="2">
        <f>"9999810121221"</f>
        <v/>
      </c>
      <c r="C1043" t="inlineStr">
        <is>
          <t>ESQA Blush Bali4.3G</t>
        </is>
      </c>
      <c r="D1043" t="inlineStr">
        <is>
          <t>Miss Glam Jambi</t>
        </is>
      </c>
      <c r="E1043" t="n">
        <v>10</v>
      </c>
      <c r="F1043" t="n">
        <v>0.05</v>
      </c>
      <c r="G1043" t="n">
        <v>1</v>
      </c>
      <c r="H1043" t="n">
        <v>4</v>
      </c>
      <c r="I1043" t="n">
        <v>20</v>
      </c>
      <c r="J1043" t="n">
        <v>3</v>
      </c>
      <c r="K1043" t="n">
        <v>0</v>
      </c>
      <c r="L1043" t="n">
        <v>78283</v>
      </c>
      <c r="M1043" t="n">
        <v>86000</v>
      </c>
      <c r="N1043" t="n">
        <v>33</v>
      </c>
      <c r="O1043" t="n">
        <v>0.33</v>
      </c>
      <c r="P1043" t="n">
        <v>0</v>
      </c>
      <c r="Q1043" t="n">
        <v>0.05</v>
      </c>
      <c r="R1043" t="n">
        <v>1</v>
      </c>
      <c r="S1043" t="n">
        <v>4300</v>
      </c>
      <c r="T1043" t="n">
        <v>20</v>
      </c>
      <c r="U1043" t="n">
        <v>21</v>
      </c>
      <c r="V1043" t="n">
        <v>30</v>
      </c>
      <c r="W1043" t="n">
        <v>2</v>
      </c>
      <c r="X1043" t="n">
        <v>200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4691</v>
      </c>
      <c r="AG1043" t="n">
        <v>1</v>
      </c>
      <c r="AH1043" t="inlineStr">
        <is>
          <t>PT. BERSAMA DISTRIVERSA INDONESIA (DC CIPUTAT)</t>
        </is>
      </c>
      <c r="AI1043" t="n">
        <v>458</v>
      </c>
      <c r="AJ1043" t="inlineStr">
        <is>
          <t>ESQA</t>
        </is>
      </c>
      <c r="AK1043" t="n">
        <v>9</v>
      </c>
      <c r="AL1043" t="inlineStr">
        <is>
          <t>Miss Glam Jambi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ESQA</t>
        </is>
      </c>
      <c r="B1044" s="2">
        <f>"9999810121238"</f>
        <v/>
      </c>
      <c r="C1044" t="inlineStr">
        <is>
          <t>ESQA Blush Honolulu 3,5gr</t>
        </is>
      </c>
      <c r="D1044" t="inlineStr">
        <is>
          <t>Miss Glam Jambi</t>
        </is>
      </c>
      <c r="E1044" t="n">
        <v>2</v>
      </c>
      <c r="F1044" t="n">
        <v>0.0165</v>
      </c>
      <c r="G1044" t="n">
        <v>0.33</v>
      </c>
      <c r="H1044" t="n">
        <v>4</v>
      </c>
      <c r="I1044" t="n">
        <v>20</v>
      </c>
      <c r="J1044" t="n">
        <v>3</v>
      </c>
      <c r="K1044" t="n">
        <v>0</v>
      </c>
      <c r="L1044" t="n">
        <v>72653</v>
      </c>
      <c r="M1044" t="n">
        <v>98000</v>
      </c>
      <c r="N1044" t="n">
        <v>33</v>
      </c>
      <c r="O1044" t="n">
        <v>0.33</v>
      </c>
      <c r="P1044" t="n">
        <v>1</v>
      </c>
      <c r="Q1044" t="n">
        <v>0.03</v>
      </c>
      <c r="R1044" t="n">
        <v>1</v>
      </c>
      <c r="S1044" t="n">
        <v>1617</v>
      </c>
      <c r="T1044" t="n">
        <v>7</v>
      </c>
      <c r="U1044" t="n">
        <v>8</v>
      </c>
      <c r="V1044" t="n">
        <v>30</v>
      </c>
      <c r="W1044" t="n">
        <v>1</v>
      </c>
      <c r="X1044" t="n">
        <v>121.2121212121212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4691</v>
      </c>
      <c r="AG1044" t="n">
        <v>1</v>
      </c>
      <c r="AH1044" t="inlineStr">
        <is>
          <t>PT. BERSAMA DISTRIVERSA INDONESIA (DC CIPUTAT)</t>
        </is>
      </c>
      <c r="AI1044" t="n">
        <v>458</v>
      </c>
      <c r="AJ1044" t="inlineStr">
        <is>
          <t>ESQA</t>
        </is>
      </c>
      <c r="AK1044" t="n">
        <v>9</v>
      </c>
      <c r="AL1044" t="inlineStr">
        <is>
          <t>Miss Glam Jambi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ESQA</t>
        </is>
      </c>
      <c r="B1045" s="2">
        <f>"9999810121252"</f>
        <v/>
      </c>
      <c r="C1045" t="inlineStr">
        <is>
          <t>ESQA Blush Malibu 3.5gr</t>
        </is>
      </c>
      <c r="D1045" t="inlineStr">
        <is>
          <t>Miss Glam Jambi</t>
        </is>
      </c>
      <c r="E1045" t="n">
        <v>0</v>
      </c>
      <c r="F1045" t="n">
        <v>0.009900000000000001</v>
      </c>
      <c r="G1045" t="n">
        <v>0.33</v>
      </c>
      <c r="H1045" t="n">
        <v>4</v>
      </c>
      <c r="I1045" t="n">
        <v>20</v>
      </c>
      <c r="J1045" t="n">
        <v>3</v>
      </c>
      <c r="K1045" t="n">
        <v>6</v>
      </c>
      <c r="L1045" t="n">
        <v>83163</v>
      </c>
      <c r="M1045" t="n">
        <v>105000</v>
      </c>
      <c r="N1045" t="n">
        <v>33</v>
      </c>
      <c r="O1045" t="n">
        <v>0.33</v>
      </c>
      <c r="P1045" t="n">
        <v>1</v>
      </c>
      <c r="Q1045" t="n">
        <v>0.11</v>
      </c>
      <c r="R1045" t="n">
        <v>1</v>
      </c>
      <c r="S1045" t="n">
        <v>1039.5</v>
      </c>
      <c r="T1045" t="n">
        <v>7</v>
      </c>
      <c r="U1045" t="n">
        <v>8</v>
      </c>
      <c r="V1045" t="n">
        <v>30</v>
      </c>
      <c r="W1045" t="n">
        <v>1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4691</v>
      </c>
      <c r="AG1045" t="n">
        <v>1</v>
      </c>
      <c r="AH1045" t="inlineStr">
        <is>
          <t>PT. BERSAMA DISTRIVERSA INDONESIA (DC CIPUTAT)</t>
        </is>
      </c>
      <c r="AI1045" t="n">
        <v>458</v>
      </c>
      <c r="AJ1045" t="inlineStr">
        <is>
          <t>ESQA</t>
        </is>
      </c>
      <c r="AK1045" t="n">
        <v>9</v>
      </c>
      <c r="AL1045" t="inlineStr">
        <is>
          <t>Miss Glam Jambi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ESQA</t>
        </is>
      </c>
      <c r="B1046" s="2">
        <f>"9999860123459"</f>
        <v/>
      </c>
      <c r="C1046" t="inlineStr">
        <is>
          <t>ESQA Brow Pomade Pencil Ash Brown 0.1gr</t>
        </is>
      </c>
      <c r="D1046" t="inlineStr">
        <is>
          <t>Miss Glam Jambi</t>
        </is>
      </c>
      <c r="E1046" t="n">
        <v>4</v>
      </c>
      <c r="F1046" t="n">
        <v>0.03</v>
      </c>
      <c r="G1046" t="n">
        <v>0</v>
      </c>
      <c r="H1046" t="n">
        <v>4</v>
      </c>
      <c r="I1046" t="n">
        <v>20</v>
      </c>
      <c r="J1046" t="n">
        <v>3</v>
      </c>
      <c r="K1046" t="n">
        <v>0</v>
      </c>
      <c r="L1046" t="n">
        <v>80013</v>
      </c>
      <c r="M1046" t="n">
        <v>98000</v>
      </c>
      <c r="N1046" t="n">
        <v>33</v>
      </c>
      <c r="O1046" t="n">
        <v>0.33</v>
      </c>
      <c r="P1046" t="n">
        <v>0</v>
      </c>
      <c r="Q1046" t="n">
        <v>0.03</v>
      </c>
      <c r="R1046" t="n">
        <v>0</v>
      </c>
      <c r="S1046" t="n">
        <v>2940</v>
      </c>
      <c r="T1046" t="n">
        <v>0</v>
      </c>
      <c r="U1046" t="n">
        <v>1</v>
      </c>
      <c r="V1046" t="n">
        <v>30</v>
      </c>
      <c r="W1046" t="n">
        <v>1</v>
      </c>
      <c r="X1046" t="n">
        <v>133.3333333333333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4691</v>
      </c>
      <c r="AG1046" t="n">
        <v>1</v>
      </c>
      <c r="AH1046" t="inlineStr">
        <is>
          <t>PT. BERSAMA DISTRIVERSA INDONESIA (DC CIPUTAT)</t>
        </is>
      </c>
      <c r="AI1046" t="n">
        <v>458</v>
      </c>
      <c r="AJ1046" t="inlineStr">
        <is>
          <t>ESQA</t>
        </is>
      </c>
      <c r="AK1046" t="n">
        <v>9</v>
      </c>
      <c r="AL1046" t="inlineStr">
        <is>
          <t>Miss Glam Jambi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ESQA</t>
        </is>
      </c>
      <c r="B1047" s="2">
        <f>"9999903061243"</f>
        <v/>
      </c>
      <c r="C1047" t="inlineStr">
        <is>
          <t>ESQA Eyeshadow Palette Mauve Goddess 9gr</t>
        </is>
      </c>
      <c r="D1047" t="inlineStr">
        <is>
          <t>Miss Glam Jambi</t>
        </is>
      </c>
      <c r="E1047" t="n">
        <v>4</v>
      </c>
      <c r="F1047" t="n">
        <v>0.02</v>
      </c>
      <c r="G1047" t="n">
        <v>1</v>
      </c>
      <c r="H1047" t="n">
        <v>4</v>
      </c>
      <c r="I1047" t="n">
        <v>20</v>
      </c>
      <c r="J1047" t="n">
        <v>3</v>
      </c>
      <c r="K1047" t="n">
        <v>0</v>
      </c>
      <c r="L1047" t="n">
        <v>135107</v>
      </c>
      <c r="M1047" t="n">
        <v>158500</v>
      </c>
      <c r="N1047" t="n">
        <v>33</v>
      </c>
      <c r="O1047" t="n">
        <v>0.33</v>
      </c>
      <c r="P1047" t="n">
        <v>0</v>
      </c>
      <c r="Q1047" t="n">
        <v>0.02</v>
      </c>
      <c r="R1047" t="n">
        <v>1</v>
      </c>
      <c r="S1047" t="n">
        <v>3170</v>
      </c>
      <c r="T1047" t="n">
        <v>20</v>
      </c>
      <c r="U1047" t="n">
        <v>21</v>
      </c>
      <c r="V1047" t="n">
        <v>30</v>
      </c>
      <c r="W1047" t="n">
        <v>1</v>
      </c>
      <c r="X1047" t="n">
        <v>200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4691</v>
      </c>
      <c r="AG1047" t="n">
        <v>1</v>
      </c>
      <c r="AH1047" t="inlineStr">
        <is>
          <t>PT. BERSAMA DISTRIVERSA INDONESIA (DC CIPUTAT)</t>
        </is>
      </c>
      <c r="AI1047" t="n">
        <v>458</v>
      </c>
      <c r="AJ1047" t="inlineStr">
        <is>
          <t>ESQA</t>
        </is>
      </c>
      <c r="AK1047" t="n">
        <v>9</v>
      </c>
      <c r="AL1047" t="inlineStr">
        <is>
          <t>Miss Glam Jambi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ESQA</t>
        </is>
      </c>
      <c r="B1048" s="2">
        <f>"9999903030195"</f>
        <v/>
      </c>
      <c r="C1048" t="inlineStr">
        <is>
          <t>ESQA Eyeshadow Palette Pink Goddes 9gr</t>
        </is>
      </c>
      <c r="D1048" t="inlineStr">
        <is>
          <t>Miss Glam Jambi</t>
        </is>
      </c>
      <c r="E1048" t="n">
        <v>2</v>
      </c>
      <c r="F1048" t="n">
        <v>0.006600000000000001</v>
      </c>
      <c r="G1048" t="n">
        <v>0.33</v>
      </c>
      <c r="H1048" t="n">
        <v>4</v>
      </c>
      <c r="I1048" t="n">
        <v>20</v>
      </c>
      <c r="J1048" t="n">
        <v>3</v>
      </c>
      <c r="K1048" t="n">
        <v>0</v>
      </c>
      <c r="L1048" t="n">
        <v>136500</v>
      </c>
      <c r="M1048" t="n">
        <v>158500</v>
      </c>
      <c r="N1048" t="n">
        <v>33</v>
      </c>
      <c r="O1048" t="n">
        <v>0.33</v>
      </c>
      <c r="P1048" t="n">
        <v>1</v>
      </c>
      <c r="Q1048" t="n">
        <v>0.1</v>
      </c>
      <c r="R1048" t="n">
        <v>1</v>
      </c>
      <c r="S1048" t="n">
        <v>1046.1</v>
      </c>
      <c r="T1048" t="n">
        <v>7</v>
      </c>
      <c r="U1048" t="n">
        <v>8</v>
      </c>
      <c r="V1048" t="n">
        <v>30</v>
      </c>
      <c r="W1048" t="n">
        <v>1</v>
      </c>
      <c r="X1048" t="n">
        <v>303.030303030303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4691</v>
      </c>
      <c r="AG1048" t="n">
        <v>1</v>
      </c>
      <c r="AH1048" t="inlineStr">
        <is>
          <t>PT. BERSAMA DISTRIVERSA INDONESIA (DC CIPUTAT)</t>
        </is>
      </c>
      <c r="AI1048" t="n">
        <v>458</v>
      </c>
      <c r="AJ1048" t="inlineStr">
        <is>
          <t>ESQA</t>
        </is>
      </c>
      <c r="AK1048" t="n">
        <v>9</v>
      </c>
      <c r="AL1048" t="inlineStr">
        <is>
          <t>Miss Glam Jambi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ESQA</t>
        </is>
      </c>
      <c r="B1049" s="2">
        <f>"9999923260244"</f>
        <v/>
      </c>
      <c r="C1049" t="inlineStr">
        <is>
          <t>ESQA Flawless Cushion Serum SPF 50+ PA+++ SATIN 15gr</t>
        </is>
      </c>
      <c r="D1049" t="inlineStr">
        <is>
          <t>Miss Glam Jambi</t>
        </is>
      </c>
      <c r="E1049" t="n">
        <v>1</v>
      </c>
      <c r="F1049" t="n">
        <v>0.03</v>
      </c>
      <c r="G1049" t="n">
        <v>1</v>
      </c>
      <c r="H1049" t="n">
        <v>4</v>
      </c>
      <c r="I1049" t="n">
        <v>20</v>
      </c>
      <c r="J1049" t="n">
        <v>3</v>
      </c>
      <c r="K1049" t="n">
        <v>0</v>
      </c>
      <c r="L1049" t="n">
        <v>163125</v>
      </c>
      <c r="M1049" t="n">
        <v>194500</v>
      </c>
      <c r="N1049" t="n">
        <v>33</v>
      </c>
      <c r="O1049" t="n">
        <v>0.33</v>
      </c>
      <c r="P1049" t="n">
        <v>0</v>
      </c>
      <c r="Q1049" t="n">
        <v>0.03</v>
      </c>
      <c r="R1049" t="n">
        <v>1</v>
      </c>
      <c r="S1049" t="n">
        <v>5835</v>
      </c>
      <c r="T1049" t="n">
        <v>20</v>
      </c>
      <c r="U1049" t="n">
        <v>21</v>
      </c>
      <c r="V1049" t="n">
        <v>30</v>
      </c>
      <c r="W1049" t="n">
        <v>1</v>
      </c>
      <c r="X1049" t="n">
        <v>33.33333333333334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4691</v>
      </c>
      <c r="AG1049" t="n">
        <v>1</v>
      </c>
      <c r="AH1049" t="inlineStr">
        <is>
          <t>PT. BERSAMA DISTRIVERSA INDONESIA (DC CIPUTAT)</t>
        </is>
      </c>
      <c r="AI1049" t="n">
        <v>458</v>
      </c>
      <c r="AJ1049" t="inlineStr">
        <is>
          <t>ESQA</t>
        </is>
      </c>
      <c r="AK1049" t="n">
        <v>9</v>
      </c>
      <c r="AL1049" t="inlineStr">
        <is>
          <t>Miss Glam Jambi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ESQA</t>
        </is>
      </c>
      <c r="B1050" s="2">
        <f>"9999908080669"</f>
        <v/>
      </c>
      <c r="C1050" t="inlineStr">
        <is>
          <t>ESQA Flawless Liquid Concealer Milkshake 1.5gr</t>
        </is>
      </c>
      <c r="D1050" t="inlineStr">
        <is>
          <t>Miss Glam Jambi</t>
        </is>
      </c>
      <c r="E1050" t="n">
        <v>0</v>
      </c>
      <c r="F1050" t="n">
        <v>0.02</v>
      </c>
      <c r="G1050" t="n">
        <v>1</v>
      </c>
      <c r="H1050" t="n">
        <v>4</v>
      </c>
      <c r="I1050" t="n">
        <v>20</v>
      </c>
      <c r="J1050" t="n">
        <v>3</v>
      </c>
      <c r="K1050" t="n">
        <v>3</v>
      </c>
      <c r="L1050" t="n">
        <v>4125</v>
      </c>
      <c r="M1050" t="n">
        <v>48000</v>
      </c>
      <c r="N1050" t="n">
        <v>33</v>
      </c>
      <c r="O1050" t="n">
        <v>0.33</v>
      </c>
      <c r="P1050" t="n">
        <v>0</v>
      </c>
      <c r="Q1050" t="n">
        <v>0.02</v>
      </c>
      <c r="R1050" t="n">
        <v>1</v>
      </c>
      <c r="S1050" t="n">
        <v>960</v>
      </c>
      <c r="T1050" t="n">
        <v>20</v>
      </c>
      <c r="U1050" t="n">
        <v>21</v>
      </c>
      <c r="V1050" t="n">
        <v>30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4691</v>
      </c>
      <c r="AG1050" t="n">
        <v>1</v>
      </c>
      <c r="AH1050" t="inlineStr">
        <is>
          <t>PT. BERSAMA DISTRIVERSA INDONESIA (DC CIPUTAT)</t>
        </is>
      </c>
      <c r="AI1050" t="n">
        <v>458</v>
      </c>
      <c r="AJ1050" t="inlineStr">
        <is>
          <t>ESQA</t>
        </is>
      </c>
      <c r="AK1050" t="n">
        <v>9</v>
      </c>
      <c r="AL1050" t="inlineStr">
        <is>
          <t>Miss Glam Jambi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"9999905072490"</f>
        <v/>
      </c>
      <c r="C1051" t="inlineStr">
        <is>
          <t>ESQA Flawless Micro Seting Powder Custard 12g</t>
        </is>
      </c>
      <c r="D1051" t="inlineStr">
        <is>
          <t>Miss Glam Jambi</t>
        </is>
      </c>
      <c r="E1051" t="n">
        <v>4</v>
      </c>
      <c r="F1051" t="n">
        <v>0.009900000000000001</v>
      </c>
      <c r="G1051" t="n">
        <v>0.33</v>
      </c>
      <c r="H1051" t="n">
        <v>4</v>
      </c>
      <c r="I1051" t="n">
        <v>20</v>
      </c>
      <c r="J1051" t="n">
        <v>3</v>
      </c>
      <c r="K1051" t="n">
        <v>0</v>
      </c>
      <c r="L1051" t="n">
        <v>102938</v>
      </c>
      <c r="M1051" t="n">
        <v>111000</v>
      </c>
      <c r="N1051" t="n">
        <v>33</v>
      </c>
      <c r="O1051" t="n">
        <v>0.33</v>
      </c>
      <c r="P1051" t="n">
        <v>1</v>
      </c>
      <c r="Q1051" t="n">
        <v>0.03</v>
      </c>
      <c r="R1051" t="n">
        <v>1</v>
      </c>
      <c r="S1051" t="n">
        <v>1098.9</v>
      </c>
      <c r="T1051" t="n">
        <v>7</v>
      </c>
      <c r="U1051" t="n">
        <v>8</v>
      </c>
      <c r="V1051" t="n">
        <v>30</v>
      </c>
      <c r="W1051" t="n">
        <v>1</v>
      </c>
      <c r="X1051" t="n">
        <v>404.040404040404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4691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9</v>
      </c>
      <c r="AL1051" t="inlineStr">
        <is>
          <t>Miss Glam Jambi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"9999905100803"</f>
        <v/>
      </c>
      <c r="C1052" t="inlineStr">
        <is>
          <t>ESQA Flawless Powder Foundation Custard 6.5gr</t>
        </is>
      </c>
      <c r="D1052" t="inlineStr">
        <is>
          <t>Miss Glam Jambi</t>
        </is>
      </c>
      <c r="E1052" t="n">
        <v>5</v>
      </c>
      <c r="F1052" t="n">
        <v>0.009900000000000001</v>
      </c>
      <c r="G1052" t="n">
        <v>0.33</v>
      </c>
      <c r="H1052" t="n">
        <v>4</v>
      </c>
      <c r="I1052" t="n">
        <v>20</v>
      </c>
      <c r="J1052" t="n">
        <v>3</v>
      </c>
      <c r="K1052" t="n">
        <v>0</v>
      </c>
      <c r="L1052" t="n">
        <v>98826</v>
      </c>
      <c r="M1052" t="n">
        <v>111000</v>
      </c>
      <c r="N1052" t="n">
        <v>33</v>
      </c>
      <c r="O1052" t="n">
        <v>0.33</v>
      </c>
      <c r="P1052" t="n">
        <v>1</v>
      </c>
      <c r="Q1052" t="n">
        <v>0.05</v>
      </c>
      <c r="R1052" t="n">
        <v>1</v>
      </c>
      <c r="S1052" t="n">
        <v>1098.9</v>
      </c>
      <c r="T1052" t="n">
        <v>7</v>
      </c>
      <c r="U1052" t="n">
        <v>8</v>
      </c>
      <c r="V1052" t="n">
        <v>30</v>
      </c>
      <c r="W1052" t="n">
        <v>1</v>
      </c>
      <c r="X1052" t="n">
        <v>505.050505050505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4691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9</v>
      </c>
      <c r="AL1052" t="inlineStr">
        <is>
          <t>Miss Glam Jambi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"9999905061005"</f>
        <v/>
      </c>
      <c r="C1053" t="inlineStr">
        <is>
          <t>ESQA Flawless Powder Foundation Granola 6.5g</t>
        </is>
      </c>
      <c r="D1053" t="inlineStr">
        <is>
          <t>Miss Glam Jambi</t>
        </is>
      </c>
      <c r="E1053" t="n">
        <v>6</v>
      </c>
      <c r="F1053" t="n">
        <v>0.05</v>
      </c>
      <c r="G1053" t="n">
        <v>1</v>
      </c>
      <c r="H1053" t="n">
        <v>4</v>
      </c>
      <c r="I1053" t="n">
        <v>20</v>
      </c>
      <c r="J1053" t="n">
        <v>3</v>
      </c>
      <c r="K1053" t="n">
        <v>0</v>
      </c>
      <c r="L1053" t="n">
        <v>100668</v>
      </c>
      <c r="M1053" t="n">
        <v>111000</v>
      </c>
      <c r="N1053" t="n">
        <v>33</v>
      </c>
      <c r="O1053" t="n">
        <v>0.33</v>
      </c>
      <c r="P1053" t="n">
        <v>0</v>
      </c>
      <c r="Q1053" t="n">
        <v>0.05</v>
      </c>
      <c r="R1053" t="n">
        <v>1</v>
      </c>
      <c r="S1053" t="n">
        <v>5550</v>
      </c>
      <c r="T1053" t="n">
        <v>20</v>
      </c>
      <c r="U1053" t="n">
        <v>21</v>
      </c>
      <c r="V1053" t="n">
        <v>30</v>
      </c>
      <c r="W1053" t="n">
        <v>2</v>
      </c>
      <c r="X1053" t="n">
        <v>120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4691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9</v>
      </c>
      <c r="AL1053" t="inlineStr">
        <is>
          <t>Miss Glam Jambi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"9999905100827"</f>
        <v/>
      </c>
      <c r="C1054" t="inlineStr">
        <is>
          <t>ESQA Flawless Powder Foundation Vanilla 6,5gr</t>
        </is>
      </c>
      <c r="D1054" t="inlineStr">
        <is>
          <t>Miss Glam Jambi</t>
        </is>
      </c>
      <c r="E1054" t="n">
        <v>0</v>
      </c>
      <c r="F1054" t="n">
        <v>0.03</v>
      </c>
      <c r="G1054" t="n">
        <v>1</v>
      </c>
      <c r="H1054" t="n">
        <v>4</v>
      </c>
      <c r="I1054" t="n">
        <v>20</v>
      </c>
      <c r="J1054" t="n">
        <v>3</v>
      </c>
      <c r="K1054" t="n">
        <v>0</v>
      </c>
      <c r="L1054" t="n">
        <v>96402</v>
      </c>
      <c r="M1054" t="n">
        <v>111000</v>
      </c>
      <c r="N1054" t="n">
        <v>33</v>
      </c>
      <c r="O1054" t="n">
        <v>0.33</v>
      </c>
      <c r="P1054" t="n">
        <v>0</v>
      </c>
      <c r="Q1054" t="n">
        <v>0.03</v>
      </c>
      <c r="R1054" t="n">
        <v>1</v>
      </c>
      <c r="S1054" t="n">
        <v>3330</v>
      </c>
      <c r="T1054" t="n">
        <v>20</v>
      </c>
      <c r="U1054" t="n">
        <v>21</v>
      </c>
      <c r="V1054" t="n">
        <v>30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n">
        <v>0</v>
      </c>
      <c r="AC1054" t="n">
        <v>0</v>
      </c>
      <c r="AD1054" t="n">
        <v>96402</v>
      </c>
      <c r="AE1054" t="n">
        <v>0</v>
      </c>
      <c r="AF1054" t="n">
        <v>4691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9</v>
      </c>
      <c r="AL1054" t="inlineStr">
        <is>
          <t>Miss Glam Jambi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ESQA</t>
        </is>
      </c>
      <c r="B1055" s="2">
        <f>"9999905240714"</f>
        <v/>
      </c>
      <c r="C1055" t="inlineStr">
        <is>
          <t>ESQA Flawless Setting Powder Vanilla 12gr</t>
        </is>
      </c>
      <c r="D1055" t="inlineStr">
        <is>
          <t>Miss Glam Jambi</t>
        </is>
      </c>
      <c r="E1055" t="n">
        <v>9</v>
      </c>
      <c r="F1055" t="n">
        <v>0.03</v>
      </c>
      <c r="G1055" t="n">
        <v>1</v>
      </c>
      <c r="H1055" t="n">
        <v>4</v>
      </c>
      <c r="I1055" t="n">
        <v>20</v>
      </c>
      <c r="J1055" t="n">
        <v>3</v>
      </c>
      <c r="K1055" t="n">
        <v>0</v>
      </c>
      <c r="L1055" t="n">
        <v>100776</v>
      </c>
      <c r="M1055" t="n">
        <v>111000</v>
      </c>
      <c r="N1055" t="n">
        <v>33</v>
      </c>
      <c r="O1055" t="n">
        <v>0.33</v>
      </c>
      <c r="P1055" t="n">
        <v>0</v>
      </c>
      <c r="Q1055" t="n">
        <v>0.03</v>
      </c>
      <c r="R1055" t="n">
        <v>1</v>
      </c>
      <c r="S1055" t="n">
        <v>3330</v>
      </c>
      <c r="T1055" t="n">
        <v>20</v>
      </c>
      <c r="U1055" t="n">
        <v>21</v>
      </c>
      <c r="V1055" t="n">
        <v>30</v>
      </c>
      <c r="W1055" t="n">
        <v>1</v>
      </c>
      <c r="X1055" t="n">
        <v>300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4691</v>
      </c>
      <c r="AG1055" t="n">
        <v>1</v>
      </c>
      <c r="AH1055" t="inlineStr">
        <is>
          <t>PT. BERSAMA DISTRIVERSA INDONESIA (DC CIPUTAT)</t>
        </is>
      </c>
      <c r="AI1055" t="n">
        <v>458</v>
      </c>
      <c r="AJ1055" t="inlineStr">
        <is>
          <t>ESQA</t>
        </is>
      </c>
      <c r="AK1055" t="n">
        <v>9</v>
      </c>
      <c r="AL1055" t="inlineStr">
        <is>
          <t>Miss Glam Jambi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ESQA</t>
        </is>
      </c>
      <c r="B1056" s="2">
        <f>"9999903100836"</f>
        <v/>
      </c>
      <c r="C1056" t="inlineStr">
        <is>
          <t>ESQA Glaze Eyeshadow Trio Moment For Life 4.5gr</t>
        </is>
      </c>
      <c r="D1056" t="inlineStr">
        <is>
          <t>Miss Glam Jambi</t>
        </is>
      </c>
      <c r="E1056" t="n">
        <v>3</v>
      </c>
      <c r="F1056" t="n">
        <v>0.15</v>
      </c>
      <c r="G1056" t="n">
        <v>1</v>
      </c>
      <c r="H1056" t="n">
        <v>4</v>
      </c>
      <c r="I1056" t="n">
        <v>20</v>
      </c>
      <c r="J1056" t="n">
        <v>3</v>
      </c>
      <c r="K1056" t="n">
        <v>6</v>
      </c>
      <c r="L1056" t="n">
        <v>61620</v>
      </c>
      <c r="M1056" t="n">
        <v>75000</v>
      </c>
      <c r="N1056" t="n">
        <v>33</v>
      </c>
      <c r="O1056" t="n">
        <v>0.33</v>
      </c>
      <c r="P1056" t="n">
        <v>0</v>
      </c>
      <c r="Q1056" t="n">
        <v>0.15</v>
      </c>
      <c r="R1056" t="n">
        <v>1</v>
      </c>
      <c r="S1056" t="n">
        <v>11250</v>
      </c>
      <c r="T1056" t="n">
        <v>20</v>
      </c>
      <c r="U1056" t="n">
        <v>21</v>
      </c>
      <c r="V1056" t="n">
        <v>30</v>
      </c>
      <c r="W1056" t="n">
        <v>5</v>
      </c>
      <c r="X1056" t="n">
        <v>20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4691</v>
      </c>
      <c r="AG1056" t="n">
        <v>1</v>
      </c>
      <c r="AH1056" t="inlineStr">
        <is>
          <t>PT. BERSAMA DISTRIVERSA INDONESIA (DC CIPUTAT)</t>
        </is>
      </c>
      <c r="AI1056" t="n">
        <v>458</v>
      </c>
      <c r="AJ1056" t="inlineStr">
        <is>
          <t>ESQA</t>
        </is>
      </c>
      <c r="AK1056" t="n">
        <v>9</v>
      </c>
      <c r="AL1056" t="inlineStr">
        <is>
          <t>Miss Glam Jambi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ESQA</t>
        </is>
      </c>
      <c r="B1057" s="2">
        <f>"9999903100812"</f>
        <v/>
      </c>
      <c r="C1057" t="inlineStr">
        <is>
          <t>ESQA Glaze Eyeshadow Trio Shooting Stars 4,5gr</t>
        </is>
      </c>
      <c r="D1057" t="inlineStr">
        <is>
          <t>Miss Glam Jambi</t>
        </is>
      </c>
      <c r="E1057" t="n">
        <v>2</v>
      </c>
      <c r="F1057" t="n">
        <v>0.0264</v>
      </c>
      <c r="G1057" t="n">
        <v>0.66</v>
      </c>
      <c r="H1057" t="n">
        <v>4</v>
      </c>
      <c r="I1057" t="n">
        <v>20</v>
      </c>
      <c r="J1057" t="n">
        <v>3</v>
      </c>
      <c r="K1057" t="n">
        <v>9</v>
      </c>
      <c r="L1057" t="n">
        <v>61620</v>
      </c>
      <c r="M1057" t="n">
        <v>75000</v>
      </c>
      <c r="N1057" t="n">
        <v>33</v>
      </c>
      <c r="O1057" t="n">
        <v>0.33</v>
      </c>
      <c r="P1057" t="n">
        <v>1</v>
      </c>
      <c r="Q1057" t="n">
        <v>0.15</v>
      </c>
      <c r="R1057" t="n">
        <v>1</v>
      </c>
      <c r="S1057" t="n">
        <v>1980</v>
      </c>
      <c r="T1057" t="n">
        <v>14</v>
      </c>
      <c r="U1057" t="n">
        <v>15</v>
      </c>
      <c r="V1057" t="n">
        <v>30</v>
      </c>
      <c r="W1057" t="n">
        <v>1</v>
      </c>
      <c r="X1057" t="n">
        <v>75.75757575757575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4691</v>
      </c>
      <c r="AG1057" t="n">
        <v>1</v>
      </c>
      <c r="AH1057" t="inlineStr">
        <is>
          <t>PT. BERSAMA DISTRIVERSA INDONESIA (DC CIPUTAT)</t>
        </is>
      </c>
      <c r="AI1057" t="n">
        <v>458</v>
      </c>
      <c r="AJ1057" t="inlineStr">
        <is>
          <t>ESQA</t>
        </is>
      </c>
      <c r="AK1057" t="n">
        <v>9</v>
      </c>
      <c r="AL1057" t="inlineStr">
        <is>
          <t>Miss Glam Jambi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ESQA</t>
        </is>
      </c>
      <c r="B1058" s="2">
        <f>"10700333302"</f>
        <v/>
      </c>
      <c r="C1058" t="inlineStr">
        <is>
          <t>ESQA Glow Pop Serum Lip Balm - Big Energy 3gr</t>
        </is>
      </c>
      <c r="D1058" t="inlineStr">
        <is>
          <t>Miss Glam Jambi</t>
        </is>
      </c>
      <c r="E1058" t="n">
        <v>5</v>
      </c>
      <c r="F1058" t="n">
        <v>0.02</v>
      </c>
      <c r="G1058" t="n">
        <v>1</v>
      </c>
      <c r="H1058" t="n">
        <v>4</v>
      </c>
      <c r="I1058" t="n">
        <v>20</v>
      </c>
      <c r="J1058" t="n">
        <v>1</v>
      </c>
      <c r="K1058" t="n">
        <v>0</v>
      </c>
      <c r="L1058" t="n">
        <v>64125</v>
      </c>
      <c r="M1058" t="n">
        <v>87000</v>
      </c>
      <c r="N1058" t="n">
        <v>33</v>
      </c>
      <c r="O1058" t="n">
        <v>0.33</v>
      </c>
      <c r="P1058" t="n">
        <v>0</v>
      </c>
      <c r="Q1058" t="n">
        <v>0.02</v>
      </c>
      <c r="R1058" t="n">
        <v>1</v>
      </c>
      <c r="S1058" t="n">
        <v>1740</v>
      </c>
      <c r="T1058" t="n">
        <v>20</v>
      </c>
      <c r="U1058" t="n">
        <v>21</v>
      </c>
      <c r="V1058" t="n">
        <v>30</v>
      </c>
      <c r="W1058" t="n">
        <v>1</v>
      </c>
      <c r="X1058" t="n">
        <v>250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4691</v>
      </c>
      <c r="AG1058" t="n">
        <v>1</v>
      </c>
      <c r="AH1058" t="inlineStr">
        <is>
          <t>PT. BERSAMA DISTRIVERSA INDONESIA (DC CIPUTAT)</t>
        </is>
      </c>
      <c r="AI1058" t="n">
        <v>458</v>
      </c>
      <c r="AJ1058" t="inlineStr">
        <is>
          <t>ESQA</t>
        </is>
      </c>
      <c r="AK1058" t="n">
        <v>9</v>
      </c>
      <c r="AL1058" t="inlineStr">
        <is>
          <t>Miss Glam Jambi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ESQA</t>
        </is>
      </c>
      <c r="B1059" s="2">
        <f>"10700333501"</f>
        <v/>
      </c>
      <c r="C1059" t="inlineStr">
        <is>
          <t>ESQA Glow Pop Serum Lip Balm - Picture Perfect 3gr</t>
        </is>
      </c>
      <c r="D1059" t="inlineStr">
        <is>
          <t>Miss Glam Jambi</t>
        </is>
      </c>
      <c r="E1059" t="n">
        <v>4</v>
      </c>
      <c r="F1059" t="n">
        <v>0.02</v>
      </c>
      <c r="G1059" t="n">
        <v>1</v>
      </c>
      <c r="H1059" t="n">
        <v>4</v>
      </c>
      <c r="I1059" t="n">
        <v>20</v>
      </c>
      <c r="J1059" t="n">
        <v>1</v>
      </c>
      <c r="K1059" t="n">
        <v>0</v>
      </c>
      <c r="L1059" t="n">
        <v>64125</v>
      </c>
      <c r="M1059" t="n">
        <v>87000</v>
      </c>
      <c r="N1059" t="n">
        <v>33</v>
      </c>
      <c r="O1059" t="n">
        <v>0.33</v>
      </c>
      <c r="P1059" t="n">
        <v>0</v>
      </c>
      <c r="Q1059" t="n">
        <v>0.02</v>
      </c>
      <c r="R1059" t="n">
        <v>1</v>
      </c>
      <c r="S1059" t="n">
        <v>1740</v>
      </c>
      <c r="T1059" t="n">
        <v>20</v>
      </c>
      <c r="U1059" t="n">
        <v>21</v>
      </c>
      <c r="V1059" t="n">
        <v>30</v>
      </c>
      <c r="W1059" t="n">
        <v>1</v>
      </c>
      <c r="X1059" t="n">
        <v>200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4691</v>
      </c>
      <c r="AG1059" t="n">
        <v>1</v>
      </c>
      <c r="AH1059" t="inlineStr">
        <is>
          <t>PT. BERSAMA DISTRIVERSA INDONESIA (DC CIPUTAT)</t>
        </is>
      </c>
      <c r="AI1059" t="n">
        <v>458</v>
      </c>
      <c r="AJ1059" t="inlineStr">
        <is>
          <t>ESQA</t>
        </is>
      </c>
      <c r="AK1059" t="n">
        <v>9</v>
      </c>
      <c r="AL1059" t="inlineStr">
        <is>
          <t>Miss Glam Jambi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ESQA</t>
        </is>
      </c>
      <c r="B1060" s="2">
        <f>"20100173448"</f>
        <v/>
      </c>
      <c r="C1060" t="inlineStr">
        <is>
          <t>ESQA Minimalist Blurring Serum Skin Tint SPF 35 PA++ - Caramel 30ml</t>
        </is>
      </c>
      <c r="D1060" t="inlineStr">
        <is>
          <t>Miss Glam Jambi</t>
        </is>
      </c>
      <c r="E1060" t="n">
        <v>7</v>
      </c>
      <c r="F1060" t="n">
        <v>0.03</v>
      </c>
      <c r="G1060" t="n">
        <v>1</v>
      </c>
      <c r="H1060" t="n">
        <v>4</v>
      </c>
      <c r="I1060" t="n">
        <v>20</v>
      </c>
      <c r="J1060" t="n">
        <v>1</v>
      </c>
      <c r="K1060" t="n">
        <v>0</v>
      </c>
      <c r="L1060" t="n">
        <v>110870</v>
      </c>
      <c r="M1060" t="n">
        <v>169000</v>
      </c>
      <c r="N1060" t="n">
        <v>33</v>
      </c>
      <c r="O1060" t="n">
        <v>0.33</v>
      </c>
      <c r="P1060" t="n">
        <v>0</v>
      </c>
      <c r="Q1060" t="n">
        <v>0.03</v>
      </c>
      <c r="R1060" t="n">
        <v>1</v>
      </c>
      <c r="S1060" t="n">
        <v>5070</v>
      </c>
      <c r="T1060" t="n">
        <v>20</v>
      </c>
      <c r="U1060" t="n">
        <v>21</v>
      </c>
      <c r="V1060" t="n">
        <v>30</v>
      </c>
      <c r="W1060" t="n">
        <v>1</v>
      </c>
      <c r="X1060" t="n">
        <v>233.3333333333333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4691</v>
      </c>
      <c r="AG1060" t="n">
        <v>1</v>
      </c>
      <c r="AH1060" t="inlineStr">
        <is>
          <t>PT. BERSAMA DISTRIVERSA INDONESIA (DC CIPUTAT)</t>
        </is>
      </c>
      <c r="AI1060" t="n">
        <v>458</v>
      </c>
      <c r="AJ1060" t="inlineStr">
        <is>
          <t>ESQA</t>
        </is>
      </c>
      <c r="AK1060" t="n">
        <v>9</v>
      </c>
      <c r="AL1060" t="inlineStr">
        <is>
          <t>Miss Glam Jambi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ESQA</t>
        </is>
      </c>
      <c r="B1061" s="2">
        <f>"20100173651"</f>
        <v/>
      </c>
      <c r="C1061" t="inlineStr">
        <is>
          <t>ESQA Minimalist Blurring Serum Skin Tint SPF 35 PA++ - Granola 35ml</t>
        </is>
      </c>
      <c r="D1061" t="inlineStr">
        <is>
          <t>Miss Glam Jambi</t>
        </is>
      </c>
      <c r="E1061" t="n">
        <v>5</v>
      </c>
      <c r="F1061" t="n">
        <v>0.0462</v>
      </c>
      <c r="G1061" t="n">
        <v>0.66</v>
      </c>
      <c r="H1061" t="n">
        <v>4</v>
      </c>
      <c r="I1061" t="n">
        <v>20</v>
      </c>
      <c r="J1061" t="n">
        <v>1</v>
      </c>
      <c r="K1061" t="n">
        <v>0</v>
      </c>
      <c r="L1061" t="n">
        <v>111209</v>
      </c>
      <c r="M1061" t="n">
        <v>169000</v>
      </c>
      <c r="N1061" t="n">
        <v>33</v>
      </c>
      <c r="O1061" t="n">
        <v>0.33</v>
      </c>
      <c r="P1061" t="n">
        <v>1</v>
      </c>
      <c r="Q1061" t="n">
        <v>0.05</v>
      </c>
      <c r="R1061" t="n">
        <v>1</v>
      </c>
      <c r="S1061" t="n">
        <v>7807.800000000001</v>
      </c>
      <c r="T1061" t="n">
        <v>14</v>
      </c>
      <c r="U1061" t="n">
        <v>15</v>
      </c>
      <c r="V1061" t="n">
        <v>30</v>
      </c>
      <c r="W1061" t="n">
        <v>2</v>
      </c>
      <c r="X1061" t="n">
        <v>108.2251082251082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4691</v>
      </c>
      <c r="AG1061" t="n">
        <v>1</v>
      </c>
      <c r="AH1061" t="inlineStr">
        <is>
          <t>PT. BERSAMA DISTRIVERSA INDONESIA (DC CIPUTAT)</t>
        </is>
      </c>
      <c r="AI1061" t="n">
        <v>458</v>
      </c>
      <c r="AJ1061" t="inlineStr">
        <is>
          <t>ESQA</t>
        </is>
      </c>
      <c r="AK1061" t="n">
        <v>9</v>
      </c>
      <c r="AL1061" t="inlineStr">
        <is>
          <t>Miss Glam Jambi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ESQA</t>
        </is>
      </c>
      <c r="B1062" s="2">
        <f>"20100468940"</f>
        <v/>
      </c>
      <c r="C1062" t="inlineStr">
        <is>
          <t>ESQA Velvet Matte Cushion Serum SPF 50+ PA+++ - Caramel 15gr</t>
        </is>
      </c>
      <c r="D1062" t="inlineStr">
        <is>
          <t>Miss Glam Jambi</t>
        </is>
      </c>
      <c r="E1062" t="n">
        <v>5</v>
      </c>
      <c r="F1062" t="n">
        <v>0.006600000000000001</v>
      </c>
      <c r="G1062" t="n">
        <v>0.33</v>
      </c>
      <c r="H1062" t="n">
        <v>4</v>
      </c>
      <c r="I1062" t="n">
        <v>20</v>
      </c>
      <c r="J1062" t="n">
        <v>1</v>
      </c>
      <c r="K1062" t="n">
        <v>0</v>
      </c>
      <c r="L1062" t="n">
        <v>163125</v>
      </c>
      <c r="M1062" t="n">
        <v>217500</v>
      </c>
      <c r="N1062" t="n">
        <v>33</v>
      </c>
      <c r="O1062" t="n">
        <v>0.33</v>
      </c>
      <c r="P1062" t="n">
        <v>1</v>
      </c>
      <c r="Q1062" t="n">
        <v>0.02</v>
      </c>
      <c r="R1062" t="n">
        <v>0</v>
      </c>
      <c r="S1062" t="n">
        <v>1435.5</v>
      </c>
      <c r="T1062" t="n">
        <v>7</v>
      </c>
      <c r="U1062" t="n">
        <v>8</v>
      </c>
      <c r="V1062" t="n">
        <v>30</v>
      </c>
      <c r="W1062" t="n">
        <v>1</v>
      </c>
      <c r="X1062" t="n">
        <v>757.5757575757575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4691</v>
      </c>
      <c r="AG1062" t="n">
        <v>1</v>
      </c>
      <c r="AH1062" t="inlineStr">
        <is>
          <t>PT. BERSAMA DISTRIVERSA INDONESIA (DC CIPUTAT)</t>
        </is>
      </c>
      <c r="AI1062" t="n">
        <v>458</v>
      </c>
      <c r="AJ1062" t="inlineStr">
        <is>
          <t>ESQA</t>
        </is>
      </c>
      <c r="AK1062" t="n">
        <v>9</v>
      </c>
      <c r="AL1062" t="inlineStr">
        <is>
          <t>Miss Glam Jambi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ESQA</t>
        </is>
      </c>
      <c r="B1063" s="2">
        <f>"20100469115"</f>
        <v/>
      </c>
      <c r="C1063" t="inlineStr">
        <is>
          <t>ESQA Velvet Matte Cushion Serum SPF 50+ PA+++ - Granola 15gr</t>
        </is>
      </c>
      <c r="D1063" t="inlineStr">
        <is>
          <t>Miss Glam Jambi</t>
        </is>
      </c>
      <c r="E1063" t="n">
        <v>3</v>
      </c>
      <c r="F1063" t="n">
        <v>0.02</v>
      </c>
      <c r="G1063" t="n">
        <v>1</v>
      </c>
      <c r="H1063" t="n">
        <v>4</v>
      </c>
      <c r="I1063" t="n">
        <v>20</v>
      </c>
      <c r="J1063" t="n">
        <v>1</v>
      </c>
      <c r="K1063" t="n">
        <v>0</v>
      </c>
      <c r="L1063" t="n">
        <v>163125</v>
      </c>
      <c r="M1063" t="n">
        <v>217500</v>
      </c>
      <c r="N1063" t="n">
        <v>33</v>
      </c>
      <c r="O1063" t="n">
        <v>0.33</v>
      </c>
      <c r="P1063" t="n">
        <v>0</v>
      </c>
      <c r="Q1063" t="n">
        <v>0.02</v>
      </c>
      <c r="R1063" t="n">
        <v>1</v>
      </c>
      <c r="S1063" t="n">
        <v>4350</v>
      </c>
      <c r="T1063" t="n">
        <v>20</v>
      </c>
      <c r="U1063" t="n">
        <v>21</v>
      </c>
      <c r="V1063" t="n">
        <v>30</v>
      </c>
      <c r="W1063" t="n">
        <v>1</v>
      </c>
      <c r="X1063" t="n">
        <v>150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4691</v>
      </c>
      <c r="AG1063" t="n">
        <v>1</v>
      </c>
      <c r="AH1063" t="inlineStr">
        <is>
          <t>PT. BERSAMA DISTRIVERSA INDONESIA (DC CIPUTAT)</t>
        </is>
      </c>
      <c r="AI1063" t="n">
        <v>458</v>
      </c>
      <c r="AJ1063" t="inlineStr">
        <is>
          <t>ESQA</t>
        </is>
      </c>
      <c r="AK1063" t="n">
        <v>9</v>
      </c>
      <c r="AL1063" t="inlineStr">
        <is>
          <t>Miss Glam Jambi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ESQA</t>
        </is>
      </c>
      <c r="B1064" s="2">
        <f>"9999850123452"</f>
        <v/>
      </c>
      <c r="C1064" t="inlineStr">
        <is>
          <t>ESQA Waterproof Intense Eyeliner Black 1ml</t>
        </is>
      </c>
      <c r="D1064" t="inlineStr">
        <is>
          <t>Miss Glam Jambi</t>
        </is>
      </c>
      <c r="E1064" t="n">
        <v>0</v>
      </c>
      <c r="F1064" t="n">
        <v>0.03</v>
      </c>
      <c r="G1064" t="n">
        <v>1</v>
      </c>
      <c r="H1064" t="n">
        <v>4</v>
      </c>
      <c r="I1064" t="n">
        <v>20</v>
      </c>
      <c r="J1064" t="n">
        <v>3</v>
      </c>
      <c r="K1064" t="n">
        <v>0</v>
      </c>
      <c r="L1064" t="n">
        <v>68750</v>
      </c>
      <c r="M1064" t="n">
        <v>86000</v>
      </c>
      <c r="N1064" t="n">
        <v>33</v>
      </c>
      <c r="O1064" t="n">
        <v>0.33</v>
      </c>
      <c r="P1064" t="n">
        <v>0</v>
      </c>
      <c r="Q1064" t="n">
        <v>0.03</v>
      </c>
      <c r="R1064" t="n">
        <v>1</v>
      </c>
      <c r="S1064" t="n">
        <v>2580</v>
      </c>
      <c r="T1064" t="n">
        <v>20</v>
      </c>
      <c r="U1064" t="n">
        <v>21</v>
      </c>
      <c r="V1064" t="n">
        <v>30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n">
        <v>0</v>
      </c>
      <c r="AC1064" t="n">
        <v>0</v>
      </c>
      <c r="AD1064" t="n">
        <v>68750</v>
      </c>
      <c r="AE1064" t="n">
        <v>0</v>
      </c>
      <c r="AF1064" t="n">
        <v>4691</v>
      </c>
      <c r="AG1064" t="n">
        <v>1</v>
      </c>
      <c r="AH1064" t="inlineStr">
        <is>
          <t>PT. BERSAMA DISTRIVERSA INDONESIA (DC CIPUTAT)</t>
        </is>
      </c>
      <c r="AI1064" t="n">
        <v>458</v>
      </c>
      <c r="AJ1064" t="inlineStr">
        <is>
          <t>ESQA</t>
        </is>
      </c>
      <c r="AK1064" t="n">
        <v>9</v>
      </c>
      <c r="AL1064" t="inlineStr">
        <is>
          <t>Miss Glam Jambi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ESQA</t>
        </is>
      </c>
      <c r="B1065" s="2">
        <f>"9999921202086"</f>
        <v/>
      </c>
      <c r="C1065" t="inlineStr">
        <is>
          <t>ESQA Wonder Crush Serum Liquid Blush 6ml Saucy Style</t>
        </is>
      </c>
      <c r="D1065" t="inlineStr">
        <is>
          <t>Miss Glam Jambi</t>
        </is>
      </c>
      <c r="E1065" t="n">
        <v>4</v>
      </c>
      <c r="F1065" t="n">
        <v>0.006600000000000001</v>
      </c>
      <c r="G1065" t="n">
        <v>0.33</v>
      </c>
      <c r="H1065" t="n">
        <v>4</v>
      </c>
      <c r="I1065" t="n">
        <v>20</v>
      </c>
      <c r="J1065" t="n">
        <v>3</v>
      </c>
      <c r="K1065" t="n">
        <v>0</v>
      </c>
      <c r="L1065" t="n">
        <v>72200</v>
      </c>
      <c r="M1065" t="n">
        <v>93000</v>
      </c>
      <c r="N1065" t="n">
        <v>33</v>
      </c>
      <c r="O1065" t="n">
        <v>0.33</v>
      </c>
      <c r="P1065" t="n">
        <v>1</v>
      </c>
      <c r="Q1065" t="n">
        <v>0.02</v>
      </c>
      <c r="R1065" t="n">
        <v>1</v>
      </c>
      <c r="S1065" t="n">
        <v>613.8000000000001</v>
      </c>
      <c r="T1065" t="n">
        <v>7</v>
      </c>
      <c r="U1065" t="n">
        <v>8</v>
      </c>
      <c r="V1065" t="n">
        <v>30</v>
      </c>
      <c r="W1065" t="n">
        <v>1</v>
      </c>
      <c r="X1065" t="n">
        <v>606.060606060606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4691</v>
      </c>
      <c r="AG1065" t="n">
        <v>1</v>
      </c>
      <c r="AH1065" t="inlineStr">
        <is>
          <t>PT. BERSAMA DISTRIVERSA INDONESIA (DC CIPUTAT)</t>
        </is>
      </c>
      <c r="AI1065" t="n">
        <v>458</v>
      </c>
      <c r="AJ1065" t="inlineStr">
        <is>
          <t>ESQA</t>
        </is>
      </c>
      <c r="AK1065" t="n">
        <v>9</v>
      </c>
      <c r="AL1065" t="inlineStr">
        <is>
          <t>Miss Glam Jambi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EVANGELINE</t>
        </is>
      </c>
      <c r="B1066" s="2">
        <f>"8997017641017"</f>
        <v/>
      </c>
      <c r="C1066" t="inlineStr">
        <is>
          <t>EVANGELINE Eau De Parfum Angel 60ml</t>
        </is>
      </c>
      <c r="D1066" t="inlineStr">
        <is>
          <t>Miss Glam Jambi</t>
        </is>
      </c>
      <c r="E1066" t="n">
        <v>11</v>
      </c>
      <c r="F1066" t="n">
        <v>0.0726</v>
      </c>
      <c r="G1066" t="n">
        <v>0.66</v>
      </c>
      <c r="H1066" t="n">
        <v>2</v>
      </c>
      <c r="I1066" t="n">
        <v>13</v>
      </c>
      <c r="J1066" t="n">
        <v>3</v>
      </c>
      <c r="K1066" t="n">
        <v>0</v>
      </c>
      <c r="L1066" t="n">
        <v>21475</v>
      </c>
      <c r="M1066" t="n">
        <v>28000</v>
      </c>
      <c r="N1066" t="n">
        <v>33</v>
      </c>
      <c r="O1066" t="n">
        <v>0.33</v>
      </c>
      <c r="P1066" t="n">
        <v>1</v>
      </c>
      <c r="Q1066" t="n">
        <v>0.07000000000000001</v>
      </c>
      <c r="R1066" t="n">
        <v>1</v>
      </c>
      <c r="S1066" t="n">
        <v>2032.8</v>
      </c>
      <c r="T1066" t="n">
        <v>9</v>
      </c>
      <c r="U1066" t="n">
        <v>10</v>
      </c>
      <c r="V1066" t="n">
        <v>30</v>
      </c>
      <c r="W1066" t="n">
        <v>3</v>
      </c>
      <c r="X1066" t="n">
        <v>151.5151515151515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1076</v>
      </c>
      <c r="AG1066" t="n">
        <v>2318</v>
      </c>
      <c r="AH1066" t="inlineStr">
        <is>
          <t>CV. KIANO SUKSES MANDIRI - PPN (JMB)</t>
        </is>
      </c>
      <c r="AI1066" t="n">
        <v>65</v>
      </c>
      <c r="AJ1066" t="inlineStr">
        <is>
          <t>EVANGELINE</t>
        </is>
      </c>
      <c r="AK1066" t="n">
        <v>9</v>
      </c>
      <c r="AL1066" t="inlineStr">
        <is>
          <t>Miss Glam Jambi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EVANGELINE</t>
        </is>
      </c>
      <c r="B1067" s="2">
        <f>"8997017641963"</f>
        <v/>
      </c>
      <c r="C1067" t="inlineStr">
        <is>
          <t>EVANGELINE Eau De Parfum Aquarius 50ml</t>
        </is>
      </c>
      <c r="D1067" t="inlineStr">
        <is>
          <t>Miss Glam Jambi</t>
        </is>
      </c>
      <c r="E1067" t="n">
        <v>5</v>
      </c>
      <c r="F1067" t="n">
        <v>0.009900000000000001</v>
      </c>
      <c r="G1067" t="n">
        <v>0.33</v>
      </c>
      <c r="H1067" t="n">
        <v>2</v>
      </c>
      <c r="I1067" t="n">
        <v>13</v>
      </c>
      <c r="J1067" t="n">
        <v>3</v>
      </c>
      <c r="K1067" t="n">
        <v>0</v>
      </c>
      <c r="L1067" t="n">
        <v>20700</v>
      </c>
      <c r="M1067" t="n">
        <v>27500</v>
      </c>
      <c r="N1067" t="n">
        <v>33</v>
      </c>
      <c r="O1067" t="n">
        <v>0.33</v>
      </c>
      <c r="P1067" t="n">
        <v>1</v>
      </c>
      <c r="Q1067" t="n">
        <v>0.03</v>
      </c>
      <c r="R1067" t="n">
        <v>1</v>
      </c>
      <c r="S1067" t="n">
        <v>272.25</v>
      </c>
      <c r="T1067" t="n">
        <v>5</v>
      </c>
      <c r="U1067" t="n">
        <v>6</v>
      </c>
      <c r="V1067" t="n">
        <v>30</v>
      </c>
      <c r="W1067" t="n">
        <v>1</v>
      </c>
      <c r="X1067" t="n">
        <v>505.050505050505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1076</v>
      </c>
      <c r="AG1067" t="n">
        <v>2318</v>
      </c>
      <c r="AH1067" t="inlineStr">
        <is>
          <t>CV. KIANO SUKSES MANDIRI - PPN (JMB)</t>
        </is>
      </c>
      <c r="AI1067" t="n">
        <v>65</v>
      </c>
      <c r="AJ1067" t="inlineStr">
        <is>
          <t>EVANGELINE</t>
        </is>
      </c>
      <c r="AK1067" t="n">
        <v>9</v>
      </c>
      <c r="AL1067" t="inlineStr">
        <is>
          <t>Miss Glam Jambi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EVANGELINE</t>
        </is>
      </c>
      <c r="B1068" s="2">
        <f>"8997017641987"</f>
        <v/>
      </c>
      <c r="C1068" t="inlineStr">
        <is>
          <t>EVANGELINE Eau De Parfum Aries 50ml</t>
        </is>
      </c>
      <c r="D1068" t="inlineStr">
        <is>
          <t>Miss Glam Jambi</t>
        </is>
      </c>
      <c r="E1068" t="n">
        <v>1</v>
      </c>
      <c r="F1068" t="n">
        <v>0.0165</v>
      </c>
      <c r="G1068" t="n">
        <v>0.33</v>
      </c>
      <c r="H1068" t="n">
        <v>2</v>
      </c>
      <c r="I1068" t="n">
        <v>13</v>
      </c>
      <c r="J1068" t="n">
        <v>3</v>
      </c>
      <c r="K1068" t="n">
        <v>0</v>
      </c>
      <c r="L1068" t="n">
        <v>20700</v>
      </c>
      <c r="M1068" t="n">
        <v>27500</v>
      </c>
      <c r="N1068" t="n">
        <v>33</v>
      </c>
      <c r="O1068" t="n">
        <v>0.33</v>
      </c>
      <c r="P1068" t="n">
        <v>1</v>
      </c>
      <c r="Q1068" t="n">
        <v>0.03</v>
      </c>
      <c r="R1068" t="n">
        <v>1</v>
      </c>
      <c r="S1068" t="n">
        <v>453.75</v>
      </c>
      <c r="T1068" t="n">
        <v>5</v>
      </c>
      <c r="U1068" t="n">
        <v>6</v>
      </c>
      <c r="V1068" t="n">
        <v>30</v>
      </c>
      <c r="W1068" t="n">
        <v>1</v>
      </c>
      <c r="X1068" t="n">
        <v>60.6060606060606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1076</v>
      </c>
      <c r="AG1068" t="n">
        <v>2318</v>
      </c>
      <c r="AH1068" t="inlineStr">
        <is>
          <t>CV. KIANO SUKSES MANDIRI - PPN (JMB)</t>
        </is>
      </c>
      <c r="AI1068" t="n">
        <v>65</v>
      </c>
      <c r="AJ1068" t="inlineStr">
        <is>
          <t>EVANGELINE</t>
        </is>
      </c>
      <c r="AK1068" t="n">
        <v>9</v>
      </c>
      <c r="AL1068" t="inlineStr">
        <is>
          <t>Miss Glam Jambi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EVANGELINE</t>
        </is>
      </c>
      <c r="B1069" s="2">
        <f>"8997017641802"</f>
        <v/>
      </c>
      <c r="C1069" t="inlineStr">
        <is>
          <t>EVANGELINE Eau de Parfum Black Sakura 100ml</t>
        </is>
      </c>
      <c r="D1069" t="inlineStr">
        <is>
          <t>Miss Glam Jambi</t>
        </is>
      </c>
      <c r="E1069" t="n">
        <v>9</v>
      </c>
      <c r="F1069" t="n">
        <v>0.7095</v>
      </c>
      <c r="G1069" t="n">
        <v>1.65</v>
      </c>
      <c r="H1069" t="n">
        <v>2</v>
      </c>
      <c r="I1069" t="n">
        <v>13</v>
      </c>
      <c r="J1069" t="n">
        <v>3</v>
      </c>
      <c r="K1069" t="n">
        <v>11</v>
      </c>
      <c r="L1069" t="n">
        <v>28235</v>
      </c>
      <c r="M1069" t="n">
        <v>35500</v>
      </c>
      <c r="N1069" t="n">
        <v>33</v>
      </c>
      <c r="O1069" t="n">
        <v>0.33</v>
      </c>
      <c r="P1069" t="n">
        <v>1</v>
      </c>
      <c r="Q1069" t="n">
        <v>0.2</v>
      </c>
      <c r="R1069" t="n">
        <v>2</v>
      </c>
      <c r="S1069" t="n">
        <v>25187.25</v>
      </c>
      <c r="T1069" t="n">
        <v>21</v>
      </c>
      <c r="U1069" t="n">
        <v>23</v>
      </c>
      <c r="V1069" t="n">
        <v>30</v>
      </c>
      <c r="W1069" t="n">
        <v>22</v>
      </c>
      <c r="X1069" t="n">
        <v>12.68498942917548</v>
      </c>
      <c r="Y1069" t="n">
        <v>1</v>
      </c>
      <c r="Z1069" t="n">
        <v>2</v>
      </c>
      <c r="AA1069" t="n">
        <v>0</v>
      </c>
      <c r="AB1069" t="n">
        <v>2</v>
      </c>
      <c r="AC1069" t="n">
        <v>3</v>
      </c>
      <c r="AD1069" t="n">
        <v>0</v>
      </c>
      <c r="AE1069" t="n">
        <v>84705</v>
      </c>
      <c r="AF1069" t="n">
        <v>1076</v>
      </c>
      <c r="AG1069" t="n">
        <v>2318</v>
      </c>
      <c r="AH1069" t="inlineStr">
        <is>
          <t>CV. KIANO SUKSES MANDIRI - PPN (JMB)</t>
        </is>
      </c>
      <c r="AI1069" t="n">
        <v>65</v>
      </c>
      <c r="AJ1069" t="inlineStr">
        <is>
          <t>EVANGELINE</t>
        </is>
      </c>
      <c r="AK1069" t="n">
        <v>9</v>
      </c>
      <c r="AL1069" t="inlineStr">
        <is>
          <t>Miss Glam Jambi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EVANGELINE</t>
        </is>
      </c>
      <c r="B1070" s="2">
        <f>"8997017642014"</f>
        <v/>
      </c>
      <c r="C1070" t="inlineStr">
        <is>
          <t>EVANGELINE Eau De Parfum Cancer  50ml</t>
        </is>
      </c>
      <c r="D1070" t="inlineStr">
        <is>
          <t>Miss Glam Jambi</t>
        </is>
      </c>
      <c r="E1070" t="n">
        <v>5</v>
      </c>
      <c r="F1070" t="n">
        <v>0.0825</v>
      </c>
      <c r="G1070" t="n">
        <v>0.66</v>
      </c>
      <c r="H1070" t="n">
        <v>2</v>
      </c>
      <c r="I1070" t="n">
        <v>13</v>
      </c>
      <c r="J1070" t="n">
        <v>3</v>
      </c>
      <c r="K1070" t="n">
        <v>0</v>
      </c>
      <c r="L1070" t="n">
        <v>21094</v>
      </c>
      <c r="M1070" t="n">
        <v>26500</v>
      </c>
      <c r="N1070" t="n">
        <v>33</v>
      </c>
      <c r="O1070" t="n">
        <v>0.33</v>
      </c>
      <c r="P1070" t="n">
        <v>1</v>
      </c>
      <c r="Q1070" t="n">
        <v>0.03</v>
      </c>
      <c r="R1070" t="n">
        <v>1</v>
      </c>
      <c r="S1070" t="n">
        <v>2186.25</v>
      </c>
      <c r="T1070" t="n">
        <v>9</v>
      </c>
      <c r="U1070" t="n">
        <v>10</v>
      </c>
      <c r="V1070" t="n">
        <v>30</v>
      </c>
      <c r="W1070" t="n">
        <v>3</v>
      </c>
      <c r="X1070" t="n">
        <v>60.6060606060606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1076</v>
      </c>
      <c r="AG1070" t="n">
        <v>2318</v>
      </c>
      <c r="AH1070" t="inlineStr">
        <is>
          <t>CV. KIANO SUKSES MANDIRI - PPN (JMB)</t>
        </is>
      </c>
      <c r="AI1070" t="n">
        <v>65</v>
      </c>
      <c r="AJ1070" t="inlineStr">
        <is>
          <t>EVANGELINE</t>
        </is>
      </c>
      <c r="AK1070" t="n">
        <v>9</v>
      </c>
      <c r="AL1070" t="inlineStr">
        <is>
          <t>Miss Glam Jambi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EVANGELINE</t>
        </is>
      </c>
      <c r="B1071" s="2">
        <f>"8997017642076"</f>
        <v/>
      </c>
      <c r="C1071" t="inlineStr">
        <is>
          <t>EVANGELINE Eau De Parfum Capricon 50ml</t>
        </is>
      </c>
      <c r="D1071" t="inlineStr">
        <is>
          <t>Miss Glam Jambi</t>
        </is>
      </c>
      <c r="E1071" t="n">
        <v>4</v>
      </c>
      <c r="F1071" t="n">
        <v>0.2178</v>
      </c>
      <c r="G1071" t="n">
        <v>0.99</v>
      </c>
      <c r="H1071" t="n">
        <v>2</v>
      </c>
      <c r="I1071" t="n">
        <v>13</v>
      </c>
      <c r="J1071" t="n">
        <v>3</v>
      </c>
      <c r="K1071" t="n">
        <v>3</v>
      </c>
      <c r="L1071" t="n">
        <v>20823</v>
      </c>
      <c r="M1071" t="n">
        <v>26500</v>
      </c>
      <c r="N1071" t="n">
        <v>33</v>
      </c>
      <c r="O1071" t="n">
        <v>0.33</v>
      </c>
      <c r="P1071" t="n">
        <v>1</v>
      </c>
      <c r="Q1071" t="n">
        <v>0.03</v>
      </c>
      <c r="R1071" t="n">
        <v>1</v>
      </c>
      <c r="S1071" t="n">
        <v>5771.700000000001</v>
      </c>
      <c r="T1071" t="n">
        <v>13</v>
      </c>
      <c r="U1071" t="n">
        <v>14</v>
      </c>
      <c r="V1071" t="n">
        <v>30</v>
      </c>
      <c r="W1071" t="n">
        <v>7</v>
      </c>
      <c r="X1071" t="n">
        <v>18.36547291092745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1076</v>
      </c>
      <c r="AG1071" t="n">
        <v>2318</v>
      </c>
      <c r="AH1071" t="inlineStr">
        <is>
          <t>CV. KIANO SUKSES MANDIRI - PPN (JMB)</t>
        </is>
      </c>
      <c r="AI1071" t="n">
        <v>65</v>
      </c>
      <c r="AJ1071" t="inlineStr">
        <is>
          <t>EVANGELINE</t>
        </is>
      </c>
      <c r="AK1071" t="n">
        <v>9</v>
      </c>
      <c r="AL1071" t="inlineStr">
        <is>
          <t>Miss Glam Jambi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EVANGELINE</t>
        </is>
      </c>
      <c r="B1072" s="2">
        <f>"8997017641048"</f>
        <v/>
      </c>
      <c r="C1072" t="inlineStr">
        <is>
          <t>EVANGELINE Eau De Parfum Desire 60ML</t>
        </is>
      </c>
      <c r="D1072" t="inlineStr">
        <is>
          <t>Miss Glam Jambi</t>
        </is>
      </c>
      <c r="E1072" t="n">
        <v>2</v>
      </c>
      <c r="F1072" t="n">
        <v>0.02</v>
      </c>
      <c r="G1072" t="n">
        <v>1</v>
      </c>
      <c r="H1072" t="n">
        <v>2</v>
      </c>
      <c r="I1072" t="n">
        <v>13</v>
      </c>
      <c r="J1072" t="n">
        <v>3</v>
      </c>
      <c r="K1072" t="n">
        <v>0</v>
      </c>
      <c r="L1072" t="n">
        <v>22500</v>
      </c>
      <c r="M1072" t="n">
        <v>28200</v>
      </c>
      <c r="N1072" t="n">
        <v>33</v>
      </c>
      <c r="O1072" t="n">
        <v>0.33</v>
      </c>
      <c r="P1072" t="n">
        <v>0</v>
      </c>
      <c r="Q1072" t="n">
        <v>0.02</v>
      </c>
      <c r="R1072" t="n">
        <v>1</v>
      </c>
      <c r="S1072" t="n">
        <v>564</v>
      </c>
      <c r="T1072" t="n">
        <v>13</v>
      </c>
      <c r="U1072" t="n">
        <v>14</v>
      </c>
      <c r="V1072" t="n">
        <v>30</v>
      </c>
      <c r="W1072" t="n">
        <v>1</v>
      </c>
      <c r="X1072" t="n">
        <v>100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1076</v>
      </c>
      <c r="AG1072" t="n">
        <v>2318</v>
      </c>
      <c r="AH1072" t="inlineStr">
        <is>
          <t>CV. KIANO SUKSES MANDIRI - PPN (JMB)</t>
        </is>
      </c>
      <c r="AI1072" t="n">
        <v>65</v>
      </c>
      <c r="AJ1072" t="inlineStr">
        <is>
          <t>EVANGELINE</t>
        </is>
      </c>
      <c r="AK1072" t="n">
        <v>9</v>
      </c>
      <c r="AL1072" t="inlineStr">
        <is>
          <t>Miss Glam Jambi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EVANGELINE</t>
        </is>
      </c>
      <c r="B1073" s="2">
        <f>"8997017642007"</f>
        <v/>
      </c>
      <c r="C1073" t="inlineStr">
        <is>
          <t>EVANGELINE Eau De Parfum Gemini 50ml</t>
        </is>
      </c>
      <c r="D1073" t="inlineStr">
        <is>
          <t>Miss Glam Jambi</t>
        </is>
      </c>
      <c r="E1073" t="n">
        <v>3</v>
      </c>
      <c r="F1073" t="n">
        <v>0.0198</v>
      </c>
      <c r="G1073" t="n">
        <v>0.33</v>
      </c>
      <c r="H1073" t="n">
        <v>2</v>
      </c>
      <c r="I1073" t="n">
        <v>13</v>
      </c>
      <c r="J1073" t="n">
        <v>3</v>
      </c>
      <c r="K1073" t="n">
        <v>0</v>
      </c>
      <c r="L1073" t="n">
        <v>20700</v>
      </c>
      <c r="M1073" t="n">
        <v>27500</v>
      </c>
      <c r="N1073" t="n">
        <v>33</v>
      </c>
      <c r="O1073" t="n">
        <v>0.33</v>
      </c>
      <c r="P1073" t="n">
        <v>1</v>
      </c>
      <c r="Q1073" t="n">
        <v>0.02</v>
      </c>
      <c r="R1073" t="n">
        <v>1</v>
      </c>
      <c r="S1073" t="n">
        <v>544.5</v>
      </c>
      <c r="T1073" t="n">
        <v>5</v>
      </c>
      <c r="U1073" t="n">
        <v>6</v>
      </c>
      <c r="V1073" t="n">
        <v>30</v>
      </c>
      <c r="W1073" t="n">
        <v>1</v>
      </c>
      <c r="X1073" t="n">
        <v>151.5151515151515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1076</v>
      </c>
      <c r="AG1073" t="n">
        <v>2318</v>
      </c>
      <c r="AH1073" t="inlineStr">
        <is>
          <t>CV. KIANO SUKSES MANDIRI - PPN (JMB)</t>
        </is>
      </c>
      <c r="AI1073" t="n">
        <v>65</v>
      </c>
      <c r="AJ1073" t="inlineStr">
        <is>
          <t>EVANGELINE</t>
        </is>
      </c>
      <c r="AK1073" t="n">
        <v>9</v>
      </c>
      <c r="AL1073" t="inlineStr">
        <is>
          <t>Miss Glam Jambi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EVANGELINE</t>
        </is>
      </c>
      <c r="B1074" s="2">
        <f>"8997017641673"</f>
        <v/>
      </c>
      <c r="C1074" t="inlineStr">
        <is>
          <t>EVANGELINE Eau De Parfum Holy 60ml</t>
        </is>
      </c>
      <c r="D1074" t="inlineStr">
        <is>
          <t>Miss Glam Jambi</t>
        </is>
      </c>
      <c r="E1074" t="n">
        <v>12</v>
      </c>
      <c r="F1074" t="n">
        <v>0.08</v>
      </c>
      <c r="G1074" t="n">
        <v>2</v>
      </c>
      <c r="H1074" t="n">
        <v>2</v>
      </c>
      <c r="I1074" t="n">
        <v>13</v>
      </c>
      <c r="J1074" t="n">
        <v>3</v>
      </c>
      <c r="K1074" t="n">
        <v>0</v>
      </c>
      <c r="L1074" t="n">
        <v>21390</v>
      </c>
      <c r="M1074" t="n">
        <v>28000</v>
      </c>
      <c r="N1074" t="n">
        <v>33</v>
      </c>
      <c r="O1074" t="n">
        <v>0.33</v>
      </c>
      <c r="P1074" t="n">
        <v>0</v>
      </c>
      <c r="Q1074" t="n">
        <v>0.08</v>
      </c>
      <c r="R1074" t="n">
        <v>2</v>
      </c>
      <c r="S1074" t="n">
        <v>2240</v>
      </c>
      <c r="T1074" t="n">
        <v>26</v>
      </c>
      <c r="U1074" t="n">
        <v>27</v>
      </c>
      <c r="V1074" t="n">
        <v>30</v>
      </c>
      <c r="W1074" t="n">
        <v>3</v>
      </c>
      <c r="X1074" t="n">
        <v>150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1076</v>
      </c>
      <c r="AG1074" t="n">
        <v>2318</v>
      </c>
      <c r="AH1074" t="inlineStr">
        <is>
          <t>CV. KIANO SUKSES MANDIRI - PPN (JMB)</t>
        </is>
      </c>
      <c r="AI1074" t="n">
        <v>65</v>
      </c>
      <c r="AJ1074" t="inlineStr">
        <is>
          <t>EVANGELINE</t>
        </is>
      </c>
      <c r="AK1074" t="n">
        <v>9</v>
      </c>
      <c r="AL1074" t="inlineStr">
        <is>
          <t>Miss Glam Jambi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EVANGELINE</t>
        </is>
      </c>
      <c r="B1075" s="2">
        <f>"8997017642021"</f>
        <v/>
      </c>
      <c r="C1075" t="inlineStr">
        <is>
          <t>EVANGELINE Eau De Parfum Leo 50ML</t>
        </is>
      </c>
      <c r="D1075" t="inlineStr">
        <is>
          <t>Miss Glam Jambi</t>
        </is>
      </c>
      <c r="E1075" t="n">
        <v>3</v>
      </c>
      <c r="F1075" t="n">
        <v>0.2244</v>
      </c>
      <c r="G1075" t="n">
        <v>0.99</v>
      </c>
      <c r="H1075" t="n">
        <v>2</v>
      </c>
      <c r="I1075" t="n">
        <v>13</v>
      </c>
      <c r="J1075" t="n">
        <v>3</v>
      </c>
      <c r="K1075" t="n">
        <v>4</v>
      </c>
      <c r="L1075" t="n">
        <v>20700</v>
      </c>
      <c r="M1075" t="n">
        <v>26000</v>
      </c>
      <c r="N1075" t="n">
        <v>33</v>
      </c>
      <c r="O1075" t="n">
        <v>0.33</v>
      </c>
      <c r="P1075" t="n">
        <v>1</v>
      </c>
      <c r="Q1075" t="n">
        <v>0.02</v>
      </c>
      <c r="R1075" t="n">
        <v>1</v>
      </c>
      <c r="S1075" t="n">
        <v>5834.400000000001</v>
      </c>
      <c r="T1075" t="n">
        <v>13</v>
      </c>
      <c r="U1075" t="n">
        <v>14</v>
      </c>
      <c r="V1075" t="n">
        <v>30</v>
      </c>
      <c r="W1075" t="n">
        <v>7</v>
      </c>
      <c r="X1075" t="n">
        <v>13.36898395721925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1076</v>
      </c>
      <c r="AG1075" t="n">
        <v>2318</v>
      </c>
      <c r="AH1075" t="inlineStr">
        <is>
          <t>CV. KIANO SUKSES MANDIRI - PPN (JMB)</t>
        </is>
      </c>
      <c r="AI1075" t="n">
        <v>65</v>
      </c>
      <c r="AJ1075" t="inlineStr">
        <is>
          <t>EVANGELINE</t>
        </is>
      </c>
      <c r="AK1075" t="n">
        <v>9</v>
      </c>
      <c r="AL1075" t="inlineStr">
        <is>
          <t>Miss Glam Jambi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EVANGELINE</t>
        </is>
      </c>
      <c r="B1076" s="2">
        <f>"8997017641833"</f>
        <v/>
      </c>
      <c r="C1076" t="inlineStr">
        <is>
          <t>EVANGELINE Eau De Parfum Pink Sakura 100ml</t>
        </is>
      </c>
      <c r="D1076" t="inlineStr">
        <is>
          <t>Miss Glam Jambi</t>
        </is>
      </c>
      <c r="E1076" t="n">
        <v>12</v>
      </c>
      <c r="F1076" t="n">
        <v>0.066</v>
      </c>
      <c r="G1076" t="n">
        <v>0.66</v>
      </c>
      <c r="H1076" t="n">
        <v>2</v>
      </c>
      <c r="I1076" t="n">
        <v>13</v>
      </c>
      <c r="J1076" t="n">
        <v>3</v>
      </c>
      <c r="K1076" t="n">
        <v>0</v>
      </c>
      <c r="L1076" t="n">
        <v>28444</v>
      </c>
      <c r="M1076" t="n">
        <v>34500</v>
      </c>
      <c r="N1076" t="n">
        <v>33</v>
      </c>
      <c r="O1076" t="n">
        <v>0.33</v>
      </c>
      <c r="P1076" t="n">
        <v>1</v>
      </c>
      <c r="Q1076" t="n">
        <v>0.1</v>
      </c>
      <c r="R1076" t="n">
        <v>1</v>
      </c>
      <c r="S1076" t="n">
        <v>2277</v>
      </c>
      <c r="T1076" t="n">
        <v>9</v>
      </c>
      <c r="U1076" t="n">
        <v>10</v>
      </c>
      <c r="V1076" t="n">
        <v>30</v>
      </c>
      <c r="W1076" t="n">
        <v>2</v>
      </c>
      <c r="X1076" t="n">
        <v>181.8181818181818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1076</v>
      </c>
      <c r="AG1076" t="n">
        <v>2318</v>
      </c>
      <c r="AH1076" t="inlineStr">
        <is>
          <t>CV. KIANO SUKSES MANDIRI - PPN (JMB)</t>
        </is>
      </c>
      <c r="AI1076" t="n">
        <v>65</v>
      </c>
      <c r="AJ1076" t="inlineStr">
        <is>
          <t>EVANGELINE</t>
        </is>
      </c>
      <c r="AK1076" t="n">
        <v>9</v>
      </c>
      <c r="AL1076" t="inlineStr">
        <is>
          <t>Miss Glam Jambi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EVANGELINE</t>
        </is>
      </c>
      <c r="B1077" s="2">
        <f>"8997017641826"</f>
        <v/>
      </c>
      <c r="C1077" t="inlineStr">
        <is>
          <t>EVANGELINE Eau De Parfum Red Sakura 100ml</t>
        </is>
      </c>
      <c r="D1077" t="inlineStr">
        <is>
          <t>Miss Glam Jambi</t>
        </is>
      </c>
      <c r="E1077" t="n">
        <v>3</v>
      </c>
      <c r="F1077" t="n">
        <v>0.1617</v>
      </c>
      <c r="G1077" t="n">
        <v>0.99</v>
      </c>
      <c r="H1077" t="n">
        <v>2</v>
      </c>
      <c r="I1077" t="n">
        <v>13</v>
      </c>
      <c r="J1077" t="n">
        <v>3</v>
      </c>
      <c r="K1077" t="n">
        <v>3</v>
      </c>
      <c r="L1077" t="n">
        <v>29783</v>
      </c>
      <c r="M1077" t="n">
        <v>35500</v>
      </c>
      <c r="N1077" t="n">
        <v>33</v>
      </c>
      <c r="O1077" t="n">
        <v>0.33</v>
      </c>
      <c r="P1077" t="n">
        <v>1</v>
      </c>
      <c r="Q1077" t="n">
        <v>0.12</v>
      </c>
      <c r="R1077" t="n">
        <v>1</v>
      </c>
      <c r="S1077" t="n">
        <v>5740.35</v>
      </c>
      <c r="T1077" t="n">
        <v>13</v>
      </c>
      <c r="U1077" t="n">
        <v>14</v>
      </c>
      <c r="V1077" t="n">
        <v>30</v>
      </c>
      <c r="W1077" t="n">
        <v>5</v>
      </c>
      <c r="X1077" t="n">
        <v>18.55287569573284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1076</v>
      </c>
      <c r="AG1077" t="n">
        <v>2318</v>
      </c>
      <c r="AH1077" t="inlineStr">
        <is>
          <t>CV. KIANO SUKSES MANDIRI - PPN (JMB)</t>
        </is>
      </c>
      <c r="AI1077" t="n">
        <v>65</v>
      </c>
      <c r="AJ1077" t="inlineStr">
        <is>
          <t>EVANGELINE</t>
        </is>
      </c>
      <c r="AK1077" t="n">
        <v>9</v>
      </c>
      <c r="AL1077" t="inlineStr">
        <is>
          <t>Miss Glam Jambi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EVANGELINE</t>
        </is>
      </c>
      <c r="B1078" s="2">
        <f>"30400257155"</f>
        <v/>
      </c>
      <c r="C1078" t="inlineStr">
        <is>
          <t>EVANGELINE Eau De Parfum Vanilla Caramel 50ml</t>
        </is>
      </c>
      <c r="D1078" t="inlineStr">
        <is>
          <t>Miss Glam Jambi</t>
        </is>
      </c>
      <c r="E1078" t="n">
        <v>7</v>
      </c>
      <c r="F1078" t="n">
        <v>0.12</v>
      </c>
      <c r="G1078" t="n">
        <v>2</v>
      </c>
      <c r="H1078" t="n">
        <v>2</v>
      </c>
      <c r="I1078" t="n">
        <v>13</v>
      </c>
      <c r="J1078" t="n">
        <v>1</v>
      </c>
      <c r="K1078" t="n">
        <v>0</v>
      </c>
      <c r="L1078" t="n">
        <v>21602</v>
      </c>
      <c r="M1078" t="n">
        <v>26500</v>
      </c>
      <c r="N1078" t="n">
        <v>33</v>
      </c>
      <c r="O1078" t="n">
        <v>0.33</v>
      </c>
      <c r="P1078" t="n">
        <v>0</v>
      </c>
      <c r="Q1078" t="n">
        <v>0.12</v>
      </c>
      <c r="R1078" t="n">
        <v>2</v>
      </c>
      <c r="S1078" t="n">
        <v>3180</v>
      </c>
      <c r="T1078" t="n">
        <v>26</v>
      </c>
      <c r="U1078" t="n">
        <v>27</v>
      </c>
      <c r="V1078" t="n">
        <v>30</v>
      </c>
      <c r="W1078" t="n">
        <v>4</v>
      </c>
      <c r="X1078" t="n">
        <v>58.33333333333334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1076</v>
      </c>
      <c r="AG1078" t="n">
        <v>2318</v>
      </c>
      <c r="AH1078" t="inlineStr">
        <is>
          <t>CV. KIANO SUKSES MANDIRI - PPN (JMB)</t>
        </is>
      </c>
      <c r="AI1078" t="n">
        <v>65</v>
      </c>
      <c r="AJ1078" t="inlineStr">
        <is>
          <t>EVANGELINE</t>
        </is>
      </c>
      <c r="AK1078" t="n">
        <v>9</v>
      </c>
      <c r="AL1078" t="inlineStr">
        <is>
          <t>Miss Glam Jambi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EVANGELINE</t>
        </is>
      </c>
      <c r="B1079" s="2">
        <f>"30400257051"</f>
        <v/>
      </c>
      <c r="C1079" t="inlineStr">
        <is>
          <t>EVANGELINE Eau De Parfum Vanilla Gelato 50ml</t>
        </is>
      </c>
      <c r="D1079" t="inlineStr">
        <is>
          <t>Miss Glam Jambi</t>
        </is>
      </c>
      <c r="E1079" t="n">
        <v>6</v>
      </c>
      <c r="F1079" t="n">
        <v>0.07000000000000001</v>
      </c>
      <c r="G1079" t="n">
        <v>1</v>
      </c>
      <c r="H1079" t="n">
        <v>2</v>
      </c>
      <c r="I1079" t="n">
        <v>13</v>
      </c>
      <c r="J1079" t="n">
        <v>1</v>
      </c>
      <c r="K1079" t="n">
        <v>0</v>
      </c>
      <c r="L1079" t="n">
        <v>22500</v>
      </c>
      <c r="M1079" t="n">
        <v>26500</v>
      </c>
      <c r="N1079" t="n">
        <v>33</v>
      </c>
      <c r="O1079" t="n">
        <v>0.33</v>
      </c>
      <c r="P1079" t="n">
        <v>0</v>
      </c>
      <c r="Q1079" t="n">
        <v>0.07000000000000001</v>
      </c>
      <c r="R1079" t="n">
        <v>1</v>
      </c>
      <c r="S1079" t="n">
        <v>1855</v>
      </c>
      <c r="T1079" t="n">
        <v>13</v>
      </c>
      <c r="U1079" t="n">
        <v>14</v>
      </c>
      <c r="V1079" t="n">
        <v>30</v>
      </c>
      <c r="W1079" t="n">
        <v>3</v>
      </c>
      <c r="X1079" t="n">
        <v>85.71428571428571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1076</v>
      </c>
      <c r="AG1079" t="n">
        <v>2318</v>
      </c>
      <c r="AH1079" t="inlineStr">
        <is>
          <t>CV. KIANO SUKSES MANDIRI - PPN (JMB)</t>
        </is>
      </c>
      <c r="AI1079" t="n">
        <v>65</v>
      </c>
      <c r="AJ1079" t="inlineStr">
        <is>
          <t>EVANGELINE</t>
        </is>
      </c>
      <c r="AK1079" t="n">
        <v>9</v>
      </c>
      <c r="AL1079" t="inlineStr">
        <is>
          <t>Miss Glam Jambi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EVANGELINE</t>
        </is>
      </c>
      <c r="B1080" s="2">
        <f>"30400256923"</f>
        <v/>
      </c>
      <c r="C1080" t="inlineStr">
        <is>
          <t>EVANGELINE Eau De Parfum Vanilla Powder 50ml</t>
        </is>
      </c>
      <c r="D1080" t="inlineStr">
        <is>
          <t>Miss Glam Jambi</t>
        </is>
      </c>
      <c r="E1080" t="n">
        <v>3</v>
      </c>
      <c r="F1080" t="n">
        <v>0.0231</v>
      </c>
      <c r="G1080" t="n">
        <v>0.33</v>
      </c>
      <c r="H1080" t="n">
        <v>2</v>
      </c>
      <c r="I1080" t="n">
        <v>13</v>
      </c>
      <c r="J1080" t="n">
        <v>1</v>
      </c>
      <c r="K1080" t="n">
        <v>0</v>
      </c>
      <c r="L1080" t="n">
        <v>22800</v>
      </c>
      <c r="M1080" t="n">
        <v>26500</v>
      </c>
      <c r="N1080" t="n">
        <v>33</v>
      </c>
      <c r="O1080" t="n">
        <v>0.33</v>
      </c>
      <c r="P1080" t="n">
        <v>1</v>
      </c>
      <c r="Q1080" t="n">
        <v>0.02</v>
      </c>
      <c r="R1080" t="n">
        <v>1</v>
      </c>
      <c r="S1080" t="n">
        <v>612.1500000000001</v>
      </c>
      <c r="T1080" t="n">
        <v>5</v>
      </c>
      <c r="U1080" t="n">
        <v>6</v>
      </c>
      <c r="V1080" t="n">
        <v>30</v>
      </c>
      <c r="W1080" t="n">
        <v>1</v>
      </c>
      <c r="X1080" t="n">
        <v>129.8701298701299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1076</v>
      </c>
      <c r="AG1080" t="n">
        <v>2318</v>
      </c>
      <c r="AH1080" t="inlineStr">
        <is>
          <t>CV. KIANO SUKSES MANDIRI - PPN (JMB)</t>
        </is>
      </c>
      <c r="AI1080" t="n">
        <v>65</v>
      </c>
      <c r="AJ1080" t="inlineStr">
        <is>
          <t>EVANGELINE</t>
        </is>
      </c>
      <c r="AK1080" t="n">
        <v>9</v>
      </c>
      <c r="AL1080" t="inlineStr">
        <is>
          <t>Miss Glam Jambi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EVANGELINE</t>
        </is>
      </c>
      <c r="B1081" s="2">
        <f>"30400257439"</f>
        <v/>
      </c>
      <c r="C1081" t="inlineStr">
        <is>
          <t>EVANGELINE Eau De Parfum Vanilla Rose 50ml</t>
        </is>
      </c>
      <c r="D1081" t="inlineStr">
        <is>
          <t>Miss Glam Jambi</t>
        </is>
      </c>
      <c r="E1081" t="n">
        <v>5</v>
      </c>
      <c r="F1081" t="n">
        <v>0.05</v>
      </c>
      <c r="G1081" t="n">
        <v>1</v>
      </c>
      <c r="H1081" t="n">
        <v>2</v>
      </c>
      <c r="I1081" t="n">
        <v>13</v>
      </c>
      <c r="J1081" t="n">
        <v>1</v>
      </c>
      <c r="K1081" t="n">
        <v>0</v>
      </c>
      <c r="L1081" t="n">
        <v>22500</v>
      </c>
      <c r="M1081" t="n">
        <v>26500</v>
      </c>
      <c r="N1081" t="n">
        <v>33</v>
      </c>
      <c r="O1081" t="n">
        <v>0.33</v>
      </c>
      <c r="P1081" t="n">
        <v>0</v>
      </c>
      <c r="Q1081" t="n">
        <v>0.05</v>
      </c>
      <c r="R1081" t="n">
        <v>1</v>
      </c>
      <c r="S1081" t="n">
        <v>1325</v>
      </c>
      <c r="T1081" t="n">
        <v>13</v>
      </c>
      <c r="U1081" t="n">
        <v>14</v>
      </c>
      <c r="V1081" t="n">
        <v>30</v>
      </c>
      <c r="W1081" t="n">
        <v>2</v>
      </c>
      <c r="X1081" t="n">
        <v>100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1076</v>
      </c>
      <c r="AG1081" t="n">
        <v>2318</v>
      </c>
      <c r="AH1081" t="inlineStr">
        <is>
          <t>CV. KIANO SUKSES MANDIRI - PPN (JMB)</t>
        </is>
      </c>
      <c r="AI1081" t="n">
        <v>65</v>
      </c>
      <c r="AJ1081" t="inlineStr">
        <is>
          <t>EVANGELINE</t>
        </is>
      </c>
      <c r="AK1081" t="n">
        <v>9</v>
      </c>
      <c r="AL1081" t="inlineStr">
        <is>
          <t>Miss Glam Jambi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EVANGELINE</t>
        </is>
      </c>
      <c r="B1082" s="2">
        <f>"8997017642915"</f>
        <v/>
      </c>
      <c r="C1082" t="inlineStr">
        <is>
          <t>EVANGELINE Eau De Parfum Violet Musk 100ml</t>
        </is>
      </c>
      <c r="D1082" t="inlineStr">
        <is>
          <t>Miss Glam Jambi</t>
        </is>
      </c>
      <c r="E1082" t="n">
        <v>6</v>
      </c>
      <c r="F1082" t="n">
        <v>0.009900000000000001</v>
      </c>
      <c r="G1082" t="n">
        <v>0.33</v>
      </c>
      <c r="H1082" t="n">
        <v>2</v>
      </c>
      <c r="I1082" t="n">
        <v>13</v>
      </c>
      <c r="J1082" t="n">
        <v>3</v>
      </c>
      <c r="K1082" t="n">
        <v>0</v>
      </c>
      <c r="L1082" t="n">
        <v>29700</v>
      </c>
      <c r="M1082" t="n">
        <v>34000</v>
      </c>
      <c r="N1082" t="n">
        <v>33</v>
      </c>
      <c r="O1082" t="n">
        <v>0.33</v>
      </c>
      <c r="P1082" t="n">
        <v>1</v>
      </c>
      <c r="Q1082" t="n">
        <v>0.02</v>
      </c>
      <c r="R1082" t="n">
        <v>1</v>
      </c>
      <c r="S1082" t="n">
        <v>336.6</v>
      </c>
      <c r="T1082" t="n">
        <v>5</v>
      </c>
      <c r="U1082" t="n">
        <v>6</v>
      </c>
      <c r="V1082" t="n">
        <v>30</v>
      </c>
      <c r="W1082" t="n">
        <v>1</v>
      </c>
      <c r="X1082" t="n">
        <v>606.060606060606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1076</v>
      </c>
      <c r="AG1082" t="n">
        <v>2318</v>
      </c>
      <c r="AH1082" t="inlineStr">
        <is>
          <t>CV. KIANO SUKSES MANDIRI - PPN (JMB)</t>
        </is>
      </c>
      <c r="AI1082" t="n">
        <v>65</v>
      </c>
      <c r="AJ1082" t="inlineStr">
        <is>
          <t>EVANGELINE</t>
        </is>
      </c>
      <c r="AK1082" t="n">
        <v>9</v>
      </c>
      <c r="AL1082" t="inlineStr">
        <is>
          <t>Miss Glam Jambi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EVANGELINE</t>
        </is>
      </c>
      <c r="B1083" s="2">
        <f>"8997017642038"</f>
        <v/>
      </c>
      <c r="C1083" t="inlineStr">
        <is>
          <t>EVANGELINE Eau De Parfum Virgo 50ml</t>
        </is>
      </c>
      <c r="D1083" t="inlineStr">
        <is>
          <t>Miss Glam Jambi</t>
        </is>
      </c>
      <c r="E1083" t="n">
        <v>9</v>
      </c>
      <c r="F1083" t="n">
        <v>0.09569999999999999</v>
      </c>
      <c r="G1083" t="n">
        <v>0.66</v>
      </c>
      <c r="H1083" t="n">
        <v>2</v>
      </c>
      <c r="I1083" t="n">
        <v>13</v>
      </c>
      <c r="J1083" t="n">
        <v>3</v>
      </c>
      <c r="K1083" t="n">
        <v>0</v>
      </c>
      <c r="L1083" t="n">
        <v>20700</v>
      </c>
      <c r="M1083" t="n">
        <v>26000</v>
      </c>
      <c r="N1083" t="n">
        <v>33</v>
      </c>
      <c r="O1083" t="n">
        <v>0.33</v>
      </c>
      <c r="P1083" t="n">
        <v>1</v>
      </c>
      <c r="Q1083" t="n">
        <v>0.02</v>
      </c>
      <c r="R1083" t="n">
        <v>1</v>
      </c>
      <c r="S1083" t="n">
        <v>2488.2</v>
      </c>
      <c r="T1083" t="n">
        <v>9</v>
      </c>
      <c r="U1083" t="n">
        <v>10</v>
      </c>
      <c r="V1083" t="n">
        <v>30</v>
      </c>
      <c r="W1083" t="n">
        <v>3</v>
      </c>
      <c r="X1083" t="n">
        <v>94.04388714733543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1076</v>
      </c>
      <c r="AG1083" t="n">
        <v>2318</v>
      </c>
      <c r="AH1083" t="inlineStr">
        <is>
          <t>CV. KIANO SUKSES MANDIRI - PPN (JMB)</t>
        </is>
      </c>
      <c r="AI1083" t="n">
        <v>65</v>
      </c>
      <c r="AJ1083" t="inlineStr">
        <is>
          <t>EVANGELINE</t>
        </is>
      </c>
      <c r="AK1083" t="n">
        <v>9</v>
      </c>
      <c r="AL1083" t="inlineStr">
        <is>
          <t>Miss Glam Jambi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EVANGELINE</t>
        </is>
      </c>
      <c r="B1084" s="2">
        <f>"8997017642878"</f>
        <v/>
      </c>
      <c r="C1084" t="inlineStr">
        <is>
          <t>EVANGELINE Edc Black Musk 100ml</t>
        </is>
      </c>
      <c r="D1084" t="inlineStr">
        <is>
          <t>Miss Glam Jambi</t>
        </is>
      </c>
      <c r="E1084" t="n">
        <v>4</v>
      </c>
      <c r="F1084" t="n">
        <v>0.1551</v>
      </c>
      <c r="G1084" t="n">
        <v>0.66</v>
      </c>
      <c r="H1084" t="n">
        <v>2</v>
      </c>
      <c r="I1084" t="n">
        <v>13</v>
      </c>
      <c r="J1084" t="n">
        <v>3</v>
      </c>
      <c r="K1084" t="n">
        <v>3</v>
      </c>
      <c r="L1084" t="n">
        <v>29700</v>
      </c>
      <c r="M1084" t="n">
        <v>34500</v>
      </c>
      <c r="N1084" t="n">
        <v>33</v>
      </c>
      <c r="O1084" t="n">
        <v>0.33</v>
      </c>
      <c r="P1084" t="n">
        <v>1</v>
      </c>
      <c r="Q1084" t="n">
        <v>0.05</v>
      </c>
      <c r="R1084" t="n">
        <v>2</v>
      </c>
      <c r="S1084" t="n">
        <v>5350.95</v>
      </c>
      <c r="T1084" t="n">
        <v>9</v>
      </c>
      <c r="U1084" t="n">
        <v>10</v>
      </c>
      <c r="V1084" t="n">
        <v>30</v>
      </c>
      <c r="W1084" t="n">
        <v>5</v>
      </c>
      <c r="X1084" t="n">
        <v>25.78981302385558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1076</v>
      </c>
      <c r="AG1084" t="n">
        <v>2318</v>
      </c>
      <c r="AH1084" t="inlineStr">
        <is>
          <t>CV. KIANO SUKSES MANDIRI - PPN (JMB)</t>
        </is>
      </c>
      <c r="AI1084" t="n">
        <v>65</v>
      </c>
      <c r="AJ1084" t="inlineStr">
        <is>
          <t>EVANGELINE</t>
        </is>
      </c>
      <c r="AK1084" t="n">
        <v>9</v>
      </c>
      <c r="AL1084" t="inlineStr">
        <is>
          <t>Miss Glam Jambi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"8997017642212"</f>
        <v/>
      </c>
      <c r="C1085" t="inlineStr">
        <is>
          <t>EVANGELINE Edc Bloom Series Lavie 100ml</t>
        </is>
      </c>
      <c r="D1085" t="inlineStr">
        <is>
          <t>Miss Glam Jambi</t>
        </is>
      </c>
      <c r="E1085" t="n">
        <v>15</v>
      </c>
      <c r="F1085" t="n">
        <v>0.1551</v>
      </c>
      <c r="G1085" t="n">
        <v>1.32</v>
      </c>
      <c r="H1085" t="n">
        <v>2</v>
      </c>
      <c r="I1085" t="n">
        <v>13</v>
      </c>
      <c r="J1085" t="n">
        <v>3</v>
      </c>
      <c r="K1085" t="n">
        <v>0</v>
      </c>
      <c r="L1085" t="n">
        <v>14850</v>
      </c>
      <c r="M1085" t="n">
        <v>19000</v>
      </c>
      <c r="N1085" t="n">
        <v>33</v>
      </c>
      <c r="O1085" t="n">
        <v>0.33</v>
      </c>
      <c r="P1085" t="n">
        <v>1</v>
      </c>
      <c r="Q1085" t="n">
        <v>0.05</v>
      </c>
      <c r="R1085" t="n">
        <v>1</v>
      </c>
      <c r="S1085" t="n">
        <v>2946.9</v>
      </c>
      <c r="T1085" t="n">
        <v>17</v>
      </c>
      <c r="U1085" t="n">
        <v>18</v>
      </c>
      <c r="V1085" t="n">
        <v>30</v>
      </c>
      <c r="W1085" t="n">
        <v>5</v>
      </c>
      <c r="X1085" t="n">
        <v>96.71179883945842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1076</v>
      </c>
      <c r="AG1085" t="n">
        <v>2318</v>
      </c>
      <c r="AH1085" t="inlineStr">
        <is>
          <t>CV. KIANO SUKSES MANDIRI - PPN (JMB)</t>
        </is>
      </c>
      <c r="AI1085" t="n">
        <v>65</v>
      </c>
      <c r="AJ1085" t="inlineStr">
        <is>
          <t>EVANGELINE</t>
        </is>
      </c>
      <c r="AK1085" t="n">
        <v>9</v>
      </c>
      <c r="AL1085" t="inlineStr">
        <is>
          <t>Miss Glam Jambi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"8997017642922"</f>
        <v/>
      </c>
      <c r="C1086" t="inlineStr">
        <is>
          <t>EVANGELINE Edp White Musk 100ml</t>
        </is>
      </c>
      <c r="D1086" t="inlineStr">
        <is>
          <t>Miss Glam Jambi</t>
        </is>
      </c>
      <c r="E1086" t="n">
        <v>3</v>
      </c>
      <c r="F1086" t="n">
        <v>0.08910000000000001</v>
      </c>
      <c r="G1086" t="n">
        <v>0.33</v>
      </c>
      <c r="H1086" t="n">
        <v>2</v>
      </c>
      <c r="I1086" t="n">
        <v>13</v>
      </c>
      <c r="J1086" t="n">
        <v>3</v>
      </c>
      <c r="K1086" t="n">
        <v>0</v>
      </c>
      <c r="L1086" t="n">
        <v>29700</v>
      </c>
      <c r="M1086" t="n">
        <v>35500</v>
      </c>
      <c r="N1086" t="n">
        <v>33</v>
      </c>
      <c r="O1086" t="n">
        <v>0.33</v>
      </c>
      <c r="P1086" t="n">
        <v>1</v>
      </c>
      <c r="Q1086" t="n">
        <v>0.05</v>
      </c>
      <c r="R1086" t="n">
        <v>1</v>
      </c>
      <c r="S1086" t="n">
        <v>3163.050000000001</v>
      </c>
      <c r="T1086" t="n">
        <v>5</v>
      </c>
      <c r="U1086" t="n">
        <v>6</v>
      </c>
      <c r="V1086" t="n">
        <v>30</v>
      </c>
      <c r="W1086" t="n">
        <v>3</v>
      </c>
      <c r="X1086" t="n">
        <v>33.67003367003367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1076</v>
      </c>
      <c r="AG1086" t="n">
        <v>2318</v>
      </c>
      <c r="AH1086" t="inlineStr">
        <is>
          <t>CV. KIANO SUKSES MANDIRI - PPN (JMB)</t>
        </is>
      </c>
      <c r="AI1086" t="n">
        <v>65</v>
      </c>
      <c r="AJ1086" t="inlineStr">
        <is>
          <t>EVANGELINE</t>
        </is>
      </c>
      <c r="AK1086" t="n">
        <v>9</v>
      </c>
      <c r="AL1086" t="inlineStr">
        <is>
          <t>Miss Glam Jambi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"30400362040"</f>
        <v/>
      </c>
      <c r="C1087" t="inlineStr">
        <is>
          <t>EVANGELINE Fine Fragrance Mist Ice Sugar 250ml</t>
        </is>
      </c>
      <c r="D1087" t="inlineStr">
        <is>
          <t>Miss Glam Jambi</t>
        </is>
      </c>
      <c r="E1087" t="n">
        <v>5</v>
      </c>
      <c r="F1087" t="n">
        <v>0.02</v>
      </c>
      <c r="G1087" t="n">
        <v>1</v>
      </c>
      <c r="H1087" t="n">
        <v>2</v>
      </c>
      <c r="I1087" t="n">
        <v>13</v>
      </c>
      <c r="J1087" t="n">
        <v>1</v>
      </c>
      <c r="K1087" t="n">
        <v>0</v>
      </c>
      <c r="L1087" t="n">
        <v>36000</v>
      </c>
      <c r="M1087" t="n">
        <v>45000</v>
      </c>
      <c r="N1087" t="n">
        <v>33</v>
      </c>
      <c r="O1087" t="n">
        <v>0.33</v>
      </c>
      <c r="P1087" t="n">
        <v>0</v>
      </c>
      <c r="Q1087" t="n">
        <v>0.02</v>
      </c>
      <c r="R1087" t="n">
        <v>1</v>
      </c>
      <c r="S1087" t="n">
        <v>900</v>
      </c>
      <c r="T1087" t="n">
        <v>13</v>
      </c>
      <c r="U1087" t="n">
        <v>14</v>
      </c>
      <c r="V1087" t="n">
        <v>30</v>
      </c>
      <c r="W1087" t="n">
        <v>1</v>
      </c>
      <c r="X1087" t="n">
        <v>250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1076</v>
      </c>
      <c r="AG1087" t="n">
        <v>2318</v>
      </c>
      <c r="AH1087" t="inlineStr">
        <is>
          <t>CV. KIANO SUKSES MANDIRI - PPN (JMB)</t>
        </is>
      </c>
      <c r="AI1087" t="n">
        <v>65</v>
      </c>
      <c r="AJ1087" t="inlineStr">
        <is>
          <t>EVANGELINE</t>
        </is>
      </c>
      <c r="AK1087" t="n">
        <v>9</v>
      </c>
      <c r="AL1087" t="inlineStr">
        <is>
          <t>Miss Glam Jambi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"30400362128"</f>
        <v/>
      </c>
      <c r="C1088" t="inlineStr">
        <is>
          <t>EVANGELINE Fine Fragrance Mist Warm Vanilla 250ml</t>
        </is>
      </c>
      <c r="D1088" t="inlineStr">
        <is>
          <t>Miss Glam Jambi</t>
        </is>
      </c>
      <c r="E1088" t="n">
        <v>7</v>
      </c>
      <c r="F1088" t="n">
        <v>0.08</v>
      </c>
      <c r="G1088" t="n">
        <v>1</v>
      </c>
      <c r="H1088" t="n">
        <v>2</v>
      </c>
      <c r="I1088" t="n">
        <v>13</v>
      </c>
      <c r="J1088" t="n">
        <v>1</v>
      </c>
      <c r="K1088" t="n">
        <v>0</v>
      </c>
      <c r="L1088" t="n">
        <v>34369</v>
      </c>
      <c r="M1088" t="n">
        <v>45000</v>
      </c>
      <c r="N1088" t="n">
        <v>33</v>
      </c>
      <c r="O1088" t="n">
        <v>0.33</v>
      </c>
      <c r="P1088" t="n">
        <v>0</v>
      </c>
      <c r="Q1088" t="n">
        <v>0.08</v>
      </c>
      <c r="R1088" t="n">
        <v>1</v>
      </c>
      <c r="S1088" t="n">
        <v>3600</v>
      </c>
      <c r="T1088" t="n">
        <v>13</v>
      </c>
      <c r="U1088" t="n">
        <v>14</v>
      </c>
      <c r="V1088" t="n">
        <v>30</v>
      </c>
      <c r="W1088" t="n">
        <v>3</v>
      </c>
      <c r="X1088" t="n">
        <v>87.5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1076</v>
      </c>
      <c r="AG1088" t="n">
        <v>2318</v>
      </c>
      <c r="AH1088" t="inlineStr">
        <is>
          <t>CV. KIANO SUKSES MANDIRI - PPN (JMB)</t>
        </is>
      </c>
      <c r="AI1088" t="n">
        <v>65</v>
      </c>
      <c r="AJ1088" t="inlineStr">
        <is>
          <t>EVANGELINE</t>
        </is>
      </c>
      <c r="AK1088" t="n">
        <v>9</v>
      </c>
      <c r="AL1088" t="inlineStr">
        <is>
          <t>Miss Glam Jambi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"8997017643196"</f>
        <v/>
      </c>
      <c r="C1089" t="inlineStr">
        <is>
          <t>EVANGELINE Lana Roll On 50ml</t>
        </is>
      </c>
      <c r="D1089" t="inlineStr">
        <is>
          <t>Miss Glam Jambi</t>
        </is>
      </c>
      <c r="E1089" t="n">
        <v>10</v>
      </c>
      <c r="F1089" t="n">
        <v>0.0825</v>
      </c>
      <c r="G1089" t="n">
        <v>0.99</v>
      </c>
      <c r="H1089" t="n">
        <v>2</v>
      </c>
      <c r="I1089" t="n">
        <v>13</v>
      </c>
      <c r="J1089" t="n">
        <v>3</v>
      </c>
      <c r="K1089" t="n">
        <v>0</v>
      </c>
      <c r="L1089" t="n">
        <v>10880</v>
      </c>
      <c r="M1089" t="n">
        <v>15000</v>
      </c>
      <c r="N1089" t="n">
        <v>33</v>
      </c>
      <c r="O1089" t="n">
        <v>0.33</v>
      </c>
      <c r="P1089" t="n">
        <v>1</v>
      </c>
      <c r="Q1089" t="n">
        <v>0.1</v>
      </c>
      <c r="R1089" t="n">
        <v>1</v>
      </c>
      <c r="S1089" t="n">
        <v>1237.5</v>
      </c>
      <c r="T1089" t="n">
        <v>13</v>
      </c>
      <c r="U1089" t="n">
        <v>14</v>
      </c>
      <c r="V1089" t="n">
        <v>30</v>
      </c>
      <c r="W1089" t="n">
        <v>3</v>
      </c>
      <c r="X1089" t="n">
        <v>121.2121212121212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1076</v>
      </c>
      <c r="AG1089" t="n">
        <v>2318</v>
      </c>
      <c r="AH1089" t="inlineStr">
        <is>
          <t>CV. KIANO SUKSES MANDIRI - PPN (JMB)</t>
        </is>
      </c>
      <c r="AI1089" t="n">
        <v>65</v>
      </c>
      <c r="AJ1089" t="inlineStr">
        <is>
          <t>EVANGELINE</t>
        </is>
      </c>
      <c r="AK1089" t="n">
        <v>9</v>
      </c>
      <c r="AL1089" t="inlineStr">
        <is>
          <t>Miss Glam Jambi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"8997017643202"</f>
        <v/>
      </c>
      <c r="C1090" t="inlineStr">
        <is>
          <t>EVANGELINE Miya Roll On 50ml</t>
        </is>
      </c>
      <c r="D1090" t="inlineStr">
        <is>
          <t>Miss Glam Jambi</t>
        </is>
      </c>
      <c r="E1090" t="n">
        <v>13</v>
      </c>
      <c r="F1090" t="n">
        <v>0.1056</v>
      </c>
      <c r="G1090" t="n">
        <v>1.32</v>
      </c>
      <c r="H1090" t="n">
        <v>2</v>
      </c>
      <c r="I1090" t="n">
        <v>13</v>
      </c>
      <c r="J1090" t="n">
        <v>3</v>
      </c>
      <c r="K1090" t="n">
        <v>0</v>
      </c>
      <c r="L1090" t="n">
        <v>10880</v>
      </c>
      <c r="M1090" t="n">
        <v>15100</v>
      </c>
      <c r="N1090" t="n">
        <v>33</v>
      </c>
      <c r="O1090" t="n">
        <v>0.33</v>
      </c>
      <c r="P1090" t="n">
        <v>1</v>
      </c>
      <c r="Q1090" t="n">
        <v>0.05</v>
      </c>
      <c r="R1090" t="n">
        <v>2</v>
      </c>
      <c r="S1090" t="n">
        <v>1594.56</v>
      </c>
      <c r="T1090" t="n">
        <v>17</v>
      </c>
      <c r="U1090" t="n">
        <v>18</v>
      </c>
      <c r="V1090" t="n">
        <v>30</v>
      </c>
      <c r="W1090" t="n">
        <v>4</v>
      </c>
      <c r="X1090" t="n">
        <v>123.1060606060606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1076</v>
      </c>
      <c r="AG1090" t="n">
        <v>2318</v>
      </c>
      <c r="AH1090" t="inlineStr">
        <is>
          <t>CV. KIANO SUKSES MANDIRI - PPN (JMB)</t>
        </is>
      </c>
      <c r="AI1090" t="n">
        <v>65</v>
      </c>
      <c r="AJ1090" t="inlineStr">
        <is>
          <t>EVANGELINE</t>
        </is>
      </c>
      <c r="AK1090" t="n">
        <v>9</v>
      </c>
      <c r="AL1090" t="inlineStr">
        <is>
          <t>Miss Glam Jambi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"8997017643219"</f>
        <v/>
      </c>
      <c r="C1091" t="inlineStr">
        <is>
          <t>EVANGELINE Mori Roll On 50ml</t>
        </is>
      </c>
      <c r="D1091" t="inlineStr">
        <is>
          <t>Miss Glam Jambi</t>
        </is>
      </c>
      <c r="E1091" t="n">
        <v>12</v>
      </c>
      <c r="F1091" t="n">
        <v>0.1518</v>
      </c>
      <c r="G1091" t="n">
        <v>0.99</v>
      </c>
      <c r="H1091" t="n">
        <v>2</v>
      </c>
      <c r="I1091" t="n">
        <v>13</v>
      </c>
      <c r="J1091" t="n">
        <v>3</v>
      </c>
      <c r="K1091" t="n">
        <v>0</v>
      </c>
      <c r="L1091" t="n">
        <v>10837</v>
      </c>
      <c r="M1091" t="n">
        <v>15000</v>
      </c>
      <c r="N1091" t="n">
        <v>33</v>
      </c>
      <c r="O1091" t="n">
        <v>0.33</v>
      </c>
      <c r="P1091" t="n">
        <v>1</v>
      </c>
      <c r="Q1091" t="n">
        <v>0.08</v>
      </c>
      <c r="R1091" t="n">
        <v>1</v>
      </c>
      <c r="S1091" t="n">
        <v>2277</v>
      </c>
      <c r="T1091" t="n">
        <v>13</v>
      </c>
      <c r="U1091" t="n">
        <v>14</v>
      </c>
      <c r="V1091" t="n">
        <v>30</v>
      </c>
      <c r="W1091" t="n">
        <v>5</v>
      </c>
      <c r="X1091" t="n">
        <v>79.05138339920947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1076</v>
      </c>
      <c r="AG1091" t="n">
        <v>2318</v>
      </c>
      <c r="AH1091" t="inlineStr">
        <is>
          <t>CV. KIANO SUKSES MANDIRI - PPN (JMB)</t>
        </is>
      </c>
      <c r="AI1091" t="n">
        <v>65</v>
      </c>
      <c r="AJ1091" t="inlineStr">
        <is>
          <t>EVANGELINE</t>
        </is>
      </c>
      <c r="AK1091" t="n">
        <v>9</v>
      </c>
      <c r="AL1091" t="inlineStr">
        <is>
          <t>Miss Glam Jambi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"8997017641666"</f>
        <v/>
      </c>
      <c r="C1092" t="inlineStr">
        <is>
          <t>EVANGELINE Parfum Wanita EDP Grand  60ml 4.8</t>
        </is>
      </c>
      <c r="D1092" t="inlineStr">
        <is>
          <t>Miss Glam Jambi</t>
        </is>
      </c>
      <c r="E1092" t="n">
        <v>0</v>
      </c>
      <c r="F1092" t="n">
        <v>0.04</v>
      </c>
      <c r="G1092" t="n">
        <v>1</v>
      </c>
      <c r="H1092" t="n">
        <v>2</v>
      </c>
      <c r="I1092" t="n">
        <v>13</v>
      </c>
      <c r="J1092" t="n">
        <v>3</v>
      </c>
      <c r="K1092" t="n">
        <v>3</v>
      </c>
      <c r="L1092" t="n">
        <v>22500</v>
      </c>
      <c r="M1092" t="n">
        <v>29500</v>
      </c>
      <c r="N1092" t="n">
        <v>33</v>
      </c>
      <c r="O1092" t="n">
        <v>0.33</v>
      </c>
      <c r="P1092" t="n">
        <v>0</v>
      </c>
      <c r="Q1092" t="n">
        <v>0.04</v>
      </c>
      <c r="R1092" t="n">
        <v>1</v>
      </c>
      <c r="S1092" t="n">
        <v>1180</v>
      </c>
      <c r="T1092" t="n">
        <v>13</v>
      </c>
      <c r="U1092" t="n">
        <v>14</v>
      </c>
      <c r="V1092" t="n">
        <v>30</v>
      </c>
      <c r="W1092" t="n">
        <v>2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1076</v>
      </c>
      <c r="AG1092" t="n">
        <v>2318</v>
      </c>
      <c r="AH1092" t="inlineStr">
        <is>
          <t>CV. KIANO SUKSES MANDIRI - PPN (JMB)</t>
        </is>
      </c>
      <c r="AI1092" t="n">
        <v>65</v>
      </c>
      <c r="AJ1092" t="inlineStr">
        <is>
          <t>EVANGELINE</t>
        </is>
      </c>
      <c r="AK1092" t="n">
        <v>9</v>
      </c>
      <c r="AL1092" t="inlineStr">
        <is>
          <t>Miss Glam Jambi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"8997017643332"</f>
        <v/>
      </c>
      <c r="C1093" t="inlineStr">
        <is>
          <t>EVANGELINE Premium Baccarat 100ml</t>
        </is>
      </c>
      <c r="D1093" t="inlineStr">
        <is>
          <t>Miss Glam Jambi</t>
        </is>
      </c>
      <c r="E1093" t="n">
        <v>4</v>
      </c>
      <c r="F1093" t="n">
        <v>0.06270000000000001</v>
      </c>
      <c r="G1093" t="n">
        <v>0.66</v>
      </c>
      <c r="H1093" t="n">
        <v>2</v>
      </c>
      <c r="I1093" t="n">
        <v>13</v>
      </c>
      <c r="J1093" t="n">
        <v>3</v>
      </c>
      <c r="K1093" t="n">
        <v>0</v>
      </c>
      <c r="L1093" t="n">
        <v>29700</v>
      </c>
      <c r="M1093" t="n">
        <v>34000</v>
      </c>
      <c r="N1093" t="n">
        <v>33</v>
      </c>
      <c r="O1093" t="n">
        <v>0.33</v>
      </c>
      <c r="P1093" t="n">
        <v>1</v>
      </c>
      <c r="Q1093" t="n">
        <v>0.03</v>
      </c>
      <c r="R1093" t="n">
        <v>1</v>
      </c>
      <c r="S1093" t="n">
        <v>2131.8</v>
      </c>
      <c r="T1093" t="n">
        <v>9</v>
      </c>
      <c r="U1093" t="n">
        <v>10</v>
      </c>
      <c r="V1093" t="n">
        <v>30</v>
      </c>
      <c r="W1093" t="n">
        <v>2</v>
      </c>
      <c r="X1093" t="n">
        <v>63.79585326953747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1076</v>
      </c>
      <c r="AG1093" t="n">
        <v>2318</v>
      </c>
      <c r="AH1093" t="inlineStr">
        <is>
          <t>CV. KIANO SUKSES MANDIRI - PPN (JMB)</t>
        </is>
      </c>
      <c r="AI1093" t="n">
        <v>65</v>
      </c>
      <c r="AJ1093" t="inlineStr">
        <is>
          <t>EVANGELINE</t>
        </is>
      </c>
      <c r="AK1093" t="n">
        <v>9</v>
      </c>
      <c r="AL1093" t="inlineStr">
        <is>
          <t>Miss Glam Jambi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"8997017643394"</f>
        <v/>
      </c>
      <c r="C1094" t="inlineStr">
        <is>
          <t>EVANGELINE Premium Candy World 100ml</t>
        </is>
      </c>
      <c r="D1094" t="inlineStr">
        <is>
          <t>Miss Glam Jambi</t>
        </is>
      </c>
      <c r="E1094" t="n">
        <v>2</v>
      </c>
      <c r="F1094" t="n">
        <v>0.2673</v>
      </c>
      <c r="G1094" t="n">
        <v>1.32</v>
      </c>
      <c r="H1094" t="n">
        <v>2</v>
      </c>
      <c r="I1094" t="n">
        <v>13</v>
      </c>
      <c r="J1094" t="n">
        <v>3</v>
      </c>
      <c r="K1094" t="n">
        <v>5</v>
      </c>
      <c r="L1094" t="n">
        <v>29700</v>
      </c>
      <c r="M1094" t="n">
        <v>34000</v>
      </c>
      <c r="N1094" t="n">
        <v>33</v>
      </c>
      <c r="O1094" t="n">
        <v>0.33</v>
      </c>
      <c r="P1094" t="n">
        <v>1</v>
      </c>
      <c r="Q1094" t="n">
        <v>0.12</v>
      </c>
      <c r="R1094" t="n">
        <v>2</v>
      </c>
      <c r="S1094" t="n">
        <v>9088.200000000001</v>
      </c>
      <c r="T1094" t="n">
        <v>17</v>
      </c>
      <c r="U1094" t="n">
        <v>18</v>
      </c>
      <c r="V1094" t="n">
        <v>30</v>
      </c>
      <c r="W1094" t="n">
        <v>9</v>
      </c>
      <c r="X1094" t="n">
        <v>7.482229704451925</v>
      </c>
      <c r="Y1094" t="n">
        <v>1</v>
      </c>
      <c r="Z1094" t="n">
        <v>2</v>
      </c>
      <c r="AA1094" t="n">
        <v>1</v>
      </c>
      <c r="AB1094" t="n">
        <v>1</v>
      </c>
      <c r="AC1094" t="n">
        <v>3</v>
      </c>
      <c r="AD1094" t="n">
        <v>29700</v>
      </c>
      <c r="AE1094" t="n">
        <v>89100</v>
      </c>
      <c r="AF1094" t="n">
        <v>1076</v>
      </c>
      <c r="AG1094" t="n">
        <v>2318</v>
      </c>
      <c r="AH1094" t="inlineStr">
        <is>
          <t>CV. KIANO SUKSES MANDIRI - PPN (JMB)</t>
        </is>
      </c>
      <c r="AI1094" t="n">
        <v>65</v>
      </c>
      <c r="AJ1094" t="inlineStr">
        <is>
          <t>EVANGELINE</t>
        </is>
      </c>
      <c r="AK1094" t="n">
        <v>9</v>
      </c>
      <c r="AL1094" t="inlineStr">
        <is>
          <t>Miss Glam Jambi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"8997017643431"</f>
        <v/>
      </c>
      <c r="C1095" t="inlineStr">
        <is>
          <t>EVANGELINE Premium Caramel Popcorn 100ml</t>
        </is>
      </c>
      <c r="D1095" t="inlineStr">
        <is>
          <t>Miss Glam Jambi</t>
        </is>
      </c>
      <c r="E1095" t="n">
        <v>3</v>
      </c>
      <c r="F1095" t="n">
        <v>0.033</v>
      </c>
      <c r="G1095" t="n">
        <v>0.33</v>
      </c>
      <c r="H1095" t="n">
        <v>2</v>
      </c>
      <c r="I1095" t="n">
        <v>13</v>
      </c>
      <c r="J1095" t="n">
        <v>3</v>
      </c>
      <c r="K1095" t="n">
        <v>0</v>
      </c>
      <c r="L1095" t="n">
        <v>29700</v>
      </c>
      <c r="M1095" t="n">
        <v>34000</v>
      </c>
      <c r="N1095" t="n">
        <v>33</v>
      </c>
      <c r="O1095" t="n">
        <v>0.33</v>
      </c>
      <c r="P1095" t="n">
        <v>1</v>
      </c>
      <c r="Q1095" t="n">
        <v>0.05</v>
      </c>
      <c r="R1095" t="n">
        <v>1</v>
      </c>
      <c r="S1095" t="n">
        <v>1122</v>
      </c>
      <c r="T1095" t="n">
        <v>5</v>
      </c>
      <c r="U1095" t="n">
        <v>6</v>
      </c>
      <c r="V1095" t="n">
        <v>30</v>
      </c>
      <c r="W1095" t="n">
        <v>1</v>
      </c>
      <c r="X1095" t="n">
        <v>90.90909090909091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1076</v>
      </c>
      <c r="AG1095" t="n">
        <v>2318</v>
      </c>
      <c r="AH1095" t="inlineStr">
        <is>
          <t>CV. KIANO SUKSES MANDIRI - PPN (JMB)</t>
        </is>
      </c>
      <c r="AI1095" t="n">
        <v>65</v>
      </c>
      <c r="AJ1095" t="inlineStr">
        <is>
          <t>EVANGELINE</t>
        </is>
      </c>
      <c r="AK1095" t="n">
        <v>9</v>
      </c>
      <c r="AL1095" t="inlineStr">
        <is>
          <t>Miss Glam Jambi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"8997017643349"</f>
        <v/>
      </c>
      <c r="C1096" t="inlineStr">
        <is>
          <t>EVANGELINE Premium Eau De Parfum Black Opium 100ml</t>
        </is>
      </c>
      <c r="D1096" t="inlineStr">
        <is>
          <t>Miss Glam Jambi</t>
        </is>
      </c>
      <c r="E1096" t="n">
        <v>7</v>
      </c>
      <c r="F1096" t="n">
        <v>0.1452</v>
      </c>
      <c r="G1096" t="n">
        <v>0.99</v>
      </c>
      <c r="H1096" t="n">
        <v>2</v>
      </c>
      <c r="I1096" t="n">
        <v>13</v>
      </c>
      <c r="J1096" t="n">
        <v>3</v>
      </c>
      <c r="K1096" t="n">
        <v>0</v>
      </c>
      <c r="L1096" t="n">
        <v>29700</v>
      </c>
      <c r="M1096" t="n">
        <v>32000</v>
      </c>
      <c r="N1096" t="n">
        <v>33</v>
      </c>
      <c r="O1096" t="n">
        <v>0.33</v>
      </c>
      <c r="P1096" t="n">
        <v>1</v>
      </c>
      <c r="Q1096" t="n">
        <v>0.1</v>
      </c>
      <c r="R1096" t="n">
        <v>1</v>
      </c>
      <c r="S1096" t="n">
        <v>4646.4</v>
      </c>
      <c r="T1096" t="n">
        <v>13</v>
      </c>
      <c r="U1096" t="n">
        <v>14</v>
      </c>
      <c r="V1096" t="n">
        <v>30</v>
      </c>
      <c r="W1096" t="n">
        <v>5</v>
      </c>
      <c r="X1096" t="n">
        <v>48.20936639118457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1076</v>
      </c>
      <c r="AG1096" t="n">
        <v>2318</v>
      </c>
      <c r="AH1096" t="inlineStr">
        <is>
          <t>CV. KIANO SUKSES MANDIRI - PPN (JMB)</t>
        </is>
      </c>
      <c r="AI1096" t="n">
        <v>65</v>
      </c>
      <c r="AJ1096" t="inlineStr">
        <is>
          <t>EVANGELINE</t>
        </is>
      </c>
      <c r="AK1096" t="n">
        <v>9</v>
      </c>
      <c r="AL1096" t="inlineStr">
        <is>
          <t>Miss Glam Jambi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"8997017643417"</f>
        <v/>
      </c>
      <c r="C1097" t="inlineStr">
        <is>
          <t>EVANGELINE Premium Flora Gardenia 100ml</t>
        </is>
      </c>
      <c r="D1097" t="inlineStr">
        <is>
          <t>Miss Glam Jambi</t>
        </is>
      </c>
      <c r="E1097" t="n">
        <v>4</v>
      </c>
      <c r="F1097" t="n">
        <v>0.0726</v>
      </c>
      <c r="G1097" t="n">
        <v>0.66</v>
      </c>
      <c r="H1097" t="n">
        <v>2</v>
      </c>
      <c r="I1097" t="n">
        <v>13</v>
      </c>
      <c r="J1097" t="n">
        <v>3</v>
      </c>
      <c r="K1097" t="n">
        <v>0</v>
      </c>
      <c r="L1097" t="n">
        <v>29700</v>
      </c>
      <c r="M1097" t="n">
        <v>34000</v>
      </c>
      <c r="N1097" t="n">
        <v>33</v>
      </c>
      <c r="O1097" t="n">
        <v>0.33</v>
      </c>
      <c r="P1097" t="n">
        <v>1</v>
      </c>
      <c r="Q1097" t="n">
        <v>0.02</v>
      </c>
      <c r="R1097" t="n">
        <v>1</v>
      </c>
      <c r="S1097" t="n">
        <v>2468.4</v>
      </c>
      <c r="T1097" t="n">
        <v>9</v>
      </c>
      <c r="U1097" t="n">
        <v>10</v>
      </c>
      <c r="V1097" t="n">
        <v>30</v>
      </c>
      <c r="W1097" t="n">
        <v>3</v>
      </c>
      <c r="X1097" t="n">
        <v>55.09641873278237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1076</v>
      </c>
      <c r="AG1097" t="n">
        <v>2318</v>
      </c>
      <c r="AH1097" t="inlineStr">
        <is>
          <t>CV. KIANO SUKSES MANDIRI - PPN (JMB)</t>
        </is>
      </c>
      <c r="AI1097" t="n">
        <v>65</v>
      </c>
      <c r="AJ1097" t="inlineStr">
        <is>
          <t>EVANGELINE</t>
        </is>
      </c>
      <c r="AK1097" t="n">
        <v>9</v>
      </c>
      <c r="AL1097" t="inlineStr">
        <is>
          <t>Miss Glam Jambi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"8997017643424"</f>
        <v/>
      </c>
      <c r="C1098" t="inlineStr">
        <is>
          <t>EVANGELINE Premium Party Cake 100ml</t>
        </is>
      </c>
      <c r="D1098" t="inlineStr">
        <is>
          <t>Miss Glam Jambi</t>
        </is>
      </c>
      <c r="E1098" t="n">
        <v>1</v>
      </c>
      <c r="F1098" t="n">
        <v>0.009900000000000001</v>
      </c>
      <c r="G1098" t="n">
        <v>0.33</v>
      </c>
      <c r="H1098" t="n">
        <v>2</v>
      </c>
      <c r="I1098" t="n">
        <v>13</v>
      </c>
      <c r="J1098" t="n">
        <v>3</v>
      </c>
      <c r="K1098" t="n">
        <v>0</v>
      </c>
      <c r="L1098" t="n">
        <v>29700</v>
      </c>
      <c r="M1098" t="n">
        <v>34000</v>
      </c>
      <c r="N1098" t="n">
        <v>33</v>
      </c>
      <c r="O1098" t="n">
        <v>0.33</v>
      </c>
      <c r="P1098" t="n">
        <v>1</v>
      </c>
      <c r="Q1098" t="n">
        <v>0.02</v>
      </c>
      <c r="R1098" t="n">
        <v>1</v>
      </c>
      <c r="S1098" t="n">
        <v>336.6</v>
      </c>
      <c r="T1098" t="n">
        <v>5</v>
      </c>
      <c r="U1098" t="n">
        <v>6</v>
      </c>
      <c r="V1098" t="n">
        <v>30</v>
      </c>
      <c r="W1098" t="n">
        <v>1</v>
      </c>
      <c r="X1098" t="n">
        <v>101.010101010101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1076</v>
      </c>
      <c r="AG1098" t="n">
        <v>2318</v>
      </c>
      <c r="AH1098" t="inlineStr">
        <is>
          <t>CV. KIANO SUKSES MANDIRI - PPN (JMB)</t>
        </is>
      </c>
      <c r="AI1098" t="n">
        <v>65</v>
      </c>
      <c r="AJ1098" t="inlineStr">
        <is>
          <t>EVANGELINE</t>
        </is>
      </c>
      <c r="AK1098" t="n">
        <v>9</v>
      </c>
      <c r="AL1098" t="inlineStr">
        <is>
          <t>Miss Glam Jambi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"8997017642939"</f>
        <v/>
      </c>
      <c r="C1099" t="inlineStr">
        <is>
          <t>EVANGELINE Selection Black Vanilla 100ml</t>
        </is>
      </c>
      <c r="D1099" t="inlineStr">
        <is>
          <t>Miss Glam Jambi</t>
        </is>
      </c>
      <c r="E1099" t="n">
        <v>8</v>
      </c>
      <c r="F1099" t="n">
        <v>0.1386</v>
      </c>
      <c r="G1099" t="n">
        <v>0.99</v>
      </c>
      <c r="H1099" t="n">
        <v>2</v>
      </c>
      <c r="I1099" t="n">
        <v>13</v>
      </c>
      <c r="J1099" t="n">
        <v>3</v>
      </c>
      <c r="K1099" t="n">
        <v>0</v>
      </c>
      <c r="L1099" t="n">
        <v>28601</v>
      </c>
      <c r="M1099" t="n">
        <v>35500</v>
      </c>
      <c r="N1099" t="n">
        <v>33</v>
      </c>
      <c r="O1099" t="n">
        <v>0.33</v>
      </c>
      <c r="P1099" t="n">
        <v>1</v>
      </c>
      <c r="Q1099" t="n">
        <v>0.14</v>
      </c>
      <c r="R1099" t="n">
        <v>1</v>
      </c>
      <c r="S1099" t="n">
        <v>4920.3</v>
      </c>
      <c r="T1099" t="n">
        <v>13</v>
      </c>
      <c r="U1099" t="n">
        <v>14</v>
      </c>
      <c r="V1099" t="n">
        <v>30</v>
      </c>
      <c r="W1099" t="n">
        <v>5</v>
      </c>
      <c r="X1099" t="n">
        <v>57.72005772005772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1076</v>
      </c>
      <c r="AG1099" t="n">
        <v>2318</v>
      </c>
      <c r="AH1099" t="inlineStr">
        <is>
          <t>CV. KIANO SUKSES MANDIRI - PPN (JMB)</t>
        </is>
      </c>
      <c r="AI1099" t="n">
        <v>65</v>
      </c>
      <c r="AJ1099" t="inlineStr">
        <is>
          <t>EVANGELINE</t>
        </is>
      </c>
      <c r="AK1099" t="n">
        <v>9</v>
      </c>
      <c r="AL1099" t="inlineStr">
        <is>
          <t>Miss Glam Jambi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"8997017642946"</f>
        <v/>
      </c>
      <c r="C1100" t="inlineStr">
        <is>
          <t>EVANGELINE Selection Cherry Blossom 100ml</t>
        </is>
      </c>
      <c r="D1100" t="inlineStr">
        <is>
          <t>Miss Glam Jambi</t>
        </is>
      </c>
      <c r="E1100" t="n">
        <v>2</v>
      </c>
      <c r="F1100" t="n">
        <v>0.0561</v>
      </c>
      <c r="G1100" t="n">
        <v>0.33</v>
      </c>
      <c r="H1100" t="n">
        <v>2</v>
      </c>
      <c r="I1100" t="n">
        <v>13</v>
      </c>
      <c r="J1100" t="n">
        <v>3</v>
      </c>
      <c r="K1100" t="n">
        <v>0</v>
      </c>
      <c r="L1100" t="n">
        <v>29700</v>
      </c>
      <c r="M1100" t="n">
        <v>34500</v>
      </c>
      <c r="N1100" t="n">
        <v>33</v>
      </c>
      <c r="O1100" t="n">
        <v>0.33</v>
      </c>
      <c r="P1100" t="n">
        <v>1</v>
      </c>
      <c r="Q1100" t="n">
        <v>0.03</v>
      </c>
      <c r="R1100" t="n">
        <v>1</v>
      </c>
      <c r="S1100" t="n">
        <v>1935.45</v>
      </c>
      <c r="T1100" t="n">
        <v>5</v>
      </c>
      <c r="U1100" t="n">
        <v>6</v>
      </c>
      <c r="V1100" t="n">
        <v>30</v>
      </c>
      <c r="W1100" t="n">
        <v>2</v>
      </c>
      <c r="X1100" t="n">
        <v>35.650623885918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1076</v>
      </c>
      <c r="AG1100" t="n">
        <v>2318</v>
      </c>
      <c r="AH1100" t="inlineStr">
        <is>
          <t>CV. KIANO SUKSES MANDIRI - PPN (JMB)</t>
        </is>
      </c>
      <c r="AI1100" t="n">
        <v>65</v>
      </c>
      <c r="AJ1100" t="inlineStr">
        <is>
          <t>EVANGELINE</t>
        </is>
      </c>
      <c r="AK1100" t="n">
        <v>9</v>
      </c>
      <c r="AL1100" t="inlineStr">
        <is>
          <t>Miss Glam Jambi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"8997017642953"</f>
        <v/>
      </c>
      <c r="C1101" t="inlineStr">
        <is>
          <t>EVANGELINE Selection Coconut Fantasy 100ml</t>
        </is>
      </c>
      <c r="D1101" t="inlineStr">
        <is>
          <t>Miss Glam Jambi</t>
        </is>
      </c>
      <c r="E1101" t="n">
        <v>2</v>
      </c>
      <c r="F1101" t="n">
        <v>0.009900000000000001</v>
      </c>
      <c r="G1101" t="n">
        <v>0.33</v>
      </c>
      <c r="H1101" t="n">
        <v>2</v>
      </c>
      <c r="I1101" t="n">
        <v>13</v>
      </c>
      <c r="J1101" t="n">
        <v>3</v>
      </c>
      <c r="K1101" t="n">
        <v>0</v>
      </c>
      <c r="L1101" t="n">
        <v>29700</v>
      </c>
      <c r="M1101" t="n">
        <v>35500</v>
      </c>
      <c r="N1101" t="n">
        <v>33</v>
      </c>
      <c r="O1101" t="n">
        <v>0.33</v>
      </c>
      <c r="P1101" t="n">
        <v>1</v>
      </c>
      <c r="Q1101" t="n">
        <v>0.05</v>
      </c>
      <c r="R1101" t="n">
        <v>1</v>
      </c>
      <c r="S1101" t="n">
        <v>351.45</v>
      </c>
      <c r="T1101" t="n">
        <v>5</v>
      </c>
      <c r="U1101" t="n">
        <v>6</v>
      </c>
      <c r="V1101" t="n">
        <v>30</v>
      </c>
      <c r="W1101" t="n">
        <v>1</v>
      </c>
      <c r="X1101" t="n">
        <v>202.020202020202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1076</v>
      </c>
      <c r="AG1101" t="n">
        <v>2318</v>
      </c>
      <c r="AH1101" t="inlineStr">
        <is>
          <t>CV. KIANO SUKSES MANDIRI - PPN (JMB)</t>
        </is>
      </c>
      <c r="AI1101" t="n">
        <v>65</v>
      </c>
      <c r="AJ1101" t="inlineStr">
        <is>
          <t>EVANGELINE</t>
        </is>
      </c>
      <c r="AK1101" t="n">
        <v>9</v>
      </c>
      <c r="AL1101" t="inlineStr">
        <is>
          <t>Miss Glam Jambi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"8997017642960"</f>
        <v/>
      </c>
      <c r="C1102" t="inlineStr">
        <is>
          <t>EVANGELINE Selection Green Tea 100ml</t>
        </is>
      </c>
      <c r="D1102" t="inlineStr">
        <is>
          <t>Miss Glam Jambi</t>
        </is>
      </c>
      <c r="E1102" t="n">
        <v>3</v>
      </c>
      <c r="F1102" t="n">
        <v>0.0165</v>
      </c>
      <c r="G1102" t="n">
        <v>0.33</v>
      </c>
      <c r="H1102" t="n">
        <v>2</v>
      </c>
      <c r="I1102" t="n">
        <v>13</v>
      </c>
      <c r="J1102" t="n">
        <v>3</v>
      </c>
      <c r="K1102" t="n">
        <v>0</v>
      </c>
      <c r="L1102" t="n">
        <v>29700</v>
      </c>
      <c r="M1102" t="n">
        <v>34500</v>
      </c>
      <c r="N1102" t="n">
        <v>33</v>
      </c>
      <c r="O1102" t="n">
        <v>0.33</v>
      </c>
      <c r="P1102" t="n">
        <v>1</v>
      </c>
      <c r="Q1102" t="n">
        <v>0.02</v>
      </c>
      <c r="R1102" t="n">
        <v>1</v>
      </c>
      <c r="S1102" t="n">
        <v>569.25</v>
      </c>
      <c r="T1102" t="n">
        <v>5</v>
      </c>
      <c r="U1102" t="n">
        <v>6</v>
      </c>
      <c r="V1102" t="n">
        <v>30</v>
      </c>
      <c r="W1102" t="n">
        <v>1</v>
      </c>
      <c r="X1102" t="n">
        <v>181.8181818181818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1076</v>
      </c>
      <c r="AG1102" t="n">
        <v>2318</v>
      </c>
      <c r="AH1102" t="inlineStr">
        <is>
          <t>CV. KIANO SUKSES MANDIRI - PPN (JMB)</t>
        </is>
      </c>
      <c r="AI1102" t="n">
        <v>65</v>
      </c>
      <c r="AJ1102" t="inlineStr">
        <is>
          <t>EVANGELINE</t>
        </is>
      </c>
      <c r="AK1102" t="n">
        <v>9</v>
      </c>
      <c r="AL1102" t="inlineStr">
        <is>
          <t>Miss Glam Jambi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"8997017642977"</f>
        <v/>
      </c>
      <c r="C1103" t="inlineStr">
        <is>
          <t>EVANGELINE Selection Juicy Pear 100ml</t>
        </is>
      </c>
      <c r="D1103" t="inlineStr">
        <is>
          <t>Miss Glam Jambi</t>
        </is>
      </c>
      <c r="E1103" t="n">
        <v>6</v>
      </c>
      <c r="F1103" t="n">
        <v>0.0495</v>
      </c>
      <c r="G1103" t="n">
        <v>0.66</v>
      </c>
      <c r="H1103" t="n">
        <v>2</v>
      </c>
      <c r="I1103" t="n">
        <v>13</v>
      </c>
      <c r="J1103" t="n">
        <v>3</v>
      </c>
      <c r="K1103" t="n">
        <v>0</v>
      </c>
      <c r="L1103" t="n">
        <v>29700</v>
      </c>
      <c r="M1103" t="n">
        <v>34500</v>
      </c>
      <c r="N1103" t="n">
        <v>33</v>
      </c>
      <c r="O1103" t="n">
        <v>0.33</v>
      </c>
      <c r="P1103" t="n">
        <v>1</v>
      </c>
      <c r="Q1103" t="n">
        <v>0.03</v>
      </c>
      <c r="R1103" t="n">
        <v>1</v>
      </c>
      <c r="S1103" t="n">
        <v>1707.75</v>
      </c>
      <c r="T1103" t="n">
        <v>9</v>
      </c>
      <c r="U1103" t="n">
        <v>10</v>
      </c>
      <c r="V1103" t="n">
        <v>30</v>
      </c>
      <c r="W1103" t="n">
        <v>2</v>
      </c>
      <c r="X1103" t="n">
        <v>121.2121212121212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1076</v>
      </c>
      <c r="AG1103" t="n">
        <v>2318</v>
      </c>
      <c r="AH1103" t="inlineStr">
        <is>
          <t>CV. KIANO SUKSES MANDIRI - PPN (JMB)</t>
        </is>
      </c>
      <c r="AI1103" t="n">
        <v>65</v>
      </c>
      <c r="AJ1103" t="inlineStr">
        <is>
          <t>EVANGELINE</t>
        </is>
      </c>
      <c r="AK1103" t="n">
        <v>9</v>
      </c>
      <c r="AL1103" t="inlineStr">
        <is>
          <t>Miss Glam Jambi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"8997017642984"</f>
        <v/>
      </c>
      <c r="C1104" t="inlineStr">
        <is>
          <t>EVANGELINE Selection manggo temptation 100 ml</t>
        </is>
      </c>
      <c r="D1104" t="inlineStr">
        <is>
          <t>Miss Glam Jambi</t>
        </is>
      </c>
      <c r="E1104" t="n">
        <v>8</v>
      </c>
      <c r="F1104" t="n">
        <v>0.02</v>
      </c>
      <c r="G1104" t="n">
        <v>1</v>
      </c>
      <c r="H1104" t="n">
        <v>2</v>
      </c>
      <c r="I1104" t="n">
        <v>13</v>
      </c>
      <c r="J1104" t="n">
        <v>3</v>
      </c>
      <c r="K1104" t="n">
        <v>0</v>
      </c>
      <c r="L1104" t="n">
        <v>29700</v>
      </c>
      <c r="M1104" t="n">
        <v>34000</v>
      </c>
      <c r="N1104" t="n">
        <v>33</v>
      </c>
      <c r="O1104" t="n">
        <v>0.33</v>
      </c>
      <c r="P1104" t="n">
        <v>0</v>
      </c>
      <c r="Q1104" t="n">
        <v>0.02</v>
      </c>
      <c r="R1104" t="n">
        <v>1</v>
      </c>
      <c r="S1104" t="n">
        <v>680</v>
      </c>
      <c r="T1104" t="n">
        <v>13</v>
      </c>
      <c r="U1104" t="n">
        <v>14</v>
      </c>
      <c r="V1104" t="n">
        <v>30</v>
      </c>
      <c r="W1104" t="n">
        <v>1</v>
      </c>
      <c r="X1104" t="n">
        <v>400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1076</v>
      </c>
      <c r="AG1104" t="n">
        <v>2318</v>
      </c>
      <c r="AH1104" t="inlineStr">
        <is>
          <t>CV. KIANO SUKSES MANDIRI - PPN (JMB)</t>
        </is>
      </c>
      <c r="AI1104" t="n">
        <v>65</v>
      </c>
      <c r="AJ1104" t="inlineStr">
        <is>
          <t>EVANGELINE</t>
        </is>
      </c>
      <c r="AK1104" t="n">
        <v>9</v>
      </c>
      <c r="AL1104" t="inlineStr">
        <is>
          <t>Miss Glam Jambi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"8997017642991"</f>
        <v/>
      </c>
      <c r="C1105" t="inlineStr">
        <is>
          <t>EVANGELINE Selection orange citrus 100 ml</t>
        </is>
      </c>
      <c r="D1105" t="inlineStr">
        <is>
          <t>Miss Glam Jambi</t>
        </is>
      </c>
      <c r="E1105" t="n">
        <v>6</v>
      </c>
      <c r="F1105" t="n">
        <v>0.006600000000000001</v>
      </c>
      <c r="G1105" t="n">
        <v>0.33</v>
      </c>
      <c r="H1105" t="n">
        <v>2</v>
      </c>
      <c r="I1105" t="n">
        <v>13</v>
      </c>
      <c r="J1105" t="n">
        <v>3</v>
      </c>
      <c r="K1105" t="n">
        <v>0</v>
      </c>
      <c r="L1105" t="n">
        <v>29700</v>
      </c>
      <c r="M1105" t="n">
        <v>34000</v>
      </c>
      <c r="N1105" t="n">
        <v>33</v>
      </c>
      <c r="O1105" t="n">
        <v>0.33</v>
      </c>
      <c r="P1105" t="n">
        <v>1</v>
      </c>
      <c r="Q1105" t="n">
        <v>0.02</v>
      </c>
      <c r="R1105" t="n">
        <v>1</v>
      </c>
      <c r="S1105" t="n">
        <v>224.4</v>
      </c>
      <c r="T1105" t="n">
        <v>5</v>
      </c>
      <c r="U1105" t="n">
        <v>6</v>
      </c>
      <c r="V1105" t="n">
        <v>30</v>
      </c>
      <c r="W1105" t="n">
        <v>1</v>
      </c>
      <c r="X1105" t="n">
        <v>909.090909090909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1076</v>
      </c>
      <c r="AG1105" t="n">
        <v>2318</v>
      </c>
      <c r="AH1105" t="inlineStr">
        <is>
          <t>CV. KIANO SUKSES MANDIRI - PPN (JMB)</t>
        </is>
      </c>
      <c r="AI1105" t="n">
        <v>65</v>
      </c>
      <c r="AJ1105" t="inlineStr">
        <is>
          <t>EVANGELINE</t>
        </is>
      </c>
      <c r="AK1105" t="n">
        <v>9</v>
      </c>
      <c r="AL1105" t="inlineStr">
        <is>
          <t>Miss Glam Jambi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"8997017643004"</f>
        <v/>
      </c>
      <c r="C1106" t="inlineStr">
        <is>
          <t>EVANGELINE Selection Raw Almond 100ml</t>
        </is>
      </c>
      <c r="D1106" t="inlineStr">
        <is>
          <t>Miss Glam Jambi</t>
        </is>
      </c>
      <c r="E1106" t="n">
        <v>8</v>
      </c>
      <c r="F1106" t="n">
        <v>0.1122</v>
      </c>
      <c r="G1106" t="n">
        <v>0.99</v>
      </c>
      <c r="H1106" t="n">
        <v>2</v>
      </c>
      <c r="I1106" t="n">
        <v>13</v>
      </c>
      <c r="J1106" t="n">
        <v>3</v>
      </c>
      <c r="K1106" t="n">
        <v>0</v>
      </c>
      <c r="L1106" t="n">
        <v>28601</v>
      </c>
      <c r="M1106" t="n">
        <v>34500</v>
      </c>
      <c r="N1106" t="n">
        <v>33</v>
      </c>
      <c r="O1106" t="n">
        <v>0.33</v>
      </c>
      <c r="P1106" t="n">
        <v>1</v>
      </c>
      <c r="Q1106" t="n">
        <v>0.05</v>
      </c>
      <c r="R1106" t="n">
        <v>1</v>
      </c>
      <c r="S1106" t="n">
        <v>3870.9</v>
      </c>
      <c r="T1106" t="n">
        <v>13</v>
      </c>
      <c r="U1106" t="n">
        <v>14</v>
      </c>
      <c r="V1106" t="n">
        <v>30</v>
      </c>
      <c r="W1106" t="n">
        <v>4</v>
      </c>
      <c r="X1106" t="n">
        <v>71.301247771836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1076</v>
      </c>
      <c r="AG1106" t="n">
        <v>2318</v>
      </c>
      <c r="AH1106" t="inlineStr">
        <is>
          <t>CV. KIANO SUKSES MANDIRI - PPN (JMB)</t>
        </is>
      </c>
      <c r="AI1106" t="n">
        <v>65</v>
      </c>
      <c r="AJ1106" t="inlineStr">
        <is>
          <t>EVANGELINE</t>
        </is>
      </c>
      <c r="AK1106" t="n">
        <v>9</v>
      </c>
      <c r="AL1106" t="inlineStr">
        <is>
          <t>Miss Glam Jambi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"8997017643103"</f>
        <v/>
      </c>
      <c r="C1107" t="inlineStr">
        <is>
          <t>EVANGELINE Selection Sweet Strawberry 100ml</t>
        </is>
      </c>
      <c r="D1107" t="inlineStr">
        <is>
          <t>Miss Glam Jambi</t>
        </is>
      </c>
      <c r="E1107" t="n">
        <v>0</v>
      </c>
      <c r="F1107" t="n">
        <v>0.08910000000000001</v>
      </c>
      <c r="G1107" t="n">
        <v>0.66</v>
      </c>
      <c r="H1107" t="n">
        <v>2</v>
      </c>
      <c r="I1107" t="n">
        <v>13</v>
      </c>
      <c r="J1107" t="n">
        <v>3</v>
      </c>
      <c r="K1107" t="n">
        <v>3</v>
      </c>
      <c r="L1107" t="n">
        <v>29700</v>
      </c>
      <c r="M1107" t="n">
        <v>34000</v>
      </c>
      <c r="N1107" t="n">
        <v>33</v>
      </c>
      <c r="O1107" t="n">
        <v>0.33</v>
      </c>
      <c r="P1107" t="n">
        <v>1</v>
      </c>
      <c r="Q1107" t="n">
        <v>0.1</v>
      </c>
      <c r="R1107" t="n">
        <v>1</v>
      </c>
      <c r="S1107" t="n">
        <v>3029.400000000001</v>
      </c>
      <c r="T1107" t="n">
        <v>9</v>
      </c>
      <c r="U1107" t="n">
        <v>10</v>
      </c>
      <c r="V1107" t="n">
        <v>30</v>
      </c>
      <c r="W1107" t="n">
        <v>3</v>
      </c>
      <c r="X1107" t="n">
        <v>0</v>
      </c>
      <c r="Y1107" t="n">
        <v>1</v>
      </c>
      <c r="Z1107" t="n">
        <v>0</v>
      </c>
      <c r="AA1107" t="n">
        <v>1</v>
      </c>
      <c r="AB1107" t="n">
        <v>0</v>
      </c>
      <c r="AC1107" t="n">
        <v>0</v>
      </c>
      <c r="AD1107" t="n">
        <v>29700</v>
      </c>
      <c r="AE1107" t="n">
        <v>0</v>
      </c>
      <c r="AF1107" t="n">
        <v>1076</v>
      </c>
      <c r="AG1107" t="n">
        <v>2318</v>
      </c>
      <c r="AH1107" t="inlineStr">
        <is>
          <t>CV. KIANO SUKSES MANDIRI - PPN (JMB)</t>
        </is>
      </c>
      <c r="AI1107" t="n">
        <v>65</v>
      </c>
      <c r="AJ1107" t="inlineStr">
        <is>
          <t>EVANGELINE</t>
        </is>
      </c>
      <c r="AK1107" t="n">
        <v>9</v>
      </c>
      <c r="AL1107" t="inlineStr">
        <is>
          <t>Miss Glam Jambi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"8997017643226"</f>
        <v/>
      </c>
      <c r="C1108" t="inlineStr">
        <is>
          <t>EVANGELINE Yura Roll On 50ml</t>
        </is>
      </c>
      <c r="D1108" t="inlineStr">
        <is>
          <t>Miss Glam Jambi</t>
        </is>
      </c>
      <c r="E1108" t="n">
        <v>12</v>
      </c>
      <c r="F1108" t="n">
        <v>0.1452</v>
      </c>
      <c r="G1108" t="n">
        <v>0.99</v>
      </c>
      <c r="H1108" t="n">
        <v>2</v>
      </c>
      <c r="I1108" t="n">
        <v>13</v>
      </c>
      <c r="J1108" t="n">
        <v>3</v>
      </c>
      <c r="K1108" t="n">
        <v>0</v>
      </c>
      <c r="L1108" t="n">
        <v>10880</v>
      </c>
      <c r="M1108" t="n">
        <v>15000</v>
      </c>
      <c r="N1108" t="n">
        <v>33</v>
      </c>
      <c r="O1108" t="n">
        <v>0.33</v>
      </c>
      <c r="P1108" t="n">
        <v>1</v>
      </c>
      <c r="Q1108" t="n">
        <v>0.1</v>
      </c>
      <c r="R1108" t="n">
        <v>2</v>
      </c>
      <c r="S1108" t="n">
        <v>2178</v>
      </c>
      <c r="T1108" t="n">
        <v>13</v>
      </c>
      <c r="U1108" t="n">
        <v>14</v>
      </c>
      <c r="V1108" t="n">
        <v>30</v>
      </c>
      <c r="W1108" t="n">
        <v>5</v>
      </c>
      <c r="X1108" t="n">
        <v>82.64462809917356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1076</v>
      </c>
      <c r="AG1108" t="n">
        <v>2318</v>
      </c>
      <c r="AH1108" t="inlineStr">
        <is>
          <t>CV. KIANO SUKSES MANDIRI - PPN (JMB)</t>
        </is>
      </c>
      <c r="AI1108" t="n">
        <v>65</v>
      </c>
      <c r="AJ1108" t="inlineStr">
        <is>
          <t>EVANGELINE</t>
        </is>
      </c>
      <c r="AK1108" t="n">
        <v>9</v>
      </c>
      <c r="AL1108" t="inlineStr">
        <is>
          <t>Miss Glam Jambi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EXXE</t>
        </is>
      </c>
      <c r="B1109" s="2">
        <f>"40200222746"</f>
        <v/>
      </c>
      <c r="C1109" t="inlineStr">
        <is>
          <t>EXXE Hair Mask Chocolate 200gr</t>
        </is>
      </c>
      <c r="D1109" t="inlineStr">
        <is>
          <t>Miss Glam Jambi</t>
        </is>
      </c>
      <c r="E1109" t="n">
        <v>1</v>
      </c>
      <c r="F1109" t="n">
        <v>0.02</v>
      </c>
      <c r="G1109" t="n">
        <v>1</v>
      </c>
      <c r="H1109" t="n">
        <v>4</v>
      </c>
      <c r="I1109" t="n">
        <v>20</v>
      </c>
      <c r="J1109" t="n">
        <v>3</v>
      </c>
      <c r="K1109" t="n">
        <v>0</v>
      </c>
      <c r="L1109" t="n">
        <v>14083</v>
      </c>
      <c r="M1109" t="n">
        <v>22000</v>
      </c>
      <c r="N1109" t="n">
        <v>33</v>
      </c>
      <c r="O1109" t="n">
        <v>0.33</v>
      </c>
      <c r="P1109" t="n">
        <v>0</v>
      </c>
      <c r="Q1109" t="n">
        <v>0.02</v>
      </c>
      <c r="R1109" t="n">
        <v>1</v>
      </c>
      <c r="S1109" t="n">
        <v>440</v>
      </c>
      <c r="T1109" t="n">
        <v>20</v>
      </c>
      <c r="U1109" t="n">
        <v>21</v>
      </c>
      <c r="V1109" t="n">
        <v>30</v>
      </c>
      <c r="W1109" t="n">
        <v>1</v>
      </c>
      <c r="X1109" t="n">
        <v>50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4759</v>
      </c>
      <c r="AG1109" t="n">
        <v>1</v>
      </c>
      <c r="AH1109" t="inlineStr">
        <is>
          <t>PT. BERSAMA DISTRIVERSA INDONESIA (DC CIPUTAT)</t>
        </is>
      </c>
      <c r="AI1109" t="n">
        <v>1034</v>
      </c>
      <c r="AJ1109" t="inlineStr">
        <is>
          <t>EXXE</t>
        </is>
      </c>
      <c r="AK1109" t="n">
        <v>9</v>
      </c>
      <c r="AL1109" t="inlineStr">
        <is>
          <t>Miss Glam Jambi</t>
        </is>
      </c>
      <c r="AM1109" t="n">
        <v>4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FACETOLOGY</t>
        </is>
      </c>
      <c r="B1110" s="2">
        <f>"8994460550101"</f>
        <v/>
      </c>
      <c r="C1110" t="inlineStr">
        <is>
          <t>FACETOLOGY Acne Calm Micellar Water Salicylic Acid 300ml</t>
        </is>
      </c>
      <c r="D1110" t="inlineStr">
        <is>
          <t>Miss Glam Jambi</t>
        </is>
      </c>
      <c r="E1110" t="n">
        <v>36</v>
      </c>
      <c r="F1110" t="n">
        <v>1.6005</v>
      </c>
      <c r="G1110" t="n">
        <v>3.63</v>
      </c>
      <c r="H1110" t="n">
        <v>4</v>
      </c>
      <c r="I1110" t="n">
        <v>20</v>
      </c>
      <c r="J1110" t="n">
        <v>3</v>
      </c>
      <c r="K1110" t="n">
        <v>68</v>
      </c>
      <c r="L1110" t="n">
        <v>39166</v>
      </c>
      <c r="M1110" t="n">
        <v>46000</v>
      </c>
      <c r="N1110" t="n">
        <v>33</v>
      </c>
      <c r="O1110" t="n">
        <v>0.33</v>
      </c>
      <c r="P1110" t="n">
        <v>1</v>
      </c>
      <c r="Q1110" t="n">
        <v>0.85</v>
      </c>
      <c r="R1110" t="n">
        <v>7</v>
      </c>
      <c r="S1110" t="n">
        <v>73623</v>
      </c>
      <c r="T1110" t="n">
        <v>67</v>
      </c>
      <c r="U1110" t="n">
        <v>74</v>
      </c>
      <c r="V1110" t="n">
        <v>30</v>
      </c>
      <c r="W1110" t="n">
        <v>49</v>
      </c>
      <c r="X1110" t="n">
        <v>22.4929709465792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4822</v>
      </c>
      <c r="AG1110" t="n">
        <v>1</v>
      </c>
      <c r="AH1110" t="inlineStr">
        <is>
          <t>PT. BERSAMA DISTRIVERSA INDONESIA (DC CIPUTAT)</t>
        </is>
      </c>
      <c r="AI1110" t="n">
        <v>1459</v>
      </c>
      <c r="AJ1110" t="inlineStr">
        <is>
          <t>FACETOLOGY</t>
        </is>
      </c>
      <c r="AK1110" t="n">
        <v>9</v>
      </c>
      <c r="AL1110" t="inlineStr">
        <is>
          <t>Miss Glam Jambi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FACETOLOGY</t>
        </is>
      </c>
      <c r="B1111" s="2">
        <f>"101001110219"</f>
        <v/>
      </c>
      <c r="C1111" t="inlineStr">
        <is>
          <t>FACETOLOGY Acne Care Triple Care Acne Calm Cleanser 100ml</t>
        </is>
      </c>
      <c r="D1111" t="inlineStr">
        <is>
          <t>Miss Glam Jambi</t>
        </is>
      </c>
      <c r="E1111" t="n">
        <v>14</v>
      </c>
      <c r="F1111" t="n">
        <v>0.4191</v>
      </c>
      <c r="G1111" t="n">
        <v>1.65</v>
      </c>
      <c r="H1111" t="n">
        <v>4</v>
      </c>
      <c r="I1111" t="n">
        <v>20</v>
      </c>
      <c r="J1111" t="n">
        <v>1</v>
      </c>
      <c r="K1111" t="n">
        <v>24</v>
      </c>
      <c r="L1111" t="n">
        <v>46400</v>
      </c>
      <c r="M1111" t="n">
        <v>58000</v>
      </c>
      <c r="N1111" t="n">
        <v>33</v>
      </c>
      <c r="O1111" t="n">
        <v>0.33</v>
      </c>
      <c r="P1111" t="n">
        <v>1</v>
      </c>
      <c r="Q1111" t="n">
        <v>0.39</v>
      </c>
      <c r="R1111" t="n">
        <v>2</v>
      </c>
      <c r="S1111" t="n">
        <v>24307.8</v>
      </c>
      <c r="T1111" t="n">
        <v>32</v>
      </c>
      <c r="U1111" t="n">
        <v>34</v>
      </c>
      <c r="V1111" t="n">
        <v>30</v>
      </c>
      <c r="W1111" t="n">
        <v>13</v>
      </c>
      <c r="X1111" t="n">
        <v>33.40491529467907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4822</v>
      </c>
      <c r="AG1111" t="n">
        <v>1</v>
      </c>
      <c r="AH1111" t="inlineStr">
        <is>
          <t>PT. BERSAMA DISTRIVERSA INDONESIA (DC CIPUTAT)</t>
        </is>
      </c>
      <c r="AI1111" t="n">
        <v>1459</v>
      </c>
      <c r="AJ1111" t="inlineStr">
        <is>
          <t>FACETOLOGY</t>
        </is>
      </c>
      <c r="AK1111" t="n">
        <v>9</v>
      </c>
      <c r="AL1111" t="inlineStr">
        <is>
          <t>Miss Glam Jambi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FACETOLOGY</t>
        </is>
      </c>
      <c r="B1112" s="2">
        <f>"10300318907"</f>
        <v/>
      </c>
      <c r="C1112" t="inlineStr">
        <is>
          <t>FACETOLOGY Aqua Solution Mist with Hypochlorous Acid 100ml</t>
        </is>
      </c>
      <c r="D1112" t="inlineStr">
        <is>
          <t>Miss Glam Jambi</t>
        </is>
      </c>
      <c r="E1112" t="n">
        <v>31</v>
      </c>
      <c r="F1112" t="n">
        <v>0.1023</v>
      </c>
      <c r="G1112" t="n">
        <v>0.66</v>
      </c>
      <c r="H1112" t="n">
        <v>4</v>
      </c>
      <c r="I1112" t="n">
        <v>20</v>
      </c>
      <c r="J1112" t="n">
        <v>1</v>
      </c>
      <c r="K1112" t="n">
        <v>0</v>
      </c>
      <c r="L1112" t="n">
        <v>34289</v>
      </c>
      <c r="M1112" t="n">
        <v>42900</v>
      </c>
      <c r="N1112" t="n">
        <v>33</v>
      </c>
      <c r="O1112" t="n">
        <v>0.33</v>
      </c>
      <c r="P1112" t="n">
        <v>1</v>
      </c>
      <c r="Q1112" t="n">
        <v>0.08</v>
      </c>
      <c r="R1112" t="n">
        <v>1</v>
      </c>
      <c r="S1112" t="n">
        <v>4388.67</v>
      </c>
      <c r="T1112" t="n">
        <v>13</v>
      </c>
      <c r="U1112" t="n">
        <v>14</v>
      </c>
      <c r="V1112" t="n">
        <v>30</v>
      </c>
      <c r="W1112" t="n">
        <v>4</v>
      </c>
      <c r="X1112" t="n">
        <v>303.030303030303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4822</v>
      </c>
      <c r="AG1112" t="n">
        <v>1</v>
      </c>
      <c r="AH1112" t="inlineStr">
        <is>
          <t>PT. BERSAMA DISTRIVERSA INDONESIA (DC CIPUTAT)</t>
        </is>
      </c>
      <c r="AI1112" t="n">
        <v>1459</v>
      </c>
      <c r="AJ1112" t="inlineStr">
        <is>
          <t>FACETOLOGY</t>
        </is>
      </c>
      <c r="AK1112" t="n">
        <v>9</v>
      </c>
      <c r="AL1112" t="inlineStr">
        <is>
          <t>Miss Glam Jambi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FACETOLOGY</t>
        </is>
      </c>
      <c r="B1113" s="2">
        <f>"10100195438"</f>
        <v/>
      </c>
      <c r="C1113" t="inlineStr">
        <is>
          <t>FACETOLOGY Oat Facial Cleanser 100ml</t>
        </is>
      </c>
      <c r="D1113" t="inlineStr">
        <is>
          <t>Miss Glam Jambi</t>
        </is>
      </c>
      <c r="E1113" t="n">
        <v>9</v>
      </c>
      <c r="F1113" t="n">
        <v>0.2013</v>
      </c>
      <c r="G1113" t="n">
        <v>1.65</v>
      </c>
      <c r="H1113" t="n">
        <v>4</v>
      </c>
      <c r="I1113" t="n">
        <v>20</v>
      </c>
      <c r="J1113" t="n">
        <v>3</v>
      </c>
      <c r="K1113" t="n">
        <v>48</v>
      </c>
      <c r="L1113" t="n">
        <v>46400</v>
      </c>
      <c r="M1113" t="n">
        <v>55000</v>
      </c>
      <c r="N1113" t="n">
        <v>33</v>
      </c>
      <c r="O1113" t="n">
        <v>0.33</v>
      </c>
      <c r="P1113" t="n">
        <v>1</v>
      </c>
      <c r="Q1113" t="n">
        <v>0.15</v>
      </c>
      <c r="R1113" t="n">
        <v>2</v>
      </c>
      <c r="S1113" t="n">
        <v>11071.5</v>
      </c>
      <c r="T1113" t="n">
        <v>33</v>
      </c>
      <c r="U1113" t="n">
        <v>34</v>
      </c>
      <c r="V1113" t="n">
        <v>30</v>
      </c>
      <c r="W1113" t="n">
        <v>7</v>
      </c>
      <c r="X1113" t="n">
        <v>44.70938897168405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4822</v>
      </c>
      <c r="AG1113" t="n">
        <v>1</v>
      </c>
      <c r="AH1113" t="inlineStr">
        <is>
          <t>PT. BERSAMA DISTRIVERSA INDONESIA (DC CIPUTAT)</t>
        </is>
      </c>
      <c r="AI1113" t="n">
        <v>1459</v>
      </c>
      <c r="AJ1113" t="inlineStr">
        <is>
          <t>FACETOLOGY</t>
        </is>
      </c>
      <c r="AK1113" t="n">
        <v>9</v>
      </c>
      <c r="AL1113" t="inlineStr">
        <is>
          <t>Miss Glam Jambi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FACETOLOGY</t>
        </is>
      </c>
      <c r="B1114" s="2">
        <f>"8994460550026"</f>
        <v/>
      </c>
      <c r="C1114" t="inlineStr">
        <is>
          <t>FACETOLOGY Sunscreen SPF40 PA+++ 100ml</t>
        </is>
      </c>
      <c r="D1114" t="inlineStr">
        <is>
          <t>Miss Glam Jambi</t>
        </is>
      </c>
      <c r="E1114" t="n">
        <v>36</v>
      </c>
      <c r="F1114" t="n">
        <v>0.09569999999999999</v>
      </c>
      <c r="G1114" t="n">
        <v>0.99</v>
      </c>
      <c r="H1114" t="n">
        <v>4</v>
      </c>
      <c r="I1114" t="n">
        <v>20</v>
      </c>
      <c r="J1114" t="n">
        <v>50</v>
      </c>
      <c r="K1114" t="n">
        <v>0</v>
      </c>
      <c r="L1114" t="n">
        <v>124720</v>
      </c>
      <c r="M1114" t="n">
        <v>139000</v>
      </c>
      <c r="N1114" t="n">
        <v>33</v>
      </c>
      <c r="O1114" t="n">
        <v>0.33</v>
      </c>
      <c r="P1114" t="n">
        <v>1</v>
      </c>
      <c r="Q1114" t="n">
        <v>0.37</v>
      </c>
      <c r="R1114" t="n">
        <v>2</v>
      </c>
      <c r="S1114" t="n">
        <v>13302.3</v>
      </c>
      <c r="T1114" t="n">
        <v>20</v>
      </c>
      <c r="U1114" t="n">
        <v>21</v>
      </c>
      <c r="V1114" t="n">
        <v>30</v>
      </c>
      <c r="W1114" t="n">
        <v>3</v>
      </c>
      <c r="X1114" t="n">
        <v>376.1755485893417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4822</v>
      </c>
      <c r="AG1114" t="n">
        <v>1</v>
      </c>
      <c r="AH1114" t="inlineStr">
        <is>
          <t>PT. BERSAMA DISTRIVERSA INDONESIA (DC CIPUTAT)</t>
        </is>
      </c>
      <c r="AI1114" t="n">
        <v>1459</v>
      </c>
      <c r="AJ1114" t="inlineStr">
        <is>
          <t>FACETOLOGY</t>
        </is>
      </c>
      <c r="AK1114" t="n">
        <v>9</v>
      </c>
      <c r="AL1114" t="inlineStr">
        <is>
          <t>Miss Glam Jambi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FACETOLOGY</t>
        </is>
      </c>
      <c r="B1115" s="2">
        <f>"10400309317"</f>
        <v/>
      </c>
      <c r="C1115" t="inlineStr">
        <is>
          <t>FACETOLOGY Sunscreen Tinted 40ml</t>
        </is>
      </c>
      <c r="D1115" t="inlineStr">
        <is>
          <t>Miss Glam Jambi</t>
        </is>
      </c>
      <c r="E1115" t="n">
        <v>5</v>
      </c>
      <c r="F1115" t="n">
        <v>1.2144</v>
      </c>
      <c r="G1115" t="n">
        <v>3.3</v>
      </c>
      <c r="H1115" t="n">
        <v>4</v>
      </c>
      <c r="I1115" t="n">
        <v>20</v>
      </c>
      <c r="J1115" t="n">
        <v>3</v>
      </c>
      <c r="K1115" t="n">
        <v>68</v>
      </c>
      <c r="L1115" t="n">
        <v>71911</v>
      </c>
      <c r="M1115" t="n">
        <v>79900</v>
      </c>
      <c r="N1115" t="n">
        <v>33</v>
      </c>
      <c r="O1115" t="n">
        <v>0.33</v>
      </c>
      <c r="P1115" t="n">
        <v>1</v>
      </c>
      <c r="Q1115" t="n">
        <v>0.27</v>
      </c>
      <c r="R1115" t="n">
        <v>2</v>
      </c>
      <c r="S1115" t="n">
        <v>97030.56000000001</v>
      </c>
      <c r="T1115" t="n">
        <v>62</v>
      </c>
      <c r="U1115" t="n">
        <v>67</v>
      </c>
      <c r="V1115" t="n">
        <v>30</v>
      </c>
      <c r="W1115" t="n">
        <v>37</v>
      </c>
      <c r="X1115" t="n">
        <v>4.11725955204216</v>
      </c>
      <c r="Y1115" t="n">
        <v>1</v>
      </c>
      <c r="Z1115" t="n">
        <v>0</v>
      </c>
      <c r="AA1115" t="n">
        <v>19</v>
      </c>
      <c r="AB1115" t="n">
        <v>0</v>
      </c>
      <c r="AC1115" t="n">
        <v>0</v>
      </c>
      <c r="AD1115" t="n">
        <v>1366309</v>
      </c>
      <c r="AE1115" t="n">
        <v>0</v>
      </c>
      <c r="AF1115" t="n">
        <v>4822</v>
      </c>
      <c r="AG1115" t="n">
        <v>1</v>
      </c>
      <c r="AH1115" t="inlineStr">
        <is>
          <t>PT. BERSAMA DISTRIVERSA INDONESIA (DC CIPUTAT)</t>
        </is>
      </c>
      <c r="AI1115" t="n">
        <v>1459</v>
      </c>
      <c r="AJ1115" t="inlineStr">
        <is>
          <t>FACETOLOGY</t>
        </is>
      </c>
      <c r="AK1115" t="n">
        <v>9</v>
      </c>
      <c r="AL1115" t="inlineStr">
        <is>
          <t>Miss Glam Jambi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FACETOLOGY</t>
        </is>
      </c>
      <c r="B1116" s="2">
        <f>"10300515248"</f>
        <v/>
      </c>
      <c r="C1116" t="inlineStr">
        <is>
          <t>FACETOLOGY Triple care 10% Panthenol Barrier Boost Gel 40gr</t>
        </is>
      </c>
      <c r="D1116" t="inlineStr">
        <is>
          <t>Miss Glam Jambi</t>
        </is>
      </c>
      <c r="E1116" t="n">
        <v>35</v>
      </c>
      <c r="F1116" t="n">
        <v>0.3036</v>
      </c>
      <c r="G1116" t="n">
        <v>1.65</v>
      </c>
      <c r="H1116" t="n">
        <v>4</v>
      </c>
      <c r="I1116" t="n">
        <v>20</v>
      </c>
      <c r="J1116" t="n">
        <v>1</v>
      </c>
      <c r="K1116" t="n">
        <v>0</v>
      </c>
      <c r="L1116" t="n">
        <v>38859</v>
      </c>
      <c r="M1116" t="n">
        <v>48500</v>
      </c>
      <c r="N1116" t="n">
        <v>33</v>
      </c>
      <c r="O1116" t="n">
        <v>0.33</v>
      </c>
      <c r="P1116" t="n">
        <v>1</v>
      </c>
      <c r="Q1116" t="n">
        <v>0.02</v>
      </c>
      <c r="R1116" t="n">
        <v>0</v>
      </c>
      <c r="S1116" t="n">
        <v>14724.6</v>
      </c>
      <c r="T1116" t="n">
        <v>32</v>
      </c>
      <c r="U1116" t="n">
        <v>34</v>
      </c>
      <c r="V1116" t="n">
        <v>30</v>
      </c>
      <c r="W1116" t="n">
        <v>10</v>
      </c>
      <c r="X1116" t="n">
        <v>115.2832674571805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4822</v>
      </c>
      <c r="AG1116" t="n">
        <v>1</v>
      </c>
      <c r="AH1116" t="inlineStr">
        <is>
          <t>PT. BERSAMA DISTRIVERSA INDONESIA (DC CIPUTAT)</t>
        </is>
      </c>
      <c r="AI1116" t="n">
        <v>1459</v>
      </c>
      <c r="AJ1116" t="inlineStr">
        <is>
          <t>FACETOLOGY</t>
        </is>
      </c>
      <c r="AK1116" t="n">
        <v>9</v>
      </c>
      <c r="AL1116" t="inlineStr">
        <is>
          <t>Miss Glam Jambi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FACETOLOGY</t>
        </is>
      </c>
      <c r="B1117" s="2">
        <f>"8994460550347"</f>
        <v/>
      </c>
      <c r="C1117" t="inlineStr">
        <is>
          <t>FACETOLOGY Triple Care 13.5% Total Acids Purple Ranger Peeling Treatment</t>
        </is>
      </c>
      <c r="D1117" t="inlineStr">
        <is>
          <t>Miss Glam Jambi</t>
        </is>
      </c>
      <c r="E1117" t="n">
        <v>11</v>
      </c>
      <c r="F1117" t="n">
        <v>0.1617</v>
      </c>
      <c r="G1117" t="n">
        <v>0.66</v>
      </c>
      <c r="H1117" t="n">
        <v>4</v>
      </c>
      <c r="I1117" t="n">
        <v>20</v>
      </c>
      <c r="J1117" t="n">
        <v>3</v>
      </c>
      <c r="K1117" t="n">
        <v>0</v>
      </c>
      <c r="L1117" t="n">
        <v>65269</v>
      </c>
      <c r="M1117" t="n">
        <v>83500</v>
      </c>
      <c r="N1117" t="n">
        <v>33</v>
      </c>
      <c r="O1117" t="n">
        <v>0.33</v>
      </c>
      <c r="P1117" t="n">
        <v>1</v>
      </c>
      <c r="Q1117" t="n">
        <v>0.1</v>
      </c>
      <c r="R1117" t="n">
        <v>1</v>
      </c>
      <c r="S1117" t="n">
        <v>13501.95</v>
      </c>
      <c r="T1117" t="n">
        <v>13</v>
      </c>
      <c r="U1117" t="n">
        <v>14</v>
      </c>
      <c r="V1117" t="n">
        <v>30</v>
      </c>
      <c r="W1117" t="n">
        <v>5</v>
      </c>
      <c r="X1117" t="n">
        <v>68.02721088435374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4822</v>
      </c>
      <c r="AG1117" t="n">
        <v>1</v>
      </c>
      <c r="AH1117" t="inlineStr">
        <is>
          <t>PT. BERSAMA DISTRIVERSA INDONESIA (DC CIPUTAT)</t>
        </is>
      </c>
      <c r="AI1117" t="n">
        <v>1459</v>
      </c>
      <c r="AJ1117" t="inlineStr">
        <is>
          <t>FACETOLOGY</t>
        </is>
      </c>
      <c r="AK1117" t="n">
        <v>9</v>
      </c>
      <c r="AL1117" t="inlineStr">
        <is>
          <t>Miss Glam Jambi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FACETOLOGY</t>
        </is>
      </c>
      <c r="B1118" s="2">
        <f>"10300515143"</f>
        <v/>
      </c>
      <c r="C1118" t="inlineStr">
        <is>
          <t>FACETOLOGY Triple care 5% Panthenol Barrier Boost Gel 40gr</t>
        </is>
      </c>
      <c r="D1118" t="inlineStr">
        <is>
          <t>Miss Glam Jambi</t>
        </is>
      </c>
      <c r="E1118" t="n">
        <v>30</v>
      </c>
      <c r="F1118" t="n">
        <v>0.4752</v>
      </c>
      <c r="G1118" t="n">
        <v>2.31</v>
      </c>
      <c r="H1118" t="n">
        <v>4</v>
      </c>
      <c r="I1118" t="n">
        <v>20</v>
      </c>
      <c r="J1118" t="n">
        <v>1</v>
      </c>
      <c r="K1118" t="n">
        <v>0</v>
      </c>
      <c r="L1118" t="n">
        <v>30800</v>
      </c>
      <c r="M1118" t="n">
        <v>38500</v>
      </c>
      <c r="N1118" t="n">
        <v>33</v>
      </c>
      <c r="O1118" t="n">
        <v>0.33</v>
      </c>
      <c r="P1118" t="n">
        <v>1</v>
      </c>
      <c r="Q1118" t="n">
        <v>0.1</v>
      </c>
      <c r="R1118" t="n">
        <v>2</v>
      </c>
      <c r="S1118" t="n">
        <v>18295.2</v>
      </c>
      <c r="T1118" t="n">
        <v>45</v>
      </c>
      <c r="U1118" t="n">
        <v>47</v>
      </c>
      <c r="V1118" t="n">
        <v>30</v>
      </c>
      <c r="W1118" t="n">
        <v>15</v>
      </c>
      <c r="X1118" t="n">
        <v>63.13131313131313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4822</v>
      </c>
      <c r="AG1118" t="n">
        <v>1</v>
      </c>
      <c r="AH1118" t="inlineStr">
        <is>
          <t>PT. BERSAMA DISTRIVERSA INDONESIA (DC CIPUTAT)</t>
        </is>
      </c>
      <c r="AI1118" t="n">
        <v>1459</v>
      </c>
      <c r="AJ1118" t="inlineStr">
        <is>
          <t>FACETOLOGY</t>
        </is>
      </c>
      <c r="AK1118" t="n">
        <v>9</v>
      </c>
      <c r="AL1118" t="inlineStr">
        <is>
          <t>Miss Glam Jambi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FACETOLOGY</t>
        </is>
      </c>
      <c r="B1119" s="2">
        <f>"10300611607"</f>
        <v/>
      </c>
      <c r="C1119" t="inlineStr">
        <is>
          <t>FACETOLOGY Triple Care Acne Calm Moisturizer 35gr</t>
        </is>
      </c>
      <c r="D1119" t="inlineStr">
        <is>
          <t>Miss Glam Jambi</t>
        </is>
      </c>
      <c r="E1119" t="n">
        <v>10</v>
      </c>
      <c r="F1119" t="n">
        <v>0.2013</v>
      </c>
      <c r="G1119" t="n">
        <v>0.99</v>
      </c>
      <c r="H1119" t="n">
        <v>4</v>
      </c>
      <c r="I1119" t="n">
        <v>20</v>
      </c>
      <c r="J1119" t="n">
        <v>1</v>
      </c>
      <c r="K1119" t="n">
        <v>0</v>
      </c>
      <c r="L1119" t="n">
        <v>55919</v>
      </c>
      <c r="M1119" t="n">
        <v>79000</v>
      </c>
      <c r="N1119" t="n">
        <v>33</v>
      </c>
      <c r="O1119" t="n">
        <v>0.33</v>
      </c>
      <c r="P1119" t="n">
        <v>1</v>
      </c>
      <c r="Q1119" t="n">
        <v>0.19</v>
      </c>
      <c r="R1119" t="n">
        <v>1</v>
      </c>
      <c r="S1119" t="n">
        <v>15902.7</v>
      </c>
      <c r="T1119" t="n">
        <v>19</v>
      </c>
      <c r="U1119" t="n">
        <v>20</v>
      </c>
      <c r="V1119" t="n">
        <v>30</v>
      </c>
      <c r="W1119" t="n">
        <v>7</v>
      </c>
      <c r="X1119" t="n">
        <v>49.67709885742673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4822</v>
      </c>
      <c r="AG1119" t="n">
        <v>1</v>
      </c>
      <c r="AH1119" t="inlineStr">
        <is>
          <t>PT. BERSAMA DISTRIVERSA INDONESIA (DC CIPUTAT)</t>
        </is>
      </c>
      <c r="AI1119" t="n">
        <v>1459</v>
      </c>
      <c r="AJ1119" t="inlineStr">
        <is>
          <t>FACETOLOGY</t>
        </is>
      </c>
      <c r="AK1119" t="n">
        <v>9</v>
      </c>
      <c r="AL1119" t="inlineStr">
        <is>
          <t>Miss Glam Jambi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FACETOLOGY</t>
        </is>
      </c>
      <c r="B1120" s="2">
        <f>"8994460550125"</f>
        <v/>
      </c>
      <c r="C1120" t="inlineStr">
        <is>
          <t>FACETOLOGY Triple Care Acne+ Cleanser Micellar Water 100ml</t>
        </is>
      </c>
      <c r="D1120" t="inlineStr">
        <is>
          <t>Miss Glam Jambi</t>
        </is>
      </c>
      <c r="E1120" t="n">
        <v>31</v>
      </c>
      <c r="F1120" t="n">
        <v>0.6930000000000001</v>
      </c>
      <c r="G1120" t="n">
        <v>2.31</v>
      </c>
      <c r="H1120" t="n">
        <v>4</v>
      </c>
      <c r="I1120" t="n">
        <v>20</v>
      </c>
      <c r="J1120" t="n">
        <v>3</v>
      </c>
      <c r="K1120" t="n">
        <v>0</v>
      </c>
      <c r="L1120" t="n">
        <v>22389</v>
      </c>
      <c r="M1120" t="n">
        <v>27500</v>
      </c>
      <c r="N1120" t="n">
        <v>33</v>
      </c>
      <c r="O1120" t="n">
        <v>0.33</v>
      </c>
      <c r="P1120" t="n">
        <v>1</v>
      </c>
      <c r="Q1120" t="n">
        <v>0.49</v>
      </c>
      <c r="R1120" t="n">
        <v>2</v>
      </c>
      <c r="S1120" t="n">
        <v>19057.5</v>
      </c>
      <c r="T1120" t="n">
        <v>44</v>
      </c>
      <c r="U1120" t="n">
        <v>47</v>
      </c>
      <c r="V1120" t="n">
        <v>30</v>
      </c>
      <c r="W1120" t="n">
        <v>21</v>
      </c>
      <c r="X1120" t="n">
        <v>44.73304473304473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4822</v>
      </c>
      <c r="AG1120" t="n">
        <v>1</v>
      </c>
      <c r="AH1120" t="inlineStr">
        <is>
          <t>PT. BERSAMA DISTRIVERSA INDONESIA (DC CIPUTAT)</t>
        </is>
      </c>
      <c r="AI1120" t="n">
        <v>1459</v>
      </c>
      <c r="AJ1120" t="inlineStr">
        <is>
          <t>FACETOLOGY</t>
        </is>
      </c>
      <c r="AK1120" t="n">
        <v>9</v>
      </c>
      <c r="AL1120" t="inlineStr">
        <is>
          <t>Miss Glam Jambi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FACETOLOGY</t>
        </is>
      </c>
      <c r="B1121" s="2">
        <f>"8994460550071"</f>
        <v/>
      </c>
      <c r="C1121" t="inlineStr">
        <is>
          <t>FACETOLOGY Triple Care Hydra Cleanse Micellar Water Calendula 300ml</t>
        </is>
      </c>
      <c r="D1121" t="inlineStr">
        <is>
          <t>Miss Glam Jambi</t>
        </is>
      </c>
      <c r="E1121" t="n">
        <v>44</v>
      </c>
      <c r="F1121" t="n">
        <v>1.2738</v>
      </c>
      <c r="G1121" t="n">
        <v>2.64</v>
      </c>
      <c r="H1121" t="n">
        <v>4</v>
      </c>
      <c r="I1121" t="n">
        <v>20</v>
      </c>
      <c r="J1121" t="n">
        <v>3</v>
      </c>
      <c r="K1121" t="n">
        <v>12</v>
      </c>
      <c r="L1121" t="n">
        <v>39643</v>
      </c>
      <c r="M1121" t="n">
        <v>46500</v>
      </c>
      <c r="N1121" t="n">
        <v>33</v>
      </c>
      <c r="O1121" t="n">
        <v>0.33</v>
      </c>
      <c r="P1121" t="n">
        <v>1</v>
      </c>
      <c r="Q1121" t="n">
        <v>0.5600000000000001</v>
      </c>
      <c r="R1121" t="n">
        <v>3</v>
      </c>
      <c r="S1121" t="n">
        <v>59231.7</v>
      </c>
      <c r="T1121" t="n">
        <v>48</v>
      </c>
      <c r="U1121" t="n">
        <v>54</v>
      </c>
      <c r="V1121" t="n">
        <v>30</v>
      </c>
      <c r="W1121" t="n">
        <v>39</v>
      </c>
      <c r="X1121" t="n">
        <v>34.54231433506045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4822</v>
      </c>
      <c r="AG1121" t="n">
        <v>1</v>
      </c>
      <c r="AH1121" t="inlineStr">
        <is>
          <t>PT. BERSAMA DISTRIVERSA INDONESIA (DC CIPUTAT)</t>
        </is>
      </c>
      <c r="AI1121" t="n">
        <v>1459</v>
      </c>
      <c r="AJ1121" t="inlineStr">
        <is>
          <t>FACETOLOGY</t>
        </is>
      </c>
      <c r="AK1121" t="n">
        <v>9</v>
      </c>
      <c r="AL1121" t="inlineStr">
        <is>
          <t>Miss Glam Jambi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FACETOLOGY</t>
        </is>
      </c>
      <c r="B1122" s="2">
        <f>"10100716252"</f>
        <v/>
      </c>
      <c r="C1122" t="inlineStr">
        <is>
          <t>FACETOLOGY Triple Care Hydra Cleanse Micellar Water With Calendula 100ml</t>
        </is>
      </c>
      <c r="D1122" t="inlineStr">
        <is>
          <t>Miss Glam Jambi</t>
        </is>
      </c>
      <c r="E1122" t="n">
        <v>29</v>
      </c>
      <c r="F1122" t="n">
        <v>0.4092</v>
      </c>
      <c r="G1122" t="n">
        <v>1.32</v>
      </c>
      <c r="H1122" t="n">
        <v>4</v>
      </c>
      <c r="I1122" t="n">
        <v>20</v>
      </c>
      <c r="J1122" t="n">
        <v>3</v>
      </c>
      <c r="K1122" t="n">
        <v>0</v>
      </c>
      <c r="L1122" t="n">
        <v>22452</v>
      </c>
      <c r="M1122" t="n">
        <v>27500</v>
      </c>
      <c r="N1122" t="n">
        <v>33</v>
      </c>
      <c r="O1122" t="n">
        <v>0.33</v>
      </c>
      <c r="P1122" t="n">
        <v>1</v>
      </c>
      <c r="Q1122" t="n">
        <v>0.32</v>
      </c>
      <c r="R1122" t="n">
        <v>2</v>
      </c>
      <c r="S1122" t="n">
        <v>11253</v>
      </c>
      <c r="T1122" t="n">
        <v>25</v>
      </c>
      <c r="U1122" t="n">
        <v>27</v>
      </c>
      <c r="V1122" t="n">
        <v>30</v>
      </c>
      <c r="W1122" t="n">
        <v>13</v>
      </c>
      <c r="X1122" t="n">
        <v>70.86999022482894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4822</v>
      </c>
      <c r="AG1122" t="n">
        <v>1</v>
      </c>
      <c r="AH1122" t="inlineStr">
        <is>
          <t>PT. BERSAMA DISTRIVERSA INDONESIA (DC CIPUTAT)</t>
        </is>
      </c>
      <c r="AI1122" t="n">
        <v>1459</v>
      </c>
      <c r="AJ1122" t="inlineStr">
        <is>
          <t>FACETOLOGY</t>
        </is>
      </c>
      <c r="AK1122" t="n">
        <v>9</v>
      </c>
      <c r="AL1122" t="inlineStr">
        <is>
          <t>Miss Glam Jambi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FACETOLOGY</t>
        </is>
      </c>
      <c r="B1123" s="2">
        <f>"8994460550163"</f>
        <v/>
      </c>
      <c r="C1123" t="inlineStr">
        <is>
          <t>FACETOLOGY Triple Care Lip Protect Sunscreen Flavoured 5ml</t>
        </is>
      </c>
      <c r="D1123" t="inlineStr">
        <is>
          <t>Miss Glam Jambi</t>
        </is>
      </c>
      <c r="E1123" t="n">
        <v>8</v>
      </c>
      <c r="F1123" t="n">
        <v>0.4752</v>
      </c>
      <c r="G1123" t="n">
        <v>1.98</v>
      </c>
      <c r="H1123" t="n">
        <v>4</v>
      </c>
      <c r="I1123" t="n">
        <v>20</v>
      </c>
      <c r="J1123" t="n">
        <v>3</v>
      </c>
      <c r="K1123" t="n">
        <v>8</v>
      </c>
      <c r="L1123" t="n">
        <v>45520</v>
      </c>
      <c r="M1123" t="n">
        <v>56000</v>
      </c>
      <c r="N1123" t="n">
        <v>33</v>
      </c>
      <c r="O1123" t="n">
        <v>0.33</v>
      </c>
      <c r="P1123" t="n">
        <v>1</v>
      </c>
      <c r="Q1123" t="n">
        <v>0.05</v>
      </c>
      <c r="R1123" t="n">
        <v>1</v>
      </c>
      <c r="S1123" t="n">
        <v>26611.2</v>
      </c>
      <c r="T1123" t="n">
        <v>38</v>
      </c>
      <c r="U1123" t="n">
        <v>40</v>
      </c>
      <c r="V1123" t="n">
        <v>30</v>
      </c>
      <c r="W1123" t="n">
        <v>15</v>
      </c>
      <c r="X1123" t="n">
        <v>16.83501683501683</v>
      </c>
      <c r="Y1123" t="n">
        <v>1</v>
      </c>
      <c r="Z1123" t="n">
        <v>0</v>
      </c>
      <c r="AA1123" t="n">
        <v>1</v>
      </c>
      <c r="AB1123" t="n">
        <v>0</v>
      </c>
      <c r="AC1123" t="n">
        <v>0</v>
      </c>
      <c r="AD1123" t="n">
        <v>45520</v>
      </c>
      <c r="AE1123" t="n">
        <v>0</v>
      </c>
      <c r="AF1123" t="n">
        <v>4822</v>
      </c>
      <c r="AG1123" t="n">
        <v>1</v>
      </c>
      <c r="AH1123" t="inlineStr">
        <is>
          <t>PT. BERSAMA DISTRIVERSA INDONESIA (DC CIPUTAT)</t>
        </is>
      </c>
      <c r="AI1123" t="n">
        <v>1459</v>
      </c>
      <c r="AJ1123" t="inlineStr">
        <is>
          <t>FACETOLOGY</t>
        </is>
      </c>
      <c r="AK1123" t="n">
        <v>9</v>
      </c>
      <c r="AL1123" t="inlineStr">
        <is>
          <t>Miss Glam Jambi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FACETOLOGY</t>
        </is>
      </c>
      <c r="B1124" s="2">
        <f>"10700320343"</f>
        <v/>
      </c>
      <c r="C1124" t="inlineStr">
        <is>
          <t>FACETOLOGY Triple Care Lip Protect Sunscreen Non Flavoured 5ml</t>
        </is>
      </c>
      <c r="D1124" t="inlineStr">
        <is>
          <t>Miss Glam Jambi</t>
        </is>
      </c>
      <c r="E1124" t="n">
        <v>12</v>
      </c>
      <c r="F1124" t="n">
        <v>0.006600000000000001</v>
      </c>
      <c r="G1124" t="n">
        <v>0.33</v>
      </c>
      <c r="H1124" t="n">
        <v>4</v>
      </c>
      <c r="I1124" t="n">
        <v>20</v>
      </c>
      <c r="J1124" t="n">
        <v>3</v>
      </c>
      <c r="K1124" t="n">
        <v>6</v>
      </c>
      <c r="L1124" t="n">
        <v>45376</v>
      </c>
      <c r="M1124" t="n">
        <v>56500</v>
      </c>
      <c r="N1124" t="n">
        <v>33</v>
      </c>
      <c r="O1124" t="n">
        <v>0.33</v>
      </c>
      <c r="P1124" t="n">
        <v>1</v>
      </c>
      <c r="Q1124" t="n">
        <v>0.25</v>
      </c>
      <c r="R1124" t="n">
        <v>3</v>
      </c>
      <c r="S1124" t="n">
        <v>372.9</v>
      </c>
      <c r="T1124" t="n">
        <v>7</v>
      </c>
      <c r="U1124" t="n">
        <v>8</v>
      </c>
      <c r="V1124" t="n">
        <v>30</v>
      </c>
      <c r="W1124" t="n">
        <v>1</v>
      </c>
      <c r="X1124" t="n">
        <v>1818.181818181818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4822</v>
      </c>
      <c r="AG1124" t="n">
        <v>1</v>
      </c>
      <c r="AH1124" t="inlineStr">
        <is>
          <t>PT. BERSAMA DISTRIVERSA INDONESIA (DC CIPUTAT)</t>
        </is>
      </c>
      <c r="AI1124" t="n">
        <v>1459</v>
      </c>
      <c r="AJ1124" t="inlineStr">
        <is>
          <t>FACETOLOGY</t>
        </is>
      </c>
      <c r="AK1124" t="n">
        <v>9</v>
      </c>
      <c r="AL1124" t="inlineStr">
        <is>
          <t>Miss Glam Jambi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FACETOLOGY</t>
        </is>
      </c>
      <c r="B1125" s="2">
        <f>"10400103323"</f>
        <v/>
      </c>
      <c r="C1125" t="inlineStr">
        <is>
          <t>FACETOLOGY Triple Care Sunscreen 40ml</t>
        </is>
      </c>
      <c r="D1125" t="inlineStr">
        <is>
          <t>Miss Glam Jambi</t>
        </is>
      </c>
      <c r="E1125" t="n">
        <v>254</v>
      </c>
      <c r="F1125" t="n">
        <v>4.0326</v>
      </c>
      <c r="G1125" t="n">
        <v>10.56</v>
      </c>
      <c r="H1125" t="n">
        <v>4</v>
      </c>
      <c r="I1125" t="n">
        <v>20</v>
      </c>
      <c r="J1125" t="n">
        <v>40</v>
      </c>
      <c r="K1125" t="n">
        <v>68</v>
      </c>
      <c r="L1125" t="n">
        <v>64398</v>
      </c>
      <c r="M1125" t="n">
        <v>72000</v>
      </c>
      <c r="N1125" t="n">
        <v>33</v>
      </c>
      <c r="O1125" t="n">
        <v>0.33</v>
      </c>
      <c r="P1125" t="n">
        <v>1</v>
      </c>
      <c r="Q1125" t="n">
        <v>3.19</v>
      </c>
      <c r="R1125" t="n">
        <v>9</v>
      </c>
      <c r="S1125" t="n">
        <v>290347.2</v>
      </c>
      <c r="T1125" t="n">
        <v>196</v>
      </c>
      <c r="U1125" t="n">
        <v>213</v>
      </c>
      <c r="V1125" t="n">
        <v>30</v>
      </c>
      <c r="W1125" t="n">
        <v>121</v>
      </c>
      <c r="X1125" t="n">
        <v>62.98665873133957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4822</v>
      </c>
      <c r="AG1125" t="n">
        <v>1</v>
      </c>
      <c r="AH1125" t="inlineStr">
        <is>
          <t>PT. BERSAMA DISTRIVERSA INDONESIA (DC CIPUTAT)</t>
        </is>
      </c>
      <c r="AI1125" t="n">
        <v>1459</v>
      </c>
      <c r="AJ1125" t="inlineStr">
        <is>
          <t>FACETOLOGY</t>
        </is>
      </c>
      <c r="AK1125" t="n">
        <v>9</v>
      </c>
      <c r="AL1125" t="inlineStr">
        <is>
          <t>Miss Glam Jambi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FACETOLOGY</t>
        </is>
      </c>
      <c r="B1126" s="2">
        <f>"10400614339"</f>
        <v/>
      </c>
      <c r="C1126" t="inlineStr">
        <is>
          <t>FACETOLOGY Triple Care Sunscreen For Oily Skin 40ml</t>
        </is>
      </c>
      <c r="D1126" t="inlineStr">
        <is>
          <t>Miss Glam Jambi</t>
        </is>
      </c>
      <c r="E1126" t="n">
        <v>88</v>
      </c>
      <c r="F1126" t="n">
        <v>2.2935</v>
      </c>
      <c r="G1126" t="n">
        <v>5.61</v>
      </c>
      <c r="H1126" t="n">
        <v>4</v>
      </c>
      <c r="I1126" t="n">
        <v>20</v>
      </c>
      <c r="J1126" t="n">
        <v>40</v>
      </c>
      <c r="K1126" t="n">
        <v>12</v>
      </c>
      <c r="L1126" t="n">
        <v>64477</v>
      </c>
      <c r="M1126" t="n">
        <v>72000</v>
      </c>
      <c r="N1126" t="n">
        <v>33</v>
      </c>
      <c r="O1126" t="n">
        <v>0.33</v>
      </c>
      <c r="P1126" t="n">
        <v>1</v>
      </c>
      <c r="Q1126" t="n">
        <v>1.63</v>
      </c>
      <c r="R1126" t="n">
        <v>6</v>
      </c>
      <c r="S1126" t="n">
        <v>165132</v>
      </c>
      <c r="T1126" t="n">
        <v>104</v>
      </c>
      <c r="U1126" t="n">
        <v>114</v>
      </c>
      <c r="V1126" t="n">
        <v>30</v>
      </c>
      <c r="W1126" t="n">
        <v>69</v>
      </c>
      <c r="X1126" t="n">
        <v>38.36930455635491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4822</v>
      </c>
      <c r="AG1126" t="n">
        <v>1</v>
      </c>
      <c r="AH1126" t="inlineStr">
        <is>
          <t>PT. BERSAMA DISTRIVERSA INDONESIA (DC CIPUTAT)</t>
        </is>
      </c>
      <c r="AI1126" t="n">
        <v>1459</v>
      </c>
      <c r="AJ1126" t="inlineStr">
        <is>
          <t>FACETOLOGY</t>
        </is>
      </c>
      <c r="AK1126" t="n">
        <v>9</v>
      </c>
      <c r="AL1126" t="inlineStr">
        <is>
          <t>Miss Glam Jambi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FACETOLOGY</t>
        </is>
      </c>
      <c r="B1127" s="2">
        <f>"10400516524"</f>
        <v/>
      </c>
      <c r="C1127" t="inlineStr">
        <is>
          <t>FACETOLOGY Triple Care Sunscreen For Oily Skin SPF 40 PA+++ 100ml</t>
        </is>
      </c>
      <c r="D1127" t="inlineStr">
        <is>
          <t>Miss Glam Jambi</t>
        </is>
      </c>
      <c r="E1127" t="n">
        <v>4</v>
      </c>
      <c r="F1127" t="n">
        <v>0.3465</v>
      </c>
      <c r="G1127" t="n">
        <v>1.65</v>
      </c>
      <c r="H1127" t="n">
        <v>4</v>
      </c>
      <c r="I1127" t="n">
        <v>20</v>
      </c>
      <c r="J1127" t="n">
        <v>1</v>
      </c>
      <c r="K1127" t="n">
        <v>7</v>
      </c>
      <c r="L1127" t="n">
        <v>124720</v>
      </c>
      <c r="M1127" t="n">
        <v>152000</v>
      </c>
      <c r="N1127" t="n">
        <v>33</v>
      </c>
      <c r="O1127" t="n">
        <v>0.33</v>
      </c>
      <c r="P1127" t="n">
        <v>1</v>
      </c>
      <c r="Q1127" t="n">
        <v>0.1</v>
      </c>
      <c r="R1127" t="n">
        <v>1</v>
      </c>
      <c r="S1127" t="n">
        <v>52668.00000000001</v>
      </c>
      <c r="T1127" t="n">
        <v>32</v>
      </c>
      <c r="U1127" t="n">
        <v>34</v>
      </c>
      <c r="V1127" t="n">
        <v>30</v>
      </c>
      <c r="W1127" t="n">
        <v>11</v>
      </c>
      <c r="X1127" t="n">
        <v>11.54401154401154</v>
      </c>
      <c r="Y1127" t="n">
        <v>1</v>
      </c>
      <c r="Z1127" t="n">
        <v>0</v>
      </c>
      <c r="AA1127" t="n">
        <v>2</v>
      </c>
      <c r="AB1127" t="n">
        <v>0</v>
      </c>
      <c r="AC1127" t="n">
        <v>0</v>
      </c>
      <c r="AD1127" t="n">
        <v>249440</v>
      </c>
      <c r="AE1127" t="n">
        <v>0</v>
      </c>
      <c r="AF1127" t="n">
        <v>4822</v>
      </c>
      <c r="AG1127" t="n">
        <v>1</v>
      </c>
      <c r="AH1127" t="inlineStr">
        <is>
          <t>PT. BERSAMA DISTRIVERSA INDONESIA (DC CIPUTAT)</t>
        </is>
      </c>
      <c r="AI1127" t="n">
        <v>1459</v>
      </c>
      <c r="AJ1127" t="inlineStr">
        <is>
          <t>FACETOLOGY</t>
        </is>
      </c>
      <c r="AK1127" t="n">
        <v>9</v>
      </c>
      <c r="AL1127" t="inlineStr">
        <is>
          <t>Miss Glam Jambi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FACETOLOGY</t>
        </is>
      </c>
      <c r="B1128" s="2">
        <f>"10400619213"</f>
        <v/>
      </c>
      <c r="C1128" t="inlineStr">
        <is>
          <t>FACETOLOGY Triple Care Sunscreen SPF30 30ml</t>
        </is>
      </c>
      <c r="D1128" t="inlineStr">
        <is>
          <t>Miss Glam Jambi</t>
        </is>
      </c>
      <c r="E1128" t="n">
        <v>10</v>
      </c>
      <c r="F1128" t="n">
        <v>1.8579</v>
      </c>
      <c r="G1128" t="n">
        <v>4.62</v>
      </c>
      <c r="H1128" t="n">
        <v>4</v>
      </c>
      <c r="I1128" t="n">
        <v>20</v>
      </c>
      <c r="J1128" t="n">
        <v>1</v>
      </c>
      <c r="K1128" t="n">
        <v>31</v>
      </c>
      <c r="L1128" t="n">
        <v>33489</v>
      </c>
      <c r="M1128" t="n">
        <v>41900</v>
      </c>
      <c r="N1128" t="n">
        <v>33</v>
      </c>
      <c r="O1128" t="n">
        <v>0.33</v>
      </c>
      <c r="P1128" t="n">
        <v>1</v>
      </c>
      <c r="Q1128" t="n">
        <v>0.44</v>
      </c>
      <c r="R1128" t="n">
        <v>6</v>
      </c>
      <c r="S1128" t="n">
        <v>77846.01000000001</v>
      </c>
      <c r="T1128" t="n">
        <v>85</v>
      </c>
      <c r="U1128" t="n">
        <v>93</v>
      </c>
      <c r="V1128" t="n">
        <v>30</v>
      </c>
      <c r="W1128" t="n">
        <v>56</v>
      </c>
      <c r="X1128" t="n">
        <v>5.382421012971634</v>
      </c>
      <c r="Y1128" t="n">
        <v>1</v>
      </c>
      <c r="Z1128" t="n">
        <v>15</v>
      </c>
      <c r="AA1128" t="n">
        <v>27</v>
      </c>
      <c r="AB1128" t="n">
        <v>0</v>
      </c>
      <c r="AC1128" t="n">
        <v>0</v>
      </c>
      <c r="AD1128" t="n">
        <v>904203</v>
      </c>
      <c r="AE1128" t="n">
        <v>0</v>
      </c>
      <c r="AF1128" t="n">
        <v>4822</v>
      </c>
      <c r="AG1128" t="n">
        <v>1</v>
      </c>
      <c r="AH1128" t="inlineStr">
        <is>
          <t>PT. BERSAMA DISTRIVERSA INDONESIA (DC CIPUTAT)</t>
        </is>
      </c>
      <c r="AI1128" t="n">
        <v>1459</v>
      </c>
      <c r="AJ1128" t="inlineStr">
        <is>
          <t>FACETOLOGY</t>
        </is>
      </c>
      <c r="AK1128" t="n">
        <v>9</v>
      </c>
      <c r="AL1128" t="inlineStr">
        <is>
          <t>Miss Glam Jambi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FAIR &amp; LOVELY</t>
        </is>
      </c>
      <c r="B1129" s="2">
        <f>"8999999579074"</f>
        <v/>
      </c>
      <c r="C1129" t="inlineStr">
        <is>
          <t>FAIR &amp; LOVELY  Vitamin C Masker Serum Bright C Glow 20gr</t>
        </is>
      </c>
      <c r="D1129" t="inlineStr">
        <is>
          <t>Miss Glam Jambi</t>
        </is>
      </c>
      <c r="E1129" t="n">
        <v>8</v>
      </c>
      <c r="F1129" t="n">
        <v>0.363</v>
      </c>
      <c r="G1129" t="n">
        <v>2.31</v>
      </c>
      <c r="H1129" t="n">
        <v>3</v>
      </c>
      <c r="I1129" t="n">
        <v>19</v>
      </c>
      <c r="J1129" t="n">
        <v>3</v>
      </c>
      <c r="K1129" t="n">
        <v>4</v>
      </c>
      <c r="L1129" t="n">
        <v>7548</v>
      </c>
      <c r="M1129" t="n">
        <v>9000</v>
      </c>
      <c r="N1129" t="n">
        <v>33</v>
      </c>
      <c r="O1129" t="n">
        <v>0.33</v>
      </c>
      <c r="P1129" t="n">
        <v>1</v>
      </c>
      <c r="Q1129" t="n">
        <v>0.41</v>
      </c>
      <c r="R1129" t="n">
        <v>3</v>
      </c>
      <c r="S1129" t="n">
        <v>3267</v>
      </c>
      <c r="T1129" t="n">
        <v>43</v>
      </c>
      <c r="U1129" t="n">
        <v>45</v>
      </c>
      <c r="V1129" t="n">
        <v>30</v>
      </c>
      <c r="W1129" t="n">
        <v>11</v>
      </c>
      <c r="X1129" t="n">
        <v>22.03856749311295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9756</v>
      </c>
      <c r="AG1129" t="n">
        <v>2206</v>
      </c>
      <c r="AH1129" t="inlineStr">
        <is>
          <t>PT. ENHA PUTRA (ONLINE CASH)</t>
        </is>
      </c>
      <c r="AI1129" t="n">
        <v>391</v>
      </c>
      <c r="AJ1129" t="inlineStr">
        <is>
          <t>FAIR &amp; LOVELY</t>
        </is>
      </c>
      <c r="AK1129" t="n">
        <v>9</v>
      </c>
      <c r="AL1129" t="inlineStr">
        <is>
          <t>Miss Glam Jambi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FAIR &amp; LOVELY</t>
        </is>
      </c>
      <c r="B1130" s="2">
        <f>"8999999055776"</f>
        <v/>
      </c>
      <c r="C1130" t="inlineStr">
        <is>
          <t>FAIR &amp; LOVELY Facial Foam 100gr</t>
        </is>
      </c>
      <c r="D1130" t="inlineStr">
        <is>
          <t>Miss Glam Jambi</t>
        </is>
      </c>
      <c r="E1130" t="n">
        <v>8</v>
      </c>
      <c r="F1130" t="n">
        <v>0.33</v>
      </c>
      <c r="G1130" t="n">
        <v>1.65</v>
      </c>
      <c r="H1130" t="n">
        <v>3</v>
      </c>
      <c r="I1130" t="n">
        <v>19</v>
      </c>
      <c r="J1130" t="n">
        <v>3</v>
      </c>
      <c r="K1130" t="n">
        <v>3</v>
      </c>
      <c r="L1130" t="n">
        <v>26449</v>
      </c>
      <c r="M1130" t="n">
        <v>30000</v>
      </c>
      <c r="N1130" t="n">
        <v>33</v>
      </c>
      <c r="O1130" t="n">
        <v>0.33</v>
      </c>
      <c r="P1130" t="n">
        <v>1</v>
      </c>
      <c r="Q1130" t="n">
        <v>0.29</v>
      </c>
      <c r="R1130" t="n">
        <v>2</v>
      </c>
      <c r="S1130" t="n">
        <v>9900</v>
      </c>
      <c r="T1130" t="n">
        <v>31</v>
      </c>
      <c r="U1130" t="n">
        <v>32</v>
      </c>
      <c r="V1130" t="n">
        <v>30</v>
      </c>
      <c r="W1130" t="n">
        <v>10</v>
      </c>
      <c r="X1130" t="n">
        <v>24.24242424242424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9756</v>
      </c>
      <c r="AG1130" t="n">
        <v>2206</v>
      </c>
      <c r="AH1130" t="inlineStr">
        <is>
          <t>PT. ENHA PUTRA (ONLINE CASH)</t>
        </is>
      </c>
      <c r="AI1130" t="n">
        <v>391</v>
      </c>
      <c r="AJ1130" t="inlineStr">
        <is>
          <t>FAIR &amp; LOVELY</t>
        </is>
      </c>
      <c r="AK1130" t="n">
        <v>9</v>
      </c>
      <c r="AL1130" t="inlineStr">
        <is>
          <t>Miss Glam Jambi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FAIR &amp; LOVELY</t>
        </is>
      </c>
      <c r="B1131" s="2">
        <f>"8999999055769"</f>
        <v/>
      </c>
      <c r="C1131" t="inlineStr">
        <is>
          <t>FAIR &amp; LOVELY Facial Foam 50gr</t>
        </is>
      </c>
      <c r="D1131" t="inlineStr">
        <is>
          <t>Miss Glam Jambi</t>
        </is>
      </c>
      <c r="E1131" t="n">
        <v>3</v>
      </c>
      <c r="F1131" t="n">
        <v>0.3234</v>
      </c>
      <c r="G1131" t="n">
        <v>0.99</v>
      </c>
      <c r="H1131" t="n">
        <v>3</v>
      </c>
      <c r="I1131" t="n">
        <v>19</v>
      </c>
      <c r="J1131" t="n">
        <v>3</v>
      </c>
      <c r="K1131" t="n">
        <v>3</v>
      </c>
      <c r="L1131" t="n">
        <v>15792</v>
      </c>
      <c r="M1131" t="n">
        <v>18000</v>
      </c>
      <c r="N1131" t="n">
        <v>33</v>
      </c>
      <c r="O1131" t="n">
        <v>0.33</v>
      </c>
      <c r="P1131" t="n">
        <v>1</v>
      </c>
      <c r="Q1131" t="n">
        <v>0.07000000000000001</v>
      </c>
      <c r="R1131" t="n">
        <v>3</v>
      </c>
      <c r="S1131" t="n">
        <v>5821.200000000001</v>
      </c>
      <c r="T1131" t="n">
        <v>18</v>
      </c>
      <c r="U1131" t="n">
        <v>19</v>
      </c>
      <c r="V1131" t="n">
        <v>30</v>
      </c>
      <c r="W1131" t="n">
        <v>10</v>
      </c>
      <c r="X1131" t="n">
        <v>9.276437847866418</v>
      </c>
      <c r="Y1131" t="n">
        <v>1</v>
      </c>
      <c r="Z1131" t="n">
        <v>4</v>
      </c>
      <c r="AA1131" t="n">
        <v>3</v>
      </c>
      <c r="AB1131" t="n">
        <v>1</v>
      </c>
      <c r="AC1131" t="n">
        <v>3</v>
      </c>
      <c r="AD1131" t="n">
        <v>47376</v>
      </c>
      <c r="AE1131" t="n">
        <v>47376</v>
      </c>
      <c r="AF1131" t="n">
        <v>9756</v>
      </c>
      <c r="AG1131" t="n">
        <v>2206</v>
      </c>
      <c r="AH1131" t="inlineStr">
        <is>
          <t>PT. ENHA PUTRA (ONLINE CASH)</t>
        </is>
      </c>
      <c r="AI1131" t="n">
        <v>391</v>
      </c>
      <c r="AJ1131" t="inlineStr">
        <is>
          <t>FAIR &amp; LOVELY</t>
        </is>
      </c>
      <c r="AK1131" t="n">
        <v>9</v>
      </c>
      <c r="AL1131" t="inlineStr">
        <is>
          <t>Miss Glam Jambi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FAIR &amp; LOVELY</t>
        </is>
      </c>
      <c r="B1132" s="2">
        <f>"8999999007782"</f>
        <v/>
      </c>
      <c r="C1132" t="inlineStr">
        <is>
          <t>FAIR &amp; LOVELY Multi Vitamin Cream 25gr</t>
        </is>
      </c>
      <c r="D1132" t="inlineStr">
        <is>
          <t>Miss Glam Jambi</t>
        </is>
      </c>
      <c r="E1132" t="n">
        <v>6</v>
      </c>
      <c r="F1132" t="n">
        <v>0.1551</v>
      </c>
      <c r="G1132" t="n">
        <v>0.99</v>
      </c>
      <c r="H1132" t="n">
        <v>3</v>
      </c>
      <c r="I1132" t="n">
        <v>19</v>
      </c>
      <c r="J1132" t="n">
        <v>3</v>
      </c>
      <c r="K1132" t="n">
        <v>0</v>
      </c>
      <c r="L1132" t="n">
        <v>18447</v>
      </c>
      <c r="M1132" t="n">
        <v>22000</v>
      </c>
      <c r="N1132" t="n">
        <v>33</v>
      </c>
      <c r="O1132" t="n">
        <v>0.33</v>
      </c>
      <c r="P1132" t="n">
        <v>1</v>
      </c>
      <c r="Q1132" t="n">
        <v>0.1</v>
      </c>
      <c r="R1132" t="n">
        <v>2</v>
      </c>
      <c r="S1132" t="n">
        <v>3412.2</v>
      </c>
      <c r="T1132" t="n">
        <v>19</v>
      </c>
      <c r="U1132" t="n">
        <v>20</v>
      </c>
      <c r="V1132" t="n">
        <v>30</v>
      </c>
      <c r="W1132" t="n">
        <v>5</v>
      </c>
      <c r="X1132" t="n">
        <v>38.68471953578337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9756</v>
      </c>
      <c r="AG1132" t="n">
        <v>2206</v>
      </c>
      <c r="AH1132" t="inlineStr">
        <is>
          <t>PT. ENHA PUTRA (ONLINE CASH)</t>
        </is>
      </c>
      <c r="AI1132" t="n">
        <v>391</v>
      </c>
      <c r="AJ1132" t="inlineStr">
        <is>
          <t>FAIR &amp; LOVELY</t>
        </is>
      </c>
      <c r="AK1132" t="n">
        <v>9</v>
      </c>
      <c r="AL1132" t="inlineStr">
        <is>
          <t>Miss Glam Jambi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FAIR &amp; LOVELY</t>
        </is>
      </c>
      <c r="B1133" s="2">
        <f>"8999999520892"</f>
        <v/>
      </c>
      <c r="C1133" t="inlineStr">
        <is>
          <t>FAIR &amp; LOVELY Powder Cream 20gr</t>
        </is>
      </c>
      <c r="D1133" t="inlineStr">
        <is>
          <t>Miss Glam Jambi</t>
        </is>
      </c>
      <c r="E1133" t="n">
        <v>5</v>
      </c>
      <c r="F1133" t="n">
        <v>0.1782</v>
      </c>
      <c r="G1133" t="n">
        <v>1.32</v>
      </c>
      <c r="H1133" t="n">
        <v>3</v>
      </c>
      <c r="I1133" t="n">
        <v>19</v>
      </c>
      <c r="J1133" t="n">
        <v>3</v>
      </c>
      <c r="K1133" t="n">
        <v>0</v>
      </c>
      <c r="L1133" t="n">
        <v>22970</v>
      </c>
      <c r="M1133" t="n">
        <v>27500</v>
      </c>
      <c r="N1133" t="n">
        <v>33</v>
      </c>
      <c r="O1133" t="n">
        <v>0.33</v>
      </c>
      <c r="P1133" t="n">
        <v>1</v>
      </c>
      <c r="Q1133" t="n">
        <v>0.14</v>
      </c>
      <c r="R1133" t="n">
        <v>1</v>
      </c>
      <c r="S1133" t="n">
        <v>4900.500000000001</v>
      </c>
      <c r="T1133" t="n">
        <v>25</v>
      </c>
      <c r="U1133" t="n">
        <v>26</v>
      </c>
      <c r="V1133" t="n">
        <v>30</v>
      </c>
      <c r="W1133" t="n">
        <v>6</v>
      </c>
      <c r="X1133" t="n">
        <v>28.05836139169472</v>
      </c>
      <c r="Y1133" t="n">
        <v>1</v>
      </c>
      <c r="Z1133" t="n">
        <v>1</v>
      </c>
      <c r="AA1133" t="n">
        <v>0</v>
      </c>
      <c r="AB1133" t="n">
        <v>1</v>
      </c>
      <c r="AC1133" t="n">
        <v>3</v>
      </c>
      <c r="AD1133" t="n">
        <v>0</v>
      </c>
      <c r="AE1133" t="n">
        <v>68910</v>
      </c>
      <c r="AF1133" t="n">
        <v>9756</v>
      </c>
      <c r="AG1133" t="n">
        <v>2206</v>
      </c>
      <c r="AH1133" t="inlineStr">
        <is>
          <t>PT. ENHA PUTRA (ONLINE CASH)</t>
        </is>
      </c>
      <c r="AI1133" t="n">
        <v>391</v>
      </c>
      <c r="AJ1133" t="inlineStr">
        <is>
          <t>FAIR &amp; LOVELY</t>
        </is>
      </c>
      <c r="AK1133" t="n">
        <v>9</v>
      </c>
      <c r="AL1133" t="inlineStr">
        <is>
          <t>Miss Glam Jambi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FAIR &amp; LOVELY</t>
        </is>
      </c>
      <c r="B1134" s="2">
        <f>"8999999523787"</f>
        <v/>
      </c>
      <c r="C1134" t="inlineStr">
        <is>
          <t>FAIR &amp; LOVELY Powder Cream 50gr</t>
        </is>
      </c>
      <c r="D1134" t="inlineStr">
        <is>
          <t>Miss Glam Jambi</t>
        </is>
      </c>
      <c r="E1134" t="n">
        <v>2</v>
      </c>
      <c r="F1134" t="n">
        <v>0.0825</v>
      </c>
      <c r="G1134" t="n">
        <v>0.33</v>
      </c>
      <c r="H1134" t="n">
        <v>3</v>
      </c>
      <c r="I1134" t="n">
        <v>19</v>
      </c>
      <c r="J1134" t="n">
        <v>3</v>
      </c>
      <c r="K1134" t="n">
        <v>3</v>
      </c>
      <c r="L1134" t="n">
        <v>41828</v>
      </c>
      <c r="M1134" t="n">
        <v>50500</v>
      </c>
      <c r="N1134" t="n">
        <v>33</v>
      </c>
      <c r="O1134" t="n">
        <v>0.33</v>
      </c>
      <c r="P1134" t="n">
        <v>1</v>
      </c>
      <c r="Q1134" t="n">
        <v>0.03</v>
      </c>
      <c r="R1134" t="n">
        <v>1</v>
      </c>
      <c r="S1134" t="n">
        <v>4166.25</v>
      </c>
      <c r="T1134" t="n">
        <v>7</v>
      </c>
      <c r="U1134" t="n">
        <v>8</v>
      </c>
      <c r="V1134" t="n">
        <v>30</v>
      </c>
      <c r="W1134" t="n">
        <v>3</v>
      </c>
      <c r="X1134" t="n">
        <v>24.24242424242424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9756</v>
      </c>
      <c r="AG1134" t="n">
        <v>2206</v>
      </c>
      <c r="AH1134" t="inlineStr">
        <is>
          <t>PT. ENHA PUTRA (ONLINE CASH)</t>
        </is>
      </c>
      <c r="AI1134" t="n">
        <v>391</v>
      </c>
      <c r="AJ1134" t="inlineStr">
        <is>
          <t>FAIR &amp; LOVELY</t>
        </is>
      </c>
      <c r="AK1134" t="n">
        <v>9</v>
      </c>
      <c r="AL1134" t="inlineStr">
        <is>
          <t>Miss Glam Jambi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FAIR &amp; LOVELY</t>
        </is>
      </c>
      <c r="B1135" s="2">
        <f>"8999999552442"</f>
        <v/>
      </c>
      <c r="C1135" t="inlineStr">
        <is>
          <t>FAIR &amp; LOVELY Vita Glow Serum Sheet Mask 20gr</t>
        </is>
      </c>
      <c r="D1135" t="inlineStr">
        <is>
          <t>Miss Glam Jambi</t>
        </is>
      </c>
      <c r="E1135" t="n">
        <v>71</v>
      </c>
      <c r="F1135" t="n">
        <v>0.3366</v>
      </c>
      <c r="G1135" t="n">
        <v>1.65</v>
      </c>
      <c r="H1135" t="n">
        <v>3</v>
      </c>
      <c r="I1135" t="n">
        <v>19</v>
      </c>
      <c r="J1135" t="n">
        <v>3</v>
      </c>
      <c r="K1135" t="n">
        <v>0</v>
      </c>
      <c r="L1135" t="n">
        <v>7489</v>
      </c>
      <c r="M1135" t="n">
        <v>11000</v>
      </c>
      <c r="N1135" t="n">
        <v>33</v>
      </c>
      <c r="O1135" t="n">
        <v>0.33</v>
      </c>
      <c r="P1135" t="n">
        <v>1</v>
      </c>
      <c r="Q1135" t="n">
        <v>1.08</v>
      </c>
      <c r="R1135" t="n">
        <v>7</v>
      </c>
      <c r="S1135" t="n">
        <v>3702.6</v>
      </c>
      <c r="T1135" t="n">
        <v>31</v>
      </c>
      <c r="U1135" t="n">
        <v>33</v>
      </c>
      <c r="V1135" t="n">
        <v>30</v>
      </c>
      <c r="W1135" t="n">
        <v>11</v>
      </c>
      <c r="X1135" t="n">
        <v>210.9328579916815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9756</v>
      </c>
      <c r="AG1135" t="n">
        <v>2206</v>
      </c>
      <c r="AH1135" t="inlineStr">
        <is>
          <t>PT. ENHA PUTRA (ONLINE CASH)</t>
        </is>
      </c>
      <c r="AI1135" t="n">
        <v>391</v>
      </c>
      <c r="AJ1135" t="inlineStr">
        <is>
          <t>FAIR &amp; LOVELY</t>
        </is>
      </c>
      <c r="AK1135" t="n">
        <v>9</v>
      </c>
      <c r="AL1135" t="inlineStr">
        <is>
          <t>Miss Glam Jambi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FAIR &amp; LOVELY</t>
        </is>
      </c>
      <c r="B1136" s="2">
        <f>"8999999589400"</f>
        <v/>
      </c>
      <c r="C1136" t="inlineStr">
        <is>
          <t>FAIR&amp;LOVELY Ultimate UV Duo Krim Vit C Serum Sunscreen Spf 35 PA+++ 20gr</t>
        </is>
      </c>
      <c r="D1136" t="inlineStr">
        <is>
          <t>Miss Glam Jambi</t>
        </is>
      </c>
      <c r="E1136" t="n">
        <v>2</v>
      </c>
      <c r="F1136" t="n">
        <v>0.1518</v>
      </c>
      <c r="G1136" t="n">
        <v>0.66</v>
      </c>
      <c r="H1136" t="n">
        <v>3</v>
      </c>
      <c r="I1136" t="n">
        <v>19</v>
      </c>
      <c r="J1136" t="n">
        <v>3</v>
      </c>
      <c r="K1136" t="n">
        <v>3</v>
      </c>
      <c r="L1136" t="n">
        <v>16307</v>
      </c>
      <c r="M1136" t="n">
        <v>21000</v>
      </c>
      <c r="N1136" t="n">
        <v>33</v>
      </c>
      <c r="O1136" t="n">
        <v>0.33</v>
      </c>
      <c r="P1136" t="n">
        <v>1</v>
      </c>
      <c r="Q1136" t="n">
        <v>0.02</v>
      </c>
      <c r="R1136" t="n">
        <v>1</v>
      </c>
      <c r="S1136" t="n">
        <v>3187.8</v>
      </c>
      <c r="T1136" t="n">
        <v>13</v>
      </c>
      <c r="U1136" t="n">
        <v>14</v>
      </c>
      <c r="V1136" t="n">
        <v>30</v>
      </c>
      <c r="W1136" t="n">
        <v>5</v>
      </c>
      <c r="X1136" t="n">
        <v>13.17523056653491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9756</v>
      </c>
      <c r="AG1136" t="n">
        <v>2206</v>
      </c>
      <c r="AH1136" t="inlineStr">
        <is>
          <t>PT. ENHA PUTRA (ONLINE CASH)</t>
        </is>
      </c>
      <c r="AI1136" t="n">
        <v>391</v>
      </c>
      <c r="AJ1136" t="inlineStr">
        <is>
          <t>FAIR &amp; LOVELY</t>
        </is>
      </c>
      <c r="AK1136" t="n">
        <v>9</v>
      </c>
      <c r="AL1136" t="inlineStr">
        <is>
          <t>Miss Glam Jambi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FANBO</t>
        </is>
      </c>
      <c r="B1137" s="2">
        <f>"8993102697594"</f>
        <v/>
      </c>
      <c r="C1137" t="inlineStr">
        <is>
          <t>FANBO Acne Solution Facial Foam 100ml</t>
        </is>
      </c>
      <c r="D1137" t="inlineStr">
        <is>
          <t>Miss Glam Jambi</t>
        </is>
      </c>
      <c r="E1137" t="n">
        <v>3</v>
      </c>
      <c r="F1137" t="n">
        <v>0.0264</v>
      </c>
      <c r="G1137" t="n">
        <v>1.65</v>
      </c>
      <c r="H1137" t="n">
        <v>2</v>
      </c>
      <c r="I1137" t="n">
        <v>6</v>
      </c>
      <c r="J1137" t="n">
        <v>3</v>
      </c>
      <c r="K1137" t="n">
        <v>0</v>
      </c>
      <c r="L1137" t="n">
        <v>29003</v>
      </c>
      <c r="M1137" t="n">
        <v>35000</v>
      </c>
      <c r="N1137" t="n">
        <v>33</v>
      </c>
      <c r="O1137" t="n">
        <v>0.33</v>
      </c>
      <c r="P1137" t="n">
        <v>1</v>
      </c>
      <c r="Q1137" t="n">
        <v>0.03</v>
      </c>
      <c r="R1137" t="n">
        <v>1</v>
      </c>
      <c r="S1137" t="n">
        <v>924.0000000000001</v>
      </c>
      <c r="T1137" t="n">
        <v>10</v>
      </c>
      <c r="U1137" t="n">
        <v>11</v>
      </c>
      <c r="V1137" t="n">
        <v>30</v>
      </c>
      <c r="W1137" t="n">
        <v>1</v>
      </c>
      <c r="X1137" t="n">
        <v>113.6363636363636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1370</v>
      </c>
      <c r="AG1137" t="n">
        <v>2136</v>
      </c>
      <c r="AH1137" t="inlineStr">
        <is>
          <t>CV. SAMUDRA JAYA ABADI - PPN (JMB)</t>
        </is>
      </c>
      <c r="AI1137" t="n">
        <v>70</v>
      </c>
      <c r="AJ1137" t="inlineStr">
        <is>
          <t>FANBO</t>
        </is>
      </c>
      <c r="AK1137" t="n">
        <v>9</v>
      </c>
      <c r="AL1137" t="inlineStr">
        <is>
          <t>Miss Glam Jambi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FANBO</t>
        </is>
      </c>
      <c r="B1138" s="2">
        <f>"8993102707651"</f>
        <v/>
      </c>
      <c r="C1138" t="inlineStr">
        <is>
          <t>FANBO Daily Sun Protection Acne Rescue SPF  35 PA++++ 30g</t>
        </is>
      </c>
      <c r="D1138" t="inlineStr">
        <is>
          <t>Miss Glam Jambi</t>
        </is>
      </c>
      <c r="E1138" t="n">
        <v>2</v>
      </c>
      <c r="F1138" t="n">
        <v>0.009900000000000001</v>
      </c>
      <c r="G1138" t="n">
        <v>0.33</v>
      </c>
      <c r="H1138" t="n">
        <v>2</v>
      </c>
      <c r="I1138" t="n">
        <v>6</v>
      </c>
      <c r="J1138" t="n">
        <v>3</v>
      </c>
      <c r="K1138" t="n">
        <v>0</v>
      </c>
      <c r="L1138" t="n">
        <v>41225</v>
      </c>
      <c r="M1138" t="n">
        <v>50000</v>
      </c>
      <c r="N1138" t="n">
        <v>33</v>
      </c>
      <c r="O1138" t="n">
        <v>0.33</v>
      </c>
      <c r="P1138" t="n">
        <v>1</v>
      </c>
      <c r="Q1138" t="n">
        <v>0.02</v>
      </c>
      <c r="R1138" t="n">
        <v>1</v>
      </c>
      <c r="S1138" t="n">
        <v>495.0000000000001</v>
      </c>
      <c r="T1138" t="n">
        <v>2</v>
      </c>
      <c r="U1138" t="n">
        <v>3</v>
      </c>
      <c r="V1138" t="n">
        <v>30</v>
      </c>
      <c r="W1138" t="n">
        <v>1</v>
      </c>
      <c r="X1138" t="n">
        <v>202.020202020202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1370</v>
      </c>
      <c r="AG1138" t="n">
        <v>2136</v>
      </c>
      <c r="AH1138" t="inlineStr">
        <is>
          <t>CV. SAMUDRA JAYA ABADI - PPN (JMB)</t>
        </is>
      </c>
      <c r="AI1138" t="n">
        <v>70</v>
      </c>
      <c r="AJ1138" t="inlineStr">
        <is>
          <t>FANBO</t>
        </is>
      </c>
      <c r="AK1138" t="n">
        <v>9</v>
      </c>
      <c r="AL1138" t="inlineStr">
        <is>
          <t>Miss Glam Jambi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FANBO</t>
        </is>
      </c>
      <c r="B1139" s="2">
        <f>"8993102684235"</f>
        <v/>
      </c>
      <c r="C1139" t="inlineStr">
        <is>
          <t>FANBO Fanbo Fantastic Eyebrow Black</t>
        </is>
      </c>
      <c r="D1139" t="inlineStr">
        <is>
          <t>Miss Glam Jambi</t>
        </is>
      </c>
      <c r="E1139" t="n">
        <v>0</v>
      </c>
      <c r="F1139" t="n">
        <v>0.066</v>
      </c>
      <c r="G1139" t="n">
        <v>0.33</v>
      </c>
      <c r="H1139" t="n">
        <v>2</v>
      </c>
      <c r="I1139" t="n">
        <v>6</v>
      </c>
      <c r="J1139" t="n">
        <v>3</v>
      </c>
      <c r="K1139" t="n">
        <v>0</v>
      </c>
      <c r="L1139" t="n">
        <v>30070</v>
      </c>
      <c r="M1139" t="n">
        <v>35000</v>
      </c>
      <c r="N1139" t="n">
        <v>33</v>
      </c>
      <c r="O1139" t="n">
        <v>0.33</v>
      </c>
      <c r="P1139" t="n">
        <v>1</v>
      </c>
      <c r="Q1139" t="n">
        <v>0.17</v>
      </c>
      <c r="R1139" t="n">
        <v>3</v>
      </c>
      <c r="S1139" t="n">
        <v>2310</v>
      </c>
      <c r="T1139" t="n">
        <v>2</v>
      </c>
      <c r="U1139" t="n">
        <v>3</v>
      </c>
      <c r="V1139" t="n">
        <v>30</v>
      </c>
      <c r="W1139" t="n">
        <v>2</v>
      </c>
      <c r="X1139" t="n">
        <v>0</v>
      </c>
      <c r="Y1139" t="n">
        <v>1</v>
      </c>
      <c r="Z1139" t="n">
        <v>2</v>
      </c>
      <c r="AA1139" t="n">
        <v>1</v>
      </c>
      <c r="AB1139" t="n">
        <v>1</v>
      </c>
      <c r="AC1139" t="n">
        <v>3</v>
      </c>
      <c r="AD1139" t="n">
        <v>30070</v>
      </c>
      <c r="AE1139" t="n">
        <v>90210</v>
      </c>
      <c r="AF1139" t="n">
        <v>1370</v>
      </c>
      <c r="AG1139" t="n">
        <v>2136</v>
      </c>
      <c r="AH1139" t="inlineStr">
        <is>
          <t>CV. SAMUDRA JAYA ABADI - PPN (JMB)</t>
        </is>
      </c>
      <c r="AI1139" t="n">
        <v>70</v>
      </c>
      <c r="AJ1139" t="inlineStr">
        <is>
          <t>FANBO</t>
        </is>
      </c>
      <c r="AK1139" t="n">
        <v>9</v>
      </c>
      <c r="AL1139" t="inlineStr">
        <is>
          <t>Miss Glam Jambi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FANBO</t>
        </is>
      </c>
      <c r="B1140" s="2">
        <f>"8993102705329"</f>
        <v/>
      </c>
      <c r="C1140" t="inlineStr">
        <is>
          <t>FANBO Fruity Punch Lip Balm Orange 3gr</t>
        </is>
      </c>
      <c r="D1140" t="inlineStr">
        <is>
          <t>Miss Glam Jambi</t>
        </is>
      </c>
      <c r="E1140" t="n">
        <v>7</v>
      </c>
      <c r="F1140" t="n">
        <v>0.009900000000000001</v>
      </c>
      <c r="G1140" t="n">
        <v>0.33</v>
      </c>
      <c r="H1140" t="n">
        <v>2</v>
      </c>
      <c r="I1140" t="n">
        <v>6</v>
      </c>
      <c r="J1140" t="n">
        <v>3</v>
      </c>
      <c r="K1140" t="n">
        <v>0</v>
      </c>
      <c r="L1140" t="n">
        <v>27646</v>
      </c>
      <c r="M1140" t="n">
        <v>35000</v>
      </c>
      <c r="N1140" t="n">
        <v>33</v>
      </c>
      <c r="O1140" t="n">
        <v>0.33</v>
      </c>
      <c r="P1140" t="n">
        <v>1</v>
      </c>
      <c r="Q1140" t="n">
        <v>0.03</v>
      </c>
      <c r="R1140" t="n">
        <v>1</v>
      </c>
      <c r="S1140" t="n">
        <v>346.5000000000001</v>
      </c>
      <c r="T1140" t="n">
        <v>2</v>
      </c>
      <c r="U1140" t="n">
        <v>3</v>
      </c>
      <c r="V1140" t="n">
        <v>30</v>
      </c>
      <c r="W1140" t="n">
        <v>1</v>
      </c>
      <c r="X1140" t="n">
        <v>707.070707070707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1370</v>
      </c>
      <c r="AG1140" t="n">
        <v>2136</v>
      </c>
      <c r="AH1140" t="inlineStr">
        <is>
          <t>CV. SAMUDRA JAYA ABADI - PPN (JMB)</t>
        </is>
      </c>
      <c r="AI1140" t="n">
        <v>70</v>
      </c>
      <c r="AJ1140" t="inlineStr">
        <is>
          <t>FANBO</t>
        </is>
      </c>
      <c r="AK1140" t="n">
        <v>9</v>
      </c>
      <c r="AL1140" t="inlineStr">
        <is>
          <t>Miss Glam Jambi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FANBO</t>
        </is>
      </c>
      <c r="B1141" s="2">
        <f>"8993102683856"</f>
        <v/>
      </c>
      <c r="C1141" t="inlineStr">
        <is>
          <t>FANBO Gold Eyebrow Black 1,6gr</t>
        </is>
      </c>
      <c r="D1141" t="inlineStr">
        <is>
          <t>Miss Glam Jambi</t>
        </is>
      </c>
      <c r="E1141" t="n">
        <v>4</v>
      </c>
      <c r="F1141" t="n">
        <v>0.0165</v>
      </c>
      <c r="G1141" t="n">
        <v>0.33</v>
      </c>
      <c r="H1141" t="n">
        <v>2</v>
      </c>
      <c r="I1141" t="n">
        <v>6</v>
      </c>
      <c r="J1141" t="n">
        <v>3</v>
      </c>
      <c r="K1141" t="n">
        <v>0</v>
      </c>
      <c r="L1141" t="n">
        <v>29101</v>
      </c>
      <c r="M1141" t="n">
        <v>33500</v>
      </c>
      <c r="N1141" t="n">
        <v>33</v>
      </c>
      <c r="O1141" t="n">
        <v>0.33</v>
      </c>
      <c r="P1141" t="n">
        <v>1</v>
      </c>
      <c r="Q1141" t="n">
        <v>0.15</v>
      </c>
      <c r="R1141" t="n">
        <v>1</v>
      </c>
      <c r="S1141" t="n">
        <v>552.75</v>
      </c>
      <c r="T1141" t="n">
        <v>2</v>
      </c>
      <c r="U1141" t="n">
        <v>3</v>
      </c>
      <c r="V1141" t="n">
        <v>30</v>
      </c>
      <c r="W1141" t="n">
        <v>1</v>
      </c>
      <c r="X1141" t="n">
        <v>242.4242424242424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1370</v>
      </c>
      <c r="AG1141" t="n">
        <v>2136</v>
      </c>
      <c r="AH1141" t="inlineStr">
        <is>
          <t>CV. SAMUDRA JAYA ABADI - PPN (JMB)</t>
        </is>
      </c>
      <c r="AI1141" t="n">
        <v>70</v>
      </c>
      <c r="AJ1141" t="inlineStr">
        <is>
          <t>FANBO</t>
        </is>
      </c>
      <c r="AK1141" t="n">
        <v>9</v>
      </c>
      <c r="AL1141" t="inlineStr">
        <is>
          <t>Miss Glam Jambi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FANBO</t>
        </is>
      </c>
      <c r="B1142" s="2">
        <f>"8993102683863"</f>
        <v/>
      </c>
      <c r="C1142" t="inlineStr">
        <is>
          <t>FANBO Gold Eyebrow Brown 1,6gr</t>
        </is>
      </c>
      <c r="D1142" t="inlineStr">
        <is>
          <t>Miss Glam Jambi</t>
        </is>
      </c>
      <c r="E1142" t="n">
        <v>8</v>
      </c>
      <c r="F1142" t="n">
        <v>0.1947</v>
      </c>
      <c r="G1142" t="n">
        <v>1.32</v>
      </c>
      <c r="H1142" t="n">
        <v>2</v>
      </c>
      <c r="I1142" t="n">
        <v>6</v>
      </c>
      <c r="J1142" t="n">
        <v>3</v>
      </c>
      <c r="K1142" t="n">
        <v>0</v>
      </c>
      <c r="L1142" t="n">
        <v>29101</v>
      </c>
      <c r="M1142" t="n">
        <v>37000</v>
      </c>
      <c r="N1142" t="n">
        <v>33</v>
      </c>
      <c r="O1142" t="n">
        <v>0.33</v>
      </c>
      <c r="P1142" t="n">
        <v>1</v>
      </c>
      <c r="Q1142" t="n">
        <v>0.54</v>
      </c>
      <c r="R1142" t="n">
        <v>2</v>
      </c>
      <c r="S1142" t="n">
        <v>7203.900000000001</v>
      </c>
      <c r="T1142" t="n">
        <v>8</v>
      </c>
      <c r="U1142" t="n">
        <v>9</v>
      </c>
      <c r="V1142" t="n">
        <v>30</v>
      </c>
      <c r="W1142" t="n">
        <v>6</v>
      </c>
      <c r="X1142" t="n">
        <v>41.08885464817668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1370</v>
      </c>
      <c r="AG1142" t="n">
        <v>2136</v>
      </c>
      <c r="AH1142" t="inlineStr">
        <is>
          <t>CV. SAMUDRA JAYA ABADI - PPN (JMB)</t>
        </is>
      </c>
      <c r="AI1142" t="n">
        <v>70</v>
      </c>
      <c r="AJ1142" t="inlineStr">
        <is>
          <t>FANBO</t>
        </is>
      </c>
      <c r="AK1142" t="n">
        <v>9</v>
      </c>
      <c r="AL1142" t="inlineStr">
        <is>
          <t>Miss Glam Jambi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FANBO</t>
        </is>
      </c>
      <c r="B1143" s="2">
        <f>"8993102697914"</f>
        <v/>
      </c>
      <c r="C1143" t="inlineStr">
        <is>
          <t>FANBO Precious White Eyeliner Pen 1ml</t>
        </is>
      </c>
      <c r="D1143" t="inlineStr">
        <is>
          <t>Miss Glam Jambi</t>
        </is>
      </c>
      <c r="E1143" t="n">
        <v>3</v>
      </c>
      <c r="F1143" t="n">
        <v>0.02</v>
      </c>
      <c r="G1143" t="n">
        <v>1</v>
      </c>
      <c r="H1143" t="n">
        <v>2</v>
      </c>
      <c r="I1143" t="n">
        <v>6</v>
      </c>
      <c r="J1143" t="n">
        <v>3</v>
      </c>
      <c r="K1143" t="n">
        <v>0</v>
      </c>
      <c r="L1143" t="n">
        <v>52380</v>
      </c>
      <c r="M1143" t="n">
        <v>60500</v>
      </c>
      <c r="N1143" t="n">
        <v>33</v>
      </c>
      <c r="O1143" t="n">
        <v>0.33</v>
      </c>
      <c r="P1143" t="n">
        <v>0</v>
      </c>
      <c r="Q1143" t="n">
        <v>0.02</v>
      </c>
      <c r="R1143" t="n">
        <v>1</v>
      </c>
      <c r="S1143" t="n">
        <v>1210</v>
      </c>
      <c r="T1143" t="n">
        <v>6</v>
      </c>
      <c r="U1143" t="n">
        <v>7</v>
      </c>
      <c r="V1143" t="n">
        <v>30</v>
      </c>
      <c r="W1143" t="n">
        <v>1</v>
      </c>
      <c r="X1143" t="n">
        <v>150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1370</v>
      </c>
      <c r="AG1143" t="n">
        <v>2136</v>
      </c>
      <c r="AH1143" t="inlineStr">
        <is>
          <t>CV. SAMUDRA JAYA ABADI - PPN (JMB)</t>
        </is>
      </c>
      <c r="AI1143" t="n">
        <v>70</v>
      </c>
      <c r="AJ1143" t="inlineStr">
        <is>
          <t>FANBO</t>
        </is>
      </c>
      <c r="AK1143" t="n">
        <v>9</v>
      </c>
      <c r="AL1143" t="inlineStr">
        <is>
          <t>Miss Glam Jambi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FAV BEAUTY</t>
        </is>
      </c>
      <c r="B1144" s="2">
        <f>"10500637603"</f>
        <v/>
      </c>
      <c r="C1144" t="inlineStr">
        <is>
          <t>FAV BEAUTY Yogurt Acne Care Peel Off Mask Cica + Tea Tree 100gr</t>
        </is>
      </c>
      <c r="D1144" t="inlineStr">
        <is>
          <t>Miss Glam Jambi</t>
        </is>
      </c>
      <c r="E1144" t="n">
        <v>23</v>
      </c>
      <c r="F1144" t="n">
        <v>0.2079</v>
      </c>
      <c r="G1144" t="n">
        <v>1.32</v>
      </c>
      <c r="H1144" t="n">
        <v>4</v>
      </c>
      <c r="I1144" t="n">
        <v>5</v>
      </c>
      <c r="J1144" t="n">
        <v>1</v>
      </c>
      <c r="K1144" t="n">
        <v>0</v>
      </c>
      <c r="L1144" t="n">
        <v>33205</v>
      </c>
      <c r="M1144" t="n">
        <v>55000</v>
      </c>
      <c r="N1144" t="n">
        <v>33</v>
      </c>
      <c r="O1144" t="n">
        <v>0.33</v>
      </c>
      <c r="P1144" t="n">
        <v>1</v>
      </c>
      <c r="Q1144" t="n">
        <v>0.14</v>
      </c>
      <c r="R1144" t="n">
        <v>1</v>
      </c>
      <c r="S1144" t="n">
        <v>11434.5</v>
      </c>
      <c r="T1144" t="n">
        <v>6</v>
      </c>
      <c r="U1144" t="n">
        <v>7</v>
      </c>
      <c r="V1144" t="n">
        <v>30</v>
      </c>
      <c r="W1144" t="n">
        <v>7</v>
      </c>
      <c r="X1144" t="n">
        <v>110.6301106301106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2062</v>
      </c>
      <c r="AG1144" t="n">
        <v>3395</v>
      </c>
      <c r="AH1144" t="inlineStr">
        <is>
          <t>PT CAHAYA AYU ABADI  - NON PPN (PLB)</t>
        </is>
      </c>
      <c r="AI1144" t="n">
        <v>2261</v>
      </c>
      <c r="AJ1144" t="inlineStr">
        <is>
          <t>FAV BEAUTY</t>
        </is>
      </c>
      <c r="AK1144" t="n">
        <v>9</v>
      </c>
      <c r="AL1144" t="inlineStr">
        <is>
          <t>Miss Glam Jambi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FAV BEAUTY</t>
        </is>
      </c>
      <c r="B1145" s="2">
        <f>"10500637314"</f>
        <v/>
      </c>
      <c r="C1145" t="inlineStr">
        <is>
          <t>FAV BEAUTY Yogurt Brightening Peel Off Mask Alpha Arbutin 100gr</t>
        </is>
      </c>
      <c r="D1145" t="inlineStr">
        <is>
          <t>Miss Glam Jambi</t>
        </is>
      </c>
      <c r="E1145" t="n">
        <v>14</v>
      </c>
      <c r="F1145" t="n">
        <v>0.9636</v>
      </c>
      <c r="G1145" t="n">
        <v>3.96</v>
      </c>
      <c r="H1145" t="n">
        <v>4</v>
      </c>
      <c r="I1145" t="n">
        <v>5</v>
      </c>
      <c r="J1145" t="n">
        <v>1</v>
      </c>
      <c r="K1145" t="n">
        <v>16</v>
      </c>
      <c r="L1145" t="n">
        <v>33120</v>
      </c>
      <c r="M1145" t="n">
        <v>42500</v>
      </c>
      <c r="N1145" t="n">
        <v>33</v>
      </c>
      <c r="O1145" t="n">
        <v>0.33</v>
      </c>
      <c r="P1145" t="n">
        <v>1</v>
      </c>
      <c r="Q1145" t="n">
        <v>0.39</v>
      </c>
      <c r="R1145" t="n">
        <v>3</v>
      </c>
      <c r="S1145" t="n">
        <v>40953</v>
      </c>
      <c r="T1145" t="n">
        <v>16</v>
      </c>
      <c r="U1145" t="n">
        <v>20</v>
      </c>
      <c r="V1145" t="n">
        <v>30</v>
      </c>
      <c r="W1145" t="n">
        <v>29</v>
      </c>
      <c r="X1145" t="n">
        <v>14.5288501452885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2062</v>
      </c>
      <c r="AG1145" t="n">
        <v>3395</v>
      </c>
      <c r="AH1145" t="inlineStr">
        <is>
          <t>PT CAHAYA AYU ABADI  - NON PPN (PLB)</t>
        </is>
      </c>
      <c r="AI1145" t="n">
        <v>2261</v>
      </c>
      <c r="AJ1145" t="inlineStr">
        <is>
          <t>FAV BEAUTY</t>
        </is>
      </c>
      <c r="AK1145" t="n">
        <v>9</v>
      </c>
      <c r="AL1145" t="inlineStr">
        <is>
          <t>Miss Glam Jambi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FAV BEAUTY</t>
        </is>
      </c>
      <c r="B1146" s="2">
        <f>"10500637508"</f>
        <v/>
      </c>
      <c r="C1146" t="inlineStr">
        <is>
          <t>FAV BEAUTY Yogurt Firming Peel Off Mask 24K Gold + Retinol 100gr</t>
        </is>
      </c>
      <c r="D1146" t="inlineStr">
        <is>
          <t>Miss Glam Jambi</t>
        </is>
      </c>
      <c r="E1146" t="n">
        <v>7</v>
      </c>
      <c r="F1146" t="n">
        <v>0.09569999999999999</v>
      </c>
      <c r="G1146" t="n">
        <v>0.66</v>
      </c>
      <c r="H1146" t="n">
        <v>4</v>
      </c>
      <c r="I1146" t="n">
        <v>5</v>
      </c>
      <c r="J1146" t="n">
        <v>1</v>
      </c>
      <c r="K1146" t="n">
        <v>0</v>
      </c>
      <c r="L1146" t="n">
        <v>34316</v>
      </c>
      <c r="M1146" t="n">
        <v>55000</v>
      </c>
      <c r="N1146" t="n">
        <v>33</v>
      </c>
      <c r="O1146" t="n">
        <v>0.33</v>
      </c>
      <c r="P1146" t="n">
        <v>1</v>
      </c>
      <c r="Q1146" t="n">
        <v>0.03</v>
      </c>
      <c r="R1146" t="n">
        <v>2</v>
      </c>
      <c r="S1146" t="n">
        <v>5263.5</v>
      </c>
      <c r="T1146" t="n">
        <v>3</v>
      </c>
      <c r="U1146" t="n">
        <v>4</v>
      </c>
      <c r="V1146" t="n">
        <v>30</v>
      </c>
      <c r="W1146" t="n">
        <v>3</v>
      </c>
      <c r="X1146" t="n">
        <v>73.14524555903867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2062</v>
      </c>
      <c r="AG1146" t="n">
        <v>3395</v>
      </c>
      <c r="AH1146" t="inlineStr">
        <is>
          <t>PT CAHAYA AYU ABADI  - NON PPN (PLB)</t>
        </is>
      </c>
      <c r="AI1146" t="n">
        <v>2261</v>
      </c>
      <c r="AJ1146" t="inlineStr">
        <is>
          <t>FAV BEAUTY</t>
        </is>
      </c>
      <c r="AK1146" t="n">
        <v>9</v>
      </c>
      <c r="AL1146" t="inlineStr">
        <is>
          <t>Miss Glam Jambi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FAV BEAUTY</t>
        </is>
      </c>
      <c r="B1147" s="2">
        <f>"10500637413"</f>
        <v/>
      </c>
      <c r="C1147" t="inlineStr">
        <is>
          <t>FAV BEAUTY Yogurt Skin Barrier Peel Off Mask Collagen + 7x Ceramide 100gr</t>
        </is>
      </c>
      <c r="D1147" t="inlineStr">
        <is>
          <t>Miss Glam Jambi</t>
        </is>
      </c>
      <c r="E1147" t="n">
        <v>20</v>
      </c>
      <c r="F1147" t="n">
        <v>0.3135</v>
      </c>
      <c r="G1147" t="n">
        <v>1.98</v>
      </c>
      <c r="H1147" t="n">
        <v>4</v>
      </c>
      <c r="I1147" t="n">
        <v>5</v>
      </c>
      <c r="J1147" t="n">
        <v>1</v>
      </c>
      <c r="K1147" t="n">
        <v>0</v>
      </c>
      <c r="L1147" t="n">
        <v>33201</v>
      </c>
      <c r="M1147" t="n">
        <v>55000</v>
      </c>
      <c r="N1147" t="n">
        <v>33</v>
      </c>
      <c r="O1147" t="n">
        <v>0.33</v>
      </c>
      <c r="P1147" t="n">
        <v>1</v>
      </c>
      <c r="Q1147" t="n">
        <v>0.14</v>
      </c>
      <c r="R1147" t="n">
        <v>1</v>
      </c>
      <c r="S1147" t="n">
        <v>17242.5</v>
      </c>
      <c r="T1147" t="n">
        <v>9</v>
      </c>
      <c r="U1147" t="n">
        <v>11</v>
      </c>
      <c r="V1147" t="n">
        <v>30</v>
      </c>
      <c r="W1147" t="n">
        <v>10</v>
      </c>
      <c r="X1147" t="n">
        <v>63.79585326953748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2062</v>
      </c>
      <c r="AG1147" t="n">
        <v>3395</v>
      </c>
      <c r="AH1147" t="inlineStr">
        <is>
          <t>PT CAHAYA AYU ABADI  - NON PPN (PLB)</t>
        </is>
      </c>
      <c r="AI1147" t="n">
        <v>2261</v>
      </c>
      <c r="AJ1147" t="inlineStr">
        <is>
          <t>FAV BEAUTY</t>
        </is>
      </c>
      <c r="AK1147" t="n">
        <v>9</v>
      </c>
      <c r="AL1147" t="inlineStr">
        <is>
          <t>Miss Glam Jambi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FAYREE</t>
        </is>
      </c>
      <c r="B1148" s="2">
        <f>"30300409714"</f>
        <v/>
      </c>
      <c r="C1148" t="inlineStr">
        <is>
          <t>FAYREE Sugar Wax 200gr</t>
        </is>
      </c>
      <c r="D1148" t="inlineStr">
        <is>
          <t>Miss Glam Jambi</t>
        </is>
      </c>
      <c r="E1148" t="n">
        <v>2</v>
      </c>
      <c r="F1148" t="n">
        <v>0.0429</v>
      </c>
      <c r="G1148" t="n">
        <v>0.33</v>
      </c>
      <c r="H1148" t="n">
        <v>4</v>
      </c>
      <c r="I1148" t="n">
        <v>20</v>
      </c>
      <c r="J1148" t="n">
        <v>3</v>
      </c>
      <c r="K1148" t="n">
        <v>0</v>
      </c>
      <c r="L1148" t="n">
        <v>42517</v>
      </c>
      <c r="M1148" t="n">
        <v>59000</v>
      </c>
      <c r="N1148" t="n">
        <v>33</v>
      </c>
      <c r="O1148" t="n">
        <v>0.33</v>
      </c>
      <c r="P1148" t="n">
        <v>1</v>
      </c>
      <c r="Q1148" t="n">
        <v>0.05</v>
      </c>
      <c r="R1148" t="n">
        <v>1</v>
      </c>
      <c r="S1148" t="n">
        <v>2531.1</v>
      </c>
      <c r="T1148" t="n">
        <v>7</v>
      </c>
      <c r="U1148" t="n">
        <v>8</v>
      </c>
      <c r="V1148" t="n">
        <v>30</v>
      </c>
      <c r="W1148" t="n">
        <v>2</v>
      </c>
      <c r="X1148" t="n">
        <v>46.62004662004662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4849</v>
      </c>
      <c r="AG1148" t="n">
        <v>1</v>
      </c>
      <c r="AH1148" t="inlineStr">
        <is>
          <t>PT. BERSAMA DISTRIVERSA INDONESIA (DC CIPUTAT)</t>
        </is>
      </c>
      <c r="AI1148" t="n">
        <v>1073</v>
      </c>
      <c r="AJ1148" t="inlineStr">
        <is>
          <t>FAYREE</t>
        </is>
      </c>
      <c r="AK1148" t="n">
        <v>9</v>
      </c>
      <c r="AL1148" t="inlineStr">
        <is>
          <t>Miss Glam Jambi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FINALLY FOUND YOU</t>
        </is>
      </c>
      <c r="B1149" s="2">
        <f>"10200156036"</f>
        <v/>
      </c>
      <c r="C1149" t="inlineStr">
        <is>
          <t>FINALLY FOUND YOU  Hyd-Rice-Ing &amp; Brightening Essence Toner 100ml</t>
        </is>
      </c>
      <c r="D1149" t="inlineStr">
        <is>
          <t>Miss Glam Jambi</t>
        </is>
      </c>
      <c r="E1149" t="n">
        <v>7</v>
      </c>
      <c r="F1149" t="n">
        <v>0.1914</v>
      </c>
      <c r="G1149" t="n">
        <v>0.66</v>
      </c>
      <c r="H1149" t="n">
        <v>4</v>
      </c>
      <c r="I1149" t="n">
        <v>20</v>
      </c>
      <c r="J1149" t="n">
        <v>3</v>
      </c>
      <c r="K1149" t="n">
        <v>0</v>
      </c>
      <c r="L1149" t="n">
        <v>111721</v>
      </c>
      <c r="M1149" t="n">
        <v>159000</v>
      </c>
      <c r="N1149" t="n">
        <v>33</v>
      </c>
      <c r="O1149" t="n">
        <v>0.33</v>
      </c>
      <c r="P1149" t="n">
        <v>1</v>
      </c>
      <c r="Q1149" t="n">
        <v>0.22</v>
      </c>
      <c r="R1149" t="n">
        <v>2</v>
      </c>
      <c r="S1149" t="n">
        <v>30432.6</v>
      </c>
      <c r="T1149" t="n">
        <v>13</v>
      </c>
      <c r="U1149" t="n">
        <v>14</v>
      </c>
      <c r="V1149" t="n">
        <v>30</v>
      </c>
      <c r="W1149" t="n">
        <v>6</v>
      </c>
      <c r="X1149" t="n">
        <v>36.57262277951934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4882</v>
      </c>
      <c r="AG1149" t="n">
        <v>1</v>
      </c>
      <c r="AH1149" t="inlineStr">
        <is>
          <t>PT. BERSAMA DISTRIVERSA INDONESIA (DC CIPUTAT)</t>
        </is>
      </c>
      <c r="AI1149" t="n">
        <v>1707</v>
      </c>
      <c r="AJ1149" t="inlineStr">
        <is>
          <t>FINALLY FOUND YOU</t>
        </is>
      </c>
      <c r="AK1149" t="n">
        <v>9</v>
      </c>
      <c r="AL1149" t="inlineStr">
        <is>
          <t>Miss Glam Jambi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FINALLY FOUND YOU</t>
        </is>
      </c>
      <c r="B1150" s="2">
        <f>"102002102429"</f>
        <v/>
      </c>
      <c r="C1150" t="inlineStr">
        <is>
          <t>FINALLY FOUND YOU Berry Deep Exfoliating Serum 20ml</t>
        </is>
      </c>
      <c r="D1150" t="inlineStr">
        <is>
          <t>Miss Glam Jambi</t>
        </is>
      </c>
      <c r="E1150" t="n">
        <v>20</v>
      </c>
      <c r="F1150" t="n">
        <v>0.0165</v>
      </c>
      <c r="G1150" t="n">
        <v>0.33</v>
      </c>
      <c r="H1150" t="n">
        <v>4</v>
      </c>
      <c r="I1150" t="n">
        <v>20</v>
      </c>
      <c r="J1150" t="n">
        <v>3</v>
      </c>
      <c r="K1150" t="n">
        <v>0</v>
      </c>
      <c r="L1150" t="n">
        <v>97608</v>
      </c>
      <c r="M1150" t="n">
        <v>139000</v>
      </c>
      <c r="N1150" t="n">
        <v>33</v>
      </c>
      <c r="O1150" t="n">
        <v>0.33</v>
      </c>
      <c r="P1150" t="n">
        <v>1</v>
      </c>
      <c r="Q1150" t="n">
        <v>0.03</v>
      </c>
      <c r="R1150" t="n">
        <v>1</v>
      </c>
      <c r="S1150" t="n">
        <v>2293.5</v>
      </c>
      <c r="T1150" t="n">
        <v>7</v>
      </c>
      <c r="U1150" t="n">
        <v>8</v>
      </c>
      <c r="V1150" t="n">
        <v>30</v>
      </c>
      <c r="W1150" t="n">
        <v>1</v>
      </c>
      <c r="X1150" t="n">
        <v>1212.121212121212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4882</v>
      </c>
      <c r="AG1150" t="n">
        <v>1</v>
      </c>
      <c r="AH1150" t="inlineStr">
        <is>
          <t>PT. BERSAMA DISTRIVERSA INDONESIA (DC CIPUTAT)</t>
        </is>
      </c>
      <c r="AI1150" t="n">
        <v>1707</v>
      </c>
      <c r="AJ1150" t="inlineStr">
        <is>
          <t>FINALLY FOUND YOU</t>
        </is>
      </c>
      <c r="AK1150" t="n">
        <v>9</v>
      </c>
      <c r="AL1150" t="inlineStr">
        <is>
          <t>Miss Glam Jambi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FINALLY FOUND YOU</t>
        </is>
      </c>
      <c r="B1151" s="2">
        <f>"10700513238"</f>
        <v/>
      </c>
      <c r="C1151" t="inlineStr">
        <is>
          <t>FINALLY FOUND YOU C+U Honey Lip Serum 5ml</t>
        </is>
      </c>
      <c r="D1151" t="inlineStr">
        <is>
          <t>Miss Glam Jambi</t>
        </is>
      </c>
      <c r="E1151" t="n">
        <v>15</v>
      </c>
      <c r="F1151" t="n">
        <v>0.033</v>
      </c>
      <c r="G1151" t="n">
        <v>0.33</v>
      </c>
      <c r="H1151" t="n">
        <v>4</v>
      </c>
      <c r="I1151" t="n">
        <v>20</v>
      </c>
      <c r="J1151" t="n">
        <v>3</v>
      </c>
      <c r="K1151" t="n">
        <v>0</v>
      </c>
      <c r="L1151" t="n">
        <v>72106</v>
      </c>
      <c r="M1151" t="n">
        <v>99000</v>
      </c>
      <c r="N1151" t="n">
        <v>33</v>
      </c>
      <c r="O1151" t="n">
        <v>0.33</v>
      </c>
      <c r="P1151" t="n">
        <v>1</v>
      </c>
      <c r="Q1151" t="n">
        <v>0.07000000000000001</v>
      </c>
      <c r="R1151" t="n">
        <v>1</v>
      </c>
      <c r="S1151" t="n">
        <v>3267</v>
      </c>
      <c r="T1151" t="n">
        <v>7</v>
      </c>
      <c r="U1151" t="n">
        <v>8</v>
      </c>
      <c r="V1151" t="n">
        <v>30</v>
      </c>
      <c r="W1151" t="n">
        <v>1</v>
      </c>
      <c r="X1151" t="n">
        <v>454.5454545454545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4882</v>
      </c>
      <c r="AG1151" t="n">
        <v>1</v>
      </c>
      <c r="AH1151" t="inlineStr">
        <is>
          <t>PT. BERSAMA DISTRIVERSA INDONESIA (DC CIPUTAT)</t>
        </is>
      </c>
      <c r="AI1151" t="n">
        <v>1707</v>
      </c>
      <c r="AJ1151" t="inlineStr">
        <is>
          <t>FINALLY FOUND YOU</t>
        </is>
      </c>
      <c r="AK1151" t="n">
        <v>9</v>
      </c>
      <c r="AL1151" t="inlineStr">
        <is>
          <t>Miss Glam Jambi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FINALLY FOUND YOU</t>
        </is>
      </c>
      <c r="B1152" s="2">
        <f>"10300319148"</f>
        <v/>
      </c>
      <c r="C1152" t="inlineStr">
        <is>
          <t>FINALLY FOUND YOU Calm-Dula Blemish Care Hocl Essence Mist 100ml</t>
        </is>
      </c>
      <c r="D1152" t="inlineStr">
        <is>
          <t>Miss Glam Jambi</t>
        </is>
      </c>
      <c r="E1152" t="n">
        <v>11</v>
      </c>
      <c r="F1152" t="n">
        <v>0.006600000000000001</v>
      </c>
      <c r="G1152" t="n">
        <v>0</v>
      </c>
      <c r="H1152" t="n">
        <v>4</v>
      </c>
      <c r="I1152" t="n">
        <v>20</v>
      </c>
      <c r="J1152" t="n">
        <v>1</v>
      </c>
      <c r="K1152" t="n">
        <v>0</v>
      </c>
      <c r="L1152" t="n">
        <v>104206</v>
      </c>
      <c r="M1152" t="n">
        <v>149000</v>
      </c>
      <c r="N1152" t="n">
        <v>33</v>
      </c>
      <c r="O1152" t="n">
        <v>0.33</v>
      </c>
      <c r="P1152" t="n">
        <v>1</v>
      </c>
      <c r="Q1152" t="n">
        <v>0.02</v>
      </c>
      <c r="R1152" t="n">
        <v>1</v>
      </c>
      <c r="S1152" t="n">
        <v>983.4000000000001</v>
      </c>
      <c r="T1152" t="n">
        <v>0</v>
      </c>
      <c r="U1152" t="n">
        <v>1</v>
      </c>
      <c r="V1152" t="n">
        <v>30</v>
      </c>
      <c r="W1152" t="n">
        <v>1</v>
      </c>
      <c r="X1152" t="n">
        <v>1666.666666666667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4882</v>
      </c>
      <c r="AG1152" t="n">
        <v>1</v>
      </c>
      <c r="AH1152" t="inlineStr">
        <is>
          <t>PT. BERSAMA DISTRIVERSA INDONESIA (DC CIPUTAT)</t>
        </is>
      </c>
      <c r="AI1152" t="n">
        <v>1707</v>
      </c>
      <c r="AJ1152" t="inlineStr">
        <is>
          <t>FINALLY FOUND YOU</t>
        </is>
      </c>
      <c r="AK1152" t="n">
        <v>9</v>
      </c>
      <c r="AL1152" t="inlineStr">
        <is>
          <t>Miss Glam Jambi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FINALLY FOUND YOU</t>
        </is>
      </c>
      <c r="B1153" s="2">
        <f>"10100194215"</f>
        <v/>
      </c>
      <c r="C1153" t="inlineStr">
        <is>
          <t>FINALLY FOUND YOU Gentle Face Cleanser 100ml</t>
        </is>
      </c>
      <c r="D1153" t="inlineStr">
        <is>
          <t>Miss Glam Jambi</t>
        </is>
      </c>
      <c r="E1153" t="n">
        <v>7</v>
      </c>
      <c r="F1153" t="n">
        <v>0.06270000000000001</v>
      </c>
      <c r="G1153" t="n">
        <v>0.66</v>
      </c>
      <c r="H1153" t="n">
        <v>4</v>
      </c>
      <c r="I1153" t="n">
        <v>20</v>
      </c>
      <c r="J1153" t="n">
        <v>3</v>
      </c>
      <c r="K1153" t="n">
        <v>0</v>
      </c>
      <c r="L1153" t="n">
        <v>90396</v>
      </c>
      <c r="M1153" t="n">
        <v>128000</v>
      </c>
      <c r="N1153" t="n">
        <v>33</v>
      </c>
      <c r="O1153" t="n">
        <v>0.33</v>
      </c>
      <c r="P1153" t="n">
        <v>1</v>
      </c>
      <c r="Q1153" t="n">
        <v>0.17</v>
      </c>
      <c r="R1153" t="n">
        <v>3</v>
      </c>
      <c r="S1153" t="n">
        <v>8025.6</v>
      </c>
      <c r="T1153" t="n">
        <v>13</v>
      </c>
      <c r="U1153" t="n">
        <v>14</v>
      </c>
      <c r="V1153" t="n">
        <v>30</v>
      </c>
      <c r="W1153" t="n">
        <v>2</v>
      </c>
      <c r="X1153" t="n">
        <v>111.6427432216906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4882</v>
      </c>
      <c r="AG1153" t="n">
        <v>1</v>
      </c>
      <c r="AH1153" t="inlineStr">
        <is>
          <t>PT. BERSAMA DISTRIVERSA INDONESIA (DC CIPUTAT)</t>
        </is>
      </c>
      <c r="AI1153" t="n">
        <v>1707</v>
      </c>
      <c r="AJ1153" t="inlineStr">
        <is>
          <t>FINALLY FOUND YOU</t>
        </is>
      </c>
      <c r="AK1153" t="n">
        <v>9</v>
      </c>
      <c r="AL1153" t="inlineStr">
        <is>
          <t>Miss Glam Jambi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FINALLY FOUND YOU</t>
        </is>
      </c>
      <c r="B1154" s="2">
        <f>"10800504735"</f>
        <v/>
      </c>
      <c r="C1154" t="inlineStr">
        <is>
          <t>FINALLY FOUND YOU Oat Standing Retinal Eye &amp; Face Serum 20ml</t>
        </is>
      </c>
      <c r="D1154" t="inlineStr">
        <is>
          <t>Miss Glam Jambi</t>
        </is>
      </c>
      <c r="E1154" t="n">
        <v>13</v>
      </c>
      <c r="F1154" t="n">
        <v>0.033</v>
      </c>
      <c r="G1154" t="n">
        <v>0.66</v>
      </c>
      <c r="H1154" t="n">
        <v>4</v>
      </c>
      <c r="I1154" t="n">
        <v>20</v>
      </c>
      <c r="J1154" t="n">
        <v>3</v>
      </c>
      <c r="K1154" t="n">
        <v>0</v>
      </c>
      <c r="L1154" t="n">
        <v>110413</v>
      </c>
      <c r="M1154" t="n">
        <v>149000</v>
      </c>
      <c r="N1154" t="n">
        <v>33</v>
      </c>
      <c r="O1154" t="n">
        <v>0.33</v>
      </c>
      <c r="P1154" t="n">
        <v>1</v>
      </c>
      <c r="Q1154" t="n">
        <v>0.1</v>
      </c>
      <c r="R1154" t="n">
        <v>1</v>
      </c>
      <c r="S1154" t="n">
        <v>4917</v>
      </c>
      <c r="T1154" t="n">
        <v>14</v>
      </c>
      <c r="U1154" t="n">
        <v>15</v>
      </c>
      <c r="V1154" t="n">
        <v>30</v>
      </c>
      <c r="W1154" t="n">
        <v>1</v>
      </c>
      <c r="X1154" t="n">
        <v>393.9393939393939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4882</v>
      </c>
      <c r="AG1154" t="n">
        <v>1</v>
      </c>
      <c r="AH1154" t="inlineStr">
        <is>
          <t>PT. BERSAMA DISTRIVERSA INDONESIA (DC CIPUTAT)</t>
        </is>
      </c>
      <c r="AI1154" t="n">
        <v>1707</v>
      </c>
      <c r="AJ1154" t="inlineStr">
        <is>
          <t>FINALLY FOUND YOU</t>
        </is>
      </c>
      <c r="AK1154" t="n">
        <v>9</v>
      </c>
      <c r="AL1154" t="inlineStr">
        <is>
          <t>Miss Glam Jambi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FINALLY FOUND YOU</t>
        </is>
      </c>
      <c r="B1155" s="2">
        <f>"8997219895256"</f>
        <v/>
      </c>
      <c r="C1155" t="inlineStr">
        <is>
          <t>FINALLY FOUND YOU Oatstanding BHA+LHA Acne Serum 20ml</t>
        </is>
      </c>
      <c r="D1155" t="inlineStr">
        <is>
          <t>Miss Glam Jambi</t>
        </is>
      </c>
      <c r="E1155" t="n">
        <v>14</v>
      </c>
      <c r="F1155" t="n">
        <v>0.0396</v>
      </c>
      <c r="G1155" t="n">
        <v>0.33</v>
      </c>
      <c r="H1155" t="n">
        <v>4</v>
      </c>
      <c r="I1155" t="n">
        <v>20</v>
      </c>
      <c r="J1155" t="n">
        <v>3</v>
      </c>
      <c r="K1155" t="n">
        <v>0</v>
      </c>
      <c r="L1155" t="n">
        <v>97244</v>
      </c>
      <c r="M1155" t="n">
        <v>129000</v>
      </c>
      <c r="N1155" t="n">
        <v>33</v>
      </c>
      <c r="O1155" t="n">
        <v>0.33</v>
      </c>
      <c r="P1155" t="n">
        <v>1</v>
      </c>
      <c r="Q1155" t="n">
        <v>0.17</v>
      </c>
      <c r="R1155" t="n">
        <v>2</v>
      </c>
      <c r="S1155" t="n">
        <v>5108.400000000001</v>
      </c>
      <c r="T1155" t="n">
        <v>7</v>
      </c>
      <c r="U1155" t="n">
        <v>8</v>
      </c>
      <c r="V1155" t="n">
        <v>30</v>
      </c>
      <c r="W1155" t="n">
        <v>2</v>
      </c>
      <c r="X1155" t="n">
        <v>353.5353535353535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4882</v>
      </c>
      <c r="AG1155" t="n">
        <v>1</v>
      </c>
      <c r="AH1155" t="inlineStr">
        <is>
          <t>PT. BERSAMA DISTRIVERSA INDONESIA (DC CIPUTAT)</t>
        </is>
      </c>
      <c r="AI1155" t="n">
        <v>1707</v>
      </c>
      <c r="AJ1155" t="inlineStr">
        <is>
          <t>FINALLY FOUND YOU</t>
        </is>
      </c>
      <c r="AK1155" t="n">
        <v>9</v>
      </c>
      <c r="AL1155" t="inlineStr">
        <is>
          <t>Miss Glam Jambi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FINALLY FOUND YOU</t>
        </is>
      </c>
      <c r="B1156" s="2">
        <f>"10300319016"</f>
        <v/>
      </c>
      <c r="C1156" t="inlineStr">
        <is>
          <t>FINALLY FOUND YOU Ocean Blue Pea Dual-Phase Essence Mist 100ml</t>
        </is>
      </c>
      <c r="D1156" t="inlineStr">
        <is>
          <t>Miss Glam Jambi</t>
        </is>
      </c>
      <c r="E1156" t="n">
        <v>11</v>
      </c>
      <c r="F1156" t="n">
        <v>0.009900000000000001</v>
      </c>
      <c r="G1156" t="n">
        <v>0.33</v>
      </c>
      <c r="H1156" t="n">
        <v>4</v>
      </c>
      <c r="I1156" t="n">
        <v>20</v>
      </c>
      <c r="J1156" t="n">
        <v>1</v>
      </c>
      <c r="K1156" t="n">
        <v>0</v>
      </c>
      <c r="L1156" t="n">
        <v>104206</v>
      </c>
      <c r="M1156" t="n">
        <v>149000</v>
      </c>
      <c r="N1156" t="n">
        <v>33</v>
      </c>
      <c r="O1156" t="n">
        <v>0.33</v>
      </c>
      <c r="P1156" t="n">
        <v>1</v>
      </c>
      <c r="Q1156" t="n">
        <v>0.02</v>
      </c>
      <c r="R1156" t="n">
        <v>1</v>
      </c>
      <c r="S1156" t="n">
        <v>1475.1</v>
      </c>
      <c r="T1156" t="n">
        <v>7</v>
      </c>
      <c r="U1156" t="n">
        <v>8</v>
      </c>
      <c r="V1156" t="n">
        <v>30</v>
      </c>
      <c r="W1156" t="n">
        <v>1</v>
      </c>
      <c r="X1156" t="n">
        <v>1111.111111111111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4882</v>
      </c>
      <c r="AG1156" t="n">
        <v>1</v>
      </c>
      <c r="AH1156" t="inlineStr">
        <is>
          <t>PT. BERSAMA DISTRIVERSA INDONESIA (DC CIPUTAT)</t>
        </is>
      </c>
      <c r="AI1156" t="n">
        <v>1707</v>
      </c>
      <c r="AJ1156" t="inlineStr">
        <is>
          <t>FINALLY FOUND YOU</t>
        </is>
      </c>
      <c r="AK1156" t="n">
        <v>9</v>
      </c>
      <c r="AL1156" t="inlineStr">
        <is>
          <t>Miss Glam Jambi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FINALLY FOUND YOU</t>
        </is>
      </c>
      <c r="B1157" s="2">
        <f>"10300318842"</f>
        <v/>
      </c>
      <c r="C1157" t="inlineStr">
        <is>
          <t>FINALLY FOUND YOU Ocean Blue Pea Dual-Phase Micellar Water 100ml</t>
        </is>
      </c>
      <c r="D1157" t="inlineStr">
        <is>
          <t>Miss Glam Jambi</t>
        </is>
      </c>
      <c r="E1157" t="n">
        <v>16</v>
      </c>
      <c r="F1157" t="n">
        <v>0.033</v>
      </c>
      <c r="G1157" t="n">
        <v>0.33</v>
      </c>
      <c r="H1157" t="n">
        <v>4</v>
      </c>
      <c r="I1157" t="n">
        <v>20</v>
      </c>
      <c r="J1157" t="n">
        <v>1</v>
      </c>
      <c r="K1157" t="n">
        <v>0</v>
      </c>
      <c r="L1157" t="n">
        <v>62258</v>
      </c>
      <c r="M1157" t="n">
        <v>78000</v>
      </c>
      <c r="N1157" t="n">
        <v>33</v>
      </c>
      <c r="O1157" t="n">
        <v>0.33</v>
      </c>
      <c r="P1157" t="n">
        <v>1</v>
      </c>
      <c r="Q1157" t="n">
        <v>0.02</v>
      </c>
      <c r="R1157" t="n">
        <v>1</v>
      </c>
      <c r="S1157" t="n">
        <v>2574</v>
      </c>
      <c r="T1157" t="n">
        <v>7</v>
      </c>
      <c r="U1157" t="n">
        <v>8</v>
      </c>
      <c r="V1157" t="n">
        <v>30</v>
      </c>
      <c r="W1157" t="n">
        <v>1</v>
      </c>
      <c r="X1157" t="n">
        <v>484.8484848484848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4882</v>
      </c>
      <c r="AG1157" t="n">
        <v>1</v>
      </c>
      <c r="AH1157" t="inlineStr">
        <is>
          <t>PT. BERSAMA DISTRIVERSA INDONESIA (DC CIPUTAT)</t>
        </is>
      </c>
      <c r="AI1157" t="n">
        <v>1707</v>
      </c>
      <c r="AJ1157" t="inlineStr">
        <is>
          <t>FINALLY FOUND YOU</t>
        </is>
      </c>
      <c r="AK1157" t="n">
        <v>9</v>
      </c>
      <c r="AL1157" t="inlineStr">
        <is>
          <t>Miss Glam Jambi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FINALLY FOUND YOU</t>
        </is>
      </c>
      <c r="B1158" s="2">
        <f>"10100724102"</f>
        <v/>
      </c>
      <c r="C1158" t="inlineStr">
        <is>
          <t>FINALLY FOUND YOU Ocean Blue Pea Dual-Phase Micellar Water 300ml</t>
        </is>
      </c>
      <c r="D1158" t="inlineStr">
        <is>
          <t>Miss Glam Jambi</t>
        </is>
      </c>
      <c r="E1158" t="n">
        <v>16</v>
      </c>
      <c r="F1158" t="n">
        <v>0.009900000000000001</v>
      </c>
      <c r="G1158" t="n">
        <v>0.33</v>
      </c>
      <c r="H1158" t="n">
        <v>4</v>
      </c>
      <c r="I1158" t="n">
        <v>20</v>
      </c>
      <c r="J1158" t="n">
        <v>1</v>
      </c>
      <c r="K1158" t="n">
        <v>0</v>
      </c>
      <c r="L1158" t="n">
        <v>104834</v>
      </c>
      <c r="M1158" t="n">
        <v>131000</v>
      </c>
      <c r="N1158" t="n">
        <v>33</v>
      </c>
      <c r="O1158" t="n">
        <v>0.33</v>
      </c>
      <c r="P1158" t="n">
        <v>1</v>
      </c>
      <c r="Q1158" t="n">
        <v>0.02</v>
      </c>
      <c r="R1158" t="n">
        <v>1</v>
      </c>
      <c r="S1158" t="n">
        <v>1296.9</v>
      </c>
      <c r="T1158" t="n">
        <v>7</v>
      </c>
      <c r="U1158" t="n">
        <v>8</v>
      </c>
      <c r="V1158" t="n">
        <v>30</v>
      </c>
      <c r="W1158" t="n">
        <v>1</v>
      </c>
      <c r="X1158" t="n">
        <v>1616.161616161616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4882</v>
      </c>
      <c r="AG1158" t="n">
        <v>1</v>
      </c>
      <c r="AH1158" t="inlineStr">
        <is>
          <t>PT. BERSAMA DISTRIVERSA INDONESIA (DC CIPUTAT)</t>
        </is>
      </c>
      <c r="AI1158" t="n">
        <v>1707</v>
      </c>
      <c r="AJ1158" t="inlineStr">
        <is>
          <t>FINALLY FOUND YOU</t>
        </is>
      </c>
      <c r="AK1158" t="n">
        <v>9</v>
      </c>
      <c r="AL1158" t="inlineStr">
        <is>
          <t>Miss Glam Jambi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FINALLY FOUND YOU</t>
        </is>
      </c>
      <c r="B1159" s="2">
        <f>"10500585419"</f>
        <v/>
      </c>
      <c r="C1159" t="inlineStr">
        <is>
          <t>FINALLY FOUND YOU Rice + Mandelic + Niacinamide Brightening Powder Mask 50gr</t>
        </is>
      </c>
      <c r="D1159" t="inlineStr">
        <is>
          <t>Miss Glam Jambi</t>
        </is>
      </c>
      <c r="E1159" t="n">
        <v>19</v>
      </c>
      <c r="F1159" t="n">
        <v>0.02</v>
      </c>
      <c r="G1159" t="n">
        <v>1</v>
      </c>
      <c r="H1159" t="n">
        <v>4</v>
      </c>
      <c r="I1159" t="n">
        <v>20</v>
      </c>
      <c r="J1159" t="n">
        <v>1</v>
      </c>
      <c r="K1159" t="n">
        <v>0</v>
      </c>
      <c r="L1159" t="n">
        <v>110204</v>
      </c>
      <c r="M1159" t="n">
        <v>149000</v>
      </c>
      <c r="N1159" t="n">
        <v>33</v>
      </c>
      <c r="O1159" t="n">
        <v>0.33</v>
      </c>
      <c r="P1159" t="n">
        <v>0</v>
      </c>
      <c r="Q1159" t="n">
        <v>0.02</v>
      </c>
      <c r="R1159" t="n">
        <v>1</v>
      </c>
      <c r="S1159" t="n">
        <v>2980</v>
      </c>
      <c r="T1159" t="n">
        <v>20</v>
      </c>
      <c r="U1159" t="n">
        <v>21</v>
      </c>
      <c r="V1159" t="n">
        <v>30</v>
      </c>
      <c r="W1159" t="n">
        <v>1</v>
      </c>
      <c r="X1159" t="n">
        <v>950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4882</v>
      </c>
      <c r="AG1159" t="n">
        <v>1</v>
      </c>
      <c r="AH1159" t="inlineStr">
        <is>
          <t>PT. BERSAMA DISTRIVERSA INDONESIA (DC CIPUTAT)</t>
        </is>
      </c>
      <c r="AI1159" t="n">
        <v>1707</v>
      </c>
      <c r="AJ1159" t="inlineStr">
        <is>
          <t>FINALLY FOUND YOU</t>
        </is>
      </c>
      <c r="AK1159" t="n">
        <v>9</v>
      </c>
      <c r="AL1159" t="inlineStr">
        <is>
          <t>Miss Glam Jambi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FINALLY FOUND YOU</t>
        </is>
      </c>
      <c r="B1160" s="2">
        <f>"10500331702"</f>
        <v/>
      </c>
      <c r="C1160" t="inlineStr">
        <is>
          <t>FINALLY FOUND YOU Rice UP! Bright &amp; Smooth Peel Off Mask 50g</t>
        </is>
      </c>
      <c r="D1160" t="inlineStr">
        <is>
          <t>Miss Glam Jambi</t>
        </is>
      </c>
      <c r="E1160" t="n">
        <v>16</v>
      </c>
      <c r="F1160" t="n">
        <v>0.0165</v>
      </c>
      <c r="G1160" t="n">
        <v>0.33</v>
      </c>
      <c r="H1160" t="n">
        <v>4</v>
      </c>
      <c r="I1160" t="n">
        <v>20</v>
      </c>
      <c r="J1160" t="n">
        <v>1</v>
      </c>
      <c r="K1160" t="n">
        <v>0</v>
      </c>
      <c r="L1160" t="n">
        <v>78264</v>
      </c>
      <c r="M1160" t="n">
        <v>109000</v>
      </c>
      <c r="N1160" t="n">
        <v>33</v>
      </c>
      <c r="O1160" t="n">
        <v>0.33</v>
      </c>
      <c r="P1160" t="n">
        <v>1</v>
      </c>
      <c r="Q1160" t="n">
        <v>0.07000000000000001</v>
      </c>
      <c r="R1160" t="n">
        <v>1</v>
      </c>
      <c r="S1160" t="n">
        <v>1798.5</v>
      </c>
      <c r="T1160" t="n">
        <v>7</v>
      </c>
      <c r="U1160" t="n">
        <v>8</v>
      </c>
      <c r="V1160" t="n">
        <v>30</v>
      </c>
      <c r="W1160" t="n">
        <v>1</v>
      </c>
      <c r="X1160" t="n">
        <v>969.6969696969696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4882</v>
      </c>
      <c r="AG1160" t="n">
        <v>1</v>
      </c>
      <c r="AH1160" t="inlineStr">
        <is>
          <t>PT. BERSAMA DISTRIVERSA INDONESIA (DC CIPUTAT)</t>
        </is>
      </c>
      <c r="AI1160" t="n">
        <v>1707</v>
      </c>
      <c r="AJ1160" t="inlineStr">
        <is>
          <t>FINALLY FOUND YOU</t>
        </is>
      </c>
      <c r="AK1160" t="n">
        <v>9</v>
      </c>
      <c r="AL1160" t="inlineStr">
        <is>
          <t>Miss Glam Jambi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FINALLY FOUND YOU</t>
        </is>
      </c>
      <c r="B1161" s="2">
        <f>"11200152433"</f>
        <v/>
      </c>
      <c r="C1161" t="inlineStr">
        <is>
          <t>FINALLY FOUND YOU Rice+ Bright &amp; Glow Serum 20ml</t>
        </is>
      </c>
      <c r="D1161" t="inlineStr">
        <is>
          <t>Miss Glam Jambi</t>
        </is>
      </c>
      <c r="E1161" t="n">
        <v>9</v>
      </c>
      <c r="F1161" t="n">
        <v>0.0495</v>
      </c>
      <c r="G1161" t="n">
        <v>0.66</v>
      </c>
      <c r="H1161" t="n">
        <v>4</v>
      </c>
      <c r="I1161" t="n">
        <v>20</v>
      </c>
      <c r="J1161" t="n">
        <v>1</v>
      </c>
      <c r="K1161" t="n">
        <v>0</v>
      </c>
      <c r="L1161" t="n">
        <v>104206</v>
      </c>
      <c r="M1161" t="n">
        <v>149000</v>
      </c>
      <c r="N1161" t="n">
        <v>33</v>
      </c>
      <c r="O1161" t="n">
        <v>0.33</v>
      </c>
      <c r="P1161" t="n">
        <v>1</v>
      </c>
      <c r="Q1161" t="n">
        <v>0.05</v>
      </c>
      <c r="R1161" t="n">
        <v>1</v>
      </c>
      <c r="S1161" t="n">
        <v>7375.5</v>
      </c>
      <c r="T1161" t="n">
        <v>14</v>
      </c>
      <c r="U1161" t="n">
        <v>15</v>
      </c>
      <c r="V1161" t="n">
        <v>30</v>
      </c>
      <c r="W1161" t="n">
        <v>2</v>
      </c>
      <c r="X1161" t="n">
        <v>181.8181818181818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4882</v>
      </c>
      <c r="AG1161" t="n">
        <v>1</v>
      </c>
      <c r="AH1161" t="inlineStr">
        <is>
          <t>PT. BERSAMA DISTRIVERSA INDONESIA (DC CIPUTAT)</t>
        </is>
      </c>
      <c r="AI1161" t="n">
        <v>1707</v>
      </c>
      <c r="AJ1161" t="inlineStr">
        <is>
          <t>FINALLY FOUND YOU</t>
        </is>
      </c>
      <c r="AK1161" t="n">
        <v>9</v>
      </c>
      <c r="AL1161" t="inlineStr">
        <is>
          <t>Miss Glam Jambi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FINALLY FOUND YOU</t>
        </is>
      </c>
      <c r="B1162" s="2">
        <f>"10300710422"</f>
        <v/>
      </c>
      <c r="C1162" t="inlineStr">
        <is>
          <t>FINALLY FOUND YOU Soy Bright Moisturizer 30gr</t>
        </is>
      </c>
      <c r="D1162" t="inlineStr">
        <is>
          <t>Miss Glam Jambi</t>
        </is>
      </c>
      <c r="E1162" t="n">
        <v>10</v>
      </c>
      <c r="F1162" t="n">
        <v>0.2409</v>
      </c>
      <c r="G1162" t="n">
        <v>0.99</v>
      </c>
      <c r="H1162" t="n">
        <v>4</v>
      </c>
      <c r="I1162" t="n">
        <v>20</v>
      </c>
      <c r="J1162" t="n">
        <v>3</v>
      </c>
      <c r="K1162" t="n">
        <v>0</v>
      </c>
      <c r="L1162" t="n">
        <v>97765</v>
      </c>
      <c r="M1162" t="n">
        <v>124000</v>
      </c>
      <c r="N1162" t="n">
        <v>33</v>
      </c>
      <c r="O1162" t="n">
        <v>0.33</v>
      </c>
      <c r="P1162" t="n">
        <v>1</v>
      </c>
      <c r="Q1162" t="n">
        <v>0.2</v>
      </c>
      <c r="R1162" t="n">
        <v>2</v>
      </c>
      <c r="S1162" t="n">
        <v>29871.6</v>
      </c>
      <c r="T1162" t="n">
        <v>19</v>
      </c>
      <c r="U1162" t="n">
        <v>20</v>
      </c>
      <c r="V1162" t="n">
        <v>30</v>
      </c>
      <c r="W1162" t="n">
        <v>8</v>
      </c>
      <c r="X1162" t="n">
        <v>41.51100041511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4882</v>
      </c>
      <c r="AG1162" t="n">
        <v>1</v>
      </c>
      <c r="AH1162" t="inlineStr">
        <is>
          <t>PT. BERSAMA DISTRIVERSA INDONESIA (DC CIPUTAT)</t>
        </is>
      </c>
      <c r="AI1162" t="n">
        <v>1707</v>
      </c>
      <c r="AJ1162" t="inlineStr">
        <is>
          <t>FINALLY FOUND YOU</t>
        </is>
      </c>
      <c r="AK1162" t="n">
        <v>9</v>
      </c>
      <c r="AL1162" t="inlineStr">
        <is>
          <t>Miss Glam Jambi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FINALLY FOUND YOU</t>
        </is>
      </c>
      <c r="B1163" s="2">
        <f>"10300723529"</f>
        <v/>
      </c>
      <c r="C1163" t="inlineStr">
        <is>
          <t>FINALLY FOUND YOU Soy Bright Moisturizer 80gr</t>
        </is>
      </c>
      <c r="D1163" t="inlineStr">
        <is>
          <t>Miss Glam Jambi</t>
        </is>
      </c>
      <c r="E1163" t="n">
        <v>12</v>
      </c>
      <c r="F1163" t="n">
        <v>0.033</v>
      </c>
      <c r="G1163" t="n">
        <v>0.33</v>
      </c>
      <c r="H1163" t="n">
        <v>4</v>
      </c>
      <c r="I1163" t="n">
        <v>20</v>
      </c>
      <c r="J1163" t="n">
        <v>1</v>
      </c>
      <c r="K1163" t="n">
        <v>0</v>
      </c>
      <c r="L1163" t="n">
        <v>195081</v>
      </c>
      <c r="M1163" t="n">
        <v>269000</v>
      </c>
      <c r="N1163" t="n">
        <v>33</v>
      </c>
      <c r="O1163" t="n">
        <v>0.33</v>
      </c>
      <c r="P1163" t="n">
        <v>1</v>
      </c>
      <c r="Q1163" t="n">
        <v>0.14</v>
      </c>
      <c r="R1163" t="n">
        <v>1</v>
      </c>
      <c r="S1163" t="n">
        <v>8877</v>
      </c>
      <c r="T1163" t="n">
        <v>7</v>
      </c>
      <c r="U1163" t="n">
        <v>8</v>
      </c>
      <c r="V1163" t="n">
        <v>30</v>
      </c>
      <c r="W1163" t="n">
        <v>1</v>
      </c>
      <c r="X1163" t="n">
        <v>363.6363636363636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4882</v>
      </c>
      <c r="AG1163" t="n">
        <v>1</v>
      </c>
      <c r="AH1163" t="inlineStr">
        <is>
          <t>PT. BERSAMA DISTRIVERSA INDONESIA (DC CIPUTAT)</t>
        </is>
      </c>
      <c r="AI1163" t="n">
        <v>1707</v>
      </c>
      <c r="AJ1163" t="inlineStr">
        <is>
          <t>FINALLY FOUND YOU</t>
        </is>
      </c>
      <c r="AK1163" t="n">
        <v>9</v>
      </c>
      <c r="AL1163" t="inlineStr">
        <is>
          <t>Miss Glam Jambi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FINALLY FOUND YOU</t>
        </is>
      </c>
      <c r="B1164" s="2">
        <f>"10200299319"</f>
        <v/>
      </c>
      <c r="C1164" t="inlineStr">
        <is>
          <t>FINALLY FOUND YOU Soy Clear Dark Spot Serum 20ml</t>
        </is>
      </c>
      <c r="D1164" t="inlineStr">
        <is>
          <t>Miss Glam Jambi</t>
        </is>
      </c>
      <c r="E1164" t="n">
        <v>15</v>
      </c>
      <c r="F1164" t="n">
        <v>0.066</v>
      </c>
      <c r="G1164" t="n">
        <v>0.99</v>
      </c>
      <c r="H1164" t="n">
        <v>4</v>
      </c>
      <c r="I1164" t="n">
        <v>20</v>
      </c>
      <c r="J1164" t="n">
        <v>3</v>
      </c>
      <c r="K1164" t="n">
        <v>0</v>
      </c>
      <c r="L1164" t="n">
        <v>118689</v>
      </c>
      <c r="M1164" t="n">
        <v>169000</v>
      </c>
      <c r="N1164" t="n">
        <v>33</v>
      </c>
      <c r="O1164" t="n">
        <v>0.33</v>
      </c>
      <c r="P1164" t="n">
        <v>1</v>
      </c>
      <c r="Q1164" t="n">
        <v>0.17</v>
      </c>
      <c r="R1164" t="n">
        <v>1</v>
      </c>
      <c r="S1164" t="n">
        <v>11154</v>
      </c>
      <c r="T1164" t="n">
        <v>20</v>
      </c>
      <c r="U1164" t="n">
        <v>21</v>
      </c>
      <c r="V1164" t="n">
        <v>30</v>
      </c>
      <c r="W1164" t="n">
        <v>2</v>
      </c>
      <c r="X1164" t="n">
        <v>227.2727272727273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4882</v>
      </c>
      <c r="AG1164" t="n">
        <v>1</v>
      </c>
      <c r="AH1164" t="inlineStr">
        <is>
          <t>PT. BERSAMA DISTRIVERSA INDONESIA (DC CIPUTAT)</t>
        </is>
      </c>
      <c r="AI1164" t="n">
        <v>1707</v>
      </c>
      <c r="AJ1164" t="inlineStr">
        <is>
          <t>FINALLY FOUND YOU</t>
        </is>
      </c>
      <c r="AK1164" t="n">
        <v>9</v>
      </c>
      <c r="AL1164" t="inlineStr">
        <is>
          <t>Miss Glam Jambi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FINALLY FOUND YOU</t>
        </is>
      </c>
      <c r="B1165" s="2">
        <f>"10400515730"</f>
        <v/>
      </c>
      <c r="C1165" t="inlineStr">
        <is>
          <t>FINALLY FOUND YOU Sun Rice All Day Invisible UV Shield SPF 50 PA++++ 50gr</t>
        </is>
      </c>
      <c r="D1165" t="inlineStr">
        <is>
          <t>Miss Glam Jambi</t>
        </is>
      </c>
      <c r="E1165" t="n">
        <v>3</v>
      </c>
      <c r="F1165" t="n">
        <v>0.066</v>
      </c>
      <c r="G1165" t="n">
        <v>0.66</v>
      </c>
      <c r="H1165" t="n">
        <v>4</v>
      </c>
      <c r="I1165" t="n">
        <v>20</v>
      </c>
      <c r="J1165" t="n">
        <v>1</v>
      </c>
      <c r="K1165" t="n">
        <v>12</v>
      </c>
      <c r="L1165" t="n">
        <v>104225</v>
      </c>
      <c r="M1165" t="n">
        <v>149000</v>
      </c>
      <c r="N1165" t="n">
        <v>33</v>
      </c>
      <c r="O1165" t="n">
        <v>0.33</v>
      </c>
      <c r="P1165" t="n">
        <v>1</v>
      </c>
      <c r="Q1165" t="n">
        <v>0.37</v>
      </c>
      <c r="R1165" t="n">
        <v>3</v>
      </c>
      <c r="S1165" t="n">
        <v>9834</v>
      </c>
      <c r="T1165" t="n">
        <v>13</v>
      </c>
      <c r="U1165" t="n">
        <v>14</v>
      </c>
      <c r="V1165" t="n">
        <v>30</v>
      </c>
      <c r="W1165" t="n">
        <v>2</v>
      </c>
      <c r="X1165" t="n">
        <v>45.45454545454545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4882</v>
      </c>
      <c r="AG1165" t="n">
        <v>1</v>
      </c>
      <c r="AH1165" t="inlineStr">
        <is>
          <t>PT. BERSAMA DISTRIVERSA INDONESIA (DC CIPUTAT)</t>
        </is>
      </c>
      <c r="AI1165" t="n">
        <v>1707</v>
      </c>
      <c r="AJ1165" t="inlineStr">
        <is>
          <t>FINALLY FOUND YOU</t>
        </is>
      </c>
      <c r="AK1165" t="n">
        <v>9</v>
      </c>
      <c r="AL1165" t="inlineStr">
        <is>
          <t>Miss Glam Jambi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FINALLY FOUND YOU</t>
        </is>
      </c>
      <c r="B1166" s="2">
        <f>"10200163031"</f>
        <v/>
      </c>
      <c r="C1166" t="inlineStr">
        <is>
          <t>FINALLY FOUND YOU Triple Vitamin B-Arrier + Peach + Snail Mucin Intensive Soothing Essence Toner 100</t>
        </is>
      </c>
      <c r="D1166" t="inlineStr">
        <is>
          <t>Miss Glam Jambi</t>
        </is>
      </c>
      <c r="E1166" t="n">
        <v>8</v>
      </c>
      <c r="F1166" t="n">
        <v>0.07000000000000001</v>
      </c>
      <c r="G1166" t="n">
        <v>1</v>
      </c>
      <c r="H1166" t="n">
        <v>4</v>
      </c>
      <c r="I1166" t="n">
        <v>20</v>
      </c>
      <c r="J1166" t="n">
        <v>1</v>
      </c>
      <c r="K1166" t="n">
        <v>0</v>
      </c>
      <c r="L1166" t="n">
        <v>111200</v>
      </c>
      <c r="M1166" t="n">
        <v>159000</v>
      </c>
      <c r="N1166" t="n">
        <v>33</v>
      </c>
      <c r="O1166" t="n">
        <v>0.33</v>
      </c>
      <c r="P1166" t="n">
        <v>0</v>
      </c>
      <c r="Q1166" t="n">
        <v>0.07000000000000001</v>
      </c>
      <c r="R1166" t="n">
        <v>1</v>
      </c>
      <c r="S1166" t="n">
        <v>11130</v>
      </c>
      <c r="T1166" t="n">
        <v>20</v>
      </c>
      <c r="U1166" t="n">
        <v>21</v>
      </c>
      <c r="V1166" t="n">
        <v>30</v>
      </c>
      <c r="W1166" t="n">
        <v>3</v>
      </c>
      <c r="X1166" t="n">
        <v>114.2857142857143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4882</v>
      </c>
      <c r="AG1166" t="n">
        <v>1</v>
      </c>
      <c r="AH1166" t="inlineStr">
        <is>
          <t>PT. BERSAMA DISTRIVERSA INDONESIA (DC CIPUTAT)</t>
        </is>
      </c>
      <c r="AI1166" t="n">
        <v>1707</v>
      </c>
      <c r="AJ1166" t="inlineStr">
        <is>
          <t>FINALLY FOUND YOU</t>
        </is>
      </c>
      <c r="AK1166" t="n">
        <v>9</v>
      </c>
      <c r="AL1166" t="inlineStr">
        <is>
          <t>Miss Glam Jambi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FINALLY FOUND YOU</t>
        </is>
      </c>
      <c r="B1167" s="2">
        <f>"10300612940"</f>
        <v/>
      </c>
      <c r="C1167" t="inlineStr">
        <is>
          <t>FINALLY FOUND YOU Triple Vitamin B-Arrier Peach + Snail Mucin Moisturizer Cream 50gr</t>
        </is>
      </c>
      <c r="D1167" t="inlineStr">
        <is>
          <t>Miss Glam Jambi</t>
        </is>
      </c>
      <c r="E1167" t="n">
        <v>16</v>
      </c>
      <c r="F1167" t="n">
        <v>0.0264</v>
      </c>
      <c r="G1167" t="n">
        <v>0.66</v>
      </c>
      <c r="H1167" t="n">
        <v>4</v>
      </c>
      <c r="I1167" t="n">
        <v>20</v>
      </c>
      <c r="J1167" t="n">
        <v>1</v>
      </c>
      <c r="K1167" t="n">
        <v>0</v>
      </c>
      <c r="L1167" t="n">
        <v>108969</v>
      </c>
      <c r="M1167" t="n">
        <v>149000</v>
      </c>
      <c r="N1167" t="n">
        <v>33</v>
      </c>
      <c r="O1167" t="n">
        <v>0.33</v>
      </c>
      <c r="P1167" t="n">
        <v>1</v>
      </c>
      <c r="Q1167" t="n">
        <v>0.07000000000000001</v>
      </c>
      <c r="R1167" t="n">
        <v>2</v>
      </c>
      <c r="S1167" t="n">
        <v>3933.6</v>
      </c>
      <c r="T1167" t="n">
        <v>14</v>
      </c>
      <c r="U1167" t="n">
        <v>15</v>
      </c>
      <c r="V1167" t="n">
        <v>30</v>
      </c>
      <c r="W1167" t="n">
        <v>1</v>
      </c>
      <c r="X1167" t="n">
        <v>606.060606060606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4882</v>
      </c>
      <c r="AG1167" t="n">
        <v>1</v>
      </c>
      <c r="AH1167" t="inlineStr">
        <is>
          <t>PT. BERSAMA DISTRIVERSA INDONESIA (DC CIPUTAT)</t>
        </is>
      </c>
      <c r="AI1167" t="n">
        <v>1707</v>
      </c>
      <c r="AJ1167" t="inlineStr">
        <is>
          <t>FINALLY FOUND YOU</t>
        </is>
      </c>
      <c r="AK1167" t="n">
        <v>9</v>
      </c>
      <c r="AL1167" t="inlineStr">
        <is>
          <t>Miss Glam Jambi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FOCALLURE</t>
        </is>
      </c>
      <c r="B1168" s="2">
        <f>"6941845807673"</f>
        <v/>
      </c>
      <c r="C1168" t="inlineStr">
        <is>
          <t>FOCALLURE Acne Pimple Patch Invisible Acne Day 0.1mm</t>
        </is>
      </c>
      <c r="D1168" t="inlineStr">
        <is>
          <t>Miss Glam Jambi</t>
        </is>
      </c>
      <c r="E1168" t="n">
        <v>4</v>
      </c>
      <c r="F1168" t="n">
        <v>0.7722</v>
      </c>
      <c r="G1168" t="n">
        <v>2.31</v>
      </c>
      <c r="H1168" t="n">
        <v>4</v>
      </c>
      <c r="I1168" t="n">
        <v>28</v>
      </c>
      <c r="J1168" t="n">
        <v>3</v>
      </c>
      <c r="K1168" t="n">
        <v>0</v>
      </c>
      <c r="L1168" t="n">
        <v>12275</v>
      </c>
      <c r="M1168" t="n">
        <v>19000</v>
      </c>
      <c r="N1168" t="n">
        <v>33</v>
      </c>
      <c r="O1168" t="n">
        <v>0.33</v>
      </c>
      <c r="P1168" t="n">
        <v>1</v>
      </c>
      <c r="Q1168" t="n">
        <v>0.08</v>
      </c>
      <c r="R1168" t="n">
        <v>1</v>
      </c>
      <c r="S1168" t="n">
        <v>14671.8</v>
      </c>
      <c r="T1168" t="n">
        <v>62</v>
      </c>
      <c r="U1168" t="n">
        <v>66</v>
      </c>
      <c r="V1168" t="n">
        <v>30</v>
      </c>
      <c r="W1168" t="n">
        <v>24</v>
      </c>
      <c r="X1168" t="n">
        <v>5.18000518000518</v>
      </c>
      <c r="Y1168" t="n">
        <v>1</v>
      </c>
      <c r="Z1168" t="n">
        <v>20</v>
      </c>
      <c r="AA1168" t="n">
        <v>18</v>
      </c>
      <c r="AB1168" t="n">
        <v>2</v>
      </c>
      <c r="AC1168" t="n">
        <v>3</v>
      </c>
      <c r="AD1168" t="n">
        <v>220950</v>
      </c>
      <c r="AE1168" t="n">
        <v>36825</v>
      </c>
      <c r="AF1168" t="n">
        <v>10503</v>
      </c>
      <c r="AG1168" t="n">
        <v>2148</v>
      </c>
      <c r="AH1168" t="inlineStr">
        <is>
          <t>PT. JAYA PALEMBANG SUKSES - PPN (JMB)</t>
        </is>
      </c>
      <c r="AI1168" t="n">
        <v>437</v>
      </c>
      <c r="AJ1168" t="inlineStr">
        <is>
          <t>FOCALLURE</t>
        </is>
      </c>
      <c r="AK1168" t="n">
        <v>9</v>
      </c>
      <c r="AL1168" t="inlineStr">
        <is>
          <t>Miss Glam Jambi</t>
        </is>
      </c>
      <c r="AM1168" t="n">
        <v>2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FOCALLURE</t>
        </is>
      </c>
      <c r="B1169" s="2">
        <f>"20200569208"</f>
        <v/>
      </c>
      <c r="C1169" t="inlineStr">
        <is>
          <t>FOCALLURE All In One Make Up Palete OR04 1.5 GR</t>
        </is>
      </c>
      <c r="D1169" t="inlineStr">
        <is>
          <t>Miss Glam Jambi</t>
        </is>
      </c>
      <c r="E1169" t="n">
        <v>4</v>
      </c>
      <c r="F1169" t="n">
        <v>0.02</v>
      </c>
      <c r="G1169" t="n">
        <v>1</v>
      </c>
      <c r="H1169" t="n">
        <v>4</v>
      </c>
      <c r="I1169" t="n">
        <v>28</v>
      </c>
      <c r="J1169" t="n">
        <v>1</v>
      </c>
      <c r="K1169" t="n">
        <v>0</v>
      </c>
      <c r="L1169" t="n">
        <v>45000</v>
      </c>
      <c r="M1169" t="n">
        <v>53000</v>
      </c>
      <c r="N1169" t="n">
        <v>33</v>
      </c>
      <c r="O1169" t="n">
        <v>0.33</v>
      </c>
      <c r="P1169" t="n">
        <v>0</v>
      </c>
      <c r="Q1169" t="n">
        <v>0.02</v>
      </c>
      <c r="R1169" t="n">
        <v>1</v>
      </c>
      <c r="S1169" t="n">
        <v>1060</v>
      </c>
      <c r="T1169" t="n">
        <v>28</v>
      </c>
      <c r="U1169" t="n">
        <v>29</v>
      </c>
      <c r="V1169" t="n">
        <v>30</v>
      </c>
      <c r="W1169" t="n">
        <v>1</v>
      </c>
      <c r="X1169" t="n">
        <v>200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10503</v>
      </c>
      <c r="AG1169" t="n">
        <v>2148</v>
      </c>
      <c r="AH1169" t="inlineStr">
        <is>
          <t>PT. JAYA PALEMBANG SUKSES - PPN (JMB)</t>
        </is>
      </c>
      <c r="AI1169" t="n">
        <v>437</v>
      </c>
      <c r="AJ1169" t="inlineStr">
        <is>
          <t>FOCALLURE</t>
        </is>
      </c>
      <c r="AK1169" t="n">
        <v>9</v>
      </c>
      <c r="AL1169" t="inlineStr">
        <is>
          <t>Miss Glam Jambi</t>
        </is>
      </c>
      <c r="AM1169" t="n">
        <v>2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FOCALLURE</t>
        </is>
      </c>
      <c r="B1170" s="2">
        <f>"6941845806188"</f>
        <v/>
      </c>
      <c r="C1170" t="inlineStr">
        <is>
          <t>FOCALLURE Blush &amp; Highlighter Palette FA26-02 10.5gr</t>
        </is>
      </c>
      <c r="D1170" t="inlineStr">
        <is>
          <t>Miss Glam Jambi</t>
        </is>
      </c>
      <c r="E1170" t="n">
        <v>3</v>
      </c>
      <c r="F1170" t="n">
        <v>0.066</v>
      </c>
      <c r="G1170" t="n">
        <v>0.66</v>
      </c>
      <c r="H1170" t="n">
        <v>4</v>
      </c>
      <c r="I1170" t="n">
        <v>28</v>
      </c>
      <c r="J1170" t="n">
        <v>3</v>
      </c>
      <c r="K1170" t="n">
        <v>0</v>
      </c>
      <c r="L1170" t="n">
        <v>41608</v>
      </c>
      <c r="M1170" t="n">
        <v>50000</v>
      </c>
      <c r="N1170" t="n">
        <v>33</v>
      </c>
      <c r="O1170" t="n">
        <v>0.33</v>
      </c>
      <c r="P1170" t="n">
        <v>1</v>
      </c>
      <c r="Q1170" t="n">
        <v>0.03</v>
      </c>
      <c r="R1170" t="n">
        <v>1</v>
      </c>
      <c r="S1170" t="n">
        <v>3300</v>
      </c>
      <c r="T1170" t="n">
        <v>19</v>
      </c>
      <c r="U1170" t="n">
        <v>20</v>
      </c>
      <c r="V1170" t="n">
        <v>30</v>
      </c>
      <c r="W1170" t="n">
        <v>2</v>
      </c>
      <c r="X1170" t="n">
        <v>45.45454545454545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10503</v>
      </c>
      <c r="AG1170" t="n">
        <v>2148</v>
      </c>
      <c r="AH1170" t="inlineStr">
        <is>
          <t>PT. JAYA PALEMBANG SUKSES - PPN (JMB)</t>
        </is>
      </c>
      <c r="AI1170" t="n">
        <v>437</v>
      </c>
      <c r="AJ1170" t="inlineStr">
        <is>
          <t>FOCALLURE</t>
        </is>
      </c>
      <c r="AK1170" t="n">
        <v>9</v>
      </c>
      <c r="AL1170" t="inlineStr">
        <is>
          <t>Miss Glam Jambi</t>
        </is>
      </c>
      <c r="AM1170" t="n">
        <v>2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FOCALLURE</t>
        </is>
      </c>
      <c r="B1171" s="2">
        <f>"6927545992574"</f>
        <v/>
      </c>
      <c r="C1171" t="inlineStr">
        <is>
          <t>FOCALLURE Brows Gel Cream 02 Chocolate 4gr</t>
        </is>
      </c>
      <c r="D1171" t="inlineStr">
        <is>
          <t>Miss Glam Jambi</t>
        </is>
      </c>
      <c r="E1171" t="n">
        <v>5</v>
      </c>
      <c r="F1171" t="n">
        <v>0.1287</v>
      </c>
      <c r="G1171" t="n">
        <v>1.32</v>
      </c>
      <c r="H1171" t="n">
        <v>4</v>
      </c>
      <c r="I1171" t="n">
        <v>28</v>
      </c>
      <c r="J1171" t="n">
        <v>3</v>
      </c>
      <c r="K1171" t="n">
        <v>0</v>
      </c>
      <c r="L1171" t="n">
        <v>23867</v>
      </c>
      <c r="M1171" t="n">
        <v>28500</v>
      </c>
      <c r="N1171" t="n">
        <v>33</v>
      </c>
      <c r="O1171" t="n">
        <v>0.33</v>
      </c>
      <c r="P1171" t="n">
        <v>1</v>
      </c>
      <c r="Q1171" t="n">
        <v>0.02</v>
      </c>
      <c r="R1171" t="n">
        <v>1</v>
      </c>
      <c r="S1171" t="n">
        <v>3667.95</v>
      </c>
      <c r="T1171" t="n">
        <v>37</v>
      </c>
      <c r="U1171" t="n">
        <v>38</v>
      </c>
      <c r="V1171" t="n">
        <v>30</v>
      </c>
      <c r="W1171" t="n">
        <v>4</v>
      </c>
      <c r="X1171" t="n">
        <v>38.85003885003885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10503</v>
      </c>
      <c r="AG1171" t="n">
        <v>2148</v>
      </c>
      <c r="AH1171" t="inlineStr">
        <is>
          <t>PT. JAYA PALEMBANG SUKSES - PPN (JMB)</t>
        </is>
      </c>
      <c r="AI1171" t="n">
        <v>437</v>
      </c>
      <c r="AJ1171" t="inlineStr">
        <is>
          <t>FOCALLURE</t>
        </is>
      </c>
      <c r="AK1171" t="n">
        <v>9</v>
      </c>
      <c r="AL1171" t="inlineStr">
        <is>
          <t>Miss Glam Jambi</t>
        </is>
      </c>
      <c r="AM1171" t="n">
        <v>2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FOCALLURE</t>
        </is>
      </c>
      <c r="B1172" s="2">
        <f>"6927545993144"</f>
        <v/>
      </c>
      <c r="C1172" t="inlineStr">
        <is>
          <t>FOCALLURE Brows Gel Cream 03 Dark Brown 4gr</t>
        </is>
      </c>
      <c r="D1172" t="inlineStr">
        <is>
          <t>Miss Glam Jambi</t>
        </is>
      </c>
      <c r="E1172" t="n">
        <v>10</v>
      </c>
      <c r="F1172" t="n">
        <v>0.14</v>
      </c>
      <c r="G1172" t="n">
        <v>2</v>
      </c>
      <c r="H1172" t="n">
        <v>4</v>
      </c>
      <c r="I1172" t="n">
        <v>28</v>
      </c>
      <c r="J1172" t="n">
        <v>3</v>
      </c>
      <c r="K1172" t="n">
        <v>0</v>
      </c>
      <c r="L1172" t="n">
        <v>23866</v>
      </c>
      <c r="M1172" t="n">
        <v>33000</v>
      </c>
      <c r="N1172" t="n">
        <v>33</v>
      </c>
      <c r="O1172" t="n">
        <v>0.33</v>
      </c>
      <c r="P1172" t="n">
        <v>0</v>
      </c>
      <c r="Q1172" t="n">
        <v>0.14</v>
      </c>
      <c r="R1172" t="n">
        <v>2</v>
      </c>
      <c r="S1172" t="n">
        <v>4620</v>
      </c>
      <c r="T1172" t="n">
        <v>56</v>
      </c>
      <c r="U1172" t="n">
        <v>57</v>
      </c>
      <c r="V1172" t="n">
        <v>30</v>
      </c>
      <c r="W1172" t="n">
        <v>5</v>
      </c>
      <c r="X1172" t="n">
        <v>71.42857142857142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10503</v>
      </c>
      <c r="AG1172" t="n">
        <v>2148</v>
      </c>
      <c r="AH1172" t="inlineStr">
        <is>
          <t>PT. JAYA PALEMBANG SUKSES - PPN (JMB)</t>
        </is>
      </c>
      <c r="AI1172" t="n">
        <v>437</v>
      </c>
      <c r="AJ1172" t="inlineStr">
        <is>
          <t>FOCALLURE</t>
        </is>
      </c>
      <c r="AK1172" t="n">
        <v>9</v>
      </c>
      <c r="AL1172" t="inlineStr">
        <is>
          <t>Miss Glam Jambi</t>
        </is>
      </c>
      <c r="AM1172" t="n">
        <v>2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FOCALLURE</t>
        </is>
      </c>
      <c r="B1173" s="2">
        <f>"6941845806201"</f>
        <v/>
      </c>
      <c r="C1173" t="inlineStr">
        <is>
          <t>FOCALLURE Brows Gel Cream 04 Ash Brown 4gr</t>
        </is>
      </c>
      <c r="D1173" t="inlineStr">
        <is>
          <t>Miss Glam Jambi</t>
        </is>
      </c>
      <c r="E1173" t="n">
        <v>15</v>
      </c>
      <c r="F1173" t="n">
        <v>1.5147</v>
      </c>
      <c r="G1173" t="n">
        <v>2.97</v>
      </c>
      <c r="H1173" t="n">
        <v>4</v>
      </c>
      <c r="I1173" t="n">
        <v>28</v>
      </c>
      <c r="J1173" t="n">
        <v>3</v>
      </c>
      <c r="K1173" t="n">
        <v>0</v>
      </c>
      <c r="L1173" t="n">
        <v>23866</v>
      </c>
      <c r="M1173" t="n">
        <v>27500</v>
      </c>
      <c r="N1173" t="n">
        <v>33</v>
      </c>
      <c r="O1173" t="n">
        <v>0.33</v>
      </c>
      <c r="P1173" t="n">
        <v>1</v>
      </c>
      <c r="Q1173" t="n">
        <v>0.39</v>
      </c>
      <c r="R1173" t="n">
        <v>3</v>
      </c>
      <c r="S1173" t="n">
        <v>41654.25</v>
      </c>
      <c r="T1173" t="n">
        <v>78</v>
      </c>
      <c r="U1173" t="n">
        <v>85</v>
      </c>
      <c r="V1173" t="n">
        <v>30</v>
      </c>
      <c r="W1173" t="n">
        <v>46</v>
      </c>
      <c r="X1173" t="n">
        <v>9.902951079421667</v>
      </c>
      <c r="Y1173" t="n">
        <v>1</v>
      </c>
      <c r="Z1173" t="n">
        <v>31</v>
      </c>
      <c r="AA1173" t="n">
        <v>28</v>
      </c>
      <c r="AB1173" t="n">
        <v>3</v>
      </c>
      <c r="AC1173" t="n">
        <v>3</v>
      </c>
      <c r="AD1173" t="n">
        <v>668248</v>
      </c>
      <c r="AE1173" t="n">
        <v>71598</v>
      </c>
      <c r="AF1173" t="n">
        <v>10503</v>
      </c>
      <c r="AG1173" t="n">
        <v>2148</v>
      </c>
      <c r="AH1173" t="inlineStr">
        <is>
          <t>PT. JAYA PALEMBANG SUKSES - PPN (JMB)</t>
        </is>
      </c>
      <c r="AI1173" t="n">
        <v>437</v>
      </c>
      <c r="AJ1173" t="inlineStr">
        <is>
          <t>FOCALLURE</t>
        </is>
      </c>
      <c r="AK1173" t="n">
        <v>9</v>
      </c>
      <c r="AL1173" t="inlineStr">
        <is>
          <t>Miss Glam Jambi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FOCALLURE</t>
        </is>
      </c>
      <c r="B1174" s="2">
        <f>"6941845806195"</f>
        <v/>
      </c>
      <c r="C1174" t="inlineStr">
        <is>
          <t>FOCALLURE Brows Gel Cream FA23-05 Ebony</t>
        </is>
      </c>
      <c r="D1174" t="inlineStr">
        <is>
          <t>Miss Glam Jambi</t>
        </is>
      </c>
      <c r="E1174" t="n">
        <v>6</v>
      </c>
      <c r="F1174" t="n">
        <v>0.3861</v>
      </c>
      <c r="G1174" t="n">
        <v>2.64</v>
      </c>
      <c r="H1174" t="n">
        <v>4</v>
      </c>
      <c r="I1174" t="n">
        <v>28</v>
      </c>
      <c r="J1174" t="n">
        <v>3</v>
      </c>
      <c r="K1174" t="n">
        <v>0</v>
      </c>
      <c r="L1174" t="n">
        <v>23866</v>
      </c>
      <c r="M1174" t="n">
        <v>31500</v>
      </c>
      <c r="N1174" t="n">
        <v>33</v>
      </c>
      <c r="O1174" t="n">
        <v>0.33</v>
      </c>
      <c r="P1174" t="n">
        <v>1</v>
      </c>
      <c r="Q1174" t="n">
        <v>0.2</v>
      </c>
      <c r="R1174" t="n">
        <v>1</v>
      </c>
      <c r="S1174" t="n">
        <v>12162.15</v>
      </c>
      <c r="T1174" t="n">
        <v>73</v>
      </c>
      <c r="U1174" t="n">
        <v>75</v>
      </c>
      <c r="V1174" t="n">
        <v>30</v>
      </c>
      <c r="W1174" t="n">
        <v>12</v>
      </c>
      <c r="X1174" t="n">
        <v>15.54001554001554</v>
      </c>
      <c r="Y1174" t="n">
        <v>1</v>
      </c>
      <c r="Z1174" t="n">
        <v>6</v>
      </c>
      <c r="AA1174" t="n">
        <v>5</v>
      </c>
      <c r="AB1174" t="n">
        <v>1</v>
      </c>
      <c r="AC1174" t="n">
        <v>3</v>
      </c>
      <c r="AD1174" t="n">
        <v>119330</v>
      </c>
      <c r="AE1174" t="n">
        <v>71598</v>
      </c>
      <c r="AF1174" t="n">
        <v>10503</v>
      </c>
      <c r="AG1174" t="n">
        <v>2148</v>
      </c>
      <c r="AH1174" t="inlineStr">
        <is>
          <t>PT. JAYA PALEMBANG SUKSES - PPN (JMB)</t>
        </is>
      </c>
      <c r="AI1174" t="n">
        <v>437</v>
      </c>
      <c r="AJ1174" t="inlineStr">
        <is>
          <t>FOCALLURE</t>
        </is>
      </c>
      <c r="AK1174" t="n">
        <v>9</v>
      </c>
      <c r="AL1174" t="inlineStr">
        <is>
          <t>Miss Glam Jambi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FOCALLURE</t>
        </is>
      </c>
      <c r="B1175" s="2">
        <f>"6941845806317"</f>
        <v/>
      </c>
      <c r="C1175" t="inlineStr">
        <is>
          <t>FOCALLURE Highlighter Countur Multi Stick FA01 02</t>
        </is>
      </c>
      <c r="D1175" t="inlineStr">
        <is>
          <t>Miss Glam Jambi</t>
        </is>
      </c>
      <c r="E1175" t="n">
        <v>12</v>
      </c>
      <c r="F1175" t="n">
        <v>0.0231</v>
      </c>
      <c r="G1175" t="n">
        <v>0.33</v>
      </c>
      <c r="H1175" t="n">
        <v>4</v>
      </c>
      <c r="I1175" t="n">
        <v>28</v>
      </c>
      <c r="J1175" t="n">
        <v>3</v>
      </c>
      <c r="K1175" t="n">
        <v>0</v>
      </c>
      <c r="L1175" t="n">
        <v>27739</v>
      </c>
      <c r="M1175" t="n">
        <v>33500</v>
      </c>
      <c r="N1175" t="n">
        <v>33</v>
      </c>
      <c r="O1175" t="n">
        <v>0.33</v>
      </c>
      <c r="P1175" t="n">
        <v>1</v>
      </c>
      <c r="Q1175" t="n">
        <v>0.02</v>
      </c>
      <c r="R1175" t="n">
        <v>1</v>
      </c>
      <c r="S1175" t="n">
        <v>773.8500000000001</v>
      </c>
      <c r="T1175" t="n">
        <v>10</v>
      </c>
      <c r="U1175" t="n">
        <v>11</v>
      </c>
      <c r="V1175" t="n">
        <v>30</v>
      </c>
      <c r="W1175" t="n">
        <v>1</v>
      </c>
      <c r="X1175" t="n">
        <v>519.4805194805194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10503</v>
      </c>
      <c r="AG1175" t="n">
        <v>2148</v>
      </c>
      <c r="AH1175" t="inlineStr">
        <is>
          <t>PT. JAYA PALEMBANG SUKSES - PPN (JMB)</t>
        </is>
      </c>
      <c r="AI1175" t="n">
        <v>437</v>
      </c>
      <c r="AJ1175" t="inlineStr">
        <is>
          <t>FOCALLURE</t>
        </is>
      </c>
      <c r="AK1175" t="n">
        <v>9</v>
      </c>
      <c r="AL1175" t="inlineStr">
        <is>
          <t>Miss Glam Jambi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FOCALLURE</t>
        </is>
      </c>
      <c r="B1176" s="2">
        <f>"6941845824298"</f>
        <v/>
      </c>
      <c r="C1176" t="inlineStr">
        <is>
          <t>FOCALLURE Lasting Waterproof Brow Pomade BR01 1.4gr</t>
        </is>
      </c>
      <c r="D1176" t="inlineStr">
        <is>
          <t>Miss Glam Jambi</t>
        </is>
      </c>
      <c r="E1176" t="n">
        <v>7</v>
      </c>
      <c r="F1176" t="n">
        <v>0.0396</v>
      </c>
      <c r="G1176" t="n">
        <v>0.33</v>
      </c>
      <c r="H1176" t="n">
        <v>4</v>
      </c>
      <c r="I1176" t="n">
        <v>28</v>
      </c>
      <c r="J1176" t="n">
        <v>3</v>
      </c>
      <c r="K1176" t="n">
        <v>0</v>
      </c>
      <c r="L1176" t="n">
        <v>40856</v>
      </c>
      <c r="M1176" t="n">
        <v>43500</v>
      </c>
      <c r="N1176" t="n">
        <v>33</v>
      </c>
      <c r="O1176" t="n">
        <v>0.33</v>
      </c>
      <c r="P1176" t="n">
        <v>1</v>
      </c>
      <c r="Q1176" t="n">
        <v>0.02</v>
      </c>
      <c r="R1176" t="n">
        <v>1</v>
      </c>
      <c r="S1176" t="n">
        <v>1722.6</v>
      </c>
      <c r="T1176" t="n">
        <v>10</v>
      </c>
      <c r="U1176" t="n">
        <v>11</v>
      </c>
      <c r="V1176" t="n">
        <v>30</v>
      </c>
      <c r="W1176" t="n">
        <v>2</v>
      </c>
      <c r="X1176" t="n">
        <v>176.7676767676768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10503</v>
      </c>
      <c r="AG1176" t="n">
        <v>2148</v>
      </c>
      <c r="AH1176" t="inlineStr">
        <is>
          <t>PT. JAYA PALEMBANG SUKSES - PPN (JMB)</t>
        </is>
      </c>
      <c r="AI1176" t="n">
        <v>437</v>
      </c>
      <c r="AJ1176" t="inlineStr">
        <is>
          <t>FOCALLURE</t>
        </is>
      </c>
      <c r="AK1176" t="n">
        <v>9</v>
      </c>
      <c r="AL1176" t="inlineStr">
        <is>
          <t>Miss Glam Jambi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FOCALLURE</t>
        </is>
      </c>
      <c r="B1177" s="2">
        <f>"6941845824304"</f>
        <v/>
      </c>
      <c r="C1177" t="inlineStr">
        <is>
          <t>FOCALLURE Lasting Waterproof Brow Pomade BR02 1.4gr</t>
        </is>
      </c>
      <c r="D1177" t="inlineStr">
        <is>
          <t>Miss Glam Jambi</t>
        </is>
      </c>
      <c r="E1177" t="n">
        <v>9</v>
      </c>
      <c r="F1177" t="n">
        <v>0.0561</v>
      </c>
      <c r="G1177" t="n">
        <v>0.33</v>
      </c>
      <c r="H1177" t="n">
        <v>4</v>
      </c>
      <c r="I1177" t="n">
        <v>28</v>
      </c>
      <c r="J1177" t="n">
        <v>3</v>
      </c>
      <c r="K1177" t="n">
        <v>0</v>
      </c>
      <c r="L1177" t="n">
        <v>40856</v>
      </c>
      <c r="M1177" t="n">
        <v>43500</v>
      </c>
      <c r="N1177" t="n">
        <v>33</v>
      </c>
      <c r="O1177" t="n">
        <v>0.33</v>
      </c>
      <c r="P1177" t="n">
        <v>1</v>
      </c>
      <c r="Q1177" t="n">
        <v>0.03</v>
      </c>
      <c r="R1177" t="n">
        <v>1</v>
      </c>
      <c r="S1177" t="n">
        <v>2440.35</v>
      </c>
      <c r="T1177" t="n">
        <v>10</v>
      </c>
      <c r="U1177" t="n">
        <v>11</v>
      </c>
      <c r="V1177" t="n">
        <v>30</v>
      </c>
      <c r="W1177" t="n">
        <v>2</v>
      </c>
      <c r="X1177" t="n">
        <v>160.427807486631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10503</v>
      </c>
      <c r="AG1177" t="n">
        <v>2148</v>
      </c>
      <c r="AH1177" t="inlineStr">
        <is>
          <t>PT. JAYA PALEMBANG SUKSES - PPN (JMB)</t>
        </is>
      </c>
      <c r="AI1177" t="n">
        <v>437</v>
      </c>
      <c r="AJ1177" t="inlineStr">
        <is>
          <t>FOCALLURE</t>
        </is>
      </c>
      <c r="AK1177" t="n">
        <v>9</v>
      </c>
      <c r="AL1177" t="inlineStr">
        <is>
          <t>Miss Glam Jambi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FOCALLURE</t>
        </is>
      </c>
      <c r="B1178" s="2">
        <f>"20200219327"</f>
        <v/>
      </c>
      <c r="C1178" t="inlineStr">
        <is>
          <t>FOCALLURE Lifting Mascara 3gr</t>
        </is>
      </c>
      <c r="D1178" t="inlineStr">
        <is>
          <t>Miss Glam Jambi</t>
        </is>
      </c>
      <c r="E1178" t="n">
        <v>29</v>
      </c>
      <c r="F1178" t="n">
        <v>0.1683</v>
      </c>
      <c r="G1178" t="n">
        <v>0.99</v>
      </c>
      <c r="H1178" t="n">
        <v>4</v>
      </c>
      <c r="I1178" t="n">
        <v>28</v>
      </c>
      <c r="J1178" t="n">
        <v>1</v>
      </c>
      <c r="K1178" t="n">
        <v>0</v>
      </c>
      <c r="L1178" t="n">
        <v>53034</v>
      </c>
      <c r="M1178" t="n">
        <v>58000</v>
      </c>
      <c r="N1178" t="n">
        <v>33</v>
      </c>
      <c r="O1178" t="n">
        <v>0.33</v>
      </c>
      <c r="P1178" t="n">
        <v>1</v>
      </c>
      <c r="Q1178" t="n">
        <v>0.07000000000000001</v>
      </c>
      <c r="R1178" t="n">
        <v>1</v>
      </c>
      <c r="S1178" t="n">
        <v>9761.4</v>
      </c>
      <c r="T1178" t="n">
        <v>28</v>
      </c>
      <c r="U1178" t="n">
        <v>29</v>
      </c>
      <c r="V1178" t="n">
        <v>30</v>
      </c>
      <c r="W1178" t="n">
        <v>6</v>
      </c>
      <c r="X1178" t="n">
        <v>172.311348781937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10503</v>
      </c>
      <c r="AG1178" t="n">
        <v>2148</v>
      </c>
      <c r="AH1178" t="inlineStr">
        <is>
          <t>PT. JAYA PALEMBANG SUKSES - PPN (JMB)</t>
        </is>
      </c>
      <c r="AI1178" t="n">
        <v>437</v>
      </c>
      <c r="AJ1178" t="inlineStr">
        <is>
          <t>FOCALLURE</t>
        </is>
      </c>
      <c r="AK1178" t="n">
        <v>9</v>
      </c>
      <c r="AL1178" t="inlineStr">
        <is>
          <t>Miss Glam Jambi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FOCALLURE</t>
        </is>
      </c>
      <c r="B1179" s="2">
        <f>"20100961407"</f>
        <v/>
      </c>
      <c r="C1179" t="inlineStr">
        <is>
          <t>FOCALLURE My Melody All In One Make Up Palette PC02 1.5gr*2</t>
        </is>
      </c>
      <c r="D1179" t="inlineStr">
        <is>
          <t>Miss Glam Jambi</t>
        </is>
      </c>
      <c r="E1179" t="n">
        <v>14</v>
      </c>
      <c r="F1179" t="n">
        <v>0.009900000000000001</v>
      </c>
      <c r="G1179" t="n">
        <v>0.33</v>
      </c>
      <c r="H1179" t="n">
        <v>4</v>
      </c>
      <c r="I1179" t="n">
        <v>28</v>
      </c>
      <c r="J1179" t="n">
        <v>1</v>
      </c>
      <c r="K1179" t="n">
        <v>0</v>
      </c>
      <c r="L1179" t="n">
        <v>40957</v>
      </c>
      <c r="M1179" t="n">
        <v>48500</v>
      </c>
      <c r="N1179" t="n">
        <v>33</v>
      </c>
      <c r="O1179" t="n">
        <v>0.33</v>
      </c>
      <c r="P1179" t="n">
        <v>1</v>
      </c>
      <c r="Q1179" t="n">
        <v>0.02</v>
      </c>
      <c r="R1179" t="n">
        <v>1</v>
      </c>
      <c r="S1179" t="n">
        <v>480.15</v>
      </c>
      <c r="T1179" t="n">
        <v>10</v>
      </c>
      <c r="U1179" t="n">
        <v>11</v>
      </c>
      <c r="V1179" t="n">
        <v>30</v>
      </c>
      <c r="W1179" t="n">
        <v>1</v>
      </c>
      <c r="X1179" t="n">
        <v>1414.141414141414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10503</v>
      </c>
      <c r="AG1179" t="n">
        <v>2148</v>
      </c>
      <c r="AH1179" t="inlineStr">
        <is>
          <t>PT. JAYA PALEMBANG SUKSES - PPN (JMB)</t>
        </is>
      </c>
      <c r="AI1179" t="n">
        <v>437</v>
      </c>
      <c r="AJ1179" t="inlineStr">
        <is>
          <t>FOCALLURE</t>
        </is>
      </c>
      <c r="AK1179" t="n">
        <v>9</v>
      </c>
      <c r="AL1179" t="inlineStr">
        <is>
          <t>Miss Glam Jambi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FOCALLURE</t>
        </is>
      </c>
      <c r="B1180" s="2">
        <f>"6941845807765"</f>
        <v/>
      </c>
      <c r="C1180" t="inlineStr">
        <is>
          <t>FOCALLURE Pressed Powder FA16-02</t>
        </is>
      </c>
      <c r="D1180" t="inlineStr">
        <is>
          <t>Miss Glam Jambi</t>
        </is>
      </c>
      <c r="E1180" t="n">
        <v>0</v>
      </c>
      <c r="F1180" t="n">
        <v>0.1188</v>
      </c>
      <c r="G1180" t="n">
        <v>0.99</v>
      </c>
      <c r="H1180" t="n">
        <v>4</v>
      </c>
      <c r="I1180" t="n">
        <v>28</v>
      </c>
      <c r="J1180" t="n">
        <v>3</v>
      </c>
      <c r="K1180" t="n">
        <v>0</v>
      </c>
      <c r="L1180" t="n">
        <v>30685</v>
      </c>
      <c r="M1180" t="n">
        <v>37000</v>
      </c>
      <c r="N1180" t="n">
        <v>33</v>
      </c>
      <c r="O1180" t="n">
        <v>0.33</v>
      </c>
      <c r="P1180" t="n">
        <v>1</v>
      </c>
      <c r="Q1180" t="n">
        <v>0.02</v>
      </c>
      <c r="R1180" t="n">
        <v>1</v>
      </c>
      <c r="S1180" t="n">
        <v>4395.6</v>
      </c>
      <c r="T1180" t="n">
        <v>28</v>
      </c>
      <c r="U1180" t="n">
        <v>29</v>
      </c>
      <c r="V1180" t="n">
        <v>30</v>
      </c>
      <c r="W1180" t="n">
        <v>4</v>
      </c>
      <c r="X1180" t="n">
        <v>0</v>
      </c>
      <c r="Y1180" t="n">
        <v>1</v>
      </c>
      <c r="Z1180" t="n">
        <v>4</v>
      </c>
      <c r="AA1180" t="n">
        <v>4</v>
      </c>
      <c r="AB1180" t="n">
        <v>0</v>
      </c>
      <c r="AC1180" t="n">
        <v>0</v>
      </c>
      <c r="AD1180" t="n">
        <v>122740</v>
      </c>
      <c r="AE1180" t="n">
        <v>0</v>
      </c>
      <c r="AF1180" t="n">
        <v>10503</v>
      </c>
      <c r="AG1180" t="n">
        <v>2148</v>
      </c>
      <c r="AH1180" t="inlineStr">
        <is>
          <t>PT. JAYA PALEMBANG SUKSES - PPN (JMB)</t>
        </is>
      </c>
      <c r="AI1180" t="n">
        <v>437</v>
      </c>
      <c r="AJ1180" t="inlineStr">
        <is>
          <t>FOCALLURE</t>
        </is>
      </c>
      <c r="AK1180" t="n">
        <v>9</v>
      </c>
      <c r="AL1180" t="inlineStr">
        <is>
          <t>Miss Glam Jambi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FOCALLURE</t>
        </is>
      </c>
      <c r="B1181" s="2">
        <f>"203002194146"</f>
        <v/>
      </c>
      <c r="C1181" t="inlineStr">
        <is>
          <t>FOCALLURE Satin Glow  Lip Cream BB02 2.3GR</t>
        </is>
      </c>
      <c r="D1181" t="inlineStr">
        <is>
          <t>Miss Glam Jambi</t>
        </is>
      </c>
      <c r="E1181" t="n">
        <v>5</v>
      </c>
      <c r="F1181" t="n">
        <v>0.006600000000000001</v>
      </c>
      <c r="G1181" t="n">
        <v>0.33</v>
      </c>
      <c r="H1181" t="n">
        <v>4</v>
      </c>
      <c r="I1181" t="n">
        <v>28</v>
      </c>
      <c r="J1181" t="n">
        <v>1</v>
      </c>
      <c r="K1181" t="n">
        <v>0</v>
      </c>
      <c r="L1181" t="n">
        <v>73928</v>
      </c>
      <c r="M1181" t="n">
        <v>87000</v>
      </c>
      <c r="N1181" t="n">
        <v>33</v>
      </c>
      <c r="O1181" t="n">
        <v>0.33</v>
      </c>
      <c r="P1181" t="n">
        <v>1</v>
      </c>
      <c r="Q1181" t="n">
        <v>0.02</v>
      </c>
      <c r="R1181" t="n">
        <v>1</v>
      </c>
      <c r="S1181" t="n">
        <v>574.2</v>
      </c>
      <c r="T1181" t="n">
        <v>10</v>
      </c>
      <c r="U1181" t="n">
        <v>11</v>
      </c>
      <c r="V1181" t="n">
        <v>30</v>
      </c>
      <c r="W1181" t="n">
        <v>1</v>
      </c>
      <c r="X1181" t="n">
        <v>757.5757575757575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10503</v>
      </c>
      <c r="AG1181" t="n">
        <v>2148</v>
      </c>
      <c r="AH1181" t="inlineStr">
        <is>
          <t>PT. JAYA PALEMBANG SUKSES - PPN (JMB)</t>
        </is>
      </c>
      <c r="AI1181" t="n">
        <v>437</v>
      </c>
      <c r="AJ1181" t="inlineStr">
        <is>
          <t>FOCALLURE</t>
        </is>
      </c>
      <c r="AK1181" t="n">
        <v>9</v>
      </c>
      <c r="AL1181" t="inlineStr">
        <is>
          <t>Miss Glam Jambi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FOCALLURE</t>
        </is>
      </c>
      <c r="B1182" s="2">
        <f>"6941845859603"</f>
        <v/>
      </c>
      <c r="C1182" t="inlineStr">
        <is>
          <t>FOCALLURE Sheen Lock Satin Glow Lip Cream NU01 2.3gr</t>
        </is>
      </c>
      <c r="D1182" t="inlineStr">
        <is>
          <t>Miss Glam Jambi</t>
        </is>
      </c>
      <c r="E1182" t="n">
        <v>11</v>
      </c>
      <c r="F1182" t="n">
        <v>0.006600000000000001</v>
      </c>
      <c r="G1182" t="n">
        <v>0.33</v>
      </c>
      <c r="H1182" t="n">
        <v>4</v>
      </c>
      <c r="I1182" t="n">
        <v>28</v>
      </c>
      <c r="J1182" t="n">
        <v>1</v>
      </c>
      <c r="K1182" t="n">
        <v>0</v>
      </c>
      <c r="L1182" t="n">
        <v>70955</v>
      </c>
      <c r="M1182" t="n">
        <v>83500</v>
      </c>
      <c r="N1182" t="n">
        <v>33</v>
      </c>
      <c r="O1182" t="n">
        <v>0.33</v>
      </c>
      <c r="P1182" t="n">
        <v>1</v>
      </c>
      <c r="Q1182" t="n">
        <v>0.02</v>
      </c>
      <c r="R1182" t="n">
        <v>1</v>
      </c>
      <c r="S1182" t="n">
        <v>551.1</v>
      </c>
      <c r="T1182" t="n">
        <v>10</v>
      </c>
      <c r="U1182" t="n">
        <v>11</v>
      </c>
      <c r="V1182" t="n">
        <v>30</v>
      </c>
      <c r="W1182" t="n">
        <v>1</v>
      </c>
      <c r="X1182" t="n">
        <v>1666.666666666667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10503</v>
      </c>
      <c r="AG1182" t="n">
        <v>2148</v>
      </c>
      <c r="AH1182" t="inlineStr">
        <is>
          <t>PT. JAYA PALEMBANG SUKSES - PPN (JMB)</t>
        </is>
      </c>
      <c r="AI1182" t="n">
        <v>437</v>
      </c>
      <c r="AJ1182" t="inlineStr">
        <is>
          <t>FOCALLURE</t>
        </is>
      </c>
      <c r="AK1182" t="n">
        <v>9</v>
      </c>
      <c r="AL1182" t="inlineStr">
        <is>
          <t>Miss Glam Jambi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FOCALLURE</t>
        </is>
      </c>
      <c r="B1183" s="2">
        <f>"6941845859597"</f>
        <v/>
      </c>
      <c r="C1183" t="inlineStr">
        <is>
          <t>FOCALLURE Sheen Lock Satin Glow Lip Cream PK02 2.3gr</t>
        </is>
      </c>
      <c r="D1183" t="inlineStr">
        <is>
          <t>Miss Glam Jambi</t>
        </is>
      </c>
      <c r="E1183" t="n">
        <v>17</v>
      </c>
      <c r="F1183" t="n">
        <v>0.009900000000000001</v>
      </c>
      <c r="G1183" t="n">
        <v>0.33</v>
      </c>
      <c r="H1183" t="n">
        <v>4</v>
      </c>
      <c r="I1183" t="n">
        <v>28</v>
      </c>
      <c r="J1183" t="n">
        <v>1</v>
      </c>
      <c r="K1183" t="n">
        <v>0</v>
      </c>
      <c r="L1183" t="n">
        <v>70955</v>
      </c>
      <c r="M1183" t="n">
        <v>83500</v>
      </c>
      <c r="N1183" t="n">
        <v>33</v>
      </c>
      <c r="O1183" t="n">
        <v>0.33</v>
      </c>
      <c r="P1183" t="n">
        <v>1</v>
      </c>
      <c r="Q1183" t="n">
        <v>0.02</v>
      </c>
      <c r="R1183" t="n">
        <v>1</v>
      </c>
      <c r="S1183" t="n">
        <v>826.6500000000001</v>
      </c>
      <c r="T1183" t="n">
        <v>10</v>
      </c>
      <c r="U1183" t="n">
        <v>11</v>
      </c>
      <c r="V1183" t="n">
        <v>30</v>
      </c>
      <c r="W1183" t="n">
        <v>1</v>
      </c>
      <c r="X1183" t="n">
        <v>1717.171717171717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10503</v>
      </c>
      <c r="AG1183" t="n">
        <v>2148</v>
      </c>
      <c r="AH1183" t="inlineStr">
        <is>
          <t>PT. JAYA PALEMBANG SUKSES - PPN (JMB)</t>
        </is>
      </c>
      <c r="AI1183" t="n">
        <v>437</v>
      </c>
      <c r="AJ1183" t="inlineStr">
        <is>
          <t>FOCALLURE</t>
        </is>
      </c>
      <c r="AK1183" t="n">
        <v>9</v>
      </c>
      <c r="AL1183" t="inlineStr">
        <is>
          <t>Miss Glam Jambi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FOCALLURE</t>
        </is>
      </c>
      <c r="B1184" s="2">
        <f>"6941845855407"</f>
        <v/>
      </c>
      <c r="C1184" t="inlineStr">
        <is>
          <t>FOCALLURE Transferproof Eyeliner Liquid BK01 1gr</t>
        </is>
      </c>
      <c r="D1184" t="inlineStr">
        <is>
          <t>Miss Glam Jambi</t>
        </is>
      </c>
      <c r="E1184" t="n">
        <v>3</v>
      </c>
      <c r="F1184" t="n">
        <v>0.02</v>
      </c>
      <c r="G1184" t="n">
        <v>1</v>
      </c>
      <c r="H1184" t="n">
        <v>4</v>
      </c>
      <c r="I1184" t="n">
        <v>28</v>
      </c>
      <c r="J1184" t="n">
        <v>1</v>
      </c>
      <c r="K1184" t="n">
        <v>0</v>
      </c>
      <c r="L1184" t="n">
        <v>43125</v>
      </c>
      <c r="M1184" t="n">
        <v>55500</v>
      </c>
      <c r="N1184" t="n">
        <v>33</v>
      </c>
      <c r="O1184" t="n">
        <v>0.33</v>
      </c>
      <c r="P1184" t="n">
        <v>0</v>
      </c>
      <c r="Q1184" t="n">
        <v>0.02</v>
      </c>
      <c r="R1184" t="n">
        <v>1</v>
      </c>
      <c r="S1184" t="n">
        <v>1110</v>
      </c>
      <c r="T1184" t="n">
        <v>28</v>
      </c>
      <c r="U1184" t="n">
        <v>29</v>
      </c>
      <c r="V1184" t="n">
        <v>30</v>
      </c>
      <c r="W1184" t="n">
        <v>1</v>
      </c>
      <c r="X1184" t="n">
        <v>150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10503</v>
      </c>
      <c r="AG1184" t="n">
        <v>2148</v>
      </c>
      <c r="AH1184" t="inlineStr">
        <is>
          <t>PT. JAYA PALEMBANG SUKSES - PPN (JMB)</t>
        </is>
      </c>
      <c r="AI1184" t="n">
        <v>437</v>
      </c>
      <c r="AJ1184" t="inlineStr">
        <is>
          <t>FOCALLURE</t>
        </is>
      </c>
      <c r="AK1184" t="n">
        <v>9</v>
      </c>
      <c r="AL1184" t="inlineStr">
        <is>
          <t>Miss Glam Jambi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FOLTI BAFFI</t>
        </is>
      </c>
      <c r="B1185" s="2">
        <f>"8994448763882"</f>
        <v/>
      </c>
      <c r="C1185" t="inlineStr">
        <is>
          <t>FOLTI BAFFI Water Based Pomade 80gr</t>
        </is>
      </c>
      <c r="D1185" t="inlineStr">
        <is>
          <t>Miss Glam Jambi</t>
        </is>
      </c>
      <c r="E1185" t="n">
        <v>4</v>
      </c>
      <c r="F1185" t="n">
        <v>0.02</v>
      </c>
      <c r="G1185" t="n">
        <v>1</v>
      </c>
      <c r="H1185" t="n">
        <v>4</v>
      </c>
      <c r="I1185" t="n">
        <v>20</v>
      </c>
      <c r="J1185" t="n">
        <v>3</v>
      </c>
      <c r="K1185" t="n">
        <v>0</v>
      </c>
      <c r="L1185" t="n">
        <v>85311</v>
      </c>
      <c r="M1185" t="n">
        <v>105000</v>
      </c>
      <c r="N1185" t="n">
        <v>33</v>
      </c>
      <c r="O1185" t="n">
        <v>0.33</v>
      </c>
      <c r="P1185" t="n">
        <v>0</v>
      </c>
      <c r="Q1185" t="n">
        <v>0.02</v>
      </c>
      <c r="R1185" t="n">
        <v>1</v>
      </c>
      <c r="S1185" t="n">
        <v>2100</v>
      </c>
      <c r="T1185" t="n">
        <v>20</v>
      </c>
      <c r="U1185" t="n">
        <v>21</v>
      </c>
      <c r="V1185" t="n">
        <v>30</v>
      </c>
      <c r="W1185" t="n">
        <v>1</v>
      </c>
      <c r="X1185" t="n">
        <v>200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4948</v>
      </c>
      <c r="AG1185" t="n">
        <v>1</v>
      </c>
      <c r="AH1185" t="inlineStr">
        <is>
          <t>PT. BERSAMA DISTRIVERSA INDONESIA (DC CIPUTAT)</t>
        </is>
      </c>
      <c r="AI1185" t="n">
        <v>1336</v>
      </c>
      <c r="AJ1185" t="inlineStr">
        <is>
          <t>FOLTI BAFFI</t>
        </is>
      </c>
      <c r="AK1185" t="n">
        <v>9</v>
      </c>
      <c r="AL1185" t="inlineStr">
        <is>
          <t>Miss Glam Jambi</t>
        </is>
      </c>
      <c r="AM1185" t="n">
        <v>4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FOLTI BAFFI</t>
        </is>
      </c>
      <c r="B1186" s="2">
        <f>"11000403550"</f>
        <v/>
      </c>
      <c r="C1186" t="inlineStr">
        <is>
          <t>FOLTI BAFFI Waterbased Tropicola Pomade 30gr</t>
        </is>
      </c>
      <c r="D1186" t="inlineStr">
        <is>
          <t>Miss Glam Jambi</t>
        </is>
      </c>
      <c r="E1186" t="n">
        <v>0</v>
      </c>
      <c r="F1186" t="n">
        <v>0.03</v>
      </c>
      <c r="G1186" t="n">
        <v>1</v>
      </c>
      <c r="H1186" t="n">
        <v>4</v>
      </c>
      <c r="I1186" t="n">
        <v>20</v>
      </c>
      <c r="J1186" t="n">
        <v>3</v>
      </c>
      <c r="K1186" t="n">
        <v>0</v>
      </c>
      <c r="L1186" t="n">
        <v>29667</v>
      </c>
      <c r="M1186" t="n">
        <v>62500</v>
      </c>
      <c r="N1186" t="n">
        <v>33</v>
      </c>
      <c r="O1186" t="n">
        <v>0.33</v>
      </c>
      <c r="P1186" t="n">
        <v>0</v>
      </c>
      <c r="Q1186" t="n">
        <v>0.03</v>
      </c>
      <c r="R1186" t="n">
        <v>1</v>
      </c>
      <c r="S1186" t="n">
        <v>1875</v>
      </c>
      <c r="T1186" t="n">
        <v>20</v>
      </c>
      <c r="U1186" t="n">
        <v>21</v>
      </c>
      <c r="V1186" t="n">
        <v>30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n">
        <v>0</v>
      </c>
      <c r="AC1186" t="n">
        <v>0</v>
      </c>
      <c r="AD1186" t="n">
        <v>29667</v>
      </c>
      <c r="AE1186" t="n">
        <v>0</v>
      </c>
      <c r="AF1186" t="n">
        <v>4948</v>
      </c>
      <c r="AG1186" t="n">
        <v>1</v>
      </c>
      <c r="AH1186" t="inlineStr">
        <is>
          <t>PT. BERSAMA DISTRIVERSA INDONESIA (DC CIPUTAT)</t>
        </is>
      </c>
      <c r="AI1186" t="n">
        <v>1336</v>
      </c>
      <c r="AJ1186" t="inlineStr">
        <is>
          <t>FOLTI BAFFI</t>
        </is>
      </c>
      <c r="AK1186" t="n">
        <v>9</v>
      </c>
      <c r="AL1186" t="inlineStr">
        <is>
          <t>Miss Glam Jambi</t>
        </is>
      </c>
      <c r="AM1186" t="n">
        <v>4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FOREBIE</t>
        </is>
      </c>
      <c r="B1187" s="2">
        <f>"10100721757"</f>
        <v/>
      </c>
      <c r="C1187" t="inlineStr">
        <is>
          <t>FOREBIE Clean The Skin Micellar Water Infused With Blue Tansy 300gr</t>
        </is>
      </c>
      <c r="D1187" t="inlineStr">
        <is>
          <t>Miss Glam Jambi</t>
        </is>
      </c>
      <c r="E1187" t="n">
        <v>9</v>
      </c>
      <c r="F1187" t="n">
        <v>0.006600000000000001</v>
      </c>
      <c r="G1187" t="n">
        <v>0.33</v>
      </c>
      <c r="H1187" t="n">
        <v>4</v>
      </c>
      <c r="I1187" t="n">
        <v>20</v>
      </c>
      <c r="J1187" t="n">
        <v>1</v>
      </c>
      <c r="K1187" t="n">
        <v>0</v>
      </c>
      <c r="L1187" t="n">
        <v>71200</v>
      </c>
      <c r="M1187" t="n">
        <v>109000</v>
      </c>
      <c r="N1187" t="n">
        <v>33</v>
      </c>
      <c r="O1187" t="n">
        <v>0.33</v>
      </c>
      <c r="P1187" t="n">
        <v>1</v>
      </c>
      <c r="Q1187" t="n">
        <v>0.03</v>
      </c>
      <c r="R1187" t="n">
        <v>1</v>
      </c>
      <c r="S1187" t="n">
        <v>719.4000000000001</v>
      </c>
      <c r="T1187" t="n">
        <v>7</v>
      </c>
      <c r="U1187" t="n">
        <v>8</v>
      </c>
      <c r="V1187" t="n">
        <v>30</v>
      </c>
      <c r="W1187" t="n">
        <v>1</v>
      </c>
      <c r="X1187" t="n">
        <v>1363.636363636364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4981</v>
      </c>
      <c r="AG1187" t="n">
        <v>1</v>
      </c>
      <c r="AH1187" t="inlineStr">
        <is>
          <t>PT. BERSAMA DISTRIVERSA INDONESIA (DC CIPUTAT)</t>
        </is>
      </c>
      <c r="AI1187" t="n">
        <v>2049</v>
      </c>
      <c r="AJ1187" t="inlineStr">
        <is>
          <t>FOREBIE</t>
        </is>
      </c>
      <c r="AK1187" t="n">
        <v>9</v>
      </c>
      <c r="AL1187" t="inlineStr">
        <is>
          <t>Miss Glam Jambi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FOREBIE</t>
        </is>
      </c>
      <c r="B1188" s="2">
        <f>"11200218718"</f>
        <v/>
      </c>
      <c r="C1188" t="inlineStr">
        <is>
          <t>FOREBIE Fight Acne Moist Serum 35ml</t>
        </is>
      </c>
      <c r="D1188" t="inlineStr">
        <is>
          <t>Miss Glam Jambi</t>
        </is>
      </c>
      <c r="E1188" t="n">
        <v>6</v>
      </c>
      <c r="F1188" t="n">
        <v>0.066</v>
      </c>
      <c r="G1188" t="n">
        <v>0.66</v>
      </c>
      <c r="H1188" t="n">
        <v>4</v>
      </c>
      <c r="I1188" t="n">
        <v>20</v>
      </c>
      <c r="J1188" t="n">
        <v>1</v>
      </c>
      <c r="K1188" t="n">
        <v>0</v>
      </c>
      <c r="L1188" t="n">
        <v>96467</v>
      </c>
      <c r="M1188" t="n">
        <v>122000</v>
      </c>
      <c r="N1188" t="n">
        <v>33</v>
      </c>
      <c r="O1188" t="n">
        <v>0.33</v>
      </c>
      <c r="P1188" t="n">
        <v>1</v>
      </c>
      <c r="Q1188" t="n">
        <v>0.03</v>
      </c>
      <c r="R1188" t="n">
        <v>1</v>
      </c>
      <c r="S1188" t="n">
        <v>8052</v>
      </c>
      <c r="T1188" t="n">
        <v>13</v>
      </c>
      <c r="U1188" t="n">
        <v>14</v>
      </c>
      <c r="V1188" t="n">
        <v>30</v>
      </c>
      <c r="W1188" t="n">
        <v>2</v>
      </c>
      <c r="X1188" t="n">
        <v>90.90909090909091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4981</v>
      </c>
      <c r="AG1188" t="n">
        <v>1</v>
      </c>
      <c r="AH1188" t="inlineStr">
        <is>
          <t>PT. BERSAMA DISTRIVERSA INDONESIA (DC CIPUTAT)</t>
        </is>
      </c>
      <c r="AI1188" t="n">
        <v>2049</v>
      </c>
      <c r="AJ1188" t="inlineStr">
        <is>
          <t>FOREBIE</t>
        </is>
      </c>
      <c r="AK1188" t="n">
        <v>9</v>
      </c>
      <c r="AL1188" t="inlineStr">
        <is>
          <t>Miss Glam Jambi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FOREBIE</t>
        </is>
      </c>
      <c r="B1189" s="2">
        <f>"101001107825"</f>
        <v/>
      </c>
      <c r="C1189" t="inlineStr">
        <is>
          <t>FOREBIE Friendly Cleanser 100ml</t>
        </is>
      </c>
      <c r="D1189" t="inlineStr">
        <is>
          <t>Miss Glam Jambi</t>
        </is>
      </c>
      <c r="E1189" t="n">
        <v>0</v>
      </c>
      <c r="F1189" t="n">
        <v>0.0165</v>
      </c>
      <c r="G1189" t="n">
        <v>0.33</v>
      </c>
      <c r="H1189" t="n">
        <v>4</v>
      </c>
      <c r="I1189" t="n">
        <v>20</v>
      </c>
      <c r="J1189" t="n">
        <v>1</v>
      </c>
      <c r="K1189" t="n">
        <v>0</v>
      </c>
      <c r="L1189" t="n">
        <v>60960</v>
      </c>
      <c r="M1189" t="n">
        <v>72000</v>
      </c>
      <c r="N1189" t="n">
        <v>33</v>
      </c>
      <c r="O1189" t="n">
        <v>0.33</v>
      </c>
      <c r="P1189" t="n">
        <v>1</v>
      </c>
      <c r="Q1189" t="n">
        <v>0.06</v>
      </c>
      <c r="R1189" t="n">
        <v>1</v>
      </c>
      <c r="S1189" t="n">
        <v>1188</v>
      </c>
      <c r="T1189" t="n">
        <v>7</v>
      </c>
      <c r="U1189" t="n">
        <v>8</v>
      </c>
      <c r="V1189" t="n">
        <v>30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n">
        <v>0</v>
      </c>
      <c r="AC1189" t="n">
        <v>0</v>
      </c>
      <c r="AD1189" t="n">
        <v>60960</v>
      </c>
      <c r="AE1189" t="n">
        <v>0</v>
      </c>
      <c r="AF1189" t="n">
        <v>4981</v>
      </c>
      <c r="AG1189" t="n">
        <v>1</v>
      </c>
      <c r="AH1189" t="inlineStr">
        <is>
          <t>PT. BERSAMA DISTRIVERSA INDONESIA (DC CIPUTAT)</t>
        </is>
      </c>
      <c r="AI1189" t="n">
        <v>2049</v>
      </c>
      <c r="AJ1189" t="inlineStr">
        <is>
          <t>FOREBIE</t>
        </is>
      </c>
      <c r="AK1189" t="n">
        <v>9</v>
      </c>
      <c r="AL1189" t="inlineStr">
        <is>
          <t>Miss Glam Jambi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FRES &amp; NATURAL</t>
        </is>
      </c>
      <c r="B1190" s="2">
        <f>"8998866606882"</f>
        <v/>
      </c>
      <c r="C1190" t="inlineStr">
        <is>
          <t>FRES &amp; Natural BT21 Persona Blush Fine Fragrance Mist 100ml</t>
        </is>
      </c>
      <c r="D1190" t="inlineStr">
        <is>
          <t>Miss Glam Jambi</t>
        </is>
      </c>
      <c r="E1190" t="n">
        <v>0</v>
      </c>
      <c r="F1190" t="n">
        <v>0.1848</v>
      </c>
      <c r="G1190" t="n">
        <v>0.99</v>
      </c>
      <c r="H1190" t="n">
        <v>6</v>
      </c>
      <c r="I1190" t="n">
        <v>20</v>
      </c>
      <c r="J1190" t="n">
        <v>3</v>
      </c>
      <c r="K1190" t="n">
        <v>3</v>
      </c>
      <c r="L1190" t="n">
        <v>10557</v>
      </c>
      <c r="M1190" t="n">
        <v>12000</v>
      </c>
      <c r="N1190" t="n">
        <v>33</v>
      </c>
      <c r="O1190" t="n">
        <v>0.33</v>
      </c>
      <c r="P1190" t="n">
        <v>1</v>
      </c>
      <c r="Q1190" t="n">
        <v>0.17</v>
      </c>
      <c r="R1190" t="n">
        <v>1</v>
      </c>
      <c r="S1190" t="n">
        <v>2217.6</v>
      </c>
      <c r="T1190" t="n">
        <v>19</v>
      </c>
      <c r="U1190" t="n">
        <v>21</v>
      </c>
      <c r="V1190" t="n">
        <v>30</v>
      </c>
      <c r="W1190" t="n">
        <v>6</v>
      </c>
      <c r="X1190" t="n">
        <v>0</v>
      </c>
      <c r="Y1190" t="n">
        <v>1</v>
      </c>
      <c r="Z1190" t="n">
        <v>3</v>
      </c>
      <c r="AA1190" t="n">
        <v>3</v>
      </c>
      <c r="AB1190" t="n">
        <v>0</v>
      </c>
      <c r="AC1190" t="n">
        <v>0</v>
      </c>
      <c r="AD1190" t="n">
        <v>31671</v>
      </c>
      <c r="AE1190" t="n">
        <v>0</v>
      </c>
      <c r="AF1190" t="n">
        <v>10446</v>
      </c>
      <c r="AG1190" t="n">
        <v>2198</v>
      </c>
      <c r="AH1190" t="inlineStr">
        <is>
          <t>PT. JAMBI DISTRINDO RAYA - PPN (JMB)</t>
        </is>
      </c>
      <c r="AI1190" t="n">
        <v>1597</v>
      </c>
      <c r="AJ1190" t="inlineStr">
        <is>
          <t>FRES &amp; NATURAL</t>
        </is>
      </c>
      <c r="AK1190" t="n">
        <v>9</v>
      </c>
      <c r="AL1190" t="inlineStr">
        <is>
          <t>Miss Glam Jambi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FRES &amp; NATURAL</t>
        </is>
      </c>
      <c r="B1191" s="2">
        <f>"8998866627160"</f>
        <v/>
      </c>
      <c r="C1191" t="inlineStr">
        <is>
          <t>FRES &amp; NATURAL Eau De Toilette Song Of Spring 100ml</t>
        </is>
      </c>
      <c r="D1191" t="inlineStr">
        <is>
          <t>Miss Glam Jambi</t>
        </is>
      </c>
      <c r="E1191" t="n">
        <v>4</v>
      </c>
      <c r="F1191" t="n">
        <v>0.14</v>
      </c>
      <c r="G1191" t="n">
        <v>2</v>
      </c>
      <c r="H1191" t="n">
        <v>6</v>
      </c>
      <c r="I1191" t="n">
        <v>20</v>
      </c>
      <c r="J1191" t="n">
        <v>3</v>
      </c>
      <c r="K1191" t="n">
        <v>3</v>
      </c>
      <c r="L1191" t="n">
        <v>21819</v>
      </c>
      <c r="M1191" t="n">
        <v>29500</v>
      </c>
      <c r="N1191" t="n">
        <v>33</v>
      </c>
      <c r="O1191" t="n">
        <v>0.33</v>
      </c>
      <c r="P1191" t="n">
        <v>0</v>
      </c>
      <c r="Q1191" t="n">
        <v>0.14</v>
      </c>
      <c r="R1191" t="n">
        <v>2</v>
      </c>
      <c r="S1191" t="n">
        <v>4130</v>
      </c>
      <c r="T1191" t="n">
        <v>40</v>
      </c>
      <c r="U1191" t="n">
        <v>41</v>
      </c>
      <c r="V1191" t="n">
        <v>30</v>
      </c>
      <c r="W1191" t="n">
        <v>5</v>
      </c>
      <c r="X1191" t="n">
        <v>28.57142857142857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10446</v>
      </c>
      <c r="AG1191" t="n">
        <v>2198</v>
      </c>
      <c r="AH1191" t="inlineStr">
        <is>
          <t>PT. JAMBI DISTRINDO RAYA - PPN (JMB)</t>
        </is>
      </c>
      <c r="AI1191" t="n">
        <v>1597</v>
      </c>
      <c r="AJ1191" t="inlineStr">
        <is>
          <t>FRES &amp; NATURAL</t>
        </is>
      </c>
      <c r="AK1191" t="n">
        <v>9</v>
      </c>
      <c r="AL1191" t="inlineStr">
        <is>
          <t>Miss Glam Jambi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FRES &amp; NATURAL</t>
        </is>
      </c>
      <c r="B1192" s="2">
        <f>"8998866618014"</f>
        <v/>
      </c>
      <c r="C1192" t="inlineStr">
        <is>
          <t>FRES &amp; Natural Pink Cupcake Fragnance Mist 100ml</t>
        </is>
      </c>
      <c r="D1192" t="inlineStr">
        <is>
          <t>Miss Glam Jambi</t>
        </is>
      </c>
      <c r="E1192" t="n">
        <v>2</v>
      </c>
      <c r="F1192" t="n">
        <v>0.7425</v>
      </c>
      <c r="G1192" t="n">
        <v>1.98</v>
      </c>
      <c r="H1192" t="n">
        <v>6</v>
      </c>
      <c r="I1192" t="n">
        <v>20</v>
      </c>
      <c r="J1192" t="n">
        <v>3</v>
      </c>
      <c r="K1192" t="n">
        <v>7</v>
      </c>
      <c r="L1192" t="n">
        <v>10557</v>
      </c>
      <c r="M1192" t="n">
        <v>12000</v>
      </c>
      <c r="N1192" t="n">
        <v>33</v>
      </c>
      <c r="O1192" t="n">
        <v>0.33</v>
      </c>
      <c r="P1192" t="n">
        <v>1</v>
      </c>
      <c r="Q1192" t="n">
        <v>0.14</v>
      </c>
      <c r="R1192" t="n">
        <v>2</v>
      </c>
      <c r="S1192" t="n">
        <v>8910</v>
      </c>
      <c r="T1192" t="n">
        <v>36</v>
      </c>
      <c r="U1192" t="n">
        <v>41</v>
      </c>
      <c r="V1192" t="n">
        <v>30</v>
      </c>
      <c r="W1192" t="n">
        <v>23</v>
      </c>
      <c r="X1192" t="n">
        <v>2.693602693602693</v>
      </c>
      <c r="Y1192" t="n">
        <v>1</v>
      </c>
      <c r="Z1192" t="n">
        <v>14</v>
      </c>
      <c r="AA1192" t="n">
        <v>12</v>
      </c>
      <c r="AB1192" t="n">
        <v>2</v>
      </c>
      <c r="AC1192" t="n">
        <v>3</v>
      </c>
      <c r="AD1192" t="n">
        <v>126684</v>
      </c>
      <c r="AE1192" t="n">
        <v>31671</v>
      </c>
      <c r="AF1192" t="n">
        <v>10446</v>
      </c>
      <c r="AG1192" t="n">
        <v>2198</v>
      </c>
      <c r="AH1192" t="inlineStr">
        <is>
          <t>PT. JAMBI DISTRINDO RAYA - PPN (JMB)</t>
        </is>
      </c>
      <c r="AI1192" t="n">
        <v>1597</v>
      </c>
      <c r="AJ1192" t="inlineStr">
        <is>
          <t>FRES &amp; NATURAL</t>
        </is>
      </c>
      <c r="AK1192" t="n">
        <v>9</v>
      </c>
      <c r="AL1192" t="inlineStr">
        <is>
          <t>Miss Glam Jambi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FROM THIS ISLAND</t>
        </is>
      </c>
      <c r="B1193" s="2">
        <f>"8994455180139"</f>
        <v/>
      </c>
      <c r="C1193" t="inlineStr">
        <is>
          <t>FROM THIS ISLAND  Illipe Plumping Lip Butter Sweetpeach10g</t>
        </is>
      </c>
      <c r="D1193" t="inlineStr">
        <is>
          <t>Miss Glam Jambi</t>
        </is>
      </c>
      <c r="E1193" t="n">
        <v>4</v>
      </c>
      <c r="F1193" t="n">
        <v>0.02</v>
      </c>
      <c r="G1193" t="n">
        <v>1</v>
      </c>
      <c r="H1193" t="n">
        <v>4</v>
      </c>
      <c r="I1193" t="n">
        <v>20</v>
      </c>
      <c r="J1193" t="n">
        <v>3</v>
      </c>
      <c r="K1193" t="n">
        <v>0</v>
      </c>
      <c r="L1193" t="n">
        <v>113345</v>
      </c>
      <c r="M1193" t="n">
        <v>149000</v>
      </c>
      <c r="N1193" t="n">
        <v>33</v>
      </c>
      <c r="O1193" t="n">
        <v>0.33</v>
      </c>
      <c r="P1193" t="n">
        <v>0</v>
      </c>
      <c r="Q1193" t="n">
        <v>0.02</v>
      </c>
      <c r="R1193" t="n">
        <v>1</v>
      </c>
      <c r="S1193" t="n">
        <v>2980</v>
      </c>
      <c r="T1193" t="n">
        <v>20</v>
      </c>
      <c r="U1193" t="n">
        <v>21</v>
      </c>
      <c r="V1193" t="n">
        <v>30</v>
      </c>
      <c r="W1193" t="n">
        <v>1</v>
      </c>
      <c r="X1193" t="n">
        <v>200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5014</v>
      </c>
      <c r="AG1193" t="n">
        <v>1</v>
      </c>
      <c r="AH1193" t="inlineStr">
        <is>
          <t>PT. BERSAMA DISTRIVERSA INDONESIA (DC CIPUTAT)</t>
        </is>
      </c>
      <c r="AI1193" t="n">
        <v>2112</v>
      </c>
      <c r="AJ1193" t="inlineStr">
        <is>
          <t>FROM THIS ISLAND</t>
        </is>
      </c>
      <c r="AK1193" t="n">
        <v>9</v>
      </c>
      <c r="AL1193" t="inlineStr">
        <is>
          <t>Miss Glam Jambi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FROM THIS ISLAND</t>
        </is>
      </c>
      <c r="B1194" s="2">
        <f>"8994455180108"</f>
        <v/>
      </c>
      <c r="C1194" t="inlineStr">
        <is>
          <t>FROM THIS ISLAND Illipe Plumping Lip Butter Classicnude 10g</t>
        </is>
      </c>
      <c r="D1194" t="inlineStr">
        <is>
          <t>Miss Glam Jambi</t>
        </is>
      </c>
      <c r="E1194" t="n">
        <v>12</v>
      </c>
      <c r="F1194" t="n">
        <v>0.02</v>
      </c>
      <c r="G1194" t="n">
        <v>1</v>
      </c>
      <c r="H1194" t="n">
        <v>4</v>
      </c>
      <c r="I1194" t="n">
        <v>20</v>
      </c>
      <c r="J1194" t="n">
        <v>3</v>
      </c>
      <c r="K1194" t="n">
        <v>0</v>
      </c>
      <c r="L1194" t="n">
        <v>105913</v>
      </c>
      <c r="M1194" t="n">
        <v>149000</v>
      </c>
      <c r="N1194" t="n">
        <v>33</v>
      </c>
      <c r="O1194" t="n">
        <v>0.33</v>
      </c>
      <c r="P1194" t="n">
        <v>0</v>
      </c>
      <c r="Q1194" t="n">
        <v>0.02</v>
      </c>
      <c r="R1194" t="n">
        <v>1</v>
      </c>
      <c r="S1194" t="n">
        <v>2980</v>
      </c>
      <c r="T1194" t="n">
        <v>20</v>
      </c>
      <c r="U1194" t="n">
        <v>21</v>
      </c>
      <c r="V1194" t="n">
        <v>30</v>
      </c>
      <c r="W1194" t="n">
        <v>1</v>
      </c>
      <c r="X1194" t="n">
        <v>600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5014</v>
      </c>
      <c r="AG1194" t="n">
        <v>1</v>
      </c>
      <c r="AH1194" t="inlineStr">
        <is>
          <t>PT. BERSAMA DISTRIVERSA INDONESIA (DC CIPUTAT)</t>
        </is>
      </c>
      <c r="AI1194" t="n">
        <v>2112</v>
      </c>
      <c r="AJ1194" t="inlineStr">
        <is>
          <t>FROM THIS ISLAND</t>
        </is>
      </c>
      <c r="AK1194" t="n">
        <v>9</v>
      </c>
      <c r="AL1194" t="inlineStr">
        <is>
          <t>Miss Glam Jambi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FROM THIS ISLAND</t>
        </is>
      </c>
      <c r="B1195" s="2">
        <f>"10700401536"</f>
        <v/>
      </c>
      <c r="C1195" t="inlineStr">
        <is>
          <t>FROM THIS ISLAND Illipe Plumping Lip Butter Sparkling Blush 10gr</t>
        </is>
      </c>
      <c r="D1195" t="inlineStr">
        <is>
          <t>Miss Glam Jambi</t>
        </is>
      </c>
      <c r="E1195" t="n">
        <v>10</v>
      </c>
      <c r="F1195" t="n">
        <v>0.006600000000000001</v>
      </c>
      <c r="G1195" t="n">
        <v>0.33</v>
      </c>
      <c r="H1195" t="n">
        <v>4</v>
      </c>
      <c r="I1195" t="n">
        <v>20</v>
      </c>
      <c r="J1195" t="n">
        <v>1</v>
      </c>
      <c r="K1195" t="n">
        <v>0</v>
      </c>
      <c r="L1195" t="n">
        <v>110171</v>
      </c>
      <c r="M1195" t="n">
        <v>149000</v>
      </c>
      <c r="N1195" t="n">
        <v>33</v>
      </c>
      <c r="O1195" t="n">
        <v>0.33</v>
      </c>
      <c r="P1195" t="n">
        <v>1</v>
      </c>
      <c r="Q1195" t="n">
        <v>0.02</v>
      </c>
      <c r="R1195" t="n">
        <v>1</v>
      </c>
      <c r="S1195" t="n">
        <v>983.4000000000001</v>
      </c>
      <c r="T1195" t="n">
        <v>7</v>
      </c>
      <c r="U1195" t="n">
        <v>8</v>
      </c>
      <c r="V1195" t="n">
        <v>30</v>
      </c>
      <c r="W1195" t="n">
        <v>1</v>
      </c>
      <c r="X1195" t="n">
        <v>1515.151515151515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5014</v>
      </c>
      <c r="AG1195" t="n">
        <v>1</v>
      </c>
      <c r="AH1195" t="inlineStr">
        <is>
          <t>PT. BERSAMA DISTRIVERSA INDONESIA (DC CIPUTAT)</t>
        </is>
      </c>
      <c r="AI1195" t="n">
        <v>2112</v>
      </c>
      <c r="AJ1195" t="inlineStr">
        <is>
          <t>FROM THIS ISLAND</t>
        </is>
      </c>
      <c r="AK1195" t="n">
        <v>9</v>
      </c>
      <c r="AL1195" t="inlineStr">
        <is>
          <t>Miss Glam Jambi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FROM THIS ISLAND</t>
        </is>
      </c>
      <c r="B1196" s="2">
        <f>"8994455180030"</f>
        <v/>
      </c>
      <c r="C1196" t="inlineStr">
        <is>
          <t>FROM THIS ISLAND Tropical Guava Barrier Moisture Gel 20ml</t>
        </is>
      </c>
      <c r="D1196" t="inlineStr">
        <is>
          <t>Miss Glam Jambi</t>
        </is>
      </c>
      <c r="E1196" t="n">
        <v>3</v>
      </c>
      <c r="F1196" t="n">
        <v>0.02</v>
      </c>
      <c r="G1196" t="n">
        <v>0</v>
      </c>
      <c r="H1196" t="n">
        <v>4</v>
      </c>
      <c r="I1196" t="n">
        <v>20</v>
      </c>
      <c r="J1196" t="n">
        <v>3</v>
      </c>
      <c r="K1196" t="n">
        <v>0</v>
      </c>
      <c r="L1196" t="n">
        <v>83345</v>
      </c>
      <c r="M1196" t="n">
        <v>109000</v>
      </c>
      <c r="N1196" t="n">
        <v>33</v>
      </c>
      <c r="O1196" t="n">
        <v>0.33</v>
      </c>
      <c r="P1196" t="n">
        <v>0</v>
      </c>
      <c r="Q1196" t="n">
        <v>0.02</v>
      </c>
      <c r="R1196" t="n">
        <v>0</v>
      </c>
      <c r="S1196" t="n">
        <v>2180</v>
      </c>
      <c r="T1196" t="n">
        <v>0</v>
      </c>
      <c r="U1196" t="n">
        <v>1</v>
      </c>
      <c r="V1196" t="n">
        <v>30</v>
      </c>
      <c r="W1196" t="n">
        <v>1</v>
      </c>
      <c r="X1196" t="n">
        <v>150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5014</v>
      </c>
      <c r="AG1196" t="n">
        <v>1</v>
      </c>
      <c r="AH1196" t="inlineStr">
        <is>
          <t>PT. BERSAMA DISTRIVERSA INDONESIA (DC CIPUTAT)</t>
        </is>
      </c>
      <c r="AI1196" t="n">
        <v>2112</v>
      </c>
      <c r="AJ1196" t="inlineStr">
        <is>
          <t>FROM THIS ISLAND</t>
        </is>
      </c>
      <c r="AK1196" t="n">
        <v>9</v>
      </c>
      <c r="AL1196" t="inlineStr">
        <is>
          <t>Miss Glam Jambi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FROM THIS ISLAND</t>
        </is>
      </c>
      <c r="B1197" s="2">
        <f>"10400616350"</f>
        <v/>
      </c>
      <c r="C1197" t="inlineStr">
        <is>
          <t>FROM THIS ISLAND White Tea Ultra Light Protective Sun Serum 35ml</t>
        </is>
      </c>
      <c r="D1197" t="inlineStr">
        <is>
          <t>Miss Glam Jambi</t>
        </is>
      </c>
      <c r="E1197" t="n">
        <v>1</v>
      </c>
      <c r="F1197" t="n">
        <v>0.006600000000000001</v>
      </c>
      <c r="G1197" t="n">
        <v>0.33</v>
      </c>
      <c r="H1197" t="n">
        <v>4</v>
      </c>
      <c r="I1197" t="n">
        <v>20</v>
      </c>
      <c r="J1197" t="n">
        <v>1</v>
      </c>
      <c r="K1197" t="n">
        <v>0</v>
      </c>
      <c r="L1197" t="n">
        <v>134250</v>
      </c>
      <c r="M1197" t="n">
        <v>168000</v>
      </c>
      <c r="N1197" t="n">
        <v>33</v>
      </c>
      <c r="O1197" t="n">
        <v>0.33</v>
      </c>
      <c r="P1197" t="n">
        <v>1</v>
      </c>
      <c r="Q1197" t="n">
        <v>0.03</v>
      </c>
      <c r="R1197" t="n">
        <v>1</v>
      </c>
      <c r="S1197" t="n">
        <v>1108.8</v>
      </c>
      <c r="T1197" t="n">
        <v>7</v>
      </c>
      <c r="U1197" t="n">
        <v>8</v>
      </c>
      <c r="V1197" t="n">
        <v>30</v>
      </c>
      <c r="W1197" t="n">
        <v>1</v>
      </c>
      <c r="X1197" t="n">
        <v>151.5151515151515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5014</v>
      </c>
      <c r="AG1197" t="n">
        <v>1</v>
      </c>
      <c r="AH1197" t="inlineStr">
        <is>
          <t>PT. BERSAMA DISTRIVERSA INDONESIA (DC CIPUTAT)</t>
        </is>
      </c>
      <c r="AI1197" t="n">
        <v>2112</v>
      </c>
      <c r="AJ1197" t="inlineStr">
        <is>
          <t>FROM THIS ISLAND</t>
        </is>
      </c>
      <c r="AK1197" t="n">
        <v>9</v>
      </c>
      <c r="AL1197" t="inlineStr">
        <is>
          <t>Miss Glam Jambi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FSS</t>
        </is>
      </c>
      <c r="B1198" s="2">
        <f>"6970048645454"</f>
        <v/>
      </c>
      <c r="C1198" t="inlineStr">
        <is>
          <t>FSS Premium Round Cotton Pads 80+20 Counts</t>
        </is>
      </c>
      <c r="D1198" t="inlineStr">
        <is>
          <t>Miss Glam Jambi</t>
        </is>
      </c>
      <c r="E1198" t="n">
        <v>48</v>
      </c>
      <c r="F1198" t="n">
        <v>0.4983</v>
      </c>
      <c r="G1198" t="n">
        <v>3.3</v>
      </c>
      <c r="H1198" t="n">
        <v>4</v>
      </c>
      <c r="I1198" t="n">
        <v>20</v>
      </c>
      <c r="J1198" t="n">
        <v>3</v>
      </c>
      <c r="K1198" t="n">
        <v>0</v>
      </c>
      <c r="L1198" t="n">
        <v>15652</v>
      </c>
      <c r="M1198" t="n">
        <v>22000</v>
      </c>
      <c r="N1198" t="n">
        <v>33</v>
      </c>
      <c r="O1198" t="n">
        <v>0.33</v>
      </c>
      <c r="P1198" t="n">
        <v>1</v>
      </c>
      <c r="Q1198" t="n">
        <v>0.86</v>
      </c>
      <c r="R1198" t="n">
        <v>4</v>
      </c>
      <c r="S1198" t="n">
        <v>10962.6</v>
      </c>
      <c r="T1198" t="n">
        <v>65</v>
      </c>
      <c r="U1198" t="n">
        <v>67</v>
      </c>
      <c r="V1198" t="n">
        <v>30</v>
      </c>
      <c r="W1198" t="n">
        <v>15</v>
      </c>
      <c r="X1198" t="n">
        <v>96.32751354605659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5047</v>
      </c>
      <c r="AG1198" t="n">
        <v>1</v>
      </c>
      <c r="AH1198" t="inlineStr">
        <is>
          <t>PT. BERSAMA DISTRIVERSA INDONESIA (DC CIPUTAT)</t>
        </is>
      </c>
      <c r="AI1198" t="n">
        <v>74</v>
      </c>
      <c r="AJ1198" t="inlineStr">
        <is>
          <t>FSS</t>
        </is>
      </c>
      <c r="AK1198" t="n">
        <v>9</v>
      </c>
      <c r="AL1198" t="inlineStr">
        <is>
          <t>Miss Glam Jambi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FSS</t>
        </is>
      </c>
      <c r="B1199" s="2">
        <f>"6970048645447"</f>
        <v/>
      </c>
      <c r="C1199" t="inlineStr">
        <is>
          <t>FSS Ultra Thin Toning Pads 240 Counts</t>
        </is>
      </c>
      <c r="D1199" t="inlineStr">
        <is>
          <t>Miss Glam Jambi</t>
        </is>
      </c>
      <c r="E1199" t="n">
        <v>25</v>
      </c>
      <c r="F1199" t="n">
        <v>0.19</v>
      </c>
      <c r="G1199" t="n">
        <v>3</v>
      </c>
      <c r="H1199" t="n">
        <v>4</v>
      </c>
      <c r="I1199" t="n">
        <v>20</v>
      </c>
      <c r="J1199" t="n">
        <v>3</v>
      </c>
      <c r="K1199" t="n">
        <v>0</v>
      </c>
      <c r="L1199" t="n">
        <v>32883</v>
      </c>
      <c r="M1199" t="n">
        <v>45000</v>
      </c>
      <c r="N1199" t="n">
        <v>33</v>
      </c>
      <c r="O1199" t="n">
        <v>0.33</v>
      </c>
      <c r="P1199" t="n">
        <v>0</v>
      </c>
      <c r="Q1199" t="n">
        <v>0.19</v>
      </c>
      <c r="R1199" t="n">
        <v>3</v>
      </c>
      <c r="S1199" t="n">
        <v>8550</v>
      </c>
      <c r="T1199" t="n">
        <v>60</v>
      </c>
      <c r="U1199" t="n">
        <v>61</v>
      </c>
      <c r="V1199" t="n">
        <v>30</v>
      </c>
      <c r="W1199" t="n">
        <v>6</v>
      </c>
      <c r="X1199" t="n">
        <v>131.578947368421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5047</v>
      </c>
      <c r="AG1199" t="n">
        <v>1</v>
      </c>
      <c r="AH1199" t="inlineStr">
        <is>
          <t>PT. BERSAMA DISTRIVERSA INDONESIA (DC CIPUTAT)</t>
        </is>
      </c>
      <c r="AI1199" t="n">
        <v>74</v>
      </c>
      <c r="AJ1199" t="inlineStr">
        <is>
          <t>FSS</t>
        </is>
      </c>
      <c r="AK1199" t="n">
        <v>9</v>
      </c>
      <c r="AL1199" t="inlineStr">
        <is>
          <t>Miss Glam Jambi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GARNIER</t>
        </is>
      </c>
      <c r="B1200" s="2">
        <f>"10100724957"</f>
        <v/>
      </c>
      <c r="C1200" t="inlineStr">
        <is>
          <t>GARNIER  Micellar Exfoliating Water 125ml</t>
        </is>
      </c>
      <c r="D1200" t="inlineStr">
        <is>
          <t>Miss Glam Jambi</t>
        </is>
      </c>
      <c r="E1200" t="n">
        <v>21</v>
      </c>
      <c r="F1200" t="n">
        <v>0.1221</v>
      </c>
      <c r="G1200" t="n">
        <v>0.99</v>
      </c>
      <c r="H1200" t="n">
        <v>4</v>
      </c>
      <c r="I1200" t="n">
        <v>28</v>
      </c>
      <c r="J1200" t="n">
        <v>1</v>
      </c>
      <c r="K1200" t="n">
        <v>0</v>
      </c>
      <c r="L1200" t="n">
        <v>24148</v>
      </c>
      <c r="M1200" t="n">
        <v>28000</v>
      </c>
      <c r="N1200" t="n">
        <v>33</v>
      </c>
      <c r="O1200" t="n">
        <v>0.33</v>
      </c>
      <c r="P1200" t="n">
        <v>1</v>
      </c>
      <c r="Q1200" t="n">
        <v>0.05</v>
      </c>
      <c r="R1200" t="n">
        <v>1</v>
      </c>
      <c r="S1200" t="n">
        <v>3418.8</v>
      </c>
      <c r="T1200" t="n">
        <v>28</v>
      </c>
      <c r="U1200" t="n">
        <v>29</v>
      </c>
      <c r="V1200" t="n">
        <v>30</v>
      </c>
      <c r="W1200" t="n">
        <v>4</v>
      </c>
      <c r="X1200" t="n">
        <v>171.990171990172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10504</v>
      </c>
      <c r="AG1200" t="n">
        <v>2148</v>
      </c>
      <c r="AH1200" t="inlineStr">
        <is>
          <t>PT. JAYA PALEMBANG SUKSES - PPN (JMB)</t>
        </is>
      </c>
      <c r="AI1200" t="n">
        <v>75</v>
      </c>
      <c r="AJ1200" t="inlineStr">
        <is>
          <t>GARNIER</t>
        </is>
      </c>
      <c r="AK1200" t="n">
        <v>9</v>
      </c>
      <c r="AL1200" t="inlineStr">
        <is>
          <t>Miss Glam Jambi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GARNIER</t>
        </is>
      </c>
      <c r="B1201" s="2">
        <f>"10100724835"</f>
        <v/>
      </c>
      <c r="C1201" t="inlineStr">
        <is>
          <t>GARNIER  Micellar Exfoliating Water 400ml</t>
        </is>
      </c>
      <c r="D1201" t="inlineStr">
        <is>
          <t>Miss Glam Jambi</t>
        </is>
      </c>
      <c r="E1201" t="n">
        <v>11</v>
      </c>
      <c r="F1201" t="n">
        <v>0.0429</v>
      </c>
      <c r="G1201" t="n">
        <v>0.33</v>
      </c>
      <c r="H1201" t="n">
        <v>4</v>
      </c>
      <c r="I1201" t="n">
        <v>28</v>
      </c>
      <c r="J1201" t="n">
        <v>1</v>
      </c>
      <c r="K1201" t="n">
        <v>0</v>
      </c>
      <c r="L1201" t="n">
        <v>49772</v>
      </c>
      <c r="M1201" t="n">
        <v>57500</v>
      </c>
      <c r="N1201" t="n">
        <v>33</v>
      </c>
      <c r="O1201" t="n">
        <v>0.33</v>
      </c>
      <c r="P1201" t="n">
        <v>1</v>
      </c>
      <c r="Q1201" t="n">
        <v>0.02</v>
      </c>
      <c r="R1201" t="n">
        <v>1</v>
      </c>
      <c r="S1201" t="n">
        <v>2466.75</v>
      </c>
      <c r="T1201" t="n">
        <v>10</v>
      </c>
      <c r="U1201" t="n">
        <v>11</v>
      </c>
      <c r="V1201" t="n">
        <v>30</v>
      </c>
      <c r="W1201" t="n">
        <v>2</v>
      </c>
      <c r="X1201" t="n">
        <v>256.4102564102564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10504</v>
      </c>
      <c r="AG1201" t="n">
        <v>2148</v>
      </c>
      <c r="AH1201" t="inlineStr">
        <is>
          <t>PT. JAYA PALEMBANG SUKSES - PPN (JMB)</t>
        </is>
      </c>
      <c r="AI1201" t="n">
        <v>75</v>
      </c>
      <c r="AJ1201" t="inlineStr">
        <is>
          <t>GARNIER</t>
        </is>
      </c>
      <c r="AK1201" t="n">
        <v>9</v>
      </c>
      <c r="AL1201" t="inlineStr">
        <is>
          <t>Miss Glam Jambi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GARNIER</t>
        </is>
      </c>
      <c r="B1202" s="2">
        <f>"8994993025749"</f>
        <v/>
      </c>
      <c r="C1202" t="inlineStr">
        <is>
          <t>GARNIER Bright Complate Vitamin C Aqua Gel 20ml</t>
        </is>
      </c>
      <c r="D1202" t="inlineStr">
        <is>
          <t>Miss Glam Jambi</t>
        </is>
      </c>
      <c r="E1202" t="n">
        <v>3</v>
      </c>
      <c r="F1202" t="n">
        <v>0.0726</v>
      </c>
      <c r="G1202" t="n">
        <v>0.33</v>
      </c>
      <c r="H1202" t="n">
        <v>4</v>
      </c>
      <c r="I1202" t="n">
        <v>28</v>
      </c>
      <c r="J1202" t="n">
        <v>3</v>
      </c>
      <c r="K1202" t="n">
        <v>0</v>
      </c>
      <c r="L1202" t="n">
        <v>30514</v>
      </c>
      <c r="M1202" t="n">
        <v>32000</v>
      </c>
      <c r="N1202" t="n">
        <v>33</v>
      </c>
      <c r="O1202" t="n">
        <v>0.33</v>
      </c>
      <c r="P1202" t="n">
        <v>1</v>
      </c>
      <c r="Q1202" t="n">
        <v>0.03</v>
      </c>
      <c r="R1202" t="n">
        <v>1</v>
      </c>
      <c r="S1202" t="n">
        <v>2323.2</v>
      </c>
      <c r="T1202" t="n">
        <v>9</v>
      </c>
      <c r="U1202" t="n">
        <v>10</v>
      </c>
      <c r="V1202" t="n">
        <v>30</v>
      </c>
      <c r="W1202" t="n">
        <v>3</v>
      </c>
      <c r="X1202" t="n">
        <v>41.32231404958678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10504</v>
      </c>
      <c r="AG1202" t="n">
        <v>2148</v>
      </c>
      <c r="AH1202" t="inlineStr">
        <is>
          <t>PT. JAYA PALEMBANG SUKSES - PPN (JMB)</t>
        </is>
      </c>
      <c r="AI1202" t="n">
        <v>75</v>
      </c>
      <c r="AJ1202" t="inlineStr">
        <is>
          <t>GARNIER</t>
        </is>
      </c>
      <c r="AK1202" t="n">
        <v>9</v>
      </c>
      <c r="AL1202" t="inlineStr">
        <is>
          <t>Miss Glam Jambi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GARNIER</t>
        </is>
      </c>
      <c r="B1203" s="2">
        <f>"8994993025664"</f>
        <v/>
      </c>
      <c r="C1203" t="inlineStr">
        <is>
          <t>GARNIER Bright Complate Vitamin C Aqua Gel 50ml Ebt</t>
        </is>
      </c>
      <c r="D1203" t="inlineStr">
        <is>
          <t>Miss Glam Jambi</t>
        </is>
      </c>
      <c r="E1203" t="n">
        <v>2</v>
      </c>
      <c r="F1203" t="n">
        <v>0.0264</v>
      </c>
      <c r="G1203" t="n">
        <v>0.33</v>
      </c>
      <c r="H1203" t="n">
        <v>4</v>
      </c>
      <c r="I1203" t="n">
        <v>28</v>
      </c>
      <c r="J1203" t="n">
        <v>3</v>
      </c>
      <c r="K1203" t="n">
        <v>0</v>
      </c>
      <c r="L1203" t="n">
        <v>75924</v>
      </c>
      <c r="M1203" t="n">
        <v>83000</v>
      </c>
      <c r="N1203" t="n">
        <v>33</v>
      </c>
      <c r="O1203" t="n">
        <v>0.33</v>
      </c>
      <c r="P1203" t="n">
        <v>1</v>
      </c>
      <c r="Q1203" t="n">
        <v>0.03</v>
      </c>
      <c r="R1203" t="n">
        <v>1</v>
      </c>
      <c r="S1203" t="n">
        <v>2191.2</v>
      </c>
      <c r="T1203" t="n">
        <v>10</v>
      </c>
      <c r="U1203" t="n">
        <v>11</v>
      </c>
      <c r="V1203" t="n">
        <v>30</v>
      </c>
      <c r="W1203" t="n">
        <v>1</v>
      </c>
      <c r="X1203" t="n">
        <v>75.75757575757575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10504</v>
      </c>
      <c r="AG1203" t="n">
        <v>2148</v>
      </c>
      <c r="AH1203" t="inlineStr">
        <is>
          <t>PT. JAYA PALEMBANG SUKSES - PPN (JMB)</t>
        </is>
      </c>
      <c r="AI1203" t="n">
        <v>75</v>
      </c>
      <c r="AJ1203" t="inlineStr">
        <is>
          <t>GARNIER</t>
        </is>
      </c>
      <c r="AK1203" t="n">
        <v>9</v>
      </c>
      <c r="AL1203" t="inlineStr">
        <is>
          <t>Miss Glam Jambi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GARNIER</t>
        </is>
      </c>
      <c r="B1204" s="2">
        <f>"8994993018291"</f>
        <v/>
      </c>
      <c r="C1204" t="inlineStr">
        <is>
          <t>GARNIER Bright Complete Anti Acne Serum 30ml</t>
        </is>
      </c>
      <c r="D1204" t="inlineStr">
        <is>
          <t>Miss Glam Jambi</t>
        </is>
      </c>
      <c r="E1204" t="n">
        <v>3</v>
      </c>
      <c r="F1204" t="n">
        <v>0.02</v>
      </c>
      <c r="G1204" t="n">
        <v>1</v>
      </c>
      <c r="H1204" t="n">
        <v>4</v>
      </c>
      <c r="I1204" t="n">
        <v>28</v>
      </c>
      <c r="J1204" t="n">
        <v>3</v>
      </c>
      <c r="K1204" t="n">
        <v>0</v>
      </c>
      <c r="L1204" t="n">
        <v>121162</v>
      </c>
      <c r="M1204" t="n">
        <v>135000</v>
      </c>
      <c r="N1204" t="n">
        <v>33</v>
      </c>
      <c r="O1204" t="n">
        <v>0.33</v>
      </c>
      <c r="P1204" t="n">
        <v>0</v>
      </c>
      <c r="Q1204" t="n">
        <v>0.02</v>
      </c>
      <c r="R1204" t="n">
        <v>1</v>
      </c>
      <c r="S1204" t="n">
        <v>2700</v>
      </c>
      <c r="T1204" t="n">
        <v>28</v>
      </c>
      <c r="U1204" t="n">
        <v>29</v>
      </c>
      <c r="V1204" t="n">
        <v>30</v>
      </c>
      <c r="W1204" t="n">
        <v>1</v>
      </c>
      <c r="X1204" t="n">
        <v>150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10504</v>
      </c>
      <c r="AG1204" t="n">
        <v>2148</v>
      </c>
      <c r="AH1204" t="inlineStr">
        <is>
          <t>PT. JAYA PALEMBANG SUKSES - PPN (JMB)</t>
        </is>
      </c>
      <c r="AI1204" t="n">
        <v>75</v>
      </c>
      <c r="AJ1204" t="inlineStr">
        <is>
          <t>GARNIER</t>
        </is>
      </c>
      <c r="AK1204" t="n">
        <v>9</v>
      </c>
      <c r="AL1204" t="inlineStr">
        <is>
          <t>Miss Glam Jambi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GARNIER</t>
        </is>
      </c>
      <c r="B1205" s="2">
        <f>"11200147923"</f>
        <v/>
      </c>
      <c r="C1205" t="inlineStr">
        <is>
          <t>GARNIER Bright Complete Vitamin C Serum Cleanser 100ml</t>
        </is>
      </c>
      <c r="D1205" t="inlineStr">
        <is>
          <t>Miss Glam Jambi</t>
        </is>
      </c>
      <c r="E1205" t="n">
        <v>8</v>
      </c>
      <c r="F1205" t="n">
        <v>0.22</v>
      </c>
      <c r="G1205" t="n">
        <v>2</v>
      </c>
      <c r="H1205" t="n">
        <v>4</v>
      </c>
      <c r="I1205" t="n">
        <v>28</v>
      </c>
      <c r="J1205" t="n">
        <v>1</v>
      </c>
      <c r="K1205" t="n">
        <v>0</v>
      </c>
      <c r="L1205" t="n">
        <v>32228</v>
      </c>
      <c r="M1205" t="n">
        <v>35000</v>
      </c>
      <c r="N1205" t="n">
        <v>33</v>
      </c>
      <c r="O1205" t="n">
        <v>0.33</v>
      </c>
      <c r="P1205" t="n">
        <v>0</v>
      </c>
      <c r="Q1205" t="n">
        <v>0.22</v>
      </c>
      <c r="R1205" t="n">
        <v>2</v>
      </c>
      <c r="S1205" t="n">
        <v>7700</v>
      </c>
      <c r="T1205" t="n">
        <v>56</v>
      </c>
      <c r="U1205" t="n">
        <v>57</v>
      </c>
      <c r="V1205" t="n">
        <v>30</v>
      </c>
      <c r="W1205" t="n">
        <v>7</v>
      </c>
      <c r="X1205" t="n">
        <v>36.36363636363637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10504</v>
      </c>
      <c r="AG1205" t="n">
        <v>2148</v>
      </c>
      <c r="AH1205" t="inlineStr">
        <is>
          <t>PT. JAYA PALEMBANG SUKSES - PPN (JMB)</t>
        </is>
      </c>
      <c r="AI1205" t="n">
        <v>75</v>
      </c>
      <c r="AJ1205" t="inlineStr">
        <is>
          <t>GARNIER</t>
        </is>
      </c>
      <c r="AK1205" t="n">
        <v>9</v>
      </c>
      <c r="AL1205" t="inlineStr">
        <is>
          <t>Miss Glam Jambi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GARNIER</t>
        </is>
      </c>
      <c r="B1206" s="2">
        <f>"8994993009015"</f>
        <v/>
      </c>
      <c r="C1206" t="inlineStr">
        <is>
          <t>GARNIER Bright Complete Whip Foam 100ml</t>
        </is>
      </c>
      <c r="D1206" t="inlineStr">
        <is>
          <t>Miss Glam Jambi</t>
        </is>
      </c>
      <c r="E1206" t="n">
        <v>2</v>
      </c>
      <c r="F1206" t="n">
        <v>0.0495</v>
      </c>
      <c r="G1206" t="n">
        <v>0.66</v>
      </c>
      <c r="H1206" t="n">
        <v>4</v>
      </c>
      <c r="I1206" t="n">
        <v>28</v>
      </c>
      <c r="J1206" t="n">
        <v>3</v>
      </c>
      <c r="K1206" t="n">
        <v>0</v>
      </c>
      <c r="L1206" t="n">
        <v>31424</v>
      </c>
      <c r="M1206" t="n">
        <v>39000</v>
      </c>
      <c r="N1206" t="n">
        <v>33</v>
      </c>
      <c r="O1206" t="n">
        <v>0.33</v>
      </c>
      <c r="P1206" t="n">
        <v>1</v>
      </c>
      <c r="Q1206" t="n">
        <v>0.05</v>
      </c>
      <c r="R1206" t="n">
        <v>1</v>
      </c>
      <c r="S1206" t="n">
        <v>1930.5</v>
      </c>
      <c r="T1206" t="n">
        <v>19</v>
      </c>
      <c r="U1206" t="n">
        <v>20</v>
      </c>
      <c r="V1206" t="n">
        <v>30</v>
      </c>
      <c r="W1206" t="n">
        <v>2</v>
      </c>
      <c r="X1206" t="n">
        <v>40.4040404040404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10504</v>
      </c>
      <c r="AG1206" t="n">
        <v>2148</v>
      </c>
      <c r="AH1206" t="inlineStr">
        <is>
          <t>PT. JAYA PALEMBANG SUKSES - PPN (JMB)</t>
        </is>
      </c>
      <c r="AI1206" t="n">
        <v>75</v>
      </c>
      <c r="AJ1206" t="inlineStr">
        <is>
          <t>GARNIER</t>
        </is>
      </c>
      <c r="AK1206" t="n">
        <v>9</v>
      </c>
      <c r="AL1206" t="inlineStr">
        <is>
          <t>Miss Glam Jambi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GARNIER</t>
        </is>
      </c>
      <c r="B1207" s="2">
        <f>"8994993009022"</f>
        <v/>
      </c>
      <c r="C1207" t="inlineStr">
        <is>
          <t>GARNIER Bright Complete Whip Foam 50ml</t>
        </is>
      </c>
      <c r="D1207" t="inlineStr">
        <is>
          <t>Miss Glam Jambi</t>
        </is>
      </c>
      <c r="E1207" t="n">
        <v>4</v>
      </c>
      <c r="F1207" t="n">
        <v>0.03</v>
      </c>
      <c r="G1207" t="n">
        <v>1</v>
      </c>
      <c r="H1207" t="n">
        <v>4</v>
      </c>
      <c r="I1207" t="n">
        <v>28</v>
      </c>
      <c r="J1207" t="n">
        <v>3</v>
      </c>
      <c r="K1207" t="n">
        <v>0</v>
      </c>
      <c r="L1207" t="n">
        <v>22639</v>
      </c>
      <c r="M1207" t="n">
        <v>28000</v>
      </c>
      <c r="N1207" t="n">
        <v>33</v>
      </c>
      <c r="O1207" t="n">
        <v>0.33</v>
      </c>
      <c r="P1207" t="n">
        <v>0</v>
      </c>
      <c r="Q1207" t="n">
        <v>0.03</v>
      </c>
      <c r="R1207" t="n">
        <v>1</v>
      </c>
      <c r="S1207" t="n">
        <v>840</v>
      </c>
      <c r="T1207" t="n">
        <v>28</v>
      </c>
      <c r="U1207" t="n">
        <v>29</v>
      </c>
      <c r="V1207" t="n">
        <v>30</v>
      </c>
      <c r="W1207" t="n">
        <v>1</v>
      </c>
      <c r="X1207" t="n">
        <v>133.3333333333333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10504</v>
      </c>
      <c r="AG1207" t="n">
        <v>2148</v>
      </c>
      <c r="AH1207" t="inlineStr">
        <is>
          <t>PT. JAYA PALEMBANG SUKSES - PPN (JMB)</t>
        </is>
      </c>
      <c r="AI1207" t="n">
        <v>75</v>
      </c>
      <c r="AJ1207" t="inlineStr">
        <is>
          <t>GARNIER</t>
        </is>
      </c>
      <c r="AK1207" t="n">
        <v>9</v>
      </c>
      <c r="AL1207" t="inlineStr">
        <is>
          <t>Miss Glam Jambi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GARNIER</t>
        </is>
      </c>
      <c r="B1208" s="2">
        <f>"8901526538515"</f>
        <v/>
      </c>
      <c r="C1208" t="inlineStr">
        <is>
          <t>GARNIER Color Natural Creme Riche 5.32 Caramel Brown Box</t>
        </is>
      </c>
      <c r="D1208" t="inlineStr">
        <is>
          <t>Miss Glam Jambi</t>
        </is>
      </c>
      <c r="E1208" t="n">
        <v>7</v>
      </c>
      <c r="F1208" t="n">
        <v>0.03</v>
      </c>
      <c r="G1208" t="n">
        <v>1</v>
      </c>
      <c r="H1208" t="n">
        <v>4</v>
      </c>
      <c r="I1208" t="n">
        <v>28</v>
      </c>
      <c r="J1208" t="n">
        <v>3</v>
      </c>
      <c r="K1208" t="n">
        <v>0</v>
      </c>
      <c r="L1208" t="n">
        <v>51660</v>
      </c>
      <c r="M1208" t="n">
        <v>60000</v>
      </c>
      <c r="N1208" t="n">
        <v>33</v>
      </c>
      <c r="O1208" t="n">
        <v>0.33</v>
      </c>
      <c r="P1208" t="n">
        <v>0</v>
      </c>
      <c r="Q1208" t="n">
        <v>0.03</v>
      </c>
      <c r="R1208" t="n">
        <v>1</v>
      </c>
      <c r="S1208" t="n">
        <v>1800</v>
      </c>
      <c r="T1208" t="n">
        <v>28</v>
      </c>
      <c r="U1208" t="n">
        <v>29</v>
      </c>
      <c r="V1208" t="n">
        <v>30</v>
      </c>
      <c r="W1208" t="n">
        <v>1</v>
      </c>
      <c r="X1208" t="n">
        <v>233.3333333333333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10504</v>
      </c>
      <c r="AG1208" t="n">
        <v>2148</v>
      </c>
      <c r="AH1208" t="inlineStr">
        <is>
          <t>PT. JAYA PALEMBANG SUKSES - PPN (JMB)</t>
        </is>
      </c>
      <c r="AI1208" t="n">
        <v>75</v>
      </c>
      <c r="AJ1208" t="inlineStr">
        <is>
          <t>GARNIER</t>
        </is>
      </c>
      <c r="AK1208" t="n">
        <v>9</v>
      </c>
      <c r="AL1208" t="inlineStr">
        <is>
          <t>Miss Glam Jambi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GARNIER</t>
        </is>
      </c>
      <c r="B1209" s="2">
        <f>"8901526628919"</f>
        <v/>
      </c>
      <c r="C1209" t="inlineStr">
        <is>
          <t>GARNIER Color Natural Purple Glow Radiant Blueberry</t>
        </is>
      </c>
      <c r="D1209" t="inlineStr">
        <is>
          <t>Miss Glam Jambi</t>
        </is>
      </c>
      <c r="E1209" t="n">
        <v>5</v>
      </c>
      <c r="F1209" t="n">
        <v>0.2013</v>
      </c>
      <c r="G1209" t="n">
        <v>1.65</v>
      </c>
      <c r="H1209" t="n">
        <v>4</v>
      </c>
      <c r="I1209" t="n">
        <v>28</v>
      </c>
      <c r="J1209" t="n">
        <v>3</v>
      </c>
      <c r="K1209" t="n">
        <v>3</v>
      </c>
      <c r="L1209" t="n">
        <v>15923</v>
      </c>
      <c r="M1209" t="n">
        <v>16500</v>
      </c>
      <c r="N1209" t="n">
        <v>33</v>
      </c>
      <c r="O1209" t="n">
        <v>0.33</v>
      </c>
      <c r="P1209" t="n">
        <v>1</v>
      </c>
      <c r="Q1209" t="n">
        <v>0.07000000000000001</v>
      </c>
      <c r="R1209" t="n">
        <v>2</v>
      </c>
      <c r="S1209" t="n">
        <v>3321.45</v>
      </c>
      <c r="T1209" t="n">
        <v>46</v>
      </c>
      <c r="U1209" t="n">
        <v>47</v>
      </c>
      <c r="V1209" t="n">
        <v>30</v>
      </c>
      <c r="W1209" t="n">
        <v>7</v>
      </c>
      <c r="X1209" t="n">
        <v>24.83854942871336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10504</v>
      </c>
      <c r="AG1209" t="n">
        <v>2148</v>
      </c>
      <c r="AH1209" t="inlineStr">
        <is>
          <t>PT. JAYA PALEMBANG SUKSES - PPN (JMB)</t>
        </is>
      </c>
      <c r="AI1209" t="n">
        <v>75</v>
      </c>
      <c r="AJ1209" t="inlineStr">
        <is>
          <t>GARNIER</t>
        </is>
      </c>
      <c r="AK1209" t="n">
        <v>9</v>
      </c>
      <c r="AL1209" t="inlineStr">
        <is>
          <t>Miss Glam Jambi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GARNIER</t>
        </is>
      </c>
      <c r="B1210" s="2">
        <f>"8901526539314"</f>
        <v/>
      </c>
      <c r="C1210" t="inlineStr">
        <is>
          <t>GARNIER Color Natural Ultra Color 7.3 Golden Brown</t>
        </is>
      </c>
      <c r="D1210" t="inlineStr">
        <is>
          <t>Miss Glam Jambi</t>
        </is>
      </c>
      <c r="E1210" t="n">
        <v>3</v>
      </c>
      <c r="F1210" t="n">
        <v>0.02</v>
      </c>
      <c r="G1210" t="n">
        <v>1</v>
      </c>
      <c r="H1210" t="n">
        <v>4</v>
      </c>
      <c r="I1210" t="n">
        <v>28</v>
      </c>
      <c r="J1210" t="n">
        <v>3</v>
      </c>
      <c r="K1210" t="n">
        <v>0</v>
      </c>
      <c r="L1210" t="n">
        <v>52409</v>
      </c>
      <c r="M1210" t="n">
        <v>60000</v>
      </c>
      <c r="N1210" t="n">
        <v>33</v>
      </c>
      <c r="O1210" t="n">
        <v>0.33</v>
      </c>
      <c r="P1210" t="n">
        <v>0</v>
      </c>
      <c r="Q1210" t="n">
        <v>0.02</v>
      </c>
      <c r="R1210" t="n">
        <v>1</v>
      </c>
      <c r="S1210" t="n">
        <v>1200</v>
      </c>
      <c r="T1210" t="n">
        <v>28</v>
      </c>
      <c r="U1210" t="n">
        <v>29</v>
      </c>
      <c r="V1210" t="n">
        <v>30</v>
      </c>
      <c r="W1210" t="n">
        <v>1</v>
      </c>
      <c r="X1210" t="n">
        <v>150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10504</v>
      </c>
      <c r="AG1210" t="n">
        <v>2148</v>
      </c>
      <c r="AH1210" t="inlineStr">
        <is>
          <t>PT. JAYA PALEMBANG SUKSES - PPN (JMB)</t>
        </is>
      </c>
      <c r="AI1210" t="n">
        <v>75</v>
      </c>
      <c r="AJ1210" t="inlineStr">
        <is>
          <t>GARNIER</t>
        </is>
      </c>
      <c r="AK1210" t="n">
        <v>9</v>
      </c>
      <c r="AL1210" t="inlineStr">
        <is>
          <t>Miss Glam Jambi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GARNIER</t>
        </is>
      </c>
      <c r="B1211" s="2">
        <f>"8901526598342"</f>
        <v/>
      </c>
      <c r="C1211" t="inlineStr">
        <is>
          <t>GARNIER Color Natural Ultra Color Pastel Ash Blonde</t>
        </is>
      </c>
      <c r="D1211" t="inlineStr">
        <is>
          <t>Miss Glam Jambi</t>
        </is>
      </c>
      <c r="E1211" t="n">
        <v>27</v>
      </c>
      <c r="F1211" t="n">
        <v>3.5409</v>
      </c>
      <c r="G1211" t="n">
        <v>7.590000000000001</v>
      </c>
      <c r="H1211" t="n">
        <v>4</v>
      </c>
      <c r="I1211" t="n">
        <v>28</v>
      </c>
      <c r="J1211" t="n">
        <v>12</v>
      </c>
      <c r="K1211" t="n">
        <v>12</v>
      </c>
      <c r="L1211" t="n">
        <v>16156</v>
      </c>
      <c r="M1211" t="n">
        <v>18000</v>
      </c>
      <c r="N1211" t="n">
        <v>33</v>
      </c>
      <c r="O1211" t="n">
        <v>0.33</v>
      </c>
      <c r="P1211" t="n">
        <v>1</v>
      </c>
      <c r="Q1211" t="n">
        <v>1</v>
      </c>
      <c r="R1211" t="n">
        <v>6</v>
      </c>
      <c r="S1211" t="n">
        <v>63736.2</v>
      </c>
      <c r="T1211" t="n">
        <v>199</v>
      </c>
      <c r="U1211" t="n">
        <v>214</v>
      </c>
      <c r="V1211" t="n">
        <v>30</v>
      </c>
      <c r="W1211" t="n">
        <v>107</v>
      </c>
      <c r="X1211" t="n">
        <v>7.625180038973142</v>
      </c>
      <c r="Y1211" t="n">
        <v>1</v>
      </c>
      <c r="Z1211" t="n">
        <v>68</v>
      </c>
      <c r="AA1211" t="n">
        <v>72</v>
      </c>
      <c r="AB1211" t="n">
        <v>0</v>
      </c>
      <c r="AC1211" t="n">
        <v>0</v>
      </c>
      <c r="AD1211" t="n">
        <v>1163232</v>
      </c>
      <c r="AE1211" t="n">
        <v>0</v>
      </c>
      <c r="AF1211" t="n">
        <v>10504</v>
      </c>
      <c r="AG1211" t="n">
        <v>2148</v>
      </c>
      <c r="AH1211" t="inlineStr">
        <is>
          <t>PT. JAYA PALEMBANG SUKSES - PPN (JMB)</t>
        </is>
      </c>
      <c r="AI1211" t="n">
        <v>75</v>
      </c>
      <c r="AJ1211" t="inlineStr">
        <is>
          <t>GARNIER</t>
        </is>
      </c>
      <c r="AK1211" t="n">
        <v>9</v>
      </c>
      <c r="AL1211" t="inlineStr">
        <is>
          <t>Miss Glam Jambi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GARNIER</t>
        </is>
      </c>
      <c r="B1212" s="2">
        <f>"8901526598373"</f>
        <v/>
      </c>
      <c r="C1212" t="inlineStr">
        <is>
          <t>GARNIER Color Natural Ultra Color Pastel Briliant Pink</t>
        </is>
      </c>
      <c r="D1212" t="inlineStr">
        <is>
          <t>Miss Glam Jambi</t>
        </is>
      </c>
      <c r="E1212" t="n">
        <v>7</v>
      </c>
      <c r="F1212" t="n">
        <v>0.2079</v>
      </c>
      <c r="G1212" t="n">
        <v>0.99</v>
      </c>
      <c r="H1212" t="n">
        <v>4</v>
      </c>
      <c r="I1212" t="n">
        <v>28</v>
      </c>
      <c r="J1212" t="n">
        <v>3</v>
      </c>
      <c r="K1212" t="n">
        <v>0</v>
      </c>
      <c r="L1212" t="n">
        <v>15823</v>
      </c>
      <c r="M1212" t="n">
        <v>18000</v>
      </c>
      <c r="N1212" t="n">
        <v>33</v>
      </c>
      <c r="O1212" t="n">
        <v>0.33</v>
      </c>
      <c r="P1212" t="n">
        <v>1</v>
      </c>
      <c r="Q1212" t="n">
        <v>0.05</v>
      </c>
      <c r="R1212" t="n">
        <v>1</v>
      </c>
      <c r="S1212" t="n">
        <v>3742.2</v>
      </c>
      <c r="T1212" t="n">
        <v>27</v>
      </c>
      <c r="U1212" t="n">
        <v>28</v>
      </c>
      <c r="V1212" t="n">
        <v>30</v>
      </c>
      <c r="W1212" t="n">
        <v>7</v>
      </c>
      <c r="X1212" t="n">
        <v>33.67003367003367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10504</v>
      </c>
      <c r="AG1212" t="n">
        <v>2148</v>
      </c>
      <c r="AH1212" t="inlineStr">
        <is>
          <t>PT. JAYA PALEMBANG SUKSES - PPN (JMB)</t>
        </is>
      </c>
      <c r="AI1212" t="n">
        <v>75</v>
      </c>
      <c r="AJ1212" t="inlineStr">
        <is>
          <t>GARNIER</t>
        </is>
      </c>
      <c r="AK1212" t="n">
        <v>9</v>
      </c>
      <c r="AL1212" t="inlineStr">
        <is>
          <t>Miss Glam Jambi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GARNIER</t>
        </is>
      </c>
      <c r="B1213" s="2">
        <f>"8901526598359"</f>
        <v/>
      </c>
      <c r="C1213" t="inlineStr">
        <is>
          <t>GARNIER Color Natural Ultra Color Pastel True Blue</t>
        </is>
      </c>
      <c r="D1213" t="inlineStr">
        <is>
          <t>Miss Glam Jambi</t>
        </is>
      </c>
      <c r="E1213" t="n">
        <v>3</v>
      </c>
      <c r="F1213" t="n">
        <v>0.033</v>
      </c>
      <c r="G1213" t="n">
        <v>0</v>
      </c>
      <c r="H1213" t="n">
        <v>4</v>
      </c>
      <c r="I1213" t="n">
        <v>28</v>
      </c>
      <c r="J1213" t="n">
        <v>3</v>
      </c>
      <c r="K1213" t="n">
        <v>0</v>
      </c>
      <c r="L1213" t="n">
        <v>16028</v>
      </c>
      <c r="M1213" t="n">
        <v>18000</v>
      </c>
      <c r="N1213" t="n">
        <v>33</v>
      </c>
      <c r="O1213" t="n">
        <v>0.33</v>
      </c>
      <c r="P1213" t="n">
        <v>1</v>
      </c>
      <c r="Q1213" t="n">
        <v>0.34</v>
      </c>
      <c r="R1213" t="n">
        <v>4</v>
      </c>
      <c r="S1213" t="n">
        <v>594</v>
      </c>
      <c r="T1213" t="n">
        <v>0</v>
      </c>
      <c r="U1213" t="n">
        <v>1</v>
      </c>
      <c r="V1213" t="n">
        <v>30</v>
      </c>
      <c r="W1213" t="n">
        <v>1</v>
      </c>
      <c r="X1213" t="n">
        <v>90.90909090909091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10504</v>
      </c>
      <c r="AG1213" t="n">
        <v>2148</v>
      </c>
      <c r="AH1213" t="inlineStr">
        <is>
          <t>PT. JAYA PALEMBANG SUKSES - PPN (JMB)</t>
        </is>
      </c>
      <c r="AI1213" t="n">
        <v>75</v>
      </c>
      <c r="AJ1213" t="inlineStr">
        <is>
          <t>GARNIER</t>
        </is>
      </c>
      <c r="AK1213" t="n">
        <v>9</v>
      </c>
      <c r="AL1213" t="inlineStr">
        <is>
          <t>Miss Glam Jambi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GARNIER</t>
        </is>
      </c>
      <c r="B1214" s="2">
        <f>"8901526631605"</f>
        <v/>
      </c>
      <c r="C1214" t="inlineStr">
        <is>
          <t>GARNIER Color Natural Ultra Cool ASH</t>
        </is>
      </c>
      <c r="D1214" t="inlineStr">
        <is>
          <t>Miss Glam Jambi</t>
        </is>
      </c>
      <c r="E1214" t="n">
        <v>12</v>
      </c>
      <c r="F1214" t="n">
        <v>0.5478</v>
      </c>
      <c r="G1214" t="n">
        <v>2.97</v>
      </c>
      <c r="H1214" t="n">
        <v>4</v>
      </c>
      <c r="I1214" t="n">
        <v>28</v>
      </c>
      <c r="J1214" t="n">
        <v>3</v>
      </c>
      <c r="K1214" t="n">
        <v>3</v>
      </c>
      <c r="L1214" t="n">
        <v>16239</v>
      </c>
      <c r="M1214" t="n">
        <v>18000</v>
      </c>
      <c r="N1214" t="n">
        <v>33</v>
      </c>
      <c r="O1214" t="n">
        <v>0.33</v>
      </c>
      <c r="P1214" t="n">
        <v>1</v>
      </c>
      <c r="Q1214" t="n">
        <v>0.19</v>
      </c>
      <c r="R1214" t="n">
        <v>4</v>
      </c>
      <c r="S1214" t="n">
        <v>9860.4</v>
      </c>
      <c r="T1214" t="n">
        <v>81</v>
      </c>
      <c r="U1214" t="n">
        <v>84</v>
      </c>
      <c r="V1214" t="n">
        <v>30</v>
      </c>
      <c r="W1214" t="n">
        <v>17</v>
      </c>
      <c r="X1214" t="n">
        <v>21.90580503833516</v>
      </c>
      <c r="Y1214" t="n">
        <v>1</v>
      </c>
      <c r="Z1214" t="n">
        <v>2</v>
      </c>
      <c r="AA1214" t="n">
        <v>3</v>
      </c>
      <c r="AB1214" t="n">
        <v>0</v>
      </c>
      <c r="AC1214" t="n">
        <v>0</v>
      </c>
      <c r="AD1214" t="n">
        <v>48717</v>
      </c>
      <c r="AE1214" t="n">
        <v>0</v>
      </c>
      <c r="AF1214" t="n">
        <v>10504</v>
      </c>
      <c r="AG1214" t="n">
        <v>2148</v>
      </c>
      <c r="AH1214" t="inlineStr">
        <is>
          <t>PT. JAYA PALEMBANG SUKSES - PPN (JMB)</t>
        </is>
      </c>
      <c r="AI1214" t="n">
        <v>75</v>
      </c>
      <c r="AJ1214" t="inlineStr">
        <is>
          <t>GARNIER</t>
        </is>
      </c>
      <c r="AK1214" t="n">
        <v>9</v>
      </c>
      <c r="AL1214" t="inlineStr">
        <is>
          <t>Miss Glam Jambi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GARNIER</t>
        </is>
      </c>
      <c r="B1215" s="2">
        <f>"10300613719"</f>
        <v/>
      </c>
      <c r="C1215" t="inlineStr">
        <is>
          <t>GARNIER Dry Touch Cream Vitamin C 30ml</t>
        </is>
      </c>
      <c r="D1215" t="inlineStr">
        <is>
          <t>Miss Glam Jambi</t>
        </is>
      </c>
      <c r="E1215" t="n">
        <v>4</v>
      </c>
      <c r="F1215" t="n">
        <v>0.009900000000000001</v>
      </c>
      <c r="G1215" t="n">
        <v>0.33</v>
      </c>
      <c r="H1215" t="n">
        <v>4</v>
      </c>
      <c r="I1215" t="n">
        <v>28</v>
      </c>
      <c r="J1215" t="n">
        <v>1</v>
      </c>
      <c r="K1215" t="n">
        <v>0</v>
      </c>
      <c r="L1215" t="n">
        <v>35537</v>
      </c>
      <c r="M1215" t="n">
        <v>42000</v>
      </c>
      <c r="N1215" t="n">
        <v>33</v>
      </c>
      <c r="O1215" t="n">
        <v>0.33</v>
      </c>
      <c r="P1215" t="n">
        <v>1</v>
      </c>
      <c r="Q1215" t="n">
        <v>0.03</v>
      </c>
      <c r="R1215" t="n">
        <v>1</v>
      </c>
      <c r="S1215" t="n">
        <v>415.8</v>
      </c>
      <c r="T1215" t="n">
        <v>10</v>
      </c>
      <c r="U1215" t="n">
        <v>11</v>
      </c>
      <c r="V1215" t="n">
        <v>30</v>
      </c>
      <c r="W1215" t="n">
        <v>1</v>
      </c>
      <c r="X1215" t="n">
        <v>404.040404040404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10504</v>
      </c>
      <c r="AG1215" t="n">
        <v>2148</v>
      </c>
      <c r="AH1215" t="inlineStr">
        <is>
          <t>PT. JAYA PALEMBANG SUKSES - PPN (JMB)</t>
        </is>
      </c>
      <c r="AI1215" t="n">
        <v>75</v>
      </c>
      <c r="AJ1215" t="inlineStr">
        <is>
          <t>GARNIER</t>
        </is>
      </c>
      <c r="AK1215" t="n">
        <v>9</v>
      </c>
      <c r="AL1215" t="inlineStr">
        <is>
          <t>Miss Glam Jambi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GARNIER</t>
        </is>
      </c>
      <c r="B1216" s="2">
        <f>"8901526209910"</f>
        <v/>
      </c>
      <c r="C1216" t="inlineStr">
        <is>
          <t>GARNIER Hair Color Natural  Express Cream 01 Hitam Alami</t>
        </is>
      </c>
      <c r="D1216" t="inlineStr">
        <is>
          <t>Miss Glam Jambi</t>
        </is>
      </c>
      <c r="E1216" t="n">
        <v>19</v>
      </c>
      <c r="F1216" t="n">
        <v>0.3762</v>
      </c>
      <c r="G1216" t="n">
        <v>2.31</v>
      </c>
      <c r="H1216" t="n">
        <v>4</v>
      </c>
      <c r="I1216" t="n">
        <v>28</v>
      </c>
      <c r="J1216" t="n">
        <v>3</v>
      </c>
      <c r="K1216" t="n">
        <v>0</v>
      </c>
      <c r="L1216" t="n">
        <v>15832</v>
      </c>
      <c r="M1216" t="n">
        <v>16500</v>
      </c>
      <c r="N1216" t="n">
        <v>33</v>
      </c>
      <c r="O1216" t="n">
        <v>0.33</v>
      </c>
      <c r="P1216" t="n">
        <v>1</v>
      </c>
      <c r="Q1216" t="n">
        <v>0.2</v>
      </c>
      <c r="R1216" t="n">
        <v>3</v>
      </c>
      <c r="S1216" t="n">
        <v>6207.299999999999</v>
      </c>
      <c r="T1216" t="n">
        <v>64</v>
      </c>
      <c r="U1216" t="n">
        <v>66</v>
      </c>
      <c r="V1216" t="n">
        <v>30</v>
      </c>
      <c r="W1216" t="n">
        <v>12</v>
      </c>
      <c r="X1216" t="n">
        <v>50.50505050505051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10504</v>
      </c>
      <c r="AG1216" t="n">
        <v>2148</v>
      </c>
      <c r="AH1216" t="inlineStr">
        <is>
          <t>PT. JAYA PALEMBANG SUKSES - PPN (JMB)</t>
        </is>
      </c>
      <c r="AI1216" t="n">
        <v>75</v>
      </c>
      <c r="AJ1216" t="inlineStr">
        <is>
          <t>GARNIER</t>
        </is>
      </c>
      <c r="AK1216" t="n">
        <v>9</v>
      </c>
      <c r="AL1216" t="inlineStr">
        <is>
          <t>Miss Glam Jambi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GARNIER</t>
        </is>
      </c>
      <c r="B1217" s="2">
        <f>"8901526209897"</f>
        <v/>
      </c>
      <c r="C1217" t="inlineStr">
        <is>
          <t>GARNIER Hair Color Natural  Express Cream 03 Coklat Kehitaman</t>
        </is>
      </c>
      <c r="D1217" t="inlineStr">
        <is>
          <t>Miss Glam Jambi</t>
        </is>
      </c>
      <c r="E1217" t="n">
        <v>16</v>
      </c>
      <c r="F1217" t="n">
        <v>0.7887000000000001</v>
      </c>
      <c r="G1217" t="n">
        <v>2.31</v>
      </c>
      <c r="H1217" t="n">
        <v>4</v>
      </c>
      <c r="I1217" t="n">
        <v>28</v>
      </c>
      <c r="J1217" t="n">
        <v>3</v>
      </c>
      <c r="K1217" t="n">
        <v>3</v>
      </c>
      <c r="L1217" t="n">
        <v>15485</v>
      </c>
      <c r="M1217" t="n">
        <v>16500</v>
      </c>
      <c r="N1217" t="n">
        <v>33</v>
      </c>
      <c r="O1217" t="n">
        <v>0.33</v>
      </c>
      <c r="P1217" t="n">
        <v>1</v>
      </c>
      <c r="Q1217" t="n">
        <v>0.46</v>
      </c>
      <c r="R1217" t="n">
        <v>8</v>
      </c>
      <c r="S1217" t="n">
        <v>13013.55</v>
      </c>
      <c r="T1217" t="n">
        <v>62</v>
      </c>
      <c r="U1217" t="n">
        <v>66</v>
      </c>
      <c r="V1217" t="n">
        <v>30</v>
      </c>
      <c r="W1217" t="n">
        <v>24</v>
      </c>
      <c r="X1217" t="n">
        <v>20.2865474832002</v>
      </c>
      <c r="Y1217" t="n">
        <v>1</v>
      </c>
      <c r="Z1217" t="n">
        <v>5</v>
      </c>
      <c r="AA1217" t="n">
        <v>6</v>
      </c>
      <c r="AB1217" t="n">
        <v>0</v>
      </c>
      <c r="AC1217" t="n">
        <v>0</v>
      </c>
      <c r="AD1217" t="n">
        <v>92910</v>
      </c>
      <c r="AE1217" t="n">
        <v>0</v>
      </c>
      <c r="AF1217" t="n">
        <v>10504</v>
      </c>
      <c r="AG1217" t="n">
        <v>2148</v>
      </c>
      <c r="AH1217" t="inlineStr">
        <is>
          <t>PT. JAYA PALEMBANG SUKSES - PPN (JMB)</t>
        </is>
      </c>
      <c r="AI1217" t="n">
        <v>75</v>
      </c>
      <c r="AJ1217" t="inlineStr">
        <is>
          <t>GARNIER</t>
        </is>
      </c>
      <c r="AK1217" t="n">
        <v>9</v>
      </c>
      <c r="AL1217" t="inlineStr">
        <is>
          <t>Miss Glam Jambi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GARNIER</t>
        </is>
      </c>
      <c r="B1218" s="2">
        <f>"8901526211715"</f>
        <v/>
      </c>
      <c r="C1218" t="inlineStr">
        <is>
          <t>GARNIER Hair Color Natural  Express Cream 3.16 Burgundy Alami</t>
        </is>
      </c>
      <c r="D1218" t="inlineStr">
        <is>
          <t>Miss Glam Jambi</t>
        </is>
      </c>
      <c r="E1218" t="n">
        <v>2</v>
      </c>
      <c r="F1218" t="n">
        <v>0.3696</v>
      </c>
      <c r="G1218" t="n">
        <v>1.65</v>
      </c>
      <c r="H1218" t="n">
        <v>4</v>
      </c>
      <c r="I1218" t="n">
        <v>28</v>
      </c>
      <c r="J1218" t="n">
        <v>3</v>
      </c>
      <c r="K1218" t="n">
        <v>0</v>
      </c>
      <c r="L1218" t="n">
        <v>14331</v>
      </c>
      <c r="M1218" t="n">
        <v>16500</v>
      </c>
      <c r="N1218" t="n">
        <v>33</v>
      </c>
      <c r="O1218" t="n">
        <v>0.33</v>
      </c>
      <c r="P1218" t="n">
        <v>1</v>
      </c>
      <c r="Q1218" t="n">
        <v>0.08</v>
      </c>
      <c r="R1218" t="n">
        <v>2</v>
      </c>
      <c r="S1218" t="n">
        <v>6098.400000000001</v>
      </c>
      <c r="T1218" t="n">
        <v>45</v>
      </c>
      <c r="U1218" t="n">
        <v>47</v>
      </c>
      <c r="V1218" t="n">
        <v>30</v>
      </c>
      <c r="W1218" t="n">
        <v>12</v>
      </c>
      <c r="X1218" t="n">
        <v>5.411255411255411</v>
      </c>
      <c r="Y1218" t="n">
        <v>1</v>
      </c>
      <c r="Z1218" t="n">
        <v>10</v>
      </c>
      <c r="AA1218" t="n">
        <v>9</v>
      </c>
      <c r="AB1218" t="n">
        <v>1</v>
      </c>
      <c r="AC1218" t="n">
        <v>3</v>
      </c>
      <c r="AD1218" t="n">
        <v>128979</v>
      </c>
      <c r="AE1218" t="n">
        <v>42993</v>
      </c>
      <c r="AF1218" t="n">
        <v>10504</v>
      </c>
      <c r="AG1218" t="n">
        <v>2148</v>
      </c>
      <c r="AH1218" t="inlineStr">
        <is>
          <t>PT. JAYA PALEMBANG SUKSES - PPN (JMB)</t>
        </is>
      </c>
      <c r="AI1218" t="n">
        <v>75</v>
      </c>
      <c r="AJ1218" t="inlineStr">
        <is>
          <t>GARNIER</t>
        </is>
      </c>
      <c r="AK1218" t="n">
        <v>9</v>
      </c>
      <c r="AL1218" t="inlineStr">
        <is>
          <t>Miss Glam Jambi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GARNIER</t>
        </is>
      </c>
      <c r="B1219" s="2">
        <f>"8901526530113"</f>
        <v/>
      </c>
      <c r="C1219" t="inlineStr">
        <is>
          <t>GARNIER Hair Color Natural Crem Riche 4 Coklat Sachet</t>
        </is>
      </c>
      <c r="D1219" t="inlineStr">
        <is>
          <t>Miss Glam Jambi</t>
        </is>
      </c>
      <c r="E1219" t="n">
        <v>10</v>
      </c>
      <c r="F1219" t="n">
        <v>0.6534</v>
      </c>
      <c r="G1219" t="n">
        <v>2.64</v>
      </c>
      <c r="H1219" t="n">
        <v>4</v>
      </c>
      <c r="I1219" t="n">
        <v>28</v>
      </c>
      <c r="J1219" t="n">
        <v>3</v>
      </c>
      <c r="K1219" t="n">
        <v>3</v>
      </c>
      <c r="L1219" t="n">
        <v>16239</v>
      </c>
      <c r="M1219" t="n">
        <v>16500</v>
      </c>
      <c r="N1219" t="n">
        <v>33</v>
      </c>
      <c r="O1219" t="n">
        <v>0.33</v>
      </c>
      <c r="P1219" t="n">
        <v>1</v>
      </c>
      <c r="Q1219" t="n">
        <v>0.24</v>
      </c>
      <c r="R1219" t="n">
        <v>3</v>
      </c>
      <c r="S1219" t="n">
        <v>10781.1</v>
      </c>
      <c r="T1219" t="n">
        <v>72</v>
      </c>
      <c r="U1219" t="n">
        <v>75</v>
      </c>
      <c r="V1219" t="n">
        <v>30</v>
      </c>
      <c r="W1219" t="n">
        <v>20</v>
      </c>
      <c r="X1219" t="n">
        <v>15.30456075910621</v>
      </c>
      <c r="Y1219" t="n">
        <v>1</v>
      </c>
      <c r="Z1219" t="n">
        <v>7</v>
      </c>
      <c r="AA1219" t="n">
        <v>8</v>
      </c>
      <c r="AB1219" t="n">
        <v>0</v>
      </c>
      <c r="AC1219" t="n">
        <v>0</v>
      </c>
      <c r="AD1219" t="n">
        <v>129912</v>
      </c>
      <c r="AE1219" t="n">
        <v>0</v>
      </c>
      <c r="AF1219" t="n">
        <v>10504</v>
      </c>
      <c r="AG1219" t="n">
        <v>2148</v>
      </c>
      <c r="AH1219" t="inlineStr">
        <is>
          <t>PT. JAYA PALEMBANG SUKSES - PPN (JMB)</t>
        </is>
      </c>
      <c r="AI1219" t="n">
        <v>75</v>
      </c>
      <c r="AJ1219" t="inlineStr">
        <is>
          <t>GARNIER</t>
        </is>
      </c>
      <c r="AK1219" t="n">
        <v>9</v>
      </c>
      <c r="AL1219" t="inlineStr">
        <is>
          <t>Miss Glam Jambi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GARNIER</t>
        </is>
      </c>
      <c r="B1220" s="2">
        <f>"8901526540068"</f>
        <v/>
      </c>
      <c r="C1220" t="inlineStr">
        <is>
          <t>GARNIER Hair Color Natural Crem Riche 5.32 Coklat Caramel</t>
        </is>
      </c>
      <c r="D1220" t="inlineStr">
        <is>
          <t>Miss Glam Jambi</t>
        </is>
      </c>
      <c r="E1220" t="n">
        <v>0</v>
      </c>
      <c r="F1220" t="n">
        <v>1.5675</v>
      </c>
      <c r="G1220" t="n">
        <v>5.61</v>
      </c>
      <c r="H1220" t="n">
        <v>4</v>
      </c>
      <c r="I1220" t="n">
        <v>28</v>
      </c>
      <c r="J1220" t="n">
        <v>3</v>
      </c>
      <c r="K1220" t="n">
        <v>3</v>
      </c>
      <c r="L1220" t="n">
        <v>15923</v>
      </c>
      <c r="M1220" t="n">
        <v>16500</v>
      </c>
      <c r="N1220" t="n">
        <v>33</v>
      </c>
      <c r="O1220" t="n">
        <v>0.33</v>
      </c>
      <c r="P1220" t="n">
        <v>1</v>
      </c>
      <c r="Q1220" t="n">
        <v>0.45</v>
      </c>
      <c r="R1220" t="n">
        <v>3</v>
      </c>
      <c r="S1220" t="n">
        <v>25863.75</v>
      </c>
      <c r="T1220" t="n">
        <v>151</v>
      </c>
      <c r="U1220" t="n">
        <v>158</v>
      </c>
      <c r="V1220" t="n">
        <v>30</v>
      </c>
      <c r="W1220" t="n">
        <v>48</v>
      </c>
      <c r="X1220" t="n">
        <v>0</v>
      </c>
      <c r="Y1220" t="n">
        <v>1</v>
      </c>
      <c r="Z1220" t="n">
        <v>45</v>
      </c>
      <c r="AA1220" t="n">
        <v>43</v>
      </c>
      <c r="AB1220" t="n">
        <v>2</v>
      </c>
      <c r="AC1220" t="n">
        <v>3</v>
      </c>
      <c r="AD1220" t="n">
        <v>684689</v>
      </c>
      <c r="AE1220" t="n">
        <v>47769</v>
      </c>
      <c r="AF1220" t="n">
        <v>10504</v>
      </c>
      <c r="AG1220" t="n">
        <v>2148</v>
      </c>
      <c r="AH1220" t="inlineStr">
        <is>
          <t>PT. JAYA PALEMBANG SUKSES - PPN (JMB)</t>
        </is>
      </c>
      <c r="AI1220" t="n">
        <v>75</v>
      </c>
      <c r="AJ1220" t="inlineStr">
        <is>
          <t>GARNIER</t>
        </is>
      </c>
      <c r="AK1220" t="n">
        <v>9</v>
      </c>
      <c r="AL1220" t="inlineStr">
        <is>
          <t>Miss Glam Jambi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GARNIER</t>
        </is>
      </c>
      <c r="B1221" s="2">
        <f>"8901526540112"</f>
        <v/>
      </c>
      <c r="C1221" t="inlineStr">
        <is>
          <t>GARNIER Hair Color Natural Crem Riche 6.64 Merah Berry</t>
        </is>
      </c>
      <c r="D1221" t="inlineStr">
        <is>
          <t>Miss Glam Jambi</t>
        </is>
      </c>
      <c r="E1221" t="n">
        <v>6</v>
      </c>
      <c r="F1221" t="n">
        <v>0.14</v>
      </c>
      <c r="G1221" t="n">
        <v>2</v>
      </c>
      <c r="H1221" t="n">
        <v>4</v>
      </c>
      <c r="I1221" t="n">
        <v>28</v>
      </c>
      <c r="J1221" t="n">
        <v>3</v>
      </c>
      <c r="K1221" t="n">
        <v>0</v>
      </c>
      <c r="L1221" t="n">
        <v>15804</v>
      </c>
      <c r="M1221" t="n">
        <v>16500</v>
      </c>
      <c r="N1221" t="n">
        <v>33</v>
      </c>
      <c r="O1221" t="n">
        <v>0.33</v>
      </c>
      <c r="P1221" t="n">
        <v>0</v>
      </c>
      <c r="Q1221" t="n">
        <v>0.14</v>
      </c>
      <c r="R1221" t="n">
        <v>2</v>
      </c>
      <c r="S1221" t="n">
        <v>2310</v>
      </c>
      <c r="T1221" t="n">
        <v>56</v>
      </c>
      <c r="U1221" t="n">
        <v>57</v>
      </c>
      <c r="V1221" t="n">
        <v>30</v>
      </c>
      <c r="W1221" t="n">
        <v>5</v>
      </c>
      <c r="X1221" t="n">
        <v>42.85714285714285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10504</v>
      </c>
      <c r="AG1221" t="n">
        <v>2148</v>
      </c>
      <c r="AH1221" t="inlineStr">
        <is>
          <t>PT. JAYA PALEMBANG SUKSES - PPN (JMB)</t>
        </is>
      </c>
      <c r="AI1221" t="n">
        <v>75</v>
      </c>
      <c r="AJ1221" t="inlineStr">
        <is>
          <t>GARNIER</t>
        </is>
      </c>
      <c r="AK1221" t="n">
        <v>9</v>
      </c>
      <c r="AL1221" t="inlineStr">
        <is>
          <t>Miss Glam Jambi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GARNIER</t>
        </is>
      </c>
      <c r="B1222" s="2">
        <f>"8901526539468"</f>
        <v/>
      </c>
      <c r="C1222" t="inlineStr">
        <is>
          <t>GARNIER Hair Color Natural Ultra Color 3.1 Midnight Blue</t>
        </is>
      </c>
      <c r="D1222" t="inlineStr">
        <is>
          <t>Miss Glam Jambi</t>
        </is>
      </c>
      <c r="E1222" t="n">
        <v>10</v>
      </c>
      <c r="F1222" t="n">
        <v>0.363</v>
      </c>
      <c r="G1222" t="n">
        <v>1.32</v>
      </c>
      <c r="H1222" t="n">
        <v>4</v>
      </c>
      <c r="I1222" t="n">
        <v>28</v>
      </c>
      <c r="J1222" t="n">
        <v>3</v>
      </c>
      <c r="K1222" t="n">
        <v>3</v>
      </c>
      <c r="L1222" t="n">
        <v>15604</v>
      </c>
      <c r="M1222" t="n">
        <v>16500</v>
      </c>
      <c r="N1222" t="n">
        <v>33</v>
      </c>
      <c r="O1222" t="n">
        <v>0.33</v>
      </c>
      <c r="P1222" t="n">
        <v>1</v>
      </c>
      <c r="Q1222" t="n">
        <v>0.02</v>
      </c>
      <c r="R1222" t="n">
        <v>1</v>
      </c>
      <c r="S1222" t="n">
        <v>5989.500000000001</v>
      </c>
      <c r="T1222" t="n">
        <v>36</v>
      </c>
      <c r="U1222" t="n">
        <v>38</v>
      </c>
      <c r="V1222" t="n">
        <v>30</v>
      </c>
      <c r="W1222" t="n">
        <v>11</v>
      </c>
      <c r="X1222" t="n">
        <v>27.54820936639118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10504</v>
      </c>
      <c r="AG1222" t="n">
        <v>2148</v>
      </c>
      <c r="AH1222" t="inlineStr">
        <is>
          <t>PT. JAYA PALEMBANG SUKSES - PPN (JMB)</t>
        </is>
      </c>
      <c r="AI1222" t="n">
        <v>75</v>
      </c>
      <c r="AJ1222" t="inlineStr">
        <is>
          <t>GARNIER</t>
        </is>
      </c>
      <c r="AK1222" t="n">
        <v>9</v>
      </c>
      <c r="AL1222" t="inlineStr">
        <is>
          <t>Miss Glam Jambi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GARNIER</t>
        </is>
      </c>
      <c r="B1223" s="2">
        <f>"8901526539611"</f>
        <v/>
      </c>
      <c r="C1223" t="inlineStr">
        <is>
          <t>GARNIER Hair Color Natural Ultra Color 6.26 Plum Red</t>
        </is>
      </c>
      <c r="D1223" t="inlineStr">
        <is>
          <t>Miss Glam Jambi</t>
        </is>
      </c>
      <c r="E1223" t="n">
        <v>7</v>
      </c>
      <c r="F1223" t="n">
        <v>0.06270000000000001</v>
      </c>
      <c r="G1223" t="n">
        <v>0.66</v>
      </c>
      <c r="H1223" t="n">
        <v>4</v>
      </c>
      <c r="I1223" t="n">
        <v>28</v>
      </c>
      <c r="J1223" t="n">
        <v>3</v>
      </c>
      <c r="K1223" t="n">
        <v>0</v>
      </c>
      <c r="L1223" t="n">
        <v>16001</v>
      </c>
      <c r="M1223" t="n">
        <v>16500</v>
      </c>
      <c r="N1223" t="n">
        <v>33</v>
      </c>
      <c r="O1223" t="n">
        <v>0.33</v>
      </c>
      <c r="P1223" t="n">
        <v>1</v>
      </c>
      <c r="Q1223" t="n">
        <v>0.15</v>
      </c>
      <c r="R1223" t="n">
        <v>3</v>
      </c>
      <c r="S1223" t="n">
        <v>1034.55</v>
      </c>
      <c r="T1223" t="n">
        <v>19</v>
      </c>
      <c r="U1223" t="n">
        <v>20</v>
      </c>
      <c r="V1223" t="n">
        <v>30</v>
      </c>
      <c r="W1223" t="n">
        <v>2</v>
      </c>
      <c r="X1223" t="n">
        <v>111.6427432216906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10504</v>
      </c>
      <c r="AG1223" t="n">
        <v>2148</v>
      </c>
      <c r="AH1223" t="inlineStr">
        <is>
          <t>PT. JAYA PALEMBANG SUKSES - PPN (JMB)</t>
        </is>
      </c>
      <c r="AI1223" t="n">
        <v>75</v>
      </c>
      <c r="AJ1223" t="inlineStr">
        <is>
          <t>GARNIER</t>
        </is>
      </c>
      <c r="AK1223" t="n">
        <v>9</v>
      </c>
      <c r="AL1223" t="inlineStr">
        <is>
          <t>Miss Glam Jambi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GARNIER</t>
        </is>
      </c>
      <c r="B1224" s="2">
        <f>"8901526539567"</f>
        <v/>
      </c>
      <c r="C1224" t="inlineStr">
        <is>
          <t>GARNIER Hair Color Natural Ultra Color 7.3 Golden Brown</t>
        </is>
      </c>
      <c r="D1224" t="inlineStr">
        <is>
          <t>Miss Glam Jambi</t>
        </is>
      </c>
      <c r="E1224" t="n">
        <v>22</v>
      </c>
      <c r="F1224" t="n">
        <v>3.2208</v>
      </c>
      <c r="G1224" t="n">
        <v>5.94</v>
      </c>
      <c r="H1224" t="n">
        <v>4</v>
      </c>
      <c r="I1224" t="n">
        <v>28</v>
      </c>
      <c r="J1224" t="n">
        <v>3</v>
      </c>
      <c r="K1224" t="n">
        <v>6</v>
      </c>
      <c r="L1224" t="n">
        <v>15762</v>
      </c>
      <c r="M1224" t="n">
        <v>17000</v>
      </c>
      <c r="N1224" t="n">
        <v>33</v>
      </c>
      <c r="O1224" t="n">
        <v>0.33</v>
      </c>
      <c r="P1224" t="n">
        <v>1</v>
      </c>
      <c r="Q1224" t="n">
        <v>1.22</v>
      </c>
      <c r="R1224" t="n">
        <v>5</v>
      </c>
      <c r="S1224" t="n">
        <v>54753.6</v>
      </c>
      <c r="T1224" t="n">
        <v>154</v>
      </c>
      <c r="U1224" t="n">
        <v>167</v>
      </c>
      <c r="V1224" t="n">
        <v>30</v>
      </c>
      <c r="W1224" t="n">
        <v>97</v>
      </c>
      <c r="X1224" t="n">
        <v>6.830601092896175</v>
      </c>
      <c r="Y1224" t="n">
        <v>1</v>
      </c>
      <c r="Z1224" t="n">
        <v>69</v>
      </c>
      <c r="AA1224" t="n">
        <v>68</v>
      </c>
      <c r="AB1224" t="n">
        <v>1</v>
      </c>
      <c r="AC1224" t="n">
        <v>3</v>
      </c>
      <c r="AD1224" t="n">
        <v>1071816</v>
      </c>
      <c r="AE1224" t="n">
        <v>47286</v>
      </c>
      <c r="AF1224" t="n">
        <v>10504</v>
      </c>
      <c r="AG1224" t="n">
        <v>2148</v>
      </c>
      <c r="AH1224" t="inlineStr">
        <is>
          <t>PT. JAYA PALEMBANG SUKSES - PPN (JMB)</t>
        </is>
      </c>
      <c r="AI1224" t="n">
        <v>75</v>
      </c>
      <c r="AJ1224" t="inlineStr">
        <is>
          <t>GARNIER</t>
        </is>
      </c>
      <c r="AK1224" t="n">
        <v>9</v>
      </c>
      <c r="AL1224" t="inlineStr">
        <is>
          <t>Miss Glam Jambi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GARNIER</t>
        </is>
      </c>
      <c r="B1225" s="2">
        <f>"8994993010721"</f>
        <v/>
      </c>
      <c r="C1225" t="inlineStr">
        <is>
          <t>GARNIER Hyaluron Sakura 30ml</t>
        </is>
      </c>
      <c r="D1225" t="inlineStr">
        <is>
          <t>Miss Glam Jambi</t>
        </is>
      </c>
      <c r="E1225" t="n">
        <v>4</v>
      </c>
      <c r="F1225" t="n">
        <v>0.006600000000000001</v>
      </c>
      <c r="G1225" t="n">
        <v>0</v>
      </c>
      <c r="H1225" t="n">
        <v>4</v>
      </c>
      <c r="I1225" t="n">
        <v>28</v>
      </c>
      <c r="J1225" t="n">
        <v>3</v>
      </c>
      <c r="K1225" t="n">
        <v>0</v>
      </c>
      <c r="L1225" t="n">
        <v>117050</v>
      </c>
      <c r="M1225" t="n">
        <v>130000</v>
      </c>
      <c r="N1225" t="n">
        <v>33</v>
      </c>
      <c r="O1225" t="n">
        <v>0.33</v>
      </c>
      <c r="P1225" t="n">
        <v>1</v>
      </c>
      <c r="Q1225" t="n">
        <v>0.03</v>
      </c>
      <c r="R1225" t="n">
        <v>1</v>
      </c>
      <c r="S1225" t="n">
        <v>858.0000000000001</v>
      </c>
      <c r="T1225" t="n">
        <v>0</v>
      </c>
      <c r="U1225" t="n">
        <v>1</v>
      </c>
      <c r="V1225" t="n">
        <v>30</v>
      </c>
      <c r="W1225" t="n">
        <v>1</v>
      </c>
      <c r="X1225" t="n">
        <v>606.060606060606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10504</v>
      </c>
      <c r="AG1225" t="n">
        <v>2148</v>
      </c>
      <c r="AH1225" t="inlineStr">
        <is>
          <t>PT. JAYA PALEMBANG SUKSES - PPN (JMB)</t>
        </is>
      </c>
      <c r="AI1225" t="n">
        <v>75</v>
      </c>
      <c r="AJ1225" t="inlineStr">
        <is>
          <t>GARNIER</t>
        </is>
      </c>
      <c r="AK1225" t="n">
        <v>9</v>
      </c>
      <c r="AL1225" t="inlineStr">
        <is>
          <t>Miss Glam Jambi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GARNIER</t>
        </is>
      </c>
      <c r="B1226" s="2">
        <f>"8994993011322"</f>
        <v/>
      </c>
      <c r="C1226" t="inlineStr">
        <is>
          <t>GARNIER Lc Super uv Spf50 Matte Finish 30ml</t>
        </is>
      </c>
      <c r="D1226" t="inlineStr">
        <is>
          <t>Miss Glam Jambi</t>
        </is>
      </c>
      <c r="E1226" t="n">
        <v>1</v>
      </c>
      <c r="F1226" t="n">
        <v>0.03</v>
      </c>
      <c r="G1226" t="n">
        <v>1</v>
      </c>
      <c r="H1226" t="n">
        <v>4</v>
      </c>
      <c r="I1226" t="n">
        <v>28</v>
      </c>
      <c r="J1226" t="n">
        <v>3</v>
      </c>
      <c r="K1226" t="n">
        <v>0</v>
      </c>
      <c r="L1226" t="n">
        <v>60528</v>
      </c>
      <c r="M1226" t="n">
        <v>75000</v>
      </c>
      <c r="N1226" t="n">
        <v>33</v>
      </c>
      <c r="O1226" t="n">
        <v>0.33</v>
      </c>
      <c r="P1226" t="n">
        <v>0</v>
      </c>
      <c r="Q1226" t="n">
        <v>0.03</v>
      </c>
      <c r="R1226" t="n">
        <v>1</v>
      </c>
      <c r="S1226" t="n">
        <v>2250</v>
      </c>
      <c r="T1226" t="n">
        <v>28</v>
      </c>
      <c r="U1226" t="n">
        <v>29</v>
      </c>
      <c r="V1226" t="n">
        <v>30</v>
      </c>
      <c r="W1226" t="n">
        <v>1</v>
      </c>
      <c r="X1226" t="n">
        <v>33.33333333333334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10504</v>
      </c>
      <c r="AG1226" t="n">
        <v>2148</v>
      </c>
      <c r="AH1226" t="inlineStr">
        <is>
          <t>PT. JAYA PALEMBANG SUKSES - PPN (JMB)</t>
        </is>
      </c>
      <c r="AI1226" t="n">
        <v>75</v>
      </c>
      <c r="AJ1226" t="inlineStr">
        <is>
          <t>GARNIER</t>
        </is>
      </c>
      <c r="AK1226" t="n">
        <v>9</v>
      </c>
      <c r="AL1226" t="inlineStr">
        <is>
          <t>Miss Glam Jambi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"8994993000982"</f>
        <v/>
      </c>
      <c r="C1227" t="inlineStr">
        <is>
          <t>GARNIER LC Super UV SPF50+ Natural 30ml</t>
        </is>
      </c>
      <c r="D1227" t="inlineStr">
        <is>
          <t>Miss Glam Jambi</t>
        </is>
      </c>
      <c r="E1227" t="n">
        <v>0</v>
      </c>
      <c r="F1227" t="n">
        <v>0.04</v>
      </c>
      <c r="G1227" t="n">
        <v>1</v>
      </c>
      <c r="H1227" t="n">
        <v>4</v>
      </c>
      <c r="I1227" t="n">
        <v>28</v>
      </c>
      <c r="J1227" t="n">
        <v>3</v>
      </c>
      <c r="K1227" t="n">
        <v>0</v>
      </c>
      <c r="L1227" t="n">
        <v>71917</v>
      </c>
      <c r="M1227" t="n">
        <v>85500</v>
      </c>
      <c r="N1227" t="n">
        <v>33</v>
      </c>
      <c r="O1227" t="n">
        <v>0.33</v>
      </c>
      <c r="P1227" t="n">
        <v>0</v>
      </c>
      <c r="Q1227" t="n">
        <v>0.04</v>
      </c>
      <c r="R1227" t="n">
        <v>1</v>
      </c>
      <c r="S1227" t="n">
        <v>3420</v>
      </c>
      <c r="T1227" t="n">
        <v>28</v>
      </c>
      <c r="U1227" t="n">
        <v>29</v>
      </c>
      <c r="V1227" t="n">
        <v>30</v>
      </c>
      <c r="W1227" t="n">
        <v>2</v>
      </c>
      <c r="X1227" t="n">
        <v>0</v>
      </c>
      <c r="Y1227" t="n">
        <v>1</v>
      </c>
      <c r="Z1227" t="n">
        <v>2</v>
      </c>
      <c r="AA1227" t="n">
        <v>2</v>
      </c>
      <c r="AB1227" t="n">
        <v>0</v>
      </c>
      <c r="AC1227" t="n">
        <v>0</v>
      </c>
      <c r="AD1227" t="n">
        <v>143834</v>
      </c>
      <c r="AE1227" t="n">
        <v>0</v>
      </c>
      <c r="AF1227" t="n">
        <v>10504</v>
      </c>
      <c r="AG1227" t="n">
        <v>2148</v>
      </c>
      <c r="AH1227" t="inlineStr">
        <is>
          <t>PT. JAYA PALEMBANG SUKSES - PPN (JMB)</t>
        </is>
      </c>
      <c r="AI1227" t="n">
        <v>75</v>
      </c>
      <c r="AJ1227" t="inlineStr">
        <is>
          <t>GARNIER</t>
        </is>
      </c>
      <c r="AK1227" t="n">
        <v>9</v>
      </c>
      <c r="AL1227" t="inlineStr">
        <is>
          <t>Miss Glam Jambi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"8991380700029"</f>
        <v/>
      </c>
      <c r="C1228" t="inlineStr">
        <is>
          <t>GARNIER Light Complete Foam 100ml</t>
        </is>
      </c>
      <c r="D1228" t="inlineStr">
        <is>
          <t>Miss Glam Jambi</t>
        </is>
      </c>
      <c r="E1228" t="n">
        <v>11</v>
      </c>
      <c r="F1228" t="n">
        <v>0.3234</v>
      </c>
      <c r="G1228" t="n">
        <v>1.32</v>
      </c>
      <c r="H1228" t="n">
        <v>4</v>
      </c>
      <c r="I1228" t="n">
        <v>28</v>
      </c>
      <c r="J1228" t="n">
        <v>3</v>
      </c>
      <c r="K1228" t="n">
        <v>0</v>
      </c>
      <c r="L1228" t="n">
        <v>29805</v>
      </c>
      <c r="M1228" t="n">
        <v>33000</v>
      </c>
      <c r="N1228" t="n">
        <v>33</v>
      </c>
      <c r="O1228" t="n">
        <v>0.33</v>
      </c>
      <c r="P1228" t="n">
        <v>1</v>
      </c>
      <c r="Q1228" t="n">
        <v>0.15</v>
      </c>
      <c r="R1228" t="n">
        <v>1</v>
      </c>
      <c r="S1228" t="n">
        <v>10672.2</v>
      </c>
      <c r="T1228" t="n">
        <v>36</v>
      </c>
      <c r="U1228" t="n">
        <v>38</v>
      </c>
      <c r="V1228" t="n">
        <v>30</v>
      </c>
      <c r="W1228" t="n">
        <v>10</v>
      </c>
      <c r="X1228" t="n">
        <v>34.01360544217687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10504</v>
      </c>
      <c r="AG1228" t="n">
        <v>2148</v>
      </c>
      <c r="AH1228" t="inlineStr">
        <is>
          <t>PT. JAYA PALEMBANG SUKSES - PPN (JMB)</t>
        </is>
      </c>
      <c r="AI1228" t="n">
        <v>75</v>
      </c>
      <c r="AJ1228" t="inlineStr">
        <is>
          <t>GARNIER</t>
        </is>
      </c>
      <c r="AK1228" t="n">
        <v>9</v>
      </c>
      <c r="AL1228" t="inlineStr">
        <is>
          <t>Miss Glam Jambi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"8994993002429"</f>
        <v/>
      </c>
      <c r="C1229" t="inlineStr">
        <is>
          <t>GARNIER Light Complete SPF 19 Yuzu  20ml</t>
        </is>
      </c>
      <c r="D1229" t="inlineStr">
        <is>
          <t>Miss Glam Jambi</t>
        </is>
      </c>
      <c r="E1229" t="n">
        <v>4</v>
      </c>
      <c r="F1229" t="n">
        <v>0.1221</v>
      </c>
      <c r="G1229" t="n">
        <v>0.66</v>
      </c>
      <c r="H1229" t="n">
        <v>4</v>
      </c>
      <c r="I1229" t="n">
        <v>28</v>
      </c>
      <c r="J1229" t="n">
        <v>3</v>
      </c>
      <c r="K1229" t="n">
        <v>0</v>
      </c>
      <c r="L1229" t="n">
        <v>26679</v>
      </c>
      <c r="M1229" t="n">
        <v>29500</v>
      </c>
      <c r="N1229" t="n">
        <v>33</v>
      </c>
      <c r="O1229" t="n">
        <v>0.33</v>
      </c>
      <c r="P1229" t="n">
        <v>1</v>
      </c>
      <c r="Q1229" t="n">
        <v>0.02</v>
      </c>
      <c r="R1229" t="n">
        <v>1</v>
      </c>
      <c r="S1229" t="n">
        <v>3601.95</v>
      </c>
      <c r="T1229" t="n">
        <v>18</v>
      </c>
      <c r="U1229" t="n">
        <v>19</v>
      </c>
      <c r="V1229" t="n">
        <v>30</v>
      </c>
      <c r="W1229" t="n">
        <v>4</v>
      </c>
      <c r="X1229" t="n">
        <v>32.76003276003276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10504</v>
      </c>
      <c r="AG1229" t="n">
        <v>2148</v>
      </c>
      <c r="AH1229" t="inlineStr">
        <is>
          <t>PT. JAYA PALEMBANG SUKSES - PPN (JMB)</t>
        </is>
      </c>
      <c r="AI1229" t="n">
        <v>75</v>
      </c>
      <c r="AJ1229" t="inlineStr">
        <is>
          <t>GARNIER</t>
        </is>
      </c>
      <c r="AK1229" t="n">
        <v>9</v>
      </c>
      <c r="AL1229" t="inlineStr">
        <is>
          <t>Miss Glam Jambi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"8994993011377"</f>
        <v/>
      </c>
      <c r="C1230" t="inlineStr">
        <is>
          <t>GARNIER Light Complete Vitamin C 30x Booster Serum 30ml</t>
        </is>
      </c>
      <c r="D1230" t="inlineStr">
        <is>
          <t>Miss Glam Jambi</t>
        </is>
      </c>
      <c r="E1230" t="n">
        <v>4</v>
      </c>
      <c r="F1230" t="n">
        <v>0.08910000000000001</v>
      </c>
      <c r="G1230" t="n">
        <v>0.99</v>
      </c>
      <c r="H1230" t="n">
        <v>4</v>
      </c>
      <c r="I1230" t="n">
        <v>28</v>
      </c>
      <c r="J1230" t="n">
        <v>3</v>
      </c>
      <c r="K1230" t="n">
        <v>0</v>
      </c>
      <c r="L1230" t="n">
        <v>117050</v>
      </c>
      <c r="M1230" t="n">
        <v>130000</v>
      </c>
      <c r="N1230" t="n">
        <v>33</v>
      </c>
      <c r="O1230" t="n">
        <v>0.33</v>
      </c>
      <c r="P1230" t="n">
        <v>1</v>
      </c>
      <c r="Q1230" t="n">
        <v>0.05</v>
      </c>
      <c r="R1230" t="n">
        <v>1</v>
      </c>
      <c r="S1230" t="n">
        <v>11583</v>
      </c>
      <c r="T1230" t="n">
        <v>28</v>
      </c>
      <c r="U1230" t="n">
        <v>29</v>
      </c>
      <c r="V1230" t="n">
        <v>30</v>
      </c>
      <c r="W1230" t="n">
        <v>3</v>
      </c>
      <c r="X1230" t="n">
        <v>44.89337822671155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10504</v>
      </c>
      <c r="AG1230" t="n">
        <v>2148</v>
      </c>
      <c r="AH1230" t="inlineStr">
        <is>
          <t>PT. JAYA PALEMBANG SUKSES - PPN (JMB)</t>
        </is>
      </c>
      <c r="AI1230" t="n">
        <v>75</v>
      </c>
      <c r="AJ1230" t="inlineStr">
        <is>
          <t>GARNIER</t>
        </is>
      </c>
      <c r="AK1230" t="n">
        <v>9</v>
      </c>
      <c r="AL1230" t="inlineStr">
        <is>
          <t>Miss Glam Jambi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"8991380700036"</f>
        <v/>
      </c>
      <c r="C1231" t="inlineStr">
        <is>
          <t>GARNIER Light Complete White Speed Brightening Foam 50ml</t>
        </is>
      </c>
      <c r="D1231" t="inlineStr">
        <is>
          <t>Miss Glam Jambi</t>
        </is>
      </c>
      <c r="E1231" t="n">
        <v>8</v>
      </c>
      <c r="F1231" t="n">
        <v>0.1551</v>
      </c>
      <c r="G1231" t="n">
        <v>0.66</v>
      </c>
      <c r="H1231" t="n">
        <v>4</v>
      </c>
      <c r="I1231" t="n">
        <v>28</v>
      </c>
      <c r="J1231" t="n">
        <v>3</v>
      </c>
      <c r="K1231" t="n">
        <v>0</v>
      </c>
      <c r="L1231" t="n">
        <v>18665</v>
      </c>
      <c r="M1231" t="n">
        <v>22000</v>
      </c>
      <c r="N1231" t="n">
        <v>33</v>
      </c>
      <c r="O1231" t="n">
        <v>0.33</v>
      </c>
      <c r="P1231" t="n">
        <v>1</v>
      </c>
      <c r="Q1231" t="n">
        <v>0.05</v>
      </c>
      <c r="R1231" t="n">
        <v>2</v>
      </c>
      <c r="S1231" t="n">
        <v>3412.2</v>
      </c>
      <c r="T1231" t="n">
        <v>18</v>
      </c>
      <c r="U1231" t="n">
        <v>19</v>
      </c>
      <c r="V1231" t="n">
        <v>30</v>
      </c>
      <c r="W1231" t="n">
        <v>5</v>
      </c>
      <c r="X1231" t="n">
        <v>51.57962604771116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10504</v>
      </c>
      <c r="AG1231" t="n">
        <v>2148</v>
      </c>
      <c r="AH1231" t="inlineStr">
        <is>
          <t>PT. JAYA PALEMBANG SUKSES - PPN (JMB)</t>
        </is>
      </c>
      <c r="AI1231" t="n">
        <v>75</v>
      </c>
      <c r="AJ1231" t="inlineStr">
        <is>
          <t>GARNIER</t>
        </is>
      </c>
      <c r="AK1231" t="n">
        <v>9</v>
      </c>
      <c r="AL1231" t="inlineStr">
        <is>
          <t>Miss Glam Jambi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"8991380700593"</f>
        <v/>
      </c>
      <c r="C1232" t="inlineStr">
        <is>
          <t>GARNIER Light Complete White Speed Brightening Scrub 50ml</t>
        </is>
      </c>
      <c r="D1232" t="inlineStr">
        <is>
          <t>Miss Glam Jambi</t>
        </is>
      </c>
      <c r="E1232" t="n">
        <v>7</v>
      </c>
      <c r="F1232" t="n">
        <v>0.1386</v>
      </c>
      <c r="G1232" t="n">
        <v>0.66</v>
      </c>
      <c r="H1232" t="n">
        <v>4</v>
      </c>
      <c r="I1232" t="n">
        <v>28</v>
      </c>
      <c r="J1232" t="n">
        <v>3</v>
      </c>
      <c r="K1232" t="n">
        <v>0</v>
      </c>
      <c r="L1232" t="n">
        <v>18032</v>
      </c>
      <c r="M1232" t="n">
        <v>22000</v>
      </c>
      <c r="N1232" t="n">
        <v>33</v>
      </c>
      <c r="O1232" t="n">
        <v>0.33</v>
      </c>
      <c r="P1232" t="n">
        <v>1</v>
      </c>
      <c r="Q1232" t="n">
        <v>0.1</v>
      </c>
      <c r="R1232" t="n">
        <v>1</v>
      </c>
      <c r="S1232" t="n">
        <v>3049.2</v>
      </c>
      <c r="T1232" t="n">
        <v>18</v>
      </c>
      <c r="U1232" t="n">
        <v>19</v>
      </c>
      <c r="V1232" t="n">
        <v>30</v>
      </c>
      <c r="W1232" t="n">
        <v>5</v>
      </c>
      <c r="X1232" t="n">
        <v>50.50505050505051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10504</v>
      </c>
      <c r="AG1232" t="n">
        <v>2148</v>
      </c>
      <c r="AH1232" t="inlineStr">
        <is>
          <t>PT. JAYA PALEMBANG SUKSES - PPN (JMB)</t>
        </is>
      </c>
      <c r="AI1232" t="n">
        <v>75</v>
      </c>
      <c r="AJ1232" t="inlineStr">
        <is>
          <t>GARNIER</t>
        </is>
      </c>
      <c r="AK1232" t="n">
        <v>9</v>
      </c>
      <c r="AL1232" t="inlineStr">
        <is>
          <t>Miss Glam Jambi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"8992304010293"</f>
        <v/>
      </c>
      <c r="C1233" t="inlineStr">
        <is>
          <t>GARNIER Light Complete White Speed Day Serum Cream 20ml</t>
        </is>
      </c>
      <c r="D1233" t="inlineStr">
        <is>
          <t>Miss Glam Jambi</t>
        </is>
      </c>
      <c r="E1233" t="n">
        <v>2</v>
      </c>
      <c r="F1233" t="n">
        <v>0.0495</v>
      </c>
      <c r="G1233" t="n">
        <v>0.66</v>
      </c>
      <c r="H1233" t="n">
        <v>4</v>
      </c>
      <c r="I1233" t="n">
        <v>28</v>
      </c>
      <c r="J1233" t="n">
        <v>3</v>
      </c>
      <c r="K1233" t="n">
        <v>0</v>
      </c>
      <c r="L1233" t="n">
        <v>21537</v>
      </c>
      <c r="M1233" t="n">
        <v>26000</v>
      </c>
      <c r="N1233" t="n">
        <v>33</v>
      </c>
      <c r="O1233" t="n">
        <v>0.33</v>
      </c>
      <c r="P1233" t="n">
        <v>1</v>
      </c>
      <c r="Q1233" t="n">
        <v>0.07000000000000001</v>
      </c>
      <c r="R1233" t="n">
        <v>1</v>
      </c>
      <c r="S1233" t="n">
        <v>1287</v>
      </c>
      <c r="T1233" t="n">
        <v>19</v>
      </c>
      <c r="U1233" t="n">
        <v>20</v>
      </c>
      <c r="V1233" t="n">
        <v>30</v>
      </c>
      <c r="W1233" t="n">
        <v>2</v>
      </c>
      <c r="X1233" t="n">
        <v>40.4040404040404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10504</v>
      </c>
      <c r="AG1233" t="n">
        <v>2148</v>
      </c>
      <c r="AH1233" t="inlineStr">
        <is>
          <t>PT. JAYA PALEMBANG SUKSES - PPN (JMB)</t>
        </is>
      </c>
      <c r="AI1233" t="n">
        <v>75</v>
      </c>
      <c r="AJ1233" t="inlineStr">
        <is>
          <t>GARNIER</t>
        </is>
      </c>
      <c r="AK1233" t="n">
        <v>9</v>
      </c>
      <c r="AL1233" t="inlineStr">
        <is>
          <t>Miss Glam Jambi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"8992304054419"</f>
        <v/>
      </c>
      <c r="C1234" t="inlineStr">
        <is>
          <t>GARNIER Light Complete Whitening Serum Cream SPF36 50ml</t>
        </is>
      </c>
      <c r="D1234" t="inlineStr">
        <is>
          <t>Miss Glam Jambi</t>
        </is>
      </c>
      <c r="E1234" t="n">
        <v>2</v>
      </c>
      <c r="F1234" t="n">
        <v>0.0495</v>
      </c>
      <c r="G1234" t="n">
        <v>0.66</v>
      </c>
      <c r="H1234" t="n">
        <v>4</v>
      </c>
      <c r="I1234" t="n">
        <v>28</v>
      </c>
      <c r="J1234" t="n">
        <v>3</v>
      </c>
      <c r="K1234" t="n">
        <v>0</v>
      </c>
      <c r="L1234" t="n">
        <v>65743</v>
      </c>
      <c r="M1234" t="n">
        <v>83000</v>
      </c>
      <c r="N1234" t="n">
        <v>33</v>
      </c>
      <c r="O1234" t="n">
        <v>0.33</v>
      </c>
      <c r="P1234" t="n">
        <v>1</v>
      </c>
      <c r="Q1234" t="n">
        <v>0.03</v>
      </c>
      <c r="R1234" t="n">
        <v>1</v>
      </c>
      <c r="S1234" t="n">
        <v>4108.5</v>
      </c>
      <c r="T1234" t="n">
        <v>19</v>
      </c>
      <c r="U1234" t="n">
        <v>20</v>
      </c>
      <c r="V1234" t="n">
        <v>30</v>
      </c>
      <c r="W1234" t="n">
        <v>2</v>
      </c>
      <c r="X1234" t="n">
        <v>40.4040404040404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10504</v>
      </c>
      <c r="AG1234" t="n">
        <v>2148</v>
      </c>
      <c r="AH1234" t="inlineStr">
        <is>
          <t>PT. JAYA PALEMBANG SUKSES - PPN (JMB)</t>
        </is>
      </c>
      <c r="AI1234" t="n">
        <v>75</v>
      </c>
      <c r="AJ1234" t="inlineStr">
        <is>
          <t>GARNIER</t>
        </is>
      </c>
      <c r="AK1234" t="n">
        <v>9</v>
      </c>
      <c r="AL1234" t="inlineStr">
        <is>
          <t>Miss Glam Jambi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"8992304094767"</f>
        <v/>
      </c>
      <c r="C1235" t="inlineStr">
        <is>
          <t>GARNIER Light Complete Yoghurt Sleeping Mask Night 20ml</t>
        </is>
      </c>
      <c r="D1235" t="inlineStr">
        <is>
          <t>Miss Glam Jambi</t>
        </is>
      </c>
      <c r="E1235" t="n">
        <v>7</v>
      </c>
      <c r="F1235" t="n">
        <v>0.0825</v>
      </c>
      <c r="G1235" t="n">
        <v>0.66</v>
      </c>
      <c r="H1235" t="n">
        <v>4</v>
      </c>
      <c r="I1235" t="n">
        <v>28</v>
      </c>
      <c r="J1235" t="n">
        <v>3</v>
      </c>
      <c r="K1235" t="n">
        <v>0</v>
      </c>
      <c r="L1235" t="n">
        <v>30043</v>
      </c>
      <c r="M1235" t="n">
        <v>32000</v>
      </c>
      <c r="N1235" t="n">
        <v>33</v>
      </c>
      <c r="O1235" t="n">
        <v>0.33</v>
      </c>
      <c r="P1235" t="n">
        <v>1</v>
      </c>
      <c r="Q1235" t="n">
        <v>0.1</v>
      </c>
      <c r="R1235" t="n">
        <v>1</v>
      </c>
      <c r="S1235" t="n">
        <v>2640</v>
      </c>
      <c r="T1235" t="n">
        <v>19</v>
      </c>
      <c r="U1235" t="n">
        <v>20</v>
      </c>
      <c r="V1235" t="n">
        <v>30</v>
      </c>
      <c r="W1235" t="n">
        <v>3</v>
      </c>
      <c r="X1235" t="n">
        <v>84.84848484848484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10504</v>
      </c>
      <c r="AG1235" t="n">
        <v>2148</v>
      </c>
      <c r="AH1235" t="inlineStr">
        <is>
          <t>PT. JAYA PALEMBANG SUKSES - PPN (JMB)</t>
        </is>
      </c>
      <c r="AI1235" t="n">
        <v>75</v>
      </c>
      <c r="AJ1235" t="inlineStr">
        <is>
          <t>GARNIER</t>
        </is>
      </c>
      <c r="AK1235" t="n">
        <v>9</v>
      </c>
      <c r="AL1235" t="inlineStr">
        <is>
          <t>Miss Glam Jambi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"8992304094774"</f>
        <v/>
      </c>
      <c r="C1236" t="inlineStr">
        <is>
          <t>GARNIER Light Completet Night Cream 50ml</t>
        </is>
      </c>
      <c r="D1236" t="inlineStr">
        <is>
          <t>Miss Glam Jambi</t>
        </is>
      </c>
      <c r="E1236" t="n">
        <v>2</v>
      </c>
      <c r="F1236" t="n">
        <v>0.0165</v>
      </c>
      <c r="G1236" t="n">
        <v>0.33</v>
      </c>
      <c r="H1236" t="n">
        <v>4</v>
      </c>
      <c r="I1236" t="n">
        <v>28</v>
      </c>
      <c r="J1236" t="n">
        <v>3</v>
      </c>
      <c r="K1236" t="n">
        <v>0</v>
      </c>
      <c r="L1236" t="n">
        <v>79088</v>
      </c>
      <c r="M1236" t="n">
        <v>88000</v>
      </c>
      <c r="N1236" t="n">
        <v>33</v>
      </c>
      <c r="O1236" t="n">
        <v>0.33</v>
      </c>
      <c r="P1236" t="n">
        <v>1</v>
      </c>
      <c r="Q1236" t="n">
        <v>0.02</v>
      </c>
      <c r="R1236" t="n">
        <v>1</v>
      </c>
      <c r="S1236" t="n">
        <v>1452</v>
      </c>
      <c r="T1236" t="n">
        <v>10</v>
      </c>
      <c r="U1236" t="n">
        <v>11</v>
      </c>
      <c r="V1236" t="n">
        <v>30</v>
      </c>
      <c r="W1236" t="n">
        <v>1</v>
      </c>
      <c r="X1236" t="n">
        <v>121.2121212121212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10504</v>
      </c>
      <c r="AG1236" t="n">
        <v>2148</v>
      </c>
      <c r="AH1236" t="inlineStr">
        <is>
          <t>PT. JAYA PALEMBANG SUKSES - PPN (JMB)</t>
        </is>
      </c>
      <c r="AI1236" t="n">
        <v>75</v>
      </c>
      <c r="AJ1236" t="inlineStr">
        <is>
          <t>GARNIER</t>
        </is>
      </c>
      <c r="AK1236" t="n">
        <v>9</v>
      </c>
      <c r="AL1236" t="inlineStr">
        <is>
          <t>Miss Glam Jambi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"8994993014217"</f>
        <v/>
      </c>
      <c r="C1237" t="inlineStr">
        <is>
          <t>GARNIER Micellar Cleansing Rose Water 400ml</t>
        </is>
      </c>
      <c r="D1237" t="inlineStr">
        <is>
          <t>Miss Glam Jambi</t>
        </is>
      </c>
      <c r="E1237" t="n">
        <v>3</v>
      </c>
      <c r="F1237" t="n">
        <v>0.03</v>
      </c>
      <c r="G1237" t="n">
        <v>1</v>
      </c>
      <c r="H1237" t="n">
        <v>4</v>
      </c>
      <c r="I1237" t="n">
        <v>28</v>
      </c>
      <c r="J1237" t="n">
        <v>3</v>
      </c>
      <c r="K1237" t="n">
        <v>0</v>
      </c>
      <c r="L1237" t="n">
        <v>57996</v>
      </c>
      <c r="M1237" t="n">
        <v>94000</v>
      </c>
      <c r="N1237" t="n">
        <v>33</v>
      </c>
      <c r="O1237" t="n">
        <v>0.33</v>
      </c>
      <c r="P1237" t="n">
        <v>0</v>
      </c>
      <c r="Q1237" t="n">
        <v>0.03</v>
      </c>
      <c r="R1237" t="n">
        <v>1</v>
      </c>
      <c r="S1237" t="n">
        <v>2820</v>
      </c>
      <c r="T1237" t="n">
        <v>28</v>
      </c>
      <c r="U1237" t="n">
        <v>29</v>
      </c>
      <c r="V1237" t="n">
        <v>30</v>
      </c>
      <c r="W1237" t="n">
        <v>1</v>
      </c>
      <c r="X1237" t="n">
        <v>100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10504</v>
      </c>
      <c r="AG1237" t="n">
        <v>2148</v>
      </c>
      <c r="AH1237" t="inlineStr">
        <is>
          <t>PT. JAYA PALEMBANG SUKSES - PPN (JMB)</t>
        </is>
      </c>
      <c r="AI1237" t="n">
        <v>75</v>
      </c>
      <c r="AJ1237" t="inlineStr">
        <is>
          <t>GARNIER</t>
        </is>
      </c>
      <c r="AK1237" t="n">
        <v>9</v>
      </c>
      <c r="AL1237" t="inlineStr">
        <is>
          <t>Miss Glam Jambi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"8994993019670"</f>
        <v/>
      </c>
      <c r="C1238" t="inlineStr">
        <is>
          <t>GARNIER Micellar Cleansing Water Blue 400ml</t>
        </is>
      </c>
      <c r="D1238" t="inlineStr">
        <is>
          <t>Miss Glam Jambi</t>
        </is>
      </c>
      <c r="E1238" t="n">
        <v>3</v>
      </c>
      <c r="F1238" t="n">
        <v>0.07000000000000001</v>
      </c>
      <c r="G1238" t="n">
        <v>1</v>
      </c>
      <c r="H1238" t="n">
        <v>4</v>
      </c>
      <c r="I1238" t="n">
        <v>28</v>
      </c>
      <c r="J1238" t="n">
        <v>3</v>
      </c>
      <c r="K1238" t="n">
        <v>0</v>
      </c>
      <c r="L1238" t="n">
        <v>85263</v>
      </c>
      <c r="M1238" t="n">
        <v>108000</v>
      </c>
      <c r="N1238" t="n">
        <v>33</v>
      </c>
      <c r="O1238" t="n">
        <v>0.33</v>
      </c>
      <c r="P1238" t="n">
        <v>0</v>
      </c>
      <c r="Q1238" t="n">
        <v>0.07000000000000001</v>
      </c>
      <c r="R1238" t="n">
        <v>1</v>
      </c>
      <c r="S1238" t="n">
        <v>7560.000000000001</v>
      </c>
      <c r="T1238" t="n">
        <v>28</v>
      </c>
      <c r="U1238" t="n">
        <v>29</v>
      </c>
      <c r="V1238" t="n">
        <v>30</v>
      </c>
      <c r="W1238" t="n">
        <v>3</v>
      </c>
      <c r="X1238" t="n">
        <v>42.85714285714285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10504</v>
      </c>
      <c r="AG1238" t="n">
        <v>2148</v>
      </c>
      <c r="AH1238" t="inlineStr">
        <is>
          <t>PT. JAYA PALEMBANG SUKSES - PPN (JMB)</t>
        </is>
      </c>
      <c r="AI1238" t="n">
        <v>75</v>
      </c>
      <c r="AJ1238" t="inlineStr">
        <is>
          <t>GARNIER</t>
        </is>
      </c>
      <c r="AK1238" t="n">
        <v>9</v>
      </c>
      <c r="AL1238" t="inlineStr">
        <is>
          <t>Miss Glam Jambi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"8994993019656"</f>
        <v/>
      </c>
      <c r="C1239" t="inlineStr">
        <is>
          <t>GARNIER Micellar Cleansing Water Salicylic BHA 125ml</t>
        </is>
      </c>
      <c r="D1239" t="inlineStr">
        <is>
          <t>Miss Glam Jambi</t>
        </is>
      </c>
      <c r="E1239" t="n">
        <v>19</v>
      </c>
      <c r="F1239" t="n">
        <v>0.9107999999999999</v>
      </c>
      <c r="G1239" t="n">
        <v>3.3</v>
      </c>
      <c r="H1239" t="n">
        <v>4</v>
      </c>
      <c r="I1239" t="n">
        <v>28</v>
      </c>
      <c r="J1239" t="n">
        <v>24</v>
      </c>
      <c r="K1239" t="n">
        <v>24</v>
      </c>
      <c r="L1239" t="n">
        <v>26753</v>
      </c>
      <c r="M1239" t="n">
        <v>34500</v>
      </c>
      <c r="N1239" t="n">
        <v>33</v>
      </c>
      <c r="O1239" t="n">
        <v>0.33</v>
      </c>
      <c r="P1239" t="n">
        <v>1</v>
      </c>
      <c r="Q1239" t="n">
        <v>0.29</v>
      </c>
      <c r="R1239" t="n">
        <v>3</v>
      </c>
      <c r="S1239" t="n">
        <v>31422.6</v>
      </c>
      <c r="T1239" t="n">
        <v>89</v>
      </c>
      <c r="U1239" t="n">
        <v>93</v>
      </c>
      <c r="V1239" t="n">
        <v>30</v>
      </c>
      <c r="W1239" t="n">
        <v>28</v>
      </c>
      <c r="X1239" t="n">
        <v>20.86078173034695</v>
      </c>
      <c r="Y1239" t="n">
        <v>1</v>
      </c>
      <c r="Z1239" t="n">
        <v>0</v>
      </c>
      <c r="AA1239" t="n">
        <v>6</v>
      </c>
      <c r="AB1239" t="n">
        <v>0</v>
      </c>
      <c r="AC1239" t="n">
        <v>0</v>
      </c>
      <c r="AD1239" t="n">
        <v>160518</v>
      </c>
      <c r="AE1239" t="n">
        <v>0</v>
      </c>
      <c r="AF1239" t="n">
        <v>10504</v>
      </c>
      <c r="AG1239" t="n">
        <v>2148</v>
      </c>
      <c r="AH1239" t="inlineStr">
        <is>
          <t>PT. JAYA PALEMBANG SUKSES - PPN (JMB)</t>
        </is>
      </c>
      <c r="AI1239" t="n">
        <v>75</v>
      </c>
      <c r="AJ1239" t="inlineStr">
        <is>
          <t>GARNIER</t>
        </is>
      </c>
      <c r="AK1239" t="n">
        <v>9</v>
      </c>
      <c r="AL1239" t="inlineStr">
        <is>
          <t>Miss Glam Jambi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"8994993013845"</f>
        <v/>
      </c>
      <c r="C1240" t="inlineStr">
        <is>
          <t>GARNIER Micellar Cleansing Water Vitamin C 125ml</t>
        </is>
      </c>
      <c r="D1240" t="inlineStr">
        <is>
          <t>Miss Glam Jambi</t>
        </is>
      </c>
      <c r="E1240" t="n">
        <v>15</v>
      </c>
      <c r="F1240" t="n">
        <v>0.7491</v>
      </c>
      <c r="G1240" t="n">
        <v>2.31</v>
      </c>
      <c r="H1240" t="n">
        <v>4</v>
      </c>
      <c r="I1240" t="n">
        <v>28</v>
      </c>
      <c r="J1240" t="n">
        <v>3</v>
      </c>
      <c r="K1240" t="n">
        <v>3</v>
      </c>
      <c r="L1240" t="n">
        <v>29843</v>
      </c>
      <c r="M1240" t="n">
        <v>35000</v>
      </c>
      <c r="N1240" t="n">
        <v>33</v>
      </c>
      <c r="O1240" t="n">
        <v>0.33</v>
      </c>
      <c r="P1240" t="n">
        <v>1</v>
      </c>
      <c r="Q1240" t="n">
        <v>0.29</v>
      </c>
      <c r="R1240" t="n">
        <v>3</v>
      </c>
      <c r="S1240" t="n">
        <v>26218.5</v>
      </c>
      <c r="T1240" t="n">
        <v>62</v>
      </c>
      <c r="U1240" t="n">
        <v>65</v>
      </c>
      <c r="V1240" t="n">
        <v>30</v>
      </c>
      <c r="W1240" t="n">
        <v>23</v>
      </c>
      <c r="X1240" t="n">
        <v>20.02402883460152</v>
      </c>
      <c r="Y1240" t="n">
        <v>1</v>
      </c>
      <c r="Z1240" t="n">
        <v>5</v>
      </c>
      <c r="AA1240" t="n">
        <v>5</v>
      </c>
      <c r="AB1240" t="n">
        <v>0</v>
      </c>
      <c r="AC1240" t="n">
        <v>0</v>
      </c>
      <c r="AD1240" t="n">
        <v>149215</v>
      </c>
      <c r="AE1240" t="n">
        <v>0</v>
      </c>
      <c r="AF1240" t="n">
        <v>10504</v>
      </c>
      <c r="AG1240" t="n">
        <v>2148</v>
      </c>
      <c r="AH1240" t="inlineStr">
        <is>
          <t>PT. JAYA PALEMBANG SUKSES - PPN (JMB)</t>
        </is>
      </c>
      <c r="AI1240" t="n">
        <v>75</v>
      </c>
      <c r="AJ1240" t="inlineStr">
        <is>
          <t>GARNIER</t>
        </is>
      </c>
      <c r="AK1240" t="n">
        <v>9</v>
      </c>
      <c r="AL1240" t="inlineStr">
        <is>
          <t>Miss Glam Jambi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"8994993013869"</f>
        <v/>
      </c>
      <c r="C1241" t="inlineStr">
        <is>
          <t>GARNIER Micellar Cleansing Water Vitamin C 400ml</t>
        </is>
      </c>
      <c r="D1241" t="inlineStr">
        <is>
          <t>Miss Glam Jambi</t>
        </is>
      </c>
      <c r="E1241" t="n">
        <v>6</v>
      </c>
      <c r="F1241" t="n">
        <v>0.0495</v>
      </c>
      <c r="G1241" t="n">
        <v>0.66</v>
      </c>
      <c r="H1241" t="n">
        <v>4</v>
      </c>
      <c r="I1241" t="n">
        <v>28</v>
      </c>
      <c r="J1241" t="n">
        <v>3</v>
      </c>
      <c r="K1241" t="n">
        <v>0</v>
      </c>
      <c r="L1241" t="n">
        <v>92058</v>
      </c>
      <c r="M1241" t="n">
        <v>94000</v>
      </c>
      <c r="N1241" t="n">
        <v>33</v>
      </c>
      <c r="O1241" t="n">
        <v>0.33</v>
      </c>
      <c r="P1241" t="n">
        <v>1</v>
      </c>
      <c r="Q1241" t="n">
        <v>0.08</v>
      </c>
      <c r="R1241" t="n">
        <v>2</v>
      </c>
      <c r="S1241" t="n">
        <v>4653</v>
      </c>
      <c r="T1241" t="n">
        <v>19</v>
      </c>
      <c r="U1241" t="n">
        <v>20</v>
      </c>
      <c r="V1241" t="n">
        <v>30</v>
      </c>
      <c r="W1241" t="n">
        <v>2</v>
      </c>
      <c r="X1241" t="n">
        <v>121.2121212121212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10504</v>
      </c>
      <c r="AG1241" t="n">
        <v>2148</v>
      </c>
      <c r="AH1241" t="inlineStr">
        <is>
          <t>PT. JAYA PALEMBANG SUKSES - PPN (JMB)</t>
        </is>
      </c>
      <c r="AI1241" t="n">
        <v>75</v>
      </c>
      <c r="AJ1241" t="inlineStr">
        <is>
          <t>GARNIER</t>
        </is>
      </c>
      <c r="AK1241" t="n">
        <v>9</v>
      </c>
      <c r="AL1241" t="inlineStr">
        <is>
          <t>Miss Glam Jambi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"6902395717881"</f>
        <v/>
      </c>
      <c r="C1242" t="inlineStr">
        <is>
          <t>GARNIER Micellar Oil Infused Cleansing Water 50ml</t>
        </is>
      </c>
      <c r="D1242" t="inlineStr">
        <is>
          <t>Miss Glam Jambi</t>
        </is>
      </c>
      <c r="E1242" t="n">
        <v>23</v>
      </c>
      <c r="F1242" t="n">
        <v>0.3531</v>
      </c>
      <c r="G1242" t="n">
        <v>1.32</v>
      </c>
      <c r="H1242" t="n">
        <v>4</v>
      </c>
      <c r="I1242" t="n">
        <v>28</v>
      </c>
      <c r="J1242" t="n">
        <v>3</v>
      </c>
      <c r="K1242" t="n">
        <v>0</v>
      </c>
      <c r="L1242" t="n">
        <v>22988</v>
      </c>
      <c r="M1242" t="n">
        <v>28000</v>
      </c>
      <c r="N1242" t="n">
        <v>33</v>
      </c>
      <c r="O1242" t="n">
        <v>0.33</v>
      </c>
      <c r="P1242" t="n">
        <v>1</v>
      </c>
      <c r="Q1242" t="n">
        <v>0.44</v>
      </c>
      <c r="R1242" t="n">
        <v>2</v>
      </c>
      <c r="S1242" t="n">
        <v>9886.800000000001</v>
      </c>
      <c r="T1242" t="n">
        <v>36</v>
      </c>
      <c r="U1242" t="n">
        <v>38</v>
      </c>
      <c r="V1242" t="n">
        <v>30</v>
      </c>
      <c r="W1242" t="n">
        <v>11</v>
      </c>
      <c r="X1242" t="n">
        <v>65.13735485698102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10504</v>
      </c>
      <c r="AG1242" t="n">
        <v>2148</v>
      </c>
      <c r="AH1242" t="inlineStr">
        <is>
          <t>PT. JAYA PALEMBANG SUKSES - PPN (JMB)</t>
        </is>
      </c>
      <c r="AI1242" t="n">
        <v>75</v>
      </c>
      <c r="AJ1242" t="inlineStr">
        <is>
          <t>GARNIER</t>
        </is>
      </c>
      <c r="AK1242" t="n">
        <v>9</v>
      </c>
      <c r="AL1242" t="inlineStr">
        <is>
          <t>Miss Glam Jambi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"6902395661139"</f>
        <v/>
      </c>
      <c r="C1243" t="inlineStr">
        <is>
          <t>GARNIER Micellar Water Oil Infused Skin Care 125ml</t>
        </is>
      </c>
      <c r="D1243" t="inlineStr">
        <is>
          <t>Miss Glam Jambi</t>
        </is>
      </c>
      <c r="E1243" t="n">
        <v>3</v>
      </c>
      <c r="F1243" t="n">
        <v>0.4818</v>
      </c>
      <c r="G1243" t="n">
        <v>1.65</v>
      </c>
      <c r="H1243" t="n">
        <v>4</v>
      </c>
      <c r="I1243" t="n">
        <v>28</v>
      </c>
      <c r="J1243" t="n">
        <v>3</v>
      </c>
      <c r="K1243" t="n">
        <v>3</v>
      </c>
      <c r="L1243" t="n">
        <v>43080</v>
      </c>
      <c r="M1243" t="n">
        <v>44500</v>
      </c>
      <c r="N1243" t="n">
        <v>33</v>
      </c>
      <c r="O1243" t="n">
        <v>0.33</v>
      </c>
      <c r="P1243" t="n">
        <v>1</v>
      </c>
      <c r="Q1243" t="n">
        <v>0.39</v>
      </c>
      <c r="R1243" t="n">
        <v>2</v>
      </c>
      <c r="S1243" t="n">
        <v>21440.1</v>
      </c>
      <c r="T1243" t="n">
        <v>45</v>
      </c>
      <c r="U1243" t="n">
        <v>47</v>
      </c>
      <c r="V1243" t="n">
        <v>30</v>
      </c>
      <c r="W1243" t="n">
        <v>15</v>
      </c>
      <c r="X1243" t="n">
        <v>6.226650062266501</v>
      </c>
      <c r="Y1243" t="n">
        <v>1</v>
      </c>
      <c r="Z1243" t="n">
        <v>9</v>
      </c>
      <c r="AA1243" t="n">
        <v>10</v>
      </c>
      <c r="AB1243" t="n">
        <v>0</v>
      </c>
      <c r="AC1243" t="n">
        <v>0</v>
      </c>
      <c r="AD1243" t="n">
        <v>430800</v>
      </c>
      <c r="AE1243" t="n">
        <v>0</v>
      </c>
      <c r="AF1243" t="n">
        <v>10504</v>
      </c>
      <c r="AG1243" t="n">
        <v>2148</v>
      </c>
      <c r="AH1243" t="inlineStr">
        <is>
          <t>PT. JAYA PALEMBANG SUKSES - PPN (JMB)</t>
        </is>
      </c>
      <c r="AI1243" t="n">
        <v>75</v>
      </c>
      <c r="AJ1243" t="inlineStr">
        <is>
          <t>GARNIER</t>
        </is>
      </c>
      <c r="AK1243" t="n">
        <v>9</v>
      </c>
      <c r="AL1243" t="inlineStr">
        <is>
          <t>Miss Glam Jambi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"6902395502005"</f>
        <v/>
      </c>
      <c r="C1244" t="inlineStr">
        <is>
          <t>GARNIER Micellar Water Oil Infused Skin Care 400ml</t>
        </is>
      </c>
      <c r="D1244" t="inlineStr">
        <is>
          <t>Miss Glam Jambi</t>
        </is>
      </c>
      <c r="E1244" t="n">
        <v>7</v>
      </c>
      <c r="F1244" t="n">
        <v>0.0561</v>
      </c>
      <c r="G1244" t="n">
        <v>0.66</v>
      </c>
      <c r="H1244" t="n">
        <v>4</v>
      </c>
      <c r="I1244" t="n">
        <v>28</v>
      </c>
      <c r="J1244" t="n">
        <v>3</v>
      </c>
      <c r="K1244" t="n">
        <v>0</v>
      </c>
      <c r="L1244" t="n">
        <v>116800</v>
      </c>
      <c r="M1244" t="n">
        <v>134000</v>
      </c>
      <c r="N1244" t="n">
        <v>33</v>
      </c>
      <c r="O1244" t="n">
        <v>0.33</v>
      </c>
      <c r="P1244" t="n">
        <v>1</v>
      </c>
      <c r="Q1244" t="n">
        <v>0.05</v>
      </c>
      <c r="R1244" t="n">
        <v>1</v>
      </c>
      <c r="S1244" t="n">
        <v>7517.400000000001</v>
      </c>
      <c r="T1244" t="n">
        <v>19</v>
      </c>
      <c r="U1244" t="n">
        <v>20</v>
      </c>
      <c r="V1244" t="n">
        <v>30</v>
      </c>
      <c r="W1244" t="n">
        <v>2</v>
      </c>
      <c r="X1244" t="n">
        <v>124.777183600713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10504</v>
      </c>
      <c r="AG1244" t="n">
        <v>2148</v>
      </c>
      <c r="AH1244" t="inlineStr">
        <is>
          <t>PT. JAYA PALEMBANG SUKSES - PPN (JMB)</t>
        </is>
      </c>
      <c r="AI1244" t="n">
        <v>75</v>
      </c>
      <c r="AJ1244" t="inlineStr">
        <is>
          <t>GARNIER</t>
        </is>
      </c>
      <c r="AK1244" t="n">
        <v>9</v>
      </c>
      <c r="AL1244" t="inlineStr">
        <is>
          <t>Miss Glam Jambi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"6928820029572"</f>
        <v/>
      </c>
      <c r="C1245" t="inlineStr">
        <is>
          <t>GARNIER Micellar Water Pink 125ml</t>
        </is>
      </c>
      <c r="D1245" t="inlineStr">
        <is>
          <t>Miss Glam Jambi</t>
        </is>
      </c>
      <c r="E1245" t="n">
        <v>20</v>
      </c>
      <c r="F1245" t="n">
        <v>2.0526</v>
      </c>
      <c r="G1245" t="n">
        <v>4.95</v>
      </c>
      <c r="H1245" t="n">
        <v>4</v>
      </c>
      <c r="I1245" t="n">
        <v>28</v>
      </c>
      <c r="J1245" t="n">
        <v>3</v>
      </c>
      <c r="K1245" t="n">
        <v>4</v>
      </c>
      <c r="L1245" t="n">
        <v>30273</v>
      </c>
      <c r="M1245" t="n">
        <v>34500</v>
      </c>
      <c r="N1245" t="n">
        <v>33</v>
      </c>
      <c r="O1245" t="n">
        <v>0.33</v>
      </c>
      <c r="P1245" t="n">
        <v>1</v>
      </c>
      <c r="Q1245" t="n">
        <v>0.6899999999999999</v>
      </c>
      <c r="R1245" t="n">
        <v>4</v>
      </c>
      <c r="S1245" t="n">
        <v>70814.7</v>
      </c>
      <c r="T1245" t="n">
        <v>131</v>
      </c>
      <c r="U1245" t="n">
        <v>140</v>
      </c>
      <c r="V1245" t="n">
        <v>30</v>
      </c>
      <c r="W1245" t="n">
        <v>62</v>
      </c>
      <c r="X1245" t="n">
        <v>9.743739647276625</v>
      </c>
      <c r="Y1245" t="n">
        <v>1</v>
      </c>
      <c r="Z1245" t="n">
        <v>38</v>
      </c>
      <c r="AA1245" t="n">
        <v>37</v>
      </c>
      <c r="AB1245" t="n">
        <v>1</v>
      </c>
      <c r="AC1245" t="n">
        <v>3</v>
      </c>
      <c r="AD1245" t="n">
        <v>1120101</v>
      </c>
      <c r="AE1245" t="n">
        <v>90819</v>
      </c>
      <c r="AF1245" t="n">
        <v>10504</v>
      </c>
      <c r="AG1245" t="n">
        <v>2148</v>
      </c>
      <c r="AH1245" t="inlineStr">
        <is>
          <t>PT. JAYA PALEMBANG SUKSES - PPN (JMB)</t>
        </is>
      </c>
      <c r="AI1245" t="n">
        <v>75</v>
      </c>
      <c r="AJ1245" t="inlineStr">
        <is>
          <t>GARNIER</t>
        </is>
      </c>
      <c r="AK1245" t="n">
        <v>9</v>
      </c>
      <c r="AL1245" t="inlineStr">
        <is>
          <t>Miss Glam Jambi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"8994993014194"</f>
        <v/>
      </c>
      <c r="C1246" t="inlineStr">
        <is>
          <t>GARNIER Micellar Water Pink Blue Biphase Rose 125ml</t>
        </is>
      </c>
      <c r="D1246" t="inlineStr">
        <is>
          <t>Miss Glam Jambi</t>
        </is>
      </c>
      <c r="E1246" t="n">
        <v>9</v>
      </c>
      <c r="F1246" t="n">
        <v>0.7887000000000001</v>
      </c>
      <c r="G1246" t="n">
        <v>1.98</v>
      </c>
      <c r="H1246" t="n">
        <v>4</v>
      </c>
      <c r="I1246" t="n">
        <v>28</v>
      </c>
      <c r="J1246" t="n">
        <v>3</v>
      </c>
      <c r="K1246" t="n">
        <v>3</v>
      </c>
      <c r="L1246" t="n">
        <v>30765</v>
      </c>
      <c r="M1246" t="n">
        <v>35000</v>
      </c>
      <c r="N1246" t="n">
        <v>33</v>
      </c>
      <c r="O1246" t="n">
        <v>0.33</v>
      </c>
      <c r="P1246" t="n">
        <v>1</v>
      </c>
      <c r="Q1246" t="n">
        <v>0.17</v>
      </c>
      <c r="R1246" t="n">
        <v>2</v>
      </c>
      <c r="S1246" t="n">
        <v>27604.5</v>
      </c>
      <c r="T1246" t="n">
        <v>53</v>
      </c>
      <c r="U1246" t="n">
        <v>57</v>
      </c>
      <c r="V1246" t="n">
        <v>30</v>
      </c>
      <c r="W1246" t="n">
        <v>24</v>
      </c>
      <c r="X1246" t="n">
        <v>11.41118295930011</v>
      </c>
      <c r="Y1246" t="n">
        <v>1</v>
      </c>
      <c r="Z1246" t="n">
        <v>12</v>
      </c>
      <c r="AA1246" t="n">
        <v>13</v>
      </c>
      <c r="AB1246" t="n">
        <v>0</v>
      </c>
      <c r="AC1246" t="n">
        <v>0</v>
      </c>
      <c r="AD1246" t="n">
        <v>399945</v>
      </c>
      <c r="AE1246" t="n">
        <v>0</v>
      </c>
      <c r="AF1246" t="n">
        <v>10504</v>
      </c>
      <c r="AG1246" t="n">
        <v>2148</v>
      </c>
      <c r="AH1246" t="inlineStr">
        <is>
          <t>PT. JAYA PALEMBANG SUKSES - PPN (JMB)</t>
        </is>
      </c>
      <c r="AI1246" t="n">
        <v>75</v>
      </c>
      <c r="AJ1246" t="inlineStr">
        <is>
          <t>GARNIER</t>
        </is>
      </c>
      <c r="AK1246" t="n">
        <v>9</v>
      </c>
      <c r="AL1246" t="inlineStr">
        <is>
          <t>Miss Glam Jambi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"10100725019"</f>
        <v/>
      </c>
      <c r="C1247" t="inlineStr">
        <is>
          <t>GARNIER Micellar Water Pink Bundle 125x2ml</t>
        </is>
      </c>
      <c r="D1247" t="inlineStr">
        <is>
          <t>Miss Glam Jambi</t>
        </is>
      </c>
      <c r="E1247" t="n">
        <v>30</v>
      </c>
      <c r="F1247" t="n">
        <v>0.3102</v>
      </c>
      <c r="G1247" t="n">
        <v>4.29</v>
      </c>
      <c r="H1247" t="n">
        <v>4</v>
      </c>
      <c r="I1247" t="n">
        <v>28</v>
      </c>
      <c r="J1247" t="n">
        <v>1</v>
      </c>
      <c r="K1247" t="n">
        <v>0</v>
      </c>
      <c r="L1247" t="n">
        <v>35220</v>
      </c>
      <c r="M1247" t="n">
        <v>41500</v>
      </c>
      <c r="N1247" t="n">
        <v>33</v>
      </c>
      <c r="O1247" t="n">
        <v>0.33</v>
      </c>
      <c r="P1247" t="n">
        <v>1</v>
      </c>
      <c r="Q1247" t="n">
        <v>0.86</v>
      </c>
      <c r="R1247" t="n">
        <v>4</v>
      </c>
      <c r="S1247" t="n">
        <v>12873.3</v>
      </c>
      <c r="T1247" t="n">
        <v>119</v>
      </c>
      <c r="U1247" t="n">
        <v>121</v>
      </c>
      <c r="V1247" t="n">
        <v>30</v>
      </c>
      <c r="W1247" t="n">
        <v>10</v>
      </c>
      <c r="X1247" t="n">
        <v>96.71179883945842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10504</v>
      </c>
      <c r="AG1247" t="n">
        <v>2148</v>
      </c>
      <c r="AH1247" t="inlineStr">
        <is>
          <t>PT. JAYA PALEMBANG SUKSES - PPN (JMB)</t>
        </is>
      </c>
      <c r="AI1247" t="n">
        <v>75</v>
      </c>
      <c r="AJ1247" t="inlineStr">
        <is>
          <t>GARNIER</t>
        </is>
      </c>
      <c r="AK1247" t="n">
        <v>9</v>
      </c>
      <c r="AL1247" t="inlineStr">
        <is>
          <t>Miss Glam Jambi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"10100724736"</f>
        <v/>
      </c>
      <c r="C1248" t="inlineStr">
        <is>
          <t>GARNIER Micellar Water Pink Jumbo Pack 360+40ml</t>
        </is>
      </c>
      <c r="D1248" t="inlineStr">
        <is>
          <t>Miss Glam Jambi</t>
        </is>
      </c>
      <c r="E1248" t="n">
        <v>6</v>
      </c>
      <c r="F1248" t="n">
        <v>0.1</v>
      </c>
      <c r="G1248" t="n">
        <v>2</v>
      </c>
      <c r="H1248" t="n">
        <v>4</v>
      </c>
      <c r="I1248" t="n">
        <v>28</v>
      </c>
      <c r="J1248" t="n">
        <v>1</v>
      </c>
      <c r="K1248" t="n">
        <v>0</v>
      </c>
      <c r="L1248" t="n">
        <v>49772</v>
      </c>
      <c r="M1248" t="n">
        <v>59000</v>
      </c>
      <c r="N1248" t="n">
        <v>33</v>
      </c>
      <c r="O1248" t="n">
        <v>0.33</v>
      </c>
      <c r="P1248" t="n">
        <v>0</v>
      </c>
      <c r="Q1248" t="n">
        <v>0.1</v>
      </c>
      <c r="R1248" t="n">
        <v>2</v>
      </c>
      <c r="S1248" t="n">
        <v>5900</v>
      </c>
      <c r="T1248" t="n">
        <v>56</v>
      </c>
      <c r="U1248" t="n">
        <v>57</v>
      </c>
      <c r="V1248" t="n">
        <v>30</v>
      </c>
      <c r="W1248" t="n">
        <v>3</v>
      </c>
      <c r="X1248" t="n">
        <v>60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10504</v>
      </c>
      <c r="AG1248" t="n">
        <v>2148</v>
      </c>
      <c r="AH1248" t="inlineStr">
        <is>
          <t>PT. JAYA PALEMBANG SUKSES - PPN (JMB)</t>
        </is>
      </c>
      <c r="AI1248" t="n">
        <v>75</v>
      </c>
      <c r="AJ1248" t="inlineStr">
        <is>
          <t>GARNIER</t>
        </is>
      </c>
      <c r="AK1248" t="n">
        <v>9</v>
      </c>
      <c r="AL1248" t="inlineStr">
        <is>
          <t>Miss Glam Jambi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"6928820029589"</f>
        <v/>
      </c>
      <c r="C1249" t="inlineStr">
        <is>
          <t>GARNIER Micellar Water Pink Skin Care 400ml</t>
        </is>
      </c>
      <c r="D1249" t="inlineStr">
        <is>
          <t>Miss Glam Jambi</t>
        </is>
      </c>
      <c r="E1249" t="n">
        <v>2</v>
      </c>
      <c r="F1249" t="n">
        <v>0.1386</v>
      </c>
      <c r="G1249" t="n">
        <v>0.66</v>
      </c>
      <c r="H1249" t="n">
        <v>4</v>
      </c>
      <c r="I1249" t="n">
        <v>28</v>
      </c>
      <c r="J1249" t="n">
        <v>3</v>
      </c>
      <c r="K1249" t="n">
        <v>3</v>
      </c>
      <c r="L1249" t="n">
        <v>57996</v>
      </c>
      <c r="M1249" t="n">
        <v>94000</v>
      </c>
      <c r="N1249" t="n">
        <v>33</v>
      </c>
      <c r="O1249" t="n">
        <v>0.33</v>
      </c>
      <c r="P1249" t="n">
        <v>1</v>
      </c>
      <c r="Q1249" t="n">
        <v>0.05</v>
      </c>
      <c r="R1249" t="n">
        <v>1</v>
      </c>
      <c r="S1249" t="n">
        <v>13028.4</v>
      </c>
      <c r="T1249" t="n">
        <v>18</v>
      </c>
      <c r="U1249" t="n">
        <v>19</v>
      </c>
      <c r="V1249" t="n">
        <v>30</v>
      </c>
      <c r="W1249" t="n">
        <v>5</v>
      </c>
      <c r="X1249" t="n">
        <v>14.43001443001443</v>
      </c>
      <c r="Y1249" t="n">
        <v>1</v>
      </c>
      <c r="Z1249" t="n">
        <v>0</v>
      </c>
      <c r="AA1249" t="n">
        <v>1</v>
      </c>
      <c r="AB1249" t="n">
        <v>0</v>
      </c>
      <c r="AC1249" t="n">
        <v>0</v>
      </c>
      <c r="AD1249" t="n">
        <v>57996</v>
      </c>
      <c r="AE1249" t="n">
        <v>0</v>
      </c>
      <c r="AF1249" t="n">
        <v>10504</v>
      </c>
      <c r="AG1249" t="n">
        <v>2148</v>
      </c>
      <c r="AH1249" t="inlineStr">
        <is>
          <t>PT. JAYA PALEMBANG SUKSES - PPN (JMB)</t>
        </is>
      </c>
      <c r="AI1249" t="n">
        <v>75</v>
      </c>
      <c r="AJ1249" t="inlineStr">
        <is>
          <t>GARNIER</t>
        </is>
      </c>
      <c r="AK1249" t="n">
        <v>9</v>
      </c>
      <c r="AL1249" t="inlineStr">
        <is>
          <t>Miss Glam Jambi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"6923700909050"</f>
        <v/>
      </c>
      <c r="C1250" t="inlineStr">
        <is>
          <t>GARNIER Micellar Water Pink Skin Care 50ml</t>
        </is>
      </c>
      <c r="D1250" t="inlineStr">
        <is>
          <t>Miss Glam Jambi</t>
        </is>
      </c>
      <c r="E1250" t="n">
        <v>16</v>
      </c>
      <c r="F1250" t="n">
        <v>0.7227</v>
      </c>
      <c r="G1250" t="n">
        <v>2.64</v>
      </c>
      <c r="H1250" t="n">
        <v>4</v>
      </c>
      <c r="I1250" t="n">
        <v>28</v>
      </c>
      <c r="J1250" t="n">
        <v>3</v>
      </c>
      <c r="K1250" t="n">
        <v>3</v>
      </c>
      <c r="L1250" t="n">
        <v>18109</v>
      </c>
      <c r="M1250" t="n">
        <v>22000</v>
      </c>
      <c r="N1250" t="n">
        <v>33</v>
      </c>
      <c r="O1250" t="n">
        <v>0.33</v>
      </c>
      <c r="P1250" t="n">
        <v>1</v>
      </c>
      <c r="Q1250" t="n">
        <v>0.46</v>
      </c>
      <c r="R1250" t="n">
        <v>2</v>
      </c>
      <c r="S1250" t="n">
        <v>15899.4</v>
      </c>
      <c r="T1250" t="n">
        <v>72</v>
      </c>
      <c r="U1250" t="n">
        <v>75</v>
      </c>
      <c r="V1250" t="n">
        <v>30</v>
      </c>
      <c r="W1250" t="n">
        <v>22</v>
      </c>
      <c r="X1250" t="n">
        <v>22.139200221392</v>
      </c>
      <c r="Y1250" t="n">
        <v>1</v>
      </c>
      <c r="Z1250" t="n">
        <v>3</v>
      </c>
      <c r="AA1250" t="n">
        <v>4</v>
      </c>
      <c r="AB1250" t="n">
        <v>0</v>
      </c>
      <c r="AC1250" t="n">
        <v>0</v>
      </c>
      <c r="AD1250" t="n">
        <v>72436</v>
      </c>
      <c r="AE1250" t="n">
        <v>0</v>
      </c>
      <c r="AF1250" t="n">
        <v>10504</v>
      </c>
      <c r="AG1250" t="n">
        <v>2148</v>
      </c>
      <c r="AH1250" t="inlineStr">
        <is>
          <t>PT. JAYA PALEMBANG SUKSES - PPN (JMB)</t>
        </is>
      </c>
      <c r="AI1250" t="n">
        <v>75</v>
      </c>
      <c r="AJ1250" t="inlineStr">
        <is>
          <t>GARNIER</t>
        </is>
      </c>
      <c r="AK1250" t="n">
        <v>9</v>
      </c>
      <c r="AL1250" t="inlineStr">
        <is>
          <t>Miss Glam Jambi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"8994993025404"</f>
        <v/>
      </c>
      <c r="C1251" t="inlineStr">
        <is>
          <t>GARNIER Micellar Water Salicylic Blue 50ml</t>
        </is>
      </c>
      <c r="D1251" t="inlineStr">
        <is>
          <t>Miss Glam Jambi</t>
        </is>
      </c>
      <c r="E1251" t="n">
        <v>5</v>
      </c>
      <c r="F1251" t="n">
        <v>0.066</v>
      </c>
      <c r="G1251" t="n">
        <v>0.33</v>
      </c>
      <c r="H1251" t="n">
        <v>4</v>
      </c>
      <c r="I1251" t="n">
        <v>28</v>
      </c>
      <c r="J1251" t="n">
        <v>3</v>
      </c>
      <c r="K1251" t="n">
        <v>0</v>
      </c>
      <c r="L1251" t="n">
        <v>18137</v>
      </c>
      <c r="M1251" t="n">
        <v>22000</v>
      </c>
      <c r="N1251" t="n">
        <v>33</v>
      </c>
      <c r="O1251" t="n">
        <v>0.33</v>
      </c>
      <c r="P1251" t="n">
        <v>1</v>
      </c>
      <c r="Q1251" t="n">
        <v>0.05</v>
      </c>
      <c r="R1251" t="n">
        <v>1</v>
      </c>
      <c r="S1251" t="n">
        <v>1452</v>
      </c>
      <c r="T1251" t="n">
        <v>9</v>
      </c>
      <c r="U1251" t="n">
        <v>10</v>
      </c>
      <c r="V1251" t="n">
        <v>30</v>
      </c>
      <c r="W1251" t="n">
        <v>2</v>
      </c>
      <c r="X1251" t="n">
        <v>75.75757575757575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10504</v>
      </c>
      <c r="AG1251" t="n">
        <v>2148</v>
      </c>
      <c r="AH1251" t="inlineStr">
        <is>
          <t>PT. JAYA PALEMBANG SUKSES - PPN (JMB)</t>
        </is>
      </c>
      <c r="AI1251" t="n">
        <v>75</v>
      </c>
      <c r="AJ1251" t="inlineStr">
        <is>
          <t>GARNIER</t>
        </is>
      </c>
      <c r="AK1251" t="n">
        <v>9</v>
      </c>
      <c r="AL1251" t="inlineStr">
        <is>
          <t>Miss Glam Jambi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"8992304019524"</f>
        <v/>
      </c>
      <c r="C1252" t="inlineStr">
        <is>
          <t>GARNIER Pure Active Acne &amp; Oil Clearing Foam 100ml</t>
        </is>
      </c>
      <c r="D1252" t="inlineStr">
        <is>
          <t>Miss Glam Jambi</t>
        </is>
      </c>
      <c r="E1252" t="n">
        <v>4</v>
      </c>
      <c r="F1252" t="n">
        <v>0.03</v>
      </c>
      <c r="G1252" t="n">
        <v>1</v>
      </c>
      <c r="H1252" t="n">
        <v>4</v>
      </c>
      <c r="I1252" t="n">
        <v>28</v>
      </c>
      <c r="J1252" t="n">
        <v>3</v>
      </c>
      <c r="K1252" t="n">
        <v>0</v>
      </c>
      <c r="L1252" t="n">
        <v>28718</v>
      </c>
      <c r="M1252" t="n">
        <v>33000</v>
      </c>
      <c r="N1252" t="n">
        <v>33</v>
      </c>
      <c r="O1252" t="n">
        <v>0.33</v>
      </c>
      <c r="P1252" t="n">
        <v>0</v>
      </c>
      <c r="Q1252" t="n">
        <v>0.03</v>
      </c>
      <c r="R1252" t="n">
        <v>1</v>
      </c>
      <c r="S1252" t="n">
        <v>990</v>
      </c>
      <c r="T1252" t="n">
        <v>28</v>
      </c>
      <c r="U1252" t="n">
        <v>29</v>
      </c>
      <c r="V1252" t="n">
        <v>30</v>
      </c>
      <c r="W1252" t="n">
        <v>1</v>
      </c>
      <c r="X1252" t="n">
        <v>133.3333333333333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10504</v>
      </c>
      <c r="AG1252" t="n">
        <v>2148</v>
      </c>
      <c r="AH1252" t="inlineStr">
        <is>
          <t>PT. JAYA PALEMBANG SUKSES - PPN (JMB)</t>
        </is>
      </c>
      <c r="AI1252" t="n">
        <v>75</v>
      </c>
      <c r="AJ1252" t="inlineStr">
        <is>
          <t>GARNIER</t>
        </is>
      </c>
      <c r="AK1252" t="n">
        <v>9</v>
      </c>
      <c r="AL1252" t="inlineStr">
        <is>
          <t>Miss Glam Jambi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"8994993025107"</f>
        <v/>
      </c>
      <c r="C1253" t="inlineStr">
        <is>
          <t>GARNIER Sakura Glow Ceramide Water Gel 50ml</t>
        </is>
      </c>
      <c r="D1253" t="inlineStr">
        <is>
          <t>Miss Glam Jambi</t>
        </is>
      </c>
      <c r="E1253" t="n">
        <v>16</v>
      </c>
      <c r="F1253" t="n">
        <v>0.0165</v>
      </c>
      <c r="G1253" t="n">
        <v>0.33</v>
      </c>
      <c r="H1253" t="n">
        <v>4</v>
      </c>
      <c r="I1253" t="n">
        <v>28</v>
      </c>
      <c r="J1253" t="n">
        <v>3</v>
      </c>
      <c r="K1253" t="n">
        <v>0</v>
      </c>
      <c r="L1253" t="n">
        <v>78643</v>
      </c>
      <c r="M1253" t="n">
        <v>83000</v>
      </c>
      <c r="N1253" t="n">
        <v>33</v>
      </c>
      <c r="O1253" t="n">
        <v>0.33</v>
      </c>
      <c r="P1253" t="n">
        <v>1</v>
      </c>
      <c r="Q1253" t="n">
        <v>0.02</v>
      </c>
      <c r="R1253" t="n">
        <v>1</v>
      </c>
      <c r="S1253" t="n">
        <v>1369.5</v>
      </c>
      <c r="T1253" t="n">
        <v>10</v>
      </c>
      <c r="U1253" t="n">
        <v>11</v>
      </c>
      <c r="V1253" t="n">
        <v>30</v>
      </c>
      <c r="W1253" t="n">
        <v>1</v>
      </c>
      <c r="X1253" t="n">
        <v>969.6969696969696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10504</v>
      </c>
      <c r="AG1253" t="n">
        <v>2148</v>
      </c>
      <c r="AH1253" t="inlineStr">
        <is>
          <t>PT. JAYA PALEMBANG SUKSES - PPN (JMB)</t>
        </is>
      </c>
      <c r="AI1253" t="n">
        <v>75</v>
      </c>
      <c r="AJ1253" t="inlineStr">
        <is>
          <t>GARNIER</t>
        </is>
      </c>
      <c r="AK1253" t="n">
        <v>9</v>
      </c>
      <c r="AL1253" t="inlineStr">
        <is>
          <t>Miss Glam Jambi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"8992304047152"</f>
        <v/>
      </c>
      <c r="C1254" t="inlineStr">
        <is>
          <t>GARNIER Sakura White Pinkish Glow Cleanser Facial Foam 100ml</t>
        </is>
      </c>
      <c r="D1254" t="inlineStr">
        <is>
          <t>Miss Glam Jambi</t>
        </is>
      </c>
      <c r="E1254" t="n">
        <v>8</v>
      </c>
      <c r="F1254" t="n">
        <v>0.2277</v>
      </c>
      <c r="G1254" t="n">
        <v>1.32</v>
      </c>
      <c r="H1254" t="n">
        <v>4</v>
      </c>
      <c r="I1254" t="n">
        <v>28</v>
      </c>
      <c r="J1254" t="n">
        <v>3</v>
      </c>
      <c r="K1254" t="n">
        <v>0</v>
      </c>
      <c r="L1254" t="n">
        <v>29640</v>
      </c>
      <c r="M1254" t="n">
        <v>33000</v>
      </c>
      <c r="N1254" t="n">
        <v>33</v>
      </c>
      <c r="O1254" t="n">
        <v>0.33</v>
      </c>
      <c r="P1254" t="n">
        <v>1</v>
      </c>
      <c r="Q1254" t="n">
        <v>0.15</v>
      </c>
      <c r="R1254" t="n">
        <v>2</v>
      </c>
      <c r="S1254" t="n">
        <v>7514.099999999999</v>
      </c>
      <c r="T1254" t="n">
        <v>37</v>
      </c>
      <c r="U1254" t="n">
        <v>38</v>
      </c>
      <c r="V1254" t="n">
        <v>30</v>
      </c>
      <c r="W1254" t="n">
        <v>7</v>
      </c>
      <c r="X1254" t="n">
        <v>35.13394817742644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10504</v>
      </c>
      <c r="AG1254" t="n">
        <v>2148</v>
      </c>
      <c r="AH1254" t="inlineStr">
        <is>
          <t>PT. JAYA PALEMBANG SUKSES - PPN (JMB)</t>
        </is>
      </c>
      <c r="AI1254" t="n">
        <v>75</v>
      </c>
      <c r="AJ1254" t="inlineStr">
        <is>
          <t>GARNIER</t>
        </is>
      </c>
      <c r="AK1254" t="n">
        <v>9</v>
      </c>
      <c r="AL1254" t="inlineStr">
        <is>
          <t>Miss Glam Jambi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"8994993009534"</f>
        <v/>
      </c>
      <c r="C1255" t="inlineStr">
        <is>
          <t>GARNIER Sakura White Pinkish Glow Whip Foam 100ml</t>
        </is>
      </c>
      <c r="D1255" t="inlineStr">
        <is>
          <t>Miss Glam Jambi</t>
        </is>
      </c>
      <c r="E1255" t="n">
        <v>5</v>
      </c>
      <c r="F1255" t="n">
        <v>0.09569999999999999</v>
      </c>
      <c r="G1255" t="n">
        <v>0.66</v>
      </c>
      <c r="H1255" t="n">
        <v>4</v>
      </c>
      <c r="I1255" t="n">
        <v>28</v>
      </c>
      <c r="J1255" t="n">
        <v>3</v>
      </c>
      <c r="K1255" t="n">
        <v>0</v>
      </c>
      <c r="L1255" t="n">
        <v>31424</v>
      </c>
      <c r="M1255" t="n">
        <v>37000</v>
      </c>
      <c r="N1255" t="n">
        <v>33</v>
      </c>
      <c r="O1255" t="n">
        <v>0.33</v>
      </c>
      <c r="P1255" t="n">
        <v>1</v>
      </c>
      <c r="Q1255" t="n">
        <v>0.1</v>
      </c>
      <c r="R1255" t="n">
        <v>1</v>
      </c>
      <c r="S1255" t="n">
        <v>3540.9</v>
      </c>
      <c r="T1255" t="n">
        <v>19</v>
      </c>
      <c r="U1255" t="n">
        <v>20</v>
      </c>
      <c r="V1255" t="n">
        <v>30</v>
      </c>
      <c r="W1255" t="n">
        <v>3</v>
      </c>
      <c r="X1255" t="n">
        <v>52.24660397074191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10504</v>
      </c>
      <c r="AG1255" t="n">
        <v>2148</v>
      </c>
      <c r="AH1255" t="inlineStr">
        <is>
          <t>PT. JAYA PALEMBANG SUKSES - PPN (JMB)</t>
        </is>
      </c>
      <c r="AI1255" t="n">
        <v>75</v>
      </c>
      <c r="AJ1255" t="inlineStr">
        <is>
          <t>GARNIER</t>
        </is>
      </c>
      <c r="AK1255" t="n">
        <v>9</v>
      </c>
      <c r="AL1255" t="inlineStr">
        <is>
          <t>Miss Glam Jambi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"8992304047169"</f>
        <v/>
      </c>
      <c r="C1256" t="inlineStr">
        <is>
          <t>GARNIER Sakura White Pinkish Glow Whip Foam 50ml</t>
        </is>
      </c>
      <c r="D1256" t="inlineStr">
        <is>
          <t>Miss Glam Jambi</t>
        </is>
      </c>
      <c r="E1256" t="n">
        <v>4</v>
      </c>
      <c r="F1256" t="n">
        <v>0.1551</v>
      </c>
      <c r="G1256" t="n">
        <v>0.66</v>
      </c>
      <c r="H1256" t="n">
        <v>4</v>
      </c>
      <c r="I1256" t="n">
        <v>28</v>
      </c>
      <c r="J1256" t="n">
        <v>3</v>
      </c>
      <c r="K1256" t="n">
        <v>0</v>
      </c>
      <c r="L1256" t="n">
        <v>18222</v>
      </c>
      <c r="M1256" t="n">
        <v>22000</v>
      </c>
      <c r="N1256" t="n">
        <v>33</v>
      </c>
      <c r="O1256" t="n">
        <v>0.33</v>
      </c>
      <c r="P1256" t="n">
        <v>1</v>
      </c>
      <c r="Q1256" t="n">
        <v>0.02</v>
      </c>
      <c r="R1256" t="n">
        <v>1</v>
      </c>
      <c r="S1256" t="n">
        <v>3412.2</v>
      </c>
      <c r="T1256" t="n">
        <v>18</v>
      </c>
      <c r="U1256" t="n">
        <v>19</v>
      </c>
      <c r="V1256" t="n">
        <v>30</v>
      </c>
      <c r="W1256" t="n">
        <v>5</v>
      </c>
      <c r="X1256" t="n">
        <v>25.78981302385558</v>
      </c>
      <c r="Y1256" t="n">
        <v>1</v>
      </c>
      <c r="Z1256" t="n">
        <v>1</v>
      </c>
      <c r="AA1256" t="n">
        <v>1</v>
      </c>
      <c r="AB1256" t="n">
        <v>0</v>
      </c>
      <c r="AC1256" t="n">
        <v>0</v>
      </c>
      <c r="AD1256" t="n">
        <v>18222</v>
      </c>
      <c r="AE1256" t="n">
        <v>0</v>
      </c>
      <c r="AF1256" t="n">
        <v>10504</v>
      </c>
      <c r="AG1256" t="n">
        <v>2148</v>
      </c>
      <c r="AH1256" t="inlineStr">
        <is>
          <t>PT. JAYA PALEMBANG SUKSES - PPN (JMB)</t>
        </is>
      </c>
      <c r="AI1256" t="n">
        <v>75</v>
      </c>
      <c r="AJ1256" t="inlineStr">
        <is>
          <t>GARNIER</t>
        </is>
      </c>
      <c r="AK1256" t="n">
        <v>9</v>
      </c>
      <c r="AL1256" t="inlineStr">
        <is>
          <t>Miss Glam Jambi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"8992304047190"</f>
        <v/>
      </c>
      <c r="C1257" t="inlineStr">
        <is>
          <t>GARNIER Sakura White Whitening Serum Cream 20ml</t>
        </is>
      </c>
      <c r="D1257" t="inlineStr">
        <is>
          <t>Miss Glam Jambi</t>
        </is>
      </c>
      <c r="E1257" t="n">
        <v>1</v>
      </c>
      <c r="F1257" t="n">
        <v>0.08</v>
      </c>
      <c r="G1257" t="n">
        <v>2</v>
      </c>
      <c r="H1257" t="n">
        <v>4</v>
      </c>
      <c r="I1257" t="n">
        <v>28</v>
      </c>
      <c r="J1257" t="n">
        <v>3</v>
      </c>
      <c r="K1257" t="n">
        <v>0</v>
      </c>
      <c r="L1257" t="n">
        <v>22222</v>
      </c>
      <c r="M1257" t="n">
        <v>27000</v>
      </c>
      <c r="N1257" t="n">
        <v>33</v>
      </c>
      <c r="O1257" t="n">
        <v>0.33</v>
      </c>
      <c r="P1257" t="n">
        <v>0</v>
      </c>
      <c r="Q1257" t="n">
        <v>0.08</v>
      </c>
      <c r="R1257" t="n">
        <v>2</v>
      </c>
      <c r="S1257" t="n">
        <v>2160</v>
      </c>
      <c r="T1257" t="n">
        <v>56</v>
      </c>
      <c r="U1257" t="n">
        <v>57</v>
      </c>
      <c r="V1257" t="n">
        <v>30</v>
      </c>
      <c r="W1257" t="n">
        <v>3</v>
      </c>
      <c r="X1257" t="n">
        <v>12.5</v>
      </c>
      <c r="Y1257" t="n">
        <v>1</v>
      </c>
      <c r="Z1257" t="n">
        <v>2</v>
      </c>
      <c r="AA1257" t="n">
        <v>2</v>
      </c>
      <c r="AB1257" t="n">
        <v>0</v>
      </c>
      <c r="AC1257" t="n">
        <v>0</v>
      </c>
      <c r="AD1257" t="n">
        <v>44444</v>
      </c>
      <c r="AE1257" t="n">
        <v>0</v>
      </c>
      <c r="AF1257" t="n">
        <v>10504</v>
      </c>
      <c r="AG1257" t="n">
        <v>2148</v>
      </c>
      <c r="AH1257" t="inlineStr">
        <is>
          <t>PT. JAYA PALEMBANG SUKSES - PPN (JMB)</t>
        </is>
      </c>
      <c r="AI1257" t="n">
        <v>75</v>
      </c>
      <c r="AJ1257" t="inlineStr">
        <is>
          <t>GARNIER</t>
        </is>
      </c>
      <c r="AK1257" t="n">
        <v>9</v>
      </c>
      <c r="AL1257" t="inlineStr">
        <is>
          <t>Miss Glam Jambi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"8992304033872"</f>
        <v/>
      </c>
      <c r="C1258" t="inlineStr">
        <is>
          <t>GARNIER Sakura White Whitening Serum Cream Spf 30 50ml</t>
        </is>
      </c>
      <c r="D1258" t="inlineStr">
        <is>
          <t>Miss Glam Jambi</t>
        </is>
      </c>
      <c r="E1258" t="n">
        <v>3</v>
      </c>
      <c r="F1258" t="n">
        <v>0.0396</v>
      </c>
      <c r="G1258" t="n">
        <v>0.66</v>
      </c>
      <c r="H1258" t="n">
        <v>4</v>
      </c>
      <c r="I1258" t="n">
        <v>28</v>
      </c>
      <c r="J1258" t="n">
        <v>3</v>
      </c>
      <c r="K1258" t="n">
        <v>0</v>
      </c>
      <c r="L1258" t="n">
        <v>71073</v>
      </c>
      <c r="M1258" t="n">
        <v>79000</v>
      </c>
      <c r="N1258" t="n">
        <v>33</v>
      </c>
      <c r="O1258" t="n">
        <v>0.33</v>
      </c>
      <c r="P1258" t="n">
        <v>1</v>
      </c>
      <c r="Q1258" t="n">
        <v>0.02</v>
      </c>
      <c r="R1258" t="n">
        <v>1</v>
      </c>
      <c r="S1258" t="n">
        <v>3128.4</v>
      </c>
      <c r="T1258" t="n">
        <v>19</v>
      </c>
      <c r="U1258" t="n">
        <v>20</v>
      </c>
      <c r="V1258" t="n">
        <v>30</v>
      </c>
      <c r="W1258" t="n">
        <v>2</v>
      </c>
      <c r="X1258" t="n">
        <v>75.75757575757575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10504</v>
      </c>
      <c r="AG1258" t="n">
        <v>2148</v>
      </c>
      <c r="AH1258" t="inlineStr">
        <is>
          <t>PT. JAYA PALEMBANG SUKSES - PPN (JMB)</t>
        </is>
      </c>
      <c r="AI1258" t="n">
        <v>75</v>
      </c>
      <c r="AJ1258" t="inlineStr">
        <is>
          <t>GARNIER</t>
        </is>
      </c>
      <c r="AK1258" t="n">
        <v>9</v>
      </c>
      <c r="AL1258" t="inlineStr">
        <is>
          <t>Miss Glam Jambi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"8994993003662"</f>
        <v/>
      </c>
      <c r="C1259" t="inlineStr">
        <is>
          <t>GARNIER Sakura White Whitening Serum Day Cream SPF30 20ml</t>
        </is>
      </c>
      <c r="D1259" t="inlineStr">
        <is>
          <t>Miss Glam Jambi</t>
        </is>
      </c>
      <c r="E1259" t="n">
        <v>2</v>
      </c>
      <c r="F1259" t="n">
        <v>0.07920000000000001</v>
      </c>
      <c r="G1259" t="n">
        <v>0.66</v>
      </c>
      <c r="H1259" t="n">
        <v>4</v>
      </c>
      <c r="I1259" t="n">
        <v>28</v>
      </c>
      <c r="J1259" t="n">
        <v>3</v>
      </c>
      <c r="K1259" t="n">
        <v>0</v>
      </c>
      <c r="L1259" t="n">
        <v>30686</v>
      </c>
      <c r="M1259" t="n">
        <v>33000</v>
      </c>
      <c r="N1259" t="n">
        <v>33</v>
      </c>
      <c r="O1259" t="n">
        <v>0.33</v>
      </c>
      <c r="P1259" t="n">
        <v>1</v>
      </c>
      <c r="Q1259" t="n">
        <v>0.02</v>
      </c>
      <c r="R1259" t="n">
        <v>1</v>
      </c>
      <c r="S1259" t="n">
        <v>2613.6</v>
      </c>
      <c r="T1259" t="n">
        <v>19</v>
      </c>
      <c r="U1259" t="n">
        <v>20</v>
      </c>
      <c r="V1259" t="n">
        <v>30</v>
      </c>
      <c r="W1259" t="n">
        <v>3</v>
      </c>
      <c r="X1259" t="n">
        <v>25.25252525252525</v>
      </c>
      <c r="Y1259" t="n">
        <v>1</v>
      </c>
      <c r="Z1259" t="n">
        <v>1</v>
      </c>
      <c r="AA1259" t="n">
        <v>1</v>
      </c>
      <c r="AB1259" t="n">
        <v>0</v>
      </c>
      <c r="AC1259" t="n">
        <v>0</v>
      </c>
      <c r="AD1259" t="n">
        <v>30686</v>
      </c>
      <c r="AE1259" t="n">
        <v>0</v>
      </c>
      <c r="AF1259" t="n">
        <v>10504</v>
      </c>
      <c r="AG1259" t="n">
        <v>2148</v>
      </c>
      <c r="AH1259" t="inlineStr">
        <is>
          <t>PT. JAYA PALEMBANG SUKSES - PPN (JMB)</t>
        </is>
      </c>
      <c r="AI1259" t="n">
        <v>75</v>
      </c>
      <c r="AJ1259" t="inlineStr">
        <is>
          <t>GARNIER</t>
        </is>
      </c>
      <c r="AK1259" t="n">
        <v>9</v>
      </c>
      <c r="AL1259" t="inlineStr">
        <is>
          <t>Miss Glam Jambi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"8991380700609"</f>
        <v/>
      </c>
      <c r="C1260" t="inlineStr">
        <is>
          <t>GARNIER Skin Naturals Bright Complete Scrub 100ml</t>
        </is>
      </c>
      <c r="D1260" t="inlineStr">
        <is>
          <t>Miss Glam Jambi</t>
        </is>
      </c>
      <c r="E1260" t="n">
        <v>4</v>
      </c>
      <c r="F1260" t="n">
        <v>0.2475</v>
      </c>
      <c r="G1260" t="n">
        <v>0.99</v>
      </c>
      <c r="H1260" t="n">
        <v>4</v>
      </c>
      <c r="I1260" t="n">
        <v>28</v>
      </c>
      <c r="J1260" t="n">
        <v>3</v>
      </c>
      <c r="K1260" t="n">
        <v>3</v>
      </c>
      <c r="L1260" t="n">
        <v>27675</v>
      </c>
      <c r="M1260" t="n">
        <v>28500</v>
      </c>
      <c r="N1260" t="n">
        <v>33</v>
      </c>
      <c r="O1260" t="n">
        <v>0.33</v>
      </c>
      <c r="P1260" t="n">
        <v>1</v>
      </c>
      <c r="Q1260" t="n">
        <v>0.08</v>
      </c>
      <c r="R1260" t="n">
        <v>1</v>
      </c>
      <c r="S1260" t="n">
        <v>7053.75</v>
      </c>
      <c r="T1260" t="n">
        <v>27</v>
      </c>
      <c r="U1260" t="n">
        <v>28</v>
      </c>
      <c r="V1260" t="n">
        <v>30</v>
      </c>
      <c r="W1260" t="n">
        <v>8</v>
      </c>
      <c r="X1260" t="n">
        <v>16.16161616161616</v>
      </c>
      <c r="Y1260" t="n">
        <v>1</v>
      </c>
      <c r="Z1260" t="n">
        <v>1</v>
      </c>
      <c r="AA1260" t="n">
        <v>2</v>
      </c>
      <c r="AB1260" t="n">
        <v>0</v>
      </c>
      <c r="AC1260" t="n">
        <v>0</v>
      </c>
      <c r="AD1260" t="n">
        <v>55350</v>
      </c>
      <c r="AE1260" t="n">
        <v>0</v>
      </c>
      <c r="AF1260" t="n">
        <v>10504</v>
      </c>
      <c r="AG1260" t="n">
        <v>2148</v>
      </c>
      <c r="AH1260" t="inlineStr">
        <is>
          <t>PT. JAYA PALEMBANG SUKSES - PPN (JMB)</t>
        </is>
      </c>
      <c r="AI1260" t="n">
        <v>75</v>
      </c>
      <c r="AJ1260" t="inlineStr">
        <is>
          <t>GARNIER</t>
        </is>
      </c>
      <c r="AK1260" t="n">
        <v>9</v>
      </c>
      <c r="AL1260" t="inlineStr">
        <is>
          <t>Miss Glam Jambi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"10400616242"</f>
        <v/>
      </c>
      <c r="C1261" t="inlineStr">
        <is>
          <t>GARNIER Super Uv Cooling Gel Spf 35 20ml</t>
        </is>
      </c>
      <c r="D1261" t="inlineStr">
        <is>
          <t>Miss Glam Jambi</t>
        </is>
      </c>
      <c r="E1261" t="n">
        <v>9</v>
      </c>
      <c r="F1261" t="n">
        <v>0.0561</v>
      </c>
      <c r="G1261" t="n">
        <v>0.33</v>
      </c>
      <c r="H1261" t="n">
        <v>4</v>
      </c>
      <c r="I1261" t="n">
        <v>28</v>
      </c>
      <c r="J1261" t="n">
        <v>1</v>
      </c>
      <c r="K1261" t="n">
        <v>0</v>
      </c>
      <c r="L1261" t="n">
        <v>30264</v>
      </c>
      <c r="M1261" t="n">
        <v>35000</v>
      </c>
      <c r="N1261" t="n">
        <v>33</v>
      </c>
      <c r="O1261" t="n">
        <v>0.33</v>
      </c>
      <c r="P1261" t="n">
        <v>1</v>
      </c>
      <c r="Q1261" t="n">
        <v>0.02</v>
      </c>
      <c r="R1261" t="n">
        <v>1</v>
      </c>
      <c r="S1261" t="n">
        <v>1963.5</v>
      </c>
      <c r="T1261" t="n">
        <v>10</v>
      </c>
      <c r="U1261" t="n">
        <v>11</v>
      </c>
      <c r="V1261" t="n">
        <v>30</v>
      </c>
      <c r="W1261" t="n">
        <v>2</v>
      </c>
      <c r="X1261" t="n">
        <v>160.427807486631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10504</v>
      </c>
      <c r="AG1261" t="n">
        <v>2148</v>
      </c>
      <c r="AH1261" t="inlineStr">
        <is>
          <t>PT. JAYA PALEMBANG SUKSES - PPN (JMB)</t>
        </is>
      </c>
      <c r="AI1261" t="n">
        <v>75</v>
      </c>
      <c r="AJ1261" t="inlineStr">
        <is>
          <t>GARNIER</t>
        </is>
      </c>
      <c r="AK1261" t="n">
        <v>9</v>
      </c>
      <c r="AL1261" t="inlineStr">
        <is>
          <t>Miss Glam Jambi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"10400405317"</f>
        <v/>
      </c>
      <c r="C1262" t="inlineStr">
        <is>
          <t>GARNIER Super UV Cooling Watergel Sunscreen SPF 50+ PA++++ 30ml</t>
        </is>
      </c>
      <c r="D1262" t="inlineStr">
        <is>
          <t>Miss Glam Jambi</t>
        </is>
      </c>
      <c r="E1262" t="n">
        <v>5</v>
      </c>
      <c r="F1262" t="n">
        <v>0.07000000000000001</v>
      </c>
      <c r="G1262" t="n">
        <v>1</v>
      </c>
      <c r="H1262" t="n">
        <v>4</v>
      </c>
      <c r="I1262" t="n">
        <v>28</v>
      </c>
      <c r="J1262" t="n">
        <v>1</v>
      </c>
      <c r="K1262" t="n">
        <v>0</v>
      </c>
      <c r="L1262" t="n">
        <v>52514</v>
      </c>
      <c r="M1262" t="n">
        <v>62000</v>
      </c>
      <c r="N1262" t="n">
        <v>33</v>
      </c>
      <c r="O1262" t="n">
        <v>0.33</v>
      </c>
      <c r="P1262" t="n">
        <v>0</v>
      </c>
      <c r="Q1262" t="n">
        <v>0.07000000000000001</v>
      </c>
      <c r="R1262" t="n">
        <v>1</v>
      </c>
      <c r="S1262" t="n">
        <v>4340</v>
      </c>
      <c r="T1262" t="n">
        <v>28</v>
      </c>
      <c r="U1262" t="n">
        <v>29</v>
      </c>
      <c r="V1262" t="n">
        <v>30</v>
      </c>
      <c r="W1262" t="n">
        <v>3</v>
      </c>
      <c r="X1262" t="n">
        <v>71.42857142857142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10504</v>
      </c>
      <c r="AG1262" t="n">
        <v>2148</v>
      </c>
      <c r="AH1262" t="inlineStr">
        <is>
          <t>PT. JAYA PALEMBANG SUKSES - PPN (JMB)</t>
        </is>
      </c>
      <c r="AI1262" t="n">
        <v>75</v>
      </c>
      <c r="AJ1262" t="inlineStr">
        <is>
          <t>GARNIER</t>
        </is>
      </c>
      <c r="AK1262" t="n">
        <v>9</v>
      </c>
      <c r="AL1262" t="inlineStr">
        <is>
          <t>Miss Glam Jambi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"3600542600972"</f>
        <v/>
      </c>
      <c r="C1263" t="inlineStr">
        <is>
          <t>GARNIER Super UV Invisible Air Mist Sunscreen SPF 50+ PA++++ 75ml</t>
        </is>
      </c>
      <c r="D1263" t="inlineStr">
        <is>
          <t>Miss Glam Jambi</t>
        </is>
      </c>
      <c r="E1263" t="n">
        <v>3</v>
      </c>
      <c r="F1263" t="n">
        <v>0.009900000000000001</v>
      </c>
      <c r="G1263" t="n">
        <v>0.33</v>
      </c>
      <c r="H1263" t="n">
        <v>4</v>
      </c>
      <c r="I1263" t="n">
        <v>28</v>
      </c>
      <c r="J1263" t="n">
        <v>3</v>
      </c>
      <c r="K1263" t="n">
        <v>0</v>
      </c>
      <c r="L1263" t="n">
        <v>77933</v>
      </c>
      <c r="M1263" t="n">
        <v>99000</v>
      </c>
      <c r="N1263" t="n">
        <v>33</v>
      </c>
      <c r="O1263" t="n">
        <v>0.33</v>
      </c>
      <c r="P1263" t="n">
        <v>1</v>
      </c>
      <c r="Q1263" t="n">
        <v>0.07000000000000001</v>
      </c>
      <c r="R1263" t="n">
        <v>2</v>
      </c>
      <c r="S1263" t="n">
        <v>980.1000000000001</v>
      </c>
      <c r="T1263" t="n">
        <v>10</v>
      </c>
      <c r="U1263" t="n">
        <v>11</v>
      </c>
      <c r="V1263" t="n">
        <v>30</v>
      </c>
      <c r="W1263" t="n">
        <v>1</v>
      </c>
      <c r="X1263" t="n">
        <v>303.030303030303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10504</v>
      </c>
      <c r="AG1263" t="n">
        <v>2148</v>
      </c>
      <c r="AH1263" t="inlineStr">
        <is>
          <t>PT. JAYA PALEMBANG SUKSES - PPN (JMB)</t>
        </is>
      </c>
      <c r="AI1263" t="n">
        <v>75</v>
      </c>
      <c r="AJ1263" t="inlineStr">
        <is>
          <t>GARNIER</t>
        </is>
      </c>
      <c r="AK1263" t="n">
        <v>9</v>
      </c>
      <c r="AL1263" t="inlineStr">
        <is>
          <t>Miss Glam Jambi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"8994993023325"</f>
        <v/>
      </c>
      <c r="C1264" t="inlineStr">
        <is>
          <t>GARNIER Super UV Invisible Serum Sunscreen Air Lock-SPF50 PA+++ 30ml</t>
        </is>
      </c>
      <c r="D1264" t="inlineStr">
        <is>
          <t>Miss Glam Jambi</t>
        </is>
      </c>
      <c r="E1264" t="n">
        <v>4</v>
      </c>
      <c r="F1264" t="n">
        <v>0.05</v>
      </c>
      <c r="G1264" t="n">
        <v>1</v>
      </c>
      <c r="H1264" t="n">
        <v>4</v>
      </c>
      <c r="I1264" t="n">
        <v>28</v>
      </c>
      <c r="J1264" t="n">
        <v>3</v>
      </c>
      <c r="K1264" t="n">
        <v>0</v>
      </c>
      <c r="L1264" t="n">
        <v>54634</v>
      </c>
      <c r="M1264" t="n">
        <v>66000</v>
      </c>
      <c r="N1264" t="n">
        <v>33</v>
      </c>
      <c r="O1264" t="n">
        <v>0.33</v>
      </c>
      <c r="P1264" t="n">
        <v>0</v>
      </c>
      <c r="Q1264" t="n">
        <v>0.05</v>
      </c>
      <c r="R1264" t="n">
        <v>1</v>
      </c>
      <c r="S1264" t="n">
        <v>3300</v>
      </c>
      <c r="T1264" t="n">
        <v>28</v>
      </c>
      <c r="U1264" t="n">
        <v>29</v>
      </c>
      <c r="V1264" t="n">
        <v>30</v>
      </c>
      <c r="W1264" t="n">
        <v>2</v>
      </c>
      <c r="X1264" t="n">
        <v>80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10504</v>
      </c>
      <c r="AG1264" t="n">
        <v>2148</v>
      </c>
      <c r="AH1264" t="inlineStr">
        <is>
          <t>PT. JAYA PALEMBANG SUKSES - PPN (JMB)</t>
        </is>
      </c>
      <c r="AI1264" t="n">
        <v>75</v>
      </c>
      <c r="AJ1264" t="inlineStr">
        <is>
          <t>GARNIER</t>
        </is>
      </c>
      <c r="AK1264" t="n">
        <v>9</v>
      </c>
      <c r="AL1264" t="inlineStr">
        <is>
          <t>Miss Glam Jambi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 MEN</t>
        </is>
      </c>
      <c r="B1265" s="2">
        <f>"8992304016967"</f>
        <v/>
      </c>
      <c r="C1265" t="inlineStr">
        <is>
          <t>GARNIER MEN Acno Fight Anti Acne Scrub In Foam Salicylid Acid + Herba Repair 50ml</t>
        </is>
      </c>
      <c r="D1265" t="inlineStr">
        <is>
          <t>Miss Glam Jambi</t>
        </is>
      </c>
      <c r="E1265" t="n">
        <v>4</v>
      </c>
      <c r="F1265" t="n">
        <v>0.06270000000000001</v>
      </c>
      <c r="G1265" t="n">
        <v>0.66</v>
      </c>
      <c r="H1265" t="n">
        <v>4</v>
      </c>
      <c r="I1265" t="n">
        <v>28</v>
      </c>
      <c r="J1265" t="n">
        <v>3</v>
      </c>
      <c r="K1265" t="n">
        <v>0</v>
      </c>
      <c r="L1265" t="n">
        <v>21416</v>
      </c>
      <c r="M1265" t="n">
        <v>26500</v>
      </c>
      <c r="N1265" t="n">
        <v>33</v>
      </c>
      <c r="O1265" t="n">
        <v>0.33</v>
      </c>
      <c r="P1265" t="n">
        <v>1</v>
      </c>
      <c r="Q1265" t="n">
        <v>0.03</v>
      </c>
      <c r="R1265" t="n">
        <v>1</v>
      </c>
      <c r="S1265" t="n">
        <v>1661.55</v>
      </c>
      <c r="T1265" t="n">
        <v>19</v>
      </c>
      <c r="U1265" t="n">
        <v>20</v>
      </c>
      <c r="V1265" t="n">
        <v>30</v>
      </c>
      <c r="W1265" t="n">
        <v>2</v>
      </c>
      <c r="X1265" t="n">
        <v>63.79585326953747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10507</v>
      </c>
      <c r="AG1265" t="n">
        <v>2148</v>
      </c>
      <c r="AH1265" t="inlineStr">
        <is>
          <t>PT. JAYA PALEMBANG SUKSES - PPN (JMB)</t>
        </is>
      </c>
      <c r="AI1265" t="n">
        <v>1228</v>
      </c>
      <c r="AJ1265" t="inlineStr">
        <is>
          <t>GARNIER MEN</t>
        </is>
      </c>
      <c r="AK1265" t="n">
        <v>9</v>
      </c>
      <c r="AL1265" t="inlineStr">
        <is>
          <t>Miss Glam Jambi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 MEN</t>
        </is>
      </c>
      <c r="B1266" s="2">
        <f>"8992304015298"</f>
        <v/>
      </c>
      <c r="C1266" t="inlineStr">
        <is>
          <t>GARNIER MEN Acno Fight Scrub 100ml</t>
        </is>
      </c>
      <c r="D1266" t="inlineStr">
        <is>
          <t>Miss Glam Jambi</t>
        </is>
      </c>
      <c r="E1266" t="n">
        <v>6</v>
      </c>
      <c r="F1266" t="n">
        <v>0.0561</v>
      </c>
      <c r="G1266" t="n">
        <v>0.66</v>
      </c>
      <c r="H1266" t="n">
        <v>4</v>
      </c>
      <c r="I1266" t="n">
        <v>28</v>
      </c>
      <c r="J1266" t="n">
        <v>3</v>
      </c>
      <c r="K1266" t="n">
        <v>0</v>
      </c>
      <c r="L1266" t="n">
        <v>28376</v>
      </c>
      <c r="M1266" t="n">
        <v>38500</v>
      </c>
      <c r="N1266" t="n">
        <v>33</v>
      </c>
      <c r="O1266" t="n">
        <v>0.33</v>
      </c>
      <c r="P1266" t="n">
        <v>1</v>
      </c>
      <c r="Q1266" t="n">
        <v>0.07000000000000001</v>
      </c>
      <c r="R1266" t="n">
        <v>3</v>
      </c>
      <c r="S1266" t="n">
        <v>2159.85</v>
      </c>
      <c r="T1266" t="n">
        <v>19</v>
      </c>
      <c r="U1266" t="n">
        <v>20</v>
      </c>
      <c r="V1266" t="n">
        <v>30</v>
      </c>
      <c r="W1266" t="n">
        <v>2</v>
      </c>
      <c r="X1266" t="n">
        <v>106.951871657754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10507</v>
      </c>
      <c r="AG1266" t="n">
        <v>2148</v>
      </c>
      <c r="AH1266" t="inlineStr">
        <is>
          <t>PT. JAYA PALEMBANG SUKSES - PPN (JMB)</t>
        </is>
      </c>
      <c r="AI1266" t="n">
        <v>1228</v>
      </c>
      <c r="AJ1266" t="inlineStr">
        <is>
          <t>GARNIER MEN</t>
        </is>
      </c>
      <c r="AK1266" t="n">
        <v>9</v>
      </c>
      <c r="AL1266" t="inlineStr">
        <is>
          <t>Miss Glam Jambi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 MEN</t>
        </is>
      </c>
      <c r="B1267" s="2">
        <f>"8992304039614"</f>
        <v/>
      </c>
      <c r="C1267" t="inlineStr">
        <is>
          <t>GARNIER MEN Acno Fight Wasabi 100ml</t>
        </is>
      </c>
      <c r="D1267" t="inlineStr">
        <is>
          <t>Miss Glam Jambi</t>
        </is>
      </c>
      <c r="E1267" t="n">
        <v>5</v>
      </c>
      <c r="F1267" t="n">
        <v>0.0561</v>
      </c>
      <c r="G1267" t="n">
        <v>0.66</v>
      </c>
      <c r="H1267" t="n">
        <v>4</v>
      </c>
      <c r="I1267" t="n">
        <v>28</v>
      </c>
      <c r="J1267" t="n">
        <v>3</v>
      </c>
      <c r="K1267" t="n">
        <v>0</v>
      </c>
      <c r="L1267" t="n">
        <v>31530</v>
      </c>
      <c r="M1267" t="n">
        <v>37500</v>
      </c>
      <c r="N1267" t="n">
        <v>33</v>
      </c>
      <c r="O1267" t="n">
        <v>0.33</v>
      </c>
      <c r="P1267" t="n">
        <v>1</v>
      </c>
      <c r="Q1267" t="n">
        <v>0.02</v>
      </c>
      <c r="R1267" t="n">
        <v>1</v>
      </c>
      <c r="S1267" t="n">
        <v>2103.75</v>
      </c>
      <c r="T1267" t="n">
        <v>19</v>
      </c>
      <c r="U1267" t="n">
        <v>20</v>
      </c>
      <c r="V1267" t="n">
        <v>30</v>
      </c>
      <c r="W1267" t="n">
        <v>2</v>
      </c>
      <c r="X1267" t="n">
        <v>89.12655971479501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10507</v>
      </c>
      <c r="AG1267" t="n">
        <v>2148</v>
      </c>
      <c r="AH1267" t="inlineStr">
        <is>
          <t>PT. JAYA PALEMBANG SUKSES - PPN (JMB)</t>
        </is>
      </c>
      <c r="AI1267" t="n">
        <v>1228</v>
      </c>
      <c r="AJ1267" t="inlineStr">
        <is>
          <t>GARNIER MEN</t>
        </is>
      </c>
      <c r="AK1267" t="n">
        <v>9</v>
      </c>
      <c r="AL1267" t="inlineStr">
        <is>
          <t>Miss Glam Jambi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 MEN</t>
        </is>
      </c>
      <c r="B1268" s="2">
        <f>"8992304047428"</f>
        <v/>
      </c>
      <c r="C1268" t="inlineStr">
        <is>
          <t>GARNIER MEN Oil Control 96% 100ml</t>
        </is>
      </c>
      <c r="D1268" t="inlineStr">
        <is>
          <t>Miss Glam Jambi</t>
        </is>
      </c>
      <c r="E1268" t="n">
        <v>4</v>
      </c>
      <c r="F1268" t="n">
        <v>0.0561</v>
      </c>
      <c r="G1268" t="n">
        <v>0.33</v>
      </c>
      <c r="H1268" t="n">
        <v>4</v>
      </c>
      <c r="I1268" t="n">
        <v>28</v>
      </c>
      <c r="J1268" t="n">
        <v>3</v>
      </c>
      <c r="K1268" t="n">
        <v>0</v>
      </c>
      <c r="L1268" t="n">
        <v>31530</v>
      </c>
      <c r="M1268" t="n">
        <v>39000</v>
      </c>
      <c r="N1268" t="n">
        <v>33</v>
      </c>
      <c r="O1268" t="n">
        <v>0.33</v>
      </c>
      <c r="P1268" t="n">
        <v>1</v>
      </c>
      <c r="Q1268" t="n">
        <v>0.03</v>
      </c>
      <c r="R1268" t="n">
        <v>1</v>
      </c>
      <c r="S1268" t="n">
        <v>2187.9</v>
      </c>
      <c r="T1268" t="n">
        <v>10</v>
      </c>
      <c r="U1268" t="n">
        <v>11</v>
      </c>
      <c r="V1268" t="n">
        <v>30</v>
      </c>
      <c r="W1268" t="n">
        <v>2</v>
      </c>
      <c r="X1268" t="n">
        <v>71.301247771836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10507</v>
      </c>
      <c r="AG1268" t="n">
        <v>2148</v>
      </c>
      <c r="AH1268" t="inlineStr">
        <is>
          <t>PT. JAYA PALEMBANG SUKSES - PPN (JMB)</t>
        </is>
      </c>
      <c r="AI1268" t="n">
        <v>1228</v>
      </c>
      <c r="AJ1268" t="inlineStr">
        <is>
          <t>GARNIER MEN</t>
        </is>
      </c>
      <c r="AK1268" t="n">
        <v>9</v>
      </c>
      <c r="AL1268" t="inlineStr">
        <is>
          <t>Miss Glam Jambi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 MEN</t>
        </is>
      </c>
      <c r="B1269" s="2">
        <f>"8992304009143"</f>
        <v/>
      </c>
      <c r="C1269" t="inlineStr">
        <is>
          <t>GARNIER MEN Oil Control Cooling Foam Lemon Ekstrak Mineral Clay 50ml</t>
        </is>
      </c>
      <c r="D1269" t="inlineStr">
        <is>
          <t>Miss Glam Jambi</t>
        </is>
      </c>
      <c r="E1269" t="n">
        <v>3</v>
      </c>
      <c r="F1269" t="n">
        <v>0.0561</v>
      </c>
      <c r="G1269" t="n">
        <v>0.66</v>
      </c>
      <c r="H1269" t="n">
        <v>4</v>
      </c>
      <c r="I1269" t="n">
        <v>28</v>
      </c>
      <c r="J1269" t="n">
        <v>3</v>
      </c>
      <c r="K1269" t="n">
        <v>0</v>
      </c>
      <c r="L1269" t="n">
        <v>22250</v>
      </c>
      <c r="M1269" t="n">
        <v>26500</v>
      </c>
      <c r="N1269" t="n">
        <v>33</v>
      </c>
      <c r="O1269" t="n">
        <v>0.33</v>
      </c>
      <c r="P1269" t="n">
        <v>1</v>
      </c>
      <c r="Q1269" t="n">
        <v>0.03</v>
      </c>
      <c r="R1269" t="n">
        <v>1</v>
      </c>
      <c r="S1269" t="n">
        <v>1486.65</v>
      </c>
      <c r="T1269" t="n">
        <v>19</v>
      </c>
      <c r="U1269" t="n">
        <v>20</v>
      </c>
      <c r="V1269" t="n">
        <v>30</v>
      </c>
      <c r="W1269" t="n">
        <v>2</v>
      </c>
      <c r="X1269" t="n">
        <v>53.475935828877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10507</v>
      </c>
      <c r="AG1269" t="n">
        <v>2148</v>
      </c>
      <c r="AH1269" t="inlineStr">
        <is>
          <t>PT. JAYA PALEMBANG SUKSES - PPN (JMB)</t>
        </is>
      </c>
      <c r="AI1269" t="n">
        <v>1228</v>
      </c>
      <c r="AJ1269" t="inlineStr">
        <is>
          <t>GARNIER MEN</t>
        </is>
      </c>
      <c r="AK1269" t="n">
        <v>9</v>
      </c>
      <c r="AL1269" t="inlineStr">
        <is>
          <t>Miss Glam Jambi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 MEN</t>
        </is>
      </c>
      <c r="B1270" s="2">
        <f>"8992304009204"</f>
        <v/>
      </c>
      <c r="C1270" t="inlineStr">
        <is>
          <t>GARNIER MEN Oil Control Icy Scrub 100ml</t>
        </is>
      </c>
      <c r="D1270" t="inlineStr">
        <is>
          <t>Miss Glam Jambi</t>
        </is>
      </c>
      <c r="E1270" t="n">
        <v>1</v>
      </c>
      <c r="F1270" t="n">
        <v>0.033</v>
      </c>
      <c r="G1270" t="n">
        <v>0.33</v>
      </c>
      <c r="H1270" t="n">
        <v>4</v>
      </c>
      <c r="I1270" t="n">
        <v>28</v>
      </c>
      <c r="J1270" t="n">
        <v>3</v>
      </c>
      <c r="K1270" t="n">
        <v>0</v>
      </c>
      <c r="L1270" t="n">
        <v>28377</v>
      </c>
      <c r="M1270" t="n">
        <v>36000</v>
      </c>
      <c r="N1270" t="n">
        <v>33</v>
      </c>
      <c r="O1270" t="n">
        <v>0.33</v>
      </c>
      <c r="P1270" t="n">
        <v>1</v>
      </c>
      <c r="Q1270" t="n">
        <v>0.07000000000000001</v>
      </c>
      <c r="R1270" t="n">
        <v>1</v>
      </c>
      <c r="S1270" t="n">
        <v>1188</v>
      </c>
      <c r="T1270" t="n">
        <v>10</v>
      </c>
      <c r="U1270" t="n">
        <v>11</v>
      </c>
      <c r="V1270" t="n">
        <v>30</v>
      </c>
      <c r="W1270" t="n">
        <v>1</v>
      </c>
      <c r="X1270" t="n">
        <v>30.3030303030303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10507</v>
      </c>
      <c r="AG1270" t="n">
        <v>2148</v>
      </c>
      <c r="AH1270" t="inlineStr">
        <is>
          <t>PT. JAYA PALEMBANG SUKSES - PPN (JMB)</t>
        </is>
      </c>
      <c r="AI1270" t="n">
        <v>1228</v>
      </c>
      <c r="AJ1270" t="inlineStr">
        <is>
          <t>GARNIER MEN</t>
        </is>
      </c>
      <c r="AK1270" t="n">
        <v>9</v>
      </c>
      <c r="AL1270" t="inlineStr">
        <is>
          <t>Miss Glam Jambi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 MEN</t>
        </is>
      </c>
      <c r="B1271" s="2">
        <f>"8992304047442"</f>
        <v/>
      </c>
      <c r="C1271" t="inlineStr">
        <is>
          <t>GARNIER MEN Oil Control Super Duo Foam Icy Clay Complex 50ml</t>
        </is>
      </c>
      <c r="D1271" t="inlineStr">
        <is>
          <t>Miss Glam Jambi</t>
        </is>
      </c>
      <c r="E1271" t="n">
        <v>4</v>
      </c>
      <c r="F1271" t="n">
        <v>0.03</v>
      </c>
      <c r="G1271" t="n">
        <v>1</v>
      </c>
      <c r="H1271" t="n">
        <v>4</v>
      </c>
      <c r="I1271" t="n">
        <v>28</v>
      </c>
      <c r="J1271" t="n">
        <v>3</v>
      </c>
      <c r="K1271" t="n">
        <v>0</v>
      </c>
      <c r="L1271" t="n">
        <v>22250</v>
      </c>
      <c r="M1271" t="n">
        <v>26500</v>
      </c>
      <c r="N1271" t="n">
        <v>33</v>
      </c>
      <c r="O1271" t="n">
        <v>0.33</v>
      </c>
      <c r="P1271" t="n">
        <v>0</v>
      </c>
      <c r="Q1271" t="n">
        <v>0.03</v>
      </c>
      <c r="R1271" t="n">
        <v>1</v>
      </c>
      <c r="S1271" t="n">
        <v>795</v>
      </c>
      <c r="T1271" t="n">
        <v>28</v>
      </c>
      <c r="U1271" t="n">
        <v>29</v>
      </c>
      <c r="V1271" t="n">
        <v>30</v>
      </c>
      <c r="W1271" t="n">
        <v>1</v>
      </c>
      <c r="X1271" t="n">
        <v>133.3333333333333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10507</v>
      </c>
      <c r="AG1271" t="n">
        <v>2148</v>
      </c>
      <c r="AH1271" t="inlineStr">
        <is>
          <t>PT. JAYA PALEMBANG SUKSES - PPN (JMB)</t>
        </is>
      </c>
      <c r="AI1271" t="n">
        <v>1228</v>
      </c>
      <c r="AJ1271" t="inlineStr">
        <is>
          <t>GARNIER MEN</t>
        </is>
      </c>
      <c r="AK1271" t="n">
        <v>9</v>
      </c>
      <c r="AL1271" t="inlineStr">
        <is>
          <t>Miss Glam Jambi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 MEN</t>
        </is>
      </c>
      <c r="B1272" s="2">
        <f>"8992304047435"</f>
        <v/>
      </c>
      <c r="C1272" t="inlineStr">
        <is>
          <t>GARNIER MEN Power White 94% 100ml</t>
        </is>
      </c>
      <c r="D1272" t="inlineStr">
        <is>
          <t>Miss Glam Jambi</t>
        </is>
      </c>
      <c r="E1272" t="n">
        <v>7</v>
      </c>
      <c r="F1272" t="n">
        <v>0.066</v>
      </c>
      <c r="G1272" t="n">
        <v>0.33</v>
      </c>
      <c r="H1272" t="n">
        <v>4</v>
      </c>
      <c r="I1272" t="n">
        <v>28</v>
      </c>
      <c r="J1272" t="n">
        <v>3</v>
      </c>
      <c r="K1272" t="n">
        <v>0</v>
      </c>
      <c r="L1272" t="n">
        <v>30479</v>
      </c>
      <c r="M1272" t="n">
        <v>39000</v>
      </c>
      <c r="N1272" t="n">
        <v>33</v>
      </c>
      <c r="O1272" t="n">
        <v>0.33</v>
      </c>
      <c r="P1272" t="n">
        <v>1</v>
      </c>
      <c r="Q1272" t="n">
        <v>0.03</v>
      </c>
      <c r="R1272" t="n">
        <v>1</v>
      </c>
      <c r="S1272" t="n">
        <v>2574</v>
      </c>
      <c r="T1272" t="n">
        <v>9</v>
      </c>
      <c r="U1272" t="n">
        <v>10</v>
      </c>
      <c r="V1272" t="n">
        <v>30</v>
      </c>
      <c r="W1272" t="n">
        <v>2</v>
      </c>
      <c r="X1272" t="n">
        <v>106.0606060606061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10507</v>
      </c>
      <c r="AG1272" t="n">
        <v>2148</v>
      </c>
      <c r="AH1272" t="inlineStr">
        <is>
          <t>PT. JAYA PALEMBANG SUKSES - PPN (JMB)</t>
        </is>
      </c>
      <c r="AI1272" t="n">
        <v>1228</v>
      </c>
      <c r="AJ1272" t="inlineStr">
        <is>
          <t>GARNIER MEN</t>
        </is>
      </c>
      <c r="AK1272" t="n">
        <v>9</v>
      </c>
      <c r="AL1272" t="inlineStr">
        <is>
          <t>Miss Glam Jambi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 MEN</t>
        </is>
      </c>
      <c r="B1273" s="2">
        <f>"8992304096723"</f>
        <v/>
      </c>
      <c r="C1273" t="inlineStr">
        <is>
          <t>GARNIER MEN Tloc Matcha Gel 100ml</t>
        </is>
      </c>
      <c r="D1273" t="inlineStr">
        <is>
          <t>Miss Glam Jambi</t>
        </is>
      </c>
      <c r="E1273" t="n">
        <v>4</v>
      </c>
      <c r="F1273" t="n">
        <v>0.02</v>
      </c>
      <c r="G1273" t="n">
        <v>1</v>
      </c>
      <c r="H1273" t="n">
        <v>4</v>
      </c>
      <c r="I1273" t="n">
        <v>28</v>
      </c>
      <c r="J1273" t="n">
        <v>3</v>
      </c>
      <c r="K1273" t="n">
        <v>0</v>
      </c>
      <c r="L1273" t="n">
        <v>31530</v>
      </c>
      <c r="M1273" t="n">
        <v>37500</v>
      </c>
      <c r="N1273" t="n">
        <v>33</v>
      </c>
      <c r="O1273" t="n">
        <v>0.33</v>
      </c>
      <c r="P1273" t="n">
        <v>0</v>
      </c>
      <c r="Q1273" t="n">
        <v>0.02</v>
      </c>
      <c r="R1273" t="n">
        <v>1</v>
      </c>
      <c r="S1273" t="n">
        <v>750</v>
      </c>
      <c r="T1273" t="n">
        <v>28</v>
      </c>
      <c r="U1273" t="n">
        <v>29</v>
      </c>
      <c r="V1273" t="n">
        <v>30</v>
      </c>
      <c r="W1273" t="n">
        <v>1</v>
      </c>
      <c r="X1273" t="n">
        <v>200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10507</v>
      </c>
      <c r="AG1273" t="n">
        <v>2148</v>
      </c>
      <c r="AH1273" t="inlineStr">
        <is>
          <t>PT. JAYA PALEMBANG SUKSES - PPN (JMB)</t>
        </is>
      </c>
      <c r="AI1273" t="n">
        <v>1228</v>
      </c>
      <c r="AJ1273" t="inlineStr">
        <is>
          <t>GARNIER MEN</t>
        </is>
      </c>
      <c r="AK1273" t="n">
        <v>9</v>
      </c>
      <c r="AL1273" t="inlineStr">
        <is>
          <t>Miss Glam Jambi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 MEN</t>
        </is>
      </c>
      <c r="B1274" s="2">
        <f>"8992304047411"</f>
        <v/>
      </c>
      <c r="C1274" t="inlineStr">
        <is>
          <t>GARNIER MEN Turbo Bright Dark Spot + Pore Tightening Super Duo Foam Black Charcoal</t>
        </is>
      </c>
      <c r="D1274" t="inlineStr">
        <is>
          <t>Miss Glam Jambi</t>
        </is>
      </c>
      <c r="E1274" t="n">
        <v>3</v>
      </c>
      <c r="F1274" t="n">
        <v>0.05</v>
      </c>
      <c r="G1274" t="n">
        <v>1</v>
      </c>
      <c r="H1274" t="n">
        <v>4</v>
      </c>
      <c r="I1274" t="n">
        <v>28</v>
      </c>
      <c r="J1274" t="n">
        <v>3</v>
      </c>
      <c r="K1274" t="n">
        <v>0</v>
      </c>
      <c r="L1274" t="n">
        <v>21416</v>
      </c>
      <c r="M1274" t="n">
        <v>26500</v>
      </c>
      <c r="N1274" t="n">
        <v>33</v>
      </c>
      <c r="O1274" t="n">
        <v>0.33</v>
      </c>
      <c r="P1274" t="n">
        <v>0</v>
      </c>
      <c r="Q1274" t="n">
        <v>0.05</v>
      </c>
      <c r="R1274" t="n">
        <v>1</v>
      </c>
      <c r="S1274" t="n">
        <v>1325</v>
      </c>
      <c r="T1274" t="n">
        <v>28</v>
      </c>
      <c r="U1274" t="n">
        <v>29</v>
      </c>
      <c r="V1274" t="n">
        <v>30</v>
      </c>
      <c r="W1274" t="n">
        <v>2</v>
      </c>
      <c r="X1274" t="n">
        <v>60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10507</v>
      </c>
      <c r="AG1274" t="n">
        <v>2148</v>
      </c>
      <c r="AH1274" t="inlineStr">
        <is>
          <t>PT. JAYA PALEMBANG SUKSES - PPN (JMB)</t>
        </is>
      </c>
      <c r="AI1274" t="n">
        <v>1228</v>
      </c>
      <c r="AJ1274" t="inlineStr">
        <is>
          <t>GARNIER MEN</t>
        </is>
      </c>
      <c r="AK1274" t="n">
        <v>9</v>
      </c>
      <c r="AL1274" t="inlineStr">
        <is>
          <t>Miss Glam Jambi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 MEN</t>
        </is>
      </c>
      <c r="B1275" s="2">
        <f>"8992304009167"</f>
        <v/>
      </c>
      <c r="C1275" t="inlineStr">
        <is>
          <t>GARNIER MEN Turbolight Oil Cotrol 100ml</t>
        </is>
      </c>
      <c r="D1275" t="inlineStr">
        <is>
          <t>Miss Glam Jambi</t>
        </is>
      </c>
      <c r="E1275" t="n">
        <v>3</v>
      </c>
      <c r="F1275" t="n">
        <v>0.033</v>
      </c>
      <c r="G1275" t="n">
        <v>0.33</v>
      </c>
      <c r="H1275" t="n">
        <v>4</v>
      </c>
      <c r="I1275" t="n">
        <v>28</v>
      </c>
      <c r="J1275" t="n">
        <v>3</v>
      </c>
      <c r="K1275" t="n">
        <v>0</v>
      </c>
      <c r="L1275" t="n">
        <v>28376</v>
      </c>
      <c r="M1275" t="n">
        <v>37500</v>
      </c>
      <c r="N1275" t="n">
        <v>33</v>
      </c>
      <c r="O1275" t="n">
        <v>0.33</v>
      </c>
      <c r="P1275" t="n">
        <v>1</v>
      </c>
      <c r="Q1275" t="n">
        <v>0.02</v>
      </c>
      <c r="R1275" t="n">
        <v>1</v>
      </c>
      <c r="S1275" t="n">
        <v>1237.5</v>
      </c>
      <c r="T1275" t="n">
        <v>10</v>
      </c>
      <c r="U1275" t="n">
        <v>11</v>
      </c>
      <c r="V1275" t="n">
        <v>30</v>
      </c>
      <c r="W1275" t="n">
        <v>1</v>
      </c>
      <c r="X1275" t="n">
        <v>90.90909090909091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10507</v>
      </c>
      <c r="AG1275" t="n">
        <v>2148</v>
      </c>
      <c r="AH1275" t="inlineStr">
        <is>
          <t>PT. JAYA PALEMBANG SUKSES - PPN (JMB)</t>
        </is>
      </c>
      <c r="AI1275" t="n">
        <v>1228</v>
      </c>
      <c r="AJ1275" t="inlineStr">
        <is>
          <t>GARNIER MEN</t>
        </is>
      </c>
      <c r="AK1275" t="n">
        <v>9</v>
      </c>
      <c r="AL1275" t="inlineStr">
        <is>
          <t>Miss Glam Jambi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GATSBY</t>
        </is>
      </c>
      <c r="B1276" s="2">
        <f>"8992222057196"</f>
        <v/>
      </c>
      <c r="C1276" t="inlineStr">
        <is>
          <t>GATSBY Aesthetic Bright UV Spf 50 PA++++ Sunscreen Moisturizer 40ml</t>
        </is>
      </c>
      <c r="D1276" t="inlineStr">
        <is>
          <t>Miss Glam Jambi</t>
        </is>
      </c>
      <c r="E1276" t="n">
        <v>4</v>
      </c>
      <c r="F1276" t="n">
        <v>0.0264</v>
      </c>
      <c r="G1276" t="n">
        <v>0.33</v>
      </c>
      <c r="H1276" t="n">
        <v>2</v>
      </c>
      <c r="I1276" t="n">
        <v>6</v>
      </c>
      <c r="J1276" t="n">
        <v>3</v>
      </c>
      <c r="K1276" t="n">
        <v>0</v>
      </c>
      <c r="L1276" t="n">
        <v>26343</v>
      </c>
      <c r="M1276" t="n">
        <v>31000</v>
      </c>
      <c r="N1276" t="n">
        <v>33</v>
      </c>
      <c r="O1276" t="n">
        <v>0.33</v>
      </c>
      <c r="P1276" t="n">
        <v>1</v>
      </c>
      <c r="Q1276" t="n">
        <v>0.05</v>
      </c>
      <c r="R1276" t="n">
        <v>1</v>
      </c>
      <c r="S1276" t="n">
        <v>818.4000000000001</v>
      </c>
      <c r="T1276" t="n">
        <v>2</v>
      </c>
      <c r="U1276" t="n">
        <v>3</v>
      </c>
      <c r="V1276" t="n">
        <v>30</v>
      </c>
      <c r="W1276" t="n">
        <v>1</v>
      </c>
      <c r="X1276" t="n">
        <v>151.5151515151515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1374</v>
      </c>
      <c r="AG1276" t="n">
        <v>2136</v>
      </c>
      <c r="AH1276" t="inlineStr">
        <is>
          <t>CV. SAMUDRA JAYA ABADI - PPN (JMB)</t>
        </is>
      </c>
      <c r="AI1276" t="n">
        <v>1544</v>
      </c>
      <c r="AJ1276" t="inlineStr">
        <is>
          <t>GATSBY</t>
        </is>
      </c>
      <c r="AK1276" t="n">
        <v>9</v>
      </c>
      <c r="AL1276" t="inlineStr">
        <is>
          <t>Miss Glam Jambi</t>
        </is>
      </c>
      <c r="AM1276" t="n">
        <v>2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GATSBY</t>
        </is>
      </c>
      <c r="B1277" s="2">
        <f>"11000702904"</f>
        <v/>
      </c>
      <c r="C1277" t="inlineStr">
        <is>
          <t>GATSBY Eau De Blue Deodorant Roll-On Earth Code 50ml</t>
        </is>
      </c>
      <c r="D1277" t="inlineStr">
        <is>
          <t>Miss Glam Jambi</t>
        </is>
      </c>
      <c r="E1277" t="n">
        <v>3</v>
      </c>
      <c r="F1277" t="n">
        <v>0.0561</v>
      </c>
      <c r="G1277" t="n">
        <v>0.66</v>
      </c>
      <c r="H1277" t="n">
        <v>2</v>
      </c>
      <c r="I1277" t="n">
        <v>6</v>
      </c>
      <c r="J1277" t="n">
        <v>1</v>
      </c>
      <c r="K1277" t="n">
        <v>0</v>
      </c>
      <c r="L1277" t="n">
        <v>16333</v>
      </c>
      <c r="M1277" t="n">
        <v>20000</v>
      </c>
      <c r="N1277" t="n">
        <v>33</v>
      </c>
      <c r="O1277" t="n">
        <v>0.33</v>
      </c>
      <c r="P1277" t="n">
        <v>1</v>
      </c>
      <c r="Q1277" t="n">
        <v>0.05</v>
      </c>
      <c r="R1277" t="n">
        <v>1</v>
      </c>
      <c r="S1277" t="n">
        <v>1122</v>
      </c>
      <c r="T1277" t="n">
        <v>4</v>
      </c>
      <c r="U1277" t="n">
        <v>5</v>
      </c>
      <c r="V1277" t="n">
        <v>30</v>
      </c>
      <c r="W1277" t="n">
        <v>2</v>
      </c>
      <c r="X1277" t="n">
        <v>53.475935828877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1374</v>
      </c>
      <c r="AG1277" t="n">
        <v>2136</v>
      </c>
      <c r="AH1277" t="inlineStr">
        <is>
          <t>CV. SAMUDRA JAYA ABADI - PPN (JMB)</t>
        </is>
      </c>
      <c r="AI1277" t="n">
        <v>1544</v>
      </c>
      <c r="AJ1277" t="inlineStr">
        <is>
          <t>GATSBY</t>
        </is>
      </c>
      <c r="AK1277" t="n">
        <v>9</v>
      </c>
      <c r="AL1277" t="inlineStr">
        <is>
          <t>Miss Glam Jambi</t>
        </is>
      </c>
      <c r="AM1277" t="n">
        <v>2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GATSBY</t>
        </is>
      </c>
      <c r="B1278" s="2">
        <f>"11000702826"</f>
        <v/>
      </c>
      <c r="C1278" t="inlineStr">
        <is>
          <t>GATSBY Eau De Blue Deodorant Roll-On Skyline Code 50ml</t>
        </is>
      </c>
      <c r="D1278" t="inlineStr">
        <is>
          <t>Miss Glam Jambi</t>
        </is>
      </c>
      <c r="E1278" t="n">
        <v>2</v>
      </c>
      <c r="F1278" t="n">
        <v>0.1188</v>
      </c>
      <c r="G1278" t="n">
        <v>0.99</v>
      </c>
      <c r="H1278" t="n">
        <v>2</v>
      </c>
      <c r="I1278" t="n">
        <v>6</v>
      </c>
      <c r="J1278" t="n">
        <v>1</v>
      </c>
      <c r="K1278" t="n">
        <v>2</v>
      </c>
      <c r="L1278" t="n">
        <v>16333</v>
      </c>
      <c r="M1278" t="n">
        <v>20000</v>
      </c>
      <c r="N1278" t="n">
        <v>33</v>
      </c>
      <c r="O1278" t="n">
        <v>0.33</v>
      </c>
      <c r="P1278" t="n">
        <v>1</v>
      </c>
      <c r="Q1278" t="n">
        <v>0.05</v>
      </c>
      <c r="R1278" t="n">
        <v>1</v>
      </c>
      <c r="S1278" t="n">
        <v>2376</v>
      </c>
      <c r="T1278" t="n">
        <v>6</v>
      </c>
      <c r="U1278" t="n">
        <v>7</v>
      </c>
      <c r="V1278" t="n">
        <v>30</v>
      </c>
      <c r="W1278" t="n">
        <v>4</v>
      </c>
      <c r="X1278" t="n">
        <v>16.83501683501683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1374</v>
      </c>
      <c r="AG1278" t="n">
        <v>2136</v>
      </c>
      <c r="AH1278" t="inlineStr">
        <is>
          <t>CV. SAMUDRA JAYA ABADI - PPN (JMB)</t>
        </is>
      </c>
      <c r="AI1278" t="n">
        <v>1544</v>
      </c>
      <c r="AJ1278" t="inlineStr">
        <is>
          <t>GATSBY</t>
        </is>
      </c>
      <c r="AK1278" t="n">
        <v>9</v>
      </c>
      <c r="AL1278" t="inlineStr">
        <is>
          <t>Miss Glam Jambi</t>
        </is>
      </c>
      <c r="AM1278" t="n">
        <v>2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GATSBY</t>
        </is>
      </c>
      <c r="B1279" s="2">
        <f>"11000408830"</f>
        <v/>
      </c>
      <c r="C1279" t="inlineStr">
        <is>
          <t>GATSBY Eau De Blue Eau De Parfum Air Code 100ml</t>
        </is>
      </c>
      <c r="D1279" t="inlineStr">
        <is>
          <t>Miss Glam Jambi</t>
        </is>
      </c>
      <c r="E1279" t="n">
        <v>3</v>
      </c>
      <c r="F1279" t="n">
        <v>0.0396</v>
      </c>
      <c r="G1279" t="n">
        <v>0.33</v>
      </c>
      <c r="H1279" t="n">
        <v>2</v>
      </c>
      <c r="I1279" t="n">
        <v>6</v>
      </c>
      <c r="J1279" t="n">
        <v>1</v>
      </c>
      <c r="K1279" t="n">
        <v>0</v>
      </c>
      <c r="L1279" t="n">
        <v>35117</v>
      </c>
      <c r="M1279" t="n">
        <v>41500</v>
      </c>
      <c r="N1279" t="n">
        <v>33</v>
      </c>
      <c r="O1279" t="n">
        <v>0.33</v>
      </c>
      <c r="P1279" t="n">
        <v>1</v>
      </c>
      <c r="Q1279" t="n">
        <v>0.02</v>
      </c>
      <c r="R1279" t="n">
        <v>1</v>
      </c>
      <c r="S1279" t="n">
        <v>1643.4</v>
      </c>
      <c r="T1279" t="n">
        <v>2</v>
      </c>
      <c r="U1279" t="n">
        <v>3</v>
      </c>
      <c r="V1279" t="n">
        <v>30</v>
      </c>
      <c r="W1279" t="n">
        <v>2</v>
      </c>
      <c r="X1279" t="n">
        <v>75.75757575757575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1374</v>
      </c>
      <c r="AG1279" t="n">
        <v>2136</v>
      </c>
      <c r="AH1279" t="inlineStr">
        <is>
          <t>CV. SAMUDRA JAYA ABADI - PPN (JMB)</t>
        </is>
      </c>
      <c r="AI1279" t="n">
        <v>1544</v>
      </c>
      <c r="AJ1279" t="inlineStr">
        <is>
          <t>GATSBY</t>
        </is>
      </c>
      <c r="AK1279" t="n">
        <v>9</v>
      </c>
      <c r="AL1279" t="inlineStr">
        <is>
          <t>Miss Glam Jambi</t>
        </is>
      </c>
      <c r="AM1279" t="n">
        <v>2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GATSBY</t>
        </is>
      </c>
      <c r="B1280" s="2">
        <f>"11000408754"</f>
        <v/>
      </c>
      <c r="C1280" t="inlineStr">
        <is>
          <t>GATSBY Eau De Blue Eau De Parfum Earth Code 100ml</t>
        </is>
      </c>
      <c r="D1280" t="inlineStr">
        <is>
          <t>Miss Glam Jambi</t>
        </is>
      </c>
      <c r="E1280" t="n">
        <v>3</v>
      </c>
      <c r="F1280" t="n">
        <v>0.0264</v>
      </c>
      <c r="G1280" t="n">
        <v>0.33</v>
      </c>
      <c r="H1280" t="n">
        <v>2</v>
      </c>
      <c r="I1280" t="n">
        <v>6</v>
      </c>
      <c r="J1280" t="n">
        <v>1</v>
      </c>
      <c r="K1280" t="n">
        <v>0</v>
      </c>
      <c r="L1280" t="n">
        <v>35117</v>
      </c>
      <c r="M1280" t="n">
        <v>41500</v>
      </c>
      <c r="N1280" t="n">
        <v>33</v>
      </c>
      <c r="O1280" t="n">
        <v>0.33</v>
      </c>
      <c r="P1280" t="n">
        <v>1</v>
      </c>
      <c r="Q1280" t="n">
        <v>0.02</v>
      </c>
      <c r="R1280" t="n">
        <v>1</v>
      </c>
      <c r="S1280" t="n">
        <v>1095.6</v>
      </c>
      <c r="T1280" t="n">
        <v>2</v>
      </c>
      <c r="U1280" t="n">
        <v>3</v>
      </c>
      <c r="V1280" t="n">
        <v>30</v>
      </c>
      <c r="W1280" t="n">
        <v>1</v>
      </c>
      <c r="X1280" t="n">
        <v>113.6363636363636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1374</v>
      </c>
      <c r="AG1280" t="n">
        <v>2136</v>
      </c>
      <c r="AH1280" t="inlineStr">
        <is>
          <t>CV. SAMUDRA JAYA ABADI - PPN (JMB)</t>
        </is>
      </c>
      <c r="AI1280" t="n">
        <v>1544</v>
      </c>
      <c r="AJ1280" t="inlineStr">
        <is>
          <t>GATSBY</t>
        </is>
      </c>
      <c r="AK1280" t="n">
        <v>9</v>
      </c>
      <c r="AL1280" t="inlineStr">
        <is>
          <t>Miss Glam Jambi</t>
        </is>
      </c>
      <c r="AM1280" t="n">
        <v>2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GATSBY</t>
        </is>
      </c>
      <c r="B1281" s="2">
        <f>"11000408617"</f>
        <v/>
      </c>
      <c r="C1281" t="inlineStr">
        <is>
          <t>GATSBY Eau De Blue Eau De Parfum Skyline Code 100ml</t>
        </is>
      </c>
      <c r="D1281" t="inlineStr">
        <is>
          <t>Miss Glam Jambi</t>
        </is>
      </c>
      <c r="E1281" t="n">
        <v>3</v>
      </c>
      <c r="F1281" t="n">
        <v>0.0561</v>
      </c>
      <c r="G1281" t="n">
        <v>0.66</v>
      </c>
      <c r="H1281" t="n">
        <v>2</v>
      </c>
      <c r="I1281" t="n">
        <v>6</v>
      </c>
      <c r="J1281" t="n">
        <v>1</v>
      </c>
      <c r="K1281" t="n">
        <v>0</v>
      </c>
      <c r="L1281" t="n">
        <v>35117</v>
      </c>
      <c r="M1281" t="n">
        <v>41500</v>
      </c>
      <c r="N1281" t="n">
        <v>33</v>
      </c>
      <c r="O1281" t="n">
        <v>0.33</v>
      </c>
      <c r="P1281" t="n">
        <v>1</v>
      </c>
      <c r="Q1281" t="n">
        <v>0.05</v>
      </c>
      <c r="R1281" t="n">
        <v>1</v>
      </c>
      <c r="S1281" t="n">
        <v>2328.15</v>
      </c>
      <c r="T1281" t="n">
        <v>4</v>
      </c>
      <c r="U1281" t="n">
        <v>5</v>
      </c>
      <c r="V1281" t="n">
        <v>30</v>
      </c>
      <c r="W1281" t="n">
        <v>2</v>
      </c>
      <c r="X1281" t="n">
        <v>53.475935828877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1374</v>
      </c>
      <c r="AG1281" t="n">
        <v>2136</v>
      </c>
      <c r="AH1281" t="inlineStr">
        <is>
          <t>CV. SAMUDRA JAYA ABADI - PPN (JMB)</t>
        </is>
      </c>
      <c r="AI1281" t="n">
        <v>1544</v>
      </c>
      <c r="AJ1281" t="inlineStr">
        <is>
          <t>GATSBY</t>
        </is>
      </c>
      <c r="AK1281" t="n">
        <v>9</v>
      </c>
      <c r="AL1281" t="inlineStr">
        <is>
          <t>Miss Glam Jambi</t>
        </is>
      </c>
      <c r="AM1281" t="n">
        <v>2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GATSBY</t>
        </is>
      </c>
      <c r="B1282" s="2">
        <f>"8992222057066"</f>
        <v/>
      </c>
      <c r="C1282" t="inlineStr">
        <is>
          <t>GATSBY Eau De Bold Eau De Parfum Moon Code 100ml</t>
        </is>
      </c>
      <c r="D1282" t="inlineStr">
        <is>
          <t>Miss Glam Jambi</t>
        </is>
      </c>
      <c r="E1282" t="n">
        <v>3</v>
      </c>
      <c r="F1282" t="n">
        <v>0.009900000000000001</v>
      </c>
      <c r="G1282" t="n">
        <v>0.33</v>
      </c>
      <c r="H1282" t="n">
        <v>2</v>
      </c>
      <c r="I1282" t="n">
        <v>6</v>
      </c>
      <c r="J1282" t="n">
        <v>3</v>
      </c>
      <c r="K1282" t="n">
        <v>0</v>
      </c>
      <c r="L1282" t="n">
        <v>35116</v>
      </c>
      <c r="M1282" t="n">
        <v>44000</v>
      </c>
      <c r="N1282" t="n">
        <v>33</v>
      </c>
      <c r="O1282" t="n">
        <v>0.33</v>
      </c>
      <c r="P1282" t="n">
        <v>1</v>
      </c>
      <c r="Q1282" t="n">
        <v>0.02</v>
      </c>
      <c r="R1282" t="n">
        <v>1</v>
      </c>
      <c r="S1282" t="n">
        <v>435.6</v>
      </c>
      <c r="T1282" t="n">
        <v>2</v>
      </c>
      <c r="U1282" t="n">
        <v>3</v>
      </c>
      <c r="V1282" t="n">
        <v>30</v>
      </c>
      <c r="W1282" t="n">
        <v>1</v>
      </c>
      <c r="X1282" t="n">
        <v>303.030303030303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1374</v>
      </c>
      <c r="AG1282" t="n">
        <v>2136</v>
      </c>
      <c r="AH1282" t="inlineStr">
        <is>
          <t>CV. SAMUDRA JAYA ABADI - PPN (JMB)</t>
        </is>
      </c>
      <c r="AI1282" t="n">
        <v>1544</v>
      </c>
      <c r="AJ1282" t="inlineStr">
        <is>
          <t>GATSBY</t>
        </is>
      </c>
      <c r="AK1282" t="n">
        <v>9</v>
      </c>
      <c r="AL1282" t="inlineStr">
        <is>
          <t>Miss Glam Jambi</t>
        </is>
      </c>
      <c r="AM1282" t="n">
        <v>2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GATSBY</t>
        </is>
      </c>
      <c r="B1283" s="2">
        <f>"8992222057042"</f>
        <v/>
      </c>
      <c r="C1283" t="inlineStr">
        <is>
          <t>GATSBY Eau De Bold Eau De Parfum Space Code 100ml</t>
        </is>
      </c>
      <c r="D1283" t="inlineStr">
        <is>
          <t>Miss Glam Jambi</t>
        </is>
      </c>
      <c r="E1283" t="n">
        <v>2</v>
      </c>
      <c r="F1283" t="n">
        <v>0.009900000000000001</v>
      </c>
      <c r="G1283" t="n">
        <v>0.33</v>
      </c>
      <c r="H1283" t="n">
        <v>2</v>
      </c>
      <c r="I1283" t="n">
        <v>6</v>
      </c>
      <c r="J1283" t="n">
        <v>3</v>
      </c>
      <c r="K1283" t="n">
        <v>0</v>
      </c>
      <c r="L1283" t="n">
        <v>35116</v>
      </c>
      <c r="M1283" t="n">
        <v>44000</v>
      </c>
      <c r="N1283" t="n">
        <v>33</v>
      </c>
      <c r="O1283" t="n">
        <v>0.33</v>
      </c>
      <c r="P1283" t="n">
        <v>1</v>
      </c>
      <c r="Q1283" t="n">
        <v>0.02</v>
      </c>
      <c r="R1283" t="n">
        <v>1</v>
      </c>
      <c r="S1283" t="n">
        <v>435.6</v>
      </c>
      <c r="T1283" t="n">
        <v>2</v>
      </c>
      <c r="U1283" t="n">
        <v>3</v>
      </c>
      <c r="V1283" t="n">
        <v>30</v>
      </c>
      <c r="W1283" t="n">
        <v>1</v>
      </c>
      <c r="X1283" t="n">
        <v>202.020202020202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1374</v>
      </c>
      <c r="AG1283" t="n">
        <v>2136</v>
      </c>
      <c r="AH1283" t="inlineStr">
        <is>
          <t>CV. SAMUDRA JAYA ABADI - PPN (JMB)</t>
        </is>
      </c>
      <c r="AI1283" t="n">
        <v>1544</v>
      </c>
      <c r="AJ1283" t="inlineStr">
        <is>
          <t>GATSBY</t>
        </is>
      </c>
      <c r="AK1283" t="n">
        <v>9</v>
      </c>
      <c r="AL1283" t="inlineStr">
        <is>
          <t>Miss Glam Jambi</t>
        </is>
      </c>
      <c r="AM1283" t="n">
        <v>2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GATSBY</t>
        </is>
      </c>
      <c r="B1284" s="2">
        <f>"8992222057059"</f>
        <v/>
      </c>
      <c r="C1284" t="inlineStr">
        <is>
          <t>GATSBY Eau De Bold Eau De Parfum Star Code 100ml</t>
        </is>
      </c>
      <c r="D1284" t="inlineStr">
        <is>
          <t>Miss Glam Jambi</t>
        </is>
      </c>
      <c r="E1284" t="n">
        <v>2</v>
      </c>
      <c r="F1284" t="n">
        <v>0.0396</v>
      </c>
      <c r="G1284" t="n">
        <v>0.33</v>
      </c>
      <c r="H1284" t="n">
        <v>2</v>
      </c>
      <c r="I1284" t="n">
        <v>6</v>
      </c>
      <c r="J1284" t="n">
        <v>3</v>
      </c>
      <c r="K1284" t="n">
        <v>0</v>
      </c>
      <c r="L1284" t="n">
        <v>35116</v>
      </c>
      <c r="M1284" t="n">
        <v>44000</v>
      </c>
      <c r="N1284" t="n">
        <v>33</v>
      </c>
      <c r="O1284" t="n">
        <v>0.33</v>
      </c>
      <c r="P1284" t="n">
        <v>1</v>
      </c>
      <c r="Q1284" t="n">
        <v>0.03</v>
      </c>
      <c r="R1284" t="n">
        <v>1</v>
      </c>
      <c r="S1284" t="n">
        <v>1742.4</v>
      </c>
      <c r="T1284" t="n">
        <v>2</v>
      </c>
      <c r="U1284" t="n">
        <v>3</v>
      </c>
      <c r="V1284" t="n">
        <v>30</v>
      </c>
      <c r="W1284" t="n">
        <v>2</v>
      </c>
      <c r="X1284" t="n">
        <v>50.5050505050505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1374</v>
      </c>
      <c r="AG1284" t="n">
        <v>2136</v>
      </c>
      <c r="AH1284" t="inlineStr">
        <is>
          <t>CV. SAMUDRA JAYA ABADI - PPN (JMB)</t>
        </is>
      </c>
      <c r="AI1284" t="n">
        <v>1544</v>
      </c>
      <c r="AJ1284" t="inlineStr">
        <is>
          <t>GATSBY</t>
        </is>
      </c>
      <c r="AK1284" t="n">
        <v>9</v>
      </c>
      <c r="AL1284" t="inlineStr">
        <is>
          <t>Miss Glam Jambi</t>
        </is>
      </c>
      <c r="AM1284" t="n">
        <v>2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GATSBY</t>
        </is>
      </c>
      <c r="B1285" s="2">
        <f>"8992222057097"</f>
        <v/>
      </c>
      <c r="C1285" t="inlineStr">
        <is>
          <t>GATSBY Eau De Bold Roll On Deodorant Moon Code 50ml</t>
        </is>
      </c>
      <c r="D1285" t="inlineStr">
        <is>
          <t>Miss Glam Jambi</t>
        </is>
      </c>
      <c r="E1285" t="n">
        <v>6</v>
      </c>
      <c r="F1285" t="n">
        <v>0.0396</v>
      </c>
      <c r="G1285" t="n">
        <v>0.33</v>
      </c>
      <c r="H1285" t="n">
        <v>2</v>
      </c>
      <c r="I1285" t="n">
        <v>6</v>
      </c>
      <c r="J1285" t="n">
        <v>3</v>
      </c>
      <c r="K1285" t="n">
        <v>0</v>
      </c>
      <c r="L1285" t="n">
        <v>16333</v>
      </c>
      <c r="M1285" t="n">
        <v>20000</v>
      </c>
      <c r="N1285" t="n">
        <v>33</v>
      </c>
      <c r="O1285" t="n">
        <v>0.33</v>
      </c>
      <c r="P1285" t="n">
        <v>1</v>
      </c>
      <c r="Q1285" t="n">
        <v>0.08</v>
      </c>
      <c r="R1285" t="n">
        <v>1</v>
      </c>
      <c r="S1285" t="n">
        <v>792.0000000000001</v>
      </c>
      <c r="T1285" t="n">
        <v>2</v>
      </c>
      <c r="U1285" t="n">
        <v>3</v>
      </c>
      <c r="V1285" t="n">
        <v>30</v>
      </c>
      <c r="W1285" t="n">
        <v>2</v>
      </c>
      <c r="X1285" t="n">
        <v>151.5151515151515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1374</v>
      </c>
      <c r="AG1285" t="n">
        <v>2136</v>
      </c>
      <c r="AH1285" t="inlineStr">
        <is>
          <t>CV. SAMUDRA JAYA ABADI - PPN (JMB)</t>
        </is>
      </c>
      <c r="AI1285" t="n">
        <v>1544</v>
      </c>
      <c r="AJ1285" t="inlineStr">
        <is>
          <t>GATSBY</t>
        </is>
      </c>
      <c r="AK1285" t="n">
        <v>9</v>
      </c>
      <c r="AL1285" t="inlineStr">
        <is>
          <t>Miss Glam Jambi</t>
        </is>
      </c>
      <c r="AM1285" t="n">
        <v>2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GATSBY</t>
        </is>
      </c>
      <c r="B1286" s="2">
        <f>"8992222057073"</f>
        <v/>
      </c>
      <c r="C1286" t="inlineStr">
        <is>
          <t>GATSBY Eau De Bold Roll On Deodorant Space Code 50ml</t>
        </is>
      </c>
      <c r="D1286" t="inlineStr">
        <is>
          <t>Miss Glam Jambi</t>
        </is>
      </c>
      <c r="E1286" t="n">
        <v>1</v>
      </c>
      <c r="F1286" t="n">
        <v>0.033</v>
      </c>
      <c r="G1286" t="n">
        <v>0.33</v>
      </c>
      <c r="H1286" t="n">
        <v>2</v>
      </c>
      <c r="I1286" t="n">
        <v>6</v>
      </c>
      <c r="J1286" t="n">
        <v>3</v>
      </c>
      <c r="K1286" t="n">
        <v>0</v>
      </c>
      <c r="L1286" t="n">
        <v>16333</v>
      </c>
      <c r="M1286" t="n">
        <v>20000</v>
      </c>
      <c r="N1286" t="n">
        <v>33</v>
      </c>
      <c r="O1286" t="n">
        <v>0.33</v>
      </c>
      <c r="P1286" t="n">
        <v>1</v>
      </c>
      <c r="Q1286" t="n">
        <v>0.07000000000000001</v>
      </c>
      <c r="R1286" t="n">
        <v>1</v>
      </c>
      <c r="S1286" t="n">
        <v>660</v>
      </c>
      <c r="T1286" t="n">
        <v>2</v>
      </c>
      <c r="U1286" t="n">
        <v>3</v>
      </c>
      <c r="V1286" t="n">
        <v>30</v>
      </c>
      <c r="W1286" t="n">
        <v>1</v>
      </c>
      <c r="X1286" t="n">
        <v>30.3030303030303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1374</v>
      </c>
      <c r="AG1286" t="n">
        <v>2136</v>
      </c>
      <c r="AH1286" t="inlineStr">
        <is>
          <t>CV. SAMUDRA JAYA ABADI - PPN (JMB)</t>
        </is>
      </c>
      <c r="AI1286" t="n">
        <v>1544</v>
      </c>
      <c r="AJ1286" t="inlineStr">
        <is>
          <t>GATSBY</t>
        </is>
      </c>
      <c r="AK1286" t="n">
        <v>9</v>
      </c>
      <c r="AL1286" t="inlineStr">
        <is>
          <t>Miss Glam Jambi</t>
        </is>
      </c>
      <c r="AM1286" t="n">
        <v>2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GATSBY</t>
        </is>
      </c>
      <c r="B1287" s="2">
        <f>"8992222057080"</f>
        <v/>
      </c>
      <c r="C1287" t="inlineStr">
        <is>
          <t>GATSBY Eau De Bold Roll On Deodorant Star Code 50ml</t>
        </is>
      </c>
      <c r="D1287" t="inlineStr">
        <is>
          <t>Miss Glam Jambi</t>
        </is>
      </c>
      <c r="E1287" t="n">
        <v>2</v>
      </c>
      <c r="F1287" t="n">
        <v>0.0396</v>
      </c>
      <c r="G1287" t="n">
        <v>0.33</v>
      </c>
      <c r="H1287" t="n">
        <v>2</v>
      </c>
      <c r="I1287" t="n">
        <v>6</v>
      </c>
      <c r="J1287" t="n">
        <v>3</v>
      </c>
      <c r="K1287" t="n">
        <v>0</v>
      </c>
      <c r="L1287" t="n">
        <v>16333</v>
      </c>
      <c r="M1287" t="n">
        <v>20000</v>
      </c>
      <c r="N1287" t="n">
        <v>33</v>
      </c>
      <c r="O1287" t="n">
        <v>0.33</v>
      </c>
      <c r="P1287" t="n">
        <v>1</v>
      </c>
      <c r="Q1287" t="n">
        <v>0.03</v>
      </c>
      <c r="R1287" t="n">
        <v>1</v>
      </c>
      <c r="S1287" t="n">
        <v>792.0000000000001</v>
      </c>
      <c r="T1287" t="n">
        <v>2</v>
      </c>
      <c r="U1287" t="n">
        <v>3</v>
      </c>
      <c r="V1287" t="n">
        <v>30</v>
      </c>
      <c r="W1287" t="n">
        <v>2</v>
      </c>
      <c r="X1287" t="n">
        <v>50.5050505050505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1374</v>
      </c>
      <c r="AG1287" t="n">
        <v>2136</v>
      </c>
      <c r="AH1287" t="inlineStr">
        <is>
          <t>CV. SAMUDRA JAYA ABADI - PPN (JMB)</t>
        </is>
      </c>
      <c r="AI1287" t="n">
        <v>1544</v>
      </c>
      <c r="AJ1287" t="inlineStr">
        <is>
          <t>GATSBY</t>
        </is>
      </c>
      <c r="AK1287" t="n">
        <v>9</v>
      </c>
      <c r="AL1287" t="inlineStr">
        <is>
          <t>Miss Glam Jambi</t>
        </is>
      </c>
      <c r="AM1287" t="n">
        <v>2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GATSBY</t>
        </is>
      </c>
      <c r="B1288" s="2">
        <f>"8992222057264"</f>
        <v/>
      </c>
      <c r="C1288" t="inlineStr">
        <is>
          <t>GATSBY Fiber Clay Matte Finish 80gr</t>
        </is>
      </c>
      <c r="D1288" t="inlineStr">
        <is>
          <t>Miss Glam Jambi</t>
        </is>
      </c>
      <c r="E1288" t="n">
        <v>0</v>
      </c>
      <c r="F1288" t="n">
        <v>0.2475</v>
      </c>
      <c r="G1288" t="n">
        <v>0.66</v>
      </c>
      <c r="H1288" t="n">
        <v>2</v>
      </c>
      <c r="I1288" t="n">
        <v>6</v>
      </c>
      <c r="J1288" t="n">
        <v>3</v>
      </c>
      <c r="K1288" t="n">
        <v>6</v>
      </c>
      <c r="L1288" t="n">
        <v>26950</v>
      </c>
      <c r="M1288" t="n">
        <v>34000</v>
      </c>
      <c r="N1288" t="n">
        <v>33</v>
      </c>
      <c r="O1288" t="n">
        <v>0.33</v>
      </c>
      <c r="P1288" t="n">
        <v>1</v>
      </c>
      <c r="Q1288" t="n">
        <v>0.09</v>
      </c>
      <c r="R1288" t="n">
        <v>2</v>
      </c>
      <c r="S1288" t="n">
        <v>8415</v>
      </c>
      <c r="T1288" t="n">
        <v>4</v>
      </c>
      <c r="U1288" t="n">
        <v>5</v>
      </c>
      <c r="V1288" t="n">
        <v>30</v>
      </c>
      <c r="W1288" t="n">
        <v>8</v>
      </c>
      <c r="X1288" t="n">
        <v>0</v>
      </c>
      <c r="Y1288" t="n">
        <v>1</v>
      </c>
      <c r="Z1288" t="n">
        <v>2</v>
      </c>
      <c r="AA1288" t="n">
        <v>1</v>
      </c>
      <c r="AB1288" t="n">
        <v>1</v>
      </c>
      <c r="AC1288" t="n">
        <v>3</v>
      </c>
      <c r="AD1288" t="n">
        <v>26950</v>
      </c>
      <c r="AE1288" t="n">
        <v>80850</v>
      </c>
      <c r="AF1288" t="n">
        <v>1374</v>
      </c>
      <c r="AG1288" t="n">
        <v>2136</v>
      </c>
      <c r="AH1288" t="inlineStr">
        <is>
          <t>CV. SAMUDRA JAYA ABADI - PPN (JMB)</t>
        </is>
      </c>
      <c r="AI1288" t="n">
        <v>1544</v>
      </c>
      <c r="AJ1288" t="inlineStr">
        <is>
          <t>GATSBY</t>
        </is>
      </c>
      <c r="AK1288" t="n">
        <v>9</v>
      </c>
      <c r="AL1288" t="inlineStr">
        <is>
          <t>Miss Glam Jambi</t>
        </is>
      </c>
      <c r="AM1288" t="n">
        <v>2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GATSBY</t>
        </is>
      </c>
      <c r="B1289" s="2">
        <f>"8992222056700"</f>
        <v/>
      </c>
      <c r="C1289" t="inlineStr">
        <is>
          <t>GATSBY Powder Clay Unbreakable Smooth 20gr</t>
        </is>
      </c>
      <c r="D1289" t="inlineStr">
        <is>
          <t>Miss Glam Jambi</t>
        </is>
      </c>
      <c r="E1289" t="n">
        <v>4</v>
      </c>
      <c r="F1289" t="n">
        <v>0.1551</v>
      </c>
      <c r="G1289" t="n">
        <v>1.32</v>
      </c>
      <c r="H1289" t="n">
        <v>2</v>
      </c>
      <c r="I1289" t="n">
        <v>6</v>
      </c>
      <c r="J1289" t="n">
        <v>3</v>
      </c>
      <c r="K1289" t="n">
        <v>3</v>
      </c>
      <c r="L1289" t="n">
        <v>37158</v>
      </c>
      <c r="M1289" t="n">
        <v>47000</v>
      </c>
      <c r="N1289" t="n">
        <v>33</v>
      </c>
      <c r="O1289" t="n">
        <v>0.33</v>
      </c>
      <c r="P1289" t="n">
        <v>1</v>
      </c>
      <c r="Q1289" t="n">
        <v>0.19</v>
      </c>
      <c r="R1289" t="n">
        <v>1</v>
      </c>
      <c r="S1289" t="n">
        <v>7289.7</v>
      </c>
      <c r="T1289" t="n">
        <v>8</v>
      </c>
      <c r="U1289" t="n">
        <v>9</v>
      </c>
      <c r="V1289" t="n">
        <v>30</v>
      </c>
      <c r="W1289" t="n">
        <v>5</v>
      </c>
      <c r="X1289" t="n">
        <v>25.78981302385558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1374</v>
      </c>
      <c r="AG1289" t="n">
        <v>2136</v>
      </c>
      <c r="AH1289" t="inlineStr">
        <is>
          <t>CV. SAMUDRA JAYA ABADI - PPN (JMB)</t>
        </is>
      </c>
      <c r="AI1289" t="n">
        <v>1544</v>
      </c>
      <c r="AJ1289" t="inlineStr">
        <is>
          <t>GATSBY</t>
        </is>
      </c>
      <c r="AK1289" t="n">
        <v>9</v>
      </c>
      <c r="AL1289" t="inlineStr">
        <is>
          <t>Miss Glam Jambi</t>
        </is>
      </c>
      <c r="AM1289" t="n">
        <v>2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GATSBY</t>
        </is>
      </c>
      <c r="B1290" s="2">
        <f>"11000314655"</f>
        <v/>
      </c>
      <c r="C1290" t="inlineStr">
        <is>
          <t>GATSBY Sea Salt Spray Volume Mat 145ml</t>
        </is>
      </c>
      <c r="D1290" t="inlineStr">
        <is>
          <t>Miss Glam Jambi</t>
        </is>
      </c>
      <c r="E1290" t="n">
        <v>3</v>
      </c>
      <c r="F1290" t="n">
        <v>0.0231</v>
      </c>
      <c r="G1290" t="n">
        <v>0.33</v>
      </c>
      <c r="H1290" t="n">
        <v>2</v>
      </c>
      <c r="I1290" t="n">
        <v>6</v>
      </c>
      <c r="J1290" t="n">
        <v>1</v>
      </c>
      <c r="K1290" t="n">
        <v>0</v>
      </c>
      <c r="L1290" t="n">
        <v>37159</v>
      </c>
      <c r="M1290" t="n">
        <v>44000</v>
      </c>
      <c r="N1290" t="n">
        <v>33</v>
      </c>
      <c r="O1290" t="n">
        <v>0.33</v>
      </c>
      <c r="P1290" t="n">
        <v>1</v>
      </c>
      <c r="Q1290" t="n">
        <v>0.05</v>
      </c>
      <c r="R1290" t="n">
        <v>1</v>
      </c>
      <c r="S1290" t="n">
        <v>1016.4</v>
      </c>
      <c r="T1290" t="n">
        <v>2</v>
      </c>
      <c r="U1290" t="n">
        <v>3</v>
      </c>
      <c r="V1290" t="n">
        <v>30</v>
      </c>
      <c r="W1290" t="n">
        <v>1</v>
      </c>
      <c r="X1290" t="n">
        <v>129.8701298701299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1374</v>
      </c>
      <c r="AG1290" t="n">
        <v>2136</v>
      </c>
      <c r="AH1290" t="inlineStr">
        <is>
          <t>CV. SAMUDRA JAYA ABADI - PPN (JMB)</t>
        </is>
      </c>
      <c r="AI1290" t="n">
        <v>1544</v>
      </c>
      <c r="AJ1290" t="inlineStr">
        <is>
          <t>GATSBY</t>
        </is>
      </c>
      <c r="AK1290" t="n">
        <v>9</v>
      </c>
      <c r="AL1290" t="inlineStr">
        <is>
          <t>Miss Glam Jambi</t>
        </is>
      </c>
      <c r="AM1290" t="n">
        <v>2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GATSBY</t>
        </is>
      </c>
      <c r="B1291" s="2">
        <f>"8992222056441"</f>
        <v/>
      </c>
      <c r="C1291" t="inlineStr">
        <is>
          <t>GATSBY Spray Pomade Quick &amp; Grease 150ml</t>
        </is>
      </c>
      <c r="D1291" t="inlineStr">
        <is>
          <t>Miss Glam Jambi</t>
        </is>
      </c>
      <c r="E1291" t="n">
        <v>3</v>
      </c>
      <c r="F1291" t="n">
        <v>0.0231</v>
      </c>
      <c r="G1291" t="n">
        <v>0.33</v>
      </c>
      <c r="H1291" t="n">
        <v>2</v>
      </c>
      <c r="I1291" t="n">
        <v>6</v>
      </c>
      <c r="J1291" t="n">
        <v>3</v>
      </c>
      <c r="K1291" t="n">
        <v>0</v>
      </c>
      <c r="L1291" t="n">
        <v>26541</v>
      </c>
      <c r="M1291" t="n">
        <v>33000</v>
      </c>
      <c r="N1291" t="n">
        <v>33</v>
      </c>
      <c r="O1291" t="n">
        <v>0.33</v>
      </c>
      <c r="P1291" t="n">
        <v>1</v>
      </c>
      <c r="Q1291" t="n">
        <v>0.03</v>
      </c>
      <c r="R1291" t="n">
        <v>1</v>
      </c>
      <c r="S1291" t="n">
        <v>762.3000000000001</v>
      </c>
      <c r="T1291" t="n">
        <v>2</v>
      </c>
      <c r="U1291" t="n">
        <v>3</v>
      </c>
      <c r="V1291" t="n">
        <v>30</v>
      </c>
      <c r="W1291" t="n">
        <v>1</v>
      </c>
      <c r="X1291" t="n">
        <v>129.8701298701299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1374</v>
      </c>
      <c r="AG1291" t="n">
        <v>2136</v>
      </c>
      <c r="AH1291" t="inlineStr">
        <is>
          <t>CV. SAMUDRA JAYA ABADI - PPN (JMB)</t>
        </is>
      </c>
      <c r="AI1291" t="n">
        <v>1544</v>
      </c>
      <c r="AJ1291" t="inlineStr">
        <is>
          <t>GATSBY</t>
        </is>
      </c>
      <c r="AK1291" t="n">
        <v>9</v>
      </c>
      <c r="AL1291" t="inlineStr">
        <is>
          <t>Miss Glam Jambi</t>
        </is>
      </c>
      <c r="AM1291" t="n">
        <v>2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GATSBY</t>
        </is>
      </c>
      <c r="B1292" s="2">
        <f>"8992222056717"</f>
        <v/>
      </c>
      <c r="C1292" t="inlineStr">
        <is>
          <t>GATSBY Spray Pomade Quick &amp; Volume 150ml</t>
        </is>
      </c>
      <c r="D1292" t="inlineStr">
        <is>
          <t>Miss Glam Jambi</t>
        </is>
      </c>
      <c r="E1292" t="n">
        <v>3</v>
      </c>
      <c r="F1292" t="n">
        <v>0.06270000000000001</v>
      </c>
      <c r="G1292" t="n">
        <v>0.33</v>
      </c>
      <c r="H1292" t="n">
        <v>2</v>
      </c>
      <c r="I1292" t="n">
        <v>6</v>
      </c>
      <c r="J1292" t="n">
        <v>3</v>
      </c>
      <c r="K1292" t="n">
        <v>0</v>
      </c>
      <c r="L1292" t="n">
        <v>26541</v>
      </c>
      <c r="M1292" t="n">
        <v>33000</v>
      </c>
      <c r="N1292" t="n">
        <v>33</v>
      </c>
      <c r="O1292" t="n">
        <v>0.33</v>
      </c>
      <c r="P1292" t="n">
        <v>1</v>
      </c>
      <c r="Q1292" t="n">
        <v>0.05</v>
      </c>
      <c r="R1292" t="n">
        <v>1</v>
      </c>
      <c r="S1292" t="n">
        <v>2069.1</v>
      </c>
      <c r="T1292" t="n">
        <v>2</v>
      </c>
      <c r="U1292" t="n">
        <v>3</v>
      </c>
      <c r="V1292" t="n">
        <v>30</v>
      </c>
      <c r="W1292" t="n">
        <v>2</v>
      </c>
      <c r="X1292" t="n">
        <v>47.84688995215311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1374</v>
      </c>
      <c r="AG1292" t="n">
        <v>2136</v>
      </c>
      <c r="AH1292" t="inlineStr">
        <is>
          <t>CV. SAMUDRA JAYA ABADI - PPN (JMB)</t>
        </is>
      </c>
      <c r="AI1292" t="n">
        <v>1544</v>
      </c>
      <c r="AJ1292" t="inlineStr">
        <is>
          <t>GATSBY</t>
        </is>
      </c>
      <c r="AK1292" t="n">
        <v>9</v>
      </c>
      <c r="AL1292" t="inlineStr">
        <is>
          <t>Miss Glam Jambi</t>
        </is>
      </c>
      <c r="AM1292" t="n">
        <v>2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GATSBY</t>
        </is>
      </c>
      <c r="B1293" s="2">
        <f>"8992222057035"</f>
        <v/>
      </c>
      <c r="C1293" t="inlineStr">
        <is>
          <t>GATSBY Styling Pomade Hyper Lift 30gr</t>
        </is>
      </c>
      <c r="D1293" t="inlineStr">
        <is>
          <t>Miss Glam Jambi</t>
        </is>
      </c>
      <c r="E1293" t="n">
        <v>5</v>
      </c>
      <c r="F1293" t="n">
        <v>0.0561</v>
      </c>
      <c r="G1293" t="n">
        <v>0.66</v>
      </c>
      <c r="H1293" t="n">
        <v>2</v>
      </c>
      <c r="I1293" t="n">
        <v>6</v>
      </c>
      <c r="J1293" t="n">
        <v>3</v>
      </c>
      <c r="K1293" t="n">
        <v>0</v>
      </c>
      <c r="L1293" t="n">
        <v>13068</v>
      </c>
      <c r="M1293" t="n">
        <v>15000</v>
      </c>
      <c r="N1293" t="n">
        <v>33</v>
      </c>
      <c r="O1293" t="n">
        <v>0.33</v>
      </c>
      <c r="P1293" t="n">
        <v>1</v>
      </c>
      <c r="Q1293" t="n">
        <v>0.03</v>
      </c>
      <c r="R1293" t="n">
        <v>1</v>
      </c>
      <c r="S1293" t="n">
        <v>841.5000000000001</v>
      </c>
      <c r="T1293" t="n">
        <v>4</v>
      </c>
      <c r="U1293" t="n">
        <v>5</v>
      </c>
      <c r="V1293" t="n">
        <v>30</v>
      </c>
      <c r="W1293" t="n">
        <v>2</v>
      </c>
      <c r="X1293" t="n">
        <v>89.12655971479501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1374</v>
      </c>
      <c r="AG1293" t="n">
        <v>2136</v>
      </c>
      <c r="AH1293" t="inlineStr">
        <is>
          <t>CV. SAMUDRA JAYA ABADI - PPN (JMB)</t>
        </is>
      </c>
      <c r="AI1293" t="n">
        <v>1544</v>
      </c>
      <c r="AJ1293" t="inlineStr">
        <is>
          <t>GATSBY</t>
        </is>
      </c>
      <c r="AK1293" t="n">
        <v>9</v>
      </c>
      <c r="AL1293" t="inlineStr">
        <is>
          <t>Miss Glam Jambi</t>
        </is>
      </c>
      <c r="AM1293" t="n">
        <v>2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GATSBY</t>
        </is>
      </c>
      <c r="B1294" s="2">
        <f>"8992222055475"</f>
        <v/>
      </c>
      <c r="C1294" t="inlineStr">
        <is>
          <t>GATSBY Styling Pomade Perfect Rise 30gr</t>
        </is>
      </c>
      <c r="D1294" t="inlineStr">
        <is>
          <t>Miss Glam Jambi</t>
        </is>
      </c>
      <c r="E1294" t="n">
        <v>2</v>
      </c>
      <c r="F1294" t="n">
        <v>0.06270000000000001</v>
      </c>
      <c r="G1294" t="n">
        <v>0.66</v>
      </c>
      <c r="H1294" t="n">
        <v>2</v>
      </c>
      <c r="I1294" t="n">
        <v>6</v>
      </c>
      <c r="J1294" t="n">
        <v>3</v>
      </c>
      <c r="K1294" t="n">
        <v>0</v>
      </c>
      <c r="L1294" t="n">
        <v>12959</v>
      </c>
      <c r="M1294" t="n">
        <v>15000</v>
      </c>
      <c r="N1294" t="n">
        <v>33</v>
      </c>
      <c r="O1294" t="n">
        <v>0.33</v>
      </c>
      <c r="P1294" t="n">
        <v>1</v>
      </c>
      <c r="Q1294" t="n">
        <v>0.07000000000000001</v>
      </c>
      <c r="R1294" t="n">
        <v>1</v>
      </c>
      <c r="S1294" t="n">
        <v>940.5000000000001</v>
      </c>
      <c r="T1294" t="n">
        <v>4</v>
      </c>
      <c r="U1294" t="n">
        <v>5</v>
      </c>
      <c r="V1294" t="n">
        <v>30</v>
      </c>
      <c r="W1294" t="n">
        <v>2</v>
      </c>
      <c r="X1294" t="n">
        <v>31.89792663476874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1374</v>
      </c>
      <c r="AG1294" t="n">
        <v>2136</v>
      </c>
      <c r="AH1294" t="inlineStr">
        <is>
          <t>CV. SAMUDRA JAYA ABADI - PPN (JMB)</t>
        </is>
      </c>
      <c r="AI1294" t="n">
        <v>1544</v>
      </c>
      <c r="AJ1294" t="inlineStr">
        <is>
          <t>GATSBY</t>
        </is>
      </c>
      <c r="AK1294" t="n">
        <v>9</v>
      </c>
      <c r="AL1294" t="inlineStr">
        <is>
          <t>Miss Glam Jambi</t>
        </is>
      </c>
      <c r="AM1294" t="n">
        <v>2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GATSBY</t>
        </is>
      </c>
      <c r="B1295" s="2">
        <f>"8992222055482"</f>
        <v/>
      </c>
      <c r="C1295" t="inlineStr">
        <is>
          <t>GATSBY Styling Pomade Perfect Rise Edgy Quiff Style 75gr</t>
        </is>
      </c>
      <c r="D1295" t="inlineStr">
        <is>
          <t>Miss Glam Jambi</t>
        </is>
      </c>
      <c r="E1295" t="n">
        <v>3</v>
      </c>
      <c r="F1295" t="n">
        <v>0.033</v>
      </c>
      <c r="G1295" t="n">
        <v>0.33</v>
      </c>
      <c r="H1295" t="n">
        <v>2</v>
      </c>
      <c r="I1295" t="n">
        <v>6</v>
      </c>
      <c r="J1295" t="n">
        <v>3</v>
      </c>
      <c r="K1295" t="n">
        <v>0</v>
      </c>
      <c r="L1295" t="n">
        <v>26133</v>
      </c>
      <c r="M1295" t="n">
        <v>31000</v>
      </c>
      <c r="N1295" t="n">
        <v>33</v>
      </c>
      <c r="O1295" t="n">
        <v>0.33</v>
      </c>
      <c r="P1295" t="n">
        <v>1</v>
      </c>
      <c r="Q1295" t="n">
        <v>0.03</v>
      </c>
      <c r="R1295" t="n">
        <v>2</v>
      </c>
      <c r="S1295" t="n">
        <v>1023</v>
      </c>
      <c r="T1295" t="n">
        <v>2</v>
      </c>
      <c r="U1295" t="n">
        <v>3</v>
      </c>
      <c r="V1295" t="n">
        <v>30</v>
      </c>
      <c r="W1295" t="n">
        <v>1</v>
      </c>
      <c r="X1295" t="n">
        <v>90.90909090909091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1374</v>
      </c>
      <c r="AG1295" t="n">
        <v>2136</v>
      </c>
      <c r="AH1295" t="inlineStr">
        <is>
          <t>CV. SAMUDRA JAYA ABADI - PPN (JMB)</t>
        </is>
      </c>
      <c r="AI1295" t="n">
        <v>1544</v>
      </c>
      <c r="AJ1295" t="inlineStr">
        <is>
          <t>GATSBY</t>
        </is>
      </c>
      <c r="AK1295" t="n">
        <v>9</v>
      </c>
      <c r="AL1295" t="inlineStr">
        <is>
          <t>Miss Glam Jambi</t>
        </is>
      </c>
      <c r="AM1295" t="n">
        <v>2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"8992222054973"</f>
        <v/>
      </c>
      <c r="C1296" t="inlineStr">
        <is>
          <t>GATSBY Styling Pomade Supreme Grease 30gr</t>
        </is>
      </c>
      <c r="D1296" t="inlineStr">
        <is>
          <t>Miss Glam Jambi</t>
        </is>
      </c>
      <c r="E1296" t="n">
        <v>4</v>
      </c>
      <c r="F1296" t="n">
        <v>0.2475</v>
      </c>
      <c r="G1296" t="n">
        <v>0.99</v>
      </c>
      <c r="H1296" t="n">
        <v>2</v>
      </c>
      <c r="I1296" t="n">
        <v>6</v>
      </c>
      <c r="J1296" t="n">
        <v>3</v>
      </c>
      <c r="K1296" t="n">
        <v>4</v>
      </c>
      <c r="L1296" t="n">
        <v>13068</v>
      </c>
      <c r="M1296" t="n">
        <v>15000</v>
      </c>
      <c r="N1296" t="n">
        <v>33</v>
      </c>
      <c r="O1296" t="n">
        <v>0.33</v>
      </c>
      <c r="P1296" t="n">
        <v>1</v>
      </c>
      <c r="Q1296" t="n">
        <v>0.07000000000000001</v>
      </c>
      <c r="R1296" t="n">
        <v>1</v>
      </c>
      <c r="S1296" t="n">
        <v>3712.5</v>
      </c>
      <c r="T1296" t="n">
        <v>6</v>
      </c>
      <c r="U1296" t="n">
        <v>7</v>
      </c>
      <c r="V1296" t="n">
        <v>30</v>
      </c>
      <c r="W1296" t="n">
        <v>8</v>
      </c>
      <c r="X1296" t="n">
        <v>16.16161616161616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1374</v>
      </c>
      <c r="AG1296" t="n">
        <v>2136</v>
      </c>
      <c r="AH1296" t="inlineStr">
        <is>
          <t>CV. SAMUDRA JAYA ABADI - PPN (JMB)</t>
        </is>
      </c>
      <c r="AI1296" t="n">
        <v>1544</v>
      </c>
      <c r="AJ1296" t="inlineStr">
        <is>
          <t>GATSBY</t>
        </is>
      </c>
      <c r="AK1296" t="n">
        <v>9</v>
      </c>
      <c r="AL1296" t="inlineStr">
        <is>
          <t>Miss Glam Jambi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"8992222054492"</f>
        <v/>
      </c>
      <c r="C1297" t="inlineStr">
        <is>
          <t>GATSBY Styling Pomade Supreme Grease Slicked Back Style 80gr</t>
        </is>
      </c>
      <c r="D1297" t="inlineStr">
        <is>
          <t>Miss Glam Jambi</t>
        </is>
      </c>
      <c r="E1297" t="n">
        <v>3</v>
      </c>
      <c r="F1297" t="n">
        <v>0.1551</v>
      </c>
      <c r="G1297" t="n">
        <v>0.66</v>
      </c>
      <c r="H1297" t="n">
        <v>2</v>
      </c>
      <c r="I1297" t="n">
        <v>6</v>
      </c>
      <c r="J1297" t="n">
        <v>3</v>
      </c>
      <c r="K1297" t="n">
        <v>3</v>
      </c>
      <c r="L1297" t="n">
        <v>26659</v>
      </c>
      <c r="M1297" t="n">
        <v>31000</v>
      </c>
      <c r="N1297" t="n">
        <v>33</v>
      </c>
      <c r="O1297" t="n">
        <v>0.33</v>
      </c>
      <c r="P1297" t="n">
        <v>1</v>
      </c>
      <c r="Q1297" t="n">
        <v>0.08</v>
      </c>
      <c r="R1297" t="n">
        <v>1</v>
      </c>
      <c r="S1297" t="n">
        <v>4808.099999999999</v>
      </c>
      <c r="T1297" t="n">
        <v>4</v>
      </c>
      <c r="U1297" t="n">
        <v>5</v>
      </c>
      <c r="V1297" t="n">
        <v>30</v>
      </c>
      <c r="W1297" t="n">
        <v>5</v>
      </c>
      <c r="X1297" t="n">
        <v>19.34235976789168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1374</v>
      </c>
      <c r="AG1297" t="n">
        <v>2136</v>
      </c>
      <c r="AH1297" t="inlineStr">
        <is>
          <t>CV. SAMUDRA JAYA ABADI - PPN (JMB)</t>
        </is>
      </c>
      <c r="AI1297" t="n">
        <v>1544</v>
      </c>
      <c r="AJ1297" t="inlineStr">
        <is>
          <t>GATSBY</t>
        </is>
      </c>
      <c r="AK1297" t="n">
        <v>9</v>
      </c>
      <c r="AL1297" t="inlineStr">
        <is>
          <t>Miss Glam Jambi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"8992222054966"</f>
        <v/>
      </c>
      <c r="C1298" t="inlineStr">
        <is>
          <t>GATSBY Styling Pomade Supreme Hold 30gr</t>
        </is>
      </c>
      <c r="D1298" t="inlineStr">
        <is>
          <t>Miss Glam Jambi</t>
        </is>
      </c>
      <c r="E1298" t="n">
        <v>3</v>
      </c>
      <c r="F1298" t="n">
        <v>0.0561</v>
      </c>
      <c r="G1298" t="n">
        <v>0.66</v>
      </c>
      <c r="H1298" t="n">
        <v>2</v>
      </c>
      <c r="I1298" t="n">
        <v>6</v>
      </c>
      <c r="J1298" t="n">
        <v>3</v>
      </c>
      <c r="K1298" t="n">
        <v>0</v>
      </c>
      <c r="L1298" t="n">
        <v>13068</v>
      </c>
      <c r="M1298" t="n">
        <v>15000</v>
      </c>
      <c r="N1298" t="n">
        <v>33</v>
      </c>
      <c r="O1298" t="n">
        <v>0.33</v>
      </c>
      <c r="P1298" t="n">
        <v>1</v>
      </c>
      <c r="Q1298" t="n">
        <v>0.03</v>
      </c>
      <c r="R1298" t="n">
        <v>1</v>
      </c>
      <c r="S1298" t="n">
        <v>841.5000000000001</v>
      </c>
      <c r="T1298" t="n">
        <v>4</v>
      </c>
      <c r="U1298" t="n">
        <v>5</v>
      </c>
      <c r="V1298" t="n">
        <v>30</v>
      </c>
      <c r="W1298" t="n">
        <v>2</v>
      </c>
      <c r="X1298" t="n">
        <v>53.475935828877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1374</v>
      </c>
      <c r="AG1298" t="n">
        <v>2136</v>
      </c>
      <c r="AH1298" t="inlineStr">
        <is>
          <t>CV. SAMUDRA JAYA ABADI - PPN (JMB)</t>
        </is>
      </c>
      <c r="AI1298" t="n">
        <v>1544</v>
      </c>
      <c r="AJ1298" t="inlineStr">
        <is>
          <t>GATSBY</t>
        </is>
      </c>
      <c r="AK1298" t="n">
        <v>9</v>
      </c>
      <c r="AL1298" t="inlineStr">
        <is>
          <t>Miss Glam Jambi</t>
        </is>
      </c>
      <c r="AM1298" t="n">
        <v>2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"8992222054980"</f>
        <v/>
      </c>
      <c r="C1299" t="inlineStr">
        <is>
          <t>GATSBY Styling Pomade Supreme Hold Pompadour Style 75gr</t>
        </is>
      </c>
      <c r="D1299" t="inlineStr">
        <is>
          <t>Miss Glam Jambi</t>
        </is>
      </c>
      <c r="E1299" t="n">
        <v>6</v>
      </c>
      <c r="F1299" t="n">
        <v>0.03</v>
      </c>
      <c r="G1299" t="n">
        <v>1</v>
      </c>
      <c r="H1299" t="n">
        <v>2</v>
      </c>
      <c r="I1299" t="n">
        <v>6</v>
      </c>
      <c r="J1299" t="n">
        <v>3</v>
      </c>
      <c r="K1299" t="n">
        <v>0</v>
      </c>
      <c r="L1299" t="n">
        <v>24908</v>
      </c>
      <c r="M1299" t="n">
        <v>31000</v>
      </c>
      <c r="N1299" t="n">
        <v>33</v>
      </c>
      <c r="O1299" t="n">
        <v>0.33</v>
      </c>
      <c r="P1299" t="n">
        <v>0</v>
      </c>
      <c r="Q1299" t="n">
        <v>0.03</v>
      </c>
      <c r="R1299" t="n">
        <v>1</v>
      </c>
      <c r="S1299" t="n">
        <v>930</v>
      </c>
      <c r="T1299" t="n">
        <v>6</v>
      </c>
      <c r="U1299" t="n">
        <v>7</v>
      </c>
      <c r="V1299" t="n">
        <v>30</v>
      </c>
      <c r="W1299" t="n">
        <v>1</v>
      </c>
      <c r="X1299" t="n">
        <v>200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1374</v>
      </c>
      <c r="AG1299" t="n">
        <v>2136</v>
      </c>
      <c r="AH1299" t="inlineStr">
        <is>
          <t>CV. SAMUDRA JAYA ABADI - PPN (JMB)</t>
        </is>
      </c>
      <c r="AI1299" t="n">
        <v>1544</v>
      </c>
      <c r="AJ1299" t="inlineStr">
        <is>
          <t>GATSBY</t>
        </is>
      </c>
      <c r="AK1299" t="n">
        <v>9</v>
      </c>
      <c r="AL1299" t="inlineStr">
        <is>
          <t>Miss Glam Jambi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"8992222055505"</f>
        <v/>
      </c>
      <c r="C1300" t="inlineStr">
        <is>
          <t>GATSBY Styling Pomade Urban Dry Side Swept Style 75gr</t>
        </is>
      </c>
      <c r="D1300" t="inlineStr">
        <is>
          <t>Miss Glam Jambi</t>
        </is>
      </c>
      <c r="E1300" t="n">
        <v>5</v>
      </c>
      <c r="F1300" t="n">
        <v>0.06270000000000001</v>
      </c>
      <c r="G1300" t="n">
        <v>0.66</v>
      </c>
      <c r="H1300" t="n">
        <v>2</v>
      </c>
      <c r="I1300" t="n">
        <v>6</v>
      </c>
      <c r="J1300" t="n">
        <v>3</v>
      </c>
      <c r="K1300" t="n">
        <v>0</v>
      </c>
      <c r="L1300" t="n">
        <v>26659</v>
      </c>
      <c r="M1300" t="n">
        <v>31000</v>
      </c>
      <c r="N1300" t="n">
        <v>33</v>
      </c>
      <c r="O1300" t="n">
        <v>0.33</v>
      </c>
      <c r="P1300" t="n">
        <v>1</v>
      </c>
      <c r="Q1300" t="n">
        <v>0.02</v>
      </c>
      <c r="R1300" t="n">
        <v>1</v>
      </c>
      <c r="S1300" t="n">
        <v>1943.7</v>
      </c>
      <c r="T1300" t="n">
        <v>4</v>
      </c>
      <c r="U1300" t="n">
        <v>5</v>
      </c>
      <c r="V1300" t="n">
        <v>30</v>
      </c>
      <c r="W1300" t="n">
        <v>2</v>
      </c>
      <c r="X1300" t="n">
        <v>79.74481658692184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1374</v>
      </c>
      <c r="AG1300" t="n">
        <v>2136</v>
      </c>
      <c r="AH1300" t="inlineStr">
        <is>
          <t>CV. SAMUDRA JAYA ABADI - PPN (JMB)</t>
        </is>
      </c>
      <c r="AI1300" t="n">
        <v>1544</v>
      </c>
      <c r="AJ1300" t="inlineStr">
        <is>
          <t>GATSBY</t>
        </is>
      </c>
      <c r="AK1300" t="n">
        <v>9</v>
      </c>
      <c r="AL1300" t="inlineStr">
        <is>
          <t>Miss Glam Jambi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"8992222051613"</f>
        <v/>
      </c>
      <c r="C1301" t="inlineStr">
        <is>
          <t>GATSBY Styling Wax Mat &amp; Hard 75gr</t>
        </is>
      </c>
      <c r="D1301" t="inlineStr">
        <is>
          <t>Miss Glam Jambi</t>
        </is>
      </c>
      <c r="E1301" t="n">
        <v>2</v>
      </c>
      <c r="F1301" t="n">
        <v>0.06270000000000001</v>
      </c>
      <c r="G1301" t="n">
        <v>0.66</v>
      </c>
      <c r="H1301" t="n">
        <v>2</v>
      </c>
      <c r="I1301" t="n">
        <v>6</v>
      </c>
      <c r="J1301" t="n">
        <v>3</v>
      </c>
      <c r="K1301" t="n">
        <v>0</v>
      </c>
      <c r="L1301" t="n">
        <v>17559</v>
      </c>
      <c r="M1301" t="n">
        <v>20000</v>
      </c>
      <c r="N1301" t="n">
        <v>33</v>
      </c>
      <c r="O1301" t="n">
        <v>0.33</v>
      </c>
      <c r="P1301" t="n">
        <v>1</v>
      </c>
      <c r="Q1301" t="n">
        <v>0.02</v>
      </c>
      <c r="R1301" t="n">
        <v>1</v>
      </c>
      <c r="S1301" t="n">
        <v>1254</v>
      </c>
      <c r="T1301" t="n">
        <v>4</v>
      </c>
      <c r="U1301" t="n">
        <v>5</v>
      </c>
      <c r="V1301" t="n">
        <v>30</v>
      </c>
      <c r="W1301" t="n">
        <v>2</v>
      </c>
      <c r="X1301" t="n">
        <v>31.89792663476874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1374</v>
      </c>
      <c r="AG1301" t="n">
        <v>2136</v>
      </c>
      <c r="AH1301" t="inlineStr">
        <is>
          <t>CV. SAMUDRA JAYA ABADI - PPN (JMB)</t>
        </is>
      </c>
      <c r="AI1301" t="n">
        <v>1544</v>
      </c>
      <c r="AJ1301" t="inlineStr">
        <is>
          <t>GATSBY</t>
        </is>
      </c>
      <c r="AK1301" t="n">
        <v>9</v>
      </c>
      <c r="AL1301" t="inlineStr">
        <is>
          <t>Miss Glam Jambi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"8992222056922"</f>
        <v/>
      </c>
      <c r="C1302" t="inlineStr">
        <is>
          <t>GATSBY Super Hard Set &amp; Keep Spray 70ml</t>
        </is>
      </c>
      <c r="D1302" t="inlineStr">
        <is>
          <t>Miss Glam Jambi</t>
        </is>
      </c>
      <c r="E1302" t="n">
        <v>6</v>
      </c>
      <c r="F1302" t="n">
        <v>0.0825</v>
      </c>
      <c r="G1302" t="n">
        <v>0.66</v>
      </c>
      <c r="H1302" t="n">
        <v>2</v>
      </c>
      <c r="I1302" t="n">
        <v>6</v>
      </c>
      <c r="J1302" t="n">
        <v>3</v>
      </c>
      <c r="K1302" t="n">
        <v>0</v>
      </c>
      <c r="L1302" t="n">
        <v>15516</v>
      </c>
      <c r="M1302" t="n">
        <v>18500</v>
      </c>
      <c r="N1302" t="n">
        <v>33</v>
      </c>
      <c r="O1302" t="n">
        <v>0.33</v>
      </c>
      <c r="P1302" t="n">
        <v>1</v>
      </c>
      <c r="Q1302" t="n">
        <v>0.02</v>
      </c>
      <c r="R1302" t="n">
        <v>1</v>
      </c>
      <c r="S1302" t="n">
        <v>1526.25</v>
      </c>
      <c r="T1302" t="n">
        <v>4</v>
      </c>
      <c r="U1302" t="n">
        <v>5</v>
      </c>
      <c r="V1302" t="n">
        <v>30</v>
      </c>
      <c r="W1302" t="n">
        <v>3</v>
      </c>
      <c r="X1302" t="n">
        <v>72.72727272727272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1374</v>
      </c>
      <c r="AG1302" t="n">
        <v>2136</v>
      </c>
      <c r="AH1302" t="inlineStr">
        <is>
          <t>CV. SAMUDRA JAYA ABADI - PPN (JMB)</t>
        </is>
      </c>
      <c r="AI1302" t="n">
        <v>1544</v>
      </c>
      <c r="AJ1302" t="inlineStr">
        <is>
          <t>GATSBY</t>
        </is>
      </c>
      <c r="AK1302" t="n">
        <v>9</v>
      </c>
      <c r="AL1302" t="inlineStr">
        <is>
          <t>Miss Glam Jambi</t>
        </is>
      </c>
      <c r="AM1302" t="n">
        <v>2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"11000314336"</f>
        <v/>
      </c>
      <c r="C1303" t="inlineStr">
        <is>
          <t>GATSBY Tha  Nature Styling Balm Clay 30gr</t>
        </is>
      </c>
      <c r="D1303" t="inlineStr">
        <is>
          <t>Miss Glam Jambi</t>
        </is>
      </c>
      <c r="E1303" t="n">
        <v>2</v>
      </c>
      <c r="F1303" t="n">
        <v>0.1023</v>
      </c>
      <c r="G1303" t="n">
        <v>0.99</v>
      </c>
      <c r="H1303" t="n">
        <v>2</v>
      </c>
      <c r="I1303" t="n">
        <v>6</v>
      </c>
      <c r="J1303" t="n">
        <v>1</v>
      </c>
      <c r="K1303" t="n">
        <v>2</v>
      </c>
      <c r="L1303" t="n">
        <v>11434</v>
      </c>
      <c r="M1303" t="n">
        <v>13500</v>
      </c>
      <c r="N1303" t="n">
        <v>33</v>
      </c>
      <c r="O1303" t="n">
        <v>0.33</v>
      </c>
      <c r="P1303" t="n">
        <v>1</v>
      </c>
      <c r="Q1303" t="n">
        <v>0.07000000000000001</v>
      </c>
      <c r="R1303" t="n">
        <v>4</v>
      </c>
      <c r="S1303" t="n">
        <v>1381.05</v>
      </c>
      <c r="T1303" t="n">
        <v>6</v>
      </c>
      <c r="U1303" t="n">
        <v>7</v>
      </c>
      <c r="V1303" t="n">
        <v>30</v>
      </c>
      <c r="W1303" t="n">
        <v>4</v>
      </c>
      <c r="X1303" t="n">
        <v>19.55034213098729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1374</v>
      </c>
      <c r="AG1303" t="n">
        <v>2136</v>
      </c>
      <c r="AH1303" t="inlineStr">
        <is>
          <t>CV. SAMUDRA JAYA ABADI - PPN (JMB)</t>
        </is>
      </c>
      <c r="AI1303" t="n">
        <v>1544</v>
      </c>
      <c r="AJ1303" t="inlineStr">
        <is>
          <t>GATSBY</t>
        </is>
      </c>
      <c r="AK1303" t="n">
        <v>9</v>
      </c>
      <c r="AL1303" t="inlineStr">
        <is>
          <t>Miss Glam Jambi</t>
        </is>
      </c>
      <c r="AM1303" t="n">
        <v>2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"11000314524"</f>
        <v/>
      </c>
      <c r="C1304" t="inlineStr">
        <is>
          <t>GATSBY Tha Nature Styling Balm Cream 30gr</t>
        </is>
      </c>
      <c r="D1304" t="inlineStr">
        <is>
          <t>Miss Glam Jambi</t>
        </is>
      </c>
      <c r="E1304" t="n">
        <v>3</v>
      </c>
      <c r="F1304" t="n">
        <v>0.1023</v>
      </c>
      <c r="G1304" t="n">
        <v>0.99</v>
      </c>
      <c r="H1304" t="n">
        <v>2</v>
      </c>
      <c r="I1304" t="n">
        <v>6</v>
      </c>
      <c r="J1304" t="n">
        <v>1</v>
      </c>
      <c r="K1304" t="n">
        <v>1</v>
      </c>
      <c r="L1304" t="n">
        <v>11434</v>
      </c>
      <c r="M1304" t="n">
        <v>13500</v>
      </c>
      <c r="N1304" t="n">
        <v>33</v>
      </c>
      <c r="O1304" t="n">
        <v>0.33</v>
      </c>
      <c r="P1304" t="n">
        <v>1</v>
      </c>
      <c r="Q1304" t="n">
        <v>0.1</v>
      </c>
      <c r="R1304" t="n">
        <v>1</v>
      </c>
      <c r="S1304" t="n">
        <v>1381.05</v>
      </c>
      <c r="T1304" t="n">
        <v>6</v>
      </c>
      <c r="U1304" t="n">
        <v>7</v>
      </c>
      <c r="V1304" t="n">
        <v>30</v>
      </c>
      <c r="W1304" t="n">
        <v>4</v>
      </c>
      <c r="X1304" t="n">
        <v>29.32551319648094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1374</v>
      </c>
      <c r="AG1304" t="n">
        <v>2136</v>
      </c>
      <c r="AH1304" t="inlineStr">
        <is>
          <t>CV. SAMUDRA JAYA ABADI - PPN (JMB)</t>
        </is>
      </c>
      <c r="AI1304" t="n">
        <v>1544</v>
      </c>
      <c r="AJ1304" t="inlineStr">
        <is>
          <t>GATSBY</t>
        </is>
      </c>
      <c r="AK1304" t="n">
        <v>9</v>
      </c>
      <c r="AL1304" t="inlineStr">
        <is>
          <t>Miss Glam Jambi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GATSBY</t>
        </is>
      </c>
      <c r="B1305" s="2">
        <f>"11000314402"</f>
        <v/>
      </c>
      <c r="C1305" t="inlineStr">
        <is>
          <t>GATSBY Tha Nature Styling Balm Pomade 28gr</t>
        </is>
      </c>
      <c r="D1305" t="inlineStr">
        <is>
          <t>Miss Glam Jambi</t>
        </is>
      </c>
      <c r="E1305" t="n">
        <v>5</v>
      </c>
      <c r="F1305" t="n">
        <v>0.1122</v>
      </c>
      <c r="G1305" t="n">
        <v>0.66</v>
      </c>
      <c r="H1305" t="n">
        <v>2</v>
      </c>
      <c r="I1305" t="n">
        <v>6</v>
      </c>
      <c r="J1305" t="n">
        <v>1</v>
      </c>
      <c r="K1305" t="n">
        <v>0</v>
      </c>
      <c r="L1305" t="n">
        <v>11434</v>
      </c>
      <c r="M1305" t="n">
        <v>13500</v>
      </c>
      <c r="N1305" t="n">
        <v>33</v>
      </c>
      <c r="O1305" t="n">
        <v>0.33</v>
      </c>
      <c r="P1305" t="n">
        <v>1</v>
      </c>
      <c r="Q1305" t="n">
        <v>0.1</v>
      </c>
      <c r="R1305" t="n">
        <v>2</v>
      </c>
      <c r="S1305" t="n">
        <v>1514.7</v>
      </c>
      <c r="T1305" t="n">
        <v>4</v>
      </c>
      <c r="U1305" t="n">
        <v>5</v>
      </c>
      <c r="V1305" t="n">
        <v>30</v>
      </c>
      <c r="W1305" t="n">
        <v>4</v>
      </c>
      <c r="X1305" t="n">
        <v>44.5632798573975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1374</v>
      </c>
      <c r="AG1305" t="n">
        <v>2136</v>
      </c>
      <c r="AH1305" t="inlineStr">
        <is>
          <t>CV. SAMUDRA JAYA ABADI - PPN (JMB)</t>
        </is>
      </c>
      <c r="AI1305" t="n">
        <v>1544</v>
      </c>
      <c r="AJ1305" t="inlineStr">
        <is>
          <t>GATSBY</t>
        </is>
      </c>
      <c r="AK1305" t="n">
        <v>9</v>
      </c>
      <c r="AL1305" t="inlineStr">
        <is>
          <t>Miss Glam Jambi</t>
        </is>
      </c>
      <c r="AM1305" t="n">
        <v>2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"8992222056892"</f>
        <v/>
      </c>
      <c r="C1306" t="inlineStr">
        <is>
          <t>GATSBY The Nature Styling Balm Cream 75gr</t>
        </is>
      </c>
      <c r="D1306" t="inlineStr">
        <is>
          <t>Miss Glam Jambi</t>
        </is>
      </c>
      <c r="E1306" t="n">
        <v>3</v>
      </c>
      <c r="F1306" t="n">
        <v>0.0561</v>
      </c>
      <c r="G1306" t="n">
        <v>0.33</v>
      </c>
      <c r="H1306" t="n">
        <v>2</v>
      </c>
      <c r="I1306" t="n">
        <v>6</v>
      </c>
      <c r="J1306" t="n">
        <v>3</v>
      </c>
      <c r="K1306" t="n">
        <v>0</v>
      </c>
      <c r="L1306" t="n">
        <v>26542</v>
      </c>
      <c r="M1306" t="n">
        <v>32000</v>
      </c>
      <c r="N1306" t="n">
        <v>33</v>
      </c>
      <c r="O1306" t="n">
        <v>0.33</v>
      </c>
      <c r="P1306" t="n">
        <v>1</v>
      </c>
      <c r="Q1306" t="n">
        <v>0.14</v>
      </c>
      <c r="R1306" t="n">
        <v>1</v>
      </c>
      <c r="S1306" t="n">
        <v>1795.2</v>
      </c>
      <c r="T1306" t="n">
        <v>2</v>
      </c>
      <c r="U1306" t="n">
        <v>3</v>
      </c>
      <c r="V1306" t="n">
        <v>30</v>
      </c>
      <c r="W1306" t="n">
        <v>2</v>
      </c>
      <c r="X1306" t="n">
        <v>53.475935828877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1374</v>
      </c>
      <c r="AG1306" t="n">
        <v>2136</v>
      </c>
      <c r="AH1306" t="inlineStr">
        <is>
          <t>CV. SAMUDRA JAYA ABADI - PPN (JMB)</t>
        </is>
      </c>
      <c r="AI1306" t="n">
        <v>1544</v>
      </c>
      <c r="AJ1306" t="inlineStr">
        <is>
          <t>GATSBY</t>
        </is>
      </c>
      <c r="AK1306" t="n">
        <v>9</v>
      </c>
      <c r="AL1306" t="inlineStr">
        <is>
          <t>Miss Glam Jambi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"8992222056885"</f>
        <v/>
      </c>
      <c r="C1307" t="inlineStr">
        <is>
          <t>GATSBY The Nature Styling Balm Pomade 75gr</t>
        </is>
      </c>
      <c r="D1307" t="inlineStr">
        <is>
          <t>Miss Glam Jambi</t>
        </is>
      </c>
      <c r="E1307" t="n">
        <v>4</v>
      </c>
      <c r="F1307" t="n">
        <v>0.0561</v>
      </c>
      <c r="G1307" t="n">
        <v>0.66</v>
      </c>
      <c r="H1307" t="n">
        <v>2</v>
      </c>
      <c r="I1307" t="n">
        <v>6</v>
      </c>
      <c r="J1307" t="n">
        <v>3</v>
      </c>
      <c r="K1307" t="n">
        <v>0</v>
      </c>
      <c r="L1307" t="n">
        <v>25726</v>
      </c>
      <c r="M1307" t="n">
        <v>32000</v>
      </c>
      <c r="N1307" t="n">
        <v>33</v>
      </c>
      <c r="O1307" t="n">
        <v>0.33</v>
      </c>
      <c r="P1307" t="n">
        <v>1</v>
      </c>
      <c r="Q1307" t="n">
        <v>0.02</v>
      </c>
      <c r="R1307" t="n">
        <v>1</v>
      </c>
      <c r="S1307" t="n">
        <v>1795.2</v>
      </c>
      <c r="T1307" t="n">
        <v>4</v>
      </c>
      <c r="U1307" t="n">
        <v>5</v>
      </c>
      <c r="V1307" t="n">
        <v>30</v>
      </c>
      <c r="W1307" t="n">
        <v>2</v>
      </c>
      <c r="X1307" t="n">
        <v>71.301247771836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1374</v>
      </c>
      <c r="AG1307" t="n">
        <v>2136</v>
      </c>
      <c r="AH1307" t="inlineStr">
        <is>
          <t>CV. SAMUDRA JAYA ABADI - PPN (JMB)</t>
        </is>
      </c>
      <c r="AI1307" t="n">
        <v>1544</v>
      </c>
      <c r="AJ1307" t="inlineStr">
        <is>
          <t>GATSBY</t>
        </is>
      </c>
      <c r="AK1307" t="n">
        <v>9</v>
      </c>
      <c r="AL1307" t="inlineStr">
        <is>
          <t>Miss Glam Jambi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"8992222053020"</f>
        <v/>
      </c>
      <c r="C1308" t="inlineStr">
        <is>
          <t>GATSBY Water Gloss Hyper Solid 300gr</t>
        </is>
      </c>
      <c r="D1308" t="inlineStr">
        <is>
          <t>Miss Glam Jambi</t>
        </is>
      </c>
      <c r="E1308" t="n">
        <v>5</v>
      </c>
      <c r="F1308" t="n">
        <v>0.07920000000000001</v>
      </c>
      <c r="G1308" t="n">
        <v>0.99</v>
      </c>
      <c r="H1308" t="n">
        <v>2</v>
      </c>
      <c r="I1308" t="n">
        <v>6</v>
      </c>
      <c r="J1308" t="n">
        <v>3</v>
      </c>
      <c r="K1308" t="n">
        <v>0</v>
      </c>
      <c r="L1308" t="n">
        <v>23685</v>
      </c>
      <c r="M1308" t="n">
        <v>25500</v>
      </c>
      <c r="N1308" t="n">
        <v>33</v>
      </c>
      <c r="O1308" t="n">
        <v>0.33</v>
      </c>
      <c r="P1308" t="n">
        <v>1</v>
      </c>
      <c r="Q1308" t="n">
        <v>0.02</v>
      </c>
      <c r="R1308" t="n">
        <v>1</v>
      </c>
      <c r="S1308" t="n">
        <v>2019.6</v>
      </c>
      <c r="T1308" t="n">
        <v>6</v>
      </c>
      <c r="U1308" t="n">
        <v>7</v>
      </c>
      <c r="V1308" t="n">
        <v>30</v>
      </c>
      <c r="W1308" t="n">
        <v>3</v>
      </c>
      <c r="X1308" t="n">
        <v>63.13131313131313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1374</v>
      </c>
      <c r="AG1308" t="n">
        <v>2136</v>
      </c>
      <c r="AH1308" t="inlineStr">
        <is>
          <t>CV. SAMUDRA JAYA ABADI - PPN (JMB)</t>
        </is>
      </c>
      <c r="AI1308" t="n">
        <v>1544</v>
      </c>
      <c r="AJ1308" t="inlineStr">
        <is>
          <t>GATSBY</t>
        </is>
      </c>
      <c r="AK1308" t="n">
        <v>9</v>
      </c>
      <c r="AL1308" t="inlineStr">
        <is>
          <t>Miss Glam Jambi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GENDES</t>
        </is>
      </c>
      <c r="B1309" s="2">
        <f>"8992955001626"</f>
        <v/>
      </c>
      <c r="C1309" t="inlineStr">
        <is>
          <t>GENDES Aromatic Feminine Wash Foam Mango 55ml</t>
        </is>
      </c>
      <c r="D1309" t="inlineStr">
        <is>
          <t>Miss Glam Jambi</t>
        </is>
      </c>
      <c r="E1309" t="n">
        <v>5</v>
      </c>
      <c r="F1309" t="n">
        <v>0.006600000000000001</v>
      </c>
      <c r="G1309" t="n">
        <v>0.33</v>
      </c>
      <c r="H1309" t="n">
        <v>4</v>
      </c>
      <c r="I1309" t="n">
        <v>20</v>
      </c>
      <c r="J1309" t="n">
        <v>3</v>
      </c>
      <c r="K1309" t="n">
        <v>0</v>
      </c>
      <c r="L1309" t="n">
        <v>52124</v>
      </c>
      <c r="M1309" t="n">
        <v>73500</v>
      </c>
      <c r="N1309" t="n">
        <v>33</v>
      </c>
      <c r="O1309" t="n">
        <v>0.33</v>
      </c>
      <c r="P1309" t="n">
        <v>1</v>
      </c>
      <c r="Q1309" t="n">
        <v>0.05</v>
      </c>
      <c r="R1309" t="n">
        <v>1</v>
      </c>
      <c r="S1309" t="n">
        <v>485.1000000000001</v>
      </c>
      <c r="T1309" t="n">
        <v>7</v>
      </c>
      <c r="U1309" t="n">
        <v>8</v>
      </c>
      <c r="V1309" t="n">
        <v>30</v>
      </c>
      <c r="W1309" t="n">
        <v>1</v>
      </c>
      <c r="X1309" t="n">
        <v>757.5757575757575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5080</v>
      </c>
      <c r="AG1309" t="n">
        <v>1</v>
      </c>
      <c r="AH1309" t="inlineStr">
        <is>
          <t>PT. BERSAMA DISTRIVERSA INDONESIA (DC CIPUTAT)</t>
        </is>
      </c>
      <c r="AI1309" t="n">
        <v>1933</v>
      </c>
      <c r="AJ1309" t="inlineStr">
        <is>
          <t>GENDES</t>
        </is>
      </c>
      <c r="AK1309" t="n">
        <v>9</v>
      </c>
      <c r="AL1309" t="inlineStr">
        <is>
          <t>Miss Glam Jambi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GENDES</t>
        </is>
      </c>
      <c r="B1310" s="2">
        <f>"30800115936"</f>
        <v/>
      </c>
      <c r="C1310" t="inlineStr">
        <is>
          <t>GENDES Sweet Aromatic Chocolate Spray 23ml</t>
        </is>
      </c>
      <c r="D1310" t="inlineStr">
        <is>
          <t>Miss Glam Jambi</t>
        </is>
      </c>
      <c r="E1310" t="n">
        <v>5</v>
      </c>
      <c r="F1310" t="n">
        <v>0.0231</v>
      </c>
      <c r="G1310" t="n">
        <v>0.33</v>
      </c>
      <c r="H1310" t="n">
        <v>4</v>
      </c>
      <c r="I1310" t="n">
        <v>20</v>
      </c>
      <c r="J1310" t="n">
        <v>1</v>
      </c>
      <c r="K1310" t="n">
        <v>0</v>
      </c>
      <c r="L1310" t="n">
        <v>43210</v>
      </c>
      <c r="M1310" t="n">
        <v>58500</v>
      </c>
      <c r="N1310" t="n">
        <v>33</v>
      </c>
      <c r="O1310" t="n">
        <v>0.33</v>
      </c>
      <c r="P1310" t="n">
        <v>1</v>
      </c>
      <c r="Q1310" t="n">
        <v>0.03</v>
      </c>
      <c r="R1310" t="n">
        <v>1</v>
      </c>
      <c r="S1310" t="n">
        <v>1351.35</v>
      </c>
      <c r="T1310" t="n">
        <v>7</v>
      </c>
      <c r="U1310" t="n">
        <v>8</v>
      </c>
      <c r="V1310" t="n">
        <v>30</v>
      </c>
      <c r="W1310" t="n">
        <v>1</v>
      </c>
      <c r="X1310" t="n">
        <v>216.4502164502164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5080</v>
      </c>
      <c r="AG1310" t="n">
        <v>1</v>
      </c>
      <c r="AH1310" t="inlineStr">
        <is>
          <t>PT. BERSAMA DISTRIVERSA INDONESIA (DC CIPUTAT)</t>
        </is>
      </c>
      <c r="AI1310" t="n">
        <v>1933</v>
      </c>
      <c r="AJ1310" t="inlineStr">
        <is>
          <t>GENDES</t>
        </is>
      </c>
      <c r="AK1310" t="n">
        <v>9</v>
      </c>
      <c r="AL1310" t="inlineStr">
        <is>
          <t>Miss Glam Jambi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GENDES</t>
        </is>
      </c>
      <c r="B1311" s="2">
        <f>"8992955001541"</f>
        <v/>
      </c>
      <c r="C1311" t="inlineStr">
        <is>
          <t>GENDES Sweet Aromatic Feminine Hygiene Grape Spray 23 ml</t>
        </is>
      </c>
      <c r="D1311" t="inlineStr">
        <is>
          <t>Miss Glam Jambi</t>
        </is>
      </c>
      <c r="E1311" t="n">
        <v>8</v>
      </c>
      <c r="F1311" t="n">
        <v>0.0363</v>
      </c>
      <c r="G1311" t="n">
        <v>0.66</v>
      </c>
      <c r="H1311" t="n">
        <v>4</v>
      </c>
      <c r="I1311" t="n">
        <v>20</v>
      </c>
      <c r="J1311" t="n">
        <v>3</v>
      </c>
      <c r="K1311" t="n">
        <v>0</v>
      </c>
      <c r="L1311" t="n">
        <v>44376</v>
      </c>
      <c r="M1311" t="n">
        <v>63000</v>
      </c>
      <c r="N1311" t="n">
        <v>33</v>
      </c>
      <c r="O1311" t="n">
        <v>0.33</v>
      </c>
      <c r="P1311" t="n">
        <v>1</v>
      </c>
      <c r="Q1311" t="n">
        <v>0.07000000000000001</v>
      </c>
      <c r="R1311" t="n">
        <v>1</v>
      </c>
      <c r="S1311" t="n">
        <v>2286.9</v>
      </c>
      <c r="T1311" t="n">
        <v>14</v>
      </c>
      <c r="U1311" t="n">
        <v>15</v>
      </c>
      <c r="V1311" t="n">
        <v>30</v>
      </c>
      <c r="W1311" t="n">
        <v>2</v>
      </c>
      <c r="X1311" t="n">
        <v>220.3856749311295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5080</v>
      </c>
      <c r="AG1311" t="n">
        <v>1</v>
      </c>
      <c r="AH1311" t="inlineStr">
        <is>
          <t>PT. BERSAMA DISTRIVERSA INDONESIA (DC CIPUTAT)</t>
        </is>
      </c>
      <c r="AI1311" t="n">
        <v>1933</v>
      </c>
      <c r="AJ1311" t="inlineStr">
        <is>
          <t>GENDES</t>
        </is>
      </c>
      <c r="AK1311" t="n">
        <v>9</v>
      </c>
      <c r="AL1311" t="inlineStr">
        <is>
          <t>Miss Glam Jambi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GENDES</t>
        </is>
      </c>
      <c r="B1312" s="2">
        <f>"30800115559"</f>
        <v/>
      </c>
      <c r="C1312" t="inlineStr">
        <is>
          <t>GENDES Sweet Aromatic Feminine Hygiene Grape Wash Foam 55ml</t>
        </is>
      </c>
      <c r="D1312" t="inlineStr">
        <is>
          <t>Miss Glam Jambi</t>
        </is>
      </c>
      <c r="E1312" t="n">
        <v>21</v>
      </c>
      <c r="F1312" t="n">
        <v>0.0264</v>
      </c>
      <c r="G1312" t="n">
        <v>0.33</v>
      </c>
      <c r="H1312" t="n">
        <v>4</v>
      </c>
      <c r="I1312" t="n">
        <v>20</v>
      </c>
      <c r="J1312" t="n">
        <v>1</v>
      </c>
      <c r="K1312" t="n">
        <v>0</v>
      </c>
      <c r="L1312" t="n">
        <v>51900</v>
      </c>
      <c r="M1312" t="n">
        <v>75000</v>
      </c>
      <c r="N1312" t="n">
        <v>33</v>
      </c>
      <c r="O1312" t="n">
        <v>0.33</v>
      </c>
      <c r="P1312" t="n">
        <v>1</v>
      </c>
      <c r="Q1312" t="n">
        <v>0.07000000000000001</v>
      </c>
      <c r="R1312" t="n">
        <v>2</v>
      </c>
      <c r="S1312" t="n">
        <v>1980</v>
      </c>
      <c r="T1312" t="n">
        <v>7</v>
      </c>
      <c r="U1312" t="n">
        <v>8</v>
      </c>
      <c r="V1312" t="n">
        <v>30</v>
      </c>
      <c r="W1312" t="n">
        <v>1</v>
      </c>
      <c r="X1312" t="n">
        <v>795.4545454545454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5080</v>
      </c>
      <c r="AG1312" t="n">
        <v>1</v>
      </c>
      <c r="AH1312" t="inlineStr">
        <is>
          <t>PT. BERSAMA DISTRIVERSA INDONESIA (DC CIPUTAT)</t>
        </is>
      </c>
      <c r="AI1312" t="n">
        <v>1933</v>
      </c>
      <c r="AJ1312" t="inlineStr">
        <is>
          <t>GENDES</t>
        </is>
      </c>
      <c r="AK1312" t="n">
        <v>9</v>
      </c>
      <c r="AL1312" t="inlineStr">
        <is>
          <t>Miss Glam Jambi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GENDES</t>
        </is>
      </c>
      <c r="B1313" s="2">
        <f>"8992955001565"</f>
        <v/>
      </c>
      <c r="C1313" t="inlineStr">
        <is>
          <t>GENDES Sweet Aromatic Feminine Hygiene Mango Spray 23ml</t>
        </is>
      </c>
      <c r="D1313" t="inlineStr">
        <is>
          <t>Miss Glam Jambi</t>
        </is>
      </c>
      <c r="E1313" t="n">
        <v>6</v>
      </c>
      <c r="F1313" t="n">
        <v>0.0231</v>
      </c>
      <c r="G1313" t="n">
        <v>0.33</v>
      </c>
      <c r="H1313" t="n">
        <v>4</v>
      </c>
      <c r="I1313" t="n">
        <v>20</v>
      </c>
      <c r="J1313" t="n">
        <v>3</v>
      </c>
      <c r="K1313" t="n">
        <v>0</v>
      </c>
      <c r="L1313" t="n">
        <v>44571</v>
      </c>
      <c r="M1313" t="n">
        <v>63000</v>
      </c>
      <c r="N1313" t="n">
        <v>33</v>
      </c>
      <c r="O1313" t="n">
        <v>0.33</v>
      </c>
      <c r="P1313" t="n">
        <v>1</v>
      </c>
      <c r="Q1313" t="n">
        <v>0.03</v>
      </c>
      <c r="R1313" t="n">
        <v>1</v>
      </c>
      <c r="S1313" t="n">
        <v>1455.3</v>
      </c>
      <c r="T1313" t="n">
        <v>7</v>
      </c>
      <c r="U1313" t="n">
        <v>8</v>
      </c>
      <c r="V1313" t="n">
        <v>30</v>
      </c>
      <c r="W1313" t="n">
        <v>1</v>
      </c>
      <c r="X1313" t="n">
        <v>259.7402597402597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5080</v>
      </c>
      <c r="AG1313" t="n">
        <v>1</v>
      </c>
      <c r="AH1313" t="inlineStr">
        <is>
          <t>PT. BERSAMA DISTRIVERSA INDONESIA (DC CIPUTAT)</t>
        </is>
      </c>
      <c r="AI1313" t="n">
        <v>1933</v>
      </c>
      <c r="AJ1313" t="inlineStr">
        <is>
          <t>GENDES</t>
        </is>
      </c>
      <c r="AK1313" t="n">
        <v>9</v>
      </c>
      <c r="AL1313" t="inlineStr">
        <is>
          <t>Miss Glam Jambi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GENDES</t>
        </is>
      </c>
      <c r="B1314" s="2">
        <f>"30800115629"</f>
        <v/>
      </c>
      <c r="C1314" t="inlineStr">
        <is>
          <t>GENDES Sweet Aromatic Feminine Hygiene Vanilla Wash Foam (Flavor) 55ml</t>
        </is>
      </c>
      <c r="D1314" t="inlineStr">
        <is>
          <t>Miss Glam Jambi</t>
        </is>
      </c>
      <c r="E1314" t="n">
        <v>8</v>
      </c>
      <c r="F1314" t="n">
        <v>0.05280000000000001</v>
      </c>
      <c r="G1314" t="n">
        <v>0.66</v>
      </c>
      <c r="H1314" t="n">
        <v>4</v>
      </c>
      <c r="I1314" t="n">
        <v>20</v>
      </c>
      <c r="J1314" t="n">
        <v>1</v>
      </c>
      <c r="K1314" t="n">
        <v>0</v>
      </c>
      <c r="L1314" t="n">
        <v>52124</v>
      </c>
      <c r="M1314" t="n">
        <v>69000</v>
      </c>
      <c r="N1314" t="n">
        <v>33</v>
      </c>
      <c r="O1314" t="n">
        <v>0.33</v>
      </c>
      <c r="P1314" t="n">
        <v>1</v>
      </c>
      <c r="Q1314" t="n">
        <v>0.22</v>
      </c>
      <c r="R1314" t="n">
        <v>3</v>
      </c>
      <c r="S1314" t="n">
        <v>3643.2</v>
      </c>
      <c r="T1314" t="n">
        <v>13</v>
      </c>
      <c r="U1314" t="n">
        <v>14</v>
      </c>
      <c r="V1314" t="n">
        <v>30</v>
      </c>
      <c r="W1314" t="n">
        <v>2</v>
      </c>
      <c r="X1314" t="n">
        <v>151.5151515151515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5080</v>
      </c>
      <c r="AG1314" t="n">
        <v>1</v>
      </c>
      <c r="AH1314" t="inlineStr">
        <is>
          <t>PT. BERSAMA DISTRIVERSA INDONESIA (DC CIPUTAT)</t>
        </is>
      </c>
      <c r="AI1314" t="n">
        <v>1933</v>
      </c>
      <c r="AJ1314" t="inlineStr">
        <is>
          <t>GENDES</t>
        </is>
      </c>
      <c r="AK1314" t="n">
        <v>9</v>
      </c>
      <c r="AL1314" t="inlineStr">
        <is>
          <t>Miss Glam Jambi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GENDES</t>
        </is>
      </c>
      <c r="B1315" s="2">
        <f>"8992955001282"</f>
        <v/>
      </c>
      <c r="C1315" t="inlineStr">
        <is>
          <t>GENDES Sweet Aromatic Gum Spray 23ml</t>
        </is>
      </c>
      <c r="D1315" t="inlineStr">
        <is>
          <t>Miss Glam Jambi</t>
        </is>
      </c>
      <c r="E1315" t="n">
        <v>11</v>
      </c>
      <c r="F1315" t="n">
        <v>0.07590000000000001</v>
      </c>
      <c r="G1315" t="n">
        <v>0.33</v>
      </c>
      <c r="H1315" t="n">
        <v>4</v>
      </c>
      <c r="I1315" t="n">
        <v>20</v>
      </c>
      <c r="J1315" t="n">
        <v>3</v>
      </c>
      <c r="K1315" t="n">
        <v>0</v>
      </c>
      <c r="L1315" t="n">
        <v>44571</v>
      </c>
      <c r="M1315" t="n">
        <v>61500</v>
      </c>
      <c r="N1315" t="n">
        <v>33</v>
      </c>
      <c r="O1315" t="n">
        <v>0.33</v>
      </c>
      <c r="P1315" t="n">
        <v>1</v>
      </c>
      <c r="Q1315" t="n">
        <v>0.15</v>
      </c>
      <c r="R1315" t="n">
        <v>2</v>
      </c>
      <c r="S1315" t="n">
        <v>4667.85</v>
      </c>
      <c r="T1315" t="n">
        <v>7</v>
      </c>
      <c r="U1315" t="n">
        <v>8</v>
      </c>
      <c r="V1315" t="n">
        <v>30</v>
      </c>
      <c r="W1315" t="n">
        <v>3</v>
      </c>
      <c r="X1315" t="n">
        <v>144.927536231884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5080</v>
      </c>
      <c r="AG1315" t="n">
        <v>1</v>
      </c>
      <c r="AH1315" t="inlineStr">
        <is>
          <t>PT. BERSAMA DISTRIVERSA INDONESIA (DC CIPUTAT)</t>
        </is>
      </c>
      <c r="AI1315" t="n">
        <v>1933</v>
      </c>
      <c r="AJ1315" t="inlineStr">
        <is>
          <t>GENDES</t>
        </is>
      </c>
      <c r="AK1315" t="n">
        <v>9</v>
      </c>
      <c r="AL1315" t="inlineStr">
        <is>
          <t>Miss Glam Jambi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GENDES</t>
        </is>
      </c>
      <c r="B1316" s="2">
        <f>"8992955001305"</f>
        <v/>
      </c>
      <c r="C1316" t="inlineStr">
        <is>
          <t>GENDES Sweet Aromatic Vanila Spray 23ml</t>
        </is>
      </c>
      <c r="D1316" t="inlineStr">
        <is>
          <t>Miss Glam Jambi</t>
        </is>
      </c>
      <c r="E1316" t="n">
        <v>9</v>
      </c>
      <c r="F1316" t="n">
        <v>0.033</v>
      </c>
      <c r="G1316" t="n">
        <v>0.33</v>
      </c>
      <c r="H1316" t="n">
        <v>4</v>
      </c>
      <c r="I1316" t="n">
        <v>20</v>
      </c>
      <c r="J1316" t="n">
        <v>3</v>
      </c>
      <c r="K1316" t="n">
        <v>0</v>
      </c>
      <c r="L1316" t="n">
        <v>44571</v>
      </c>
      <c r="M1316" t="n">
        <v>61500</v>
      </c>
      <c r="N1316" t="n">
        <v>33</v>
      </c>
      <c r="O1316" t="n">
        <v>0.33</v>
      </c>
      <c r="P1316" t="n">
        <v>1</v>
      </c>
      <c r="Q1316" t="n">
        <v>0.15</v>
      </c>
      <c r="R1316" t="n">
        <v>3</v>
      </c>
      <c r="S1316" t="n">
        <v>2029.5</v>
      </c>
      <c r="T1316" t="n">
        <v>7</v>
      </c>
      <c r="U1316" t="n">
        <v>8</v>
      </c>
      <c r="V1316" t="n">
        <v>30</v>
      </c>
      <c r="W1316" t="n">
        <v>1</v>
      </c>
      <c r="X1316" t="n">
        <v>272.7272727272727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5080</v>
      </c>
      <c r="AG1316" t="n">
        <v>1</v>
      </c>
      <c r="AH1316" t="inlineStr">
        <is>
          <t>PT. BERSAMA DISTRIVERSA INDONESIA (DC CIPUTAT)</t>
        </is>
      </c>
      <c r="AI1316" t="n">
        <v>1933</v>
      </c>
      <c r="AJ1316" t="inlineStr">
        <is>
          <t>GENDES</t>
        </is>
      </c>
      <c r="AK1316" t="n">
        <v>9</v>
      </c>
      <c r="AL1316" t="inlineStr">
        <is>
          <t>Miss Glam Jambi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GILETTE</t>
        </is>
      </c>
      <c r="B1317" s="2">
        <f>"4987176162281"</f>
        <v/>
      </c>
      <c r="C1317" t="inlineStr">
        <is>
          <t>GILETTE Simply Venus Basic 5 Razor</t>
        </is>
      </c>
      <c r="D1317" t="inlineStr">
        <is>
          <t>Miss Glam Jambi</t>
        </is>
      </c>
      <c r="E1317" t="n">
        <v>9</v>
      </c>
      <c r="F1317" t="n">
        <v>0.0825</v>
      </c>
      <c r="G1317" t="n">
        <v>0.66</v>
      </c>
      <c r="H1317" t="n">
        <v>4</v>
      </c>
      <c r="I1317" t="n">
        <v>9</v>
      </c>
      <c r="J1317" t="n">
        <v>3</v>
      </c>
      <c r="K1317" t="n">
        <v>0</v>
      </c>
      <c r="L1317" t="n">
        <v>37056</v>
      </c>
      <c r="M1317" t="n">
        <v>50500</v>
      </c>
      <c r="N1317" t="n">
        <v>33</v>
      </c>
      <c r="O1317" t="n">
        <v>0.33</v>
      </c>
      <c r="P1317" t="n">
        <v>1</v>
      </c>
      <c r="Q1317" t="n">
        <v>0.02</v>
      </c>
      <c r="R1317" t="n">
        <v>1</v>
      </c>
      <c r="S1317" t="n">
        <v>4166.25</v>
      </c>
      <c r="T1317" t="n">
        <v>6</v>
      </c>
      <c r="U1317" t="n">
        <v>7</v>
      </c>
      <c r="V1317" t="n">
        <v>30</v>
      </c>
      <c r="W1317" t="n">
        <v>3</v>
      </c>
      <c r="X1317" t="n">
        <v>109.0909090909091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57</v>
      </c>
      <c r="AG1317" t="n">
        <v>2806</v>
      </c>
      <c r="AH1317" t="inlineStr">
        <is>
          <t>CATUR SENTOSA ADIPRIMA - PPN (PLB)</t>
        </is>
      </c>
      <c r="AI1317" t="n">
        <v>561</v>
      </c>
      <c r="AJ1317" t="inlineStr">
        <is>
          <t>GILETTE</t>
        </is>
      </c>
      <c r="AK1317" t="n">
        <v>9</v>
      </c>
      <c r="AL1317" t="inlineStr">
        <is>
          <t>Miss Glam Jambi</t>
        </is>
      </c>
      <c r="AM1317" t="n">
        <v>4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GILETTE</t>
        </is>
      </c>
      <c r="B1318" s="2">
        <f>"7702018366262"</f>
        <v/>
      </c>
      <c r="C1318" t="inlineStr">
        <is>
          <t>GILETTE Venus Simple</t>
        </is>
      </c>
      <c r="D1318" t="inlineStr">
        <is>
          <t>Miss Glam Jambi</t>
        </is>
      </c>
      <c r="E1318" t="n">
        <v>2</v>
      </c>
      <c r="F1318" t="n">
        <v>0.006600000000000001</v>
      </c>
      <c r="G1318" t="n">
        <v>0.33</v>
      </c>
      <c r="H1318" t="n">
        <v>4</v>
      </c>
      <c r="I1318" t="n">
        <v>9</v>
      </c>
      <c r="J1318" t="n">
        <v>3</v>
      </c>
      <c r="K1318" t="n">
        <v>0</v>
      </c>
      <c r="L1318" t="n">
        <v>56472</v>
      </c>
      <c r="M1318" t="n">
        <v>75500</v>
      </c>
      <c r="N1318" t="n">
        <v>33</v>
      </c>
      <c r="O1318" t="n">
        <v>0.33</v>
      </c>
      <c r="P1318" t="n">
        <v>1</v>
      </c>
      <c r="Q1318" t="n">
        <v>0.03</v>
      </c>
      <c r="R1318" t="n">
        <v>1</v>
      </c>
      <c r="S1318" t="n">
        <v>498.3000000000001</v>
      </c>
      <c r="T1318" t="n">
        <v>3</v>
      </c>
      <c r="U1318" t="n">
        <v>4</v>
      </c>
      <c r="V1318" t="n">
        <v>30</v>
      </c>
      <c r="W1318" t="n">
        <v>1</v>
      </c>
      <c r="X1318" t="n">
        <v>303.030303030303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57</v>
      </c>
      <c r="AG1318" t="n">
        <v>2806</v>
      </c>
      <c r="AH1318" t="inlineStr">
        <is>
          <t>CATUR SENTOSA ADIPRIMA - PPN (PLB)</t>
        </is>
      </c>
      <c r="AI1318" t="n">
        <v>561</v>
      </c>
      <c r="AJ1318" t="inlineStr">
        <is>
          <t>GILETTE</t>
        </is>
      </c>
      <c r="AK1318" t="n">
        <v>9</v>
      </c>
      <c r="AL1318" t="inlineStr">
        <is>
          <t>Miss Glam Jambi</t>
        </is>
      </c>
      <c r="AM1318" t="n">
        <v>4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GILETTE</t>
        </is>
      </c>
      <c r="B1319" s="2">
        <f>"7702018038275"</f>
        <v/>
      </c>
      <c r="C1319" t="inlineStr">
        <is>
          <t>GILLETE Sensitif Razor 3</t>
        </is>
      </c>
      <c r="D1319" t="inlineStr">
        <is>
          <t>Miss Glam Jambi</t>
        </is>
      </c>
      <c r="E1319" t="n">
        <v>0</v>
      </c>
      <c r="F1319" t="n">
        <v>0.03</v>
      </c>
      <c r="G1319" t="n">
        <v>1</v>
      </c>
      <c r="H1319" t="n">
        <v>4</v>
      </c>
      <c r="I1319" t="n">
        <v>9</v>
      </c>
      <c r="J1319" t="n">
        <v>3</v>
      </c>
      <c r="K1319" t="n">
        <v>0</v>
      </c>
      <c r="L1319" t="n">
        <v>69884</v>
      </c>
      <c r="M1319" t="n">
        <v>82500</v>
      </c>
      <c r="N1319" t="n">
        <v>33</v>
      </c>
      <c r="O1319" t="n">
        <v>0.33</v>
      </c>
      <c r="P1319" t="n">
        <v>0</v>
      </c>
      <c r="Q1319" t="n">
        <v>0.03</v>
      </c>
      <c r="R1319" t="n">
        <v>1</v>
      </c>
      <c r="S1319" t="n">
        <v>2475</v>
      </c>
      <c r="T1319" t="n">
        <v>9</v>
      </c>
      <c r="U1319" t="n">
        <v>10</v>
      </c>
      <c r="V1319" t="n">
        <v>30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n">
        <v>0</v>
      </c>
      <c r="AC1319" t="n">
        <v>0</v>
      </c>
      <c r="AD1319" t="n">
        <v>69884</v>
      </c>
      <c r="AE1319" t="n">
        <v>0</v>
      </c>
      <c r="AF1319" t="n">
        <v>57</v>
      </c>
      <c r="AG1319" t="n">
        <v>2806</v>
      </c>
      <c r="AH1319" t="inlineStr">
        <is>
          <t>CATUR SENTOSA ADIPRIMA - PPN (PLB)</t>
        </is>
      </c>
      <c r="AI1319" t="n">
        <v>561</v>
      </c>
      <c r="AJ1319" t="inlineStr">
        <is>
          <t>GILETTE</t>
        </is>
      </c>
      <c r="AK1319" t="n">
        <v>9</v>
      </c>
      <c r="AL1319" t="inlineStr">
        <is>
          <t>Miss Glam Jambi</t>
        </is>
      </c>
      <c r="AM1319" t="n">
        <v>4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GINZA</t>
        </is>
      </c>
      <c r="B1320" s="2">
        <f>"10100306222"</f>
        <v/>
      </c>
      <c r="C1320" t="inlineStr">
        <is>
          <t>GINZA Cleansing Oil Travel Size Silky Pore 50ml</t>
        </is>
      </c>
      <c r="D1320" t="inlineStr">
        <is>
          <t>Miss Glam Jambi</t>
        </is>
      </c>
      <c r="E1320" t="n">
        <v>0</v>
      </c>
      <c r="F1320" t="n">
        <v>0.04</v>
      </c>
      <c r="G1320" t="n">
        <v>1</v>
      </c>
      <c r="H1320" t="n">
        <v>2</v>
      </c>
      <c r="I1320" t="n">
        <v>3</v>
      </c>
      <c r="J1320" t="n">
        <v>1</v>
      </c>
      <c r="K1320" t="n">
        <v>0</v>
      </c>
      <c r="L1320" t="n">
        <v>30600</v>
      </c>
      <c r="M1320" t="n">
        <v>36000</v>
      </c>
      <c r="N1320" t="n">
        <v>33</v>
      </c>
      <c r="O1320" t="n">
        <v>0.33</v>
      </c>
      <c r="P1320" t="n">
        <v>0</v>
      </c>
      <c r="Q1320" t="n">
        <v>0.04</v>
      </c>
      <c r="R1320" t="n">
        <v>1</v>
      </c>
      <c r="S1320" t="n">
        <v>1440</v>
      </c>
      <c r="T1320" t="n">
        <v>3</v>
      </c>
      <c r="U1320" t="n">
        <v>4</v>
      </c>
      <c r="V1320" t="n">
        <v>30</v>
      </c>
      <c r="W1320" t="n">
        <v>2</v>
      </c>
      <c r="X1320" t="n">
        <v>0</v>
      </c>
      <c r="Y1320" t="n">
        <v>1</v>
      </c>
      <c r="Z1320" t="n">
        <v>2</v>
      </c>
      <c r="AA1320" t="n">
        <v>1</v>
      </c>
      <c r="AB1320" t="n">
        <v>1</v>
      </c>
      <c r="AC1320" t="n">
        <v>1</v>
      </c>
      <c r="AD1320" t="n">
        <v>30600</v>
      </c>
      <c r="AE1320" t="n">
        <v>30600</v>
      </c>
      <c r="AF1320" t="n">
        <v>1752</v>
      </c>
      <c r="AG1320" t="n">
        <v>2624</v>
      </c>
      <c r="AH1320" t="inlineStr">
        <is>
          <t>CV. USAHA MANDIRI - PPN (JMB)</t>
        </is>
      </c>
      <c r="AI1320" t="n">
        <v>2287</v>
      </c>
      <c r="AJ1320" t="inlineStr">
        <is>
          <t>GINZA</t>
        </is>
      </c>
      <c r="AK1320" t="n">
        <v>9</v>
      </c>
      <c r="AL1320" t="inlineStr">
        <is>
          <t>Miss Glam Jambi</t>
        </is>
      </c>
      <c r="AM1320" t="n">
        <v>0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GINZA</t>
        </is>
      </c>
      <c r="B1321" s="2">
        <f>"10100204130"</f>
        <v/>
      </c>
      <c r="C1321" t="inlineStr">
        <is>
          <t>GINZA Silky Pore Clear Cleansing Oil 155ml</t>
        </is>
      </c>
      <c r="D1321" t="inlineStr">
        <is>
          <t>Miss Glam Jambi</t>
        </is>
      </c>
      <c r="E1321" t="n">
        <v>2</v>
      </c>
      <c r="F1321" t="n">
        <v>0.009900000000000001</v>
      </c>
      <c r="G1321" t="n">
        <v>0.33</v>
      </c>
      <c r="H1321" t="n">
        <v>2</v>
      </c>
      <c r="I1321" t="n">
        <v>3</v>
      </c>
      <c r="J1321" t="n">
        <v>1</v>
      </c>
      <c r="K1321" t="n">
        <v>0</v>
      </c>
      <c r="L1321" t="n">
        <v>66300</v>
      </c>
      <c r="M1321" t="n">
        <v>78000</v>
      </c>
      <c r="N1321" t="n">
        <v>33</v>
      </c>
      <c r="O1321" t="n">
        <v>0.33</v>
      </c>
      <c r="P1321" t="n">
        <v>1</v>
      </c>
      <c r="Q1321" t="n">
        <v>0.07000000000000001</v>
      </c>
      <c r="R1321" t="n">
        <v>1</v>
      </c>
      <c r="S1321" t="n">
        <v>772.2</v>
      </c>
      <c r="T1321" t="n">
        <v>1</v>
      </c>
      <c r="U1321" t="n">
        <v>2</v>
      </c>
      <c r="V1321" t="n">
        <v>30</v>
      </c>
      <c r="W1321" t="n">
        <v>1</v>
      </c>
      <c r="X1321" t="n">
        <v>202.020202020202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1752</v>
      </c>
      <c r="AG1321" t="n">
        <v>2624</v>
      </c>
      <c r="AH1321" t="inlineStr">
        <is>
          <t>CV. USAHA MANDIRI - PPN (JMB)</t>
        </is>
      </c>
      <c r="AI1321" t="n">
        <v>2287</v>
      </c>
      <c r="AJ1321" t="inlineStr">
        <is>
          <t>GINZA</t>
        </is>
      </c>
      <c r="AK1321" t="n">
        <v>9</v>
      </c>
      <c r="AL1321" t="inlineStr">
        <is>
          <t>Miss Glam Jambi</t>
        </is>
      </c>
      <c r="AM1321" t="n">
        <v>0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"8809623612735"</f>
        <v/>
      </c>
      <c r="C1322" t="inlineStr">
        <is>
          <t>GLAD2GLOW  Kiwi 3D Acid Acne Moisturizer 30gr</t>
        </is>
      </c>
      <c r="D1322" t="inlineStr">
        <is>
          <t>Miss Glam Jambi</t>
        </is>
      </c>
      <c r="E1322" t="n">
        <v>16</v>
      </c>
      <c r="F1322" t="n">
        <v>1.1847</v>
      </c>
      <c r="G1322" t="n">
        <v>2.97</v>
      </c>
      <c r="H1322" t="n">
        <v>4</v>
      </c>
      <c r="I1322" t="n">
        <v>21</v>
      </c>
      <c r="J1322" t="n">
        <v>6</v>
      </c>
      <c r="K1322" t="n">
        <v>11</v>
      </c>
      <c r="L1322" t="n">
        <v>38309</v>
      </c>
      <c r="M1322" t="n">
        <v>49000</v>
      </c>
      <c r="N1322" t="n">
        <v>33</v>
      </c>
      <c r="O1322" t="n">
        <v>0.33</v>
      </c>
      <c r="P1322" t="n">
        <v>1</v>
      </c>
      <c r="Q1322" t="n">
        <v>0.66</v>
      </c>
      <c r="R1322" t="n">
        <v>3</v>
      </c>
      <c r="S1322" t="n">
        <v>58050.3</v>
      </c>
      <c r="T1322" t="n">
        <v>58</v>
      </c>
      <c r="U1322" t="n">
        <v>63</v>
      </c>
      <c r="V1322" t="n">
        <v>30</v>
      </c>
      <c r="W1322" t="n">
        <v>36</v>
      </c>
      <c r="X1322" t="n">
        <v>13.50552882586309</v>
      </c>
      <c r="Y1322" t="n">
        <v>1</v>
      </c>
      <c r="Z1322" t="n">
        <v>9</v>
      </c>
      <c r="AA1322" t="n">
        <v>8</v>
      </c>
      <c r="AB1322" t="n">
        <v>1</v>
      </c>
      <c r="AC1322" t="n">
        <v>6</v>
      </c>
      <c r="AD1322" t="n">
        <v>306472</v>
      </c>
      <c r="AE1322" t="n">
        <v>229854</v>
      </c>
      <c r="AF1322" t="n">
        <v>9412</v>
      </c>
      <c r="AG1322" t="n">
        <v>2194</v>
      </c>
      <c r="AH1322" t="inlineStr">
        <is>
          <t>PT. BINTANG MAS SURYA - PPN (JMB)</t>
        </is>
      </c>
      <c r="AI1322" t="n">
        <v>1638</v>
      </c>
      <c r="AJ1322" t="inlineStr">
        <is>
          <t>GLAD2GLOW</t>
        </is>
      </c>
      <c r="AK1322" t="n">
        <v>9</v>
      </c>
      <c r="AL1322" t="inlineStr">
        <is>
          <t>Miss Glam Jambi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"20100484745"</f>
        <v/>
      </c>
      <c r="C1323" t="inlineStr">
        <is>
          <t>GLAD2GLOW 2in1 Perfect Pair Cushion Powder 00 Affogato 8g</t>
        </is>
      </c>
      <c r="D1323" t="inlineStr">
        <is>
          <t>Miss Glam Jambi</t>
        </is>
      </c>
      <c r="E1323" t="n">
        <v>19</v>
      </c>
      <c r="F1323" t="n">
        <v>0.0264</v>
      </c>
      <c r="G1323" t="n">
        <v>0.66</v>
      </c>
      <c r="H1323" t="n">
        <v>4</v>
      </c>
      <c r="I1323" t="n">
        <v>21</v>
      </c>
      <c r="J1323" t="n">
        <v>1</v>
      </c>
      <c r="K1323" t="n">
        <v>0</v>
      </c>
      <c r="L1323" t="n">
        <v>143650</v>
      </c>
      <c r="M1323" t="n">
        <v>169000</v>
      </c>
      <c r="N1323" t="n">
        <v>33</v>
      </c>
      <c r="O1323" t="n">
        <v>0.33</v>
      </c>
      <c r="P1323" t="n">
        <v>1</v>
      </c>
      <c r="Q1323" t="n">
        <v>0.05</v>
      </c>
      <c r="R1323" t="n">
        <v>1</v>
      </c>
      <c r="S1323" t="n">
        <v>4461.6</v>
      </c>
      <c r="T1323" t="n">
        <v>14</v>
      </c>
      <c r="U1323" t="n">
        <v>15</v>
      </c>
      <c r="V1323" t="n">
        <v>30</v>
      </c>
      <c r="W1323" t="n">
        <v>1</v>
      </c>
      <c r="X1323" t="n">
        <v>719.6969696969696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9412</v>
      </c>
      <c r="AG1323" t="n">
        <v>2194</v>
      </c>
      <c r="AH1323" t="inlineStr">
        <is>
          <t>PT. BINTANG MAS SURYA - PPN (JMB)</t>
        </is>
      </c>
      <c r="AI1323" t="n">
        <v>1638</v>
      </c>
      <c r="AJ1323" t="inlineStr">
        <is>
          <t>GLAD2GLOW</t>
        </is>
      </c>
      <c r="AK1323" t="n">
        <v>9</v>
      </c>
      <c r="AL1323" t="inlineStr">
        <is>
          <t>Miss Glam Jambi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"20100484810"</f>
        <v/>
      </c>
      <c r="C1324" t="inlineStr">
        <is>
          <t>GLAD2GLOW 2in1 Perfect Pair Cushion Powder 01 Buttercream 8g</t>
        </is>
      </c>
      <c r="D1324" t="inlineStr">
        <is>
          <t>Miss Glam Jambi</t>
        </is>
      </c>
      <c r="E1324" t="n">
        <v>3</v>
      </c>
      <c r="F1324" t="n">
        <v>0.1947</v>
      </c>
      <c r="G1324" t="n">
        <v>1.32</v>
      </c>
      <c r="H1324" t="n">
        <v>4</v>
      </c>
      <c r="I1324" t="n">
        <v>21</v>
      </c>
      <c r="J1324" t="n">
        <v>1</v>
      </c>
      <c r="K1324" t="n">
        <v>2</v>
      </c>
      <c r="L1324" t="n">
        <v>143650</v>
      </c>
      <c r="M1324" t="n">
        <v>169000</v>
      </c>
      <c r="N1324" t="n">
        <v>33</v>
      </c>
      <c r="O1324" t="n">
        <v>0.33</v>
      </c>
      <c r="P1324" t="n">
        <v>1</v>
      </c>
      <c r="Q1324" t="n">
        <v>0.12</v>
      </c>
      <c r="R1324" t="n">
        <v>2</v>
      </c>
      <c r="S1324" t="n">
        <v>32904.3</v>
      </c>
      <c r="T1324" t="n">
        <v>27</v>
      </c>
      <c r="U1324" t="n">
        <v>28</v>
      </c>
      <c r="V1324" t="n">
        <v>30</v>
      </c>
      <c r="W1324" t="n">
        <v>6</v>
      </c>
      <c r="X1324" t="n">
        <v>15.40832049306625</v>
      </c>
      <c r="Y1324" t="n">
        <v>1</v>
      </c>
      <c r="Z1324" t="n">
        <v>1</v>
      </c>
      <c r="AA1324" t="n">
        <v>1</v>
      </c>
      <c r="AB1324" t="n">
        <v>0</v>
      </c>
      <c r="AC1324" t="n">
        <v>0</v>
      </c>
      <c r="AD1324" t="n">
        <v>143650</v>
      </c>
      <c r="AE1324" t="n">
        <v>0</v>
      </c>
      <c r="AF1324" t="n">
        <v>9412</v>
      </c>
      <c r="AG1324" t="n">
        <v>2194</v>
      </c>
      <c r="AH1324" t="inlineStr">
        <is>
          <t>PT. BINTANG MAS SURYA - PPN (JMB)</t>
        </is>
      </c>
      <c r="AI1324" t="n">
        <v>1638</v>
      </c>
      <c r="AJ1324" t="inlineStr">
        <is>
          <t>GLAD2GLOW</t>
        </is>
      </c>
      <c r="AK1324" t="n">
        <v>9</v>
      </c>
      <c r="AL1324" t="inlineStr">
        <is>
          <t>Miss Glam Jambi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"20100484929"</f>
        <v/>
      </c>
      <c r="C1325" t="inlineStr">
        <is>
          <t>GLAD2GLOW 2in1 Perfect Pair Cushion Powder 02 Praline 8g</t>
        </is>
      </c>
      <c r="D1325" t="inlineStr">
        <is>
          <t>Miss Glam Jambi</t>
        </is>
      </c>
      <c r="E1325" t="n">
        <v>9</v>
      </c>
      <c r="F1325" t="n">
        <v>0.4257</v>
      </c>
      <c r="G1325" t="n">
        <v>1.98</v>
      </c>
      <c r="H1325" t="n">
        <v>4</v>
      </c>
      <c r="I1325" t="n">
        <v>21</v>
      </c>
      <c r="J1325" t="n">
        <v>1</v>
      </c>
      <c r="K1325" t="n">
        <v>4</v>
      </c>
      <c r="L1325" t="n">
        <v>143650</v>
      </c>
      <c r="M1325" t="n">
        <v>169000</v>
      </c>
      <c r="N1325" t="n">
        <v>33</v>
      </c>
      <c r="O1325" t="n">
        <v>0.33</v>
      </c>
      <c r="P1325" t="n">
        <v>1</v>
      </c>
      <c r="Q1325" t="n">
        <v>0.32</v>
      </c>
      <c r="R1325" t="n">
        <v>1</v>
      </c>
      <c r="S1325" t="n">
        <v>71943.3</v>
      </c>
      <c r="T1325" t="n">
        <v>40</v>
      </c>
      <c r="U1325" t="n">
        <v>42</v>
      </c>
      <c r="V1325" t="n">
        <v>30</v>
      </c>
      <c r="W1325" t="n">
        <v>13</v>
      </c>
      <c r="X1325" t="n">
        <v>21.14164904862579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9412</v>
      </c>
      <c r="AG1325" t="n">
        <v>2194</v>
      </c>
      <c r="AH1325" t="inlineStr">
        <is>
          <t>PT. BINTANG MAS SURYA - PPN (JMB)</t>
        </is>
      </c>
      <c r="AI1325" t="n">
        <v>1638</v>
      </c>
      <c r="AJ1325" t="inlineStr">
        <is>
          <t>GLAD2GLOW</t>
        </is>
      </c>
      <c r="AK1325" t="n">
        <v>9</v>
      </c>
      <c r="AL1325" t="inlineStr">
        <is>
          <t>Miss Glam Jambi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"20100485059"</f>
        <v/>
      </c>
      <c r="C1326" t="inlineStr">
        <is>
          <t>GLAD2GLOW 2in1 Perfect Pair Cushion Powder 03 Custard 8g</t>
        </is>
      </c>
      <c r="D1326" t="inlineStr">
        <is>
          <t>Miss Glam Jambi</t>
        </is>
      </c>
      <c r="E1326" t="n">
        <v>9</v>
      </c>
      <c r="F1326" t="n">
        <v>0.4587</v>
      </c>
      <c r="G1326" t="n">
        <v>1.65</v>
      </c>
      <c r="H1326" t="n">
        <v>4</v>
      </c>
      <c r="I1326" t="n">
        <v>21</v>
      </c>
      <c r="J1326" t="n">
        <v>1</v>
      </c>
      <c r="K1326" t="n">
        <v>4</v>
      </c>
      <c r="L1326" t="n">
        <v>143650</v>
      </c>
      <c r="M1326" t="n">
        <v>169000</v>
      </c>
      <c r="N1326" t="n">
        <v>33</v>
      </c>
      <c r="O1326" t="n">
        <v>0.33</v>
      </c>
      <c r="P1326" t="n">
        <v>1</v>
      </c>
      <c r="Q1326" t="n">
        <v>0.44</v>
      </c>
      <c r="R1326" t="n">
        <v>2</v>
      </c>
      <c r="S1326" t="n">
        <v>77520.3</v>
      </c>
      <c r="T1326" t="n">
        <v>33</v>
      </c>
      <c r="U1326" t="n">
        <v>35</v>
      </c>
      <c r="V1326" t="n">
        <v>30</v>
      </c>
      <c r="W1326" t="n">
        <v>14</v>
      </c>
      <c r="X1326" t="n">
        <v>19.62066710268149</v>
      </c>
      <c r="Y1326" t="n">
        <v>1</v>
      </c>
      <c r="Z1326" t="n">
        <v>1</v>
      </c>
      <c r="AA1326" t="n">
        <v>0</v>
      </c>
      <c r="AB1326" t="n">
        <v>1</v>
      </c>
      <c r="AC1326" t="n">
        <v>1</v>
      </c>
      <c r="AD1326" t="n">
        <v>0</v>
      </c>
      <c r="AE1326" t="n">
        <v>143650</v>
      </c>
      <c r="AF1326" t="n">
        <v>9412</v>
      </c>
      <c r="AG1326" t="n">
        <v>2194</v>
      </c>
      <c r="AH1326" t="inlineStr">
        <is>
          <t>PT. BINTANG MAS SURYA - PPN (JMB)</t>
        </is>
      </c>
      <c r="AI1326" t="n">
        <v>1638</v>
      </c>
      <c r="AJ1326" t="inlineStr">
        <is>
          <t>GLAD2GLOW</t>
        </is>
      </c>
      <c r="AK1326" t="n">
        <v>9</v>
      </c>
      <c r="AL1326" t="inlineStr">
        <is>
          <t>Miss Glam Jambi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"20100485130"</f>
        <v/>
      </c>
      <c r="C1327" t="inlineStr">
        <is>
          <t>GLAD2GLOW 2in1 Perfect Pair Cushion Powder 04 Ginger 8gr</t>
        </is>
      </c>
      <c r="D1327" t="inlineStr">
        <is>
          <t>Miss Glam Jambi</t>
        </is>
      </c>
      <c r="E1327" t="n">
        <v>4</v>
      </c>
      <c r="F1327" t="n">
        <v>0.0825</v>
      </c>
      <c r="G1327" t="n">
        <v>0.66</v>
      </c>
      <c r="H1327" t="n">
        <v>4</v>
      </c>
      <c r="I1327" t="n">
        <v>21</v>
      </c>
      <c r="J1327" t="n">
        <v>1</v>
      </c>
      <c r="K1327" t="n">
        <v>0</v>
      </c>
      <c r="L1327" t="n">
        <v>143650</v>
      </c>
      <c r="M1327" t="n">
        <v>169000</v>
      </c>
      <c r="N1327" t="n">
        <v>33</v>
      </c>
      <c r="O1327" t="n">
        <v>0.33</v>
      </c>
      <c r="P1327" t="n">
        <v>1</v>
      </c>
      <c r="Q1327" t="n">
        <v>0.1</v>
      </c>
      <c r="R1327" t="n">
        <v>1</v>
      </c>
      <c r="S1327" t="n">
        <v>13942.5</v>
      </c>
      <c r="T1327" t="n">
        <v>14</v>
      </c>
      <c r="U1327" t="n">
        <v>15</v>
      </c>
      <c r="V1327" t="n">
        <v>30</v>
      </c>
      <c r="W1327" t="n">
        <v>3</v>
      </c>
      <c r="X1327" t="n">
        <v>48.48484848484848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9412</v>
      </c>
      <c r="AG1327" t="n">
        <v>2194</v>
      </c>
      <c r="AH1327" t="inlineStr">
        <is>
          <t>PT. BINTANG MAS SURYA - PPN (JMB)</t>
        </is>
      </c>
      <c r="AI1327" t="n">
        <v>1638</v>
      </c>
      <c r="AJ1327" t="inlineStr">
        <is>
          <t>GLAD2GLOW</t>
        </is>
      </c>
      <c r="AK1327" t="n">
        <v>9</v>
      </c>
      <c r="AL1327" t="inlineStr">
        <is>
          <t>Miss Glam Jambi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"8809687005481"</f>
        <v/>
      </c>
      <c r="C1328" t="inlineStr">
        <is>
          <t>GLAD2GLOW AHA BHA PHA Intensive Peeling Solution 15ml</t>
        </is>
      </c>
      <c r="D1328" t="inlineStr">
        <is>
          <t>Miss Glam Jambi</t>
        </is>
      </c>
      <c r="E1328" t="n">
        <v>20</v>
      </c>
      <c r="F1328" t="n">
        <v>2.1153</v>
      </c>
      <c r="G1328" t="n">
        <v>4.95</v>
      </c>
      <c r="H1328" t="n">
        <v>4</v>
      </c>
      <c r="I1328" t="n">
        <v>21</v>
      </c>
      <c r="J1328" t="n">
        <v>3</v>
      </c>
      <c r="K1328" t="n">
        <v>44</v>
      </c>
      <c r="L1328" t="n">
        <v>41641</v>
      </c>
      <c r="M1328" t="n">
        <v>49000</v>
      </c>
      <c r="N1328" t="n">
        <v>33</v>
      </c>
      <c r="O1328" t="n">
        <v>0.33</v>
      </c>
      <c r="P1328" t="n">
        <v>1</v>
      </c>
      <c r="Q1328" t="n">
        <v>0.95</v>
      </c>
      <c r="R1328" t="n">
        <v>5</v>
      </c>
      <c r="S1328" t="n">
        <v>103649.7</v>
      </c>
      <c r="T1328" t="n">
        <v>96</v>
      </c>
      <c r="U1328" t="n">
        <v>105</v>
      </c>
      <c r="V1328" t="n">
        <v>30</v>
      </c>
      <c r="W1328" t="n">
        <v>64</v>
      </c>
      <c r="X1328" t="n">
        <v>9.454923651491514</v>
      </c>
      <c r="Y1328" t="n">
        <v>1</v>
      </c>
      <c r="Z1328" t="n">
        <v>0</v>
      </c>
      <c r="AA1328" t="n">
        <v>24</v>
      </c>
      <c r="AB1328" t="n">
        <v>0</v>
      </c>
      <c r="AC1328" t="n">
        <v>0</v>
      </c>
      <c r="AD1328" t="n">
        <v>999384</v>
      </c>
      <c r="AE1328" t="n">
        <v>0</v>
      </c>
      <c r="AF1328" t="n">
        <v>9412</v>
      </c>
      <c r="AG1328" t="n">
        <v>2194</v>
      </c>
      <c r="AH1328" t="inlineStr">
        <is>
          <t>PT. BINTANG MAS SURYA - PPN (JMB)</t>
        </is>
      </c>
      <c r="AI1328" t="n">
        <v>1638</v>
      </c>
      <c r="AJ1328" t="inlineStr">
        <is>
          <t>GLAD2GLOW</t>
        </is>
      </c>
      <c r="AK1328" t="n">
        <v>9</v>
      </c>
      <c r="AL1328" t="inlineStr">
        <is>
          <t>Miss Glam Jambi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"8809636534284"</f>
        <v/>
      </c>
      <c r="C1329" t="inlineStr">
        <is>
          <t>GLAD2GLOW Appricot Glycolic Acid Exfo Smooth Peeling Gel 50gr</t>
        </is>
      </c>
      <c r="D1329" t="inlineStr">
        <is>
          <t>Miss Glam Jambi</t>
        </is>
      </c>
      <c r="E1329" t="n">
        <v>2</v>
      </c>
      <c r="F1329" t="n">
        <v>0.1782</v>
      </c>
      <c r="G1329" t="n">
        <v>0.99</v>
      </c>
      <c r="H1329" t="n">
        <v>4</v>
      </c>
      <c r="I1329" t="n">
        <v>21</v>
      </c>
      <c r="J1329" t="n">
        <v>3</v>
      </c>
      <c r="K1329" t="n">
        <v>3</v>
      </c>
      <c r="L1329" t="n">
        <v>41648</v>
      </c>
      <c r="M1329" t="n">
        <v>49000</v>
      </c>
      <c r="N1329" t="n">
        <v>33</v>
      </c>
      <c r="O1329" t="n">
        <v>0.33</v>
      </c>
      <c r="P1329" t="n">
        <v>1</v>
      </c>
      <c r="Q1329" t="n">
        <v>0.1</v>
      </c>
      <c r="R1329" t="n">
        <v>1</v>
      </c>
      <c r="S1329" t="n">
        <v>8731.800000000001</v>
      </c>
      <c r="T1329" t="n">
        <v>21</v>
      </c>
      <c r="U1329" t="n">
        <v>22</v>
      </c>
      <c r="V1329" t="n">
        <v>30</v>
      </c>
      <c r="W1329" t="n">
        <v>6</v>
      </c>
      <c r="X1329" t="n">
        <v>11.22334455667789</v>
      </c>
      <c r="Y1329" t="n">
        <v>1</v>
      </c>
      <c r="Z1329" t="n">
        <v>1</v>
      </c>
      <c r="AA1329" t="n">
        <v>1</v>
      </c>
      <c r="AB1329" t="n">
        <v>0</v>
      </c>
      <c r="AC1329" t="n">
        <v>0</v>
      </c>
      <c r="AD1329" t="n">
        <v>41648</v>
      </c>
      <c r="AE1329" t="n">
        <v>0</v>
      </c>
      <c r="AF1329" t="n">
        <v>9412</v>
      </c>
      <c r="AG1329" t="n">
        <v>2194</v>
      </c>
      <c r="AH1329" t="inlineStr">
        <is>
          <t>PT. BINTANG MAS SURYA - PPN (JMB)</t>
        </is>
      </c>
      <c r="AI1329" t="n">
        <v>1638</v>
      </c>
      <c r="AJ1329" t="inlineStr">
        <is>
          <t>GLAD2GLOW</t>
        </is>
      </c>
      <c r="AK1329" t="n">
        <v>9</v>
      </c>
      <c r="AL1329" t="inlineStr">
        <is>
          <t>Miss Glam Jambi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"8800201379644"</f>
        <v/>
      </c>
      <c r="C1330" t="inlineStr">
        <is>
          <t>GLAD2GLOW Blackberry Aha Bha Pha Exfoliating Toner 80ml</t>
        </is>
      </c>
      <c r="D1330" t="inlineStr">
        <is>
          <t>Miss Glam Jambi</t>
        </is>
      </c>
      <c r="E1330" t="n">
        <v>6</v>
      </c>
      <c r="F1330" t="n">
        <v>0.0825</v>
      </c>
      <c r="G1330" t="n">
        <v>0.66</v>
      </c>
      <c r="H1330" t="n">
        <v>4</v>
      </c>
      <c r="I1330" t="n">
        <v>21</v>
      </c>
      <c r="J1330" t="n">
        <v>3</v>
      </c>
      <c r="K1330" t="n">
        <v>0</v>
      </c>
      <c r="L1330" t="n">
        <v>38251</v>
      </c>
      <c r="M1330" t="n">
        <v>45000</v>
      </c>
      <c r="N1330" t="n">
        <v>33</v>
      </c>
      <c r="O1330" t="n">
        <v>0.33</v>
      </c>
      <c r="P1330" t="n">
        <v>1</v>
      </c>
      <c r="Q1330" t="n">
        <v>0.02</v>
      </c>
      <c r="R1330" t="n">
        <v>1</v>
      </c>
      <c r="S1330" t="n">
        <v>3712.5</v>
      </c>
      <c r="T1330" t="n">
        <v>14</v>
      </c>
      <c r="U1330" t="n">
        <v>15</v>
      </c>
      <c r="V1330" t="n">
        <v>30</v>
      </c>
      <c r="W1330" t="n">
        <v>3</v>
      </c>
      <c r="X1330" t="n">
        <v>72.72727272727272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9412</v>
      </c>
      <c r="AG1330" t="n">
        <v>2194</v>
      </c>
      <c r="AH1330" t="inlineStr">
        <is>
          <t>PT. BINTANG MAS SURYA - PPN (JMB)</t>
        </is>
      </c>
      <c r="AI1330" t="n">
        <v>1638</v>
      </c>
      <c r="AJ1330" t="inlineStr">
        <is>
          <t>GLAD2GLOW</t>
        </is>
      </c>
      <c r="AK1330" t="n">
        <v>9</v>
      </c>
      <c r="AL1330" t="inlineStr">
        <is>
          <t>Miss Glam Jambi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"8809618376543"</f>
        <v/>
      </c>
      <c r="C1331" t="inlineStr">
        <is>
          <t>GLAD2GLOW Bluberry Ceramide Low PH Gel Cleanser 50ml</t>
        </is>
      </c>
      <c r="D1331" t="inlineStr">
        <is>
          <t>Miss Glam Jambi</t>
        </is>
      </c>
      <c r="E1331" t="n">
        <v>45</v>
      </c>
      <c r="F1331" t="n">
        <v>3.6201</v>
      </c>
      <c r="G1331" t="n">
        <v>9.57</v>
      </c>
      <c r="H1331" t="n">
        <v>4</v>
      </c>
      <c r="I1331" t="n">
        <v>21</v>
      </c>
      <c r="J1331" t="n">
        <v>3</v>
      </c>
      <c r="K1331" t="n">
        <v>34</v>
      </c>
      <c r="L1331" t="n">
        <v>33150</v>
      </c>
      <c r="M1331" t="n">
        <v>39000</v>
      </c>
      <c r="N1331" t="n">
        <v>33</v>
      </c>
      <c r="O1331" t="n">
        <v>0.33</v>
      </c>
      <c r="P1331" t="n">
        <v>1</v>
      </c>
      <c r="Q1331" t="n">
        <v>1.61</v>
      </c>
      <c r="R1331" t="n">
        <v>6</v>
      </c>
      <c r="S1331" t="n">
        <v>141183.9</v>
      </c>
      <c r="T1331" t="n">
        <v>187</v>
      </c>
      <c r="U1331" t="n">
        <v>202</v>
      </c>
      <c r="V1331" t="n">
        <v>30</v>
      </c>
      <c r="W1331" t="n">
        <v>109</v>
      </c>
      <c r="X1331" t="n">
        <v>12.43059583989393</v>
      </c>
      <c r="Y1331" t="n">
        <v>1</v>
      </c>
      <c r="Z1331" t="n">
        <v>30</v>
      </c>
      <c r="AA1331" t="n">
        <v>31</v>
      </c>
      <c r="AB1331" t="n">
        <v>0</v>
      </c>
      <c r="AC1331" t="n">
        <v>0</v>
      </c>
      <c r="AD1331" t="n">
        <v>1027650</v>
      </c>
      <c r="AE1331" t="n">
        <v>0</v>
      </c>
      <c r="AF1331" t="n">
        <v>9412</v>
      </c>
      <c r="AG1331" t="n">
        <v>2194</v>
      </c>
      <c r="AH1331" t="inlineStr">
        <is>
          <t>PT. BINTANG MAS SURYA - PPN (JMB)</t>
        </is>
      </c>
      <c r="AI1331" t="n">
        <v>1638</v>
      </c>
      <c r="AJ1331" t="inlineStr">
        <is>
          <t>GLAD2GLOW</t>
        </is>
      </c>
      <c r="AK1331" t="n">
        <v>9</v>
      </c>
      <c r="AL1331" t="inlineStr">
        <is>
          <t>Miss Glam Jambi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"8809622345665"</f>
        <v/>
      </c>
      <c r="C1332" t="inlineStr">
        <is>
          <t>GLAD2GLOW Blueberry 5% Ceramide Moisturizer 25gr</t>
        </is>
      </c>
      <c r="D1332" t="inlineStr">
        <is>
          <t>Miss Glam Jambi</t>
        </is>
      </c>
      <c r="E1332" t="n">
        <v>17</v>
      </c>
      <c r="F1332" t="n">
        <v>2.9634</v>
      </c>
      <c r="G1332" t="n">
        <v>5.94</v>
      </c>
      <c r="H1332" t="n">
        <v>4</v>
      </c>
      <c r="I1332" t="n">
        <v>21</v>
      </c>
      <c r="J1332" t="n">
        <v>6</v>
      </c>
      <c r="K1332" t="n">
        <v>73</v>
      </c>
      <c r="L1332" t="n">
        <v>38251</v>
      </c>
      <c r="M1332" t="n">
        <v>45000</v>
      </c>
      <c r="N1332" t="n">
        <v>33</v>
      </c>
      <c r="O1332" t="n">
        <v>0.33</v>
      </c>
      <c r="P1332" t="n">
        <v>1</v>
      </c>
      <c r="Q1332" t="n">
        <v>1.27</v>
      </c>
      <c r="R1332" t="n">
        <v>5</v>
      </c>
      <c r="S1332" t="n">
        <v>133353</v>
      </c>
      <c r="T1332" t="n">
        <v>113</v>
      </c>
      <c r="U1332" t="n">
        <v>125</v>
      </c>
      <c r="V1332" t="n">
        <v>30</v>
      </c>
      <c r="W1332" t="n">
        <v>89</v>
      </c>
      <c r="X1332" t="n">
        <v>5.736653843558075</v>
      </c>
      <c r="Y1332" t="n">
        <v>1</v>
      </c>
      <c r="Z1332" t="n">
        <v>0</v>
      </c>
      <c r="AA1332" t="n">
        <v>45</v>
      </c>
      <c r="AB1332" t="n">
        <v>0</v>
      </c>
      <c r="AC1332" t="n">
        <v>0</v>
      </c>
      <c r="AD1332" t="n">
        <v>1721295</v>
      </c>
      <c r="AE1332" t="n">
        <v>0</v>
      </c>
      <c r="AF1332" t="n">
        <v>9412</v>
      </c>
      <c r="AG1332" t="n">
        <v>2194</v>
      </c>
      <c r="AH1332" t="inlineStr">
        <is>
          <t>PT. BINTANG MAS SURYA - PPN (JMB)</t>
        </is>
      </c>
      <c r="AI1332" t="n">
        <v>1638</v>
      </c>
      <c r="AJ1332" t="inlineStr">
        <is>
          <t>GLAD2GLOW</t>
        </is>
      </c>
      <c r="AK1332" t="n">
        <v>9</v>
      </c>
      <c r="AL1332" t="inlineStr">
        <is>
          <t>Miss Glam Jambi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"10300613309"</f>
        <v/>
      </c>
      <c r="C1333" t="inlineStr">
        <is>
          <t>GLAD2GLOW Blueberry Ceramide Moisturizer 100ml</t>
        </is>
      </c>
      <c r="D1333" t="inlineStr">
        <is>
          <t>Miss Glam Jambi</t>
        </is>
      </c>
      <c r="E1333" t="n">
        <v>6</v>
      </c>
      <c r="F1333" t="n">
        <v>0.05</v>
      </c>
      <c r="G1333" t="n">
        <v>1</v>
      </c>
      <c r="H1333" t="n">
        <v>4</v>
      </c>
      <c r="I1333" t="n">
        <v>21</v>
      </c>
      <c r="J1333" t="n">
        <v>1</v>
      </c>
      <c r="K1333" t="n">
        <v>0</v>
      </c>
      <c r="L1333" t="n">
        <v>84150</v>
      </c>
      <c r="M1333" t="n">
        <v>99000</v>
      </c>
      <c r="N1333" t="n">
        <v>33</v>
      </c>
      <c r="O1333" t="n">
        <v>0.33</v>
      </c>
      <c r="P1333" t="n">
        <v>0</v>
      </c>
      <c r="Q1333" t="n">
        <v>0.05</v>
      </c>
      <c r="R1333" t="n">
        <v>1</v>
      </c>
      <c r="S1333" t="n">
        <v>4950</v>
      </c>
      <c r="T1333" t="n">
        <v>21</v>
      </c>
      <c r="U1333" t="n">
        <v>22</v>
      </c>
      <c r="V1333" t="n">
        <v>30</v>
      </c>
      <c r="W1333" t="n">
        <v>2</v>
      </c>
      <c r="X1333" t="n">
        <v>120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9412</v>
      </c>
      <c r="AG1333" t="n">
        <v>2194</v>
      </c>
      <c r="AH1333" t="inlineStr">
        <is>
          <t>PT. BINTANG MAS SURYA - PPN (JMB)</t>
        </is>
      </c>
      <c r="AI1333" t="n">
        <v>1638</v>
      </c>
      <c r="AJ1333" t="inlineStr">
        <is>
          <t>GLAD2GLOW</t>
        </is>
      </c>
      <c r="AK1333" t="n">
        <v>9</v>
      </c>
      <c r="AL1333" t="inlineStr">
        <is>
          <t>Miss Glam Jambi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"10300146718"</f>
        <v/>
      </c>
      <c r="C1334" t="inlineStr">
        <is>
          <t>GLAD2GLOW Bright Up Brightening Day Cream 12ml</t>
        </is>
      </c>
      <c r="D1334" t="inlineStr">
        <is>
          <t>Miss Glam Jambi</t>
        </is>
      </c>
      <c r="E1334" t="n">
        <v>8</v>
      </c>
      <c r="F1334" t="n">
        <v>0.0495</v>
      </c>
      <c r="G1334" t="n">
        <v>0.66</v>
      </c>
      <c r="H1334" t="n">
        <v>4</v>
      </c>
      <c r="I1334" t="n">
        <v>21</v>
      </c>
      <c r="J1334" t="n">
        <v>1</v>
      </c>
      <c r="K1334" t="n">
        <v>0</v>
      </c>
      <c r="L1334" t="n">
        <v>58649</v>
      </c>
      <c r="M1334" t="n">
        <v>69000</v>
      </c>
      <c r="N1334" t="n">
        <v>33</v>
      </c>
      <c r="O1334" t="n">
        <v>0.33</v>
      </c>
      <c r="P1334" t="n">
        <v>1</v>
      </c>
      <c r="Q1334" t="n">
        <v>0.1</v>
      </c>
      <c r="R1334" t="n">
        <v>2</v>
      </c>
      <c r="S1334" t="n">
        <v>3415.5</v>
      </c>
      <c r="T1334" t="n">
        <v>14</v>
      </c>
      <c r="U1334" t="n">
        <v>15</v>
      </c>
      <c r="V1334" t="n">
        <v>30</v>
      </c>
      <c r="W1334" t="n">
        <v>2</v>
      </c>
      <c r="X1334" t="n">
        <v>161.6161616161616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9412</v>
      </c>
      <c r="AG1334" t="n">
        <v>2194</v>
      </c>
      <c r="AH1334" t="inlineStr">
        <is>
          <t>PT. BINTANG MAS SURYA - PPN (JMB)</t>
        </is>
      </c>
      <c r="AI1334" t="n">
        <v>1638</v>
      </c>
      <c r="AJ1334" t="inlineStr">
        <is>
          <t>GLAD2GLOW</t>
        </is>
      </c>
      <c r="AK1334" t="n">
        <v>9</v>
      </c>
      <c r="AL1334" t="inlineStr">
        <is>
          <t>Miss Glam Jambi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"10700513809"</f>
        <v/>
      </c>
      <c r="C1335" t="inlineStr">
        <is>
          <t>GLAD2GLOW Brightening Lip Serum Peach Pie 7gr</t>
        </is>
      </c>
      <c r="D1335" t="inlineStr">
        <is>
          <t>Miss Glam Jambi</t>
        </is>
      </c>
      <c r="E1335" t="n">
        <v>18</v>
      </c>
      <c r="F1335" t="n">
        <v>0.066</v>
      </c>
      <c r="G1335" t="n">
        <v>2.64</v>
      </c>
      <c r="H1335" t="n">
        <v>4</v>
      </c>
      <c r="I1335" t="n">
        <v>21</v>
      </c>
      <c r="J1335" t="n">
        <v>1</v>
      </c>
      <c r="K1335" t="n">
        <v>24</v>
      </c>
      <c r="L1335" t="n">
        <v>50150</v>
      </c>
      <c r="M1335" t="n">
        <v>59000</v>
      </c>
      <c r="N1335" t="n">
        <v>33</v>
      </c>
      <c r="O1335" t="n">
        <v>0.33</v>
      </c>
      <c r="P1335" t="n">
        <v>1</v>
      </c>
      <c r="Q1335" t="n">
        <v>0.39</v>
      </c>
      <c r="R1335" t="n">
        <v>4</v>
      </c>
      <c r="S1335" t="n">
        <v>3894</v>
      </c>
      <c r="T1335" t="n">
        <v>56</v>
      </c>
      <c r="U1335" t="n">
        <v>57</v>
      </c>
      <c r="V1335" t="n">
        <v>30</v>
      </c>
      <c r="W1335" t="n">
        <v>2</v>
      </c>
      <c r="X1335" t="n">
        <v>272.7272727272727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9412</v>
      </c>
      <c r="AG1335" t="n">
        <v>2194</v>
      </c>
      <c r="AH1335" t="inlineStr">
        <is>
          <t>PT. BINTANG MAS SURYA - PPN (JMB)</t>
        </is>
      </c>
      <c r="AI1335" t="n">
        <v>1638</v>
      </c>
      <c r="AJ1335" t="inlineStr">
        <is>
          <t>GLAD2GLOW</t>
        </is>
      </c>
      <c r="AK1335" t="n">
        <v>9</v>
      </c>
      <c r="AL1335" t="inlineStr">
        <is>
          <t>Miss Glam Jambi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"10700513737"</f>
        <v/>
      </c>
      <c r="C1336" t="inlineStr">
        <is>
          <t>GLAD2GLOW Brightening Lip Serum Strawberry Glaze 7gr</t>
        </is>
      </c>
      <c r="D1336" t="inlineStr">
        <is>
          <t>Miss Glam Jambi</t>
        </is>
      </c>
      <c r="E1336" t="n">
        <v>1</v>
      </c>
      <c r="F1336" t="n">
        <v>0.066</v>
      </c>
      <c r="G1336" t="n">
        <v>2.64</v>
      </c>
      <c r="H1336" t="n">
        <v>4</v>
      </c>
      <c r="I1336" t="n">
        <v>21</v>
      </c>
      <c r="J1336" t="n">
        <v>1</v>
      </c>
      <c r="K1336" t="n">
        <v>24</v>
      </c>
      <c r="L1336" t="n">
        <v>50150</v>
      </c>
      <c r="M1336" t="n">
        <v>59000</v>
      </c>
      <c r="N1336" t="n">
        <v>33</v>
      </c>
      <c r="O1336" t="n">
        <v>0.33</v>
      </c>
      <c r="P1336" t="n">
        <v>1</v>
      </c>
      <c r="Q1336" t="n">
        <v>0.22</v>
      </c>
      <c r="R1336" t="n">
        <v>3</v>
      </c>
      <c r="S1336" t="n">
        <v>3894</v>
      </c>
      <c r="T1336" t="n">
        <v>56</v>
      </c>
      <c r="U1336" t="n">
        <v>57</v>
      </c>
      <c r="V1336" t="n">
        <v>30</v>
      </c>
      <c r="W1336" t="n">
        <v>2</v>
      </c>
      <c r="X1336" t="n">
        <v>15.15151515151515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9412</v>
      </c>
      <c r="AG1336" t="n">
        <v>2194</v>
      </c>
      <c r="AH1336" t="inlineStr">
        <is>
          <t>PT. BINTANG MAS SURYA - PPN (JMB)</t>
        </is>
      </c>
      <c r="AI1336" t="n">
        <v>1638</v>
      </c>
      <c r="AJ1336" t="inlineStr">
        <is>
          <t>GLAD2GLOW</t>
        </is>
      </c>
      <c r="AK1336" t="n">
        <v>9</v>
      </c>
      <c r="AL1336" t="inlineStr">
        <is>
          <t>Miss Glam Jambi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"10100725523"</f>
        <v/>
      </c>
      <c r="C1337" t="inlineStr">
        <is>
          <t>GLAD2GLOW Brightening Micelar Water 300ml</t>
        </is>
      </c>
      <c r="D1337" t="inlineStr">
        <is>
          <t>Miss Glam Jambi</t>
        </is>
      </c>
      <c r="E1337" t="n">
        <v>13</v>
      </c>
      <c r="F1337" t="n">
        <v>0.297</v>
      </c>
      <c r="G1337" t="n">
        <v>2.31</v>
      </c>
      <c r="H1337" t="n">
        <v>4</v>
      </c>
      <c r="I1337" t="n">
        <v>21</v>
      </c>
      <c r="J1337" t="n">
        <v>1</v>
      </c>
      <c r="K1337" t="n">
        <v>0</v>
      </c>
      <c r="L1337" t="n">
        <v>41649</v>
      </c>
      <c r="M1337" t="n">
        <v>49000</v>
      </c>
      <c r="N1337" t="n">
        <v>33</v>
      </c>
      <c r="O1337" t="n">
        <v>0.33</v>
      </c>
      <c r="P1337" t="n">
        <v>1</v>
      </c>
      <c r="Q1337" t="n">
        <v>0.27</v>
      </c>
      <c r="R1337" t="n">
        <v>3</v>
      </c>
      <c r="S1337" t="n">
        <v>14553</v>
      </c>
      <c r="T1337" t="n">
        <v>48</v>
      </c>
      <c r="U1337" t="n">
        <v>50</v>
      </c>
      <c r="V1337" t="n">
        <v>30</v>
      </c>
      <c r="W1337" t="n">
        <v>9</v>
      </c>
      <c r="X1337" t="n">
        <v>43.77104377104376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9412</v>
      </c>
      <c r="AG1337" t="n">
        <v>2194</v>
      </c>
      <c r="AH1337" t="inlineStr">
        <is>
          <t>PT. BINTANG MAS SURYA - PPN (JMB)</t>
        </is>
      </c>
      <c r="AI1337" t="n">
        <v>1638</v>
      </c>
      <c r="AJ1337" t="inlineStr">
        <is>
          <t>GLAD2GLOW</t>
        </is>
      </c>
      <c r="AK1337" t="n">
        <v>9</v>
      </c>
      <c r="AL1337" t="inlineStr">
        <is>
          <t>Miss Glam Jambi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"8809618457310"</f>
        <v/>
      </c>
      <c r="C1338" t="inlineStr">
        <is>
          <t>GLAD2GLOW Centella 2% Salicylic Acid OverNight Acne Spot Treatment 5gr</t>
        </is>
      </c>
      <c r="D1338" t="inlineStr">
        <is>
          <t>Miss Glam Jambi</t>
        </is>
      </c>
      <c r="E1338" t="n">
        <v>2</v>
      </c>
      <c r="F1338" t="n">
        <v>0.1452</v>
      </c>
      <c r="G1338" t="n">
        <v>1.32</v>
      </c>
      <c r="H1338" t="n">
        <v>4</v>
      </c>
      <c r="I1338" t="n">
        <v>21</v>
      </c>
      <c r="J1338" t="n">
        <v>3</v>
      </c>
      <c r="K1338" t="n">
        <v>3</v>
      </c>
      <c r="L1338" t="n">
        <v>33150</v>
      </c>
      <c r="M1338" t="n">
        <v>39000</v>
      </c>
      <c r="N1338" t="n">
        <v>33</v>
      </c>
      <c r="O1338" t="n">
        <v>0.33</v>
      </c>
      <c r="P1338" t="n">
        <v>1</v>
      </c>
      <c r="Q1338" t="n">
        <v>0.1</v>
      </c>
      <c r="R1338" t="n">
        <v>1</v>
      </c>
      <c r="S1338" t="n">
        <v>5662.8</v>
      </c>
      <c r="T1338" t="n">
        <v>28</v>
      </c>
      <c r="U1338" t="n">
        <v>29</v>
      </c>
      <c r="V1338" t="n">
        <v>30</v>
      </c>
      <c r="W1338" t="n">
        <v>5</v>
      </c>
      <c r="X1338" t="n">
        <v>13.77410468319559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33150</v>
      </c>
      <c r="AE1338" t="n">
        <v>0</v>
      </c>
      <c r="AF1338" t="n">
        <v>9412</v>
      </c>
      <c r="AG1338" t="n">
        <v>2194</v>
      </c>
      <c r="AH1338" t="inlineStr">
        <is>
          <t>PT. BINTANG MAS SURYA - PPN (JMB)</t>
        </is>
      </c>
      <c r="AI1338" t="n">
        <v>1638</v>
      </c>
      <c r="AJ1338" t="inlineStr">
        <is>
          <t>GLAD2GLOW</t>
        </is>
      </c>
      <c r="AK1338" t="n">
        <v>9</v>
      </c>
      <c r="AL1338" t="inlineStr">
        <is>
          <t>Miss Glam Jambi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"8809687397302"</f>
        <v/>
      </c>
      <c r="C1339" t="inlineStr">
        <is>
          <t>GLAD2GLOW Centella 2% Salicylic Acid Power Clear Acne Serum 17ml</t>
        </is>
      </c>
      <c r="D1339" t="inlineStr">
        <is>
          <t>Miss Glam Jambi</t>
        </is>
      </c>
      <c r="E1339" t="n">
        <v>5</v>
      </c>
      <c r="F1339" t="n">
        <v>0.3564000000000001</v>
      </c>
      <c r="G1339" t="n">
        <v>1.32</v>
      </c>
      <c r="H1339" t="n">
        <v>4</v>
      </c>
      <c r="I1339" t="n">
        <v>21</v>
      </c>
      <c r="J1339" t="n">
        <v>3</v>
      </c>
      <c r="K1339" t="n">
        <v>3</v>
      </c>
      <c r="L1339" t="n">
        <v>33278</v>
      </c>
      <c r="M1339" t="n">
        <v>45000</v>
      </c>
      <c r="N1339" t="n">
        <v>33</v>
      </c>
      <c r="O1339" t="n">
        <v>0.33</v>
      </c>
      <c r="P1339" t="n">
        <v>1</v>
      </c>
      <c r="Q1339" t="n">
        <v>0.36</v>
      </c>
      <c r="R1339" t="n">
        <v>2</v>
      </c>
      <c r="S1339" t="n">
        <v>16038</v>
      </c>
      <c r="T1339" t="n">
        <v>27</v>
      </c>
      <c r="U1339" t="n">
        <v>29</v>
      </c>
      <c r="V1339" t="n">
        <v>30</v>
      </c>
      <c r="W1339" t="n">
        <v>11</v>
      </c>
      <c r="X1339" t="n">
        <v>14.02918069584736</v>
      </c>
      <c r="Y1339" t="n">
        <v>1</v>
      </c>
      <c r="Z1339" t="n">
        <v>3</v>
      </c>
      <c r="AA1339" t="n">
        <v>2</v>
      </c>
      <c r="AB1339" t="n">
        <v>1</v>
      </c>
      <c r="AC1339" t="n">
        <v>3</v>
      </c>
      <c r="AD1339" t="n">
        <v>66556</v>
      </c>
      <c r="AE1339" t="n">
        <v>99834</v>
      </c>
      <c r="AF1339" t="n">
        <v>9412</v>
      </c>
      <c r="AG1339" t="n">
        <v>2194</v>
      </c>
      <c r="AH1339" t="inlineStr">
        <is>
          <t>PT. BINTANG MAS SURYA - PPN (JMB)</t>
        </is>
      </c>
      <c r="AI1339" t="n">
        <v>1638</v>
      </c>
      <c r="AJ1339" t="inlineStr">
        <is>
          <t>GLAD2GLOW</t>
        </is>
      </c>
      <c r="AK1339" t="n">
        <v>9</v>
      </c>
      <c r="AL1339" t="inlineStr">
        <is>
          <t>Miss Glam Jambi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"10300720826"</f>
        <v/>
      </c>
      <c r="C1340" t="inlineStr">
        <is>
          <t>GLAD2GLOW Centella Allantoin Soothing Gel Moisturizer 100gr</t>
        </is>
      </c>
      <c r="D1340" t="inlineStr">
        <is>
          <t>Miss Glam Jambi</t>
        </is>
      </c>
      <c r="E1340" t="n">
        <v>5</v>
      </c>
      <c r="F1340" t="n">
        <v>0.6105</v>
      </c>
      <c r="G1340" t="n">
        <v>2.64</v>
      </c>
      <c r="H1340" t="n">
        <v>4</v>
      </c>
      <c r="I1340" t="n">
        <v>21</v>
      </c>
      <c r="J1340" t="n">
        <v>3</v>
      </c>
      <c r="K1340" t="n">
        <v>6</v>
      </c>
      <c r="L1340" t="n">
        <v>58648</v>
      </c>
      <c r="M1340" t="n">
        <v>69000</v>
      </c>
      <c r="N1340" t="n">
        <v>33</v>
      </c>
      <c r="O1340" t="n">
        <v>0.33</v>
      </c>
      <c r="P1340" t="n">
        <v>1</v>
      </c>
      <c r="Q1340" t="n">
        <v>0.2</v>
      </c>
      <c r="R1340" t="n">
        <v>2</v>
      </c>
      <c r="S1340" t="n">
        <v>42124.5</v>
      </c>
      <c r="T1340" t="n">
        <v>53</v>
      </c>
      <c r="U1340" t="n">
        <v>56</v>
      </c>
      <c r="V1340" t="n">
        <v>30</v>
      </c>
      <c r="W1340" t="n">
        <v>19</v>
      </c>
      <c r="X1340" t="n">
        <v>8.190008190008189</v>
      </c>
      <c r="Y1340" t="n">
        <v>1</v>
      </c>
      <c r="Z1340" t="n">
        <v>8</v>
      </c>
      <c r="AA1340" t="n">
        <v>7</v>
      </c>
      <c r="AB1340" t="n">
        <v>1</v>
      </c>
      <c r="AC1340" t="n">
        <v>3</v>
      </c>
      <c r="AD1340" t="n">
        <v>410536</v>
      </c>
      <c r="AE1340" t="n">
        <v>175944</v>
      </c>
      <c r="AF1340" t="n">
        <v>9412</v>
      </c>
      <c r="AG1340" t="n">
        <v>2194</v>
      </c>
      <c r="AH1340" t="inlineStr">
        <is>
          <t>PT. BINTANG MAS SURYA - PPN (JMB)</t>
        </is>
      </c>
      <c r="AI1340" t="n">
        <v>1638</v>
      </c>
      <c r="AJ1340" t="inlineStr">
        <is>
          <t>GLAD2GLOW</t>
        </is>
      </c>
      <c r="AK1340" t="n">
        <v>9</v>
      </c>
      <c r="AL1340" t="inlineStr">
        <is>
          <t>Miss Glam Jambi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"8809616608936"</f>
        <v/>
      </c>
      <c r="C1341" t="inlineStr">
        <is>
          <t>GLAD2GLOW Centella Allantoin Soothing Gel Moisturizer 30gr</t>
        </is>
      </c>
      <c r="D1341" t="inlineStr">
        <is>
          <t>Miss Glam Jambi</t>
        </is>
      </c>
      <c r="E1341" t="n">
        <v>14</v>
      </c>
      <c r="F1341" t="n">
        <v>0.8514</v>
      </c>
      <c r="G1341" t="n">
        <v>2.31</v>
      </c>
      <c r="H1341" t="n">
        <v>4</v>
      </c>
      <c r="I1341" t="n">
        <v>21</v>
      </c>
      <c r="J1341" t="n">
        <v>3</v>
      </c>
      <c r="K1341" t="n">
        <v>8</v>
      </c>
      <c r="L1341" t="n">
        <v>33152</v>
      </c>
      <c r="M1341" t="n">
        <v>39000</v>
      </c>
      <c r="N1341" t="n">
        <v>33</v>
      </c>
      <c r="O1341" t="n">
        <v>0.33</v>
      </c>
      <c r="P1341" t="n">
        <v>1</v>
      </c>
      <c r="Q1341" t="n">
        <v>0.44</v>
      </c>
      <c r="R1341" t="n">
        <v>3</v>
      </c>
      <c r="S1341" t="n">
        <v>33204.6</v>
      </c>
      <c r="T1341" t="n">
        <v>46</v>
      </c>
      <c r="U1341" t="n">
        <v>50</v>
      </c>
      <c r="V1341" t="n">
        <v>30</v>
      </c>
      <c r="W1341" t="n">
        <v>26</v>
      </c>
      <c r="X1341" t="n">
        <v>16.44350481559784</v>
      </c>
      <c r="Y1341" t="n">
        <v>1</v>
      </c>
      <c r="Z1341" t="n">
        <v>4</v>
      </c>
      <c r="AA1341" t="n">
        <v>3</v>
      </c>
      <c r="AB1341" t="n">
        <v>1</v>
      </c>
      <c r="AC1341" t="n">
        <v>3</v>
      </c>
      <c r="AD1341" t="n">
        <v>99456</v>
      </c>
      <c r="AE1341" t="n">
        <v>99456</v>
      </c>
      <c r="AF1341" t="n">
        <v>9412</v>
      </c>
      <c r="AG1341" t="n">
        <v>2194</v>
      </c>
      <c r="AH1341" t="inlineStr">
        <is>
          <t>PT. BINTANG MAS SURYA - PPN (JMB)</t>
        </is>
      </c>
      <c r="AI1341" t="n">
        <v>1638</v>
      </c>
      <c r="AJ1341" t="inlineStr">
        <is>
          <t>GLAD2GLOW</t>
        </is>
      </c>
      <c r="AK1341" t="n">
        <v>9</v>
      </c>
      <c r="AL1341" t="inlineStr">
        <is>
          <t>Miss Glam Jambi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"8809674950930"</f>
        <v/>
      </c>
      <c r="C1342" t="inlineStr">
        <is>
          <t>GLAD2GLOW Centella Allantoin Soothing Gel Moisturizer 55gr</t>
        </is>
      </c>
      <c r="D1342" t="inlineStr">
        <is>
          <t>Miss Glam Jambi</t>
        </is>
      </c>
      <c r="E1342" t="n">
        <v>15</v>
      </c>
      <c r="F1342" t="n">
        <v>1.0857</v>
      </c>
      <c r="G1342" t="n">
        <v>2.64</v>
      </c>
      <c r="H1342" t="n">
        <v>4</v>
      </c>
      <c r="I1342" t="n">
        <v>21</v>
      </c>
      <c r="J1342" t="n">
        <v>3</v>
      </c>
      <c r="K1342" t="n">
        <v>10</v>
      </c>
      <c r="L1342" t="n">
        <v>41651</v>
      </c>
      <c r="M1342" t="n">
        <v>49000</v>
      </c>
      <c r="N1342" t="n">
        <v>33</v>
      </c>
      <c r="O1342" t="n">
        <v>0.33</v>
      </c>
      <c r="P1342" t="n">
        <v>1</v>
      </c>
      <c r="Q1342" t="n">
        <v>0.66</v>
      </c>
      <c r="R1342" t="n">
        <v>3</v>
      </c>
      <c r="S1342" t="n">
        <v>53199.3</v>
      </c>
      <c r="T1342" t="n">
        <v>52</v>
      </c>
      <c r="U1342" t="n">
        <v>57</v>
      </c>
      <c r="V1342" t="n">
        <v>30</v>
      </c>
      <c r="W1342" t="n">
        <v>33</v>
      </c>
      <c r="X1342" t="n">
        <v>13.81597126277977</v>
      </c>
      <c r="Y1342" t="n">
        <v>1</v>
      </c>
      <c r="Z1342" t="n">
        <v>8</v>
      </c>
      <c r="AA1342" t="n">
        <v>7</v>
      </c>
      <c r="AB1342" t="n">
        <v>1</v>
      </c>
      <c r="AC1342" t="n">
        <v>3</v>
      </c>
      <c r="AD1342" t="n">
        <v>291557</v>
      </c>
      <c r="AE1342" t="n">
        <v>124953</v>
      </c>
      <c r="AF1342" t="n">
        <v>9412</v>
      </c>
      <c r="AG1342" t="n">
        <v>2194</v>
      </c>
      <c r="AH1342" t="inlineStr">
        <is>
          <t>PT. BINTANG MAS SURYA - PPN (JMB)</t>
        </is>
      </c>
      <c r="AI1342" t="n">
        <v>1638</v>
      </c>
      <c r="AJ1342" t="inlineStr">
        <is>
          <t>GLAD2GLOW</t>
        </is>
      </c>
      <c r="AK1342" t="n">
        <v>9</v>
      </c>
      <c r="AL1342" t="inlineStr">
        <is>
          <t>Miss Glam Jambi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"8800201379620"</f>
        <v/>
      </c>
      <c r="C1343" t="inlineStr">
        <is>
          <t>GLAD2GLOW Centella Ceramide Soothing Toner 80ml</t>
        </is>
      </c>
      <c r="D1343" t="inlineStr">
        <is>
          <t>Miss Glam Jambi</t>
        </is>
      </c>
      <c r="E1343" t="n">
        <v>4</v>
      </c>
      <c r="F1343" t="n">
        <v>0.2112</v>
      </c>
      <c r="G1343" t="n">
        <v>0.99</v>
      </c>
      <c r="H1343" t="n">
        <v>4</v>
      </c>
      <c r="I1343" t="n">
        <v>21</v>
      </c>
      <c r="J1343" t="n">
        <v>3</v>
      </c>
      <c r="K1343" t="n">
        <v>3</v>
      </c>
      <c r="L1343" t="n">
        <v>38251</v>
      </c>
      <c r="M1343" t="n">
        <v>49000</v>
      </c>
      <c r="N1343" t="n">
        <v>33</v>
      </c>
      <c r="O1343" t="n">
        <v>0.33</v>
      </c>
      <c r="P1343" t="n">
        <v>1</v>
      </c>
      <c r="Q1343" t="n">
        <v>0.22</v>
      </c>
      <c r="R1343" t="n">
        <v>2</v>
      </c>
      <c r="S1343" t="n">
        <v>10348.8</v>
      </c>
      <c r="T1343" t="n">
        <v>20</v>
      </c>
      <c r="U1343" t="n">
        <v>21</v>
      </c>
      <c r="V1343" t="n">
        <v>30</v>
      </c>
      <c r="W1343" t="n">
        <v>7</v>
      </c>
      <c r="X1343" t="n">
        <v>18.93939393939394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9412</v>
      </c>
      <c r="AG1343" t="n">
        <v>2194</v>
      </c>
      <c r="AH1343" t="inlineStr">
        <is>
          <t>PT. BINTANG MAS SURYA - PPN (JMB)</t>
        </is>
      </c>
      <c r="AI1343" t="n">
        <v>1638</v>
      </c>
      <c r="AJ1343" t="inlineStr">
        <is>
          <t>GLAD2GLOW</t>
        </is>
      </c>
      <c r="AK1343" t="n">
        <v>9</v>
      </c>
      <c r="AL1343" t="inlineStr">
        <is>
          <t>Miss Glam Jambi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"8809674598705"</f>
        <v/>
      </c>
      <c r="C1344" t="inlineStr">
        <is>
          <t>GLAD2GLOW Centella Salicylic Acid Acne Gel Cleanser Oil Control 70ml</t>
        </is>
      </c>
      <c r="D1344" t="inlineStr">
        <is>
          <t>Miss Glam Jambi</t>
        </is>
      </c>
      <c r="E1344" t="n">
        <v>15</v>
      </c>
      <c r="F1344" t="n">
        <v>1.7721</v>
      </c>
      <c r="G1344" t="n">
        <v>4.95</v>
      </c>
      <c r="H1344" t="n">
        <v>4</v>
      </c>
      <c r="I1344" t="n">
        <v>21</v>
      </c>
      <c r="J1344" t="n">
        <v>3</v>
      </c>
      <c r="K1344" t="n">
        <v>40</v>
      </c>
      <c r="L1344" t="n">
        <v>33149</v>
      </c>
      <c r="M1344" t="n">
        <v>39000</v>
      </c>
      <c r="N1344" t="n">
        <v>33</v>
      </c>
      <c r="O1344" t="n">
        <v>0.33</v>
      </c>
      <c r="P1344" t="n">
        <v>1</v>
      </c>
      <c r="Q1344" t="n">
        <v>1.05</v>
      </c>
      <c r="R1344" t="n">
        <v>3</v>
      </c>
      <c r="S1344" t="n">
        <v>69111.89999999999</v>
      </c>
      <c r="T1344" t="n">
        <v>97</v>
      </c>
      <c r="U1344" t="n">
        <v>105</v>
      </c>
      <c r="V1344" t="n">
        <v>30</v>
      </c>
      <c r="W1344" t="n">
        <v>54</v>
      </c>
      <c r="X1344" t="n">
        <v>8.464533604198408</v>
      </c>
      <c r="Y1344" t="n">
        <v>1</v>
      </c>
      <c r="Z1344" t="n">
        <v>0</v>
      </c>
      <c r="AA1344" t="n">
        <v>22</v>
      </c>
      <c r="AB1344" t="n">
        <v>0</v>
      </c>
      <c r="AC1344" t="n">
        <v>0</v>
      </c>
      <c r="AD1344" t="n">
        <v>729278</v>
      </c>
      <c r="AE1344" t="n">
        <v>0</v>
      </c>
      <c r="AF1344" t="n">
        <v>9412</v>
      </c>
      <c r="AG1344" t="n">
        <v>2194</v>
      </c>
      <c r="AH1344" t="inlineStr">
        <is>
          <t>PT. BINTANG MAS SURYA - PPN (JMB)</t>
        </is>
      </c>
      <c r="AI1344" t="n">
        <v>1638</v>
      </c>
      <c r="AJ1344" t="inlineStr">
        <is>
          <t>GLAD2GLOW</t>
        </is>
      </c>
      <c r="AK1344" t="n">
        <v>9</v>
      </c>
      <c r="AL1344" t="inlineStr">
        <is>
          <t>Miss Glam Jambi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"8809612867450"</f>
        <v/>
      </c>
      <c r="C1345" t="inlineStr">
        <is>
          <t>GLAD2GLOW Centella Salicylic Acid Day Acne Patch 12 Pack</t>
        </is>
      </c>
      <c r="D1345" t="inlineStr">
        <is>
          <t>Miss Glam Jambi</t>
        </is>
      </c>
      <c r="E1345" t="n">
        <v>4</v>
      </c>
      <c r="F1345" t="n">
        <v>0.2409</v>
      </c>
      <c r="G1345" t="n">
        <v>0.99</v>
      </c>
      <c r="H1345" t="n">
        <v>4</v>
      </c>
      <c r="I1345" t="n">
        <v>21</v>
      </c>
      <c r="J1345" t="n">
        <v>3</v>
      </c>
      <c r="K1345" t="n">
        <v>3</v>
      </c>
      <c r="L1345" t="n">
        <v>21250</v>
      </c>
      <c r="M1345" t="n">
        <v>25000</v>
      </c>
      <c r="N1345" t="n">
        <v>33</v>
      </c>
      <c r="O1345" t="n">
        <v>0.33</v>
      </c>
      <c r="P1345" t="n">
        <v>1</v>
      </c>
      <c r="Q1345" t="n">
        <v>0.54</v>
      </c>
      <c r="R1345" t="n">
        <v>2</v>
      </c>
      <c r="S1345" t="n">
        <v>6022.5</v>
      </c>
      <c r="T1345" t="n">
        <v>20</v>
      </c>
      <c r="U1345" t="n">
        <v>21</v>
      </c>
      <c r="V1345" t="n">
        <v>30</v>
      </c>
      <c r="W1345" t="n">
        <v>8</v>
      </c>
      <c r="X1345" t="n">
        <v>16.604400166044</v>
      </c>
      <c r="Y1345" t="n">
        <v>1</v>
      </c>
      <c r="Z1345" t="n">
        <v>1</v>
      </c>
      <c r="AA1345" t="n">
        <v>1</v>
      </c>
      <c r="AB1345" t="n">
        <v>0</v>
      </c>
      <c r="AC1345" t="n">
        <v>0</v>
      </c>
      <c r="AD1345" t="n">
        <v>21250</v>
      </c>
      <c r="AE1345" t="n">
        <v>0</v>
      </c>
      <c r="AF1345" t="n">
        <v>9412</v>
      </c>
      <c r="AG1345" t="n">
        <v>2194</v>
      </c>
      <c r="AH1345" t="inlineStr">
        <is>
          <t>PT. BINTANG MAS SURYA - PPN (JMB)</t>
        </is>
      </c>
      <c r="AI1345" t="n">
        <v>1638</v>
      </c>
      <c r="AJ1345" t="inlineStr">
        <is>
          <t>GLAD2GLOW</t>
        </is>
      </c>
      <c r="AK1345" t="n">
        <v>9</v>
      </c>
      <c r="AL1345" t="inlineStr">
        <is>
          <t>Miss Glam Jambi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"10600213909"</f>
        <v/>
      </c>
      <c r="C1346" t="inlineStr">
        <is>
          <t>GLAD2GLOW Centella Salicylic Acid Exfoliating Acne Pads</t>
        </is>
      </c>
      <c r="D1346" t="inlineStr">
        <is>
          <t>Miss Glam Jambi</t>
        </is>
      </c>
      <c r="E1346" t="n">
        <v>7</v>
      </c>
      <c r="F1346" t="n">
        <v>0.1947</v>
      </c>
      <c r="G1346" t="n">
        <v>0.99</v>
      </c>
      <c r="H1346" t="n">
        <v>4</v>
      </c>
      <c r="I1346" t="n">
        <v>21</v>
      </c>
      <c r="J1346" t="n">
        <v>1</v>
      </c>
      <c r="K1346" t="n">
        <v>0</v>
      </c>
      <c r="L1346" t="n">
        <v>50150</v>
      </c>
      <c r="M1346" t="n">
        <v>69000</v>
      </c>
      <c r="N1346" t="n">
        <v>33</v>
      </c>
      <c r="O1346" t="n">
        <v>0.33</v>
      </c>
      <c r="P1346" t="n">
        <v>1</v>
      </c>
      <c r="Q1346" t="n">
        <v>0.2</v>
      </c>
      <c r="R1346" t="n">
        <v>1</v>
      </c>
      <c r="S1346" t="n">
        <v>13434.3</v>
      </c>
      <c r="T1346" t="n">
        <v>21</v>
      </c>
      <c r="U1346" t="n">
        <v>22</v>
      </c>
      <c r="V1346" t="n">
        <v>30</v>
      </c>
      <c r="W1346" t="n">
        <v>6</v>
      </c>
      <c r="X1346" t="n">
        <v>35.9527478171546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9412</v>
      </c>
      <c r="AG1346" t="n">
        <v>2194</v>
      </c>
      <c r="AH1346" t="inlineStr">
        <is>
          <t>PT. BINTANG MAS SURYA - PPN (JMB)</t>
        </is>
      </c>
      <c r="AI1346" t="n">
        <v>1638</v>
      </c>
      <c r="AJ1346" t="inlineStr">
        <is>
          <t>GLAD2GLOW</t>
        </is>
      </c>
      <c r="AK1346" t="n">
        <v>9</v>
      </c>
      <c r="AL1346" t="inlineStr">
        <is>
          <t>Miss Glam Jambi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"8809611529977"</f>
        <v/>
      </c>
      <c r="C1347" t="inlineStr">
        <is>
          <t>GLAD2GLOW Centella Salicylic Acid Night Acne Patch 12 Pack</t>
        </is>
      </c>
      <c r="D1347" t="inlineStr">
        <is>
          <t>Miss Glam Jambi</t>
        </is>
      </c>
      <c r="E1347" t="n">
        <v>11</v>
      </c>
      <c r="F1347" t="n">
        <v>0.1188</v>
      </c>
      <c r="G1347" t="n">
        <v>0.99</v>
      </c>
      <c r="H1347" t="n">
        <v>4</v>
      </c>
      <c r="I1347" t="n">
        <v>21</v>
      </c>
      <c r="J1347" t="n">
        <v>3</v>
      </c>
      <c r="K1347" t="n">
        <v>0</v>
      </c>
      <c r="L1347" t="n">
        <v>21250</v>
      </c>
      <c r="M1347" t="n">
        <v>25000</v>
      </c>
      <c r="N1347" t="n">
        <v>33</v>
      </c>
      <c r="O1347" t="n">
        <v>0.33</v>
      </c>
      <c r="P1347" t="n">
        <v>1</v>
      </c>
      <c r="Q1347" t="n">
        <v>0.39</v>
      </c>
      <c r="R1347" t="n">
        <v>3</v>
      </c>
      <c r="S1347" t="n">
        <v>2970</v>
      </c>
      <c r="T1347" t="n">
        <v>21</v>
      </c>
      <c r="U1347" t="n">
        <v>22</v>
      </c>
      <c r="V1347" t="n">
        <v>30</v>
      </c>
      <c r="W1347" t="n">
        <v>4</v>
      </c>
      <c r="X1347" t="n">
        <v>92.5925925925926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9412</v>
      </c>
      <c r="AG1347" t="n">
        <v>2194</v>
      </c>
      <c r="AH1347" t="inlineStr">
        <is>
          <t>PT. BINTANG MAS SURYA - PPN (JMB)</t>
        </is>
      </c>
      <c r="AI1347" t="n">
        <v>1638</v>
      </c>
      <c r="AJ1347" t="inlineStr">
        <is>
          <t>GLAD2GLOW</t>
        </is>
      </c>
      <c r="AK1347" t="n">
        <v>9</v>
      </c>
      <c r="AL1347" t="inlineStr">
        <is>
          <t>Miss Glam Jambi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"8809618369651"</f>
        <v/>
      </c>
      <c r="C1348" t="inlineStr">
        <is>
          <t>GLAD2GLOW Cherry Blossom Betaine Micellar Water 130ml</t>
        </is>
      </c>
      <c r="D1348" t="inlineStr">
        <is>
          <t>Miss Glam Jambi</t>
        </is>
      </c>
      <c r="E1348" t="n">
        <v>30</v>
      </c>
      <c r="F1348" t="n">
        <v>2.1879</v>
      </c>
      <c r="G1348" t="n">
        <v>3.96</v>
      </c>
      <c r="H1348" t="n">
        <v>4</v>
      </c>
      <c r="I1348" t="n">
        <v>21</v>
      </c>
      <c r="J1348" t="n">
        <v>3</v>
      </c>
      <c r="K1348" t="n">
        <v>20</v>
      </c>
      <c r="L1348" t="n">
        <v>24650</v>
      </c>
      <c r="M1348" t="n">
        <v>29000</v>
      </c>
      <c r="N1348" t="n">
        <v>33</v>
      </c>
      <c r="O1348" t="n">
        <v>0.33</v>
      </c>
      <c r="P1348" t="n">
        <v>1</v>
      </c>
      <c r="Q1348" t="n">
        <v>1.36</v>
      </c>
      <c r="R1348" t="n">
        <v>5</v>
      </c>
      <c r="S1348" t="n">
        <v>63449.1</v>
      </c>
      <c r="T1348" t="n">
        <v>75</v>
      </c>
      <c r="U1348" t="n">
        <v>84</v>
      </c>
      <c r="V1348" t="n">
        <v>30</v>
      </c>
      <c r="W1348" t="n">
        <v>66</v>
      </c>
      <c r="X1348" t="n">
        <v>13.71177841766077</v>
      </c>
      <c r="Y1348" t="n">
        <v>1</v>
      </c>
      <c r="Z1348" t="n">
        <v>16</v>
      </c>
      <c r="AA1348" t="n">
        <v>15</v>
      </c>
      <c r="AB1348" t="n">
        <v>1</v>
      </c>
      <c r="AC1348" t="n">
        <v>3</v>
      </c>
      <c r="AD1348" t="n">
        <v>369750</v>
      </c>
      <c r="AE1348" t="n">
        <v>73950</v>
      </c>
      <c r="AF1348" t="n">
        <v>9412</v>
      </c>
      <c r="AG1348" t="n">
        <v>2194</v>
      </c>
      <c r="AH1348" t="inlineStr">
        <is>
          <t>PT. BINTANG MAS SURYA - PPN (JMB)</t>
        </is>
      </c>
      <c r="AI1348" t="n">
        <v>1638</v>
      </c>
      <c r="AJ1348" t="inlineStr">
        <is>
          <t>GLAD2GLOW</t>
        </is>
      </c>
      <c r="AK1348" t="n">
        <v>9</v>
      </c>
      <c r="AL1348" t="inlineStr">
        <is>
          <t>Miss Glam Jambi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"8809698873345"</f>
        <v/>
      </c>
      <c r="C1349" t="inlineStr">
        <is>
          <t>GLAD2GLOW Cherry Blossom Betaine Micellar Water Removes Makeup &amp; Impurities 300ml</t>
        </is>
      </c>
      <c r="D1349" t="inlineStr">
        <is>
          <t>Miss Glam Jambi</t>
        </is>
      </c>
      <c r="E1349" t="n">
        <v>68</v>
      </c>
      <c r="F1349" t="n">
        <v>5.530800000000001</v>
      </c>
      <c r="G1349" t="n">
        <v>12.21</v>
      </c>
      <c r="H1349" t="n">
        <v>4</v>
      </c>
      <c r="I1349" t="n">
        <v>21</v>
      </c>
      <c r="J1349" t="n">
        <v>3</v>
      </c>
      <c r="K1349" t="n">
        <v>51</v>
      </c>
      <c r="L1349" t="n">
        <v>41648</v>
      </c>
      <c r="M1349" t="n">
        <v>49000</v>
      </c>
      <c r="N1349" t="n">
        <v>33</v>
      </c>
      <c r="O1349" t="n">
        <v>0.33</v>
      </c>
      <c r="P1349" t="n">
        <v>1</v>
      </c>
      <c r="Q1349" t="n">
        <v>3.63</v>
      </c>
      <c r="R1349" t="n">
        <v>10</v>
      </c>
      <c r="S1349" t="n">
        <v>271009.2000000001</v>
      </c>
      <c r="T1349" t="n">
        <v>235</v>
      </c>
      <c r="U1349" t="n">
        <v>258</v>
      </c>
      <c r="V1349" t="n">
        <v>30</v>
      </c>
      <c r="W1349" t="n">
        <v>166</v>
      </c>
      <c r="X1349" t="n">
        <v>12.2947855644753</v>
      </c>
      <c r="Y1349" t="n">
        <v>1</v>
      </c>
      <c r="Z1349" t="n">
        <v>47</v>
      </c>
      <c r="AA1349" t="n">
        <v>48</v>
      </c>
      <c r="AB1349" t="n">
        <v>0</v>
      </c>
      <c r="AC1349" t="n">
        <v>0</v>
      </c>
      <c r="AD1349" t="n">
        <v>1999104</v>
      </c>
      <c r="AE1349" t="n">
        <v>0</v>
      </c>
      <c r="AF1349" t="n">
        <v>9412</v>
      </c>
      <c r="AG1349" t="n">
        <v>2194</v>
      </c>
      <c r="AH1349" t="inlineStr">
        <is>
          <t>PT. BINTANG MAS SURYA - PPN (JMB)</t>
        </is>
      </c>
      <c r="AI1349" t="n">
        <v>1638</v>
      </c>
      <c r="AJ1349" t="inlineStr">
        <is>
          <t>GLAD2GLOW</t>
        </is>
      </c>
      <c r="AK1349" t="n">
        <v>9</v>
      </c>
      <c r="AL1349" t="inlineStr">
        <is>
          <t>Miss Glam Jambi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"10100725619"</f>
        <v/>
      </c>
      <c r="C1350" t="inlineStr">
        <is>
          <t>GLAD2GLOW Cherry Blossom Micelar Water 230ml</t>
        </is>
      </c>
      <c r="D1350" t="inlineStr">
        <is>
          <t>Miss Glam Jambi</t>
        </is>
      </c>
      <c r="E1350" t="n">
        <v>7</v>
      </c>
      <c r="F1350" t="n">
        <v>0.1914</v>
      </c>
      <c r="G1350" t="n">
        <v>1.32</v>
      </c>
      <c r="H1350" t="n">
        <v>4</v>
      </c>
      <c r="I1350" t="n">
        <v>21</v>
      </c>
      <c r="J1350" t="n">
        <v>1</v>
      </c>
      <c r="K1350" t="n">
        <v>0</v>
      </c>
      <c r="L1350" t="n">
        <v>33149</v>
      </c>
      <c r="M1350" t="n">
        <v>39000</v>
      </c>
      <c r="N1350" t="n">
        <v>33</v>
      </c>
      <c r="O1350" t="n">
        <v>0.33</v>
      </c>
      <c r="P1350" t="n">
        <v>1</v>
      </c>
      <c r="Q1350" t="n">
        <v>0.08</v>
      </c>
      <c r="R1350" t="n">
        <v>1</v>
      </c>
      <c r="S1350" t="n">
        <v>7464.599999999999</v>
      </c>
      <c r="T1350" t="n">
        <v>27</v>
      </c>
      <c r="U1350" t="n">
        <v>28</v>
      </c>
      <c r="V1350" t="n">
        <v>30</v>
      </c>
      <c r="W1350" t="n">
        <v>6</v>
      </c>
      <c r="X1350" t="n">
        <v>36.57262277951934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9412</v>
      </c>
      <c r="AG1350" t="n">
        <v>2194</v>
      </c>
      <c r="AH1350" t="inlineStr">
        <is>
          <t>PT. BINTANG MAS SURYA - PPN (JMB)</t>
        </is>
      </c>
      <c r="AI1350" t="n">
        <v>1638</v>
      </c>
      <c r="AJ1350" t="inlineStr">
        <is>
          <t>GLAD2GLOW</t>
        </is>
      </c>
      <c r="AK1350" t="n">
        <v>9</v>
      </c>
      <c r="AL1350" t="inlineStr">
        <is>
          <t>Miss Glam Jambi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"30200427315"</f>
        <v/>
      </c>
      <c r="C1351" t="inlineStr">
        <is>
          <t>GLAD2GLOW Creamy Berry Overnight Bright Body Serum 180ml</t>
        </is>
      </c>
      <c r="D1351" t="inlineStr">
        <is>
          <t>Miss Glam Jambi</t>
        </is>
      </c>
      <c r="E1351" t="n">
        <v>7</v>
      </c>
      <c r="F1351" t="n">
        <v>0.1947</v>
      </c>
      <c r="G1351" t="n">
        <v>1.32</v>
      </c>
      <c r="H1351" t="n">
        <v>4</v>
      </c>
      <c r="I1351" t="n">
        <v>21</v>
      </c>
      <c r="J1351" t="n">
        <v>1</v>
      </c>
      <c r="K1351" t="n">
        <v>0</v>
      </c>
      <c r="L1351" t="n">
        <v>33905</v>
      </c>
      <c r="M1351" t="n">
        <v>49000</v>
      </c>
      <c r="N1351" t="n">
        <v>33</v>
      </c>
      <c r="O1351" t="n">
        <v>0.33</v>
      </c>
      <c r="P1351" t="n">
        <v>1</v>
      </c>
      <c r="Q1351" t="n">
        <v>0.1</v>
      </c>
      <c r="R1351" t="n">
        <v>2</v>
      </c>
      <c r="S1351" t="n">
        <v>9540.300000000001</v>
      </c>
      <c r="T1351" t="n">
        <v>27</v>
      </c>
      <c r="U1351" t="n">
        <v>28</v>
      </c>
      <c r="V1351" t="n">
        <v>30</v>
      </c>
      <c r="W1351" t="n">
        <v>6</v>
      </c>
      <c r="X1351" t="n">
        <v>35.9527478171546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9412</v>
      </c>
      <c r="AG1351" t="n">
        <v>2194</v>
      </c>
      <c r="AH1351" t="inlineStr">
        <is>
          <t>PT. BINTANG MAS SURYA - PPN (JMB)</t>
        </is>
      </c>
      <c r="AI1351" t="n">
        <v>1638</v>
      </c>
      <c r="AJ1351" t="inlineStr">
        <is>
          <t>GLAD2GLOW</t>
        </is>
      </c>
      <c r="AK1351" t="n">
        <v>9</v>
      </c>
      <c r="AL1351" t="inlineStr">
        <is>
          <t>Miss Glam Jambi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"30200425828"</f>
        <v/>
      </c>
      <c r="C1352" t="inlineStr">
        <is>
          <t>GLAD2GLOW Creamy Berry Overnight Bright Body Serum 300ml</t>
        </is>
      </c>
      <c r="D1352" t="inlineStr">
        <is>
          <t>Miss Glam Jambi</t>
        </is>
      </c>
      <c r="E1352" t="n">
        <v>9</v>
      </c>
      <c r="F1352" t="n">
        <v>0.2277</v>
      </c>
      <c r="G1352" t="n">
        <v>1.32</v>
      </c>
      <c r="H1352" t="n">
        <v>4</v>
      </c>
      <c r="I1352" t="n">
        <v>21</v>
      </c>
      <c r="J1352" t="n">
        <v>1</v>
      </c>
      <c r="K1352" t="n">
        <v>0</v>
      </c>
      <c r="L1352" t="n">
        <v>58650</v>
      </c>
      <c r="M1352" t="n">
        <v>69000</v>
      </c>
      <c r="N1352" t="n">
        <v>33</v>
      </c>
      <c r="O1352" t="n">
        <v>0.33</v>
      </c>
      <c r="P1352" t="n">
        <v>1</v>
      </c>
      <c r="Q1352" t="n">
        <v>0.17</v>
      </c>
      <c r="R1352" t="n">
        <v>2</v>
      </c>
      <c r="S1352" t="n">
        <v>15711.3</v>
      </c>
      <c r="T1352" t="n">
        <v>27</v>
      </c>
      <c r="U1352" t="n">
        <v>28</v>
      </c>
      <c r="V1352" t="n">
        <v>30</v>
      </c>
      <c r="W1352" t="n">
        <v>7</v>
      </c>
      <c r="X1352" t="n">
        <v>39.52569169960474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9412</v>
      </c>
      <c r="AG1352" t="n">
        <v>2194</v>
      </c>
      <c r="AH1352" t="inlineStr">
        <is>
          <t>PT. BINTANG MAS SURYA - PPN (JMB)</t>
        </is>
      </c>
      <c r="AI1352" t="n">
        <v>1638</v>
      </c>
      <c r="AJ1352" t="inlineStr">
        <is>
          <t>GLAD2GLOW</t>
        </is>
      </c>
      <c r="AK1352" t="n">
        <v>9</v>
      </c>
      <c r="AL1352" t="inlineStr">
        <is>
          <t>Miss Glam Jambi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"101001116219"</f>
        <v/>
      </c>
      <c r="C1353" t="inlineStr">
        <is>
          <t>GLAD2GLOW Deep Pore Clean Facial Wash 70ml</t>
        </is>
      </c>
      <c r="D1353" t="inlineStr">
        <is>
          <t>Miss Glam Jambi</t>
        </is>
      </c>
      <c r="E1353" t="n">
        <v>1</v>
      </c>
      <c r="F1353" t="n">
        <v>0.3564000000000001</v>
      </c>
      <c r="G1353" t="n">
        <v>1.32</v>
      </c>
      <c r="H1353" t="n">
        <v>4</v>
      </c>
      <c r="I1353" t="n">
        <v>21</v>
      </c>
      <c r="J1353" t="n">
        <v>1</v>
      </c>
      <c r="K1353" t="n">
        <v>3</v>
      </c>
      <c r="L1353" t="n">
        <v>33150</v>
      </c>
      <c r="M1353" t="n">
        <v>39000</v>
      </c>
      <c r="N1353" t="n">
        <v>33</v>
      </c>
      <c r="O1353" t="n">
        <v>0.33</v>
      </c>
      <c r="P1353" t="n">
        <v>1</v>
      </c>
      <c r="Q1353" t="n">
        <v>0.08</v>
      </c>
      <c r="R1353" t="n">
        <v>1</v>
      </c>
      <c r="S1353" t="n">
        <v>13899.6</v>
      </c>
      <c r="T1353" t="n">
        <v>27</v>
      </c>
      <c r="U1353" t="n">
        <v>29</v>
      </c>
      <c r="V1353" t="n">
        <v>30</v>
      </c>
      <c r="W1353" t="n">
        <v>11</v>
      </c>
      <c r="X1353" t="n">
        <v>2.805836139169472</v>
      </c>
      <c r="Y1353" t="n">
        <v>1</v>
      </c>
      <c r="Z1353" t="n">
        <v>7</v>
      </c>
      <c r="AA1353" t="n">
        <v>6</v>
      </c>
      <c r="AB1353" t="n">
        <v>1</v>
      </c>
      <c r="AC1353" t="n">
        <v>1</v>
      </c>
      <c r="AD1353" t="n">
        <v>198900</v>
      </c>
      <c r="AE1353" t="n">
        <v>33150</v>
      </c>
      <c r="AF1353" t="n">
        <v>9412</v>
      </c>
      <c r="AG1353" t="n">
        <v>2194</v>
      </c>
      <c r="AH1353" t="inlineStr">
        <is>
          <t>PT. BINTANG MAS SURYA - PPN (JMB)</t>
        </is>
      </c>
      <c r="AI1353" t="n">
        <v>1638</v>
      </c>
      <c r="AJ1353" t="inlineStr">
        <is>
          <t>GLAD2GLOW</t>
        </is>
      </c>
      <c r="AK1353" t="n">
        <v>9</v>
      </c>
      <c r="AL1353" t="inlineStr">
        <is>
          <t>Miss Glam Jambi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"10300146636"</f>
        <v/>
      </c>
      <c r="C1354" t="inlineStr">
        <is>
          <t>GLAD2GLOW Double Bright Day Cream 30gr</t>
        </is>
      </c>
      <c r="D1354" t="inlineStr">
        <is>
          <t>Miss Glam Jambi</t>
        </is>
      </c>
      <c r="E1354" t="n">
        <v>11</v>
      </c>
      <c r="F1354" t="n">
        <v>0.5643</v>
      </c>
      <c r="G1354" t="n">
        <v>2.31</v>
      </c>
      <c r="H1354" t="n">
        <v>4</v>
      </c>
      <c r="I1354" t="n">
        <v>21</v>
      </c>
      <c r="J1354" t="n">
        <v>1</v>
      </c>
      <c r="K1354" t="n">
        <v>5</v>
      </c>
      <c r="L1354" t="n">
        <v>72250</v>
      </c>
      <c r="M1354" t="n">
        <v>89000</v>
      </c>
      <c r="N1354" t="n">
        <v>33</v>
      </c>
      <c r="O1354" t="n">
        <v>0.33</v>
      </c>
      <c r="P1354" t="n">
        <v>1</v>
      </c>
      <c r="Q1354" t="n">
        <v>0.58</v>
      </c>
      <c r="R1354" t="n">
        <v>3</v>
      </c>
      <c r="S1354" t="n">
        <v>50222.7</v>
      </c>
      <c r="T1354" t="n">
        <v>47</v>
      </c>
      <c r="U1354" t="n">
        <v>50</v>
      </c>
      <c r="V1354" t="n">
        <v>30</v>
      </c>
      <c r="W1354" t="n">
        <v>17</v>
      </c>
      <c r="X1354" t="n">
        <v>19.49317738791423</v>
      </c>
      <c r="Y1354" t="n">
        <v>1</v>
      </c>
      <c r="Z1354" t="n">
        <v>1</v>
      </c>
      <c r="AA1354" t="n">
        <v>0</v>
      </c>
      <c r="AB1354" t="n">
        <v>1</v>
      </c>
      <c r="AC1354" t="n">
        <v>1</v>
      </c>
      <c r="AD1354" t="n">
        <v>0</v>
      </c>
      <c r="AE1354" t="n">
        <v>72250</v>
      </c>
      <c r="AF1354" t="n">
        <v>9412</v>
      </c>
      <c r="AG1354" t="n">
        <v>2194</v>
      </c>
      <c r="AH1354" t="inlineStr">
        <is>
          <t>PT. BINTANG MAS SURYA - PPN (JMB)</t>
        </is>
      </c>
      <c r="AI1354" t="n">
        <v>1638</v>
      </c>
      <c r="AJ1354" t="inlineStr">
        <is>
          <t>GLAD2GLOW</t>
        </is>
      </c>
      <c r="AK1354" t="n">
        <v>9</v>
      </c>
      <c r="AL1354" t="inlineStr">
        <is>
          <t>Miss Glam Jambi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"20100181114"</f>
        <v/>
      </c>
      <c r="C1355" t="inlineStr">
        <is>
          <t>GLAD2GLOW Flawless Bluring Skin Tint 01 Buttercream 30gr</t>
        </is>
      </c>
      <c r="D1355" t="inlineStr">
        <is>
          <t>Miss Glam Jambi</t>
        </is>
      </c>
      <c r="E1355" t="n">
        <v>20</v>
      </c>
      <c r="F1355" t="n">
        <v>0.1386</v>
      </c>
      <c r="G1355" t="n">
        <v>0.99</v>
      </c>
      <c r="H1355" t="n">
        <v>4</v>
      </c>
      <c r="I1355" t="n">
        <v>21</v>
      </c>
      <c r="J1355" t="n">
        <v>1</v>
      </c>
      <c r="K1355" t="n">
        <v>0</v>
      </c>
      <c r="L1355" t="n">
        <v>50150</v>
      </c>
      <c r="M1355" t="n">
        <v>59000</v>
      </c>
      <c r="N1355" t="n">
        <v>33</v>
      </c>
      <c r="O1355" t="n">
        <v>0.33</v>
      </c>
      <c r="P1355" t="n">
        <v>1</v>
      </c>
      <c r="Q1355" t="n">
        <v>0.12</v>
      </c>
      <c r="R1355" t="n">
        <v>1</v>
      </c>
      <c r="S1355" t="n">
        <v>8177.4</v>
      </c>
      <c r="T1355" t="n">
        <v>21</v>
      </c>
      <c r="U1355" t="n">
        <v>22</v>
      </c>
      <c r="V1355" t="n">
        <v>30</v>
      </c>
      <c r="W1355" t="n">
        <v>5</v>
      </c>
      <c r="X1355" t="n">
        <v>144.3001443001443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9412</v>
      </c>
      <c r="AG1355" t="n">
        <v>2194</v>
      </c>
      <c r="AH1355" t="inlineStr">
        <is>
          <t>PT. BINTANG MAS SURYA - PPN (JMB)</t>
        </is>
      </c>
      <c r="AI1355" t="n">
        <v>1638</v>
      </c>
      <c r="AJ1355" t="inlineStr">
        <is>
          <t>GLAD2GLOW</t>
        </is>
      </c>
      <c r="AK1355" t="n">
        <v>9</v>
      </c>
      <c r="AL1355" t="inlineStr">
        <is>
          <t>Miss Glam Jambi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"20100181247"</f>
        <v/>
      </c>
      <c r="C1356" t="inlineStr">
        <is>
          <t>GLAD2GLOW Flawless Bluring Skin Tint 02 Praline 30gr</t>
        </is>
      </c>
      <c r="D1356" t="inlineStr">
        <is>
          <t>Miss Glam Jambi</t>
        </is>
      </c>
      <c r="E1356" t="n">
        <v>19</v>
      </c>
      <c r="F1356" t="n">
        <v>0.2475</v>
      </c>
      <c r="G1356" t="n">
        <v>1.65</v>
      </c>
      <c r="H1356" t="n">
        <v>4</v>
      </c>
      <c r="I1356" t="n">
        <v>21</v>
      </c>
      <c r="J1356" t="n">
        <v>1</v>
      </c>
      <c r="K1356" t="n">
        <v>0</v>
      </c>
      <c r="L1356" t="n">
        <v>50150</v>
      </c>
      <c r="M1356" t="n">
        <v>59000</v>
      </c>
      <c r="N1356" t="n">
        <v>33</v>
      </c>
      <c r="O1356" t="n">
        <v>0.33</v>
      </c>
      <c r="P1356" t="n">
        <v>1</v>
      </c>
      <c r="Q1356" t="n">
        <v>0.14</v>
      </c>
      <c r="R1356" t="n">
        <v>1</v>
      </c>
      <c r="S1356" t="n">
        <v>14602.5</v>
      </c>
      <c r="T1356" t="n">
        <v>34</v>
      </c>
      <c r="U1356" t="n">
        <v>35</v>
      </c>
      <c r="V1356" t="n">
        <v>30</v>
      </c>
      <c r="W1356" t="n">
        <v>8</v>
      </c>
      <c r="X1356" t="n">
        <v>76.76767676767678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9412</v>
      </c>
      <c r="AG1356" t="n">
        <v>2194</v>
      </c>
      <c r="AH1356" t="inlineStr">
        <is>
          <t>PT. BINTANG MAS SURYA - PPN (JMB)</t>
        </is>
      </c>
      <c r="AI1356" t="n">
        <v>1638</v>
      </c>
      <c r="AJ1356" t="inlineStr">
        <is>
          <t>GLAD2GLOW</t>
        </is>
      </c>
      <c r="AK1356" t="n">
        <v>9</v>
      </c>
      <c r="AL1356" t="inlineStr">
        <is>
          <t>Miss Glam Jambi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"20100181328"</f>
        <v/>
      </c>
      <c r="C1357" t="inlineStr">
        <is>
          <t>GLAD2GLOW Flawless Bluring Skin Tint 03 Custard 30gr</t>
        </is>
      </c>
      <c r="D1357" t="inlineStr">
        <is>
          <t>Miss Glam Jambi</t>
        </is>
      </c>
      <c r="E1357" t="n">
        <v>13</v>
      </c>
      <c r="F1357" t="n">
        <v>0.2508</v>
      </c>
      <c r="G1357" t="n">
        <v>1.98</v>
      </c>
      <c r="H1357" t="n">
        <v>4</v>
      </c>
      <c r="I1357" t="n">
        <v>21</v>
      </c>
      <c r="J1357" t="n">
        <v>1</v>
      </c>
      <c r="K1357" t="n">
        <v>0</v>
      </c>
      <c r="L1357" t="n">
        <v>50150</v>
      </c>
      <c r="M1357" t="n">
        <v>59000</v>
      </c>
      <c r="N1357" t="n">
        <v>33</v>
      </c>
      <c r="O1357" t="n">
        <v>0.33</v>
      </c>
      <c r="P1357" t="n">
        <v>1</v>
      </c>
      <c r="Q1357" t="n">
        <v>0.24</v>
      </c>
      <c r="R1357" t="n">
        <v>3</v>
      </c>
      <c r="S1357" t="n">
        <v>14797.2</v>
      </c>
      <c r="T1357" t="n">
        <v>41</v>
      </c>
      <c r="U1357" t="n">
        <v>43</v>
      </c>
      <c r="V1357" t="n">
        <v>30</v>
      </c>
      <c r="W1357" t="n">
        <v>8</v>
      </c>
      <c r="X1357" t="n">
        <v>51.8341307814992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9412</v>
      </c>
      <c r="AG1357" t="n">
        <v>2194</v>
      </c>
      <c r="AH1357" t="inlineStr">
        <is>
          <t>PT. BINTANG MAS SURYA - PPN (JMB)</t>
        </is>
      </c>
      <c r="AI1357" t="n">
        <v>1638</v>
      </c>
      <c r="AJ1357" t="inlineStr">
        <is>
          <t>GLAD2GLOW</t>
        </is>
      </c>
      <c r="AK1357" t="n">
        <v>9</v>
      </c>
      <c r="AL1357" t="inlineStr">
        <is>
          <t>Miss Glam Jambi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"20100181402"</f>
        <v/>
      </c>
      <c r="C1358" t="inlineStr">
        <is>
          <t>GLAD2GLOW Flawless Bluring Skin Tint 04 Ginger 30gr</t>
        </is>
      </c>
      <c r="D1358" t="inlineStr">
        <is>
          <t>Miss Glam Jambi</t>
        </is>
      </c>
      <c r="E1358" t="n">
        <v>23</v>
      </c>
      <c r="F1358" t="n">
        <v>0.0495</v>
      </c>
      <c r="G1358" t="n">
        <v>0.66</v>
      </c>
      <c r="H1358" t="n">
        <v>4</v>
      </c>
      <c r="I1358" t="n">
        <v>21</v>
      </c>
      <c r="J1358" t="n">
        <v>1</v>
      </c>
      <c r="K1358" t="n">
        <v>0</v>
      </c>
      <c r="L1358" t="n">
        <v>50150</v>
      </c>
      <c r="M1358" t="n">
        <v>59000</v>
      </c>
      <c r="N1358" t="n">
        <v>33</v>
      </c>
      <c r="O1358" t="n">
        <v>0.33</v>
      </c>
      <c r="P1358" t="n">
        <v>1</v>
      </c>
      <c r="Q1358" t="n">
        <v>0.12</v>
      </c>
      <c r="R1358" t="n">
        <v>1</v>
      </c>
      <c r="S1358" t="n">
        <v>2920.5</v>
      </c>
      <c r="T1358" t="n">
        <v>14</v>
      </c>
      <c r="U1358" t="n">
        <v>15</v>
      </c>
      <c r="V1358" t="n">
        <v>30</v>
      </c>
      <c r="W1358" t="n">
        <v>2</v>
      </c>
      <c r="X1358" t="n">
        <v>464.6464646464646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9412</v>
      </c>
      <c r="AG1358" t="n">
        <v>2194</v>
      </c>
      <c r="AH1358" t="inlineStr">
        <is>
          <t>PT. BINTANG MAS SURYA - PPN (JMB)</t>
        </is>
      </c>
      <c r="AI1358" t="n">
        <v>1638</v>
      </c>
      <c r="AJ1358" t="inlineStr">
        <is>
          <t>GLAD2GLOW</t>
        </is>
      </c>
      <c r="AK1358" t="n">
        <v>9</v>
      </c>
      <c r="AL1358" t="inlineStr">
        <is>
          <t>Miss Glam Jambi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"8809618369576"</f>
        <v/>
      </c>
      <c r="C1359" t="inlineStr">
        <is>
          <t>GLAD2GLOW Jeju Tangerine Vita C Power Bright Glow Serum 17ml</t>
        </is>
      </c>
      <c r="D1359" t="inlineStr">
        <is>
          <t>Miss Glam Jambi</t>
        </is>
      </c>
      <c r="E1359" t="n">
        <v>9</v>
      </c>
      <c r="F1359" t="n">
        <v>0.0264</v>
      </c>
      <c r="G1359" t="n">
        <v>0.33</v>
      </c>
      <c r="H1359" t="n">
        <v>4</v>
      </c>
      <c r="I1359" t="n">
        <v>21</v>
      </c>
      <c r="J1359" t="n">
        <v>3</v>
      </c>
      <c r="K1359" t="n">
        <v>0</v>
      </c>
      <c r="L1359" t="n">
        <v>38251</v>
      </c>
      <c r="M1359" t="n">
        <v>51000</v>
      </c>
      <c r="N1359" t="n">
        <v>33</v>
      </c>
      <c r="O1359" t="n">
        <v>0.33</v>
      </c>
      <c r="P1359" t="n">
        <v>1</v>
      </c>
      <c r="Q1359" t="n">
        <v>0.02</v>
      </c>
      <c r="R1359" t="n">
        <v>1</v>
      </c>
      <c r="S1359" t="n">
        <v>1346.4</v>
      </c>
      <c r="T1359" t="n">
        <v>7</v>
      </c>
      <c r="U1359" t="n">
        <v>8</v>
      </c>
      <c r="V1359" t="n">
        <v>30</v>
      </c>
      <c r="W1359" t="n">
        <v>1</v>
      </c>
      <c r="X1359" t="n">
        <v>340.9090909090909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9412</v>
      </c>
      <c r="AG1359" t="n">
        <v>2194</v>
      </c>
      <c r="AH1359" t="inlineStr">
        <is>
          <t>PT. BINTANG MAS SURYA - PPN (JMB)</t>
        </is>
      </c>
      <c r="AI1359" t="n">
        <v>1638</v>
      </c>
      <c r="AJ1359" t="inlineStr">
        <is>
          <t>GLAD2GLOW</t>
        </is>
      </c>
      <c r="AK1359" t="n">
        <v>9</v>
      </c>
      <c r="AL1359" t="inlineStr">
        <is>
          <t>Miss Glam Jambi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"10300613403"</f>
        <v/>
      </c>
      <c r="C1360" t="inlineStr">
        <is>
          <t>GLAD2GLOW Kiwi 3d Acid Moisturizer 100ml</t>
        </is>
      </c>
      <c r="D1360" t="inlineStr">
        <is>
          <t>Miss Glam Jambi</t>
        </is>
      </c>
      <c r="E1360" t="n">
        <v>4</v>
      </c>
      <c r="F1360" t="n">
        <v>0.009900000000000001</v>
      </c>
      <c r="G1360" t="n">
        <v>0.33</v>
      </c>
      <c r="H1360" t="n">
        <v>4</v>
      </c>
      <c r="I1360" t="n">
        <v>21</v>
      </c>
      <c r="J1360" t="n">
        <v>1</v>
      </c>
      <c r="K1360" t="n">
        <v>0</v>
      </c>
      <c r="L1360" t="n">
        <v>84150</v>
      </c>
      <c r="M1360" t="n">
        <v>99000</v>
      </c>
      <c r="N1360" t="n">
        <v>33</v>
      </c>
      <c r="O1360" t="n">
        <v>0.33</v>
      </c>
      <c r="P1360" t="n">
        <v>1</v>
      </c>
      <c r="Q1360" t="n">
        <v>0.03</v>
      </c>
      <c r="R1360" t="n">
        <v>2</v>
      </c>
      <c r="S1360" t="n">
        <v>980.1000000000001</v>
      </c>
      <c r="T1360" t="n">
        <v>7</v>
      </c>
      <c r="U1360" t="n">
        <v>8</v>
      </c>
      <c r="V1360" t="n">
        <v>30</v>
      </c>
      <c r="W1360" t="n">
        <v>1</v>
      </c>
      <c r="X1360" t="n">
        <v>404.040404040404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9412</v>
      </c>
      <c r="AG1360" t="n">
        <v>2194</v>
      </c>
      <c r="AH1360" t="inlineStr">
        <is>
          <t>PT. BINTANG MAS SURYA - PPN (JMB)</t>
        </is>
      </c>
      <c r="AI1360" t="n">
        <v>1638</v>
      </c>
      <c r="AJ1360" t="inlineStr">
        <is>
          <t>GLAD2GLOW</t>
        </is>
      </c>
      <c r="AK1360" t="n">
        <v>9</v>
      </c>
      <c r="AL1360" t="inlineStr">
        <is>
          <t>Miss Glam Jambi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"8809673489028"</f>
        <v/>
      </c>
      <c r="C1361" t="inlineStr">
        <is>
          <t>GLAD2GLOW Lash &amp; Brow Intense Serum 4.5ml</t>
        </is>
      </c>
      <c r="D1361" t="inlineStr">
        <is>
          <t>Miss Glam Jambi</t>
        </is>
      </c>
      <c r="E1361" t="n">
        <v>3</v>
      </c>
      <c r="F1361" t="n">
        <v>0.06270000000000001</v>
      </c>
      <c r="G1361" t="n">
        <v>0.66</v>
      </c>
      <c r="H1361" t="n">
        <v>4</v>
      </c>
      <c r="I1361" t="n">
        <v>21</v>
      </c>
      <c r="J1361" t="n">
        <v>3</v>
      </c>
      <c r="K1361" t="n">
        <v>0</v>
      </c>
      <c r="L1361" t="n">
        <v>41648</v>
      </c>
      <c r="M1361" t="n">
        <v>52500</v>
      </c>
      <c r="N1361" t="n">
        <v>33</v>
      </c>
      <c r="O1361" t="n">
        <v>0.33</v>
      </c>
      <c r="P1361" t="n">
        <v>1</v>
      </c>
      <c r="Q1361" t="n">
        <v>0.08</v>
      </c>
      <c r="R1361" t="n">
        <v>2</v>
      </c>
      <c r="S1361" t="n">
        <v>3291.75</v>
      </c>
      <c r="T1361" t="n">
        <v>14</v>
      </c>
      <c r="U1361" t="n">
        <v>15</v>
      </c>
      <c r="V1361" t="n">
        <v>30</v>
      </c>
      <c r="W1361" t="n">
        <v>2</v>
      </c>
      <c r="X1361" t="n">
        <v>47.84688995215311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9412</v>
      </c>
      <c r="AG1361" t="n">
        <v>2194</v>
      </c>
      <c r="AH1361" t="inlineStr">
        <is>
          <t>PT. BINTANG MAS SURYA - PPN (JMB)</t>
        </is>
      </c>
      <c r="AI1361" t="n">
        <v>1638</v>
      </c>
      <c r="AJ1361" t="inlineStr">
        <is>
          <t>GLAD2GLOW</t>
        </is>
      </c>
      <c r="AK1361" t="n">
        <v>9</v>
      </c>
      <c r="AL1361" t="inlineStr">
        <is>
          <t>Miss Glam Jambi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"101001116146"</f>
        <v/>
      </c>
      <c r="C1362" t="inlineStr">
        <is>
          <t>GLAD2GLOW Low PH 5.5 Gentle Facial Wash 70ml</t>
        </is>
      </c>
      <c r="D1362" t="inlineStr">
        <is>
          <t>Miss Glam Jambi</t>
        </is>
      </c>
      <c r="E1362" t="n">
        <v>33</v>
      </c>
      <c r="F1362" t="n">
        <v>0.1023</v>
      </c>
      <c r="G1362" t="n">
        <v>0.66</v>
      </c>
      <c r="H1362" t="n">
        <v>4</v>
      </c>
      <c r="I1362" t="n">
        <v>21</v>
      </c>
      <c r="J1362" t="n">
        <v>1</v>
      </c>
      <c r="K1362" t="n">
        <v>0</v>
      </c>
      <c r="L1362" t="n">
        <v>33150</v>
      </c>
      <c r="M1362" t="n">
        <v>39000</v>
      </c>
      <c r="N1362" t="n">
        <v>33</v>
      </c>
      <c r="O1362" t="n">
        <v>0.33</v>
      </c>
      <c r="P1362" t="n">
        <v>1</v>
      </c>
      <c r="Q1362" t="n">
        <v>0.05</v>
      </c>
      <c r="R1362" t="n">
        <v>2</v>
      </c>
      <c r="S1362" t="n">
        <v>3989.7</v>
      </c>
      <c r="T1362" t="n">
        <v>14</v>
      </c>
      <c r="U1362" t="n">
        <v>15</v>
      </c>
      <c r="V1362" t="n">
        <v>30</v>
      </c>
      <c r="W1362" t="n">
        <v>4</v>
      </c>
      <c r="X1362" t="n">
        <v>322.5806451612903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9412</v>
      </c>
      <c r="AG1362" t="n">
        <v>2194</v>
      </c>
      <c r="AH1362" t="inlineStr">
        <is>
          <t>PT. BINTANG MAS SURYA - PPN (JMB)</t>
        </is>
      </c>
      <c r="AI1362" t="n">
        <v>1638</v>
      </c>
      <c r="AJ1362" t="inlineStr">
        <is>
          <t>GLAD2GLOW</t>
        </is>
      </c>
      <c r="AK1362" t="n">
        <v>9</v>
      </c>
      <c r="AL1362" t="inlineStr">
        <is>
          <t>Miss Glam Jambi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"10100204728"</f>
        <v/>
      </c>
      <c r="C1363" t="inlineStr">
        <is>
          <t>GLAD2GLOW Madagascar Centella Asiatica Cleansing Oil 100ml</t>
        </is>
      </c>
      <c r="D1363" t="inlineStr">
        <is>
          <t>Miss Glam Jambi</t>
        </is>
      </c>
      <c r="E1363" t="n">
        <v>17</v>
      </c>
      <c r="F1363" t="n">
        <v>1.4718</v>
      </c>
      <c r="G1363" t="n">
        <v>3.96</v>
      </c>
      <c r="H1363" t="n">
        <v>4</v>
      </c>
      <c r="I1363" t="n">
        <v>21</v>
      </c>
      <c r="J1363" t="n">
        <v>1</v>
      </c>
      <c r="K1363" t="n">
        <v>14</v>
      </c>
      <c r="L1363" t="n">
        <v>50148</v>
      </c>
      <c r="M1363" t="n">
        <v>58000</v>
      </c>
      <c r="N1363" t="n">
        <v>33</v>
      </c>
      <c r="O1363" t="n">
        <v>0.33</v>
      </c>
      <c r="P1363" t="n">
        <v>1</v>
      </c>
      <c r="Q1363" t="n">
        <v>1.1</v>
      </c>
      <c r="R1363" t="n">
        <v>5</v>
      </c>
      <c r="S1363" t="n">
        <v>85364.39999999999</v>
      </c>
      <c r="T1363" t="n">
        <v>78</v>
      </c>
      <c r="U1363" t="n">
        <v>84</v>
      </c>
      <c r="V1363" t="n">
        <v>30</v>
      </c>
      <c r="W1363" t="n">
        <v>45</v>
      </c>
      <c r="X1363" t="n">
        <v>11.55048240250034</v>
      </c>
      <c r="Y1363" t="n">
        <v>1</v>
      </c>
      <c r="Z1363" t="n">
        <v>14</v>
      </c>
      <c r="AA1363" t="n">
        <v>13</v>
      </c>
      <c r="AB1363" t="n">
        <v>1</v>
      </c>
      <c r="AC1363" t="n">
        <v>1</v>
      </c>
      <c r="AD1363" t="n">
        <v>651924</v>
      </c>
      <c r="AE1363" t="n">
        <v>50148</v>
      </c>
      <c r="AF1363" t="n">
        <v>9412</v>
      </c>
      <c r="AG1363" t="n">
        <v>2194</v>
      </c>
      <c r="AH1363" t="inlineStr">
        <is>
          <t>PT. BINTANG MAS SURYA - PPN (JMB)</t>
        </is>
      </c>
      <c r="AI1363" t="n">
        <v>1638</v>
      </c>
      <c r="AJ1363" t="inlineStr">
        <is>
          <t>GLAD2GLOW</t>
        </is>
      </c>
      <c r="AK1363" t="n">
        <v>9</v>
      </c>
      <c r="AL1363" t="inlineStr">
        <is>
          <t>Miss Glam Jambi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"10100204856"</f>
        <v/>
      </c>
      <c r="C1364" t="inlineStr">
        <is>
          <t>GLAD2GLOW Madagascar Centella Asiatica Cleansing Oil 200ml</t>
        </is>
      </c>
      <c r="D1364" t="inlineStr">
        <is>
          <t>Miss Glam Jambi</t>
        </is>
      </c>
      <c r="E1364" t="n">
        <v>14</v>
      </c>
      <c r="F1364" t="n">
        <v>0.1452</v>
      </c>
      <c r="G1364" t="n">
        <v>0.66</v>
      </c>
      <c r="H1364" t="n">
        <v>4</v>
      </c>
      <c r="I1364" t="n">
        <v>21</v>
      </c>
      <c r="J1364" t="n">
        <v>1</v>
      </c>
      <c r="K1364" t="n">
        <v>0</v>
      </c>
      <c r="L1364" t="n">
        <v>84147</v>
      </c>
      <c r="M1364" t="n">
        <v>97500</v>
      </c>
      <c r="N1364" t="n">
        <v>33</v>
      </c>
      <c r="O1364" t="n">
        <v>0.33</v>
      </c>
      <c r="P1364" t="n">
        <v>1</v>
      </c>
      <c r="Q1364" t="n">
        <v>0.02</v>
      </c>
      <c r="R1364" t="n">
        <v>1</v>
      </c>
      <c r="S1364" t="n">
        <v>14157</v>
      </c>
      <c r="T1364" t="n">
        <v>14</v>
      </c>
      <c r="U1364" t="n">
        <v>15</v>
      </c>
      <c r="V1364" t="n">
        <v>30</v>
      </c>
      <c r="W1364" t="n">
        <v>5</v>
      </c>
      <c r="X1364" t="n">
        <v>96.41873278236915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9412</v>
      </c>
      <c r="AG1364" t="n">
        <v>2194</v>
      </c>
      <c r="AH1364" t="inlineStr">
        <is>
          <t>PT. BINTANG MAS SURYA - PPN (JMB)</t>
        </is>
      </c>
      <c r="AI1364" t="n">
        <v>1638</v>
      </c>
      <c r="AJ1364" t="inlineStr">
        <is>
          <t>GLAD2GLOW</t>
        </is>
      </c>
      <c r="AK1364" t="n">
        <v>9</v>
      </c>
      <c r="AL1364" t="inlineStr">
        <is>
          <t>Miss Glam Jambi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"101001116350"</f>
        <v/>
      </c>
      <c r="C1365" t="inlineStr">
        <is>
          <t>GLAD2GLOW Matcha Salicylic Acid Acne Cleanser 150ml</t>
        </is>
      </c>
      <c r="D1365" t="inlineStr">
        <is>
          <t>Miss Glam Jambi</t>
        </is>
      </c>
      <c r="E1365" t="n">
        <v>14</v>
      </c>
      <c r="F1365" t="n">
        <v>0.1551</v>
      </c>
      <c r="G1365" t="n">
        <v>1.32</v>
      </c>
      <c r="H1365" t="n">
        <v>4</v>
      </c>
      <c r="I1365" t="n">
        <v>21</v>
      </c>
      <c r="J1365" t="n">
        <v>1</v>
      </c>
      <c r="K1365" t="n">
        <v>0</v>
      </c>
      <c r="L1365" t="n">
        <v>38249</v>
      </c>
      <c r="M1365" t="n">
        <v>45000</v>
      </c>
      <c r="N1365" t="n">
        <v>33</v>
      </c>
      <c r="O1365" t="n">
        <v>0.33</v>
      </c>
      <c r="P1365" t="n">
        <v>1</v>
      </c>
      <c r="Q1365" t="n">
        <v>0.17</v>
      </c>
      <c r="R1365" t="n">
        <v>2</v>
      </c>
      <c r="S1365" t="n">
        <v>6979.499999999999</v>
      </c>
      <c r="T1365" t="n">
        <v>28</v>
      </c>
      <c r="U1365" t="n">
        <v>29</v>
      </c>
      <c r="V1365" t="n">
        <v>30</v>
      </c>
      <c r="W1365" t="n">
        <v>5</v>
      </c>
      <c r="X1365" t="n">
        <v>90.26434558349453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9412</v>
      </c>
      <c r="AG1365" t="n">
        <v>2194</v>
      </c>
      <c r="AH1365" t="inlineStr">
        <is>
          <t>PT. BINTANG MAS SURYA - PPN (JMB)</t>
        </is>
      </c>
      <c r="AI1365" t="n">
        <v>1638</v>
      </c>
      <c r="AJ1365" t="inlineStr">
        <is>
          <t>GLAD2GLOW</t>
        </is>
      </c>
      <c r="AK1365" t="n">
        <v>9</v>
      </c>
      <c r="AL1365" t="inlineStr">
        <is>
          <t>Miss Glam Jambi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"8809665287342"</f>
        <v/>
      </c>
      <c r="C1366" t="inlineStr">
        <is>
          <t>GLAD2GLOW Milk Amino Acids Gentle Cleanser 80ml</t>
        </is>
      </c>
      <c r="D1366" t="inlineStr">
        <is>
          <t>Miss Glam Jambi</t>
        </is>
      </c>
      <c r="E1366" t="n">
        <v>19</v>
      </c>
      <c r="F1366" t="n">
        <v>1.6962</v>
      </c>
      <c r="G1366" t="n">
        <v>4.62</v>
      </c>
      <c r="H1366" t="n">
        <v>4</v>
      </c>
      <c r="I1366" t="n">
        <v>21</v>
      </c>
      <c r="J1366" t="n">
        <v>3</v>
      </c>
      <c r="K1366" t="n">
        <v>15</v>
      </c>
      <c r="L1366" t="n">
        <v>35701</v>
      </c>
      <c r="M1366" t="n">
        <v>42000</v>
      </c>
      <c r="N1366" t="n">
        <v>33</v>
      </c>
      <c r="O1366" t="n">
        <v>0.33</v>
      </c>
      <c r="P1366" t="n">
        <v>1</v>
      </c>
      <c r="Q1366" t="n">
        <v>1</v>
      </c>
      <c r="R1366" t="n">
        <v>5</v>
      </c>
      <c r="S1366" t="n">
        <v>71240.39999999999</v>
      </c>
      <c r="T1366" t="n">
        <v>91</v>
      </c>
      <c r="U1366" t="n">
        <v>98</v>
      </c>
      <c r="V1366" t="n">
        <v>30</v>
      </c>
      <c r="W1366" t="n">
        <v>51</v>
      </c>
      <c r="X1366" t="n">
        <v>11.20150925598396</v>
      </c>
      <c r="Y1366" t="n">
        <v>1</v>
      </c>
      <c r="Z1366" t="n">
        <v>17</v>
      </c>
      <c r="AA1366" t="n">
        <v>16</v>
      </c>
      <c r="AB1366" t="n">
        <v>1</v>
      </c>
      <c r="AC1366" t="n">
        <v>3</v>
      </c>
      <c r="AD1366" t="n">
        <v>571216</v>
      </c>
      <c r="AE1366" t="n">
        <v>107103</v>
      </c>
      <c r="AF1366" t="n">
        <v>9412</v>
      </c>
      <c r="AG1366" t="n">
        <v>2194</v>
      </c>
      <c r="AH1366" t="inlineStr">
        <is>
          <t>PT. BINTANG MAS SURYA - PPN (JMB)</t>
        </is>
      </c>
      <c r="AI1366" t="n">
        <v>1638</v>
      </c>
      <c r="AJ1366" t="inlineStr">
        <is>
          <t>GLAD2GLOW</t>
        </is>
      </c>
      <c r="AK1366" t="n">
        <v>9</v>
      </c>
      <c r="AL1366" t="inlineStr">
        <is>
          <t>Miss Glam Jambi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"8809639478325"</f>
        <v/>
      </c>
      <c r="C1367" t="inlineStr">
        <is>
          <t>GLAD2GLOW Mix Berry Juicy Lip Serum 5.5ml</t>
        </is>
      </c>
      <c r="D1367" t="inlineStr">
        <is>
          <t>Miss Glam Jambi</t>
        </is>
      </c>
      <c r="E1367" t="n">
        <v>3</v>
      </c>
      <c r="F1367" t="n">
        <v>0.1353</v>
      </c>
      <c r="G1367" t="n">
        <v>0.99</v>
      </c>
      <c r="H1367" t="n">
        <v>4</v>
      </c>
      <c r="I1367" t="n">
        <v>21</v>
      </c>
      <c r="J1367" t="n">
        <v>3</v>
      </c>
      <c r="K1367" t="n">
        <v>3</v>
      </c>
      <c r="L1367" t="n">
        <v>40937</v>
      </c>
      <c r="M1367" t="n">
        <v>52500</v>
      </c>
      <c r="N1367" t="n">
        <v>33</v>
      </c>
      <c r="O1367" t="n">
        <v>0.33</v>
      </c>
      <c r="P1367" t="n">
        <v>1</v>
      </c>
      <c r="Q1367" t="n">
        <v>0.1</v>
      </c>
      <c r="R1367" t="n">
        <v>1</v>
      </c>
      <c r="S1367" t="n">
        <v>7103.25</v>
      </c>
      <c r="T1367" t="n">
        <v>21</v>
      </c>
      <c r="U1367" t="n">
        <v>22</v>
      </c>
      <c r="V1367" t="n">
        <v>30</v>
      </c>
      <c r="W1367" t="n">
        <v>5</v>
      </c>
      <c r="X1367" t="n">
        <v>22.17294900221729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9412</v>
      </c>
      <c r="AG1367" t="n">
        <v>2194</v>
      </c>
      <c r="AH1367" t="inlineStr">
        <is>
          <t>PT. BINTANG MAS SURYA - PPN (JMB)</t>
        </is>
      </c>
      <c r="AI1367" t="n">
        <v>1638</v>
      </c>
      <c r="AJ1367" t="inlineStr">
        <is>
          <t>GLAD2GLOW</t>
        </is>
      </c>
      <c r="AK1367" t="n">
        <v>9</v>
      </c>
      <c r="AL1367" t="inlineStr">
        <is>
          <t>Miss Glam Jambi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"10500210212"</f>
        <v/>
      </c>
      <c r="C1368" t="inlineStr">
        <is>
          <t>GLAD2GLOW Mugwort Acne Gel Mask 50gr</t>
        </is>
      </c>
      <c r="D1368" t="inlineStr">
        <is>
          <t>Miss Glam Jambi</t>
        </is>
      </c>
      <c r="E1368" t="n">
        <v>10</v>
      </c>
      <c r="F1368" t="n">
        <v>0.9669000000000001</v>
      </c>
      <c r="G1368" t="n">
        <v>2.31</v>
      </c>
      <c r="H1368" t="n">
        <v>4</v>
      </c>
      <c r="I1368" t="n">
        <v>21</v>
      </c>
      <c r="J1368" t="n">
        <v>1</v>
      </c>
      <c r="K1368" t="n">
        <v>9</v>
      </c>
      <c r="L1368" t="n">
        <v>33150</v>
      </c>
      <c r="M1368" t="n">
        <v>45000</v>
      </c>
      <c r="N1368" t="n">
        <v>33</v>
      </c>
      <c r="O1368" t="n">
        <v>0.33</v>
      </c>
      <c r="P1368" t="n">
        <v>1</v>
      </c>
      <c r="Q1368" t="n">
        <v>0.53</v>
      </c>
      <c r="R1368" t="n">
        <v>2</v>
      </c>
      <c r="S1368" t="n">
        <v>43510.50000000001</v>
      </c>
      <c r="T1368" t="n">
        <v>45</v>
      </c>
      <c r="U1368" t="n">
        <v>49</v>
      </c>
      <c r="V1368" t="n">
        <v>30</v>
      </c>
      <c r="W1368" t="n">
        <v>30</v>
      </c>
      <c r="X1368" t="n">
        <v>10.34233116144379</v>
      </c>
      <c r="Y1368" t="n">
        <v>1</v>
      </c>
      <c r="Z1368" t="n">
        <v>11</v>
      </c>
      <c r="AA1368" t="n">
        <v>10</v>
      </c>
      <c r="AB1368" t="n">
        <v>1</v>
      </c>
      <c r="AC1368" t="n">
        <v>1</v>
      </c>
      <c r="AD1368" t="n">
        <v>331500</v>
      </c>
      <c r="AE1368" t="n">
        <v>33150</v>
      </c>
      <c r="AF1368" t="n">
        <v>9412</v>
      </c>
      <c r="AG1368" t="n">
        <v>2194</v>
      </c>
      <c r="AH1368" t="inlineStr">
        <is>
          <t>PT. BINTANG MAS SURYA - PPN (JMB)</t>
        </is>
      </c>
      <c r="AI1368" t="n">
        <v>1638</v>
      </c>
      <c r="AJ1368" t="inlineStr">
        <is>
          <t>GLAD2GLOW</t>
        </is>
      </c>
      <c r="AK1368" t="n">
        <v>9</v>
      </c>
      <c r="AL1368" t="inlineStr">
        <is>
          <t>Miss Glam Jambi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"8809617856398"</f>
        <v/>
      </c>
      <c r="C1369" t="inlineStr">
        <is>
          <t>GLAD2GLOW Mugwort Salicylic Acid Acne Clay Stick Refines Pores 25gr</t>
        </is>
      </c>
      <c r="D1369" t="inlineStr">
        <is>
          <t>Miss Glam Jambi</t>
        </is>
      </c>
      <c r="E1369" t="n">
        <v>7</v>
      </c>
      <c r="F1369" t="n">
        <v>0.6996000000000001</v>
      </c>
      <c r="G1369" t="n">
        <v>2.31</v>
      </c>
      <c r="H1369" t="n">
        <v>4</v>
      </c>
      <c r="I1369" t="n">
        <v>21</v>
      </c>
      <c r="J1369" t="n">
        <v>3</v>
      </c>
      <c r="K1369" t="n">
        <v>7</v>
      </c>
      <c r="L1369" t="n">
        <v>38250</v>
      </c>
      <c r="M1369" t="n">
        <v>45000</v>
      </c>
      <c r="N1369" t="n">
        <v>33</v>
      </c>
      <c r="O1369" t="n">
        <v>0.33</v>
      </c>
      <c r="P1369" t="n">
        <v>1</v>
      </c>
      <c r="Q1369" t="n">
        <v>0.39</v>
      </c>
      <c r="R1369" t="n">
        <v>3</v>
      </c>
      <c r="S1369" t="n">
        <v>31482</v>
      </c>
      <c r="T1369" t="n">
        <v>46</v>
      </c>
      <c r="U1369" t="n">
        <v>49</v>
      </c>
      <c r="V1369" t="n">
        <v>30</v>
      </c>
      <c r="W1369" t="n">
        <v>21</v>
      </c>
      <c r="X1369" t="n">
        <v>10.00571755288736</v>
      </c>
      <c r="Y1369" t="n">
        <v>1</v>
      </c>
      <c r="Z1369" t="n">
        <v>7</v>
      </c>
      <c r="AA1369" t="n">
        <v>7</v>
      </c>
      <c r="AB1369" t="n">
        <v>0</v>
      </c>
      <c r="AC1369" t="n">
        <v>0</v>
      </c>
      <c r="AD1369" t="n">
        <v>267750</v>
      </c>
      <c r="AE1369" t="n">
        <v>0</v>
      </c>
      <c r="AF1369" t="n">
        <v>9412</v>
      </c>
      <c r="AG1369" t="n">
        <v>2194</v>
      </c>
      <c r="AH1369" t="inlineStr">
        <is>
          <t>PT. BINTANG MAS SURYA - PPN (JMB)</t>
        </is>
      </c>
      <c r="AI1369" t="n">
        <v>1638</v>
      </c>
      <c r="AJ1369" t="inlineStr">
        <is>
          <t>GLAD2GLOW</t>
        </is>
      </c>
      <c r="AK1369" t="n">
        <v>9</v>
      </c>
      <c r="AL1369" t="inlineStr">
        <is>
          <t>Miss Glam Jambi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"8809639407356"</f>
        <v/>
      </c>
      <c r="C1370" t="inlineStr">
        <is>
          <t>GLAD2GLOW Mugwort Salicylic Acid Acne Clear Micellar Water 130ml</t>
        </is>
      </c>
      <c r="D1370" t="inlineStr">
        <is>
          <t>Miss Glam Jambi</t>
        </is>
      </c>
      <c r="E1370" t="n">
        <v>7</v>
      </c>
      <c r="F1370" t="n">
        <v>0.3399</v>
      </c>
      <c r="G1370" t="n">
        <v>0.99</v>
      </c>
      <c r="H1370" t="n">
        <v>4</v>
      </c>
      <c r="I1370" t="n">
        <v>21</v>
      </c>
      <c r="J1370" t="n">
        <v>3</v>
      </c>
      <c r="K1370" t="n">
        <v>3</v>
      </c>
      <c r="L1370" t="n">
        <v>24650</v>
      </c>
      <c r="M1370" t="n">
        <v>31000</v>
      </c>
      <c r="N1370" t="n">
        <v>33</v>
      </c>
      <c r="O1370" t="n">
        <v>0.33</v>
      </c>
      <c r="P1370" t="n">
        <v>1</v>
      </c>
      <c r="Q1370" t="n">
        <v>0.29</v>
      </c>
      <c r="R1370" t="n">
        <v>2</v>
      </c>
      <c r="S1370" t="n">
        <v>10536.9</v>
      </c>
      <c r="T1370" t="n">
        <v>20</v>
      </c>
      <c r="U1370" t="n">
        <v>22</v>
      </c>
      <c r="V1370" t="n">
        <v>30</v>
      </c>
      <c r="W1370" t="n">
        <v>11</v>
      </c>
      <c r="X1370" t="n">
        <v>20.59429243895263</v>
      </c>
      <c r="Y1370" t="n">
        <v>1</v>
      </c>
      <c r="Z1370" t="n">
        <v>1</v>
      </c>
      <c r="AA1370" t="n">
        <v>0</v>
      </c>
      <c r="AB1370" t="n">
        <v>1</v>
      </c>
      <c r="AC1370" t="n">
        <v>3</v>
      </c>
      <c r="AD1370" t="n">
        <v>0</v>
      </c>
      <c r="AE1370" t="n">
        <v>73950</v>
      </c>
      <c r="AF1370" t="n">
        <v>9412</v>
      </c>
      <c r="AG1370" t="n">
        <v>2194</v>
      </c>
      <c r="AH1370" t="inlineStr">
        <is>
          <t>PT. BINTANG MAS SURYA - PPN (JMB)</t>
        </is>
      </c>
      <c r="AI1370" t="n">
        <v>1638</v>
      </c>
      <c r="AJ1370" t="inlineStr">
        <is>
          <t>GLAD2GLOW</t>
        </is>
      </c>
      <c r="AK1370" t="n">
        <v>9</v>
      </c>
      <c r="AL1370" t="inlineStr">
        <is>
          <t>Miss Glam Jambi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"10100721414"</f>
        <v/>
      </c>
      <c r="C1371" t="inlineStr">
        <is>
          <t>GLAD2GLOW Mugwort Salicylic Acid Acne Clear Micellar Water 300ml</t>
        </is>
      </c>
      <c r="D1371" t="inlineStr">
        <is>
          <t>Miss Glam Jambi</t>
        </is>
      </c>
      <c r="E1371" t="n">
        <v>7</v>
      </c>
      <c r="F1371" t="n">
        <v>0.9636</v>
      </c>
      <c r="G1371" t="n">
        <v>2.31</v>
      </c>
      <c r="H1371" t="n">
        <v>4</v>
      </c>
      <c r="I1371" t="n">
        <v>21</v>
      </c>
      <c r="J1371" t="n">
        <v>1</v>
      </c>
      <c r="K1371" t="n">
        <v>9</v>
      </c>
      <c r="L1371" t="n">
        <v>41648</v>
      </c>
      <c r="M1371" t="n">
        <v>49000</v>
      </c>
      <c r="N1371" t="n">
        <v>33</v>
      </c>
      <c r="O1371" t="n">
        <v>0.33</v>
      </c>
      <c r="P1371" t="n">
        <v>1</v>
      </c>
      <c r="Q1371" t="n">
        <v>0.63</v>
      </c>
      <c r="R1371" t="n">
        <v>3</v>
      </c>
      <c r="S1371" t="n">
        <v>47216.4</v>
      </c>
      <c r="T1371" t="n">
        <v>45</v>
      </c>
      <c r="U1371" t="n">
        <v>49</v>
      </c>
      <c r="V1371" t="n">
        <v>30</v>
      </c>
      <c r="W1371" t="n">
        <v>29</v>
      </c>
      <c r="X1371" t="n">
        <v>7.264425072644251</v>
      </c>
      <c r="Y1371" t="n">
        <v>1</v>
      </c>
      <c r="Z1371" t="n">
        <v>13</v>
      </c>
      <c r="AA1371" t="n">
        <v>13</v>
      </c>
      <c r="AB1371" t="n">
        <v>0</v>
      </c>
      <c r="AC1371" t="n">
        <v>0</v>
      </c>
      <c r="AD1371" t="n">
        <v>541424</v>
      </c>
      <c r="AE1371" t="n">
        <v>0</v>
      </c>
      <c r="AF1371" t="n">
        <v>9412</v>
      </c>
      <c r="AG1371" t="n">
        <v>2194</v>
      </c>
      <c r="AH1371" t="inlineStr">
        <is>
          <t>PT. BINTANG MAS SURYA - PPN (JMB)</t>
        </is>
      </c>
      <c r="AI1371" t="n">
        <v>1638</v>
      </c>
      <c r="AJ1371" t="inlineStr">
        <is>
          <t>GLAD2GLOW</t>
        </is>
      </c>
      <c r="AK1371" t="n">
        <v>9</v>
      </c>
      <c r="AL1371" t="inlineStr">
        <is>
          <t>Miss Glam Jambi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"10100725748"</f>
        <v/>
      </c>
      <c r="C1372" t="inlineStr">
        <is>
          <t>GLAD2GLOW Mugwort Salicylic Acid Micelar Water 230ml</t>
        </is>
      </c>
      <c r="D1372" t="inlineStr">
        <is>
          <t>Miss Glam Jambi</t>
        </is>
      </c>
      <c r="E1372" t="n">
        <v>11</v>
      </c>
      <c r="F1372" t="n">
        <v>0.0462</v>
      </c>
      <c r="G1372" t="n">
        <v>0.33</v>
      </c>
      <c r="H1372" t="n">
        <v>4</v>
      </c>
      <c r="I1372" t="n">
        <v>21</v>
      </c>
      <c r="J1372" t="n">
        <v>1</v>
      </c>
      <c r="K1372" t="n">
        <v>0</v>
      </c>
      <c r="L1372" t="n">
        <v>33149</v>
      </c>
      <c r="M1372" t="n">
        <v>39000</v>
      </c>
      <c r="N1372" t="n">
        <v>33</v>
      </c>
      <c r="O1372" t="n">
        <v>0.33</v>
      </c>
      <c r="P1372" t="n">
        <v>1</v>
      </c>
      <c r="Q1372" t="n">
        <v>0.02</v>
      </c>
      <c r="R1372" t="n">
        <v>1</v>
      </c>
      <c r="S1372" t="n">
        <v>1801.8</v>
      </c>
      <c r="T1372" t="n">
        <v>7</v>
      </c>
      <c r="U1372" t="n">
        <v>8</v>
      </c>
      <c r="V1372" t="n">
        <v>30</v>
      </c>
      <c r="W1372" t="n">
        <v>2</v>
      </c>
      <c r="X1372" t="n">
        <v>238.0952380952381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9412</v>
      </c>
      <c r="AG1372" t="n">
        <v>2194</v>
      </c>
      <c r="AH1372" t="inlineStr">
        <is>
          <t>PT. BINTANG MAS SURYA - PPN (JMB)</t>
        </is>
      </c>
      <c r="AI1372" t="n">
        <v>1638</v>
      </c>
      <c r="AJ1372" t="inlineStr">
        <is>
          <t>GLAD2GLOW</t>
        </is>
      </c>
      <c r="AK1372" t="n">
        <v>9</v>
      </c>
      <c r="AL1372" t="inlineStr">
        <is>
          <t>Miss Glam Jambi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"30200429557"</f>
        <v/>
      </c>
      <c r="C1373" t="inlineStr">
        <is>
          <t>GLAD2GLOW Niacinamide Bright Body Serum 180ml</t>
        </is>
      </c>
      <c r="D1373" t="inlineStr">
        <is>
          <t>Miss Glam Jambi</t>
        </is>
      </c>
      <c r="E1373" t="n">
        <v>7</v>
      </c>
      <c r="F1373" t="n">
        <v>0.08</v>
      </c>
      <c r="G1373" t="n">
        <v>1</v>
      </c>
      <c r="H1373" t="n">
        <v>4</v>
      </c>
      <c r="I1373" t="n">
        <v>21</v>
      </c>
      <c r="J1373" t="n">
        <v>1</v>
      </c>
      <c r="K1373" t="n">
        <v>0</v>
      </c>
      <c r="L1373" t="n">
        <v>33149</v>
      </c>
      <c r="M1373" t="n">
        <v>39000</v>
      </c>
      <c r="N1373" t="n">
        <v>33</v>
      </c>
      <c r="O1373" t="n">
        <v>0.33</v>
      </c>
      <c r="P1373" t="n">
        <v>0</v>
      </c>
      <c r="Q1373" t="n">
        <v>0.08</v>
      </c>
      <c r="R1373" t="n">
        <v>1</v>
      </c>
      <c r="S1373" t="n">
        <v>3120</v>
      </c>
      <c r="T1373" t="n">
        <v>21</v>
      </c>
      <c r="U1373" t="n">
        <v>22</v>
      </c>
      <c r="V1373" t="n">
        <v>30</v>
      </c>
      <c r="W1373" t="n">
        <v>3</v>
      </c>
      <c r="X1373" t="n">
        <v>87.5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9412</v>
      </c>
      <c r="AG1373" t="n">
        <v>2194</v>
      </c>
      <c r="AH1373" t="inlineStr">
        <is>
          <t>PT. BINTANG MAS SURYA - PPN (JMB)</t>
        </is>
      </c>
      <c r="AI1373" t="n">
        <v>1638</v>
      </c>
      <c r="AJ1373" t="inlineStr">
        <is>
          <t>GLAD2GLOW</t>
        </is>
      </c>
      <c r="AK1373" t="n">
        <v>9</v>
      </c>
      <c r="AL1373" t="inlineStr">
        <is>
          <t>Miss Glam Jambi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"10300613522"</f>
        <v/>
      </c>
      <c r="C1374" t="inlineStr">
        <is>
          <t>GLAD2GLOW Peach Retinol Moisturizer 100ml</t>
        </is>
      </c>
      <c r="D1374" t="inlineStr">
        <is>
          <t>Miss Glam Jambi</t>
        </is>
      </c>
      <c r="E1374" t="n">
        <v>5</v>
      </c>
      <c r="F1374" t="n">
        <v>0.0264</v>
      </c>
      <c r="G1374" t="n">
        <v>0.33</v>
      </c>
      <c r="H1374" t="n">
        <v>4</v>
      </c>
      <c r="I1374" t="n">
        <v>21</v>
      </c>
      <c r="J1374" t="n">
        <v>1</v>
      </c>
      <c r="K1374" t="n">
        <v>0</v>
      </c>
      <c r="L1374" t="n">
        <v>92649</v>
      </c>
      <c r="M1374" t="n">
        <v>109000</v>
      </c>
      <c r="N1374" t="n">
        <v>33</v>
      </c>
      <c r="O1374" t="n">
        <v>0.33</v>
      </c>
      <c r="P1374" t="n">
        <v>1</v>
      </c>
      <c r="Q1374" t="n">
        <v>0.07000000000000001</v>
      </c>
      <c r="R1374" t="n">
        <v>1</v>
      </c>
      <c r="S1374" t="n">
        <v>2877.6</v>
      </c>
      <c r="T1374" t="n">
        <v>7</v>
      </c>
      <c r="U1374" t="n">
        <v>8</v>
      </c>
      <c r="V1374" t="n">
        <v>30</v>
      </c>
      <c r="W1374" t="n">
        <v>1</v>
      </c>
      <c r="X1374" t="n">
        <v>189.3939393939394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9412</v>
      </c>
      <c r="AG1374" t="n">
        <v>2194</v>
      </c>
      <c r="AH1374" t="inlineStr">
        <is>
          <t>PT. BINTANG MAS SURYA - PPN (JMB)</t>
        </is>
      </c>
      <c r="AI1374" t="n">
        <v>1638</v>
      </c>
      <c r="AJ1374" t="inlineStr">
        <is>
          <t>GLAD2GLOW</t>
        </is>
      </c>
      <c r="AK1374" t="n">
        <v>9</v>
      </c>
      <c r="AL1374" t="inlineStr">
        <is>
          <t>Miss Glam Jambi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"8809652637891"</f>
        <v/>
      </c>
      <c r="C1375" t="inlineStr">
        <is>
          <t>GLAD2GLOW Peach retinol moisturizer 30gr</t>
        </is>
      </c>
      <c r="D1375" t="inlineStr">
        <is>
          <t>Miss Glam Jambi</t>
        </is>
      </c>
      <c r="E1375" t="n">
        <v>34</v>
      </c>
      <c r="F1375" t="n">
        <v>2.1912</v>
      </c>
      <c r="G1375" t="n">
        <v>4.95</v>
      </c>
      <c r="H1375" t="n">
        <v>4</v>
      </c>
      <c r="I1375" t="n">
        <v>21</v>
      </c>
      <c r="J1375" t="n">
        <v>3</v>
      </c>
      <c r="K1375" t="n">
        <v>20</v>
      </c>
      <c r="L1375" t="n">
        <v>41648</v>
      </c>
      <c r="M1375" t="n">
        <v>49000</v>
      </c>
      <c r="N1375" t="n">
        <v>33</v>
      </c>
      <c r="O1375" t="n">
        <v>0.33</v>
      </c>
      <c r="P1375" t="n">
        <v>1</v>
      </c>
      <c r="Q1375" t="n">
        <v>1.39</v>
      </c>
      <c r="R1375" t="n">
        <v>5</v>
      </c>
      <c r="S1375" t="n">
        <v>107368.8</v>
      </c>
      <c r="T1375" t="n">
        <v>96</v>
      </c>
      <c r="U1375" t="n">
        <v>105</v>
      </c>
      <c r="V1375" t="n">
        <v>30</v>
      </c>
      <c r="W1375" t="n">
        <v>66</v>
      </c>
      <c r="X1375" t="n">
        <v>15.51661190215407</v>
      </c>
      <c r="Y1375" t="n">
        <v>1</v>
      </c>
      <c r="Z1375" t="n">
        <v>12</v>
      </c>
      <c r="AA1375" t="n">
        <v>12</v>
      </c>
      <c r="AB1375" t="n">
        <v>0</v>
      </c>
      <c r="AC1375" t="n">
        <v>0</v>
      </c>
      <c r="AD1375" t="n">
        <v>499776</v>
      </c>
      <c r="AE1375" t="n">
        <v>0</v>
      </c>
      <c r="AF1375" t="n">
        <v>9412</v>
      </c>
      <c r="AG1375" t="n">
        <v>2194</v>
      </c>
      <c r="AH1375" t="inlineStr">
        <is>
          <t>PT. BINTANG MAS SURYA - PPN (JMB)</t>
        </is>
      </c>
      <c r="AI1375" t="n">
        <v>1638</v>
      </c>
      <c r="AJ1375" t="inlineStr">
        <is>
          <t>GLAD2GLOW</t>
        </is>
      </c>
      <c r="AK1375" t="n">
        <v>9</v>
      </c>
      <c r="AL1375" t="inlineStr">
        <is>
          <t>Miss Glam Jambi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"8809646665985"</f>
        <v/>
      </c>
      <c r="C1376" t="inlineStr">
        <is>
          <t>GLAD2GLOW Peach Retinol Serum 17ml</t>
        </is>
      </c>
      <c r="D1376" t="inlineStr">
        <is>
          <t>Miss Glam Jambi</t>
        </is>
      </c>
      <c r="E1376" t="n">
        <v>8</v>
      </c>
      <c r="F1376" t="n">
        <v>0.6534</v>
      </c>
      <c r="G1376" t="n">
        <v>1.98</v>
      </c>
      <c r="H1376" t="n">
        <v>4</v>
      </c>
      <c r="I1376" t="n">
        <v>21</v>
      </c>
      <c r="J1376" t="n">
        <v>3</v>
      </c>
      <c r="K1376" t="n">
        <v>6</v>
      </c>
      <c r="L1376" t="n">
        <v>33890</v>
      </c>
      <c r="M1376" t="n">
        <v>49000</v>
      </c>
      <c r="N1376" t="n">
        <v>33</v>
      </c>
      <c r="O1376" t="n">
        <v>0.33</v>
      </c>
      <c r="P1376" t="n">
        <v>1</v>
      </c>
      <c r="Q1376" t="n">
        <v>0.44</v>
      </c>
      <c r="R1376" t="n">
        <v>3</v>
      </c>
      <c r="S1376" t="n">
        <v>32016.6</v>
      </c>
      <c r="T1376" t="n">
        <v>39</v>
      </c>
      <c r="U1376" t="n">
        <v>42</v>
      </c>
      <c r="V1376" t="n">
        <v>30</v>
      </c>
      <c r="W1376" t="n">
        <v>20</v>
      </c>
      <c r="X1376" t="n">
        <v>12.24364860728497</v>
      </c>
      <c r="Y1376" t="n">
        <v>1</v>
      </c>
      <c r="Z1376" t="n">
        <v>6</v>
      </c>
      <c r="AA1376" t="n">
        <v>5</v>
      </c>
      <c r="AB1376" t="n">
        <v>1</v>
      </c>
      <c r="AC1376" t="n">
        <v>3</v>
      </c>
      <c r="AD1376" t="n">
        <v>169450</v>
      </c>
      <c r="AE1376" t="n">
        <v>101670</v>
      </c>
      <c r="AF1376" t="n">
        <v>9412</v>
      </c>
      <c r="AG1376" t="n">
        <v>2194</v>
      </c>
      <c r="AH1376" t="inlineStr">
        <is>
          <t>PT. BINTANG MAS SURYA - PPN (JMB)</t>
        </is>
      </c>
      <c r="AI1376" t="n">
        <v>1638</v>
      </c>
      <c r="AJ1376" t="inlineStr">
        <is>
          <t>GLAD2GLOW</t>
        </is>
      </c>
      <c r="AK1376" t="n">
        <v>9</v>
      </c>
      <c r="AL1376" t="inlineStr">
        <is>
          <t>Miss Glam Jambi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"20100641256"</f>
        <v/>
      </c>
      <c r="C1377" t="inlineStr">
        <is>
          <t>GLAD2GLOW Perfect Blur &amp; Cover Loose Powder 00 Milkshake 7.5gr</t>
        </is>
      </c>
      <c r="D1377" t="inlineStr">
        <is>
          <t>Miss Glam Jambi</t>
        </is>
      </c>
      <c r="E1377" t="n">
        <v>4</v>
      </c>
      <c r="F1377" t="n">
        <v>0.0495</v>
      </c>
      <c r="G1377" t="n">
        <v>0.33</v>
      </c>
      <c r="H1377" t="n">
        <v>4</v>
      </c>
      <c r="I1377" t="n">
        <v>21</v>
      </c>
      <c r="J1377" t="n">
        <v>1</v>
      </c>
      <c r="K1377" t="n">
        <v>0</v>
      </c>
      <c r="L1377" t="n">
        <v>75650</v>
      </c>
      <c r="M1377" t="n">
        <v>89000</v>
      </c>
      <c r="N1377" t="n">
        <v>33</v>
      </c>
      <c r="O1377" t="n">
        <v>0.33</v>
      </c>
      <c r="P1377" t="n">
        <v>1</v>
      </c>
      <c r="Q1377" t="n">
        <v>0.03</v>
      </c>
      <c r="R1377" t="n">
        <v>1</v>
      </c>
      <c r="S1377" t="n">
        <v>4405.5</v>
      </c>
      <c r="T1377" t="n">
        <v>7</v>
      </c>
      <c r="U1377" t="n">
        <v>8</v>
      </c>
      <c r="V1377" t="n">
        <v>30</v>
      </c>
      <c r="W1377" t="n">
        <v>2</v>
      </c>
      <c r="X1377" t="n">
        <v>80.8080808080808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9412</v>
      </c>
      <c r="AG1377" t="n">
        <v>2194</v>
      </c>
      <c r="AH1377" t="inlineStr">
        <is>
          <t>PT. BINTANG MAS SURYA - PPN (JMB)</t>
        </is>
      </c>
      <c r="AI1377" t="n">
        <v>1638</v>
      </c>
      <c r="AJ1377" t="inlineStr">
        <is>
          <t>GLAD2GLOW</t>
        </is>
      </c>
      <c r="AK1377" t="n">
        <v>9</v>
      </c>
      <c r="AL1377" t="inlineStr">
        <is>
          <t>Miss Glam Jambi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"20100641328"</f>
        <v/>
      </c>
      <c r="C1378" t="inlineStr">
        <is>
          <t>GLAD2GLOW Perfect Blur &amp; Cover Loose Powder 01 Marshmallow 7.5g</t>
        </is>
      </c>
      <c r="D1378" t="inlineStr">
        <is>
          <t>Miss Glam Jambi</t>
        </is>
      </c>
      <c r="E1378" t="n">
        <v>5</v>
      </c>
      <c r="F1378" t="n">
        <v>0.0495</v>
      </c>
      <c r="G1378" t="n">
        <v>0.33</v>
      </c>
      <c r="H1378" t="n">
        <v>4</v>
      </c>
      <c r="I1378" t="n">
        <v>21</v>
      </c>
      <c r="J1378" t="n">
        <v>1</v>
      </c>
      <c r="K1378" t="n">
        <v>0</v>
      </c>
      <c r="L1378" t="n">
        <v>74233</v>
      </c>
      <c r="M1378" t="n">
        <v>89000</v>
      </c>
      <c r="N1378" t="n">
        <v>33</v>
      </c>
      <c r="O1378" t="n">
        <v>0.33</v>
      </c>
      <c r="P1378" t="n">
        <v>1</v>
      </c>
      <c r="Q1378" t="n">
        <v>0.07000000000000001</v>
      </c>
      <c r="R1378" t="n">
        <v>1</v>
      </c>
      <c r="S1378" t="n">
        <v>4405.5</v>
      </c>
      <c r="T1378" t="n">
        <v>7</v>
      </c>
      <c r="U1378" t="n">
        <v>8</v>
      </c>
      <c r="V1378" t="n">
        <v>30</v>
      </c>
      <c r="W1378" t="n">
        <v>2</v>
      </c>
      <c r="X1378" t="n">
        <v>101.010101010101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9412</v>
      </c>
      <c r="AG1378" t="n">
        <v>2194</v>
      </c>
      <c r="AH1378" t="inlineStr">
        <is>
          <t>PT. BINTANG MAS SURYA - PPN (JMB)</t>
        </is>
      </c>
      <c r="AI1378" t="n">
        <v>1638</v>
      </c>
      <c r="AJ1378" t="inlineStr">
        <is>
          <t>GLAD2GLOW</t>
        </is>
      </c>
      <c r="AK1378" t="n">
        <v>9</v>
      </c>
      <c r="AL1378" t="inlineStr">
        <is>
          <t>Miss Glam Jambi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"20100641456"</f>
        <v/>
      </c>
      <c r="C1379" t="inlineStr">
        <is>
          <t>GLAD2GLOW Perfect Blur &amp; Cover Loose Powder 02 Cupcake 7.5g</t>
        </is>
      </c>
      <c r="D1379" t="inlineStr">
        <is>
          <t>Miss Glam Jambi</t>
        </is>
      </c>
      <c r="E1379" t="n">
        <v>5</v>
      </c>
      <c r="F1379" t="n">
        <v>0.08910000000000001</v>
      </c>
      <c r="G1379" t="n">
        <v>0.66</v>
      </c>
      <c r="H1379" t="n">
        <v>4</v>
      </c>
      <c r="I1379" t="n">
        <v>21</v>
      </c>
      <c r="J1379" t="n">
        <v>1</v>
      </c>
      <c r="K1379" t="n">
        <v>0</v>
      </c>
      <c r="L1379" t="n">
        <v>71400</v>
      </c>
      <c r="M1379" t="n">
        <v>89000</v>
      </c>
      <c r="N1379" t="n">
        <v>33</v>
      </c>
      <c r="O1379" t="n">
        <v>0.33</v>
      </c>
      <c r="P1379" t="n">
        <v>1</v>
      </c>
      <c r="Q1379" t="n">
        <v>0.1</v>
      </c>
      <c r="R1379" t="n">
        <v>3</v>
      </c>
      <c r="S1379" t="n">
        <v>7929.900000000001</v>
      </c>
      <c r="T1379" t="n">
        <v>14</v>
      </c>
      <c r="U1379" t="n">
        <v>15</v>
      </c>
      <c r="V1379" t="n">
        <v>30</v>
      </c>
      <c r="W1379" t="n">
        <v>3</v>
      </c>
      <c r="X1379" t="n">
        <v>56.11672278338944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9412</v>
      </c>
      <c r="AG1379" t="n">
        <v>2194</v>
      </c>
      <c r="AH1379" t="inlineStr">
        <is>
          <t>PT. BINTANG MAS SURYA - PPN (JMB)</t>
        </is>
      </c>
      <c r="AI1379" t="n">
        <v>1638</v>
      </c>
      <c r="AJ1379" t="inlineStr">
        <is>
          <t>GLAD2GLOW</t>
        </is>
      </c>
      <c r="AK1379" t="n">
        <v>9</v>
      </c>
      <c r="AL1379" t="inlineStr">
        <is>
          <t>Miss Glam Jambi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"20100641524"</f>
        <v/>
      </c>
      <c r="C1380" t="inlineStr">
        <is>
          <t>GLAD2GLOW Perfect Blur &amp; Cover Loose Powder 03 Honey 7.5g</t>
        </is>
      </c>
      <c r="D1380" t="inlineStr">
        <is>
          <t>Miss Glam Jambi</t>
        </is>
      </c>
      <c r="E1380" t="n">
        <v>5</v>
      </c>
      <c r="F1380" t="n">
        <v>0.1056</v>
      </c>
      <c r="G1380" t="n">
        <v>0.99</v>
      </c>
      <c r="H1380" t="n">
        <v>4</v>
      </c>
      <c r="I1380" t="n">
        <v>21</v>
      </c>
      <c r="J1380" t="n">
        <v>1</v>
      </c>
      <c r="K1380" t="n">
        <v>0</v>
      </c>
      <c r="L1380" t="n">
        <v>75650</v>
      </c>
      <c r="M1380" t="n">
        <v>89000</v>
      </c>
      <c r="N1380" t="n">
        <v>33</v>
      </c>
      <c r="O1380" t="n">
        <v>0.33</v>
      </c>
      <c r="P1380" t="n">
        <v>1</v>
      </c>
      <c r="Q1380" t="n">
        <v>0.05</v>
      </c>
      <c r="R1380" t="n">
        <v>1</v>
      </c>
      <c r="S1380" t="n">
        <v>9398.400000000001</v>
      </c>
      <c r="T1380" t="n">
        <v>21</v>
      </c>
      <c r="U1380" t="n">
        <v>22</v>
      </c>
      <c r="V1380" t="n">
        <v>30</v>
      </c>
      <c r="W1380" t="n">
        <v>4</v>
      </c>
      <c r="X1380" t="n">
        <v>47.34848484848484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9412</v>
      </c>
      <c r="AG1380" t="n">
        <v>2194</v>
      </c>
      <c r="AH1380" t="inlineStr">
        <is>
          <t>PT. BINTANG MAS SURYA - PPN (JMB)</t>
        </is>
      </c>
      <c r="AI1380" t="n">
        <v>1638</v>
      </c>
      <c r="AJ1380" t="inlineStr">
        <is>
          <t>GLAD2GLOW</t>
        </is>
      </c>
      <c r="AK1380" t="n">
        <v>9</v>
      </c>
      <c r="AL1380" t="inlineStr">
        <is>
          <t>Miss Glam Jambi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"20100175335"</f>
        <v/>
      </c>
      <c r="C1381" t="inlineStr">
        <is>
          <t>GLAD2GLOW Perfect Blurring Powder Foundation 00 Affogato 7,5gr</t>
        </is>
      </c>
      <c r="D1381" t="inlineStr">
        <is>
          <t>Miss Glam Jambi</t>
        </is>
      </c>
      <c r="E1381" t="n">
        <v>3</v>
      </c>
      <c r="F1381" t="n">
        <v>0.06270000000000001</v>
      </c>
      <c r="G1381" t="n">
        <v>0.33</v>
      </c>
      <c r="H1381" t="n">
        <v>4</v>
      </c>
      <c r="I1381" t="n">
        <v>21</v>
      </c>
      <c r="J1381" t="n">
        <v>1</v>
      </c>
      <c r="K1381" t="n">
        <v>0</v>
      </c>
      <c r="L1381" t="n">
        <v>75650</v>
      </c>
      <c r="M1381" t="n">
        <v>89000</v>
      </c>
      <c r="N1381" t="n">
        <v>33</v>
      </c>
      <c r="O1381" t="n">
        <v>0.33</v>
      </c>
      <c r="P1381" t="n">
        <v>1</v>
      </c>
      <c r="Q1381" t="n">
        <v>0.03</v>
      </c>
      <c r="R1381" t="n">
        <v>1</v>
      </c>
      <c r="S1381" t="n">
        <v>5580.3</v>
      </c>
      <c r="T1381" t="n">
        <v>7</v>
      </c>
      <c r="U1381" t="n">
        <v>8</v>
      </c>
      <c r="V1381" t="n">
        <v>30</v>
      </c>
      <c r="W1381" t="n">
        <v>2</v>
      </c>
      <c r="X1381" t="n">
        <v>47.84688995215311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9412</v>
      </c>
      <c r="AG1381" t="n">
        <v>2194</v>
      </c>
      <c r="AH1381" t="inlineStr">
        <is>
          <t>PT. BINTANG MAS SURYA - PPN (JMB)</t>
        </is>
      </c>
      <c r="AI1381" t="n">
        <v>1638</v>
      </c>
      <c r="AJ1381" t="inlineStr">
        <is>
          <t>GLAD2GLOW</t>
        </is>
      </c>
      <c r="AK1381" t="n">
        <v>9</v>
      </c>
      <c r="AL1381" t="inlineStr">
        <is>
          <t>Miss Glam Jambi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"8809688789892"</f>
        <v/>
      </c>
      <c r="C1382" t="inlineStr">
        <is>
          <t>GLAD2GLOW Perfect Blurring Powder Foundation 01 Buttercream 7,5gr</t>
        </is>
      </c>
      <c r="D1382" t="inlineStr">
        <is>
          <t>Miss Glam Jambi</t>
        </is>
      </c>
      <c r="E1382" t="n">
        <v>6</v>
      </c>
      <c r="F1382" t="n">
        <v>0.1749</v>
      </c>
      <c r="G1382" t="n">
        <v>0.99</v>
      </c>
      <c r="H1382" t="n">
        <v>4</v>
      </c>
      <c r="I1382" t="n">
        <v>21</v>
      </c>
      <c r="J1382" t="n">
        <v>3</v>
      </c>
      <c r="K1382" t="n">
        <v>0</v>
      </c>
      <c r="L1382" t="n">
        <v>75650</v>
      </c>
      <c r="M1382" t="n">
        <v>89000</v>
      </c>
      <c r="N1382" t="n">
        <v>33</v>
      </c>
      <c r="O1382" t="n">
        <v>0.33</v>
      </c>
      <c r="P1382" t="n">
        <v>1</v>
      </c>
      <c r="Q1382" t="n">
        <v>0.17</v>
      </c>
      <c r="R1382" t="n">
        <v>1</v>
      </c>
      <c r="S1382" t="n">
        <v>15566.1</v>
      </c>
      <c r="T1382" t="n">
        <v>21</v>
      </c>
      <c r="U1382" t="n">
        <v>22</v>
      </c>
      <c r="V1382" t="n">
        <v>30</v>
      </c>
      <c r="W1382" t="n">
        <v>6</v>
      </c>
      <c r="X1382" t="n">
        <v>34.30531732418525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9412</v>
      </c>
      <c r="AG1382" t="n">
        <v>2194</v>
      </c>
      <c r="AH1382" t="inlineStr">
        <is>
          <t>PT. BINTANG MAS SURYA - PPN (JMB)</t>
        </is>
      </c>
      <c r="AI1382" t="n">
        <v>1638</v>
      </c>
      <c r="AJ1382" t="inlineStr">
        <is>
          <t>GLAD2GLOW</t>
        </is>
      </c>
      <c r="AK1382" t="n">
        <v>9</v>
      </c>
      <c r="AL1382" t="inlineStr">
        <is>
          <t>Miss Glam Jambi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"8809600543373"</f>
        <v/>
      </c>
      <c r="C1383" t="inlineStr">
        <is>
          <t>GLAD2GLOW Perfect Blurring Powder Foundation 02 Praline 7.5gr</t>
        </is>
      </c>
      <c r="D1383" t="inlineStr">
        <is>
          <t>Miss Glam Jambi</t>
        </is>
      </c>
      <c r="E1383" t="n">
        <v>11</v>
      </c>
      <c r="F1383" t="n">
        <v>0.5874</v>
      </c>
      <c r="G1383" t="n">
        <v>1.65</v>
      </c>
      <c r="H1383" t="n">
        <v>4</v>
      </c>
      <c r="I1383" t="n">
        <v>21</v>
      </c>
      <c r="J1383" t="n">
        <v>3</v>
      </c>
      <c r="K1383" t="n">
        <v>5</v>
      </c>
      <c r="L1383" t="n">
        <v>75650</v>
      </c>
      <c r="M1383" t="n">
        <v>89000</v>
      </c>
      <c r="N1383" t="n">
        <v>33</v>
      </c>
      <c r="O1383" t="n">
        <v>0.33</v>
      </c>
      <c r="P1383" t="n">
        <v>1</v>
      </c>
      <c r="Q1383" t="n">
        <v>0.44</v>
      </c>
      <c r="R1383" t="n">
        <v>3</v>
      </c>
      <c r="S1383" t="n">
        <v>52278.60000000001</v>
      </c>
      <c r="T1383" t="n">
        <v>33</v>
      </c>
      <c r="U1383" t="n">
        <v>36</v>
      </c>
      <c r="V1383" t="n">
        <v>30</v>
      </c>
      <c r="W1383" t="n">
        <v>18</v>
      </c>
      <c r="X1383" t="n">
        <v>18.72659176029962</v>
      </c>
      <c r="Y1383" t="n">
        <v>1</v>
      </c>
      <c r="Z1383" t="n">
        <v>2</v>
      </c>
      <c r="AA1383" t="n">
        <v>1</v>
      </c>
      <c r="AB1383" t="n">
        <v>1</v>
      </c>
      <c r="AC1383" t="n">
        <v>3</v>
      </c>
      <c r="AD1383" t="n">
        <v>75650</v>
      </c>
      <c r="AE1383" t="n">
        <v>226950</v>
      </c>
      <c r="AF1383" t="n">
        <v>9412</v>
      </c>
      <c r="AG1383" t="n">
        <v>2194</v>
      </c>
      <c r="AH1383" t="inlineStr">
        <is>
          <t>PT. BINTANG MAS SURYA - PPN (JMB)</t>
        </is>
      </c>
      <c r="AI1383" t="n">
        <v>1638</v>
      </c>
      <c r="AJ1383" t="inlineStr">
        <is>
          <t>GLAD2GLOW</t>
        </is>
      </c>
      <c r="AK1383" t="n">
        <v>9</v>
      </c>
      <c r="AL1383" t="inlineStr">
        <is>
          <t>Miss Glam Jambi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"8809622456767"</f>
        <v/>
      </c>
      <c r="C1384" t="inlineStr">
        <is>
          <t>GLAD2GLOW Perfect Blurring Powder Foundation 03 Custard 7,5gr</t>
        </is>
      </c>
      <c r="D1384" t="inlineStr">
        <is>
          <t>Miss Glam Jambi</t>
        </is>
      </c>
      <c r="E1384" t="n">
        <v>8</v>
      </c>
      <c r="F1384" t="n">
        <v>0.7161</v>
      </c>
      <c r="G1384" t="n">
        <v>2.97</v>
      </c>
      <c r="H1384" t="n">
        <v>4</v>
      </c>
      <c r="I1384" t="n">
        <v>21</v>
      </c>
      <c r="J1384" t="n">
        <v>3</v>
      </c>
      <c r="K1384" t="n">
        <v>6</v>
      </c>
      <c r="L1384" t="n">
        <v>75650</v>
      </c>
      <c r="M1384" t="n">
        <v>89000</v>
      </c>
      <c r="N1384" t="n">
        <v>33</v>
      </c>
      <c r="O1384" t="n">
        <v>0.33</v>
      </c>
      <c r="P1384" t="n">
        <v>1</v>
      </c>
      <c r="Q1384" t="n">
        <v>0.29</v>
      </c>
      <c r="R1384" t="n">
        <v>3</v>
      </c>
      <c r="S1384" t="n">
        <v>63732.89999999999</v>
      </c>
      <c r="T1384" t="n">
        <v>60</v>
      </c>
      <c r="U1384" t="n">
        <v>63</v>
      </c>
      <c r="V1384" t="n">
        <v>30</v>
      </c>
      <c r="W1384" t="n">
        <v>22</v>
      </c>
      <c r="X1384" t="n">
        <v>11.17162407484988</v>
      </c>
      <c r="Y1384" t="n">
        <v>1</v>
      </c>
      <c r="Z1384" t="n">
        <v>8</v>
      </c>
      <c r="AA1384" t="n">
        <v>7</v>
      </c>
      <c r="AB1384" t="n">
        <v>1</v>
      </c>
      <c r="AC1384" t="n">
        <v>3</v>
      </c>
      <c r="AD1384" t="n">
        <v>529550</v>
      </c>
      <c r="AE1384" t="n">
        <v>226950</v>
      </c>
      <c r="AF1384" t="n">
        <v>9412</v>
      </c>
      <c r="AG1384" t="n">
        <v>2194</v>
      </c>
      <c r="AH1384" t="inlineStr">
        <is>
          <t>PT. BINTANG MAS SURYA - PPN (JMB)</t>
        </is>
      </c>
      <c r="AI1384" t="n">
        <v>1638</v>
      </c>
      <c r="AJ1384" t="inlineStr">
        <is>
          <t>GLAD2GLOW</t>
        </is>
      </c>
      <c r="AK1384" t="n">
        <v>9</v>
      </c>
      <c r="AL1384" t="inlineStr">
        <is>
          <t>Miss Glam Jambi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"8809655676569"</f>
        <v/>
      </c>
      <c r="C1385" t="inlineStr">
        <is>
          <t>GLAD2GLOW Perfect Blurring Powder Foundation 04 Ginger 7.5gr</t>
        </is>
      </c>
      <c r="D1385" t="inlineStr">
        <is>
          <t>Miss Glam Jambi</t>
        </is>
      </c>
      <c r="E1385" t="n">
        <v>8</v>
      </c>
      <c r="F1385" t="n">
        <v>0.1947</v>
      </c>
      <c r="G1385" t="n">
        <v>0.99</v>
      </c>
      <c r="H1385" t="n">
        <v>4</v>
      </c>
      <c r="I1385" t="n">
        <v>21</v>
      </c>
      <c r="J1385" t="n">
        <v>3</v>
      </c>
      <c r="K1385" t="n">
        <v>0</v>
      </c>
      <c r="L1385" t="n">
        <v>75650</v>
      </c>
      <c r="M1385" t="n">
        <v>89000</v>
      </c>
      <c r="N1385" t="n">
        <v>33</v>
      </c>
      <c r="O1385" t="n">
        <v>0.33</v>
      </c>
      <c r="P1385" t="n">
        <v>1</v>
      </c>
      <c r="Q1385" t="n">
        <v>0.14</v>
      </c>
      <c r="R1385" t="n">
        <v>1</v>
      </c>
      <c r="S1385" t="n">
        <v>17328.3</v>
      </c>
      <c r="T1385" t="n">
        <v>21</v>
      </c>
      <c r="U1385" t="n">
        <v>22</v>
      </c>
      <c r="V1385" t="n">
        <v>30</v>
      </c>
      <c r="W1385" t="n">
        <v>6</v>
      </c>
      <c r="X1385" t="n">
        <v>41.08885464817668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9412</v>
      </c>
      <c r="AG1385" t="n">
        <v>2194</v>
      </c>
      <c r="AH1385" t="inlineStr">
        <is>
          <t>PT. BINTANG MAS SURYA - PPN (JMB)</t>
        </is>
      </c>
      <c r="AI1385" t="n">
        <v>1638</v>
      </c>
      <c r="AJ1385" t="inlineStr">
        <is>
          <t>GLAD2GLOW</t>
        </is>
      </c>
      <c r="AK1385" t="n">
        <v>9</v>
      </c>
      <c r="AL1385" t="inlineStr">
        <is>
          <t>Miss Glam Jambi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"20100174025"</f>
        <v/>
      </c>
      <c r="C1386" t="inlineStr">
        <is>
          <t>GLAD2GLOW Perfect Blurring Powder Foundation 05 Cinamon 7,5gr</t>
        </is>
      </c>
      <c r="D1386" t="inlineStr">
        <is>
          <t>Miss Glam Jambi</t>
        </is>
      </c>
      <c r="E1386" t="n">
        <v>8</v>
      </c>
      <c r="F1386" t="n">
        <v>0.02</v>
      </c>
      <c r="G1386" t="n">
        <v>1</v>
      </c>
      <c r="H1386" t="n">
        <v>4</v>
      </c>
      <c r="I1386" t="n">
        <v>21</v>
      </c>
      <c r="J1386" t="n">
        <v>1</v>
      </c>
      <c r="K1386" t="n">
        <v>0</v>
      </c>
      <c r="L1386" t="n">
        <v>75650</v>
      </c>
      <c r="M1386" t="n">
        <v>89000</v>
      </c>
      <c r="N1386" t="n">
        <v>33</v>
      </c>
      <c r="O1386" t="n">
        <v>0.33</v>
      </c>
      <c r="P1386" t="n">
        <v>0</v>
      </c>
      <c r="Q1386" t="n">
        <v>0.02</v>
      </c>
      <c r="R1386" t="n">
        <v>1</v>
      </c>
      <c r="S1386" t="n">
        <v>1780</v>
      </c>
      <c r="T1386" t="n">
        <v>21</v>
      </c>
      <c r="U1386" t="n">
        <v>22</v>
      </c>
      <c r="V1386" t="n">
        <v>30</v>
      </c>
      <c r="W1386" t="n">
        <v>1</v>
      </c>
      <c r="X1386" t="n">
        <v>400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9412</v>
      </c>
      <c r="AG1386" t="n">
        <v>2194</v>
      </c>
      <c r="AH1386" t="inlineStr">
        <is>
          <t>PT. BINTANG MAS SURYA - PPN (JMB)</t>
        </is>
      </c>
      <c r="AI1386" t="n">
        <v>1638</v>
      </c>
      <c r="AJ1386" t="inlineStr">
        <is>
          <t>GLAD2GLOW</t>
        </is>
      </c>
      <c r="AK1386" t="n">
        <v>9</v>
      </c>
      <c r="AL1386" t="inlineStr">
        <is>
          <t>Miss Glam Jambi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"8809613435375"</f>
        <v/>
      </c>
      <c r="C1387" t="inlineStr">
        <is>
          <t>GLAD2GLOW Perfect Cover Cushion 00 Affogato 11gr</t>
        </is>
      </c>
      <c r="D1387" t="inlineStr">
        <is>
          <t>Miss Glam Jambi</t>
        </is>
      </c>
      <c r="E1387" t="n">
        <v>6</v>
      </c>
      <c r="F1387" t="n">
        <v>0.1848</v>
      </c>
      <c r="G1387" t="n">
        <v>0.99</v>
      </c>
      <c r="H1387" t="n">
        <v>4</v>
      </c>
      <c r="I1387" t="n">
        <v>21</v>
      </c>
      <c r="J1387" t="n">
        <v>3</v>
      </c>
      <c r="K1387" t="n">
        <v>0</v>
      </c>
      <c r="L1387" t="n">
        <v>84149</v>
      </c>
      <c r="M1387" t="n">
        <v>99000</v>
      </c>
      <c r="N1387" t="n">
        <v>33</v>
      </c>
      <c r="O1387" t="n">
        <v>0.33</v>
      </c>
      <c r="P1387" t="n">
        <v>1</v>
      </c>
      <c r="Q1387" t="n">
        <v>0.34</v>
      </c>
      <c r="R1387" t="n">
        <v>2</v>
      </c>
      <c r="S1387" t="n">
        <v>18295.2</v>
      </c>
      <c r="T1387" t="n">
        <v>21</v>
      </c>
      <c r="U1387" t="n">
        <v>22</v>
      </c>
      <c r="V1387" t="n">
        <v>30</v>
      </c>
      <c r="W1387" t="n">
        <v>6</v>
      </c>
      <c r="X1387" t="n">
        <v>32.46753246753246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9412</v>
      </c>
      <c r="AG1387" t="n">
        <v>2194</v>
      </c>
      <c r="AH1387" t="inlineStr">
        <is>
          <t>PT. BINTANG MAS SURYA - PPN (JMB)</t>
        </is>
      </c>
      <c r="AI1387" t="n">
        <v>1638</v>
      </c>
      <c r="AJ1387" t="inlineStr">
        <is>
          <t>GLAD2GLOW</t>
        </is>
      </c>
      <c r="AK1387" t="n">
        <v>9</v>
      </c>
      <c r="AL1387" t="inlineStr">
        <is>
          <t>Miss Glam Jambi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"8809648598397"</f>
        <v/>
      </c>
      <c r="C1388" t="inlineStr">
        <is>
          <t>GLAD2GLOW Perfect Cover Cushion 01 Buttercream 11gr</t>
        </is>
      </c>
      <c r="D1388" t="inlineStr">
        <is>
          <t>Miss Glam Jambi</t>
        </is>
      </c>
      <c r="E1388" t="n">
        <v>7</v>
      </c>
      <c r="F1388" t="n">
        <v>0.5643</v>
      </c>
      <c r="G1388" t="n">
        <v>1.98</v>
      </c>
      <c r="H1388" t="n">
        <v>4</v>
      </c>
      <c r="I1388" t="n">
        <v>21</v>
      </c>
      <c r="J1388" t="n">
        <v>3</v>
      </c>
      <c r="K1388" t="n">
        <v>12</v>
      </c>
      <c r="L1388" t="n">
        <v>84149</v>
      </c>
      <c r="M1388" t="n">
        <v>99000</v>
      </c>
      <c r="N1388" t="n">
        <v>33</v>
      </c>
      <c r="O1388" t="n">
        <v>0.33</v>
      </c>
      <c r="P1388" t="n">
        <v>1</v>
      </c>
      <c r="Q1388" t="n">
        <v>0.39</v>
      </c>
      <c r="R1388" t="n">
        <v>2</v>
      </c>
      <c r="S1388" t="n">
        <v>55865.7</v>
      </c>
      <c r="T1388" t="n">
        <v>40</v>
      </c>
      <c r="U1388" t="n">
        <v>43</v>
      </c>
      <c r="V1388" t="n">
        <v>30</v>
      </c>
      <c r="W1388" t="n">
        <v>17</v>
      </c>
      <c r="X1388" t="n">
        <v>12.40474924685451</v>
      </c>
      <c r="Y1388" t="n">
        <v>1</v>
      </c>
      <c r="Z1388" t="n">
        <v>0</v>
      </c>
      <c r="AA1388" t="n">
        <v>4</v>
      </c>
      <c r="AB1388" t="n">
        <v>0</v>
      </c>
      <c r="AC1388" t="n">
        <v>0</v>
      </c>
      <c r="AD1388" t="n">
        <v>336596</v>
      </c>
      <c r="AE1388" t="n">
        <v>0</v>
      </c>
      <c r="AF1388" t="n">
        <v>9412</v>
      </c>
      <c r="AG1388" t="n">
        <v>2194</v>
      </c>
      <c r="AH1388" t="inlineStr">
        <is>
          <t>PT. BINTANG MAS SURYA - PPN (JMB)</t>
        </is>
      </c>
      <c r="AI1388" t="n">
        <v>1638</v>
      </c>
      <c r="AJ1388" t="inlineStr">
        <is>
          <t>GLAD2GLOW</t>
        </is>
      </c>
      <c r="AK1388" t="n">
        <v>9</v>
      </c>
      <c r="AL1388" t="inlineStr">
        <is>
          <t>Miss Glam Jambi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"20100464055"</f>
        <v/>
      </c>
      <c r="C1389" t="inlineStr">
        <is>
          <t>GLAD2GLOW Perfect Cover Cushion 01 Buttercream Refill 11gr</t>
        </is>
      </c>
      <c r="D1389" t="inlineStr">
        <is>
          <t>Miss Glam Jambi</t>
        </is>
      </c>
      <c r="E1389" t="n">
        <v>8</v>
      </c>
      <c r="F1389" t="n">
        <v>0.3861</v>
      </c>
      <c r="G1389" t="n">
        <v>1.32</v>
      </c>
      <c r="H1389" t="n">
        <v>4</v>
      </c>
      <c r="I1389" t="n">
        <v>21</v>
      </c>
      <c r="J1389" t="n">
        <v>3</v>
      </c>
      <c r="K1389" t="n">
        <v>3</v>
      </c>
      <c r="L1389" t="n">
        <v>67147</v>
      </c>
      <c r="M1389" t="n">
        <v>84000</v>
      </c>
      <c r="N1389" t="n">
        <v>33</v>
      </c>
      <c r="O1389" t="n">
        <v>0.33</v>
      </c>
      <c r="P1389" t="n">
        <v>1</v>
      </c>
      <c r="Q1389" t="n">
        <v>0.32</v>
      </c>
      <c r="R1389" t="n">
        <v>2</v>
      </c>
      <c r="S1389" t="n">
        <v>32432.4</v>
      </c>
      <c r="T1389" t="n">
        <v>27</v>
      </c>
      <c r="U1389" t="n">
        <v>29</v>
      </c>
      <c r="V1389" t="n">
        <v>30</v>
      </c>
      <c r="W1389" t="n">
        <v>12</v>
      </c>
      <c r="X1389" t="n">
        <v>20.72002072002072</v>
      </c>
      <c r="Y1389" t="n">
        <v>1</v>
      </c>
      <c r="Z1389" t="n">
        <v>1</v>
      </c>
      <c r="AA1389" t="n">
        <v>0</v>
      </c>
      <c r="AB1389" t="n">
        <v>1</v>
      </c>
      <c r="AC1389" t="n">
        <v>3</v>
      </c>
      <c r="AD1389" t="n">
        <v>0</v>
      </c>
      <c r="AE1389" t="n">
        <v>201441</v>
      </c>
      <c r="AF1389" t="n">
        <v>9412</v>
      </c>
      <c r="AG1389" t="n">
        <v>2194</v>
      </c>
      <c r="AH1389" t="inlineStr">
        <is>
          <t>PT. BINTANG MAS SURYA - PPN (JMB)</t>
        </is>
      </c>
      <c r="AI1389" t="n">
        <v>1638</v>
      </c>
      <c r="AJ1389" t="inlineStr">
        <is>
          <t>GLAD2GLOW</t>
        </is>
      </c>
      <c r="AK1389" t="n">
        <v>9</v>
      </c>
      <c r="AL1389" t="inlineStr">
        <is>
          <t>Miss Glam Jambi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"8809688753909"</f>
        <v/>
      </c>
      <c r="C1390" t="inlineStr">
        <is>
          <t>GLAD2GLOW Perfect Cover Cushion 02 Praline 11gr</t>
        </is>
      </c>
      <c r="D1390" t="inlineStr">
        <is>
          <t>Miss Glam Jambi</t>
        </is>
      </c>
      <c r="E1390" t="n">
        <v>26</v>
      </c>
      <c r="F1390" t="n">
        <v>1.0527</v>
      </c>
      <c r="G1390" t="n">
        <v>3.96</v>
      </c>
      <c r="H1390" t="n">
        <v>4</v>
      </c>
      <c r="I1390" t="n">
        <v>21</v>
      </c>
      <c r="J1390" t="n">
        <v>3</v>
      </c>
      <c r="K1390" t="n">
        <v>5</v>
      </c>
      <c r="L1390" t="n">
        <v>84149</v>
      </c>
      <c r="M1390" t="n">
        <v>99000</v>
      </c>
      <c r="N1390" t="n">
        <v>33</v>
      </c>
      <c r="O1390" t="n">
        <v>0.33</v>
      </c>
      <c r="P1390" t="n">
        <v>1</v>
      </c>
      <c r="Q1390" t="n">
        <v>0.93</v>
      </c>
      <c r="R1390" t="n">
        <v>4</v>
      </c>
      <c r="S1390" t="n">
        <v>104217.3</v>
      </c>
      <c r="T1390" t="n">
        <v>79</v>
      </c>
      <c r="U1390" t="n">
        <v>84</v>
      </c>
      <c r="V1390" t="n">
        <v>30</v>
      </c>
      <c r="W1390" t="n">
        <v>32</v>
      </c>
      <c r="X1390" t="n">
        <v>24.69839460435072</v>
      </c>
      <c r="Y1390" t="n">
        <v>1</v>
      </c>
      <c r="Z1390" t="n">
        <v>1</v>
      </c>
      <c r="AA1390" t="n">
        <v>0</v>
      </c>
      <c r="AB1390" t="n">
        <v>1</v>
      </c>
      <c r="AC1390" t="n">
        <v>3</v>
      </c>
      <c r="AD1390" t="n">
        <v>0</v>
      </c>
      <c r="AE1390" t="n">
        <v>252447</v>
      </c>
      <c r="AF1390" t="n">
        <v>9412</v>
      </c>
      <c r="AG1390" t="n">
        <v>2194</v>
      </c>
      <c r="AH1390" t="inlineStr">
        <is>
          <t>PT. BINTANG MAS SURYA - PPN (JMB)</t>
        </is>
      </c>
      <c r="AI1390" t="n">
        <v>1638</v>
      </c>
      <c r="AJ1390" t="inlineStr">
        <is>
          <t>GLAD2GLOW</t>
        </is>
      </c>
      <c r="AK1390" t="n">
        <v>9</v>
      </c>
      <c r="AL1390" t="inlineStr">
        <is>
          <t>Miss Glam Jambi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"20100464141"</f>
        <v/>
      </c>
      <c r="C1391" t="inlineStr">
        <is>
          <t>GLAD2GLOW Perfect Cover Cushion 02 Praline Refill 11gr</t>
        </is>
      </c>
      <c r="D1391" t="inlineStr">
        <is>
          <t>Miss Glam Jambi</t>
        </is>
      </c>
      <c r="E1391" t="n">
        <v>22</v>
      </c>
      <c r="F1391" t="n">
        <v>0.8282999999999999</v>
      </c>
      <c r="G1391" t="n">
        <v>2.31</v>
      </c>
      <c r="H1391" t="n">
        <v>4</v>
      </c>
      <c r="I1391" t="n">
        <v>21</v>
      </c>
      <c r="J1391" t="n">
        <v>3</v>
      </c>
      <c r="K1391" t="n">
        <v>4</v>
      </c>
      <c r="L1391" t="n">
        <v>67147</v>
      </c>
      <c r="M1391" t="n">
        <v>84000</v>
      </c>
      <c r="N1391" t="n">
        <v>33</v>
      </c>
      <c r="O1391" t="n">
        <v>0.33</v>
      </c>
      <c r="P1391" t="n">
        <v>1</v>
      </c>
      <c r="Q1391" t="n">
        <v>0.71</v>
      </c>
      <c r="R1391" t="n">
        <v>2</v>
      </c>
      <c r="S1391" t="n">
        <v>69577.2</v>
      </c>
      <c r="T1391" t="n">
        <v>46</v>
      </c>
      <c r="U1391" t="n">
        <v>50</v>
      </c>
      <c r="V1391" t="n">
        <v>30</v>
      </c>
      <c r="W1391" t="n">
        <v>25</v>
      </c>
      <c r="X1391" t="n">
        <v>26.56042496679947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9412</v>
      </c>
      <c r="AG1391" t="n">
        <v>2194</v>
      </c>
      <c r="AH1391" t="inlineStr">
        <is>
          <t>PT. BINTANG MAS SURYA - PPN (JMB)</t>
        </is>
      </c>
      <c r="AI1391" t="n">
        <v>1638</v>
      </c>
      <c r="AJ1391" t="inlineStr">
        <is>
          <t>GLAD2GLOW</t>
        </is>
      </c>
      <c r="AK1391" t="n">
        <v>9</v>
      </c>
      <c r="AL1391" t="inlineStr">
        <is>
          <t>Miss Glam Jambi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"8809686947652"</f>
        <v/>
      </c>
      <c r="C1392" t="inlineStr">
        <is>
          <t>GLAD2GLOW Perfect Cover Cushion 03 Custard 11gr</t>
        </is>
      </c>
      <c r="D1392" t="inlineStr">
        <is>
          <t>Miss Glam Jambi</t>
        </is>
      </c>
      <c r="E1392" t="n">
        <v>23</v>
      </c>
      <c r="F1392" t="n">
        <v>1.0857</v>
      </c>
      <c r="G1392" t="n">
        <v>3.63</v>
      </c>
      <c r="H1392" t="n">
        <v>4</v>
      </c>
      <c r="I1392" t="n">
        <v>21</v>
      </c>
      <c r="J1392" t="n">
        <v>12</v>
      </c>
      <c r="K1392" t="n">
        <v>12</v>
      </c>
      <c r="L1392" t="n">
        <v>84149</v>
      </c>
      <c r="M1392" t="n">
        <v>99000</v>
      </c>
      <c r="N1392" t="n">
        <v>33</v>
      </c>
      <c r="O1392" t="n">
        <v>0.33</v>
      </c>
      <c r="P1392" t="n">
        <v>1</v>
      </c>
      <c r="Q1392" t="n">
        <v>0.88</v>
      </c>
      <c r="R1392" t="n">
        <v>3</v>
      </c>
      <c r="S1392" t="n">
        <v>107484.3</v>
      </c>
      <c r="T1392" t="n">
        <v>72</v>
      </c>
      <c r="U1392" t="n">
        <v>77</v>
      </c>
      <c r="V1392" t="n">
        <v>30</v>
      </c>
      <c r="W1392" t="n">
        <v>33</v>
      </c>
      <c r="X1392" t="n">
        <v>21.18448926959565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9412</v>
      </c>
      <c r="AG1392" t="n">
        <v>2194</v>
      </c>
      <c r="AH1392" t="inlineStr">
        <is>
          <t>PT. BINTANG MAS SURYA - PPN (JMB)</t>
        </is>
      </c>
      <c r="AI1392" t="n">
        <v>1638</v>
      </c>
      <c r="AJ1392" t="inlineStr">
        <is>
          <t>GLAD2GLOW</t>
        </is>
      </c>
      <c r="AK1392" t="n">
        <v>9</v>
      </c>
      <c r="AL1392" t="inlineStr">
        <is>
          <t>Miss Glam Jambi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"20100464223"</f>
        <v/>
      </c>
      <c r="C1393" t="inlineStr">
        <is>
          <t>GLAD2GLOW Perfect Cover Cushion 03 Custard Refill 11gr</t>
        </is>
      </c>
      <c r="D1393" t="inlineStr">
        <is>
          <t>Miss Glam Jambi</t>
        </is>
      </c>
      <c r="E1393" t="n">
        <v>19</v>
      </c>
      <c r="F1393" t="n">
        <v>0.7557</v>
      </c>
      <c r="G1393" t="n">
        <v>1.98</v>
      </c>
      <c r="H1393" t="n">
        <v>4</v>
      </c>
      <c r="I1393" t="n">
        <v>21</v>
      </c>
      <c r="J1393" t="n">
        <v>3</v>
      </c>
      <c r="K1393" t="n">
        <v>4</v>
      </c>
      <c r="L1393" t="n">
        <v>67147</v>
      </c>
      <c r="M1393" t="n">
        <v>84000</v>
      </c>
      <c r="N1393" t="n">
        <v>33</v>
      </c>
      <c r="O1393" t="n">
        <v>0.33</v>
      </c>
      <c r="P1393" t="n">
        <v>1</v>
      </c>
      <c r="Q1393" t="n">
        <v>0.25</v>
      </c>
      <c r="R1393" t="n">
        <v>3</v>
      </c>
      <c r="S1393" t="n">
        <v>63478.8</v>
      </c>
      <c r="T1393" t="n">
        <v>39</v>
      </c>
      <c r="U1393" t="n">
        <v>43</v>
      </c>
      <c r="V1393" t="n">
        <v>30</v>
      </c>
      <c r="W1393" t="n">
        <v>23</v>
      </c>
      <c r="X1393" t="n">
        <v>25.14225221648802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9412</v>
      </c>
      <c r="AG1393" t="n">
        <v>2194</v>
      </c>
      <c r="AH1393" t="inlineStr">
        <is>
          <t>PT. BINTANG MAS SURYA - PPN (JMB)</t>
        </is>
      </c>
      <c r="AI1393" t="n">
        <v>1638</v>
      </c>
      <c r="AJ1393" t="inlineStr">
        <is>
          <t>GLAD2GLOW</t>
        </is>
      </c>
      <c r="AK1393" t="n">
        <v>9</v>
      </c>
      <c r="AL1393" t="inlineStr">
        <is>
          <t>Miss Glam Jambi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"20100464301"</f>
        <v/>
      </c>
      <c r="C1394" t="inlineStr">
        <is>
          <t>GLAD2GLOW Perfect Cover Cushion 04 Ginger  Refill 11 gr</t>
        </is>
      </c>
      <c r="D1394" t="inlineStr">
        <is>
          <t>Miss Glam Jambi</t>
        </is>
      </c>
      <c r="E1394" t="n">
        <v>5</v>
      </c>
      <c r="F1394" t="n">
        <v>0.1221</v>
      </c>
      <c r="G1394" t="n">
        <v>0.66</v>
      </c>
      <c r="H1394" t="n">
        <v>4</v>
      </c>
      <c r="I1394" t="n">
        <v>21</v>
      </c>
      <c r="J1394" t="n">
        <v>3</v>
      </c>
      <c r="K1394" t="n">
        <v>0</v>
      </c>
      <c r="L1394" t="n">
        <v>67147</v>
      </c>
      <c r="M1394" t="n">
        <v>84000</v>
      </c>
      <c r="N1394" t="n">
        <v>33</v>
      </c>
      <c r="O1394" t="n">
        <v>0.33</v>
      </c>
      <c r="P1394" t="n">
        <v>1</v>
      </c>
      <c r="Q1394" t="n">
        <v>0.03</v>
      </c>
      <c r="R1394" t="n">
        <v>1</v>
      </c>
      <c r="S1394" t="n">
        <v>10256.4</v>
      </c>
      <c r="T1394" t="n">
        <v>14</v>
      </c>
      <c r="U1394" t="n">
        <v>15</v>
      </c>
      <c r="V1394" t="n">
        <v>30</v>
      </c>
      <c r="W1394" t="n">
        <v>4</v>
      </c>
      <c r="X1394" t="n">
        <v>40.95004095004095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9412</v>
      </c>
      <c r="AG1394" t="n">
        <v>2194</v>
      </c>
      <c r="AH1394" t="inlineStr">
        <is>
          <t>PT. BINTANG MAS SURYA - PPN (JMB)</t>
        </is>
      </c>
      <c r="AI1394" t="n">
        <v>1638</v>
      </c>
      <c r="AJ1394" t="inlineStr">
        <is>
          <t>GLAD2GLOW</t>
        </is>
      </c>
      <c r="AK1394" t="n">
        <v>9</v>
      </c>
      <c r="AL1394" t="inlineStr">
        <is>
          <t>Miss Glam Jambi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"8809600864874"</f>
        <v/>
      </c>
      <c r="C1395" t="inlineStr">
        <is>
          <t>GLAD2GLOW Perfect Cover Cushion 04 Ginger 11gr</t>
        </is>
      </c>
      <c r="D1395" t="inlineStr">
        <is>
          <t>Miss Glam Jambi</t>
        </is>
      </c>
      <c r="E1395" t="n">
        <v>2</v>
      </c>
      <c r="F1395" t="n">
        <v>0.1947</v>
      </c>
      <c r="G1395" t="n">
        <v>0.99</v>
      </c>
      <c r="H1395" t="n">
        <v>4</v>
      </c>
      <c r="I1395" t="n">
        <v>21</v>
      </c>
      <c r="J1395" t="n">
        <v>3</v>
      </c>
      <c r="K1395" t="n">
        <v>3</v>
      </c>
      <c r="L1395" t="n">
        <v>84149</v>
      </c>
      <c r="M1395" t="n">
        <v>99000</v>
      </c>
      <c r="N1395" t="n">
        <v>33</v>
      </c>
      <c r="O1395" t="n">
        <v>0.33</v>
      </c>
      <c r="P1395" t="n">
        <v>1</v>
      </c>
      <c r="Q1395" t="n">
        <v>0.14</v>
      </c>
      <c r="R1395" t="n">
        <v>2</v>
      </c>
      <c r="S1395" t="n">
        <v>19275.3</v>
      </c>
      <c r="T1395" t="n">
        <v>21</v>
      </c>
      <c r="U1395" t="n">
        <v>22</v>
      </c>
      <c r="V1395" t="n">
        <v>30</v>
      </c>
      <c r="W1395" t="n">
        <v>6</v>
      </c>
      <c r="X1395" t="n">
        <v>10.27221366204417</v>
      </c>
      <c r="Y1395" t="n">
        <v>1</v>
      </c>
      <c r="Z1395" t="n">
        <v>1</v>
      </c>
      <c r="AA1395" t="n">
        <v>2</v>
      </c>
      <c r="AB1395" t="n">
        <v>0</v>
      </c>
      <c r="AC1395" t="n">
        <v>0</v>
      </c>
      <c r="AD1395" t="n">
        <v>168298</v>
      </c>
      <c r="AE1395" t="n">
        <v>0</v>
      </c>
      <c r="AF1395" t="n">
        <v>9412</v>
      </c>
      <c r="AG1395" t="n">
        <v>2194</v>
      </c>
      <c r="AH1395" t="inlineStr">
        <is>
          <t>PT. BINTANG MAS SURYA - PPN (JMB)</t>
        </is>
      </c>
      <c r="AI1395" t="n">
        <v>1638</v>
      </c>
      <c r="AJ1395" t="inlineStr">
        <is>
          <t>GLAD2GLOW</t>
        </is>
      </c>
      <c r="AK1395" t="n">
        <v>9</v>
      </c>
      <c r="AL1395" t="inlineStr">
        <is>
          <t>Miss Glam Jambi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"20100469459"</f>
        <v/>
      </c>
      <c r="C1396" t="inlineStr">
        <is>
          <t>GLAD2GLOW Perfect Cover Cushion 05 Cinamon 11Gr</t>
        </is>
      </c>
      <c r="D1396" t="inlineStr">
        <is>
          <t>Miss Glam Jambi</t>
        </is>
      </c>
      <c r="E1396" t="n">
        <v>5</v>
      </c>
      <c r="F1396" t="n">
        <v>0.0495</v>
      </c>
      <c r="G1396" t="n">
        <v>0.33</v>
      </c>
      <c r="H1396" t="n">
        <v>4</v>
      </c>
      <c r="I1396" t="n">
        <v>21</v>
      </c>
      <c r="J1396" t="n">
        <v>1</v>
      </c>
      <c r="K1396" t="n">
        <v>0</v>
      </c>
      <c r="L1396" t="n">
        <v>84149</v>
      </c>
      <c r="M1396" t="n">
        <v>99000</v>
      </c>
      <c r="N1396" t="n">
        <v>33</v>
      </c>
      <c r="O1396" t="n">
        <v>0.33</v>
      </c>
      <c r="P1396" t="n">
        <v>1</v>
      </c>
      <c r="Q1396" t="n">
        <v>0.07000000000000001</v>
      </c>
      <c r="R1396" t="n">
        <v>2</v>
      </c>
      <c r="S1396" t="n">
        <v>4900.5</v>
      </c>
      <c r="T1396" t="n">
        <v>7</v>
      </c>
      <c r="U1396" t="n">
        <v>8</v>
      </c>
      <c r="V1396" t="n">
        <v>30</v>
      </c>
      <c r="W1396" t="n">
        <v>2</v>
      </c>
      <c r="X1396" t="n">
        <v>101.010101010101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9412</v>
      </c>
      <c r="AG1396" t="n">
        <v>2194</v>
      </c>
      <c r="AH1396" t="inlineStr">
        <is>
          <t>PT. BINTANG MAS SURYA - PPN (JMB)</t>
        </is>
      </c>
      <c r="AI1396" t="n">
        <v>1638</v>
      </c>
      <c r="AJ1396" t="inlineStr">
        <is>
          <t>GLAD2GLOW</t>
        </is>
      </c>
      <c r="AK1396" t="n">
        <v>9</v>
      </c>
      <c r="AL1396" t="inlineStr">
        <is>
          <t>Miss Glam Jambi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"101001114008"</f>
        <v/>
      </c>
      <c r="C1397" t="inlineStr">
        <is>
          <t>GLAD2GLOW Perfect Vita C Bright Glow Cleanser 80ml</t>
        </is>
      </c>
      <c r="D1397" t="inlineStr">
        <is>
          <t>Miss Glam Jambi</t>
        </is>
      </c>
      <c r="E1397" t="n">
        <v>15</v>
      </c>
      <c r="F1397" t="n">
        <v>0.0825</v>
      </c>
      <c r="G1397" t="n">
        <v>0.66</v>
      </c>
      <c r="H1397" t="n">
        <v>4</v>
      </c>
      <c r="I1397" t="n">
        <v>21</v>
      </c>
      <c r="J1397" t="n">
        <v>1</v>
      </c>
      <c r="K1397" t="n">
        <v>0</v>
      </c>
      <c r="L1397" t="n">
        <v>38249</v>
      </c>
      <c r="M1397" t="n">
        <v>45000</v>
      </c>
      <c r="N1397" t="n">
        <v>33</v>
      </c>
      <c r="O1397" t="n">
        <v>0.33</v>
      </c>
      <c r="P1397" t="n">
        <v>1</v>
      </c>
      <c r="Q1397" t="n">
        <v>0.22</v>
      </c>
      <c r="R1397" t="n">
        <v>2</v>
      </c>
      <c r="S1397" t="n">
        <v>3712.5</v>
      </c>
      <c r="T1397" t="n">
        <v>14</v>
      </c>
      <c r="U1397" t="n">
        <v>15</v>
      </c>
      <c r="V1397" t="n">
        <v>30</v>
      </c>
      <c r="W1397" t="n">
        <v>3</v>
      </c>
      <c r="X1397" t="n">
        <v>181.8181818181818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9412</v>
      </c>
      <c r="AG1397" t="n">
        <v>2194</v>
      </c>
      <c r="AH1397" t="inlineStr">
        <is>
          <t>PT. BINTANG MAS SURYA - PPN (JMB)</t>
        </is>
      </c>
      <c r="AI1397" t="n">
        <v>1638</v>
      </c>
      <c r="AJ1397" t="inlineStr">
        <is>
          <t>GLAD2GLOW</t>
        </is>
      </c>
      <c r="AK1397" t="n">
        <v>9</v>
      </c>
      <c r="AL1397" t="inlineStr">
        <is>
          <t>Miss Glam Jambi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"10100723938"</f>
        <v/>
      </c>
      <c r="C1398" t="inlineStr">
        <is>
          <t>GLAD2GLOW Perfect Vita C Bright Glow Micellar Water 130ml</t>
        </is>
      </c>
      <c r="D1398" t="inlineStr">
        <is>
          <t>Miss Glam Jambi</t>
        </is>
      </c>
      <c r="E1398" t="n">
        <v>11</v>
      </c>
      <c r="F1398" t="n">
        <v>0.2013</v>
      </c>
      <c r="G1398" t="n">
        <v>0.99</v>
      </c>
      <c r="H1398" t="n">
        <v>4</v>
      </c>
      <c r="I1398" t="n">
        <v>21</v>
      </c>
      <c r="J1398" t="n">
        <v>1</v>
      </c>
      <c r="K1398" t="n">
        <v>0</v>
      </c>
      <c r="L1398" t="n">
        <v>24650</v>
      </c>
      <c r="M1398" t="n">
        <v>29000</v>
      </c>
      <c r="N1398" t="n">
        <v>33</v>
      </c>
      <c r="O1398" t="n">
        <v>0.33</v>
      </c>
      <c r="P1398" t="n">
        <v>1</v>
      </c>
      <c r="Q1398" t="n">
        <v>0.19</v>
      </c>
      <c r="R1398" t="n">
        <v>1</v>
      </c>
      <c r="S1398" t="n">
        <v>5837.7</v>
      </c>
      <c r="T1398" t="n">
        <v>20</v>
      </c>
      <c r="U1398" t="n">
        <v>21</v>
      </c>
      <c r="V1398" t="n">
        <v>30</v>
      </c>
      <c r="W1398" t="n">
        <v>7</v>
      </c>
      <c r="X1398" t="n">
        <v>54.6448087431694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9412</v>
      </c>
      <c r="AG1398" t="n">
        <v>2194</v>
      </c>
      <c r="AH1398" t="inlineStr">
        <is>
          <t>PT. BINTANG MAS SURYA - PPN (JMB)</t>
        </is>
      </c>
      <c r="AI1398" t="n">
        <v>1638</v>
      </c>
      <c r="AJ1398" t="inlineStr">
        <is>
          <t>GLAD2GLOW</t>
        </is>
      </c>
      <c r="AK1398" t="n">
        <v>9</v>
      </c>
      <c r="AL1398" t="inlineStr">
        <is>
          <t>Miss Glam Jambi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"10100724006"</f>
        <v/>
      </c>
      <c r="C1399" t="inlineStr">
        <is>
          <t>GLAD2GLOW Perfect Vita C Bright Glow Micellar Water 230ml</t>
        </is>
      </c>
      <c r="D1399" t="inlineStr">
        <is>
          <t>Miss Glam Jambi</t>
        </is>
      </c>
      <c r="E1399" t="n">
        <v>4</v>
      </c>
      <c r="F1399" t="n">
        <v>0.0726</v>
      </c>
      <c r="G1399" t="n">
        <v>0.66</v>
      </c>
      <c r="H1399" t="n">
        <v>4</v>
      </c>
      <c r="I1399" t="n">
        <v>21</v>
      </c>
      <c r="J1399" t="n">
        <v>1</v>
      </c>
      <c r="K1399" t="n">
        <v>0</v>
      </c>
      <c r="L1399" t="n">
        <v>33150</v>
      </c>
      <c r="M1399" t="n">
        <v>39000</v>
      </c>
      <c r="N1399" t="n">
        <v>33</v>
      </c>
      <c r="O1399" t="n">
        <v>0.33</v>
      </c>
      <c r="P1399" t="n">
        <v>1</v>
      </c>
      <c r="Q1399" t="n">
        <v>0.07000000000000001</v>
      </c>
      <c r="R1399" t="n">
        <v>1</v>
      </c>
      <c r="S1399" t="n">
        <v>2831.4</v>
      </c>
      <c r="T1399" t="n">
        <v>14</v>
      </c>
      <c r="U1399" t="n">
        <v>15</v>
      </c>
      <c r="V1399" t="n">
        <v>30</v>
      </c>
      <c r="W1399" t="n">
        <v>3</v>
      </c>
      <c r="X1399" t="n">
        <v>55.09641873278237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9412</v>
      </c>
      <c r="AG1399" t="n">
        <v>2194</v>
      </c>
      <c r="AH1399" t="inlineStr">
        <is>
          <t>PT. BINTANG MAS SURYA - PPN (JMB)</t>
        </is>
      </c>
      <c r="AI1399" t="n">
        <v>1638</v>
      </c>
      <c r="AJ1399" t="inlineStr">
        <is>
          <t>GLAD2GLOW</t>
        </is>
      </c>
      <c r="AK1399" t="n">
        <v>9</v>
      </c>
      <c r="AL1399" t="inlineStr">
        <is>
          <t>Miss Glam Jambi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"10100723801"</f>
        <v/>
      </c>
      <c r="C1400" t="inlineStr">
        <is>
          <t>GLAD2GLOW Perfect Vita C Bright Glow Micellar Water 300ml</t>
        </is>
      </c>
      <c r="D1400" t="inlineStr">
        <is>
          <t>Miss Glam Jambi</t>
        </is>
      </c>
      <c r="E1400" t="n">
        <v>9</v>
      </c>
      <c r="F1400" t="n">
        <v>0.4851</v>
      </c>
      <c r="G1400" t="n">
        <v>2.97</v>
      </c>
      <c r="H1400" t="n">
        <v>4</v>
      </c>
      <c r="I1400" t="n">
        <v>21</v>
      </c>
      <c r="J1400" t="n">
        <v>1</v>
      </c>
      <c r="K1400" t="n">
        <v>4</v>
      </c>
      <c r="L1400" t="n">
        <v>41651</v>
      </c>
      <c r="M1400" t="n">
        <v>49000</v>
      </c>
      <c r="N1400" t="n">
        <v>33</v>
      </c>
      <c r="O1400" t="n">
        <v>0.33</v>
      </c>
      <c r="P1400" t="n">
        <v>1</v>
      </c>
      <c r="Q1400" t="n">
        <v>0.22</v>
      </c>
      <c r="R1400" t="n">
        <v>2</v>
      </c>
      <c r="S1400" t="n">
        <v>23769.9</v>
      </c>
      <c r="T1400" t="n">
        <v>61</v>
      </c>
      <c r="U1400" t="n">
        <v>63</v>
      </c>
      <c r="V1400" t="n">
        <v>30</v>
      </c>
      <c r="W1400" t="n">
        <v>15</v>
      </c>
      <c r="X1400" t="n">
        <v>18.55287569573284</v>
      </c>
      <c r="Y1400" t="n">
        <v>1</v>
      </c>
      <c r="Z1400" t="n">
        <v>2</v>
      </c>
      <c r="AA1400" t="n">
        <v>1</v>
      </c>
      <c r="AB1400" t="n">
        <v>1</v>
      </c>
      <c r="AC1400" t="n">
        <v>1</v>
      </c>
      <c r="AD1400" t="n">
        <v>41651</v>
      </c>
      <c r="AE1400" t="n">
        <v>41651</v>
      </c>
      <c r="AF1400" t="n">
        <v>9412</v>
      </c>
      <c r="AG1400" t="n">
        <v>2194</v>
      </c>
      <c r="AH1400" t="inlineStr">
        <is>
          <t>PT. BINTANG MAS SURYA - PPN (JMB)</t>
        </is>
      </c>
      <c r="AI1400" t="n">
        <v>1638</v>
      </c>
      <c r="AJ1400" t="inlineStr">
        <is>
          <t>GLAD2GLOW</t>
        </is>
      </c>
      <c r="AK1400" t="n">
        <v>9</v>
      </c>
      <c r="AL1400" t="inlineStr">
        <is>
          <t>Miss Glam Jambi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"10300725916"</f>
        <v/>
      </c>
      <c r="C1401" t="inlineStr">
        <is>
          <t>GLAD2GLOW Perfect Vita C Bright Glow Moisturizer 30g</t>
        </is>
      </c>
      <c r="D1401" t="inlineStr">
        <is>
          <t>Miss Glam Jambi</t>
        </is>
      </c>
      <c r="E1401" t="n">
        <v>5</v>
      </c>
      <c r="F1401" t="n">
        <v>0.1947</v>
      </c>
      <c r="G1401" t="n">
        <v>1.98</v>
      </c>
      <c r="H1401" t="n">
        <v>4</v>
      </c>
      <c r="I1401" t="n">
        <v>21</v>
      </c>
      <c r="J1401" t="n">
        <v>1</v>
      </c>
      <c r="K1401" t="n">
        <v>1</v>
      </c>
      <c r="L1401" t="n">
        <v>41651</v>
      </c>
      <c r="M1401" t="n">
        <v>49000</v>
      </c>
      <c r="N1401" t="n">
        <v>33</v>
      </c>
      <c r="O1401" t="n">
        <v>0.33</v>
      </c>
      <c r="P1401" t="n">
        <v>1</v>
      </c>
      <c r="Q1401" t="n">
        <v>0.14</v>
      </c>
      <c r="R1401" t="n">
        <v>1</v>
      </c>
      <c r="S1401" t="n">
        <v>9540.300000000001</v>
      </c>
      <c r="T1401" t="n">
        <v>41</v>
      </c>
      <c r="U1401" t="n">
        <v>42</v>
      </c>
      <c r="V1401" t="n">
        <v>30</v>
      </c>
      <c r="W1401" t="n">
        <v>6</v>
      </c>
      <c r="X1401" t="n">
        <v>25.68053415511043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9412</v>
      </c>
      <c r="AG1401" t="n">
        <v>2194</v>
      </c>
      <c r="AH1401" t="inlineStr">
        <is>
          <t>PT. BINTANG MAS SURYA - PPN (JMB)</t>
        </is>
      </c>
      <c r="AI1401" t="n">
        <v>1638</v>
      </c>
      <c r="AJ1401" t="inlineStr">
        <is>
          <t>GLAD2GLOW</t>
        </is>
      </c>
      <c r="AK1401" t="n">
        <v>9</v>
      </c>
      <c r="AL1401" t="inlineStr">
        <is>
          <t>Miss Glam Jambi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"11200151244"</f>
        <v/>
      </c>
      <c r="C1402" t="inlineStr">
        <is>
          <t>GLAD2GLOW Perfect Vita C Bright Glow Serum 17ml</t>
        </is>
      </c>
      <c r="D1402" t="inlineStr">
        <is>
          <t>Miss Glam Jambi</t>
        </is>
      </c>
      <c r="E1402" t="n">
        <v>5</v>
      </c>
      <c r="F1402" t="n">
        <v>0.1287</v>
      </c>
      <c r="G1402" t="n">
        <v>1.32</v>
      </c>
      <c r="H1402" t="n">
        <v>4</v>
      </c>
      <c r="I1402" t="n">
        <v>21</v>
      </c>
      <c r="J1402" t="n">
        <v>1</v>
      </c>
      <c r="K1402" t="n">
        <v>0</v>
      </c>
      <c r="L1402" t="n">
        <v>41651</v>
      </c>
      <c r="M1402" t="n">
        <v>49000</v>
      </c>
      <c r="N1402" t="n">
        <v>33</v>
      </c>
      <c r="O1402" t="n">
        <v>0.33</v>
      </c>
      <c r="P1402" t="n">
        <v>1</v>
      </c>
      <c r="Q1402" t="n">
        <v>0.15</v>
      </c>
      <c r="R1402" t="n">
        <v>2</v>
      </c>
      <c r="S1402" t="n">
        <v>6306.3</v>
      </c>
      <c r="T1402" t="n">
        <v>28</v>
      </c>
      <c r="U1402" t="n">
        <v>29</v>
      </c>
      <c r="V1402" t="n">
        <v>30</v>
      </c>
      <c r="W1402" t="n">
        <v>4</v>
      </c>
      <c r="X1402" t="n">
        <v>38.85003885003885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9412</v>
      </c>
      <c r="AG1402" t="n">
        <v>2194</v>
      </c>
      <c r="AH1402" t="inlineStr">
        <is>
          <t>PT. BINTANG MAS SURYA - PPN (JMB)</t>
        </is>
      </c>
      <c r="AI1402" t="n">
        <v>1638</v>
      </c>
      <c r="AJ1402" t="inlineStr">
        <is>
          <t>GLAD2GLOW</t>
        </is>
      </c>
      <c r="AK1402" t="n">
        <v>9</v>
      </c>
      <c r="AL1402" t="inlineStr">
        <is>
          <t>Miss Glam Jambi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"10200162656"</f>
        <v/>
      </c>
      <c r="C1403" t="inlineStr">
        <is>
          <t>GLAD2GLOW Perfect Vita C Bright Glow Toner 80ml</t>
        </is>
      </c>
      <c r="D1403" t="inlineStr">
        <is>
          <t>Miss Glam Jambi</t>
        </is>
      </c>
      <c r="E1403" t="n">
        <v>5</v>
      </c>
      <c r="F1403" t="n">
        <v>0.0165</v>
      </c>
      <c r="G1403" t="n">
        <v>0.33</v>
      </c>
      <c r="H1403" t="n">
        <v>4</v>
      </c>
      <c r="I1403" t="n">
        <v>21</v>
      </c>
      <c r="J1403" t="n">
        <v>1</v>
      </c>
      <c r="K1403" t="n">
        <v>0</v>
      </c>
      <c r="L1403" t="n">
        <v>38249</v>
      </c>
      <c r="M1403" t="n">
        <v>45000</v>
      </c>
      <c r="N1403" t="n">
        <v>33</v>
      </c>
      <c r="O1403" t="n">
        <v>0.33</v>
      </c>
      <c r="P1403" t="n">
        <v>1</v>
      </c>
      <c r="Q1403" t="n">
        <v>0.05</v>
      </c>
      <c r="R1403" t="n">
        <v>2</v>
      </c>
      <c r="S1403" t="n">
        <v>742.5</v>
      </c>
      <c r="T1403" t="n">
        <v>7</v>
      </c>
      <c r="U1403" t="n">
        <v>8</v>
      </c>
      <c r="V1403" t="n">
        <v>30</v>
      </c>
      <c r="W1403" t="n">
        <v>1</v>
      </c>
      <c r="X1403" t="n">
        <v>303.030303030303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9412</v>
      </c>
      <c r="AG1403" t="n">
        <v>2194</v>
      </c>
      <c r="AH1403" t="inlineStr">
        <is>
          <t>PT. BINTANG MAS SURYA - PPN (JMB)</t>
        </is>
      </c>
      <c r="AI1403" t="n">
        <v>1638</v>
      </c>
      <c r="AJ1403" t="inlineStr">
        <is>
          <t>GLAD2GLOW</t>
        </is>
      </c>
      <c r="AK1403" t="n">
        <v>9</v>
      </c>
      <c r="AL1403" t="inlineStr">
        <is>
          <t>Miss Glam Jambi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"8809658121349"</f>
        <v/>
      </c>
      <c r="C1404" t="inlineStr">
        <is>
          <t>GLAD2GLOW Pomegranate 10% Niacinamide Power Bright Serum 17ml</t>
        </is>
      </c>
      <c r="D1404" t="inlineStr">
        <is>
          <t>Miss Glam Jambi</t>
        </is>
      </c>
      <c r="E1404" t="n">
        <v>33</v>
      </c>
      <c r="F1404" t="n">
        <v>1.8744</v>
      </c>
      <c r="G1404" t="n">
        <v>4.29</v>
      </c>
      <c r="H1404" t="n">
        <v>4</v>
      </c>
      <c r="I1404" t="n">
        <v>21</v>
      </c>
      <c r="J1404" t="n">
        <v>3</v>
      </c>
      <c r="K1404" t="n">
        <v>24</v>
      </c>
      <c r="L1404" t="n">
        <v>33177</v>
      </c>
      <c r="M1404" t="n">
        <v>45000</v>
      </c>
      <c r="N1404" t="n">
        <v>33</v>
      </c>
      <c r="O1404" t="n">
        <v>0.33</v>
      </c>
      <c r="P1404" t="n">
        <v>1</v>
      </c>
      <c r="Q1404" t="n">
        <v>1.53</v>
      </c>
      <c r="R1404" t="n">
        <v>6</v>
      </c>
      <c r="S1404" t="n">
        <v>84348</v>
      </c>
      <c r="T1404" t="n">
        <v>83</v>
      </c>
      <c r="U1404" t="n">
        <v>91</v>
      </c>
      <c r="V1404" t="n">
        <v>30</v>
      </c>
      <c r="W1404" t="n">
        <v>57</v>
      </c>
      <c r="X1404" t="n">
        <v>17.6056338028169</v>
      </c>
      <c r="Y1404" t="n">
        <v>1</v>
      </c>
      <c r="Z1404" t="n">
        <v>0</v>
      </c>
      <c r="AA1404" t="n">
        <v>6</v>
      </c>
      <c r="AB1404" t="n">
        <v>0</v>
      </c>
      <c r="AC1404" t="n">
        <v>0</v>
      </c>
      <c r="AD1404" t="n">
        <v>199062</v>
      </c>
      <c r="AE1404" t="n">
        <v>0</v>
      </c>
      <c r="AF1404" t="n">
        <v>9412</v>
      </c>
      <c r="AG1404" t="n">
        <v>2194</v>
      </c>
      <c r="AH1404" t="inlineStr">
        <is>
          <t>PT. BINTANG MAS SURYA - PPN (JMB)</t>
        </is>
      </c>
      <c r="AI1404" t="n">
        <v>1638</v>
      </c>
      <c r="AJ1404" t="inlineStr">
        <is>
          <t>GLAD2GLOW</t>
        </is>
      </c>
      <c r="AK1404" t="n">
        <v>9</v>
      </c>
      <c r="AL1404" t="inlineStr">
        <is>
          <t>Miss Glam Jambi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"10300720906"</f>
        <v/>
      </c>
      <c r="C1405" t="inlineStr">
        <is>
          <t>GLAD2GLOW Pomegranate 5% Niacinamide Brightening Moisturizer 100gr</t>
        </is>
      </c>
      <c r="D1405" t="inlineStr">
        <is>
          <t>Miss Glam Jambi</t>
        </is>
      </c>
      <c r="E1405" t="n">
        <v>12</v>
      </c>
      <c r="F1405" t="n">
        <v>0.7821</v>
      </c>
      <c r="G1405" t="n">
        <v>2.64</v>
      </c>
      <c r="H1405" t="n">
        <v>4</v>
      </c>
      <c r="I1405" t="n">
        <v>21</v>
      </c>
      <c r="J1405" t="n">
        <v>3</v>
      </c>
      <c r="K1405" t="n">
        <v>7</v>
      </c>
      <c r="L1405" t="n">
        <v>75647</v>
      </c>
      <c r="M1405" t="n">
        <v>93000</v>
      </c>
      <c r="N1405" t="n">
        <v>33</v>
      </c>
      <c r="O1405" t="n">
        <v>0.33</v>
      </c>
      <c r="P1405" t="n">
        <v>1</v>
      </c>
      <c r="Q1405" t="n">
        <v>0.44</v>
      </c>
      <c r="R1405" t="n">
        <v>3</v>
      </c>
      <c r="S1405" t="n">
        <v>72735.3</v>
      </c>
      <c r="T1405" t="n">
        <v>53</v>
      </c>
      <c r="U1405" t="n">
        <v>57</v>
      </c>
      <c r="V1405" t="n">
        <v>30</v>
      </c>
      <c r="W1405" t="n">
        <v>24</v>
      </c>
      <c r="X1405" t="n">
        <v>15.34330648254699</v>
      </c>
      <c r="Y1405" t="n">
        <v>1</v>
      </c>
      <c r="Z1405" t="n">
        <v>5</v>
      </c>
      <c r="AA1405" t="n">
        <v>4</v>
      </c>
      <c r="AB1405" t="n">
        <v>1</v>
      </c>
      <c r="AC1405" t="n">
        <v>3</v>
      </c>
      <c r="AD1405" t="n">
        <v>302588</v>
      </c>
      <c r="AE1405" t="n">
        <v>226941</v>
      </c>
      <c r="AF1405" t="n">
        <v>9412</v>
      </c>
      <c r="AG1405" t="n">
        <v>2194</v>
      </c>
      <c r="AH1405" t="inlineStr">
        <is>
          <t>PT. BINTANG MAS SURYA - PPN (JMB)</t>
        </is>
      </c>
      <c r="AI1405" t="n">
        <v>1638</v>
      </c>
      <c r="AJ1405" t="inlineStr">
        <is>
          <t>GLAD2GLOW</t>
        </is>
      </c>
      <c r="AK1405" t="n">
        <v>9</v>
      </c>
      <c r="AL1405" t="inlineStr">
        <is>
          <t>Miss Glam Jambi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"8809601379018"</f>
        <v/>
      </c>
      <c r="C1406" t="inlineStr">
        <is>
          <t>GLAD2GLOW Pomegranate 5% Niacinamide Brightening Moisturizer 30gr</t>
        </is>
      </c>
      <c r="D1406" t="inlineStr">
        <is>
          <t>Miss Glam Jambi</t>
        </is>
      </c>
      <c r="E1406" t="n">
        <v>64</v>
      </c>
      <c r="F1406" t="n">
        <v>6.0456</v>
      </c>
      <c r="G1406" t="n">
        <v>10.56</v>
      </c>
      <c r="H1406" t="n">
        <v>4</v>
      </c>
      <c r="I1406" t="n">
        <v>21</v>
      </c>
      <c r="J1406" t="n">
        <v>3</v>
      </c>
      <c r="K1406" t="n">
        <v>118</v>
      </c>
      <c r="L1406" t="n">
        <v>38251</v>
      </c>
      <c r="M1406" t="n">
        <v>45000</v>
      </c>
      <c r="N1406" t="n">
        <v>33</v>
      </c>
      <c r="O1406" t="n">
        <v>0.33</v>
      </c>
      <c r="P1406" t="n">
        <v>1</v>
      </c>
      <c r="Q1406" t="n">
        <v>2.98</v>
      </c>
      <c r="R1406" t="n">
        <v>8</v>
      </c>
      <c r="S1406" t="n">
        <v>272052</v>
      </c>
      <c r="T1406" t="n">
        <v>198</v>
      </c>
      <c r="U1406" t="n">
        <v>223</v>
      </c>
      <c r="V1406" t="n">
        <v>30</v>
      </c>
      <c r="W1406" t="n">
        <v>182</v>
      </c>
      <c r="X1406" t="n">
        <v>10.5862114595739</v>
      </c>
      <c r="Y1406" t="n">
        <v>1</v>
      </c>
      <c r="Z1406" t="n">
        <v>0</v>
      </c>
      <c r="AA1406" t="n">
        <v>62</v>
      </c>
      <c r="AB1406" t="n">
        <v>0</v>
      </c>
      <c r="AC1406" t="n">
        <v>0</v>
      </c>
      <c r="AD1406" t="n">
        <v>2371562</v>
      </c>
      <c r="AE1406" t="n">
        <v>0</v>
      </c>
      <c r="AF1406" t="n">
        <v>9412</v>
      </c>
      <c r="AG1406" t="n">
        <v>2194</v>
      </c>
      <c r="AH1406" t="inlineStr">
        <is>
          <t>PT. BINTANG MAS SURYA - PPN (JMB)</t>
        </is>
      </c>
      <c r="AI1406" t="n">
        <v>1638</v>
      </c>
      <c r="AJ1406" t="inlineStr">
        <is>
          <t>GLAD2GLOW</t>
        </is>
      </c>
      <c r="AK1406" t="n">
        <v>9</v>
      </c>
      <c r="AL1406" t="inlineStr">
        <is>
          <t>Miss Glam Jambi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"8809639588871"</f>
        <v/>
      </c>
      <c r="C1407" t="inlineStr">
        <is>
          <t>GLAD2GLOW Pomegranate niacinamide brightening clay mask 30g</t>
        </is>
      </c>
      <c r="D1407" t="inlineStr">
        <is>
          <t>Miss Glam Jambi</t>
        </is>
      </c>
      <c r="E1407" t="n">
        <v>2</v>
      </c>
      <c r="F1407" t="n">
        <v>0.0396</v>
      </c>
      <c r="G1407" t="n">
        <v>0.33</v>
      </c>
      <c r="H1407" t="n">
        <v>4</v>
      </c>
      <c r="I1407" t="n">
        <v>21</v>
      </c>
      <c r="J1407" t="n">
        <v>3</v>
      </c>
      <c r="K1407" t="n">
        <v>0</v>
      </c>
      <c r="L1407" t="n">
        <v>27201</v>
      </c>
      <c r="M1407" t="n">
        <v>34000</v>
      </c>
      <c r="N1407" t="n">
        <v>33</v>
      </c>
      <c r="O1407" t="n">
        <v>0.33</v>
      </c>
      <c r="P1407" t="n">
        <v>1</v>
      </c>
      <c r="Q1407" t="n">
        <v>0.05</v>
      </c>
      <c r="R1407" t="n">
        <v>1</v>
      </c>
      <c r="S1407" t="n">
        <v>1346.4</v>
      </c>
      <c r="T1407" t="n">
        <v>7</v>
      </c>
      <c r="U1407" t="n">
        <v>8</v>
      </c>
      <c r="V1407" t="n">
        <v>30</v>
      </c>
      <c r="W1407" t="n">
        <v>2</v>
      </c>
      <c r="X1407" t="n">
        <v>50.5050505050505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9412</v>
      </c>
      <c r="AG1407" t="n">
        <v>2194</v>
      </c>
      <c r="AH1407" t="inlineStr">
        <is>
          <t>PT. BINTANG MAS SURYA - PPN (JMB)</t>
        </is>
      </c>
      <c r="AI1407" t="n">
        <v>1638</v>
      </c>
      <c r="AJ1407" t="inlineStr">
        <is>
          <t>GLAD2GLOW</t>
        </is>
      </c>
      <c r="AK1407" t="n">
        <v>9</v>
      </c>
      <c r="AL1407" t="inlineStr">
        <is>
          <t>Miss Glam Jambi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"8809648937530"</f>
        <v/>
      </c>
      <c r="C1408" t="inlineStr">
        <is>
          <t>GLAD2GLOW Pomegranate Niacinamide Brightening Clay Stick 25gr</t>
        </is>
      </c>
      <c r="D1408" t="inlineStr">
        <is>
          <t>Miss Glam Jambi</t>
        </is>
      </c>
      <c r="E1408" t="n">
        <v>8</v>
      </c>
      <c r="F1408" t="n">
        <v>0.8217000000000001</v>
      </c>
      <c r="G1408" t="n">
        <v>3.3</v>
      </c>
      <c r="H1408" t="n">
        <v>4</v>
      </c>
      <c r="I1408" t="n">
        <v>21</v>
      </c>
      <c r="J1408" t="n">
        <v>3</v>
      </c>
      <c r="K1408" t="n">
        <v>7</v>
      </c>
      <c r="L1408" t="n">
        <v>38203</v>
      </c>
      <c r="M1408" t="n">
        <v>45000</v>
      </c>
      <c r="N1408" t="n">
        <v>33</v>
      </c>
      <c r="O1408" t="n">
        <v>0.33</v>
      </c>
      <c r="P1408" t="n">
        <v>1</v>
      </c>
      <c r="Q1408" t="n">
        <v>0.51</v>
      </c>
      <c r="R1408" t="n">
        <v>4</v>
      </c>
      <c r="S1408" t="n">
        <v>36976.50000000001</v>
      </c>
      <c r="T1408" t="n">
        <v>67</v>
      </c>
      <c r="U1408" t="n">
        <v>71</v>
      </c>
      <c r="V1408" t="n">
        <v>30</v>
      </c>
      <c r="W1408" t="n">
        <v>25</v>
      </c>
      <c r="X1408" t="n">
        <v>9.735913350371181</v>
      </c>
      <c r="Y1408" t="n">
        <v>1</v>
      </c>
      <c r="Z1408" t="n">
        <v>10</v>
      </c>
      <c r="AA1408" t="n">
        <v>9</v>
      </c>
      <c r="AB1408" t="n">
        <v>1</v>
      </c>
      <c r="AC1408" t="n">
        <v>3</v>
      </c>
      <c r="AD1408" t="n">
        <v>343827</v>
      </c>
      <c r="AE1408" t="n">
        <v>114609</v>
      </c>
      <c r="AF1408" t="n">
        <v>9412</v>
      </c>
      <c r="AG1408" t="n">
        <v>2194</v>
      </c>
      <c r="AH1408" t="inlineStr">
        <is>
          <t>PT. BINTANG MAS SURYA - PPN (JMB)</t>
        </is>
      </c>
      <c r="AI1408" t="n">
        <v>1638</v>
      </c>
      <c r="AJ1408" t="inlineStr">
        <is>
          <t>GLAD2GLOW</t>
        </is>
      </c>
      <c r="AK1408" t="n">
        <v>9</v>
      </c>
      <c r="AL1408" t="inlineStr">
        <is>
          <t>Miss Glam Jambi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"8809601379629"</f>
        <v/>
      </c>
      <c r="C1409" t="inlineStr">
        <is>
          <t>GLAD2GLOW Pomegranate Niacinamide Brightening Toner 80ml</t>
        </is>
      </c>
      <c r="D1409" t="inlineStr">
        <is>
          <t>Miss Glam Jambi</t>
        </is>
      </c>
      <c r="E1409" t="n">
        <v>13</v>
      </c>
      <c r="F1409" t="n">
        <v>0.5412</v>
      </c>
      <c r="G1409" t="n">
        <v>1.32</v>
      </c>
      <c r="H1409" t="n">
        <v>4</v>
      </c>
      <c r="I1409" t="n">
        <v>21</v>
      </c>
      <c r="J1409" t="n">
        <v>3</v>
      </c>
      <c r="K1409" t="n">
        <v>3</v>
      </c>
      <c r="L1409" t="n">
        <v>38250</v>
      </c>
      <c r="M1409" t="n">
        <v>45000</v>
      </c>
      <c r="N1409" t="n">
        <v>33</v>
      </c>
      <c r="O1409" t="n">
        <v>0.33</v>
      </c>
      <c r="P1409" t="n">
        <v>1</v>
      </c>
      <c r="Q1409" t="n">
        <v>0.53</v>
      </c>
      <c r="R1409" t="n">
        <v>4</v>
      </c>
      <c r="S1409" t="n">
        <v>24354</v>
      </c>
      <c r="T1409" t="n">
        <v>26</v>
      </c>
      <c r="U1409" t="n">
        <v>29</v>
      </c>
      <c r="V1409" t="n">
        <v>30</v>
      </c>
      <c r="W1409" t="n">
        <v>17</v>
      </c>
      <c r="X1409" t="n">
        <v>24.02069475240207</v>
      </c>
      <c r="Y1409" t="n">
        <v>1</v>
      </c>
      <c r="Z1409" t="n">
        <v>1</v>
      </c>
      <c r="AA1409" t="n">
        <v>0</v>
      </c>
      <c r="AB1409" t="n">
        <v>1</v>
      </c>
      <c r="AC1409" t="n">
        <v>3</v>
      </c>
      <c r="AD1409" t="n">
        <v>0</v>
      </c>
      <c r="AE1409" t="n">
        <v>114750</v>
      </c>
      <c r="AF1409" t="n">
        <v>9412</v>
      </c>
      <c r="AG1409" t="n">
        <v>2194</v>
      </c>
      <c r="AH1409" t="inlineStr">
        <is>
          <t>PT. BINTANG MAS SURYA - PPN (JMB)</t>
        </is>
      </c>
      <c r="AI1409" t="n">
        <v>1638</v>
      </c>
      <c r="AJ1409" t="inlineStr">
        <is>
          <t>GLAD2GLOW</t>
        </is>
      </c>
      <c r="AK1409" t="n">
        <v>9</v>
      </c>
      <c r="AL1409" t="inlineStr">
        <is>
          <t>Miss Glam Jambi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"10100725909"</f>
        <v/>
      </c>
      <c r="C1410" t="inlineStr">
        <is>
          <t>GLAD2GLOW Pore Clearing Micellar Water 130ml</t>
        </is>
      </c>
      <c r="D1410" t="inlineStr">
        <is>
          <t>Miss Glam Jambi</t>
        </is>
      </c>
      <c r="E1410" t="n">
        <v>10</v>
      </c>
      <c r="F1410" t="n">
        <v>0.0561</v>
      </c>
      <c r="G1410" t="n">
        <v>0.66</v>
      </c>
      <c r="H1410" t="n">
        <v>4</v>
      </c>
      <c r="I1410" t="n">
        <v>21</v>
      </c>
      <c r="J1410" t="n">
        <v>1</v>
      </c>
      <c r="K1410" t="n">
        <v>0</v>
      </c>
      <c r="L1410" t="n">
        <v>24650</v>
      </c>
      <c r="M1410" t="n">
        <v>29000</v>
      </c>
      <c r="N1410" t="n">
        <v>33</v>
      </c>
      <c r="O1410" t="n">
        <v>0.33</v>
      </c>
      <c r="P1410" t="n">
        <v>1</v>
      </c>
      <c r="Q1410" t="n">
        <v>0.03</v>
      </c>
      <c r="R1410" t="n">
        <v>1</v>
      </c>
      <c r="S1410" t="n">
        <v>1626.9</v>
      </c>
      <c r="T1410" t="n">
        <v>14</v>
      </c>
      <c r="U1410" t="n">
        <v>15</v>
      </c>
      <c r="V1410" t="n">
        <v>30</v>
      </c>
      <c r="W1410" t="n">
        <v>2</v>
      </c>
      <c r="X1410" t="n">
        <v>178.25311942959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9412</v>
      </c>
      <c r="AG1410" t="n">
        <v>2194</v>
      </c>
      <c r="AH1410" t="inlineStr">
        <is>
          <t>PT. BINTANG MAS SURYA - PPN (JMB)</t>
        </is>
      </c>
      <c r="AI1410" t="n">
        <v>1638</v>
      </c>
      <c r="AJ1410" t="inlineStr">
        <is>
          <t>GLAD2GLOW</t>
        </is>
      </c>
      <c r="AK1410" t="n">
        <v>9</v>
      </c>
      <c r="AL1410" t="inlineStr">
        <is>
          <t>Miss Glam Jambi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"10100726050"</f>
        <v/>
      </c>
      <c r="C1411" t="inlineStr">
        <is>
          <t>GLAD2GLOW Pore Clearing Micellar Water 300ml</t>
        </is>
      </c>
      <c r="D1411" t="inlineStr">
        <is>
          <t>Miss Glam Jambi</t>
        </is>
      </c>
      <c r="E1411" t="n">
        <v>9</v>
      </c>
      <c r="F1411" t="n">
        <v>0.066</v>
      </c>
      <c r="G1411" t="n">
        <v>0.66</v>
      </c>
      <c r="H1411" t="n">
        <v>4</v>
      </c>
      <c r="I1411" t="n">
        <v>21</v>
      </c>
      <c r="J1411" t="n">
        <v>1</v>
      </c>
      <c r="K1411" t="n">
        <v>0</v>
      </c>
      <c r="L1411" t="n">
        <v>41649</v>
      </c>
      <c r="M1411" t="n">
        <v>49000</v>
      </c>
      <c r="N1411" t="n">
        <v>33</v>
      </c>
      <c r="O1411" t="n">
        <v>0.33</v>
      </c>
      <c r="P1411" t="n">
        <v>1</v>
      </c>
      <c r="Q1411" t="n">
        <v>0.05</v>
      </c>
      <c r="R1411" t="n">
        <v>1</v>
      </c>
      <c r="S1411" t="n">
        <v>3234</v>
      </c>
      <c r="T1411" t="n">
        <v>14</v>
      </c>
      <c r="U1411" t="n">
        <v>15</v>
      </c>
      <c r="V1411" t="n">
        <v>30</v>
      </c>
      <c r="W1411" t="n">
        <v>2</v>
      </c>
      <c r="X1411" t="n">
        <v>136.3636363636363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9412</v>
      </c>
      <c r="AG1411" t="n">
        <v>2194</v>
      </c>
      <c r="AH1411" t="inlineStr">
        <is>
          <t>PT. BINTANG MAS SURYA - PPN (JMB)</t>
        </is>
      </c>
      <c r="AI1411" t="n">
        <v>1638</v>
      </c>
      <c r="AJ1411" t="inlineStr">
        <is>
          <t>GLAD2GLOW</t>
        </is>
      </c>
      <c r="AK1411" t="n">
        <v>9</v>
      </c>
      <c r="AL1411" t="inlineStr">
        <is>
          <t>Miss Glam Jambi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"8809639408209"</f>
        <v/>
      </c>
      <c r="C1412" t="inlineStr">
        <is>
          <t>GLAD2GLOW Propolis Hyaluronic Acid Barrier Toner 80ml</t>
        </is>
      </c>
      <c r="D1412" t="inlineStr">
        <is>
          <t>Miss Glam Jambi</t>
        </is>
      </c>
      <c r="E1412" t="n">
        <v>8</v>
      </c>
      <c r="F1412" t="n">
        <v>0.0462</v>
      </c>
      <c r="G1412" t="n">
        <v>0.66</v>
      </c>
      <c r="H1412" t="n">
        <v>4</v>
      </c>
      <c r="I1412" t="n">
        <v>21</v>
      </c>
      <c r="J1412" t="n">
        <v>3</v>
      </c>
      <c r="K1412" t="n">
        <v>0</v>
      </c>
      <c r="L1412" t="n">
        <v>33250</v>
      </c>
      <c r="M1412" t="n">
        <v>45000</v>
      </c>
      <c r="N1412" t="n">
        <v>33</v>
      </c>
      <c r="O1412" t="n">
        <v>0.33</v>
      </c>
      <c r="P1412" t="n">
        <v>1</v>
      </c>
      <c r="Q1412" t="n">
        <v>0.03</v>
      </c>
      <c r="R1412" t="n">
        <v>1</v>
      </c>
      <c r="S1412" t="n">
        <v>2079</v>
      </c>
      <c r="T1412" t="n">
        <v>14</v>
      </c>
      <c r="U1412" t="n">
        <v>15</v>
      </c>
      <c r="V1412" t="n">
        <v>30</v>
      </c>
      <c r="W1412" t="n">
        <v>2</v>
      </c>
      <c r="X1412" t="n">
        <v>173.1601731601731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9412</v>
      </c>
      <c r="AG1412" t="n">
        <v>2194</v>
      </c>
      <c r="AH1412" t="inlineStr">
        <is>
          <t>PT. BINTANG MAS SURYA - PPN (JMB)</t>
        </is>
      </c>
      <c r="AI1412" t="n">
        <v>1638</v>
      </c>
      <c r="AJ1412" t="inlineStr">
        <is>
          <t>GLAD2GLOW</t>
        </is>
      </c>
      <c r="AK1412" t="n">
        <v>9</v>
      </c>
      <c r="AL1412" t="inlineStr">
        <is>
          <t>Miss Glam Jambi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"8809618369545"</f>
        <v/>
      </c>
      <c r="C1413" t="inlineStr">
        <is>
          <t>GLAD2GLOW Real Mugwort Clay Mask Salicylic Acid Acne Control 30gr</t>
        </is>
      </c>
      <c r="D1413" t="inlineStr">
        <is>
          <t>Miss Glam Jambi</t>
        </is>
      </c>
      <c r="E1413" t="n">
        <v>1</v>
      </c>
      <c r="F1413" t="n">
        <v>0.03</v>
      </c>
      <c r="G1413" t="n">
        <v>1</v>
      </c>
      <c r="H1413" t="n">
        <v>4</v>
      </c>
      <c r="I1413" t="n">
        <v>21</v>
      </c>
      <c r="J1413" t="n">
        <v>3</v>
      </c>
      <c r="K1413" t="n">
        <v>0</v>
      </c>
      <c r="L1413" t="n">
        <v>27201</v>
      </c>
      <c r="M1413" t="n">
        <v>34000</v>
      </c>
      <c r="N1413" t="n">
        <v>33</v>
      </c>
      <c r="O1413" t="n">
        <v>0.33</v>
      </c>
      <c r="P1413" t="n">
        <v>0</v>
      </c>
      <c r="Q1413" t="n">
        <v>0.03</v>
      </c>
      <c r="R1413" t="n">
        <v>1</v>
      </c>
      <c r="S1413" t="n">
        <v>1020</v>
      </c>
      <c r="T1413" t="n">
        <v>21</v>
      </c>
      <c r="U1413" t="n">
        <v>22</v>
      </c>
      <c r="V1413" t="n">
        <v>30</v>
      </c>
      <c r="W1413" t="n">
        <v>1</v>
      </c>
      <c r="X1413" t="n">
        <v>33.33333333333334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9412</v>
      </c>
      <c r="AG1413" t="n">
        <v>2194</v>
      </c>
      <c r="AH1413" t="inlineStr">
        <is>
          <t>PT. BINTANG MAS SURYA - PPN (JMB)</t>
        </is>
      </c>
      <c r="AI1413" t="n">
        <v>1638</v>
      </c>
      <c r="AJ1413" t="inlineStr">
        <is>
          <t>GLAD2GLOW</t>
        </is>
      </c>
      <c r="AK1413" t="n">
        <v>9</v>
      </c>
      <c r="AL1413" t="inlineStr">
        <is>
          <t>Miss Glam Jambi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"10300723233"</f>
        <v/>
      </c>
      <c r="C1414" t="inlineStr">
        <is>
          <t>GLAD2GLOW Sensitive Calming Moisturizer 30gr</t>
        </is>
      </c>
      <c r="D1414" t="inlineStr">
        <is>
          <t>Miss Glam Jambi</t>
        </is>
      </c>
      <c r="E1414" t="n">
        <v>8</v>
      </c>
      <c r="F1414" t="n">
        <v>0.1452</v>
      </c>
      <c r="G1414" t="n">
        <v>0.99</v>
      </c>
      <c r="H1414" t="n">
        <v>4</v>
      </c>
      <c r="I1414" t="n">
        <v>21</v>
      </c>
      <c r="J1414" t="n">
        <v>1</v>
      </c>
      <c r="K1414" t="n">
        <v>0</v>
      </c>
      <c r="L1414" t="n">
        <v>38251</v>
      </c>
      <c r="M1414" t="n">
        <v>45000</v>
      </c>
      <c r="N1414" t="n">
        <v>33</v>
      </c>
      <c r="O1414" t="n">
        <v>0.33</v>
      </c>
      <c r="P1414" t="n">
        <v>1</v>
      </c>
      <c r="Q1414" t="n">
        <v>0.15</v>
      </c>
      <c r="R1414" t="n">
        <v>1</v>
      </c>
      <c r="S1414" t="n">
        <v>6534</v>
      </c>
      <c r="T1414" t="n">
        <v>21</v>
      </c>
      <c r="U1414" t="n">
        <v>22</v>
      </c>
      <c r="V1414" t="n">
        <v>30</v>
      </c>
      <c r="W1414" t="n">
        <v>5</v>
      </c>
      <c r="X1414" t="n">
        <v>55.09641873278237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9412</v>
      </c>
      <c r="AG1414" t="n">
        <v>2194</v>
      </c>
      <c r="AH1414" t="inlineStr">
        <is>
          <t>PT. BINTANG MAS SURYA - PPN (JMB)</t>
        </is>
      </c>
      <c r="AI1414" t="n">
        <v>1638</v>
      </c>
      <c r="AJ1414" t="inlineStr">
        <is>
          <t>GLAD2GLOW</t>
        </is>
      </c>
      <c r="AK1414" t="n">
        <v>9</v>
      </c>
      <c r="AL1414" t="inlineStr">
        <is>
          <t>Miss Glam Jambi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"8809639407455"</f>
        <v/>
      </c>
      <c r="C1415" t="inlineStr">
        <is>
          <t>GLAD2GLOW Tremella Panthenol Sensitive Care Micellar Water 130 ml</t>
        </is>
      </c>
      <c r="D1415" t="inlineStr">
        <is>
          <t>Miss Glam Jambi</t>
        </is>
      </c>
      <c r="E1415" t="n">
        <v>4</v>
      </c>
      <c r="F1415" t="n">
        <v>0.1188</v>
      </c>
      <c r="G1415" t="n">
        <v>0.99</v>
      </c>
      <c r="H1415" t="n">
        <v>4</v>
      </c>
      <c r="I1415" t="n">
        <v>21</v>
      </c>
      <c r="J1415" t="n">
        <v>3</v>
      </c>
      <c r="K1415" t="n">
        <v>0</v>
      </c>
      <c r="L1415" t="n">
        <v>24650</v>
      </c>
      <c r="M1415" t="n">
        <v>31000</v>
      </c>
      <c r="N1415" t="n">
        <v>33</v>
      </c>
      <c r="O1415" t="n">
        <v>0.33</v>
      </c>
      <c r="P1415" t="n">
        <v>1</v>
      </c>
      <c r="Q1415" t="n">
        <v>0.14</v>
      </c>
      <c r="R1415" t="n">
        <v>1</v>
      </c>
      <c r="S1415" t="n">
        <v>3682.8</v>
      </c>
      <c r="T1415" t="n">
        <v>21</v>
      </c>
      <c r="U1415" t="n">
        <v>22</v>
      </c>
      <c r="V1415" t="n">
        <v>30</v>
      </c>
      <c r="W1415" t="n">
        <v>4</v>
      </c>
      <c r="X1415" t="n">
        <v>33.67003367003367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9412</v>
      </c>
      <c r="AG1415" t="n">
        <v>2194</v>
      </c>
      <c r="AH1415" t="inlineStr">
        <is>
          <t>PT. BINTANG MAS SURYA - PPN (JMB)</t>
        </is>
      </c>
      <c r="AI1415" t="n">
        <v>1638</v>
      </c>
      <c r="AJ1415" t="inlineStr">
        <is>
          <t>GLAD2GLOW</t>
        </is>
      </c>
      <c r="AK1415" t="n">
        <v>9</v>
      </c>
      <c r="AL1415" t="inlineStr">
        <is>
          <t>Miss Glam Jambi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"10100721421"</f>
        <v/>
      </c>
      <c r="C1416" t="inlineStr">
        <is>
          <t>GLAD2GLOW Tremella Panthenol Sensitive Care Micellar Water 300 ml</t>
        </is>
      </c>
      <c r="D1416" t="inlineStr">
        <is>
          <t>Miss Glam Jambi</t>
        </is>
      </c>
      <c r="E1416" t="n">
        <v>10</v>
      </c>
      <c r="F1416" t="n">
        <v>0.3069</v>
      </c>
      <c r="G1416" t="n">
        <v>1.32</v>
      </c>
      <c r="H1416" t="n">
        <v>4</v>
      </c>
      <c r="I1416" t="n">
        <v>21</v>
      </c>
      <c r="J1416" t="n">
        <v>1</v>
      </c>
      <c r="K1416" t="n">
        <v>0</v>
      </c>
      <c r="L1416" t="n">
        <v>41573</v>
      </c>
      <c r="M1416" t="n">
        <v>49000</v>
      </c>
      <c r="N1416" t="n">
        <v>33</v>
      </c>
      <c r="O1416" t="n">
        <v>0.33</v>
      </c>
      <c r="P1416" t="n">
        <v>1</v>
      </c>
      <c r="Q1416" t="n">
        <v>0.24</v>
      </c>
      <c r="R1416" t="n">
        <v>2</v>
      </c>
      <c r="S1416" t="n">
        <v>15038.1</v>
      </c>
      <c r="T1416" t="n">
        <v>27</v>
      </c>
      <c r="U1416" t="n">
        <v>29</v>
      </c>
      <c r="V1416" t="n">
        <v>30</v>
      </c>
      <c r="W1416" t="n">
        <v>10</v>
      </c>
      <c r="X1416" t="n">
        <v>32.58390355164548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9412</v>
      </c>
      <c r="AG1416" t="n">
        <v>2194</v>
      </c>
      <c r="AH1416" t="inlineStr">
        <is>
          <t>PT. BINTANG MAS SURYA - PPN (JMB)</t>
        </is>
      </c>
      <c r="AI1416" t="n">
        <v>1638</v>
      </c>
      <c r="AJ1416" t="inlineStr">
        <is>
          <t>GLAD2GLOW</t>
        </is>
      </c>
      <c r="AK1416" t="n">
        <v>9</v>
      </c>
      <c r="AL1416" t="inlineStr">
        <is>
          <t>Miss Glam Jambi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"101001111914"</f>
        <v/>
      </c>
      <c r="C1417" t="inlineStr">
        <is>
          <t>GLAD2GLOW Tremella Vita B5 Sensitive Calming Gel Cleanser 70ml</t>
        </is>
      </c>
      <c r="D1417" t="inlineStr">
        <is>
          <t>Miss Glam Jambi</t>
        </is>
      </c>
      <c r="E1417" t="n">
        <v>2</v>
      </c>
      <c r="F1417" t="n">
        <v>0.1617</v>
      </c>
      <c r="G1417" t="n">
        <v>0.99</v>
      </c>
      <c r="H1417" t="n">
        <v>4</v>
      </c>
      <c r="I1417" t="n">
        <v>21</v>
      </c>
      <c r="J1417" t="n">
        <v>1</v>
      </c>
      <c r="K1417" t="n">
        <v>1</v>
      </c>
      <c r="L1417" t="n">
        <v>33149</v>
      </c>
      <c r="M1417" t="n">
        <v>39000</v>
      </c>
      <c r="N1417" t="n">
        <v>33</v>
      </c>
      <c r="O1417" t="n">
        <v>0.33</v>
      </c>
      <c r="P1417" t="n">
        <v>1</v>
      </c>
      <c r="Q1417" t="n">
        <v>0.03</v>
      </c>
      <c r="R1417" t="n">
        <v>1</v>
      </c>
      <c r="S1417" t="n">
        <v>6306.3</v>
      </c>
      <c r="T1417" t="n">
        <v>21</v>
      </c>
      <c r="U1417" t="n">
        <v>22</v>
      </c>
      <c r="V1417" t="n">
        <v>30</v>
      </c>
      <c r="W1417" t="n">
        <v>5</v>
      </c>
      <c r="X1417" t="n">
        <v>12.36858379715522</v>
      </c>
      <c r="Y1417" t="n">
        <v>1</v>
      </c>
      <c r="Z1417" t="n">
        <v>2</v>
      </c>
      <c r="AA1417" t="n">
        <v>1</v>
      </c>
      <c r="AB1417" t="n">
        <v>1</v>
      </c>
      <c r="AC1417" t="n">
        <v>1</v>
      </c>
      <c r="AD1417" t="n">
        <v>33149</v>
      </c>
      <c r="AE1417" t="n">
        <v>33149</v>
      </c>
      <c r="AF1417" t="n">
        <v>9412</v>
      </c>
      <c r="AG1417" t="n">
        <v>2194</v>
      </c>
      <c r="AH1417" t="inlineStr">
        <is>
          <t>PT. BINTANG MAS SURYA - PPN (JMB)</t>
        </is>
      </c>
      <c r="AI1417" t="n">
        <v>1638</v>
      </c>
      <c r="AJ1417" t="inlineStr">
        <is>
          <t>GLAD2GLOW</t>
        </is>
      </c>
      <c r="AK1417" t="n">
        <v>9</v>
      </c>
      <c r="AL1417" t="inlineStr">
        <is>
          <t>Miss Glam Jambi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"30200427435"</f>
        <v/>
      </c>
      <c r="C1418" t="inlineStr">
        <is>
          <t>GLAD2GLOW Tropical Velvet Moist &amp; Smooth Body Serum 180ml</t>
        </is>
      </c>
      <c r="D1418" t="inlineStr">
        <is>
          <t>Miss Glam Jambi</t>
        </is>
      </c>
      <c r="E1418" t="n">
        <v>4</v>
      </c>
      <c r="F1418" t="n">
        <v>0.0495</v>
      </c>
      <c r="G1418" t="n">
        <v>0.66</v>
      </c>
      <c r="H1418" t="n">
        <v>4</v>
      </c>
      <c r="I1418" t="n">
        <v>21</v>
      </c>
      <c r="J1418" t="n">
        <v>1</v>
      </c>
      <c r="K1418" t="n">
        <v>0</v>
      </c>
      <c r="L1418" t="n">
        <v>41649</v>
      </c>
      <c r="M1418" t="n">
        <v>49000</v>
      </c>
      <c r="N1418" t="n">
        <v>33</v>
      </c>
      <c r="O1418" t="n">
        <v>0.33</v>
      </c>
      <c r="P1418" t="n">
        <v>1</v>
      </c>
      <c r="Q1418" t="n">
        <v>0.05</v>
      </c>
      <c r="R1418" t="n">
        <v>1</v>
      </c>
      <c r="S1418" t="n">
        <v>2425.5</v>
      </c>
      <c r="T1418" t="n">
        <v>14</v>
      </c>
      <c r="U1418" t="n">
        <v>15</v>
      </c>
      <c r="V1418" t="n">
        <v>30</v>
      </c>
      <c r="W1418" t="n">
        <v>2</v>
      </c>
      <c r="X1418" t="n">
        <v>80.8080808080808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9412</v>
      </c>
      <c r="AG1418" t="n">
        <v>2194</v>
      </c>
      <c r="AH1418" t="inlineStr">
        <is>
          <t>PT. BINTANG MAS SURYA - PPN (JMB)</t>
        </is>
      </c>
      <c r="AI1418" t="n">
        <v>1638</v>
      </c>
      <c r="AJ1418" t="inlineStr">
        <is>
          <t>GLAD2GLOW</t>
        </is>
      </c>
      <c r="AK1418" t="n">
        <v>9</v>
      </c>
      <c r="AL1418" t="inlineStr">
        <is>
          <t>Miss Glam Jambi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"30200425959"</f>
        <v/>
      </c>
      <c r="C1419" t="inlineStr">
        <is>
          <t>GLAD2GLOW Tropical Velvet Moist &amp; Smooth Body Serum 300ml</t>
        </is>
      </c>
      <c r="D1419" t="inlineStr">
        <is>
          <t>Miss Glam Jambi</t>
        </is>
      </c>
      <c r="E1419" t="n">
        <v>5</v>
      </c>
      <c r="F1419" t="n">
        <v>0.0165</v>
      </c>
      <c r="G1419" t="n">
        <v>0.33</v>
      </c>
      <c r="H1419" t="n">
        <v>4</v>
      </c>
      <c r="I1419" t="n">
        <v>21</v>
      </c>
      <c r="J1419" t="n">
        <v>1</v>
      </c>
      <c r="K1419" t="n">
        <v>0</v>
      </c>
      <c r="L1419" t="n">
        <v>58649</v>
      </c>
      <c r="M1419" t="n">
        <v>69000</v>
      </c>
      <c r="N1419" t="n">
        <v>33</v>
      </c>
      <c r="O1419" t="n">
        <v>0.33</v>
      </c>
      <c r="P1419" t="n">
        <v>1</v>
      </c>
      <c r="Q1419" t="n">
        <v>0.05</v>
      </c>
      <c r="R1419" t="n">
        <v>1</v>
      </c>
      <c r="S1419" t="n">
        <v>1138.5</v>
      </c>
      <c r="T1419" t="n">
        <v>7</v>
      </c>
      <c r="U1419" t="n">
        <v>8</v>
      </c>
      <c r="V1419" t="n">
        <v>30</v>
      </c>
      <c r="W1419" t="n">
        <v>1</v>
      </c>
      <c r="X1419" t="n">
        <v>303.030303030303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9412</v>
      </c>
      <c r="AG1419" t="n">
        <v>2194</v>
      </c>
      <c r="AH1419" t="inlineStr">
        <is>
          <t>PT. BINTANG MAS SURYA - PPN (JMB)</t>
        </is>
      </c>
      <c r="AI1419" t="n">
        <v>1638</v>
      </c>
      <c r="AJ1419" t="inlineStr">
        <is>
          <t>GLAD2GLOW</t>
        </is>
      </c>
      <c r="AK1419" t="n">
        <v>9</v>
      </c>
      <c r="AL1419" t="inlineStr">
        <is>
          <t>Miss Glam Jambi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"8809685004578"</f>
        <v/>
      </c>
      <c r="C1420" t="inlineStr">
        <is>
          <t>GLAD2GLOW Volcano 3D Acid Pore Clay Mask 30gr</t>
        </is>
      </c>
      <c r="D1420" t="inlineStr">
        <is>
          <t>Miss Glam Jambi</t>
        </is>
      </c>
      <c r="E1420" t="n">
        <v>3</v>
      </c>
      <c r="F1420" t="n">
        <v>0.066</v>
      </c>
      <c r="G1420" t="n">
        <v>0.66</v>
      </c>
      <c r="H1420" t="n">
        <v>4</v>
      </c>
      <c r="I1420" t="n">
        <v>21</v>
      </c>
      <c r="J1420" t="n">
        <v>3</v>
      </c>
      <c r="K1420" t="n">
        <v>0</v>
      </c>
      <c r="L1420" t="n">
        <v>27201</v>
      </c>
      <c r="M1420" t="n">
        <v>34000</v>
      </c>
      <c r="N1420" t="n">
        <v>33</v>
      </c>
      <c r="O1420" t="n">
        <v>0.33</v>
      </c>
      <c r="P1420" t="n">
        <v>1</v>
      </c>
      <c r="Q1420" t="n">
        <v>0.02</v>
      </c>
      <c r="R1420" t="n">
        <v>0</v>
      </c>
      <c r="S1420" t="n">
        <v>2244</v>
      </c>
      <c r="T1420" t="n">
        <v>14</v>
      </c>
      <c r="U1420" t="n">
        <v>15</v>
      </c>
      <c r="V1420" t="n">
        <v>30</v>
      </c>
      <c r="W1420" t="n">
        <v>2</v>
      </c>
      <c r="X1420" t="n">
        <v>45.45454545454545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9412</v>
      </c>
      <c r="AG1420" t="n">
        <v>2194</v>
      </c>
      <c r="AH1420" t="inlineStr">
        <is>
          <t>PT. BINTANG MAS SURYA - PPN (JMB)</t>
        </is>
      </c>
      <c r="AI1420" t="n">
        <v>1638</v>
      </c>
      <c r="AJ1420" t="inlineStr">
        <is>
          <t>GLAD2GLOW</t>
        </is>
      </c>
      <c r="AK1420" t="n">
        <v>9</v>
      </c>
      <c r="AL1420" t="inlineStr">
        <is>
          <t>Miss Glam Jambi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"8809613976489"</f>
        <v/>
      </c>
      <c r="C1421" t="inlineStr">
        <is>
          <t>GLAD2GLOW Volcano 3D Acid Pore Clay Stick 25gr</t>
        </is>
      </c>
      <c r="D1421" t="inlineStr">
        <is>
          <t>Miss Glam Jambi</t>
        </is>
      </c>
      <c r="E1421" t="n">
        <v>5</v>
      </c>
      <c r="F1421" t="n">
        <v>0.6698999999999999</v>
      </c>
      <c r="G1421" t="n">
        <v>1.98</v>
      </c>
      <c r="H1421" t="n">
        <v>4</v>
      </c>
      <c r="I1421" t="n">
        <v>21</v>
      </c>
      <c r="J1421" t="n">
        <v>3</v>
      </c>
      <c r="K1421" t="n">
        <v>6</v>
      </c>
      <c r="L1421" t="n">
        <v>38251</v>
      </c>
      <c r="M1421" t="n">
        <v>45000</v>
      </c>
      <c r="N1421" t="n">
        <v>33</v>
      </c>
      <c r="O1421" t="n">
        <v>0.33</v>
      </c>
      <c r="P1421" t="n">
        <v>1</v>
      </c>
      <c r="Q1421" t="n">
        <v>0.31</v>
      </c>
      <c r="R1421" t="n">
        <v>3</v>
      </c>
      <c r="S1421" t="n">
        <v>30145.5</v>
      </c>
      <c r="T1421" t="n">
        <v>39</v>
      </c>
      <c r="U1421" t="n">
        <v>42</v>
      </c>
      <c r="V1421" t="n">
        <v>30</v>
      </c>
      <c r="W1421" t="n">
        <v>21</v>
      </c>
      <c r="X1421" t="n">
        <v>7.463800567248843</v>
      </c>
      <c r="Y1421" t="n">
        <v>1</v>
      </c>
      <c r="Z1421" t="n">
        <v>10</v>
      </c>
      <c r="AA1421" t="n">
        <v>9</v>
      </c>
      <c r="AB1421" t="n">
        <v>1</v>
      </c>
      <c r="AC1421" t="n">
        <v>3</v>
      </c>
      <c r="AD1421" t="n">
        <v>344259</v>
      </c>
      <c r="AE1421" t="n">
        <v>114753</v>
      </c>
      <c r="AF1421" t="n">
        <v>9412</v>
      </c>
      <c r="AG1421" t="n">
        <v>2194</v>
      </c>
      <c r="AH1421" t="inlineStr">
        <is>
          <t>PT. BINTANG MAS SURYA - PPN (JMB)</t>
        </is>
      </c>
      <c r="AI1421" t="n">
        <v>1638</v>
      </c>
      <c r="AJ1421" t="inlineStr">
        <is>
          <t>GLAD2GLOW</t>
        </is>
      </c>
      <c r="AK1421" t="n">
        <v>9</v>
      </c>
      <c r="AL1421" t="inlineStr">
        <is>
          <t>Miss Glam Jambi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"10300613627"</f>
        <v/>
      </c>
      <c r="C1422" t="inlineStr">
        <is>
          <t>GLAD2GLOW Yuja 377 Dark Spot Moisturizer 100ml</t>
        </is>
      </c>
      <c r="D1422" t="inlineStr">
        <is>
          <t>Miss Glam Jambi</t>
        </is>
      </c>
      <c r="E1422" t="n">
        <v>4</v>
      </c>
      <c r="F1422" t="n">
        <v>0.0264</v>
      </c>
      <c r="G1422" t="n">
        <v>0.66</v>
      </c>
      <c r="H1422" t="n">
        <v>4</v>
      </c>
      <c r="I1422" t="n">
        <v>21</v>
      </c>
      <c r="J1422" t="n">
        <v>1</v>
      </c>
      <c r="K1422" t="n">
        <v>0</v>
      </c>
      <c r="L1422" t="n">
        <v>92649</v>
      </c>
      <c r="M1422" t="n">
        <v>109000</v>
      </c>
      <c r="N1422" t="n">
        <v>33</v>
      </c>
      <c r="O1422" t="n">
        <v>0.33</v>
      </c>
      <c r="P1422" t="n">
        <v>1</v>
      </c>
      <c r="Q1422" t="n">
        <v>0.03</v>
      </c>
      <c r="R1422" t="n">
        <v>1</v>
      </c>
      <c r="S1422" t="n">
        <v>2877.6</v>
      </c>
      <c r="T1422" t="n">
        <v>14</v>
      </c>
      <c r="U1422" t="n">
        <v>15</v>
      </c>
      <c r="V1422" t="n">
        <v>30</v>
      </c>
      <c r="W1422" t="n">
        <v>1</v>
      </c>
      <c r="X1422" t="n">
        <v>151.5151515151515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9412</v>
      </c>
      <c r="AG1422" t="n">
        <v>2194</v>
      </c>
      <c r="AH1422" t="inlineStr">
        <is>
          <t>PT. BINTANG MAS SURYA - PPN (JMB)</t>
        </is>
      </c>
      <c r="AI1422" t="n">
        <v>1638</v>
      </c>
      <c r="AJ1422" t="inlineStr">
        <is>
          <t>GLAD2GLOW</t>
        </is>
      </c>
      <c r="AK1422" t="n">
        <v>9</v>
      </c>
      <c r="AL1422" t="inlineStr">
        <is>
          <t>Miss Glam Jambi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"8809650176491"</f>
        <v/>
      </c>
      <c r="C1423" t="inlineStr">
        <is>
          <t>GLAD2GLOW Yuja Symwhite 377 Dark Spot Moisturizer 30ml</t>
        </is>
      </c>
      <c r="D1423" t="inlineStr">
        <is>
          <t>Miss Glam Jambi</t>
        </is>
      </c>
      <c r="E1423" t="n">
        <v>15</v>
      </c>
      <c r="F1423" t="n">
        <v>1.2738</v>
      </c>
      <c r="G1423" t="n">
        <v>3.3</v>
      </c>
      <c r="H1423" t="n">
        <v>4</v>
      </c>
      <c r="I1423" t="n">
        <v>21</v>
      </c>
      <c r="J1423" t="n">
        <v>3</v>
      </c>
      <c r="K1423" t="n">
        <v>12</v>
      </c>
      <c r="L1423" t="n">
        <v>40130</v>
      </c>
      <c r="M1423" t="n">
        <v>49000</v>
      </c>
      <c r="N1423" t="n">
        <v>33</v>
      </c>
      <c r="O1423" t="n">
        <v>0.33</v>
      </c>
      <c r="P1423" t="n">
        <v>1</v>
      </c>
      <c r="Q1423" t="n">
        <v>0.63</v>
      </c>
      <c r="R1423" t="n">
        <v>5</v>
      </c>
      <c r="S1423" t="n">
        <v>62416.2</v>
      </c>
      <c r="T1423" t="n">
        <v>65</v>
      </c>
      <c r="U1423" t="n">
        <v>71</v>
      </c>
      <c r="V1423" t="n">
        <v>30</v>
      </c>
      <c r="W1423" t="n">
        <v>39</v>
      </c>
      <c r="X1423" t="n">
        <v>11.77578897786152</v>
      </c>
      <c r="Y1423" t="n">
        <v>1</v>
      </c>
      <c r="Z1423" t="n">
        <v>12</v>
      </c>
      <c r="AA1423" t="n">
        <v>11</v>
      </c>
      <c r="AB1423" t="n">
        <v>1</v>
      </c>
      <c r="AC1423" t="n">
        <v>3</v>
      </c>
      <c r="AD1423" t="n">
        <v>441430</v>
      </c>
      <c r="AE1423" t="n">
        <v>120390</v>
      </c>
      <c r="AF1423" t="n">
        <v>9412</v>
      </c>
      <c r="AG1423" t="n">
        <v>2194</v>
      </c>
      <c r="AH1423" t="inlineStr">
        <is>
          <t>PT. BINTANG MAS SURYA - PPN (JMB)</t>
        </is>
      </c>
      <c r="AI1423" t="n">
        <v>1638</v>
      </c>
      <c r="AJ1423" t="inlineStr">
        <is>
          <t>GLAD2GLOW</t>
        </is>
      </c>
      <c r="AK1423" t="n">
        <v>9</v>
      </c>
      <c r="AL1423" t="inlineStr">
        <is>
          <t>Miss Glam Jambi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"8809650138963"</f>
        <v/>
      </c>
      <c r="C1424" t="inlineStr">
        <is>
          <t>GLAD2GLOW Yuja Symwhite 377 Dark Spot Serum 17ml</t>
        </is>
      </c>
      <c r="D1424" t="inlineStr">
        <is>
          <t>Miss Glam Jambi</t>
        </is>
      </c>
      <c r="E1424" t="n">
        <v>23</v>
      </c>
      <c r="F1424" t="n">
        <v>0.7425</v>
      </c>
      <c r="G1424" t="n">
        <v>1.98</v>
      </c>
      <c r="H1424" t="n">
        <v>4</v>
      </c>
      <c r="I1424" t="n">
        <v>21</v>
      </c>
      <c r="J1424" t="n">
        <v>3</v>
      </c>
      <c r="K1424" t="n">
        <v>0</v>
      </c>
      <c r="L1424" t="n">
        <v>33150</v>
      </c>
      <c r="M1424" t="n">
        <v>49000</v>
      </c>
      <c r="N1424" t="n">
        <v>33</v>
      </c>
      <c r="O1424" t="n">
        <v>0.33</v>
      </c>
      <c r="P1424" t="n">
        <v>1</v>
      </c>
      <c r="Q1424" t="n">
        <v>0.49</v>
      </c>
      <c r="R1424" t="n">
        <v>3</v>
      </c>
      <c r="S1424" t="n">
        <v>36382.5</v>
      </c>
      <c r="T1424" t="n">
        <v>39</v>
      </c>
      <c r="U1424" t="n">
        <v>42</v>
      </c>
      <c r="V1424" t="n">
        <v>30</v>
      </c>
      <c r="W1424" t="n">
        <v>23</v>
      </c>
      <c r="X1424" t="n">
        <v>30.97643097643098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9412</v>
      </c>
      <c r="AG1424" t="n">
        <v>2194</v>
      </c>
      <c r="AH1424" t="inlineStr">
        <is>
          <t>PT. BINTANG MAS SURYA - PPN (JMB)</t>
        </is>
      </c>
      <c r="AI1424" t="n">
        <v>1638</v>
      </c>
      <c r="AJ1424" t="inlineStr">
        <is>
          <t>GLAD2GLOW</t>
        </is>
      </c>
      <c r="AK1424" t="n">
        <v>9</v>
      </c>
      <c r="AL1424" t="inlineStr">
        <is>
          <t>Miss Glam Jambi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"8809639407981"</f>
        <v/>
      </c>
      <c r="C1425" t="inlineStr">
        <is>
          <t>GLAD2GLOW Yuja Vitamin C Glow Boosting Micellar Water 130ml</t>
        </is>
      </c>
      <c r="D1425" t="inlineStr">
        <is>
          <t>Miss Glam Jambi</t>
        </is>
      </c>
      <c r="E1425" t="n">
        <v>0</v>
      </c>
      <c r="F1425" t="n">
        <v>0.006600000000000001</v>
      </c>
      <c r="G1425" t="n">
        <v>0.33</v>
      </c>
      <c r="H1425" t="n">
        <v>4</v>
      </c>
      <c r="I1425" t="n">
        <v>21</v>
      </c>
      <c r="J1425" t="n">
        <v>3</v>
      </c>
      <c r="K1425" t="n">
        <v>0</v>
      </c>
      <c r="L1425" t="n">
        <v>24650</v>
      </c>
      <c r="M1425" t="n">
        <v>31000</v>
      </c>
      <c r="N1425" t="n">
        <v>33</v>
      </c>
      <c r="O1425" t="n">
        <v>0.33</v>
      </c>
      <c r="P1425" t="n">
        <v>1</v>
      </c>
      <c r="Q1425" t="n">
        <v>0.02</v>
      </c>
      <c r="R1425" t="n">
        <v>1</v>
      </c>
      <c r="S1425" t="n">
        <v>204.6</v>
      </c>
      <c r="T1425" t="n">
        <v>7</v>
      </c>
      <c r="U1425" t="n">
        <v>8</v>
      </c>
      <c r="V1425" t="n">
        <v>30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n">
        <v>0</v>
      </c>
      <c r="AC1425" t="n">
        <v>0</v>
      </c>
      <c r="AD1425" t="n">
        <v>24650</v>
      </c>
      <c r="AE1425" t="n">
        <v>0</v>
      </c>
      <c r="AF1425" t="n">
        <v>9412</v>
      </c>
      <c r="AG1425" t="n">
        <v>2194</v>
      </c>
      <c r="AH1425" t="inlineStr">
        <is>
          <t>PT. BINTANG MAS SURYA - PPN (JMB)</t>
        </is>
      </c>
      <c r="AI1425" t="n">
        <v>1638</v>
      </c>
      <c r="AJ1425" t="inlineStr">
        <is>
          <t>GLAD2GLOW</t>
        </is>
      </c>
      <c r="AK1425" t="n">
        <v>9</v>
      </c>
      <c r="AL1425" t="inlineStr">
        <is>
          <t>Miss Glam Jambi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"10100721447"</f>
        <v/>
      </c>
      <c r="C1426" t="inlineStr">
        <is>
          <t>GLAD2GLOW Yuja Vitamin C Glow Boosting Micellar Water 300ml</t>
        </is>
      </c>
      <c r="D1426" t="inlineStr">
        <is>
          <t>Miss Glam Jambi</t>
        </is>
      </c>
      <c r="E1426" t="n">
        <v>0</v>
      </c>
      <c r="F1426" t="n">
        <v>0.009900000000000001</v>
      </c>
      <c r="G1426" t="n">
        <v>0.33</v>
      </c>
      <c r="H1426" t="n">
        <v>4</v>
      </c>
      <c r="I1426" t="n">
        <v>21</v>
      </c>
      <c r="J1426" t="n">
        <v>1</v>
      </c>
      <c r="K1426" t="n">
        <v>10</v>
      </c>
      <c r="L1426" t="n">
        <v>30821</v>
      </c>
      <c r="M1426" t="n">
        <v>49000</v>
      </c>
      <c r="N1426" t="n">
        <v>33</v>
      </c>
      <c r="O1426" t="n">
        <v>0.33</v>
      </c>
      <c r="P1426" t="n">
        <v>1</v>
      </c>
      <c r="Q1426" t="n">
        <v>0.07000000000000001</v>
      </c>
      <c r="R1426" t="n">
        <v>1</v>
      </c>
      <c r="S1426" t="n">
        <v>485.1</v>
      </c>
      <c r="T1426" t="n">
        <v>7</v>
      </c>
      <c r="U1426" t="n">
        <v>8</v>
      </c>
      <c r="V1426" t="n">
        <v>30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9412</v>
      </c>
      <c r="AG1426" t="n">
        <v>2194</v>
      </c>
      <c r="AH1426" t="inlineStr">
        <is>
          <t>PT. BINTANG MAS SURYA - PPN (JMB)</t>
        </is>
      </c>
      <c r="AI1426" t="n">
        <v>1638</v>
      </c>
      <c r="AJ1426" t="inlineStr">
        <is>
          <t>GLAD2GLOW</t>
        </is>
      </c>
      <c r="AK1426" t="n">
        <v>9</v>
      </c>
      <c r="AL1426" t="inlineStr">
        <is>
          <t>Miss Glam Jambi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"10200416241"</f>
        <v/>
      </c>
      <c r="C1427" t="inlineStr">
        <is>
          <t>GLAD2GLOW Yuzu Aha Blackhead Exfoliating Cleanser 70gr</t>
        </is>
      </c>
      <c r="D1427" t="inlineStr">
        <is>
          <t>Miss Glam Jambi</t>
        </is>
      </c>
      <c r="E1427" t="n">
        <v>2</v>
      </c>
      <c r="F1427" t="n">
        <v>0.08</v>
      </c>
      <c r="G1427" t="n">
        <v>1</v>
      </c>
      <c r="H1427" t="n">
        <v>4</v>
      </c>
      <c r="I1427" t="n">
        <v>21</v>
      </c>
      <c r="J1427" t="n">
        <v>1</v>
      </c>
      <c r="K1427" t="n">
        <v>1</v>
      </c>
      <c r="L1427" t="n">
        <v>31750</v>
      </c>
      <c r="M1427" t="n">
        <v>37500</v>
      </c>
      <c r="N1427" t="n">
        <v>33</v>
      </c>
      <c r="O1427" t="n">
        <v>0.33</v>
      </c>
      <c r="P1427" t="n">
        <v>0</v>
      </c>
      <c r="Q1427" t="n">
        <v>0.08</v>
      </c>
      <c r="R1427" t="n">
        <v>1</v>
      </c>
      <c r="S1427" t="n">
        <v>3000</v>
      </c>
      <c r="T1427" t="n">
        <v>21</v>
      </c>
      <c r="U1427" t="n">
        <v>22</v>
      </c>
      <c r="V1427" t="n">
        <v>30</v>
      </c>
      <c r="W1427" t="n">
        <v>3</v>
      </c>
      <c r="X1427" t="n">
        <v>25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9412</v>
      </c>
      <c r="AG1427" t="n">
        <v>2194</v>
      </c>
      <c r="AH1427" t="inlineStr">
        <is>
          <t>PT. BINTANG MAS SURYA - PPN (JMB)</t>
        </is>
      </c>
      <c r="AI1427" t="n">
        <v>1638</v>
      </c>
      <c r="AJ1427" t="inlineStr">
        <is>
          <t>GLAD2GLOW</t>
        </is>
      </c>
      <c r="AK1427" t="n">
        <v>9</v>
      </c>
      <c r="AL1427" t="inlineStr">
        <is>
          <t>Miss Glam Jambi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GLAMFIX</t>
        </is>
      </c>
      <c r="B1428" s="2">
        <f>"8991748003854"</f>
        <v/>
      </c>
      <c r="C1428" t="inlineStr">
        <is>
          <t>GLAMFIX  Beauty Sponge Lemon</t>
        </is>
      </c>
      <c r="D1428" t="inlineStr">
        <is>
          <t>Miss Glam Jambi</t>
        </is>
      </c>
      <c r="E1428" t="n">
        <v>27</v>
      </c>
      <c r="F1428" t="n">
        <v>0.1287</v>
      </c>
      <c r="G1428" t="n">
        <v>0.66</v>
      </c>
      <c r="H1428" t="n">
        <v>3</v>
      </c>
      <c r="I1428" t="n">
        <v>11</v>
      </c>
      <c r="J1428" t="n">
        <v>3</v>
      </c>
      <c r="K1428" t="n">
        <v>0</v>
      </c>
      <c r="L1428" t="n">
        <v>14320</v>
      </c>
      <c r="M1428" t="n">
        <v>17900</v>
      </c>
      <c r="N1428" t="n">
        <v>33</v>
      </c>
      <c r="O1428" t="n">
        <v>0.33</v>
      </c>
      <c r="P1428" t="n">
        <v>1</v>
      </c>
      <c r="Q1428" t="n">
        <v>0.37</v>
      </c>
      <c r="R1428" t="n">
        <v>4</v>
      </c>
      <c r="S1428" t="n">
        <v>2303.73</v>
      </c>
      <c r="T1428" t="n">
        <v>7</v>
      </c>
      <c r="U1428" t="n">
        <v>8</v>
      </c>
      <c r="V1428" t="n">
        <v>30</v>
      </c>
      <c r="W1428" t="n">
        <v>4</v>
      </c>
      <c r="X1428" t="n">
        <v>209.7902097902098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10367</v>
      </c>
      <c r="AG1428" t="n">
        <v>170</v>
      </c>
      <c r="AH1428" t="inlineStr">
        <is>
          <t>PT. JALUR MANDIRI UTAMA - PPN (PDG)</t>
        </is>
      </c>
      <c r="AI1428" t="n">
        <v>487</v>
      </c>
      <c r="AJ1428" t="inlineStr">
        <is>
          <t>GLAMFIX</t>
        </is>
      </c>
      <c r="AK1428" t="n">
        <v>9</v>
      </c>
      <c r="AL1428" t="inlineStr">
        <is>
          <t>Miss Glam Jambi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GLAMFIX</t>
        </is>
      </c>
      <c r="B1429" s="2">
        <f>"8859588112184"</f>
        <v/>
      </c>
      <c r="C1429" t="inlineStr">
        <is>
          <t>GLAMFIX Basic Compact Sponge Circle</t>
        </is>
      </c>
      <c r="D1429" t="inlineStr">
        <is>
          <t>Miss Glam Jambi</t>
        </is>
      </c>
      <c r="E1429" t="n">
        <v>8</v>
      </c>
      <c r="F1429" t="n">
        <v>0.3399</v>
      </c>
      <c r="G1429" t="n">
        <v>2.64</v>
      </c>
      <c r="H1429" t="n">
        <v>3</v>
      </c>
      <c r="I1429" t="n">
        <v>11</v>
      </c>
      <c r="J1429" t="n">
        <v>3</v>
      </c>
      <c r="K1429" t="n">
        <v>3</v>
      </c>
      <c r="L1429" t="n">
        <v>8720</v>
      </c>
      <c r="M1429" t="n">
        <v>10900</v>
      </c>
      <c r="N1429" t="n">
        <v>33</v>
      </c>
      <c r="O1429" t="n">
        <v>0.33</v>
      </c>
      <c r="P1429" t="n">
        <v>1</v>
      </c>
      <c r="Q1429" t="n">
        <v>0.24</v>
      </c>
      <c r="R1429" t="n">
        <v>1</v>
      </c>
      <c r="S1429" t="n">
        <v>3704.91</v>
      </c>
      <c r="T1429" t="n">
        <v>29</v>
      </c>
      <c r="U1429" t="n">
        <v>31</v>
      </c>
      <c r="V1429" t="n">
        <v>30</v>
      </c>
      <c r="W1429" t="n">
        <v>11</v>
      </c>
      <c r="X1429" t="n">
        <v>23.53633421594586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10367</v>
      </c>
      <c r="AG1429" t="n">
        <v>170</v>
      </c>
      <c r="AH1429" t="inlineStr">
        <is>
          <t>PT. JALUR MANDIRI UTAMA - PPN (PDG)</t>
        </is>
      </c>
      <c r="AI1429" t="n">
        <v>487</v>
      </c>
      <c r="AJ1429" t="inlineStr">
        <is>
          <t>GLAMFIX</t>
        </is>
      </c>
      <c r="AK1429" t="n">
        <v>9</v>
      </c>
      <c r="AL1429" t="inlineStr">
        <is>
          <t>Miss Glam Jambi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GLAMFIX</t>
        </is>
      </c>
      <c r="B1430" s="2">
        <f>"8859588112177"</f>
        <v/>
      </c>
      <c r="C1430" t="inlineStr">
        <is>
          <t>GLAMFIX Basic Compact Sponge Square</t>
        </is>
      </c>
      <c r="D1430" t="inlineStr">
        <is>
          <t>Miss Glam Jambi</t>
        </is>
      </c>
      <c r="E1430" t="n">
        <v>3</v>
      </c>
      <c r="F1430" t="n">
        <v>0.5148</v>
      </c>
      <c r="G1430" t="n">
        <v>1.98</v>
      </c>
      <c r="H1430" t="n">
        <v>3</v>
      </c>
      <c r="I1430" t="n">
        <v>11</v>
      </c>
      <c r="J1430" t="n">
        <v>3</v>
      </c>
      <c r="K1430" t="n">
        <v>10</v>
      </c>
      <c r="L1430" t="n">
        <v>8720</v>
      </c>
      <c r="M1430" t="n">
        <v>10900</v>
      </c>
      <c r="N1430" t="n">
        <v>33</v>
      </c>
      <c r="O1430" t="n">
        <v>0.33</v>
      </c>
      <c r="P1430" t="n">
        <v>1</v>
      </c>
      <c r="Q1430" t="n">
        <v>0.17</v>
      </c>
      <c r="R1430" t="n">
        <v>2</v>
      </c>
      <c r="S1430" t="n">
        <v>5611.320000000001</v>
      </c>
      <c r="T1430" t="n">
        <v>21</v>
      </c>
      <c r="U1430" t="n">
        <v>23</v>
      </c>
      <c r="V1430" t="n">
        <v>30</v>
      </c>
      <c r="W1430" t="n">
        <v>16</v>
      </c>
      <c r="X1430" t="n">
        <v>5.827505827505827</v>
      </c>
      <c r="Y1430" t="n">
        <v>1</v>
      </c>
      <c r="Z1430" t="n">
        <v>3</v>
      </c>
      <c r="AA1430" t="n">
        <v>2</v>
      </c>
      <c r="AB1430" t="n">
        <v>1</v>
      </c>
      <c r="AC1430" t="n">
        <v>3</v>
      </c>
      <c r="AD1430" t="n">
        <v>17440</v>
      </c>
      <c r="AE1430" t="n">
        <v>26160</v>
      </c>
      <c r="AF1430" t="n">
        <v>10367</v>
      </c>
      <c r="AG1430" t="n">
        <v>170</v>
      </c>
      <c r="AH1430" t="inlineStr">
        <is>
          <t>PT. JALUR MANDIRI UTAMA - PPN (PDG)</t>
        </is>
      </c>
      <c r="AI1430" t="n">
        <v>487</v>
      </c>
      <c r="AJ1430" t="inlineStr">
        <is>
          <t>GLAMFIX</t>
        </is>
      </c>
      <c r="AK1430" t="n">
        <v>9</v>
      </c>
      <c r="AL1430" t="inlineStr">
        <is>
          <t>Miss Glam Jambi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GLAMFIX</t>
        </is>
      </c>
      <c r="B1431" s="2">
        <f>"8991748003861"</f>
        <v/>
      </c>
      <c r="C1431" t="inlineStr">
        <is>
          <t>GLAMFIX Beauty Sponge Peachy</t>
        </is>
      </c>
      <c r="D1431" t="inlineStr">
        <is>
          <t>Miss Glam Jambi</t>
        </is>
      </c>
      <c r="E1431" t="n">
        <v>9</v>
      </c>
      <c r="F1431" t="n">
        <v>0.08910000000000001</v>
      </c>
      <c r="G1431" t="n">
        <v>0.66</v>
      </c>
      <c r="H1431" t="n">
        <v>3</v>
      </c>
      <c r="I1431" t="n">
        <v>11</v>
      </c>
      <c r="J1431" t="n">
        <v>3</v>
      </c>
      <c r="K1431" t="n">
        <v>0</v>
      </c>
      <c r="L1431" t="n">
        <v>14320</v>
      </c>
      <c r="M1431" t="n">
        <v>17900</v>
      </c>
      <c r="N1431" t="n">
        <v>33</v>
      </c>
      <c r="O1431" t="n">
        <v>0.33</v>
      </c>
      <c r="P1431" t="n">
        <v>1</v>
      </c>
      <c r="Q1431" t="n">
        <v>0.39</v>
      </c>
      <c r="R1431" t="n">
        <v>2</v>
      </c>
      <c r="S1431" t="n">
        <v>1594.89</v>
      </c>
      <c r="T1431" t="n">
        <v>7</v>
      </c>
      <c r="U1431" t="n">
        <v>8</v>
      </c>
      <c r="V1431" t="n">
        <v>30</v>
      </c>
      <c r="W1431" t="n">
        <v>3</v>
      </c>
      <c r="X1431" t="n">
        <v>101.010101010101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10367</v>
      </c>
      <c r="AG1431" t="n">
        <v>170</v>
      </c>
      <c r="AH1431" t="inlineStr">
        <is>
          <t>PT. JALUR MANDIRI UTAMA - PPN (PDG)</t>
        </is>
      </c>
      <c r="AI1431" t="n">
        <v>487</v>
      </c>
      <c r="AJ1431" t="inlineStr">
        <is>
          <t>GLAMFIX</t>
        </is>
      </c>
      <c r="AK1431" t="n">
        <v>9</v>
      </c>
      <c r="AL1431" t="inlineStr">
        <is>
          <t>Miss Glam Jambi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GLAMFIX</t>
        </is>
      </c>
      <c r="B1432" s="2">
        <f>"8997227895774"</f>
        <v/>
      </c>
      <c r="C1432" t="inlineStr">
        <is>
          <t>GLAMFIX Camelia Loose Powder Puff</t>
        </is>
      </c>
      <c r="D1432" t="inlineStr">
        <is>
          <t>Miss Glam Jambi</t>
        </is>
      </c>
      <c r="E1432" t="n">
        <v>5</v>
      </c>
      <c r="F1432" t="n">
        <v>0.7062</v>
      </c>
      <c r="G1432" t="n">
        <v>2.97</v>
      </c>
      <c r="H1432" t="n">
        <v>3</v>
      </c>
      <c r="I1432" t="n">
        <v>11</v>
      </c>
      <c r="J1432" t="n">
        <v>3</v>
      </c>
      <c r="K1432" t="n">
        <v>14</v>
      </c>
      <c r="L1432" t="n">
        <v>7920</v>
      </c>
      <c r="M1432" t="n">
        <v>9900</v>
      </c>
      <c r="N1432" t="n">
        <v>33</v>
      </c>
      <c r="O1432" t="n">
        <v>0.33</v>
      </c>
      <c r="P1432" t="n">
        <v>1</v>
      </c>
      <c r="Q1432" t="n">
        <v>0.29</v>
      </c>
      <c r="R1432" t="n">
        <v>3</v>
      </c>
      <c r="S1432" t="n">
        <v>6991.38</v>
      </c>
      <c r="T1432" t="n">
        <v>31</v>
      </c>
      <c r="U1432" t="n">
        <v>34</v>
      </c>
      <c r="V1432" t="n">
        <v>30</v>
      </c>
      <c r="W1432" t="n">
        <v>22</v>
      </c>
      <c r="X1432" t="n">
        <v>7.080147267063154</v>
      </c>
      <c r="Y1432" t="n">
        <v>1</v>
      </c>
      <c r="Z1432" t="n">
        <v>3</v>
      </c>
      <c r="AA1432" t="n">
        <v>2</v>
      </c>
      <c r="AB1432" t="n">
        <v>1</v>
      </c>
      <c r="AC1432" t="n">
        <v>3</v>
      </c>
      <c r="AD1432" t="n">
        <v>15840</v>
      </c>
      <c r="AE1432" t="n">
        <v>23760</v>
      </c>
      <c r="AF1432" t="n">
        <v>10367</v>
      </c>
      <c r="AG1432" t="n">
        <v>170</v>
      </c>
      <c r="AH1432" t="inlineStr">
        <is>
          <t>PT. JALUR MANDIRI UTAMA - PPN (PDG)</t>
        </is>
      </c>
      <c r="AI1432" t="n">
        <v>487</v>
      </c>
      <c r="AJ1432" t="inlineStr">
        <is>
          <t>GLAMFIX</t>
        </is>
      </c>
      <c r="AK1432" t="n">
        <v>9</v>
      </c>
      <c r="AL1432" t="inlineStr">
        <is>
          <t>Miss Glam Jambi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GLAMFIX</t>
        </is>
      </c>
      <c r="B1433" s="2">
        <f>"8997227896399"</f>
        <v/>
      </c>
      <c r="C1433" t="inlineStr">
        <is>
          <t>GLAMFIX Cellulose Cleansing Sponge Circle Bulat</t>
        </is>
      </c>
      <c r="D1433" t="inlineStr">
        <is>
          <t>Miss Glam Jambi</t>
        </is>
      </c>
      <c r="E1433" t="n">
        <v>5</v>
      </c>
      <c r="F1433" t="n">
        <v>0.0396</v>
      </c>
      <c r="G1433" t="n">
        <v>0.66</v>
      </c>
      <c r="H1433" t="n">
        <v>3</v>
      </c>
      <c r="I1433" t="n">
        <v>11</v>
      </c>
      <c r="J1433" t="n">
        <v>3</v>
      </c>
      <c r="K1433" t="n">
        <v>0</v>
      </c>
      <c r="L1433" t="n">
        <v>6300</v>
      </c>
      <c r="M1433" t="n">
        <v>10200</v>
      </c>
      <c r="N1433" t="n">
        <v>33</v>
      </c>
      <c r="O1433" t="n">
        <v>0.33</v>
      </c>
      <c r="P1433" t="n">
        <v>1</v>
      </c>
      <c r="Q1433" t="n">
        <v>0.12</v>
      </c>
      <c r="R1433" t="n">
        <v>1</v>
      </c>
      <c r="S1433" t="n">
        <v>403.92</v>
      </c>
      <c r="T1433" t="n">
        <v>8</v>
      </c>
      <c r="U1433" t="n">
        <v>9</v>
      </c>
      <c r="V1433" t="n">
        <v>30</v>
      </c>
      <c r="W1433" t="n">
        <v>2</v>
      </c>
      <c r="X1433" t="n">
        <v>126.2626262626263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10367</v>
      </c>
      <c r="AG1433" t="n">
        <v>170</v>
      </c>
      <c r="AH1433" t="inlineStr">
        <is>
          <t>PT. JALUR MANDIRI UTAMA - PPN (PDG)</t>
        </is>
      </c>
      <c r="AI1433" t="n">
        <v>487</v>
      </c>
      <c r="AJ1433" t="inlineStr">
        <is>
          <t>GLAMFIX</t>
        </is>
      </c>
      <c r="AK1433" t="n">
        <v>9</v>
      </c>
      <c r="AL1433" t="inlineStr">
        <is>
          <t>Miss Glam Jambi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GLAMFIX</t>
        </is>
      </c>
      <c r="B1434" s="2">
        <f>"8991748001171"</f>
        <v/>
      </c>
      <c r="C1434" t="inlineStr">
        <is>
          <t>GLAMFIX Excellent Brush Set Lake Blue</t>
        </is>
      </c>
      <c r="D1434" t="inlineStr">
        <is>
          <t>Miss Glam Jambi</t>
        </is>
      </c>
      <c r="E1434" t="n">
        <v>4</v>
      </c>
      <c r="F1434" t="n">
        <v>0.3366</v>
      </c>
      <c r="G1434" t="n">
        <v>1.65</v>
      </c>
      <c r="H1434" t="n">
        <v>3</v>
      </c>
      <c r="I1434" t="n">
        <v>11</v>
      </c>
      <c r="J1434" t="n">
        <v>3</v>
      </c>
      <c r="K1434" t="n">
        <v>5</v>
      </c>
      <c r="L1434" t="n">
        <v>23120</v>
      </c>
      <c r="M1434" t="n">
        <v>28900</v>
      </c>
      <c r="N1434" t="n">
        <v>33</v>
      </c>
      <c r="O1434" t="n">
        <v>0.33</v>
      </c>
      <c r="P1434" t="n">
        <v>1</v>
      </c>
      <c r="Q1434" t="n">
        <v>0.59</v>
      </c>
      <c r="R1434" t="n">
        <v>3</v>
      </c>
      <c r="S1434" t="n">
        <v>9727.74</v>
      </c>
      <c r="T1434" t="n">
        <v>18</v>
      </c>
      <c r="U1434" t="n">
        <v>20</v>
      </c>
      <c r="V1434" t="n">
        <v>30</v>
      </c>
      <c r="W1434" t="n">
        <v>11</v>
      </c>
      <c r="X1434" t="n">
        <v>11.883541295306</v>
      </c>
      <c r="Y1434" t="n">
        <v>1</v>
      </c>
      <c r="Z1434" t="n">
        <v>2</v>
      </c>
      <c r="AA1434" t="n">
        <v>0</v>
      </c>
      <c r="AB1434" t="n">
        <v>2</v>
      </c>
      <c r="AC1434" t="n">
        <v>3</v>
      </c>
      <c r="AD1434" t="n">
        <v>0</v>
      </c>
      <c r="AE1434" t="n">
        <v>69360</v>
      </c>
      <c r="AF1434" t="n">
        <v>10367</v>
      </c>
      <c r="AG1434" t="n">
        <v>170</v>
      </c>
      <c r="AH1434" t="inlineStr">
        <is>
          <t>PT. JALUR MANDIRI UTAMA - PPN (PDG)</t>
        </is>
      </c>
      <c r="AI1434" t="n">
        <v>487</v>
      </c>
      <c r="AJ1434" t="inlineStr">
        <is>
          <t>GLAMFIX</t>
        </is>
      </c>
      <c r="AK1434" t="n">
        <v>9</v>
      </c>
      <c r="AL1434" t="inlineStr">
        <is>
          <t>Miss Glam Jambi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GLAMFIX</t>
        </is>
      </c>
      <c r="B1435" s="2">
        <f>"8997227897327"</f>
        <v/>
      </c>
      <c r="C1435" t="inlineStr">
        <is>
          <t>GLAMFIX Eye Blending Brush</t>
        </is>
      </c>
      <c r="D1435" t="inlineStr">
        <is>
          <t>Miss Glam Jambi</t>
        </is>
      </c>
      <c r="E1435" t="n">
        <v>3</v>
      </c>
      <c r="F1435" t="n">
        <v>0.1749</v>
      </c>
      <c r="G1435" t="n">
        <v>1.32</v>
      </c>
      <c r="H1435" t="n">
        <v>3</v>
      </c>
      <c r="I1435" t="n">
        <v>11</v>
      </c>
      <c r="J1435" t="n">
        <v>3</v>
      </c>
      <c r="K1435" t="n">
        <v>3</v>
      </c>
      <c r="L1435" t="n">
        <v>13520</v>
      </c>
      <c r="M1435" t="n">
        <v>16900</v>
      </c>
      <c r="N1435" t="n">
        <v>33</v>
      </c>
      <c r="O1435" t="n">
        <v>0.33</v>
      </c>
      <c r="P1435" t="n">
        <v>1</v>
      </c>
      <c r="Q1435" t="n">
        <v>0.07000000000000001</v>
      </c>
      <c r="R1435" t="n">
        <v>1</v>
      </c>
      <c r="S1435" t="n">
        <v>2955.81</v>
      </c>
      <c r="T1435" t="n">
        <v>14</v>
      </c>
      <c r="U1435" t="n">
        <v>15</v>
      </c>
      <c r="V1435" t="n">
        <v>30</v>
      </c>
      <c r="W1435" t="n">
        <v>6</v>
      </c>
      <c r="X1435" t="n">
        <v>17.15265866209262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10367</v>
      </c>
      <c r="AG1435" t="n">
        <v>170</v>
      </c>
      <c r="AH1435" t="inlineStr">
        <is>
          <t>PT. JALUR MANDIRI UTAMA - PPN (PDG)</t>
        </is>
      </c>
      <c r="AI1435" t="n">
        <v>487</v>
      </c>
      <c r="AJ1435" t="inlineStr">
        <is>
          <t>GLAMFIX</t>
        </is>
      </c>
      <c r="AK1435" t="n">
        <v>9</v>
      </c>
      <c r="AL1435" t="inlineStr">
        <is>
          <t>Miss Glam Jambi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GLAMFIX</t>
        </is>
      </c>
      <c r="B1436" s="2">
        <f>"8997227896429"</f>
        <v/>
      </c>
      <c r="C1436" t="inlineStr">
        <is>
          <t>GLAMFIX Eyelash Curler</t>
        </is>
      </c>
      <c r="D1436" t="inlineStr">
        <is>
          <t>Miss Glam Jambi</t>
        </is>
      </c>
      <c r="E1436" t="n">
        <v>2</v>
      </c>
      <c r="F1436" t="n">
        <v>0.1452</v>
      </c>
      <c r="G1436" t="n">
        <v>2.64</v>
      </c>
      <c r="H1436" t="n">
        <v>3</v>
      </c>
      <c r="I1436" t="n">
        <v>11</v>
      </c>
      <c r="J1436" t="n">
        <v>3</v>
      </c>
      <c r="K1436" t="n">
        <v>3</v>
      </c>
      <c r="L1436" t="n">
        <v>20720</v>
      </c>
      <c r="M1436" t="n">
        <v>25900</v>
      </c>
      <c r="N1436" t="n">
        <v>33</v>
      </c>
      <c r="O1436" t="n">
        <v>0.33</v>
      </c>
      <c r="P1436" t="n">
        <v>1</v>
      </c>
      <c r="Q1436" t="n">
        <v>0.32</v>
      </c>
      <c r="R1436" t="n">
        <v>2</v>
      </c>
      <c r="S1436" t="n">
        <v>3760.68</v>
      </c>
      <c r="T1436" t="n">
        <v>29</v>
      </c>
      <c r="U1436" t="n">
        <v>30</v>
      </c>
      <c r="V1436" t="n">
        <v>30</v>
      </c>
      <c r="W1436" t="n">
        <v>5</v>
      </c>
      <c r="X1436" t="n">
        <v>13.77410468319559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10367</v>
      </c>
      <c r="AG1436" t="n">
        <v>170</v>
      </c>
      <c r="AH1436" t="inlineStr">
        <is>
          <t>PT. JALUR MANDIRI UTAMA - PPN (PDG)</t>
        </is>
      </c>
      <c r="AI1436" t="n">
        <v>487</v>
      </c>
      <c r="AJ1436" t="inlineStr">
        <is>
          <t>GLAMFIX</t>
        </is>
      </c>
      <c r="AK1436" t="n">
        <v>9</v>
      </c>
      <c r="AL1436" t="inlineStr">
        <is>
          <t>Miss Glam Jambi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GLAMFIX</t>
        </is>
      </c>
      <c r="B1437" s="2">
        <f>"8997227896948"</f>
        <v/>
      </c>
      <c r="C1437" t="inlineStr">
        <is>
          <t>GLAMFIX Finishing Powder Puff</t>
        </is>
      </c>
      <c r="D1437" t="inlineStr">
        <is>
          <t>Miss Glam Jambi</t>
        </is>
      </c>
      <c r="E1437" t="n">
        <v>9</v>
      </c>
      <c r="F1437" t="n">
        <v>0.2904</v>
      </c>
      <c r="G1437" t="n">
        <v>1.65</v>
      </c>
      <c r="H1437" t="n">
        <v>3</v>
      </c>
      <c r="I1437" t="n">
        <v>11</v>
      </c>
      <c r="J1437" t="n">
        <v>3</v>
      </c>
      <c r="K1437" t="n">
        <v>0</v>
      </c>
      <c r="L1437" t="n">
        <v>7920</v>
      </c>
      <c r="M1437" t="n">
        <v>9900</v>
      </c>
      <c r="N1437" t="n">
        <v>33</v>
      </c>
      <c r="O1437" t="n">
        <v>0.33</v>
      </c>
      <c r="P1437" t="n">
        <v>1</v>
      </c>
      <c r="Q1437" t="n">
        <v>0.05</v>
      </c>
      <c r="R1437" t="n">
        <v>2</v>
      </c>
      <c r="S1437" t="n">
        <v>2874.96</v>
      </c>
      <c r="T1437" t="n">
        <v>18</v>
      </c>
      <c r="U1437" t="n">
        <v>19</v>
      </c>
      <c r="V1437" t="n">
        <v>30</v>
      </c>
      <c r="W1437" t="n">
        <v>9</v>
      </c>
      <c r="X1437" t="n">
        <v>30.99173553719008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10367</v>
      </c>
      <c r="AG1437" t="n">
        <v>170</v>
      </c>
      <c r="AH1437" t="inlineStr">
        <is>
          <t>PT. JALUR MANDIRI UTAMA - PPN (PDG)</t>
        </is>
      </c>
      <c r="AI1437" t="n">
        <v>487</v>
      </c>
      <c r="AJ1437" t="inlineStr">
        <is>
          <t>GLAMFIX</t>
        </is>
      </c>
      <c r="AK1437" t="n">
        <v>9</v>
      </c>
      <c r="AL1437" t="inlineStr">
        <is>
          <t>Miss Glam Jambi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GLAMFIX</t>
        </is>
      </c>
      <c r="B1438" s="2">
        <f>"8991748004554"</f>
        <v/>
      </c>
      <c r="C1438" t="inlineStr">
        <is>
          <t>GLAMFIX Flawless Aircushion Puff</t>
        </is>
      </c>
      <c r="D1438" t="inlineStr">
        <is>
          <t>Miss Glam Jambi</t>
        </is>
      </c>
      <c r="E1438" t="n">
        <v>0</v>
      </c>
      <c r="F1438" t="n">
        <v>0.08910000000000001</v>
      </c>
      <c r="G1438" t="n">
        <v>1.98</v>
      </c>
      <c r="H1438" t="n">
        <v>3</v>
      </c>
      <c r="I1438" t="n">
        <v>11</v>
      </c>
      <c r="J1438" t="n">
        <v>3</v>
      </c>
      <c r="K1438" t="n">
        <v>3</v>
      </c>
      <c r="L1438" t="n">
        <v>11920</v>
      </c>
      <c r="M1438" t="n">
        <v>14900</v>
      </c>
      <c r="N1438" t="n">
        <v>33</v>
      </c>
      <c r="O1438" t="n">
        <v>0.33</v>
      </c>
      <c r="P1438" t="n">
        <v>1</v>
      </c>
      <c r="Q1438" t="n">
        <v>0.16</v>
      </c>
      <c r="R1438" t="n">
        <v>2</v>
      </c>
      <c r="S1438" t="n">
        <v>1327.59</v>
      </c>
      <c r="T1438" t="n">
        <v>22</v>
      </c>
      <c r="U1438" t="n">
        <v>23</v>
      </c>
      <c r="V1438" t="n">
        <v>30</v>
      </c>
      <c r="W1438" t="n">
        <v>3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10367</v>
      </c>
      <c r="AG1438" t="n">
        <v>170</v>
      </c>
      <c r="AH1438" t="inlineStr">
        <is>
          <t>PT. JALUR MANDIRI UTAMA - PPN (PDG)</t>
        </is>
      </c>
      <c r="AI1438" t="n">
        <v>487</v>
      </c>
      <c r="AJ1438" t="inlineStr">
        <is>
          <t>GLAMFIX</t>
        </is>
      </c>
      <c r="AK1438" t="n">
        <v>9</v>
      </c>
      <c r="AL1438" t="inlineStr">
        <is>
          <t>Miss Glam Jambi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GLAMFIX</t>
        </is>
      </c>
      <c r="B1439" s="2">
        <f>"8991748003182"</f>
        <v/>
      </c>
      <c r="C1439" t="inlineStr">
        <is>
          <t>GLAMFIX Flawless Eyeshadow Blending Brush</t>
        </is>
      </c>
      <c r="D1439" t="inlineStr">
        <is>
          <t>Miss Glam Jambi</t>
        </is>
      </c>
      <c r="E1439" t="n">
        <v>0</v>
      </c>
      <c r="F1439" t="n">
        <v>0.11</v>
      </c>
      <c r="G1439" t="n">
        <v>1</v>
      </c>
      <c r="H1439" t="n">
        <v>3</v>
      </c>
      <c r="I1439" t="n">
        <v>11</v>
      </c>
      <c r="J1439" t="n">
        <v>3</v>
      </c>
      <c r="K1439" t="n">
        <v>3</v>
      </c>
      <c r="L1439" t="n">
        <v>10320</v>
      </c>
      <c r="M1439" t="n">
        <v>12900</v>
      </c>
      <c r="N1439" t="n">
        <v>33</v>
      </c>
      <c r="O1439" t="n">
        <v>0.33</v>
      </c>
      <c r="P1439" t="n">
        <v>0</v>
      </c>
      <c r="Q1439" t="n">
        <v>0.11</v>
      </c>
      <c r="R1439" t="n">
        <v>1</v>
      </c>
      <c r="S1439" t="n">
        <v>1419</v>
      </c>
      <c r="T1439" t="n">
        <v>11</v>
      </c>
      <c r="U1439" t="n">
        <v>12</v>
      </c>
      <c r="V1439" t="n">
        <v>30</v>
      </c>
      <c r="W1439" t="n">
        <v>4</v>
      </c>
      <c r="X1439" t="n">
        <v>0</v>
      </c>
      <c r="Y1439" t="n">
        <v>1</v>
      </c>
      <c r="Z1439" t="n">
        <v>1</v>
      </c>
      <c r="AA1439" t="n">
        <v>1</v>
      </c>
      <c r="AB1439" t="n">
        <v>0</v>
      </c>
      <c r="AC1439" t="n">
        <v>0</v>
      </c>
      <c r="AD1439" t="n">
        <v>10320</v>
      </c>
      <c r="AE1439" t="n">
        <v>0</v>
      </c>
      <c r="AF1439" t="n">
        <v>10367</v>
      </c>
      <c r="AG1439" t="n">
        <v>170</v>
      </c>
      <c r="AH1439" t="inlineStr">
        <is>
          <t>PT. JALUR MANDIRI UTAMA - PPN (PDG)</t>
        </is>
      </c>
      <c r="AI1439" t="n">
        <v>487</v>
      </c>
      <c r="AJ1439" t="inlineStr">
        <is>
          <t>GLAMFIX</t>
        </is>
      </c>
      <c r="AK1439" t="n">
        <v>9</v>
      </c>
      <c r="AL1439" t="inlineStr">
        <is>
          <t>Miss Glam Jambi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GLAMFIX</t>
        </is>
      </c>
      <c r="B1440" s="2">
        <f>"8991748003212"</f>
        <v/>
      </c>
      <c r="C1440" t="inlineStr">
        <is>
          <t>GLAMFIX Flawless Fan Brush</t>
        </is>
      </c>
      <c r="D1440" t="inlineStr">
        <is>
          <t>Miss Glam Jambi</t>
        </is>
      </c>
      <c r="E1440" t="n">
        <v>10</v>
      </c>
      <c r="F1440" t="n">
        <v>0.009900000000000001</v>
      </c>
      <c r="G1440" t="n">
        <v>0.33</v>
      </c>
      <c r="H1440" t="n">
        <v>3</v>
      </c>
      <c r="I1440" t="n">
        <v>11</v>
      </c>
      <c r="J1440" t="n">
        <v>3</v>
      </c>
      <c r="K1440" t="n">
        <v>0</v>
      </c>
      <c r="L1440" t="n">
        <v>15120</v>
      </c>
      <c r="M1440" t="n">
        <v>18900</v>
      </c>
      <c r="N1440" t="n">
        <v>33</v>
      </c>
      <c r="O1440" t="n">
        <v>0.33</v>
      </c>
      <c r="P1440" t="n">
        <v>1</v>
      </c>
      <c r="Q1440" t="n">
        <v>0.12</v>
      </c>
      <c r="R1440" t="n">
        <v>1</v>
      </c>
      <c r="S1440" t="n">
        <v>187.11</v>
      </c>
      <c r="T1440" t="n">
        <v>4</v>
      </c>
      <c r="U1440" t="n">
        <v>5</v>
      </c>
      <c r="V1440" t="n">
        <v>30</v>
      </c>
      <c r="W1440" t="n">
        <v>1</v>
      </c>
      <c r="X1440" t="n">
        <v>1010.10101010101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10367</v>
      </c>
      <c r="AG1440" t="n">
        <v>170</v>
      </c>
      <c r="AH1440" t="inlineStr">
        <is>
          <t>PT. JALUR MANDIRI UTAMA - PPN (PDG)</t>
        </is>
      </c>
      <c r="AI1440" t="n">
        <v>487</v>
      </c>
      <c r="AJ1440" t="inlineStr">
        <is>
          <t>GLAMFIX</t>
        </is>
      </c>
      <c r="AK1440" t="n">
        <v>9</v>
      </c>
      <c r="AL1440" t="inlineStr">
        <is>
          <t>Miss Glam Jambi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GLAMFIX</t>
        </is>
      </c>
      <c r="B1441" s="2">
        <f>"8997227895736"</f>
        <v/>
      </c>
      <c r="C1441" t="inlineStr">
        <is>
          <t>GLAMFIX Glow Blush Brush</t>
        </is>
      </c>
      <c r="D1441" t="inlineStr">
        <is>
          <t>Miss Glam Jambi</t>
        </is>
      </c>
      <c r="E1441" t="n">
        <v>20</v>
      </c>
      <c r="F1441" t="n">
        <v>0.06270000000000001</v>
      </c>
      <c r="G1441" t="n">
        <v>0.66</v>
      </c>
      <c r="H1441" t="n">
        <v>3</v>
      </c>
      <c r="I1441" t="n">
        <v>11</v>
      </c>
      <c r="J1441" t="n">
        <v>3</v>
      </c>
      <c r="K1441" t="n">
        <v>0</v>
      </c>
      <c r="L1441" t="n">
        <v>13520</v>
      </c>
      <c r="M1441" t="n">
        <v>16900</v>
      </c>
      <c r="N1441" t="n">
        <v>33</v>
      </c>
      <c r="O1441" t="n">
        <v>0.33</v>
      </c>
      <c r="P1441" t="n">
        <v>1</v>
      </c>
      <c r="Q1441" t="n">
        <v>0.07000000000000001</v>
      </c>
      <c r="R1441" t="n">
        <v>2</v>
      </c>
      <c r="S1441" t="n">
        <v>1059.63</v>
      </c>
      <c r="T1441" t="n">
        <v>8</v>
      </c>
      <c r="U1441" t="n">
        <v>9</v>
      </c>
      <c r="V1441" t="n">
        <v>30</v>
      </c>
      <c r="W1441" t="n">
        <v>2</v>
      </c>
      <c r="X1441" t="n">
        <v>318.9792663476874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10367</v>
      </c>
      <c r="AG1441" t="n">
        <v>170</v>
      </c>
      <c r="AH1441" t="inlineStr">
        <is>
          <t>PT. JALUR MANDIRI UTAMA - PPN (PDG)</t>
        </is>
      </c>
      <c r="AI1441" t="n">
        <v>487</v>
      </c>
      <c r="AJ1441" t="inlineStr">
        <is>
          <t>GLAMFIX</t>
        </is>
      </c>
      <c r="AK1441" t="n">
        <v>9</v>
      </c>
      <c r="AL1441" t="inlineStr">
        <is>
          <t>Miss Glam Jambi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GLAMFIX</t>
        </is>
      </c>
      <c r="B1442" s="2">
        <f>"8997227898478"</f>
        <v/>
      </c>
      <c r="C1442" t="inlineStr">
        <is>
          <t>GLAMFIX Maxi Curl Lash Curler</t>
        </is>
      </c>
      <c r="D1442" t="inlineStr">
        <is>
          <t>Miss Glam Jambi</t>
        </is>
      </c>
      <c r="E1442" t="n">
        <v>7</v>
      </c>
      <c r="F1442" t="n">
        <v>0.066</v>
      </c>
      <c r="G1442" t="n">
        <v>1.32</v>
      </c>
      <c r="H1442" t="n">
        <v>3</v>
      </c>
      <c r="I1442" t="n">
        <v>11</v>
      </c>
      <c r="J1442" t="n">
        <v>3</v>
      </c>
      <c r="K1442" t="n">
        <v>0</v>
      </c>
      <c r="L1442" t="n">
        <v>20720</v>
      </c>
      <c r="M1442" t="n">
        <v>25900</v>
      </c>
      <c r="N1442" t="n">
        <v>33</v>
      </c>
      <c r="O1442" t="n">
        <v>0.33</v>
      </c>
      <c r="P1442" t="n">
        <v>1</v>
      </c>
      <c r="Q1442" t="n">
        <v>0.71</v>
      </c>
      <c r="R1442" t="n">
        <v>5</v>
      </c>
      <c r="S1442" t="n">
        <v>1709.4</v>
      </c>
      <c r="T1442" t="n">
        <v>15</v>
      </c>
      <c r="U1442" t="n">
        <v>16</v>
      </c>
      <c r="V1442" t="n">
        <v>30</v>
      </c>
      <c r="W1442" t="n">
        <v>2</v>
      </c>
      <c r="X1442" t="n">
        <v>106.0606060606061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10367</v>
      </c>
      <c r="AG1442" t="n">
        <v>170</v>
      </c>
      <c r="AH1442" t="inlineStr">
        <is>
          <t>PT. JALUR MANDIRI UTAMA - PPN (PDG)</t>
        </is>
      </c>
      <c r="AI1442" t="n">
        <v>487</v>
      </c>
      <c r="AJ1442" t="inlineStr">
        <is>
          <t>GLAMFIX</t>
        </is>
      </c>
      <c r="AK1442" t="n">
        <v>9</v>
      </c>
      <c r="AL1442" t="inlineStr">
        <is>
          <t>Miss Glam Jambi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GLAMFIX</t>
        </is>
      </c>
      <c r="B1443" s="2">
        <f>"8997227897228"</f>
        <v/>
      </c>
      <c r="C1443" t="inlineStr">
        <is>
          <t>GLAMFIX Perfect Blink Lashes Natural 01</t>
        </is>
      </c>
      <c r="D1443" t="inlineStr">
        <is>
          <t>Miss Glam Jambi</t>
        </is>
      </c>
      <c r="E1443" t="n">
        <v>6</v>
      </c>
      <c r="F1443" t="n">
        <v>0.1353</v>
      </c>
      <c r="G1443" t="n">
        <v>2.64</v>
      </c>
      <c r="H1443" t="n">
        <v>3</v>
      </c>
      <c r="I1443" t="n">
        <v>11</v>
      </c>
      <c r="J1443" t="n">
        <v>3</v>
      </c>
      <c r="K1443" t="n">
        <v>0</v>
      </c>
      <c r="L1443" t="n">
        <v>11920</v>
      </c>
      <c r="M1443" t="n">
        <v>14900</v>
      </c>
      <c r="N1443" t="n">
        <v>33</v>
      </c>
      <c r="O1443" t="n">
        <v>0.33</v>
      </c>
      <c r="P1443" t="n">
        <v>1</v>
      </c>
      <c r="Q1443" t="n">
        <v>0.19</v>
      </c>
      <c r="R1443" t="n">
        <v>2</v>
      </c>
      <c r="S1443" t="n">
        <v>2015.97</v>
      </c>
      <c r="T1443" t="n">
        <v>29</v>
      </c>
      <c r="U1443" t="n">
        <v>30</v>
      </c>
      <c r="V1443" t="n">
        <v>30</v>
      </c>
      <c r="W1443" t="n">
        <v>5</v>
      </c>
      <c r="X1443" t="n">
        <v>44.34589800443459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10367</v>
      </c>
      <c r="AG1443" t="n">
        <v>170</v>
      </c>
      <c r="AH1443" t="inlineStr">
        <is>
          <t>PT. JALUR MANDIRI UTAMA - PPN (PDG)</t>
        </is>
      </c>
      <c r="AI1443" t="n">
        <v>487</v>
      </c>
      <c r="AJ1443" t="inlineStr">
        <is>
          <t>GLAMFIX</t>
        </is>
      </c>
      <c r="AK1443" t="n">
        <v>9</v>
      </c>
      <c r="AL1443" t="inlineStr">
        <is>
          <t>Miss Glam Jambi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GLAMFIX</t>
        </is>
      </c>
      <c r="B1444" s="2">
        <f>"8991748002765"</f>
        <v/>
      </c>
      <c r="C1444" t="inlineStr">
        <is>
          <t>GLAMFIX Perfect Blink Lashes Natural 03</t>
        </is>
      </c>
      <c r="D1444" t="inlineStr">
        <is>
          <t>Miss Glam Jambi</t>
        </is>
      </c>
      <c r="E1444" t="n">
        <v>3</v>
      </c>
      <c r="F1444" t="n">
        <v>0.1188</v>
      </c>
      <c r="G1444" t="n">
        <v>0.99</v>
      </c>
      <c r="H1444" t="n">
        <v>3</v>
      </c>
      <c r="I1444" t="n">
        <v>11</v>
      </c>
      <c r="J1444" t="n">
        <v>3</v>
      </c>
      <c r="K1444" t="n">
        <v>3</v>
      </c>
      <c r="L1444" t="n">
        <v>11920</v>
      </c>
      <c r="M1444" t="n">
        <v>14900</v>
      </c>
      <c r="N1444" t="n">
        <v>33</v>
      </c>
      <c r="O1444" t="n">
        <v>0.33</v>
      </c>
      <c r="P1444" t="n">
        <v>1</v>
      </c>
      <c r="Q1444" t="n">
        <v>0.24</v>
      </c>
      <c r="R1444" t="n">
        <v>8</v>
      </c>
      <c r="S1444" t="n">
        <v>1770.12</v>
      </c>
      <c r="T1444" t="n">
        <v>11</v>
      </c>
      <c r="U1444" t="n">
        <v>12</v>
      </c>
      <c r="V1444" t="n">
        <v>30</v>
      </c>
      <c r="W1444" t="n">
        <v>4</v>
      </c>
      <c r="X1444" t="n">
        <v>25.25252525252525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10367</v>
      </c>
      <c r="AG1444" t="n">
        <v>170</v>
      </c>
      <c r="AH1444" t="inlineStr">
        <is>
          <t>PT. JALUR MANDIRI UTAMA - PPN (PDG)</t>
        </is>
      </c>
      <c r="AI1444" t="n">
        <v>487</v>
      </c>
      <c r="AJ1444" t="inlineStr">
        <is>
          <t>GLAMFIX</t>
        </is>
      </c>
      <c r="AK1444" t="n">
        <v>9</v>
      </c>
      <c r="AL1444" t="inlineStr">
        <is>
          <t>Miss Glam Jambi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GLAMFIX</t>
        </is>
      </c>
      <c r="B1445" s="2">
        <f>"8991748002772"</f>
        <v/>
      </c>
      <c r="C1445" t="inlineStr">
        <is>
          <t>GLAMFIX Perfect Blink Lashes Natural 04</t>
        </is>
      </c>
      <c r="D1445" t="inlineStr">
        <is>
          <t>Miss Glam Jambi</t>
        </is>
      </c>
      <c r="E1445" t="n">
        <v>0</v>
      </c>
      <c r="F1445" t="n">
        <v>0.1056</v>
      </c>
      <c r="G1445" t="n">
        <v>0.99</v>
      </c>
      <c r="H1445" t="n">
        <v>3</v>
      </c>
      <c r="I1445" t="n">
        <v>11</v>
      </c>
      <c r="J1445" t="n">
        <v>3</v>
      </c>
      <c r="K1445" t="n">
        <v>3</v>
      </c>
      <c r="L1445" t="n">
        <v>11920</v>
      </c>
      <c r="M1445" t="n">
        <v>14900</v>
      </c>
      <c r="N1445" t="n">
        <v>33</v>
      </c>
      <c r="O1445" t="n">
        <v>0.33</v>
      </c>
      <c r="P1445" t="n">
        <v>1</v>
      </c>
      <c r="Q1445" t="n">
        <v>0.23</v>
      </c>
      <c r="R1445" t="n">
        <v>3</v>
      </c>
      <c r="S1445" t="n">
        <v>1573.44</v>
      </c>
      <c r="T1445" t="n">
        <v>11</v>
      </c>
      <c r="U1445" t="n">
        <v>12</v>
      </c>
      <c r="V1445" t="n">
        <v>30</v>
      </c>
      <c r="W1445" t="n">
        <v>4</v>
      </c>
      <c r="X1445" t="n">
        <v>0</v>
      </c>
      <c r="Y1445" t="n">
        <v>1</v>
      </c>
      <c r="Z1445" t="n">
        <v>1</v>
      </c>
      <c r="AA1445" t="n">
        <v>1</v>
      </c>
      <c r="AB1445" t="n">
        <v>0</v>
      </c>
      <c r="AC1445" t="n">
        <v>0</v>
      </c>
      <c r="AD1445" t="n">
        <v>11920</v>
      </c>
      <c r="AE1445" t="n">
        <v>0</v>
      </c>
      <c r="AF1445" t="n">
        <v>10367</v>
      </c>
      <c r="AG1445" t="n">
        <v>170</v>
      </c>
      <c r="AH1445" t="inlineStr">
        <is>
          <t>PT. JALUR MANDIRI UTAMA - PPN (PDG)</t>
        </is>
      </c>
      <c r="AI1445" t="n">
        <v>487</v>
      </c>
      <c r="AJ1445" t="inlineStr">
        <is>
          <t>GLAMFIX</t>
        </is>
      </c>
      <c r="AK1445" t="n">
        <v>9</v>
      </c>
      <c r="AL1445" t="inlineStr">
        <is>
          <t>Miss Glam Jambi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GLAMFIX</t>
        </is>
      </c>
      <c r="B1446" s="2">
        <f>"8997227897310"</f>
        <v/>
      </c>
      <c r="C1446" t="inlineStr">
        <is>
          <t>GLAMFIX Precision Eyeshadow Brush</t>
        </is>
      </c>
      <c r="D1446" t="inlineStr">
        <is>
          <t>Miss Glam Jambi</t>
        </is>
      </c>
      <c r="E1446" t="n">
        <v>65</v>
      </c>
      <c r="F1446" t="n">
        <v>0.1023</v>
      </c>
      <c r="G1446" t="n">
        <v>0.99</v>
      </c>
      <c r="H1446" t="n">
        <v>3</v>
      </c>
      <c r="I1446" t="n">
        <v>11</v>
      </c>
      <c r="J1446" t="n">
        <v>3</v>
      </c>
      <c r="K1446" t="n">
        <v>0</v>
      </c>
      <c r="L1446" t="n">
        <v>13520</v>
      </c>
      <c r="M1446" t="n">
        <v>16900</v>
      </c>
      <c r="N1446" t="n">
        <v>33</v>
      </c>
      <c r="O1446" t="n">
        <v>0.33</v>
      </c>
      <c r="P1446" t="n">
        <v>1</v>
      </c>
      <c r="Q1446" t="n">
        <v>0.12</v>
      </c>
      <c r="R1446" t="n">
        <v>1</v>
      </c>
      <c r="S1446" t="n">
        <v>1728.87</v>
      </c>
      <c r="T1446" t="n">
        <v>11</v>
      </c>
      <c r="U1446" t="n">
        <v>12</v>
      </c>
      <c r="V1446" t="n">
        <v>30</v>
      </c>
      <c r="W1446" t="n">
        <v>4</v>
      </c>
      <c r="X1446" t="n">
        <v>635.386119257087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10367</v>
      </c>
      <c r="AG1446" t="n">
        <v>170</v>
      </c>
      <c r="AH1446" t="inlineStr">
        <is>
          <t>PT. JALUR MANDIRI UTAMA - PPN (PDG)</t>
        </is>
      </c>
      <c r="AI1446" t="n">
        <v>487</v>
      </c>
      <c r="AJ1446" t="inlineStr">
        <is>
          <t>GLAMFIX</t>
        </is>
      </c>
      <c r="AK1446" t="n">
        <v>9</v>
      </c>
      <c r="AL1446" t="inlineStr">
        <is>
          <t>Miss Glam Jambi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GLAMFIX</t>
        </is>
      </c>
      <c r="B1447" s="2">
        <f>"8997227895453"</f>
        <v/>
      </c>
      <c r="C1447" t="inlineStr">
        <is>
          <t>GLAMFIX Professional Aircushion Puff Isi 2</t>
        </is>
      </c>
      <c r="D1447" t="inlineStr">
        <is>
          <t>Miss Glam Jambi</t>
        </is>
      </c>
      <c r="E1447" t="n">
        <v>0</v>
      </c>
      <c r="F1447" t="n">
        <v>0.3069</v>
      </c>
      <c r="G1447" t="n">
        <v>3.63</v>
      </c>
      <c r="H1447" t="n">
        <v>3</v>
      </c>
      <c r="I1447" t="n">
        <v>11</v>
      </c>
      <c r="J1447" t="n">
        <v>3</v>
      </c>
      <c r="K1447" t="n">
        <v>5</v>
      </c>
      <c r="L1447" t="n">
        <v>7920</v>
      </c>
      <c r="M1447" t="n">
        <v>9900</v>
      </c>
      <c r="N1447" t="n">
        <v>33</v>
      </c>
      <c r="O1447" t="n">
        <v>0.33</v>
      </c>
      <c r="P1447" t="n">
        <v>1</v>
      </c>
      <c r="Q1447" t="n">
        <v>0.32</v>
      </c>
      <c r="R1447" t="n">
        <v>6</v>
      </c>
      <c r="S1447" t="n">
        <v>3038.31</v>
      </c>
      <c r="T1447" t="n">
        <v>40</v>
      </c>
      <c r="U1447" t="n">
        <v>41</v>
      </c>
      <c r="V1447" t="n">
        <v>30</v>
      </c>
      <c r="W1447" t="n">
        <v>10</v>
      </c>
      <c r="X1447" t="n">
        <v>0</v>
      </c>
      <c r="Y1447" t="n">
        <v>1</v>
      </c>
      <c r="Z1447" t="n">
        <v>5</v>
      </c>
      <c r="AA1447" t="n">
        <v>3</v>
      </c>
      <c r="AB1447" t="n">
        <v>2</v>
      </c>
      <c r="AC1447" t="n">
        <v>3</v>
      </c>
      <c r="AD1447" t="n">
        <v>23760</v>
      </c>
      <c r="AE1447" t="n">
        <v>23760</v>
      </c>
      <c r="AF1447" t="n">
        <v>10367</v>
      </c>
      <c r="AG1447" t="n">
        <v>170</v>
      </c>
      <c r="AH1447" t="inlineStr">
        <is>
          <t>PT. JALUR MANDIRI UTAMA - PPN (PDG)</t>
        </is>
      </c>
      <c r="AI1447" t="n">
        <v>487</v>
      </c>
      <c r="AJ1447" t="inlineStr">
        <is>
          <t>GLAMFIX</t>
        </is>
      </c>
      <c r="AK1447" t="n">
        <v>9</v>
      </c>
      <c r="AL1447" t="inlineStr">
        <is>
          <t>Miss Glam Jambi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GLAMFIX</t>
        </is>
      </c>
      <c r="B1448" s="2">
        <f>"8997227895033"</f>
        <v/>
      </c>
      <c r="C1448" t="inlineStr">
        <is>
          <t>GLAMFIX Square Cellulose Cleansing Sponge Petak</t>
        </is>
      </c>
      <c r="D1448" t="inlineStr">
        <is>
          <t>Miss Glam Jambi</t>
        </is>
      </c>
      <c r="E1448" t="n">
        <v>11</v>
      </c>
      <c r="F1448" t="n">
        <v>0.12</v>
      </c>
      <c r="G1448" t="n">
        <v>2</v>
      </c>
      <c r="H1448" t="n">
        <v>3</v>
      </c>
      <c r="I1448" t="n">
        <v>11</v>
      </c>
      <c r="J1448" t="n">
        <v>3</v>
      </c>
      <c r="K1448" t="n">
        <v>0</v>
      </c>
      <c r="L1448" t="n">
        <v>6300</v>
      </c>
      <c r="M1448" t="n">
        <v>10200</v>
      </c>
      <c r="N1448" t="n">
        <v>33</v>
      </c>
      <c r="O1448" t="n">
        <v>0.33</v>
      </c>
      <c r="P1448" t="n">
        <v>0</v>
      </c>
      <c r="Q1448" t="n">
        <v>0.12</v>
      </c>
      <c r="R1448" t="n">
        <v>2</v>
      </c>
      <c r="S1448" t="n">
        <v>1224</v>
      </c>
      <c r="T1448" t="n">
        <v>22</v>
      </c>
      <c r="U1448" t="n">
        <v>23</v>
      </c>
      <c r="V1448" t="n">
        <v>30</v>
      </c>
      <c r="W1448" t="n">
        <v>4</v>
      </c>
      <c r="X1448" t="n">
        <v>91.66666666666667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10367</v>
      </c>
      <c r="AG1448" t="n">
        <v>170</v>
      </c>
      <c r="AH1448" t="inlineStr">
        <is>
          <t>PT. JALUR MANDIRI UTAMA - PPN (PDG)</t>
        </is>
      </c>
      <c r="AI1448" t="n">
        <v>487</v>
      </c>
      <c r="AJ1448" t="inlineStr">
        <is>
          <t>GLAMFIX</t>
        </is>
      </c>
      <c r="AK1448" t="n">
        <v>9</v>
      </c>
      <c r="AL1448" t="inlineStr">
        <is>
          <t>Miss Glam Jambi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GLAMFIX</t>
        </is>
      </c>
      <c r="B1449" s="2">
        <f>"8997227894975"</f>
        <v/>
      </c>
      <c r="C1449" t="inlineStr">
        <is>
          <t>GLAMFIX Summer Pocket Puff</t>
        </is>
      </c>
      <c r="D1449" t="inlineStr">
        <is>
          <t>Miss Glam Jambi</t>
        </is>
      </c>
      <c r="E1449" t="n">
        <v>9</v>
      </c>
      <c r="F1449" t="n">
        <v>0.1</v>
      </c>
      <c r="G1449" t="n">
        <v>2</v>
      </c>
      <c r="H1449" t="n">
        <v>3</v>
      </c>
      <c r="I1449" t="n">
        <v>11</v>
      </c>
      <c r="J1449" t="n">
        <v>3</v>
      </c>
      <c r="K1449" t="n">
        <v>0</v>
      </c>
      <c r="L1449" t="n">
        <v>5600</v>
      </c>
      <c r="M1449" t="n">
        <v>8500</v>
      </c>
      <c r="N1449" t="n">
        <v>33</v>
      </c>
      <c r="O1449" t="n">
        <v>0.33</v>
      </c>
      <c r="P1449" t="n">
        <v>0</v>
      </c>
      <c r="Q1449" t="n">
        <v>0.1</v>
      </c>
      <c r="R1449" t="n">
        <v>2</v>
      </c>
      <c r="S1449" t="n">
        <v>850</v>
      </c>
      <c r="T1449" t="n">
        <v>22</v>
      </c>
      <c r="U1449" t="n">
        <v>23</v>
      </c>
      <c r="V1449" t="n">
        <v>30</v>
      </c>
      <c r="W1449" t="n">
        <v>3</v>
      </c>
      <c r="X1449" t="n">
        <v>90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10367</v>
      </c>
      <c r="AG1449" t="n">
        <v>170</v>
      </c>
      <c r="AH1449" t="inlineStr">
        <is>
          <t>PT. JALUR MANDIRI UTAMA - PPN (PDG)</t>
        </is>
      </c>
      <c r="AI1449" t="n">
        <v>487</v>
      </c>
      <c r="AJ1449" t="inlineStr">
        <is>
          <t>GLAMFIX</t>
        </is>
      </c>
      <c r="AK1449" t="n">
        <v>9</v>
      </c>
      <c r="AL1449" t="inlineStr">
        <is>
          <t>Miss Glam Jambi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GLAMFIX</t>
        </is>
      </c>
      <c r="B1450" s="2">
        <f>"50100450356"</f>
        <v/>
      </c>
      <c r="C1450" t="inlineStr">
        <is>
          <t>GLAMFIX Wink Era Poppin' Glue-Free Cluster Eyelashes 01 Soft Girl</t>
        </is>
      </c>
      <c r="D1450" t="inlineStr">
        <is>
          <t>Miss Glam Jambi</t>
        </is>
      </c>
      <c r="E1450" t="n">
        <v>0</v>
      </c>
      <c r="F1450" t="n">
        <v>0.1221</v>
      </c>
      <c r="G1450" t="n">
        <v>0.99</v>
      </c>
      <c r="H1450" t="n">
        <v>3</v>
      </c>
      <c r="I1450" t="n">
        <v>11</v>
      </c>
      <c r="J1450" t="n">
        <v>1</v>
      </c>
      <c r="K1450" t="n">
        <v>2</v>
      </c>
      <c r="L1450" t="n">
        <v>36720</v>
      </c>
      <c r="M1450" t="n">
        <v>45900</v>
      </c>
      <c r="N1450" t="n">
        <v>33</v>
      </c>
      <c r="O1450" t="n">
        <v>0.33</v>
      </c>
      <c r="P1450" t="n">
        <v>1</v>
      </c>
      <c r="Q1450" t="n">
        <v>0.1</v>
      </c>
      <c r="R1450" t="n">
        <v>1</v>
      </c>
      <c r="S1450" t="n">
        <v>5604.39</v>
      </c>
      <c r="T1450" t="n">
        <v>11</v>
      </c>
      <c r="U1450" t="n">
        <v>12</v>
      </c>
      <c r="V1450" t="n">
        <v>30</v>
      </c>
      <c r="W1450" t="n">
        <v>4</v>
      </c>
      <c r="X1450" t="n">
        <v>0</v>
      </c>
      <c r="Y1450" t="n">
        <v>1</v>
      </c>
      <c r="Z1450" t="n">
        <v>2</v>
      </c>
      <c r="AA1450" t="n">
        <v>1</v>
      </c>
      <c r="AB1450" t="n">
        <v>1</v>
      </c>
      <c r="AC1450" t="n">
        <v>1</v>
      </c>
      <c r="AD1450" t="n">
        <v>36720</v>
      </c>
      <c r="AE1450" t="n">
        <v>36720</v>
      </c>
      <c r="AF1450" t="n">
        <v>10367</v>
      </c>
      <c r="AG1450" t="n">
        <v>170</v>
      </c>
      <c r="AH1450" t="inlineStr">
        <is>
          <t>PT. JALUR MANDIRI UTAMA - PPN (PDG)</t>
        </is>
      </c>
      <c r="AI1450" t="n">
        <v>487</v>
      </c>
      <c r="AJ1450" t="inlineStr">
        <is>
          <t>GLAMFIX</t>
        </is>
      </c>
      <c r="AK1450" t="n">
        <v>9</v>
      </c>
      <c r="AL1450" t="inlineStr">
        <is>
          <t>Miss Glam Jambi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GLAMFIX</t>
        </is>
      </c>
      <c r="B1451" s="2">
        <f>"50100450440"</f>
        <v/>
      </c>
      <c r="C1451" t="inlineStr">
        <is>
          <t>GLAMFIX Wink Era Poppin' Glue-Free Cluster Eyelashes 02 Lifting Slay</t>
        </is>
      </c>
      <c r="D1451" t="inlineStr">
        <is>
          <t>Miss Glam Jambi</t>
        </is>
      </c>
      <c r="E1451" t="n">
        <v>0</v>
      </c>
      <c r="F1451" t="n">
        <v>0.1683</v>
      </c>
      <c r="G1451" t="n">
        <v>0.99</v>
      </c>
      <c r="H1451" t="n">
        <v>3</v>
      </c>
      <c r="I1451" t="n">
        <v>11</v>
      </c>
      <c r="J1451" t="n">
        <v>1</v>
      </c>
      <c r="K1451" t="n">
        <v>4</v>
      </c>
      <c r="L1451" t="n">
        <v>36720</v>
      </c>
      <c r="M1451" t="n">
        <v>45900</v>
      </c>
      <c r="N1451" t="n">
        <v>33</v>
      </c>
      <c r="O1451" t="n">
        <v>0.33</v>
      </c>
      <c r="P1451" t="n">
        <v>1</v>
      </c>
      <c r="Q1451" t="n">
        <v>0.11</v>
      </c>
      <c r="R1451" t="n">
        <v>2</v>
      </c>
      <c r="S1451" t="n">
        <v>7724.97</v>
      </c>
      <c r="T1451" t="n">
        <v>11</v>
      </c>
      <c r="U1451" t="n">
        <v>12</v>
      </c>
      <c r="V1451" t="n">
        <v>30</v>
      </c>
      <c r="W1451" t="n">
        <v>6</v>
      </c>
      <c r="X1451" t="n">
        <v>0</v>
      </c>
      <c r="Y1451" t="n">
        <v>1</v>
      </c>
      <c r="Z1451" t="n">
        <v>2</v>
      </c>
      <c r="AA1451" t="n">
        <v>1</v>
      </c>
      <c r="AB1451" t="n">
        <v>1</v>
      </c>
      <c r="AC1451" t="n">
        <v>1</v>
      </c>
      <c r="AD1451" t="n">
        <v>36720</v>
      </c>
      <c r="AE1451" t="n">
        <v>36720</v>
      </c>
      <c r="AF1451" t="n">
        <v>10367</v>
      </c>
      <c r="AG1451" t="n">
        <v>170</v>
      </c>
      <c r="AH1451" t="inlineStr">
        <is>
          <t>PT. JALUR MANDIRI UTAMA - PPN (PDG)</t>
        </is>
      </c>
      <c r="AI1451" t="n">
        <v>487</v>
      </c>
      <c r="AJ1451" t="inlineStr">
        <is>
          <t>GLAMFIX</t>
        </is>
      </c>
      <c r="AK1451" t="n">
        <v>9</v>
      </c>
      <c r="AL1451" t="inlineStr">
        <is>
          <t>Miss Glam Jambi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GLAMFIX</t>
        </is>
      </c>
      <c r="B1452" s="2">
        <f>"50100450535"</f>
        <v/>
      </c>
      <c r="C1452" t="inlineStr">
        <is>
          <t>GLAMFIX Wink Era Poppin' Glue-Free Cluster Eyelashes 03 Barbie Coded</t>
        </is>
      </c>
      <c r="D1452" t="inlineStr">
        <is>
          <t>Miss Glam Jambi</t>
        </is>
      </c>
      <c r="E1452" t="n">
        <v>1</v>
      </c>
      <c r="F1452" t="n">
        <v>0.09569999999999999</v>
      </c>
      <c r="G1452" t="n">
        <v>0.66</v>
      </c>
      <c r="H1452" t="n">
        <v>3</v>
      </c>
      <c r="I1452" t="n">
        <v>11</v>
      </c>
      <c r="J1452" t="n">
        <v>1</v>
      </c>
      <c r="K1452" t="n">
        <v>2</v>
      </c>
      <c r="L1452" t="n">
        <v>36720</v>
      </c>
      <c r="M1452" t="n">
        <v>45900</v>
      </c>
      <c r="N1452" t="n">
        <v>33</v>
      </c>
      <c r="O1452" t="n">
        <v>0.33</v>
      </c>
      <c r="P1452" t="n">
        <v>1</v>
      </c>
      <c r="Q1452" t="n">
        <v>0.07000000000000001</v>
      </c>
      <c r="R1452" t="n">
        <v>1</v>
      </c>
      <c r="S1452" t="n">
        <v>4392.63</v>
      </c>
      <c r="T1452" t="n">
        <v>7</v>
      </c>
      <c r="U1452" t="n">
        <v>8</v>
      </c>
      <c r="V1452" t="n">
        <v>30</v>
      </c>
      <c r="W1452" t="n">
        <v>3</v>
      </c>
      <c r="X1452" t="n">
        <v>10.44932079414838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10367</v>
      </c>
      <c r="AG1452" t="n">
        <v>170</v>
      </c>
      <c r="AH1452" t="inlineStr">
        <is>
          <t>PT. JALUR MANDIRI UTAMA - PPN (PDG)</t>
        </is>
      </c>
      <c r="AI1452" t="n">
        <v>487</v>
      </c>
      <c r="AJ1452" t="inlineStr">
        <is>
          <t>GLAMFIX</t>
        </is>
      </c>
      <c r="AK1452" t="n">
        <v>9</v>
      </c>
      <c r="AL1452" t="inlineStr">
        <is>
          <t>Miss Glam Jambi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GLAMFIX</t>
        </is>
      </c>
      <c r="B1453" s="2">
        <f>"50100450643"</f>
        <v/>
      </c>
      <c r="C1453" t="inlineStr">
        <is>
          <t>GLAMFIX Wink Era Poppin' Glue-Free Cluster Eyelashes 04 Main Character</t>
        </is>
      </c>
      <c r="D1453" t="inlineStr">
        <is>
          <t>Miss Glam Jambi</t>
        </is>
      </c>
      <c r="E1453" t="n">
        <v>2</v>
      </c>
      <c r="F1453" t="n">
        <v>0.08910000000000001</v>
      </c>
      <c r="G1453" t="n">
        <v>0.99</v>
      </c>
      <c r="H1453" t="n">
        <v>3</v>
      </c>
      <c r="I1453" t="n">
        <v>11</v>
      </c>
      <c r="J1453" t="n">
        <v>1</v>
      </c>
      <c r="K1453" t="n">
        <v>1</v>
      </c>
      <c r="L1453" t="n">
        <v>36720</v>
      </c>
      <c r="M1453" t="n">
        <v>45900</v>
      </c>
      <c r="N1453" t="n">
        <v>33</v>
      </c>
      <c r="O1453" t="n">
        <v>0.33</v>
      </c>
      <c r="P1453" t="n">
        <v>1</v>
      </c>
      <c r="Q1453" t="n">
        <v>0.19</v>
      </c>
      <c r="R1453" t="n">
        <v>2</v>
      </c>
      <c r="S1453" t="n">
        <v>4089.690000000001</v>
      </c>
      <c r="T1453" t="n">
        <v>11</v>
      </c>
      <c r="U1453" t="n">
        <v>12</v>
      </c>
      <c r="V1453" t="n">
        <v>30</v>
      </c>
      <c r="W1453" t="n">
        <v>3</v>
      </c>
      <c r="X1453" t="n">
        <v>22.44668911335578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10367</v>
      </c>
      <c r="AG1453" t="n">
        <v>170</v>
      </c>
      <c r="AH1453" t="inlineStr">
        <is>
          <t>PT. JALUR MANDIRI UTAMA - PPN (PDG)</t>
        </is>
      </c>
      <c r="AI1453" t="n">
        <v>487</v>
      </c>
      <c r="AJ1453" t="inlineStr">
        <is>
          <t>GLAMFIX</t>
        </is>
      </c>
      <c r="AK1453" t="n">
        <v>9</v>
      </c>
      <c r="AL1453" t="inlineStr">
        <is>
          <t>Miss Glam Jambi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GLAMFIX</t>
        </is>
      </c>
      <c r="B1454" s="2">
        <f>"50100450729"</f>
        <v/>
      </c>
      <c r="C1454" t="inlineStr">
        <is>
          <t>GLAMFIX Wink Era Poppin' Glue-Free Cluster Eyelashes 05 Witty Fox</t>
        </is>
      </c>
      <c r="D1454" t="inlineStr">
        <is>
          <t>Miss Glam Jambi</t>
        </is>
      </c>
      <c r="E1454" t="n">
        <v>0</v>
      </c>
      <c r="F1454" t="n">
        <v>0.08910000000000001</v>
      </c>
      <c r="G1454" t="n">
        <v>0.66</v>
      </c>
      <c r="H1454" t="n">
        <v>3</v>
      </c>
      <c r="I1454" t="n">
        <v>11</v>
      </c>
      <c r="J1454" t="n">
        <v>1</v>
      </c>
      <c r="K1454" t="n">
        <v>2</v>
      </c>
      <c r="L1454" t="n">
        <v>36720</v>
      </c>
      <c r="M1454" t="n">
        <v>45900</v>
      </c>
      <c r="N1454" t="n">
        <v>33</v>
      </c>
      <c r="O1454" t="n">
        <v>0.33</v>
      </c>
      <c r="P1454" t="n">
        <v>1</v>
      </c>
      <c r="Q1454" t="n">
        <v>0.09</v>
      </c>
      <c r="R1454" t="n">
        <v>1</v>
      </c>
      <c r="S1454" t="n">
        <v>4089.690000000001</v>
      </c>
      <c r="T1454" t="n">
        <v>7</v>
      </c>
      <c r="U1454" t="n">
        <v>8</v>
      </c>
      <c r="V1454" t="n">
        <v>30</v>
      </c>
      <c r="W1454" t="n">
        <v>3</v>
      </c>
      <c r="X1454" t="n">
        <v>0</v>
      </c>
      <c r="Y1454" t="n">
        <v>1</v>
      </c>
      <c r="Z1454" t="n">
        <v>1</v>
      </c>
      <c r="AA1454" t="n">
        <v>0</v>
      </c>
      <c r="AB1454" t="n">
        <v>1</v>
      </c>
      <c r="AC1454" t="n">
        <v>1</v>
      </c>
      <c r="AD1454" t="n">
        <v>0</v>
      </c>
      <c r="AE1454" t="n">
        <v>36720</v>
      </c>
      <c r="AF1454" t="n">
        <v>10367</v>
      </c>
      <c r="AG1454" t="n">
        <v>170</v>
      </c>
      <c r="AH1454" t="inlineStr">
        <is>
          <t>PT. JALUR MANDIRI UTAMA - PPN (PDG)</t>
        </is>
      </c>
      <c r="AI1454" t="n">
        <v>487</v>
      </c>
      <c r="AJ1454" t="inlineStr">
        <is>
          <t>GLAMFIX</t>
        </is>
      </c>
      <c r="AK1454" t="n">
        <v>9</v>
      </c>
      <c r="AL1454" t="inlineStr">
        <is>
          <t>Miss Glam Jambi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GLAMFIX</t>
        </is>
      </c>
      <c r="B1455" s="2">
        <f>"50100450842"</f>
        <v/>
      </c>
      <c r="C1455" t="inlineStr">
        <is>
          <t>GLAMFIX Wink Era Press-On False Eyelashes 02 Magic Wink</t>
        </is>
      </c>
      <c r="D1455" t="inlineStr">
        <is>
          <t>Miss Glam Jambi</t>
        </is>
      </c>
      <c r="E1455" t="n">
        <v>8</v>
      </c>
      <c r="F1455" t="n">
        <v>0.0726</v>
      </c>
      <c r="G1455" t="n">
        <v>1.32</v>
      </c>
      <c r="H1455" t="n">
        <v>3</v>
      </c>
      <c r="I1455" t="n">
        <v>11</v>
      </c>
      <c r="J1455" t="n">
        <v>1</v>
      </c>
      <c r="K1455" t="n">
        <v>0</v>
      </c>
      <c r="L1455" t="n">
        <v>28720</v>
      </c>
      <c r="M1455" t="n">
        <v>35900</v>
      </c>
      <c r="N1455" t="n">
        <v>33</v>
      </c>
      <c r="O1455" t="n">
        <v>0.33</v>
      </c>
      <c r="P1455" t="n">
        <v>1</v>
      </c>
      <c r="Q1455" t="n">
        <v>0.24</v>
      </c>
      <c r="R1455" t="n">
        <v>2</v>
      </c>
      <c r="S1455" t="n">
        <v>2606.34</v>
      </c>
      <c r="T1455" t="n">
        <v>15</v>
      </c>
      <c r="U1455" t="n">
        <v>16</v>
      </c>
      <c r="V1455" t="n">
        <v>30</v>
      </c>
      <c r="W1455" t="n">
        <v>3</v>
      </c>
      <c r="X1455" t="n">
        <v>110.1928374655647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10367</v>
      </c>
      <c r="AG1455" t="n">
        <v>170</v>
      </c>
      <c r="AH1455" t="inlineStr">
        <is>
          <t>PT. JALUR MANDIRI UTAMA - PPN (PDG)</t>
        </is>
      </c>
      <c r="AI1455" t="n">
        <v>487</v>
      </c>
      <c r="AJ1455" t="inlineStr">
        <is>
          <t>GLAMFIX</t>
        </is>
      </c>
      <c r="AK1455" t="n">
        <v>9</v>
      </c>
      <c r="AL1455" t="inlineStr">
        <is>
          <t>Miss Glam Jambi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GLAMFIX</t>
        </is>
      </c>
      <c r="B1456" s="2">
        <f>"50100450914"</f>
        <v/>
      </c>
      <c r="C1456" t="inlineStr">
        <is>
          <t>GLAMFIX Wink Era Press-On False Eyelashes 04 First Date</t>
        </is>
      </c>
      <c r="D1456" t="inlineStr">
        <is>
          <t>Miss Glam Jambi</t>
        </is>
      </c>
      <c r="E1456" t="n">
        <v>7</v>
      </c>
      <c r="F1456" t="n">
        <v>0.0396</v>
      </c>
      <c r="G1456" t="n">
        <v>0.66</v>
      </c>
      <c r="H1456" t="n">
        <v>3</v>
      </c>
      <c r="I1456" t="n">
        <v>11</v>
      </c>
      <c r="J1456" t="n">
        <v>1</v>
      </c>
      <c r="K1456" t="n">
        <v>0</v>
      </c>
      <c r="L1456" t="n">
        <v>28720</v>
      </c>
      <c r="M1456" t="n">
        <v>35900</v>
      </c>
      <c r="N1456" t="n">
        <v>33</v>
      </c>
      <c r="O1456" t="n">
        <v>0.33</v>
      </c>
      <c r="P1456" t="n">
        <v>1</v>
      </c>
      <c r="Q1456" t="n">
        <v>0.08</v>
      </c>
      <c r="R1456" t="n">
        <v>1</v>
      </c>
      <c r="S1456" t="n">
        <v>1421.64</v>
      </c>
      <c r="T1456" t="n">
        <v>8</v>
      </c>
      <c r="U1456" t="n">
        <v>9</v>
      </c>
      <c r="V1456" t="n">
        <v>30</v>
      </c>
      <c r="W1456" t="n">
        <v>2</v>
      </c>
      <c r="X1456" t="n">
        <v>176.7676767676768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10367</v>
      </c>
      <c r="AG1456" t="n">
        <v>170</v>
      </c>
      <c r="AH1456" t="inlineStr">
        <is>
          <t>PT. JALUR MANDIRI UTAMA - PPN (PDG)</t>
        </is>
      </c>
      <c r="AI1456" t="n">
        <v>487</v>
      </c>
      <c r="AJ1456" t="inlineStr">
        <is>
          <t>GLAMFIX</t>
        </is>
      </c>
      <c r="AK1456" t="n">
        <v>9</v>
      </c>
      <c r="AL1456" t="inlineStr">
        <is>
          <t>Miss Glam Jambi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GLAMFIX</t>
        </is>
      </c>
      <c r="B1457" s="2">
        <f>"50100451014"</f>
        <v/>
      </c>
      <c r="C1457" t="inlineStr">
        <is>
          <t>GLAMFIX Wink Era Press-On False Eyelashes 09 Dazzling Gaze</t>
        </is>
      </c>
      <c r="D1457" t="inlineStr">
        <is>
          <t>Miss Glam Jambi</t>
        </is>
      </c>
      <c r="E1457" t="n">
        <v>3</v>
      </c>
      <c r="F1457" t="n">
        <v>0.07920000000000001</v>
      </c>
      <c r="G1457" t="n">
        <v>0.66</v>
      </c>
      <c r="H1457" t="n">
        <v>3</v>
      </c>
      <c r="I1457" t="n">
        <v>11</v>
      </c>
      <c r="J1457" t="n">
        <v>1</v>
      </c>
      <c r="K1457" t="n">
        <v>0</v>
      </c>
      <c r="L1457" t="n">
        <v>28720</v>
      </c>
      <c r="M1457" t="n">
        <v>35900</v>
      </c>
      <c r="N1457" t="n">
        <v>33</v>
      </c>
      <c r="O1457" t="n">
        <v>0.33</v>
      </c>
      <c r="P1457" t="n">
        <v>1</v>
      </c>
      <c r="Q1457" t="n">
        <v>0.19</v>
      </c>
      <c r="R1457" t="n">
        <v>2</v>
      </c>
      <c r="S1457" t="n">
        <v>2843.28</v>
      </c>
      <c r="T1457" t="n">
        <v>8</v>
      </c>
      <c r="U1457" t="n">
        <v>9</v>
      </c>
      <c r="V1457" t="n">
        <v>30</v>
      </c>
      <c r="W1457" t="n">
        <v>3</v>
      </c>
      <c r="X1457" t="n">
        <v>37.87878787878788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10367</v>
      </c>
      <c r="AG1457" t="n">
        <v>170</v>
      </c>
      <c r="AH1457" t="inlineStr">
        <is>
          <t>PT. JALUR MANDIRI UTAMA - PPN (PDG)</t>
        </is>
      </c>
      <c r="AI1457" t="n">
        <v>487</v>
      </c>
      <c r="AJ1457" t="inlineStr">
        <is>
          <t>GLAMFIX</t>
        </is>
      </c>
      <c r="AK1457" t="n">
        <v>9</v>
      </c>
      <c r="AL1457" t="inlineStr">
        <is>
          <t>Miss Glam Jambi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GLAMFIX</t>
        </is>
      </c>
      <c r="B1458" s="2">
        <f>"50100316717"</f>
        <v/>
      </c>
      <c r="C1458" t="inlineStr">
        <is>
          <t>GLAMFIXGlam My Lash Curler-Comb-in</t>
        </is>
      </c>
      <c r="D1458" t="inlineStr">
        <is>
          <t>Miss Glam Jambi</t>
        </is>
      </c>
      <c r="E1458" t="n">
        <v>9</v>
      </c>
      <c r="F1458" t="n">
        <v>0.1848</v>
      </c>
      <c r="G1458" t="n">
        <v>1.32</v>
      </c>
      <c r="H1458" t="n">
        <v>3</v>
      </c>
      <c r="I1458" t="n">
        <v>11</v>
      </c>
      <c r="J1458" t="n">
        <v>1</v>
      </c>
      <c r="K1458" t="n">
        <v>0</v>
      </c>
      <c r="L1458" t="n">
        <v>26320</v>
      </c>
      <c r="M1458" t="n">
        <v>32900</v>
      </c>
      <c r="N1458" t="n">
        <v>33</v>
      </c>
      <c r="O1458" t="n">
        <v>0.33</v>
      </c>
      <c r="P1458" t="n">
        <v>1</v>
      </c>
      <c r="Q1458" t="n">
        <v>0.27</v>
      </c>
      <c r="R1458" t="n">
        <v>2</v>
      </c>
      <c r="S1458" t="n">
        <v>6079.920000000001</v>
      </c>
      <c r="T1458" t="n">
        <v>14</v>
      </c>
      <c r="U1458" t="n">
        <v>15</v>
      </c>
      <c r="V1458" t="n">
        <v>30</v>
      </c>
      <c r="W1458" t="n">
        <v>6</v>
      </c>
      <c r="X1458" t="n">
        <v>48.7012987012987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10367</v>
      </c>
      <c r="AG1458" t="n">
        <v>170</v>
      </c>
      <c r="AH1458" t="inlineStr">
        <is>
          <t>PT. JALUR MANDIRI UTAMA - PPN (PDG)</t>
        </is>
      </c>
      <c r="AI1458" t="n">
        <v>487</v>
      </c>
      <c r="AJ1458" t="inlineStr">
        <is>
          <t>GLAMFIX</t>
        </is>
      </c>
      <c r="AK1458" t="n">
        <v>9</v>
      </c>
      <c r="AL1458" t="inlineStr">
        <is>
          <t>Miss Glam Jambi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GLOW &amp; LOVELY</t>
        </is>
      </c>
      <c r="B1459" s="2">
        <f>"8999999566654"</f>
        <v/>
      </c>
      <c r="C1459" t="inlineStr">
        <is>
          <t>GLOW &amp; LOVELY Facial Foam Vitamin C 100ml</t>
        </is>
      </c>
      <c r="D1459" t="inlineStr">
        <is>
          <t>Miss Glam Jambi</t>
        </is>
      </c>
      <c r="E1459" t="n">
        <v>4</v>
      </c>
      <c r="F1459" t="n">
        <v>0.1287</v>
      </c>
      <c r="G1459" t="n">
        <v>0.99</v>
      </c>
      <c r="H1459" t="n">
        <v>3</v>
      </c>
      <c r="I1459" t="n">
        <v>19</v>
      </c>
      <c r="J1459" t="n">
        <v>3</v>
      </c>
      <c r="K1459" t="n">
        <v>0</v>
      </c>
      <c r="L1459" t="n">
        <v>26486</v>
      </c>
      <c r="M1459" t="n">
        <v>29000</v>
      </c>
      <c r="N1459" t="n">
        <v>33</v>
      </c>
      <c r="O1459" t="n">
        <v>0.33</v>
      </c>
      <c r="P1459" t="n">
        <v>1</v>
      </c>
      <c r="Q1459" t="n">
        <v>0.07000000000000001</v>
      </c>
      <c r="R1459" t="n">
        <v>2</v>
      </c>
      <c r="S1459" t="n">
        <v>3732.3</v>
      </c>
      <c r="T1459" t="n">
        <v>19</v>
      </c>
      <c r="U1459" t="n">
        <v>20</v>
      </c>
      <c r="V1459" t="n">
        <v>30</v>
      </c>
      <c r="W1459" t="n">
        <v>4</v>
      </c>
      <c r="X1459" t="n">
        <v>31.08003108003108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9760</v>
      </c>
      <c r="AG1459" t="n">
        <v>2206</v>
      </c>
      <c r="AH1459" t="inlineStr">
        <is>
          <t>PT. ENHA PUTRA (ONLINE CASH)</t>
        </is>
      </c>
      <c r="AI1459" t="n">
        <v>1659</v>
      </c>
      <c r="AJ1459" t="inlineStr">
        <is>
          <t>GLOW &amp; LOVELY</t>
        </is>
      </c>
      <c r="AK1459" t="n">
        <v>9</v>
      </c>
      <c r="AL1459" t="inlineStr">
        <is>
          <t>Miss Glam Jambi</t>
        </is>
      </c>
      <c r="AM1459" t="n">
        <v>2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GLOW FX</t>
        </is>
      </c>
      <c r="B1460" s="2">
        <f>"11200314533"</f>
        <v/>
      </c>
      <c r="C1460" t="inlineStr">
        <is>
          <t>GLOW FX - 17% Total Acids CeraCapsule Peeling Solution 20ml</t>
        </is>
      </c>
      <c r="D1460" t="inlineStr">
        <is>
          <t>Miss Glam Jambi</t>
        </is>
      </c>
      <c r="E1460" t="n">
        <v>7</v>
      </c>
      <c r="F1460" t="n">
        <v>0.0726</v>
      </c>
      <c r="G1460" t="n">
        <v>0.33</v>
      </c>
      <c r="H1460" t="n">
        <v>4</v>
      </c>
      <c r="I1460" t="n">
        <v>20</v>
      </c>
      <c r="J1460" t="n">
        <v>1</v>
      </c>
      <c r="K1460" t="n">
        <v>0</v>
      </c>
      <c r="L1460" t="n">
        <v>60083</v>
      </c>
      <c r="M1460" t="n">
        <v>75000</v>
      </c>
      <c r="N1460" t="n">
        <v>33</v>
      </c>
      <c r="O1460" t="n">
        <v>0.33</v>
      </c>
      <c r="P1460" t="n">
        <v>1</v>
      </c>
      <c r="Q1460" t="n">
        <v>0.02</v>
      </c>
      <c r="R1460" t="n">
        <v>1</v>
      </c>
      <c r="S1460" t="n">
        <v>5445</v>
      </c>
      <c r="T1460" t="n">
        <v>7</v>
      </c>
      <c r="U1460" t="n">
        <v>8</v>
      </c>
      <c r="V1460" t="n">
        <v>30</v>
      </c>
      <c r="W1460" t="n">
        <v>3</v>
      </c>
      <c r="X1460" t="n">
        <v>96.41873278236915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5177</v>
      </c>
      <c r="AG1460" t="n">
        <v>1</v>
      </c>
      <c r="AH1460" t="inlineStr">
        <is>
          <t>PT. BERSAMA DISTRIVERSA INDONESIA (DC CIPUTAT)</t>
        </is>
      </c>
      <c r="AI1460" t="n">
        <v>2276</v>
      </c>
      <c r="AJ1460" t="inlineStr">
        <is>
          <t>GLOW FX</t>
        </is>
      </c>
      <c r="AK1460" t="n">
        <v>9</v>
      </c>
      <c r="AL1460" t="inlineStr">
        <is>
          <t>Miss Glam Jambi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GLOW FX</t>
        </is>
      </c>
      <c r="B1461" s="2">
        <f>"11200218756"</f>
        <v/>
      </c>
      <c r="C1461" t="inlineStr">
        <is>
          <t>GLOW FX Acne Pure Serum 20ml</t>
        </is>
      </c>
      <c r="D1461" t="inlineStr">
        <is>
          <t>Miss Glam Jambi</t>
        </is>
      </c>
      <c r="E1461" t="n">
        <v>6</v>
      </c>
      <c r="F1461" t="n">
        <v>0.2145</v>
      </c>
      <c r="G1461" t="n">
        <v>0.99</v>
      </c>
      <c r="H1461" t="n">
        <v>4</v>
      </c>
      <c r="I1461" t="n">
        <v>20</v>
      </c>
      <c r="J1461" t="n">
        <v>1</v>
      </c>
      <c r="K1461" t="n">
        <v>1</v>
      </c>
      <c r="L1461" t="n">
        <v>56257</v>
      </c>
      <c r="M1461" t="n">
        <v>79000</v>
      </c>
      <c r="N1461" t="n">
        <v>33</v>
      </c>
      <c r="O1461" t="n">
        <v>0.33</v>
      </c>
      <c r="P1461" t="n">
        <v>1</v>
      </c>
      <c r="Q1461" t="n">
        <v>0.15</v>
      </c>
      <c r="R1461" t="n">
        <v>2</v>
      </c>
      <c r="S1461" t="n">
        <v>16945.5</v>
      </c>
      <c r="T1461" t="n">
        <v>19</v>
      </c>
      <c r="U1461" t="n">
        <v>20</v>
      </c>
      <c r="V1461" t="n">
        <v>30</v>
      </c>
      <c r="W1461" t="n">
        <v>7</v>
      </c>
      <c r="X1461" t="n">
        <v>27.97202797202797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5177</v>
      </c>
      <c r="AG1461" t="n">
        <v>1</v>
      </c>
      <c r="AH1461" t="inlineStr">
        <is>
          <t>PT. BERSAMA DISTRIVERSA INDONESIA (DC CIPUTAT)</t>
        </is>
      </c>
      <c r="AI1461" t="n">
        <v>2276</v>
      </c>
      <c r="AJ1461" t="inlineStr">
        <is>
          <t>GLOW FX</t>
        </is>
      </c>
      <c r="AK1461" t="n">
        <v>9</v>
      </c>
      <c r="AL1461" t="inlineStr">
        <is>
          <t>Miss Glam Jambi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GLOW FX</t>
        </is>
      </c>
      <c r="B1462" s="2">
        <f>"11200148148"</f>
        <v/>
      </c>
      <c r="C1462" t="inlineStr">
        <is>
          <t>GLOW FX Glow Bomb Serum 20ml</t>
        </is>
      </c>
      <c r="D1462" t="inlineStr">
        <is>
          <t>Miss Glam Jambi</t>
        </is>
      </c>
      <c r="E1462" t="n">
        <v>1</v>
      </c>
      <c r="F1462" t="n">
        <v>0.6171000000000001</v>
      </c>
      <c r="G1462" t="n">
        <v>2.31</v>
      </c>
      <c r="H1462" t="n">
        <v>4</v>
      </c>
      <c r="I1462" t="n">
        <v>20</v>
      </c>
      <c r="J1462" t="n">
        <v>1</v>
      </c>
      <c r="K1462" t="n">
        <v>6</v>
      </c>
      <c r="L1462" t="n">
        <v>58738</v>
      </c>
      <c r="M1462" t="n">
        <v>79000</v>
      </c>
      <c r="N1462" t="n">
        <v>33</v>
      </c>
      <c r="O1462" t="n">
        <v>0.33</v>
      </c>
      <c r="P1462" t="n">
        <v>1</v>
      </c>
      <c r="Q1462" t="n">
        <v>0.49</v>
      </c>
      <c r="R1462" t="n">
        <v>3</v>
      </c>
      <c r="S1462" t="n">
        <v>48750.90000000001</v>
      </c>
      <c r="T1462" t="n">
        <v>44</v>
      </c>
      <c r="U1462" t="n">
        <v>47</v>
      </c>
      <c r="V1462" t="n">
        <v>30</v>
      </c>
      <c r="W1462" t="n">
        <v>19</v>
      </c>
      <c r="X1462" t="n">
        <v>1.620482903905364</v>
      </c>
      <c r="Y1462" t="n">
        <v>1</v>
      </c>
      <c r="Z1462" t="n">
        <v>12</v>
      </c>
      <c r="AA1462" t="n">
        <v>11</v>
      </c>
      <c r="AB1462" t="n">
        <v>1</v>
      </c>
      <c r="AC1462" t="n">
        <v>1</v>
      </c>
      <c r="AD1462" t="n">
        <v>646118</v>
      </c>
      <c r="AE1462" t="n">
        <v>58738</v>
      </c>
      <c r="AF1462" t="n">
        <v>5177</v>
      </c>
      <c r="AG1462" t="n">
        <v>1</v>
      </c>
      <c r="AH1462" t="inlineStr">
        <is>
          <t>PT. BERSAMA DISTRIVERSA INDONESIA (DC CIPUTAT)</t>
        </is>
      </c>
      <c r="AI1462" t="n">
        <v>2276</v>
      </c>
      <c r="AJ1462" t="inlineStr">
        <is>
          <t>GLOW FX</t>
        </is>
      </c>
      <c r="AK1462" t="n">
        <v>9</v>
      </c>
      <c r="AL1462" t="inlineStr">
        <is>
          <t>Miss Glam Jambi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GLOWSOPHY</t>
        </is>
      </c>
      <c r="B1463" s="2">
        <f>"10400617021"</f>
        <v/>
      </c>
      <c r="C1463" t="inlineStr">
        <is>
          <t>GLOWSOPHY Bearberry Tinted Sunscreen Spf 40 30ml</t>
        </is>
      </c>
      <c r="D1463" t="inlineStr">
        <is>
          <t>Miss Glam Jambi</t>
        </is>
      </c>
      <c r="E1463" t="n">
        <v>0</v>
      </c>
      <c r="F1463" t="n">
        <v>0.4521000000000001</v>
      </c>
      <c r="G1463" t="n">
        <v>1.98</v>
      </c>
      <c r="H1463" t="n">
        <v>4</v>
      </c>
      <c r="I1463" t="n">
        <v>11</v>
      </c>
      <c r="J1463" t="n">
        <v>1</v>
      </c>
      <c r="K1463" t="n">
        <v>9</v>
      </c>
      <c r="L1463" t="n">
        <v>30527</v>
      </c>
      <c r="M1463" t="n">
        <v>42000</v>
      </c>
      <c r="N1463" t="n">
        <v>33</v>
      </c>
      <c r="O1463" t="n">
        <v>0.33</v>
      </c>
      <c r="P1463" t="n">
        <v>1</v>
      </c>
      <c r="Q1463" t="n">
        <v>0.29</v>
      </c>
      <c r="R1463" t="n">
        <v>2</v>
      </c>
      <c r="S1463" t="n">
        <v>18988.2</v>
      </c>
      <c r="T1463" t="n">
        <v>20</v>
      </c>
      <c r="U1463" t="n">
        <v>22</v>
      </c>
      <c r="V1463" t="n">
        <v>30</v>
      </c>
      <c r="W1463" t="n">
        <v>14</v>
      </c>
      <c r="X1463" t="n">
        <v>0</v>
      </c>
      <c r="Y1463" t="n">
        <v>1</v>
      </c>
      <c r="Z1463" t="n">
        <v>5</v>
      </c>
      <c r="AA1463" t="n">
        <v>4</v>
      </c>
      <c r="AB1463" t="n">
        <v>1</v>
      </c>
      <c r="AC1463" t="n">
        <v>1</v>
      </c>
      <c r="AD1463" t="n">
        <v>122108</v>
      </c>
      <c r="AE1463" t="n">
        <v>30527</v>
      </c>
      <c r="AF1463" t="n">
        <v>10027</v>
      </c>
      <c r="AG1463" t="n">
        <v>78</v>
      </c>
      <c r="AH1463" t="inlineStr">
        <is>
          <t>PT. GLORIENTA P.H - PPN (PDG)</t>
        </is>
      </c>
      <c r="AI1463" t="n">
        <v>1327</v>
      </c>
      <c r="AJ1463" t="inlineStr">
        <is>
          <t>GLOWSOPHY</t>
        </is>
      </c>
      <c r="AK1463" t="n">
        <v>9</v>
      </c>
      <c r="AL1463" t="inlineStr">
        <is>
          <t>Miss Glam Jambi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GLOWSOPHY</t>
        </is>
      </c>
      <c r="B1464" s="2">
        <f>"20100468747"</f>
        <v/>
      </c>
      <c r="C1464" t="inlineStr">
        <is>
          <t>GLOWSOPHY Birch Cover Fit Serum Cushion 11gr</t>
        </is>
      </c>
      <c r="D1464" t="inlineStr">
        <is>
          <t>Miss Glam Jambi</t>
        </is>
      </c>
      <c r="E1464" t="n">
        <v>6</v>
      </c>
      <c r="F1464" t="n">
        <v>0.1551</v>
      </c>
      <c r="G1464" t="n">
        <v>0.66</v>
      </c>
      <c r="H1464" t="n">
        <v>4</v>
      </c>
      <c r="I1464" t="n">
        <v>11</v>
      </c>
      <c r="J1464" t="n">
        <v>1</v>
      </c>
      <c r="K1464" t="n">
        <v>0</v>
      </c>
      <c r="L1464" t="n">
        <v>51541</v>
      </c>
      <c r="M1464" t="n">
        <v>75000</v>
      </c>
      <c r="N1464" t="n">
        <v>33</v>
      </c>
      <c r="O1464" t="n">
        <v>0.33</v>
      </c>
      <c r="P1464" t="n">
        <v>1</v>
      </c>
      <c r="Q1464" t="n">
        <v>0.12</v>
      </c>
      <c r="R1464" t="n">
        <v>1</v>
      </c>
      <c r="S1464" t="n">
        <v>11632.5</v>
      </c>
      <c r="T1464" t="n">
        <v>7</v>
      </c>
      <c r="U1464" t="n">
        <v>8</v>
      </c>
      <c r="V1464" t="n">
        <v>30</v>
      </c>
      <c r="W1464" t="n">
        <v>5</v>
      </c>
      <c r="X1464" t="n">
        <v>38.68471953578337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10027</v>
      </c>
      <c r="AG1464" t="n">
        <v>78</v>
      </c>
      <c r="AH1464" t="inlineStr">
        <is>
          <t>PT. GLORIENTA P.H - PPN (PDG)</t>
        </is>
      </c>
      <c r="AI1464" t="n">
        <v>1327</v>
      </c>
      <c r="AJ1464" t="inlineStr">
        <is>
          <t>GLOWSOPHY</t>
        </is>
      </c>
      <c r="AK1464" t="n">
        <v>9</v>
      </c>
      <c r="AL1464" t="inlineStr">
        <is>
          <t>Miss Glam Jambi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GLOWSOPHY</t>
        </is>
      </c>
      <c r="B1465" s="2">
        <f>"10400618209"</f>
        <v/>
      </c>
      <c r="C1465" t="inlineStr">
        <is>
          <t>GLOWSOPHY Cica Daily Light Sunscreen Spf 35 30ml</t>
        </is>
      </c>
      <c r="D1465" t="inlineStr">
        <is>
          <t>Miss Glam Jambi</t>
        </is>
      </c>
      <c r="E1465" t="n">
        <v>8</v>
      </c>
      <c r="F1465" t="n">
        <v>0.22</v>
      </c>
      <c r="G1465" t="n">
        <v>2</v>
      </c>
      <c r="H1465" t="n">
        <v>4</v>
      </c>
      <c r="I1465" t="n">
        <v>11</v>
      </c>
      <c r="J1465" t="n">
        <v>1</v>
      </c>
      <c r="K1465" t="n">
        <v>0</v>
      </c>
      <c r="L1465" t="n">
        <v>15667</v>
      </c>
      <c r="M1465" t="n">
        <v>25000</v>
      </c>
      <c r="N1465" t="n">
        <v>33</v>
      </c>
      <c r="O1465" t="n">
        <v>0.33</v>
      </c>
      <c r="P1465" t="n">
        <v>0</v>
      </c>
      <c r="Q1465" t="n">
        <v>0.22</v>
      </c>
      <c r="R1465" t="n">
        <v>2</v>
      </c>
      <c r="S1465" t="n">
        <v>5500</v>
      </c>
      <c r="T1465" t="n">
        <v>22</v>
      </c>
      <c r="U1465" t="n">
        <v>23</v>
      </c>
      <c r="V1465" t="n">
        <v>30</v>
      </c>
      <c r="W1465" t="n">
        <v>7</v>
      </c>
      <c r="X1465" t="n">
        <v>36.36363636363637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10027</v>
      </c>
      <c r="AG1465" t="n">
        <v>78</v>
      </c>
      <c r="AH1465" t="inlineStr">
        <is>
          <t>PT. GLORIENTA P.H - PPN (PDG)</t>
        </is>
      </c>
      <c r="AI1465" t="n">
        <v>1327</v>
      </c>
      <c r="AJ1465" t="inlineStr">
        <is>
          <t>GLOWSOPHY</t>
        </is>
      </c>
      <c r="AK1465" t="n">
        <v>9</v>
      </c>
      <c r="AL1465" t="inlineStr">
        <is>
          <t>Miss Glam Jambi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GLOWSOPHY</t>
        </is>
      </c>
      <c r="B1466" s="2">
        <f>"10300722230"</f>
        <v/>
      </c>
      <c r="C1466" t="inlineStr">
        <is>
          <t>GLOWSOPHY Cica Panthenol Soothing Moisturizer 100ml</t>
        </is>
      </c>
      <c r="D1466" t="inlineStr">
        <is>
          <t>Miss Glam Jambi</t>
        </is>
      </c>
      <c r="E1466" t="n">
        <v>16</v>
      </c>
      <c r="F1466" t="n">
        <v>0.7623000000000001</v>
      </c>
      <c r="G1466" t="n">
        <v>1.98</v>
      </c>
      <c r="H1466" t="n">
        <v>4</v>
      </c>
      <c r="I1466" t="n">
        <v>11</v>
      </c>
      <c r="J1466" t="n">
        <v>1</v>
      </c>
      <c r="K1466" t="n">
        <v>7</v>
      </c>
      <c r="L1466" t="n">
        <v>39100</v>
      </c>
      <c r="M1466" t="n">
        <v>50000</v>
      </c>
      <c r="N1466" t="n">
        <v>33</v>
      </c>
      <c r="O1466" t="n">
        <v>0.33</v>
      </c>
      <c r="P1466" t="n">
        <v>1</v>
      </c>
      <c r="Q1466" t="n">
        <v>0.08</v>
      </c>
      <c r="R1466" t="n">
        <v>2</v>
      </c>
      <c r="S1466" t="n">
        <v>38115.00000000001</v>
      </c>
      <c r="T1466" t="n">
        <v>19</v>
      </c>
      <c r="U1466" t="n">
        <v>23</v>
      </c>
      <c r="V1466" t="n">
        <v>30</v>
      </c>
      <c r="W1466" t="n">
        <v>23</v>
      </c>
      <c r="X1466" t="n">
        <v>20.9891118982028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10027</v>
      </c>
      <c r="AG1466" t="n">
        <v>78</v>
      </c>
      <c r="AH1466" t="inlineStr">
        <is>
          <t>PT. GLORIENTA P.H - PPN (PDG)</t>
        </is>
      </c>
      <c r="AI1466" t="n">
        <v>1327</v>
      </c>
      <c r="AJ1466" t="inlineStr">
        <is>
          <t>GLOWSOPHY</t>
        </is>
      </c>
      <c r="AK1466" t="n">
        <v>9</v>
      </c>
      <c r="AL1466" t="inlineStr">
        <is>
          <t>Miss Glam Jambi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GLOWSOPHY</t>
        </is>
      </c>
      <c r="B1467" s="2">
        <f>"20100468608"</f>
        <v/>
      </c>
      <c r="C1467" t="inlineStr">
        <is>
          <t>GLOWSOPHY Maple Cover Fit Serum Cushion 11gr</t>
        </is>
      </c>
      <c r="D1467" t="inlineStr">
        <is>
          <t>Miss Glam Jambi</t>
        </is>
      </c>
      <c r="E1467" t="n">
        <v>1</v>
      </c>
      <c r="F1467" t="n">
        <v>0.1914</v>
      </c>
      <c r="G1467" t="n">
        <v>0.99</v>
      </c>
      <c r="H1467" t="n">
        <v>4</v>
      </c>
      <c r="I1467" t="n">
        <v>11</v>
      </c>
      <c r="J1467" t="n">
        <v>1</v>
      </c>
      <c r="K1467" t="n">
        <v>3</v>
      </c>
      <c r="L1467" t="n">
        <v>50757</v>
      </c>
      <c r="M1467" t="n">
        <v>75000</v>
      </c>
      <c r="N1467" t="n">
        <v>33</v>
      </c>
      <c r="O1467" t="n">
        <v>0.33</v>
      </c>
      <c r="P1467" t="n">
        <v>1</v>
      </c>
      <c r="Q1467" t="n">
        <v>0.02</v>
      </c>
      <c r="R1467" t="n">
        <v>1</v>
      </c>
      <c r="S1467" t="n">
        <v>14355</v>
      </c>
      <c r="T1467" t="n">
        <v>11</v>
      </c>
      <c r="U1467" t="n">
        <v>12</v>
      </c>
      <c r="V1467" t="n">
        <v>30</v>
      </c>
      <c r="W1467" t="n">
        <v>6</v>
      </c>
      <c r="X1467" t="n">
        <v>5.22466039707419</v>
      </c>
      <c r="Y1467" t="n">
        <v>1</v>
      </c>
      <c r="Z1467" t="n">
        <v>2</v>
      </c>
      <c r="AA1467" t="n">
        <v>1</v>
      </c>
      <c r="AB1467" t="n">
        <v>1</v>
      </c>
      <c r="AC1467" t="n">
        <v>1</v>
      </c>
      <c r="AD1467" t="n">
        <v>50757</v>
      </c>
      <c r="AE1467" t="n">
        <v>50757</v>
      </c>
      <c r="AF1467" t="n">
        <v>10027</v>
      </c>
      <c r="AG1467" t="n">
        <v>78</v>
      </c>
      <c r="AH1467" t="inlineStr">
        <is>
          <t>PT. GLORIENTA P.H - PPN (PDG)</t>
        </is>
      </c>
      <c r="AI1467" t="n">
        <v>1327</v>
      </c>
      <c r="AJ1467" t="inlineStr">
        <is>
          <t>GLOWSOPHY</t>
        </is>
      </c>
      <c r="AK1467" t="n">
        <v>9</v>
      </c>
      <c r="AL1467" t="inlineStr">
        <is>
          <t>Miss Glam Jambi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GLOWSOPHY</t>
        </is>
      </c>
      <c r="B1468" s="2">
        <f>"20100468531"</f>
        <v/>
      </c>
      <c r="C1468" t="inlineStr">
        <is>
          <t>GLOWSOPHY Pine Cover Fit Serum Cushion 11gr</t>
        </is>
      </c>
      <c r="D1468" t="inlineStr">
        <is>
          <t>Miss Glam Jambi</t>
        </is>
      </c>
      <c r="E1468" t="n">
        <v>2</v>
      </c>
      <c r="F1468" t="n">
        <v>0.2343</v>
      </c>
      <c r="G1468" t="n">
        <v>1.32</v>
      </c>
      <c r="H1468" t="n">
        <v>4</v>
      </c>
      <c r="I1468" t="n">
        <v>11</v>
      </c>
      <c r="J1468" t="n">
        <v>1</v>
      </c>
      <c r="K1468" t="n">
        <v>4</v>
      </c>
      <c r="L1468" t="n">
        <v>49300</v>
      </c>
      <c r="M1468" t="n">
        <v>58000</v>
      </c>
      <c r="N1468" t="n">
        <v>33</v>
      </c>
      <c r="O1468" t="n">
        <v>0.33</v>
      </c>
      <c r="P1468" t="n">
        <v>1</v>
      </c>
      <c r="Q1468" t="n">
        <v>0.07000000000000001</v>
      </c>
      <c r="R1468" t="n">
        <v>1</v>
      </c>
      <c r="S1468" t="n">
        <v>13589.4</v>
      </c>
      <c r="T1468" t="n">
        <v>14</v>
      </c>
      <c r="U1468" t="n">
        <v>15</v>
      </c>
      <c r="V1468" t="n">
        <v>30</v>
      </c>
      <c r="W1468" t="n">
        <v>8</v>
      </c>
      <c r="X1468" t="n">
        <v>8.536064874093043</v>
      </c>
      <c r="Y1468" t="n">
        <v>1</v>
      </c>
      <c r="Z1468" t="n">
        <v>2</v>
      </c>
      <c r="AA1468" t="n">
        <v>0</v>
      </c>
      <c r="AB1468" t="n">
        <v>2</v>
      </c>
      <c r="AC1468" t="n">
        <v>2</v>
      </c>
      <c r="AD1468" t="n">
        <v>0</v>
      </c>
      <c r="AE1468" t="n">
        <v>98600</v>
      </c>
      <c r="AF1468" t="n">
        <v>10027</v>
      </c>
      <c r="AG1468" t="n">
        <v>78</v>
      </c>
      <c r="AH1468" t="inlineStr">
        <is>
          <t>PT. GLORIENTA P.H - PPN (PDG)</t>
        </is>
      </c>
      <c r="AI1468" t="n">
        <v>1327</v>
      </c>
      <c r="AJ1468" t="inlineStr">
        <is>
          <t>GLOWSOPHY</t>
        </is>
      </c>
      <c r="AK1468" t="n">
        <v>9</v>
      </c>
      <c r="AL1468" t="inlineStr">
        <is>
          <t>Miss Glam Jambi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GLOWSOPHY</t>
        </is>
      </c>
      <c r="B1469" s="2">
        <f>"792649106211"</f>
        <v/>
      </c>
      <c r="C1469" t="inlineStr">
        <is>
          <t>GLOWSOPHY Watermelon Brightening  Moisturizer 100ml</t>
        </is>
      </c>
      <c r="D1469" t="inlineStr">
        <is>
          <t>Miss Glam Jambi</t>
        </is>
      </c>
      <c r="E1469" t="n">
        <v>33</v>
      </c>
      <c r="F1469" t="n">
        <v>2.7918</v>
      </c>
      <c r="G1469" t="n">
        <v>7.590000000000001</v>
      </c>
      <c r="H1469" t="n">
        <v>4</v>
      </c>
      <c r="I1469" t="n">
        <v>11</v>
      </c>
      <c r="J1469" t="n">
        <v>3</v>
      </c>
      <c r="K1469" t="n">
        <v>52</v>
      </c>
      <c r="L1469" t="n">
        <v>39920</v>
      </c>
      <c r="M1469" t="n">
        <v>53000</v>
      </c>
      <c r="N1469" t="n">
        <v>33</v>
      </c>
      <c r="O1469" t="n">
        <v>0.33</v>
      </c>
      <c r="P1469" t="n">
        <v>1</v>
      </c>
      <c r="Q1469" t="n">
        <v>0.51</v>
      </c>
      <c r="R1469" t="n">
        <v>4</v>
      </c>
      <c r="S1469" t="n">
        <v>147965.4</v>
      </c>
      <c r="T1469" t="n">
        <v>73</v>
      </c>
      <c r="U1469" t="n">
        <v>85</v>
      </c>
      <c r="V1469" t="n">
        <v>30</v>
      </c>
      <c r="W1469" t="n">
        <v>84</v>
      </c>
      <c r="X1469" t="n">
        <v>11.82033096926714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10027</v>
      </c>
      <c r="AG1469" t="n">
        <v>78</v>
      </c>
      <c r="AH1469" t="inlineStr">
        <is>
          <t>PT. GLORIENTA P.H - PPN (PDG)</t>
        </is>
      </c>
      <c r="AI1469" t="n">
        <v>1327</v>
      </c>
      <c r="AJ1469" t="inlineStr">
        <is>
          <t>GLOWSOPHY</t>
        </is>
      </c>
      <c r="AK1469" t="n">
        <v>9</v>
      </c>
      <c r="AL1469" t="inlineStr">
        <is>
          <t>Miss Glam Jambi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GLOWSOPHY</t>
        </is>
      </c>
      <c r="B1470" s="2">
        <f>"101001110105"</f>
        <v/>
      </c>
      <c r="C1470" t="inlineStr">
        <is>
          <t>GLOWSOPHY Watermelon Low pH Gentle Cleanser 120ml</t>
        </is>
      </c>
      <c r="D1470" t="inlineStr">
        <is>
          <t>Miss Glam Jambi</t>
        </is>
      </c>
      <c r="E1470" t="n">
        <v>11</v>
      </c>
      <c r="F1470" t="n">
        <v>0.0825</v>
      </c>
      <c r="G1470" t="n">
        <v>0.99</v>
      </c>
      <c r="H1470" t="n">
        <v>4</v>
      </c>
      <c r="I1470" t="n">
        <v>11</v>
      </c>
      <c r="J1470" t="n">
        <v>1</v>
      </c>
      <c r="K1470" t="n">
        <v>0</v>
      </c>
      <c r="L1470" t="n">
        <v>35125</v>
      </c>
      <c r="M1470" t="n">
        <v>45000</v>
      </c>
      <c r="N1470" t="n">
        <v>33</v>
      </c>
      <c r="O1470" t="n">
        <v>0.33</v>
      </c>
      <c r="P1470" t="n">
        <v>1</v>
      </c>
      <c r="Q1470" t="n">
        <v>0.05</v>
      </c>
      <c r="R1470" t="n">
        <v>1</v>
      </c>
      <c r="S1470" t="n">
        <v>3712.5</v>
      </c>
      <c r="T1470" t="n">
        <v>11</v>
      </c>
      <c r="U1470" t="n">
        <v>12</v>
      </c>
      <c r="V1470" t="n">
        <v>30</v>
      </c>
      <c r="W1470" t="n">
        <v>3</v>
      </c>
      <c r="X1470" t="n">
        <v>133.3333333333333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10027</v>
      </c>
      <c r="AG1470" t="n">
        <v>78</v>
      </c>
      <c r="AH1470" t="inlineStr">
        <is>
          <t>PT. GLORIENTA P.H - PPN (PDG)</t>
        </is>
      </c>
      <c r="AI1470" t="n">
        <v>1327</v>
      </c>
      <c r="AJ1470" t="inlineStr">
        <is>
          <t>GLOWSOPHY</t>
        </is>
      </c>
      <c r="AK1470" t="n">
        <v>9</v>
      </c>
      <c r="AL1470" t="inlineStr">
        <is>
          <t>Miss Glam Jambi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GOLDEN VIERA</t>
        </is>
      </c>
      <c r="B1471" s="2">
        <f>"10100805253"</f>
        <v/>
      </c>
      <c r="C1471" t="inlineStr">
        <is>
          <t>GOLDEN VIERA Soap 35gr</t>
        </is>
      </c>
      <c r="D1471" t="inlineStr">
        <is>
          <t>Miss Glam Jambi</t>
        </is>
      </c>
      <c r="E1471" t="n">
        <v>7</v>
      </c>
      <c r="F1471" t="n">
        <v>0.009900000000000001</v>
      </c>
      <c r="G1471" t="n">
        <v>0</v>
      </c>
      <c r="H1471" t="n">
        <v>4</v>
      </c>
      <c r="I1471" t="n">
        <v>20</v>
      </c>
      <c r="J1471" t="n">
        <v>3</v>
      </c>
      <c r="K1471" t="n">
        <v>0</v>
      </c>
      <c r="L1471" t="n">
        <v>33643</v>
      </c>
      <c r="M1471" t="n">
        <v>41500</v>
      </c>
      <c r="N1471" t="n">
        <v>33</v>
      </c>
      <c r="O1471" t="n">
        <v>0.33</v>
      </c>
      <c r="P1471" t="n">
        <v>1</v>
      </c>
      <c r="Q1471" t="n">
        <v>0.19</v>
      </c>
      <c r="R1471" t="n">
        <v>2</v>
      </c>
      <c r="S1471" t="n">
        <v>410.85</v>
      </c>
      <c r="T1471" t="n">
        <v>0</v>
      </c>
      <c r="U1471" t="n">
        <v>1</v>
      </c>
      <c r="V1471" t="n">
        <v>30</v>
      </c>
      <c r="W1471" t="n">
        <v>1</v>
      </c>
      <c r="X1471" t="n">
        <v>707.070707070707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5375</v>
      </c>
      <c r="AG1471" t="n">
        <v>1</v>
      </c>
      <c r="AH1471" t="inlineStr">
        <is>
          <t>PT. BERSAMA DISTRIVERSA INDONESIA (DC CIPUTAT)</t>
        </is>
      </c>
      <c r="AI1471" t="n">
        <v>339</v>
      </c>
      <c r="AJ1471" t="inlineStr">
        <is>
          <t>GOLDEN VIERA</t>
        </is>
      </c>
      <c r="AK1471" t="n">
        <v>9</v>
      </c>
      <c r="AL1471" t="inlineStr">
        <is>
          <t>Miss Glam Jambi</t>
        </is>
      </c>
      <c r="AM1471" t="n">
        <v>2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GRACE AND GLOW</t>
        </is>
      </c>
      <c r="B1472" s="2">
        <f>"745604686181"</f>
        <v/>
      </c>
      <c r="C1472" t="inlineStr">
        <is>
          <t>GRACE AND GLOW Bightening Sun Body Serum 100ml</t>
        </is>
      </c>
      <c r="D1472" t="inlineStr">
        <is>
          <t>Miss Glam Jambi</t>
        </is>
      </c>
      <c r="E1472" t="n">
        <v>14</v>
      </c>
      <c r="F1472" t="n">
        <v>2.8182</v>
      </c>
      <c r="G1472" t="n">
        <v>6.27</v>
      </c>
      <c r="H1472" t="n">
        <v>4</v>
      </c>
      <c r="I1472" t="n">
        <v>11</v>
      </c>
      <c r="J1472" t="n">
        <v>3</v>
      </c>
      <c r="K1472" t="n">
        <v>55</v>
      </c>
      <c r="L1472" t="n">
        <v>32634</v>
      </c>
      <c r="M1472" t="n">
        <v>38000</v>
      </c>
      <c r="N1472" t="n">
        <v>33</v>
      </c>
      <c r="O1472" t="n">
        <v>0.33</v>
      </c>
      <c r="P1472" t="n">
        <v>1</v>
      </c>
      <c r="Q1472" t="n">
        <v>0.75</v>
      </c>
      <c r="R1472" t="n">
        <v>3</v>
      </c>
      <c r="S1472" t="n">
        <v>107091.6</v>
      </c>
      <c r="T1472" t="n">
        <v>58</v>
      </c>
      <c r="U1472" t="n">
        <v>70</v>
      </c>
      <c r="V1472" t="n">
        <v>30</v>
      </c>
      <c r="W1472" t="n">
        <v>85</v>
      </c>
      <c r="X1472" t="n">
        <v>4.967709885742672</v>
      </c>
      <c r="Y1472" t="n">
        <v>1</v>
      </c>
      <c r="Z1472" t="n">
        <v>16</v>
      </c>
      <c r="AA1472" t="n">
        <v>17</v>
      </c>
      <c r="AB1472" t="n">
        <v>0</v>
      </c>
      <c r="AC1472" t="n">
        <v>0</v>
      </c>
      <c r="AD1472" t="n">
        <v>554778</v>
      </c>
      <c r="AE1472" t="n">
        <v>0</v>
      </c>
      <c r="AF1472" t="n">
        <v>10039</v>
      </c>
      <c r="AG1472" t="n">
        <v>78</v>
      </c>
      <c r="AH1472" t="inlineStr">
        <is>
          <t>PT. GLORIENTA P.H - PPN (PDG)</t>
        </is>
      </c>
      <c r="AI1472" t="n">
        <v>1198</v>
      </c>
      <c r="AJ1472" t="inlineStr">
        <is>
          <t>GRACE AND GLOW</t>
        </is>
      </c>
      <c r="AK1472" t="n">
        <v>9</v>
      </c>
      <c r="AL1472" t="inlineStr">
        <is>
          <t>Miss Glam Jambi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GRACE AND GLOW</t>
        </is>
      </c>
      <c r="B1473" s="2">
        <f>"725765154026"</f>
        <v/>
      </c>
      <c r="C1473" t="inlineStr">
        <is>
          <t>GRACE AND GLOW Black Opium Silky Hair Mist 100ml</t>
        </is>
      </c>
      <c r="D1473" t="inlineStr">
        <is>
          <t>Miss Glam Jambi</t>
        </is>
      </c>
      <c r="E1473" t="n">
        <v>3</v>
      </c>
      <c r="F1473" t="n">
        <v>0.066</v>
      </c>
      <c r="G1473" t="n">
        <v>0.66</v>
      </c>
      <c r="H1473" t="n">
        <v>4</v>
      </c>
      <c r="I1473" t="n">
        <v>11</v>
      </c>
      <c r="J1473" t="n">
        <v>3</v>
      </c>
      <c r="K1473" t="n">
        <v>0</v>
      </c>
      <c r="L1473" t="n">
        <v>36000</v>
      </c>
      <c r="M1473" t="n">
        <v>49000</v>
      </c>
      <c r="N1473" t="n">
        <v>33</v>
      </c>
      <c r="O1473" t="n">
        <v>0.33</v>
      </c>
      <c r="P1473" t="n">
        <v>1</v>
      </c>
      <c r="Q1473" t="n">
        <v>0.07000000000000001</v>
      </c>
      <c r="R1473" t="n">
        <v>1</v>
      </c>
      <c r="S1473" t="n">
        <v>3234</v>
      </c>
      <c r="T1473" t="n">
        <v>7</v>
      </c>
      <c r="U1473" t="n">
        <v>8</v>
      </c>
      <c r="V1473" t="n">
        <v>30</v>
      </c>
      <c r="W1473" t="n">
        <v>2</v>
      </c>
      <c r="X1473" t="n">
        <v>45.45454545454545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10039</v>
      </c>
      <c r="AG1473" t="n">
        <v>78</v>
      </c>
      <c r="AH1473" t="inlineStr">
        <is>
          <t>PT. GLORIENTA P.H - PPN (PDG)</t>
        </is>
      </c>
      <c r="AI1473" t="n">
        <v>1198</v>
      </c>
      <c r="AJ1473" t="inlineStr">
        <is>
          <t>GRACE AND GLOW</t>
        </is>
      </c>
      <c r="AK1473" t="n">
        <v>9</v>
      </c>
      <c r="AL1473" t="inlineStr">
        <is>
          <t>Miss Glam Jambi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GRACE AND GLOW</t>
        </is>
      </c>
      <c r="B1474" s="2">
        <f>"40100204024"</f>
        <v/>
      </c>
      <c r="C1474" t="inlineStr">
        <is>
          <t>GRACE AND GLOW Daisy Breeze Dry Shampoo 150ml</t>
        </is>
      </c>
      <c r="D1474" t="inlineStr">
        <is>
          <t>Miss Glam Jambi</t>
        </is>
      </c>
      <c r="E1474" t="n">
        <v>2</v>
      </c>
      <c r="F1474" t="n">
        <v>0.0231</v>
      </c>
      <c r="G1474" t="n">
        <v>0.33</v>
      </c>
      <c r="H1474" t="n">
        <v>4</v>
      </c>
      <c r="I1474" t="n">
        <v>11</v>
      </c>
      <c r="J1474" t="n">
        <v>1</v>
      </c>
      <c r="K1474" t="n">
        <v>0</v>
      </c>
      <c r="L1474" t="n">
        <v>62182</v>
      </c>
      <c r="M1474" t="n">
        <v>71500</v>
      </c>
      <c r="N1474" t="n">
        <v>33</v>
      </c>
      <c r="O1474" t="n">
        <v>0.33</v>
      </c>
      <c r="P1474" t="n">
        <v>1</v>
      </c>
      <c r="Q1474" t="n">
        <v>0.1</v>
      </c>
      <c r="R1474" t="n">
        <v>1</v>
      </c>
      <c r="S1474" t="n">
        <v>1651.65</v>
      </c>
      <c r="T1474" t="n">
        <v>4</v>
      </c>
      <c r="U1474" t="n">
        <v>5</v>
      </c>
      <c r="V1474" t="n">
        <v>30</v>
      </c>
      <c r="W1474" t="n">
        <v>1</v>
      </c>
      <c r="X1474" t="n">
        <v>86.58008658008657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10039</v>
      </c>
      <c r="AG1474" t="n">
        <v>78</v>
      </c>
      <c r="AH1474" t="inlineStr">
        <is>
          <t>PT. GLORIENTA P.H - PPN (PDG)</t>
        </is>
      </c>
      <c r="AI1474" t="n">
        <v>1198</v>
      </c>
      <c r="AJ1474" t="inlineStr">
        <is>
          <t>GRACE AND GLOW</t>
        </is>
      </c>
      <c r="AK1474" t="n">
        <v>9</v>
      </c>
      <c r="AL1474" t="inlineStr">
        <is>
          <t>Miss Glam Jambi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GRACE AND GLOW</t>
        </is>
      </c>
      <c r="B1475" s="2">
        <f>"745240573005"</f>
        <v/>
      </c>
      <c r="C1475" t="inlineStr">
        <is>
          <t>GRACE AND GLOW Daisy Hair Vitamin Mist 100ml</t>
        </is>
      </c>
      <c r="D1475" t="inlineStr">
        <is>
          <t>Miss Glam Jambi</t>
        </is>
      </c>
      <c r="E1475" t="n">
        <v>2</v>
      </c>
      <c r="F1475" t="n">
        <v>0.009900000000000001</v>
      </c>
      <c r="G1475" t="n">
        <v>0.33</v>
      </c>
      <c r="H1475" t="n">
        <v>4</v>
      </c>
      <c r="I1475" t="n">
        <v>11</v>
      </c>
      <c r="J1475" t="n">
        <v>3</v>
      </c>
      <c r="K1475" t="n">
        <v>0</v>
      </c>
      <c r="L1475" t="n">
        <v>36000</v>
      </c>
      <c r="M1475" t="n">
        <v>49000</v>
      </c>
      <c r="N1475" t="n">
        <v>33</v>
      </c>
      <c r="O1475" t="n">
        <v>0.33</v>
      </c>
      <c r="P1475" t="n">
        <v>1</v>
      </c>
      <c r="Q1475" t="n">
        <v>0.03</v>
      </c>
      <c r="R1475" t="n">
        <v>1</v>
      </c>
      <c r="S1475" t="n">
        <v>485.1</v>
      </c>
      <c r="T1475" t="n">
        <v>4</v>
      </c>
      <c r="U1475" t="n">
        <v>5</v>
      </c>
      <c r="V1475" t="n">
        <v>30</v>
      </c>
      <c r="W1475" t="n">
        <v>1</v>
      </c>
      <c r="X1475" t="n">
        <v>202.020202020202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10039</v>
      </c>
      <c r="AG1475" t="n">
        <v>78</v>
      </c>
      <c r="AH1475" t="inlineStr">
        <is>
          <t>PT. GLORIENTA P.H - PPN (PDG)</t>
        </is>
      </c>
      <c r="AI1475" t="n">
        <v>1198</v>
      </c>
      <c r="AJ1475" t="inlineStr">
        <is>
          <t>GRACE AND GLOW</t>
        </is>
      </c>
      <c r="AK1475" t="n">
        <v>9</v>
      </c>
      <c r="AL1475" t="inlineStr">
        <is>
          <t>Miss Glam Jambi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GRACE AND GLOW</t>
        </is>
      </c>
      <c r="B1476" s="2">
        <f>"30400519016"</f>
        <v/>
      </c>
      <c r="C1476" t="inlineStr">
        <is>
          <t>GRACE AND GLOW Invisible Smooth Antiperspirant Roll On 20ml</t>
        </is>
      </c>
      <c r="D1476" t="inlineStr">
        <is>
          <t>Miss Glam Jambi</t>
        </is>
      </c>
      <c r="E1476" t="n">
        <v>3</v>
      </c>
      <c r="F1476" t="n">
        <v>0.14</v>
      </c>
      <c r="G1476" t="n">
        <v>1</v>
      </c>
      <c r="H1476" t="n">
        <v>4</v>
      </c>
      <c r="I1476" t="n">
        <v>11</v>
      </c>
      <c r="J1476" t="n">
        <v>1</v>
      </c>
      <c r="K1476" t="n">
        <v>2</v>
      </c>
      <c r="L1476" t="n">
        <v>68302</v>
      </c>
      <c r="M1476" t="n">
        <v>86500</v>
      </c>
      <c r="N1476" t="n">
        <v>33</v>
      </c>
      <c r="O1476" t="n">
        <v>0.33</v>
      </c>
      <c r="P1476" t="n">
        <v>0</v>
      </c>
      <c r="Q1476" t="n">
        <v>0.14</v>
      </c>
      <c r="R1476" t="n">
        <v>1</v>
      </c>
      <c r="S1476" t="n">
        <v>12110</v>
      </c>
      <c r="T1476" t="n">
        <v>11</v>
      </c>
      <c r="U1476" t="n">
        <v>12</v>
      </c>
      <c r="V1476" t="n">
        <v>30</v>
      </c>
      <c r="W1476" t="n">
        <v>5</v>
      </c>
      <c r="X1476" t="n">
        <v>21.42857142857143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10039</v>
      </c>
      <c r="AG1476" t="n">
        <v>78</v>
      </c>
      <c r="AH1476" t="inlineStr">
        <is>
          <t>PT. GLORIENTA P.H - PPN (PDG)</t>
        </is>
      </c>
      <c r="AI1476" t="n">
        <v>1198</v>
      </c>
      <c r="AJ1476" t="inlineStr">
        <is>
          <t>GRACE AND GLOW</t>
        </is>
      </c>
      <c r="AK1476" t="n">
        <v>9</v>
      </c>
      <c r="AL1476" t="inlineStr">
        <is>
          <t>Miss Glam Jambi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GRACE AND GLOW</t>
        </is>
      </c>
      <c r="B1477" s="2">
        <f>"6970146294042"</f>
        <v/>
      </c>
      <c r="C1477" t="inlineStr">
        <is>
          <t>GRACE AND GLOW Moiselle Leave On Hair Conditioner 70ml</t>
        </is>
      </c>
      <c r="D1477" t="inlineStr">
        <is>
          <t>Miss Glam Jambi</t>
        </is>
      </c>
      <c r="E1477" t="n">
        <v>4</v>
      </c>
      <c r="F1477" t="n">
        <v>0.02</v>
      </c>
      <c r="G1477" t="n">
        <v>1</v>
      </c>
      <c r="H1477" t="n">
        <v>4</v>
      </c>
      <c r="I1477" t="n">
        <v>11</v>
      </c>
      <c r="J1477" t="n">
        <v>3</v>
      </c>
      <c r="K1477" t="n">
        <v>0</v>
      </c>
      <c r="L1477" t="n">
        <v>35250</v>
      </c>
      <c r="M1477" t="n">
        <v>69000</v>
      </c>
      <c r="N1477" t="n">
        <v>33</v>
      </c>
      <c r="O1477" t="n">
        <v>0.33</v>
      </c>
      <c r="P1477" t="n">
        <v>0</v>
      </c>
      <c r="Q1477" t="n">
        <v>0.02</v>
      </c>
      <c r="R1477" t="n">
        <v>1</v>
      </c>
      <c r="S1477" t="n">
        <v>1380</v>
      </c>
      <c r="T1477" t="n">
        <v>11</v>
      </c>
      <c r="U1477" t="n">
        <v>12</v>
      </c>
      <c r="V1477" t="n">
        <v>30</v>
      </c>
      <c r="W1477" t="n">
        <v>1</v>
      </c>
      <c r="X1477" t="n">
        <v>200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10039</v>
      </c>
      <c r="AG1477" t="n">
        <v>78</v>
      </c>
      <c r="AH1477" t="inlineStr">
        <is>
          <t>PT. GLORIENTA P.H - PPN (PDG)</t>
        </is>
      </c>
      <c r="AI1477" t="n">
        <v>1198</v>
      </c>
      <c r="AJ1477" t="inlineStr">
        <is>
          <t>GRACE AND GLOW</t>
        </is>
      </c>
      <c r="AK1477" t="n">
        <v>9</v>
      </c>
      <c r="AL1477" t="inlineStr">
        <is>
          <t>Miss Glam Jambi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GRACE AND GLOW</t>
        </is>
      </c>
      <c r="B1478" s="2">
        <f>"725765154033"</f>
        <v/>
      </c>
      <c r="C1478" t="inlineStr">
        <is>
          <t>GRACE AND GLOW Peony Blush Heat Care Hair Mist 100ml</t>
        </is>
      </c>
      <c r="D1478" t="inlineStr">
        <is>
          <t>Miss Glam Jambi</t>
        </is>
      </c>
      <c r="E1478" t="n">
        <v>0</v>
      </c>
      <c r="F1478" t="n">
        <v>0.06</v>
      </c>
      <c r="G1478" t="n">
        <v>1</v>
      </c>
      <c r="H1478" t="n">
        <v>4</v>
      </c>
      <c r="I1478" t="n">
        <v>11</v>
      </c>
      <c r="J1478" t="n">
        <v>3</v>
      </c>
      <c r="K1478" t="n">
        <v>3</v>
      </c>
      <c r="L1478" t="n">
        <v>36000</v>
      </c>
      <c r="M1478" t="n">
        <v>49000</v>
      </c>
      <c r="N1478" t="n">
        <v>33</v>
      </c>
      <c r="O1478" t="n">
        <v>0.33</v>
      </c>
      <c r="P1478" t="n">
        <v>0</v>
      </c>
      <c r="Q1478" t="n">
        <v>0.06</v>
      </c>
      <c r="R1478" t="n">
        <v>1</v>
      </c>
      <c r="S1478" t="n">
        <v>2940</v>
      </c>
      <c r="T1478" t="n">
        <v>11</v>
      </c>
      <c r="U1478" t="n">
        <v>12</v>
      </c>
      <c r="V1478" t="n">
        <v>30</v>
      </c>
      <c r="W1478" t="n">
        <v>2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10039</v>
      </c>
      <c r="AG1478" t="n">
        <v>78</v>
      </c>
      <c r="AH1478" t="inlineStr">
        <is>
          <t>PT. GLORIENTA P.H - PPN (PDG)</t>
        </is>
      </c>
      <c r="AI1478" t="n">
        <v>1198</v>
      </c>
      <c r="AJ1478" t="inlineStr">
        <is>
          <t>GRACE AND GLOW</t>
        </is>
      </c>
      <c r="AK1478" t="n">
        <v>9</v>
      </c>
      <c r="AL1478" t="inlineStr">
        <is>
          <t>Miss Glam Jambi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GRACE AND GLOW</t>
        </is>
      </c>
      <c r="B1479" s="2">
        <f>"745240572909"</f>
        <v/>
      </c>
      <c r="C1479" t="inlineStr">
        <is>
          <t>GRACE AND GLOW Rouge 540 Glow &amp; Firm Body Wash 400ml</t>
        </is>
      </c>
      <c r="D1479" t="inlineStr">
        <is>
          <t>Miss Glam Jambi</t>
        </is>
      </c>
      <c r="E1479" t="n">
        <v>2</v>
      </c>
      <c r="F1479" t="n">
        <v>0.264</v>
      </c>
      <c r="G1479" t="n">
        <v>0.99</v>
      </c>
      <c r="H1479" t="n">
        <v>4</v>
      </c>
      <c r="I1479" t="n">
        <v>11</v>
      </c>
      <c r="J1479" t="n">
        <v>3</v>
      </c>
      <c r="K1479" t="n">
        <v>5</v>
      </c>
      <c r="L1479" t="n">
        <v>45000</v>
      </c>
      <c r="M1479" t="n">
        <v>59000</v>
      </c>
      <c r="N1479" t="n">
        <v>33</v>
      </c>
      <c r="O1479" t="n">
        <v>0.33</v>
      </c>
      <c r="P1479" t="n">
        <v>1</v>
      </c>
      <c r="Q1479" t="n">
        <v>0.12</v>
      </c>
      <c r="R1479" t="n">
        <v>1</v>
      </c>
      <c r="S1479" t="n">
        <v>15576</v>
      </c>
      <c r="T1479" t="n">
        <v>10</v>
      </c>
      <c r="U1479" t="n">
        <v>12</v>
      </c>
      <c r="V1479" t="n">
        <v>30</v>
      </c>
      <c r="W1479" t="n">
        <v>8</v>
      </c>
      <c r="X1479" t="n">
        <v>7.575757575757575</v>
      </c>
      <c r="Y1479" t="n">
        <v>1</v>
      </c>
      <c r="Z1479" t="n">
        <v>1</v>
      </c>
      <c r="AA1479" t="n">
        <v>0</v>
      </c>
      <c r="AB1479" t="n">
        <v>1</v>
      </c>
      <c r="AC1479" t="n">
        <v>3</v>
      </c>
      <c r="AD1479" t="n">
        <v>0</v>
      </c>
      <c r="AE1479" t="n">
        <v>135000</v>
      </c>
      <c r="AF1479" t="n">
        <v>10039</v>
      </c>
      <c r="AG1479" t="n">
        <v>78</v>
      </c>
      <c r="AH1479" t="inlineStr">
        <is>
          <t>PT. GLORIENTA P.H - PPN (PDG)</t>
        </is>
      </c>
      <c r="AI1479" t="n">
        <v>1198</v>
      </c>
      <c r="AJ1479" t="inlineStr">
        <is>
          <t>GRACE AND GLOW</t>
        </is>
      </c>
      <c r="AK1479" t="n">
        <v>9</v>
      </c>
      <c r="AL1479" t="inlineStr">
        <is>
          <t>Miss Glam Jambi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GRACE AND GLOW</t>
        </is>
      </c>
      <c r="B1480" s="2">
        <f>"40100204145"</f>
        <v/>
      </c>
      <c r="C1480" t="inlineStr">
        <is>
          <t>GRACE AND GLOW Velvet Breeze Dry Shampoo 150ml</t>
        </is>
      </c>
      <c r="D1480" t="inlineStr">
        <is>
          <t>Miss Glam Jambi</t>
        </is>
      </c>
      <c r="E1480" t="n">
        <v>0</v>
      </c>
      <c r="F1480" t="n">
        <v>0.1452</v>
      </c>
      <c r="G1480" t="n">
        <v>0.66</v>
      </c>
      <c r="H1480" t="n">
        <v>4</v>
      </c>
      <c r="I1480" t="n">
        <v>11</v>
      </c>
      <c r="J1480" t="n">
        <v>1</v>
      </c>
      <c r="K1480" t="n">
        <v>3</v>
      </c>
      <c r="L1480" t="n">
        <v>62750</v>
      </c>
      <c r="M1480" t="n">
        <v>71500</v>
      </c>
      <c r="N1480" t="n">
        <v>33</v>
      </c>
      <c r="O1480" t="n">
        <v>0.33</v>
      </c>
      <c r="P1480" t="n">
        <v>1</v>
      </c>
      <c r="Q1480" t="n">
        <v>0.28</v>
      </c>
      <c r="R1480" t="n">
        <v>3</v>
      </c>
      <c r="S1480" t="n">
        <v>10381.8</v>
      </c>
      <c r="T1480" t="n">
        <v>7</v>
      </c>
      <c r="U1480" t="n">
        <v>8</v>
      </c>
      <c r="V1480" t="n">
        <v>30</v>
      </c>
      <c r="W1480" t="n">
        <v>5</v>
      </c>
      <c r="X1480" t="n">
        <v>0</v>
      </c>
      <c r="Y1480" t="n">
        <v>1</v>
      </c>
      <c r="Z1480" t="n">
        <v>2</v>
      </c>
      <c r="AA1480" t="n">
        <v>1</v>
      </c>
      <c r="AB1480" t="n">
        <v>1</v>
      </c>
      <c r="AC1480" t="n">
        <v>1</v>
      </c>
      <c r="AD1480" t="n">
        <v>62750</v>
      </c>
      <c r="AE1480" t="n">
        <v>62750</v>
      </c>
      <c r="AF1480" t="n">
        <v>10039</v>
      </c>
      <c r="AG1480" t="n">
        <v>78</v>
      </c>
      <c r="AH1480" t="inlineStr">
        <is>
          <t>PT. GLORIENTA P.H - PPN (PDG)</t>
        </is>
      </c>
      <c r="AI1480" t="n">
        <v>1198</v>
      </c>
      <c r="AJ1480" t="inlineStr">
        <is>
          <t>GRACE AND GLOW</t>
        </is>
      </c>
      <c r="AK1480" t="n">
        <v>9</v>
      </c>
      <c r="AL1480" t="inlineStr">
        <is>
          <t>Miss Glam Jambi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HADALABO</t>
        </is>
      </c>
      <c r="B1481" s="2">
        <f>"8992821104055"</f>
        <v/>
      </c>
      <c r="C1481" t="inlineStr">
        <is>
          <t>HADALABO Gokujyun Premium Ultimate Anti Aging Serum 20ml</t>
        </is>
      </c>
      <c r="D1481" t="inlineStr">
        <is>
          <t>Miss Glam Jambi</t>
        </is>
      </c>
      <c r="E1481" t="n">
        <v>2</v>
      </c>
      <c r="F1481" t="n">
        <v>0.02</v>
      </c>
      <c r="G1481" t="n">
        <v>1</v>
      </c>
      <c r="H1481" t="n">
        <v>4</v>
      </c>
      <c r="I1481" t="n">
        <v>15</v>
      </c>
      <c r="J1481" t="n">
        <v>3</v>
      </c>
      <c r="K1481" t="n">
        <v>0</v>
      </c>
      <c r="L1481" t="n">
        <v>98302</v>
      </c>
      <c r="M1481" t="n">
        <v>135000</v>
      </c>
      <c r="N1481" t="n">
        <v>33</v>
      </c>
      <c r="O1481" t="n">
        <v>0.33</v>
      </c>
      <c r="P1481" t="n">
        <v>0</v>
      </c>
      <c r="Q1481" t="n">
        <v>0.02</v>
      </c>
      <c r="R1481" t="n">
        <v>1</v>
      </c>
      <c r="S1481" t="n">
        <v>2700</v>
      </c>
      <c r="T1481" t="n">
        <v>15</v>
      </c>
      <c r="U1481" t="n">
        <v>16</v>
      </c>
      <c r="V1481" t="n">
        <v>30</v>
      </c>
      <c r="W1481" t="n">
        <v>1</v>
      </c>
      <c r="X1481" t="n">
        <v>100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10811</v>
      </c>
      <c r="AG1481" t="n">
        <v>2132</v>
      </c>
      <c r="AH1481" t="inlineStr">
        <is>
          <t>PT. MENSA BINA SUKSES - PPN (JMB)</t>
        </is>
      </c>
      <c r="AI1481" t="n">
        <v>301</v>
      </c>
      <c r="AJ1481" t="inlineStr">
        <is>
          <t>HADALABO</t>
        </is>
      </c>
      <c r="AK1481" t="n">
        <v>9</v>
      </c>
      <c r="AL1481" t="inlineStr">
        <is>
          <t>Miss Glam Jambi</t>
        </is>
      </c>
      <c r="AM1481" t="n">
        <v>3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HADALABO</t>
        </is>
      </c>
      <c r="B1482" s="2">
        <f>"8992821104031"</f>
        <v/>
      </c>
      <c r="C1482" t="inlineStr">
        <is>
          <t>HADALABO Gokujyun Premium Ultimate Moisturizing 20ml</t>
        </is>
      </c>
      <c r="D1482" t="inlineStr">
        <is>
          <t>Miss Glam Jambi</t>
        </is>
      </c>
      <c r="E1482" t="n">
        <v>2</v>
      </c>
      <c r="F1482" t="n">
        <v>0.009900000000000001</v>
      </c>
      <c r="G1482" t="n">
        <v>0.33</v>
      </c>
      <c r="H1482" t="n">
        <v>4</v>
      </c>
      <c r="I1482" t="n">
        <v>15</v>
      </c>
      <c r="J1482" t="n">
        <v>3</v>
      </c>
      <c r="K1482" t="n">
        <v>0</v>
      </c>
      <c r="L1482" t="n">
        <v>83556</v>
      </c>
      <c r="M1482" t="n">
        <v>112000</v>
      </c>
      <c r="N1482" t="n">
        <v>33</v>
      </c>
      <c r="O1482" t="n">
        <v>0.33</v>
      </c>
      <c r="P1482" t="n">
        <v>1</v>
      </c>
      <c r="Q1482" t="n">
        <v>0.03</v>
      </c>
      <c r="R1482" t="n">
        <v>1</v>
      </c>
      <c r="S1482" t="n">
        <v>1108.8</v>
      </c>
      <c r="T1482" t="n">
        <v>5</v>
      </c>
      <c r="U1482" t="n">
        <v>6</v>
      </c>
      <c r="V1482" t="n">
        <v>30</v>
      </c>
      <c r="W1482" t="n">
        <v>1</v>
      </c>
      <c r="X1482" t="n">
        <v>202.020202020202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10811</v>
      </c>
      <c r="AG1482" t="n">
        <v>2132</v>
      </c>
      <c r="AH1482" t="inlineStr">
        <is>
          <t>PT. MENSA BINA SUKSES - PPN (JMB)</t>
        </is>
      </c>
      <c r="AI1482" t="n">
        <v>301</v>
      </c>
      <c r="AJ1482" t="inlineStr">
        <is>
          <t>HADALABO</t>
        </is>
      </c>
      <c r="AK1482" t="n">
        <v>9</v>
      </c>
      <c r="AL1482" t="inlineStr">
        <is>
          <t>Miss Glam Jambi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HADALABO</t>
        </is>
      </c>
      <c r="B1483" s="2">
        <f>"8992821104062"</f>
        <v/>
      </c>
      <c r="C1483" t="inlineStr">
        <is>
          <t>HADALABO Gokujyun Premium Ultimate Moisturizing Eye Cream 15gr</t>
        </is>
      </c>
      <c r="D1483" t="inlineStr">
        <is>
          <t>Miss Glam Jambi</t>
        </is>
      </c>
      <c r="E1483" t="n">
        <v>1</v>
      </c>
      <c r="F1483" t="n">
        <v>0.02</v>
      </c>
      <c r="G1483" t="n">
        <v>1</v>
      </c>
      <c r="H1483" t="n">
        <v>4</v>
      </c>
      <c r="I1483" t="n">
        <v>15</v>
      </c>
      <c r="J1483" t="n">
        <v>3</v>
      </c>
      <c r="K1483" t="n">
        <v>0</v>
      </c>
      <c r="L1483" t="n">
        <v>94206</v>
      </c>
      <c r="M1483" t="n">
        <v>124000</v>
      </c>
      <c r="N1483" t="n">
        <v>33</v>
      </c>
      <c r="O1483" t="n">
        <v>0.33</v>
      </c>
      <c r="P1483" t="n">
        <v>0</v>
      </c>
      <c r="Q1483" t="n">
        <v>0.02</v>
      </c>
      <c r="R1483" t="n">
        <v>1</v>
      </c>
      <c r="S1483" t="n">
        <v>2480</v>
      </c>
      <c r="T1483" t="n">
        <v>15</v>
      </c>
      <c r="U1483" t="n">
        <v>16</v>
      </c>
      <c r="V1483" t="n">
        <v>30</v>
      </c>
      <c r="W1483" t="n">
        <v>1</v>
      </c>
      <c r="X1483" t="n">
        <v>50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10811</v>
      </c>
      <c r="AG1483" t="n">
        <v>2132</v>
      </c>
      <c r="AH1483" t="inlineStr">
        <is>
          <t>PT. MENSA BINA SUKSES - PPN (JMB)</t>
        </is>
      </c>
      <c r="AI1483" t="n">
        <v>301</v>
      </c>
      <c r="AJ1483" t="inlineStr">
        <is>
          <t>HADALABO</t>
        </is>
      </c>
      <c r="AK1483" t="n">
        <v>9</v>
      </c>
      <c r="AL1483" t="inlineStr">
        <is>
          <t>Miss Glam Jambi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HADALABO</t>
        </is>
      </c>
      <c r="B1484" s="2">
        <f>"8992821103522"</f>
        <v/>
      </c>
      <c r="C1484" t="inlineStr">
        <is>
          <t>HADALABO Gokujyun Premium Ultimate Moisturizing Lotion 100ml</t>
        </is>
      </c>
      <c r="D1484" t="inlineStr">
        <is>
          <t>Miss Glam Jambi</t>
        </is>
      </c>
      <c r="E1484" t="n">
        <v>23</v>
      </c>
      <c r="F1484" t="n">
        <v>0.09569999999999999</v>
      </c>
      <c r="G1484" t="n">
        <v>0.66</v>
      </c>
      <c r="H1484" t="n">
        <v>4</v>
      </c>
      <c r="I1484" t="n">
        <v>15</v>
      </c>
      <c r="J1484" t="n">
        <v>3</v>
      </c>
      <c r="K1484" t="n">
        <v>0</v>
      </c>
      <c r="L1484" t="n">
        <v>70859</v>
      </c>
      <c r="M1484" t="n">
        <v>89000</v>
      </c>
      <c r="N1484" t="n">
        <v>33</v>
      </c>
      <c r="O1484" t="n">
        <v>0.33</v>
      </c>
      <c r="P1484" t="n">
        <v>1</v>
      </c>
      <c r="Q1484" t="n">
        <v>0.15</v>
      </c>
      <c r="R1484" t="n">
        <v>1</v>
      </c>
      <c r="S1484" t="n">
        <v>8517.299999999999</v>
      </c>
      <c r="T1484" t="n">
        <v>10</v>
      </c>
      <c r="U1484" t="n">
        <v>11</v>
      </c>
      <c r="V1484" t="n">
        <v>30</v>
      </c>
      <c r="W1484" t="n">
        <v>3</v>
      </c>
      <c r="X1484" t="n">
        <v>240.3343782654128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10811</v>
      </c>
      <c r="AG1484" t="n">
        <v>2132</v>
      </c>
      <c r="AH1484" t="inlineStr">
        <is>
          <t>PT. MENSA BINA SUKSES - PPN (JMB)</t>
        </is>
      </c>
      <c r="AI1484" t="n">
        <v>301</v>
      </c>
      <c r="AJ1484" t="inlineStr">
        <is>
          <t>HADALABO</t>
        </is>
      </c>
      <c r="AK1484" t="n">
        <v>9</v>
      </c>
      <c r="AL1484" t="inlineStr">
        <is>
          <t>Miss Glam Jambi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HADALABO</t>
        </is>
      </c>
      <c r="B1485" s="2">
        <f>"8992821102457"</f>
        <v/>
      </c>
      <c r="C1485" t="inlineStr">
        <is>
          <t>HADALABO Gokujyun Ultimate Antiaging Lotion 100ml</t>
        </is>
      </c>
      <c r="D1485" t="inlineStr">
        <is>
          <t>Miss Glam Jambi</t>
        </is>
      </c>
      <c r="E1485" t="n">
        <v>5</v>
      </c>
      <c r="F1485" t="n">
        <v>0.0231</v>
      </c>
      <c r="G1485" t="n">
        <v>0.33</v>
      </c>
      <c r="H1485" t="n">
        <v>4</v>
      </c>
      <c r="I1485" t="n">
        <v>15</v>
      </c>
      <c r="J1485" t="n">
        <v>3</v>
      </c>
      <c r="K1485" t="n">
        <v>0</v>
      </c>
      <c r="L1485" t="n">
        <v>47103</v>
      </c>
      <c r="M1485" t="n">
        <v>54000</v>
      </c>
      <c r="N1485" t="n">
        <v>33</v>
      </c>
      <c r="O1485" t="n">
        <v>0.33</v>
      </c>
      <c r="P1485" t="n">
        <v>1</v>
      </c>
      <c r="Q1485" t="n">
        <v>0.03</v>
      </c>
      <c r="R1485" t="n">
        <v>1</v>
      </c>
      <c r="S1485" t="n">
        <v>1247.4</v>
      </c>
      <c r="T1485" t="n">
        <v>5</v>
      </c>
      <c r="U1485" t="n">
        <v>6</v>
      </c>
      <c r="V1485" t="n">
        <v>30</v>
      </c>
      <c r="W1485" t="n">
        <v>1</v>
      </c>
      <c r="X1485" t="n">
        <v>216.4502164502164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10811</v>
      </c>
      <c r="AG1485" t="n">
        <v>2132</v>
      </c>
      <c r="AH1485" t="inlineStr">
        <is>
          <t>PT. MENSA BINA SUKSES - PPN (JMB)</t>
        </is>
      </c>
      <c r="AI1485" t="n">
        <v>301</v>
      </c>
      <c r="AJ1485" t="inlineStr">
        <is>
          <t>HADALABO</t>
        </is>
      </c>
      <c r="AK1485" t="n">
        <v>9</v>
      </c>
      <c r="AL1485" t="inlineStr">
        <is>
          <t>Miss Glam Jambi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HADALABO</t>
        </is>
      </c>
      <c r="B1486" s="2">
        <f>"8992821102730"</f>
        <v/>
      </c>
      <c r="C1486" t="inlineStr">
        <is>
          <t>HADALABO Gokujyun Ultimate Moisturizing Cleansing Oil 100ml</t>
        </is>
      </c>
      <c r="D1486" t="inlineStr">
        <is>
          <t>Miss Glam Jambi</t>
        </is>
      </c>
      <c r="E1486" t="n">
        <v>5</v>
      </c>
      <c r="F1486" t="n">
        <v>0.264</v>
      </c>
      <c r="G1486" t="n">
        <v>1.32</v>
      </c>
      <c r="H1486" t="n">
        <v>4</v>
      </c>
      <c r="I1486" t="n">
        <v>15</v>
      </c>
      <c r="J1486" t="n">
        <v>3</v>
      </c>
      <c r="K1486" t="n">
        <v>3</v>
      </c>
      <c r="L1486" t="n">
        <v>56933</v>
      </c>
      <c r="M1486" t="n">
        <v>76000</v>
      </c>
      <c r="N1486" t="n">
        <v>33</v>
      </c>
      <c r="O1486" t="n">
        <v>0.33</v>
      </c>
      <c r="P1486" t="n">
        <v>1</v>
      </c>
      <c r="Q1486" t="n">
        <v>0.07000000000000001</v>
      </c>
      <c r="R1486" t="n">
        <v>1</v>
      </c>
      <c r="S1486" t="n">
        <v>20064</v>
      </c>
      <c r="T1486" t="n">
        <v>19</v>
      </c>
      <c r="U1486" t="n">
        <v>21</v>
      </c>
      <c r="V1486" t="n">
        <v>30</v>
      </c>
      <c r="W1486" t="n">
        <v>8</v>
      </c>
      <c r="X1486" t="n">
        <v>18.93939393939394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10811</v>
      </c>
      <c r="AG1486" t="n">
        <v>2132</v>
      </c>
      <c r="AH1486" t="inlineStr">
        <is>
          <t>PT. MENSA BINA SUKSES - PPN (JMB)</t>
        </is>
      </c>
      <c r="AI1486" t="n">
        <v>301</v>
      </c>
      <c r="AJ1486" t="inlineStr">
        <is>
          <t>HADALABO</t>
        </is>
      </c>
      <c r="AK1486" t="n">
        <v>9</v>
      </c>
      <c r="AL1486" t="inlineStr">
        <is>
          <t>Miss Glam Jambi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HADALABO</t>
        </is>
      </c>
      <c r="B1487" s="2">
        <f>"8992821101689"</f>
        <v/>
      </c>
      <c r="C1487" t="inlineStr">
        <is>
          <t>HADALABO Gokujyun Ultimate Moisturizing Face Wash 100gr</t>
        </is>
      </c>
      <c r="D1487" t="inlineStr">
        <is>
          <t>Miss Glam Jambi</t>
        </is>
      </c>
      <c r="E1487" t="n">
        <v>40</v>
      </c>
      <c r="F1487" t="n">
        <v>4.653</v>
      </c>
      <c r="G1487" t="n">
        <v>14.52</v>
      </c>
      <c r="H1487" t="n">
        <v>4</v>
      </c>
      <c r="I1487" t="n">
        <v>15</v>
      </c>
      <c r="J1487" t="n">
        <v>3</v>
      </c>
      <c r="K1487" t="n">
        <v>70</v>
      </c>
      <c r="L1487" t="n">
        <v>36290</v>
      </c>
      <c r="M1487" t="n">
        <v>44500</v>
      </c>
      <c r="N1487" t="n">
        <v>33</v>
      </c>
      <c r="O1487" t="n">
        <v>0.33</v>
      </c>
      <c r="P1487" t="n">
        <v>1</v>
      </c>
      <c r="Q1487" t="n">
        <v>2.34</v>
      </c>
      <c r="R1487" t="n">
        <v>8</v>
      </c>
      <c r="S1487" t="n">
        <v>207058.5</v>
      </c>
      <c r="T1487" t="n">
        <v>200</v>
      </c>
      <c r="U1487" t="n">
        <v>219</v>
      </c>
      <c r="V1487" t="n">
        <v>30</v>
      </c>
      <c r="W1487" t="n">
        <v>140</v>
      </c>
      <c r="X1487" t="n">
        <v>8.596604341285191</v>
      </c>
      <c r="Y1487" t="n">
        <v>1</v>
      </c>
      <c r="Z1487" t="n">
        <v>30</v>
      </c>
      <c r="AA1487" t="n">
        <v>29</v>
      </c>
      <c r="AB1487" t="n">
        <v>1</v>
      </c>
      <c r="AC1487" t="n">
        <v>3</v>
      </c>
      <c r="AD1487" t="n">
        <v>1052410</v>
      </c>
      <c r="AE1487" t="n">
        <v>108870</v>
      </c>
      <c r="AF1487" t="n">
        <v>10811</v>
      </c>
      <c r="AG1487" t="n">
        <v>2132</v>
      </c>
      <c r="AH1487" t="inlineStr">
        <is>
          <t>PT. MENSA BINA SUKSES - PPN (JMB)</t>
        </is>
      </c>
      <c r="AI1487" t="n">
        <v>301</v>
      </c>
      <c r="AJ1487" t="inlineStr">
        <is>
          <t>HADALABO</t>
        </is>
      </c>
      <c r="AK1487" t="n">
        <v>9</v>
      </c>
      <c r="AL1487" t="inlineStr">
        <is>
          <t>Miss Glam Jambi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HADALABO</t>
        </is>
      </c>
      <c r="B1488" s="2">
        <f>"8992821101672"</f>
        <v/>
      </c>
      <c r="C1488" t="inlineStr">
        <is>
          <t>HADALABO Gokujyun Ultimate Moisturizing Face Wash 50gr</t>
        </is>
      </c>
      <c r="D1488" t="inlineStr">
        <is>
          <t>Miss Glam Jambi</t>
        </is>
      </c>
      <c r="E1488" t="n">
        <v>51</v>
      </c>
      <c r="F1488" t="n">
        <v>3.3825</v>
      </c>
      <c r="G1488" t="n">
        <v>6.930000000000001</v>
      </c>
      <c r="H1488" t="n">
        <v>4</v>
      </c>
      <c r="I1488" t="n">
        <v>15</v>
      </c>
      <c r="J1488" t="n">
        <v>3</v>
      </c>
      <c r="K1488" t="n">
        <v>50</v>
      </c>
      <c r="L1488" t="n">
        <v>22118</v>
      </c>
      <c r="M1488" t="n">
        <v>27000</v>
      </c>
      <c r="N1488" t="n">
        <v>33</v>
      </c>
      <c r="O1488" t="n">
        <v>0.33</v>
      </c>
      <c r="P1488" t="n">
        <v>1</v>
      </c>
      <c r="Q1488" t="n">
        <v>2.02</v>
      </c>
      <c r="R1488" t="n">
        <v>6</v>
      </c>
      <c r="S1488" t="n">
        <v>91327.50000000001</v>
      </c>
      <c r="T1488" t="n">
        <v>91</v>
      </c>
      <c r="U1488" t="n">
        <v>105</v>
      </c>
      <c r="V1488" t="n">
        <v>30</v>
      </c>
      <c r="W1488" t="n">
        <v>102</v>
      </c>
      <c r="X1488" t="n">
        <v>15.07760532150776</v>
      </c>
      <c r="Y1488" t="n">
        <v>1</v>
      </c>
      <c r="Z1488" t="n">
        <v>1</v>
      </c>
      <c r="AA1488" t="n">
        <v>0</v>
      </c>
      <c r="AB1488" t="n">
        <v>1</v>
      </c>
      <c r="AC1488" t="n">
        <v>3</v>
      </c>
      <c r="AD1488" t="n">
        <v>0</v>
      </c>
      <c r="AE1488" t="n">
        <v>66354</v>
      </c>
      <c r="AF1488" t="n">
        <v>10811</v>
      </c>
      <c r="AG1488" t="n">
        <v>2132</v>
      </c>
      <c r="AH1488" t="inlineStr">
        <is>
          <t>PT. MENSA BINA SUKSES - PPN (JMB)</t>
        </is>
      </c>
      <c r="AI1488" t="n">
        <v>301</v>
      </c>
      <c r="AJ1488" t="inlineStr">
        <is>
          <t>HADALABO</t>
        </is>
      </c>
      <c r="AK1488" t="n">
        <v>9</v>
      </c>
      <c r="AL1488" t="inlineStr">
        <is>
          <t>Miss Glam Jambi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HADALABO</t>
        </is>
      </c>
      <c r="B1489" s="2">
        <f>"8992821102501"</f>
        <v/>
      </c>
      <c r="C1489" t="inlineStr">
        <is>
          <t>HADALABO Gokujyun Ultimate Moisturizing Light Lotion for Oily Skin 100ml</t>
        </is>
      </c>
      <c r="D1489" t="inlineStr">
        <is>
          <t>Miss Glam Jambi</t>
        </is>
      </c>
      <c r="E1489" t="n">
        <v>18</v>
      </c>
      <c r="F1489" t="n">
        <v>0.5049</v>
      </c>
      <c r="G1489" t="n">
        <v>1.65</v>
      </c>
      <c r="H1489" t="n">
        <v>4</v>
      </c>
      <c r="I1489" t="n">
        <v>15</v>
      </c>
      <c r="J1489" t="n">
        <v>3</v>
      </c>
      <c r="K1489" t="n">
        <v>0</v>
      </c>
      <c r="L1489" t="n">
        <v>38092</v>
      </c>
      <c r="M1489" t="n">
        <v>46000</v>
      </c>
      <c r="N1489" t="n">
        <v>33</v>
      </c>
      <c r="O1489" t="n">
        <v>0.33</v>
      </c>
      <c r="P1489" t="n">
        <v>1</v>
      </c>
      <c r="Q1489" t="n">
        <v>0.27</v>
      </c>
      <c r="R1489" t="n">
        <v>4</v>
      </c>
      <c r="S1489" t="n">
        <v>23225.4</v>
      </c>
      <c r="T1489" t="n">
        <v>23</v>
      </c>
      <c r="U1489" t="n">
        <v>26</v>
      </c>
      <c r="V1489" t="n">
        <v>30</v>
      </c>
      <c r="W1489" t="n">
        <v>16</v>
      </c>
      <c r="X1489" t="n">
        <v>35.650623885918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10811</v>
      </c>
      <c r="AG1489" t="n">
        <v>2132</v>
      </c>
      <c r="AH1489" t="inlineStr">
        <is>
          <t>PT. MENSA BINA SUKSES - PPN (JMB)</t>
        </is>
      </c>
      <c r="AI1489" t="n">
        <v>301</v>
      </c>
      <c r="AJ1489" t="inlineStr">
        <is>
          <t>HADALABO</t>
        </is>
      </c>
      <c r="AK1489" t="n">
        <v>9</v>
      </c>
      <c r="AL1489" t="inlineStr">
        <is>
          <t>Miss Glam Jambi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HADALABO</t>
        </is>
      </c>
      <c r="B1490" s="2">
        <f>"8992821101696"</f>
        <v/>
      </c>
      <c r="C1490" t="inlineStr">
        <is>
          <t>HADALABO Gokujyun Ultimate Moisturizing Lotion for Dry Normal Skin 100ml</t>
        </is>
      </c>
      <c r="D1490" t="inlineStr">
        <is>
          <t>Miss Glam Jambi</t>
        </is>
      </c>
      <c r="E1490" t="n">
        <v>12</v>
      </c>
      <c r="F1490" t="n">
        <v>0.4257</v>
      </c>
      <c r="G1490" t="n">
        <v>1.98</v>
      </c>
      <c r="H1490" t="n">
        <v>4</v>
      </c>
      <c r="I1490" t="n">
        <v>15</v>
      </c>
      <c r="J1490" t="n">
        <v>3</v>
      </c>
      <c r="K1490" t="n">
        <v>0</v>
      </c>
      <c r="L1490" t="n">
        <v>38092</v>
      </c>
      <c r="M1490" t="n">
        <v>46000</v>
      </c>
      <c r="N1490" t="n">
        <v>33</v>
      </c>
      <c r="O1490" t="n">
        <v>0.33</v>
      </c>
      <c r="P1490" t="n">
        <v>1</v>
      </c>
      <c r="Q1490" t="n">
        <v>0.25</v>
      </c>
      <c r="R1490" t="n">
        <v>2</v>
      </c>
      <c r="S1490" t="n">
        <v>19582.2</v>
      </c>
      <c r="T1490" t="n">
        <v>28</v>
      </c>
      <c r="U1490" t="n">
        <v>30</v>
      </c>
      <c r="V1490" t="n">
        <v>30</v>
      </c>
      <c r="W1490" t="n">
        <v>13</v>
      </c>
      <c r="X1490" t="n">
        <v>28.18886539816772</v>
      </c>
      <c r="Y1490" t="n">
        <v>1</v>
      </c>
      <c r="Z1490" t="n">
        <v>1</v>
      </c>
      <c r="AA1490" t="n">
        <v>0</v>
      </c>
      <c r="AB1490" t="n">
        <v>1</v>
      </c>
      <c r="AC1490" t="n">
        <v>3</v>
      </c>
      <c r="AD1490" t="n">
        <v>0</v>
      </c>
      <c r="AE1490" t="n">
        <v>114276</v>
      </c>
      <c r="AF1490" t="n">
        <v>10811</v>
      </c>
      <c r="AG1490" t="n">
        <v>2132</v>
      </c>
      <c r="AH1490" t="inlineStr">
        <is>
          <t>PT. MENSA BINA SUKSES - PPN (JMB)</t>
        </is>
      </c>
      <c r="AI1490" t="n">
        <v>301</v>
      </c>
      <c r="AJ1490" t="inlineStr">
        <is>
          <t>HADALABO</t>
        </is>
      </c>
      <c r="AK1490" t="n">
        <v>9</v>
      </c>
      <c r="AL1490" t="inlineStr">
        <is>
          <t>Miss Glam Jambi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HADALABO</t>
        </is>
      </c>
      <c r="B1491" s="2">
        <f>"8992821101702"</f>
        <v/>
      </c>
      <c r="C1491" t="inlineStr">
        <is>
          <t>HADALABO Gokujyun Ultimate Moisturizing Milk 100ml</t>
        </is>
      </c>
      <c r="D1491" t="inlineStr">
        <is>
          <t>Miss Glam Jambi</t>
        </is>
      </c>
      <c r="E1491" t="n">
        <v>19</v>
      </c>
      <c r="F1491" t="n">
        <v>0.7887000000000001</v>
      </c>
      <c r="G1491" t="n">
        <v>2.64</v>
      </c>
      <c r="H1491" t="n">
        <v>4</v>
      </c>
      <c r="I1491" t="n">
        <v>15</v>
      </c>
      <c r="J1491" t="n">
        <v>3</v>
      </c>
      <c r="K1491" t="n">
        <v>5</v>
      </c>
      <c r="L1491" t="n">
        <v>46284</v>
      </c>
      <c r="M1491" t="n">
        <v>56000</v>
      </c>
      <c r="N1491" t="n">
        <v>33</v>
      </c>
      <c r="O1491" t="n">
        <v>0.33</v>
      </c>
      <c r="P1491" t="n">
        <v>1</v>
      </c>
      <c r="Q1491" t="n">
        <v>0.54</v>
      </c>
      <c r="R1491" t="n">
        <v>3</v>
      </c>
      <c r="S1491" t="n">
        <v>44167.2</v>
      </c>
      <c r="T1491" t="n">
        <v>37</v>
      </c>
      <c r="U1491" t="n">
        <v>41</v>
      </c>
      <c r="V1491" t="n">
        <v>30</v>
      </c>
      <c r="W1491" t="n">
        <v>24</v>
      </c>
      <c r="X1491" t="n">
        <v>24.09027513630024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10811</v>
      </c>
      <c r="AG1491" t="n">
        <v>2132</v>
      </c>
      <c r="AH1491" t="inlineStr">
        <is>
          <t>PT. MENSA BINA SUKSES - PPN (JMB)</t>
        </is>
      </c>
      <c r="AI1491" t="n">
        <v>301</v>
      </c>
      <c r="AJ1491" t="inlineStr">
        <is>
          <t>HADALABO</t>
        </is>
      </c>
      <c r="AK1491" t="n">
        <v>9</v>
      </c>
      <c r="AL1491" t="inlineStr">
        <is>
          <t>Miss Glam Jambi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HADALABO</t>
        </is>
      </c>
      <c r="B1492" s="2">
        <f>"8992821103010"</f>
        <v/>
      </c>
      <c r="C1492" t="inlineStr">
        <is>
          <t>HADALABO Perfect 3D Gel 40gr</t>
        </is>
      </c>
      <c r="D1492" t="inlineStr">
        <is>
          <t>Miss Glam Jambi</t>
        </is>
      </c>
      <c r="E1492" t="n">
        <v>11</v>
      </c>
      <c r="F1492" t="n">
        <v>0.1782</v>
      </c>
      <c r="G1492" t="n">
        <v>0.99</v>
      </c>
      <c r="H1492" t="n">
        <v>4</v>
      </c>
      <c r="I1492" t="n">
        <v>15</v>
      </c>
      <c r="J1492" t="n">
        <v>3</v>
      </c>
      <c r="K1492" t="n">
        <v>0</v>
      </c>
      <c r="L1492" t="n">
        <v>93386</v>
      </c>
      <c r="M1492" t="n">
        <v>114000</v>
      </c>
      <c r="N1492" t="n">
        <v>33</v>
      </c>
      <c r="O1492" t="n">
        <v>0.33</v>
      </c>
      <c r="P1492" t="n">
        <v>1</v>
      </c>
      <c r="Q1492" t="n">
        <v>0.29</v>
      </c>
      <c r="R1492" t="n">
        <v>3</v>
      </c>
      <c r="S1492" t="n">
        <v>20314.8</v>
      </c>
      <c r="T1492" t="n">
        <v>15</v>
      </c>
      <c r="U1492" t="n">
        <v>16</v>
      </c>
      <c r="V1492" t="n">
        <v>30</v>
      </c>
      <c r="W1492" t="n">
        <v>6</v>
      </c>
      <c r="X1492" t="n">
        <v>61.72839506172838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10811</v>
      </c>
      <c r="AG1492" t="n">
        <v>2132</v>
      </c>
      <c r="AH1492" t="inlineStr">
        <is>
          <t>PT. MENSA BINA SUKSES - PPN (JMB)</t>
        </is>
      </c>
      <c r="AI1492" t="n">
        <v>301</v>
      </c>
      <c r="AJ1492" t="inlineStr">
        <is>
          <t>HADALABO</t>
        </is>
      </c>
      <c r="AK1492" t="n">
        <v>9</v>
      </c>
      <c r="AL1492" t="inlineStr">
        <is>
          <t>Miss Glam Jambi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HADALABO</t>
        </is>
      </c>
      <c r="B1493" s="2">
        <f>"8992821102716"</f>
        <v/>
      </c>
      <c r="C1493" t="inlineStr">
        <is>
          <t>HADALABO perfect x simple Starter Pack Gokujyun Alpha Ultimate Anti Aging</t>
        </is>
      </c>
      <c r="D1493" t="inlineStr">
        <is>
          <t>Miss Glam Jambi</t>
        </is>
      </c>
      <c r="E1493" t="n">
        <v>2</v>
      </c>
      <c r="F1493" t="n">
        <v>0.0561</v>
      </c>
      <c r="G1493" t="n">
        <v>0.66</v>
      </c>
      <c r="H1493" t="n">
        <v>4</v>
      </c>
      <c r="I1493" t="n">
        <v>15</v>
      </c>
      <c r="J1493" t="n">
        <v>3</v>
      </c>
      <c r="K1493" t="n">
        <v>0</v>
      </c>
      <c r="L1493" t="n">
        <v>37682</v>
      </c>
      <c r="M1493" t="n">
        <v>44000</v>
      </c>
      <c r="N1493" t="n">
        <v>33</v>
      </c>
      <c r="O1493" t="n">
        <v>0.33</v>
      </c>
      <c r="P1493" t="n">
        <v>1</v>
      </c>
      <c r="Q1493" t="n">
        <v>0.03</v>
      </c>
      <c r="R1493" t="n">
        <v>1</v>
      </c>
      <c r="S1493" t="n">
        <v>2468.4</v>
      </c>
      <c r="T1493" t="n">
        <v>10</v>
      </c>
      <c r="U1493" t="n">
        <v>11</v>
      </c>
      <c r="V1493" t="n">
        <v>30</v>
      </c>
      <c r="W1493" t="n">
        <v>2</v>
      </c>
      <c r="X1493" t="n">
        <v>35.650623885918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10811</v>
      </c>
      <c r="AG1493" t="n">
        <v>2132</v>
      </c>
      <c r="AH1493" t="inlineStr">
        <is>
          <t>PT. MENSA BINA SUKSES - PPN (JMB)</t>
        </is>
      </c>
      <c r="AI1493" t="n">
        <v>301</v>
      </c>
      <c r="AJ1493" t="inlineStr">
        <is>
          <t>HADALABO</t>
        </is>
      </c>
      <c r="AK1493" t="n">
        <v>9</v>
      </c>
      <c r="AL1493" t="inlineStr">
        <is>
          <t>Miss Glam Jambi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HADALABO</t>
        </is>
      </c>
      <c r="B1494" s="2">
        <f>"8992821102693"</f>
        <v/>
      </c>
      <c r="C1494" t="inlineStr">
        <is>
          <t>HADALABO perfect x simple Starter Pack Gokujyun Ultimate Moisturizing</t>
        </is>
      </c>
      <c r="D1494" t="inlineStr">
        <is>
          <t>Miss Glam Jambi</t>
        </is>
      </c>
      <c r="E1494" t="n">
        <v>8</v>
      </c>
      <c r="F1494" t="n">
        <v>0.06270000000000001</v>
      </c>
      <c r="G1494" t="n">
        <v>0.66</v>
      </c>
      <c r="H1494" t="n">
        <v>4</v>
      </c>
      <c r="I1494" t="n">
        <v>15</v>
      </c>
      <c r="J1494" t="n">
        <v>3</v>
      </c>
      <c r="K1494" t="n">
        <v>0</v>
      </c>
      <c r="L1494" t="n">
        <v>37682</v>
      </c>
      <c r="M1494" t="n">
        <v>46000</v>
      </c>
      <c r="N1494" t="n">
        <v>33</v>
      </c>
      <c r="O1494" t="n">
        <v>0.33</v>
      </c>
      <c r="P1494" t="n">
        <v>1</v>
      </c>
      <c r="Q1494" t="n">
        <v>0.07000000000000001</v>
      </c>
      <c r="R1494" t="n">
        <v>1</v>
      </c>
      <c r="S1494" t="n">
        <v>2884.2</v>
      </c>
      <c r="T1494" t="n">
        <v>10</v>
      </c>
      <c r="U1494" t="n">
        <v>11</v>
      </c>
      <c r="V1494" t="n">
        <v>30</v>
      </c>
      <c r="W1494" t="n">
        <v>2</v>
      </c>
      <c r="X1494" t="n">
        <v>127.5917065390749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10811</v>
      </c>
      <c r="AG1494" t="n">
        <v>2132</v>
      </c>
      <c r="AH1494" t="inlineStr">
        <is>
          <t>PT. MENSA BINA SUKSES - PPN (JMB)</t>
        </is>
      </c>
      <c r="AI1494" t="n">
        <v>301</v>
      </c>
      <c r="AJ1494" t="inlineStr">
        <is>
          <t>HADALABO</t>
        </is>
      </c>
      <c r="AK1494" t="n">
        <v>9</v>
      </c>
      <c r="AL1494" t="inlineStr">
        <is>
          <t>Miss Glam Jambi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HADALABO</t>
        </is>
      </c>
      <c r="B1495" s="2">
        <f>"8992821102600"</f>
        <v/>
      </c>
      <c r="C1495" t="inlineStr">
        <is>
          <t>HADALABO Shirojyun Ultimate Whitening Cream 40g</t>
        </is>
      </c>
      <c r="D1495" t="inlineStr">
        <is>
          <t>Miss Glam Jambi</t>
        </is>
      </c>
      <c r="E1495" t="n">
        <v>11</v>
      </c>
      <c r="F1495" t="n">
        <v>0.08</v>
      </c>
      <c r="G1495" t="n">
        <v>1</v>
      </c>
      <c r="H1495" t="n">
        <v>4</v>
      </c>
      <c r="I1495" t="n">
        <v>15</v>
      </c>
      <c r="J1495" t="n">
        <v>3</v>
      </c>
      <c r="K1495" t="n">
        <v>0</v>
      </c>
      <c r="L1495" t="n">
        <v>68811</v>
      </c>
      <c r="M1495" t="n">
        <v>84000</v>
      </c>
      <c r="N1495" t="n">
        <v>33</v>
      </c>
      <c r="O1495" t="n">
        <v>0.33</v>
      </c>
      <c r="P1495" t="n">
        <v>0</v>
      </c>
      <c r="Q1495" t="n">
        <v>0.08</v>
      </c>
      <c r="R1495" t="n">
        <v>1</v>
      </c>
      <c r="S1495" t="n">
        <v>6720</v>
      </c>
      <c r="T1495" t="n">
        <v>15</v>
      </c>
      <c r="U1495" t="n">
        <v>16</v>
      </c>
      <c r="V1495" t="n">
        <v>30</v>
      </c>
      <c r="W1495" t="n">
        <v>3</v>
      </c>
      <c r="X1495" t="n">
        <v>137.5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10811</v>
      </c>
      <c r="AG1495" t="n">
        <v>2132</v>
      </c>
      <c r="AH1495" t="inlineStr">
        <is>
          <t>PT. MENSA BINA SUKSES - PPN (JMB)</t>
        </is>
      </c>
      <c r="AI1495" t="n">
        <v>301</v>
      </c>
      <c r="AJ1495" t="inlineStr">
        <is>
          <t>HADALABO</t>
        </is>
      </c>
      <c r="AK1495" t="n">
        <v>9</v>
      </c>
      <c r="AL1495" t="inlineStr">
        <is>
          <t>Miss Glam Jambi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HADALABO</t>
        </is>
      </c>
      <c r="B1496" s="2">
        <f>"8992821101757"</f>
        <v/>
      </c>
      <c r="C1496" t="inlineStr">
        <is>
          <t>HADALABO Shirojyun Ultimate Whitening Face Wash 100gr</t>
        </is>
      </c>
      <c r="D1496" t="inlineStr">
        <is>
          <t>Miss Glam Jambi</t>
        </is>
      </c>
      <c r="E1496" t="n">
        <v>52</v>
      </c>
      <c r="F1496" t="n">
        <v>2.4783</v>
      </c>
      <c r="G1496" t="n">
        <v>5.61</v>
      </c>
      <c r="H1496" t="n">
        <v>4</v>
      </c>
      <c r="I1496" t="n">
        <v>15</v>
      </c>
      <c r="J1496" t="n">
        <v>3</v>
      </c>
      <c r="K1496" t="n">
        <v>22</v>
      </c>
      <c r="L1496" t="n">
        <v>36290</v>
      </c>
      <c r="M1496" t="n">
        <v>44500</v>
      </c>
      <c r="N1496" t="n">
        <v>33</v>
      </c>
      <c r="O1496" t="n">
        <v>0.33</v>
      </c>
      <c r="P1496" t="n">
        <v>1</v>
      </c>
      <c r="Q1496" t="n">
        <v>1.41</v>
      </c>
      <c r="R1496" t="n">
        <v>5</v>
      </c>
      <c r="S1496" t="n">
        <v>110284.35</v>
      </c>
      <c r="T1496" t="n">
        <v>75</v>
      </c>
      <c r="U1496" t="n">
        <v>85</v>
      </c>
      <c r="V1496" t="n">
        <v>30</v>
      </c>
      <c r="W1496" t="n">
        <v>75</v>
      </c>
      <c r="X1496" t="n">
        <v>20.98212484364282</v>
      </c>
      <c r="Y1496" t="n">
        <v>1</v>
      </c>
      <c r="Z1496" t="n">
        <v>1</v>
      </c>
      <c r="AA1496" t="n">
        <v>0</v>
      </c>
      <c r="AB1496" t="n">
        <v>1</v>
      </c>
      <c r="AC1496" t="n">
        <v>3</v>
      </c>
      <c r="AD1496" t="n">
        <v>0</v>
      </c>
      <c r="AE1496" t="n">
        <v>108870</v>
      </c>
      <c r="AF1496" t="n">
        <v>10811</v>
      </c>
      <c r="AG1496" t="n">
        <v>2132</v>
      </c>
      <c r="AH1496" t="inlineStr">
        <is>
          <t>PT. MENSA BINA SUKSES - PPN (JMB)</t>
        </is>
      </c>
      <c r="AI1496" t="n">
        <v>301</v>
      </c>
      <c r="AJ1496" t="inlineStr">
        <is>
          <t>HADALABO</t>
        </is>
      </c>
      <c r="AK1496" t="n">
        <v>9</v>
      </c>
      <c r="AL1496" t="inlineStr">
        <is>
          <t>Miss Glam Jambi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HADALABO</t>
        </is>
      </c>
      <c r="B1497" s="2">
        <f>"8992821101740"</f>
        <v/>
      </c>
      <c r="C1497" t="inlineStr">
        <is>
          <t>HADALABO Shirojyun Ultimate Whitening Face Wash 50gr</t>
        </is>
      </c>
      <c r="D1497" t="inlineStr">
        <is>
          <t>Miss Glam Jambi</t>
        </is>
      </c>
      <c r="E1497" t="n">
        <v>38</v>
      </c>
      <c r="F1497" t="n">
        <v>3.1317</v>
      </c>
      <c r="G1497" t="n">
        <v>6.27</v>
      </c>
      <c r="H1497" t="n">
        <v>4</v>
      </c>
      <c r="I1497" t="n">
        <v>15</v>
      </c>
      <c r="J1497" t="n">
        <v>3</v>
      </c>
      <c r="K1497" t="n">
        <v>47</v>
      </c>
      <c r="L1497" t="n">
        <v>22118</v>
      </c>
      <c r="M1497" t="n">
        <v>27000</v>
      </c>
      <c r="N1497" t="n">
        <v>33</v>
      </c>
      <c r="O1497" t="n">
        <v>0.33</v>
      </c>
      <c r="P1497" t="n">
        <v>1</v>
      </c>
      <c r="Q1497" t="n">
        <v>1</v>
      </c>
      <c r="R1497" t="n">
        <v>6</v>
      </c>
      <c r="S1497" t="n">
        <v>84555.90000000001</v>
      </c>
      <c r="T1497" t="n">
        <v>82</v>
      </c>
      <c r="U1497" t="n">
        <v>95</v>
      </c>
      <c r="V1497" t="n">
        <v>30</v>
      </c>
      <c r="W1497" t="n">
        <v>94</v>
      </c>
      <c r="X1497" t="n">
        <v>12.13398473672446</v>
      </c>
      <c r="Y1497" t="n">
        <v>1</v>
      </c>
      <c r="Z1497" t="n">
        <v>9</v>
      </c>
      <c r="AA1497" t="n">
        <v>8</v>
      </c>
      <c r="AB1497" t="n">
        <v>1</v>
      </c>
      <c r="AC1497" t="n">
        <v>3</v>
      </c>
      <c r="AD1497" t="n">
        <v>176944</v>
      </c>
      <c r="AE1497" t="n">
        <v>66354</v>
      </c>
      <c r="AF1497" t="n">
        <v>10811</v>
      </c>
      <c r="AG1497" t="n">
        <v>2132</v>
      </c>
      <c r="AH1497" t="inlineStr">
        <is>
          <t>PT. MENSA BINA SUKSES - PPN (JMB)</t>
        </is>
      </c>
      <c r="AI1497" t="n">
        <v>301</v>
      </c>
      <c r="AJ1497" t="inlineStr">
        <is>
          <t>HADALABO</t>
        </is>
      </c>
      <c r="AK1497" t="n">
        <v>9</v>
      </c>
      <c r="AL1497" t="inlineStr">
        <is>
          <t>Miss Glam Jambi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HADALABO</t>
        </is>
      </c>
      <c r="B1498" s="2">
        <f>"8992821101764"</f>
        <v/>
      </c>
      <c r="C1498" t="inlineStr">
        <is>
          <t>HADALABO Shirojyun Ultimate Whitening Lotion 100ml</t>
        </is>
      </c>
      <c r="D1498" t="inlineStr">
        <is>
          <t>Miss Glam Jambi</t>
        </is>
      </c>
      <c r="E1498" t="n">
        <v>10</v>
      </c>
      <c r="F1498" t="n">
        <v>0.1848</v>
      </c>
      <c r="G1498" t="n">
        <v>0.99</v>
      </c>
      <c r="H1498" t="n">
        <v>4</v>
      </c>
      <c r="I1498" t="n">
        <v>15</v>
      </c>
      <c r="J1498" t="n">
        <v>3</v>
      </c>
      <c r="K1498" t="n">
        <v>0</v>
      </c>
      <c r="L1498" t="n">
        <v>46693</v>
      </c>
      <c r="M1498" t="n">
        <v>57000</v>
      </c>
      <c r="N1498" t="n">
        <v>33</v>
      </c>
      <c r="O1498" t="n">
        <v>0.33</v>
      </c>
      <c r="P1498" t="n">
        <v>1</v>
      </c>
      <c r="Q1498" t="n">
        <v>0.15</v>
      </c>
      <c r="R1498" t="n">
        <v>1</v>
      </c>
      <c r="S1498" t="n">
        <v>10533.6</v>
      </c>
      <c r="T1498" t="n">
        <v>15</v>
      </c>
      <c r="U1498" t="n">
        <v>16</v>
      </c>
      <c r="V1498" t="n">
        <v>30</v>
      </c>
      <c r="W1498" t="n">
        <v>6</v>
      </c>
      <c r="X1498" t="n">
        <v>54.11255411255411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10811</v>
      </c>
      <c r="AG1498" t="n">
        <v>2132</v>
      </c>
      <c r="AH1498" t="inlineStr">
        <is>
          <t>PT. MENSA BINA SUKSES - PPN (JMB)</t>
        </is>
      </c>
      <c r="AI1498" t="n">
        <v>301</v>
      </c>
      <c r="AJ1498" t="inlineStr">
        <is>
          <t>HADALABO</t>
        </is>
      </c>
      <c r="AK1498" t="n">
        <v>9</v>
      </c>
      <c r="AL1498" t="inlineStr">
        <is>
          <t>Miss Glam Jambi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HADALABO</t>
        </is>
      </c>
      <c r="B1499" s="2">
        <f>"8992821101788"</f>
        <v/>
      </c>
      <c r="C1499" t="inlineStr">
        <is>
          <t>HADALABO Shirojyun Ultimate Whitening Milk 100ml</t>
        </is>
      </c>
      <c r="D1499" t="inlineStr">
        <is>
          <t>Miss Glam Jambi</t>
        </is>
      </c>
      <c r="E1499" t="n">
        <v>13</v>
      </c>
      <c r="F1499" t="n">
        <v>0.4488</v>
      </c>
      <c r="G1499" t="n">
        <v>1.65</v>
      </c>
      <c r="H1499" t="n">
        <v>4</v>
      </c>
      <c r="I1499" t="n">
        <v>15</v>
      </c>
      <c r="J1499" t="n">
        <v>3</v>
      </c>
      <c r="K1499" t="n">
        <v>3</v>
      </c>
      <c r="L1499" t="n">
        <v>54885</v>
      </c>
      <c r="M1499" t="n">
        <v>67000</v>
      </c>
      <c r="N1499" t="n">
        <v>33</v>
      </c>
      <c r="O1499" t="n">
        <v>0.33</v>
      </c>
      <c r="P1499" t="n">
        <v>1</v>
      </c>
      <c r="Q1499" t="n">
        <v>0.2</v>
      </c>
      <c r="R1499" t="n">
        <v>1</v>
      </c>
      <c r="S1499" t="n">
        <v>30069.6</v>
      </c>
      <c r="T1499" t="n">
        <v>23</v>
      </c>
      <c r="U1499" t="n">
        <v>25</v>
      </c>
      <c r="V1499" t="n">
        <v>30</v>
      </c>
      <c r="W1499" t="n">
        <v>14</v>
      </c>
      <c r="X1499" t="n">
        <v>28.96613190730838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10811</v>
      </c>
      <c r="AG1499" t="n">
        <v>2132</v>
      </c>
      <c r="AH1499" t="inlineStr">
        <is>
          <t>PT. MENSA BINA SUKSES - PPN (JMB)</t>
        </is>
      </c>
      <c r="AI1499" t="n">
        <v>301</v>
      </c>
      <c r="AJ1499" t="inlineStr">
        <is>
          <t>HADALABO</t>
        </is>
      </c>
      <c r="AK1499" t="n">
        <v>9</v>
      </c>
      <c r="AL1499" t="inlineStr">
        <is>
          <t>Miss Glam Jambi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HADALABO</t>
        </is>
      </c>
      <c r="B1500" s="2">
        <f>"8992821102709"</f>
        <v/>
      </c>
      <c r="C1500" t="inlineStr">
        <is>
          <t>HADALABO Starter Pack Shirojyun  Whitening 20g</t>
        </is>
      </c>
      <c r="D1500" t="inlineStr">
        <is>
          <t>Miss Glam Jambi</t>
        </is>
      </c>
      <c r="E1500" t="n">
        <v>4</v>
      </c>
      <c r="F1500" t="n">
        <v>0.1914</v>
      </c>
      <c r="G1500" t="n">
        <v>1.32</v>
      </c>
      <c r="H1500" t="n">
        <v>4</v>
      </c>
      <c r="I1500" t="n">
        <v>15</v>
      </c>
      <c r="J1500" t="n">
        <v>3</v>
      </c>
      <c r="K1500" t="n">
        <v>3</v>
      </c>
      <c r="L1500" t="n">
        <v>37682</v>
      </c>
      <c r="M1500" t="n">
        <v>46000</v>
      </c>
      <c r="N1500" t="n">
        <v>33</v>
      </c>
      <c r="O1500" t="n">
        <v>0.33</v>
      </c>
      <c r="P1500" t="n">
        <v>1</v>
      </c>
      <c r="Q1500" t="n">
        <v>0.24</v>
      </c>
      <c r="R1500" t="n">
        <v>2</v>
      </c>
      <c r="S1500" t="n">
        <v>8804.4</v>
      </c>
      <c r="T1500" t="n">
        <v>20</v>
      </c>
      <c r="U1500" t="n">
        <v>21</v>
      </c>
      <c r="V1500" t="n">
        <v>30</v>
      </c>
      <c r="W1500" t="n">
        <v>6</v>
      </c>
      <c r="X1500" t="n">
        <v>20.89864158829676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10811</v>
      </c>
      <c r="AG1500" t="n">
        <v>2132</v>
      </c>
      <c r="AH1500" t="inlineStr">
        <is>
          <t>PT. MENSA BINA SUKSES - PPN (JMB)</t>
        </is>
      </c>
      <c r="AI1500" t="n">
        <v>301</v>
      </c>
      <c r="AJ1500" t="inlineStr">
        <is>
          <t>HADALABO</t>
        </is>
      </c>
      <c r="AK1500" t="n">
        <v>9</v>
      </c>
      <c r="AL1500" t="inlineStr">
        <is>
          <t>Miss Glam Jambi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HADALABO</t>
        </is>
      </c>
      <c r="B1501" s="2">
        <f>"8992821102815"</f>
        <v/>
      </c>
      <c r="C1501" t="inlineStr">
        <is>
          <t>HADALABO Tamagohada Lotion Mild Peeling 100ml</t>
        </is>
      </c>
      <c r="D1501" t="inlineStr">
        <is>
          <t>Miss Glam Jambi</t>
        </is>
      </c>
      <c r="E1501" t="n">
        <v>2</v>
      </c>
      <c r="F1501" t="n">
        <v>0.0561</v>
      </c>
      <c r="G1501" t="n">
        <v>0.66</v>
      </c>
      <c r="H1501" t="n">
        <v>4</v>
      </c>
      <c r="I1501" t="n">
        <v>15</v>
      </c>
      <c r="J1501" t="n">
        <v>3</v>
      </c>
      <c r="K1501" t="n">
        <v>0</v>
      </c>
      <c r="L1501" t="n">
        <v>44236</v>
      </c>
      <c r="M1501" t="n">
        <v>51500</v>
      </c>
      <c r="N1501" t="n">
        <v>33</v>
      </c>
      <c r="O1501" t="n">
        <v>0.33</v>
      </c>
      <c r="P1501" t="n">
        <v>1</v>
      </c>
      <c r="Q1501" t="n">
        <v>0.02</v>
      </c>
      <c r="R1501" t="n">
        <v>1</v>
      </c>
      <c r="S1501" t="n">
        <v>2889.15</v>
      </c>
      <c r="T1501" t="n">
        <v>10</v>
      </c>
      <c r="U1501" t="n">
        <v>11</v>
      </c>
      <c r="V1501" t="n">
        <v>30</v>
      </c>
      <c r="W1501" t="n">
        <v>2</v>
      </c>
      <c r="X1501" t="n">
        <v>35.650623885918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10811</v>
      </c>
      <c r="AG1501" t="n">
        <v>2132</v>
      </c>
      <c r="AH1501" t="inlineStr">
        <is>
          <t>PT. MENSA BINA SUKSES - PPN (JMB)</t>
        </is>
      </c>
      <c r="AI1501" t="n">
        <v>301</v>
      </c>
      <c r="AJ1501" t="inlineStr">
        <is>
          <t>HADALABO</t>
        </is>
      </c>
      <c r="AK1501" t="n">
        <v>9</v>
      </c>
      <c r="AL1501" t="inlineStr">
        <is>
          <t>Miss Glam Jambi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HADALABO</t>
        </is>
      </c>
      <c r="B1502" s="2">
        <f>"8992821101795"</f>
        <v/>
      </c>
      <c r="C1502" t="inlineStr">
        <is>
          <t>HADALABO Tamagohada Mild Peeling AHA BHA Face Wash 50gr</t>
        </is>
      </c>
      <c r="D1502" t="inlineStr">
        <is>
          <t>Miss Glam Jambi</t>
        </is>
      </c>
      <c r="E1502" t="n">
        <v>13</v>
      </c>
      <c r="F1502" t="n">
        <v>0.4653</v>
      </c>
      <c r="G1502" t="n">
        <v>1.65</v>
      </c>
      <c r="H1502" t="n">
        <v>4</v>
      </c>
      <c r="I1502" t="n">
        <v>15</v>
      </c>
      <c r="J1502" t="n">
        <v>3</v>
      </c>
      <c r="K1502" t="n">
        <v>3</v>
      </c>
      <c r="L1502" t="n">
        <v>27033</v>
      </c>
      <c r="M1502" t="n">
        <v>33000</v>
      </c>
      <c r="N1502" t="n">
        <v>33</v>
      </c>
      <c r="O1502" t="n">
        <v>0.33</v>
      </c>
      <c r="P1502" t="n">
        <v>1</v>
      </c>
      <c r="Q1502" t="n">
        <v>0.12</v>
      </c>
      <c r="R1502" t="n">
        <v>1</v>
      </c>
      <c r="S1502" t="n">
        <v>15354.9</v>
      </c>
      <c r="T1502" t="n">
        <v>23</v>
      </c>
      <c r="U1502" t="n">
        <v>25</v>
      </c>
      <c r="V1502" t="n">
        <v>30</v>
      </c>
      <c r="W1502" t="n">
        <v>14</v>
      </c>
      <c r="X1502" t="n">
        <v>27.93896410917688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10811</v>
      </c>
      <c r="AG1502" t="n">
        <v>2132</v>
      </c>
      <c r="AH1502" t="inlineStr">
        <is>
          <t>PT. MENSA BINA SUKSES - PPN (JMB)</t>
        </is>
      </c>
      <c r="AI1502" t="n">
        <v>301</v>
      </c>
      <c r="AJ1502" t="inlineStr">
        <is>
          <t>HADALABO</t>
        </is>
      </c>
      <c r="AK1502" t="n">
        <v>9</v>
      </c>
      <c r="AL1502" t="inlineStr">
        <is>
          <t>Miss Glam Jambi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HADALABO</t>
        </is>
      </c>
      <c r="B1503" s="2">
        <f>"8992821102440"</f>
        <v/>
      </c>
      <c r="C1503" t="inlineStr">
        <is>
          <t>HADALABO Tamagohada Mild Peeling AHA BHA Makeup Remover 100gr</t>
        </is>
      </c>
      <c r="D1503" t="inlineStr">
        <is>
          <t>Miss Glam Jambi</t>
        </is>
      </c>
      <c r="E1503" t="n">
        <v>5</v>
      </c>
      <c r="F1503" t="n">
        <v>0.2277</v>
      </c>
      <c r="G1503" t="n">
        <v>1.32</v>
      </c>
      <c r="H1503" t="n">
        <v>4</v>
      </c>
      <c r="I1503" t="n">
        <v>15</v>
      </c>
      <c r="J1503" t="n">
        <v>3</v>
      </c>
      <c r="K1503" t="n">
        <v>3</v>
      </c>
      <c r="L1503" t="n">
        <v>51608</v>
      </c>
      <c r="M1503" t="n">
        <v>62000</v>
      </c>
      <c r="N1503" t="n">
        <v>33</v>
      </c>
      <c r="O1503" t="n">
        <v>0.33</v>
      </c>
      <c r="P1503" t="n">
        <v>1</v>
      </c>
      <c r="Q1503" t="n">
        <v>0.17</v>
      </c>
      <c r="R1503" t="n">
        <v>2</v>
      </c>
      <c r="S1503" t="n">
        <v>14117.4</v>
      </c>
      <c r="T1503" t="n">
        <v>19</v>
      </c>
      <c r="U1503" t="n">
        <v>20</v>
      </c>
      <c r="V1503" t="n">
        <v>30</v>
      </c>
      <c r="W1503" t="n">
        <v>7</v>
      </c>
      <c r="X1503" t="n">
        <v>21.95871761089153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10811</v>
      </c>
      <c r="AG1503" t="n">
        <v>2132</v>
      </c>
      <c r="AH1503" t="inlineStr">
        <is>
          <t>PT. MENSA BINA SUKSES - PPN (JMB)</t>
        </is>
      </c>
      <c r="AI1503" t="n">
        <v>301</v>
      </c>
      <c r="AJ1503" t="inlineStr">
        <is>
          <t>HADALABO</t>
        </is>
      </c>
      <c r="AK1503" t="n">
        <v>9</v>
      </c>
      <c r="AL1503" t="inlineStr">
        <is>
          <t>Miss Glam Jambi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HADALABO</t>
        </is>
      </c>
      <c r="B1504" s="2">
        <f>"8992821101801"</f>
        <v/>
      </c>
      <c r="C1504" t="inlineStr">
        <is>
          <t>HADALABO Tamagohada Mild Peeling Aha+Bha Facial Wash 100gr</t>
        </is>
      </c>
      <c r="D1504" t="inlineStr">
        <is>
          <t>Miss Glam Jambi</t>
        </is>
      </c>
      <c r="E1504" t="n">
        <v>1</v>
      </c>
      <c r="F1504" t="n">
        <v>0.4356</v>
      </c>
      <c r="G1504" t="n">
        <v>2.31</v>
      </c>
      <c r="H1504" t="n">
        <v>4</v>
      </c>
      <c r="I1504" t="n">
        <v>15</v>
      </c>
      <c r="J1504" t="n">
        <v>3</v>
      </c>
      <c r="K1504" t="n">
        <v>7</v>
      </c>
      <c r="L1504" t="n">
        <v>44236</v>
      </c>
      <c r="M1504" t="n">
        <v>54000</v>
      </c>
      <c r="N1504" t="n">
        <v>33</v>
      </c>
      <c r="O1504" t="n">
        <v>0.33</v>
      </c>
      <c r="P1504" t="n">
        <v>1</v>
      </c>
      <c r="Q1504" t="n">
        <v>0.1</v>
      </c>
      <c r="R1504" t="n">
        <v>1</v>
      </c>
      <c r="S1504" t="n">
        <v>23522.4</v>
      </c>
      <c r="T1504" t="n">
        <v>33</v>
      </c>
      <c r="U1504" t="n">
        <v>35</v>
      </c>
      <c r="V1504" t="n">
        <v>30</v>
      </c>
      <c r="W1504" t="n">
        <v>14</v>
      </c>
      <c r="X1504" t="n">
        <v>2.295684113865932</v>
      </c>
      <c r="Y1504" t="n">
        <v>1</v>
      </c>
      <c r="Z1504" t="n">
        <v>6</v>
      </c>
      <c r="AA1504" t="n">
        <v>5</v>
      </c>
      <c r="AB1504" t="n">
        <v>1</v>
      </c>
      <c r="AC1504" t="n">
        <v>3</v>
      </c>
      <c r="AD1504" t="n">
        <v>221180</v>
      </c>
      <c r="AE1504" t="n">
        <v>132708</v>
      </c>
      <c r="AF1504" t="n">
        <v>10811</v>
      </c>
      <c r="AG1504" t="n">
        <v>2132</v>
      </c>
      <c r="AH1504" t="inlineStr">
        <is>
          <t>PT. MENSA BINA SUKSES - PPN (JMB)</t>
        </is>
      </c>
      <c r="AI1504" t="n">
        <v>301</v>
      </c>
      <c r="AJ1504" t="inlineStr">
        <is>
          <t>HADALABO</t>
        </is>
      </c>
      <c r="AK1504" t="n">
        <v>9</v>
      </c>
      <c r="AL1504" t="inlineStr">
        <is>
          <t>Miss Glam Jambi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HADALABO</t>
        </is>
      </c>
      <c r="B1505" s="2">
        <f>"8992821102433"</f>
        <v/>
      </c>
      <c r="C1505" t="inlineStr">
        <is>
          <t>HADALABO Tamagohada Mild Peeling Face Wash Make up Remover 50gr</t>
        </is>
      </c>
      <c r="D1505" t="inlineStr">
        <is>
          <t>Miss Glam Jambi</t>
        </is>
      </c>
      <c r="E1505" t="n">
        <v>11</v>
      </c>
      <c r="F1505" t="n">
        <v>0.3762</v>
      </c>
      <c r="G1505" t="n">
        <v>1.98</v>
      </c>
      <c r="H1505" t="n">
        <v>4</v>
      </c>
      <c r="I1505" t="n">
        <v>15</v>
      </c>
      <c r="J1505" t="n">
        <v>3</v>
      </c>
      <c r="K1505" t="n">
        <v>3</v>
      </c>
      <c r="L1505" t="n">
        <v>31088</v>
      </c>
      <c r="M1505" t="n">
        <v>36000</v>
      </c>
      <c r="N1505" t="n">
        <v>33</v>
      </c>
      <c r="O1505" t="n">
        <v>0.33</v>
      </c>
      <c r="P1505" t="n">
        <v>1</v>
      </c>
      <c r="Q1505" t="n">
        <v>0.19</v>
      </c>
      <c r="R1505" t="n">
        <v>1</v>
      </c>
      <c r="S1505" t="n">
        <v>13543.2</v>
      </c>
      <c r="T1505" t="n">
        <v>29</v>
      </c>
      <c r="U1505" t="n">
        <v>31</v>
      </c>
      <c r="V1505" t="n">
        <v>30</v>
      </c>
      <c r="W1505" t="n">
        <v>12</v>
      </c>
      <c r="X1505" t="n">
        <v>29.23976608187135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10811</v>
      </c>
      <c r="AG1505" t="n">
        <v>2132</v>
      </c>
      <c r="AH1505" t="inlineStr">
        <is>
          <t>PT. MENSA BINA SUKSES - PPN (JMB)</t>
        </is>
      </c>
      <c r="AI1505" t="n">
        <v>301</v>
      </c>
      <c r="AJ1505" t="inlineStr">
        <is>
          <t>HADALABO</t>
        </is>
      </c>
      <c r="AK1505" t="n">
        <v>9</v>
      </c>
      <c r="AL1505" t="inlineStr">
        <is>
          <t>Miss Glam Jambi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HAIREN</t>
        </is>
      </c>
      <c r="B1506" s="2">
        <f>"40200224250"</f>
        <v/>
      </c>
      <c r="C1506" t="inlineStr">
        <is>
          <t>HAIREN Hair Repair Mask All Hair Types 250gr</t>
        </is>
      </c>
      <c r="D1506" t="inlineStr">
        <is>
          <t>Miss Glam Jambi</t>
        </is>
      </c>
      <c r="E1506" t="n">
        <v>1</v>
      </c>
      <c r="F1506" t="n">
        <v>0.006600000000000001</v>
      </c>
      <c r="G1506" t="n">
        <v>0</v>
      </c>
      <c r="H1506" t="n">
        <v>4</v>
      </c>
      <c r="I1506" t="n">
        <v>20</v>
      </c>
      <c r="J1506" t="n">
        <v>3</v>
      </c>
      <c r="K1506" t="n">
        <v>0</v>
      </c>
      <c r="L1506" t="n">
        <v>69250</v>
      </c>
      <c r="M1506" t="n">
        <v>94000</v>
      </c>
      <c r="N1506" t="n">
        <v>33</v>
      </c>
      <c r="O1506" t="n">
        <v>0.33</v>
      </c>
      <c r="P1506" t="n">
        <v>1</v>
      </c>
      <c r="Q1506" t="n">
        <v>0.02</v>
      </c>
      <c r="R1506" t="n">
        <v>1</v>
      </c>
      <c r="S1506" t="n">
        <v>620.4000000000001</v>
      </c>
      <c r="T1506" t="n">
        <v>0</v>
      </c>
      <c r="U1506" t="n">
        <v>1</v>
      </c>
      <c r="V1506" t="n">
        <v>30</v>
      </c>
      <c r="W1506" t="n">
        <v>1</v>
      </c>
      <c r="X1506" t="n">
        <v>151.5151515151515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5474</v>
      </c>
      <c r="AG1506" t="n">
        <v>1</v>
      </c>
      <c r="AH1506" t="inlineStr">
        <is>
          <t>PT. BERSAMA DISTRIVERSA INDONESIA (DC CIPUTAT)</t>
        </is>
      </c>
      <c r="AI1506" t="n">
        <v>904</v>
      </c>
      <c r="AJ1506" t="inlineStr">
        <is>
          <t>HAIREN</t>
        </is>
      </c>
      <c r="AK1506" t="n">
        <v>9</v>
      </c>
      <c r="AL1506" t="inlineStr">
        <is>
          <t>Miss Glam Jambi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HAIRMONY</t>
        </is>
      </c>
      <c r="B1507" s="2">
        <f>"40100151734"</f>
        <v/>
      </c>
      <c r="C1507" t="inlineStr">
        <is>
          <t>HAIRMONY Revitalocks Shampoo 250ml</t>
        </is>
      </c>
      <c r="D1507" t="inlineStr">
        <is>
          <t>Miss Glam Jambi</t>
        </is>
      </c>
      <c r="E1507" t="n">
        <v>0</v>
      </c>
      <c r="F1507" t="n">
        <v>0.006600000000000001</v>
      </c>
      <c r="G1507" t="n">
        <v>0.33</v>
      </c>
      <c r="H1507" t="n">
        <v>4</v>
      </c>
      <c r="I1507" t="n">
        <v>20</v>
      </c>
      <c r="J1507" t="n">
        <v>1</v>
      </c>
      <c r="K1507" t="n">
        <v>0</v>
      </c>
      <c r="L1507" t="n">
        <v>91476</v>
      </c>
      <c r="M1507" t="n">
        <v>114500</v>
      </c>
      <c r="N1507" t="n">
        <v>33</v>
      </c>
      <c r="O1507" t="n">
        <v>0.33</v>
      </c>
      <c r="P1507" t="n">
        <v>1</v>
      </c>
      <c r="Q1507" t="n">
        <v>0.03</v>
      </c>
      <c r="R1507" t="n">
        <v>1</v>
      </c>
      <c r="S1507" t="n">
        <v>755.7</v>
      </c>
      <c r="T1507" t="n">
        <v>7</v>
      </c>
      <c r="U1507" t="n">
        <v>8</v>
      </c>
      <c r="V1507" t="n">
        <v>30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n">
        <v>0</v>
      </c>
      <c r="AC1507" t="n">
        <v>0</v>
      </c>
      <c r="AD1507" t="n">
        <v>91476</v>
      </c>
      <c r="AE1507" t="n">
        <v>0</v>
      </c>
      <c r="AF1507" t="n">
        <v>5507</v>
      </c>
      <c r="AG1507" t="n">
        <v>1</v>
      </c>
      <c r="AH1507" t="inlineStr">
        <is>
          <t>PT. BERSAMA DISTRIVERSA INDONESIA (DC CIPUTAT)</t>
        </is>
      </c>
      <c r="AI1507" t="n">
        <v>1868</v>
      </c>
      <c r="AJ1507" t="inlineStr">
        <is>
          <t>HAIRMONY</t>
        </is>
      </c>
      <c r="AK1507" t="n">
        <v>9</v>
      </c>
      <c r="AL1507" t="inlineStr">
        <is>
          <t>Miss Glam Jambi</t>
        </is>
      </c>
      <c r="AM1507" t="n">
        <v>4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HAIRMONY</t>
        </is>
      </c>
      <c r="B1508" s="2">
        <f>"745604025062"</f>
        <v/>
      </c>
      <c r="C1508" t="inlineStr">
        <is>
          <t>HAIRMONY Volumize &amp; Textured Hair Parfum Magnificent 30ml</t>
        </is>
      </c>
      <c r="D1508" t="inlineStr">
        <is>
          <t>Miss Glam Jambi</t>
        </is>
      </c>
      <c r="E1508" t="n">
        <v>1</v>
      </c>
      <c r="F1508" t="n">
        <v>0.02</v>
      </c>
      <c r="G1508" t="n">
        <v>1</v>
      </c>
      <c r="H1508" t="n">
        <v>4</v>
      </c>
      <c r="I1508" t="n">
        <v>20</v>
      </c>
      <c r="J1508" t="n">
        <v>3</v>
      </c>
      <c r="K1508" t="n">
        <v>0</v>
      </c>
      <c r="L1508" t="n">
        <v>79000</v>
      </c>
      <c r="M1508" t="n">
        <v>93000</v>
      </c>
      <c r="N1508" t="n">
        <v>33</v>
      </c>
      <c r="O1508" t="n">
        <v>0.33</v>
      </c>
      <c r="P1508" t="n">
        <v>0</v>
      </c>
      <c r="Q1508" t="n">
        <v>0.02</v>
      </c>
      <c r="R1508" t="n">
        <v>1</v>
      </c>
      <c r="S1508" t="n">
        <v>1860</v>
      </c>
      <c r="T1508" t="n">
        <v>20</v>
      </c>
      <c r="U1508" t="n">
        <v>21</v>
      </c>
      <c r="V1508" t="n">
        <v>30</v>
      </c>
      <c r="W1508" t="n">
        <v>1</v>
      </c>
      <c r="X1508" t="n">
        <v>50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5507</v>
      </c>
      <c r="AG1508" t="n">
        <v>1</v>
      </c>
      <c r="AH1508" t="inlineStr">
        <is>
          <t>PT. BERSAMA DISTRIVERSA INDONESIA (DC CIPUTAT)</t>
        </is>
      </c>
      <c r="AI1508" t="n">
        <v>1868</v>
      </c>
      <c r="AJ1508" t="inlineStr">
        <is>
          <t>HAIRMONY</t>
        </is>
      </c>
      <c r="AK1508" t="n">
        <v>9</v>
      </c>
      <c r="AL1508" t="inlineStr">
        <is>
          <t>Miss Glam Jambi</t>
        </is>
      </c>
      <c r="AM1508" t="n">
        <v>4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"8998824552268"</f>
        <v/>
      </c>
      <c r="C1509" t="inlineStr">
        <is>
          <t>HANASUI Acne Expert Treatment Day Cream 15gr</t>
        </is>
      </c>
      <c r="D1509" t="inlineStr">
        <is>
          <t>Miss Glam Jambi</t>
        </is>
      </c>
      <c r="E1509" t="n">
        <v>0</v>
      </c>
      <c r="F1509" t="n">
        <v>0.06270000000000001</v>
      </c>
      <c r="G1509" t="n">
        <v>0.66</v>
      </c>
      <c r="H1509" t="n">
        <v>4</v>
      </c>
      <c r="I1509" t="n">
        <v>28</v>
      </c>
      <c r="J1509" t="n">
        <v>3</v>
      </c>
      <c r="K1509" t="n">
        <v>6</v>
      </c>
      <c r="L1509" t="n">
        <v>23920</v>
      </c>
      <c r="M1509" t="n">
        <v>30000</v>
      </c>
      <c r="N1509" t="n">
        <v>33</v>
      </c>
      <c r="O1509" t="n">
        <v>0.33</v>
      </c>
      <c r="P1509" t="n">
        <v>1</v>
      </c>
      <c r="Q1509" t="n">
        <v>0.04</v>
      </c>
      <c r="R1509" t="n">
        <v>1</v>
      </c>
      <c r="S1509" t="n">
        <v>1881</v>
      </c>
      <c r="T1509" t="n">
        <v>19</v>
      </c>
      <c r="U1509" t="n">
        <v>20</v>
      </c>
      <c r="V1509" t="n">
        <v>30</v>
      </c>
      <c r="W1509" t="n">
        <v>2</v>
      </c>
      <c r="X1509" t="n">
        <v>0</v>
      </c>
      <c r="Y1509" t="n">
        <v>1</v>
      </c>
      <c r="Z1509" t="n">
        <v>0</v>
      </c>
      <c r="AA1509" t="n">
        <v>1</v>
      </c>
      <c r="AB1509" t="n">
        <v>0</v>
      </c>
      <c r="AC1509" t="n">
        <v>0</v>
      </c>
      <c r="AD1509" t="n">
        <v>23920</v>
      </c>
      <c r="AE1509" t="n">
        <v>0</v>
      </c>
      <c r="AF1509" t="n">
        <v>10510</v>
      </c>
      <c r="AG1509" t="n">
        <v>2148</v>
      </c>
      <c r="AH1509" t="inlineStr">
        <is>
          <t>PT. JAYA PALEMBANG SUKSES - PPN (JMB)</t>
        </is>
      </c>
      <c r="AI1509" t="n">
        <v>78</v>
      </c>
      <c r="AJ1509" t="inlineStr">
        <is>
          <t>HANASUI</t>
        </is>
      </c>
      <c r="AK1509" t="n">
        <v>9</v>
      </c>
      <c r="AL1509" t="inlineStr">
        <is>
          <t>Miss Glam Jambi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"8998824552800"</f>
        <v/>
      </c>
      <c r="C1510" t="inlineStr">
        <is>
          <t>HANASUI Acne Expert Treatment Night Cream 15gr</t>
        </is>
      </c>
      <c r="D1510" t="inlineStr">
        <is>
          <t>Miss Glam Jambi</t>
        </is>
      </c>
      <c r="E1510" t="n">
        <v>12</v>
      </c>
      <c r="F1510" t="n">
        <v>0.08910000000000001</v>
      </c>
      <c r="G1510" t="n">
        <v>0.99</v>
      </c>
      <c r="H1510" t="n">
        <v>4</v>
      </c>
      <c r="I1510" t="n">
        <v>28</v>
      </c>
      <c r="J1510" t="n">
        <v>3</v>
      </c>
      <c r="K1510" t="n">
        <v>0</v>
      </c>
      <c r="L1510" t="n">
        <v>27920</v>
      </c>
      <c r="M1510" t="n">
        <v>35000</v>
      </c>
      <c r="N1510" t="n">
        <v>33</v>
      </c>
      <c r="O1510" t="n">
        <v>0.33</v>
      </c>
      <c r="P1510" t="n">
        <v>1</v>
      </c>
      <c r="Q1510" t="n">
        <v>0.05</v>
      </c>
      <c r="R1510" t="n">
        <v>1</v>
      </c>
      <c r="S1510" t="n">
        <v>3118.5</v>
      </c>
      <c r="T1510" t="n">
        <v>28</v>
      </c>
      <c r="U1510" t="n">
        <v>29</v>
      </c>
      <c r="V1510" t="n">
        <v>30</v>
      </c>
      <c r="W1510" t="n">
        <v>3</v>
      </c>
      <c r="X1510" t="n">
        <v>134.6801346801347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10510</v>
      </c>
      <c r="AG1510" t="n">
        <v>2148</v>
      </c>
      <c r="AH1510" t="inlineStr">
        <is>
          <t>PT. JAYA PALEMBANG SUKSES - PPN (JMB)</t>
        </is>
      </c>
      <c r="AI1510" t="n">
        <v>78</v>
      </c>
      <c r="AJ1510" t="inlineStr">
        <is>
          <t>HANASUI</t>
        </is>
      </c>
      <c r="AK1510" t="n">
        <v>9</v>
      </c>
      <c r="AL1510" t="inlineStr">
        <is>
          <t>Miss Glam Jambi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"8998824552794"</f>
        <v/>
      </c>
      <c r="C1511" t="inlineStr">
        <is>
          <t>HANASUI Acne Expert Treatment Power Essence 100ml</t>
        </is>
      </c>
      <c r="D1511" t="inlineStr">
        <is>
          <t>Miss Glam Jambi</t>
        </is>
      </c>
      <c r="E1511" t="n">
        <v>3</v>
      </c>
      <c r="F1511" t="n">
        <v>0.0462</v>
      </c>
      <c r="G1511" t="n">
        <v>0.33</v>
      </c>
      <c r="H1511" t="n">
        <v>4</v>
      </c>
      <c r="I1511" t="n">
        <v>28</v>
      </c>
      <c r="J1511" t="n">
        <v>3</v>
      </c>
      <c r="K1511" t="n">
        <v>0</v>
      </c>
      <c r="L1511" t="n">
        <v>22000</v>
      </c>
      <c r="M1511" t="n">
        <v>27500</v>
      </c>
      <c r="N1511" t="n">
        <v>33</v>
      </c>
      <c r="O1511" t="n">
        <v>0.33</v>
      </c>
      <c r="P1511" t="n">
        <v>1</v>
      </c>
      <c r="Q1511" t="n">
        <v>0.02</v>
      </c>
      <c r="R1511" t="n">
        <v>1</v>
      </c>
      <c r="S1511" t="n">
        <v>1270.5</v>
      </c>
      <c r="T1511" t="n">
        <v>10</v>
      </c>
      <c r="U1511" t="n">
        <v>11</v>
      </c>
      <c r="V1511" t="n">
        <v>30</v>
      </c>
      <c r="W1511" t="n">
        <v>2</v>
      </c>
      <c r="X1511" t="n">
        <v>64.93506493506493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10510</v>
      </c>
      <c r="AG1511" t="n">
        <v>2148</v>
      </c>
      <c r="AH1511" t="inlineStr">
        <is>
          <t>PT. JAYA PALEMBANG SUKSES - PPN (JMB)</t>
        </is>
      </c>
      <c r="AI1511" t="n">
        <v>78</v>
      </c>
      <c r="AJ1511" t="inlineStr">
        <is>
          <t>HANASUI</t>
        </is>
      </c>
      <c r="AK1511" t="n">
        <v>9</v>
      </c>
      <c r="AL1511" t="inlineStr">
        <is>
          <t>Miss Glam Jambi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"8998824552305"</f>
        <v/>
      </c>
      <c r="C1512" t="inlineStr">
        <is>
          <t>HANASUI Acne Treatment Spot Gel 15gr</t>
        </is>
      </c>
      <c r="D1512" t="inlineStr">
        <is>
          <t>Miss Glam Jambi</t>
        </is>
      </c>
      <c r="E1512" t="n">
        <v>8</v>
      </c>
      <c r="F1512" t="n">
        <v>0.03</v>
      </c>
      <c r="G1512" t="n">
        <v>1</v>
      </c>
      <c r="H1512" t="n">
        <v>4</v>
      </c>
      <c r="I1512" t="n">
        <v>28</v>
      </c>
      <c r="J1512" t="n">
        <v>3</v>
      </c>
      <c r="K1512" t="n">
        <v>0</v>
      </c>
      <c r="L1512" t="n">
        <v>19600</v>
      </c>
      <c r="M1512" t="n">
        <v>24500</v>
      </c>
      <c r="N1512" t="n">
        <v>33</v>
      </c>
      <c r="O1512" t="n">
        <v>0.33</v>
      </c>
      <c r="P1512" t="n">
        <v>0</v>
      </c>
      <c r="Q1512" t="n">
        <v>0.03</v>
      </c>
      <c r="R1512" t="n">
        <v>1</v>
      </c>
      <c r="S1512" t="n">
        <v>735</v>
      </c>
      <c r="T1512" t="n">
        <v>28</v>
      </c>
      <c r="U1512" t="n">
        <v>29</v>
      </c>
      <c r="V1512" t="n">
        <v>30</v>
      </c>
      <c r="W1512" t="n">
        <v>1</v>
      </c>
      <c r="X1512" t="n">
        <v>266.6666666666667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10510</v>
      </c>
      <c r="AG1512" t="n">
        <v>2148</v>
      </c>
      <c r="AH1512" t="inlineStr">
        <is>
          <t>PT. JAYA PALEMBANG SUKSES - PPN (JMB)</t>
        </is>
      </c>
      <c r="AI1512" t="n">
        <v>78</v>
      </c>
      <c r="AJ1512" t="inlineStr">
        <is>
          <t>HANASUI</t>
        </is>
      </c>
      <c r="AK1512" t="n">
        <v>9</v>
      </c>
      <c r="AL1512" t="inlineStr">
        <is>
          <t>Miss Glam Jambi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"8998824554835"</f>
        <v/>
      </c>
      <c r="C1513" t="inlineStr">
        <is>
          <t>HANASUI Advance Retinol Serum 20ml</t>
        </is>
      </c>
      <c r="D1513" t="inlineStr">
        <is>
          <t>Miss Glam Jambi</t>
        </is>
      </c>
      <c r="E1513" t="n">
        <v>2</v>
      </c>
      <c r="F1513" t="n">
        <v>0.31</v>
      </c>
      <c r="G1513" t="n">
        <v>2</v>
      </c>
      <c r="H1513" t="n">
        <v>4</v>
      </c>
      <c r="I1513" t="n">
        <v>28</v>
      </c>
      <c r="J1513" t="n">
        <v>3</v>
      </c>
      <c r="K1513" t="n">
        <v>9</v>
      </c>
      <c r="L1513" t="n">
        <v>17760</v>
      </c>
      <c r="M1513" t="n">
        <v>23500</v>
      </c>
      <c r="N1513" t="n">
        <v>33</v>
      </c>
      <c r="O1513" t="n">
        <v>0.33</v>
      </c>
      <c r="P1513" t="n">
        <v>0</v>
      </c>
      <c r="Q1513" t="n">
        <v>0.31</v>
      </c>
      <c r="R1513" t="n">
        <v>2</v>
      </c>
      <c r="S1513" t="n">
        <v>7285</v>
      </c>
      <c r="T1513" t="n">
        <v>55</v>
      </c>
      <c r="U1513" t="n">
        <v>57</v>
      </c>
      <c r="V1513" t="n">
        <v>30</v>
      </c>
      <c r="W1513" t="n">
        <v>10</v>
      </c>
      <c r="X1513" t="n">
        <v>6.451612903225807</v>
      </c>
      <c r="Y1513" t="n">
        <v>1</v>
      </c>
      <c r="Z1513" t="n">
        <v>0</v>
      </c>
      <c r="AA1513" t="n">
        <v>6</v>
      </c>
      <c r="AB1513" t="n">
        <v>0</v>
      </c>
      <c r="AC1513" t="n">
        <v>0</v>
      </c>
      <c r="AD1513" t="n">
        <v>106560</v>
      </c>
      <c r="AE1513" t="n">
        <v>0</v>
      </c>
      <c r="AF1513" t="n">
        <v>10510</v>
      </c>
      <c r="AG1513" t="n">
        <v>2148</v>
      </c>
      <c r="AH1513" t="inlineStr">
        <is>
          <t>PT. JAYA PALEMBANG SUKSES - PPN (JMB)</t>
        </is>
      </c>
      <c r="AI1513" t="n">
        <v>78</v>
      </c>
      <c r="AJ1513" t="inlineStr">
        <is>
          <t>HANASUI</t>
        </is>
      </c>
      <c r="AK1513" t="n">
        <v>9</v>
      </c>
      <c r="AL1513" t="inlineStr">
        <is>
          <t>Miss Glam Jambi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"8998824551599"</f>
        <v/>
      </c>
      <c r="C1514" t="inlineStr">
        <is>
          <t>HANASUI Aloe Vera Soap 60gr</t>
        </is>
      </c>
      <c r="D1514" t="inlineStr">
        <is>
          <t>Miss Glam Jambi</t>
        </is>
      </c>
      <c r="E1514" t="n">
        <v>4</v>
      </c>
      <c r="F1514" t="n">
        <v>0.1188</v>
      </c>
      <c r="G1514" t="n">
        <v>0.99</v>
      </c>
      <c r="H1514" t="n">
        <v>4</v>
      </c>
      <c r="I1514" t="n">
        <v>28</v>
      </c>
      <c r="J1514" t="n">
        <v>3</v>
      </c>
      <c r="K1514" t="n">
        <v>0</v>
      </c>
      <c r="L1514" t="n">
        <v>6660</v>
      </c>
      <c r="M1514" t="n">
        <v>9000</v>
      </c>
      <c r="N1514" t="n">
        <v>33</v>
      </c>
      <c r="O1514" t="n">
        <v>0.33</v>
      </c>
      <c r="P1514" t="n">
        <v>1</v>
      </c>
      <c r="Q1514" t="n">
        <v>0.05</v>
      </c>
      <c r="R1514" t="n">
        <v>1</v>
      </c>
      <c r="S1514" t="n">
        <v>1069.2</v>
      </c>
      <c r="T1514" t="n">
        <v>28</v>
      </c>
      <c r="U1514" t="n">
        <v>29</v>
      </c>
      <c r="V1514" t="n">
        <v>30</v>
      </c>
      <c r="W1514" t="n">
        <v>4</v>
      </c>
      <c r="X1514" t="n">
        <v>33.67003367003367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10510</v>
      </c>
      <c r="AG1514" t="n">
        <v>2148</v>
      </c>
      <c r="AH1514" t="inlineStr">
        <is>
          <t>PT. JAYA PALEMBANG SUKSES - PPN (JMB)</t>
        </is>
      </c>
      <c r="AI1514" t="n">
        <v>78</v>
      </c>
      <c r="AJ1514" t="inlineStr">
        <is>
          <t>HANASUI</t>
        </is>
      </c>
      <c r="AK1514" t="n">
        <v>9</v>
      </c>
      <c r="AL1514" t="inlineStr">
        <is>
          <t>Miss Glam Jambi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"8998824551261"</f>
        <v/>
      </c>
      <c r="C1515" t="inlineStr">
        <is>
          <t>HANASUI Anti Acne Serum 20ml</t>
        </is>
      </c>
      <c r="D1515" t="inlineStr">
        <is>
          <t>Miss Glam Jambi</t>
        </is>
      </c>
      <c r="E1515" t="n">
        <v>8</v>
      </c>
      <c r="F1515" t="n">
        <v>0.8514</v>
      </c>
      <c r="G1515" t="n">
        <v>1.98</v>
      </c>
      <c r="H1515" t="n">
        <v>4</v>
      </c>
      <c r="I1515" t="n">
        <v>28</v>
      </c>
      <c r="J1515" t="n">
        <v>3</v>
      </c>
      <c r="K1515" t="n">
        <v>3</v>
      </c>
      <c r="L1515" t="n">
        <v>17760</v>
      </c>
      <c r="M1515" t="n">
        <v>23500</v>
      </c>
      <c r="N1515" t="n">
        <v>33</v>
      </c>
      <c r="O1515" t="n">
        <v>0.33</v>
      </c>
      <c r="P1515" t="n">
        <v>1</v>
      </c>
      <c r="Q1515" t="n">
        <v>0.17</v>
      </c>
      <c r="R1515" t="n">
        <v>1</v>
      </c>
      <c r="S1515" t="n">
        <v>20007.9</v>
      </c>
      <c r="T1515" t="n">
        <v>53</v>
      </c>
      <c r="U1515" t="n">
        <v>57</v>
      </c>
      <c r="V1515" t="n">
        <v>30</v>
      </c>
      <c r="W1515" t="n">
        <v>26</v>
      </c>
      <c r="X1515" t="n">
        <v>9.396288466055907</v>
      </c>
      <c r="Y1515" t="n">
        <v>1</v>
      </c>
      <c r="Z1515" t="n">
        <v>15</v>
      </c>
      <c r="AA1515" t="n">
        <v>15</v>
      </c>
      <c r="AB1515" t="n">
        <v>0</v>
      </c>
      <c r="AC1515" t="n">
        <v>0</v>
      </c>
      <c r="AD1515" t="n">
        <v>266400</v>
      </c>
      <c r="AE1515" t="n">
        <v>0</v>
      </c>
      <c r="AF1515" t="n">
        <v>10510</v>
      </c>
      <c r="AG1515" t="n">
        <v>2148</v>
      </c>
      <c r="AH1515" t="inlineStr">
        <is>
          <t>PT. JAYA PALEMBANG SUKSES - PPN (JMB)</t>
        </is>
      </c>
      <c r="AI1515" t="n">
        <v>78</v>
      </c>
      <c r="AJ1515" t="inlineStr">
        <is>
          <t>HANASUI</t>
        </is>
      </c>
      <c r="AK1515" t="n">
        <v>9</v>
      </c>
      <c r="AL1515" t="inlineStr">
        <is>
          <t>Miss Glam Jambi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"8998824551636"</f>
        <v/>
      </c>
      <c r="C1516" t="inlineStr">
        <is>
          <t>HANASUI Body Lotion Brightening Sydney 180ml</t>
        </is>
      </c>
      <c r="D1516" t="inlineStr">
        <is>
          <t>Miss Glam Jambi</t>
        </is>
      </c>
      <c r="E1516" t="n">
        <v>1</v>
      </c>
      <c r="F1516" t="n">
        <v>0.09569999999999999</v>
      </c>
      <c r="G1516" t="n">
        <v>0.99</v>
      </c>
      <c r="H1516" t="n">
        <v>4</v>
      </c>
      <c r="I1516" t="n">
        <v>28</v>
      </c>
      <c r="J1516" t="n">
        <v>3</v>
      </c>
      <c r="K1516" t="n">
        <v>6</v>
      </c>
      <c r="L1516" t="n">
        <v>18224</v>
      </c>
      <c r="M1516" t="n">
        <v>23000</v>
      </c>
      <c r="N1516" t="n">
        <v>33</v>
      </c>
      <c r="O1516" t="n">
        <v>0.33</v>
      </c>
      <c r="P1516" t="n">
        <v>1</v>
      </c>
      <c r="Q1516" t="n">
        <v>0.05</v>
      </c>
      <c r="R1516" t="n">
        <v>2</v>
      </c>
      <c r="S1516" t="n">
        <v>2201.1</v>
      </c>
      <c r="T1516" t="n">
        <v>28</v>
      </c>
      <c r="U1516" t="n">
        <v>29</v>
      </c>
      <c r="V1516" t="n">
        <v>30</v>
      </c>
      <c r="W1516" t="n">
        <v>3</v>
      </c>
      <c r="X1516" t="n">
        <v>10.44932079414838</v>
      </c>
      <c r="Y1516" t="n">
        <v>1</v>
      </c>
      <c r="Z1516" t="n">
        <v>0</v>
      </c>
      <c r="AA1516" t="n">
        <v>1</v>
      </c>
      <c r="AB1516" t="n">
        <v>0</v>
      </c>
      <c r="AC1516" t="n">
        <v>0</v>
      </c>
      <c r="AD1516" t="n">
        <v>18224</v>
      </c>
      <c r="AE1516" t="n">
        <v>0</v>
      </c>
      <c r="AF1516" t="n">
        <v>10510</v>
      </c>
      <c r="AG1516" t="n">
        <v>2148</v>
      </c>
      <c r="AH1516" t="inlineStr">
        <is>
          <t>PT. JAYA PALEMBANG SUKSES - PPN (JMB)</t>
        </is>
      </c>
      <c r="AI1516" t="n">
        <v>78</v>
      </c>
      <c r="AJ1516" t="inlineStr">
        <is>
          <t>HANASUI</t>
        </is>
      </c>
      <c r="AK1516" t="n">
        <v>9</v>
      </c>
      <c r="AL1516" t="inlineStr">
        <is>
          <t>Miss Glam Jambi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"8998824551629"</f>
        <v/>
      </c>
      <c r="C1517" t="inlineStr">
        <is>
          <t>HANASUI Body Lotion Brightening Tokyo 180ml</t>
        </is>
      </c>
      <c r="D1517" t="inlineStr">
        <is>
          <t>Miss Glam Jambi</t>
        </is>
      </c>
      <c r="E1517" t="n">
        <v>5</v>
      </c>
      <c r="F1517" t="n">
        <v>0.1353</v>
      </c>
      <c r="G1517" t="n">
        <v>0.66</v>
      </c>
      <c r="H1517" t="n">
        <v>4</v>
      </c>
      <c r="I1517" t="n">
        <v>28</v>
      </c>
      <c r="J1517" t="n">
        <v>3</v>
      </c>
      <c r="K1517" t="n">
        <v>0</v>
      </c>
      <c r="L1517" t="n">
        <v>18224</v>
      </c>
      <c r="M1517" t="n">
        <v>23000</v>
      </c>
      <c r="N1517" t="n">
        <v>33</v>
      </c>
      <c r="O1517" t="n">
        <v>0.33</v>
      </c>
      <c r="P1517" t="n">
        <v>1</v>
      </c>
      <c r="Q1517" t="n">
        <v>0.05</v>
      </c>
      <c r="R1517" t="n">
        <v>1</v>
      </c>
      <c r="S1517" t="n">
        <v>3111.9</v>
      </c>
      <c r="T1517" t="n">
        <v>18</v>
      </c>
      <c r="U1517" t="n">
        <v>19</v>
      </c>
      <c r="V1517" t="n">
        <v>30</v>
      </c>
      <c r="W1517" t="n">
        <v>5</v>
      </c>
      <c r="X1517" t="n">
        <v>36.95491500369549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10510</v>
      </c>
      <c r="AG1517" t="n">
        <v>2148</v>
      </c>
      <c r="AH1517" t="inlineStr">
        <is>
          <t>PT. JAYA PALEMBANG SUKSES - PPN (JMB)</t>
        </is>
      </c>
      <c r="AI1517" t="n">
        <v>78</v>
      </c>
      <c r="AJ1517" t="inlineStr">
        <is>
          <t>HANASUI</t>
        </is>
      </c>
      <c r="AK1517" t="n">
        <v>9</v>
      </c>
      <c r="AL1517" t="inlineStr">
        <is>
          <t>Miss Glam Jambi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"10100725157"</f>
        <v/>
      </c>
      <c r="C1518" t="inlineStr">
        <is>
          <t>HANASUI Bright &amp; Clear Micellar Water 300ml</t>
        </is>
      </c>
      <c r="D1518" t="inlineStr">
        <is>
          <t>Miss Glam Jambi</t>
        </is>
      </c>
      <c r="E1518" t="n">
        <v>6</v>
      </c>
      <c r="F1518" t="n">
        <v>0.0264</v>
      </c>
      <c r="G1518" t="n">
        <v>0.66</v>
      </c>
      <c r="H1518" t="n">
        <v>4</v>
      </c>
      <c r="I1518" t="n">
        <v>28</v>
      </c>
      <c r="J1518" t="n">
        <v>1</v>
      </c>
      <c r="K1518" t="n">
        <v>0</v>
      </c>
      <c r="L1518" t="n">
        <v>37600</v>
      </c>
      <c r="M1518" t="n">
        <v>47000</v>
      </c>
      <c r="N1518" t="n">
        <v>33</v>
      </c>
      <c r="O1518" t="n">
        <v>0.33</v>
      </c>
      <c r="P1518" t="n">
        <v>1</v>
      </c>
      <c r="Q1518" t="n">
        <v>0.1</v>
      </c>
      <c r="R1518" t="n">
        <v>2</v>
      </c>
      <c r="S1518" t="n">
        <v>1240.8</v>
      </c>
      <c r="T1518" t="n">
        <v>19</v>
      </c>
      <c r="U1518" t="n">
        <v>20</v>
      </c>
      <c r="V1518" t="n">
        <v>30</v>
      </c>
      <c r="W1518" t="n">
        <v>1</v>
      </c>
      <c r="X1518" t="n">
        <v>227.2727272727273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10510</v>
      </c>
      <c r="AG1518" t="n">
        <v>2148</v>
      </c>
      <c r="AH1518" t="inlineStr">
        <is>
          <t>PT. JAYA PALEMBANG SUKSES - PPN (JMB)</t>
        </is>
      </c>
      <c r="AI1518" t="n">
        <v>78</v>
      </c>
      <c r="AJ1518" t="inlineStr">
        <is>
          <t>HANASUI</t>
        </is>
      </c>
      <c r="AK1518" t="n">
        <v>9</v>
      </c>
      <c r="AL1518" t="inlineStr">
        <is>
          <t>Miss Glam Jambi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"8998824551667"</f>
        <v/>
      </c>
      <c r="C1519" t="inlineStr">
        <is>
          <t>HANASUI Bright and Radiance Vitamin C 200ml</t>
        </is>
      </c>
      <c r="D1519" t="inlineStr">
        <is>
          <t>Miss Glam Jambi</t>
        </is>
      </c>
      <c r="E1519" t="n">
        <v>1</v>
      </c>
      <c r="F1519" t="n">
        <v>0.03</v>
      </c>
      <c r="G1519" t="n">
        <v>1</v>
      </c>
      <c r="H1519" t="n">
        <v>4</v>
      </c>
      <c r="I1519" t="n">
        <v>28</v>
      </c>
      <c r="J1519" t="n">
        <v>3</v>
      </c>
      <c r="K1519" t="n">
        <v>0</v>
      </c>
      <c r="L1519" t="n">
        <v>19919</v>
      </c>
      <c r="M1519" t="n">
        <v>25000</v>
      </c>
      <c r="N1519" t="n">
        <v>33</v>
      </c>
      <c r="O1519" t="n">
        <v>0.33</v>
      </c>
      <c r="P1519" t="n">
        <v>0</v>
      </c>
      <c r="Q1519" t="n">
        <v>0.03</v>
      </c>
      <c r="R1519" t="n">
        <v>1</v>
      </c>
      <c r="S1519" t="n">
        <v>750</v>
      </c>
      <c r="T1519" t="n">
        <v>28</v>
      </c>
      <c r="U1519" t="n">
        <v>29</v>
      </c>
      <c r="V1519" t="n">
        <v>30</v>
      </c>
      <c r="W1519" t="n">
        <v>1</v>
      </c>
      <c r="X1519" t="n">
        <v>33.33333333333334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10510</v>
      </c>
      <c r="AG1519" t="n">
        <v>2148</v>
      </c>
      <c r="AH1519" t="inlineStr">
        <is>
          <t>PT. JAYA PALEMBANG SUKSES - PPN (JMB)</t>
        </is>
      </c>
      <c r="AI1519" t="n">
        <v>78</v>
      </c>
      <c r="AJ1519" t="inlineStr">
        <is>
          <t>HANASUI</t>
        </is>
      </c>
      <c r="AK1519" t="n">
        <v>9</v>
      </c>
      <c r="AL1519" t="inlineStr">
        <is>
          <t>Miss Glam Jambi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"10300514517"</f>
        <v/>
      </c>
      <c r="C1520" t="inlineStr">
        <is>
          <t>HANASUI Bright Expert Moisturizer 30gr</t>
        </is>
      </c>
      <c r="D1520" t="inlineStr">
        <is>
          <t>Miss Glam Jambi</t>
        </is>
      </c>
      <c r="E1520" t="n">
        <v>19</v>
      </c>
      <c r="F1520" t="n">
        <v>0.7095</v>
      </c>
      <c r="G1520" t="n">
        <v>1.98</v>
      </c>
      <c r="H1520" t="n">
        <v>4</v>
      </c>
      <c r="I1520" t="n">
        <v>28</v>
      </c>
      <c r="J1520" t="n">
        <v>1</v>
      </c>
      <c r="K1520" t="n">
        <v>1</v>
      </c>
      <c r="L1520" t="n">
        <v>33599</v>
      </c>
      <c r="M1520" t="n">
        <v>42000</v>
      </c>
      <c r="N1520" t="n">
        <v>33</v>
      </c>
      <c r="O1520" t="n">
        <v>0.33</v>
      </c>
      <c r="P1520" t="n">
        <v>1</v>
      </c>
      <c r="Q1520" t="n">
        <v>0.46</v>
      </c>
      <c r="R1520" t="n">
        <v>2</v>
      </c>
      <c r="S1520" t="n">
        <v>29799</v>
      </c>
      <c r="T1520" t="n">
        <v>53</v>
      </c>
      <c r="U1520" t="n">
        <v>56</v>
      </c>
      <c r="V1520" t="n">
        <v>30</v>
      </c>
      <c r="W1520" t="n">
        <v>22</v>
      </c>
      <c r="X1520" t="n">
        <v>26.77942212825934</v>
      </c>
      <c r="Y1520" t="n">
        <v>1</v>
      </c>
      <c r="Z1520" t="n">
        <v>2</v>
      </c>
      <c r="AA1520" t="n">
        <v>0</v>
      </c>
      <c r="AB1520" t="n">
        <v>2</v>
      </c>
      <c r="AC1520" t="n">
        <v>2</v>
      </c>
      <c r="AD1520" t="n">
        <v>0</v>
      </c>
      <c r="AE1520" t="n">
        <v>67198</v>
      </c>
      <c r="AF1520" t="n">
        <v>10510</v>
      </c>
      <c r="AG1520" t="n">
        <v>2148</v>
      </c>
      <c r="AH1520" t="inlineStr">
        <is>
          <t>PT. JAYA PALEMBANG SUKSES - PPN (JMB)</t>
        </is>
      </c>
      <c r="AI1520" t="n">
        <v>78</v>
      </c>
      <c r="AJ1520" t="inlineStr">
        <is>
          <t>HANASUI</t>
        </is>
      </c>
      <c r="AK1520" t="n">
        <v>9</v>
      </c>
      <c r="AL1520" t="inlineStr">
        <is>
          <t>Miss Glam Jambi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"10500639141"</f>
        <v/>
      </c>
      <c r="C1521" t="inlineStr">
        <is>
          <t>HANASUI Bright Refining Clay Stick 19gr</t>
        </is>
      </c>
      <c r="D1521" t="inlineStr">
        <is>
          <t>Miss Glam Jambi</t>
        </is>
      </c>
      <c r="E1521" t="n">
        <v>10</v>
      </c>
      <c r="F1521" t="n">
        <v>0.009900000000000001</v>
      </c>
      <c r="G1521" t="n">
        <v>0.33</v>
      </c>
      <c r="H1521" t="n">
        <v>4</v>
      </c>
      <c r="I1521" t="n">
        <v>28</v>
      </c>
      <c r="J1521" t="n">
        <v>1</v>
      </c>
      <c r="K1521" t="n">
        <v>0</v>
      </c>
      <c r="L1521" t="n">
        <v>33600</v>
      </c>
      <c r="M1521" t="n">
        <v>42000</v>
      </c>
      <c r="N1521" t="n">
        <v>33</v>
      </c>
      <c r="O1521" t="n">
        <v>0.33</v>
      </c>
      <c r="P1521" t="n">
        <v>1</v>
      </c>
      <c r="Q1521" t="n">
        <v>0.03</v>
      </c>
      <c r="R1521" t="n">
        <v>1</v>
      </c>
      <c r="S1521" t="n">
        <v>415.8</v>
      </c>
      <c r="T1521" t="n">
        <v>10</v>
      </c>
      <c r="U1521" t="n">
        <v>11</v>
      </c>
      <c r="V1521" t="n">
        <v>30</v>
      </c>
      <c r="W1521" t="n">
        <v>1</v>
      </c>
      <c r="X1521" t="n">
        <v>1010.10101010101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10510</v>
      </c>
      <c r="AG1521" t="n">
        <v>2148</v>
      </c>
      <c r="AH1521" t="inlineStr">
        <is>
          <t>PT. JAYA PALEMBANG SUKSES - PPN (JMB)</t>
        </is>
      </c>
      <c r="AI1521" t="n">
        <v>78</v>
      </c>
      <c r="AJ1521" t="inlineStr">
        <is>
          <t>HANASUI</t>
        </is>
      </c>
      <c r="AK1521" t="n">
        <v>9</v>
      </c>
      <c r="AL1521" t="inlineStr">
        <is>
          <t>Miss Glam Jambi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"30100241013"</f>
        <v/>
      </c>
      <c r="C1522" t="inlineStr">
        <is>
          <t>HANASUI Brightening Body Scrub Cheerful Bliss 200gr</t>
        </is>
      </c>
      <c r="D1522" t="inlineStr">
        <is>
          <t>Miss Glam Jambi</t>
        </is>
      </c>
      <c r="E1522" t="n">
        <v>8</v>
      </c>
      <c r="F1522" t="n">
        <v>0.3036</v>
      </c>
      <c r="G1522" t="n">
        <v>1.32</v>
      </c>
      <c r="H1522" t="n">
        <v>4</v>
      </c>
      <c r="I1522" t="n">
        <v>28</v>
      </c>
      <c r="J1522" t="n">
        <v>3</v>
      </c>
      <c r="K1522" t="n">
        <v>3</v>
      </c>
      <c r="L1522" t="n">
        <v>15191</v>
      </c>
      <c r="M1522" t="n">
        <v>19000</v>
      </c>
      <c r="N1522" t="n">
        <v>33</v>
      </c>
      <c r="O1522" t="n">
        <v>0.33</v>
      </c>
      <c r="P1522" t="n">
        <v>1</v>
      </c>
      <c r="Q1522" t="n">
        <v>0.27</v>
      </c>
      <c r="R1522" t="n">
        <v>2</v>
      </c>
      <c r="S1522" t="n">
        <v>5768.400000000001</v>
      </c>
      <c r="T1522" t="n">
        <v>36</v>
      </c>
      <c r="U1522" t="n">
        <v>38</v>
      </c>
      <c r="V1522" t="n">
        <v>30</v>
      </c>
      <c r="W1522" t="n">
        <v>10</v>
      </c>
      <c r="X1522" t="n">
        <v>26.35046113306982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10510</v>
      </c>
      <c r="AG1522" t="n">
        <v>2148</v>
      </c>
      <c r="AH1522" t="inlineStr">
        <is>
          <t>PT. JAYA PALEMBANG SUKSES - PPN (JMB)</t>
        </is>
      </c>
      <c r="AI1522" t="n">
        <v>78</v>
      </c>
      <c r="AJ1522" t="inlineStr">
        <is>
          <t>HANASUI</t>
        </is>
      </c>
      <c r="AK1522" t="n">
        <v>9</v>
      </c>
      <c r="AL1522" t="inlineStr">
        <is>
          <t>Miss Glam Jambi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"30100241342"</f>
        <v/>
      </c>
      <c r="C1523" t="inlineStr">
        <is>
          <t>HANASUI Brightening Body Scrub Happy Vibes 200gr</t>
        </is>
      </c>
      <c r="D1523" t="inlineStr">
        <is>
          <t>Miss Glam Jambi</t>
        </is>
      </c>
      <c r="E1523" t="n">
        <v>3</v>
      </c>
      <c r="F1523" t="n">
        <v>0.1056</v>
      </c>
      <c r="G1523" t="n">
        <v>1.32</v>
      </c>
      <c r="H1523" t="n">
        <v>4</v>
      </c>
      <c r="I1523" t="n">
        <v>28</v>
      </c>
      <c r="J1523" t="n">
        <v>3</v>
      </c>
      <c r="K1523" t="n">
        <v>0</v>
      </c>
      <c r="L1523" t="n">
        <v>15120</v>
      </c>
      <c r="M1523" t="n">
        <v>19000</v>
      </c>
      <c r="N1523" t="n">
        <v>33</v>
      </c>
      <c r="O1523" t="n">
        <v>0.33</v>
      </c>
      <c r="P1523" t="n">
        <v>1</v>
      </c>
      <c r="Q1523" t="n">
        <v>0.03</v>
      </c>
      <c r="R1523" t="n">
        <v>1</v>
      </c>
      <c r="S1523" t="n">
        <v>2006.4</v>
      </c>
      <c r="T1523" t="n">
        <v>37</v>
      </c>
      <c r="U1523" t="n">
        <v>38</v>
      </c>
      <c r="V1523" t="n">
        <v>30</v>
      </c>
      <c r="W1523" t="n">
        <v>4</v>
      </c>
      <c r="X1523" t="n">
        <v>28.40909090909091</v>
      </c>
      <c r="Y1523" t="n">
        <v>1</v>
      </c>
      <c r="Z1523" t="n">
        <v>1</v>
      </c>
      <c r="AA1523" t="n">
        <v>0</v>
      </c>
      <c r="AB1523" t="n">
        <v>1</v>
      </c>
      <c r="AC1523" t="n">
        <v>3</v>
      </c>
      <c r="AD1523" t="n">
        <v>0</v>
      </c>
      <c r="AE1523" t="n">
        <v>45360</v>
      </c>
      <c r="AF1523" t="n">
        <v>10510</v>
      </c>
      <c r="AG1523" t="n">
        <v>2148</v>
      </c>
      <c r="AH1523" t="inlineStr">
        <is>
          <t>PT. JAYA PALEMBANG SUKSES - PPN (JMB)</t>
        </is>
      </c>
      <c r="AI1523" t="n">
        <v>78</v>
      </c>
      <c r="AJ1523" t="inlineStr">
        <is>
          <t>HANASUI</t>
        </is>
      </c>
      <c r="AK1523" t="n">
        <v>9</v>
      </c>
      <c r="AL1523" t="inlineStr">
        <is>
          <t>Miss Glam Jambi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"30100241148"</f>
        <v/>
      </c>
      <c r="C1524" t="inlineStr">
        <is>
          <t>HANASUI Brightening Body Scrub Joyful Days 200gr</t>
        </is>
      </c>
      <c r="D1524" t="inlineStr">
        <is>
          <t>Miss Glam Jambi</t>
        </is>
      </c>
      <c r="E1524" t="n">
        <v>3</v>
      </c>
      <c r="F1524" t="n">
        <v>0.1353</v>
      </c>
      <c r="G1524" t="n">
        <v>0.66</v>
      </c>
      <c r="H1524" t="n">
        <v>4</v>
      </c>
      <c r="I1524" t="n">
        <v>28</v>
      </c>
      <c r="J1524" t="n">
        <v>3</v>
      </c>
      <c r="K1524" t="n">
        <v>3</v>
      </c>
      <c r="L1524" t="n">
        <v>15120</v>
      </c>
      <c r="M1524" t="n">
        <v>19000</v>
      </c>
      <c r="N1524" t="n">
        <v>33</v>
      </c>
      <c r="O1524" t="n">
        <v>0.33</v>
      </c>
      <c r="P1524" t="n">
        <v>1</v>
      </c>
      <c r="Q1524" t="n">
        <v>0.03</v>
      </c>
      <c r="R1524" t="n">
        <v>1</v>
      </c>
      <c r="S1524" t="n">
        <v>2570.7</v>
      </c>
      <c r="T1524" t="n">
        <v>18</v>
      </c>
      <c r="U1524" t="n">
        <v>19</v>
      </c>
      <c r="V1524" t="n">
        <v>30</v>
      </c>
      <c r="W1524" t="n">
        <v>5</v>
      </c>
      <c r="X1524" t="n">
        <v>22.17294900221729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10510</v>
      </c>
      <c r="AG1524" t="n">
        <v>2148</v>
      </c>
      <c r="AH1524" t="inlineStr">
        <is>
          <t>PT. JAYA PALEMBANG SUKSES - PPN (JMB)</t>
        </is>
      </c>
      <c r="AI1524" t="n">
        <v>78</v>
      </c>
      <c r="AJ1524" t="inlineStr">
        <is>
          <t>HANASUI</t>
        </is>
      </c>
      <c r="AK1524" t="n">
        <v>9</v>
      </c>
      <c r="AL1524" t="inlineStr">
        <is>
          <t>Miss Glam Jambi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"30100241214"</f>
        <v/>
      </c>
      <c r="C1525" t="inlineStr">
        <is>
          <t>HANASUI Brightening Body Scrub Sunshine Glow 200gr</t>
        </is>
      </c>
      <c r="D1525" t="inlineStr">
        <is>
          <t>Miss Glam Jambi</t>
        </is>
      </c>
      <c r="E1525" t="n">
        <v>1</v>
      </c>
      <c r="F1525" t="n">
        <v>0.1848</v>
      </c>
      <c r="G1525" t="n">
        <v>0.66</v>
      </c>
      <c r="H1525" t="n">
        <v>4</v>
      </c>
      <c r="I1525" t="n">
        <v>28</v>
      </c>
      <c r="J1525" t="n">
        <v>3</v>
      </c>
      <c r="K1525" t="n">
        <v>6</v>
      </c>
      <c r="L1525" t="n">
        <v>15120</v>
      </c>
      <c r="M1525" t="n">
        <v>19000</v>
      </c>
      <c r="N1525" t="n">
        <v>33</v>
      </c>
      <c r="O1525" t="n">
        <v>0.33</v>
      </c>
      <c r="P1525" t="n">
        <v>1</v>
      </c>
      <c r="Q1525" t="n">
        <v>0.05</v>
      </c>
      <c r="R1525" t="n">
        <v>1</v>
      </c>
      <c r="S1525" t="n">
        <v>3511.2</v>
      </c>
      <c r="T1525" t="n">
        <v>18</v>
      </c>
      <c r="U1525" t="n">
        <v>19</v>
      </c>
      <c r="V1525" t="n">
        <v>30</v>
      </c>
      <c r="W1525" t="n">
        <v>6</v>
      </c>
      <c r="X1525" t="n">
        <v>5.411255411255411</v>
      </c>
      <c r="Y1525" t="n">
        <v>1</v>
      </c>
      <c r="Z1525" t="n">
        <v>0</v>
      </c>
      <c r="AA1525" t="n">
        <v>4</v>
      </c>
      <c r="AB1525" t="n">
        <v>0</v>
      </c>
      <c r="AC1525" t="n">
        <v>0</v>
      </c>
      <c r="AD1525" t="n">
        <v>60480</v>
      </c>
      <c r="AE1525" t="n">
        <v>0</v>
      </c>
      <c r="AF1525" t="n">
        <v>10510</v>
      </c>
      <c r="AG1525" t="n">
        <v>2148</v>
      </c>
      <c r="AH1525" t="inlineStr">
        <is>
          <t>PT. JAYA PALEMBANG SUKSES - PPN (JMB)</t>
        </is>
      </c>
      <c r="AI1525" t="n">
        <v>78</v>
      </c>
      <c r="AJ1525" t="inlineStr">
        <is>
          <t>HANASUI</t>
        </is>
      </c>
      <c r="AK1525" t="n">
        <v>9</v>
      </c>
      <c r="AL1525" t="inlineStr">
        <is>
          <t>Miss Glam Jambi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"8998824554859"</f>
        <v/>
      </c>
      <c r="C1526" t="inlineStr">
        <is>
          <t>HANASUI Brightening Body Serum Cheerful Bliss 180ml</t>
        </is>
      </c>
      <c r="D1526" t="inlineStr">
        <is>
          <t>Miss Glam Jambi</t>
        </is>
      </c>
      <c r="E1526" t="n">
        <v>11</v>
      </c>
      <c r="F1526" t="n">
        <v>0.3399</v>
      </c>
      <c r="G1526" t="n">
        <v>0.99</v>
      </c>
      <c r="H1526" t="n">
        <v>4</v>
      </c>
      <c r="I1526" t="n">
        <v>28</v>
      </c>
      <c r="J1526" t="n">
        <v>3</v>
      </c>
      <c r="K1526" t="n">
        <v>0</v>
      </c>
      <c r="L1526" t="n">
        <v>22400</v>
      </c>
      <c r="M1526" t="n">
        <v>28000</v>
      </c>
      <c r="N1526" t="n">
        <v>33</v>
      </c>
      <c r="O1526" t="n">
        <v>0.33</v>
      </c>
      <c r="P1526" t="n">
        <v>1</v>
      </c>
      <c r="Q1526" t="n">
        <v>0.12</v>
      </c>
      <c r="R1526" t="n">
        <v>1</v>
      </c>
      <c r="S1526" t="n">
        <v>9517.200000000001</v>
      </c>
      <c r="T1526" t="n">
        <v>27</v>
      </c>
      <c r="U1526" t="n">
        <v>29</v>
      </c>
      <c r="V1526" t="n">
        <v>30</v>
      </c>
      <c r="W1526" t="n">
        <v>11</v>
      </c>
      <c r="X1526" t="n">
        <v>32.36245954692556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10510</v>
      </c>
      <c r="AG1526" t="n">
        <v>2148</v>
      </c>
      <c r="AH1526" t="inlineStr">
        <is>
          <t>PT. JAYA PALEMBANG SUKSES - PPN (JMB)</t>
        </is>
      </c>
      <c r="AI1526" t="n">
        <v>78</v>
      </c>
      <c r="AJ1526" t="inlineStr">
        <is>
          <t>HANASUI</t>
        </is>
      </c>
      <c r="AK1526" t="n">
        <v>9</v>
      </c>
      <c r="AL1526" t="inlineStr">
        <is>
          <t>Miss Glam Jambi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"8998824554880"</f>
        <v/>
      </c>
      <c r="C1527" t="inlineStr">
        <is>
          <t>HANASUI Brightening Body Serum Happy Vibes 180ml</t>
        </is>
      </c>
      <c r="D1527" t="inlineStr">
        <is>
          <t>Miss Glam Jambi</t>
        </is>
      </c>
      <c r="E1527" t="n">
        <v>6</v>
      </c>
      <c r="F1527" t="n">
        <v>0.0825</v>
      </c>
      <c r="G1527" t="n">
        <v>0.99</v>
      </c>
      <c r="H1527" t="n">
        <v>4</v>
      </c>
      <c r="I1527" t="n">
        <v>28</v>
      </c>
      <c r="J1527" t="n">
        <v>3</v>
      </c>
      <c r="K1527" t="n">
        <v>0</v>
      </c>
      <c r="L1527" t="n">
        <v>22400</v>
      </c>
      <c r="M1527" t="n">
        <v>28000</v>
      </c>
      <c r="N1527" t="n">
        <v>33</v>
      </c>
      <c r="O1527" t="n">
        <v>0.33</v>
      </c>
      <c r="P1527" t="n">
        <v>1</v>
      </c>
      <c r="Q1527" t="n">
        <v>0.03</v>
      </c>
      <c r="R1527" t="n">
        <v>1</v>
      </c>
      <c r="S1527" t="n">
        <v>2310</v>
      </c>
      <c r="T1527" t="n">
        <v>28</v>
      </c>
      <c r="U1527" t="n">
        <v>29</v>
      </c>
      <c r="V1527" t="n">
        <v>30</v>
      </c>
      <c r="W1527" t="n">
        <v>3</v>
      </c>
      <c r="X1527" t="n">
        <v>72.72727272727272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10510</v>
      </c>
      <c r="AG1527" t="n">
        <v>2148</v>
      </c>
      <c r="AH1527" t="inlineStr">
        <is>
          <t>PT. JAYA PALEMBANG SUKSES - PPN (JMB)</t>
        </is>
      </c>
      <c r="AI1527" t="n">
        <v>78</v>
      </c>
      <c r="AJ1527" t="inlineStr">
        <is>
          <t>HANASUI</t>
        </is>
      </c>
      <c r="AK1527" t="n">
        <v>9</v>
      </c>
      <c r="AL1527" t="inlineStr">
        <is>
          <t>Miss Glam Jambi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"8998824554873"</f>
        <v/>
      </c>
      <c r="C1528" t="inlineStr">
        <is>
          <t>HANASUI Brightening Body Serum Joyful Days 180ml</t>
        </is>
      </c>
      <c r="D1528" t="inlineStr">
        <is>
          <t>Miss Glam Jambi</t>
        </is>
      </c>
      <c r="E1528" t="n">
        <v>11</v>
      </c>
      <c r="F1528" t="n">
        <v>0.1551</v>
      </c>
      <c r="G1528" t="n">
        <v>0.66</v>
      </c>
      <c r="H1528" t="n">
        <v>4</v>
      </c>
      <c r="I1528" t="n">
        <v>28</v>
      </c>
      <c r="J1528" t="n">
        <v>3</v>
      </c>
      <c r="K1528" t="n">
        <v>0</v>
      </c>
      <c r="L1528" t="n">
        <v>22400</v>
      </c>
      <c r="M1528" t="n">
        <v>28000</v>
      </c>
      <c r="N1528" t="n">
        <v>33</v>
      </c>
      <c r="O1528" t="n">
        <v>0.33</v>
      </c>
      <c r="P1528" t="n">
        <v>1</v>
      </c>
      <c r="Q1528" t="n">
        <v>0.08</v>
      </c>
      <c r="R1528" t="n">
        <v>1</v>
      </c>
      <c r="S1528" t="n">
        <v>4342.799999999999</v>
      </c>
      <c r="T1528" t="n">
        <v>18</v>
      </c>
      <c r="U1528" t="n">
        <v>19</v>
      </c>
      <c r="V1528" t="n">
        <v>30</v>
      </c>
      <c r="W1528" t="n">
        <v>5</v>
      </c>
      <c r="X1528" t="n">
        <v>70.92198581560284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10510</v>
      </c>
      <c r="AG1528" t="n">
        <v>2148</v>
      </c>
      <c r="AH1528" t="inlineStr">
        <is>
          <t>PT. JAYA PALEMBANG SUKSES - PPN (JMB)</t>
        </is>
      </c>
      <c r="AI1528" t="n">
        <v>78</v>
      </c>
      <c r="AJ1528" t="inlineStr">
        <is>
          <t>HANASUI</t>
        </is>
      </c>
      <c r="AK1528" t="n">
        <v>9</v>
      </c>
      <c r="AL1528" t="inlineStr">
        <is>
          <t>Miss Glam Jambi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"8998824554866"</f>
        <v/>
      </c>
      <c r="C1529" t="inlineStr">
        <is>
          <t>HANASUI Brightening Body Serum Sunshine Glow 180ml</t>
        </is>
      </c>
      <c r="D1529" t="inlineStr">
        <is>
          <t>Miss Glam Jambi</t>
        </is>
      </c>
      <c r="E1529" t="n">
        <v>1</v>
      </c>
      <c r="F1529" t="n">
        <v>0.2244</v>
      </c>
      <c r="G1529" t="n">
        <v>1.65</v>
      </c>
      <c r="H1529" t="n">
        <v>4</v>
      </c>
      <c r="I1529" t="n">
        <v>28</v>
      </c>
      <c r="J1529" t="n">
        <v>3</v>
      </c>
      <c r="K1529" t="n">
        <v>0</v>
      </c>
      <c r="L1529" t="n">
        <v>22400</v>
      </c>
      <c r="M1529" t="n">
        <v>26500</v>
      </c>
      <c r="N1529" t="n">
        <v>33</v>
      </c>
      <c r="O1529" t="n">
        <v>0.33</v>
      </c>
      <c r="P1529" t="n">
        <v>1</v>
      </c>
      <c r="Q1529" t="n">
        <v>0.03</v>
      </c>
      <c r="R1529" t="n">
        <v>1</v>
      </c>
      <c r="S1529" t="n">
        <v>5946.6</v>
      </c>
      <c r="T1529" t="n">
        <v>46</v>
      </c>
      <c r="U1529" t="n">
        <v>47</v>
      </c>
      <c r="V1529" t="n">
        <v>30</v>
      </c>
      <c r="W1529" t="n">
        <v>7</v>
      </c>
      <c r="X1529" t="n">
        <v>4.45632798573975</v>
      </c>
      <c r="Y1529" t="n">
        <v>1</v>
      </c>
      <c r="Z1529" t="n">
        <v>6</v>
      </c>
      <c r="AA1529" t="n">
        <v>6</v>
      </c>
      <c r="AB1529" t="n">
        <v>0</v>
      </c>
      <c r="AC1529" t="n">
        <v>0</v>
      </c>
      <c r="AD1529" t="n">
        <v>134400</v>
      </c>
      <c r="AE1529" t="n">
        <v>0</v>
      </c>
      <c r="AF1529" t="n">
        <v>10510</v>
      </c>
      <c r="AG1529" t="n">
        <v>2148</v>
      </c>
      <c r="AH1529" t="inlineStr">
        <is>
          <t>PT. JAYA PALEMBANG SUKSES - PPN (JMB)</t>
        </is>
      </c>
      <c r="AI1529" t="n">
        <v>78</v>
      </c>
      <c r="AJ1529" t="inlineStr">
        <is>
          <t>HANASUI</t>
        </is>
      </c>
      <c r="AK1529" t="n">
        <v>9</v>
      </c>
      <c r="AL1529" t="inlineStr">
        <is>
          <t>Miss Glam Jambi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"10100725256"</f>
        <v/>
      </c>
      <c r="C1530" t="inlineStr">
        <is>
          <t>HANASUI Calm &amp; Clear Micellar Water 300ml</t>
        </is>
      </c>
      <c r="D1530" t="inlineStr">
        <is>
          <t>Miss Glam Jambi</t>
        </is>
      </c>
      <c r="E1530" t="n">
        <v>11</v>
      </c>
      <c r="F1530" t="n">
        <v>0.0165</v>
      </c>
      <c r="G1530" t="n">
        <v>0.66</v>
      </c>
      <c r="H1530" t="n">
        <v>4</v>
      </c>
      <c r="I1530" t="n">
        <v>28</v>
      </c>
      <c r="J1530" t="n">
        <v>1</v>
      </c>
      <c r="K1530" t="n">
        <v>0</v>
      </c>
      <c r="L1530" t="n">
        <v>39200</v>
      </c>
      <c r="M1530" t="n">
        <v>49000</v>
      </c>
      <c r="N1530" t="n">
        <v>33</v>
      </c>
      <c r="O1530" t="n">
        <v>0.33</v>
      </c>
      <c r="P1530" t="n">
        <v>1</v>
      </c>
      <c r="Q1530" t="n">
        <v>0.02</v>
      </c>
      <c r="R1530" t="n">
        <v>0</v>
      </c>
      <c r="S1530" t="n">
        <v>808.5</v>
      </c>
      <c r="T1530" t="n">
        <v>19</v>
      </c>
      <c r="U1530" t="n">
        <v>20</v>
      </c>
      <c r="V1530" t="n">
        <v>30</v>
      </c>
      <c r="W1530" t="n">
        <v>1</v>
      </c>
      <c r="X1530" t="n">
        <v>666.6666666666666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10510</v>
      </c>
      <c r="AG1530" t="n">
        <v>2148</v>
      </c>
      <c r="AH1530" t="inlineStr">
        <is>
          <t>PT. JAYA PALEMBANG SUKSES - PPN (JMB)</t>
        </is>
      </c>
      <c r="AI1530" t="n">
        <v>78</v>
      </c>
      <c r="AJ1530" t="inlineStr">
        <is>
          <t>HANASUI</t>
        </is>
      </c>
      <c r="AK1530" t="n">
        <v>9</v>
      </c>
      <c r="AL1530" t="inlineStr">
        <is>
          <t>Miss Glam Jambi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"8998824554828"</f>
        <v/>
      </c>
      <c r="C1531" t="inlineStr">
        <is>
          <t>HANASUI Ceramide Probiotic Peeling Gel 100ml</t>
        </is>
      </c>
      <c r="D1531" t="inlineStr">
        <is>
          <t>Miss Glam Jambi</t>
        </is>
      </c>
      <c r="E1531" t="n">
        <v>6</v>
      </c>
      <c r="F1531" t="n">
        <v>0.1287</v>
      </c>
      <c r="G1531" t="n">
        <v>1.65</v>
      </c>
      <c r="H1531" t="n">
        <v>4</v>
      </c>
      <c r="I1531" t="n">
        <v>28</v>
      </c>
      <c r="J1531" t="n">
        <v>3</v>
      </c>
      <c r="K1531" t="n">
        <v>0</v>
      </c>
      <c r="L1531" t="n">
        <v>20000</v>
      </c>
      <c r="M1531" t="n">
        <v>27500</v>
      </c>
      <c r="N1531" t="n">
        <v>33</v>
      </c>
      <c r="O1531" t="n">
        <v>0.33</v>
      </c>
      <c r="P1531" t="n">
        <v>1</v>
      </c>
      <c r="Q1531" t="n">
        <v>0.12</v>
      </c>
      <c r="R1531" t="n">
        <v>1</v>
      </c>
      <c r="S1531" t="n">
        <v>3539.25</v>
      </c>
      <c r="T1531" t="n">
        <v>46</v>
      </c>
      <c r="U1531" t="n">
        <v>47</v>
      </c>
      <c r="V1531" t="n">
        <v>30</v>
      </c>
      <c r="W1531" t="n">
        <v>4</v>
      </c>
      <c r="X1531" t="n">
        <v>46.62004662004662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10510</v>
      </c>
      <c r="AG1531" t="n">
        <v>2148</v>
      </c>
      <c r="AH1531" t="inlineStr">
        <is>
          <t>PT. JAYA PALEMBANG SUKSES - PPN (JMB)</t>
        </is>
      </c>
      <c r="AI1531" t="n">
        <v>78</v>
      </c>
      <c r="AJ1531" t="inlineStr">
        <is>
          <t>HANASUI</t>
        </is>
      </c>
      <c r="AK1531" t="n">
        <v>9</v>
      </c>
      <c r="AL1531" t="inlineStr">
        <is>
          <t>Miss Glam Jambi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"8998824554804"</f>
        <v/>
      </c>
      <c r="C1532" t="inlineStr">
        <is>
          <t>HANASUI Ceramide Probiotics Moisturizel Gel 30gr</t>
        </is>
      </c>
      <c r="D1532" t="inlineStr">
        <is>
          <t>Miss Glam Jambi</t>
        </is>
      </c>
      <c r="E1532" t="n">
        <v>21</v>
      </c>
      <c r="F1532" t="n">
        <v>0.7260000000000001</v>
      </c>
      <c r="G1532" t="n">
        <v>2.31</v>
      </c>
      <c r="H1532" t="n">
        <v>4</v>
      </c>
      <c r="I1532" t="n">
        <v>28</v>
      </c>
      <c r="J1532" t="n">
        <v>3</v>
      </c>
      <c r="K1532" t="n">
        <v>3</v>
      </c>
      <c r="L1532" t="n">
        <v>30400</v>
      </c>
      <c r="M1532" t="n">
        <v>42000</v>
      </c>
      <c r="N1532" t="n">
        <v>33</v>
      </c>
      <c r="O1532" t="n">
        <v>0.33</v>
      </c>
      <c r="P1532" t="n">
        <v>1</v>
      </c>
      <c r="Q1532" t="n">
        <v>0.34</v>
      </c>
      <c r="R1532" t="n">
        <v>3</v>
      </c>
      <c r="S1532" t="n">
        <v>30492</v>
      </c>
      <c r="T1532" t="n">
        <v>62</v>
      </c>
      <c r="U1532" t="n">
        <v>65</v>
      </c>
      <c r="V1532" t="n">
        <v>30</v>
      </c>
      <c r="W1532" t="n">
        <v>22</v>
      </c>
      <c r="X1532" t="n">
        <v>28.92561983471074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10510</v>
      </c>
      <c r="AG1532" t="n">
        <v>2148</v>
      </c>
      <c r="AH1532" t="inlineStr">
        <is>
          <t>PT. JAYA PALEMBANG SUKSES - PPN (JMB)</t>
        </is>
      </c>
      <c r="AI1532" t="n">
        <v>78</v>
      </c>
      <c r="AJ1532" t="inlineStr">
        <is>
          <t>HANASUI</t>
        </is>
      </c>
      <c r="AK1532" t="n">
        <v>9</v>
      </c>
      <c r="AL1532" t="inlineStr">
        <is>
          <t>Miss Glam Jambi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"8998824551520"</f>
        <v/>
      </c>
      <c r="C1533" t="inlineStr">
        <is>
          <t>HANASUI Coffee Soap Withe Scrub 60gr</t>
        </is>
      </c>
      <c r="D1533" t="inlineStr">
        <is>
          <t>Miss Glam Jambi</t>
        </is>
      </c>
      <c r="E1533" t="n">
        <v>4</v>
      </c>
      <c r="F1533" t="n">
        <v>0.1683</v>
      </c>
      <c r="G1533" t="n">
        <v>0.99</v>
      </c>
      <c r="H1533" t="n">
        <v>4</v>
      </c>
      <c r="I1533" t="n">
        <v>28</v>
      </c>
      <c r="J1533" t="n">
        <v>3</v>
      </c>
      <c r="K1533" t="n">
        <v>3</v>
      </c>
      <c r="L1533" t="n">
        <v>6660</v>
      </c>
      <c r="M1533" t="n">
        <v>9000</v>
      </c>
      <c r="N1533" t="n">
        <v>33</v>
      </c>
      <c r="O1533" t="n">
        <v>0.33</v>
      </c>
      <c r="P1533" t="n">
        <v>1</v>
      </c>
      <c r="Q1533" t="n">
        <v>0.05</v>
      </c>
      <c r="R1533" t="n">
        <v>1</v>
      </c>
      <c r="S1533" t="n">
        <v>1514.7</v>
      </c>
      <c r="T1533" t="n">
        <v>28</v>
      </c>
      <c r="U1533" t="n">
        <v>29</v>
      </c>
      <c r="V1533" t="n">
        <v>30</v>
      </c>
      <c r="W1533" t="n">
        <v>6</v>
      </c>
      <c r="X1533" t="n">
        <v>23.767082590612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10510</v>
      </c>
      <c r="AG1533" t="n">
        <v>2148</v>
      </c>
      <c r="AH1533" t="inlineStr">
        <is>
          <t>PT. JAYA PALEMBANG SUKSES - PPN (JMB)</t>
        </is>
      </c>
      <c r="AI1533" t="n">
        <v>78</v>
      </c>
      <c r="AJ1533" t="inlineStr">
        <is>
          <t>HANASUI</t>
        </is>
      </c>
      <c r="AK1533" t="n">
        <v>9</v>
      </c>
      <c r="AL1533" t="inlineStr">
        <is>
          <t>Miss Glam Jambi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"8998824552961"</f>
        <v/>
      </c>
      <c r="C1534" t="inlineStr">
        <is>
          <t>HANASUI Collagen Micellar Cleansing Water 100ml</t>
        </is>
      </c>
      <c r="D1534" t="inlineStr">
        <is>
          <t>Miss Glam Jambi</t>
        </is>
      </c>
      <c r="E1534" t="n">
        <v>12</v>
      </c>
      <c r="F1534" t="n">
        <v>0.4125</v>
      </c>
      <c r="G1534" t="n">
        <v>1.32</v>
      </c>
      <c r="H1534" t="n">
        <v>4</v>
      </c>
      <c r="I1534" t="n">
        <v>28</v>
      </c>
      <c r="J1534" t="n">
        <v>3</v>
      </c>
      <c r="K1534" t="n">
        <v>3</v>
      </c>
      <c r="L1534" t="n">
        <v>22901</v>
      </c>
      <c r="M1534" t="n">
        <v>29000</v>
      </c>
      <c r="N1534" t="n">
        <v>33</v>
      </c>
      <c r="O1534" t="n">
        <v>0.33</v>
      </c>
      <c r="P1534" t="n">
        <v>1</v>
      </c>
      <c r="Q1534" t="n">
        <v>0.2</v>
      </c>
      <c r="R1534" t="n">
        <v>2</v>
      </c>
      <c r="S1534" t="n">
        <v>11962.5</v>
      </c>
      <c r="T1534" t="n">
        <v>36</v>
      </c>
      <c r="U1534" t="n">
        <v>38</v>
      </c>
      <c r="V1534" t="n">
        <v>30</v>
      </c>
      <c r="W1534" t="n">
        <v>13</v>
      </c>
      <c r="X1534" t="n">
        <v>29.09090909090909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10510</v>
      </c>
      <c r="AG1534" t="n">
        <v>2148</v>
      </c>
      <c r="AH1534" t="inlineStr">
        <is>
          <t>PT. JAYA PALEMBANG SUKSES - PPN (JMB)</t>
        </is>
      </c>
      <c r="AI1534" t="n">
        <v>78</v>
      </c>
      <c r="AJ1534" t="inlineStr">
        <is>
          <t>HANASUI</t>
        </is>
      </c>
      <c r="AK1534" t="n">
        <v>9</v>
      </c>
      <c r="AL1534" t="inlineStr">
        <is>
          <t>Miss Glam Jambi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"8998824552398"</f>
        <v/>
      </c>
      <c r="C1535" t="inlineStr">
        <is>
          <t>HANASUI Collagen Water Sunscreen SPF 30+ PA +++</t>
        </is>
      </c>
      <c r="D1535" t="inlineStr">
        <is>
          <t>Miss Glam Jambi</t>
        </is>
      </c>
      <c r="E1535" t="n">
        <v>10</v>
      </c>
      <c r="F1535" t="n">
        <v>1.6962</v>
      </c>
      <c r="G1535" t="n">
        <v>4.29</v>
      </c>
      <c r="H1535" t="n">
        <v>4</v>
      </c>
      <c r="I1535" t="n">
        <v>28</v>
      </c>
      <c r="J1535" t="n">
        <v>3</v>
      </c>
      <c r="K1535" t="n">
        <v>15</v>
      </c>
      <c r="L1535" t="n">
        <v>16799</v>
      </c>
      <c r="M1535" t="n">
        <v>24000</v>
      </c>
      <c r="N1535" t="n">
        <v>33</v>
      </c>
      <c r="O1535" t="n">
        <v>0.33</v>
      </c>
      <c r="P1535" t="n">
        <v>1</v>
      </c>
      <c r="Q1535" t="n">
        <v>1.02</v>
      </c>
      <c r="R1535" t="n">
        <v>5</v>
      </c>
      <c r="S1535" t="n">
        <v>40708.8</v>
      </c>
      <c r="T1535" t="n">
        <v>114</v>
      </c>
      <c r="U1535" t="n">
        <v>121</v>
      </c>
      <c r="V1535" t="n">
        <v>30</v>
      </c>
      <c r="W1535" t="n">
        <v>51</v>
      </c>
      <c r="X1535" t="n">
        <v>5.895531187359981</v>
      </c>
      <c r="Y1535" t="n">
        <v>1</v>
      </c>
      <c r="Z1535" t="n">
        <v>26</v>
      </c>
      <c r="AA1535" t="n">
        <v>37</v>
      </c>
      <c r="AB1535" t="n">
        <v>0</v>
      </c>
      <c r="AC1535" t="n">
        <v>0</v>
      </c>
      <c r="AD1535" t="n">
        <v>621563</v>
      </c>
      <c r="AE1535" t="n">
        <v>0</v>
      </c>
      <c r="AF1535" t="n">
        <v>10510</v>
      </c>
      <c r="AG1535" t="n">
        <v>2148</v>
      </c>
      <c r="AH1535" t="inlineStr">
        <is>
          <t>PT. JAYA PALEMBANG SUKSES - PPN (JMB)</t>
        </is>
      </c>
      <c r="AI1535" t="n">
        <v>78</v>
      </c>
      <c r="AJ1535" t="inlineStr">
        <is>
          <t>HANASUI</t>
        </is>
      </c>
      <c r="AK1535" t="n">
        <v>9</v>
      </c>
      <c r="AL1535" t="inlineStr">
        <is>
          <t>Miss Glam Jambi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"8998824551223"</f>
        <v/>
      </c>
      <c r="C1536" t="inlineStr">
        <is>
          <t>HANASUI Egg White Peel Off Mask 80gr</t>
        </is>
      </c>
      <c r="D1536" t="inlineStr">
        <is>
          <t>Miss Glam Jambi</t>
        </is>
      </c>
      <c r="E1536" t="n">
        <v>0</v>
      </c>
      <c r="F1536" t="n">
        <v>0.1122</v>
      </c>
      <c r="G1536" t="n">
        <v>0.66</v>
      </c>
      <c r="H1536" t="n">
        <v>4</v>
      </c>
      <c r="I1536" t="n">
        <v>28</v>
      </c>
      <c r="J1536" t="n">
        <v>3</v>
      </c>
      <c r="K1536" t="n">
        <v>6</v>
      </c>
      <c r="L1536" t="n">
        <v>12121</v>
      </c>
      <c r="M1536" t="n">
        <v>16000</v>
      </c>
      <c r="N1536" t="n">
        <v>33</v>
      </c>
      <c r="O1536" t="n">
        <v>0.33</v>
      </c>
      <c r="P1536" t="n">
        <v>1</v>
      </c>
      <c r="Q1536" t="n">
        <v>0.09</v>
      </c>
      <c r="R1536" t="n">
        <v>4</v>
      </c>
      <c r="S1536" t="n">
        <v>1795.2</v>
      </c>
      <c r="T1536" t="n">
        <v>19</v>
      </c>
      <c r="U1536" t="n">
        <v>20</v>
      </c>
      <c r="V1536" t="n">
        <v>30</v>
      </c>
      <c r="W1536" t="n">
        <v>4</v>
      </c>
      <c r="X1536" t="n">
        <v>0</v>
      </c>
      <c r="Y1536" t="n">
        <v>1</v>
      </c>
      <c r="Z1536" t="n">
        <v>0</v>
      </c>
      <c r="AA1536" t="n">
        <v>3</v>
      </c>
      <c r="AB1536" t="n">
        <v>0</v>
      </c>
      <c r="AC1536" t="n">
        <v>0</v>
      </c>
      <c r="AD1536" t="n">
        <v>36363</v>
      </c>
      <c r="AE1536" t="n">
        <v>0</v>
      </c>
      <c r="AF1536" t="n">
        <v>10510</v>
      </c>
      <c r="AG1536" t="n">
        <v>2148</v>
      </c>
      <c r="AH1536" t="inlineStr">
        <is>
          <t>PT. JAYA PALEMBANG SUKSES - PPN (JMB)</t>
        </is>
      </c>
      <c r="AI1536" t="n">
        <v>78</v>
      </c>
      <c r="AJ1536" t="inlineStr">
        <is>
          <t>HANASUI</t>
        </is>
      </c>
      <c r="AK1536" t="n">
        <v>9</v>
      </c>
      <c r="AL1536" t="inlineStr">
        <is>
          <t>Miss Glam Jambi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"8998824551537"</f>
        <v/>
      </c>
      <c r="C1537" t="inlineStr">
        <is>
          <t>HANASUI Extra Bamboo Charcoal Soap 60gr</t>
        </is>
      </c>
      <c r="D1537" t="inlineStr">
        <is>
          <t>Miss Glam Jambi</t>
        </is>
      </c>
      <c r="E1537" t="n">
        <v>2</v>
      </c>
      <c r="F1537" t="n">
        <v>0.1353</v>
      </c>
      <c r="G1537" t="n">
        <v>1.32</v>
      </c>
      <c r="H1537" t="n">
        <v>4</v>
      </c>
      <c r="I1537" t="n">
        <v>28</v>
      </c>
      <c r="J1537" t="n">
        <v>3</v>
      </c>
      <c r="K1537" t="n">
        <v>0</v>
      </c>
      <c r="L1537" t="n">
        <v>6660</v>
      </c>
      <c r="M1537" t="n">
        <v>9000</v>
      </c>
      <c r="N1537" t="n">
        <v>33</v>
      </c>
      <c r="O1537" t="n">
        <v>0.33</v>
      </c>
      <c r="P1537" t="n">
        <v>1</v>
      </c>
      <c r="Q1537" t="n">
        <v>0.03</v>
      </c>
      <c r="R1537" t="n">
        <v>1</v>
      </c>
      <c r="S1537" t="n">
        <v>1217.7</v>
      </c>
      <c r="T1537" t="n">
        <v>37</v>
      </c>
      <c r="U1537" t="n">
        <v>38</v>
      </c>
      <c r="V1537" t="n">
        <v>30</v>
      </c>
      <c r="W1537" t="n">
        <v>5</v>
      </c>
      <c r="X1537" t="n">
        <v>14.7819660014782</v>
      </c>
      <c r="Y1537" t="n">
        <v>1</v>
      </c>
      <c r="Z1537" t="n">
        <v>3</v>
      </c>
      <c r="AA1537" t="n">
        <v>2</v>
      </c>
      <c r="AB1537" t="n">
        <v>1</v>
      </c>
      <c r="AC1537" t="n">
        <v>3</v>
      </c>
      <c r="AD1537" t="n">
        <v>13320</v>
      </c>
      <c r="AE1537" t="n">
        <v>19980</v>
      </c>
      <c r="AF1537" t="n">
        <v>10510</v>
      </c>
      <c r="AG1537" t="n">
        <v>2148</v>
      </c>
      <c r="AH1537" t="inlineStr">
        <is>
          <t>PT. JAYA PALEMBANG SUKSES - PPN (JMB)</t>
        </is>
      </c>
      <c r="AI1537" t="n">
        <v>78</v>
      </c>
      <c r="AJ1537" t="inlineStr">
        <is>
          <t>HANASUI</t>
        </is>
      </c>
      <c r="AK1537" t="n">
        <v>9</v>
      </c>
      <c r="AL1537" t="inlineStr">
        <is>
          <t>Miss Glam Jambi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"8998824552770"</f>
        <v/>
      </c>
      <c r="C1538" t="inlineStr">
        <is>
          <t>HANASUI Eyebrowtiful Pencil Black 1.6gr</t>
        </is>
      </c>
      <c r="D1538" t="inlineStr">
        <is>
          <t>Miss Glam Jambi</t>
        </is>
      </c>
      <c r="E1538" t="n">
        <v>4</v>
      </c>
      <c r="F1538" t="n">
        <v>0.3762</v>
      </c>
      <c r="G1538" t="n">
        <v>1.65</v>
      </c>
      <c r="H1538" t="n">
        <v>4</v>
      </c>
      <c r="I1538" t="n">
        <v>28</v>
      </c>
      <c r="J1538" t="n">
        <v>3</v>
      </c>
      <c r="K1538" t="n">
        <v>3</v>
      </c>
      <c r="L1538" t="n">
        <v>10800</v>
      </c>
      <c r="M1538" t="n">
        <v>16500</v>
      </c>
      <c r="N1538" t="n">
        <v>33</v>
      </c>
      <c r="O1538" t="n">
        <v>0.33</v>
      </c>
      <c r="P1538" t="n">
        <v>1</v>
      </c>
      <c r="Q1538" t="n">
        <v>0.14</v>
      </c>
      <c r="R1538" t="n">
        <v>2</v>
      </c>
      <c r="S1538" t="n">
        <v>6207.299999999999</v>
      </c>
      <c r="T1538" t="n">
        <v>45</v>
      </c>
      <c r="U1538" t="n">
        <v>47</v>
      </c>
      <c r="V1538" t="n">
        <v>30</v>
      </c>
      <c r="W1538" t="n">
        <v>12</v>
      </c>
      <c r="X1538" t="n">
        <v>10.63264221158958</v>
      </c>
      <c r="Y1538" t="n">
        <v>1</v>
      </c>
      <c r="Z1538" t="n">
        <v>5</v>
      </c>
      <c r="AA1538" t="n">
        <v>6</v>
      </c>
      <c r="AB1538" t="n">
        <v>0</v>
      </c>
      <c r="AC1538" t="n">
        <v>0</v>
      </c>
      <c r="AD1538" t="n">
        <v>64800</v>
      </c>
      <c r="AE1538" t="n">
        <v>0</v>
      </c>
      <c r="AF1538" t="n">
        <v>10510</v>
      </c>
      <c r="AG1538" t="n">
        <v>2148</v>
      </c>
      <c r="AH1538" t="inlineStr">
        <is>
          <t>PT. JAYA PALEMBANG SUKSES - PPN (JMB)</t>
        </is>
      </c>
      <c r="AI1538" t="n">
        <v>78</v>
      </c>
      <c r="AJ1538" t="inlineStr">
        <is>
          <t>HANASUI</t>
        </is>
      </c>
      <c r="AK1538" t="n">
        <v>9</v>
      </c>
      <c r="AL1538" t="inlineStr">
        <is>
          <t>Miss Glam Jambi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"8998824552756"</f>
        <v/>
      </c>
      <c r="C1539" t="inlineStr">
        <is>
          <t>HANASUI Eyebrowtiful Pencil Brown 1.6gr</t>
        </is>
      </c>
      <c r="D1539" t="inlineStr">
        <is>
          <t>Miss Glam Jambi</t>
        </is>
      </c>
      <c r="E1539" t="n">
        <v>27</v>
      </c>
      <c r="F1539" t="n">
        <v>0.63</v>
      </c>
      <c r="G1539" t="n">
        <v>3</v>
      </c>
      <c r="H1539" t="n">
        <v>4</v>
      </c>
      <c r="I1539" t="n">
        <v>28</v>
      </c>
      <c r="J1539" t="n">
        <v>3</v>
      </c>
      <c r="K1539" t="n">
        <v>0</v>
      </c>
      <c r="L1539" t="n">
        <v>12473</v>
      </c>
      <c r="M1539" t="n">
        <v>16500</v>
      </c>
      <c r="N1539" t="n">
        <v>33</v>
      </c>
      <c r="O1539" t="n">
        <v>0.33</v>
      </c>
      <c r="P1539" t="n">
        <v>0</v>
      </c>
      <c r="Q1539" t="n">
        <v>0.63</v>
      </c>
      <c r="R1539" t="n">
        <v>3</v>
      </c>
      <c r="S1539" t="n">
        <v>10395</v>
      </c>
      <c r="T1539" t="n">
        <v>82</v>
      </c>
      <c r="U1539" t="n">
        <v>85</v>
      </c>
      <c r="V1539" t="n">
        <v>30</v>
      </c>
      <c r="W1539" t="n">
        <v>19</v>
      </c>
      <c r="X1539" t="n">
        <v>42.85714285714285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10510</v>
      </c>
      <c r="AG1539" t="n">
        <v>2148</v>
      </c>
      <c r="AH1539" t="inlineStr">
        <is>
          <t>PT. JAYA PALEMBANG SUKSES - PPN (JMB)</t>
        </is>
      </c>
      <c r="AI1539" t="n">
        <v>78</v>
      </c>
      <c r="AJ1539" t="inlineStr">
        <is>
          <t>HANASUI</t>
        </is>
      </c>
      <c r="AK1539" t="n">
        <v>9</v>
      </c>
      <c r="AL1539" t="inlineStr">
        <is>
          <t>Miss Glam Jambi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"8998824553296"</f>
        <v/>
      </c>
      <c r="C1540" t="inlineStr">
        <is>
          <t>HANASUI Eyebrowtiful Pencil Light Brown 1.6gr</t>
        </is>
      </c>
      <c r="D1540" t="inlineStr">
        <is>
          <t>Miss Glam Jambi</t>
        </is>
      </c>
      <c r="E1540" t="n">
        <v>2</v>
      </c>
      <c r="F1540" t="n">
        <v>0.7095</v>
      </c>
      <c r="G1540" t="n">
        <v>2.97</v>
      </c>
      <c r="H1540" t="n">
        <v>4</v>
      </c>
      <c r="I1540" t="n">
        <v>28</v>
      </c>
      <c r="J1540" t="n">
        <v>3</v>
      </c>
      <c r="K1540" t="n">
        <v>3</v>
      </c>
      <c r="L1540" t="n">
        <v>10800</v>
      </c>
      <c r="M1540" t="n">
        <v>16500</v>
      </c>
      <c r="N1540" t="n">
        <v>33</v>
      </c>
      <c r="O1540" t="n">
        <v>0.33</v>
      </c>
      <c r="P1540" t="n">
        <v>1</v>
      </c>
      <c r="Q1540" t="n">
        <v>0.07000000000000001</v>
      </c>
      <c r="R1540" t="n">
        <v>1</v>
      </c>
      <c r="S1540" t="n">
        <v>11706.75</v>
      </c>
      <c r="T1540" t="n">
        <v>81</v>
      </c>
      <c r="U1540" t="n">
        <v>84</v>
      </c>
      <c r="V1540" t="n">
        <v>30</v>
      </c>
      <c r="W1540" t="n">
        <v>22</v>
      </c>
      <c r="X1540" t="n">
        <v>2.818886539816772</v>
      </c>
      <c r="Y1540" t="n">
        <v>1</v>
      </c>
      <c r="Z1540" t="n">
        <v>17</v>
      </c>
      <c r="AA1540" t="n">
        <v>17</v>
      </c>
      <c r="AB1540" t="n">
        <v>0</v>
      </c>
      <c r="AC1540" t="n">
        <v>0</v>
      </c>
      <c r="AD1540" t="n">
        <v>183600</v>
      </c>
      <c r="AE1540" t="n">
        <v>0</v>
      </c>
      <c r="AF1540" t="n">
        <v>10510</v>
      </c>
      <c r="AG1540" t="n">
        <v>2148</v>
      </c>
      <c r="AH1540" t="inlineStr">
        <is>
          <t>PT. JAYA PALEMBANG SUKSES - PPN (JMB)</t>
        </is>
      </c>
      <c r="AI1540" t="n">
        <v>78</v>
      </c>
      <c r="AJ1540" t="inlineStr">
        <is>
          <t>HANASUI</t>
        </is>
      </c>
      <c r="AK1540" t="n">
        <v>9</v>
      </c>
      <c r="AL1540" t="inlineStr">
        <is>
          <t>Miss Glam Jambi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"8998824552381"</f>
        <v/>
      </c>
      <c r="C1541" t="inlineStr">
        <is>
          <t>HANASUI Eyedorable Mascara 0.8ml</t>
        </is>
      </c>
      <c r="D1541" t="inlineStr">
        <is>
          <t>Miss Glam Jambi</t>
        </is>
      </c>
      <c r="E1541" t="n">
        <v>11</v>
      </c>
      <c r="F1541" t="n">
        <v>0.1386</v>
      </c>
      <c r="G1541" t="n">
        <v>0.99</v>
      </c>
      <c r="H1541" t="n">
        <v>4</v>
      </c>
      <c r="I1541" t="n">
        <v>28</v>
      </c>
      <c r="J1541" t="n">
        <v>3</v>
      </c>
      <c r="K1541" t="n">
        <v>0</v>
      </c>
      <c r="L1541" t="n">
        <v>30400</v>
      </c>
      <c r="M1541" t="n">
        <v>38500</v>
      </c>
      <c r="N1541" t="n">
        <v>33</v>
      </c>
      <c r="O1541" t="n">
        <v>0.33</v>
      </c>
      <c r="P1541" t="n">
        <v>1</v>
      </c>
      <c r="Q1541" t="n">
        <v>0.32</v>
      </c>
      <c r="R1541" t="n">
        <v>2</v>
      </c>
      <c r="S1541" t="n">
        <v>5336.1</v>
      </c>
      <c r="T1541" t="n">
        <v>28</v>
      </c>
      <c r="U1541" t="n">
        <v>29</v>
      </c>
      <c r="V1541" t="n">
        <v>30</v>
      </c>
      <c r="W1541" t="n">
        <v>5</v>
      </c>
      <c r="X1541" t="n">
        <v>79.36507936507937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10510</v>
      </c>
      <c r="AG1541" t="n">
        <v>2148</v>
      </c>
      <c r="AH1541" t="inlineStr">
        <is>
          <t>PT. JAYA PALEMBANG SUKSES - PPN (JMB)</t>
        </is>
      </c>
      <c r="AI1541" t="n">
        <v>78</v>
      </c>
      <c r="AJ1541" t="inlineStr">
        <is>
          <t>HANASUI</t>
        </is>
      </c>
      <c r="AK1541" t="n">
        <v>9</v>
      </c>
      <c r="AL1541" t="inlineStr">
        <is>
          <t>Miss Glam Jambi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"8998824552824"</f>
        <v/>
      </c>
      <c r="C1542" t="inlineStr">
        <is>
          <t>HANASUI Eyetractive Liner Pen Black 0.8ml</t>
        </is>
      </c>
      <c r="D1542" t="inlineStr">
        <is>
          <t>Miss Glam Jambi</t>
        </is>
      </c>
      <c r="E1542" t="n">
        <v>9</v>
      </c>
      <c r="F1542" t="n">
        <v>0.2013</v>
      </c>
      <c r="G1542" t="n">
        <v>0.66</v>
      </c>
      <c r="H1542" t="n">
        <v>4</v>
      </c>
      <c r="I1542" t="n">
        <v>28</v>
      </c>
      <c r="J1542" t="n">
        <v>3</v>
      </c>
      <c r="K1542" t="n">
        <v>0</v>
      </c>
      <c r="L1542" t="n">
        <v>24000</v>
      </c>
      <c r="M1542" t="n">
        <v>31500</v>
      </c>
      <c r="N1542" t="n">
        <v>33</v>
      </c>
      <c r="O1542" t="n">
        <v>0.33</v>
      </c>
      <c r="P1542" t="n">
        <v>1</v>
      </c>
      <c r="Q1542" t="n">
        <v>0.42</v>
      </c>
      <c r="R1542" t="n">
        <v>2</v>
      </c>
      <c r="S1542" t="n">
        <v>6340.95</v>
      </c>
      <c r="T1542" t="n">
        <v>18</v>
      </c>
      <c r="U1542" t="n">
        <v>19</v>
      </c>
      <c r="V1542" t="n">
        <v>30</v>
      </c>
      <c r="W1542" t="n">
        <v>7</v>
      </c>
      <c r="X1542" t="n">
        <v>44.70938897168405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10510</v>
      </c>
      <c r="AG1542" t="n">
        <v>2148</v>
      </c>
      <c r="AH1542" t="inlineStr">
        <is>
          <t>PT. JAYA PALEMBANG SUKSES - PPN (JMB)</t>
        </is>
      </c>
      <c r="AI1542" t="n">
        <v>78</v>
      </c>
      <c r="AJ1542" t="inlineStr">
        <is>
          <t>HANASUI</t>
        </is>
      </c>
      <c r="AK1542" t="n">
        <v>9</v>
      </c>
      <c r="AL1542" t="inlineStr">
        <is>
          <t>Miss Glam Jambi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"8998824552978"</f>
        <v/>
      </c>
      <c r="C1543" t="inlineStr">
        <is>
          <t>HANASUI Fix &amp; Glow Setting Spray 60ml</t>
        </is>
      </c>
      <c r="D1543" t="inlineStr">
        <is>
          <t>Miss Glam Jambi</t>
        </is>
      </c>
      <c r="E1543" t="n">
        <v>7</v>
      </c>
      <c r="F1543" t="n">
        <v>0.4983</v>
      </c>
      <c r="G1543" t="n">
        <v>1.98</v>
      </c>
      <c r="H1543" t="n">
        <v>4</v>
      </c>
      <c r="I1543" t="n">
        <v>28</v>
      </c>
      <c r="J1543" t="n">
        <v>3</v>
      </c>
      <c r="K1543" t="n">
        <v>3</v>
      </c>
      <c r="L1543" t="n">
        <v>21191</v>
      </c>
      <c r="M1543" t="n">
        <v>29500</v>
      </c>
      <c r="N1543" t="n">
        <v>33</v>
      </c>
      <c r="O1543" t="n">
        <v>0.33</v>
      </c>
      <c r="P1543" t="n">
        <v>1</v>
      </c>
      <c r="Q1543" t="n">
        <v>0.34</v>
      </c>
      <c r="R1543" t="n">
        <v>2</v>
      </c>
      <c r="S1543" t="n">
        <v>14699.85</v>
      </c>
      <c r="T1543" t="n">
        <v>54</v>
      </c>
      <c r="U1543" t="n">
        <v>56</v>
      </c>
      <c r="V1543" t="n">
        <v>30</v>
      </c>
      <c r="W1543" t="n">
        <v>15</v>
      </c>
      <c r="X1543" t="n">
        <v>14.04776239213325</v>
      </c>
      <c r="Y1543" t="n">
        <v>1</v>
      </c>
      <c r="Z1543" t="n">
        <v>5</v>
      </c>
      <c r="AA1543" t="n">
        <v>6</v>
      </c>
      <c r="AB1543" t="n">
        <v>0</v>
      </c>
      <c r="AC1543" t="n">
        <v>0</v>
      </c>
      <c r="AD1543" t="n">
        <v>127146</v>
      </c>
      <c r="AE1543" t="n">
        <v>0</v>
      </c>
      <c r="AF1543" t="n">
        <v>10510</v>
      </c>
      <c r="AG1543" t="n">
        <v>2148</v>
      </c>
      <c r="AH1543" t="inlineStr">
        <is>
          <t>PT. JAYA PALEMBANG SUKSES - PPN (JMB)</t>
        </is>
      </c>
      <c r="AI1543" t="n">
        <v>78</v>
      </c>
      <c r="AJ1543" t="inlineStr">
        <is>
          <t>HANASUI</t>
        </is>
      </c>
      <c r="AK1543" t="n">
        <v>9</v>
      </c>
      <c r="AL1543" t="inlineStr">
        <is>
          <t>Miss Glam Jambi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"10300514604"</f>
        <v/>
      </c>
      <c r="C1544" t="inlineStr">
        <is>
          <t>HANASUI Gentle Retinol Moisturizer 30gr</t>
        </is>
      </c>
      <c r="D1544" t="inlineStr">
        <is>
          <t>Miss Glam Jambi</t>
        </is>
      </c>
      <c r="E1544" t="n">
        <v>8</v>
      </c>
      <c r="F1544" t="n">
        <v>0.1452</v>
      </c>
      <c r="G1544" t="n">
        <v>0.99</v>
      </c>
      <c r="H1544" t="n">
        <v>4</v>
      </c>
      <c r="I1544" t="n">
        <v>28</v>
      </c>
      <c r="J1544" t="n">
        <v>1</v>
      </c>
      <c r="K1544" t="n">
        <v>0</v>
      </c>
      <c r="L1544" t="n">
        <v>38400</v>
      </c>
      <c r="M1544" t="n">
        <v>48000</v>
      </c>
      <c r="N1544" t="n">
        <v>33</v>
      </c>
      <c r="O1544" t="n">
        <v>0.33</v>
      </c>
      <c r="P1544" t="n">
        <v>1</v>
      </c>
      <c r="Q1544" t="n">
        <v>0.22</v>
      </c>
      <c r="R1544" t="n">
        <v>1</v>
      </c>
      <c r="S1544" t="n">
        <v>6969.599999999999</v>
      </c>
      <c r="T1544" t="n">
        <v>28</v>
      </c>
      <c r="U1544" t="n">
        <v>29</v>
      </c>
      <c r="V1544" t="n">
        <v>30</v>
      </c>
      <c r="W1544" t="n">
        <v>5</v>
      </c>
      <c r="X1544" t="n">
        <v>55.09641873278237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10510</v>
      </c>
      <c r="AG1544" t="n">
        <v>2148</v>
      </c>
      <c r="AH1544" t="inlineStr">
        <is>
          <t>PT. JAYA PALEMBANG SUKSES - PPN (JMB)</t>
        </is>
      </c>
      <c r="AI1544" t="n">
        <v>78</v>
      </c>
      <c r="AJ1544" t="inlineStr">
        <is>
          <t>HANASUI</t>
        </is>
      </c>
      <c r="AK1544" t="n">
        <v>9</v>
      </c>
      <c r="AL1544" t="inlineStr">
        <is>
          <t>Miss Glam Jambi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"8998824554590"</f>
        <v/>
      </c>
      <c r="C1545" t="inlineStr">
        <is>
          <t>HANASUI Glazedorable Vinly Stain Bless Me #04 4gr</t>
        </is>
      </c>
      <c r="D1545" t="inlineStr">
        <is>
          <t>Miss Glam Jambi</t>
        </is>
      </c>
      <c r="E1545" t="n">
        <v>3</v>
      </c>
      <c r="F1545" t="n">
        <v>0.297</v>
      </c>
      <c r="G1545" t="n">
        <v>1.65</v>
      </c>
      <c r="H1545" t="n">
        <v>4</v>
      </c>
      <c r="I1545" t="n">
        <v>28</v>
      </c>
      <c r="J1545" t="n">
        <v>3</v>
      </c>
      <c r="K1545" t="n">
        <v>0</v>
      </c>
      <c r="L1545" t="n">
        <v>28000</v>
      </c>
      <c r="M1545" t="n">
        <v>37000</v>
      </c>
      <c r="N1545" t="n">
        <v>33</v>
      </c>
      <c r="O1545" t="n">
        <v>0.33</v>
      </c>
      <c r="P1545" t="n">
        <v>1</v>
      </c>
      <c r="Q1545" t="n">
        <v>0.03</v>
      </c>
      <c r="R1545" t="n">
        <v>1</v>
      </c>
      <c r="S1545" t="n">
        <v>10989</v>
      </c>
      <c r="T1545" t="n">
        <v>46</v>
      </c>
      <c r="U1545" t="n">
        <v>48</v>
      </c>
      <c r="V1545" t="n">
        <v>30</v>
      </c>
      <c r="W1545" t="n">
        <v>9</v>
      </c>
      <c r="X1545" t="n">
        <v>10.1010101010101</v>
      </c>
      <c r="Y1545" t="n">
        <v>1</v>
      </c>
      <c r="Z1545" t="n">
        <v>6</v>
      </c>
      <c r="AA1545" t="n">
        <v>6</v>
      </c>
      <c r="AB1545" t="n">
        <v>0</v>
      </c>
      <c r="AC1545" t="n">
        <v>0</v>
      </c>
      <c r="AD1545" t="n">
        <v>168000</v>
      </c>
      <c r="AE1545" t="n">
        <v>0</v>
      </c>
      <c r="AF1545" t="n">
        <v>10510</v>
      </c>
      <c r="AG1545" t="n">
        <v>2148</v>
      </c>
      <c r="AH1545" t="inlineStr">
        <is>
          <t>PT. JAYA PALEMBANG SUKSES - PPN (JMB)</t>
        </is>
      </c>
      <c r="AI1545" t="n">
        <v>78</v>
      </c>
      <c r="AJ1545" t="inlineStr">
        <is>
          <t>HANASUI</t>
        </is>
      </c>
      <c r="AK1545" t="n">
        <v>9</v>
      </c>
      <c r="AL1545" t="inlineStr">
        <is>
          <t>Miss Glam Jambi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"8998824554538"</f>
        <v/>
      </c>
      <c r="C1546" t="inlineStr">
        <is>
          <t>HANASUI Glazedorable Vinly Stain Not Today #01 4gr</t>
        </is>
      </c>
      <c r="D1546" t="inlineStr">
        <is>
          <t>Miss Glam Jambi</t>
        </is>
      </c>
      <c r="E1546" t="n">
        <v>4</v>
      </c>
      <c r="F1546" t="n">
        <v>0.3696</v>
      </c>
      <c r="G1546" t="n">
        <v>1.32</v>
      </c>
      <c r="H1546" t="n">
        <v>4</v>
      </c>
      <c r="I1546" t="n">
        <v>28</v>
      </c>
      <c r="J1546" t="n">
        <v>3</v>
      </c>
      <c r="K1546" t="n">
        <v>9</v>
      </c>
      <c r="L1546" t="n">
        <v>28000</v>
      </c>
      <c r="M1546" t="n">
        <v>37000</v>
      </c>
      <c r="N1546" t="n">
        <v>33</v>
      </c>
      <c r="O1546" t="n">
        <v>0.33</v>
      </c>
      <c r="P1546" t="n">
        <v>1</v>
      </c>
      <c r="Q1546" t="n">
        <v>0.14</v>
      </c>
      <c r="R1546" t="n">
        <v>2</v>
      </c>
      <c r="S1546" t="n">
        <v>13675.2</v>
      </c>
      <c r="T1546" t="n">
        <v>36</v>
      </c>
      <c r="U1546" t="n">
        <v>38</v>
      </c>
      <c r="V1546" t="n">
        <v>30</v>
      </c>
      <c r="W1546" t="n">
        <v>12</v>
      </c>
      <c r="X1546" t="n">
        <v>10.82251082251082</v>
      </c>
      <c r="Y1546" t="n">
        <v>1</v>
      </c>
      <c r="Z1546" t="n">
        <v>0</v>
      </c>
      <c r="AA1546" t="n">
        <v>6</v>
      </c>
      <c r="AB1546" t="n">
        <v>0</v>
      </c>
      <c r="AC1546" t="n">
        <v>0</v>
      </c>
      <c r="AD1546" t="n">
        <v>168000</v>
      </c>
      <c r="AE1546" t="n">
        <v>0</v>
      </c>
      <c r="AF1546" t="n">
        <v>10510</v>
      </c>
      <c r="AG1546" t="n">
        <v>2148</v>
      </c>
      <c r="AH1546" t="inlineStr">
        <is>
          <t>PT. JAYA PALEMBANG SUKSES - PPN (JMB)</t>
        </is>
      </c>
      <c r="AI1546" t="n">
        <v>78</v>
      </c>
      <c r="AJ1546" t="inlineStr">
        <is>
          <t>HANASUI</t>
        </is>
      </c>
      <c r="AK1546" t="n">
        <v>9</v>
      </c>
      <c r="AL1546" t="inlineStr">
        <is>
          <t>Miss Glam Jambi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"8998824554613"</f>
        <v/>
      </c>
      <c r="C1547" t="inlineStr">
        <is>
          <t>HANASUI Glazedorable Vinly Stain Speechless #05 4gr</t>
        </is>
      </c>
      <c r="D1547" t="inlineStr">
        <is>
          <t>Miss Glam Jambi</t>
        </is>
      </c>
      <c r="E1547" t="n">
        <v>11</v>
      </c>
      <c r="F1547" t="n">
        <v>0.1683</v>
      </c>
      <c r="G1547" t="n">
        <v>0.99</v>
      </c>
      <c r="H1547" t="n">
        <v>4</v>
      </c>
      <c r="I1547" t="n">
        <v>28</v>
      </c>
      <c r="J1547" t="n">
        <v>3</v>
      </c>
      <c r="K1547" t="n">
        <v>0</v>
      </c>
      <c r="L1547" t="n">
        <v>28000</v>
      </c>
      <c r="M1547" t="n">
        <v>37000</v>
      </c>
      <c r="N1547" t="n">
        <v>33</v>
      </c>
      <c r="O1547" t="n">
        <v>0.33</v>
      </c>
      <c r="P1547" t="n">
        <v>1</v>
      </c>
      <c r="Q1547" t="n">
        <v>0.02</v>
      </c>
      <c r="R1547" t="n">
        <v>1</v>
      </c>
      <c r="S1547" t="n">
        <v>6227.1</v>
      </c>
      <c r="T1547" t="n">
        <v>28</v>
      </c>
      <c r="U1547" t="n">
        <v>29</v>
      </c>
      <c r="V1547" t="n">
        <v>30</v>
      </c>
      <c r="W1547" t="n">
        <v>6</v>
      </c>
      <c r="X1547" t="n">
        <v>65.359477124183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10510</v>
      </c>
      <c r="AG1547" t="n">
        <v>2148</v>
      </c>
      <c r="AH1547" t="inlineStr">
        <is>
          <t>PT. JAYA PALEMBANG SUKSES - PPN (JMB)</t>
        </is>
      </c>
      <c r="AI1547" t="n">
        <v>78</v>
      </c>
      <c r="AJ1547" t="inlineStr">
        <is>
          <t>HANASUI</t>
        </is>
      </c>
      <c r="AK1547" t="n">
        <v>9</v>
      </c>
      <c r="AL1547" t="inlineStr">
        <is>
          <t>Miss Glam Jambi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"8998824554637"</f>
        <v/>
      </c>
      <c r="C1548" t="inlineStr">
        <is>
          <t>HANASUI Glazedorable Vinly Stain Stay Cool #06 4gr</t>
        </is>
      </c>
      <c r="D1548" t="inlineStr">
        <is>
          <t>Miss Glam Jambi</t>
        </is>
      </c>
      <c r="E1548" t="n">
        <v>7</v>
      </c>
      <c r="F1548" t="n">
        <v>0.1749</v>
      </c>
      <c r="G1548" t="n">
        <v>1.32</v>
      </c>
      <c r="H1548" t="n">
        <v>4</v>
      </c>
      <c r="I1548" t="n">
        <v>28</v>
      </c>
      <c r="J1548" t="n">
        <v>3</v>
      </c>
      <c r="K1548" t="n">
        <v>0</v>
      </c>
      <c r="L1548" t="n">
        <v>28000</v>
      </c>
      <c r="M1548" t="n">
        <v>37000</v>
      </c>
      <c r="N1548" t="n">
        <v>33</v>
      </c>
      <c r="O1548" t="n">
        <v>0.33</v>
      </c>
      <c r="P1548" t="n">
        <v>1</v>
      </c>
      <c r="Q1548" t="n">
        <v>0.02</v>
      </c>
      <c r="R1548" t="n">
        <v>1</v>
      </c>
      <c r="S1548" t="n">
        <v>6471.300000000001</v>
      </c>
      <c r="T1548" t="n">
        <v>37</v>
      </c>
      <c r="U1548" t="n">
        <v>38</v>
      </c>
      <c r="V1548" t="n">
        <v>30</v>
      </c>
      <c r="W1548" t="n">
        <v>6</v>
      </c>
      <c r="X1548" t="n">
        <v>40.02287021154945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10510</v>
      </c>
      <c r="AG1548" t="n">
        <v>2148</v>
      </c>
      <c r="AH1548" t="inlineStr">
        <is>
          <t>PT. JAYA PALEMBANG SUKSES - PPN (JMB)</t>
        </is>
      </c>
      <c r="AI1548" t="n">
        <v>78</v>
      </c>
      <c r="AJ1548" t="inlineStr">
        <is>
          <t>HANASUI</t>
        </is>
      </c>
      <c r="AK1548" t="n">
        <v>9</v>
      </c>
      <c r="AL1548" t="inlineStr">
        <is>
          <t>Miss Glam Jambi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"8998824554576"</f>
        <v/>
      </c>
      <c r="C1549" t="inlineStr">
        <is>
          <t>HANASUI Glazedorable Vinly Stain Thank You #03 4gr</t>
        </is>
      </c>
      <c r="D1549" t="inlineStr">
        <is>
          <t>Miss Glam Jambi</t>
        </is>
      </c>
      <c r="E1549" t="n">
        <v>2</v>
      </c>
      <c r="F1549" t="n">
        <v>0.5874</v>
      </c>
      <c r="G1549" t="n">
        <v>2.31</v>
      </c>
      <c r="H1549" t="n">
        <v>4</v>
      </c>
      <c r="I1549" t="n">
        <v>28</v>
      </c>
      <c r="J1549" t="n">
        <v>3</v>
      </c>
      <c r="K1549" t="n">
        <v>27</v>
      </c>
      <c r="L1549" t="n">
        <v>29200</v>
      </c>
      <c r="M1549" t="n">
        <v>37000</v>
      </c>
      <c r="N1549" t="n">
        <v>33</v>
      </c>
      <c r="O1549" t="n">
        <v>0.33</v>
      </c>
      <c r="P1549" t="n">
        <v>1</v>
      </c>
      <c r="Q1549" t="n">
        <v>0.42</v>
      </c>
      <c r="R1549" t="n">
        <v>3</v>
      </c>
      <c r="S1549" t="n">
        <v>21733.8</v>
      </c>
      <c r="T1549" t="n">
        <v>63</v>
      </c>
      <c r="U1549" t="n">
        <v>66</v>
      </c>
      <c r="V1549" t="n">
        <v>30</v>
      </c>
      <c r="W1549" t="n">
        <v>18</v>
      </c>
      <c r="X1549" t="n">
        <v>3.404834865509023</v>
      </c>
      <c r="Y1549" t="n">
        <v>1</v>
      </c>
      <c r="Z1549" t="n">
        <v>0</v>
      </c>
      <c r="AA1549" t="n">
        <v>14</v>
      </c>
      <c r="AB1549" t="n">
        <v>0</v>
      </c>
      <c r="AC1549" t="n">
        <v>0</v>
      </c>
      <c r="AD1549" t="n">
        <v>408800</v>
      </c>
      <c r="AE1549" t="n">
        <v>0</v>
      </c>
      <c r="AF1549" t="n">
        <v>10510</v>
      </c>
      <c r="AG1549" t="n">
        <v>2148</v>
      </c>
      <c r="AH1549" t="inlineStr">
        <is>
          <t>PT. JAYA PALEMBANG SUKSES - PPN (JMB)</t>
        </is>
      </c>
      <c r="AI1549" t="n">
        <v>78</v>
      </c>
      <c r="AJ1549" t="inlineStr">
        <is>
          <t>HANASUI</t>
        </is>
      </c>
      <c r="AK1549" t="n">
        <v>9</v>
      </c>
      <c r="AL1549" t="inlineStr">
        <is>
          <t>Miss Glam Jambi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"8998824554545"</f>
        <v/>
      </c>
      <c r="C1550" t="inlineStr">
        <is>
          <t>HANASUI Glazedorable Vinyl Stain 02 Yes Honey 4gr</t>
        </is>
      </c>
      <c r="D1550" t="inlineStr">
        <is>
          <t>Miss Glam Jambi</t>
        </is>
      </c>
      <c r="E1550" t="n">
        <v>15</v>
      </c>
      <c r="F1550" t="n">
        <v>0.9636</v>
      </c>
      <c r="G1550" t="n">
        <v>2.64</v>
      </c>
      <c r="H1550" t="n">
        <v>4</v>
      </c>
      <c r="I1550" t="n">
        <v>28</v>
      </c>
      <c r="J1550" t="n">
        <v>3</v>
      </c>
      <c r="K1550" t="n">
        <v>3</v>
      </c>
      <c r="L1550" t="n">
        <v>28000</v>
      </c>
      <c r="M1550" t="n">
        <v>37000</v>
      </c>
      <c r="N1550" t="n">
        <v>33</v>
      </c>
      <c r="O1550" t="n">
        <v>0.33</v>
      </c>
      <c r="P1550" t="n">
        <v>1</v>
      </c>
      <c r="Q1550" t="n">
        <v>0.47</v>
      </c>
      <c r="R1550" t="n">
        <v>3</v>
      </c>
      <c r="S1550" t="n">
        <v>35653.2</v>
      </c>
      <c r="T1550" t="n">
        <v>71</v>
      </c>
      <c r="U1550" t="n">
        <v>75</v>
      </c>
      <c r="V1550" t="n">
        <v>30</v>
      </c>
      <c r="W1550" t="n">
        <v>29</v>
      </c>
      <c r="X1550" t="n">
        <v>15.56662515566625</v>
      </c>
      <c r="Y1550" t="n">
        <v>1</v>
      </c>
      <c r="Z1550" t="n">
        <v>11</v>
      </c>
      <c r="AA1550" t="n">
        <v>11</v>
      </c>
      <c r="AB1550" t="n">
        <v>0</v>
      </c>
      <c r="AC1550" t="n">
        <v>0</v>
      </c>
      <c r="AD1550" t="n">
        <v>308000</v>
      </c>
      <c r="AE1550" t="n">
        <v>0</v>
      </c>
      <c r="AF1550" t="n">
        <v>10510</v>
      </c>
      <c r="AG1550" t="n">
        <v>2148</v>
      </c>
      <c r="AH1550" t="inlineStr">
        <is>
          <t>PT. JAYA PALEMBANG SUKSES - PPN (JMB)</t>
        </is>
      </c>
      <c r="AI1550" t="n">
        <v>78</v>
      </c>
      <c r="AJ1550" t="inlineStr">
        <is>
          <t>HANASUI</t>
        </is>
      </c>
      <c r="AK1550" t="n">
        <v>9</v>
      </c>
      <c r="AL1550" t="inlineStr">
        <is>
          <t>Miss Glam Jambi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"8998824552213"</f>
        <v/>
      </c>
      <c r="C1551" t="inlineStr">
        <is>
          <t>HANASUI Glow Expert Day Cream 15gr</t>
        </is>
      </c>
      <c r="D1551" t="inlineStr">
        <is>
          <t>Miss Glam Jambi</t>
        </is>
      </c>
      <c r="E1551" t="n">
        <v>11</v>
      </c>
      <c r="F1551" t="n">
        <v>0.2277</v>
      </c>
      <c r="G1551" t="n">
        <v>0.99</v>
      </c>
      <c r="H1551" t="n">
        <v>4</v>
      </c>
      <c r="I1551" t="n">
        <v>28</v>
      </c>
      <c r="J1551" t="n">
        <v>3</v>
      </c>
      <c r="K1551" t="n">
        <v>0</v>
      </c>
      <c r="L1551" t="n">
        <v>22800</v>
      </c>
      <c r="M1551" t="n">
        <v>26500</v>
      </c>
      <c r="N1551" t="n">
        <v>33</v>
      </c>
      <c r="O1551" t="n">
        <v>0.33</v>
      </c>
      <c r="P1551" t="n">
        <v>1</v>
      </c>
      <c r="Q1551" t="n">
        <v>0.24</v>
      </c>
      <c r="R1551" t="n">
        <v>2</v>
      </c>
      <c r="S1551" t="n">
        <v>6034.049999999999</v>
      </c>
      <c r="T1551" t="n">
        <v>27</v>
      </c>
      <c r="U1551" t="n">
        <v>28</v>
      </c>
      <c r="V1551" t="n">
        <v>30</v>
      </c>
      <c r="W1551" t="n">
        <v>7</v>
      </c>
      <c r="X1551" t="n">
        <v>48.30917874396135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10510</v>
      </c>
      <c r="AG1551" t="n">
        <v>2148</v>
      </c>
      <c r="AH1551" t="inlineStr">
        <is>
          <t>PT. JAYA PALEMBANG SUKSES - PPN (JMB)</t>
        </is>
      </c>
      <c r="AI1551" t="n">
        <v>78</v>
      </c>
      <c r="AJ1551" t="inlineStr">
        <is>
          <t>HANASUI</t>
        </is>
      </c>
      <c r="AK1551" t="n">
        <v>9</v>
      </c>
      <c r="AL1551" t="inlineStr">
        <is>
          <t>Miss Glam Jambi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"8998824552237"</f>
        <v/>
      </c>
      <c r="C1552" t="inlineStr">
        <is>
          <t>HANASUI Glow Expert Essence 105ml</t>
        </is>
      </c>
      <c r="D1552" t="inlineStr">
        <is>
          <t>Miss Glam Jambi</t>
        </is>
      </c>
      <c r="E1552" t="n">
        <v>8</v>
      </c>
      <c r="F1552" t="n">
        <v>0.1287</v>
      </c>
      <c r="G1552" t="n">
        <v>0.99</v>
      </c>
      <c r="H1552" t="n">
        <v>4</v>
      </c>
      <c r="I1552" t="n">
        <v>28</v>
      </c>
      <c r="J1552" t="n">
        <v>3</v>
      </c>
      <c r="K1552" t="n">
        <v>0</v>
      </c>
      <c r="L1552" t="n">
        <v>21600</v>
      </c>
      <c r="M1552" t="n">
        <v>23000</v>
      </c>
      <c r="N1552" t="n">
        <v>33</v>
      </c>
      <c r="O1552" t="n">
        <v>0.33</v>
      </c>
      <c r="P1552" t="n">
        <v>1</v>
      </c>
      <c r="Q1552" t="n">
        <v>0.02</v>
      </c>
      <c r="R1552" t="n">
        <v>1</v>
      </c>
      <c r="S1552" t="n">
        <v>2960.1</v>
      </c>
      <c r="T1552" t="n">
        <v>28</v>
      </c>
      <c r="U1552" t="n">
        <v>29</v>
      </c>
      <c r="V1552" t="n">
        <v>30</v>
      </c>
      <c r="W1552" t="n">
        <v>4</v>
      </c>
      <c r="X1552" t="n">
        <v>62.16006216006215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10510</v>
      </c>
      <c r="AG1552" t="n">
        <v>2148</v>
      </c>
      <c r="AH1552" t="inlineStr">
        <is>
          <t>PT. JAYA PALEMBANG SUKSES - PPN (JMB)</t>
        </is>
      </c>
      <c r="AI1552" t="n">
        <v>78</v>
      </c>
      <c r="AJ1552" t="inlineStr">
        <is>
          <t>HANASUI</t>
        </is>
      </c>
      <c r="AK1552" t="n">
        <v>9</v>
      </c>
      <c r="AL1552" t="inlineStr">
        <is>
          <t>Miss Glam Jambi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"8998824552251"</f>
        <v/>
      </c>
      <c r="C1553" t="inlineStr">
        <is>
          <t>HANASUI Glow Expert Gentle Cleanser 60gr</t>
        </is>
      </c>
      <c r="D1553" t="inlineStr">
        <is>
          <t>Miss Glam Jambi</t>
        </is>
      </c>
      <c r="E1553" t="n">
        <v>26</v>
      </c>
      <c r="F1553" t="n">
        <v>0.3366</v>
      </c>
      <c r="G1553" t="n">
        <v>0.99</v>
      </c>
      <c r="H1553" t="n">
        <v>4</v>
      </c>
      <c r="I1553" t="n">
        <v>28</v>
      </c>
      <c r="J1553" t="n">
        <v>3</v>
      </c>
      <c r="K1553" t="n">
        <v>0</v>
      </c>
      <c r="L1553" t="n">
        <v>18800</v>
      </c>
      <c r="M1553" t="n">
        <v>20000</v>
      </c>
      <c r="N1553" t="n">
        <v>33</v>
      </c>
      <c r="O1553" t="n">
        <v>0.33</v>
      </c>
      <c r="P1553" t="n">
        <v>1</v>
      </c>
      <c r="Q1553" t="n">
        <v>0.24</v>
      </c>
      <c r="R1553" t="n">
        <v>2</v>
      </c>
      <c r="S1553" t="n">
        <v>6732</v>
      </c>
      <c r="T1553" t="n">
        <v>27</v>
      </c>
      <c r="U1553" t="n">
        <v>29</v>
      </c>
      <c r="V1553" t="n">
        <v>30</v>
      </c>
      <c r="W1553" t="n">
        <v>11</v>
      </c>
      <c r="X1553" t="n">
        <v>77.243018419489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10510</v>
      </c>
      <c r="AG1553" t="n">
        <v>2148</v>
      </c>
      <c r="AH1553" t="inlineStr">
        <is>
          <t>PT. JAYA PALEMBANG SUKSES - PPN (JMB)</t>
        </is>
      </c>
      <c r="AI1553" t="n">
        <v>78</v>
      </c>
      <c r="AJ1553" t="inlineStr">
        <is>
          <t>HANASUI</t>
        </is>
      </c>
      <c r="AK1553" t="n">
        <v>9</v>
      </c>
      <c r="AL1553" t="inlineStr">
        <is>
          <t>Miss Glam Jambi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"8998824552220"</f>
        <v/>
      </c>
      <c r="C1554" t="inlineStr">
        <is>
          <t>HANASUI Glow Expert Night Cream 15gr</t>
        </is>
      </c>
      <c r="D1554" t="inlineStr">
        <is>
          <t>Miss Glam Jambi</t>
        </is>
      </c>
      <c r="E1554" t="n">
        <v>11</v>
      </c>
      <c r="F1554" t="n">
        <v>0.2079</v>
      </c>
      <c r="G1554" t="n">
        <v>1.32</v>
      </c>
      <c r="H1554" t="n">
        <v>4</v>
      </c>
      <c r="I1554" t="n">
        <v>28</v>
      </c>
      <c r="J1554" t="n">
        <v>3</v>
      </c>
      <c r="K1554" t="n">
        <v>0</v>
      </c>
      <c r="L1554" t="n">
        <v>23760</v>
      </c>
      <c r="M1554" t="n">
        <v>27000</v>
      </c>
      <c r="N1554" t="n">
        <v>33</v>
      </c>
      <c r="O1554" t="n">
        <v>0.33</v>
      </c>
      <c r="P1554" t="n">
        <v>1</v>
      </c>
      <c r="Q1554" t="n">
        <v>0.14</v>
      </c>
      <c r="R1554" t="n">
        <v>2</v>
      </c>
      <c r="S1554" t="n">
        <v>5613.3</v>
      </c>
      <c r="T1554" t="n">
        <v>37</v>
      </c>
      <c r="U1554" t="n">
        <v>38</v>
      </c>
      <c r="V1554" t="n">
        <v>30</v>
      </c>
      <c r="W1554" t="n">
        <v>7</v>
      </c>
      <c r="X1554" t="n">
        <v>52.91005291005291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10510</v>
      </c>
      <c r="AG1554" t="n">
        <v>2148</v>
      </c>
      <c r="AH1554" t="inlineStr">
        <is>
          <t>PT. JAYA PALEMBANG SUKSES - PPN (JMB)</t>
        </is>
      </c>
      <c r="AI1554" t="n">
        <v>78</v>
      </c>
      <c r="AJ1554" t="inlineStr">
        <is>
          <t>HANASUI</t>
        </is>
      </c>
      <c r="AK1554" t="n">
        <v>9</v>
      </c>
      <c r="AL1554" t="inlineStr">
        <is>
          <t>Miss Glam Jambi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"8998824552886"</f>
        <v/>
      </c>
      <c r="C1555" t="inlineStr">
        <is>
          <t>HANASUI Glow Expert Package 4pack</t>
        </is>
      </c>
      <c r="D1555" t="inlineStr">
        <is>
          <t>Miss Glam Jambi</t>
        </is>
      </c>
      <c r="E1555" t="n">
        <v>10</v>
      </c>
      <c r="F1555" t="n">
        <v>0.03</v>
      </c>
      <c r="G1555" t="n">
        <v>1</v>
      </c>
      <c r="H1555" t="n">
        <v>4</v>
      </c>
      <c r="I1555" t="n">
        <v>28</v>
      </c>
      <c r="J1555" t="n">
        <v>3</v>
      </c>
      <c r="K1555" t="n">
        <v>0</v>
      </c>
      <c r="L1555" t="n">
        <v>86961</v>
      </c>
      <c r="M1555" t="n">
        <v>109000</v>
      </c>
      <c r="N1555" t="n">
        <v>33</v>
      </c>
      <c r="O1555" t="n">
        <v>0.33</v>
      </c>
      <c r="P1555" t="n">
        <v>0</v>
      </c>
      <c r="Q1555" t="n">
        <v>0.03</v>
      </c>
      <c r="R1555" t="n">
        <v>1</v>
      </c>
      <c r="S1555" t="n">
        <v>3270</v>
      </c>
      <c r="T1555" t="n">
        <v>28</v>
      </c>
      <c r="U1555" t="n">
        <v>29</v>
      </c>
      <c r="V1555" t="n">
        <v>30</v>
      </c>
      <c r="W1555" t="n">
        <v>1</v>
      </c>
      <c r="X1555" t="n">
        <v>333.3333333333334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10510</v>
      </c>
      <c r="AG1555" t="n">
        <v>2148</v>
      </c>
      <c r="AH1555" t="inlineStr">
        <is>
          <t>PT. JAYA PALEMBANG SUKSES - PPN (JMB)</t>
        </is>
      </c>
      <c r="AI1555" t="n">
        <v>78</v>
      </c>
      <c r="AJ1555" t="inlineStr">
        <is>
          <t>HANASUI</t>
        </is>
      </c>
      <c r="AK1555" t="n">
        <v>9</v>
      </c>
      <c r="AL1555" t="inlineStr">
        <is>
          <t>Miss Glam Jambi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"8998824552039"</f>
        <v/>
      </c>
      <c r="C1556" t="inlineStr">
        <is>
          <t>HANASUI Lip Sleeping Serum Strawberry &amp; Honey 12gr</t>
        </is>
      </c>
      <c r="D1556" t="inlineStr">
        <is>
          <t>Miss Glam Jambi</t>
        </is>
      </c>
      <c r="E1556" t="n">
        <v>15</v>
      </c>
      <c r="F1556" t="n">
        <v>0.3069</v>
      </c>
      <c r="G1556" t="n">
        <v>1.32</v>
      </c>
      <c r="H1556" t="n">
        <v>4</v>
      </c>
      <c r="I1556" t="n">
        <v>28</v>
      </c>
      <c r="J1556" t="n">
        <v>3</v>
      </c>
      <c r="K1556" t="n">
        <v>0</v>
      </c>
      <c r="L1556" t="n">
        <v>21796</v>
      </c>
      <c r="M1556" t="n">
        <v>29000</v>
      </c>
      <c r="N1556" t="n">
        <v>33</v>
      </c>
      <c r="O1556" t="n">
        <v>0.33</v>
      </c>
      <c r="P1556" t="n">
        <v>1</v>
      </c>
      <c r="Q1556" t="n">
        <v>0.36</v>
      </c>
      <c r="R1556" t="n">
        <v>2</v>
      </c>
      <c r="S1556" t="n">
        <v>8900.1</v>
      </c>
      <c r="T1556" t="n">
        <v>36</v>
      </c>
      <c r="U1556" t="n">
        <v>38</v>
      </c>
      <c r="V1556" t="n">
        <v>30</v>
      </c>
      <c r="W1556" t="n">
        <v>10</v>
      </c>
      <c r="X1556" t="n">
        <v>48.87585532746823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10510</v>
      </c>
      <c r="AG1556" t="n">
        <v>2148</v>
      </c>
      <c r="AH1556" t="inlineStr">
        <is>
          <t>PT. JAYA PALEMBANG SUKSES - PPN (JMB)</t>
        </is>
      </c>
      <c r="AI1556" t="n">
        <v>78</v>
      </c>
      <c r="AJ1556" t="inlineStr">
        <is>
          <t>HANASUI</t>
        </is>
      </c>
      <c r="AK1556" t="n">
        <v>9</v>
      </c>
      <c r="AL1556" t="inlineStr">
        <is>
          <t>Miss Glam Jambi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"8998824552985"</f>
        <v/>
      </c>
      <c r="C1557" t="inlineStr">
        <is>
          <t>HANASUI Makeup Remover+Collagen Water 100ml</t>
        </is>
      </c>
      <c r="D1557" t="inlineStr">
        <is>
          <t>Miss Glam Jambi</t>
        </is>
      </c>
      <c r="E1557" t="n">
        <v>6</v>
      </c>
      <c r="F1557" t="n">
        <v>0.0264</v>
      </c>
      <c r="G1557" t="n">
        <v>0.33</v>
      </c>
      <c r="H1557" t="n">
        <v>4</v>
      </c>
      <c r="I1557" t="n">
        <v>28</v>
      </c>
      <c r="J1557" t="n">
        <v>3</v>
      </c>
      <c r="K1557" t="n">
        <v>0</v>
      </c>
      <c r="L1557" t="n">
        <v>26880</v>
      </c>
      <c r="M1557" t="n">
        <v>35500</v>
      </c>
      <c r="N1557" t="n">
        <v>33</v>
      </c>
      <c r="O1557" t="n">
        <v>0.33</v>
      </c>
      <c r="P1557" t="n">
        <v>1</v>
      </c>
      <c r="Q1557" t="n">
        <v>0.07000000000000001</v>
      </c>
      <c r="R1557" t="n">
        <v>1</v>
      </c>
      <c r="S1557" t="n">
        <v>937.2000000000002</v>
      </c>
      <c r="T1557" t="n">
        <v>10</v>
      </c>
      <c r="U1557" t="n">
        <v>11</v>
      </c>
      <c r="V1557" t="n">
        <v>30</v>
      </c>
      <c r="W1557" t="n">
        <v>1</v>
      </c>
      <c r="X1557" t="n">
        <v>227.2727272727273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10510</v>
      </c>
      <c r="AG1557" t="n">
        <v>2148</v>
      </c>
      <c r="AH1557" t="inlineStr">
        <is>
          <t>PT. JAYA PALEMBANG SUKSES - PPN (JMB)</t>
        </is>
      </c>
      <c r="AI1557" t="n">
        <v>78</v>
      </c>
      <c r="AJ1557" t="inlineStr">
        <is>
          <t>HANASUI</t>
        </is>
      </c>
      <c r="AK1557" t="n">
        <v>9</v>
      </c>
      <c r="AL1557" t="inlineStr">
        <is>
          <t>Miss Glam Jambi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"8998824551766"</f>
        <v/>
      </c>
      <c r="C1558" t="inlineStr">
        <is>
          <t>HANASUI Mattedorable Lip Cream 01 Kiss 4gr</t>
        </is>
      </c>
      <c r="D1558" t="inlineStr">
        <is>
          <t>Miss Glam Jambi</t>
        </is>
      </c>
      <c r="E1558" t="n">
        <v>15</v>
      </c>
      <c r="F1558" t="n">
        <v>0.6138</v>
      </c>
      <c r="G1558" t="n">
        <v>2.97</v>
      </c>
      <c r="H1558" t="n">
        <v>4</v>
      </c>
      <c r="I1558" t="n">
        <v>28</v>
      </c>
      <c r="J1558" t="n">
        <v>3</v>
      </c>
      <c r="K1558" t="n">
        <v>3</v>
      </c>
      <c r="L1558" t="n">
        <v>21197</v>
      </c>
      <c r="M1558" t="n">
        <v>26500</v>
      </c>
      <c r="N1558" t="n">
        <v>33</v>
      </c>
      <c r="O1558" t="n">
        <v>0.33</v>
      </c>
      <c r="P1558" t="n">
        <v>1</v>
      </c>
      <c r="Q1558" t="n">
        <v>0.5600000000000001</v>
      </c>
      <c r="R1558" t="n">
        <v>2</v>
      </c>
      <c r="S1558" t="n">
        <v>16265.7</v>
      </c>
      <c r="T1558" t="n">
        <v>81</v>
      </c>
      <c r="U1558" t="n">
        <v>84</v>
      </c>
      <c r="V1558" t="n">
        <v>30</v>
      </c>
      <c r="W1558" t="n">
        <v>19</v>
      </c>
      <c r="X1558" t="n">
        <v>24.43792766373411</v>
      </c>
      <c r="Y1558" t="n">
        <v>1</v>
      </c>
      <c r="Z1558" t="n">
        <v>1</v>
      </c>
      <c r="AA1558" t="n">
        <v>2</v>
      </c>
      <c r="AB1558" t="n">
        <v>0</v>
      </c>
      <c r="AC1558" t="n">
        <v>0</v>
      </c>
      <c r="AD1558" t="n">
        <v>42394</v>
      </c>
      <c r="AE1558" t="n">
        <v>0</v>
      </c>
      <c r="AF1558" t="n">
        <v>10510</v>
      </c>
      <c r="AG1558" t="n">
        <v>2148</v>
      </c>
      <c r="AH1558" t="inlineStr">
        <is>
          <t>PT. JAYA PALEMBANG SUKSES - PPN (JMB)</t>
        </is>
      </c>
      <c r="AI1558" t="n">
        <v>78</v>
      </c>
      <c r="AJ1558" t="inlineStr">
        <is>
          <t>HANASUI</t>
        </is>
      </c>
      <c r="AK1558" t="n">
        <v>9</v>
      </c>
      <c r="AL1558" t="inlineStr">
        <is>
          <t>Miss Glam Jambi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"8998824551773"</f>
        <v/>
      </c>
      <c r="C1559" t="inlineStr">
        <is>
          <t>HANASUI Mattedorable Lip Cream 02 Posh 4gr</t>
        </is>
      </c>
      <c r="D1559" t="inlineStr">
        <is>
          <t>Miss Glam Jambi</t>
        </is>
      </c>
      <c r="E1559" t="n">
        <v>10</v>
      </c>
      <c r="F1559" t="n">
        <v>0.1749</v>
      </c>
      <c r="G1559" t="n">
        <v>0.66</v>
      </c>
      <c r="H1559" t="n">
        <v>4</v>
      </c>
      <c r="I1559" t="n">
        <v>28</v>
      </c>
      <c r="J1559" t="n">
        <v>3</v>
      </c>
      <c r="K1559" t="n">
        <v>0</v>
      </c>
      <c r="L1559" t="n">
        <v>21190</v>
      </c>
      <c r="M1559" t="n">
        <v>26500</v>
      </c>
      <c r="N1559" t="n">
        <v>33</v>
      </c>
      <c r="O1559" t="n">
        <v>0.33</v>
      </c>
      <c r="P1559" t="n">
        <v>1</v>
      </c>
      <c r="Q1559" t="n">
        <v>0.17</v>
      </c>
      <c r="R1559" t="n">
        <v>1</v>
      </c>
      <c r="S1559" t="n">
        <v>4634.85</v>
      </c>
      <c r="T1559" t="n">
        <v>18</v>
      </c>
      <c r="U1559" t="n">
        <v>19</v>
      </c>
      <c r="V1559" t="n">
        <v>30</v>
      </c>
      <c r="W1559" t="n">
        <v>6</v>
      </c>
      <c r="X1559" t="n">
        <v>57.17552887364207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10510</v>
      </c>
      <c r="AG1559" t="n">
        <v>2148</v>
      </c>
      <c r="AH1559" t="inlineStr">
        <is>
          <t>PT. JAYA PALEMBANG SUKSES - PPN (JMB)</t>
        </is>
      </c>
      <c r="AI1559" t="n">
        <v>78</v>
      </c>
      <c r="AJ1559" t="inlineStr">
        <is>
          <t>HANASUI</t>
        </is>
      </c>
      <c r="AK1559" t="n">
        <v>9</v>
      </c>
      <c r="AL1559" t="inlineStr">
        <is>
          <t>Miss Glam Jambi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"8998824551780"</f>
        <v/>
      </c>
      <c r="C1560" t="inlineStr">
        <is>
          <t>HANASUI Mattedorable Lip Cream 03 Star 4gr</t>
        </is>
      </c>
      <c r="D1560" t="inlineStr">
        <is>
          <t>Miss Glam Jambi</t>
        </is>
      </c>
      <c r="E1560" t="n">
        <v>21</v>
      </c>
      <c r="F1560" t="n">
        <v>0.2574</v>
      </c>
      <c r="G1560" t="n">
        <v>1.65</v>
      </c>
      <c r="H1560" t="n">
        <v>4</v>
      </c>
      <c r="I1560" t="n">
        <v>28</v>
      </c>
      <c r="J1560" t="n">
        <v>3</v>
      </c>
      <c r="K1560" t="n">
        <v>0</v>
      </c>
      <c r="L1560" t="n">
        <v>21191</v>
      </c>
      <c r="M1560" t="n">
        <v>26500</v>
      </c>
      <c r="N1560" t="n">
        <v>33</v>
      </c>
      <c r="O1560" t="n">
        <v>0.33</v>
      </c>
      <c r="P1560" t="n">
        <v>1</v>
      </c>
      <c r="Q1560" t="n">
        <v>0.29</v>
      </c>
      <c r="R1560" t="n">
        <v>2</v>
      </c>
      <c r="S1560" t="n">
        <v>6821.1</v>
      </c>
      <c r="T1560" t="n">
        <v>46</v>
      </c>
      <c r="U1560" t="n">
        <v>48</v>
      </c>
      <c r="V1560" t="n">
        <v>30</v>
      </c>
      <c r="W1560" t="n">
        <v>8</v>
      </c>
      <c r="X1560" t="n">
        <v>81.58508158508158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10510</v>
      </c>
      <c r="AG1560" t="n">
        <v>2148</v>
      </c>
      <c r="AH1560" t="inlineStr">
        <is>
          <t>PT. JAYA PALEMBANG SUKSES - PPN (JMB)</t>
        </is>
      </c>
      <c r="AI1560" t="n">
        <v>78</v>
      </c>
      <c r="AJ1560" t="inlineStr">
        <is>
          <t>HANASUI</t>
        </is>
      </c>
      <c r="AK1560" t="n">
        <v>9</v>
      </c>
      <c r="AL1560" t="inlineStr">
        <is>
          <t>Miss Glam Jambi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"8998824551797"</f>
        <v/>
      </c>
      <c r="C1561" t="inlineStr">
        <is>
          <t>HANASUI Mattedorable Lip Cream 04 Chic 4gr</t>
        </is>
      </c>
      <c r="D1561" t="inlineStr">
        <is>
          <t>Miss Glam Jambi</t>
        </is>
      </c>
      <c r="E1561" t="n">
        <v>27</v>
      </c>
      <c r="F1561" t="n">
        <v>0.7655999999999999</v>
      </c>
      <c r="G1561" t="n">
        <v>2.31</v>
      </c>
      <c r="H1561" t="n">
        <v>4</v>
      </c>
      <c r="I1561" t="n">
        <v>28</v>
      </c>
      <c r="J1561" t="n">
        <v>3</v>
      </c>
      <c r="K1561" t="n">
        <v>0</v>
      </c>
      <c r="L1561" t="n">
        <v>21198</v>
      </c>
      <c r="M1561" t="n">
        <v>26500</v>
      </c>
      <c r="N1561" t="n">
        <v>33</v>
      </c>
      <c r="O1561" t="n">
        <v>0.33</v>
      </c>
      <c r="P1561" t="n">
        <v>1</v>
      </c>
      <c r="Q1561" t="n">
        <v>0.51</v>
      </c>
      <c r="R1561" t="n">
        <v>4</v>
      </c>
      <c r="S1561" t="n">
        <v>20288.4</v>
      </c>
      <c r="T1561" t="n">
        <v>62</v>
      </c>
      <c r="U1561" t="n">
        <v>66</v>
      </c>
      <c r="V1561" t="n">
        <v>30</v>
      </c>
      <c r="W1561" t="n">
        <v>23</v>
      </c>
      <c r="X1561" t="n">
        <v>35.26645768025079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10510</v>
      </c>
      <c r="AG1561" t="n">
        <v>2148</v>
      </c>
      <c r="AH1561" t="inlineStr">
        <is>
          <t>PT. JAYA PALEMBANG SUKSES - PPN (JMB)</t>
        </is>
      </c>
      <c r="AI1561" t="n">
        <v>78</v>
      </c>
      <c r="AJ1561" t="inlineStr">
        <is>
          <t>HANASUI</t>
        </is>
      </c>
      <c r="AK1561" t="n">
        <v>9</v>
      </c>
      <c r="AL1561" t="inlineStr">
        <is>
          <t>Miss Glam Jambi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"8998824551964"</f>
        <v/>
      </c>
      <c r="C1562" t="inlineStr">
        <is>
          <t>HANASUI Mattedorable Lip Cream 05 Classy 4gr</t>
        </is>
      </c>
      <c r="D1562" t="inlineStr">
        <is>
          <t>Miss Glam Jambi</t>
        </is>
      </c>
      <c r="E1562" t="n">
        <v>6</v>
      </c>
      <c r="F1562" t="n">
        <v>0.7161</v>
      </c>
      <c r="G1562" t="n">
        <v>2.64</v>
      </c>
      <c r="H1562" t="n">
        <v>4</v>
      </c>
      <c r="I1562" t="n">
        <v>28</v>
      </c>
      <c r="J1562" t="n">
        <v>3</v>
      </c>
      <c r="K1562" t="n">
        <v>15</v>
      </c>
      <c r="L1562" t="n">
        <v>21191</v>
      </c>
      <c r="M1562" t="n">
        <v>26500</v>
      </c>
      <c r="N1562" t="n">
        <v>33</v>
      </c>
      <c r="O1562" t="n">
        <v>0.33</v>
      </c>
      <c r="P1562" t="n">
        <v>1</v>
      </c>
      <c r="Q1562" t="n">
        <v>0.47</v>
      </c>
      <c r="R1562" t="n">
        <v>3</v>
      </c>
      <c r="S1562" t="n">
        <v>18976.65</v>
      </c>
      <c r="T1562" t="n">
        <v>72</v>
      </c>
      <c r="U1562" t="n">
        <v>75</v>
      </c>
      <c r="V1562" t="n">
        <v>30</v>
      </c>
      <c r="W1562" t="n">
        <v>22</v>
      </c>
      <c r="X1562" t="n">
        <v>8.378718056137412</v>
      </c>
      <c r="Y1562" t="n">
        <v>1</v>
      </c>
      <c r="Z1562" t="n">
        <v>1</v>
      </c>
      <c r="AA1562" t="n">
        <v>14</v>
      </c>
      <c r="AB1562" t="n">
        <v>0</v>
      </c>
      <c r="AC1562" t="n">
        <v>0</v>
      </c>
      <c r="AD1562" t="n">
        <v>296674</v>
      </c>
      <c r="AE1562" t="n">
        <v>0</v>
      </c>
      <c r="AF1562" t="n">
        <v>10510</v>
      </c>
      <c r="AG1562" t="n">
        <v>2148</v>
      </c>
      <c r="AH1562" t="inlineStr">
        <is>
          <t>PT. JAYA PALEMBANG SUKSES - PPN (JMB)</t>
        </is>
      </c>
      <c r="AI1562" t="n">
        <v>78</v>
      </c>
      <c r="AJ1562" t="inlineStr">
        <is>
          <t>HANASUI</t>
        </is>
      </c>
      <c r="AK1562" t="n">
        <v>9</v>
      </c>
      <c r="AL1562" t="inlineStr">
        <is>
          <t>Miss Glam Jambi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"8998824551971"</f>
        <v/>
      </c>
      <c r="C1563" t="inlineStr">
        <is>
          <t>HANASUI Mattedorable Lip Cream 06 Ritz 4gr</t>
        </is>
      </c>
      <c r="D1563" t="inlineStr">
        <is>
          <t>Miss Glam Jambi</t>
        </is>
      </c>
      <c r="E1563" t="n">
        <v>8</v>
      </c>
      <c r="F1563" t="n">
        <v>0.4653</v>
      </c>
      <c r="G1563" t="n">
        <v>1.98</v>
      </c>
      <c r="H1563" t="n">
        <v>4</v>
      </c>
      <c r="I1563" t="n">
        <v>28</v>
      </c>
      <c r="J1563" t="n">
        <v>3</v>
      </c>
      <c r="K1563" t="n">
        <v>6</v>
      </c>
      <c r="L1563" t="n">
        <v>21197</v>
      </c>
      <c r="M1563" t="n">
        <v>26500</v>
      </c>
      <c r="N1563" t="n">
        <v>33</v>
      </c>
      <c r="O1563" t="n">
        <v>0.33</v>
      </c>
      <c r="P1563" t="n">
        <v>1</v>
      </c>
      <c r="Q1563" t="n">
        <v>0.39</v>
      </c>
      <c r="R1563" t="n">
        <v>2</v>
      </c>
      <c r="S1563" t="n">
        <v>12330.45</v>
      </c>
      <c r="T1563" t="n">
        <v>54</v>
      </c>
      <c r="U1563" t="n">
        <v>56</v>
      </c>
      <c r="V1563" t="n">
        <v>30</v>
      </c>
      <c r="W1563" t="n">
        <v>14</v>
      </c>
      <c r="X1563" t="n">
        <v>17.19320868257039</v>
      </c>
      <c r="Y1563" t="n">
        <v>1</v>
      </c>
      <c r="Z1563" t="n">
        <v>0</v>
      </c>
      <c r="AA1563" t="n">
        <v>5</v>
      </c>
      <c r="AB1563" t="n">
        <v>0</v>
      </c>
      <c r="AC1563" t="n">
        <v>0</v>
      </c>
      <c r="AD1563" t="n">
        <v>105985</v>
      </c>
      <c r="AE1563" t="n">
        <v>0</v>
      </c>
      <c r="AF1563" t="n">
        <v>10510</v>
      </c>
      <c r="AG1563" t="n">
        <v>2148</v>
      </c>
      <c r="AH1563" t="inlineStr">
        <is>
          <t>PT. JAYA PALEMBANG SUKSES - PPN (JMB)</t>
        </is>
      </c>
      <c r="AI1563" t="n">
        <v>78</v>
      </c>
      <c r="AJ1563" t="inlineStr">
        <is>
          <t>HANASUI</t>
        </is>
      </c>
      <c r="AK1563" t="n">
        <v>9</v>
      </c>
      <c r="AL1563" t="inlineStr">
        <is>
          <t>Miss Glam Jambi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"8998824551988"</f>
        <v/>
      </c>
      <c r="C1564" t="inlineStr">
        <is>
          <t>HANASUI Mattedorable Lip Cream 07 Spark 4gr</t>
        </is>
      </c>
      <c r="D1564" t="inlineStr">
        <is>
          <t>Miss Glam Jambi</t>
        </is>
      </c>
      <c r="E1564" t="n">
        <v>46</v>
      </c>
      <c r="F1564" t="n">
        <v>1.3431</v>
      </c>
      <c r="G1564" t="n">
        <v>4.62</v>
      </c>
      <c r="H1564" t="n">
        <v>4</v>
      </c>
      <c r="I1564" t="n">
        <v>28</v>
      </c>
      <c r="J1564" t="n">
        <v>3</v>
      </c>
      <c r="K1564" t="n">
        <v>0</v>
      </c>
      <c r="L1564" t="n">
        <v>21199</v>
      </c>
      <c r="M1564" t="n">
        <v>26500</v>
      </c>
      <c r="N1564" t="n">
        <v>33</v>
      </c>
      <c r="O1564" t="n">
        <v>0.33</v>
      </c>
      <c r="P1564" t="n">
        <v>1</v>
      </c>
      <c r="Q1564" t="n">
        <v>1.14</v>
      </c>
      <c r="R1564" t="n">
        <v>4</v>
      </c>
      <c r="S1564" t="n">
        <v>35592.15</v>
      </c>
      <c r="T1564" t="n">
        <v>124</v>
      </c>
      <c r="U1564" t="n">
        <v>130</v>
      </c>
      <c r="V1564" t="n">
        <v>30</v>
      </c>
      <c r="W1564" t="n">
        <v>41</v>
      </c>
      <c r="X1564" t="n">
        <v>34.24912515821606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10510</v>
      </c>
      <c r="AG1564" t="n">
        <v>2148</v>
      </c>
      <c r="AH1564" t="inlineStr">
        <is>
          <t>PT. JAYA PALEMBANG SUKSES - PPN (JMB)</t>
        </is>
      </c>
      <c r="AI1564" t="n">
        <v>78</v>
      </c>
      <c r="AJ1564" t="inlineStr">
        <is>
          <t>HANASUI</t>
        </is>
      </c>
      <c r="AK1564" t="n">
        <v>9</v>
      </c>
      <c r="AL1564" t="inlineStr">
        <is>
          <t>Miss Glam Jambi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"8998824551995"</f>
        <v/>
      </c>
      <c r="C1565" t="inlineStr">
        <is>
          <t>HANASUI Mattedorable Lip Cream 08 Fancy 4gr</t>
        </is>
      </c>
      <c r="D1565" t="inlineStr">
        <is>
          <t>Miss Glam Jambi</t>
        </is>
      </c>
      <c r="E1565" t="n">
        <v>9</v>
      </c>
      <c r="F1565" t="n">
        <v>0.5577</v>
      </c>
      <c r="G1565" t="n">
        <v>1.65</v>
      </c>
      <c r="H1565" t="n">
        <v>4</v>
      </c>
      <c r="I1565" t="n">
        <v>28</v>
      </c>
      <c r="J1565" t="n">
        <v>3</v>
      </c>
      <c r="K1565" t="n">
        <v>3</v>
      </c>
      <c r="L1565" t="n">
        <v>21191</v>
      </c>
      <c r="M1565" t="n">
        <v>26500</v>
      </c>
      <c r="N1565" t="n">
        <v>33</v>
      </c>
      <c r="O1565" t="n">
        <v>0.33</v>
      </c>
      <c r="P1565" t="n">
        <v>1</v>
      </c>
      <c r="Q1565" t="n">
        <v>0.71</v>
      </c>
      <c r="R1565" t="n">
        <v>3</v>
      </c>
      <c r="S1565" t="n">
        <v>14779.05</v>
      </c>
      <c r="T1565" t="n">
        <v>44</v>
      </c>
      <c r="U1565" t="n">
        <v>47</v>
      </c>
      <c r="V1565" t="n">
        <v>30</v>
      </c>
      <c r="W1565" t="n">
        <v>17</v>
      </c>
      <c r="X1565" t="n">
        <v>16.13770844540075</v>
      </c>
      <c r="Y1565" t="n">
        <v>1</v>
      </c>
      <c r="Z1565" t="n">
        <v>5</v>
      </c>
      <c r="AA1565" t="n">
        <v>6</v>
      </c>
      <c r="AB1565" t="n">
        <v>0</v>
      </c>
      <c r="AC1565" t="n">
        <v>0</v>
      </c>
      <c r="AD1565" t="n">
        <v>127146</v>
      </c>
      <c r="AE1565" t="n">
        <v>0</v>
      </c>
      <c r="AF1565" t="n">
        <v>10510</v>
      </c>
      <c r="AG1565" t="n">
        <v>2148</v>
      </c>
      <c r="AH1565" t="inlineStr">
        <is>
          <t>PT. JAYA PALEMBANG SUKSES - PPN (JMB)</t>
        </is>
      </c>
      <c r="AI1565" t="n">
        <v>78</v>
      </c>
      <c r="AJ1565" t="inlineStr">
        <is>
          <t>HANASUI</t>
        </is>
      </c>
      <c r="AK1565" t="n">
        <v>9</v>
      </c>
      <c r="AL1565" t="inlineStr">
        <is>
          <t>Miss Glam Jambi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"8998824553173"</f>
        <v/>
      </c>
      <c r="C1566" t="inlineStr">
        <is>
          <t>HANASUI Mattedorable Lip Cream 09 Fame 4gr</t>
        </is>
      </c>
      <c r="D1566" t="inlineStr">
        <is>
          <t>Miss Glam Jambi</t>
        </is>
      </c>
      <c r="E1566" t="n">
        <v>1</v>
      </c>
      <c r="F1566" t="n">
        <v>0.07920000000000001</v>
      </c>
      <c r="G1566" t="n">
        <v>0.99</v>
      </c>
      <c r="H1566" t="n">
        <v>4</v>
      </c>
      <c r="I1566" t="n">
        <v>28</v>
      </c>
      <c r="J1566" t="n">
        <v>3</v>
      </c>
      <c r="K1566" t="n">
        <v>0</v>
      </c>
      <c r="L1566" t="n">
        <v>21191</v>
      </c>
      <c r="M1566" t="n">
        <v>26500</v>
      </c>
      <c r="N1566" t="n">
        <v>33</v>
      </c>
      <c r="O1566" t="n">
        <v>0.33</v>
      </c>
      <c r="P1566" t="n">
        <v>1</v>
      </c>
      <c r="Q1566" t="n">
        <v>0.1</v>
      </c>
      <c r="R1566" t="n">
        <v>1</v>
      </c>
      <c r="S1566" t="n">
        <v>2098.8</v>
      </c>
      <c r="T1566" t="n">
        <v>28</v>
      </c>
      <c r="U1566" t="n">
        <v>29</v>
      </c>
      <c r="V1566" t="n">
        <v>30</v>
      </c>
      <c r="W1566" t="n">
        <v>3</v>
      </c>
      <c r="X1566" t="n">
        <v>12.62626262626262</v>
      </c>
      <c r="Y1566" t="n">
        <v>1</v>
      </c>
      <c r="Z1566" t="n">
        <v>2</v>
      </c>
      <c r="AA1566" t="n">
        <v>2</v>
      </c>
      <c r="AB1566" t="n">
        <v>0</v>
      </c>
      <c r="AC1566" t="n">
        <v>0</v>
      </c>
      <c r="AD1566" t="n">
        <v>42382</v>
      </c>
      <c r="AE1566" t="n">
        <v>0</v>
      </c>
      <c r="AF1566" t="n">
        <v>10510</v>
      </c>
      <c r="AG1566" t="n">
        <v>2148</v>
      </c>
      <c r="AH1566" t="inlineStr">
        <is>
          <t>PT. JAYA PALEMBANG SUKSES - PPN (JMB)</t>
        </is>
      </c>
      <c r="AI1566" t="n">
        <v>78</v>
      </c>
      <c r="AJ1566" t="inlineStr">
        <is>
          <t>HANASUI</t>
        </is>
      </c>
      <c r="AK1566" t="n">
        <v>9</v>
      </c>
      <c r="AL1566" t="inlineStr">
        <is>
          <t>Miss Glam Jambi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"8998824553180"</f>
        <v/>
      </c>
      <c r="C1567" t="inlineStr">
        <is>
          <t>HANASUI Mattedorable Lip Cream 10 Allure 4gr</t>
        </is>
      </c>
      <c r="D1567" t="inlineStr">
        <is>
          <t>Miss Glam Jambi</t>
        </is>
      </c>
      <c r="E1567" t="n">
        <v>1</v>
      </c>
      <c r="F1567" t="n">
        <v>0.4026</v>
      </c>
      <c r="G1567" t="n">
        <v>2.31</v>
      </c>
      <c r="H1567" t="n">
        <v>4</v>
      </c>
      <c r="I1567" t="n">
        <v>28</v>
      </c>
      <c r="J1567" t="n">
        <v>3</v>
      </c>
      <c r="K1567" t="n">
        <v>15</v>
      </c>
      <c r="L1567" t="n">
        <v>21191</v>
      </c>
      <c r="M1567" t="n">
        <v>26500</v>
      </c>
      <c r="N1567" t="n">
        <v>33</v>
      </c>
      <c r="O1567" t="n">
        <v>0.33</v>
      </c>
      <c r="P1567" t="n">
        <v>1</v>
      </c>
      <c r="Q1567" t="n">
        <v>0.2</v>
      </c>
      <c r="R1567" t="n">
        <v>2</v>
      </c>
      <c r="S1567" t="n">
        <v>10668.9</v>
      </c>
      <c r="T1567" t="n">
        <v>64</v>
      </c>
      <c r="U1567" t="n">
        <v>66</v>
      </c>
      <c r="V1567" t="n">
        <v>30</v>
      </c>
      <c r="W1567" t="n">
        <v>13</v>
      </c>
      <c r="X1567" t="n">
        <v>2.483854942871336</v>
      </c>
      <c r="Y1567" t="n">
        <v>1</v>
      </c>
      <c r="Z1567" t="n">
        <v>0</v>
      </c>
      <c r="AA1567" t="n">
        <v>10</v>
      </c>
      <c r="AB1567" t="n">
        <v>0</v>
      </c>
      <c r="AC1567" t="n">
        <v>0</v>
      </c>
      <c r="AD1567" t="n">
        <v>211910</v>
      </c>
      <c r="AE1567" t="n">
        <v>0</v>
      </c>
      <c r="AF1567" t="n">
        <v>10510</v>
      </c>
      <c r="AG1567" t="n">
        <v>2148</v>
      </c>
      <c r="AH1567" t="inlineStr">
        <is>
          <t>PT. JAYA PALEMBANG SUKSES - PPN (JMB)</t>
        </is>
      </c>
      <c r="AI1567" t="n">
        <v>78</v>
      </c>
      <c r="AJ1567" t="inlineStr">
        <is>
          <t>HANASUI</t>
        </is>
      </c>
      <c r="AK1567" t="n">
        <v>9</v>
      </c>
      <c r="AL1567" t="inlineStr">
        <is>
          <t>Miss Glam Jambi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"8998824553197"</f>
        <v/>
      </c>
      <c r="C1568" t="inlineStr">
        <is>
          <t>HANASUI Mattedorable Lip Cream 11 Brick 4gr</t>
        </is>
      </c>
      <c r="D1568" t="inlineStr">
        <is>
          <t>Miss Glam Jambi</t>
        </is>
      </c>
      <c r="E1568" t="n">
        <v>26</v>
      </c>
      <c r="F1568" t="n">
        <v>0.6369</v>
      </c>
      <c r="G1568" t="n">
        <v>1.98</v>
      </c>
      <c r="H1568" t="n">
        <v>4</v>
      </c>
      <c r="I1568" t="n">
        <v>28</v>
      </c>
      <c r="J1568" t="n">
        <v>3</v>
      </c>
      <c r="K1568" t="n">
        <v>0</v>
      </c>
      <c r="L1568" t="n">
        <v>21199</v>
      </c>
      <c r="M1568" t="n">
        <v>26500</v>
      </c>
      <c r="N1568" t="n">
        <v>33</v>
      </c>
      <c r="O1568" t="n">
        <v>0.33</v>
      </c>
      <c r="P1568" t="n">
        <v>1</v>
      </c>
      <c r="Q1568" t="n">
        <v>0.61</v>
      </c>
      <c r="R1568" t="n">
        <v>3</v>
      </c>
      <c r="S1568" t="n">
        <v>16877.85</v>
      </c>
      <c r="T1568" t="n">
        <v>53</v>
      </c>
      <c r="U1568" t="n">
        <v>56</v>
      </c>
      <c r="V1568" t="n">
        <v>30</v>
      </c>
      <c r="W1568" t="n">
        <v>20</v>
      </c>
      <c r="X1568" t="n">
        <v>40.82273512325326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10510</v>
      </c>
      <c r="AG1568" t="n">
        <v>2148</v>
      </c>
      <c r="AH1568" t="inlineStr">
        <is>
          <t>PT. JAYA PALEMBANG SUKSES - PPN (JMB)</t>
        </is>
      </c>
      <c r="AI1568" t="n">
        <v>78</v>
      </c>
      <c r="AJ1568" t="inlineStr">
        <is>
          <t>HANASUI</t>
        </is>
      </c>
      <c r="AK1568" t="n">
        <v>9</v>
      </c>
      <c r="AL1568" t="inlineStr">
        <is>
          <t>Miss Glam Jambi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"8998824553203"</f>
        <v/>
      </c>
      <c r="C1569" t="inlineStr">
        <is>
          <t>HANASUI Mattedorable Lip Cream 12 Amaze 4gr</t>
        </is>
      </c>
      <c r="D1569" t="inlineStr">
        <is>
          <t>Miss Glam Jambi</t>
        </is>
      </c>
      <c r="E1569" t="n">
        <v>11</v>
      </c>
      <c r="F1569" t="n">
        <v>0.5247000000000001</v>
      </c>
      <c r="G1569" t="n">
        <v>1.65</v>
      </c>
      <c r="H1569" t="n">
        <v>4</v>
      </c>
      <c r="I1569" t="n">
        <v>28</v>
      </c>
      <c r="J1569" t="n">
        <v>3</v>
      </c>
      <c r="K1569" t="n">
        <v>3</v>
      </c>
      <c r="L1569" t="n">
        <v>21191</v>
      </c>
      <c r="M1569" t="n">
        <v>26500</v>
      </c>
      <c r="N1569" t="n">
        <v>33</v>
      </c>
      <c r="O1569" t="n">
        <v>0.33</v>
      </c>
      <c r="P1569" t="n">
        <v>1</v>
      </c>
      <c r="Q1569" t="n">
        <v>0.36</v>
      </c>
      <c r="R1569" t="n">
        <v>3</v>
      </c>
      <c r="S1569" t="n">
        <v>13904.55</v>
      </c>
      <c r="T1569" t="n">
        <v>45</v>
      </c>
      <c r="U1569" t="n">
        <v>48</v>
      </c>
      <c r="V1569" t="n">
        <v>30</v>
      </c>
      <c r="W1569" t="n">
        <v>16</v>
      </c>
      <c r="X1569" t="n">
        <v>20.96436058700209</v>
      </c>
      <c r="Y1569" t="n">
        <v>1</v>
      </c>
      <c r="Z1569" t="n">
        <v>2</v>
      </c>
      <c r="AA1569" t="n">
        <v>3</v>
      </c>
      <c r="AB1569" t="n">
        <v>0</v>
      </c>
      <c r="AC1569" t="n">
        <v>0</v>
      </c>
      <c r="AD1569" t="n">
        <v>63573</v>
      </c>
      <c r="AE1569" t="n">
        <v>0</v>
      </c>
      <c r="AF1569" t="n">
        <v>10510</v>
      </c>
      <c r="AG1569" t="n">
        <v>2148</v>
      </c>
      <c r="AH1569" t="inlineStr">
        <is>
          <t>PT. JAYA PALEMBANG SUKSES - PPN (JMB)</t>
        </is>
      </c>
      <c r="AI1569" t="n">
        <v>78</v>
      </c>
      <c r="AJ1569" t="inlineStr">
        <is>
          <t>HANASUI</t>
        </is>
      </c>
      <c r="AK1569" t="n">
        <v>9</v>
      </c>
      <c r="AL1569" t="inlineStr">
        <is>
          <t>Miss Glam Jambi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"8998824553210"</f>
        <v/>
      </c>
      <c r="C1570" t="inlineStr">
        <is>
          <t>HANASUI Mattedorable Lip Cream 13 Adore 4gr</t>
        </is>
      </c>
      <c r="D1570" t="inlineStr">
        <is>
          <t>Miss Glam Jambi</t>
        </is>
      </c>
      <c r="E1570" t="n">
        <v>1</v>
      </c>
      <c r="F1570" t="n">
        <v>0.2178</v>
      </c>
      <c r="G1570" t="n">
        <v>1.32</v>
      </c>
      <c r="H1570" t="n">
        <v>4</v>
      </c>
      <c r="I1570" t="n">
        <v>28</v>
      </c>
      <c r="J1570" t="n">
        <v>3</v>
      </c>
      <c r="K1570" t="n">
        <v>6</v>
      </c>
      <c r="L1570" t="n">
        <v>21191</v>
      </c>
      <c r="M1570" t="n">
        <v>26500</v>
      </c>
      <c r="N1570" t="n">
        <v>33</v>
      </c>
      <c r="O1570" t="n">
        <v>0.33</v>
      </c>
      <c r="P1570" t="n">
        <v>1</v>
      </c>
      <c r="Q1570" t="n">
        <v>0.05</v>
      </c>
      <c r="R1570" t="n">
        <v>1</v>
      </c>
      <c r="S1570" t="n">
        <v>5771.700000000001</v>
      </c>
      <c r="T1570" t="n">
        <v>37</v>
      </c>
      <c r="U1570" t="n">
        <v>38</v>
      </c>
      <c r="V1570" t="n">
        <v>30</v>
      </c>
      <c r="W1570" t="n">
        <v>7</v>
      </c>
      <c r="X1570" t="n">
        <v>4.591368227731864</v>
      </c>
      <c r="Y1570" t="n">
        <v>1</v>
      </c>
      <c r="Z1570" t="n">
        <v>0</v>
      </c>
      <c r="AA1570" t="n">
        <v>5</v>
      </c>
      <c r="AB1570" t="n">
        <v>0</v>
      </c>
      <c r="AC1570" t="n">
        <v>0</v>
      </c>
      <c r="AD1570" t="n">
        <v>105955</v>
      </c>
      <c r="AE1570" t="n">
        <v>0</v>
      </c>
      <c r="AF1570" t="n">
        <v>10510</v>
      </c>
      <c r="AG1570" t="n">
        <v>2148</v>
      </c>
      <c r="AH1570" t="inlineStr">
        <is>
          <t>PT. JAYA PALEMBANG SUKSES - PPN (JMB)</t>
        </is>
      </c>
      <c r="AI1570" t="n">
        <v>78</v>
      </c>
      <c r="AJ1570" t="inlineStr">
        <is>
          <t>HANASUI</t>
        </is>
      </c>
      <c r="AK1570" t="n">
        <v>9</v>
      </c>
      <c r="AL1570" t="inlineStr">
        <is>
          <t>Miss Glam Jambi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"8998824553111"</f>
        <v/>
      </c>
      <c r="C1571" t="inlineStr">
        <is>
          <t>HANASUI Mattedorable Lip Cream 14 Dusty 4gr</t>
        </is>
      </c>
      <c r="D1571" t="inlineStr">
        <is>
          <t>Miss Glam Jambi</t>
        </is>
      </c>
      <c r="E1571" t="n">
        <v>24</v>
      </c>
      <c r="F1571" t="n">
        <v>0.2343</v>
      </c>
      <c r="G1571" t="n">
        <v>0.99</v>
      </c>
      <c r="H1571" t="n">
        <v>4</v>
      </c>
      <c r="I1571" t="n">
        <v>28</v>
      </c>
      <c r="J1571" t="n">
        <v>3</v>
      </c>
      <c r="K1571" t="n">
        <v>0</v>
      </c>
      <c r="L1571" t="n">
        <v>21191</v>
      </c>
      <c r="M1571" t="n">
        <v>26500</v>
      </c>
      <c r="N1571" t="n">
        <v>33</v>
      </c>
      <c r="O1571" t="n">
        <v>0.33</v>
      </c>
      <c r="P1571" t="n">
        <v>1</v>
      </c>
      <c r="Q1571" t="n">
        <v>0.34</v>
      </c>
      <c r="R1571" t="n">
        <v>2</v>
      </c>
      <c r="S1571" t="n">
        <v>6208.95</v>
      </c>
      <c r="T1571" t="n">
        <v>27</v>
      </c>
      <c r="U1571" t="n">
        <v>28</v>
      </c>
      <c r="V1571" t="n">
        <v>30</v>
      </c>
      <c r="W1571" t="n">
        <v>8</v>
      </c>
      <c r="X1571" t="n">
        <v>102.4327784891165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10510</v>
      </c>
      <c r="AG1571" t="n">
        <v>2148</v>
      </c>
      <c r="AH1571" t="inlineStr">
        <is>
          <t>PT. JAYA PALEMBANG SUKSES - PPN (JMB)</t>
        </is>
      </c>
      <c r="AI1571" t="n">
        <v>78</v>
      </c>
      <c r="AJ1571" t="inlineStr">
        <is>
          <t>HANASUI</t>
        </is>
      </c>
      <c r="AK1571" t="n">
        <v>9</v>
      </c>
      <c r="AL1571" t="inlineStr">
        <is>
          <t>Miss Glam Jambi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"8998824553135"</f>
        <v/>
      </c>
      <c r="C1572" t="inlineStr">
        <is>
          <t>HANASUI Mattedorable Lip Cream 15 Flame 4gr</t>
        </is>
      </c>
      <c r="D1572" t="inlineStr">
        <is>
          <t>Miss Glam Jambi</t>
        </is>
      </c>
      <c r="E1572" t="n">
        <v>8</v>
      </c>
      <c r="F1572" t="n">
        <v>0.363</v>
      </c>
      <c r="G1572" t="n">
        <v>1.65</v>
      </c>
      <c r="H1572" t="n">
        <v>4</v>
      </c>
      <c r="I1572" t="n">
        <v>28</v>
      </c>
      <c r="J1572" t="n">
        <v>3</v>
      </c>
      <c r="K1572" t="n">
        <v>0</v>
      </c>
      <c r="L1572" t="n">
        <v>21191</v>
      </c>
      <c r="M1572" t="n">
        <v>26500</v>
      </c>
      <c r="N1572" t="n">
        <v>33</v>
      </c>
      <c r="O1572" t="n">
        <v>0.33</v>
      </c>
      <c r="P1572" t="n">
        <v>1</v>
      </c>
      <c r="Q1572" t="n">
        <v>0.22</v>
      </c>
      <c r="R1572" t="n">
        <v>2</v>
      </c>
      <c r="S1572" t="n">
        <v>9619.500000000002</v>
      </c>
      <c r="T1572" t="n">
        <v>45</v>
      </c>
      <c r="U1572" t="n">
        <v>47</v>
      </c>
      <c r="V1572" t="n">
        <v>30</v>
      </c>
      <c r="W1572" t="n">
        <v>11</v>
      </c>
      <c r="X1572" t="n">
        <v>22.03856749311295</v>
      </c>
      <c r="Y1572" t="n">
        <v>1</v>
      </c>
      <c r="Z1572" t="n">
        <v>3</v>
      </c>
      <c r="AA1572" t="n">
        <v>3</v>
      </c>
      <c r="AB1572" t="n">
        <v>0</v>
      </c>
      <c r="AC1572" t="n">
        <v>0</v>
      </c>
      <c r="AD1572" t="n">
        <v>63573</v>
      </c>
      <c r="AE1572" t="n">
        <v>0</v>
      </c>
      <c r="AF1572" t="n">
        <v>10510</v>
      </c>
      <c r="AG1572" t="n">
        <v>2148</v>
      </c>
      <c r="AH1572" t="inlineStr">
        <is>
          <t>PT. JAYA PALEMBANG SUKSES - PPN (JMB)</t>
        </is>
      </c>
      <c r="AI1572" t="n">
        <v>78</v>
      </c>
      <c r="AJ1572" t="inlineStr">
        <is>
          <t>HANASUI</t>
        </is>
      </c>
      <c r="AK1572" t="n">
        <v>9</v>
      </c>
      <c r="AL1572" t="inlineStr">
        <is>
          <t>Miss Glam Jambi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"8998824553159"</f>
        <v/>
      </c>
      <c r="C1573" t="inlineStr">
        <is>
          <t>HANASUI Mattedorable Lip Cream 16 Glam 4gr</t>
        </is>
      </c>
      <c r="D1573" t="inlineStr">
        <is>
          <t>Miss Glam Jambi</t>
        </is>
      </c>
      <c r="E1573" t="n">
        <v>23</v>
      </c>
      <c r="F1573" t="n">
        <v>1.7523</v>
      </c>
      <c r="G1573" t="n">
        <v>4.29</v>
      </c>
      <c r="H1573" t="n">
        <v>4</v>
      </c>
      <c r="I1573" t="n">
        <v>28</v>
      </c>
      <c r="J1573" t="n">
        <v>3</v>
      </c>
      <c r="K1573" t="n">
        <v>4</v>
      </c>
      <c r="L1573" t="n">
        <v>21196</v>
      </c>
      <c r="M1573" t="n">
        <v>26500</v>
      </c>
      <c r="N1573" t="n">
        <v>33</v>
      </c>
      <c r="O1573" t="n">
        <v>0.33</v>
      </c>
      <c r="P1573" t="n">
        <v>1</v>
      </c>
      <c r="Q1573" t="n">
        <v>0.97</v>
      </c>
      <c r="R1573" t="n">
        <v>4</v>
      </c>
      <c r="S1573" t="n">
        <v>46435.95</v>
      </c>
      <c r="T1573" t="n">
        <v>114</v>
      </c>
      <c r="U1573" t="n">
        <v>122</v>
      </c>
      <c r="V1573" t="n">
        <v>30</v>
      </c>
      <c r="W1573" t="n">
        <v>53</v>
      </c>
      <c r="X1573" t="n">
        <v>13.12560634594533</v>
      </c>
      <c r="Y1573" t="n">
        <v>1</v>
      </c>
      <c r="Z1573" t="n">
        <v>26</v>
      </c>
      <c r="AA1573" t="n">
        <v>26</v>
      </c>
      <c r="AB1573" t="n">
        <v>0</v>
      </c>
      <c r="AC1573" t="n">
        <v>0</v>
      </c>
      <c r="AD1573" t="n">
        <v>551096</v>
      </c>
      <c r="AE1573" t="n">
        <v>0</v>
      </c>
      <c r="AF1573" t="n">
        <v>10510</v>
      </c>
      <c r="AG1573" t="n">
        <v>2148</v>
      </c>
      <c r="AH1573" t="inlineStr">
        <is>
          <t>PT. JAYA PALEMBANG SUKSES - PPN (JMB)</t>
        </is>
      </c>
      <c r="AI1573" t="n">
        <v>78</v>
      </c>
      <c r="AJ1573" t="inlineStr">
        <is>
          <t>HANASUI</t>
        </is>
      </c>
      <c r="AK1573" t="n">
        <v>9</v>
      </c>
      <c r="AL1573" t="inlineStr">
        <is>
          <t>Miss Glam Jambi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"8998824552459"</f>
        <v/>
      </c>
      <c r="C1574" t="inlineStr">
        <is>
          <t>HANASUI Mattedorable Lip Cream Boba 01 Forest Berry 4gr</t>
        </is>
      </c>
      <c r="D1574" t="inlineStr">
        <is>
          <t>Miss Glam Jambi</t>
        </is>
      </c>
      <c r="E1574" t="n">
        <v>20</v>
      </c>
      <c r="F1574" t="n">
        <v>0.264</v>
      </c>
      <c r="G1574" t="n">
        <v>0.99</v>
      </c>
      <c r="H1574" t="n">
        <v>4</v>
      </c>
      <c r="I1574" t="n">
        <v>28</v>
      </c>
      <c r="J1574" t="n">
        <v>3</v>
      </c>
      <c r="K1574" t="n">
        <v>0</v>
      </c>
      <c r="L1574" t="n">
        <v>21191</v>
      </c>
      <c r="M1574" t="n">
        <v>26500</v>
      </c>
      <c r="N1574" t="n">
        <v>33</v>
      </c>
      <c r="O1574" t="n">
        <v>0.33</v>
      </c>
      <c r="P1574" t="n">
        <v>1</v>
      </c>
      <c r="Q1574" t="n">
        <v>0.08</v>
      </c>
      <c r="R1574" t="n">
        <v>1</v>
      </c>
      <c r="S1574" t="n">
        <v>6996</v>
      </c>
      <c r="T1574" t="n">
        <v>27</v>
      </c>
      <c r="U1574" t="n">
        <v>29</v>
      </c>
      <c r="V1574" t="n">
        <v>30</v>
      </c>
      <c r="W1574" t="n">
        <v>8</v>
      </c>
      <c r="X1574" t="n">
        <v>75.75757575757575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10510</v>
      </c>
      <c r="AG1574" t="n">
        <v>2148</v>
      </c>
      <c r="AH1574" t="inlineStr">
        <is>
          <t>PT. JAYA PALEMBANG SUKSES - PPN (JMB)</t>
        </is>
      </c>
      <c r="AI1574" t="n">
        <v>78</v>
      </c>
      <c r="AJ1574" t="inlineStr">
        <is>
          <t>HANASUI</t>
        </is>
      </c>
      <c r="AK1574" t="n">
        <v>9</v>
      </c>
      <c r="AL1574" t="inlineStr">
        <is>
          <t>Miss Glam Jambi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"8998824552473"</f>
        <v/>
      </c>
      <c r="C1575" t="inlineStr">
        <is>
          <t>HANASUI Mattedorable Lip Cream Boba 02 Brown Sugar 4gr</t>
        </is>
      </c>
      <c r="D1575" t="inlineStr">
        <is>
          <t>Miss Glam Jambi</t>
        </is>
      </c>
      <c r="E1575" t="n">
        <v>59</v>
      </c>
      <c r="F1575" t="n">
        <v>2.4486</v>
      </c>
      <c r="G1575" t="n">
        <v>5.28</v>
      </c>
      <c r="H1575" t="n">
        <v>4</v>
      </c>
      <c r="I1575" t="n">
        <v>28</v>
      </c>
      <c r="J1575" t="n">
        <v>3</v>
      </c>
      <c r="K1575" t="n">
        <v>4</v>
      </c>
      <c r="L1575" t="n">
        <v>21198</v>
      </c>
      <c r="M1575" t="n">
        <v>26500</v>
      </c>
      <c r="N1575" t="n">
        <v>33</v>
      </c>
      <c r="O1575" t="n">
        <v>0.33</v>
      </c>
      <c r="P1575" t="n">
        <v>1</v>
      </c>
      <c r="Q1575" t="n">
        <v>1.53</v>
      </c>
      <c r="R1575" t="n">
        <v>7</v>
      </c>
      <c r="S1575" t="n">
        <v>64887.89999999999</v>
      </c>
      <c r="T1575" t="n">
        <v>139</v>
      </c>
      <c r="U1575" t="n">
        <v>149</v>
      </c>
      <c r="V1575" t="n">
        <v>30</v>
      </c>
      <c r="W1575" t="n">
        <v>74</v>
      </c>
      <c r="X1575" t="n">
        <v>24.09540145389202</v>
      </c>
      <c r="Y1575" t="n">
        <v>1</v>
      </c>
      <c r="Z1575" t="n">
        <v>11</v>
      </c>
      <c r="AA1575" t="n">
        <v>9</v>
      </c>
      <c r="AB1575" t="n">
        <v>2</v>
      </c>
      <c r="AC1575" t="n">
        <v>3</v>
      </c>
      <c r="AD1575" t="n">
        <v>190782</v>
      </c>
      <c r="AE1575" t="n">
        <v>63594</v>
      </c>
      <c r="AF1575" t="n">
        <v>10510</v>
      </c>
      <c r="AG1575" t="n">
        <v>2148</v>
      </c>
      <c r="AH1575" t="inlineStr">
        <is>
          <t>PT. JAYA PALEMBANG SUKSES - PPN (JMB)</t>
        </is>
      </c>
      <c r="AI1575" t="n">
        <v>78</v>
      </c>
      <c r="AJ1575" t="inlineStr">
        <is>
          <t>HANASUI</t>
        </is>
      </c>
      <c r="AK1575" t="n">
        <v>9</v>
      </c>
      <c r="AL1575" t="inlineStr">
        <is>
          <t>Miss Glam Jambi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"8998824552497"</f>
        <v/>
      </c>
      <c r="C1576" t="inlineStr">
        <is>
          <t>HANASUI Mattedorable Lip Cream Boba 03 Salted Caramel 4gr</t>
        </is>
      </c>
      <c r="D1576" t="inlineStr">
        <is>
          <t>Miss Glam Jambi</t>
        </is>
      </c>
      <c r="E1576" t="n">
        <v>9</v>
      </c>
      <c r="F1576" t="n">
        <v>1.3299</v>
      </c>
      <c r="G1576" t="n">
        <v>2.64</v>
      </c>
      <c r="H1576" t="n">
        <v>4</v>
      </c>
      <c r="I1576" t="n">
        <v>28</v>
      </c>
      <c r="J1576" t="n">
        <v>12</v>
      </c>
      <c r="K1576" t="n">
        <v>18</v>
      </c>
      <c r="L1576" t="n">
        <v>21194</v>
      </c>
      <c r="M1576" t="n">
        <v>26500</v>
      </c>
      <c r="N1576" t="n">
        <v>33</v>
      </c>
      <c r="O1576" t="n">
        <v>0.33</v>
      </c>
      <c r="P1576" t="n">
        <v>1</v>
      </c>
      <c r="Q1576" t="n">
        <v>0.58</v>
      </c>
      <c r="R1576" t="n">
        <v>3</v>
      </c>
      <c r="S1576" t="n">
        <v>35242.35</v>
      </c>
      <c r="T1576" t="n">
        <v>69</v>
      </c>
      <c r="U1576" t="n">
        <v>75</v>
      </c>
      <c r="V1576" t="n">
        <v>30</v>
      </c>
      <c r="W1576" t="n">
        <v>40</v>
      </c>
      <c r="X1576" t="n">
        <v>6.767426122264832</v>
      </c>
      <c r="Y1576" t="n">
        <v>1</v>
      </c>
      <c r="Z1576" t="n">
        <v>13</v>
      </c>
      <c r="AA1576" t="n">
        <v>28</v>
      </c>
      <c r="AB1576" t="n">
        <v>0</v>
      </c>
      <c r="AC1576" t="n">
        <v>0</v>
      </c>
      <c r="AD1576" t="n">
        <v>593432</v>
      </c>
      <c r="AE1576" t="n">
        <v>0</v>
      </c>
      <c r="AF1576" t="n">
        <v>10510</v>
      </c>
      <c r="AG1576" t="n">
        <v>2148</v>
      </c>
      <c r="AH1576" t="inlineStr">
        <is>
          <t>PT. JAYA PALEMBANG SUKSES - PPN (JMB)</t>
        </is>
      </c>
      <c r="AI1576" t="n">
        <v>78</v>
      </c>
      <c r="AJ1576" t="inlineStr">
        <is>
          <t>HANASUI</t>
        </is>
      </c>
      <c r="AK1576" t="n">
        <v>9</v>
      </c>
      <c r="AL1576" t="inlineStr">
        <is>
          <t>Miss Glam Jambi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"8998824553227"</f>
        <v/>
      </c>
      <c r="C1577" t="inlineStr">
        <is>
          <t>HANASUI Mattedorable Lip Cream Boba 04 Pink Lava 4gr</t>
        </is>
      </c>
      <c r="D1577" t="inlineStr">
        <is>
          <t>Miss Glam Jambi</t>
        </is>
      </c>
      <c r="E1577" t="n">
        <v>24</v>
      </c>
      <c r="F1577" t="n">
        <v>0.1221</v>
      </c>
      <c r="G1577" t="n">
        <v>0.99</v>
      </c>
      <c r="H1577" t="n">
        <v>4</v>
      </c>
      <c r="I1577" t="n">
        <v>28</v>
      </c>
      <c r="J1577" t="n">
        <v>3</v>
      </c>
      <c r="K1577" t="n">
        <v>0</v>
      </c>
      <c r="L1577" t="n">
        <v>21200</v>
      </c>
      <c r="M1577" t="n">
        <v>26500</v>
      </c>
      <c r="N1577" t="n">
        <v>33</v>
      </c>
      <c r="O1577" t="n">
        <v>0.33</v>
      </c>
      <c r="P1577" t="n">
        <v>1</v>
      </c>
      <c r="Q1577" t="n">
        <v>0.17</v>
      </c>
      <c r="R1577" t="n">
        <v>1</v>
      </c>
      <c r="S1577" t="n">
        <v>3235.65</v>
      </c>
      <c r="T1577" t="n">
        <v>28</v>
      </c>
      <c r="U1577" t="n">
        <v>29</v>
      </c>
      <c r="V1577" t="n">
        <v>30</v>
      </c>
      <c r="W1577" t="n">
        <v>4</v>
      </c>
      <c r="X1577" t="n">
        <v>196.5601965601966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10510</v>
      </c>
      <c r="AG1577" t="n">
        <v>2148</v>
      </c>
      <c r="AH1577" t="inlineStr">
        <is>
          <t>PT. JAYA PALEMBANG SUKSES - PPN (JMB)</t>
        </is>
      </c>
      <c r="AI1577" t="n">
        <v>78</v>
      </c>
      <c r="AJ1577" t="inlineStr">
        <is>
          <t>HANASUI</t>
        </is>
      </c>
      <c r="AK1577" t="n">
        <v>9</v>
      </c>
      <c r="AL1577" t="inlineStr">
        <is>
          <t>Miss Glam Jambi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"8998824553258"</f>
        <v/>
      </c>
      <c r="C1578" t="inlineStr">
        <is>
          <t>HANASUI Mattedorable Lip Cream Boba 05 Creamy Peach 4gr</t>
        </is>
      </c>
      <c r="D1578" t="inlineStr">
        <is>
          <t>Miss Glam Jambi</t>
        </is>
      </c>
      <c r="E1578" t="n">
        <v>34</v>
      </c>
      <c r="F1578" t="n">
        <v>0.9239999999999999</v>
      </c>
      <c r="G1578" t="n">
        <v>3.63</v>
      </c>
      <c r="H1578" t="n">
        <v>4</v>
      </c>
      <c r="I1578" t="n">
        <v>28</v>
      </c>
      <c r="J1578" t="n">
        <v>3</v>
      </c>
      <c r="K1578" t="n">
        <v>0</v>
      </c>
      <c r="L1578" t="n">
        <v>21191</v>
      </c>
      <c r="M1578" t="n">
        <v>26500</v>
      </c>
      <c r="N1578" t="n">
        <v>33</v>
      </c>
      <c r="O1578" t="n">
        <v>0.33</v>
      </c>
      <c r="P1578" t="n">
        <v>1</v>
      </c>
      <c r="Q1578" t="n">
        <v>0.61</v>
      </c>
      <c r="R1578" t="n">
        <v>3</v>
      </c>
      <c r="S1578" t="n">
        <v>24486</v>
      </c>
      <c r="T1578" t="n">
        <v>98</v>
      </c>
      <c r="U1578" t="n">
        <v>102</v>
      </c>
      <c r="V1578" t="n">
        <v>30</v>
      </c>
      <c r="W1578" t="n">
        <v>28</v>
      </c>
      <c r="X1578" t="n">
        <v>36.7965367965368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10510</v>
      </c>
      <c r="AG1578" t="n">
        <v>2148</v>
      </c>
      <c r="AH1578" t="inlineStr">
        <is>
          <t>PT. JAYA PALEMBANG SUKSES - PPN (JMB)</t>
        </is>
      </c>
      <c r="AI1578" t="n">
        <v>78</v>
      </c>
      <c r="AJ1578" t="inlineStr">
        <is>
          <t>HANASUI</t>
        </is>
      </c>
      <c r="AK1578" t="n">
        <v>9</v>
      </c>
      <c r="AL1578" t="inlineStr">
        <is>
          <t>Miss Glam Jambi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"8998824553326"</f>
        <v/>
      </c>
      <c r="C1579" t="inlineStr">
        <is>
          <t>HANASUI Mattedorable Lip Cream Boba 06 Hazelnut Latte 4gr</t>
        </is>
      </c>
      <c r="D1579" t="inlineStr">
        <is>
          <t>Miss Glam Jambi</t>
        </is>
      </c>
      <c r="E1579" t="n">
        <v>13</v>
      </c>
      <c r="F1579" t="n">
        <v>1.4157</v>
      </c>
      <c r="G1579" t="n">
        <v>3.63</v>
      </c>
      <c r="H1579" t="n">
        <v>4</v>
      </c>
      <c r="I1579" t="n">
        <v>28</v>
      </c>
      <c r="J1579" t="n">
        <v>3</v>
      </c>
      <c r="K1579" t="n">
        <v>15</v>
      </c>
      <c r="L1579" t="n">
        <v>21191</v>
      </c>
      <c r="M1579" t="n">
        <v>26500</v>
      </c>
      <c r="N1579" t="n">
        <v>33</v>
      </c>
      <c r="O1579" t="n">
        <v>0.33</v>
      </c>
      <c r="P1579" t="n">
        <v>1</v>
      </c>
      <c r="Q1579" t="n">
        <v>0.53</v>
      </c>
      <c r="R1579" t="n">
        <v>3</v>
      </c>
      <c r="S1579" t="n">
        <v>37516.05</v>
      </c>
      <c r="T1579" t="n">
        <v>96</v>
      </c>
      <c r="U1579" t="n">
        <v>102</v>
      </c>
      <c r="V1579" t="n">
        <v>30</v>
      </c>
      <c r="W1579" t="n">
        <v>43</v>
      </c>
      <c r="X1579" t="n">
        <v>9.182736455463727</v>
      </c>
      <c r="Y1579" t="n">
        <v>1</v>
      </c>
      <c r="Z1579" t="n">
        <v>15</v>
      </c>
      <c r="AA1579" t="n">
        <v>26</v>
      </c>
      <c r="AB1579" t="n">
        <v>0</v>
      </c>
      <c r="AC1579" t="n">
        <v>0</v>
      </c>
      <c r="AD1579" t="n">
        <v>550966</v>
      </c>
      <c r="AE1579" t="n">
        <v>0</v>
      </c>
      <c r="AF1579" t="n">
        <v>10510</v>
      </c>
      <c r="AG1579" t="n">
        <v>2148</v>
      </c>
      <c r="AH1579" t="inlineStr">
        <is>
          <t>PT. JAYA PALEMBANG SUKSES - PPN (JMB)</t>
        </is>
      </c>
      <c r="AI1579" t="n">
        <v>78</v>
      </c>
      <c r="AJ1579" t="inlineStr">
        <is>
          <t>HANASUI</t>
        </is>
      </c>
      <c r="AK1579" t="n">
        <v>9</v>
      </c>
      <c r="AL1579" t="inlineStr">
        <is>
          <t>Miss Glam Jambi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"8998824554651"</f>
        <v/>
      </c>
      <c r="C1580" t="inlineStr">
        <is>
          <t>HANASUI Mattedorable Lip Cream Matcha Latte Edition 01 Matchalicious</t>
        </is>
      </c>
      <c r="D1580" t="inlineStr">
        <is>
          <t>Miss Glam Jambi</t>
        </is>
      </c>
      <c r="E1580" t="n">
        <v>6</v>
      </c>
      <c r="F1580" t="n">
        <v>0.1518</v>
      </c>
      <c r="G1580" t="n">
        <v>0.99</v>
      </c>
      <c r="H1580" t="n">
        <v>4</v>
      </c>
      <c r="I1580" t="n">
        <v>28</v>
      </c>
      <c r="J1580" t="n">
        <v>3</v>
      </c>
      <c r="K1580" t="n">
        <v>0</v>
      </c>
      <c r="L1580" t="n">
        <v>21191</v>
      </c>
      <c r="M1580" t="n">
        <v>26500</v>
      </c>
      <c r="N1580" t="n">
        <v>33</v>
      </c>
      <c r="O1580" t="n">
        <v>0.33</v>
      </c>
      <c r="P1580" t="n">
        <v>1</v>
      </c>
      <c r="Q1580" t="n">
        <v>0.14</v>
      </c>
      <c r="R1580" t="n">
        <v>1</v>
      </c>
      <c r="S1580" t="n">
        <v>4022.7</v>
      </c>
      <c r="T1580" t="n">
        <v>28</v>
      </c>
      <c r="U1580" t="n">
        <v>29</v>
      </c>
      <c r="V1580" t="n">
        <v>30</v>
      </c>
      <c r="W1580" t="n">
        <v>5</v>
      </c>
      <c r="X1580" t="n">
        <v>39.52569169960474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10510</v>
      </c>
      <c r="AG1580" t="n">
        <v>2148</v>
      </c>
      <c r="AH1580" t="inlineStr">
        <is>
          <t>PT. JAYA PALEMBANG SUKSES - PPN (JMB)</t>
        </is>
      </c>
      <c r="AI1580" t="n">
        <v>78</v>
      </c>
      <c r="AJ1580" t="inlineStr">
        <is>
          <t>HANASUI</t>
        </is>
      </c>
      <c r="AK1580" t="n">
        <v>9</v>
      </c>
      <c r="AL1580" t="inlineStr">
        <is>
          <t>Miss Glam Jambi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"8998824554675"</f>
        <v/>
      </c>
      <c r="C1581" t="inlineStr">
        <is>
          <t>HANASUI Mattedorable Lip Cream Matcha Latte Edition 02 Matchamallow</t>
        </is>
      </c>
      <c r="D1581" t="inlineStr">
        <is>
          <t>Miss Glam Jambi</t>
        </is>
      </c>
      <c r="E1581" t="n">
        <v>4</v>
      </c>
      <c r="F1581" t="n">
        <v>0.3696</v>
      </c>
      <c r="G1581" t="n">
        <v>1.65</v>
      </c>
      <c r="H1581" t="n">
        <v>4</v>
      </c>
      <c r="I1581" t="n">
        <v>28</v>
      </c>
      <c r="J1581" t="n">
        <v>3</v>
      </c>
      <c r="K1581" t="n">
        <v>3</v>
      </c>
      <c r="L1581" t="n">
        <v>21191</v>
      </c>
      <c r="M1581" t="n">
        <v>26500</v>
      </c>
      <c r="N1581" t="n">
        <v>33</v>
      </c>
      <c r="O1581" t="n">
        <v>0.33</v>
      </c>
      <c r="P1581" t="n">
        <v>1</v>
      </c>
      <c r="Q1581" t="n">
        <v>0.05</v>
      </c>
      <c r="R1581" t="n">
        <v>1</v>
      </c>
      <c r="S1581" t="n">
        <v>9794.400000000001</v>
      </c>
      <c r="T1581" t="n">
        <v>45</v>
      </c>
      <c r="U1581" t="n">
        <v>47</v>
      </c>
      <c r="V1581" t="n">
        <v>30</v>
      </c>
      <c r="W1581" t="n">
        <v>12</v>
      </c>
      <c r="X1581" t="n">
        <v>10.82251082251082</v>
      </c>
      <c r="Y1581" t="n">
        <v>1</v>
      </c>
      <c r="Z1581" t="n">
        <v>5</v>
      </c>
      <c r="AA1581" t="n">
        <v>6</v>
      </c>
      <c r="AB1581" t="n">
        <v>0</v>
      </c>
      <c r="AC1581" t="n">
        <v>0</v>
      </c>
      <c r="AD1581" t="n">
        <v>127146</v>
      </c>
      <c r="AE1581" t="n">
        <v>0</v>
      </c>
      <c r="AF1581" t="n">
        <v>10510</v>
      </c>
      <c r="AG1581" t="n">
        <v>2148</v>
      </c>
      <c r="AH1581" t="inlineStr">
        <is>
          <t>PT. JAYA PALEMBANG SUKSES - PPN (JMB)</t>
        </is>
      </c>
      <c r="AI1581" t="n">
        <v>78</v>
      </c>
      <c r="AJ1581" t="inlineStr">
        <is>
          <t>HANASUI</t>
        </is>
      </c>
      <c r="AK1581" t="n">
        <v>9</v>
      </c>
      <c r="AL1581" t="inlineStr">
        <is>
          <t>Miss Glam Jambi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"8998824554699"</f>
        <v/>
      </c>
      <c r="C1582" t="inlineStr">
        <is>
          <t>HANASUI Mattedorable Lip Cream Matcha Latte Edition 03 Matchaciano</t>
        </is>
      </c>
      <c r="D1582" t="inlineStr">
        <is>
          <t>Miss Glam Jambi</t>
        </is>
      </c>
      <c r="E1582" t="n">
        <v>7</v>
      </c>
      <c r="F1582" t="n">
        <v>0.4191</v>
      </c>
      <c r="G1582" t="n">
        <v>0.99</v>
      </c>
      <c r="H1582" t="n">
        <v>4</v>
      </c>
      <c r="I1582" t="n">
        <v>28</v>
      </c>
      <c r="J1582" t="n">
        <v>3</v>
      </c>
      <c r="K1582" t="n">
        <v>3</v>
      </c>
      <c r="L1582" t="n">
        <v>21191</v>
      </c>
      <c r="M1582" t="n">
        <v>26500</v>
      </c>
      <c r="N1582" t="n">
        <v>33</v>
      </c>
      <c r="O1582" t="n">
        <v>0.33</v>
      </c>
      <c r="P1582" t="n">
        <v>1</v>
      </c>
      <c r="Q1582" t="n">
        <v>0.15</v>
      </c>
      <c r="R1582" t="n">
        <v>1</v>
      </c>
      <c r="S1582" t="n">
        <v>11106.15</v>
      </c>
      <c r="T1582" t="n">
        <v>27</v>
      </c>
      <c r="U1582" t="n">
        <v>29</v>
      </c>
      <c r="V1582" t="n">
        <v>30</v>
      </c>
      <c r="W1582" t="n">
        <v>13</v>
      </c>
      <c r="X1582" t="n">
        <v>16.70245764733954</v>
      </c>
      <c r="Y1582" t="n">
        <v>1</v>
      </c>
      <c r="Z1582" t="n">
        <v>3</v>
      </c>
      <c r="AA1582" t="n">
        <v>4</v>
      </c>
      <c r="AB1582" t="n">
        <v>0</v>
      </c>
      <c r="AC1582" t="n">
        <v>0</v>
      </c>
      <c r="AD1582" t="n">
        <v>84764</v>
      </c>
      <c r="AE1582" t="n">
        <v>0</v>
      </c>
      <c r="AF1582" t="n">
        <v>10510</v>
      </c>
      <c r="AG1582" t="n">
        <v>2148</v>
      </c>
      <c r="AH1582" t="inlineStr">
        <is>
          <t>PT. JAYA PALEMBANG SUKSES - PPN (JMB)</t>
        </is>
      </c>
      <c r="AI1582" t="n">
        <v>78</v>
      </c>
      <c r="AJ1582" t="inlineStr">
        <is>
          <t>HANASUI</t>
        </is>
      </c>
      <c r="AK1582" t="n">
        <v>9</v>
      </c>
      <c r="AL1582" t="inlineStr">
        <is>
          <t>Miss Glam Jambi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"8998824554712"</f>
        <v/>
      </c>
      <c r="C1583" t="inlineStr">
        <is>
          <t>HANASUI Mattedorable Lip Cream Matcha Latte Edition 04 Matchalover</t>
        </is>
      </c>
      <c r="D1583" t="inlineStr">
        <is>
          <t>Miss Glam Jambi</t>
        </is>
      </c>
      <c r="E1583" t="n">
        <v>14</v>
      </c>
      <c r="F1583" t="n">
        <v>0.3465</v>
      </c>
      <c r="G1583" t="n">
        <v>1.32</v>
      </c>
      <c r="H1583" t="n">
        <v>4</v>
      </c>
      <c r="I1583" t="n">
        <v>28</v>
      </c>
      <c r="J1583" t="n">
        <v>3</v>
      </c>
      <c r="K1583" t="n">
        <v>0</v>
      </c>
      <c r="L1583" t="n">
        <v>21199</v>
      </c>
      <c r="M1583" t="n">
        <v>26500</v>
      </c>
      <c r="N1583" t="n">
        <v>33</v>
      </c>
      <c r="O1583" t="n">
        <v>0.33</v>
      </c>
      <c r="P1583" t="n">
        <v>1</v>
      </c>
      <c r="Q1583" t="n">
        <v>0.24</v>
      </c>
      <c r="R1583" t="n">
        <v>2</v>
      </c>
      <c r="S1583" t="n">
        <v>9182.25</v>
      </c>
      <c r="T1583" t="n">
        <v>36</v>
      </c>
      <c r="U1583" t="n">
        <v>38</v>
      </c>
      <c r="V1583" t="n">
        <v>30</v>
      </c>
      <c r="W1583" t="n">
        <v>11</v>
      </c>
      <c r="X1583" t="n">
        <v>40.4040404040404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10510</v>
      </c>
      <c r="AG1583" t="n">
        <v>2148</v>
      </c>
      <c r="AH1583" t="inlineStr">
        <is>
          <t>PT. JAYA PALEMBANG SUKSES - PPN (JMB)</t>
        </is>
      </c>
      <c r="AI1583" t="n">
        <v>78</v>
      </c>
      <c r="AJ1583" t="inlineStr">
        <is>
          <t>HANASUI</t>
        </is>
      </c>
      <c r="AK1583" t="n">
        <v>9</v>
      </c>
      <c r="AL1583" t="inlineStr">
        <is>
          <t>Miss Glam Jambi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"8998824554736"</f>
        <v/>
      </c>
      <c r="C1584" t="inlineStr">
        <is>
          <t>HANASUI Mattedorable Lip Cream Matcha Latte Edition 05 Matchablend</t>
        </is>
      </c>
      <c r="D1584" t="inlineStr">
        <is>
          <t>Miss Glam Jambi</t>
        </is>
      </c>
      <c r="E1584" t="n">
        <v>4</v>
      </c>
      <c r="F1584" t="n">
        <v>0.4818</v>
      </c>
      <c r="G1584" t="n">
        <v>1.65</v>
      </c>
      <c r="H1584" t="n">
        <v>4</v>
      </c>
      <c r="I1584" t="n">
        <v>28</v>
      </c>
      <c r="J1584" t="n">
        <v>3</v>
      </c>
      <c r="K1584" t="n">
        <v>3</v>
      </c>
      <c r="L1584" t="n">
        <v>21191</v>
      </c>
      <c r="M1584" t="n">
        <v>26500</v>
      </c>
      <c r="N1584" t="n">
        <v>33</v>
      </c>
      <c r="O1584" t="n">
        <v>0.33</v>
      </c>
      <c r="P1584" t="n">
        <v>1</v>
      </c>
      <c r="Q1584" t="n">
        <v>0.24</v>
      </c>
      <c r="R1584" t="n">
        <v>3</v>
      </c>
      <c r="S1584" t="n">
        <v>12767.7</v>
      </c>
      <c r="T1584" t="n">
        <v>45</v>
      </c>
      <c r="U1584" t="n">
        <v>47</v>
      </c>
      <c r="V1584" t="n">
        <v>30</v>
      </c>
      <c r="W1584" t="n">
        <v>15</v>
      </c>
      <c r="X1584" t="n">
        <v>8.302200083022001</v>
      </c>
      <c r="Y1584" t="n">
        <v>1</v>
      </c>
      <c r="Z1584" t="n">
        <v>8</v>
      </c>
      <c r="AA1584" t="n">
        <v>9</v>
      </c>
      <c r="AB1584" t="n">
        <v>0</v>
      </c>
      <c r="AC1584" t="n">
        <v>0</v>
      </c>
      <c r="AD1584" t="n">
        <v>190719</v>
      </c>
      <c r="AE1584" t="n">
        <v>0</v>
      </c>
      <c r="AF1584" t="n">
        <v>10510</v>
      </c>
      <c r="AG1584" t="n">
        <v>2148</v>
      </c>
      <c r="AH1584" t="inlineStr">
        <is>
          <t>PT. JAYA PALEMBANG SUKSES - PPN (JMB)</t>
        </is>
      </c>
      <c r="AI1584" t="n">
        <v>78</v>
      </c>
      <c r="AJ1584" t="inlineStr">
        <is>
          <t>HANASUI</t>
        </is>
      </c>
      <c r="AK1584" t="n">
        <v>9</v>
      </c>
      <c r="AL1584" t="inlineStr">
        <is>
          <t>Miss Glam Jambi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"8998824554750"</f>
        <v/>
      </c>
      <c r="C1585" t="inlineStr">
        <is>
          <t>HANASUI Mattedorable Lip Cream Matcha Latte Edition 06 Matchachoco</t>
        </is>
      </c>
      <c r="D1585" t="inlineStr">
        <is>
          <t>Miss Glam Jambi</t>
        </is>
      </c>
      <c r="E1585" t="n">
        <v>1</v>
      </c>
      <c r="F1585" t="n">
        <v>0.2574</v>
      </c>
      <c r="G1585" t="n">
        <v>0.99</v>
      </c>
      <c r="H1585" t="n">
        <v>4</v>
      </c>
      <c r="I1585" t="n">
        <v>28</v>
      </c>
      <c r="J1585" t="n">
        <v>3</v>
      </c>
      <c r="K1585" t="n">
        <v>12</v>
      </c>
      <c r="L1585" t="n">
        <v>21191</v>
      </c>
      <c r="M1585" t="n">
        <v>26500</v>
      </c>
      <c r="N1585" t="n">
        <v>33</v>
      </c>
      <c r="O1585" t="n">
        <v>0.33</v>
      </c>
      <c r="P1585" t="n">
        <v>1</v>
      </c>
      <c r="Q1585" t="n">
        <v>0.14</v>
      </c>
      <c r="R1585" t="n">
        <v>2</v>
      </c>
      <c r="S1585" t="n">
        <v>6821.1</v>
      </c>
      <c r="T1585" t="n">
        <v>27</v>
      </c>
      <c r="U1585" t="n">
        <v>29</v>
      </c>
      <c r="V1585" t="n">
        <v>30</v>
      </c>
      <c r="W1585" t="n">
        <v>8</v>
      </c>
      <c r="X1585" t="n">
        <v>3.885003885003885</v>
      </c>
      <c r="Y1585" t="n">
        <v>1</v>
      </c>
      <c r="Z1585" t="n">
        <v>0</v>
      </c>
      <c r="AA1585" t="n">
        <v>6</v>
      </c>
      <c r="AB1585" t="n">
        <v>0</v>
      </c>
      <c r="AC1585" t="n">
        <v>0</v>
      </c>
      <c r="AD1585" t="n">
        <v>127146</v>
      </c>
      <c r="AE1585" t="n">
        <v>0</v>
      </c>
      <c r="AF1585" t="n">
        <v>10510</v>
      </c>
      <c r="AG1585" t="n">
        <v>2148</v>
      </c>
      <c r="AH1585" t="inlineStr">
        <is>
          <t>PT. JAYA PALEMBANG SUKSES - PPN (JMB)</t>
        </is>
      </c>
      <c r="AI1585" t="n">
        <v>78</v>
      </c>
      <c r="AJ1585" t="inlineStr">
        <is>
          <t>HANASUI</t>
        </is>
      </c>
      <c r="AK1585" t="n">
        <v>9</v>
      </c>
      <c r="AL1585" t="inlineStr">
        <is>
          <t>Miss Glam Jambi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"8998824554170"</f>
        <v/>
      </c>
      <c r="C1586" t="inlineStr">
        <is>
          <t>HANASUI Mattedorable Lipstick Cinnamon #110 2gr</t>
        </is>
      </c>
      <c r="D1586" t="inlineStr">
        <is>
          <t>Miss Glam Jambi</t>
        </is>
      </c>
      <c r="E1586" t="n">
        <v>2</v>
      </c>
      <c r="F1586" t="n">
        <v>0.0561</v>
      </c>
      <c r="G1586" t="n">
        <v>0.33</v>
      </c>
      <c r="H1586" t="n">
        <v>4</v>
      </c>
      <c r="I1586" t="n">
        <v>28</v>
      </c>
      <c r="J1586" t="n">
        <v>3</v>
      </c>
      <c r="K1586" t="n">
        <v>0</v>
      </c>
      <c r="L1586" t="n">
        <v>23600</v>
      </c>
      <c r="M1586" t="n">
        <v>31000</v>
      </c>
      <c r="N1586" t="n">
        <v>33</v>
      </c>
      <c r="O1586" t="n">
        <v>0.33</v>
      </c>
      <c r="P1586" t="n">
        <v>1</v>
      </c>
      <c r="Q1586" t="n">
        <v>0.02</v>
      </c>
      <c r="R1586" t="n">
        <v>1</v>
      </c>
      <c r="S1586" t="n">
        <v>1739.1</v>
      </c>
      <c r="T1586" t="n">
        <v>10</v>
      </c>
      <c r="U1586" t="n">
        <v>11</v>
      </c>
      <c r="V1586" t="n">
        <v>30</v>
      </c>
      <c r="W1586" t="n">
        <v>2</v>
      </c>
      <c r="X1586" t="n">
        <v>35.650623885918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10510</v>
      </c>
      <c r="AG1586" t="n">
        <v>2148</v>
      </c>
      <c r="AH1586" t="inlineStr">
        <is>
          <t>PT. JAYA PALEMBANG SUKSES - PPN (JMB)</t>
        </is>
      </c>
      <c r="AI1586" t="n">
        <v>78</v>
      </c>
      <c r="AJ1586" t="inlineStr">
        <is>
          <t>HANASUI</t>
        </is>
      </c>
      <c r="AK1586" t="n">
        <v>9</v>
      </c>
      <c r="AL1586" t="inlineStr">
        <is>
          <t>Miss Glam Jambi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"8998824554071"</f>
        <v/>
      </c>
      <c r="C1587" t="inlineStr">
        <is>
          <t>HANASUI Mattedorable Lipstick Noona #I05 2gr</t>
        </is>
      </c>
      <c r="D1587" t="inlineStr">
        <is>
          <t>Miss Glam Jambi</t>
        </is>
      </c>
      <c r="E1587" t="n">
        <v>4</v>
      </c>
      <c r="F1587" t="n">
        <v>0.06270000000000001</v>
      </c>
      <c r="G1587" t="n">
        <v>0.66</v>
      </c>
      <c r="H1587" t="n">
        <v>4</v>
      </c>
      <c r="I1587" t="n">
        <v>28</v>
      </c>
      <c r="J1587" t="n">
        <v>3</v>
      </c>
      <c r="K1587" t="n">
        <v>0</v>
      </c>
      <c r="L1587" t="n">
        <v>23600</v>
      </c>
      <c r="M1587" t="n">
        <v>31000</v>
      </c>
      <c r="N1587" t="n">
        <v>33</v>
      </c>
      <c r="O1587" t="n">
        <v>0.33</v>
      </c>
      <c r="P1587" t="n">
        <v>1</v>
      </c>
      <c r="Q1587" t="n">
        <v>0.1</v>
      </c>
      <c r="R1587" t="n">
        <v>2</v>
      </c>
      <c r="S1587" t="n">
        <v>1943.7</v>
      </c>
      <c r="T1587" t="n">
        <v>19</v>
      </c>
      <c r="U1587" t="n">
        <v>20</v>
      </c>
      <c r="V1587" t="n">
        <v>30</v>
      </c>
      <c r="W1587" t="n">
        <v>2</v>
      </c>
      <c r="X1587" t="n">
        <v>63.79585326953747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10510</v>
      </c>
      <c r="AG1587" t="n">
        <v>2148</v>
      </c>
      <c r="AH1587" t="inlineStr">
        <is>
          <t>PT. JAYA PALEMBANG SUKSES - PPN (JMB)</t>
        </is>
      </c>
      <c r="AI1587" t="n">
        <v>78</v>
      </c>
      <c r="AJ1587" t="inlineStr">
        <is>
          <t>HANASUI</t>
        </is>
      </c>
      <c r="AK1587" t="n">
        <v>9</v>
      </c>
      <c r="AL1587" t="inlineStr">
        <is>
          <t>Miss Glam Jambi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"8998824554194"</f>
        <v/>
      </c>
      <c r="C1588" t="inlineStr">
        <is>
          <t>HANASUI Mattedorable Lipstick Peony #111 2gr</t>
        </is>
      </c>
      <c r="D1588" t="inlineStr">
        <is>
          <t>Miss Glam Jambi</t>
        </is>
      </c>
      <c r="E1588" t="n">
        <v>10</v>
      </c>
      <c r="F1588" t="n">
        <v>0.09569999999999999</v>
      </c>
      <c r="G1588" t="n">
        <v>0.66</v>
      </c>
      <c r="H1588" t="n">
        <v>4</v>
      </c>
      <c r="I1588" t="n">
        <v>28</v>
      </c>
      <c r="J1588" t="n">
        <v>3</v>
      </c>
      <c r="K1588" t="n">
        <v>0</v>
      </c>
      <c r="L1588" t="n">
        <v>24800</v>
      </c>
      <c r="M1588" t="n">
        <v>31000</v>
      </c>
      <c r="N1588" t="n">
        <v>33</v>
      </c>
      <c r="O1588" t="n">
        <v>0.33</v>
      </c>
      <c r="P1588" t="n">
        <v>1</v>
      </c>
      <c r="Q1588" t="n">
        <v>0.1</v>
      </c>
      <c r="R1588" t="n">
        <v>1</v>
      </c>
      <c r="S1588" t="n">
        <v>2966.7</v>
      </c>
      <c r="T1588" t="n">
        <v>19</v>
      </c>
      <c r="U1588" t="n">
        <v>20</v>
      </c>
      <c r="V1588" t="n">
        <v>30</v>
      </c>
      <c r="W1588" t="n">
        <v>3</v>
      </c>
      <c r="X1588" t="n">
        <v>104.4932079414838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10510</v>
      </c>
      <c r="AG1588" t="n">
        <v>2148</v>
      </c>
      <c r="AH1588" t="inlineStr">
        <is>
          <t>PT. JAYA PALEMBANG SUKSES - PPN (JMB)</t>
        </is>
      </c>
      <c r="AI1588" t="n">
        <v>78</v>
      </c>
      <c r="AJ1588" t="inlineStr">
        <is>
          <t>HANASUI</t>
        </is>
      </c>
      <c r="AK1588" t="n">
        <v>9</v>
      </c>
      <c r="AL1588" t="inlineStr">
        <is>
          <t>Miss Glam Jambi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"8998824554118"</f>
        <v/>
      </c>
      <c r="C1589" t="inlineStr">
        <is>
          <t>HANASUI Mattedorable Lipstick Pop #107 2gr</t>
        </is>
      </c>
      <c r="D1589" t="inlineStr">
        <is>
          <t>Miss Glam Jambi</t>
        </is>
      </c>
      <c r="E1589" t="n">
        <v>2</v>
      </c>
      <c r="F1589" t="n">
        <v>0.1188</v>
      </c>
      <c r="G1589" t="n">
        <v>0.66</v>
      </c>
      <c r="H1589" t="n">
        <v>4</v>
      </c>
      <c r="I1589" t="n">
        <v>28</v>
      </c>
      <c r="J1589" t="n">
        <v>3</v>
      </c>
      <c r="K1589" t="n">
        <v>0</v>
      </c>
      <c r="L1589" t="n">
        <v>23600</v>
      </c>
      <c r="M1589" t="n">
        <v>31000</v>
      </c>
      <c r="N1589" t="n">
        <v>33</v>
      </c>
      <c r="O1589" t="n">
        <v>0.33</v>
      </c>
      <c r="P1589" t="n">
        <v>1</v>
      </c>
      <c r="Q1589" t="n">
        <v>0.1</v>
      </c>
      <c r="R1589" t="n">
        <v>1</v>
      </c>
      <c r="S1589" t="n">
        <v>3682.8</v>
      </c>
      <c r="T1589" t="n">
        <v>19</v>
      </c>
      <c r="U1589" t="n">
        <v>20</v>
      </c>
      <c r="V1589" t="n">
        <v>30</v>
      </c>
      <c r="W1589" t="n">
        <v>4</v>
      </c>
      <c r="X1589" t="n">
        <v>16.83501683501683</v>
      </c>
      <c r="Y1589" t="n">
        <v>1</v>
      </c>
      <c r="Z1589" t="n">
        <v>2</v>
      </c>
      <c r="AA1589" t="n">
        <v>2</v>
      </c>
      <c r="AB1589" t="n">
        <v>0</v>
      </c>
      <c r="AC1589" t="n">
        <v>0</v>
      </c>
      <c r="AD1589" t="n">
        <v>47200</v>
      </c>
      <c r="AE1589" t="n">
        <v>0</v>
      </c>
      <c r="AF1589" t="n">
        <v>10510</v>
      </c>
      <c r="AG1589" t="n">
        <v>2148</v>
      </c>
      <c r="AH1589" t="inlineStr">
        <is>
          <t>PT. JAYA PALEMBANG SUKSES - PPN (JMB)</t>
        </is>
      </c>
      <c r="AI1589" t="n">
        <v>78</v>
      </c>
      <c r="AJ1589" t="inlineStr">
        <is>
          <t>HANASUI</t>
        </is>
      </c>
      <c r="AK1589" t="n">
        <v>9</v>
      </c>
      <c r="AL1589" t="inlineStr">
        <is>
          <t>Miss Glam Jambi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"8998824554262"</f>
        <v/>
      </c>
      <c r="C1590" t="inlineStr">
        <is>
          <t>HANASUI Mattedorable Lipstick Sandstone 1I5 gr</t>
        </is>
      </c>
      <c r="D1590" t="inlineStr">
        <is>
          <t>Miss Glam Jambi</t>
        </is>
      </c>
      <c r="E1590" t="n">
        <v>1</v>
      </c>
      <c r="F1590" t="n">
        <v>0.1188</v>
      </c>
      <c r="G1590" t="n">
        <v>0.66</v>
      </c>
      <c r="H1590" t="n">
        <v>4</v>
      </c>
      <c r="I1590" t="n">
        <v>28</v>
      </c>
      <c r="J1590" t="n">
        <v>3</v>
      </c>
      <c r="K1590" t="n">
        <v>12</v>
      </c>
      <c r="L1590" t="n">
        <v>23599</v>
      </c>
      <c r="M1590" t="n">
        <v>31000</v>
      </c>
      <c r="N1590" t="n">
        <v>33</v>
      </c>
      <c r="O1590" t="n">
        <v>0.33</v>
      </c>
      <c r="P1590" t="n">
        <v>1</v>
      </c>
      <c r="Q1590" t="n">
        <v>0.27</v>
      </c>
      <c r="R1590" t="n">
        <v>2</v>
      </c>
      <c r="S1590" t="n">
        <v>3682.8</v>
      </c>
      <c r="T1590" t="n">
        <v>19</v>
      </c>
      <c r="U1590" t="n">
        <v>20</v>
      </c>
      <c r="V1590" t="n">
        <v>30</v>
      </c>
      <c r="W1590" t="n">
        <v>4</v>
      </c>
      <c r="X1590" t="n">
        <v>8.417508417508417</v>
      </c>
      <c r="Y1590" t="n">
        <v>1</v>
      </c>
      <c r="Z1590" t="n">
        <v>0</v>
      </c>
      <c r="AA1590" t="n">
        <v>2</v>
      </c>
      <c r="AB1590" t="n">
        <v>0</v>
      </c>
      <c r="AC1590" t="n">
        <v>0</v>
      </c>
      <c r="AD1590" t="n">
        <v>47198</v>
      </c>
      <c r="AE1590" t="n">
        <v>0</v>
      </c>
      <c r="AF1590" t="n">
        <v>10510</v>
      </c>
      <c r="AG1590" t="n">
        <v>2148</v>
      </c>
      <c r="AH1590" t="inlineStr">
        <is>
          <t>PT. JAYA PALEMBANG SUKSES - PPN (JMB)</t>
        </is>
      </c>
      <c r="AI1590" t="n">
        <v>78</v>
      </c>
      <c r="AJ1590" t="inlineStr">
        <is>
          <t>HANASUI</t>
        </is>
      </c>
      <c r="AK1590" t="n">
        <v>9</v>
      </c>
      <c r="AL1590" t="inlineStr">
        <is>
          <t>Miss Glam Jambi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"8998824553999"</f>
        <v/>
      </c>
      <c r="C1591" t="inlineStr">
        <is>
          <t>HANASUI Mattedorable Lipstick Superstar #101 2gr</t>
        </is>
      </c>
      <c r="D1591" t="inlineStr">
        <is>
          <t>Miss Glam Jambi</t>
        </is>
      </c>
      <c r="E1591" t="n">
        <v>9</v>
      </c>
      <c r="F1591" t="n">
        <v>0.0825</v>
      </c>
      <c r="G1591" t="n">
        <v>0.99</v>
      </c>
      <c r="H1591" t="n">
        <v>4</v>
      </c>
      <c r="I1591" t="n">
        <v>28</v>
      </c>
      <c r="J1591" t="n">
        <v>3</v>
      </c>
      <c r="K1591" t="n">
        <v>0</v>
      </c>
      <c r="L1591" t="n">
        <v>23600</v>
      </c>
      <c r="M1591" t="n">
        <v>31000</v>
      </c>
      <c r="N1591" t="n">
        <v>33</v>
      </c>
      <c r="O1591" t="n">
        <v>0.33</v>
      </c>
      <c r="P1591" t="n">
        <v>1</v>
      </c>
      <c r="Q1591" t="n">
        <v>0.08</v>
      </c>
      <c r="R1591" t="n">
        <v>2</v>
      </c>
      <c r="S1591" t="n">
        <v>2557.5</v>
      </c>
      <c r="T1591" t="n">
        <v>28</v>
      </c>
      <c r="U1591" t="n">
        <v>29</v>
      </c>
      <c r="V1591" t="n">
        <v>30</v>
      </c>
      <c r="W1591" t="n">
        <v>3</v>
      </c>
      <c r="X1591" t="n">
        <v>109.0909090909091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10510</v>
      </c>
      <c r="AG1591" t="n">
        <v>2148</v>
      </c>
      <c r="AH1591" t="inlineStr">
        <is>
          <t>PT. JAYA PALEMBANG SUKSES - PPN (JMB)</t>
        </is>
      </c>
      <c r="AI1591" t="n">
        <v>78</v>
      </c>
      <c r="AJ1591" t="inlineStr">
        <is>
          <t>HANASUI</t>
        </is>
      </c>
      <c r="AK1591" t="n">
        <v>9</v>
      </c>
      <c r="AL1591" t="inlineStr">
        <is>
          <t>Miss Glam Jambi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"8998824554033"</f>
        <v/>
      </c>
      <c r="C1592" t="inlineStr">
        <is>
          <t>HANASUI Mattedorable Lipstick Sway #103 2gr</t>
        </is>
      </c>
      <c r="D1592" t="inlineStr">
        <is>
          <t>Miss Glam Jambi</t>
        </is>
      </c>
      <c r="E1592" t="n">
        <v>0</v>
      </c>
      <c r="F1592" t="n">
        <v>0.09569999999999999</v>
      </c>
      <c r="G1592" t="n">
        <v>0.66</v>
      </c>
      <c r="H1592" t="n">
        <v>4</v>
      </c>
      <c r="I1592" t="n">
        <v>28</v>
      </c>
      <c r="J1592" t="n">
        <v>3</v>
      </c>
      <c r="K1592" t="n">
        <v>6</v>
      </c>
      <c r="L1592" t="n">
        <v>23600</v>
      </c>
      <c r="M1592" t="n">
        <v>31000</v>
      </c>
      <c r="N1592" t="n">
        <v>33</v>
      </c>
      <c r="O1592" t="n">
        <v>0.33</v>
      </c>
      <c r="P1592" t="n">
        <v>1</v>
      </c>
      <c r="Q1592" t="n">
        <v>0.09</v>
      </c>
      <c r="R1592" t="n">
        <v>2</v>
      </c>
      <c r="S1592" t="n">
        <v>2966.7</v>
      </c>
      <c r="T1592" t="n">
        <v>19</v>
      </c>
      <c r="U1592" t="n">
        <v>20</v>
      </c>
      <c r="V1592" t="n">
        <v>30</v>
      </c>
      <c r="W1592" t="n">
        <v>3</v>
      </c>
      <c r="X1592" t="n">
        <v>0</v>
      </c>
      <c r="Y1592" t="n">
        <v>1</v>
      </c>
      <c r="Z1592" t="n">
        <v>0</v>
      </c>
      <c r="AA1592" t="n">
        <v>2</v>
      </c>
      <c r="AB1592" t="n">
        <v>0</v>
      </c>
      <c r="AC1592" t="n">
        <v>0</v>
      </c>
      <c r="AD1592" t="n">
        <v>47200</v>
      </c>
      <c r="AE1592" t="n">
        <v>0</v>
      </c>
      <c r="AF1592" t="n">
        <v>10510</v>
      </c>
      <c r="AG1592" t="n">
        <v>2148</v>
      </c>
      <c r="AH1592" t="inlineStr">
        <is>
          <t>PT. JAYA PALEMBANG SUKSES - PPN (JMB)</t>
        </is>
      </c>
      <c r="AI1592" t="n">
        <v>78</v>
      </c>
      <c r="AJ1592" t="inlineStr">
        <is>
          <t>HANASUI</t>
        </is>
      </c>
      <c r="AK1592" t="n">
        <v>9</v>
      </c>
      <c r="AL1592" t="inlineStr">
        <is>
          <t>Miss Glam Jambi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"8998824554248"</f>
        <v/>
      </c>
      <c r="C1593" t="inlineStr">
        <is>
          <t>HANASUI Mattedorable Lipstick Tropical #113 2gr</t>
        </is>
      </c>
      <c r="D1593" t="inlineStr">
        <is>
          <t>Miss Glam Jambi</t>
        </is>
      </c>
      <c r="E1593" t="n">
        <v>2</v>
      </c>
      <c r="F1593" t="n">
        <v>0.09569999999999999</v>
      </c>
      <c r="G1593" t="n">
        <v>0.66</v>
      </c>
      <c r="H1593" t="n">
        <v>4</v>
      </c>
      <c r="I1593" t="n">
        <v>28</v>
      </c>
      <c r="J1593" t="n">
        <v>3</v>
      </c>
      <c r="K1593" t="n">
        <v>6</v>
      </c>
      <c r="L1593" t="n">
        <v>23600</v>
      </c>
      <c r="M1593" t="n">
        <v>31000</v>
      </c>
      <c r="N1593" t="n">
        <v>33</v>
      </c>
      <c r="O1593" t="n">
        <v>0.33</v>
      </c>
      <c r="P1593" t="n">
        <v>1</v>
      </c>
      <c r="Q1593" t="n">
        <v>0.14</v>
      </c>
      <c r="R1593" t="n">
        <v>1</v>
      </c>
      <c r="S1593" t="n">
        <v>2966.7</v>
      </c>
      <c r="T1593" t="n">
        <v>19</v>
      </c>
      <c r="U1593" t="n">
        <v>20</v>
      </c>
      <c r="V1593" t="n">
        <v>30</v>
      </c>
      <c r="W1593" t="n">
        <v>3</v>
      </c>
      <c r="X1593" t="n">
        <v>20.89864158829676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10510</v>
      </c>
      <c r="AG1593" t="n">
        <v>2148</v>
      </c>
      <c r="AH1593" t="inlineStr">
        <is>
          <t>PT. JAYA PALEMBANG SUKSES - PPN (JMB)</t>
        </is>
      </c>
      <c r="AI1593" t="n">
        <v>78</v>
      </c>
      <c r="AJ1593" t="inlineStr">
        <is>
          <t>HANASUI</t>
        </is>
      </c>
      <c r="AK1593" t="n">
        <v>9</v>
      </c>
      <c r="AL1593" t="inlineStr">
        <is>
          <t>Miss Glam Jambi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"8998824552312"</f>
        <v/>
      </c>
      <c r="C1594" t="inlineStr">
        <is>
          <t>HANASUI Men Bright Active Serum 20ml</t>
        </is>
      </c>
      <c r="D1594" t="inlineStr">
        <is>
          <t>Miss Glam Jambi</t>
        </is>
      </c>
      <c r="E1594" t="n">
        <v>3</v>
      </c>
      <c r="F1594" t="n">
        <v>0.0825</v>
      </c>
      <c r="G1594" t="n">
        <v>0.66</v>
      </c>
      <c r="H1594" t="n">
        <v>4</v>
      </c>
      <c r="I1594" t="n">
        <v>28</v>
      </c>
      <c r="J1594" t="n">
        <v>3</v>
      </c>
      <c r="K1594" t="n">
        <v>0</v>
      </c>
      <c r="L1594" t="n">
        <v>17760</v>
      </c>
      <c r="M1594" t="n">
        <v>23500</v>
      </c>
      <c r="N1594" t="n">
        <v>33</v>
      </c>
      <c r="O1594" t="n">
        <v>0.33</v>
      </c>
      <c r="P1594" t="n">
        <v>1</v>
      </c>
      <c r="Q1594" t="n">
        <v>0.03</v>
      </c>
      <c r="R1594" t="n">
        <v>1</v>
      </c>
      <c r="S1594" t="n">
        <v>1938.75</v>
      </c>
      <c r="T1594" t="n">
        <v>19</v>
      </c>
      <c r="U1594" t="n">
        <v>20</v>
      </c>
      <c r="V1594" t="n">
        <v>30</v>
      </c>
      <c r="W1594" t="n">
        <v>3</v>
      </c>
      <c r="X1594" t="n">
        <v>36.36363636363636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10510</v>
      </c>
      <c r="AG1594" t="n">
        <v>2148</v>
      </c>
      <c r="AH1594" t="inlineStr">
        <is>
          <t>PT. JAYA PALEMBANG SUKSES - PPN (JMB)</t>
        </is>
      </c>
      <c r="AI1594" t="n">
        <v>78</v>
      </c>
      <c r="AJ1594" t="inlineStr">
        <is>
          <t>HANASUI</t>
        </is>
      </c>
      <c r="AK1594" t="n">
        <v>9</v>
      </c>
      <c r="AL1594" t="inlineStr">
        <is>
          <t>Miss Glam Jambi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"8998824551292"</f>
        <v/>
      </c>
      <c r="C1595" t="inlineStr">
        <is>
          <t>HANASUI Milky Lotion 240ml</t>
        </is>
      </c>
      <c r="D1595" t="inlineStr">
        <is>
          <t>Miss Glam Jambi</t>
        </is>
      </c>
      <c r="E1595" t="n">
        <v>6</v>
      </c>
      <c r="F1595" t="n">
        <v>0.07920000000000001</v>
      </c>
      <c r="G1595" t="n">
        <v>0.66</v>
      </c>
      <c r="H1595" t="n">
        <v>4</v>
      </c>
      <c r="I1595" t="n">
        <v>28</v>
      </c>
      <c r="J1595" t="n">
        <v>3</v>
      </c>
      <c r="K1595" t="n">
        <v>0</v>
      </c>
      <c r="L1595" t="n">
        <v>14652</v>
      </c>
      <c r="M1595" t="n">
        <v>18500</v>
      </c>
      <c r="N1595" t="n">
        <v>33</v>
      </c>
      <c r="O1595" t="n">
        <v>0.33</v>
      </c>
      <c r="P1595" t="n">
        <v>1</v>
      </c>
      <c r="Q1595" t="n">
        <v>0.08</v>
      </c>
      <c r="R1595" t="n">
        <v>2</v>
      </c>
      <c r="S1595" t="n">
        <v>1465.2</v>
      </c>
      <c r="T1595" t="n">
        <v>19</v>
      </c>
      <c r="U1595" t="n">
        <v>20</v>
      </c>
      <c r="V1595" t="n">
        <v>30</v>
      </c>
      <c r="W1595" t="n">
        <v>3</v>
      </c>
      <c r="X1595" t="n">
        <v>75.75757575757575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10510</v>
      </c>
      <c r="AG1595" t="n">
        <v>2148</v>
      </c>
      <c r="AH1595" t="inlineStr">
        <is>
          <t>PT. JAYA PALEMBANG SUKSES - PPN (JMB)</t>
        </is>
      </c>
      <c r="AI1595" t="n">
        <v>78</v>
      </c>
      <c r="AJ1595" t="inlineStr">
        <is>
          <t>HANASUI</t>
        </is>
      </c>
      <c r="AK1595" t="n">
        <v>9</v>
      </c>
      <c r="AL1595" t="inlineStr">
        <is>
          <t>Miss Glam Jambi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"8998824551346"</f>
        <v/>
      </c>
      <c r="C1596" t="inlineStr">
        <is>
          <t>HANASUI Naturgo Gold Mask</t>
        </is>
      </c>
      <c r="D1596" t="inlineStr">
        <is>
          <t>Miss Glam Jambi</t>
        </is>
      </c>
      <c r="E1596" t="n">
        <v>19</v>
      </c>
      <c r="F1596" t="n">
        <v>0.6138</v>
      </c>
      <c r="G1596" t="n">
        <v>3.3</v>
      </c>
      <c r="H1596" t="n">
        <v>4</v>
      </c>
      <c r="I1596" t="n">
        <v>28</v>
      </c>
      <c r="J1596" t="n">
        <v>3</v>
      </c>
      <c r="K1596" t="n">
        <v>0</v>
      </c>
      <c r="L1596" t="n">
        <v>1585</v>
      </c>
      <c r="M1596" t="n">
        <v>2000</v>
      </c>
      <c r="N1596" t="n">
        <v>33</v>
      </c>
      <c r="O1596" t="n">
        <v>0.33</v>
      </c>
      <c r="P1596" t="n">
        <v>1</v>
      </c>
      <c r="Q1596" t="n">
        <v>0.63</v>
      </c>
      <c r="R1596" t="n">
        <v>4</v>
      </c>
      <c r="S1596" t="n">
        <v>1227.6</v>
      </c>
      <c r="T1596" t="n">
        <v>90</v>
      </c>
      <c r="U1596" t="n">
        <v>93</v>
      </c>
      <c r="V1596" t="n">
        <v>30</v>
      </c>
      <c r="W1596" t="n">
        <v>19</v>
      </c>
      <c r="X1596" t="n">
        <v>30.95470837406321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10510</v>
      </c>
      <c r="AG1596" t="n">
        <v>2148</v>
      </c>
      <c r="AH1596" t="inlineStr">
        <is>
          <t>PT. JAYA PALEMBANG SUKSES - PPN (JMB)</t>
        </is>
      </c>
      <c r="AI1596" t="n">
        <v>78</v>
      </c>
      <c r="AJ1596" t="inlineStr">
        <is>
          <t>HANASUI</t>
        </is>
      </c>
      <c r="AK1596" t="n">
        <v>9</v>
      </c>
      <c r="AL1596" t="inlineStr">
        <is>
          <t>Miss Glam Jambi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"8998823551248"</f>
        <v/>
      </c>
      <c r="C1597" t="inlineStr">
        <is>
          <t>HANASUI Naturgo Peel Off Mask</t>
        </is>
      </c>
      <c r="D1597" t="inlineStr">
        <is>
          <t>Miss Glam Jambi</t>
        </is>
      </c>
      <c r="E1597" t="n">
        <v>54</v>
      </c>
      <c r="F1597" t="n">
        <v>2.3694</v>
      </c>
      <c r="G1597" t="n">
        <v>7.590000000000001</v>
      </c>
      <c r="H1597" t="n">
        <v>4</v>
      </c>
      <c r="I1597" t="n">
        <v>28</v>
      </c>
      <c r="J1597" t="n">
        <v>3</v>
      </c>
      <c r="K1597" t="n">
        <v>4</v>
      </c>
      <c r="L1597" t="n">
        <v>1600</v>
      </c>
      <c r="M1597" t="n">
        <v>2000</v>
      </c>
      <c r="N1597" t="n">
        <v>33</v>
      </c>
      <c r="O1597" t="n">
        <v>0.33</v>
      </c>
      <c r="P1597" t="n">
        <v>1</v>
      </c>
      <c r="Q1597" t="n">
        <v>1.71</v>
      </c>
      <c r="R1597" t="n">
        <v>14</v>
      </c>
      <c r="S1597" t="n">
        <v>4738.8</v>
      </c>
      <c r="T1597" t="n">
        <v>204</v>
      </c>
      <c r="U1597" t="n">
        <v>214</v>
      </c>
      <c r="V1597" t="n">
        <v>30</v>
      </c>
      <c r="W1597" t="n">
        <v>72</v>
      </c>
      <c r="X1597" t="n">
        <v>22.79057989364396</v>
      </c>
      <c r="Y1597" t="n">
        <v>1</v>
      </c>
      <c r="Z1597" t="n">
        <v>14</v>
      </c>
      <c r="AA1597" t="n">
        <v>12</v>
      </c>
      <c r="AB1597" t="n">
        <v>2</v>
      </c>
      <c r="AC1597" t="n">
        <v>3</v>
      </c>
      <c r="AD1597" t="n">
        <v>19200</v>
      </c>
      <c r="AE1597" t="n">
        <v>4800</v>
      </c>
      <c r="AF1597" t="n">
        <v>10510</v>
      </c>
      <c r="AG1597" t="n">
        <v>2148</v>
      </c>
      <c r="AH1597" t="inlineStr">
        <is>
          <t>PT. JAYA PALEMBANG SUKSES - PPN (JMB)</t>
        </is>
      </c>
      <c r="AI1597" t="n">
        <v>78</v>
      </c>
      <c r="AJ1597" t="inlineStr">
        <is>
          <t>HANASUI</t>
        </is>
      </c>
      <c r="AK1597" t="n">
        <v>9</v>
      </c>
      <c r="AL1597" t="inlineStr">
        <is>
          <t>Miss Glam Jambi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"8998824551483"</f>
        <v/>
      </c>
      <c r="C1598" t="inlineStr">
        <is>
          <t>HANASUI Naturgo Peel Off Mask 60gr</t>
        </is>
      </c>
      <c r="D1598" t="inlineStr">
        <is>
          <t>Miss Glam Jambi</t>
        </is>
      </c>
      <c r="E1598" t="n">
        <v>5</v>
      </c>
      <c r="F1598" t="n">
        <v>0.1617</v>
      </c>
      <c r="G1598" t="n">
        <v>0.99</v>
      </c>
      <c r="H1598" t="n">
        <v>4</v>
      </c>
      <c r="I1598" t="n">
        <v>28</v>
      </c>
      <c r="J1598" t="n">
        <v>3</v>
      </c>
      <c r="K1598" t="n">
        <v>0</v>
      </c>
      <c r="L1598" t="n">
        <v>16529</v>
      </c>
      <c r="M1598" t="n">
        <v>22000</v>
      </c>
      <c r="N1598" t="n">
        <v>33</v>
      </c>
      <c r="O1598" t="n">
        <v>0.33</v>
      </c>
      <c r="P1598" t="n">
        <v>1</v>
      </c>
      <c r="Q1598" t="n">
        <v>0.07000000000000001</v>
      </c>
      <c r="R1598" t="n">
        <v>1</v>
      </c>
      <c r="S1598" t="n">
        <v>3557.4</v>
      </c>
      <c r="T1598" t="n">
        <v>28</v>
      </c>
      <c r="U1598" t="n">
        <v>29</v>
      </c>
      <c r="V1598" t="n">
        <v>30</v>
      </c>
      <c r="W1598" t="n">
        <v>5</v>
      </c>
      <c r="X1598" t="n">
        <v>30.92145949288806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10510</v>
      </c>
      <c r="AG1598" t="n">
        <v>2148</v>
      </c>
      <c r="AH1598" t="inlineStr">
        <is>
          <t>PT. JAYA PALEMBANG SUKSES - PPN (JMB)</t>
        </is>
      </c>
      <c r="AI1598" t="n">
        <v>78</v>
      </c>
      <c r="AJ1598" t="inlineStr">
        <is>
          <t>HANASUI</t>
        </is>
      </c>
      <c r="AK1598" t="n">
        <v>9</v>
      </c>
      <c r="AL1598" t="inlineStr">
        <is>
          <t>Miss Glam Jambi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"20300397230"</f>
        <v/>
      </c>
      <c r="C1599" t="inlineStr">
        <is>
          <t>HANASUI Next Level Blurry Tint Muffeel #03 2.5g</t>
        </is>
      </c>
      <c r="D1599" t="inlineStr">
        <is>
          <t>Miss Glam Jambi</t>
        </is>
      </c>
      <c r="E1599" t="n">
        <v>13</v>
      </c>
      <c r="F1599" t="n">
        <v>0.3465</v>
      </c>
      <c r="G1599" t="n">
        <v>1.65</v>
      </c>
      <c r="H1599" t="n">
        <v>4</v>
      </c>
      <c r="I1599" t="n">
        <v>28</v>
      </c>
      <c r="J1599" t="n">
        <v>1</v>
      </c>
      <c r="K1599" t="n">
        <v>0</v>
      </c>
      <c r="L1599" t="n">
        <v>25200</v>
      </c>
      <c r="M1599" t="n">
        <v>31500</v>
      </c>
      <c r="N1599" t="n">
        <v>33</v>
      </c>
      <c r="O1599" t="n">
        <v>0.33</v>
      </c>
      <c r="P1599" t="n">
        <v>1</v>
      </c>
      <c r="Q1599" t="n">
        <v>0.41</v>
      </c>
      <c r="R1599" t="n">
        <v>4</v>
      </c>
      <c r="S1599" t="n">
        <v>10914.75</v>
      </c>
      <c r="T1599" t="n">
        <v>45</v>
      </c>
      <c r="U1599" t="n">
        <v>47</v>
      </c>
      <c r="V1599" t="n">
        <v>30</v>
      </c>
      <c r="W1599" t="n">
        <v>11</v>
      </c>
      <c r="X1599" t="n">
        <v>37.51803751803752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10510</v>
      </c>
      <c r="AG1599" t="n">
        <v>2148</v>
      </c>
      <c r="AH1599" t="inlineStr">
        <is>
          <t>PT. JAYA PALEMBANG SUKSES - PPN (JMB)</t>
        </is>
      </c>
      <c r="AI1599" t="n">
        <v>78</v>
      </c>
      <c r="AJ1599" t="inlineStr">
        <is>
          <t>HANASUI</t>
        </is>
      </c>
      <c r="AK1599" t="n">
        <v>9</v>
      </c>
      <c r="AL1599" t="inlineStr">
        <is>
          <t>Miss Glam Jambi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"20300397331"</f>
        <v/>
      </c>
      <c r="C1600" t="inlineStr">
        <is>
          <t>HANASUI Next Level Blurry Tint Ollieboy #04 2.5g</t>
        </is>
      </c>
      <c r="D1600" t="inlineStr">
        <is>
          <t>Miss Glam Jambi</t>
        </is>
      </c>
      <c r="E1600" t="n">
        <v>18</v>
      </c>
      <c r="F1600" t="n">
        <v>0.07920000000000001</v>
      </c>
      <c r="G1600" t="n">
        <v>0.33</v>
      </c>
      <c r="H1600" t="n">
        <v>4</v>
      </c>
      <c r="I1600" t="n">
        <v>28</v>
      </c>
      <c r="J1600" t="n">
        <v>1</v>
      </c>
      <c r="K1600" t="n">
        <v>0</v>
      </c>
      <c r="L1600" t="n">
        <v>25200</v>
      </c>
      <c r="M1600" t="n">
        <v>31500</v>
      </c>
      <c r="N1600" t="n">
        <v>33</v>
      </c>
      <c r="O1600" t="n">
        <v>0.33</v>
      </c>
      <c r="P1600" t="n">
        <v>1</v>
      </c>
      <c r="Q1600" t="n">
        <v>0.08</v>
      </c>
      <c r="R1600" t="n">
        <v>2</v>
      </c>
      <c r="S1600" t="n">
        <v>2494.8</v>
      </c>
      <c r="T1600" t="n">
        <v>9</v>
      </c>
      <c r="U1600" t="n">
        <v>10</v>
      </c>
      <c r="V1600" t="n">
        <v>30</v>
      </c>
      <c r="W1600" t="n">
        <v>3</v>
      </c>
      <c r="X1600" t="n">
        <v>227.2727272727273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10510</v>
      </c>
      <c r="AG1600" t="n">
        <v>2148</v>
      </c>
      <c r="AH1600" t="inlineStr">
        <is>
          <t>PT. JAYA PALEMBANG SUKSES - PPN (JMB)</t>
        </is>
      </c>
      <c r="AI1600" t="n">
        <v>78</v>
      </c>
      <c r="AJ1600" t="inlineStr">
        <is>
          <t>HANASUI</t>
        </is>
      </c>
      <c r="AK1600" t="n">
        <v>9</v>
      </c>
      <c r="AL1600" t="inlineStr">
        <is>
          <t>Miss Glam Jambi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"20300397457"</f>
        <v/>
      </c>
      <c r="C1601" t="inlineStr">
        <is>
          <t>HANASUI Next Level Blurry Tint Pavlover #05 2.5g</t>
        </is>
      </c>
      <c r="D1601" t="inlineStr">
        <is>
          <t>Miss Glam Jambi</t>
        </is>
      </c>
      <c r="E1601" t="n">
        <v>25</v>
      </c>
      <c r="F1601" t="n">
        <v>0.2079</v>
      </c>
      <c r="G1601" t="n">
        <v>0.99</v>
      </c>
      <c r="H1601" t="n">
        <v>4</v>
      </c>
      <c r="I1601" t="n">
        <v>28</v>
      </c>
      <c r="J1601" t="n">
        <v>1</v>
      </c>
      <c r="K1601" t="n">
        <v>0</v>
      </c>
      <c r="L1601" t="n">
        <v>25200</v>
      </c>
      <c r="M1601" t="n">
        <v>31500</v>
      </c>
      <c r="N1601" t="n">
        <v>33</v>
      </c>
      <c r="O1601" t="n">
        <v>0.33</v>
      </c>
      <c r="P1601" t="n">
        <v>1</v>
      </c>
      <c r="Q1601" t="n">
        <v>0.15</v>
      </c>
      <c r="R1601" t="n">
        <v>2</v>
      </c>
      <c r="S1601" t="n">
        <v>6548.85</v>
      </c>
      <c r="T1601" t="n">
        <v>27</v>
      </c>
      <c r="U1601" t="n">
        <v>28</v>
      </c>
      <c r="V1601" t="n">
        <v>30</v>
      </c>
      <c r="W1601" t="n">
        <v>7</v>
      </c>
      <c r="X1601" t="n">
        <v>120.2501202501202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10510</v>
      </c>
      <c r="AG1601" t="n">
        <v>2148</v>
      </c>
      <c r="AH1601" t="inlineStr">
        <is>
          <t>PT. JAYA PALEMBANG SUKSES - PPN (JMB)</t>
        </is>
      </c>
      <c r="AI1601" t="n">
        <v>78</v>
      </c>
      <c r="AJ1601" t="inlineStr">
        <is>
          <t>HANASUI</t>
        </is>
      </c>
      <c r="AK1601" t="n">
        <v>9</v>
      </c>
      <c r="AL1601" t="inlineStr">
        <is>
          <t>Miss Glam Jambi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"20300397511"</f>
        <v/>
      </c>
      <c r="C1602" t="inlineStr">
        <is>
          <t>HANASUI Next Level Blurry Tint PistaseeU #06 2.5g</t>
        </is>
      </c>
      <c r="D1602" t="inlineStr">
        <is>
          <t>Miss Glam Jambi</t>
        </is>
      </c>
      <c r="E1602" t="n">
        <v>23</v>
      </c>
      <c r="F1602" t="n">
        <v>0.3762</v>
      </c>
      <c r="G1602" t="n">
        <v>1.65</v>
      </c>
      <c r="H1602" t="n">
        <v>4</v>
      </c>
      <c r="I1602" t="n">
        <v>28</v>
      </c>
      <c r="J1602" t="n">
        <v>1</v>
      </c>
      <c r="K1602" t="n">
        <v>0</v>
      </c>
      <c r="L1602" t="n">
        <v>25200</v>
      </c>
      <c r="M1602" t="n">
        <v>31500</v>
      </c>
      <c r="N1602" t="n">
        <v>33</v>
      </c>
      <c r="O1602" t="n">
        <v>0.33</v>
      </c>
      <c r="P1602" t="n">
        <v>1</v>
      </c>
      <c r="Q1602" t="n">
        <v>0.25</v>
      </c>
      <c r="R1602" t="n">
        <v>2</v>
      </c>
      <c r="S1602" t="n">
        <v>11850.3</v>
      </c>
      <c r="T1602" t="n">
        <v>45</v>
      </c>
      <c r="U1602" t="n">
        <v>47</v>
      </c>
      <c r="V1602" t="n">
        <v>30</v>
      </c>
      <c r="W1602" t="n">
        <v>12</v>
      </c>
      <c r="X1602" t="n">
        <v>61.13769271664009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10510</v>
      </c>
      <c r="AG1602" t="n">
        <v>2148</v>
      </c>
      <c r="AH1602" t="inlineStr">
        <is>
          <t>PT. JAYA PALEMBANG SUKSES - PPN (JMB)</t>
        </is>
      </c>
      <c r="AI1602" t="n">
        <v>78</v>
      </c>
      <c r="AJ1602" t="inlineStr">
        <is>
          <t>HANASUI</t>
        </is>
      </c>
      <c r="AK1602" t="n">
        <v>9</v>
      </c>
      <c r="AL1602" t="inlineStr">
        <is>
          <t>Miss Glam Jambi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"203002186505"</f>
        <v/>
      </c>
      <c r="C1603" t="inlineStr">
        <is>
          <t>HANASUI Next Level Blurry Tint Redveluv #01 2.5g</t>
        </is>
      </c>
      <c r="D1603" t="inlineStr">
        <is>
          <t>Miss Glam Jambi</t>
        </is>
      </c>
      <c r="E1603" t="n">
        <v>25</v>
      </c>
      <c r="F1603" t="n">
        <v>0.6765</v>
      </c>
      <c r="G1603" t="n">
        <v>2.31</v>
      </c>
      <c r="H1603" t="n">
        <v>4</v>
      </c>
      <c r="I1603" t="n">
        <v>28</v>
      </c>
      <c r="J1603" t="n">
        <v>1</v>
      </c>
      <c r="K1603" t="n">
        <v>0</v>
      </c>
      <c r="L1603" t="n">
        <v>25200</v>
      </c>
      <c r="M1603" t="n">
        <v>31500</v>
      </c>
      <c r="N1603" t="n">
        <v>33</v>
      </c>
      <c r="O1603" t="n">
        <v>0.33</v>
      </c>
      <c r="P1603" t="n">
        <v>1</v>
      </c>
      <c r="Q1603" t="n">
        <v>0.31</v>
      </c>
      <c r="R1603" t="n">
        <v>2</v>
      </c>
      <c r="S1603" t="n">
        <v>21309.75</v>
      </c>
      <c r="T1603" t="n">
        <v>62</v>
      </c>
      <c r="U1603" t="n">
        <v>65</v>
      </c>
      <c r="V1603" t="n">
        <v>30</v>
      </c>
      <c r="W1603" t="n">
        <v>21</v>
      </c>
      <c r="X1603" t="n">
        <v>36.95491500369549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10510</v>
      </c>
      <c r="AG1603" t="n">
        <v>2148</v>
      </c>
      <c r="AH1603" t="inlineStr">
        <is>
          <t>PT. JAYA PALEMBANG SUKSES - PPN (JMB)</t>
        </is>
      </c>
      <c r="AI1603" t="n">
        <v>78</v>
      </c>
      <c r="AJ1603" t="inlineStr">
        <is>
          <t>HANASUI</t>
        </is>
      </c>
      <c r="AK1603" t="n">
        <v>9</v>
      </c>
      <c r="AL1603" t="inlineStr">
        <is>
          <t>Miss Glam Jambi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"20300397108"</f>
        <v/>
      </c>
      <c r="C1604" t="inlineStr">
        <is>
          <t>HANASUI Next Level Blurry Tint Sorbae #02 2.5g</t>
        </is>
      </c>
      <c r="D1604" t="inlineStr">
        <is>
          <t>Miss Glam Jambi</t>
        </is>
      </c>
      <c r="E1604" t="n">
        <v>28</v>
      </c>
      <c r="F1604" t="n">
        <v>1.1187</v>
      </c>
      <c r="G1604" t="n">
        <v>2.97</v>
      </c>
      <c r="H1604" t="n">
        <v>4</v>
      </c>
      <c r="I1604" t="n">
        <v>28</v>
      </c>
      <c r="J1604" t="n">
        <v>1</v>
      </c>
      <c r="K1604" t="n">
        <v>2</v>
      </c>
      <c r="L1604" t="n">
        <v>25200</v>
      </c>
      <c r="M1604" t="n">
        <v>31500</v>
      </c>
      <c r="N1604" t="n">
        <v>33</v>
      </c>
      <c r="O1604" t="n">
        <v>0.33</v>
      </c>
      <c r="P1604" t="n">
        <v>1</v>
      </c>
      <c r="Q1604" t="n">
        <v>0.39</v>
      </c>
      <c r="R1604" t="n">
        <v>3</v>
      </c>
      <c r="S1604" t="n">
        <v>35239.05</v>
      </c>
      <c r="T1604" t="n">
        <v>79</v>
      </c>
      <c r="U1604" t="n">
        <v>84</v>
      </c>
      <c r="V1604" t="n">
        <v>30</v>
      </c>
      <c r="W1604" t="n">
        <v>34</v>
      </c>
      <c r="X1604" t="n">
        <v>25.02905157772414</v>
      </c>
      <c r="Y1604" t="n">
        <v>1</v>
      </c>
      <c r="Z1604" t="n">
        <v>4</v>
      </c>
      <c r="AA1604" t="n">
        <v>3</v>
      </c>
      <c r="AB1604" t="n">
        <v>1</v>
      </c>
      <c r="AC1604" t="n">
        <v>1</v>
      </c>
      <c r="AD1604" t="n">
        <v>75600</v>
      </c>
      <c r="AE1604" t="n">
        <v>25200</v>
      </c>
      <c r="AF1604" t="n">
        <v>10510</v>
      </c>
      <c r="AG1604" t="n">
        <v>2148</v>
      </c>
      <c r="AH1604" t="inlineStr">
        <is>
          <t>PT. JAYA PALEMBANG SUKSES - PPN (JMB)</t>
        </is>
      </c>
      <c r="AI1604" t="n">
        <v>78</v>
      </c>
      <c r="AJ1604" t="inlineStr">
        <is>
          <t>HANASUI</t>
        </is>
      </c>
      <c r="AK1604" t="n">
        <v>9</v>
      </c>
      <c r="AL1604" t="inlineStr">
        <is>
          <t>Miss Glam Jambi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"20100960449"</f>
        <v/>
      </c>
      <c r="C1605" t="inlineStr">
        <is>
          <t>HANASUI Next Level Bouncy Blush Evolet #03 8.5g</t>
        </is>
      </c>
      <c r="D1605" t="inlineStr">
        <is>
          <t>Miss Glam Jambi</t>
        </is>
      </c>
      <c r="E1605" t="n">
        <v>22</v>
      </c>
      <c r="F1605" t="n">
        <v>0.1353</v>
      </c>
      <c r="G1605" t="n">
        <v>0.66</v>
      </c>
      <c r="H1605" t="n">
        <v>4</v>
      </c>
      <c r="I1605" t="n">
        <v>28</v>
      </c>
      <c r="J1605" t="n">
        <v>1</v>
      </c>
      <c r="K1605" t="n">
        <v>0</v>
      </c>
      <c r="L1605" t="n">
        <v>28800</v>
      </c>
      <c r="M1605" t="n">
        <v>40000</v>
      </c>
      <c r="N1605" t="n">
        <v>33</v>
      </c>
      <c r="O1605" t="n">
        <v>0.33</v>
      </c>
      <c r="P1605" t="n">
        <v>1</v>
      </c>
      <c r="Q1605" t="n">
        <v>0.03</v>
      </c>
      <c r="R1605" t="n">
        <v>1</v>
      </c>
      <c r="S1605" t="n">
        <v>5412</v>
      </c>
      <c r="T1605" t="n">
        <v>18</v>
      </c>
      <c r="U1605" t="n">
        <v>19</v>
      </c>
      <c r="V1605" t="n">
        <v>30</v>
      </c>
      <c r="W1605" t="n">
        <v>5</v>
      </c>
      <c r="X1605" t="n">
        <v>162.6016260162602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10510</v>
      </c>
      <c r="AG1605" t="n">
        <v>2148</v>
      </c>
      <c r="AH1605" t="inlineStr">
        <is>
          <t>PT. JAYA PALEMBANG SUKSES - PPN (JMB)</t>
        </is>
      </c>
      <c r="AI1605" t="n">
        <v>78</v>
      </c>
      <c r="AJ1605" t="inlineStr">
        <is>
          <t>HANASUI</t>
        </is>
      </c>
      <c r="AK1605" t="n">
        <v>9</v>
      </c>
      <c r="AL1605" t="inlineStr">
        <is>
          <t>Miss Glam Jambi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"20100960319"</f>
        <v/>
      </c>
      <c r="C1606" t="inlineStr">
        <is>
          <t>HANASUI Next Level Bouncy Blush Roseate #02 8.5g</t>
        </is>
      </c>
      <c r="D1606" t="inlineStr">
        <is>
          <t>Miss Glam Jambi</t>
        </is>
      </c>
      <c r="E1606" t="n">
        <v>7</v>
      </c>
      <c r="F1606" t="n">
        <v>0.3399</v>
      </c>
      <c r="G1606" t="n">
        <v>1.98</v>
      </c>
      <c r="H1606" t="n">
        <v>4</v>
      </c>
      <c r="I1606" t="n">
        <v>28</v>
      </c>
      <c r="J1606" t="n">
        <v>1</v>
      </c>
      <c r="K1606" t="n">
        <v>7</v>
      </c>
      <c r="L1606" t="n">
        <v>31543</v>
      </c>
      <c r="M1606" t="n">
        <v>40000</v>
      </c>
      <c r="N1606" t="n">
        <v>33</v>
      </c>
      <c r="O1606" t="n">
        <v>0.33</v>
      </c>
      <c r="P1606" t="n">
        <v>1</v>
      </c>
      <c r="Q1606" t="n">
        <v>0.2</v>
      </c>
      <c r="R1606" t="n">
        <v>2</v>
      </c>
      <c r="S1606" t="n">
        <v>13596</v>
      </c>
      <c r="T1606" t="n">
        <v>55</v>
      </c>
      <c r="U1606" t="n">
        <v>57</v>
      </c>
      <c r="V1606" t="n">
        <v>30</v>
      </c>
      <c r="W1606" t="n">
        <v>11</v>
      </c>
      <c r="X1606" t="n">
        <v>20.59429243895263</v>
      </c>
      <c r="Y1606" t="n">
        <v>1</v>
      </c>
      <c r="Z1606" t="n">
        <v>0</v>
      </c>
      <c r="AA1606" t="n">
        <v>2</v>
      </c>
      <c r="AB1606" t="n">
        <v>0</v>
      </c>
      <c r="AC1606" t="n">
        <v>0</v>
      </c>
      <c r="AD1606" t="n">
        <v>63086</v>
      </c>
      <c r="AE1606" t="n">
        <v>0</v>
      </c>
      <c r="AF1606" t="n">
        <v>10510</v>
      </c>
      <c r="AG1606" t="n">
        <v>2148</v>
      </c>
      <c r="AH1606" t="inlineStr">
        <is>
          <t>PT. JAYA PALEMBANG SUKSES - PPN (JMB)</t>
        </is>
      </c>
      <c r="AI1606" t="n">
        <v>78</v>
      </c>
      <c r="AJ1606" t="inlineStr">
        <is>
          <t>HANASUI</t>
        </is>
      </c>
      <c r="AK1606" t="n">
        <v>9</v>
      </c>
      <c r="AL1606" t="inlineStr">
        <is>
          <t>Miss Glam Jambi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"20100960251"</f>
        <v/>
      </c>
      <c r="C1607" t="inlineStr">
        <is>
          <t>HANASUI Next Level Bouncy Blush Sundaze #01 8.5g</t>
        </is>
      </c>
      <c r="D1607" t="inlineStr">
        <is>
          <t>Miss Glam Jambi</t>
        </is>
      </c>
      <c r="E1607" t="n">
        <v>3</v>
      </c>
      <c r="F1607" t="n">
        <v>0.1749</v>
      </c>
      <c r="G1607" t="n">
        <v>1.32</v>
      </c>
      <c r="H1607" t="n">
        <v>4</v>
      </c>
      <c r="I1607" t="n">
        <v>28</v>
      </c>
      <c r="J1607" t="n">
        <v>1</v>
      </c>
      <c r="K1607" t="n">
        <v>1</v>
      </c>
      <c r="L1607" t="n">
        <v>28800</v>
      </c>
      <c r="M1607" t="n">
        <v>40000</v>
      </c>
      <c r="N1607" t="n">
        <v>33</v>
      </c>
      <c r="O1607" t="n">
        <v>0.33</v>
      </c>
      <c r="P1607" t="n">
        <v>1</v>
      </c>
      <c r="Q1607" t="n">
        <v>0.03</v>
      </c>
      <c r="R1607" t="n">
        <v>1</v>
      </c>
      <c r="S1607" t="n">
        <v>6996.000000000001</v>
      </c>
      <c r="T1607" t="n">
        <v>37</v>
      </c>
      <c r="U1607" t="n">
        <v>38</v>
      </c>
      <c r="V1607" t="n">
        <v>30</v>
      </c>
      <c r="W1607" t="n">
        <v>6</v>
      </c>
      <c r="X1607" t="n">
        <v>17.15265866209262</v>
      </c>
      <c r="Y1607" t="n">
        <v>1</v>
      </c>
      <c r="Z1607" t="n">
        <v>2</v>
      </c>
      <c r="AA1607" t="n">
        <v>1</v>
      </c>
      <c r="AB1607" t="n">
        <v>1</v>
      </c>
      <c r="AC1607" t="n">
        <v>1</v>
      </c>
      <c r="AD1607" t="n">
        <v>28800</v>
      </c>
      <c r="AE1607" t="n">
        <v>28800</v>
      </c>
      <c r="AF1607" t="n">
        <v>10510</v>
      </c>
      <c r="AG1607" t="n">
        <v>2148</v>
      </c>
      <c r="AH1607" t="inlineStr">
        <is>
          <t>PT. JAYA PALEMBANG SUKSES - PPN (JMB)</t>
        </is>
      </c>
      <c r="AI1607" t="n">
        <v>78</v>
      </c>
      <c r="AJ1607" t="inlineStr">
        <is>
          <t>HANASUI</t>
        </is>
      </c>
      <c r="AK1607" t="n">
        <v>9</v>
      </c>
      <c r="AL1607" t="inlineStr">
        <is>
          <t>Miss Glam Jambi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"20300397629"</f>
        <v/>
      </c>
      <c r="C1608" t="inlineStr">
        <is>
          <t>HANASUI Next Level Butter Balm Tint Nerdy #01 3.5g</t>
        </is>
      </c>
      <c r="D1608" t="inlineStr">
        <is>
          <t>Miss Glam Jambi</t>
        </is>
      </c>
      <c r="E1608" t="n">
        <v>26</v>
      </c>
      <c r="F1608" t="n">
        <v>0.5148</v>
      </c>
      <c r="G1608" t="n">
        <v>2.64</v>
      </c>
      <c r="H1608" t="n">
        <v>4</v>
      </c>
      <c r="I1608" t="n">
        <v>28</v>
      </c>
      <c r="J1608" t="n">
        <v>1</v>
      </c>
      <c r="K1608" t="n">
        <v>0</v>
      </c>
      <c r="L1608" t="n">
        <v>26400</v>
      </c>
      <c r="M1608" t="n">
        <v>33000</v>
      </c>
      <c r="N1608" t="n">
        <v>33</v>
      </c>
      <c r="O1608" t="n">
        <v>0.33</v>
      </c>
      <c r="P1608" t="n">
        <v>1</v>
      </c>
      <c r="Q1608" t="n">
        <v>0.78</v>
      </c>
      <c r="R1608" t="n">
        <v>5</v>
      </c>
      <c r="S1608" t="n">
        <v>16988.4</v>
      </c>
      <c r="T1608" t="n">
        <v>72</v>
      </c>
      <c r="U1608" t="n">
        <v>75</v>
      </c>
      <c r="V1608" t="n">
        <v>30</v>
      </c>
      <c r="W1608" t="n">
        <v>16</v>
      </c>
      <c r="X1608" t="n">
        <v>50.5050505050505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10510</v>
      </c>
      <c r="AG1608" t="n">
        <v>2148</v>
      </c>
      <c r="AH1608" t="inlineStr">
        <is>
          <t>PT. JAYA PALEMBANG SUKSES - PPN (JMB)</t>
        </is>
      </c>
      <c r="AI1608" t="n">
        <v>78</v>
      </c>
      <c r="AJ1608" t="inlineStr">
        <is>
          <t>HANASUI</t>
        </is>
      </c>
      <c r="AK1608" t="n">
        <v>9</v>
      </c>
      <c r="AL1608" t="inlineStr">
        <is>
          <t>Miss Glam Jambi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"20300397830"</f>
        <v/>
      </c>
      <c r="C1609" t="inlineStr">
        <is>
          <t>HANASUI Next Level Butter Balm Tint Sassy #03 3.5g</t>
        </is>
      </c>
      <c r="D1609" t="inlineStr">
        <is>
          <t>Miss Glam Jambi</t>
        </is>
      </c>
      <c r="E1609" t="n">
        <v>0</v>
      </c>
      <c r="F1609" t="n">
        <v>0.9339000000000001</v>
      </c>
      <c r="G1609" t="n">
        <v>2.97</v>
      </c>
      <c r="H1609" t="n">
        <v>4</v>
      </c>
      <c r="I1609" t="n">
        <v>28</v>
      </c>
      <c r="J1609" t="n">
        <v>1</v>
      </c>
      <c r="K1609" t="n">
        <v>26</v>
      </c>
      <c r="L1609" t="n">
        <v>26400</v>
      </c>
      <c r="M1609" t="n">
        <v>33000</v>
      </c>
      <c r="N1609" t="n">
        <v>33</v>
      </c>
      <c r="O1609" t="n">
        <v>0.33</v>
      </c>
      <c r="P1609" t="n">
        <v>1</v>
      </c>
      <c r="Q1609" t="n">
        <v>0.4</v>
      </c>
      <c r="R1609" t="n">
        <v>2</v>
      </c>
      <c r="S1609" t="n">
        <v>30818.7</v>
      </c>
      <c r="T1609" t="n">
        <v>80</v>
      </c>
      <c r="U1609" t="n">
        <v>84</v>
      </c>
      <c r="V1609" t="n">
        <v>30</v>
      </c>
      <c r="W1609" t="n">
        <v>29</v>
      </c>
      <c r="X1609" t="n">
        <v>0</v>
      </c>
      <c r="Y1609" t="n">
        <v>1</v>
      </c>
      <c r="Z1609" t="n">
        <v>3</v>
      </c>
      <c r="AA1609" t="n">
        <v>26</v>
      </c>
      <c r="AB1609" t="n">
        <v>0</v>
      </c>
      <c r="AC1609" t="n">
        <v>0</v>
      </c>
      <c r="AD1609" t="n">
        <v>686400</v>
      </c>
      <c r="AE1609" t="n">
        <v>0</v>
      </c>
      <c r="AF1609" t="n">
        <v>10510</v>
      </c>
      <c r="AG1609" t="n">
        <v>2148</v>
      </c>
      <c r="AH1609" t="inlineStr">
        <is>
          <t>PT. JAYA PALEMBANG SUKSES - PPN (JMB)</t>
        </is>
      </c>
      <c r="AI1609" t="n">
        <v>78</v>
      </c>
      <c r="AJ1609" t="inlineStr">
        <is>
          <t>HANASUI</t>
        </is>
      </c>
      <c r="AK1609" t="n">
        <v>9</v>
      </c>
      <c r="AL1609" t="inlineStr">
        <is>
          <t>Miss Glam Jambi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"20300397946"</f>
        <v/>
      </c>
      <c r="C1610" t="inlineStr">
        <is>
          <t>HANASUI Next Level Butter Balm Tint Whimsy #04 3.5g</t>
        </is>
      </c>
      <c r="D1610" t="inlineStr">
        <is>
          <t>Miss Glam Jambi</t>
        </is>
      </c>
      <c r="E1610" t="n">
        <v>7</v>
      </c>
      <c r="F1610" t="n">
        <v>0.4983</v>
      </c>
      <c r="G1610" t="n">
        <v>1.98</v>
      </c>
      <c r="H1610" t="n">
        <v>4</v>
      </c>
      <c r="I1610" t="n">
        <v>28</v>
      </c>
      <c r="J1610" t="n">
        <v>1</v>
      </c>
      <c r="K1610" t="n">
        <v>7</v>
      </c>
      <c r="L1610" t="n">
        <v>26400</v>
      </c>
      <c r="M1610" t="n">
        <v>33000</v>
      </c>
      <c r="N1610" t="n">
        <v>33</v>
      </c>
      <c r="O1610" t="n">
        <v>0.33</v>
      </c>
      <c r="P1610" t="n">
        <v>1</v>
      </c>
      <c r="Q1610" t="n">
        <v>0.29</v>
      </c>
      <c r="R1610" t="n">
        <v>4</v>
      </c>
      <c r="S1610" t="n">
        <v>16443.9</v>
      </c>
      <c r="T1610" t="n">
        <v>54</v>
      </c>
      <c r="U1610" t="n">
        <v>56</v>
      </c>
      <c r="V1610" t="n">
        <v>30</v>
      </c>
      <c r="W1610" t="n">
        <v>15</v>
      </c>
      <c r="X1610" t="n">
        <v>14.04776239213325</v>
      </c>
      <c r="Y1610" t="n">
        <v>1</v>
      </c>
      <c r="Z1610" t="n">
        <v>1</v>
      </c>
      <c r="AA1610" t="n">
        <v>6</v>
      </c>
      <c r="AB1610" t="n">
        <v>0</v>
      </c>
      <c r="AC1610" t="n">
        <v>0</v>
      </c>
      <c r="AD1610" t="n">
        <v>158400</v>
      </c>
      <c r="AE1610" t="n">
        <v>0</v>
      </c>
      <c r="AF1610" t="n">
        <v>10510</v>
      </c>
      <c r="AG1610" t="n">
        <v>2148</v>
      </c>
      <c r="AH1610" t="inlineStr">
        <is>
          <t>PT. JAYA PALEMBANG SUKSES - PPN (JMB)</t>
        </is>
      </c>
      <c r="AI1610" t="n">
        <v>78</v>
      </c>
      <c r="AJ1610" t="inlineStr">
        <is>
          <t>HANASUI</t>
        </is>
      </c>
      <c r="AK1610" t="n">
        <v>9</v>
      </c>
      <c r="AL1610" t="inlineStr">
        <is>
          <t>Miss Glam Jambi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"20300397709"</f>
        <v/>
      </c>
      <c r="C1611" t="inlineStr">
        <is>
          <t>HANASUI Next Level Butter Balm Tint Witty #02 3.5g</t>
        </is>
      </c>
      <c r="D1611" t="inlineStr">
        <is>
          <t>Miss Glam Jambi</t>
        </is>
      </c>
      <c r="E1611" t="n">
        <v>13</v>
      </c>
      <c r="F1611" t="n">
        <v>0.7821</v>
      </c>
      <c r="G1611" t="n">
        <v>2.97</v>
      </c>
      <c r="H1611" t="n">
        <v>4</v>
      </c>
      <c r="I1611" t="n">
        <v>28</v>
      </c>
      <c r="J1611" t="n">
        <v>1</v>
      </c>
      <c r="K1611" t="n">
        <v>1</v>
      </c>
      <c r="L1611" t="n">
        <v>26400</v>
      </c>
      <c r="M1611" t="n">
        <v>33000</v>
      </c>
      <c r="N1611" t="n">
        <v>33</v>
      </c>
      <c r="O1611" t="n">
        <v>0.33</v>
      </c>
      <c r="P1611" t="n">
        <v>1</v>
      </c>
      <c r="Q1611" t="n">
        <v>0.61</v>
      </c>
      <c r="R1611" t="n">
        <v>3</v>
      </c>
      <c r="S1611" t="n">
        <v>25809.3</v>
      </c>
      <c r="T1611" t="n">
        <v>81</v>
      </c>
      <c r="U1611" t="n">
        <v>85</v>
      </c>
      <c r="V1611" t="n">
        <v>30</v>
      </c>
      <c r="W1611" t="n">
        <v>24</v>
      </c>
      <c r="X1611" t="n">
        <v>16.62191535609257</v>
      </c>
      <c r="Y1611" t="n">
        <v>1</v>
      </c>
      <c r="Z1611" t="n">
        <v>10</v>
      </c>
      <c r="AA1611" t="n">
        <v>8</v>
      </c>
      <c r="AB1611" t="n">
        <v>2</v>
      </c>
      <c r="AC1611" t="n">
        <v>2</v>
      </c>
      <c r="AD1611" t="n">
        <v>211200</v>
      </c>
      <c r="AE1611" t="n">
        <v>52800</v>
      </c>
      <c r="AF1611" t="n">
        <v>10510</v>
      </c>
      <c r="AG1611" t="n">
        <v>2148</v>
      </c>
      <c r="AH1611" t="inlineStr">
        <is>
          <t>PT. JAYA PALEMBANG SUKSES - PPN (JMB)</t>
        </is>
      </c>
      <c r="AI1611" t="n">
        <v>78</v>
      </c>
      <c r="AJ1611" t="inlineStr">
        <is>
          <t>HANASUI</t>
        </is>
      </c>
      <c r="AK1611" t="n">
        <v>9</v>
      </c>
      <c r="AL1611" t="inlineStr">
        <is>
          <t>Miss Glam Jambi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"20100577719"</f>
        <v/>
      </c>
      <c r="C1612" t="inlineStr">
        <is>
          <t>HANASUI Next Level Coverlock Powder Foundation #W42 Golden Sand 50 gr</t>
        </is>
      </c>
      <c r="D1612" t="inlineStr">
        <is>
          <t>Miss Glam Jambi</t>
        </is>
      </c>
      <c r="E1612" t="n">
        <v>10</v>
      </c>
      <c r="F1612" t="n">
        <v>0.006600000000000001</v>
      </c>
      <c r="G1612" t="n">
        <v>0.33</v>
      </c>
      <c r="H1612" t="n">
        <v>4</v>
      </c>
      <c r="I1612" t="n">
        <v>28</v>
      </c>
      <c r="J1612" t="n">
        <v>1</v>
      </c>
      <c r="K1612" t="n">
        <v>0</v>
      </c>
      <c r="L1612" t="n">
        <v>68000</v>
      </c>
      <c r="M1612" t="n">
        <v>85000</v>
      </c>
      <c r="N1612" t="n">
        <v>33</v>
      </c>
      <c r="O1612" t="n">
        <v>0.33</v>
      </c>
      <c r="P1612" t="n">
        <v>1</v>
      </c>
      <c r="Q1612" t="n">
        <v>0.02</v>
      </c>
      <c r="R1612" t="n">
        <v>1</v>
      </c>
      <c r="S1612" t="n">
        <v>561.0000000000001</v>
      </c>
      <c r="T1612" t="n">
        <v>10</v>
      </c>
      <c r="U1612" t="n">
        <v>11</v>
      </c>
      <c r="V1612" t="n">
        <v>30</v>
      </c>
      <c r="W1612" t="n">
        <v>1</v>
      </c>
      <c r="X1612" t="n">
        <v>1515.151515151515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10510</v>
      </c>
      <c r="AG1612" t="n">
        <v>2148</v>
      </c>
      <c r="AH1612" t="inlineStr">
        <is>
          <t>PT. JAYA PALEMBANG SUKSES - PPN (JMB)</t>
        </is>
      </c>
      <c r="AI1612" t="n">
        <v>78</v>
      </c>
      <c r="AJ1612" t="inlineStr">
        <is>
          <t>HANASUI</t>
        </is>
      </c>
      <c r="AK1612" t="n">
        <v>9</v>
      </c>
      <c r="AL1612" t="inlineStr">
        <is>
          <t>Miss Glam Jambi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"20101211135"</f>
        <v/>
      </c>
      <c r="C1613" t="inlineStr">
        <is>
          <t>HANASUI Next Level Glow &amp; Lock Setting Spray 90ml</t>
        </is>
      </c>
      <c r="D1613" t="inlineStr">
        <is>
          <t>Miss Glam Jambi</t>
        </is>
      </c>
      <c r="E1613" t="n">
        <v>3</v>
      </c>
      <c r="F1613" t="n">
        <v>0.033</v>
      </c>
      <c r="G1613" t="n">
        <v>0.33</v>
      </c>
      <c r="H1613" t="n">
        <v>4</v>
      </c>
      <c r="I1613" t="n">
        <v>28</v>
      </c>
      <c r="J1613" t="n">
        <v>1</v>
      </c>
      <c r="K1613" t="n">
        <v>0</v>
      </c>
      <c r="L1613" t="n">
        <v>51200</v>
      </c>
      <c r="M1613" t="n">
        <v>64000</v>
      </c>
      <c r="N1613" t="n">
        <v>33</v>
      </c>
      <c r="O1613" t="n">
        <v>0.33</v>
      </c>
      <c r="P1613" t="n">
        <v>1</v>
      </c>
      <c r="Q1613" t="n">
        <v>0.05</v>
      </c>
      <c r="R1613" t="n">
        <v>2</v>
      </c>
      <c r="S1613" t="n">
        <v>2112</v>
      </c>
      <c r="T1613" t="n">
        <v>10</v>
      </c>
      <c r="U1613" t="n">
        <v>11</v>
      </c>
      <c r="V1613" t="n">
        <v>30</v>
      </c>
      <c r="W1613" t="n">
        <v>1</v>
      </c>
      <c r="X1613" t="n">
        <v>90.90909090909091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10510</v>
      </c>
      <c r="AG1613" t="n">
        <v>2148</v>
      </c>
      <c r="AH1613" t="inlineStr">
        <is>
          <t>PT. JAYA PALEMBANG SUKSES - PPN (JMB)</t>
        </is>
      </c>
      <c r="AI1613" t="n">
        <v>78</v>
      </c>
      <c r="AJ1613" t="inlineStr">
        <is>
          <t>HANASUI</t>
        </is>
      </c>
      <c r="AK1613" t="n">
        <v>9</v>
      </c>
      <c r="AL1613" t="inlineStr">
        <is>
          <t>Miss Glam Jambi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"20300398004"</f>
        <v/>
      </c>
      <c r="C1614" t="inlineStr">
        <is>
          <t>HANASUI Next Level Liplast Cream Girlboss #01 3g</t>
        </is>
      </c>
      <c r="D1614" t="inlineStr">
        <is>
          <t>Miss Glam Jambi</t>
        </is>
      </c>
      <c r="E1614" t="n">
        <v>5</v>
      </c>
      <c r="F1614" t="n">
        <v>0.5874</v>
      </c>
      <c r="G1614" t="n">
        <v>1.65</v>
      </c>
      <c r="H1614" t="n">
        <v>4</v>
      </c>
      <c r="I1614" t="n">
        <v>28</v>
      </c>
      <c r="J1614" t="n">
        <v>1</v>
      </c>
      <c r="K1614" t="n">
        <v>13</v>
      </c>
      <c r="L1614" t="n">
        <v>24000</v>
      </c>
      <c r="M1614" t="n">
        <v>30000</v>
      </c>
      <c r="N1614" t="n">
        <v>33</v>
      </c>
      <c r="O1614" t="n">
        <v>0.33</v>
      </c>
      <c r="P1614" t="n">
        <v>1</v>
      </c>
      <c r="Q1614" t="n">
        <v>0.46</v>
      </c>
      <c r="R1614" t="n">
        <v>3</v>
      </c>
      <c r="S1614" t="n">
        <v>17622</v>
      </c>
      <c r="T1614" t="n">
        <v>44</v>
      </c>
      <c r="U1614" t="n">
        <v>47</v>
      </c>
      <c r="V1614" t="n">
        <v>30</v>
      </c>
      <c r="W1614" t="n">
        <v>18</v>
      </c>
      <c r="X1614" t="n">
        <v>8.512087163772556</v>
      </c>
      <c r="Y1614" t="n">
        <v>1</v>
      </c>
      <c r="Z1614" t="n">
        <v>0</v>
      </c>
      <c r="AA1614" t="n">
        <v>11</v>
      </c>
      <c r="AB1614" t="n">
        <v>0</v>
      </c>
      <c r="AC1614" t="n">
        <v>0</v>
      </c>
      <c r="AD1614" t="n">
        <v>264000</v>
      </c>
      <c r="AE1614" t="n">
        <v>0</v>
      </c>
      <c r="AF1614" t="n">
        <v>10510</v>
      </c>
      <c r="AG1614" t="n">
        <v>2148</v>
      </c>
      <c r="AH1614" t="inlineStr">
        <is>
          <t>PT. JAYA PALEMBANG SUKSES - PPN (JMB)</t>
        </is>
      </c>
      <c r="AI1614" t="n">
        <v>78</v>
      </c>
      <c r="AJ1614" t="inlineStr">
        <is>
          <t>HANASUI</t>
        </is>
      </c>
      <c r="AK1614" t="n">
        <v>9</v>
      </c>
      <c r="AL1614" t="inlineStr">
        <is>
          <t>Miss Glam Jambi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"20300398103"</f>
        <v/>
      </c>
      <c r="C1615" t="inlineStr">
        <is>
          <t>HANASUI Next Level Liplast Cream Her Rules #03 3g</t>
        </is>
      </c>
      <c r="D1615" t="inlineStr">
        <is>
          <t>Miss Glam Jambi</t>
        </is>
      </c>
      <c r="E1615" t="n">
        <v>25</v>
      </c>
      <c r="F1615" t="n">
        <v>0.4092</v>
      </c>
      <c r="G1615" t="n">
        <v>1.65</v>
      </c>
      <c r="H1615" t="n">
        <v>4</v>
      </c>
      <c r="I1615" t="n">
        <v>28</v>
      </c>
      <c r="J1615" t="n">
        <v>1</v>
      </c>
      <c r="K1615" t="n">
        <v>0</v>
      </c>
      <c r="L1615" t="n">
        <v>24000</v>
      </c>
      <c r="M1615" t="n">
        <v>30000</v>
      </c>
      <c r="N1615" t="n">
        <v>33</v>
      </c>
      <c r="O1615" t="n">
        <v>0.33</v>
      </c>
      <c r="P1615" t="n">
        <v>1</v>
      </c>
      <c r="Q1615" t="n">
        <v>0.34</v>
      </c>
      <c r="R1615" t="n">
        <v>3</v>
      </c>
      <c r="S1615" t="n">
        <v>12276</v>
      </c>
      <c r="T1615" t="n">
        <v>45</v>
      </c>
      <c r="U1615" t="n">
        <v>47</v>
      </c>
      <c r="V1615" t="n">
        <v>30</v>
      </c>
      <c r="W1615" t="n">
        <v>13</v>
      </c>
      <c r="X1615" t="n">
        <v>61.09481915933529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10510</v>
      </c>
      <c r="AG1615" t="n">
        <v>2148</v>
      </c>
      <c r="AH1615" t="inlineStr">
        <is>
          <t>PT. JAYA PALEMBANG SUKSES - PPN (JMB)</t>
        </is>
      </c>
      <c r="AI1615" t="n">
        <v>78</v>
      </c>
      <c r="AJ1615" t="inlineStr">
        <is>
          <t>HANASUI</t>
        </is>
      </c>
      <c r="AK1615" t="n">
        <v>9</v>
      </c>
      <c r="AL1615" t="inlineStr">
        <is>
          <t>Miss Glam Jambi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"203002186804"</f>
        <v/>
      </c>
      <c r="C1616" t="inlineStr">
        <is>
          <t>HANASUI Next Level Liplast Cream LeadHer #04 3g</t>
        </is>
      </c>
      <c r="D1616" t="inlineStr">
        <is>
          <t>Miss Glam Jambi</t>
        </is>
      </c>
      <c r="E1616" t="n">
        <v>5</v>
      </c>
      <c r="F1616" t="n">
        <v>0.7095</v>
      </c>
      <c r="G1616" t="n">
        <v>2.31</v>
      </c>
      <c r="H1616" t="n">
        <v>4</v>
      </c>
      <c r="I1616" t="n">
        <v>28</v>
      </c>
      <c r="J1616" t="n">
        <v>1</v>
      </c>
      <c r="K1616" t="n">
        <v>13</v>
      </c>
      <c r="L1616" t="n">
        <v>24000</v>
      </c>
      <c r="M1616" t="n">
        <v>30000</v>
      </c>
      <c r="N1616" t="n">
        <v>33</v>
      </c>
      <c r="O1616" t="n">
        <v>0.33</v>
      </c>
      <c r="P1616" t="n">
        <v>1</v>
      </c>
      <c r="Q1616" t="n">
        <v>0.37</v>
      </c>
      <c r="R1616" t="n">
        <v>3</v>
      </c>
      <c r="S1616" t="n">
        <v>21285</v>
      </c>
      <c r="T1616" t="n">
        <v>62</v>
      </c>
      <c r="U1616" t="n">
        <v>65</v>
      </c>
      <c r="V1616" t="n">
        <v>30</v>
      </c>
      <c r="W1616" t="n">
        <v>22</v>
      </c>
      <c r="X1616" t="n">
        <v>7.047216349541931</v>
      </c>
      <c r="Y1616" t="n">
        <v>1</v>
      </c>
      <c r="Z1616" t="n">
        <v>4</v>
      </c>
      <c r="AA1616" t="n">
        <v>14</v>
      </c>
      <c r="AB1616" t="n">
        <v>0</v>
      </c>
      <c r="AC1616" t="n">
        <v>0</v>
      </c>
      <c r="AD1616" t="n">
        <v>336000</v>
      </c>
      <c r="AE1616" t="n">
        <v>0</v>
      </c>
      <c r="AF1616" t="n">
        <v>10510</v>
      </c>
      <c r="AG1616" t="n">
        <v>2148</v>
      </c>
      <c r="AH1616" t="inlineStr">
        <is>
          <t>PT. JAYA PALEMBANG SUKSES - PPN (JMB)</t>
        </is>
      </c>
      <c r="AI1616" t="n">
        <v>78</v>
      </c>
      <c r="AJ1616" t="inlineStr">
        <is>
          <t>HANASUI</t>
        </is>
      </c>
      <c r="AK1616" t="n">
        <v>9</v>
      </c>
      <c r="AL1616" t="inlineStr">
        <is>
          <t>Miss Glam Jambi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"203002186744"</f>
        <v/>
      </c>
      <c r="C1617" t="inlineStr">
        <is>
          <t>HANASUI Next Level Liplast Cream PresDear #05 3g</t>
        </is>
      </c>
      <c r="D1617" t="inlineStr">
        <is>
          <t>Miss Glam Jambi</t>
        </is>
      </c>
      <c r="E1617" t="n">
        <v>8</v>
      </c>
      <c r="F1617" t="n">
        <v>0.2</v>
      </c>
      <c r="G1617" t="n">
        <v>3</v>
      </c>
      <c r="H1617" t="n">
        <v>4</v>
      </c>
      <c r="I1617" t="n">
        <v>28</v>
      </c>
      <c r="J1617" t="n">
        <v>1</v>
      </c>
      <c r="K1617" t="n">
        <v>0</v>
      </c>
      <c r="L1617" t="n">
        <v>24000</v>
      </c>
      <c r="M1617" t="n">
        <v>30000</v>
      </c>
      <c r="N1617" t="n">
        <v>33</v>
      </c>
      <c r="O1617" t="n">
        <v>0.33</v>
      </c>
      <c r="P1617" t="n">
        <v>0</v>
      </c>
      <c r="Q1617" t="n">
        <v>0.2</v>
      </c>
      <c r="R1617" t="n">
        <v>3</v>
      </c>
      <c r="S1617" t="n">
        <v>6000</v>
      </c>
      <c r="T1617" t="n">
        <v>84</v>
      </c>
      <c r="U1617" t="n">
        <v>85</v>
      </c>
      <c r="V1617" t="n">
        <v>30</v>
      </c>
      <c r="W1617" t="n">
        <v>6</v>
      </c>
      <c r="X1617" t="n">
        <v>40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10510</v>
      </c>
      <c r="AG1617" t="n">
        <v>2148</v>
      </c>
      <c r="AH1617" t="inlineStr">
        <is>
          <t>PT. JAYA PALEMBANG SUKSES - PPN (JMB)</t>
        </is>
      </c>
      <c r="AI1617" t="n">
        <v>78</v>
      </c>
      <c r="AJ1617" t="inlineStr">
        <is>
          <t>HANASUI</t>
        </is>
      </c>
      <c r="AK1617" t="n">
        <v>9</v>
      </c>
      <c r="AL1617" t="inlineStr">
        <is>
          <t>Miss Glam Jambi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"203002186635"</f>
        <v/>
      </c>
      <c r="C1618" t="inlineStr">
        <is>
          <t>HANASUI Next Level Liplast Cream Queen Bee #02 3g</t>
        </is>
      </c>
      <c r="D1618" t="inlineStr">
        <is>
          <t>Miss Glam Jambi</t>
        </is>
      </c>
      <c r="E1618" t="n">
        <v>24</v>
      </c>
      <c r="F1618" t="n">
        <v>0.2442</v>
      </c>
      <c r="G1618" t="n">
        <v>1.32</v>
      </c>
      <c r="H1618" t="n">
        <v>4</v>
      </c>
      <c r="I1618" t="n">
        <v>28</v>
      </c>
      <c r="J1618" t="n">
        <v>1</v>
      </c>
      <c r="K1618" t="n">
        <v>0</v>
      </c>
      <c r="L1618" t="n">
        <v>24000</v>
      </c>
      <c r="M1618" t="n">
        <v>30000</v>
      </c>
      <c r="N1618" t="n">
        <v>33</v>
      </c>
      <c r="O1618" t="n">
        <v>0.33</v>
      </c>
      <c r="P1618" t="n">
        <v>1</v>
      </c>
      <c r="Q1618" t="n">
        <v>0.08</v>
      </c>
      <c r="R1618" t="n">
        <v>1</v>
      </c>
      <c r="S1618" t="n">
        <v>7326</v>
      </c>
      <c r="T1618" t="n">
        <v>36</v>
      </c>
      <c r="U1618" t="n">
        <v>37</v>
      </c>
      <c r="V1618" t="n">
        <v>30</v>
      </c>
      <c r="W1618" t="n">
        <v>8</v>
      </c>
      <c r="X1618" t="n">
        <v>98.28009828009829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10510</v>
      </c>
      <c r="AG1618" t="n">
        <v>2148</v>
      </c>
      <c r="AH1618" t="inlineStr">
        <is>
          <t>PT. JAYA PALEMBANG SUKSES - PPN (JMB)</t>
        </is>
      </c>
      <c r="AI1618" t="n">
        <v>78</v>
      </c>
      <c r="AJ1618" t="inlineStr">
        <is>
          <t>HANASUI</t>
        </is>
      </c>
      <c r="AK1618" t="n">
        <v>9</v>
      </c>
      <c r="AL1618" t="inlineStr">
        <is>
          <t>Miss Glam Jambi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"203002186914"</f>
        <v/>
      </c>
      <c r="C1619" t="inlineStr">
        <is>
          <t>HANASUI Next Level Liplast Cream She-EO #06 3g</t>
        </is>
      </c>
      <c r="D1619" t="inlineStr">
        <is>
          <t>Miss Glam Jambi</t>
        </is>
      </c>
      <c r="E1619" t="n">
        <v>20</v>
      </c>
      <c r="F1619" t="n">
        <v>0.1551</v>
      </c>
      <c r="G1619" t="n">
        <v>0.99</v>
      </c>
      <c r="H1619" t="n">
        <v>4</v>
      </c>
      <c r="I1619" t="n">
        <v>28</v>
      </c>
      <c r="J1619" t="n">
        <v>1</v>
      </c>
      <c r="K1619" t="n">
        <v>0</v>
      </c>
      <c r="L1619" t="n">
        <v>24000</v>
      </c>
      <c r="M1619" t="n">
        <v>30000</v>
      </c>
      <c r="N1619" t="n">
        <v>33</v>
      </c>
      <c r="O1619" t="n">
        <v>0.33</v>
      </c>
      <c r="P1619" t="n">
        <v>1</v>
      </c>
      <c r="Q1619" t="n">
        <v>0.22</v>
      </c>
      <c r="R1619" t="n">
        <v>1</v>
      </c>
      <c r="S1619" t="n">
        <v>4653</v>
      </c>
      <c r="T1619" t="n">
        <v>28</v>
      </c>
      <c r="U1619" t="n">
        <v>29</v>
      </c>
      <c r="V1619" t="n">
        <v>30</v>
      </c>
      <c r="W1619" t="n">
        <v>5</v>
      </c>
      <c r="X1619" t="n">
        <v>128.9490651192779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10510</v>
      </c>
      <c r="AG1619" t="n">
        <v>2148</v>
      </c>
      <c r="AH1619" t="inlineStr">
        <is>
          <t>PT. JAYA PALEMBANG SUKSES - PPN (JMB)</t>
        </is>
      </c>
      <c r="AI1619" t="n">
        <v>78</v>
      </c>
      <c r="AJ1619" t="inlineStr">
        <is>
          <t>HANASUI</t>
        </is>
      </c>
      <c r="AK1619" t="n">
        <v>9</v>
      </c>
      <c r="AL1619" t="inlineStr">
        <is>
          <t>Miss Glam Jambi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"8998824552954"</f>
        <v/>
      </c>
      <c r="C1620" t="inlineStr">
        <is>
          <t>HANASUI Perfect Cheeck Blush &amp; Go 01 Pink 2,5gr</t>
        </is>
      </c>
      <c r="D1620" t="inlineStr">
        <is>
          <t>Miss Glam Jambi</t>
        </is>
      </c>
      <c r="E1620" t="n">
        <v>0</v>
      </c>
      <c r="F1620" t="n">
        <v>0.8613</v>
      </c>
      <c r="G1620" t="n">
        <v>2.64</v>
      </c>
      <c r="H1620" t="n">
        <v>4</v>
      </c>
      <c r="I1620" t="n">
        <v>28</v>
      </c>
      <c r="J1620" t="n">
        <v>3</v>
      </c>
      <c r="K1620" t="n">
        <v>39</v>
      </c>
      <c r="L1620" t="n">
        <v>29267</v>
      </c>
      <c r="M1620" t="n">
        <v>39500</v>
      </c>
      <c r="N1620" t="n">
        <v>33</v>
      </c>
      <c r="O1620" t="n">
        <v>0.33</v>
      </c>
      <c r="P1620" t="n">
        <v>1</v>
      </c>
      <c r="Q1620" t="n">
        <v>0.8100000000000001</v>
      </c>
      <c r="R1620" t="n">
        <v>4</v>
      </c>
      <c r="S1620" t="n">
        <v>34021.35</v>
      </c>
      <c r="T1620" t="n">
        <v>71</v>
      </c>
      <c r="U1620" t="n">
        <v>75</v>
      </c>
      <c r="V1620" t="n">
        <v>30</v>
      </c>
      <c r="W1620" t="n">
        <v>26</v>
      </c>
      <c r="X1620" t="n">
        <v>0</v>
      </c>
      <c r="Y1620" t="n">
        <v>1</v>
      </c>
      <c r="Z1620" t="n">
        <v>0</v>
      </c>
      <c r="AA1620" t="n">
        <v>24</v>
      </c>
      <c r="AB1620" t="n">
        <v>0</v>
      </c>
      <c r="AC1620" t="n">
        <v>0</v>
      </c>
      <c r="AD1620" t="n">
        <v>702408</v>
      </c>
      <c r="AE1620" t="n">
        <v>0</v>
      </c>
      <c r="AF1620" t="n">
        <v>10510</v>
      </c>
      <c r="AG1620" t="n">
        <v>2148</v>
      </c>
      <c r="AH1620" t="inlineStr">
        <is>
          <t>PT. JAYA PALEMBANG SUKSES - PPN (JMB)</t>
        </is>
      </c>
      <c r="AI1620" t="n">
        <v>78</v>
      </c>
      <c r="AJ1620" t="inlineStr">
        <is>
          <t>HANASUI</t>
        </is>
      </c>
      <c r="AK1620" t="n">
        <v>9</v>
      </c>
      <c r="AL1620" t="inlineStr">
        <is>
          <t>Miss Glam Jambi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"8998824552817"</f>
        <v/>
      </c>
      <c r="C1621" t="inlineStr">
        <is>
          <t>HANASUI Perfect Cheeck Blush &amp; Go 02 Peach 2,5gr</t>
        </is>
      </c>
      <c r="D1621" t="inlineStr">
        <is>
          <t>Miss Glam Jambi</t>
        </is>
      </c>
      <c r="E1621" t="n">
        <v>1</v>
      </c>
      <c r="F1621" t="n">
        <v>1.2474</v>
      </c>
      <c r="G1621" t="n">
        <v>3.96</v>
      </c>
      <c r="H1621" t="n">
        <v>4</v>
      </c>
      <c r="I1621" t="n">
        <v>28</v>
      </c>
      <c r="J1621" t="n">
        <v>3</v>
      </c>
      <c r="K1621" t="n">
        <v>39</v>
      </c>
      <c r="L1621" t="n">
        <v>26156</v>
      </c>
      <c r="M1621" t="n">
        <v>39500</v>
      </c>
      <c r="N1621" t="n">
        <v>33</v>
      </c>
      <c r="O1621" t="n">
        <v>0.33</v>
      </c>
      <c r="P1621" t="n">
        <v>1</v>
      </c>
      <c r="Q1621" t="n">
        <v>0.88</v>
      </c>
      <c r="R1621" t="n">
        <v>3</v>
      </c>
      <c r="S1621" t="n">
        <v>49272.3</v>
      </c>
      <c r="T1621" t="n">
        <v>106</v>
      </c>
      <c r="U1621" t="n">
        <v>111</v>
      </c>
      <c r="V1621" t="n">
        <v>30</v>
      </c>
      <c r="W1621" t="n">
        <v>38</v>
      </c>
      <c r="X1621" t="n">
        <v>0.8016674683341349</v>
      </c>
      <c r="Y1621" t="n">
        <v>1</v>
      </c>
      <c r="Z1621" t="n">
        <v>0</v>
      </c>
      <c r="AA1621" t="n">
        <v>33</v>
      </c>
      <c r="AB1621" t="n">
        <v>0</v>
      </c>
      <c r="AC1621" t="n">
        <v>0</v>
      </c>
      <c r="AD1621" t="n">
        <v>863148</v>
      </c>
      <c r="AE1621" t="n">
        <v>0</v>
      </c>
      <c r="AF1621" t="n">
        <v>10510</v>
      </c>
      <c r="AG1621" t="n">
        <v>2148</v>
      </c>
      <c r="AH1621" t="inlineStr">
        <is>
          <t>PT. JAYA PALEMBANG SUKSES - PPN (JMB)</t>
        </is>
      </c>
      <c r="AI1621" t="n">
        <v>78</v>
      </c>
      <c r="AJ1621" t="inlineStr">
        <is>
          <t>HANASUI</t>
        </is>
      </c>
      <c r="AK1621" t="n">
        <v>9</v>
      </c>
      <c r="AL1621" t="inlineStr">
        <is>
          <t>Miss Glam Jambi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"8998824553968"</f>
        <v/>
      </c>
      <c r="C1622" t="inlineStr">
        <is>
          <t>HANASUI Perfect Cover Concealer 01 Fair</t>
        </is>
      </c>
      <c r="D1622" t="inlineStr">
        <is>
          <t>Miss Glam Jambi</t>
        </is>
      </c>
      <c r="E1622" t="n">
        <v>2</v>
      </c>
      <c r="F1622" t="n">
        <v>0.07000000000000001</v>
      </c>
      <c r="G1622" t="n">
        <v>1</v>
      </c>
      <c r="H1622" t="n">
        <v>4</v>
      </c>
      <c r="I1622" t="n">
        <v>28</v>
      </c>
      <c r="J1622" t="n">
        <v>3</v>
      </c>
      <c r="K1622" t="n">
        <v>3</v>
      </c>
      <c r="L1622" t="n">
        <v>25600</v>
      </c>
      <c r="M1622" t="n">
        <v>35500</v>
      </c>
      <c r="N1622" t="n">
        <v>33</v>
      </c>
      <c r="O1622" t="n">
        <v>0.33</v>
      </c>
      <c r="P1622" t="n">
        <v>0</v>
      </c>
      <c r="Q1622" t="n">
        <v>0.07000000000000001</v>
      </c>
      <c r="R1622" t="n">
        <v>1</v>
      </c>
      <c r="S1622" t="n">
        <v>2485</v>
      </c>
      <c r="T1622" t="n">
        <v>28</v>
      </c>
      <c r="U1622" t="n">
        <v>29</v>
      </c>
      <c r="V1622" t="n">
        <v>30</v>
      </c>
      <c r="W1622" t="n">
        <v>3</v>
      </c>
      <c r="X1622" t="n">
        <v>28.57142857142857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10510</v>
      </c>
      <c r="AG1622" t="n">
        <v>2148</v>
      </c>
      <c r="AH1622" t="inlineStr">
        <is>
          <t>PT. JAYA PALEMBANG SUKSES - PPN (JMB)</t>
        </is>
      </c>
      <c r="AI1622" t="n">
        <v>78</v>
      </c>
      <c r="AJ1622" t="inlineStr">
        <is>
          <t>HANASUI</t>
        </is>
      </c>
      <c r="AK1622" t="n">
        <v>9</v>
      </c>
      <c r="AL1622" t="inlineStr">
        <is>
          <t>Miss Glam Jambi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"8998824553975"</f>
        <v/>
      </c>
      <c r="C1623" t="inlineStr">
        <is>
          <t>HANASUI Perfect Cover Concealer 02 Ivory</t>
        </is>
      </c>
      <c r="D1623" t="inlineStr">
        <is>
          <t>Miss Glam Jambi</t>
        </is>
      </c>
      <c r="E1623" t="n">
        <v>6</v>
      </c>
      <c r="F1623" t="n">
        <v>0.05</v>
      </c>
      <c r="G1623" t="n">
        <v>1</v>
      </c>
      <c r="H1623" t="n">
        <v>4</v>
      </c>
      <c r="I1623" t="n">
        <v>28</v>
      </c>
      <c r="J1623" t="n">
        <v>3</v>
      </c>
      <c r="K1623" t="n">
        <v>0</v>
      </c>
      <c r="L1623" t="n">
        <v>28400</v>
      </c>
      <c r="M1623" t="n">
        <v>35500</v>
      </c>
      <c r="N1623" t="n">
        <v>33</v>
      </c>
      <c r="O1623" t="n">
        <v>0.33</v>
      </c>
      <c r="P1623" t="n">
        <v>0</v>
      </c>
      <c r="Q1623" t="n">
        <v>0.05</v>
      </c>
      <c r="R1623" t="n">
        <v>1</v>
      </c>
      <c r="S1623" t="n">
        <v>1775</v>
      </c>
      <c r="T1623" t="n">
        <v>28</v>
      </c>
      <c r="U1623" t="n">
        <v>29</v>
      </c>
      <c r="V1623" t="n">
        <v>30</v>
      </c>
      <c r="W1623" t="n">
        <v>2</v>
      </c>
      <c r="X1623" t="n">
        <v>120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10510</v>
      </c>
      <c r="AG1623" t="n">
        <v>2148</v>
      </c>
      <c r="AH1623" t="inlineStr">
        <is>
          <t>PT. JAYA PALEMBANG SUKSES - PPN (JMB)</t>
        </is>
      </c>
      <c r="AI1623" t="n">
        <v>78</v>
      </c>
      <c r="AJ1623" t="inlineStr">
        <is>
          <t>HANASUI</t>
        </is>
      </c>
      <c r="AK1623" t="n">
        <v>9</v>
      </c>
      <c r="AL1623" t="inlineStr">
        <is>
          <t>Miss Glam Jambi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"8998824553982"</f>
        <v/>
      </c>
      <c r="C1624" t="inlineStr">
        <is>
          <t>HANASUI Perfect Cover Concealer 03 Caramel</t>
        </is>
      </c>
      <c r="D1624" t="inlineStr">
        <is>
          <t>Miss Glam Jambi</t>
        </is>
      </c>
      <c r="E1624" t="n">
        <v>5</v>
      </c>
      <c r="F1624" t="n">
        <v>0.0231</v>
      </c>
      <c r="G1624" t="n">
        <v>0.33</v>
      </c>
      <c r="H1624" t="n">
        <v>4</v>
      </c>
      <c r="I1624" t="n">
        <v>28</v>
      </c>
      <c r="J1624" t="n">
        <v>3</v>
      </c>
      <c r="K1624" t="n">
        <v>0</v>
      </c>
      <c r="L1624" t="n">
        <v>25600</v>
      </c>
      <c r="M1624" t="n">
        <v>35500</v>
      </c>
      <c r="N1624" t="n">
        <v>33</v>
      </c>
      <c r="O1624" t="n">
        <v>0.33</v>
      </c>
      <c r="P1624" t="n">
        <v>1</v>
      </c>
      <c r="Q1624" t="n">
        <v>0.03</v>
      </c>
      <c r="R1624" t="n">
        <v>1</v>
      </c>
      <c r="S1624" t="n">
        <v>820.0500000000001</v>
      </c>
      <c r="T1624" t="n">
        <v>10</v>
      </c>
      <c r="U1624" t="n">
        <v>11</v>
      </c>
      <c r="V1624" t="n">
        <v>30</v>
      </c>
      <c r="W1624" t="n">
        <v>1</v>
      </c>
      <c r="X1624" t="n">
        <v>216.4502164502164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10510</v>
      </c>
      <c r="AG1624" t="n">
        <v>2148</v>
      </c>
      <c r="AH1624" t="inlineStr">
        <is>
          <t>PT. JAYA PALEMBANG SUKSES - PPN (JMB)</t>
        </is>
      </c>
      <c r="AI1624" t="n">
        <v>78</v>
      </c>
      <c r="AJ1624" t="inlineStr">
        <is>
          <t>HANASUI</t>
        </is>
      </c>
      <c r="AK1624" t="n">
        <v>9</v>
      </c>
      <c r="AL1624" t="inlineStr">
        <is>
          <t>Miss Glam Jambi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"8998824553036"</f>
        <v/>
      </c>
      <c r="C1625" t="inlineStr">
        <is>
          <t>HANASUI Perfect Fit Powder Foundation 01 Light 12.5gr</t>
        </is>
      </c>
      <c r="D1625" t="inlineStr">
        <is>
          <t>Miss Glam Jambi</t>
        </is>
      </c>
      <c r="E1625" t="n">
        <v>2</v>
      </c>
      <c r="F1625" t="n">
        <v>0.05</v>
      </c>
      <c r="G1625" t="n">
        <v>1</v>
      </c>
      <c r="H1625" t="n">
        <v>4</v>
      </c>
      <c r="I1625" t="n">
        <v>28</v>
      </c>
      <c r="J1625" t="n">
        <v>3</v>
      </c>
      <c r="K1625" t="n">
        <v>0</v>
      </c>
      <c r="L1625" t="n">
        <v>41160</v>
      </c>
      <c r="M1625" t="n">
        <v>54500</v>
      </c>
      <c r="N1625" t="n">
        <v>33</v>
      </c>
      <c r="O1625" t="n">
        <v>0.33</v>
      </c>
      <c r="P1625" t="n">
        <v>0</v>
      </c>
      <c r="Q1625" t="n">
        <v>0.05</v>
      </c>
      <c r="R1625" t="n">
        <v>1</v>
      </c>
      <c r="S1625" t="n">
        <v>2725</v>
      </c>
      <c r="T1625" t="n">
        <v>28</v>
      </c>
      <c r="U1625" t="n">
        <v>29</v>
      </c>
      <c r="V1625" t="n">
        <v>30</v>
      </c>
      <c r="W1625" t="n">
        <v>2</v>
      </c>
      <c r="X1625" t="n">
        <v>40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10510</v>
      </c>
      <c r="AG1625" t="n">
        <v>2148</v>
      </c>
      <c r="AH1625" t="inlineStr">
        <is>
          <t>PT. JAYA PALEMBANG SUKSES - PPN (JMB)</t>
        </is>
      </c>
      <c r="AI1625" t="n">
        <v>78</v>
      </c>
      <c r="AJ1625" t="inlineStr">
        <is>
          <t>HANASUI</t>
        </is>
      </c>
      <c r="AK1625" t="n">
        <v>9</v>
      </c>
      <c r="AL1625" t="inlineStr">
        <is>
          <t>Miss Glam Jambi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"8998824553050"</f>
        <v/>
      </c>
      <c r="C1626" t="inlineStr">
        <is>
          <t>HANASUI Perfect Fit Powder Foundation 02 Natural 12.5gr</t>
        </is>
      </c>
      <c r="D1626" t="inlineStr">
        <is>
          <t>Miss Glam Jambi</t>
        </is>
      </c>
      <c r="E1626" t="n">
        <v>5</v>
      </c>
      <c r="F1626" t="n">
        <v>0.0825</v>
      </c>
      <c r="G1626" t="n">
        <v>0.66</v>
      </c>
      <c r="H1626" t="n">
        <v>4</v>
      </c>
      <c r="I1626" t="n">
        <v>28</v>
      </c>
      <c r="J1626" t="n">
        <v>3</v>
      </c>
      <c r="K1626" t="n">
        <v>0</v>
      </c>
      <c r="L1626" t="n">
        <v>41160</v>
      </c>
      <c r="M1626" t="n">
        <v>54500</v>
      </c>
      <c r="N1626" t="n">
        <v>33</v>
      </c>
      <c r="O1626" t="n">
        <v>0.33</v>
      </c>
      <c r="P1626" t="n">
        <v>1</v>
      </c>
      <c r="Q1626" t="n">
        <v>0.15</v>
      </c>
      <c r="R1626" t="n">
        <v>1</v>
      </c>
      <c r="S1626" t="n">
        <v>4496.25</v>
      </c>
      <c r="T1626" t="n">
        <v>19</v>
      </c>
      <c r="U1626" t="n">
        <v>20</v>
      </c>
      <c r="V1626" t="n">
        <v>30</v>
      </c>
      <c r="W1626" t="n">
        <v>3</v>
      </c>
      <c r="X1626" t="n">
        <v>60.6060606060606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10510</v>
      </c>
      <c r="AG1626" t="n">
        <v>2148</v>
      </c>
      <c r="AH1626" t="inlineStr">
        <is>
          <t>PT. JAYA PALEMBANG SUKSES - PPN (JMB)</t>
        </is>
      </c>
      <c r="AI1626" t="n">
        <v>78</v>
      </c>
      <c r="AJ1626" t="inlineStr">
        <is>
          <t>HANASUI</t>
        </is>
      </c>
      <c r="AK1626" t="n">
        <v>9</v>
      </c>
      <c r="AL1626" t="inlineStr">
        <is>
          <t>Miss Glam Jambi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"8998824553043"</f>
        <v/>
      </c>
      <c r="C1627" t="inlineStr">
        <is>
          <t>HANASUI Perfect Fit Powder Foundation 03 Medium 12.5gr</t>
        </is>
      </c>
      <c r="D1627" t="inlineStr">
        <is>
          <t>Miss Glam Jambi</t>
        </is>
      </c>
      <c r="E1627" t="n">
        <v>6</v>
      </c>
      <c r="F1627" t="n">
        <v>0.05</v>
      </c>
      <c r="G1627" t="n">
        <v>1</v>
      </c>
      <c r="H1627" t="n">
        <v>4</v>
      </c>
      <c r="I1627" t="n">
        <v>28</v>
      </c>
      <c r="J1627" t="n">
        <v>3</v>
      </c>
      <c r="K1627" t="n">
        <v>0</v>
      </c>
      <c r="L1627" t="n">
        <v>41160</v>
      </c>
      <c r="M1627" t="n">
        <v>54500</v>
      </c>
      <c r="N1627" t="n">
        <v>33</v>
      </c>
      <c r="O1627" t="n">
        <v>0.33</v>
      </c>
      <c r="P1627" t="n">
        <v>0</v>
      </c>
      <c r="Q1627" t="n">
        <v>0.05</v>
      </c>
      <c r="R1627" t="n">
        <v>1</v>
      </c>
      <c r="S1627" t="n">
        <v>2725</v>
      </c>
      <c r="T1627" t="n">
        <v>28</v>
      </c>
      <c r="U1627" t="n">
        <v>29</v>
      </c>
      <c r="V1627" t="n">
        <v>30</v>
      </c>
      <c r="W1627" t="n">
        <v>2</v>
      </c>
      <c r="X1627" t="n">
        <v>120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10510</v>
      </c>
      <c r="AG1627" t="n">
        <v>2148</v>
      </c>
      <c r="AH1627" t="inlineStr">
        <is>
          <t>PT. JAYA PALEMBANG SUKSES - PPN (JMB)</t>
        </is>
      </c>
      <c r="AI1627" t="n">
        <v>78</v>
      </c>
      <c r="AJ1627" t="inlineStr">
        <is>
          <t>HANASUI</t>
        </is>
      </c>
      <c r="AK1627" t="n">
        <v>9</v>
      </c>
      <c r="AL1627" t="inlineStr">
        <is>
          <t>Miss Glam Jambi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"8998824553746"</f>
        <v/>
      </c>
      <c r="C1628" t="inlineStr">
        <is>
          <t>HANASUI Perfect Fit Powder Foundation 04 Porcelain 12.5gr</t>
        </is>
      </c>
      <c r="D1628" t="inlineStr">
        <is>
          <t>Miss Glam Jambi</t>
        </is>
      </c>
      <c r="E1628" t="n">
        <v>1</v>
      </c>
      <c r="F1628" t="n">
        <v>0.02</v>
      </c>
      <c r="G1628" t="n">
        <v>1</v>
      </c>
      <c r="H1628" t="n">
        <v>4</v>
      </c>
      <c r="I1628" t="n">
        <v>28</v>
      </c>
      <c r="J1628" t="n">
        <v>3</v>
      </c>
      <c r="K1628" t="n">
        <v>0</v>
      </c>
      <c r="L1628" t="n">
        <v>41160</v>
      </c>
      <c r="M1628" t="n">
        <v>54500</v>
      </c>
      <c r="N1628" t="n">
        <v>33</v>
      </c>
      <c r="O1628" t="n">
        <v>0.33</v>
      </c>
      <c r="P1628" t="n">
        <v>0</v>
      </c>
      <c r="Q1628" t="n">
        <v>0.02</v>
      </c>
      <c r="R1628" t="n">
        <v>1</v>
      </c>
      <c r="S1628" t="n">
        <v>1090</v>
      </c>
      <c r="T1628" t="n">
        <v>28</v>
      </c>
      <c r="U1628" t="n">
        <v>29</v>
      </c>
      <c r="V1628" t="n">
        <v>30</v>
      </c>
      <c r="W1628" t="n">
        <v>1</v>
      </c>
      <c r="X1628" t="n">
        <v>50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10510</v>
      </c>
      <c r="AG1628" t="n">
        <v>2148</v>
      </c>
      <c r="AH1628" t="inlineStr">
        <is>
          <t>PT. JAYA PALEMBANG SUKSES - PPN (JMB)</t>
        </is>
      </c>
      <c r="AI1628" t="n">
        <v>78</v>
      </c>
      <c r="AJ1628" t="inlineStr">
        <is>
          <t>HANASUI</t>
        </is>
      </c>
      <c r="AK1628" t="n">
        <v>9</v>
      </c>
      <c r="AL1628" t="inlineStr">
        <is>
          <t>Miss Glam Jambi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"8998824553753"</f>
        <v/>
      </c>
      <c r="C1629" t="inlineStr">
        <is>
          <t>HANASUI Perfect Fit Powder Foundation 05 Classy Ivory 12.5gr</t>
        </is>
      </c>
      <c r="D1629" t="inlineStr">
        <is>
          <t>Miss Glam Jambi</t>
        </is>
      </c>
      <c r="E1629" t="n">
        <v>1</v>
      </c>
      <c r="F1629" t="n">
        <v>0.0462</v>
      </c>
      <c r="G1629" t="n">
        <v>0.66</v>
      </c>
      <c r="H1629" t="n">
        <v>4</v>
      </c>
      <c r="I1629" t="n">
        <v>28</v>
      </c>
      <c r="J1629" t="n">
        <v>3</v>
      </c>
      <c r="K1629" t="n">
        <v>0</v>
      </c>
      <c r="L1629" t="n">
        <v>41160</v>
      </c>
      <c r="M1629" t="n">
        <v>54500</v>
      </c>
      <c r="N1629" t="n">
        <v>33</v>
      </c>
      <c r="O1629" t="n">
        <v>0.33</v>
      </c>
      <c r="P1629" t="n">
        <v>1</v>
      </c>
      <c r="Q1629" t="n">
        <v>0.02</v>
      </c>
      <c r="R1629" t="n">
        <v>1</v>
      </c>
      <c r="S1629" t="n">
        <v>2517.9</v>
      </c>
      <c r="T1629" t="n">
        <v>19</v>
      </c>
      <c r="U1629" t="n">
        <v>20</v>
      </c>
      <c r="V1629" t="n">
        <v>30</v>
      </c>
      <c r="W1629" t="n">
        <v>2</v>
      </c>
      <c r="X1629" t="n">
        <v>21.64502164502164</v>
      </c>
      <c r="Y1629" t="n">
        <v>1</v>
      </c>
      <c r="Z1629" t="n">
        <v>1</v>
      </c>
      <c r="AA1629" t="n">
        <v>1</v>
      </c>
      <c r="AB1629" t="n">
        <v>0</v>
      </c>
      <c r="AC1629" t="n">
        <v>0</v>
      </c>
      <c r="AD1629" t="n">
        <v>41160</v>
      </c>
      <c r="AE1629" t="n">
        <v>0</v>
      </c>
      <c r="AF1629" t="n">
        <v>10510</v>
      </c>
      <c r="AG1629" t="n">
        <v>2148</v>
      </c>
      <c r="AH1629" t="inlineStr">
        <is>
          <t>PT. JAYA PALEMBANG SUKSES - PPN (JMB)</t>
        </is>
      </c>
      <c r="AI1629" t="n">
        <v>78</v>
      </c>
      <c r="AJ1629" t="inlineStr">
        <is>
          <t>HANASUI</t>
        </is>
      </c>
      <c r="AK1629" t="n">
        <v>9</v>
      </c>
      <c r="AL1629" t="inlineStr">
        <is>
          <t>Miss Glam Jambi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"8998824552831"</f>
        <v/>
      </c>
      <c r="C1630" t="inlineStr">
        <is>
          <t>HANASUI Perfect Fit Setting Powder 01 Light 12gr</t>
        </is>
      </c>
      <c r="D1630" t="inlineStr">
        <is>
          <t>Miss Glam Jambi</t>
        </is>
      </c>
      <c r="E1630" t="n">
        <v>0</v>
      </c>
      <c r="F1630" t="n">
        <v>0.2244</v>
      </c>
      <c r="G1630" t="n">
        <v>0.99</v>
      </c>
      <c r="H1630" t="n">
        <v>4</v>
      </c>
      <c r="I1630" t="n">
        <v>28</v>
      </c>
      <c r="J1630" t="n">
        <v>3</v>
      </c>
      <c r="K1630" t="n">
        <v>0</v>
      </c>
      <c r="L1630" t="n">
        <v>34400</v>
      </c>
      <c r="M1630" t="n">
        <v>43000</v>
      </c>
      <c r="N1630" t="n">
        <v>33</v>
      </c>
      <c r="O1630" t="n">
        <v>0.33</v>
      </c>
      <c r="P1630" t="n">
        <v>1</v>
      </c>
      <c r="Q1630" t="n">
        <v>0.1</v>
      </c>
      <c r="R1630" t="n">
        <v>1</v>
      </c>
      <c r="S1630" t="n">
        <v>9649.200000000001</v>
      </c>
      <c r="T1630" t="n">
        <v>27</v>
      </c>
      <c r="U1630" t="n">
        <v>28</v>
      </c>
      <c r="V1630" t="n">
        <v>30</v>
      </c>
      <c r="W1630" t="n">
        <v>7</v>
      </c>
      <c r="X1630" t="n">
        <v>0</v>
      </c>
      <c r="Y1630" t="n">
        <v>1</v>
      </c>
      <c r="Z1630" t="n">
        <v>7</v>
      </c>
      <c r="AA1630" t="n">
        <v>7</v>
      </c>
      <c r="AB1630" t="n">
        <v>0</v>
      </c>
      <c r="AC1630" t="n">
        <v>0</v>
      </c>
      <c r="AD1630" t="n">
        <v>240800</v>
      </c>
      <c r="AE1630" t="n">
        <v>0</v>
      </c>
      <c r="AF1630" t="n">
        <v>10510</v>
      </c>
      <c r="AG1630" t="n">
        <v>2148</v>
      </c>
      <c r="AH1630" t="inlineStr">
        <is>
          <t>PT. JAYA PALEMBANG SUKSES - PPN (JMB)</t>
        </is>
      </c>
      <c r="AI1630" t="n">
        <v>78</v>
      </c>
      <c r="AJ1630" t="inlineStr">
        <is>
          <t>HANASUI</t>
        </is>
      </c>
      <c r="AK1630" t="n">
        <v>9</v>
      </c>
      <c r="AL1630" t="inlineStr">
        <is>
          <t>Miss Glam Jambi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"8998824552848"</f>
        <v/>
      </c>
      <c r="C1631" t="inlineStr">
        <is>
          <t>HANASUI Perfect Fit Setting Powder 02 Medium 12gr</t>
        </is>
      </c>
      <c r="D1631" t="inlineStr">
        <is>
          <t>Miss Glam Jambi</t>
        </is>
      </c>
      <c r="E1631" t="n">
        <v>1</v>
      </c>
      <c r="F1631" t="n">
        <v>0.4356</v>
      </c>
      <c r="G1631" t="n">
        <v>1.32</v>
      </c>
      <c r="H1631" t="n">
        <v>4</v>
      </c>
      <c r="I1631" t="n">
        <v>28</v>
      </c>
      <c r="J1631" t="n">
        <v>3</v>
      </c>
      <c r="K1631" t="n">
        <v>9</v>
      </c>
      <c r="L1631" t="n">
        <v>29667</v>
      </c>
      <c r="M1631" t="n">
        <v>43000</v>
      </c>
      <c r="N1631" t="n">
        <v>33</v>
      </c>
      <c r="O1631" t="n">
        <v>0.33</v>
      </c>
      <c r="P1631" t="n">
        <v>1</v>
      </c>
      <c r="Q1631" t="n">
        <v>0.17</v>
      </c>
      <c r="R1631" t="n">
        <v>3</v>
      </c>
      <c r="S1631" t="n">
        <v>18730.8</v>
      </c>
      <c r="T1631" t="n">
        <v>36</v>
      </c>
      <c r="U1631" t="n">
        <v>38</v>
      </c>
      <c r="V1631" t="n">
        <v>30</v>
      </c>
      <c r="W1631" t="n">
        <v>14</v>
      </c>
      <c r="X1631" t="n">
        <v>2.295684113865932</v>
      </c>
      <c r="Y1631" t="n">
        <v>1</v>
      </c>
      <c r="Z1631" t="n">
        <v>4</v>
      </c>
      <c r="AA1631" t="n">
        <v>11</v>
      </c>
      <c r="AB1631" t="n">
        <v>0</v>
      </c>
      <c r="AC1631" t="n">
        <v>0</v>
      </c>
      <c r="AD1631" t="n">
        <v>326337</v>
      </c>
      <c r="AE1631" t="n">
        <v>0</v>
      </c>
      <c r="AF1631" t="n">
        <v>10510</v>
      </c>
      <c r="AG1631" t="n">
        <v>2148</v>
      </c>
      <c r="AH1631" t="inlineStr">
        <is>
          <t>PT. JAYA PALEMBANG SUKSES - PPN (JMB)</t>
        </is>
      </c>
      <c r="AI1631" t="n">
        <v>78</v>
      </c>
      <c r="AJ1631" t="inlineStr">
        <is>
          <t>HANASUI</t>
        </is>
      </c>
      <c r="AK1631" t="n">
        <v>9</v>
      </c>
      <c r="AL1631" t="inlineStr">
        <is>
          <t>Miss Glam Jambi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"8998824552855"</f>
        <v/>
      </c>
      <c r="C1632" t="inlineStr">
        <is>
          <t>HANASUI Perfect Fit Setting Powder 03 Natural 12gr</t>
        </is>
      </c>
      <c r="D1632" t="inlineStr">
        <is>
          <t>Miss Glam Jambi</t>
        </is>
      </c>
      <c r="E1632" t="n">
        <v>5</v>
      </c>
      <c r="F1632" t="n">
        <v>0.24</v>
      </c>
      <c r="G1632" t="n">
        <v>2</v>
      </c>
      <c r="H1632" t="n">
        <v>4</v>
      </c>
      <c r="I1632" t="n">
        <v>28</v>
      </c>
      <c r="J1632" t="n">
        <v>3</v>
      </c>
      <c r="K1632" t="n">
        <v>3</v>
      </c>
      <c r="L1632" t="n">
        <v>29667</v>
      </c>
      <c r="M1632" t="n">
        <v>43000</v>
      </c>
      <c r="N1632" t="n">
        <v>33</v>
      </c>
      <c r="O1632" t="n">
        <v>0.33</v>
      </c>
      <c r="P1632" t="n">
        <v>0</v>
      </c>
      <c r="Q1632" t="n">
        <v>0.24</v>
      </c>
      <c r="R1632" t="n">
        <v>2</v>
      </c>
      <c r="S1632" t="n">
        <v>10320</v>
      </c>
      <c r="T1632" t="n">
        <v>56</v>
      </c>
      <c r="U1632" t="n">
        <v>57</v>
      </c>
      <c r="V1632" t="n">
        <v>30</v>
      </c>
      <c r="W1632" t="n">
        <v>8</v>
      </c>
      <c r="X1632" t="n">
        <v>20.83333333333334</v>
      </c>
      <c r="Y1632" t="n">
        <v>1</v>
      </c>
      <c r="Z1632" t="n">
        <v>0</v>
      </c>
      <c r="AA1632" t="n">
        <v>1</v>
      </c>
      <c r="AB1632" t="n">
        <v>0</v>
      </c>
      <c r="AC1632" t="n">
        <v>0</v>
      </c>
      <c r="AD1632" t="n">
        <v>29667</v>
      </c>
      <c r="AE1632" t="n">
        <v>0</v>
      </c>
      <c r="AF1632" t="n">
        <v>10510</v>
      </c>
      <c r="AG1632" t="n">
        <v>2148</v>
      </c>
      <c r="AH1632" t="inlineStr">
        <is>
          <t>PT. JAYA PALEMBANG SUKSES - PPN (JMB)</t>
        </is>
      </c>
      <c r="AI1632" t="n">
        <v>78</v>
      </c>
      <c r="AJ1632" t="inlineStr">
        <is>
          <t>HANASUI</t>
        </is>
      </c>
      <c r="AK1632" t="n">
        <v>9</v>
      </c>
      <c r="AL1632" t="inlineStr">
        <is>
          <t>Miss Glam Jambi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"8998824552862"</f>
        <v/>
      </c>
      <c r="C1633" t="inlineStr">
        <is>
          <t>HANASUI Perfect Fit Setting Powder 04 Transclucent 12gr</t>
        </is>
      </c>
      <c r="D1633" t="inlineStr">
        <is>
          <t>Miss Glam Jambi</t>
        </is>
      </c>
      <c r="E1633" t="n">
        <v>6</v>
      </c>
      <c r="F1633" t="n">
        <v>0.07000000000000001</v>
      </c>
      <c r="G1633" t="n">
        <v>1</v>
      </c>
      <c r="H1633" t="n">
        <v>4</v>
      </c>
      <c r="I1633" t="n">
        <v>28</v>
      </c>
      <c r="J1633" t="n">
        <v>3</v>
      </c>
      <c r="K1633" t="n">
        <v>0</v>
      </c>
      <c r="L1633" t="n">
        <v>29667</v>
      </c>
      <c r="M1633" t="n">
        <v>43000</v>
      </c>
      <c r="N1633" t="n">
        <v>33</v>
      </c>
      <c r="O1633" t="n">
        <v>0.33</v>
      </c>
      <c r="P1633" t="n">
        <v>0</v>
      </c>
      <c r="Q1633" t="n">
        <v>0.07000000000000001</v>
      </c>
      <c r="R1633" t="n">
        <v>1</v>
      </c>
      <c r="S1633" t="n">
        <v>3010</v>
      </c>
      <c r="T1633" t="n">
        <v>28</v>
      </c>
      <c r="U1633" t="n">
        <v>29</v>
      </c>
      <c r="V1633" t="n">
        <v>30</v>
      </c>
      <c r="W1633" t="n">
        <v>3</v>
      </c>
      <c r="X1633" t="n">
        <v>85.71428571428571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10510</v>
      </c>
      <c r="AG1633" t="n">
        <v>2148</v>
      </c>
      <c r="AH1633" t="inlineStr">
        <is>
          <t>PT. JAYA PALEMBANG SUKSES - PPN (JMB)</t>
        </is>
      </c>
      <c r="AI1633" t="n">
        <v>78</v>
      </c>
      <c r="AJ1633" t="inlineStr">
        <is>
          <t>HANASUI</t>
        </is>
      </c>
      <c r="AK1633" t="n">
        <v>9</v>
      </c>
      <c r="AL1633" t="inlineStr">
        <is>
          <t>Miss Glam Jambi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"8998824553777"</f>
        <v/>
      </c>
      <c r="C1634" t="inlineStr">
        <is>
          <t>HANASUI Poreless Mattifying Primer 20gr</t>
        </is>
      </c>
      <c r="D1634" t="inlineStr">
        <is>
          <t>Miss Glam Jambi</t>
        </is>
      </c>
      <c r="E1634" t="n">
        <v>7</v>
      </c>
      <c r="F1634" t="n">
        <v>0.1188</v>
      </c>
      <c r="G1634" t="n">
        <v>0.66</v>
      </c>
      <c r="H1634" t="n">
        <v>4</v>
      </c>
      <c r="I1634" t="n">
        <v>28</v>
      </c>
      <c r="J1634" t="n">
        <v>3</v>
      </c>
      <c r="K1634" t="n">
        <v>0</v>
      </c>
      <c r="L1634" t="n">
        <v>27200</v>
      </c>
      <c r="M1634" t="n">
        <v>36000</v>
      </c>
      <c r="N1634" t="n">
        <v>33</v>
      </c>
      <c r="O1634" t="n">
        <v>0.33</v>
      </c>
      <c r="P1634" t="n">
        <v>1</v>
      </c>
      <c r="Q1634" t="n">
        <v>0.15</v>
      </c>
      <c r="R1634" t="n">
        <v>1</v>
      </c>
      <c r="S1634" t="n">
        <v>4276.8</v>
      </c>
      <c r="T1634" t="n">
        <v>19</v>
      </c>
      <c r="U1634" t="n">
        <v>20</v>
      </c>
      <c r="V1634" t="n">
        <v>30</v>
      </c>
      <c r="W1634" t="n">
        <v>4</v>
      </c>
      <c r="X1634" t="n">
        <v>58.92255892255892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10510</v>
      </c>
      <c r="AG1634" t="n">
        <v>2148</v>
      </c>
      <c r="AH1634" t="inlineStr">
        <is>
          <t>PT. JAYA PALEMBANG SUKSES - PPN (JMB)</t>
        </is>
      </c>
      <c r="AI1634" t="n">
        <v>78</v>
      </c>
      <c r="AJ1634" t="inlineStr">
        <is>
          <t>HANASUI</t>
        </is>
      </c>
      <c r="AK1634" t="n">
        <v>9</v>
      </c>
      <c r="AL1634" t="inlineStr">
        <is>
          <t>Miss Glam Jambi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"8998824553456"</f>
        <v/>
      </c>
      <c r="C1635" t="inlineStr">
        <is>
          <t>HANASUI Power Acne Serum 20ml</t>
        </is>
      </c>
      <c r="D1635" t="inlineStr">
        <is>
          <t>Miss Glam Jambi</t>
        </is>
      </c>
      <c r="E1635" t="n">
        <v>6</v>
      </c>
      <c r="F1635" t="n">
        <v>0.2013</v>
      </c>
      <c r="G1635" t="n">
        <v>1.32</v>
      </c>
      <c r="H1635" t="n">
        <v>4</v>
      </c>
      <c r="I1635" t="n">
        <v>28</v>
      </c>
      <c r="J1635" t="n">
        <v>3</v>
      </c>
      <c r="K1635" t="n">
        <v>3</v>
      </c>
      <c r="L1635" t="n">
        <v>20000</v>
      </c>
      <c r="M1635" t="n">
        <v>27500</v>
      </c>
      <c r="N1635" t="n">
        <v>33</v>
      </c>
      <c r="O1635" t="n">
        <v>0.33</v>
      </c>
      <c r="P1635" t="n">
        <v>1</v>
      </c>
      <c r="Q1635" t="n">
        <v>0.14</v>
      </c>
      <c r="R1635" t="n">
        <v>2</v>
      </c>
      <c r="S1635" t="n">
        <v>5535.75</v>
      </c>
      <c r="T1635" t="n">
        <v>37</v>
      </c>
      <c r="U1635" t="n">
        <v>38</v>
      </c>
      <c r="V1635" t="n">
        <v>30</v>
      </c>
      <c r="W1635" t="n">
        <v>7</v>
      </c>
      <c r="X1635" t="n">
        <v>29.80625931445604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10510</v>
      </c>
      <c r="AG1635" t="n">
        <v>2148</v>
      </c>
      <c r="AH1635" t="inlineStr">
        <is>
          <t>PT. JAYA PALEMBANG SUKSES - PPN (JMB)</t>
        </is>
      </c>
      <c r="AI1635" t="n">
        <v>78</v>
      </c>
      <c r="AJ1635" t="inlineStr">
        <is>
          <t>HANASUI</t>
        </is>
      </c>
      <c r="AK1635" t="n">
        <v>9</v>
      </c>
      <c r="AL1635" t="inlineStr">
        <is>
          <t>Miss Glam Jambi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"8998824553432"</f>
        <v/>
      </c>
      <c r="C1636" t="inlineStr">
        <is>
          <t>HANASUI Power Bakuchiol Serum 20ml</t>
        </is>
      </c>
      <c r="D1636" t="inlineStr">
        <is>
          <t>Miss Glam Jambi</t>
        </is>
      </c>
      <c r="E1636" t="n">
        <v>0</v>
      </c>
      <c r="F1636" t="n">
        <v>0.0396</v>
      </c>
      <c r="G1636" t="n">
        <v>0.33</v>
      </c>
      <c r="H1636" t="n">
        <v>4</v>
      </c>
      <c r="I1636" t="n">
        <v>28</v>
      </c>
      <c r="J1636" t="n">
        <v>3</v>
      </c>
      <c r="K1636" t="n">
        <v>6</v>
      </c>
      <c r="L1636" t="n">
        <v>20000</v>
      </c>
      <c r="M1636" t="n">
        <v>27500</v>
      </c>
      <c r="N1636" t="n">
        <v>33</v>
      </c>
      <c r="O1636" t="n">
        <v>0.33</v>
      </c>
      <c r="P1636" t="n">
        <v>1</v>
      </c>
      <c r="Q1636" t="n">
        <v>0.07000000000000001</v>
      </c>
      <c r="R1636" t="n">
        <v>1</v>
      </c>
      <c r="S1636" t="n">
        <v>1089</v>
      </c>
      <c r="T1636" t="n">
        <v>10</v>
      </c>
      <c r="U1636" t="n">
        <v>11</v>
      </c>
      <c r="V1636" t="n">
        <v>30</v>
      </c>
      <c r="W1636" t="n">
        <v>2</v>
      </c>
      <c r="X1636" t="n">
        <v>0</v>
      </c>
      <c r="Y1636" t="n">
        <v>1</v>
      </c>
      <c r="Z1636" t="n">
        <v>0</v>
      </c>
      <c r="AA1636" t="n">
        <v>1</v>
      </c>
      <c r="AB1636" t="n">
        <v>0</v>
      </c>
      <c r="AC1636" t="n">
        <v>0</v>
      </c>
      <c r="AD1636" t="n">
        <v>20000</v>
      </c>
      <c r="AE1636" t="n">
        <v>0</v>
      </c>
      <c r="AF1636" t="n">
        <v>10510</v>
      </c>
      <c r="AG1636" t="n">
        <v>2148</v>
      </c>
      <c r="AH1636" t="inlineStr">
        <is>
          <t>PT. JAYA PALEMBANG SUKSES - PPN (JMB)</t>
        </is>
      </c>
      <c r="AI1636" t="n">
        <v>78</v>
      </c>
      <c r="AJ1636" t="inlineStr">
        <is>
          <t>HANASUI</t>
        </is>
      </c>
      <c r="AK1636" t="n">
        <v>9</v>
      </c>
      <c r="AL1636" t="inlineStr">
        <is>
          <t>Miss Glam Jambi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"8998824553425"</f>
        <v/>
      </c>
      <c r="C1637" t="inlineStr">
        <is>
          <t>HANASUI Power Barrier Serum 20ml</t>
        </is>
      </c>
      <c r="D1637" t="inlineStr">
        <is>
          <t>Miss Glam Jambi</t>
        </is>
      </c>
      <c r="E1637" t="n">
        <v>27</v>
      </c>
      <c r="F1637" t="n">
        <v>0.1023</v>
      </c>
      <c r="G1637" t="n">
        <v>0.99</v>
      </c>
      <c r="H1637" t="n">
        <v>4</v>
      </c>
      <c r="I1637" t="n">
        <v>28</v>
      </c>
      <c r="J1637" t="n">
        <v>3</v>
      </c>
      <c r="K1637" t="n">
        <v>0</v>
      </c>
      <c r="L1637" t="n">
        <v>20000</v>
      </c>
      <c r="M1637" t="n">
        <v>27500</v>
      </c>
      <c r="N1637" t="n">
        <v>33</v>
      </c>
      <c r="O1637" t="n">
        <v>0.33</v>
      </c>
      <c r="P1637" t="n">
        <v>1</v>
      </c>
      <c r="Q1637" t="n">
        <v>0.17</v>
      </c>
      <c r="R1637" t="n">
        <v>1</v>
      </c>
      <c r="S1637" t="n">
        <v>2813.25</v>
      </c>
      <c r="T1637" t="n">
        <v>28</v>
      </c>
      <c r="U1637" t="n">
        <v>29</v>
      </c>
      <c r="V1637" t="n">
        <v>30</v>
      </c>
      <c r="W1637" t="n">
        <v>4</v>
      </c>
      <c r="X1637" t="n">
        <v>263.9296187683285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10510</v>
      </c>
      <c r="AG1637" t="n">
        <v>2148</v>
      </c>
      <c r="AH1637" t="inlineStr">
        <is>
          <t>PT. JAYA PALEMBANG SUKSES - PPN (JMB)</t>
        </is>
      </c>
      <c r="AI1637" t="n">
        <v>78</v>
      </c>
      <c r="AJ1637" t="inlineStr">
        <is>
          <t>HANASUI</t>
        </is>
      </c>
      <c r="AK1637" t="n">
        <v>9</v>
      </c>
      <c r="AL1637" t="inlineStr">
        <is>
          <t>Miss Glam Jambi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"8998824553012"</f>
        <v/>
      </c>
      <c r="C1638" t="inlineStr">
        <is>
          <t>HANASUI Power Bright Expert Serum 20ml</t>
        </is>
      </c>
      <c r="D1638" t="inlineStr">
        <is>
          <t>Miss Glam Jambi</t>
        </is>
      </c>
      <c r="E1638" t="n">
        <v>23</v>
      </c>
      <c r="F1638" t="n">
        <v>3.2835</v>
      </c>
      <c r="G1638" t="n">
        <v>6.930000000000001</v>
      </c>
      <c r="H1638" t="n">
        <v>4</v>
      </c>
      <c r="I1638" t="n">
        <v>28</v>
      </c>
      <c r="J1638" t="n">
        <v>3</v>
      </c>
      <c r="K1638" t="n">
        <v>19</v>
      </c>
      <c r="L1638" t="n">
        <v>20800</v>
      </c>
      <c r="M1638" t="n">
        <v>27500</v>
      </c>
      <c r="N1638" t="n">
        <v>33</v>
      </c>
      <c r="O1638" t="n">
        <v>0.33</v>
      </c>
      <c r="P1638" t="n">
        <v>1</v>
      </c>
      <c r="Q1638" t="n">
        <v>1.49</v>
      </c>
      <c r="R1638" t="n">
        <v>6</v>
      </c>
      <c r="S1638" t="n">
        <v>90296.25</v>
      </c>
      <c r="T1638" t="n">
        <v>181</v>
      </c>
      <c r="U1638" t="n">
        <v>195</v>
      </c>
      <c r="V1638" t="n">
        <v>30</v>
      </c>
      <c r="W1638" t="n">
        <v>99</v>
      </c>
      <c r="X1638" t="n">
        <v>7.004720572559768</v>
      </c>
      <c r="Y1638" t="n">
        <v>1</v>
      </c>
      <c r="Z1638" t="n">
        <v>57</v>
      </c>
      <c r="AA1638" t="n">
        <v>68</v>
      </c>
      <c r="AB1638" t="n">
        <v>0</v>
      </c>
      <c r="AC1638" t="n">
        <v>0</v>
      </c>
      <c r="AD1638" t="n">
        <v>1414400</v>
      </c>
      <c r="AE1638" t="n">
        <v>0</v>
      </c>
      <c r="AF1638" t="n">
        <v>10510</v>
      </c>
      <c r="AG1638" t="n">
        <v>2148</v>
      </c>
      <c r="AH1638" t="inlineStr">
        <is>
          <t>PT. JAYA PALEMBANG SUKSES - PPN (JMB)</t>
        </is>
      </c>
      <c r="AI1638" t="n">
        <v>78</v>
      </c>
      <c r="AJ1638" t="inlineStr">
        <is>
          <t>HANASUI</t>
        </is>
      </c>
      <c r="AK1638" t="n">
        <v>9</v>
      </c>
      <c r="AL1638" t="inlineStr">
        <is>
          <t>Miss Glam Jambi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"8998824553005"</f>
        <v/>
      </c>
      <c r="C1639" t="inlineStr">
        <is>
          <t>HANASUI Power Bright Serum 20ml</t>
        </is>
      </c>
      <c r="D1639" t="inlineStr">
        <is>
          <t>Miss Glam Jambi</t>
        </is>
      </c>
      <c r="E1639" t="n">
        <v>3</v>
      </c>
      <c r="F1639" t="n">
        <v>0.3135</v>
      </c>
      <c r="G1639" t="n">
        <v>1.32</v>
      </c>
      <c r="H1639" t="n">
        <v>4</v>
      </c>
      <c r="I1639" t="n">
        <v>28</v>
      </c>
      <c r="J1639" t="n">
        <v>3</v>
      </c>
      <c r="K1639" t="n">
        <v>0</v>
      </c>
      <c r="L1639" t="n">
        <v>20000</v>
      </c>
      <c r="M1639" t="n">
        <v>27500</v>
      </c>
      <c r="N1639" t="n">
        <v>33</v>
      </c>
      <c r="O1639" t="n">
        <v>0.33</v>
      </c>
      <c r="P1639" t="n">
        <v>1</v>
      </c>
      <c r="Q1639" t="n">
        <v>0.1</v>
      </c>
      <c r="R1639" t="n">
        <v>3</v>
      </c>
      <c r="S1639" t="n">
        <v>8621.25</v>
      </c>
      <c r="T1639" t="n">
        <v>36</v>
      </c>
      <c r="U1639" t="n">
        <v>38</v>
      </c>
      <c r="V1639" t="n">
        <v>30</v>
      </c>
      <c r="W1639" t="n">
        <v>10</v>
      </c>
      <c r="X1639" t="n">
        <v>9.569377990430622</v>
      </c>
      <c r="Y1639" t="n">
        <v>1</v>
      </c>
      <c r="Z1639" t="n">
        <v>7</v>
      </c>
      <c r="AA1639" t="n">
        <v>6</v>
      </c>
      <c r="AB1639" t="n">
        <v>1</v>
      </c>
      <c r="AC1639" t="n">
        <v>3</v>
      </c>
      <c r="AD1639" t="n">
        <v>120000</v>
      </c>
      <c r="AE1639" t="n">
        <v>60000</v>
      </c>
      <c r="AF1639" t="n">
        <v>10510</v>
      </c>
      <c r="AG1639" t="n">
        <v>2148</v>
      </c>
      <c r="AH1639" t="inlineStr">
        <is>
          <t>PT. JAYA PALEMBANG SUKSES - PPN (JMB)</t>
        </is>
      </c>
      <c r="AI1639" t="n">
        <v>78</v>
      </c>
      <c r="AJ1639" t="inlineStr">
        <is>
          <t>HANASUI</t>
        </is>
      </c>
      <c r="AK1639" t="n">
        <v>9</v>
      </c>
      <c r="AL1639" t="inlineStr">
        <is>
          <t>Miss Glam Jambi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"8998824553029"</f>
        <v/>
      </c>
      <c r="C1640" t="inlineStr">
        <is>
          <t>HANASUI Power Mini Pore Serum 20ml</t>
        </is>
      </c>
      <c r="D1640" t="inlineStr">
        <is>
          <t>Miss Glam Jambi</t>
        </is>
      </c>
      <c r="E1640" t="n">
        <v>5</v>
      </c>
      <c r="F1640" t="n">
        <v>0.1353</v>
      </c>
      <c r="G1640" t="n">
        <v>0.66</v>
      </c>
      <c r="H1640" t="n">
        <v>4</v>
      </c>
      <c r="I1640" t="n">
        <v>28</v>
      </c>
      <c r="J1640" t="n">
        <v>3</v>
      </c>
      <c r="K1640" t="n">
        <v>0</v>
      </c>
      <c r="L1640" t="n">
        <v>20000</v>
      </c>
      <c r="M1640" t="n">
        <v>27500</v>
      </c>
      <c r="N1640" t="n">
        <v>33</v>
      </c>
      <c r="O1640" t="n">
        <v>0.33</v>
      </c>
      <c r="P1640" t="n">
        <v>1</v>
      </c>
      <c r="Q1640" t="n">
        <v>0.05</v>
      </c>
      <c r="R1640" t="n">
        <v>1</v>
      </c>
      <c r="S1640" t="n">
        <v>3720.75</v>
      </c>
      <c r="T1640" t="n">
        <v>18</v>
      </c>
      <c r="U1640" t="n">
        <v>19</v>
      </c>
      <c r="V1640" t="n">
        <v>30</v>
      </c>
      <c r="W1640" t="n">
        <v>5</v>
      </c>
      <c r="X1640" t="n">
        <v>36.95491500369549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10510</v>
      </c>
      <c r="AG1640" t="n">
        <v>2148</v>
      </c>
      <c r="AH1640" t="inlineStr">
        <is>
          <t>PT. JAYA PALEMBANG SUKSES - PPN (JMB)</t>
        </is>
      </c>
      <c r="AI1640" t="n">
        <v>78</v>
      </c>
      <c r="AJ1640" t="inlineStr">
        <is>
          <t>HANASUI</t>
        </is>
      </c>
      <c r="AK1640" t="n">
        <v>9</v>
      </c>
      <c r="AL1640" t="inlineStr">
        <is>
          <t>Miss Glam Jambi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"8998824553418"</f>
        <v/>
      </c>
      <c r="C1641" t="inlineStr">
        <is>
          <t>HANASUI Power Peeling Serum 20ml</t>
        </is>
      </c>
      <c r="D1641" t="inlineStr">
        <is>
          <t>Miss Glam Jambi</t>
        </is>
      </c>
      <c r="E1641" t="n">
        <v>6</v>
      </c>
      <c r="F1641" t="n">
        <v>0.5577</v>
      </c>
      <c r="G1641" t="n">
        <v>1.98</v>
      </c>
      <c r="H1641" t="n">
        <v>4</v>
      </c>
      <c r="I1641" t="n">
        <v>28</v>
      </c>
      <c r="J1641" t="n">
        <v>3</v>
      </c>
      <c r="K1641" t="n">
        <v>3</v>
      </c>
      <c r="L1641" t="n">
        <v>20000</v>
      </c>
      <c r="M1641" t="n">
        <v>27500</v>
      </c>
      <c r="N1641" t="n">
        <v>33</v>
      </c>
      <c r="O1641" t="n">
        <v>0.33</v>
      </c>
      <c r="P1641" t="n">
        <v>1</v>
      </c>
      <c r="Q1641" t="n">
        <v>0.24</v>
      </c>
      <c r="R1641" t="n">
        <v>2</v>
      </c>
      <c r="S1641" t="n">
        <v>15336.75</v>
      </c>
      <c r="T1641" t="n">
        <v>54</v>
      </c>
      <c r="U1641" t="n">
        <v>57</v>
      </c>
      <c r="V1641" t="n">
        <v>30</v>
      </c>
      <c r="W1641" t="n">
        <v>17</v>
      </c>
      <c r="X1641" t="n">
        <v>10.75847229693384</v>
      </c>
      <c r="Y1641" t="n">
        <v>1</v>
      </c>
      <c r="Z1641" t="n">
        <v>8</v>
      </c>
      <c r="AA1641" t="n">
        <v>9</v>
      </c>
      <c r="AB1641" t="n">
        <v>0</v>
      </c>
      <c r="AC1641" t="n">
        <v>0</v>
      </c>
      <c r="AD1641" t="n">
        <v>180000</v>
      </c>
      <c r="AE1641" t="n">
        <v>0</v>
      </c>
      <c r="AF1641" t="n">
        <v>10510</v>
      </c>
      <c r="AG1641" t="n">
        <v>2148</v>
      </c>
      <c r="AH1641" t="inlineStr">
        <is>
          <t>PT. JAYA PALEMBANG SUKSES - PPN (JMB)</t>
        </is>
      </c>
      <c r="AI1641" t="n">
        <v>78</v>
      </c>
      <c r="AJ1641" t="inlineStr">
        <is>
          <t>HANASUI</t>
        </is>
      </c>
      <c r="AK1641" t="n">
        <v>9</v>
      </c>
      <c r="AL1641" t="inlineStr">
        <is>
          <t>Miss Glam Jambi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"8998824553463"</f>
        <v/>
      </c>
      <c r="C1642" t="inlineStr">
        <is>
          <t>HANASUI Power Post Acne Serum 20ml</t>
        </is>
      </c>
      <c r="D1642" t="inlineStr">
        <is>
          <t>Miss Glam Jambi</t>
        </is>
      </c>
      <c r="E1642" t="n">
        <v>10</v>
      </c>
      <c r="F1642" t="n">
        <v>0.3531</v>
      </c>
      <c r="G1642" t="n">
        <v>1.98</v>
      </c>
      <c r="H1642" t="n">
        <v>4</v>
      </c>
      <c r="I1642" t="n">
        <v>28</v>
      </c>
      <c r="J1642" t="n">
        <v>3</v>
      </c>
      <c r="K1642" t="n">
        <v>3</v>
      </c>
      <c r="L1642" t="n">
        <v>20000</v>
      </c>
      <c r="M1642" t="n">
        <v>27500</v>
      </c>
      <c r="N1642" t="n">
        <v>33</v>
      </c>
      <c r="O1642" t="n">
        <v>0.33</v>
      </c>
      <c r="P1642" t="n">
        <v>1</v>
      </c>
      <c r="Q1642" t="n">
        <v>0.14</v>
      </c>
      <c r="R1642" t="n">
        <v>3</v>
      </c>
      <c r="S1642" t="n">
        <v>9710.25</v>
      </c>
      <c r="T1642" t="n">
        <v>55</v>
      </c>
      <c r="U1642" t="n">
        <v>57</v>
      </c>
      <c r="V1642" t="n">
        <v>30</v>
      </c>
      <c r="W1642" t="n">
        <v>11</v>
      </c>
      <c r="X1642" t="n">
        <v>28.32058906825262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10510</v>
      </c>
      <c r="AG1642" t="n">
        <v>2148</v>
      </c>
      <c r="AH1642" t="inlineStr">
        <is>
          <t>PT. JAYA PALEMBANG SUKSES - PPN (JMB)</t>
        </is>
      </c>
      <c r="AI1642" t="n">
        <v>78</v>
      </c>
      <c r="AJ1642" t="inlineStr">
        <is>
          <t>HANASUI</t>
        </is>
      </c>
      <c r="AK1642" t="n">
        <v>9</v>
      </c>
      <c r="AL1642" t="inlineStr">
        <is>
          <t>Miss Glam Jambi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"11200315305"</f>
        <v/>
      </c>
      <c r="C1643" t="inlineStr">
        <is>
          <t>HANASUI Power Retinol Expert Serum 20ml</t>
        </is>
      </c>
      <c r="D1643" t="inlineStr">
        <is>
          <t>Miss Glam Jambi</t>
        </is>
      </c>
      <c r="E1643" t="n">
        <v>1</v>
      </c>
      <c r="F1643" t="n">
        <v>0.5775</v>
      </c>
      <c r="G1643" t="n">
        <v>2.31</v>
      </c>
      <c r="H1643" t="n">
        <v>4</v>
      </c>
      <c r="I1643" t="n">
        <v>28</v>
      </c>
      <c r="J1643" t="n">
        <v>1</v>
      </c>
      <c r="K1643" t="n">
        <v>1</v>
      </c>
      <c r="L1643" t="n">
        <v>30400</v>
      </c>
      <c r="M1643" t="n">
        <v>38000</v>
      </c>
      <c r="N1643" t="n">
        <v>33</v>
      </c>
      <c r="O1643" t="n">
        <v>0.33</v>
      </c>
      <c r="P1643" t="n">
        <v>1</v>
      </c>
      <c r="Q1643" t="n">
        <v>0.12</v>
      </c>
      <c r="R1643" t="n">
        <v>1</v>
      </c>
      <c r="S1643" t="n">
        <v>21945</v>
      </c>
      <c r="T1643" t="n">
        <v>63</v>
      </c>
      <c r="U1643" t="n">
        <v>66</v>
      </c>
      <c r="V1643" t="n">
        <v>30</v>
      </c>
      <c r="W1643" t="n">
        <v>18</v>
      </c>
      <c r="X1643" t="n">
        <v>1.731601731601732</v>
      </c>
      <c r="Y1643" t="n">
        <v>1</v>
      </c>
      <c r="Z1643" t="n">
        <v>16</v>
      </c>
      <c r="AA1643" t="n">
        <v>15</v>
      </c>
      <c r="AB1643" t="n">
        <v>1</v>
      </c>
      <c r="AC1643" t="n">
        <v>1</v>
      </c>
      <c r="AD1643" t="n">
        <v>456000</v>
      </c>
      <c r="AE1643" t="n">
        <v>30400</v>
      </c>
      <c r="AF1643" t="n">
        <v>10510</v>
      </c>
      <c r="AG1643" t="n">
        <v>2148</v>
      </c>
      <c r="AH1643" t="inlineStr">
        <is>
          <t>PT. JAYA PALEMBANG SUKSES - PPN (JMB)</t>
        </is>
      </c>
      <c r="AI1643" t="n">
        <v>78</v>
      </c>
      <c r="AJ1643" t="inlineStr">
        <is>
          <t>HANASUI</t>
        </is>
      </c>
      <c r="AK1643" t="n">
        <v>9</v>
      </c>
      <c r="AL1643" t="inlineStr">
        <is>
          <t>Miss Glam Jambi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"8998824552589"</f>
        <v/>
      </c>
      <c r="C1644" t="inlineStr">
        <is>
          <t>HANASUI Serum Cushion 01 Light 15gr</t>
        </is>
      </c>
      <c r="D1644" t="inlineStr">
        <is>
          <t>Miss Glam Jambi</t>
        </is>
      </c>
      <c r="E1644" t="n">
        <v>3</v>
      </c>
      <c r="F1644" t="n">
        <v>0.0561</v>
      </c>
      <c r="G1644" t="n">
        <v>0.33</v>
      </c>
      <c r="H1644" t="n">
        <v>4</v>
      </c>
      <c r="I1644" t="n">
        <v>28</v>
      </c>
      <c r="J1644" t="n">
        <v>3</v>
      </c>
      <c r="K1644" t="n">
        <v>0</v>
      </c>
      <c r="L1644" t="n">
        <v>56800</v>
      </c>
      <c r="M1644" t="n">
        <v>71000</v>
      </c>
      <c r="N1644" t="n">
        <v>33</v>
      </c>
      <c r="O1644" t="n">
        <v>0.33</v>
      </c>
      <c r="P1644" t="n">
        <v>1</v>
      </c>
      <c r="Q1644" t="n">
        <v>0.08</v>
      </c>
      <c r="R1644" t="n">
        <v>1</v>
      </c>
      <c r="S1644" t="n">
        <v>3983.1</v>
      </c>
      <c r="T1644" t="n">
        <v>10</v>
      </c>
      <c r="U1644" t="n">
        <v>11</v>
      </c>
      <c r="V1644" t="n">
        <v>30</v>
      </c>
      <c r="W1644" t="n">
        <v>2</v>
      </c>
      <c r="X1644" t="n">
        <v>53.475935828877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10510</v>
      </c>
      <c r="AG1644" t="n">
        <v>2148</v>
      </c>
      <c r="AH1644" t="inlineStr">
        <is>
          <t>PT. JAYA PALEMBANG SUKSES - PPN (JMB)</t>
        </is>
      </c>
      <c r="AI1644" t="n">
        <v>78</v>
      </c>
      <c r="AJ1644" t="inlineStr">
        <is>
          <t>HANASUI</t>
        </is>
      </c>
      <c r="AK1644" t="n">
        <v>9</v>
      </c>
      <c r="AL1644" t="inlineStr">
        <is>
          <t>Miss Glam Jambi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"8998824552596"</f>
        <v/>
      </c>
      <c r="C1645" t="inlineStr">
        <is>
          <t>HANASUI Serum Cushion 02 Natural 15gr</t>
        </is>
      </c>
      <c r="D1645" t="inlineStr">
        <is>
          <t>Miss Glam Jambi</t>
        </is>
      </c>
      <c r="E1645" t="n">
        <v>5</v>
      </c>
      <c r="F1645" t="n">
        <v>0.1122</v>
      </c>
      <c r="G1645" t="n">
        <v>0.99</v>
      </c>
      <c r="H1645" t="n">
        <v>4</v>
      </c>
      <c r="I1645" t="n">
        <v>28</v>
      </c>
      <c r="J1645" t="n">
        <v>3</v>
      </c>
      <c r="K1645" t="n">
        <v>0</v>
      </c>
      <c r="L1645" t="n">
        <v>56792</v>
      </c>
      <c r="M1645" t="n">
        <v>71000</v>
      </c>
      <c r="N1645" t="n">
        <v>33</v>
      </c>
      <c r="O1645" t="n">
        <v>0.33</v>
      </c>
      <c r="P1645" t="n">
        <v>1</v>
      </c>
      <c r="Q1645" t="n">
        <v>0.07000000000000001</v>
      </c>
      <c r="R1645" t="n">
        <v>2</v>
      </c>
      <c r="S1645" t="n">
        <v>7966.200000000001</v>
      </c>
      <c r="T1645" t="n">
        <v>28</v>
      </c>
      <c r="U1645" t="n">
        <v>29</v>
      </c>
      <c r="V1645" t="n">
        <v>30</v>
      </c>
      <c r="W1645" t="n">
        <v>4</v>
      </c>
      <c r="X1645" t="n">
        <v>44.5632798573975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10510</v>
      </c>
      <c r="AG1645" t="n">
        <v>2148</v>
      </c>
      <c r="AH1645" t="inlineStr">
        <is>
          <t>PT. JAYA PALEMBANG SUKSES - PPN (JMB)</t>
        </is>
      </c>
      <c r="AI1645" t="n">
        <v>78</v>
      </c>
      <c r="AJ1645" t="inlineStr">
        <is>
          <t>HANASUI</t>
        </is>
      </c>
      <c r="AK1645" t="n">
        <v>9</v>
      </c>
      <c r="AL1645" t="inlineStr">
        <is>
          <t>Miss Glam Jambi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"8998824552602"</f>
        <v/>
      </c>
      <c r="C1646" t="inlineStr">
        <is>
          <t>HANASUI Serum Cushion 03 Medium 15gr</t>
        </is>
      </c>
      <c r="D1646" t="inlineStr">
        <is>
          <t>Miss Glam Jambi</t>
        </is>
      </c>
      <c r="E1646" t="n">
        <v>4</v>
      </c>
      <c r="F1646" t="n">
        <v>0.0396</v>
      </c>
      <c r="G1646" t="n">
        <v>0.33</v>
      </c>
      <c r="H1646" t="n">
        <v>4</v>
      </c>
      <c r="I1646" t="n">
        <v>28</v>
      </c>
      <c r="J1646" t="n">
        <v>3</v>
      </c>
      <c r="K1646" t="n">
        <v>0</v>
      </c>
      <c r="L1646" t="n">
        <v>56792</v>
      </c>
      <c r="M1646" t="n">
        <v>71000</v>
      </c>
      <c r="N1646" t="n">
        <v>33</v>
      </c>
      <c r="O1646" t="n">
        <v>0.33</v>
      </c>
      <c r="P1646" t="n">
        <v>1</v>
      </c>
      <c r="Q1646" t="n">
        <v>0.03</v>
      </c>
      <c r="R1646" t="n">
        <v>1</v>
      </c>
      <c r="S1646" t="n">
        <v>2811.6</v>
      </c>
      <c r="T1646" t="n">
        <v>10</v>
      </c>
      <c r="U1646" t="n">
        <v>11</v>
      </c>
      <c r="V1646" t="n">
        <v>30</v>
      </c>
      <c r="W1646" t="n">
        <v>2</v>
      </c>
      <c r="X1646" t="n">
        <v>101.010101010101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10510</v>
      </c>
      <c r="AG1646" t="n">
        <v>2148</v>
      </c>
      <c r="AH1646" t="inlineStr">
        <is>
          <t>PT. JAYA PALEMBANG SUKSES - PPN (JMB)</t>
        </is>
      </c>
      <c r="AI1646" t="n">
        <v>78</v>
      </c>
      <c r="AJ1646" t="inlineStr">
        <is>
          <t>HANASUI</t>
        </is>
      </c>
      <c r="AK1646" t="n">
        <v>9</v>
      </c>
      <c r="AL1646" t="inlineStr">
        <is>
          <t>Miss Glam Jambi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"8998824552718"</f>
        <v/>
      </c>
      <c r="C1647" t="inlineStr">
        <is>
          <t>HANASUI Serum Cushion 04 Pinkish 15gr</t>
        </is>
      </c>
      <c r="D1647" t="inlineStr">
        <is>
          <t>Miss Glam Jambi</t>
        </is>
      </c>
      <c r="E1647" t="n">
        <v>5</v>
      </c>
      <c r="F1647" t="n">
        <v>0.08910000000000001</v>
      </c>
      <c r="G1647" t="n">
        <v>0.66</v>
      </c>
      <c r="H1647" t="n">
        <v>4</v>
      </c>
      <c r="I1647" t="n">
        <v>28</v>
      </c>
      <c r="J1647" t="n">
        <v>3</v>
      </c>
      <c r="K1647" t="n">
        <v>0</v>
      </c>
      <c r="L1647" t="n">
        <v>56792</v>
      </c>
      <c r="M1647" t="n">
        <v>71000</v>
      </c>
      <c r="N1647" t="n">
        <v>33</v>
      </c>
      <c r="O1647" t="n">
        <v>0.33</v>
      </c>
      <c r="P1647" t="n">
        <v>1</v>
      </c>
      <c r="Q1647" t="n">
        <v>0.03</v>
      </c>
      <c r="R1647" t="n">
        <v>1</v>
      </c>
      <c r="S1647" t="n">
        <v>6326.100000000001</v>
      </c>
      <c r="T1647" t="n">
        <v>19</v>
      </c>
      <c r="U1647" t="n">
        <v>20</v>
      </c>
      <c r="V1647" t="n">
        <v>30</v>
      </c>
      <c r="W1647" t="n">
        <v>3</v>
      </c>
      <c r="X1647" t="n">
        <v>56.11672278338944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10510</v>
      </c>
      <c r="AG1647" t="n">
        <v>2148</v>
      </c>
      <c r="AH1647" t="inlineStr">
        <is>
          <t>PT. JAYA PALEMBANG SUKSES - PPN (JMB)</t>
        </is>
      </c>
      <c r="AI1647" t="n">
        <v>78</v>
      </c>
      <c r="AJ1647" t="inlineStr">
        <is>
          <t>HANASUI</t>
        </is>
      </c>
      <c r="AK1647" t="n">
        <v>9</v>
      </c>
      <c r="AL1647" t="inlineStr">
        <is>
          <t>Miss Glam Jambi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"8998824553593"</f>
        <v/>
      </c>
      <c r="C1648" t="inlineStr">
        <is>
          <t>HANASUI Serum Cushion 06 Porcelain 15gr</t>
        </is>
      </c>
      <c r="D1648" t="inlineStr">
        <is>
          <t>Miss Glam Jambi</t>
        </is>
      </c>
      <c r="E1648" t="n">
        <v>4</v>
      </c>
      <c r="F1648" t="n">
        <v>0.009900000000000001</v>
      </c>
      <c r="G1648" t="n">
        <v>0.33</v>
      </c>
      <c r="H1648" t="n">
        <v>4</v>
      </c>
      <c r="I1648" t="n">
        <v>28</v>
      </c>
      <c r="J1648" t="n">
        <v>3</v>
      </c>
      <c r="K1648" t="n">
        <v>0</v>
      </c>
      <c r="L1648" t="n">
        <v>56792</v>
      </c>
      <c r="M1648" t="n">
        <v>71000</v>
      </c>
      <c r="N1648" t="n">
        <v>33</v>
      </c>
      <c r="O1648" t="n">
        <v>0.33</v>
      </c>
      <c r="P1648" t="n">
        <v>1</v>
      </c>
      <c r="Q1648" t="n">
        <v>0.03</v>
      </c>
      <c r="R1648" t="n">
        <v>1</v>
      </c>
      <c r="S1648" t="n">
        <v>702.9000000000001</v>
      </c>
      <c r="T1648" t="n">
        <v>10</v>
      </c>
      <c r="U1648" t="n">
        <v>11</v>
      </c>
      <c r="V1648" t="n">
        <v>30</v>
      </c>
      <c r="W1648" t="n">
        <v>1</v>
      </c>
      <c r="X1648" t="n">
        <v>404.040404040404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10510</v>
      </c>
      <c r="AG1648" t="n">
        <v>2148</v>
      </c>
      <c r="AH1648" t="inlineStr">
        <is>
          <t>PT. JAYA PALEMBANG SUKSES - PPN (JMB)</t>
        </is>
      </c>
      <c r="AI1648" t="n">
        <v>78</v>
      </c>
      <c r="AJ1648" t="inlineStr">
        <is>
          <t>HANASUI</t>
        </is>
      </c>
      <c r="AK1648" t="n">
        <v>9</v>
      </c>
      <c r="AL1648" t="inlineStr">
        <is>
          <t>Miss Glam Jambi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"8998824553623"</f>
        <v/>
      </c>
      <c r="C1649" t="inlineStr">
        <is>
          <t>HANASUI Serum Cushion 08 Creamy Beige 15gr</t>
        </is>
      </c>
      <c r="D1649" t="inlineStr">
        <is>
          <t>Miss Glam Jambi</t>
        </is>
      </c>
      <c r="E1649" t="n">
        <v>6</v>
      </c>
      <c r="F1649" t="n">
        <v>0.009900000000000001</v>
      </c>
      <c r="G1649" t="n">
        <v>0.33</v>
      </c>
      <c r="H1649" t="n">
        <v>4</v>
      </c>
      <c r="I1649" t="n">
        <v>28</v>
      </c>
      <c r="J1649" t="n">
        <v>3</v>
      </c>
      <c r="K1649" t="n">
        <v>0</v>
      </c>
      <c r="L1649" t="n">
        <v>56792</v>
      </c>
      <c r="M1649" t="n">
        <v>71000</v>
      </c>
      <c r="N1649" t="n">
        <v>33</v>
      </c>
      <c r="O1649" t="n">
        <v>0.33</v>
      </c>
      <c r="P1649" t="n">
        <v>1</v>
      </c>
      <c r="Q1649" t="n">
        <v>0.02</v>
      </c>
      <c r="R1649" t="n">
        <v>1</v>
      </c>
      <c r="S1649" t="n">
        <v>702.9000000000001</v>
      </c>
      <c r="T1649" t="n">
        <v>10</v>
      </c>
      <c r="U1649" t="n">
        <v>11</v>
      </c>
      <c r="V1649" t="n">
        <v>30</v>
      </c>
      <c r="W1649" t="n">
        <v>1</v>
      </c>
      <c r="X1649" t="n">
        <v>606.060606060606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10510</v>
      </c>
      <c r="AG1649" t="n">
        <v>2148</v>
      </c>
      <c r="AH1649" t="inlineStr">
        <is>
          <t>PT. JAYA PALEMBANG SUKSES - PPN (JMB)</t>
        </is>
      </c>
      <c r="AI1649" t="n">
        <v>78</v>
      </c>
      <c r="AJ1649" t="inlineStr">
        <is>
          <t>HANASUI</t>
        </is>
      </c>
      <c r="AK1649" t="n">
        <v>9</v>
      </c>
      <c r="AL1649" t="inlineStr">
        <is>
          <t>Miss Glam Jambi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"8998824553647"</f>
        <v/>
      </c>
      <c r="C1650" t="inlineStr">
        <is>
          <t>HANASUI Serum Cushion 10 Classy Ivory 15gr</t>
        </is>
      </c>
      <c r="D1650" t="inlineStr">
        <is>
          <t>Miss Glam Jambi</t>
        </is>
      </c>
      <c r="E1650" t="n">
        <v>4</v>
      </c>
      <c r="F1650" t="n">
        <v>0.03</v>
      </c>
      <c r="G1650" t="n">
        <v>1</v>
      </c>
      <c r="H1650" t="n">
        <v>4</v>
      </c>
      <c r="I1650" t="n">
        <v>28</v>
      </c>
      <c r="J1650" t="n">
        <v>3</v>
      </c>
      <c r="K1650" t="n">
        <v>0</v>
      </c>
      <c r="L1650" t="n">
        <v>56792</v>
      </c>
      <c r="M1650" t="n">
        <v>71000</v>
      </c>
      <c r="N1650" t="n">
        <v>33</v>
      </c>
      <c r="O1650" t="n">
        <v>0.33</v>
      </c>
      <c r="P1650" t="n">
        <v>0</v>
      </c>
      <c r="Q1650" t="n">
        <v>0.03</v>
      </c>
      <c r="R1650" t="n">
        <v>1</v>
      </c>
      <c r="S1650" t="n">
        <v>2130</v>
      </c>
      <c r="T1650" t="n">
        <v>28</v>
      </c>
      <c r="U1650" t="n">
        <v>29</v>
      </c>
      <c r="V1650" t="n">
        <v>30</v>
      </c>
      <c r="W1650" t="n">
        <v>1</v>
      </c>
      <c r="X1650" t="n">
        <v>133.3333333333333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10510</v>
      </c>
      <c r="AG1650" t="n">
        <v>2148</v>
      </c>
      <c r="AH1650" t="inlineStr">
        <is>
          <t>PT. JAYA PALEMBANG SUKSES - PPN (JMB)</t>
        </is>
      </c>
      <c r="AI1650" t="n">
        <v>78</v>
      </c>
      <c r="AJ1650" t="inlineStr">
        <is>
          <t>HANASUI</t>
        </is>
      </c>
      <c r="AK1650" t="n">
        <v>9</v>
      </c>
      <c r="AL1650" t="inlineStr">
        <is>
          <t>Miss Glam Jambi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"8998824554897"</f>
        <v/>
      </c>
      <c r="C1651" t="inlineStr">
        <is>
          <t>HANASUI Serum Cushion Light 01 Refill 15g</t>
        </is>
      </c>
      <c r="D1651" t="inlineStr">
        <is>
          <t>Miss Glam Jambi</t>
        </is>
      </c>
      <c r="E1651" t="n">
        <v>0</v>
      </c>
      <c r="F1651" t="n">
        <v>0.1683</v>
      </c>
      <c r="G1651" t="n">
        <v>1.32</v>
      </c>
      <c r="H1651" t="n">
        <v>4</v>
      </c>
      <c r="I1651" t="n">
        <v>28</v>
      </c>
      <c r="J1651" t="n">
        <v>3</v>
      </c>
      <c r="K1651" t="n">
        <v>9</v>
      </c>
      <c r="L1651" t="n">
        <v>40000</v>
      </c>
      <c r="M1651" t="n">
        <v>52500</v>
      </c>
      <c r="N1651" t="n">
        <v>33</v>
      </c>
      <c r="O1651" t="n">
        <v>0.33</v>
      </c>
      <c r="P1651" t="n">
        <v>1</v>
      </c>
      <c r="Q1651" t="n">
        <v>0.11</v>
      </c>
      <c r="R1651" t="n">
        <v>1</v>
      </c>
      <c r="S1651" t="n">
        <v>8835.75</v>
      </c>
      <c r="T1651" t="n">
        <v>37</v>
      </c>
      <c r="U1651" t="n">
        <v>38</v>
      </c>
      <c r="V1651" t="n">
        <v>30</v>
      </c>
      <c r="W1651" t="n">
        <v>6</v>
      </c>
      <c r="X1651" t="n">
        <v>0</v>
      </c>
      <c r="Y1651" t="n">
        <v>1</v>
      </c>
      <c r="Z1651" t="n">
        <v>0</v>
      </c>
      <c r="AA1651" t="n">
        <v>4</v>
      </c>
      <c r="AB1651" t="n">
        <v>0</v>
      </c>
      <c r="AC1651" t="n">
        <v>0</v>
      </c>
      <c r="AD1651" t="n">
        <v>160000</v>
      </c>
      <c r="AE1651" t="n">
        <v>0</v>
      </c>
      <c r="AF1651" t="n">
        <v>10510</v>
      </c>
      <c r="AG1651" t="n">
        <v>2148</v>
      </c>
      <c r="AH1651" t="inlineStr">
        <is>
          <t>PT. JAYA PALEMBANG SUKSES - PPN (JMB)</t>
        </is>
      </c>
      <c r="AI1651" t="n">
        <v>78</v>
      </c>
      <c r="AJ1651" t="inlineStr">
        <is>
          <t>HANASUI</t>
        </is>
      </c>
      <c r="AK1651" t="n">
        <v>9</v>
      </c>
      <c r="AL1651" t="inlineStr">
        <is>
          <t>Miss Glam Jambi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"8998824554903"</f>
        <v/>
      </c>
      <c r="C1652" t="inlineStr">
        <is>
          <t>HANASUI Serum Cushion Natural 02 Refill 15gr</t>
        </is>
      </c>
      <c r="D1652" t="inlineStr">
        <is>
          <t>Miss Glam Jambi</t>
        </is>
      </c>
      <c r="E1652" t="n">
        <v>10</v>
      </c>
      <c r="F1652" t="n">
        <v>0.1617</v>
      </c>
      <c r="G1652" t="n">
        <v>0.99</v>
      </c>
      <c r="H1652" t="n">
        <v>4</v>
      </c>
      <c r="I1652" t="n">
        <v>28</v>
      </c>
      <c r="J1652" t="n">
        <v>3</v>
      </c>
      <c r="K1652" t="n">
        <v>0</v>
      </c>
      <c r="L1652" t="n">
        <v>42000</v>
      </c>
      <c r="M1652" t="n">
        <v>52500</v>
      </c>
      <c r="N1652" t="n">
        <v>33</v>
      </c>
      <c r="O1652" t="n">
        <v>0.33</v>
      </c>
      <c r="P1652" t="n">
        <v>1</v>
      </c>
      <c r="Q1652" t="n">
        <v>0.07000000000000001</v>
      </c>
      <c r="R1652" t="n">
        <v>2</v>
      </c>
      <c r="S1652" t="n">
        <v>8489.25</v>
      </c>
      <c r="T1652" t="n">
        <v>28</v>
      </c>
      <c r="U1652" t="n">
        <v>29</v>
      </c>
      <c r="V1652" t="n">
        <v>30</v>
      </c>
      <c r="W1652" t="n">
        <v>5</v>
      </c>
      <c r="X1652" t="n">
        <v>61.84291898577612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10510</v>
      </c>
      <c r="AG1652" t="n">
        <v>2148</v>
      </c>
      <c r="AH1652" t="inlineStr">
        <is>
          <t>PT. JAYA PALEMBANG SUKSES - PPN (JMB)</t>
        </is>
      </c>
      <c r="AI1652" t="n">
        <v>78</v>
      </c>
      <c r="AJ1652" t="inlineStr">
        <is>
          <t>HANASUI</t>
        </is>
      </c>
      <c r="AK1652" t="n">
        <v>9</v>
      </c>
      <c r="AL1652" t="inlineStr">
        <is>
          <t>Miss Glam Jambi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"8998824553470"</f>
        <v/>
      </c>
      <c r="C1653" t="inlineStr">
        <is>
          <t>HANASUI Serum Cushion Soulmatte 101 Light 15g</t>
        </is>
      </c>
      <c r="D1653" t="inlineStr">
        <is>
          <t>Miss Glam Jambi</t>
        </is>
      </c>
      <c r="E1653" t="n">
        <v>3</v>
      </c>
      <c r="F1653" t="n">
        <v>0.0495</v>
      </c>
      <c r="G1653" t="n">
        <v>0.66</v>
      </c>
      <c r="H1653" t="n">
        <v>4</v>
      </c>
      <c r="I1653" t="n">
        <v>28</v>
      </c>
      <c r="J1653" t="n">
        <v>3</v>
      </c>
      <c r="K1653" t="n">
        <v>0</v>
      </c>
      <c r="L1653" t="n">
        <v>54087</v>
      </c>
      <c r="M1653" t="n">
        <v>71000</v>
      </c>
      <c r="N1653" t="n">
        <v>33</v>
      </c>
      <c r="O1653" t="n">
        <v>0.33</v>
      </c>
      <c r="P1653" t="n">
        <v>1</v>
      </c>
      <c r="Q1653" t="n">
        <v>0.08</v>
      </c>
      <c r="R1653" t="n">
        <v>2</v>
      </c>
      <c r="S1653" t="n">
        <v>3514.5</v>
      </c>
      <c r="T1653" t="n">
        <v>19</v>
      </c>
      <c r="U1653" t="n">
        <v>20</v>
      </c>
      <c r="V1653" t="n">
        <v>30</v>
      </c>
      <c r="W1653" t="n">
        <v>2</v>
      </c>
      <c r="X1653" t="n">
        <v>60.6060606060606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10510</v>
      </c>
      <c r="AG1653" t="n">
        <v>2148</v>
      </c>
      <c r="AH1653" t="inlineStr">
        <is>
          <t>PT. JAYA PALEMBANG SUKSES - PPN (JMB)</t>
        </is>
      </c>
      <c r="AI1653" t="n">
        <v>78</v>
      </c>
      <c r="AJ1653" t="inlineStr">
        <is>
          <t>HANASUI</t>
        </is>
      </c>
      <c r="AK1653" t="n">
        <v>9</v>
      </c>
      <c r="AL1653" t="inlineStr">
        <is>
          <t>Miss Glam Jambi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"8998824553494"</f>
        <v/>
      </c>
      <c r="C1654" t="inlineStr">
        <is>
          <t>HANASUI Serum Cushion Soulmatte 102 Natural 15gr</t>
        </is>
      </c>
      <c r="D1654" t="inlineStr">
        <is>
          <t>Miss Glam Jambi</t>
        </is>
      </c>
      <c r="E1654" t="n">
        <v>6</v>
      </c>
      <c r="F1654" t="n">
        <v>0.0825</v>
      </c>
      <c r="G1654" t="n">
        <v>0.66</v>
      </c>
      <c r="H1654" t="n">
        <v>4</v>
      </c>
      <c r="I1654" t="n">
        <v>28</v>
      </c>
      <c r="J1654" t="n">
        <v>3</v>
      </c>
      <c r="K1654" t="n">
        <v>0</v>
      </c>
      <c r="L1654" t="n">
        <v>54087</v>
      </c>
      <c r="M1654" t="n">
        <v>71000</v>
      </c>
      <c r="N1654" t="n">
        <v>33</v>
      </c>
      <c r="O1654" t="n">
        <v>0.33</v>
      </c>
      <c r="P1654" t="n">
        <v>1</v>
      </c>
      <c r="Q1654" t="n">
        <v>0.05</v>
      </c>
      <c r="R1654" t="n">
        <v>1</v>
      </c>
      <c r="S1654" t="n">
        <v>5857.5</v>
      </c>
      <c r="T1654" t="n">
        <v>19</v>
      </c>
      <c r="U1654" t="n">
        <v>20</v>
      </c>
      <c r="V1654" t="n">
        <v>30</v>
      </c>
      <c r="W1654" t="n">
        <v>3</v>
      </c>
      <c r="X1654" t="n">
        <v>72.72727272727272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10510</v>
      </c>
      <c r="AG1654" t="n">
        <v>2148</v>
      </c>
      <c r="AH1654" t="inlineStr">
        <is>
          <t>PT. JAYA PALEMBANG SUKSES - PPN (JMB)</t>
        </is>
      </c>
      <c r="AI1654" t="n">
        <v>78</v>
      </c>
      <c r="AJ1654" t="inlineStr">
        <is>
          <t>HANASUI</t>
        </is>
      </c>
      <c r="AK1654" t="n">
        <v>9</v>
      </c>
      <c r="AL1654" t="inlineStr">
        <is>
          <t>Miss Glam Jambi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"8998824553524"</f>
        <v/>
      </c>
      <c r="C1655" t="inlineStr">
        <is>
          <t>HANASUI Serum Cushion Soulmatte 105 Fairy Pinkish 15gr</t>
        </is>
      </c>
      <c r="D1655" t="inlineStr">
        <is>
          <t>Miss Glam Jambi</t>
        </is>
      </c>
      <c r="E1655" t="n">
        <v>4</v>
      </c>
      <c r="F1655" t="n">
        <v>0.009900000000000001</v>
      </c>
      <c r="G1655" t="n">
        <v>0.33</v>
      </c>
      <c r="H1655" t="n">
        <v>4</v>
      </c>
      <c r="I1655" t="n">
        <v>28</v>
      </c>
      <c r="J1655" t="n">
        <v>3</v>
      </c>
      <c r="K1655" t="n">
        <v>0</v>
      </c>
      <c r="L1655" t="n">
        <v>54087</v>
      </c>
      <c r="M1655" t="n">
        <v>71000</v>
      </c>
      <c r="N1655" t="n">
        <v>33</v>
      </c>
      <c r="O1655" t="n">
        <v>0.33</v>
      </c>
      <c r="P1655" t="n">
        <v>1</v>
      </c>
      <c r="Q1655" t="n">
        <v>0.05</v>
      </c>
      <c r="R1655" t="n">
        <v>1</v>
      </c>
      <c r="S1655" t="n">
        <v>702.9000000000001</v>
      </c>
      <c r="T1655" t="n">
        <v>10</v>
      </c>
      <c r="U1655" t="n">
        <v>11</v>
      </c>
      <c r="V1655" t="n">
        <v>30</v>
      </c>
      <c r="W1655" t="n">
        <v>1</v>
      </c>
      <c r="X1655" t="n">
        <v>404.040404040404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10510</v>
      </c>
      <c r="AG1655" t="n">
        <v>2148</v>
      </c>
      <c r="AH1655" t="inlineStr">
        <is>
          <t>PT. JAYA PALEMBANG SUKSES - PPN (JMB)</t>
        </is>
      </c>
      <c r="AI1655" t="n">
        <v>78</v>
      </c>
      <c r="AJ1655" t="inlineStr">
        <is>
          <t>HANASUI</t>
        </is>
      </c>
      <c r="AK1655" t="n">
        <v>9</v>
      </c>
      <c r="AL1655" t="inlineStr">
        <is>
          <t>Miss Glam Jambi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"8998824553548"</f>
        <v/>
      </c>
      <c r="C1656" t="inlineStr">
        <is>
          <t>HANASUI Serum Cushion Soulmatte 107 Light Ivory 15gr</t>
        </is>
      </c>
      <c r="D1656" t="inlineStr">
        <is>
          <t>Miss Glam Jambi</t>
        </is>
      </c>
      <c r="E1656" t="n">
        <v>3</v>
      </c>
      <c r="F1656" t="n">
        <v>0.0165</v>
      </c>
      <c r="G1656" t="n">
        <v>0.33</v>
      </c>
      <c r="H1656" t="n">
        <v>4</v>
      </c>
      <c r="I1656" t="n">
        <v>28</v>
      </c>
      <c r="J1656" t="n">
        <v>3</v>
      </c>
      <c r="K1656" t="n">
        <v>0</v>
      </c>
      <c r="L1656" t="n">
        <v>54087</v>
      </c>
      <c r="M1656" t="n">
        <v>71000</v>
      </c>
      <c r="N1656" t="n">
        <v>33</v>
      </c>
      <c r="O1656" t="n">
        <v>0.33</v>
      </c>
      <c r="P1656" t="n">
        <v>1</v>
      </c>
      <c r="Q1656" t="n">
        <v>0.03</v>
      </c>
      <c r="R1656" t="n">
        <v>1</v>
      </c>
      <c r="S1656" t="n">
        <v>1171.5</v>
      </c>
      <c r="T1656" t="n">
        <v>10</v>
      </c>
      <c r="U1656" t="n">
        <v>11</v>
      </c>
      <c r="V1656" t="n">
        <v>30</v>
      </c>
      <c r="W1656" t="n">
        <v>1</v>
      </c>
      <c r="X1656" t="n">
        <v>181.8181818181818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10510</v>
      </c>
      <c r="AG1656" t="n">
        <v>2148</v>
      </c>
      <c r="AH1656" t="inlineStr">
        <is>
          <t>PT. JAYA PALEMBANG SUKSES - PPN (JMB)</t>
        </is>
      </c>
      <c r="AI1656" t="n">
        <v>78</v>
      </c>
      <c r="AJ1656" t="inlineStr">
        <is>
          <t>HANASUI</t>
        </is>
      </c>
      <c r="AK1656" t="n">
        <v>9</v>
      </c>
      <c r="AL1656" t="inlineStr">
        <is>
          <t>Miss Glam Jambi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"8998824553586"</f>
        <v/>
      </c>
      <c r="C1657" t="inlineStr">
        <is>
          <t>HANASUI Serum Cushion Soulmatte 110 Classy Ivory 15g</t>
        </is>
      </c>
      <c r="D1657" t="inlineStr">
        <is>
          <t>Miss Glam Jambi</t>
        </is>
      </c>
      <c r="E1657" t="n">
        <v>2</v>
      </c>
      <c r="F1657" t="n">
        <v>0.0165</v>
      </c>
      <c r="G1657" t="n">
        <v>0.33</v>
      </c>
      <c r="H1657" t="n">
        <v>4</v>
      </c>
      <c r="I1657" t="n">
        <v>28</v>
      </c>
      <c r="J1657" t="n">
        <v>3</v>
      </c>
      <c r="K1657" t="n">
        <v>0</v>
      </c>
      <c r="L1657" t="n">
        <v>54087</v>
      </c>
      <c r="M1657" t="n">
        <v>71000</v>
      </c>
      <c r="N1657" t="n">
        <v>33</v>
      </c>
      <c r="O1657" t="n">
        <v>0.33</v>
      </c>
      <c r="P1657" t="n">
        <v>1</v>
      </c>
      <c r="Q1657" t="n">
        <v>0.02</v>
      </c>
      <c r="R1657" t="n">
        <v>1</v>
      </c>
      <c r="S1657" t="n">
        <v>1171.5</v>
      </c>
      <c r="T1657" t="n">
        <v>10</v>
      </c>
      <c r="U1657" t="n">
        <v>11</v>
      </c>
      <c r="V1657" t="n">
        <v>30</v>
      </c>
      <c r="W1657" t="n">
        <v>1</v>
      </c>
      <c r="X1657" t="n">
        <v>121.2121212121212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10510</v>
      </c>
      <c r="AG1657" t="n">
        <v>2148</v>
      </c>
      <c r="AH1657" t="inlineStr">
        <is>
          <t>PT. JAYA PALEMBANG SUKSES - PPN (JMB)</t>
        </is>
      </c>
      <c r="AI1657" t="n">
        <v>78</v>
      </c>
      <c r="AJ1657" t="inlineStr">
        <is>
          <t>HANASUI</t>
        </is>
      </c>
      <c r="AK1657" t="n">
        <v>9</v>
      </c>
      <c r="AL1657" t="inlineStr">
        <is>
          <t>Miss Glam Jambi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"8998824551940"</f>
        <v/>
      </c>
      <c r="C1658" t="inlineStr">
        <is>
          <t>HANASUI Serum Whitening Gold 20ml</t>
        </is>
      </c>
      <c r="D1658" t="inlineStr">
        <is>
          <t>Miss Glam Jambi</t>
        </is>
      </c>
      <c r="E1658" t="n">
        <v>12</v>
      </c>
      <c r="F1658" t="n">
        <v>1.3134</v>
      </c>
      <c r="G1658" t="n">
        <v>3.96</v>
      </c>
      <c r="H1658" t="n">
        <v>4</v>
      </c>
      <c r="I1658" t="n">
        <v>28</v>
      </c>
      <c r="J1658" t="n">
        <v>3</v>
      </c>
      <c r="K1658" t="n">
        <v>15</v>
      </c>
      <c r="L1658" t="n">
        <v>18720</v>
      </c>
      <c r="M1658" t="n">
        <v>23500</v>
      </c>
      <c r="N1658" t="n">
        <v>33</v>
      </c>
      <c r="O1658" t="n">
        <v>0.33</v>
      </c>
      <c r="P1658" t="n">
        <v>1</v>
      </c>
      <c r="Q1658" t="n">
        <v>0.64</v>
      </c>
      <c r="R1658" t="n">
        <v>6</v>
      </c>
      <c r="S1658" t="n">
        <v>30864.9</v>
      </c>
      <c r="T1658" t="n">
        <v>106</v>
      </c>
      <c r="U1658" t="n">
        <v>112</v>
      </c>
      <c r="V1658" t="n">
        <v>30</v>
      </c>
      <c r="W1658" t="n">
        <v>40</v>
      </c>
      <c r="X1658" t="n">
        <v>9.136592051164914</v>
      </c>
      <c r="Y1658" t="n">
        <v>1</v>
      </c>
      <c r="Z1658" t="n">
        <v>13</v>
      </c>
      <c r="AA1658" t="n">
        <v>24</v>
      </c>
      <c r="AB1658" t="n">
        <v>0</v>
      </c>
      <c r="AC1658" t="n">
        <v>0</v>
      </c>
      <c r="AD1658" t="n">
        <v>449280</v>
      </c>
      <c r="AE1658" t="n">
        <v>0</v>
      </c>
      <c r="AF1658" t="n">
        <v>10510</v>
      </c>
      <c r="AG1658" t="n">
        <v>2148</v>
      </c>
      <c r="AH1658" t="inlineStr">
        <is>
          <t>PT. JAYA PALEMBANG SUKSES - PPN (JMB)</t>
        </is>
      </c>
      <c r="AI1658" t="n">
        <v>78</v>
      </c>
      <c r="AJ1658" t="inlineStr">
        <is>
          <t>HANASUI</t>
        </is>
      </c>
      <c r="AK1658" t="n">
        <v>9</v>
      </c>
      <c r="AL1658" t="inlineStr">
        <is>
          <t>Miss Glam Jambi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"10200522123"</f>
        <v/>
      </c>
      <c r="C1659" t="inlineStr">
        <is>
          <t>HANASUI Special Package Glow Expert + Power Bright Expert Serum 5pack</t>
        </is>
      </c>
      <c r="D1659" t="inlineStr">
        <is>
          <t>Miss Glam Jambi</t>
        </is>
      </c>
      <c r="E1659" t="n">
        <v>5</v>
      </c>
      <c r="F1659" t="n">
        <v>0.06270000000000001</v>
      </c>
      <c r="G1659" t="n">
        <v>0.66</v>
      </c>
      <c r="H1659" t="n">
        <v>4</v>
      </c>
      <c r="I1659" t="n">
        <v>28</v>
      </c>
      <c r="J1659" t="n">
        <v>3</v>
      </c>
      <c r="K1659" t="n">
        <v>0</v>
      </c>
      <c r="L1659" t="n">
        <v>106960</v>
      </c>
      <c r="M1659" t="n">
        <v>136500</v>
      </c>
      <c r="N1659" t="n">
        <v>33</v>
      </c>
      <c r="O1659" t="n">
        <v>0.33</v>
      </c>
      <c r="P1659" t="n">
        <v>1</v>
      </c>
      <c r="Q1659" t="n">
        <v>0.08</v>
      </c>
      <c r="R1659" t="n">
        <v>2</v>
      </c>
      <c r="S1659" t="n">
        <v>8558.550000000001</v>
      </c>
      <c r="T1659" t="n">
        <v>19</v>
      </c>
      <c r="U1659" t="n">
        <v>20</v>
      </c>
      <c r="V1659" t="n">
        <v>30</v>
      </c>
      <c r="W1659" t="n">
        <v>2</v>
      </c>
      <c r="X1659" t="n">
        <v>79.74481658692184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10510</v>
      </c>
      <c r="AG1659" t="n">
        <v>2148</v>
      </c>
      <c r="AH1659" t="inlineStr">
        <is>
          <t>PT. JAYA PALEMBANG SUKSES - PPN (JMB)</t>
        </is>
      </c>
      <c r="AI1659" t="n">
        <v>78</v>
      </c>
      <c r="AJ1659" t="inlineStr">
        <is>
          <t>HANASUI</t>
        </is>
      </c>
      <c r="AK1659" t="n">
        <v>9</v>
      </c>
      <c r="AL1659" t="inlineStr">
        <is>
          <t>Miss Glam Jambi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"8998824553340"</f>
        <v/>
      </c>
      <c r="C1660" t="inlineStr">
        <is>
          <t>HANASUI Sunscreen Collagen Water Spf 50 30ml</t>
        </is>
      </c>
      <c r="D1660" t="inlineStr">
        <is>
          <t>Miss Glam Jambi</t>
        </is>
      </c>
      <c r="E1660" t="n">
        <v>22</v>
      </c>
      <c r="F1660" t="n">
        <v>1.8909</v>
      </c>
      <c r="G1660" t="n">
        <v>3.96</v>
      </c>
      <c r="H1660" t="n">
        <v>4</v>
      </c>
      <c r="I1660" t="n">
        <v>28</v>
      </c>
      <c r="J1660" t="n">
        <v>3</v>
      </c>
      <c r="K1660" t="n">
        <v>4</v>
      </c>
      <c r="L1660" t="n">
        <v>28331</v>
      </c>
      <c r="M1660" t="n">
        <v>35500</v>
      </c>
      <c r="N1660" t="n">
        <v>33</v>
      </c>
      <c r="O1660" t="n">
        <v>0.33</v>
      </c>
      <c r="P1660" t="n">
        <v>1</v>
      </c>
      <c r="Q1660" t="n">
        <v>1.2</v>
      </c>
      <c r="R1660" t="n">
        <v>5</v>
      </c>
      <c r="S1660" t="n">
        <v>67126.95000000001</v>
      </c>
      <c r="T1660" t="n">
        <v>104</v>
      </c>
      <c r="U1660" t="n">
        <v>112</v>
      </c>
      <c r="V1660" t="n">
        <v>30</v>
      </c>
      <c r="W1660" t="n">
        <v>57</v>
      </c>
      <c r="X1660" t="n">
        <v>11.63467132053519</v>
      </c>
      <c r="Y1660" t="n">
        <v>1</v>
      </c>
      <c r="Z1660" t="n">
        <v>31</v>
      </c>
      <c r="AA1660" t="n">
        <v>30</v>
      </c>
      <c r="AB1660" t="n">
        <v>1</v>
      </c>
      <c r="AC1660" t="n">
        <v>3</v>
      </c>
      <c r="AD1660" t="n">
        <v>849930</v>
      </c>
      <c r="AE1660" t="n">
        <v>84993</v>
      </c>
      <c r="AF1660" t="n">
        <v>10510</v>
      </c>
      <c r="AG1660" t="n">
        <v>2148</v>
      </c>
      <c r="AH1660" t="inlineStr">
        <is>
          <t>PT. JAYA PALEMBANG SUKSES - PPN (JMB)</t>
        </is>
      </c>
      <c r="AI1660" t="n">
        <v>78</v>
      </c>
      <c r="AJ1660" t="inlineStr">
        <is>
          <t>HANASUI</t>
        </is>
      </c>
      <c r="AK1660" t="n">
        <v>9</v>
      </c>
      <c r="AL1660" t="inlineStr">
        <is>
          <t>Miss Glam Jambi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"10400618943"</f>
        <v/>
      </c>
      <c r="C1661" t="inlineStr">
        <is>
          <t>HANASUI Sunscreen Lightweight Pro Calming Spf 50 PA++ 30ml</t>
        </is>
      </c>
      <c r="D1661" t="inlineStr">
        <is>
          <t>Miss Glam Jambi</t>
        </is>
      </c>
      <c r="E1661" t="n">
        <v>19</v>
      </c>
      <c r="F1661" t="n">
        <v>0.2574</v>
      </c>
      <c r="G1661" t="n">
        <v>1.98</v>
      </c>
      <c r="H1661" t="n">
        <v>4</v>
      </c>
      <c r="I1661" t="n">
        <v>28</v>
      </c>
      <c r="J1661" t="n">
        <v>1</v>
      </c>
      <c r="K1661" t="n">
        <v>0</v>
      </c>
      <c r="L1661" t="n">
        <v>32000</v>
      </c>
      <c r="M1661" t="n">
        <v>40000</v>
      </c>
      <c r="N1661" t="n">
        <v>33</v>
      </c>
      <c r="O1661" t="n">
        <v>0.33</v>
      </c>
      <c r="P1661" t="n">
        <v>1</v>
      </c>
      <c r="Q1661" t="n">
        <v>0.29</v>
      </c>
      <c r="R1661" t="n">
        <v>2</v>
      </c>
      <c r="S1661" t="n">
        <v>10296</v>
      </c>
      <c r="T1661" t="n">
        <v>55</v>
      </c>
      <c r="U1661" t="n">
        <v>57</v>
      </c>
      <c r="V1661" t="n">
        <v>30</v>
      </c>
      <c r="W1661" t="n">
        <v>8</v>
      </c>
      <c r="X1661" t="n">
        <v>73.81507381507382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10510</v>
      </c>
      <c r="AG1661" t="n">
        <v>2148</v>
      </c>
      <c r="AH1661" t="inlineStr">
        <is>
          <t>PT. JAYA PALEMBANG SUKSES - PPN (JMB)</t>
        </is>
      </c>
      <c r="AI1661" t="n">
        <v>78</v>
      </c>
      <c r="AJ1661" t="inlineStr">
        <is>
          <t>HANASUI</t>
        </is>
      </c>
      <c r="AK1661" t="n">
        <v>9</v>
      </c>
      <c r="AL1661" t="inlineStr">
        <is>
          <t>Miss Glam Jambi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"8998824551650"</f>
        <v/>
      </c>
      <c r="C1662" t="inlineStr">
        <is>
          <t>HANASUI SWANA Brightening Body Lotion Peach 100ml</t>
        </is>
      </c>
      <c r="D1662" t="inlineStr">
        <is>
          <t>Miss Glam Jambi</t>
        </is>
      </c>
      <c r="E1662" t="n">
        <v>2</v>
      </c>
      <c r="F1662" t="n">
        <v>0.02</v>
      </c>
      <c r="G1662" t="n">
        <v>1</v>
      </c>
      <c r="H1662" t="n">
        <v>4</v>
      </c>
      <c r="I1662" t="n">
        <v>28</v>
      </c>
      <c r="J1662" t="n">
        <v>3</v>
      </c>
      <c r="K1662" t="n">
        <v>0</v>
      </c>
      <c r="L1662" t="n">
        <v>11818</v>
      </c>
      <c r="M1662" t="n">
        <v>14000</v>
      </c>
      <c r="N1662" t="n">
        <v>33</v>
      </c>
      <c r="O1662" t="n">
        <v>0.33</v>
      </c>
      <c r="P1662" t="n">
        <v>0</v>
      </c>
      <c r="Q1662" t="n">
        <v>0.02</v>
      </c>
      <c r="R1662" t="n">
        <v>1</v>
      </c>
      <c r="S1662" t="n">
        <v>280</v>
      </c>
      <c r="T1662" t="n">
        <v>28</v>
      </c>
      <c r="U1662" t="n">
        <v>29</v>
      </c>
      <c r="V1662" t="n">
        <v>30</v>
      </c>
      <c r="W1662" t="n">
        <v>1</v>
      </c>
      <c r="X1662" t="n">
        <v>100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10510</v>
      </c>
      <c r="AG1662" t="n">
        <v>2148</v>
      </c>
      <c r="AH1662" t="inlineStr">
        <is>
          <t>PT. JAYA PALEMBANG SUKSES - PPN (JMB)</t>
        </is>
      </c>
      <c r="AI1662" t="n">
        <v>78</v>
      </c>
      <c r="AJ1662" t="inlineStr">
        <is>
          <t>HANASUI</t>
        </is>
      </c>
      <c r="AK1662" t="n">
        <v>9</v>
      </c>
      <c r="AL1662" t="inlineStr">
        <is>
          <t>Miss Glam Jambi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"8998824551865"</f>
        <v/>
      </c>
      <c r="C1663" t="inlineStr">
        <is>
          <t>HANASUI SWANA Brightening Body Lotion Pomegranet 100ml</t>
        </is>
      </c>
      <c r="D1663" t="inlineStr">
        <is>
          <t>Miss Glam Jambi</t>
        </is>
      </c>
      <c r="E1663" t="n">
        <v>0</v>
      </c>
      <c r="F1663" t="n">
        <v>0.03</v>
      </c>
      <c r="G1663" t="n">
        <v>1</v>
      </c>
      <c r="H1663" t="n">
        <v>4</v>
      </c>
      <c r="I1663" t="n">
        <v>28</v>
      </c>
      <c r="J1663" t="n">
        <v>3</v>
      </c>
      <c r="K1663" t="n">
        <v>0</v>
      </c>
      <c r="L1663" t="n">
        <v>11818</v>
      </c>
      <c r="M1663" t="n">
        <v>14000</v>
      </c>
      <c r="N1663" t="n">
        <v>33</v>
      </c>
      <c r="O1663" t="n">
        <v>0.33</v>
      </c>
      <c r="P1663" t="n">
        <v>0</v>
      </c>
      <c r="Q1663" t="n">
        <v>0.03</v>
      </c>
      <c r="R1663" t="n">
        <v>1</v>
      </c>
      <c r="S1663" t="n">
        <v>420</v>
      </c>
      <c r="T1663" t="n">
        <v>28</v>
      </c>
      <c r="U1663" t="n">
        <v>29</v>
      </c>
      <c r="V1663" t="n">
        <v>30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  <c r="AD1663" t="n">
        <v>11818</v>
      </c>
      <c r="AE1663" t="n">
        <v>0</v>
      </c>
      <c r="AF1663" t="n">
        <v>10510</v>
      </c>
      <c r="AG1663" t="n">
        <v>2148</v>
      </c>
      <c r="AH1663" t="inlineStr">
        <is>
          <t>PT. JAYA PALEMBANG SUKSES - PPN (JMB)</t>
        </is>
      </c>
      <c r="AI1663" t="n">
        <v>78</v>
      </c>
      <c r="AJ1663" t="inlineStr">
        <is>
          <t>HANASUI</t>
        </is>
      </c>
      <c r="AK1663" t="n">
        <v>9</v>
      </c>
      <c r="AL1663" t="inlineStr">
        <is>
          <t>Miss Glam Jambi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"8998824551759"</f>
        <v/>
      </c>
      <c r="C1664" t="inlineStr">
        <is>
          <t>HANASUI SWANA Eau De Parfum Sky Dream</t>
        </is>
      </c>
      <c r="D1664" t="inlineStr">
        <is>
          <t>Miss Glam Jambi</t>
        </is>
      </c>
      <c r="E1664" t="n">
        <v>4</v>
      </c>
      <c r="F1664" t="n">
        <v>0.02</v>
      </c>
      <c r="G1664" t="n">
        <v>1</v>
      </c>
      <c r="H1664" t="n">
        <v>4</v>
      </c>
      <c r="I1664" t="n">
        <v>28</v>
      </c>
      <c r="J1664" t="n">
        <v>3</v>
      </c>
      <c r="K1664" t="n">
        <v>0</v>
      </c>
      <c r="L1664" t="n">
        <v>9687</v>
      </c>
      <c r="M1664" t="n">
        <v>13000</v>
      </c>
      <c r="N1664" t="n">
        <v>33</v>
      </c>
      <c r="O1664" t="n">
        <v>0.33</v>
      </c>
      <c r="P1664" t="n">
        <v>0</v>
      </c>
      <c r="Q1664" t="n">
        <v>0.02</v>
      </c>
      <c r="R1664" t="n">
        <v>1</v>
      </c>
      <c r="S1664" t="n">
        <v>260</v>
      </c>
      <c r="T1664" t="n">
        <v>28</v>
      </c>
      <c r="U1664" t="n">
        <v>29</v>
      </c>
      <c r="V1664" t="n">
        <v>30</v>
      </c>
      <c r="W1664" t="n">
        <v>1</v>
      </c>
      <c r="X1664" t="n">
        <v>200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10510</v>
      </c>
      <c r="AG1664" t="n">
        <v>2148</v>
      </c>
      <c r="AH1664" t="inlineStr">
        <is>
          <t>PT. JAYA PALEMBANG SUKSES - PPN (JMB)</t>
        </is>
      </c>
      <c r="AI1664" t="n">
        <v>78</v>
      </c>
      <c r="AJ1664" t="inlineStr">
        <is>
          <t>HANASUI</t>
        </is>
      </c>
      <c r="AK1664" t="n">
        <v>9</v>
      </c>
      <c r="AL1664" t="inlineStr">
        <is>
          <t>Miss Glam Jambi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"8998824552633"</f>
        <v/>
      </c>
      <c r="C1665" t="inlineStr">
        <is>
          <t>HANASUI Tintdorable Lip Stain 01 Cherry 3.5gr</t>
        </is>
      </c>
      <c r="D1665" t="inlineStr">
        <is>
          <t>Miss Glam Jambi</t>
        </is>
      </c>
      <c r="E1665" t="n">
        <v>10</v>
      </c>
      <c r="F1665" t="n">
        <v>0.5049</v>
      </c>
      <c r="G1665" t="n">
        <v>1.65</v>
      </c>
      <c r="H1665" t="n">
        <v>4</v>
      </c>
      <c r="I1665" t="n">
        <v>28</v>
      </c>
      <c r="J1665" t="n">
        <v>3</v>
      </c>
      <c r="K1665" t="n">
        <v>15</v>
      </c>
      <c r="L1665" t="n">
        <v>15257</v>
      </c>
      <c r="M1665" t="n">
        <v>19500</v>
      </c>
      <c r="N1665" t="n">
        <v>33</v>
      </c>
      <c r="O1665" t="n">
        <v>0.33</v>
      </c>
      <c r="P1665" t="n">
        <v>1</v>
      </c>
      <c r="Q1665" t="n">
        <v>0.58</v>
      </c>
      <c r="R1665" t="n">
        <v>5</v>
      </c>
      <c r="S1665" t="n">
        <v>9845.550000000001</v>
      </c>
      <c r="T1665" t="n">
        <v>45</v>
      </c>
      <c r="U1665" t="n">
        <v>48</v>
      </c>
      <c r="V1665" t="n">
        <v>30</v>
      </c>
      <c r="W1665" t="n">
        <v>16</v>
      </c>
      <c r="X1665" t="n">
        <v>19.80590215884333</v>
      </c>
      <c r="Y1665" t="n">
        <v>1</v>
      </c>
      <c r="Z1665" t="n">
        <v>0</v>
      </c>
      <c r="AA1665" t="n">
        <v>4</v>
      </c>
      <c r="AB1665" t="n">
        <v>0</v>
      </c>
      <c r="AC1665" t="n">
        <v>0</v>
      </c>
      <c r="AD1665" t="n">
        <v>61028</v>
      </c>
      <c r="AE1665" t="n">
        <v>0</v>
      </c>
      <c r="AF1665" t="n">
        <v>10510</v>
      </c>
      <c r="AG1665" t="n">
        <v>2148</v>
      </c>
      <c r="AH1665" t="inlineStr">
        <is>
          <t>PT. JAYA PALEMBANG SUKSES - PPN (JMB)</t>
        </is>
      </c>
      <c r="AI1665" t="n">
        <v>78</v>
      </c>
      <c r="AJ1665" t="inlineStr">
        <is>
          <t>HANASUI</t>
        </is>
      </c>
      <c r="AK1665" t="n">
        <v>9</v>
      </c>
      <c r="AL1665" t="inlineStr">
        <is>
          <t>Miss Glam Jambi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"8998824552657"</f>
        <v/>
      </c>
      <c r="C1666" t="inlineStr">
        <is>
          <t>HANASUI Tintdorable Lip Stain 02 Peachy 3.5gr</t>
        </is>
      </c>
      <c r="D1666" t="inlineStr">
        <is>
          <t>Miss Glam Jambi</t>
        </is>
      </c>
      <c r="E1666" t="n">
        <v>10</v>
      </c>
      <c r="F1666" t="n">
        <v>0.2739</v>
      </c>
      <c r="G1666" t="n">
        <v>1.32</v>
      </c>
      <c r="H1666" t="n">
        <v>4</v>
      </c>
      <c r="I1666" t="n">
        <v>28</v>
      </c>
      <c r="J1666" t="n">
        <v>3</v>
      </c>
      <c r="K1666" t="n">
        <v>0</v>
      </c>
      <c r="L1666" t="n">
        <v>15258</v>
      </c>
      <c r="M1666" t="n">
        <v>19500</v>
      </c>
      <c r="N1666" t="n">
        <v>33</v>
      </c>
      <c r="O1666" t="n">
        <v>0.33</v>
      </c>
      <c r="P1666" t="n">
        <v>1</v>
      </c>
      <c r="Q1666" t="n">
        <v>0.34</v>
      </c>
      <c r="R1666" t="n">
        <v>2</v>
      </c>
      <c r="S1666" t="n">
        <v>5341.049999999999</v>
      </c>
      <c r="T1666" t="n">
        <v>36</v>
      </c>
      <c r="U1666" t="n">
        <v>38</v>
      </c>
      <c r="V1666" t="n">
        <v>30</v>
      </c>
      <c r="W1666" t="n">
        <v>9</v>
      </c>
      <c r="X1666" t="n">
        <v>36.50967506389193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10510</v>
      </c>
      <c r="AG1666" t="n">
        <v>2148</v>
      </c>
      <c r="AH1666" t="inlineStr">
        <is>
          <t>PT. JAYA PALEMBANG SUKSES - PPN (JMB)</t>
        </is>
      </c>
      <c r="AI1666" t="n">
        <v>78</v>
      </c>
      <c r="AJ1666" t="inlineStr">
        <is>
          <t>HANASUI</t>
        </is>
      </c>
      <c r="AK1666" t="n">
        <v>9</v>
      </c>
      <c r="AL1666" t="inlineStr">
        <is>
          <t>Miss Glam Jambi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"8998824552671"</f>
        <v/>
      </c>
      <c r="C1667" t="inlineStr">
        <is>
          <t>HANASUI Tintdorable Lip Stain 03 Ruby 3.5gr</t>
        </is>
      </c>
      <c r="D1667" t="inlineStr">
        <is>
          <t>Miss Glam Jambi</t>
        </is>
      </c>
      <c r="E1667" t="n">
        <v>3</v>
      </c>
      <c r="F1667" t="n">
        <v>0.1188</v>
      </c>
      <c r="G1667" t="n">
        <v>0.99</v>
      </c>
      <c r="H1667" t="n">
        <v>4</v>
      </c>
      <c r="I1667" t="n">
        <v>28</v>
      </c>
      <c r="J1667" t="n">
        <v>3</v>
      </c>
      <c r="K1667" t="n">
        <v>0</v>
      </c>
      <c r="L1667" t="n">
        <v>15258</v>
      </c>
      <c r="M1667" t="n">
        <v>19500</v>
      </c>
      <c r="N1667" t="n">
        <v>33</v>
      </c>
      <c r="O1667" t="n">
        <v>0.33</v>
      </c>
      <c r="P1667" t="n">
        <v>1</v>
      </c>
      <c r="Q1667" t="n">
        <v>0.12</v>
      </c>
      <c r="R1667" t="n">
        <v>1</v>
      </c>
      <c r="S1667" t="n">
        <v>2316.6</v>
      </c>
      <c r="T1667" t="n">
        <v>28</v>
      </c>
      <c r="U1667" t="n">
        <v>29</v>
      </c>
      <c r="V1667" t="n">
        <v>30</v>
      </c>
      <c r="W1667" t="n">
        <v>4</v>
      </c>
      <c r="X1667" t="n">
        <v>25.25252525252525</v>
      </c>
      <c r="Y1667" t="n">
        <v>1</v>
      </c>
      <c r="Z1667" t="n">
        <v>1</v>
      </c>
      <c r="AA1667" t="n">
        <v>1</v>
      </c>
      <c r="AB1667" t="n">
        <v>0</v>
      </c>
      <c r="AC1667" t="n">
        <v>0</v>
      </c>
      <c r="AD1667" t="n">
        <v>15258</v>
      </c>
      <c r="AE1667" t="n">
        <v>0</v>
      </c>
      <c r="AF1667" t="n">
        <v>10510</v>
      </c>
      <c r="AG1667" t="n">
        <v>2148</v>
      </c>
      <c r="AH1667" t="inlineStr">
        <is>
          <t>PT. JAYA PALEMBANG SUKSES - PPN (JMB)</t>
        </is>
      </c>
      <c r="AI1667" t="n">
        <v>78</v>
      </c>
      <c r="AJ1667" t="inlineStr">
        <is>
          <t>HANASUI</t>
        </is>
      </c>
      <c r="AK1667" t="n">
        <v>9</v>
      </c>
      <c r="AL1667" t="inlineStr">
        <is>
          <t>Miss Glam Jambi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"8998824552695"</f>
        <v/>
      </c>
      <c r="C1668" t="inlineStr">
        <is>
          <t>HANASUI Tintdorable Lip Stain 04 Sweet 3.5gr</t>
        </is>
      </c>
      <c r="D1668" t="inlineStr">
        <is>
          <t>Miss Glam Jambi</t>
        </is>
      </c>
      <c r="E1668" t="n">
        <v>4</v>
      </c>
      <c r="F1668" t="n">
        <v>0.297</v>
      </c>
      <c r="G1668" t="n">
        <v>1.32</v>
      </c>
      <c r="H1668" t="n">
        <v>4</v>
      </c>
      <c r="I1668" t="n">
        <v>28</v>
      </c>
      <c r="J1668" t="n">
        <v>3</v>
      </c>
      <c r="K1668" t="n">
        <v>9</v>
      </c>
      <c r="L1668" t="n">
        <v>15486</v>
      </c>
      <c r="M1668" t="n">
        <v>19500</v>
      </c>
      <c r="N1668" t="n">
        <v>33</v>
      </c>
      <c r="O1668" t="n">
        <v>0.33</v>
      </c>
      <c r="P1668" t="n">
        <v>1</v>
      </c>
      <c r="Q1668" t="n">
        <v>0.27</v>
      </c>
      <c r="R1668" t="n">
        <v>2</v>
      </c>
      <c r="S1668" t="n">
        <v>5791.500000000001</v>
      </c>
      <c r="T1668" t="n">
        <v>36</v>
      </c>
      <c r="U1668" t="n">
        <v>38</v>
      </c>
      <c r="V1668" t="n">
        <v>30</v>
      </c>
      <c r="W1668" t="n">
        <v>9</v>
      </c>
      <c r="X1668" t="n">
        <v>13.46801346801347</v>
      </c>
      <c r="Y1668" t="n">
        <v>1</v>
      </c>
      <c r="Z1668" t="n">
        <v>0</v>
      </c>
      <c r="AA1668" t="n">
        <v>4</v>
      </c>
      <c r="AB1668" t="n">
        <v>0</v>
      </c>
      <c r="AC1668" t="n">
        <v>0</v>
      </c>
      <c r="AD1668" t="n">
        <v>61944</v>
      </c>
      <c r="AE1668" t="n">
        <v>0</v>
      </c>
      <c r="AF1668" t="n">
        <v>10510</v>
      </c>
      <c r="AG1668" t="n">
        <v>2148</v>
      </c>
      <c r="AH1668" t="inlineStr">
        <is>
          <t>PT. JAYA PALEMBANG SUKSES - PPN (JMB)</t>
        </is>
      </c>
      <c r="AI1668" t="n">
        <v>78</v>
      </c>
      <c r="AJ1668" t="inlineStr">
        <is>
          <t>HANASUI</t>
        </is>
      </c>
      <c r="AK1668" t="n">
        <v>9</v>
      </c>
      <c r="AL1668" t="inlineStr">
        <is>
          <t>Miss Glam Jambi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"8998824552732"</f>
        <v/>
      </c>
      <c r="C1669" t="inlineStr">
        <is>
          <t>HANASUI Tintdorable Lip Stain 05 Coral 3.5gr</t>
        </is>
      </c>
      <c r="D1669" t="inlineStr">
        <is>
          <t>Miss Glam Jambi</t>
        </is>
      </c>
      <c r="E1669" t="n">
        <v>19</v>
      </c>
      <c r="F1669" t="n">
        <v>0.264</v>
      </c>
      <c r="G1669" t="n">
        <v>0.99</v>
      </c>
      <c r="H1669" t="n">
        <v>4</v>
      </c>
      <c r="I1669" t="n">
        <v>28</v>
      </c>
      <c r="J1669" t="n">
        <v>3</v>
      </c>
      <c r="K1669" t="n">
        <v>0</v>
      </c>
      <c r="L1669" t="n">
        <v>15258</v>
      </c>
      <c r="M1669" t="n">
        <v>19500</v>
      </c>
      <c r="N1669" t="n">
        <v>33</v>
      </c>
      <c r="O1669" t="n">
        <v>0.33</v>
      </c>
      <c r="P1669" t="n">
        <v>1</v>
      </c>
      <c r="Q1669" t="n">
        <v>0.2</v>
      </c>
      <c r="R1669" t="n">
        <v>2</v>
      </c>
      <c r="S1669" t="n">
        <v>5148</v>
      </c>
      <c r="T1669" t="n">
        <v>27</v>
      </c>
      <c r="U1669" t="n">
        <v>29</v>
      </c>
      <c r="V1669" t="n">
        <v>30</v>
      </c>
      <c r="W1669" t="n">
        <v>8</v>
      </c>
      <c r="X1669" t="n">
        <v>71.96969696969697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10510</v>
      </c>
      <c r="AG1669" t="n">
        <v>2148</v>
      </c>
      <c r="AH1669" t="inlineStr">
        <is>
          <t>PT. JAYA PALEMBANG SUKSES - PPN (JMB)</t>
        </is>
      </c>
      <c r="AI1669" t="n">
        <v>78</v>
      </c>
      <c r="AJ1669" t="inlineStr">
        <is>
          <t>HANASUI</t>
        </is>
      </c>
      <c r="AK1669" t="n">
        <v>9</v>
      </c>
      <c r="AL1669" t="inlineStr">
        <is>
          <t>Miss Glam Jambi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"8998824553272"</f>
        <v/>
      </c>
      <c r="C1670" t="inlineStr">
        <is>
          <t>HANASUI Tintdorable Lip Stain 06 Bloody 3.5gr</t>
        </is>
      </c>
      <c r="D1670" t="inlineStr">
        <is>
          <t>Miss Glam Jambi</t>
        </is>
      </c>
      <c r="E1670" t="n">
        <v>9</v>
      </c>
      <c r="F1670" t="n">
        <v>0.09569999999999999</v>
      </c>
      <c r="G1670" t="n">
        <v>0.66</v>
      </c>
      <c r="H1670" t="n">
        <v>4</v>
      </c>
      <c r="I1670" t="n">
        <v>28</v>
      </c>
      <c r="J1670" t="n">
        <v>3</v>
      </c>
      <c r="K1670" t="n">
        <v>0</v>
      </c>
      <c r="L1670" t="n">
        <v>15258</v>
      </c>
      <c r="M1670" t="n">
        <v>19500</v>
      </c>
      <c r="N1670" t="n">
        <v>33</v>
      </c>
      <c r="O1670" t="n">
        <v>0.33</v>
      </c>
      <c r="P1670" t="n">
        <v>1</v>
      </c>
      <c r="Q1670" t="n">
        <v>0.07000000000000001</v>
      </c>
      <c r="R1670" t="n">
        <v>2</v>
      </c>
      <c r="S1670" t="n">
        <v>1866.15</v>
      </c>
      <c r="T1670" t="n">
        <v>19</v>
      </c>
      <c r="U1670" t="n">
        <v>20</v>
      </c>
      <c r="V1670" t="n">
        <v>30</v>
      </c>
      <c r="W1670" t="n">
        <v>3</v>
      </c>
      <c r="X1670" t="n">
        <v>94.04388714733543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10510</v>
      </c>
      <c r="AG1670" t="n">
        <v>2148</v>
      </c>
      <c r="AH1670" t="inlineStr">
        <is>
          <t>PT. JAYA PALEMBANG SUKSES - PPN (JMB)</t>
        </is>
      </c>
      <c r="AI1670" t="n">
        <v>78</v>
      </c>
      <c r="AJ1670" t="inlineStr">
        <is>
          <t>HANASUI</t>
        </is>
      </c>
      <c r="AK1670" t="n">
        <v>9</v>
      </c>
      <c r="AL1670" t="inlineStr">
        <is>
          <t>Miss Glam Jambi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"8998824553654"</f>
        <v/>
      </c>
      <c r="C1671" t="inlineStr">
        <is>
          <t>HANASUI Tintdorable Lip Stain 07 Copper 3.5gr</t>
        </is>
      </c>
      <c r="D1671" t="inlineStr">
        <is>
          <t>Miss Glam Jambi</t>
        </is>
      </c>
      <c r="E1671" t="n">
        <v>3</v>
      </c>
      <c r="F1671" t="n">
        <v>0.08910000000000001</v>
      </c>
      <c r="G1671" t="n">
        <v>0.66</v>
      </c>
      <c r="H1671" t="n">
        <v>4</v>
      </c>
      <c r="I1671" t="n">
        <v>28</v>
      </c>
      <c r="J1671" t="n">
        <v>3</v>
      </c>
      <c r="K1671" t="n">
        <v>0</v>
      </c>
      <c r="L1671" t="n">
        <v>15258</v>
      </c>
      <c r="M1671" t="n">
        <v>19500</v>
      </c>
      <c r="N1671" t="n">
        <v>33</v>
      </c>
      <c r="O1671" t="n">
        <v>0.33</v>
      </c>
      <c r="P1671" t="n">
        <v>1</v>
      </c>
      <c r="Q1671" t="n">
        <v>0.08</v>
      </c>
      <c r="R1671" t="n">
        <v>1</v>
      </c>
      <c r="S1671" t="n">
        <v>1737.45</v>
      </c>
      <c r="T1671" t="n">
        <v>19</v>
      </c>
      <c r="U1671" t="n">
        <v>20</v>
      </c>
      <c r="V1671" t="n">
        <v>30</v>
      </c>
      <c r="W1671" t="n">
        <v>3</v>
      </c>
      <c r="X1671" t="n">
        <v>33.67003367003367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10510</v>
      </c>
      <c r="AG1671" t="n">
        <v>2148</v>
      </c>
      <c r="AH1671" t="inlineStr">
        <is>
          <t>PT. JAYA PALEMBANG SUKSES - PPN (JMB)</t>
        </is>
      </c>
      <c r="AI1671" t="n">
        <v>78</v>
      </c>
      <c r="AJ1671" t="inlineStr">
        <is>
          <t>HANASUI</t>
        </is>
      </c>
      <c r="AK1671" t="n">
        <v>9</v>
      </c>
      <c r="AL1671" t="inlineStr">
        <is>
          <t>Miss Glam Jambi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"8998824553685"</f>
        <v/>
      </c>
      <c r="C1672" t="inlineStr">
        <is>
          <t>HANASUI Tintdorable Lip Stain 08 Rosy 3.5gr</t>
        </is>
      </c>
      <c r="D1672" t="inlineStr">
        <is>
          <t>Miss Glam Jambi</t>
        </is>
      </c>
      <c r="E1672" t="n">
        <v>0</v>
      </c>
      <c r="F1672" t="n">
        <v>0.1947</v>
      </c>
      <c r="G1672" t="n">
        <v>0.66</v>
      </c>
      <c r="H1672" t="n">
        <v>4</v>
      </c>
      <c r="I1672" t="n">
        <v>28</v>
      </c>
      <c r="J1672" t="n">
        <v>3</v>
      </c>
      <c r="K1672" t="n">
        <v>24</v>
      </c>
      <c r="L1672" t="n">
        <v>15258</v>
      </c>
      <c r="M1672" t="n">
        <v>19500</v>
      </c>
      <c r="N1672" t="n">
        <v>33</v>
      </c>
      <c r="O1672" t="n">
        <v>0.33</v>
      </c>
      <c r="P1672" t="n">
        <v>1</v>
      </c>
      <c r="Q1672" t="n">
        <v>0.35</v>
      </c>
      <c r="R1672" t="n">
        <v>3</v>
      </c>
      <c r="S1672" t="n">
        <v>3796.65</v>
      </c>
      <c r="T1672" t="n">
        <v>18</v>
      </c>
      <c r="U1672" t="n">
        <v>19</v>
      </c>
      <c r="V1672" t="n">
        <v>30</v>
      </c>
      <c r="W1672" t="n">
        <v>6</v>
      </c>
      <c r="X1672" t="n">
        <v>0</v>
      </c>
      <c r="Y1672" t="n">
        <v>1</v>
      </c>
      <c r="Z1672" t="n">
        <v>0</v>
      </c>
      <c r="AA1672" t="n">
        <v>5</v>
      </c>
      <c r="AB1672" t="n">
        <v>0</v>
      </c>
      <c r="AC1672" t="n">
        <v>0</v>
      </c>
      <c r="AD1672" t="n">
        <v>76290</v>
      </c>
      <c r="AE1672" t="n">
        <v>0</v>
      </c>
      <c r="AF1672" t="n">
        <v>10510</v>
      </c>
      <c r="AG1672" t="n">
        <v>2148</v>
      </c>
      <c r="AH1672" t="inlineStr">
        <is>
          <t>PT. JAYA PALEMBANG SUKSES - PPN (JMB)</t>
        </is>
      </c>
      <c r="AI1672" t="n">
        <v>78</v>
      </c>
      <c r="AJ1672" t="inlineStr">
        <is>
          <t>HANASUI</t>
        </is>
      </c>
      <c r="AK1672" t="n">
        <v>9</v>
      </c>
      <c r="AL1672" t="inlineStr">
        <is>
          <t>Miss Glam Jambi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"8998824553715"</f>
        <v/>
      </c>
      <c r="C1673" t="inlineStr">
        <is>
          <t>HANASUI Tintdorable Lip Stain 09 Dreamy 3.5gr</t>
        </is>
      </c>
      <c r="D1673" t="inlineStr">
        <is>
          <t>Miss Glam Jambi</t>
        </is>
      </c>
      <c r="E1673" t="n">
        <v>8</v>
      </c>
      <c r="F1673" t="n">
        <v>0.1188</v>
      </c>
      <c r="G1673" t="n">
        <v>0.66</v>
      </c>
      <c r="H1673" t="n">
        <v>4</v>
      </c>
      <c r="I1673" t="n">
        <v>28</v>
      </c>
      <c r="J1673" t="n">
        <v>3</v>
      </c>
      <c r="K1673" t="n">
        <v>0</v>
      </c>
      <c r="L1673" t="n">
        <v>15258</v>
      </c>
      <c r="M1673" t="n">
        <v>19500</v>
      </c>
      <c r="N1673" t="n">
        <v>33</v>
      </c>
      <c r="O1673" t="n">
        <v>0.33</v>
      </c>
      <c r="P1673" t="n">
        <v>1</v>
      </c>
      <c r="Q1673" t="n">
        <v>0.07000000000000001</v>
      </c>
      <c r="R1673" t="n">
        <v>1</v>
      </c>
      <c r="S1673" t="n">
        <v>2316.6</v>
      </c>
      <c r="T1673" t="n">
        <v>19</v>
      </c>
      <c r="U1673" t="n">
        <v>20</v>
      </c>
      <c r="V1673" t="n">
        <v>30</v>
      </c>
      <c r="W1673" t="n">
        <v>4</v>
      </c>
      <c r="X1673" t="n">
        <v>67.34006734006734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10510</v>
      </c>
      <c r="AG1673" t="n">
        <v>2148</v>
      </c>
      <c r="AH1673" t="inlineStr">
        <is>
          <t>PT. JAYA PALEMBANG SUKSES - PPN (JMB)</t>
        </is>
      </c>
      <c r="AI1673" t="n">
        <v>78</v>
      </c>
      <c r="AJ1673" t="inlineStr">
        <is>
          <t>HANASUI</t>
        </is>
      </c>
      <c r="AK1673" t="n">
        <v>9</v>
      </c>
      <c r="AL1673" t="inlineStr">
        <is>
          <t>Miss Glam Jambi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"8998824551445"</f>
        <v/>
      </c>
      <c r="C1674" t="inlineStr">
        <is>
          <t>HANASUI Vita Smoothies Body Spa Exfoliating Gel Aloe Vera 180ml</t>
        </is>
      </c>
      <c r="D1674" t="inlineStr">
        <is>
          <t>Miss Glam Jambi</t>
        </is>
      </c>
      <c r="E1674" t="n">
        <v>3</v>
      </c>
      <c r="F1674" t="n">
        <v>0.07920000000000001</v>
      </c>
      <c r="G1674" t="n">
        <v>0.99</v>
      </c>
      <c r="H1674" t="n">
        <v>4</v>
      </c>
      <c r="I1674" t="n">
        <v>28</v>
      </c>
      <c r="J1674" t="n">
        <v>3</v>
      </c>
      <c r="K1674" t="n">
        <v>0</v>
      </c>
      <c r="L1674" t="n">
        <v>15120</v>
      </c>
      <c r="M1674" t="n">
        <v>19000</v>
      </c>
      <c r="N1674" t="n">
        <v>33</v>
      </c>
      <c r="O1674" t="n">
        <v>0.33</v>
      </c>
      <c r="P1674" t="n">
        <v>1</v>
      </c>
      <c r="Q1674" t="n">
        <v>0.05</v>
      </c>
      <c r="R1674" t="n">
        <v>1</v>
      </c>
      <c r="S1674" t="n">
        <v>1504.8</v>
      </c>
      <c r="T1674" t="n">
        <v>28</v>
      </c>
      <c r="U1674" t="n">
        <v>29</v>
      </c>
      <c r="V1674" t="n">
        <v>30</v>
      </c>
      <c r="W1674" t="n">
        <v>3</v>
      </c>
      <c r="X1674" t="n">
        <v>37.87878787878788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10510</v>
      </c>
      <c r="AG1674" t="n">
        <v>2148</v>
      </c>
      <c r="AH1674" t="inlineStr">
        <is>
          <t>PT. JAYA PALEMBANG SUKSES - PPN (JMB)</t>
        </is>
      </c>
      <c r="AI1674" t="n">
        <v>78</v>
      </c>
      <c r="AJ1674" t="inlineStr">
        <is>
          <t>HANASUI</t>
        </is>
      </c>
      <c r="AK1674" t="n">
        <v>9</v>
      </c>
      <c r="AL1674" t="inlineStr">
        <is>
          <t>Miss Glam Jambi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"8998824551476"</f>
        <v/>
      </c>
      <c r="C1675" t="inlineStr">
        <is>
          <t>HANASUI Vita Smoothies Body Spa Exfoliating Gel Blueberry 180ml</t>
        </is>
      </c>
      <c r="D1675" t="inlineStr">
        <is>
          <t>Miss Glam Jambi</t>
        </is>
      </c>
      <c r="E1675" t="n">
        <v>5</v>
      </c>
      <c r="F1675" t="n">
        <v>0.0495</v>
      </c>
      <c r="G1675" t="n">
        <v>0.66</v>
      </c>
      <c r="H1675" t="n">
        <v>4</v>
      </c>
      <c r="I1675" t="n">
        <v>28</v>
      </c>
      <c r="J1675" t="n">
        <v>3</v>
      </c>
      <c r="K1675" t="n">
        <v>0</v>
      </c>
      <c r="L1675" t="n">
        <v>15120</v>
      </c>
      <c r="M1675" t="n">
        <v>19000</v>
      </c>
      <c r="N1675" t="n">
        <v>33</v>
      </c>
      <c r="O1675" t="n">
        <v>0.33</v>
      </c>
      <c r="P1675" t="n">
        <v>1</v>
      </c>
      <c r="Q1675" t="n">
        <v>0.03</v>
      </c>
      <c r="R1675" t="n">
        <v>1</v>
      </c>
      <c r="S1675" t="n">
        <v>940.5</v>
      </c>
      <c r="T1675" t="n">
        <v>19</v>
      </c>
      <c r="U1675" t="n">
        <v>20</v>
      </c>
      <c r="V1675" t="n">
        <v>30</v>
      </c>
      <c r="W1675" t="n">
        <v>2</v>
      </c>
      <c r="X1675" t="n">
        <v>101.010101010101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10510</v>
      </c>
      <c r="AG1675" t="n">
        <v>2148</v>
      </c>
      <c r="AH1675" t="inlineStr">
        <is>
          <t>PT. JAYA PALEMBANG SUKSES - PPN (JMB)</t>
        </is>
      </c>
      <c r="AI1675" t="n">
        <v>78</v>
      </c>
      <c r="AJ1675" t="inlineStr">
        <is>
          <t>HANASUI</t>
        </is>
      </c>
      <c r="AK1675" t="n">
        <v>9</v>
      </c>
      <c r="AL1675" t="inlineStr">
        <is>
          <t>Miss Glam Jambi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"8998824551452"</f>
        <v/>
      </c>
      <c r="C1676" t="inlineStr">
        <is>
          <t>HANASUI Vita Smoothies Body Spa Exfoliating Gel Cherry 180ml</t>
        </is>
      </c>
      <c r="D1676" t="inlineStr">
        <is>
          <t>Miss Glam Jambi</t>
        </is>
      </c>
      <c r="E1676" t="n">
        <v>4</v>
      </c>
      <c r="F1676" t="n">
        <v>0.0495</v>
      </c>
      <c r="G1676" t="n">
        <v>0.66</v>
      </c>
      <c r="H1676" t="n">
        <v>4</v>
      </c>
      <c r="I1676" t="n">
        <v>28</v>
      </c>
      <c r="J1676" t="n">
        <v>3</v>
      </c>
      <c r="K1676" t="n">
        <v>0</v>
      </c>
      <c r="L1676" t="n">
        <v>15119</v>
      </c>
      <c r="M1676" t="n">
        <v>19000</v>
      </c>
      <c r="N1676" t="n">
        <v>33</v>
      </c>
      <c r="O1676" t="n">
        <v>0.33</v>
      </c>
      <c r="P1676" t="n">
        <v>1</v>
      </c>
      <c r="Q1676" t="n">
        <v>0.07000000000000001</v>
      </c>
      <c r="R1676" t="n">
        <v>1</v>
      </c>
      <c r="S1676" t="n">
        <v>940.5</v>
      </c>
      <c r="T1676" t="n">
        <v>19</v>
      </c>
      <c r="U1676" t="n">
        <v>20</v>
      </c>
      <c r="V1676" t="n">
        <v>30</v>
      </c>
      <c r="W1676" t="n">
        <v>2</v>
      </c>
      <c r="X1676" t="n">
        <v>80.8080808080808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10510</v>
      </c>
      <c r="AG1676" t="n">
        <v>2148</v>
      </c>
      <c r="AH1676" t="inlineStr">
        <is>
          <t>PT. JAYA PALEMBANG SUKSES - PPN (JMB)</t>
        </is>
      </c>
      <c r="AI1676" t="n">
        <v>78</v>
      </c>
      <c r="AJ1676" t="inlineStr">
        <is>
          <t>HANASUI</t>
        </is>
      </c>
      <c r="AK1676" t="n">
        <v>9</v>
      </c>
      <c r="AL1676" t="inlineStr">
        <is>
          <t>Miss Glam Jambi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"8998824552114"</f>
        <v/>
      </c>
      <c r="C1677" t="inlineStr">
        <is>
          <t>HANASUI Vita Smoothies Body Spa Exfoliating Gel Coffee 180ml</t>
        </is>
      </c>
      <c r="D1677" t="inlineStr">
        <is>
          <t>Miss Glam Jambi</t>
        </is>
      </c>
      <c r="E1677" t="n">
        <v>10</v>
      </c>
      <c r="F1677" t="n">
        <v>0.066</v>
      </c>
      <c r="G1677" t="n">
        <v>0.66</v>
      </c>
      <c r="H1677" t="n">
        <v>4</v>
      </c>
      <c r="I1677" t="n">
        <v>28</v>
      </c>
      <c r="J1677" t="n">
        <v>3</v>
      </c>
      <c r="K1677" t="n">
        <v>0</v>
      </c>
      <c r="L1677" t="n">
        <v>15200</v>
      </c>
      <c r="M1677" t="n">
        <v>19000</v>
      </c>
      <c r="N1677" t="n">
        <v>33</v>
      </c>
      <c r="O1677" t="n">
        <v>0.33</v>
      </c>
      <c r="P1677" t="n">
        <v>1</v>
      </c>
      <c r="Q1677" t="n">
        <v>0.1</v>
      </c>
      <c r="R1677" t="n">
        <v>2</v>
      </c>
      <c r="S1677" t="n">
        <v>1254</v>
      </c>
      <c r="T1677" t="n">
        <v>19</v>
      </c>
      <c r="U1677" t="n">
        <v>20</v>
      </c>
      <c r="V1677" t="n">
        <v>30</v>
      </c>
      <c r="W1677" t="n">
        <v>2</v>
      </c>
      <c r="X1677" t="n">
        <v>151.5151515151515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10510</v>
      </c>
      <c r="AG1677" t="n">
        <v>2148</v>
      </c>
      <c r="AH1677" t="inlineStr">
        <is>
          <t>PT. JAYA PALEMBANG SUKSES - PPN (JMB)</t>
        </is>
      </c>
      <c r="AI1677" t="n">
        <v>78</v>
      </c>
      <c r="AJ1677" t="inlineStr">
        <is>
          <t>HANASUI</t>
        </is>
      </c>
      <c r="AK1677" t="n">
        <v>9</v>
      </c>
      <c r="AL1677" t="inlineStr">
        <is>
          <t>Miss Glam Jambi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"8998824551438"</f>
        <v/>
      </c>
      <c r="C1678" t="inlineStr">
        <is>
          <t>HANASUI Vita Smoothies Body Spa Exfoliating Gel Lemon 180ml</t>
        </is>
      </c>
      <c r="D1678" t="inlineStr">
        <is>
          <t>Miss Glam Jambi</t>
        </is>
      </c>
      <c r="E1678" t="n">
        <v>3</v>
      </c>
      <c r="F1678" t="n">
        <v>0.02</v>
      </c>
      <c r="G1678" t="n">
        <v>1</v>
      </c>
      <c r="H1678" t="n">
        <v>4</v>
      </c>
      <c r="I1678" t="n">
        <v>28</v>
      </c>
      <c r="J1678" t="n">
        <v>3</v>
      </c>
      <c r="K1678" t="n">
        <v>0</v>
      </c>
      <c r="L1678" t="n">
        <v>15120</v>
      </c>
      <c r="M1678" t="n">
        <v>19000</v>
      </c>
      <c r="N1678" t="n">
        <v>33</v>
      </c>
      <c r="O1678" t="n">
        <v>0.33</v>
      </c>
      <c r="P1678" t="n">
        <v>0</v>
      </c>
      <c r="Q1678" t="n">
        <v>0.02</v>
      </c>
      <c r="R1678" t="n">
        <v>1</v>
      </c>
      <c r="S1678" t="n">
        <v>380</v>
      </c>
      <c r="T1678" t="n">
        <v>28</v>
      </c>
      <c r="U1678" t="n">
        <v>29</v>
      </c>
      <c r="V1678" t="n">
        <v>30</v>
      </c>
      <c r="W1678" t="n">
        <v>1</v>
      </c>
      <c r="X1678" t="n">
        <v>150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10510</v>
      </c>
      <c r="AG1678" t="n">
        <v>2148</v>
      </c>
      <c r="AH1678" t="inlineStr">
        <is>
          <t>PT. JAYA PALEMBANG SUKSES - PPN (JMB)</t>
        </is>
      </c>
      <c r="AI1678" t="n">
        <v>78</v>
      </c>
      <c r="AJ1678" t="inlineStr">
        <is>
          <t>HANASUI</t>
        </is>
      </c>
      <c r="AK1678" t="n">
        <v>9</v>
      </c>
      <c r="AL1678" t="inlineStr">
        <is>
          <t>Miss Glam Jambi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"8998824551421"</f>
        <v/>
      </c>
      <c r="C1679" t="inlineStr">
        <is>
          <t>HANASUI Vita Smoothies Body Spa Exfoliating Gel Orange 180ml</t>
        </is>
      </c>
      <c r="D1679" t="inlineStr">
        <is>
          <t>Miss Glam Jambi</t>
        </is>
      </c>
      <c r="E1679" t="n">
        <v>0</v>
      </c>
      <c r="F1679" t="n">
        <v>0.033</v>
      </c>
      <c r="G1679" t="n">
        <v>0.33</v>
      </c>
      <c r="H1679" t="n">
        <v>4</v>
      </c>
      <c r="I1679" t="n">
        <v>28</v>
      </c>
      <c r="J1679" t="n">
        <v>3</v>
      </c>
      <c r="K1679" t="n">
        <v>0</v>
      </c>
      <c r="L1679" t="n">
        <v>15120</v>
      </c>
      <c r="M1679" t="n">
        <v>19000</v>
      </c>
      <c r="N1679" t="n">
        <v>33</v>
      </c>
      <c r="O1679" t="n">
        <v>0.33</v>
      </c>
      <c r="P1679" t="n">
        <v>1</v>
      </c>
      <c r="Q1679" t="n">
        <v>0.02</v>
      </c>
      <c r="R1679" t="n">
        <v>0</v>
      </c>
      <c r="S1679" t="n">
        <v>627</v>
      </c>
      <c r="T1679" t="n">
        <v>10</v>
      </c>
      <c r="U1679" t="n">
        <v>11</v>
      </c>
      <c r="V1679" t="n">
        <v>30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n">
        <v>0</v>
      </c>
      <c r="AC1679" t="n">
        <v>0</v>
      </c>
      <c r="AD1679" t="n">
        <v>15120</v>
      </c>
      <c r="AE1679" t="n">
        <v>0</v>
      </c>
      <c r="AF1679" t="n">
        <v>10510</v>
      </c>
      <c r="AG1679" t="n">
        <v>2148</v>
      </c>
      <c r="AH1679" t="inlineStr">
        <is>
          <t>PT. JAYA PALEMBANG SUKSES - PPN (JMB)</t>
        </is>
      </c>
      <c r="AI1679" t="n">
        <v>78</v>
      </c>
      <c r="AJ1679" t="inlineStr">
        <is>
          <t>HANASUI</t>
        </is>
      </c>
      <c r="AK1679" t="n">
        <v>9</v>
      </c>
      <c r="AL1679" t="inlineStr">
        <is>
          <t>Miss Glam Jambi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"8998824551605"</f>
        <v/>
      </c>
      <c r="C1680" t="inlineStr">
        <is>
          <t>HANASUI Vita Smoothies Body Spa Exfoliating Gel Rainbow 180ml</t>
        </is>
      </c>
      <c r="D1680" t="inlineStr">
        <is>
          <t>Miss Glam Jambi</t>
        </is>
      </c>
      <c r="E1680" t="n">
        <v>6</v>
      </c>
      <c r="F1680" t="n">
        <v>0.1386</v>
      </c>
      <c r="G1680" t="n">
        <v>0.99</v>
      </c>
      <c r="H1680" t="n">
        <v>4</v>
      </c>
      <c r="I1680" t="n">
        <v>28</v>
      </c>
      <c r="J1680" t="n">
        <v>3</v>
      </c>
      <c r="K1680" t="n">
        <v>0</v>
      </c>
      <c r="L1680" t="n">
        <v>15120</v>
      </c>
      <c r="M1680" t="n">
        <v>19000</v>
      </c>
      <c r="N1680" t="n">
        <v>33</v>
      </c>
      <c r="O1680" t="n">
        <v>0.33</v>
      </c>
      <c r="P1680" t="n">
        <v>1</v>
      </c>
      <c r="Q1680" t="n">
        <v>0.03</v>
      </c>
      <c r="R1680" t="n">
        <v>2</v>
      </c>
      <c r="S1680" t="n">
        <v>2633.4</v>
      </c>
      <c r="T1680" t="n">
        <v>28</v>
      </c>
      <c r="U1680" t="n">
        <v>29</v>
      </c>
      <c r="V1680" t="n">
        <v>30</v>
      </c>
      <c r="W1680" t="n">
        <v>5</v>
      </c>
      <c r="X1680" t="n">
        <v>43.29004329004329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10510</v>
      </c>
      <c r="AG1680" t="n">
        <v>2148</v>
      </c>
      <c r="AH1680" t="inlineStr">
        <is>
          <t>PT. JAYA PALEMBANG SUKSES - PPN (JMB)</t>
        </is>
      </c>
      <c r="AI1680" t="n">
        <v>78</v>
      </c>
      <c r="AJ1680" t="inlineStr">
        <is>
          <t>HANASUI</t>
        </is>
      </c>
      <c r="AK1680" t="n">
        <v>9</v>
      </c>
      <c r="AL1680" t="inlineStr">
        <is>
          <t>Miss Glam Jambi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"8998824553388"</f>
        <v/>
      </c>
      <c r="C1681" t="inlineStr">
        <is>
          <t>HANASUI Vita Smoothies Body Spa Exfoliating Gel Rice 180ml</t>
        </is>
      </c>
      <c r="D1681" t="inlineStr">
        <is>
          <t>Miss Glam Jambi</t>
        </is>
      </c>
      <c r="E1681" t="n">
        <v>10</v>
      </c>
      <c r="F1681" t="n">
        <v>0.0825</v>
      </c>
      <c r="G1681" t="n">
        <v>0.66</v>
      </c>
      <c r="H1681" t="n">
        <v>4</v>
      </c>
      <c r="I1681" t="n">
        <v>28</v>
      </c>
      <c r="J1681" t="n">
        <v>3</v>
      </c>
      <c r="K1681" t="n">
        <v>0</v>
      </c>
      <c r="L1681" t="n">
        <v>15200</v>
      </c>
      <c r="M1681" t="n">
        <v>19000</v>
      </c>
      <c r="N1681" t="n">
        <v>33</v>
      </c>
      <c r="O1681" t="n">
        <v>0.33</v>
      </c>
      <c r="P1681" t="n">
        <v>1</v>
      </c>
      <c r="Q1681" t="n">
        <v>0.07000000000000001</v>
      </c>
      <c r="R1681" t="n">
        <v>1</v>
      </c>
      <c r="S1681" t="n">
        <v>1567.5</v>
      </c>
      <c r="T1681" t="n">
        <v>19</v>
      </c>
      <c r="U1681" t="n">
        <v>20</v>
      </c>
      <c r="V1681" t="n">
        <v>30</v>
      </c>
      <c r="W1681" t="n">
        <v>3</v>
      </c>
      <c r="X1681" t="n">
        <v>121.2121212121212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10510</v>
      </c>
      <c r="AG1681" t="n">
        <v>2148</v>
      </c>
      <c r="AH1681" t="inlineStr">
        <is>
          <t>PT. JAYA PALEMBANG SUKSES - PPN (JMB)</t>
        </is>
      </c>
      <c r="AI1681" t="n">
        <v>78</v>
      </c>
      <c r="AJ1681" t="inlineStr">
        <is>
          <t>HANASUI</t>
        </is>
      </c>
      <c r="AK1681" t="n">
        <v>9</v>
      </c>
      <c r="AL1681" t="inlineStr">
        <is>
          <t>Miss Glam Jambi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"8998824551469"</f>
        <v/>
      </c>
      <c r="C1682" t="inlineStr">
        <is>
          <t>HANASUI Vita Smoothies Body Spa Exfoliating Gel Strawberry 180ml</t>
        </is>
      </c>
      <c r="D1682" t="inlineStr">
        <is>
          <t>Miss Glam Jambi</t>
        </is>
      </c>
      <c r="E1682" t="n">
        <v>4</v>
      </c>
      <c r="F1682" t="n">
        <v>0.0396</v>
      </c>
      <c r="G1682" t="n">
        <v>0.33</v>
      </c>
      <c r="H1682" t="n">
        <v>4</v>
      </c>
      <c r="I1682" t="n">
        <v>28</v>
      </c>
      <c r="J1682" t="n">
        <v>3</v>
      </c>
      <c r="K1682" t="n">
        <v>0</v>
      </c>
      <c r="L1682" t="n">
        <v>15120</v>
      </c>
      <c r="M1682" t="n">
        <v>19000</v>
      </c>
      <c r="N1682" t="n">
        <v>33</v>
      </c>
      <c r="O1682" t="n">
        <v>0.33</v>
      </c>
      <c r="P1682" t="n">
        <v>1</v>
      </c>
      <c r="Q1682" t="n">
        <v>0.03</v>
      </c>
      <c r="R1682" t="n">
        <v>1</v>
      </c>
      <c r="S1682" t="n">
        <v>752.4000000000001</v>
      </c>
      <c r="T1682" t="n">
        <v>10</v>
      </c>
      <c r="U1682" t="n">
        <v>11</v>
      </c>
      <c r="V1682" t="n">
        <v>30</v>
      </c>
      <c r="W1682" t="n">
        <v>2</v>
      </c>
      <c r="X1682" t="n">
        <v>101.010101010101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10510</v>
      </c>
      <c r="AG1682" t="n">
        <v>2148</v>
      </c>
      <c r="AH1682" t="inlineStr">
        <is>
          <t>PT. JAYA PALEMBANG SUKSES - PPN (JMB)</t>
        </is>
      </c>
      <c r="AI1682" t="n">
        <v>78</v>
      </c>
      <c r="AJ1682" t="inlineStr">
        <is>
          <t>HANASUI</t>
        </is>
      </c>
      <c r="AK1682" t="n">
        <v>9</v>
      </c>
      <c r="AL1682" t="inlineStr">
        <is>
          <t>Miss Glam Jambi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"8998824551278"</f>
        <v/>
      </c>
      <c r="C1683" t="inlineStr">
        <is>
          <t>HANASUI Vitamin C Serum + Collagen 20ml</t>
        </is>
      </c>
      <c r="D1683" t="inlineStr">
        <is>
          <t>Miss Glam Jambi</t>
        </is>
      </c>
      <c r="E1683" t="n">
        <v>30</v>
      </c>
      <c r="F1683" t="n">
        <v>1.5213</v>
      </c>
      <c r="G1683" t="n">
        <v>3.63</v>
      </c>
      <c r="H1683" t="n">
        <v>4</v>
      </c>
      <c r="I1683" t="n">
        <v>28</v>
      </c>
      <c r="J1683" t="n">
        <v>3</v>
      </c>
      <c r="K1683" t="n">
        <v>3</v>
      </c>
      <c r="L1683" t="n">
        <v>17760</v>
      </c>
      <c r="M1683" t="n">
        <v>23500</v>
      </c>
      <c r="N1683" t="n">
        <v>33</v>
      </c>
      <c r="O1683" t="n">
        <v>0.33</v>
      </c>
      <c r="P1683" t="n">
        <v>1</v>
      </c>
      <c r="Q1683" t="n">
        <v>0.53</v>
      </c>
      <c r="R1683" t="n">
        <v>3</v>
      </c>
      <c r="S1683" t="n">
        <v>35750.55</v>
      </c>
      <c r="T1683" t="n">
        <v>96</v>
      </c>
      <c r="U1683" t="n">
        <v>103</v>
      </c>
      <c r="V1683" t="n">
        <v>30</v>
      </c>
      <c r="W1683" t="n">
        <v>46</v>
      </c>
      <c r="X1683" t="n">
        <v>19.7199763360284</v>
      </c>
      <c r="Y1683" t="n">
        <v>1</v>
      </c>
      <c r="Z1683" t="n">
        <v>13</v>
      </c>
      <c r="AA1683" t="n">
        <v>12</v>
      </c>
      <c r="AB1683" t="n">
        <v>1</v>
      </c>
      <c r="AC1683" t="n">
        <v>3</v>
      </c>
      <c r="AD1683" t="n">
        <v>213120</v>
      </c>
      <c r="AE1683" t="n">
        <v>53280</v>
      </c>
      <c r="AF1683" t="n">
        <v>10510</v>
      </c>
      <c r="AG1683" t="n">
        <v>2148</v>
      </c>
      <c r="AH1683" t="inlineStr">
        <is>
          <t>PT. JAYA PALEMBANG SUKSES - PPN (JMB)</t>
        </is>
      </c>
      <c r="AI1683" t="n">
        <v>78</v>
      </c>
      <c r="AJ1683" t="inlineStr">
        <is>
          <t>HANASUI</t>
        </is>
      </c>
      <c r="AK1683" t="n">
        <v>9</v>
      </c>
      <c r="AL1683" t="inlineStr">
        <is>
          <t>Miss Glam Jambi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"8998824551285"</f>
        <v/>
      </c>
      <c r="C1684" t="inlineStr">
        <is>
          <t>HANASUI Vitamin C Serum 20ml</t>
        </is>
      </c>
      <c r="D1684" t="inlineStr">
        <is>
          <t>Miss Glam Jambi</t>
        </is>
      </c>
      <c r="E1684" t="n">
        <v>22</v>
      </c>
      <c r="F1684" t="n">
        <v>2.904</v>
      </c>
      <c r="G1684" t="n">
        <v>6.600000000000001</v>
      </c>
      <c r="H1684" t="n">
        <v>4</v>
      </c>
      <c r="I1684" t="n">
        <v>28</v>
      </c>
      <c r="J1684" t="n">
        <v>3</v>
      </c>
      <c r="K1684" t="n">
        <v>18</v>
      </c>
      <c r="L1684" t="n">
        <v>18651</v>
      </c>
      <c r="M1684" t="n">
        <v>23500</v>
      </c>
      <c r="N1684" t="n">
        <v>33</v>
      </c>
      <c r="O1684" t="n">
        <v>0.33</v>
      </c>
      <c r="P1684" t="n">
        <v>1</v>
      </c>
      <c r="Q1684" t="n">
        <v>1.12</v>
      </c>
      <c r="R1684" t="n">
        <v>4</v>
      </c>
      <c r="S1684" t="n">
        <v>68244.00000000001</v>
      </c>
      <c r="T1684" t="n">
        <v>174</v>
      </c>
      <c r="U1684" t="n">
        <v>186</v>
      </c>
      <c r="V1684" t="n">
        <v>30</v>
      </c>
      <c r="W1684" t="n">
        <v>88</v>
      </c>
      <c r="X1684" t="n">
        <v>7.575757575757575</v>
      </c>
      <c r="Y1684" t="n">
        <v>1</v>
      </c>
      <c r="Z1684" t="n">
        <v>48</v>
      </c>
      <c r="AA1684" t="n">
        <v>59</v>
      </c>
      <c r="AB1684" t="n">
        <v>0</v>
      </c>
      <c r="AC1684" t="n">
        <v>0</v>
      </c>
      <c r="AD1684" t="n">
        <v>1100409</v>
      </c>
      <c r="AE1684" t="n">
        <v>0</v>
      </c>
      <c r="AF1684" t="n">
        <v>10510</v>
      </c>
      <c r="AG1684" t="n">
        <v>2148</v>
      </c>
      <c r="AH1684" t="inlineStr">
        <is>
          <t>PT. JAYA PALEMBANG SUKSES - PPN (JMB)</t>
        </is>
      </c>
      <c r="AI1684" t="n">
        <v>78</v>
      </c>
      <c r="AJ1684" t="inlineStr">
        <is>
          <t>HANASUI</t>
        </is>
      </c>
      <c r="AK1684" t="n">
        <v>9</v>
      </c>
      <c r="AL1684" t="inlineStr">
        <is>
          <t>Miss Glam Jambi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"8998824551544"</f>
        <v/>
      </c>
      <c r="C1685" t="inlineStr">
        <is>
          <t>HANASUI White Rice Soap 60gr</t>
        </is>
      </c>
      <c r="D1685" t="inlineStr">
        <is>
          <t>Miss Glam Jambi</t>
        </is>
      </c>
      <c r="E1685" t="n">
        <v>3</v>
      </c>
      <c r="F1685" t="n">
        <v>0.2079</v>
      </c>
      <c r="G1685" t="n">
        <v>1.32</v>
      </c>
      <c r="H1685" t="n">
        <v>4</v>
      </c>
      <c r="I1685" t="n">
        <v>28</v>
      </c>
      <c r="J1685" t="n">
        <v>3</v>
      </c>
      <c r="K1685" t="n">
        <v>3</v>
      </c>
      <c r="L1685" t="n">
        <v>6660</v>
      </c>
      <c r="M1685" t="n">
        <v>9000</v>
      </c>
      <c r="N1685" t="n">
        <v>33</v>
      </c>
      <c r="O1685" t="n">
        <v>0.33</v>
      </c>
      <c r="P1685" t="n">
        <v>1</v>
      </c>
      <c r="Q1685" t="n">
        <v>0.08</v>
      </c>
      <c r="R1685" t="n">
        <v>2</v>
      </c>
      <c r="S1685" t="n">
        <v>1871.1</v>
      </c>
      <c r="T1685" t="n">
        <v>37</v>
      </c>
      <c r="U1685" t="n">
        <v>38</v>
      </c>
      <c r="V1685" t="n">
        <v>30</v>
      </c>
      <c r="W1685" t="n">
        <v>7</v>
      </c>
      <c r="X1685" t="n">
        <v>14.43001443001443</v>
      </c>
      <c r="Y1685" t="n">
        <v>1</v>
      </c>
      <c r="Z1685" t="n">
        <v>1</v>
      </c>
      <c r="AA1685" t="n">
        <v>2</v>
      </c>
      <c r="AB1685" t="n">
        <v>0</v>
      </c>
      <c r="AC1685" t="n">
        <v>0</v>
      </c>
      <c r="AD1685" t="n">
        <v>13320</v>
      </c>
      <c r="AE1685" t="n">
        <v>0</v>
      </c>
      <c r="AF1685" t="n">
        <v>10510</v>
      </c>
      <c r="AG1685" t="n">
        <v>2148</v>
      </c>
      <c r="AH1685" t="inlineStr">
        <is>
          <t>PT. JAYA PALEMBANG SUKSES - PPN (JMB)</t>
        </is>
      </c>
      <c r="AI1685" t="n">
        <v>78</v>
      </c>
      <c r="AJ1685" t="inlineStr">
        <is>
          <t>HANASUI</t>
        </is>
      </c>
      <c r="AK1685" t="n">
        <v>9</v>
      </c>
      <c r="AL1685" t="inlineStr">
        <is>
          <t>Miss Glam Jambi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HARLETTE</t>
        </is>
      </c>
      <c r="B1686" s="2">
        <f>"10400615011"</f>
        <v/>
      </c>
      <c r="C1686" t="inlineStr">
        <is>
          <t>HARLETTE Oat Probiotic Lightweight Sunscreen SPF 50 PA++++ 40gr</t>
        </is>
      </c>
      <c r="D1686" t="inlineStr">
        <is>
          <t>Miss Glam Jambi</t>
        </is>
      </c>
      <c r="E1686" t="n">
        <v>16</v>
      </c>
      <c r="F1686" t="n">
        <v>0.0825</v>
      </c>
      <c r="G1686" t="n">
        <v>0.99</v>
      </c>
      <c r="H1686" t="n">
        <v>4</v>
      </c>
      <c r="I1686" t="n">
        <v>20</v>
      </c>
      <c r="J1686" t="n">
        <v>1</v>
      </c>
      <c r="K1686" t="n">
        <v>0</v>
      </c>
      <c r="L1686" t="n">
        <v>83133</v>
      </c>
      <c r="M1686" t="n">
        <v>99000</v>
      </c>
      <c r="N1686" t="n">
        <v>33</v>
      </c>
      <c r="O1686" t="n">
        <v>0.33</v>
      </c>
      <c r="P1686" t="n">
        <v>1</v>
      </c>
      <c r="Q1686" t="n">
        <v>0.17</v>
      </c>
      <c r="R1686" t="n">
        <v>1</v>
      </c>
      <c r="S1686" t="n">
        <v>8167.5</v>
      </c>
      <c r="T1686" t="n">
        <v>20</v>
      </c>
      <c r="U1686" t="n">
        <v>21</v>
      </c>
      <c r="V1686" t="n">
        <v>30</v>
      </c>
      <c r="W1686" t="n">
        <v>3</v>
      </c>
      <c r="X1686" t="n">
        <v>193.9393939393939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5606</v>
      </c>
      <c r="AG1686" t="n">
        <v>1</v>
      </c>
      <c r="AH1686" t="inlineStr">
        <is>
          <t>PT. BERSAMA DISTRIVERSA INDONESIA (DC CIPUTAT)</t>
        </is>
      </c>
      <c r="AI1686" t="n">
        <v>421</v>
      </c>
      <c r="AJ1686" t="inlineStr">
        <is>
          <t>HARLETTE</t>
        </is>
      </c>
      <c r="AK1686" t="n">
        <v>9</v>
      </c>
      <c r="AL1686" t="inlineStr">
        <is>
          <t>Miss Glam Jambi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HARLETTE</t>
        </is>
      </c>
      <c r="B1687" s="2">
        <f>"10300146353"</f>
        <v/>
      </c>
      <c r="C1687" t="inlineStr">
        <is>
          <t>HARLETTE Oatmilk Day Crème 25gr</t>
        </is>
      </c>
      <c r="D1687" t="inlineStr">
        <is>
          <t>Miss Glam Jambi</t>
        </is>
      </c>
      <c r="E1687" t="n">
        <v>1</v>
      </c>
      <c r="F1687" t="n">
        <v>0.0396</v>
      </c>
      <c r="G1687" t="n">
        <v>0.66</v>
      </c>
      <c r="H1687" t="n">
        <v>4</v>
      </c>
      <c r="I1687" t="n">
        <v>20</v>
      </c>
      <c r="J1687" t="n">
        <v>1</v>
      </c>
      <c r="K1687" t="n">
        <v>0</v>
      </c>
      <c r="L1687" t="n">
        <v>56678</v>
      </c>
      <c r="M1687" t="n">
        <v>72000</v>
      </c>
      <c r="N1687" t="n">
        <v>33</v>
      </c>
      <c r="O1687" t="n">
        <v>0.33</v>
      </c>
      <c r="P1687" t="n">
        <v>1</v>
      </c>
      <c r="Q1687" t="n">
        <v>0.02</v>
      </c>
      <c r="R1687" t="n">
        <v>1</v>
      </c>
      <c r="S1687" t="n">
        <v>2851.2</v>
      </c>
      <c r="T1687" t="n">
        <v>14</v>
      </c>
      <c r="U1687" t="n">
        <v>15</v>
      </c>
      <c r="V1687" t="n">
        <v>30</v>
      </c>
      <c r="W1687" t="n">
        <v>2</v>
      </c>
      <c r="X1687" t="n">
        <v>25.25252525252525</v>
      </c>
      <c r="Y1687" t="n">
        <v>1</v>
      </c>
      <c r="Z1687" t="n">
        <v>1</v>
      </c>
      <c r="AA1687" t="n">
        <v>0</v>
      </c>
      <c r="AB1687" t="n">
        <v>1</v>
      </c>
      <c r="AC1687" t="n">
        <v>1</v>
      </c>
      <c r="AD1687" t="n">
        <v>0</v>
      </c>
      <c r="AE1687" t="n">
        <v>56678</v>
      </c>
      <c r="AF1687" t="n">
        <v>5606</v>
      </c>
      <c r="AG1687" t="n">
        <v>1</v>
      </c>
      <c r="AH1687" t="inlineStr">
        <is>
          <t>PT. BERSAMA DISTRIVERSA INDONESIA (DC CIPUTAT)</t>
        </is>
      </c>
      <c r="AI1687" t="n">
        <v>421</v>
      </c>
      <c r="AJ1687" t="inlineStr">
        <is>
          <t>HARLETTE</t>
        </is>
      </c>
      <c r="AK1687" t="n">
        <v>9</v>
      </c>
      <c r="AL1687" t="inlineStr">
        <is>
          <t>Miss Glam Jambi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HARLETTE</t>
        </is>
      </c>
      <c r="B1688" s="2">
        <f>"101001101419"</f>
        <v/>
      </c>
      <c r="C1688" t="inlineStr">
        <is>
          <t>HARLETTE Oatmilk Gentle Facial Wash 100gr</t>
        </is>
      </c>
      <c r="D1688" t="inlineStr">
        <is>
          <t>Miss Glam Jambi</t>
        </is>
      </c>
      <c r="E1688" t="n">
        <v>1</v>
      </c>
      <c r="F1688" t="n">
        <v>0.0231</v>
      </c>
      <c r="G1688" t="n">
        <v>0.66</v>
      </c>
      <c r="H1688" t="n">
        <v>4</v>
      </c>
      <c r="I1688" t="n">
        <v>20</v>
      </c>
      <c r="J1688" t="n">
        <v>3</v>
      </c>
      <c r="K1688" t="n">
        <v>0</v>
      </c>
      <c r="L1688" t="n">
        <v>85033</v>
      </c>
      <c r="M1688" t="n">
        <v>111000</v>
      </c>
      <c r="N1688" t="n">
        <v>33</v>
      </c>
      <c r="O1688" t="n">
        <v>0.33</v>
      </c>
      <c r="P1688" t="n">
        <v>1</v>
      </c>
      <c r="Q1688" t="n">
        <v>0.15</v>
      </c>
      <c r="R1688" t="n">
        <v>1</v>
      </c>
      <c r="S1688" t="n">
        <v>2564.1</v>
      </c>
      <c r="T1688" t="n">
        <v>14</v>
      </c>
      <c r="U1688" t="n">
        <v>15</v>
      </c>
      <c r="V1688" t="n">
        <v>30</v>
      </c>
      <c r="W1688" t="n">
        <v>1</v>
      </c>
      <c r="X1688" t="n">
        <v>43.29004329004329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5606</v>
      </c>
      <c r="AG1688" t="n">
        <v>1</v>
      </c>
      <c r="AH1688" t="inlineStr">
        <is>
          <t>PT. BERSAMA DISTRIVERSA INDONESIA (DC CIPUTAT)</t>
        </is>
      </c>
      <c r="AI1688" t="n">
        <v>421</v>
      </c>
      <c r="AJ1688" t="inlineStr">
        <is>
          <t>HARLETTE</t>
        </is>
      </c>
      <c r="AK1688" t="n">
        <v>9</v>
      </c>
      <c r="AL1688" t="inlineStr">
        <is>
          <t>Miss Glam Jambi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HARLETTE</t>
        </is>
      </c>
      <c r="B1689" s="2">
        <f>"10500403912"</f>
        <v/>
      </c>
      <c r="C1689" t="inlineStr">
        <is>
          <t>HARLETTE Oatmilk Sleeping Mask 30g</t>
        </is>
      </c>
      <c r="D1689" t="inlineStr">
        <is>
          <t>Miss Glam Jambi</t>
        </is>
      </c>
      <c r="E1689" t="n">
        <v>3</v>
      </c>
      <c r="F1689" t="n">
        <v>0.0264</v>
      </c>
      <c r="G1689" t="n">
        <v>0.33</v>
      </c>
      <c r="H1689" t="n">
        <v>4</v>
      </c>
      <c r="I1689" t="n">
        <v>20</v>
      </c>
      <c r="J1689" t="n">
        <v>3</v>
      </c>
      <c r="K1689" t="n">
        <v>0</v>
      </c>
      <c r="L1689" t="n">
        <v>129927</v>
      </c>
      <c r="M1689" t="n">
        <v>179000</v>
      </c>
      <c r="N1689" t="n">
        <v>33</v>
      </c>
      <c r="O1689" t="n">
        <v>0.33</v>
      </c>
      <c r="P1689" t="n">
        <v>1</v>
      </c>
      <c r="Q1689" t="n">
        <v>0.02</v>
      </c>
      <c r="R1689" t="n">
        <v>1</v>
      </c>
      <c r="S1689" t="n">
        <v>4725.6</v>
      </c>
      <c r="T1689" t="n">
        <v>7</v>
      </c>
      <c r="U1689" t="n">
        <v>8</v>
      </c>
      <c r="V1689" t="n">
        <v>30</v>
      </c>
      <c r="W1689" t="n">
        <v>1</v>
      </c>
      <c r="X1689" t="n">
        <v>113.6363636363636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5606</v>
      </c>
      <c r="AG1689" t="n">
        <v>1</v>
      </c>
      <c r="AH1689" t="inlineStr">
        <is>
          <t>PT. BERSAMA DISTRIVERSA INDONESIA (DC CIPUTAT)</t>
        </is>
      </c>
      <c r="AI1689" t="n">
        <v>421</v>
      </c>
      <c r="AJ1689" t="inlineStr">
        <is>
          <t>HARLETTE</t>
        </is>
      </c>
      <c r="AK1689" t="n">
        <v>9</v>
      </c>
      <c r="AL1689" t="inlineStr">
        <is>
          <t>Miss Glam Jambi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HERBORIST</t>
        </is>
      </c>
      <c r="B1690" s="2">
        <f>"30100242436"</f>
        <v/>
      </c>
      <c r="C1690" t="inlineStr">
        <is>
          <t>HERBORIST Aloe Vera Natural Balinese Body Scrub 100gr</t>
        </is>
      </c>
      <c r="D1690" t="inlineStr">
        <is>
          <t>Miss Glam Jambi</t>
        </is>
      </c>
      <c r="E1690" t="n">
        <v>5</v>
      </c>
      <c r="F1690" t="n">
        <v>0.0165</v>
      </c>
      <c r="G1690" t="n">
        <v>0.33</v>
      </c>
      <c r="H1690" t="n">
        <v>2</v>
      </c>
      <c r="I1690" t="n">
        <v>6</v>
      </c>
      <c r="J1690" t="n">
        <v>1</v>
      </c>
      <c r="K1690" t="n">
        <v>0</v>
      </c>
      <c r="L1690" t="n">
        <v>17720</v>
      </c>
      <c r="M1690" t="n">
        <v>22000</v>
      </c>
      <c r="N1690" t="n">
        <v>33</v>
      </c>
      <c r="O1690" t="n">
        <v>0.33</v>
      </c>
      <c r="P1690" t="n">
        <v>1</v>
      </c>
      <c r="Q1690" t="n">
        <v>0.02</v>
      </c>
      <c r="R1690" t="n">
        <v>1</v>
      </c>
      <c r="S1690" t="n">
        <v>363</v>
      </c>
      <c r="T1690" t="n">
        <v>2</v>
      </c>
      <c r="U1690" t="n">
        <v>3</v>
      </c>
      <c r="V1690" t="n">
        <v>30</v>
      </c>
      <c r="W1690" t="n">
        <v>1</v>
      </c>
      <c r="X1690" t="n">
        <v>303.030303030303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1377</v>
      </c>
      <c r="AG1690" t="n">
        <v>2136</v>
      </c>
      <c r="AH1690" t="inlineStr">
        <is>
          <t>CV. SAMUDRA JAYA ABADI - PPN (JMB)</t>
        </is>
      </c>
      <c r="AI1690" t="n">
        <v>80</v>
      </c>
      <c r="AJ1690" t="inlineStr">
        <is>
          <t>HERBORIST</t>
        </is>
      </c>
      <c r="AK1690" t="n">
        <v>9</v>
      </c>
      <c r="AL1690" t="inlineStr">
        <is>
          <t>Miss Glam Jambi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HERBORIST</t>
        </is>
      </c>
      <c r="B1691" s="2">
        <f>"8997016379928"</f>
        <v/>
      </c>
      <c r="C1691" t="inlineStr">
        <is>
          <t>HERBORIST Aloevera Gel 250gr</t>
        </is>
      </c>
      <c r="D1691" t="inlineStr">
        <is>
          <t>Miss Glam Jambi</t>
        </is>
      </c>
      <c r="E1691" t="n">
        <v>4</v>
      </c>
      <c r="F1691" t="n">
        <v>0.1056</v>
      </c>
      <c r="G1691" t="n">
        <v>0.66</v>
      </c>
      <c r="H1691" t="n">
        <v>2</v>
      </c>
      <c r="I1691" t="n">
        <v>6</v>
      </c>
      <c r="J1691" t="n">
        <v>3</v>
      </c>
      <c r="K1691" t="n">
        <v>0</v>
      </c>
      <c r="L1691" t="n">
        <v>58640</v>
      </c>
      <c r="M1691" t="n">
        <v>67000</v>
      </c>
      <c r="N1691" t="n">
        <v>33</v>
      </c>
      <c r="O1691" t="n">
        <v>0.33</v>
      </c>
      <c r="P1691" t="n">
        <v>1</v>
      </c>
      <c r="Q1691" t="n">
        <v>0.03</v>
      </c>
      <c r="R1691" t="n">
        <v>1</v>
      </c>
      <c r="S1691" t="n">
        <v>7075.200000000001</v>
      </c>
      <c r="T1691" t="n">
        <v>4</v>
      </c>
      <c r="U1691" t="n">
        <v>5</v>
      </c>
      <c r="V1691" t="n">
        <v>30</v>
      </c>
      <c r="W1691" t="n">
        <v>4</v>
      </c>
      <c r="X1691" t="n">
        <v>37.87878787878788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1377</v>
      </c>
      <c r="AG1691" t="n">
        <v>2136</v>
      </c>
      <c r="AH1691" t="inlineStr">
        <is>
          <t>CV. SAMUDRA JAYA ABADI - PPN (JMB)</t>
        </is>
      </c>
      <c r="AI1691" t="n">
        <v>80</v>
      </c>
      <c r="AJ1691" t="inlineStr">
        <is>
          <t>HERBORIST</t>
        </is>
      </c>
      <c r="AK1691" t="n">
        <v>9</v>
      </c>
      <c r="AL1691" t="inlineStr">
        <is>
          <t>Miss Glam Jambi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HERBORIST</t>
        </is>
      </c>
      <c r="B1692" s="2">
        <f>"8997226226531"</f>
        <v/>
      </c>
      <c r="C1692" t="inlineStr">
        <is>
          <t>HERBORIST Beauty By Nature Olive Oil Collagen 150ml</t>
        </is>
      </c>
      <c r="D1692" t="inlineStr">
        <is>
          <t>Miss Glam Jambi</t>
        </is>
      </c>
      <c r="E1692" t="n">
        <v>6</v>
      </c>
      <c r="F1692" t="n">
        <v>0.1551</v>
      </c>
      <c r="G1692" t="n">
        <v>0.99</v>
      </c>
      <c r="H1692" t="n">
        <v>2</v>
      </c>
      <c r="I1692" t="n">
        <v>6</v>
      </c>
      <c r="J1692" t="n">
        <v>3</v>
      </c>
      <c r="K1692" t="n">
        <v>0</v>
      </c>
      <c r="L1692" t="n">
        <v>30720</v>
      </c>
      <c r="M1692" t="n">
        <v>49600</v>
      </c>
      <c r="N1692" t="n">
        <v>33</v>
      </c>
      <c r="O1692" t="n">
        <v>0.33</v>
      </c>
      <c r="P1692" t="n">
        <v>1</v>
      </c>
      <c r="Q1692" t="n">
        <v>0.1</v>
      </c>
      <c r="R1692" t="n">
        <v>1</v>
      </c>
      <c r="S1692" t="n">
        <v>7692.959999999999</v>
      </c>
      <c r="T1692" t="n">
        <v>6</v>
      </c>
      <c r="U1692" t="n">
        <v>7</v>
      </c>
      <c r="V1692" t="n">
        <v>30</v>
      </c>
      <c r="W1692" t="n">
        <v>5</v>
      </c>
      <c r="X1692" t="n">
        <v>38.68471953578337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1377</v>
      </c>
      <c r="AG1692" t="n">
        <v>2136</v>
      </c>
      <c r="AH1692" t="inlineStr">
        <is>
          <t>CV. SAMUDRA JAYA ABADI - PPN (JMB)</t>
        </is>
      </c>
      <c r="AI1692" t="n">
        <v>80</v>
      </c>
      <c r="AJ1692" t="inlineStr">
        <is>
          <t>HERBORIST</t>
        </is>
      </c>
      <c r="AK1692" t="n">
        <v>9</v>
      </c>
      <c r="AL1692" t="inlineStr">
        <is>
          <t>Miss Glam Jambi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HERBORIST</t>
        </is>
      </c>
      <c r="B1693" s="2">
        <f>"8997016371236"</f>
        <v/>
      </c>
      <c r="C1693" t="inlineStr">
        <is>
          <t>HERBORIST Body Butter Bannana 80g</t>
        </is>
      </c>
      <c r="D1693" t="inlineStr">
        <is>
          <t>Miss Glam Jambi</t>
        </is>
      </c>
      <c r="E1693" t="n">
        <v>6</v>
      </c>
      <c r="F1693" t="n">
        <v>0.06270000000000001</v>
      </c>
      <c r="G1693" t="n">
        <v>0.66</v>
      </c>
      <c r="H1693" t="n">
        <v>2</v>
      </c>
      <c r="I1693" t="n">
        <v>6</v>
      </c>
      <c r="J1693" t="n">
        <v>3</v>
      </c>
      <c r="K1693" t="n">
        <v>0</v>
      </c>
      <c r="L1693" t="n">
        <v>26000</v>
      </c>
      <c r="M1693" t="n">
        <v>29000</v>
      </c>
      <c r="N1693" t="n">
        <v>33</v>
      </c>
      <c r="O1693" t="n">
        <v>0.33</v>
      </c>
      <c r="P1693" t="n">
        <v>1</v>
      </c>
      <c r="Q1693" t="n">
        <v>0.02</v>
      </c>
      <c r="R1693" t="n">
        <v>1</v>
      </c>
      <c r="S1693" t="n">
        <v>1818.3</v>
      </c>
      <c r="T1693" t="n">
        <v>4</v>
      </c>
      <c r="U1693" t="n">
        <v>5</v>
      </c>
      <c r="V1693" t="n">
        <v>30</v>
      </c>
      <c r="W1693" t="n">
        <v>2</v>
      </c>
      <c r="X1693" t="n">
        <v>95.69377990430621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1377</v>
      </c>
      <c r="AG1693" t="n">
        <v>2136</v>
      </c>
      <c r="AH1693" t="inlineStr">
        <is>
          <t>CV. SAMUDRA JAYA ABADI - PPN (JMB)</t>
        </is>
      </c>
      <c r="AI1693" t="n">
        <v>80</v>
      </c>
      <c r="AJ1693" t="inlineStr">
        <is>
          <t>HERBORIST</t>
        </is>
      </c>
      <c r="AK1693" t="n">
        <v>9</v>
      </c>
      <c r="AL1693" t="inlineStr">
        <is>
          <t>Miss Glam Jambi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HERBORIST</t>
        </is>
      </c>
      <c r="B1694" s="2">
        <f>"8997016371243"</f>
        <v/>
      </c>
      <c r="C1694" t="inlineStr">
        <is>
          <t>HERBORIST Body Butter Manggo 80gr</t>
        </is>
      </c>
      <c r="D1694" t="inlineStr">
        <is>
          <t>Miss Glam Jambi</t>
        </is>
      </c>
      <c r="E1694" t="n">
        <v>10</v>
      </c>
      <c r="F1694" t="n">
        <v>0.033</v>
      </c>
      <c r="G1694" t="n">
        <v>0.33</v>
      </c>
      <c r="H1694" t="n">
        <v>2</v>
      </c>
      <c r="I1694" t="n">
        <v>6</v>
      </c>
      <c r="J1694" t="n">
        <v>3</v>
      </c>
      <c r="K1694" t="n">
        <v>0</v>
      </c>
      <c r="L1694" t="n">
        <v>25918</v>
      </c>
      <c r="M1694" t="n">
        <v>28500</v>
      </c>
      <c r="N1694" t="n">
        <v>33</v>
      </c>
      <c r="O1694" t="n">
        <v>0.33</v>
      </c>
      <c r="P1694" t="n">
        <v>1</v>
      </c>
      <c r="Q1694" t="n">
        <v>0.05</v>
      </c>
      <c r="R1694" t="n">
        <v>1</v>
      </c>
      <c r="S1694" t="n">
        <v>940.5</v>
      </c>
      <c r="T1694" t="n">
        <v>2</v>
      </c>
      <c r="U1694" t="n">
        <v>3</v>
      </c>
      <c r="V1694" t="n">
        <v>30</v>
      </c>
      <c r="W1694" t="n">
        <v>1</v>
      </c>
      <c r="X1694" t="n">
        <v>303.030303030303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1377</v>
      </c>
      <c r="AG1694" t="n">
        <v>2136</v>
      </c>
      <c r="AH1694" t="inlineStr">
        <is>
          <t>CV. SAMUDRA JAYA ABADI - PPN (JMB)</t>
        </is>
      </c>
      <c r="AI1694" t="n">
        <v>80</v>
      </c>
      <c r="AJ1694" t="inlineStr">
        <is>
          <t>HERBORIST</t>
        </is>
      </c>
      <c r="AK1694" t="n">
        <v>9</v>
      </c>
      <c r="AL1694" t="inlineStr">
        <is>
          <t>Miss Glam Jambi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HERBORIST</t>
        </is>
      </c>
      <c r="B1695" s="2">
        <f>"8997016378877"</f>
        <v/>
      </c>
      <c r="C1695" t="inlineStr">
        <is>
          <t>HERBORIST Body Lotion Zaitun 145ml</t>
        </is>
      </c>
      <c r="D1695" t="inlineStr">
        <is>
          <t>Miss Glam Jambi</t>
        </is>
      </c>
      <c r="E1695" t="n">
        <v>12</v>
      </c>
      <c r="F1695" t="n">
        <v>0.1617</v>
      </c>
      <c r="G1695" t="n">
        <v>0.99</v>
      </c>
      <c r="H1695" t="n">
        <v>2</v>
      </c>
      <c r="I1695" t="n">
        <v>6</v>
      </c>
      <c r="J1695" t="n">
        <v>3</v>
      </c>
      <c r="K1695" t="n">
        <v>0</v>
      </c>
      <c r="L1695" t="n">
        <v>22120</v>
      </c>
      <c r="M1695" t="n">
        <v>23000</v>
      </c>
      <c r="N1695" t="n">
        <v>33</v>
      </c>
      <c r="O1695" t="n">
        <v>0.33</v>
      </c>
      <c r="P1695" t="n">
        <v>1</v>
      </c>
      <c r="Q1695" t="n">
        <v>0.12</v>
      </c>
      <c r="R1695" t="n">
        <v>2</v>
      </c>
      <c r="S1695" t="n">
        <v>3719.1</v>
      </c>
      <c r="T1695" t="n">
        <v>6</v>
      </c>
      <c r="U1695" t="n">
        <v>7</v>
      </c>
      <c r="V1695" t="n">
        <v>30</v>
      </c>
      <c r="W1695" t="n">
        <v>5</v>
      </c>
      <c r="X1695" t="n">
        <v>74.21150278293135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1377</v>
      </c>
      <c r="AG1695" t="n">
        <v>2136</v>
      </c>
      <c r="AH1695" t="inlineStr">
        <is>
          <t>CV. SAMUDRA JAYA ABADI - PPN (JMB)</t>
        </is>
      </c>
      <c r="AI1695" t="n">
        <v>80</v>
      </c>
      <c r="AJ1695" t="inlineStr">
        <is>
          <t>HERBORIST</t>
        </is>
      </c>
      <c r="AK1695" t="n">
        <v>9</v>
      </c>
      <c r="AL1695" t="inlineStr">
        <is>
          <t>Miss Glam Jambi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HERBORIST</t>
        </is>
      </c>
      <c r="B1696" s="2">
        <f>"8997226225213"</f>
        <v/>
      </c>
      <c r="C1696" t="inlineStr">
        <is>
          <t>HERBORIST Body Serum Apple &amp; Brocoli 180ml</t>
        </is>
      </c>
      <c r="D1696" t="inlineStr">
        <is>
          <t>Miss Glam Jambi</t>
        </is>
      </c>
      <c r="E1696" t="n">
        <v>9</v>
      </c>
      <c r="F1696" t="n">
        <v>0.2277</v>
      </c>
      <c r="G1696" t="n">
        <v>1.32</v>
      </c>
      <c r="H1696" t="n">
        <v>2</v>
      </c>
      <c r="I1696" t="n">
        <v>6</v>
      </c>
      <c r="J1696" t="n">
        <v>3</v>
      </c>
      <c r="K1696" t="n">
        <v>0</v>
      </c>
      <c r="L1696" t="n">
        <v>21054</v>
      </c>
      <c r="M1696" t="n">
        <v>25000</v>
      </c>
      <c r="N1696" t="n">
        <v>33</v>
      </c>
      <c r="O1696" t="n">
        <v>0.33</v>
      </c>
      <c r="P1696" t="n">
        <v>1</v>
      </c>
      <c r="Q1696" t="n">
        <v>0.1</v>
      </c>
      <c r="R1696" t="n">
        <v>1</v>
      </c>
      <c r="S1696" t="n">
        <v>5692.5</v>
      </c>
      <c r="T1696" t="n">
        <v>8</v>
      </c>
      <c r="U1696" t="n">
        <v>9</v>
      </c>
      <c r="V1696" t="n">
        <v>30</v>
      </c>
      <c r="W1696" t="n">
        <v>7</v>
      </c>
      <c r="X1696" t="n">
        <v>39.52569169960474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1377</v>
      </c>
      <c r="AG1696" t="n">
        <v>2136</v>
      </c>
      <c r="AH1696" t="inlineStr">
        <is>
          <t>CV. SAMUDRA JAYA ABADI - PPN (JMB)</t>
        </is>
      </c>
      <c r="AI1696" t="n">
        <v>80</v>
      </c>
      <c r="AJ1696" t="inlineStr">
        <is>
          <t>HERBORIST</t>
        </is>
      </c>
      <c r="AK1696" t="n">
        <v>9</v>
      </c>
      <c r="AL1696" t="inlineStr">
        <is>
          <t>Miss Glam Jambi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HERBORIST</t>
        </is>
      </c>
      <c r="B1697" s="2">
        <f>"8997226225206"</f>
        <v/>
      </c>
      <c r="C1697" t="inlineStr">
        <is>
          <t>HERBORIST Body Serum Orange &amp; Carrot 180ml</t>
        </is>
      </c>
      <c r="D1697" t="inlineStr">
        <is>
          <t>Miss Glam Jambi</t>
        </is>
      </c>
      <c r="E1697" t="n">
        <v>2</v>
      </c>
      <c r="F1697" t="n">
        <v>0.1617</v>
      </c>
      <c r="G1697" t="n">
        <v>0.99</v>
      </c>
      <c r="H1697" t="n">
        <v>2</v>
      </c>
      <c r="I1697" t="n">
        <v>6</v>
      </c>
      <c r="J1697" t="n">
        <v>3</v>
      </c>
      <c r="K1697" t="n">
        <v>3</v>
      </c>
      <c r="L1697" t="n">
        <v>21717</v>
      </c>
      <c r="M1697" t="n">
        <v>25000</v>
      </c>
      <c r="N1697" t="n">
        <v>33</v>
      </c>
      <c r="O1697" t="n">
        <v>0.33</v>
      </c>
      <c r="P1697" t="n">
        <v>1</v>
      </c>
      <c r="Q1697" t="n">
        <v>0.07000000000000001</v>
      </c>
      <c r="R1697" t="n">
        <v>1</v>
      </c>
      <c r="S1697" t="n">
        <v>4042.5</v>
      </c>
      <c r="T1697" t="n">
        <v>6</v>
      </c>
      <c r="U1697" t="n">
        <v>7</v>
      </c>
      <c r="V1697" t="n">
        <v>30</v>
      </c>
      <c r="W1697" t="n">
        <v>5</v>
      </c>
      <c r="X1697" t="n">
        <v>12.36858379715522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1377</v>
      </c>
      <c r="AG1697" t="n">
        <v>2136</v>
      </c>
      <c r="AH1697" t="inlineStr">
        <is>
          <t>CV. SAMUDRA JAYA ABADI - PPN (JMB)</t>
        </is>
      </c>
      <c r="AI1697" t="n">
        <v>80</v>
      </c>
      <c r="AJ1697" t="inlineStr">
        <is>
          <t>HERBORIST</t>
        </is>
      </c>
      <c r="AK1697" t="n">
        <v>9</v>
      </c>
      <c r="AL1697" t="inlineStr">
        <is>
          <t>Miss Glam Jambi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HERBORIST</t>
        </is>
      </c>
      <c r="B1698" s="2">
        <f>"8997226225190"</f>
        <v/>
      </c>
      <c r="C1698" t="inlineStr">
        <is>
          <t>HERBORIST Body Serum Rasberry &amp; Tomato 180ml</t>
        </is>
      </c>
      <c r="D1698" t="inlineStr">
        <is>
          <t>Miss Glam Jambi</t>
        </is>
      </c>
      <c r="E1698" t="n">
        <v>8</v>
      </c>
      <c r="F1698" t="n">
        <v>0.2673</v>
      </c>
      <c r="G1698" t="n">
        <v>1.32</v>
      </c>
      <c r="H1698" t="n">
        <v>2</v>
      </c>
      <c r="I1698" t="n">
        <v>6</v>
      </c>
      <c r="J1698" t="n">
        <v>3</v>
      </c>
      <c r="K1698" t="n">
        <v>3</v>
      </c>
      <c r="L1698" t="n">
        <v>21054</v>
      </c>
      <c r="M1698" t="n">
        <v>25000</v>
      </c>
      <c r="N1698" t="n">
        <v>33</v>
      </c>
      <c r="O1698" t="n">
        <v>0.33</v>
      </c>
      <c r="P1698" t="n">
        <v>1</v>
      </c>
      <c r="Q1698" t="n">
        <v>0.12</v>
      </c>
      <c r="R1698" t="n">
        <v>2</v>
      </c>
      <c r="S1698" t="n">
        <v>6682.500000000001</v>
      </c>
      <c r="T1698" t="n">
        <v>8</v>
      </c>
      <c r="U1698" t="n">
        <v>9</v>
      </c>
      <c r="V1698" t="n">
        <v>30</v>
      </c>
      <c r="W1698" t="n">
        <v>9</v>
      </c>
      <c r="X1698" t="n">
        <v>29.9289188178077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1377</v>
      </c>
      <c r="AG1698" t="n">
        <v>2136</v>
      </c>
      <c r="AH1698" t="inlineStr">
        <is>
          <t>CV. SAMUDRA JAYA ABADI - PPN (JMB)</t>
        </is>
      </c>
      <c r="AI1698" t="n">
        <v>80</v>
      </c>
      <c r="AJ1698" t="inlineStr">
        <is>
          <t>HERBORIST</t>
        </is>
      </c>
      <c r="AK1698" t="n">
        <v>9</v>
      </c>
      <c r="AL1698" t="inlineStr">
        <is>
          <t>Miss Glam Jambi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HERBORIST</t>
        </is>
      </c>
      <c r="B1699" s="2">
        <f>"30100242819"</f>
        <v/>
      </c>
      <c r="C1699" t="inlineStr">
        <is>
          <t>HERBORIST Coconut Natural Balinese Body Scrub 100gr</t>
        </is>
      </c>
      <c r="D1699" t="inlineStr">
        <is>
          <t>Miss Glam Jambi</t>
        </is>
      </c>
      <c r="E1699" t="n">
        <v>6</v>
      </c>
      <c r="F1699" t="n">
        <v>0.08</v>
      </c>
      <c r="G1699" t="n">
        <v>2</v>
      </c>
      <c r="H1699" t="n">
        <v>2</v>
      </c>
      <c r="I1699" t="n">
        <v>6</v>
      </c>
      <c r="J1699" t="n">
        <v>1</v>
      </c>
      <c r="K1699" t="n">
        <v>0</v>
      </c>
      <c r="L1699" t="n">
        <v>17720</v>
      </c>
      <c r="M1699" t="n">
        <v>22000</v>
      </c>
      <c r="N1699" t="n">
        <v>33</v>
      </c>
      <c r="O1699" t="n">
        <v>0.33</v>
      </c>
      <c r="P1699" t="n">
        <v>0</v>
      </c>
      <c r="Q1699" t="n">
        <v>0.08</v>
      </c>
      <c r="R1699" t="n">
        <v>2</v>
      </c>
      <c r="S1699" t="n">
        <v>1760</v>
      </c>
      <c r="T1699" t="n">
        <v>12</v>
      </c>
      <c r="U1699" t="n">
        <v>13</v>
      </c>
      <c r="V1699" t="n">
        <v>30</v>
      </c>
      <c r="W1699" t="n">
        <v>3</v>
      </c>
      <c r="X1699" t="n">
        <v>75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1377</v>
      </c>
      <c r="AG1699" t="n">
        <v>2136</v>
      </c>
      <c r="AH1699" t="inlineStr">
        <is>
          <t>CV. SAMUDRA JAYA ABADI - PPN (JMB)</t>
        </is>
      </c>
      <c r="AI1699" t="n">
        <v>80</v>
      </c>
      <c r="AJ1699" t="inlineStr">
        <is>
          <t>HERBORIST</t>
        </is>
      </c>
      <c r="AK1699" t="n">
        <v>9</v>
      </c>
      <c r="AL1699" t="inlineStr">
        <is>
          <t>Miss Glam Jambi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HERBORIST</t>
        </is>
      </c>
      <c r="B1700" s="2">
        <f>"30400261326"</f>
        <v/>
      </c>
      <c r="C1700" t="inlineStr">
        <is>
          <t>HERBORIST Eau De Parfume Love Story 30ml</t>
        </is>
      </c>
      <c r="D1700" t="inlineStr">
        <is>
          <t>Miss Glam Jambi</t>
        </is>
      </c>
      <c r="E1700" t="n">
        <v>5</v>
      </c>
      <c r="F1700" t="n">
        <v>0.0264</v>
      </c>
      <c r="G1700" t="n">
        <v>0.33</v>
      </c>
      <c r="H1700" t="n">
        <v>2</v>
      </c>
      <c r="I1700" t="n">
        <v>6</v>
      </c>
      <c r="J1700" t="n">
        <v>1</v>
      </c>
      <c r="K1700" t="n">
        <v>0</v>
      </c>
      <c r="L1700" t="n">
        <v>47720</v>
      </c>
      <c r="M1700" t="n">
        <v>59000</v>
      </c>
      <c r="N1700" t="n">
        <v>33</v>
      </c>
      <c r="O1700" t="n">
        <v>0.33</v>
      </c>
      <c r="P1700" t="n">
        <v>1</v>
      </c>
      <c r="Q1700" t="n">
        <v>0.02</v>
      </c>
      <c r="R1700" t="n">
        <v>1</v>
      </c>
      <c r="S1700" t="n">
        <v>1557.6</v>
      </c>
      <c r="T1700" t="n">
        <v>2</v>
      </c>
      <c r="U1700" t="n">
        <v>3</v>
      </c>
      <c r="V1700" t="n">
        <v>30</v>
      </c>
      <c r="W1700" t="n">
        <v>1</v>
      </c>
      <c r="X1700" t="n">
        <v>189.3939393939394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1377</v>
      </c>
      <c r="AG1700" t="n">
        <v>2136</v>
      </c>
      <c r="AH1700" t="inlineStr">
        <is>
          <t>CV. SAMUDRA JAYA ABADI - PPN (JMB)</t>
        </is>
      </c>
      <c r="AI1700" t="n">
        <v>80</v>
      </c>
      <c r="AJ1700" t="inlineStr">
        <is>
          <t>HERBORIST</t>
        </is>
      </c>
      <c r="AK1700" t="n">
        <v>9</v>
      </c>
      <c r="AL1700" t="inlineStr">
        <is>
          <t>Miss Glam Jambi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HERBORIST</t>
        </is>
      </c>
      <c r="B1701" s="2">
        <f>"30400261014"</f>
        <v/>
      </c>
      <c r="C1701" t="inlineStr">
        <is>
          <t>HERBORIST Eau De Parfume Ocean Paradise 30ml</t>
        </is>
      </c>
      <c r="D1701" t="inlineStr">
        <is>
          <t>Miss Glam Jambi</t>
        </is>
      </c>
      <c r="E1701" t="n">
        <v>6</v>
      </c>
      <c r="F1701" t="n">
        <v>0.08910000000000001</v>
      </c>
      <c r="G1701" t="n">
        <v>0.66</v>
      </c>
      <c r="H1701" t="n">
        <v>2</v>
      </c>
      <c r="I1701" t="n">
        <v>6</v>
      </c>
      <c r="J1701" t="n">
        <v>1</v>
      </c>
      <c r="K1701" t="n">
        <v>0</v>
      </c>
      <c r="L1701" t="n">
        <v>47720</v>
      </c>
      <c r="M1701" t="n">
        <v>59000</v>
      </c>
      <c r="N1701" t="n">
        <v>33</v>
      </c>
      <c r="O1701" t="n">
        <v>0.33</v>
      </c>
      <c r="P1701" t="n">
        <v>1</v>
      </c>
      <c r="Q1701" t="n">
        <v>0.03</v>
      </c>
      <c r="R1701" t="n">
        <v>1</v>
      </c>
      <c r="S1701" t="n">
        <v>5256.900000000001</v>
      </c>
      <c r="T1701" t="n">
        <v>4</v>
      </c>
      <c r="U1701" t="n">
        <v>5</v>
      </c>
      <c r="V1701" t="n">
        <v>30</v>
      </c>
      <c r="W1701" t="n">
        <v>3</v>
      </c>
      <c r="X1701" t="n">
        <v>67.34006734006734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1377</v>
      </c>
      <c r="AG1701" t="n">
        <v>2136</v>
      </c>
      <c r="AH1701" t="inlineStr">
        <is>
          <t>CV. SAMUDRA JAYA ABADI - PPN (JMB)</t>
        </is>
      </c>
      <c r="AI1701" t="n">
        <v>80</v>
      </c>
      <c r="AJ1701" t="inlineStr">
        <is>
          <t>HERBORIST</t>
        </is>
      </c>
      <c r="AK1701" t="n">
        <v>9</v>
      </c>
      <c r="AL1701" t="inlineStr">
        <is>
          <t>Miss Glam Jambi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HERBORIST</t>
        </is>
      </c>
      <c r="B1702" s="2">
        <f>"30400261143"</f>
        <v/>
      </c>
      <c r="C1702" t="inlineStr">
        <is>
          <t>HERBORIST Eau De Parfume Summer Fantasy 30ml</t>
        </is>
      </c>
      <c r="D1702" t="inlineStr">
        <is>
          <t>Miss Glam Jambi</t>
        </is>
      </c>
      <c r="E1702" t="n">
        <v>3</v>
      </c>
      <c r="F1702" t="n">
        <v>0.1155</v>
      </c>
      <c r="G1702" t="n">
        <v>0.66</v>
      </c>
      <c r="H1702" t="n">
        <v>2</v>
      </c>
      <c r="I1702" t="n">
        <v>6</v>
      </c>
      <c r="J1702" t="n">
        <v>1</v>
      </c>
      <c r="K1702" t="n">
        <v>1</v>
      </c>
      <c r="L1702" t="n">
        <v>47720</v>
      </c>
      <c r="M1702" t="n">
        <v>59000</v>
      </c>
      <c r="N1702" t="n">
        <v>33</v>
      </c>
      <c r="O1702" t="n">
        <v>0.33</v>
      </c>
      <c r="P1702" t="n">
        <v>1</v>
      </c>
      <c r="Q1702" t="n">
        <v>0.07000000000000001</v>
      </c>
      <c r="R1702" t="n">
        <v>2</v>
      </c>
      <c r="S1702" t="n">
        <v>6814.499999999999</v>
      </c>
      <c r="T1702" t="n">
        <v>4</v>
      </c>
      <c r="U1702" t="n">
        <v>5</v>
      </c>
      <c r="V1702" t="n">
        <v>30</v>
      </c>
      <c r="W1702" t="n">
        <v>4</v>
      </c>
      <c r="X1702" t="n">
        <v>25.97402597402598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1377</v>
      </c>
      <c r="AG1702" t="n">
        <v>2136</v>
      </c>
      <c r="AH1702" t="inlineStr">
        <is>
          <t>CV. SAMUDRA JAYA ABADI - PPN (JMB)</t>
        </is>
      </c>
      <c r="AI1702" t="n">
        <v>80</v>
      </c>
      <c r="AJ1702" t="inlineStr">
        <is>
          <t>HERBORIST</t>
        </is>
      </c>
      <c r="AK1702" t="n">
        <v>9</v>
      </c>
      <c r="AL1702" t="inlineStr">
        <is>
          <t>Miss Glam Jambi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HERBORIST</t>
        </is>
      </c>
      <c r="B1703" s="2">
        <f>"30400261232"</f>
        <v/>
      </c>
      <c r="C1703" t="inlineStr">
        <is>
          <t>HERBORIST Eau De Parfume Tropical Joy 30ml</t>
        </is>
      </c>
      <c r="D1703" t="inlineStr">
        <is>
          <t>Miss Glam Jambi</t>
        </is>
      </c>
      <c r="E1703" t="n">
        <v>3</v>
      </c>
      <c r="F1703" t="n">
        <v>0.03</v>
      </c>
      <c r="G1703" t="n">
        <v>1</v>
      </c>
      <c r="H1703" t="n">
        <v>2</v>
      </c>
      <c r="I1703" t="n">
        <v>6</v>
      </c>
      <c r="J1703" t="n">
        <v>1</v>
      </c>
      <c r="K1703" t="n">
        <v>0</v>
      </c>
      <c r="L1703" t="n">
        <v>47720</v>
      </c>
      <c r="M1703" t="n">
        <v>59000</v>
      </c>
      <c r="N1703" t="n">
        <v>33</v>
      </c>
      <c r="O1703" t="n">
        <v>0.33</v>
      </c>
      <c r="P1703" t="n">
        <v>0</v>
      </c>
      <c r="Q1703" t="n">
        <v>0.03</v>
      </c>
      <c r="R1703" t="n">
        <v>1</v>
      </c>
      <c r="S1703" t="n">
        <v>1770</v>
      </c>
      <c r="T1703" t="n">
        <v>6</v>
      </c>
      <c r="U1703" t="n">
        <v>7</v>
      </c>
      <c r="V1703" t="n">
        <v>30</v>
      </c>
      <c r="W1703" t="n">
        <v>1</v>
      </c>
      <c r="X1703" t="n">
        <v>100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1377</v>
      </c>
      <c r="AG1703" t="n">
        <v>2136</v>
      </c>
      <c r="AH1703" t="inlineStr">
        <is>
          <t>CV. SAMUDRA JAYA ABADI - PPN (JMB)</t>
        </is>
      </c>
      <c r="AI1703" t="n">
        <v>80</v>
      </c>
      <c r="AJ1703" t="inlineStr">
        <is>
          <t>HERBORIST</t>
        </is>
      </c>
      <c r="AK1703" t="n">
        <v>9</v>
      </c>
      <c r="AL1703" t="inlineStr">
        <is>
          <t>Miss Glam Jambi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HERBORIST</t>
        </is>
      </c>
      <c r="B1704" s="2">
        <f>"30400260932"</f>
        <v/>
      </c>
      <c r="C1704" t="inlineStr">
        <is>
          <t>HERBORIST Eau De Parfume Whispering Bloom 30ml</t>
        </is>
      </c>
      <c r="D1704" t="inlineStr">
        <is>
          <t>Miss Glam Jambi</t>
        </is>
      </c>
      <c r="E1704" t="n">
        <v>4</v>
      </c>
      <c r="F1704" t="n">
        <v>0.03</v>
      </c>
      <c r="G1704" t="n">
        <v>1</v>
      </c>
      <c r="H1704" t="n">
        <v>2</v>
      </c>
      <c r="I1704" t="n">
        <v>6</v>
      </c>
      <c r="J1704" t="n">
        <v>1</v>
      </c>
      <c r="K1704" t="n">
        <v>0</v>
      </c>
      <c r="L1704" t="n">
        <v>47720</v>
      </c>
      <c r="M1704" t="n">
        <v>59000</v>
      </c>
      <c r="N1704" t="n">
        <v>33</v>
      </c>
      <c r="O1704" t="n">
        <v>0.33</v>
      </c>
      <c r="P1704" t="n">
        <v>0</v>
      </c>
      <c r="Q1704" t="n">
        <v>0.03</v>
      </c>
      <c r="R1704" t="n">
        <v>1</v>
      </c>
      <c r="S1704" t="n">
        <v>1770</v>
      </c>
      <c r="T1704" t="n">
        <v>6</v>
      </c>
      <c r="U1704" t="n">
        <v>7</v>
      </c>
      <c r="V1704" t="n">
        <v>30</v>
      </c>
      <c r="W1704" t="n">
        <v>1</v>
      </c>
      <c r="X1704" t="n">
        <v>133.3333333333333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1377</v>
      </c>
      <c r="AG1704" t="n">
        <v>2136</v>
      </c>
      <c r="AH1704" t="inlineStr">
        <is>
          <t>CV. SAMUDRA JAYA ABADI - PPN (JMB)</t>
        </is>
      </c>
      <c r="AI1704" t="n">
        <v>80</v>
      </c>
      <c r="AJ1704" t="inlineStr">
        <is>
          <t>HERBORIST</t>
        </is>
      </c>
      <c r="AK1704" t="n">
        <v>9</v>
      </c>
      <c r="AL1704" t="inlineStr">
        <is>
          <t>Miss Glam Jambi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HERBORIST</t>
        </is>
      </c>
      <c r="B1705" s="2">
        <f>"8997226220225"</f>
        <v/>
      </c>
      <c r="C1705" t="inlineStr">
        <is>
          <t>HERBORIST Face Care Aloevera 80gr</t>
        </is>
      </c>
      <c r="D1705" t="inlineStr">
        <is>
          <t>Miss Glam Jambi</t>
        </is>
      </c>
      <c r="E1705" t="n">
        <v>2</v>
      </c>
      <c r="F1705" t="n">
        <v>0.0396</v>
      </c>
      <c r="G1705" t="n">
        <v>0.66</v>
      </c>
      <c r="H1705" t="n">
        <v>2</v>
      </c>
      <c r="I1705" t="n">
        <v>6</v>
      </c>
      <c r="J1705" t="n">
        <v>3</v>
      </c>
      <c r="K1705" t="n">
        <v>0</v>
      </c>
      <c r="L1705" t="n">
        <v>22480</v>
      </c>
      <c r="M1705" t="n">
        <v>27000</v>
      </c>
      <c r="N1705" t="n">
        <v>33</v>
      </c>
      <c r="O1705" t="n">
        <v>0.33</v>
      </c>
      <c r="P1705" t="n">
        <v>1</v>
      </c>
      <c r="Q1705" t="n">
        <v>0.02</v>
      </c>
      <c r="R1705" t="n">
        <v>1</v>
      </c>
      <c r="S1705" t="n">
        <v>1069.2</v>
      </c>
      <c r="T1705" t="n">
        <v>4</v>
      </c>
      <c r="U1705" t="n">
        <v>5</v>
      </c>
      <c r="V1705" t="n">
        <v>30</v>
      </c>
      <c r="W1705" t="n">
        <v>2</v>
      </c>
      <c r="X1705" t="n">
        <v>50.5050505050505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1377</v>
      </c>
      <c r="AG1705" t="n">
        <v>2136</v>
      </c>
      <c r="AH1705" t="inlineStr">
        <is>
          <t>CV. SAMUDRA JAYA ABADI - PPN (JMB)</t>
        </is>
      </c>
      <c r="AI1705" t="n">
        <v>80</v>
      </c>
      <c r="AJ1705" t="inlineStr">
        <is>
          <t>HERBORIST</t>
        </is>
      </c>
      <c r="AK1705" t="n">
        <v>9</v>
      </c>
      <c r="AL1705" t="inlineStr">
        <is>
          <t>Miss Glam Jambi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HERBORIST</t>
        </is>
      </c>
      <c r="B1706" s="2">
        <f>"8997226225138"</f>
        <v/>
      </c>
      <c r="C1706" t="inlineStr">
        <is>
          <t>HERBORIST Face Scrub Orange &amp; Carrot 60ml</t>
        </is>
      </c>
      <c r="D1706" t="inlineStr">
        <is>
          <t>Miss Glam Jambi</t>
        </is>
      </c>
      <c r="E1706" t="n">
        <v>6</v>
      </c>
      <c r="F1706" t="n">
        <v>0.033</v>
      </c>
      <c r="G1706" t="n">
        <v>0.33</v>
      </c>
      <c r="H1706" t="n">
        <v>2</v>
      </c>
      <c r="I1706" t="n">
        <v>6</v>
      </c>
      <c r="J1706" t="n">
        <v>3</v>
      </c>
      <c r="K1706" t="n">
        <v>0</v>
      </c>
      <c r="L1706" t="n">
        <v>18587</v>
      </c>
      <c r="M1706" t="n">
        <v>23000</v>
      </c>
      <c r="N1706" t="n">
        <v>33</v>
      </c>
      <c r="O1706" t="n">
        <v>0.33</v>
      </c>
      <c r="P1706" t="n">
        <v>1</v>
      </c>
      <c r="Q1706" t="n">
        <v>0.02</v>
      </c>
      <c r="R1706" t="n">
        <v>1</v>
      </c>
      <c r="S1706" t="n">
        <v>759</v>
      </c>
      <c r="T1706" t="n">
        <v>2</v>
      </c>
      <c r="U1706" t="n">
        <v>3</v>
      </c>
      <c r="V1706" t="n">
        <v>30</v>
      </c>
      <c r="W1706" t="n">
        <v>1</v>
      </c>
      <c r="X1706" t="n">
        <v>181.8181818181818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1377</v>
      </c>
      <c r="AG1706" t="n">
        <v>2136</v>
      </c>
      <c r="AH1706" t="inlineStr">
        <is>
          <t>CV. SAMUDRA JAYA ABADI - PPN (JMB)</t>
        </is>
      </c>
      <c r="AI1706" t="n">
        <v>80</v>
      </c>
      <c r="AJ1706" t="inlineStr">
        <is>
          <t>HERBORIST</t>
        </is>
      </c>
      <c r="AK1706" t="n">
        <v>9</v>
      </c>
      <c r="AL1706" t="inlineStr">
        <is>
          <t>Miss Glam Jambi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HERBORIST</t>
        </is>
      </c>
      <c r="B1707" s="2">
        <f>"8997226225121"</f>
        <v/>
      </c>
      <c r="C1707" t="inlineStr">
        <is>
          <t>HERBORIST Face Scrub Rasberry &amp; Tomato 60ml</t>
        </is>
      </c>
      <c r="D1707" t="inlineStr">
        <is>
          <t>Miss Glam Jambi</t>
        </is>
      </c>
      <c r="E1707" t="n">
        <v>1</v>
      </c>
      <c r="F1707" t="n">
        <v>0.03</v>
      </c>
      <c r="G1707" t="n">
        <v>1</v>
      </c>
      <c r="H1707" t="n">
        <v>2</v>
      </c>
      <c r="I1707" t="n">
        <v>6</v>
      </c>
      <c r="J1707" t="n">
        <v>3</v>
      </c>
      <c r="K1707" t="n">
        <v>0</v>
      </c>
      <c r="L1707" t="n">
        <v>18587</v>
      </c>
      <c r="M1707" t="n">
        <v>23000</v>
      </c>
      <c r="N1707" t="n">
        <v>33</v>
      </c>
      <c r="O1707" t="n">
        <v>0.33</v>
      </c>
      <c r="P1707" t="n">
        <v>0</v>
      </c>
      <c r="Q1707" t="n">
        <v>0.03</v>
      </c>
      <c r="R1707" t="n">
        <v>1</v>
      </c>
      <c r="S1707" t="n">
        <v>690</v>
      </c>
      <c r="T1707" t="n">
        <v>6</v>
      </c>
      <c r="U1707" t="n">
        <v>7</v>
      </c>
      <c r="V1707" t="n">
        <v>30</v>
      </c>
      <c r="W1707" t="n">
        <v>1</v>
      </c>
      <c r="X1707" t="n">
        <v>33.33333333333334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1377</v>
      </c>
      <c r="AG1707" t="n">
        <v>2136</v>
      </c>
      <c r="AH1707" t="inlineStr">
        <is>
          <t>CV. SAMUDRA JAYA ABADI - PPN (JMB)</t>
        </is>
      </c>
      <c r="AI1707" t="n">
        <v>80</v>
      </c>
      <c r="AJ1707" t="inlineStr">
        <is>
          <t>HERBORIST</t>
        </is>
      </c>
      <c r="AK1707" t="n">
        <v>9</v>
      </c>
      <c r="AL1707" t="inlineStr">
        <is>
          <t>Miss Glam Jambi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HERBORIST</t>
        </is>
      </c>
      <c r="B1708" s="2">
        <f>"8997226227064"</f>
        <v/>
      </c>
      <c r="C1708" t="inlineStr">
        <is>
          <t>HERBORIST Gluta Booster Lotion Serum Spf 30 Mixed Berries &amp; Taro 180ml</t>
        </is>
      </c>
      <c r="D1708" t="inlineStr">
        <is>
          <t>Miss Glam Jambi</t>
        </is>
      </c>
      <c r="E1708" t="n">
        <v>4</v>
      </c>
      <c r="F1708" t="n">
        <v>0.1023</v>
      </c>
      <c r="G1708" t="n">
        <v>0.99</v>
      </c>
      <c r="H1708" t="n">
        <v>2</v>
      </c>
      <c r="I1708" t="n">
        <v>6</v>
      </c>
      <c r="J1708" t="n">
        <v>3</v>
      </c>
      <c r="K1708" t="n">
        <v>0</v>
      </c>
      <c r="L1708" t="n">
        <v>41320</v>
      </c>
      <c r="M1708" t="n">
        <v>59000</v>
      </c>
      <c r="N1708" t="n">
        <v>33</v>
      </c>
      <c r="O1708" t="n">
        <v>0.33</v>
      </c>
      <c r="P1708" t="n">
        <v>1</v>
      </c>
      <c r="Q1708" t="n">
        <v>0.12</v>
      </c>
      <c r="R1708" t="n">
        <v>1</v>
      </c>
      <c r="S1708" t="n">
        <v>6035.7</v>
      </c>
      <c r="T1708" t="n">
        <v>6</v>
      </c>
      <c r="U1708" t="n">
        <v>7</v>
      </c>
      <c r="V1708" t="n">
        <v>30</v>
      </c>
      <c r="W1708" t="n">
        <v>4</v>
      </c>
      <c r="X1708" t="n">
        <v>39.10068426197459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1377</v>
      </c>
      <c r="AG1708" t="n">
        <v>2136</v>
      </c>
      <c r="AH1708" t="inlineStr">
        <is>
          <t>CV. SAMUDRA JAYA ABADI - PPN (JMB)</t>
        </is>
      </c>
      <c r="AI1708" t="n">
        <v>80</v>
      </c>
      <c r="AJ1708" t="inlineStr">
        <is>
          <t>HERBORIST</t>
        </is>
      </c>
      <c r="AK1708" t="n">
        <v>9</v>
      </c>
      <c r="AL1708" t="inlineStr">
        <is>
          <t>Miss Glam Jambi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HERBORIST</t>
        </is>
      </c>
      <c r="B1709" s="2">
        <f>"30100242642"</f>
        <v/>
      </c>
      <c r="C1709" t="inlineStr">
        <is>
          <t>HERBORIST Green Tea Natural Balinese Body Scrub 100gr</t>
        </is>
      </c>
      <c r="D1709" t="inlineStr">
        <is>
          <t>Miss Glam Jambi</t>
        </is>
      </c>
      <c r="E1709" t="n">
        <v>3</v>
      </c>
      <c r="F1709" t="n">
        <v>0.0198</v>
      </c>
      <c r="G1709" t="n">
        <v>0.33</v>
      </c>
      <c r="H1709" t="n">
        <v>2</v>
      </c>
      <c r="I1709" t="n">
        <v>6</v>
      </c>
      <c r="J1709" t="n">
        <v>1</v>
      </c>
      <c r="K1709" t="n">
        <v>0</v>
      </c>
      <c r="L1709" t="n">
        <v>17720</v>
      </c>
      <c r="M1709" t="n">
        <v>22000</v>
      </c>
      <c r="N1709" t="n">
        <v>33</v>
      </c>
      <c r="O1709" t="n">
        <v>0.33</v>
      </c>
      <c r="P1709" t="n">
        <v>1</v>
      </c>
      <c r="Q1709" t="n">
        <v>0.03</v>
      </c>
      <c r="R1709" t="n">
        <v>1</v>
      </c>
      <c r="S1709" t="n">
        <v>435.6</v>
      </c>
      <c r="T1709" t="n">
        <v>2</v>
      </c>
      <c r="U1709" t="n">
        <v>3</v>
      </c>
      <c r="V1709" t="n">
        <v>30</v>
      </c>
      <c r="W1709" t="n">
        <v>1</v>
      </c>
      <c r="X1709" t="n">
        <v>151.5151515151515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1377</v>
      </c>
      <c r="AG1709" t="n">
        <v>2136</v>
      </c>
      <c r="AH1709" t="inlineStr">
        <is>
          <t>CV. SAMUDRA JAYA ABADI - PPN (JMB)</t>
        </is>
      </c>
      <c r="AI1709" t="n">
        <v>80</v>
      </c>
      <c r="AJ1709" t="inlineStr">
        <is>
          <t>HERBORIST</t>
        </is>
      </c>
      <c r="AK1709" t="n">
        <v>9</v>
      </c>
      <c r="AL1709" t="inlineStr">
        <is>
          <t>Miss Glam Jambi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HERBORIST</t>
        </is>
      </c>
      <c r="B1710" s="2">
        <f>"30100242006"</f>
        <v/>
      </c>
      <c r="C1710" t="inlineStr">
        <is>
          <t>HERBORIST Green Tea Natural Balinese Body Scrub 200gr</t>
        </is>
      </c>
      <c r="D1710" t="inlineStr">
        <is>
          <t>Miss Glam Jambi</t>
        </is>
      </c>
      <c r="E1710" t="n">
        <v>8</v>
      </c>
      <c r="F1710" t="n">
        <v>0.05</v>
      </c>
      <c r="G1710" t="n">
        <v>1</v>
      </c>
      <c r="H1710" t="n">
        <v>2</v>
      </c>
      <c r="I1710" t="n">
        <v>6</v>
      </c>
      <c r="J1710" t="n">
        <v>1</v>
      </c>
      <c r="K1710" t="n">
        <v>0</v>
      </c>
      <c r="L1710" t="n">
        <v>29320</v>
      </c>
      <c r="M1710" t="n">
        <v>36500</v>
      </c>
      <c r="N1710" t="n">
        <v>33</v>
      </c>
      <c r="O1710" t="n">
        <v>0.33</v>
      </c>
      <c r="P1710" t="n">
        <v>0</v>
      </c>
      <c r="Q1710" t="n">
        <v>0.05</v>
      </c>
      <c r="R1710" t="n">
        <v>1</v>
      </c>
      <c r="S1710" t="n">
        <v>1825</v>
      </c>
      <c r="T1710" t="n">
        <v>6</v>
      </c>
      <c r="U1710" t="n">
        <v>7</v>
      </c>
      <c r="V1710" t="n">
        <v>30</v>
      </c>
      <c r="W1710" t="n">
        <v>2</v>
      </c>
      <c r="X1710" t="n">
        <v>160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1377</v>
      </c>
      <c r="AG1710" t="n">
        <v>2136</v>
      </c>
      <c r="AH1710" t="inlineStr">
        <is>
          <t>CV. SAMUDRA JAYA ABADI - PPN (JMB)</t>
        </is>
      </c>
      <c r="AI1710" t="n">
        <v>80</v>
      </c>
      <c r="AJ1710" t="inlineStr">
        <is>
          <t>HERBORIST</t>
        </is>
      </c>
      <c r="AK1710" t="n">
        <v>9</v>
      </c>
      <c r="AL1710" t="inlineStr">
        <is>
          <t>Miss Glam Jambi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HERBORIST</t>
        </is>
      </c>
      <c r="B1711" s="2">
        <f>"8997226227934"</f>
        <v/>
      </c>
      <c r="C1711" t="inlineStr">
        <is>
          <t>HERBORIST Juice For Skin Cooling Burst Strawberry &amp; Peppermint Lotion Serum 180ml</t>
        </is>
      </c>
      <c r="D1711" t="inlineStr">
        <is>
          <t>Miss Glam Jambi</t>
        </is>
      </c>
      <c r="E1711" t="n">
        <v>1</v>
      </c>
      <c r="F1711" t="n">
        <v>0.3531</v>
      </c>
      <c r="G1711" t="n">
        <v>1.32</v>
      </c>
      <c r="H1711" t="n">
        <v>2</v>
      </c>
      <c r="I1711" t="n">
        <v>6</v>
      </c>
      <c r="J1711" t="n">
        <v>3</v>
      </c>
      <c r="K1711" t="n">
        <v>8</v>
      </c>
      <c r="L1711" t="n">
        <v>21987</v>
      </c>
      <c r="M1711" t="n">
        <v>25000</v>
      </c>
      <c r="N1711" t="n">
        <v>33</v>
      </c>
      <c r="O1711" t="n">
        <v>0.33</v>
      </c>
      <c r="P1711" t="n">
        <v>1</v>
      </c>
      <c r="Q1711" t="n">
        <v>0.08</v>
      </c>
      <c r="R1711" t="n">
        <v>2</v>
      </c>
      <c r="S1711" t="n">
        <v>8827.5</v>
      </c>
      <c r="T1711" t="n">
        <v>8</v>
      </c>
      <c r="U1711" t="n">
        <v>9</v>
      </c>
      <c r="V1711" t="n">
        <v>30</v>
      </c>
      <c r="W1711" t="n">
        <v>11</v>
      </c>
      <c r="X1711" t="n">
        <v>2.832058906825262</v>
      </c>
      <c r="Y1711" t="n">
        <v>1</v>
      </c>
      <c r="Z1711" t="n">
        <v>2</v>
      </c>
      <c r="AA1711" t="n">
        <v>1</v>
      </c>
      <c r="AB1711" t="n">
        <v>1</v>
      </c>
      <c r="AC1711" t="n">
        <v>3</v>
      </c>
      <c r="AD1711" t="n">
        <v>21987</v>
      </c>
      <c r="AE1711" t="n">
        <v>65961</v>
      </c>
      <c r="AF1711" t="n">
        <v>1377</v>
      </c>
      <c r="AG1711" t="n">
        <v>2136</v>
      </c>
      <c r="AH1711" t="inlineStr">
        <is>
          <t>CV. SAMUDRA JAYA ABADI - PPN (JMB)</t>
        </is>
      </c>
      <c r="AI1711" t="n">
        <v>80</v>
      </c>
      <c r="AJ1711" t="inlineStr">
        <is>
          <t>HERBORIST</t>
        </is>
      </c>
      <c r="AK1711" t="n">
        <v>9</v>
      </c>
      <c r="AL1711" t="inlineStr">
        <is>
          <t>Miss Glam Jambi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HERBORIST</t>
        </is>
      </c>
      <c r="B1712" s="2">
        <f>"8997226228160"</f>
        <v/>
      </c>
      <c r="C1712" t="inlineStr">
        <is>
          <t>HERBORIST Juice For Skin Cooling Burst Watermelon Centella Lotion Serum 180ml</t>
        </is>
      </c>
      <c r="D1712" t="inlineStr">
        <is>
          <t>Miss Glam Jambi</t>
        </is>
      </c>
      <c r="E1712" t="n">
        <v>3</v>
      </c>
      <c r="F1712" t="n">
        <v>0.1221</v>
      </c>
      <c r="G1712" t="n">
        <v>0.66</v>
      </c>
      <c r="H1712" t="n">
        <v>2</v>
      </c>
      <c r="I1712" t="n">
        <v>6</v>
      </c>
      <c r="J1712" t="n">
        <v>3</v>
      </c>
      <c r="K1712" t="n">
        <v>3</v>
      </c>
      <c r="L1712" t="n">
        <v>21987</v>
      </c>
      <c r="M1712" t="n">
        <v>25000</v>
      </c>
      <c r="N1712" t="n">
        <v>33</v>
      </c>
      <c r="O1712" t="n">
        <v>0.33</v>
      </c>
      <c r="P1712" t="n">
        <v>1</v>
      </c>
      <c r="Q1712" t="n">
        <v>0.07000000000000001</v>
      </c>
      <c r="R1712" t="n">
        <v>1</v>
      </c>
      <c r="S1712" t="n">
        <v>3052.5</v>
      </c>
      <c r="T1712" t="n">
        <v>4</v>
      </c>
      <c r="U1712" t="n">
        <v>5</v>
      </c>
      <c r="V1712" t="n">
        <v>30</v>
      </c>
      <c r="W1712" t="n">
        <v>4</v>
      </c>
      <c r="X1712" t="n">
        <v>24.57002457002457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1377</v>
      </c>
      <c r="AG1712" t="n">
        <v>2136</v>
      </c>
      <c r="AH1712" t="inlineStr">
        <is>
          <t>CV. SAMUDRA JAYA ABADI - PPN (JMB)</t>
        </is>
      </c>
      <c r="AI1712" t="n">
        <v>80</v>
      </c>
      <c r="AJ1712" t="inlineStr">
        <is>
          <t>HERBORIST</t>
        </is>
      </c>
      <c r="AK1712" t="n">
        <v>9</v>
      </c>
      <c r="AL1712" t="inlineStr">
        <is>
          <t>Miss Glam Jambi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HERBORIST</t>
        </is>
      </c>
      <c r="B1713" s="2">
        <f>"8997226224650"</f>
        <v/>
      </c>
      <c r="C1713" t="inlineStr">
        <is>
          <t>HERBORIST Juice For Skin Exfoliating Gel Scrub Raspberry &amp; Tomato 150ml</t>
        </is>
      </c>
      <c r="D1713" t="inlineStr">
        <is>
          <t>Miss Glam Jambi</t>
        </is>
      </c>
      <c r="E1713" t="n">
        <v>4</v>
      </c>
      <c r="F1713" t="n">
        <v>0.05</v>
      </c>
      <c r="G1713" t="n">
        <v>1</v>
      </c>
      <c r="H1713" t="n">
        <v>2</v>
      </c>
      <c r="I1713" t="n">
        <v>6</v>
      </c>
      <c r="J1713" t="n">
        <v>3</v>
      </c>
      <c r="K1713" t="n">
        <v>0</v>
      </c>
      <c r="L1713" t="n">
        <v>19092</v>
      </c>
      <c r="M1713" t="n">
        <v>27000</v>
      </c>
      <c r="N1713" t="n">
        <v>33</v>
      </c>
      <c r="O1713" t="n">
        <v>0.33</v>
      </c>
      <c r="P1713" t="n">
        <v>0</v>
      </c>
      <c r="Q1713" t="n">
        <v>0.05</v>
      </c>
      <c r="R1713" t="n">
        <v>1</v>
      </c>
      <c r="S1713" t="n">
        <v>1350</v>
      </c>
      <c r="T1713" t="n">
        <v>6</v>
      </c>
      <c r="U1713" t="n">
        <v>7</v>
      </c>
      <c r="V1713" t="n">
        <v>30</v>
      </c>
      <c r="W1713" t="n">
        <v>2</v>
      </c>
      <c r="X1713" t="n">
        <v>80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1377</v>
      </c>
      <c r="AG1713" t="n">
        <v>2136</v>
      </c>
      <c r="AH1713" t="inlineStr">
        <is>
          <t>CV. SAMUDRA JAYA ABADI - PPN (JMB)</t>
        </is>
      </c>
      <c r="AI1713" t="n">
        <v>80</v>
      </c>
      <c r="AJ1713" t="inlineStr">
        <is>
          <t>HERBORIST</t>
        </is>
      </c>
      <c r="AK1713" t="n">
        <v>9</v>
      </c>
      <c r="AL1713" t="inlineStr">
        <is>
          <t>Miss Glam Jambi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HERBORIST</t>
        </is>
      </c>
      <c r="B1714" s="2">
        <f>"8997226225145"</f>
        <v/>
      </c>
      <c r="C1714" t="inlineStr">
        <is>
          <t>HERBORIST Juice For Skin Face Scrub Apple &amp; Broccoli 60gr</t>
        </is>
      </c>
      <c r="D1714" t="inlineStr">
        <is>
          <t>Miss Glam Jambi</t>
        </is>
      </c>
      <c r="E1714" t="n">
        <v>2</v>
      </c>
      <c r="F1714" t="n">
        <v>0.033</v>
      </c>
      <c r="G1714" t="n">
        <v>0.66</v>
      </c>
      <c r="H1714" t="n">
        <v>2</v>
      </c>
      <c r="I1714" t="n">
        <v>6</v>
      </c>
      <c r="J1714" t="n">
        <v>3</v>
      </c>
      <c r="K1714" t="n">
        <v>0</v>
      </c>
      <c r="L1714" t="n">
        <v>18587</v>
      </c>
      <c r="M1714" t="n">
        <v>23000</v>
      </c>
      <c r="N1714" t="n">
        <v>33</v>
      </c>
      <c r="O1714" t="n">
        <v>0.33</v>
      </c>
      <c r="P1714" t="n">
        <v>1</v>
      </c>
      <c r="Q1714" t="n">
        <v>0.03</v>
      </c>
      <c r="R1714" t="n">
        <v>1</v>
      </c>
      <c r="S1714" t="n">
        <v>759</v>
      </c>
      <c r="T1714" t="n">
        <v>4</v>
      </c>
      <c r="U1714" t="n">
        <v>5</v>
      </c>
      <c r="V1714" t="n">
        <v>30</v>
      </c>
      <c r="W1714" t="n">
        <v>1</v>
      </c>
      <c r="X1714" t="n">
        <v>60.6060606060606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1377</v>
      </c>
      <c r="AG1714" t="n">
        <v>2136</v>
      </c>
      <c r="AH1714" t="inlineStr">
        <is>
          <t>CV. SAMUDRA JAYA ABADI - PPN (JMB)</t>
        </is>
      </c>
      <c r="AI1714" t="n">
        <v>80</v>
      </c>
      <c r="AJ1714" t="inlineStr">
        <is>
          <t>HERBORIST</t>
        </is>
      </c>
      <c r="AK1714" t="n">
        <v>9</v>
      </c>
      <c r="AL1714" t="inlineStr">
        <is>
          <t>Miss Glam Jambi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HERBORIST</t>
        </is>
      </c>
      <c r="B1715" s="2">
        <f>"8997226225374"</f>
        <v/>
      </c>
      <c r="C1715" t="inlineStr">
        <is>
          <t>HERBORIST Mineral Body Scrub Sea Salt &amp; Gold Rejuvenating 200gr</t>
        </is>
      </c>
      <c r="D1715" t="inlineStr">
        <is>
          <t>Miss Glam Jambi</t>
        </is>
      </c>
      <c r="E1715" t="n">
        <v>6</v>
      </c>
      <c r="F1715" t="n">
        <v>0.0231</v>
      </c>
      <c r="G1715" t="n">
        <v>0.33</v>
      </c>
      <c r="H1715" t="n">
        <v>2</v>
      </c>
      <c r="I1715" t="n">
        <v>6</v>
      </c>
      <c r="J1715" t="n">
        <v>3</v>
      </c>
      <c r="K1715" t="n">
        <v>0</v>
      </c>
      <c r="L1715" t="n">
        <v>15586</v>
      </c>
      <c r="M1715" t="n">
        <v>18200</v>
      </c>
      <c r="N1715" t="n">
        <v>33</v>
      </c>
      <c r="O1715" t="n">
        <v>0.33</v>
      </c>
      <c r="P1715" t="n">
        <v>1</v>
      </c>
      <c r="Q1715" t="n">
        <v>0.08</v>
      </c>
      <c r="R1715" t="n">
        <v>1</v>
      </c>
      <c r="S1715" t="n">
        <v>420.4200000000001</v>
      </c>
      <c r="T1715" t="n">
        <v>2</v>
      </c>
      <c r="U1715" t="n">
        <v>3</v>
      </c>
      <c r="V1715" t="n">
        <v>30</v>
      </c>
      <c r="W1715" t="n">
        <v>1</v>
      </c>
      <c r="X1715" t="n">
        <v>259.7402597402597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1377</v>
      </c>
      <c r="AG1715" t="n">
        <v>2136</v>
      </c>
      <c r="AH1715" t="inlineStr">
        <is>
          <t>CV. SAMUDRA JAYA ABADI - PPN (JMB)</t>
        </is>
      </c>
      <c r="AI1715" t="n">
        <v>80</v>
      </c>
      <c r="AJ1715" t="inlineStr">
        <is>
          <t>HERBORIST</t>
        </is>
      </c>
      <c r="AK1715" t="n">
        <v>9</v>
      </c>
      <c r="AL1715" t="inlineStr">
        <is>
          <t>Miss Glam Jambi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HERBORIST</t>
        </is>
      </c>
      <c r="B1716" s="2">
        <f>"8997226225367"</f>
        <v/>
      </c>
      <c r="C1716" t="inlineStr">
        <is>
          <t>HERBORIST Mineral Body Scrub Sea Salt &amp; Kaolin Moisturizing 200gr</t>
        </is>
      </c>
      <c r="D1716" t="inlineStr">
        <is>
          <t>Miss Glam Jambi</t>
        </is>
      </c>
      <c r="E1716" t="n">
        <v>3</v>
      </c>
      <c r="F1716" t="n">
        <v>0.0561</v>
      </c>
      <c r="G1716" t="n">
        <v>0.66</v>
      </c>
      <c r="H1716" t="n">
        <v>2</v>
      </c>
      <c r="I1716" t="n">
        <v>6</v>
      </c>
      <c r="J1716" t="n">
        <v>3</v>
      </c>
      <c r="K1716" t="n">
        <v>0</v>
      </c>
      <c r="L1716" t="n">
        <v>15594</v>
      </c>
      <c r="M1716" t="n">
        <v>18200</v>
      </c>
      <c r="N1716" t="n">
        <v>33</v>
      </c>
      <c r="O1716" t="n">
        <v>0.33</v>
      </c>
      <c r="P1716" t="n">
        <v>1</v>
      </c>
      <c r="Q1716" t="n">
        <v>0.02</v>
      </c>
      <c r="R1716" t="n">
        <v>1</v>
      </c>
      <c r="S1716" t="n">
        <v>1021.02</v>
      </c>
      <c r="T1716" t="n">
        <v>4</v>
      </c>
      <c r="U1716" t="n">
        <v>5</v>
      </c>
      <c r="V1716" t="n">
        <v>30</v>
      </c>
      <c r="W1716" t="n">
        <v>2</v>
      </c>
      <c r="X1716" t="n">
        <v>53.475935828877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1377</v>
      </c>
      <c r="AG1716" t="n">
        <v>2136</v>
      </c>
      <c r="AH1716" t="inlineStr">
        <is>
          <t>CV. SAMUDRA JAYA ABADI - PPN (JMB)</t>
        </is>
      </c>
      <c r="AI1716" t="n">
        <v>80</v>
      </c>
      <c r="AJ1716" t="inlineStr">
        <is>
          <t>HERBORIST</t>
        </is>
      </c>
      <c r="AK1716" t="n">
        <v>9</v>
      </c>
      <c r="AL1716" t="inlineStr">
        <is>
          <t>Miss Glam Jambi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HERBORIST</t>
        </is>
      </c>
      <c r="B1717" s="2">
        <f>"8997226225381"</f>
        <v/>
      </c>
      <c r="C1717" t="inlineStr">
        <is>
          <t>HERBORIST Mineral Body Scrub Sea Salt &amp; Volcanic Mud 200gr</t>
        </is>
      </c>
      <c r="D1717" t="inlineStr">
        <is>
          <t>Miss Glam Jambi</t>
        </is>
      </c>
      <c r="E1717" t="n">
        <v>5</v>
      </c>
      <c r="F1717" t="n">
        <v>0.05</v>
      </c>
      <c r="G1717" t="n">
        <v>1</v>
      </c>
      <c r="H1717" t="n">
        <v>2</v>
      </c>
      <c r="I1717" t="n">
        <v>6</v>
      </c>
      <c r="J1717" t="n">
        <v>3</v>
      </c>
      <c r="K1717" t="n">
        <v>0</v>
      </c>
      <c r="L1717" t="n">
        <v>15587</v>
      </c>
      <c r="M1717" t="n">
        <v>18200</v>
      </c>
      <c r="N1717" t="n">
        <v>33</v>
      </c>
      <c r="O1717" t="n">
        <v>0.33</v>
      </c>
      <c r="P1717" t="n">
        <v>0</v>
      </c>
      <c r="Q1717" t="n">
        <v>0.05</v>
      </c>
      <c r="R1717" t="n">
        <v>1</v>
      </c>
      <c r="S1717" t="n">
        <v>910</v>
      </c>
      <c r="T1717" t="n">
        <v>6</v>
      </c>
      <c r="U1717" t="n">
        <v>7</v>
      </c>
      <c r="V1717" t="n">
        <v>30</v>
      </c>
      <c r="W1717" t="n">
        <v>2</v>
      </c>
      <c r="X1717" t="n">
        <v>100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1377</v>
      </c>
      <c r="AG1717" t="n">
        <v>2136</v>
      </c>
      <c r="AH1717" t="inlineStr">
        <is>
          <t>CV. SAMUDRA JAYA ABADI - PPN (JMB)</t>
        </is>
      </c>
      <c r="AI1717" t="n">
        <v>80</v>
      </c>
      <c r="AJ1717" t="inlineStr">
        <is>
          <t>HERBORIST</t>
        </is>
      </c>
      <c r="AK1717" t="n">
        <v>9</v>
      </c>
      <c r="AL1717" t="inlineStr">
        <is>
          <t>Miss Glam Jambi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HERBORIST</t>
        </is>
      </c>
      <c r="B1718" s="2">
        <f>"8997016373919"</f>
        <v/>
      </c>
      <c r="C1718" t="inlineStr">
        <is>
          <t>HERBORIST Minyak Zaitun 75ml</t>
        </is>
      </c>
      <c r="D1718" t="inlineStr">
        <is>
          <t>Miss Glam Jambi</t>
        </is>
      </c>
      <c r="E1718" t="n">
        <v>0</v>
      </c>
      <c r="F1718" t="n">
        <v>0.7557</v>
      </c>
      <c r="G1718" t="n">
        <v>1.98</v>
      </c>
      <c r="H1718" t="n">
        <v>2</v>
      </c>
      <c r="I1718" t="n">
        <v>6</v>
      </c>
      <c r="J1718" t="n">
        <v>3</v>
      </c>
      <c r="K1718" t="n">
        <v>18</v>
      </c>
      <c r="L1718" t="n">
        <v>19054</v>
      </c>
      <c r="M1718" t="n">
        <v>23000</v>
      </c>
      <c r="N1718" t="n">
        <v>33</v>
      </c>
      <c r="O1718" t="n">
        <v>0.33</v>
      </c>
      <c r="P1718" t="n">
        <v>1</v>
      </c>
      <c r="Q1718" t="n">
        <v>0.29</v>
      </c>
      <c r="R1718" t="n">
        <v>2</v>
      </c>
      <c r="S1718" t="n">
        <v>17381.1</v>
      </c>
      <c r="T1718" t="n">
        <v>11</v>
      </c>
      <c r="U1718" t="n">
        <v>13</v>
      </c>
      <c r="V1718" t="n">
        <v>30</v>
      </c>
      <c r="W1718" t="n">
        <v>23</v>
      </c>
      <c r="X1718" t="n">
        <v>0</v>
      </c>
      <c r="Y1718" t="n">
        <v>1</v>
      </c>
      <c r="Z1718" t="n">
        <v>5</v>
      </c>
      <c r="AA1718" t="n">
        <v>4</v>
      </c>
      <c r="AB1718" t="n">
        <v>1</v>
      </c>
      <c r="AC1718" t="n">
        <v>3</v>
      </c>
      <c r="AD1718" t="n">
        <v>76216</v>
      </c>
      <c r="AE1718" t="n">
        <v>57162</v>
      </c>
      <c r="AF1718" t="n">
        <v>1377</v>
      </c>
      <c r="AG1718" t="n">
        <v>2136</v>
      </c>
      <c r="AH1718" t="inlineStr">
        <is>
          <t>CV. SAMUDRA JAYA ABADI - PPN (JMB)</t>
        </is>
      </c>
      <c r="AI1718" t="n">
        <v>80</v>
      </c>
      <c r="AJ1718" t="inlineStr">
        <is>
          <t>HERBORIST</t>
        </is>
      </c>
      <c r="AK1718" t="n">
        <v>9</v>
      </c>
      <c r="AL1718" t="inlineStr">
        <is>
          <t>Miss Glam Jambi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HERBORIST</t>
        </is>
      </c>
      <c r="B1719" s="2">
        <f>"30100242730"</f>
        <v/>
      </c>
      <c r="C1719" t="inlineStr">
        <is>
          <t>HERBORIST Olive Natural Balinese Body Scrub 100gr</t>
        </is>
      </c>
      <c r="D1719" t="inlineStr">
        <is>
          <t>Miss Glam Jambi</t>
        </is>
      </c>
      <c r="E1719" t="n">
        <v>3</v>
      </c>
      <c r="F1719" t="n">
        <v>0.0495</v>
      </c>
      <c r="G1719" t="n">
        <v>0.33</v>
      </c>
      <c r="H1719" t="n">
        <v>2</v>
      </c>
      <c r="I1719" t="n">
        <v>6</v>
      </c>
      <c r="J1719" t="n">
        <v>1</v>
      </c>
      <c r="K1719" t="n">
        <v>0</v>
      </c>
      <c r="L1719" t="n">
        <v>17720</v>
      </c>
      <c r="M1719" t="n">
        <v>22000</v>
      </c>
      <c r="N1719" t="n">
        <v>33</v>
      </c>
      <c r="O1719" t="n">
        <v>0.33</v>
      </c>
      <c r="P1719" t="n">
        <v>1</v>
      </c>
      <c r="Q1719" t="n">
        <v>0.07000000000000001</v>
      </c>
      <c r="R1719" t="n">
        <v>1</v>
      </c>
      <c r="S1719" t="n">
        <v>1089</v>
      </c>
      <c r="T1719" t="n">
        <v>2</v>
      </c>
      <c r="U1719" t="n">
        <v>3</v>
      </c>
      <c r="V1719" t="n">
        <v>30</v>
      </c>
      <c r="W1719" t="n">
        <v>2</v>
      </c>
      <c r="X1719" t="n">
        <v>60.6060606060606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1377</v>
      </c>
      <c r="AG1719" t="n">
        <v>2136</v>
      </c>
      <c r="AH1719" t="inlineStr">
        <is>
          <t>CV. SAMUDRA JAYA ABADI - PPN (JMB)</t>
        </is>
      </c>
      <c r="AI1719" t="n">
        <v>80</v>
      </c>
      <c r="AJ1719" t="inlineStr">
        <is>
          <t>HERBORIST</t>
        </is>
      </c>
      <c r="AK1719" t="n">
        <v>9</v>
      </c>
      <c r="AL1719" t="inlineStr">
        <is>
          <t>Miss Glam Jambi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HERBORIST</t>
        </is>
      </c>
      <c r="B1720" s="2">
        <f>"30100242353"</f>
        <v/>
      </c>
      <c r="C1720" t="inlineStr">
        <is>
          <t>HERBORIST Olive Natural Balinese Body Scrub 200gr</t>
        </is>
      </c>
      <c r="D1720" t="inlineStr">
        <is>
          <t>Miss Glam Jambi</t>
        </is>
      </c>
      <c r="E1720" t="n">
        <v>5</v>
      </c>
      <c r="F1720" t="n">
        <v>0.0726</v>
      </c>
      <c r="G1720" t="n">
        <v>0.33</v>
      </c>
      <c r="H1720" t="n">
        <v>2</v>
      </c>
      <c r="I1720" t="n">
        <v>6</v>
      </c>
      <c r="J1720" t="n">
        <v>1</v>
      </c>
      <c r="K1720" t="n">
        <v>0</v>
      </c>
      <c r="L1720" t="n">
        <v>29320</v>
      </c>
      <c r="M1720" t="n">
        <v>36500</v>
      </c>
      <c r="N1720" t="n">
        <v>33</v>
      </c>
      <c r="O1720" t="n">
        <v>0.33</v>
      </c>
      <c r="P1720" t="n">
        <v>1</v>
      </c>
      <c r="Q1720" t="n">
        <v>0.08</v>
      </c>
      <c r="R1720" t="n">
        <v>1</v>
      </c>
      <c r="S1720" t="n">
        <v>2649.9</v>
      </c>
      <c r="T1720" t="n">
        <v>2</v>
      </c>
      <c r="U1720" t="n">
        <v>3</v>
      </c>
      <c r="V1720" t="n">
        <v>30</v>
      </c>
      <c r="W1720" t="n">
        <v>3</v>
      </c>
      <c r="X1720" t="n">
        <v>68.87052341597796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1377</v>
      </c>
      <c r="AG1720" t="n">
        <v>2136</v>
      </c>
      <c r="AH1720" t="inlineStr">
        <is>
          <t>CV. SAMUDRA JAYA ABADI - PPN (JMB)</t>
        </is>
      </c>
      <c r="AI1720" t="n">
        <v>80</v>
      </c>
      <c r="AJ1720" t="inlineStr">
        <is>
          <t>HERBORIST</t>
        </is>
      </c>
      <c r="AK1720" t="n">
        <v>9</v>
      </c>
      <c r="AL1720" t="inlineStr">
        <is>
          <t>Miss Glam Jambi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HERBORIST</t>
        </is>
      </c>
      <c r="B1721" s="2">
        <f>"8997226227040"</f>
        <v/>
      </c>
      <c r="C1721" t="inlineStr">
        <is>
          <t>HERBORIST Olive Oil + Collagen 75ml</t>
        </is>
      </c>
      <c r="D1721" t="inlineStr">
        <is>
          <t>Miss Glam Jambi</t>
        </is>
      </c>
      <c r="E1721" t="n">
        <v>11</v>
      </c>
      <c r="F1721" t="n">
        <v>0.1947</v>
      </c>
      <c r="G1721" t="n">
        <v>0.99</v>
      </c>
      <c r="H1721" t="n">
        <v>2</v>
      </c>
      <c r="I1721" t="n">
        <v>6</v>
      </c>
      <c r="J1721" t="n">
        <v>3</v>
      </c>
      <c r="K1721" t="n">
        <v>0</v>
      </c>
      <c r="L1721" t="n">
        <v>19054</v>
      </c>
      <c r="M1721" t="n">
        <v>27500</v>
      </c>
      <c r="N1721" t="n">
        <v>33</v>
      </c>
      <c r="O1721" t="n">
        <v>0.33</v>
      </c>
      <c r="P1721" t="n">
        <v>1</v>
      </c>
      <c r="Q1721" t="n">
        <v>0.02</v>
      </c>
      <c r="R1721" t="n">
        <v>0</v>
      </c>
      <c r="S1721" t="n">
        <v>5354.25</v>
      </c>
      <c r="T1721" t="n">
        <v>6</v>
      </c>
      <c r="U1721" t="n">
        <v>7</v>
      </c>
      <c r="V1721" t="n">
        <v>30</v>
      </c>
      <c r="W1721" t="n">
        <v>6</v>
      </c>
      <c r="X1721" t="n">
        <v>56.49717514124293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1377</v>
      </c>
      <c r="AG1721" t="n">
        <v>2136</v>
      </c>
      <c r="AH1721" t="inlineStr">
        <is>
          <t>CV. SAMUDRA JAYA ABADI - PPN (JMB)</t>
        </is>
      </c>
      <c r="AI1721" t="n">
        <v>80</v>
      </c>
      <c r="AJ1721" t="inlineStr">
        <is>
          <t>HERBORIST</t>
        </is>
      </c>
      <c r="AK1721" t="n">
        <v>9</v>
      </c>
      <c r="AL1721" t="inlineStr">
        <is>
          <t>Miss Glam Jambi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HERBORIST</t>
        </is>
      </c>
      <c r="B1722" s="2">
        <f>"30100242948"</f>
        <v/>
      </c>
      <c r="C1722" t="inlineStr">
        <is>
          <t>HERBORIST Rice Natural Balinese Body Scrub 100gr</t>
        </is>
      </c>
      <c r="D1722" t="inlineStr">
        <is>
          <t>Miss Glam Jambi</t>
        </is>
      </c>
      <c r="E1722" t="n">
        <v>9</v>
      </c>
      <c r="F1722" t="n">
        <v>0.066</v>
      </c>
      <c r="G1722" t="n">
        <v>0.66</v>
      </c>
      <c r="H1722" t="n">
        <v>2</v>
      </c>
      <c r="I1722" t="n">
        <v>6</v>
      </c>
      <c r="J1722" t="n">
        <v>1</v>
      </c>
      <c r="K1722" t="n">
        <v>0</v>
      </c>
      <c r="L1722" t="n">
        <v>17720</v>
      </c>
      <c r="M1722" t="n">
        <v>22000</v>
      </c>
      <c r="N1722" t="n">
        <v>33</v>
      </c>
      <c r="O1722" t="n">
        <v>0.33</v>
      </c>
      <c r="P1722" t="n">
        <v>1</v>
      </c>
      <c r="Q1722" t="n">
        <v>0.02</v>
      </c>
      <c r="R1722" t="n">
        <v>1</v>
      </c>
      <c r="S1722" t="n">
        <v>1452</v>
      </c>
      <c r="T1722" t="n">
        <v>4</v>
      </c>
      <c r="U1722" t="n">
        <v>5</v>
      </c>
      <c r="V1722" t="n">
        <v>30</v>
      </c>
      <c r="W1722" t="n">
        <v>2</v>
      </c>
      <c r="X1722" t="n">
        <v>136.3636363636363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1377</v>
      </c>
      <c r="AG1722" t="n">
        <v>2136</v>
      </c>
      <c r="AH1722" t="inlineStr">
        <is>
          <t>CV. SAMUDRA JAYA ABADI - PPN (JMB)</t>
        </is>
      </c>
      <c r="AI1722" t="n">
        <v>80</v>
      </c>
      <c r="AJ1722" t="inlineStr">
        <is>
          <t>HERBORIST</t>
        </is>
      </c>
      <c r="AK1722" t="n">
        <v>9</v>
      </c>
      <c r="AL1722" t="inlineStr">
        <is>
          <t>Miss Glam Jambi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HERBORIST</t>
        </is>
      </c>
      <c r="B1723" s="2">
        <f>"30100243019"</f>
        <v/>
      </c>
      <c r="C1723" t="inlineStr">
        <is>
          <t>HERBORIST Rose Natural Balinese Body Scrub 100gr</t>
        </is>
      </c>
      <c r="D1723" t="inlineStr">
        <is>
          <t>Miss Glam Jambi</t>
        </is>
      </c>
      <c r="E1723" t="n">
        <v>6</v>
      </c>
      <c r="F1723" t="n">
        <v>0.2013</v>
      </c>
      <c r="G1723" t="n">
        <v>1.65</v>
      </c>
      <c r="H1723" t="n">
        <v>2</v>
      </c>
      <c r="I1723" t="n">
        <v>6</v>
      </c>
      <c r="J1723" t="n">
        <v>1</v>
      </c>
      <c r="K1723" t="n">
        <v>1</v>
      </c>
      <c r="L1723" t="n">
        <v>17720</v>
      </c>
      <c r="M1723" t="n">
        <v>22000</v>
      </c>
      <c r="N1723" t="n">
        <v>33</v>
      </c>
      <c r="O1723" t="n">
        <v>0.33</v>
      </c>
      <c r="P1723" t="n">
        <v>1</v>
      </c>
      <c r="Q1723" t="n">
        <v>0.08</v>
      </c>
      <c r="R1723" t="n">
        <v>1</v>
      </c>
      <c r="S1723" t="n">
        <v>4428.6</v>
      </c>
      <c r="T1723" t="n">
        <v>10</v>
      </c>
      <c r="U1723" t="n">
        <v>11</v>
      </c>
      <c r="V1723" t="n">
        <v>30</v>
      </c>
      <c r="W1723" t="n">
        <v>7</v>
      </c>
      <c r="X1723" t="n">
        <v>29.80625931445604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1377</v>
      </c>
      <c r="AG1723" t="n">
        <v>2136</v>
      </c>
      <c r="AH1723" t="inlineStr">
        <is>
          <t>CV. SAMUDRA JAYA ABADI - PPN (JMB)</t>
        </is>
      </c>
      <c r="AI1723" t="n">
        <v>80</v>
      </c>
      <c r="AJ1723" t="inlineStr">
        <is>
          <t>HERBORIST</t>
        </is>
      </c>
      <c r="AK1723" t="n">
        <v>9</v>
      </c>
      <c r="AL1723" t="inlineStr">
        <is>
          <t>Miss Glam Jambi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HERBORIST</t>
        </is>
      </c>
      <c r="B1724" s="2">
        <f>"30100243257"</f>
        <v/>
      </c>
      <c r="C1724" t="inlineStr">
        <is>
          <t>HERBORIST Strawberry Natural Balinese Body Scrub 100gr</t>
        </is>
      </c>
      <c r="D1724" t="inlineStr">
        <is>
          <t>Miss Glam Jambi</t>
        </is>
      </c>
      <c r="E1724" t="n">
        <v>23</v>
      </c>
      <c r="F1724" t="n">
        <v>0.2574</v>
      </c>
      <c r="G1724" t="n">
        <v>0.99</v>
      </c>
      <c r="H1724" t="n">
        <v>2</v>
      </c>
      <c r="I1724" t="n">
        <v>6</v>
      </c>
      <c r="J1724" t="n">
        <v>1</v>
      </c>
      <c r="K1724" t="n">
        <v>0</v>
      </c>
      <c r="L1724" t="n">
        <v>17720</v>
      </c>
      <c r="M1724" t="n">
        <v>22000</v>
      </c>
      <c r="N1724" t="n">
        <v>33</v>
      </c>
      <c r="O1724" t="n">
        <v>0.33</v>
      </c>
      <c r="P1724" t="n">
        <v>1</v>
      </c>
      <c r="Q1724" t="n">
        <v>0.34</v>
      </c>
      <c r="R1724" t="n">
        <v>3</v>
      </c>
      <c r="S1724" t="n">
        <v>5662.8</v>
      </c>
      <c r="T1724" t="n">
        <v>6</v>
      </c>
      <c r="U1724" t="n">
        <v>7</v>
      </c>
      <c r="V1724" t="n">
        <v>30</v>
      </c>
      <c r="W1724" t="n">
        <v>8</v>
      </c>
      <c r="X1724" t="n">
        <v>89.35508935508935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1377</v>
      </c>
      <c r="AG1724" t="n">
        <v>2136</v>
      </c>
      <c r="AH1724" t="inlineStr">
        <is>
          <t>CV. SAMUDRA JAYA ABADI - PPN (JMB)</t>
        </is>
      </c>
      <c r="AI1724" t="n">
        <v>80</v>
      </c>
      <c r="AJ1724" t="inlineStr">
        <is>
          <t>HERBORIST</t>
        </is>
      </c>
      <c r="AK1724" t="n">
        <v>9</v>
      </c>
      <c r="AL1724" t="inlineStr">
        <is>
          <t>Miss Glam Jambi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HERBORIST</t>
        </is>
      </c>
      <c r="B1725" s="2">
        <f>"30100242514"</f>
        <v/>
      </c>
      <c r="C1725" t="inlineStr">
        <is>
          <t>HERBORIST Yambean Natural Balinese Body Scrub 100gr</t>
        </is>
      </c>
      <c r="D1725" t="inlineStr">
        <is>
          <t>Miss Glam Jambi</t>
        </is>
      </c>
      <c r="E1725" t="n">
        <v>2</v>
      </c>
      <c r="F1725" t="n">
        <v>0.1749</v>
      </c>
      <c r="G1725" t="n">
        <v>0.99</v>
      </c>
      <c r="H1725" t="n">
        <v>2</v>
      </c>
      <c r="I1725" t="n">
        <v>6</v>
      </c>
      <c r="J1725" t="n">
        <v>1</v>
      </c>
      <c r="K1725" t="n">
        <v>4</v>
      </c>
      <c r="L1725" t="n">
        <v>17720</v>
      </c>
      <c r="M1725" t="n">
        <v>22000</v>
      </c>
      <c r="N1725" t="n">
        <v>33</v>
      </c>
      <c r="O1725" t="n">
        <v>0.33</v>
      </c>
      <c r="P1725" t="n">
        <v>1</v>
      </c>
      <c r="Q1725" t="n">
        <v>0.17</v>
      </c>
      <c r="R1725" t="n">
        <v>2</v>
      </c>
      <c r="S1725" t="n">
        <v>3847.800000000001</v>
      </c>
      <c r="T1725" t="n">
        <v>6</v>
      </c>
      <c r="U1725" t="n">
        <v>7</v>
      </c>
      <c r="V1725" t="n">
        <v>30</v>
      </c>
      <c r="W1725" t="n">
        <v>6</v>
      </c>
      <c r="X1725" t="n">
        <v>11.43510577472841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1377</v>
      </c>
      <c r="AG1725" t="n">
        <v>2136</v>
      </c>
      <c r="AH1725" t="inlineStr">
        <is>
          <t>CV. SAMUDRA JAYA ABADI - PPN (JMB)</t>
        </is>
      </c>
      <c r="AI1725" t="n">
        <v>80</v>
      </c>
      <c r="AJ1725" t="inlineStr">
        <is>
          <t>HERBORIST</t>
        </is>
      </c>
      <c r="AK1725" t="n">
        <v>9</v>
      </c>
      <c r="AL1725" t="inlineStr">
        <is>
          <t>Miss Glam Jambi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HERBORIST</t>
        </is>
      </c>
      <c r="B1726" s="2">
        <f>"30100242139"</f>
        <v/>
      </c>
      <c r="C1726" t="inlineStr">
        <is>
          <t>HERBORIST Yambean Natural Balinese Body Scrub 200gr</t>
        </is>
      </c>
      <c r="D1726" t="inlineStr">
        <is>
          <t>Miss Glam Jambi</t>
        </is>
      </c>
      <c r="E1726" t="n">
        <v>12</v>
      </c>
      <c r="F1726" t="n">
        <v>0.1386</v>
      </c>
      <c r="G1726" t="n">
        <v>0.99</v>
      </c>
      <c r="H1726" t="n">
        <v>2</v>
      </c>
      <c r="I1726" t="n">
        <v>6</v>
      </c>
      <c r="J1726" t="n">
        <v>1</v>
      </c>
      <c r="K1726" t="n">
        <v>0</v>
      </c>
      <c r="L1726" t="n">
        <v>29320</v>
      </c>
      <c r="M1726" t="n">
        <v>36500</v>
      </c>
      <c r="N1726" t="n">
        <v>33</v>
      </c>
      <c r="O1726" t="n">
        <v>0.33</v>
      </c>
      <c r="P1726" t="n">
        <v>1</v>
      </c>
      <c r="Q1726" t="n">
        <v>0.03</v>
      </c>
      <c r="R1726" t="n">
        <v>1</v>
      </c>
      <c r="S1726" t="n">
        <v>5058.9</v>
      </c>
      <c r="T1726" t="n">
        <v>6</v>
      </c>
      <c r="U1726" t="n">
        <v>7</v>
      </c>
      <c r="V1726" t="n">
        <v>30</v>
      </c>
      <c r="W1726" t="n">
        <v>5</v>
      </c>
      <c r="X1726" t="n">
        <v>86.58008658008659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1377</v>
      </c>
      <c r="AG1726" t="n">
        <v>2136</v>
      </c>
      <c r="AH1726" t="inlineStr">
        <is>
          <t>CV. SAMUDRA JAYA ABADI - PPN (JMB)</t>
        </is>
      </c>
      <c r="AI1726" t="n">
        <v>80</v>
      </c>
      <c r="AJ1726" t="inlineStr">
        <is>
          <t>HERBORIST</t>
        </is>
      </c>
      <c r="AK1726" t="n">
        <v>9</v>
      </c>
      <c r="AL1726" t="inlineStr">
        <is>
          <t>Miss Glam Jambi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HIMALAYA</t>
        </is>
      </c>
      <c r="B1727" s="2">
        <f>"6291107225111"</f>
        <v/>
      </c>
      <c r="C1727" t="inlineStr">
        <is>
          <t>HIMALAYA Deep Cleansing Charcoal Face Wash Pollution Deetox 100ml</t>
        </is>
      </c>
      <c r="D1727" t="inlineStr">
        <is>
          <t>Miss Glam Jambi</t>
        </is>
      </c>
      <c r="E1727" t="n">
        <v>3</v>
      </c>
      <c r="F1727" t="n">
        <v>0.0132</v>
      </c>
      <c r="G1727" t="n">
        <v>0.33</v>
      </c>
      <c r="H1727" t="n">
        <v>11</v>
      </c>
      <c r="I1727" t="n">
        <v>29</v>
      </c>
      <c r="J1727" t="n">
        <v>3</v>
      </c>
      <c r="K1727" t="n">
        <v>0</v>
      </c>
      <c r="L1727" t="n">
        <v>27426</v>
      </c>
      <c r="M1727" t="n">
        <v>31500</v>
      </c>
      <c r="N1727" t="n">
        <v>33</v>
      </c>
      <c r="O1727" t="n">
        <v>0.33</v>
      </c>
      <c r="P1727" t="n">
        <v>1</v>
      </c>
      <c r="Q1727" t="n">
        <v>0.03</v>
      </c>
      <c r="R1727" t="n">
        <v>1</v>
      </c>
      <c r="S1727" t="n">
        <v>415.8000000000001</v>
      </c>
      <c r="T1727" t="n">
        <v>10</v>
      </c>
      <c r="U1727" t="n">
        <v>11</v>
      </c>
      <c r="V1727" t="n">
        <v>30</v>
      </c>
      <c r="W1727" t="n">
        <v>1</v>
      </c>
      <c r="X1727" t="n">
        <v>227.2727272727273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1881</v>
      </c>
      <c r="AG1727" t="n">
        <v>3422</v>
      </c>
      <c r="AH1727" t="inlineStr">
        <is>
          <t>FIRMA DANA - PPN (JMB)</t>
        </is>
      </c>
      <c r="AI1727" t="n">
        <v>325</v>
      </c>
      <c r="AJ1727" t="inlineStr">
        <is>
          <t>HIMALAYA</t>
        </is>
      </c>
      <c r="AK1727" t="n">
        <v>9</v>
      </c>
      <c r="AL1727" t="inlineStr">
        <is>
          <t>Miss Glam Jambi</t>
        </is>
      </c>
      <c r="AM1727" t="n">
        <v>5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HIMALAYA</t>
        </is>
      </c>
      <c r="B1728" s="2">
        <f>"8901138712181"</f>
        <v/>
      </c>
      <c r="C1728" t="inlineStr">
        <is>
          <t>HIMALAYA Gentle Exfoliating Daily Face Wash 100ml</t>
        </is>
      </c>
      <c r="D1728" t="inlineStr">
        <is>
          <t>Miss Glam Jambi</t>
        </is>
      </c>
      <c r="E1728" t="n">
        <v>0</v>
      </c>
      <c r="F1728" t="n">
        <v>0.0462</v>
      </c>
      <c r="G1728" t="n">
        <v>0.33</v>
      </c>
      <c r="H1728" t="n">
        <v>11</v>
      </c>
      <c r="I1728" t="n">
        <v>29</v>
      </c>
      <c r="J1728" t="n">
        <v>3</v>
      </c>
      <c r="K1728" t="n">
        <v>0</v>
      </c>
      <c r="L1728" t="n">
        <v>33024</v>
      </c>
      <c r="M1728" t="n">
        <v>40000</v>
      </c>
      <c r="N1728" t="n">
        <v>33</v>
      </c>
      <c r="O1728" t="n">
        <v>0.33</v>
      </c>
      <c r="P1728" t="n">
        <v>1</v>
      </c>
      <c r="Q1728" t="n">
        <v>0.03</v>
      </c>
      <c r="R1728" t="n">
        <v>1</v>
      </c>
      <c r="S1728" t="n">
        <v>1848</v>
      </c>
      <c r="T1728" t="n">
        <v>10</v>
      </c>
      <c r="U1728" t="n">
        <v>11</v>
      </c>
      <c r="V1728" t="n">
        <v>30</v>
      </c>
      <c r="W1728" t="n">
        <v>2</v>
      </c>
      <c r="X1728" t="n">
        <v>0</v>
      </c>
      <c r="Y1728" t="n">
        <v>1</v>
      </c>
      <c r="Z1728" t="n">
        <v>2</v>
      </c>
      <c r="AA1728" t="n">
        <v>2</v>
      </c>
      <c r="AB1728" t="n">
        <v>0</v>
      </c>
      <c r="AC1728" t="n">
        <v>0</v>
      </c>
      <c r="AD1728" t="n">
        <v>66048</v>
      </c>
      <c r="AE1728" t="n">
        <v>0</v>
      </c>
      <c r="AF1728" t="n">
        <v>1881</v>
      </c>
      <c r="AG1728" t="n">
        <v>3422</v>
      </c>
      <c r="AH1728" t="inlineStr">
        <is>
          <t>FIRMA DANA - PPN (JMB)</t>
        </is>
      </c>
      <c r="AI1728" t="n">
        <v>325</v>
      </c>
      <c r="AJ1728" t="inlineStr">
        <is>
          <t>HIMALAYA</t>
        </is>
      </c>
      <c r="AK1728" t="n">
        <v>9</v>
      </c>
      <c r="AL1728" t="inlineStr">
        <is>
          <t>Miss Glam Jambi</t>
        </is>
      </c>
      <c r="AM1728" t="n">
        <v>5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HIMALAYA</t>
        </is>
      </c>
      <c r="B1729" s="2">
        <f>"8901138509231"</f>
        <v/>
      </c>
      <c r="C1729" t="inlineStr">
        <is>
          <t>HIMALAYA Lip Balm 10gr</t>
        </is>
      </c>
      <c r="D1729" t="inlineStr">
        <is>
          <t>Miss Glam Jambi</t>
        </is>
      </c>
      <c r="E1729" t="n">
        <v>8</v>
      </c>
      <c r="F1729" t="n">
        <v>0.1617</v>
      </c>
      <c r="G1729" t="n">
        <v>0.66</v>
      </c>
      <c r="H1729" t="n">
        <v>11</v>
      </c>
      <c r="I1729" t="n">
        <v>29</v>
      </c>
      <c r="J1729" t="n">
        <v>3</v>
      </c>
      <c r="K1729" t="n">
        <v>0</v>
      </c>
      <c r="L1729" t="n">
        <v>19186</v>
      </c>
      <c r="M1729" t="n">
        <v>25000</v>
      </c>
      <c r="N1729" t="n">
        <v>33</v>
      </c>
      <c r="O1729" t="n">
        <v>0.33</v>
      </c>
      <c r="P1729" t="n">
        <v>1</v>
      </c>
      <c r="Q1729" t="n">
        <v>0.07000000000000001</v>
      </c>
      <c r="R1729" t="n">
        <v>1</v>
      </c>
      <c r="S1729" t="n">
        <v>4042.5</v>
      </c>
      <c r="T1729" t="n">
        <v>18</v>
      </c>
      <c r="U1729" t="n">
        <v>20</v>
      </c>
      <c r="V1729" t="n">
        <v>30</v>
      </c>
      <c r="W1729" t="n">
        <v>5</v>
      </c>
      <c r="X1729" t="n">
        <v>49.4743351886209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1881</v>
      </c>
      <c r="AG1729" t="n">
        <v>3422</v>
      </c>
      <c r="AH1729" t="inlineStr">
        <is>
          <t>FIRMA DANA - PPN (JMB)</t>
        </is>
      </c>
      <c r="AI1729" t="n">
        <v>325</v>
      </c>
      <c r="AJ1729" t="inlineStr">
        <is>
          <t>HIMALAYA</t>
        </is>
      </c>
      <c r="AK1729" t="n">
        <v>9</v>
      </c>
      <c r="AL1729" t="inlineStr">
        <is>
          <t>Miss Glam Jambi</t>
        </is>
      </c>
      <c r="AM1729" t="n">
        <v>5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HIMALAYA</t>
        </is>
      </c>
      <c r="B1730" s="2">
        <f>"8901138831073"</f>
        <v/>
      </c>
      <c r="C1730" t="inlineStr">
        <is>
          <t>HIMALAYA Men Power Glow Licorice Face Wash 100ml</t>
        </is>
      </c>
      <c r="D1730" t="inlineStr">
        <is>
          <t>Miss Glam Jambi</t>
        </is>
      </c>
      <c r="E1730" t="n">
        <v>3</v>
      </c>
      <c r="F1730" t="n">
        <v>0.033</v>
      </c>
      <c r="G1730" t="n">
        <v>0.66</v>
      </c>
      <c r="H1730" t="n">
        <v>11</v>
      </c>
      <c r="I1730" t="n">
        <v>29</v>
      </c>
      <c r="J1730" t="n">
        <v>3</v>
      </c>
      <c r="K1730" t="n">
        <v>0</v>
      </c>
      <c r="L1730" t="n">
        <v>25847</v>
      </c>
      <c r="M1730" t="n">
        <v>34000</v>
      </c>
      <c r="N1730" t="n">
        <v>33</v>
      </c>
      <c r="O1730" t="n">
        <v>0.33</v>
      </c>
      <c r="P1730" t="n">
        <v>1</v>
      </c>
      <c r="Q1730" t="n">
        <v>0.02</v>
      </c>
      <c r="R1730" t="n">
        <v>1</v>
      </c>
      <c r="S1730" t="n">
        <v>1122</v>
      </c>
      <c r="T1730" t="n">
        <v>19</v>
      </c>
      <c r="U1730" t="n">
        <v>20</v>
      </c>
      <c r="V1730" t="n">
        <v>30</v>
      </c>
      <c r="W1730" t="n">
        <v>1</v>
      </c>
      <c r="X1730" t="n">
        <v>90.90909090909091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1881</v>
      </c>
      <c r="AG1730" t="n">
        <v>3422</v>
      </c>
      <c r="AH1730" t="inlineStr">
        <is>
          <t>FIRMA DANA - PPN (JMB)</t>
        </is>
      </c>
      <c r="AI1730" t="n">
        <v>325</v>
      </c>
      <c r="AJ1730" t="inlineStr">
        <is>
          <t>HIMALAYA</t>
        </is>
      </c>
      <c r="AK1730" t="n">
        <v>9</v>
      </c>
      <c r="AL1730" t="inlineStr">
        <is>
          <t>Miss Glam Jambi</t>
        </is>
      </c>
      <c r="AM1730" t="n">
        <v>5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HIMALAYA</t>
        </is>
      </c>
      <c r="B1731" s="2">
        <f>"8901138837563"</f>
        <v/>
      </c>
      <c r="C1731" t="inlineStr">
        <is>
          <t>HIMALAYA Moisturizing Aloe Vera Face Wash 100ml</t>
        </is>
      </c>
      <c r="D1731" t="inlineStr">
        <is>
          <t>Miss Glam Jambi</t>
        </is>
      </c>
      <c r="E1731" t="n">
        <v>6</v>
      </c>
      <c r="F1731" t="n">
        <v>0.009900000000000001</v>
      </c>
      <c r="G1731" t="n">
        <v>0.33</v>
      </c>
      <c r="H1731" t="n">
        <v>11</v>
      </c>
      <c r="I1731" t="n">
        <v>29</v>
      </c>
      <c r="J1731" t="n">
        <v>3</v>
      </c>
      <c r="K1731" t="n">
        <v>0</v>
      </c>
      <c r="L1731" t="n">
        <v>33024</v>
      </c>
      <c r="M1731" t="n">
        <v>40000</v>
      </c>
      <c r="N1731" t="n">
        <v>33</v>
      </c>
      <c r="O1731" t="n">
        <v>0.33</v>
      </c>
      <c r="P1731" t="n">
        <v>1</v>
      </c>
      <c r="Q1731" t="n">
        <v>0.02</v>
      </c>
      <c r="R1731" t="n">
        <v>1</v>
      </c>
      <c r="S1731" t="n">
        <v>396.0000000000001</v>
      </c>
      <c r="T1731" t="n">
        <v>10</v>
      </c>
      <c r="U1731" t="n">
        <v>11</v>
      </c>
      <c r="V1731" t="n">
        <v>30</v>
      </c>
      <c r="W1731" t="n">
        <v>1</v>
      </c>
      <c r="X1731" t="n">
        <v>606.060606060606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1881</v>
      </c>
      <c r="AG1731" t="n">
        <v>3422</v>
      </c>
      <c r="AH1731" t="inlineStr">
        <is>
          <t>FIRMA DANA - PPN (JMB)</t>
        </is>
      </c>
      <c r="AI1731" t="n">
        <v>325</v>
      </c>
      <c r="AJ1731" t="inlineStr">
        <is>
          <t>HIMALAYA</t>
        </is>
      </c>
      <c r="AK1731" t="n">
        <v>9</v>
      </c>
      <c r="AL1731" t="inlineStr">
        <is>
          <t>Miss Glam Jambi</t>
        </is>
      </c>
      <c r="AM1731" t="n">
        <v>5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HIMALAYA</t>
        </is>
      </c>
      <c r="B1732" s="2">
        <f>"8901138512002"</f>
        <v/>
      </c>
      <c r="C1732" t="inlineStr">
        <is>
          <t>HIMALAYA Purifying Neem Face Wash 100ml</t>
        </is>
      </c>
      <c r="D1732" t="inlineStr">
        <is>
          <t>Miss Glam Jambi</t>
        </is>
      </c>
      <c r="E1732" t="n">
        <v>9</v>
      </c>
      <c r="F1732" t="n">
        <v>0.1353</v>
      </c>
      <c r="G1732" t="n">
        <v>0.99</v>
      </c>
      <c r="H1732" t="n">
        <v>11</v>
      </c>
      <c r="I1732" t="n">
        <v>29</v>
      </c>
      <c r="J1732" t="n">
        <v>3</v>
      </c>
      <c r="K1732" t="n">
        <v>0</v>
      </c>
      <c r="L1732" t="n">
        <v>25909</v>
      </c>
      <c r="M1732" t="n">
        <v>43000</v>
      </c>
      <c r="N1732" t="n">
        <v>33</v>
      </c>
      <c r="O1732" t="n">
        <v>0.33</v>
      </c>
      <c r="P1732" t="n">
        <v>1</v>
      </c>
      <c r="Q1732" t="n">
        <v>0.05</v>
      </c>
      <c r="R1732" t="n">
        <v>1</v>
      </c>
      <c r="S1732" t="n">
        <v>5817.900000000001</v>
      </c>
      <c r="T1732" t="n">
        <v>28</v>
      </c>
      <c r="U1732" t="n">
        <v>30</v>
      </c>
      <c r="V1732" t="n">
        <v>30</v>
      </c>
      <c r="W1732" t="n">
        <v>5</v>
      </c>
      <c r="X1732" t="n">
        <v>66.51884700665188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1881</v>
      </c>
      <c r="AG1732" t="n">
        <v>3422</v>
      </c>
      <c r="AH1732" t="inlineStr">
        <is>
          <t>FIRMA DANA - PPN (JMB)</t>
        </is>
      </c>
      <c r="AI1732" t="n">
        <v>325</v>
      </c>
      <c r="AJ1732" t="inlineStr">
        <is>
          <t>HIMALAYA</t>
        </is>
      </c>
      <c r="AK1732" t="n">
        <v>9</v>
      </c>
      <c r="AL1732" t="inlineStr">
        <is>
          <t>Miss Glam Jambi</t>
        </is>
      </c>
      <c r="AM1732" t="n">
        <v>5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HIMALAYA</t>
        </is>
      </c>
      <c r="B1733" s="2">
        <f>"8901138818777"</f>
        <v/>
      </c>
      <c r="C1733" t="inlineStr">
        <is>
          <t>HIMALAYA Purifying Neem Face Wash 50ml</t>
        </is>
      </c>
      <c r="D1733" t="inlineStr">
        <is>
          <t>Miss Glam Jambi</t>
        </is>
      </c>
      <c r="E1733" t="n">
        <v>3</v>
      </c>
      <c r="F1733" t="n">
        <v>0.08910000000000001</v>
      </c>
      <c r="G1733" t="n">
        <v>0.66</v>
      </c>
      <c r="H1733" t="n">
        <v>11</v>
      </c>
      <c r="I1733" t="n">
        <v>29</v>
      </c>
      <c r="J1733" t="n">
        <v>3</v>
      </c>
      <c r="K1733" t="n">
        <v>0</v>
      </c>
      <c r="L1733" t="n">
        <v>16354</v>
      </c>
      <c r="M1733" t="n">
        <v>30000</v>
      </c>
      <c r="N1733" t="n">
        <v>33</v>
      </c>
      <c r="O1733" t="n">
        <v>0.33</v>
      </c>
      <c r="P1733" t="n">
        <v>1</v>
      </c>
      <c r="Q1733" t="n">
        <v>0.03</v>
      </c>
      <c r="R1733" t="n">
        <v>1</v>
      </c>
      <c r="S1733" t="n">
        <v>2673</v>
      </c>
      <c r="T1733" t="n">
        <v>19</v>
      </c>
      <c r="U1733" t="n">
        <v>20</v>
      </c>
      <c r="V1733" t="n">
        <v>30</v>
      </c>
      <c r="W1733" t="n">
        <v>3</v>
      </c>
      <c r="X1733" t="n">
        <v>33.67003367003367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1881</v>
      </c>
      <c r="AG1733" t="n">
        <v>3422</v>
      </c>
      <c r="AH1733" t="inlineStr">
        <is>
          <t>FIRMA DANA - PPN (JMB)</t>
        </is>
      </c>
      <c r="AI1733" t="n">
        <v>325</v>
      </c>
      <c r="AJ1733" t="inlineStr">
        <is>
          <t>HIMALAYA</t>
        </is>
      </c>
      <c r="AK1733" t="n">
        <v>9</v>
      </c>
      <c r="AL1733" t="inlineStr">
        <is>
          <t>Miss Glam Jambi</t>
        </is>
      </c>
      <c r="AM1733" t="n">
        <v>5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HIMALAYA</t>
        </is>
      </c>
      <c r="B1734" s="2">
        <f>"8901138830816"</f>
        <v/>
      </c>
      <c r="C1734" t="inlineStr">
        <is>
          <t>HIMALAYA Purifying Neem Mask 100ml</t>
        </is>
      </c>
      <c r="D1734" t="inlineStr">
        <is>
          <t>Miss Glam Jambi</t>
        </is>
      </c>
      <c r="E1734" t="n">
        <v>11</v>
      </c>
      <c r="F1734" t="n">
        <v>0.3036</v>
      </c>
      <c r="G1734" t="n">
        <v>1.65</v>
      </c>
      <c r="H1734" t="n">
        <v>11</v>
      </c>
      <c r="I1734" t="n">
        <v>29</v>
      </c>
      <c r="J1734" t="n">
        <v>3</v>
      </c>
      <c r="K1734" t="n">
        <v>0</v>
      </c>
      <c r="L1734" t="n">
        <v>32386</v>
      </c>
      <c r="M1734" t="n">
        <v>40000</v>
      </c>
      <c r="N1734" t="n">
        <v>33</v>
      </c>
      <c r="O1734" t="n">
        <v>0.33</v>
      </c>
      <c r="P1734" t="n">
        <v>1</v>
      </c>
      <c r="Q1734" t="n">
        <v>0.12</v>
      </c>
      <c r="R1734" t="n">
        <v>1</v>
      </c>
      <c r="S1734" t="n">
        <v>12144</v>
      </c>
      <c r="T1734" t="n">
        <v>45</v>
      </c>
      <c r="U1734" t="n">
        <v>49</v>
      </c>
      <c r="V1734" t="n">
        <v>30</v>
      </c>
      <c r="W1734" t="n">
        <v>10</v>
      </c>
      <c r="X1734" t="n">
        <v>36.23188405797101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1881</v>
      </c>
      <c r="AG1734" t="n">
        <v>3422</v>
      </c>
      <c r="AH1734" t="inlineStr">
        <is>
          <t>FIRMA DANA - PPN (JMB)</t>
        </is>
      </c>
      <c r="AI1734" t="n">
        <v>325</v>
      </c>
      <c r="AJ1734" t="inlineStr">
        <is>
          <t>HIMALAYA</t>
        </is>
      </c>
      <c r="AK1734" t="n">
        <v>9</v>
      </c>
      <c r="AL1734" t="inlineStr">
        <is>
          <t>Miss Glam Jambi</t>
        </is>
      </c>
      <c r="AM1734" t="n">
        <v>5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HIMALAYA</t>
        </is>
      </c>
      <c r="B1735" s="2">
        <f>"8901138821845"</f>
        <v/>
      </c>
      <c r="C1735" t="inlineStr">
        <is>
          <t>HIMALAYA Purifying Neem Mask 50ml</t>
        </is>
      </c>
      <c r="D1735" t="inlineStr">
        <is>
          <t>Miss Glam Jambi</t>
        </is>
      </c>
      <c r="E1735" t="n">
        <v>9</v>
      </c>
      <c r="F1735" t="n">
        <v>0.6830999999999999</v>
      </c>
      <c r="G1735" t="n">
        <v>1.65</v>
      </c>
      <c r="H1735" t="n">
        <v>11</v>
      </c>
      <c r="I1735" t="n">
        <v>29</v>
      </c>
      <c r="J1735" t="n">
        <v>12</v>
      </c>
      <c r="K1735" t="n">
        <v>0</v>
      </c>
      <c r="L1735" t="n">
        <v>20506</v>
      </c>
      <c r="M1735" t="n">
        <v>27000</v>
      </c>
      <c r="N1735" t="n">
        <v>33</v>
      </c>
      <c r="O1735" t="n">
        <v>0.33</v>
      </c>
      <c r="P1735" t="n">
        <v>1</v>
      </c>
      <c r="Q1735" t="n">
        <v>0.1</v>
      </c>
      <c r="R1735" t="n">
        <v>1</v>
      </c>
      <c r="S1735" t="n">
        <v>18443.7</v>
      </c>
      <c r="T1735" t="n">
        <v>41</v>
      </c>
      <c r="U1735" t="n">
        <v>49</v>
      </c>
      <c r="V1735" t="n">
        <v>30</v>
      </c>
      <c r="W1735" t="n">
        <v>21</v>
      </c>
      <c r="X1735" t="n">
        <v>13.17523056653492</v>
      </c>
      <c r="Y1735" t="n">
        <v>1</v>
      </c>
      <c r="Z1735" t="n">
        <v>12</v>
      </c>
      <c r="AA1735" t="n">
        <v>11</v>
      </c>
      <c r="AB1735" t="n">
        <v>1</v>
      </c>
      <c r="AC1735" t="n">
        <v>12</v>
      </c>
      <c r="AD1735" t="n">
        <v>225566</v>
      </c>
      <c r="AE1735" t="n">
        <v>246072</v>
      </c>
      <c r="AF1735" t="n">
        <v>1881</v>
      </c>
      <c r="AG1735" t="n">
        <v>3422</v>
      </c>
      <c r="AH1735" t="inlineStr">
        <is>
          <t>FIRMA DANA - PPN (JMB)</t>
        </is>
      </c>
      <c r="AI1735" t="n">
        <v>325</v>
      </c>
      <c r="AJ1735" t="inlineStr">
        <is>
          <t>HIMALAYA</t>
        </is>
      </c>
      <c r="AK1735" t="n">
        <v>9</v>
      </c>
      <c r="AL1735" t="inlineStr">
        <is>
          <t>Miss Glam Jambi</t>
        </is>
      </c>
      <c r="AM1735" t="n">
        <v>5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HIMALAYA</t>
        </is>
      </c>
      <c r="B1736" s="2">
        <f>"8901138821913"</f>
        <v/>
      </c>
      <c r="C1736" t="inlineStr">
        <is>
          <t>HIMALAYA Purifying Neem Scrub 50ml</t>
        </is>
      </c>
      <c r="D1736" t="inlineStr">
        <is>
          <t>Miss Glam Jambi</t>
        </is>
      </c>
      <c r="E1736" t="n">
        <v>9</v>
      </c>
      <c r="F1736" t="n">
        <v>0.1023</v>
      </c>
      <c r="G1736" t="n">
        <v>0.66</v>
      </c>
      <c r="H1736" t="n">
        <v>11</v>
      </c>
      <c r="I1736" t="n">
        <v>29</v>
      </c>
      <c r="J1736" t="n">
        <v>3</v>
      </c>
      <c r="K1736" t="n">
        <v>0</v>
      </c>
      <c r="L1736" t="n">
        <v>20849</v>
      </c>
      <c r="M1736" t="n">
        <v>27000</v>
      </c>
      <c r="N1736" t="n">
        <v>33</v>
      </c>
      <c r="O1736" t="n">
        <v>0.33</v>
      </c>
      <c r="P1736" t="n">
        <v>1</v>
      </c>
      <c r="Q1736" t="n">
        <v>0.05</v>
      </c>
      <c r="R1736" t="n">
        <v>1</v>
      </c>
      <c r="S1736" t="n">
        <v>2762.1</v>
      </c>
      <c r="T1736" t="n">
        <v>19</v>
      </c>
      <c r="U1736" t="n">
        <v>21</v>
      </c>
      <c r="V1736" t="n">
        <v>30</v>
      </c>
      <c r="W1736" t="n">
        <v>4</v>
      </c>
      <c r="X1736" t="n">
        <v>87.97653958944281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1881</v>
      </c>
      <c r="AG1736" t="n">
        <v>3422</v>
      </c>
      <c r="AH1736" t="inlineStr">
        <is>
          <t>FIRMA DANA - PPN (JMB)</t>
        </is>
      </c>
      <c r="AI1736" t="n">
        <v>325</v>
      </c>
      <c r="AJ1736" t="inlineStr">
        <is>
          <t>HIMALAYA</t>
        </is>
      </c>
      <c r="AK1736" t="n">
        <v>9</v>
      </c>
      <c r="AL1736" t="inlineStr">
        <is>
          <t>Miss Glam Jambi</t>
        </is>
      </c>
      <c r="AM1736" t="n">
        <v>5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HIMALAYA</t>
        </is>
      </c>
      <c r="B1737" s="2">
        <f>"8901138712235"</f>
        <v/>
      </c>
      <c r="C1737" t="inlineStr">
        <is>
          <t>HIMALAYA Under Eye Cream 15ml</t>
        </is>
      </c>
      <c r="D1737" t="inlineStr">
        <is>
          <t>Miss Glam Jambi</t>
        </is>
      </c>
      <c r="E1737" t="n">
        <v>5</v>
      </c>
      <c r="F1737" t="n">
        <v>0.02</v>
      </c>
      <c r="G1737" t="n">
        <v>1</v>
      </c>
      <c r="H1737" t="n">
        <v>11</v>
      </c>
      <c r="I1737" t="n">
        <v>29</v>
      </c>
      <c r="J1737" t="n">
        <v>3</v>
      </c>
      <c r="K1737" t="n">
        <v>0</v>
      </c>
      <c r="L1737" t="n">
        <v>32037</v>
      </c>
      <c r="M1737" t="n">
        <v>41000</v>
      </c>
      <c r="N1737" t="n">
        <v>33</v>
      </c>
      <c r="O1737" t="n">
        <v>0.33</v>
      </c>
      <c r="P1737" t="n">
        <v>0</v>
      </c>
      <c r="Q1737" t="n">
        <v>0.02</v>
      </c>
      <c r="R1737" t="n">
        <v>1</v>
      </c>
      <c r="S1737" t="n">
        <v>820</v>
      </c>
      <c r="T1737" t="n">
        <v>29</v>
      </c>
      <c r="U1737" t="n">
        <v>30</v>
      </c>
      <c r="V1737" t="n">
        <v>30</v>
      </c>
      <c r="W1737" t="n">
        <v>1</v>
      </c>
      <c r="X1737" t="n">
        <v>250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1881</v>
      </c>
      <c r="AG1737" t="n">
        <v>3422</v>
      </c>
      <c r="AH1737" t="inlineStr">
        <is>
          <t>FIRMA DANA - PPN (JMB)</t>
        </is>
      </c>
      <c r="AI1737" t="n">
        <v>325</v>
      </c>
      <c r="AJ1737" t="inlineStr">
        <is>
          <t>HIMALAYA</t>
        </is>
      </c>
      <c r="AK1737" t="n">
        <v>9</v>
      </c>
      <c r="AL1737" t="inlineStr">
        <is>
          <t>Miss Glam Jambi</t>
        </is>
      </c>
      <c r="AM1737" t="n">
        <v>5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HISTOIRE NATURELLE</t>
        </is>
      </c>
      <c r="B1738" s="2">
        <f>"101001113942"</f>
        <v/>
      </c>
      <c r="C1738" t="inlineStr">
        <is>
          <t>HISTOIRE NATURELLE Aura Clear Cleansing Foam 120gr</t>
        </is>
      </c>
      <c r="D1738" t="inlineStr">
        <is>
          <t>Miss Glam Jambi</t>
        </is>
      </c>
      <c r="E1738" t="n">
        <v>8</v>
      </c>
      <c r="F1738" t="n">
        <v>0.02</v>
      </c>
      <c r="G1738" t="n">
        <v>1</v>
      </c>
      <c r="H1738" t="n">
        <v>4</v>
      </c>
      <c r="I1738" t="n">
        <v>20</v>
      </c>
      <c r="J1738" t="n">
        <v>1</v>
      </c>
      <c r="K1738" t="n">
        <v>0</v>
      </c>
      <c r="L1738" t="n">
        <v>74750</v>
      </c>
      <c r="M1738" t="n">
        <v>115000</v>
      </c>
      <c r="N1738" t="n">
        <v>33</v>
      </c>
      <c r="O1738" t="n">
        <v>0.33</v>
      </c>
      <c r="P1738" t="n">
        <v>0</v>
      </c>
      <c r="Q1738" t="n">
        <v>0.02</v>
      </c>
      <c r="R1738" t="n">
        <v>1</v>
      </c>
      <c r="S1738" t="n">
        <v>2300</v>
      </c>
      <c r="T1738" t="n">
        <v>20</v>
      </c>
      <c r="U1738" t="n">
        <v>21</v>
      </c>
      <c r="V1738" t="n">
        <v>30</v>
      </c>
      <c r="W1738" t="n">
        <v>1</v>
      </c>
      <c r="X1738" t="n">
        <v>400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5739</v>
      </c>
      <c r="AG1738" t="n">
        <v>1</v>
      </c>
      <c r="AH1738" t="inlineStr">
        <is>
          <t>PT. BERSAMA DISTRIVERSA INDONESIA (DC CIPUTAT)</t>
        </is>
      </c>
      <c r="AI1738" t="n">
        <v>1426</v>
      </c>
      <c r="AJ1738" t="inlineStr">
        <is>
          <t>HISTOIRE NATURELLE</t>
        </is>
      </c>
      <c r="AK1738" t="n">
        <v>9</v>
      </c>
      <c r="AL1738" t="inlineStr">
        <is>
          <t>Miss Glam Jambi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HMNS</t>
        </is>
      </c>
      <c r="B1739" s="2">
        <f>"304002120738"</f>
        <v/>
      </c>
      <c r="C1739" t="inlineStr">
        <is>
          <t>HMNS EAU De Parfum Darker Shade Of Orgsm 100ml</t>
        </is>
      </c>
      <c r="D1739" t="inlineStr">
        <is>
          <t>Miss Glam Jambi</t>
        </is>
      </c>
      <c r="E1739" t="n">
        <v>5</v>
      </c>
      <c r="F1739" t="n">
        <v>0.0231</v>
      </c>
      <c r="G1739" t="n">
        <v>0.66</v>
      </c>
      <c r="H1739" t="n">
        <v>4</v>
      </c>
      <c r="I1739" t="n">
        <v>20</v>
      </c>
      <c r="J1739" t="n">
        <v>3</v>
      </c>
      <c r="K1739" t="n">
        <v>0</v>
      </c>
      <c r="L1739" t="n">
        <v>272938</v>
      </c>
      <c r="M1739" t="n">
        <v>380000</v>
      </c>
      <c r="N1739" t="n">
        <v>33</v>
      </c>
      <c r="O1739" t="n">
        <v>0.33</v>
      </c>
      <c r="P1739" t="n">
        <v>1</v>
      </c>
      <c r="Q1739" t="n">
        <v>0.07000000000000001</v>
      </c>
      <c r="R1739" t="n">
        <v>1</v>
      </c>
      <c r="S1739" t="n">
        <v>8778.000000000002</v>
      </c>
      <c r="T1739" t="n">
        <v>14</v>
      </c>
      <c r="U1739" t="n">
        <v>15</v>
      </c>
      <c r="V1739" t="n">
        <v>30</v>
      </c>
      <c r="W1739" t="n">
        <v>1</v>
      </c>
      <c r="X1739" t="n">
        <v>216.4502164502164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5774</v>
      </c>
      <c r="AG1739" t="n">
        <v>1</v>
      </c>
      <c r="AH1739" t="inlineStr">
        <is>
          <t>PT. BERSAMA DISTRIVERSA INDONESIA (DC CIPUTAT)</t>
        </is>
      </c>
      <c r="AI1739" t="n">
        <v>1691</v>
      </c>
      <c r="AJ1739" t="inlineStr">
        <is>
          <t>HMNS</t>
        </is>
      </c>
      <c r="AK1739" t="n">
        <v>9</v>
      </c>
      <c r="AL1739" t="inlineStr">
        <is>
          <t>Miss Glam Jambi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HMNS</t>
        </is>
      </c>
      <c r="B1740" s="2">
        <f>"304002120808"</f>
        <v/>
      </c>
      <c r="C1740" t="inlineStr">
        <is>
          <t>HMNS Eau De Parfum Untitled Humans 100ml</t>
        </is>
      </c>
      <c r="D1740" t="inlineStr">
        <is>
          <t>Miss Glam Jambi</t>
        </is>
      </c>
      <c r="E1740" t="n">
        <v>7</v>
      </c>
      <c r="F1740" t="n">
        <v>0.006600000000000001</v>
      </c>
      <c r="G1740" t="n">
        <v>0.33</v>
      </c>
      <c r="H1740" t="n">
        <v>4</v>
      </c>
      <c r="I1740" t="n">
        <v>20</v>
      </c>
      <c r="J1740" t="n">
        <v>3</v>
      </c>
      <c r="K1740" t="n">
        <v>0</v>
      </c>
      <c r="L1740" t="n">
        <v>286544</v>
      </c>
      <c r="M1740" t="n">
        <v>395000</v>
      </c>
      <c r="N1740" t="n">
        <v>33</v>
      </c>
      <c r="O1740" t="n">
        <v>0.33</v>
      </c>
      <c r="P1740" t="n">
        <v>1</v>
      </c>
      <c r="Q1740" t="n">
        <v>0.02</v>
      </c>
      <c r="R1740" t="n">
        <v>1</v>
      </c>
      <c r="S1740" t="n">
        <v>2607</v>
      </c>
      <c r="T1740" t="n">
        <v>7</v>
      </c>
      <c r="U1740" t="n">
        <v>8</v>
      </c>
      <c r="V1740" t="n">
        <v>30</v>
      </c>
      <c r="W1740" t="n">
        <v>1</v>
      </c>
      <c r="X1740" t="n">
        <v>1060.606060606061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5774</v>
      </c>
      <c r="AG1740" t="n">
        <v>1</v>
      </c>
      <c r="AH1740" t="inlineStr">
        <is>
          <t>PT. BERSAMA DISTRIVERSA INDONESIA (DC CIPUTAT)</t>
        </is>
      </c>
      <c r="AI1740" t="n">
        <v>1691</v>
      </c>
      <c r="AJ1740" t="inlineStr">
        <is>
          <t>HMNS</t>
        </is>
      </c>
      <c r="AK1740" t="n">
        <v>9</v>
      </c>
      <c r="AL1740" t="inlineStr">
        <is>
          <t>Miss Glam Jambi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HMNS</t>
        </is>
      </c>
      <c r="B1741" s="2">
        <f>"30400197559"</f>
        <v/>
      </c>
      <c r="C1741" t="inlineStr">
        <is>
          <t>HMNS Eau De Parfume Addict 100ml</t>
        </is>
      </c>
      <c r="D1741" t="inlineStr">
        <is>
          <t>Miss Glam Jambi</t>
        </is>
      </c>
      <c r="E1741" t="n">
        <v>6</v>
      </c>
      <c r="F1741" t="n">
        <v>0.006600000000000001</v>
      </c>
      <c r="G1741" t="n">
        <v>0.33</v>
      </c>
      <c r="H1741" t="n">
        <v>4</v>
      </c>
      <c r="I1741" t="n">
        <v>20</v>
      </c>
      <c r="J1741" t="n">
        <v>1</v>
      </c>
      <c r="K1741" t="n">
        <v>0</v>
      </c>
      <c r="L1741" t="n">
        <v>266049</v>
      </c>
      <c r="M1741" t="n">
        <v>349000</v>
      </c>
      <c r="N1741" t="n">
        <v>33</v>
      </c>
      <c r="O1741" t="n">
        <v>0.33</v>
      </c>
      <c r="P1741" t="n">
        <v>1</v>
      </c>
      <c r="Q1741" t="n">
        <v>0.02</v>
      </c>
      <c r="R1741" t="n">
        <v>1</v>
      </c>
      <c r="S1741" t="n">
        <v>2303.4</v>
      </c>
      <c r="T1741" t="n">
        <v>7</v>
      </c>
      <c r="U1741" t="n">
        <v>8</v>
      </c>
      <c r="V1741" t="n">
        <v>30</v>
      </c>
      <c r="W1741" t="n">
        <v>1</v>
      </c>
      <c r="X1741" t="n">
        <v>909.090909090909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5774</v>
      </c>
      <c r="AG1741" t="n">
        <v>1</v>
      </c>
      <c r="AH1741" t="inlineStr">
        <is>
          <t>PT. BERSAMA DISTRIVERSA INDONESIA (DC CIPUTAT)</t>
        </is>
      </c>
      <c r="AI1741" t="n">
        <v>1691</v>
      </c>
      <c r="AJ1741" t="inlineStr">
        <is>
          <t>HMNS</t>
        </is>
      </c>
      <c r="AK1741" t="n">
        <v>9</v>
      </c>
      <c r="AL1741" t="inlineStr">
        <is>
          <t>Miss Glam Jambi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HMNS</t>
        </is>
      </c>
      <c r="B1742" s="2">
        <f>"304002115941"</f>
        <v/>
      </c>
      <c r="C1742" t="inlineStr">
        <is>
          <t>HMNS Eau De Parfume Essence Of The Sun 100ml</t>
        </is>
      </c>
      <c r="D1742" t="inlineStr">
        <is>
          <t>Miss Glam Jambi</t>
        </is>
      </c>
      <c r="E1742" t="n">
        <v>9</v>
      </c>
      <c r="F1742" t="n">
        <v>0.0165</v>
      </c>
      <c r="G1742" t="n">
        <v>0.33</v>
      </c>
      <c r="H1742" t="n">
        <v>4</v>
      </c>
      <c r="I1742" t="n">
        <v>20</v>
      </c>
      <c r="J1742" t="n">
        <v>3</v>
      </c>
      <c r="K1742" t="n">
        <v>0</v>
      </c>
      <c r="L1742" t="n">
        <v>273183</v>
      </c>
      <c r="M1742" t="n">
        <v>376000</v>
      </c>
      <c r="N1742" t="n">
        <v>33</v>
      </c>
      <c r="O1742" t="n">
        <v>0.33</v>
      </c>
      <c r="P1742" t="n">
        <v>1</v>
      </c>
      <c r="Q1742" t="n">
        <v>0.03</v>
      </c>
      <c r="R1742" t="n">
        <v>1</v>
      </c>
      <c r="S1742" t="n">
        <v>6204</v>
      </c>
      <c r="T1742" t="n">
        <v>7</v>
      </c>
      <c r="U1742" t="n">
        <v>8</v>
      </c>
      <c r="V1742" t="n">
        <v>30</v>
      </c>
      <c r="W1742" t="n">
        <v>1</v>
      </c>
      <c r="X1742" t="n">
        <v>545.4545454545454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5774</v>
      </c>
      <c r="AG1742" t="n">
        <v>1</v>
      </c>
      <c r="AH1742" t="inlineStr">
        <is>
          <t>PT. BERSAMA DISTRIVERSA INDONESIA (DC CIPUTAT)</t>
        </is>
      </c>
      <c r="AI1742" t="n">
        <v>1691</v>
      </c>
      <c r="AJ1742" t="inlineStr">
        <is>
          <t>HMNS</t>
        </is>
      </c>
      <c r="AK1742" t="n">
        <v>9</v>
      </c>
      <c r="AL1742" t="inlineStr">
        <is>
          <t>Miss Glam Jambi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HMNS</t>
        </is>
      </c>
      <c r="B1743" s="2">
        <f>"304002116626"</f>
        <v/>
      </c>
      <c r="C1743" t="inlineStr">
        <is>
          <t>HMNS Eau De Parfume Farhampton 100ml</t>
        </is>
      </c>
      <c r="D1743" t="inlineStr">
        <is>
          <t>Miss Glam Jambi</t>
        </is>
      </c>
      <c r="E1743" t="n">
        <v>1</v>
      </c>
      <c r="F1743" t="n">
        <v>0.0264</v>
      </c>
      <c r="G1743" t="n">
        <v>0.33</v>
      </c>
      <c r="H1743" t="n">
        <v>4</v>
      </c>
      <c r="I1743" t="n">
        <v>20</v>
      </c>
      <c r="J1743" t="n">
        <v>3</v>
      </c>
      <c r="K1743" t="n">
        <v>0</v>
      </c>
      <c r="L1743" t="n">
        <v>263593</v>
      </c>
      <c r="M1743" t="n">
        <v>369000</v>
      </c>
      <c r="N1743" t="n">
        <v>33</v>
      </c>
      <c r="O1743" t="n">
        <v>0.33</v>
      </c>
      <c r="P1743" t="n">
        <v>1</v>
      </c>
      <c r="Q1743" t="n">
        <v>0.1</v>
      </c>
      <c r="R1743" t="n">
        <v>2</v>
      </c>
      <c r="S1743" t="n">
        <v>9741.6</v>
      </c>
      <c r="T1743" t="n">
        <v>7</v>
      </c>
      <c r="U1743" t="n">
        <v>8</v>
      </c>
      <c r="V1743" t="n">
        <v>30</v>
      </c>
      <c r="W1743" t="n">
        <v>1</v>
      </c>
      <c r="X1743" t="n">
        <v>37.87878787878788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5774</v>
      </c>
      <c r="AG1743" t="n">
        <v>1</v>
      </c>
      <c r="AH1743" t="inlineStr">
        <is>
          <t>PT. BERSAMA DISTRIVERSA INDONESIA (DC CIPUTAT)</t>
        </is>
      </c>
      <c r="AI1743" t="n">
        <v>1691</v>
      </c>
      <c r="AJ1743" t="inlineStr">
        <is>
          <t>HMNS</t>
        </is>
      </c>
      <c r="AK1743" t="n">
        <v>9</v>
      </c>
      <c r="AL1743" t="inlineStr">
        <is>
          <t>Miss Glam Jambi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HMNS</t>
        </is>
      </c>
      <c r="B1744" s="2">
        <f>"304002115805"</f>
        <v/>
      </c>
      <c r="C1744" t="inlineStr">
        <is>
          <t>HMNS Eau De Parfume Orgsm 100ml</t>
        </is>
      </c>
      <c r="D1744" t="inlineStr">
        <is>
          <t>Miss Glam Jambi</t>
        </is>
      </c>
      <c r="E1744" t="n">
        <v>10</v>
      </c>
      <c r="F1744" t="n">
        <v>0.0396</v>
      </c>
      <c r="G1744" t="n">
        <v>0.66</v>
      </c>
      <c r="H1744" t="n">
        <v>4</v>
      </c>
      <c r="I1744" t="n">
        <v>20</v>
      </c>
      <c r="J1744" t="n">
        <v>3</v>
      </c>
      <c r="K1744" t="n">
        <v>0</v>
      </c>
      <c r="L1744" t="n">
        <v>301641</v>
      </c>
      <c r="M1744" t="n">
        <v>349000</v>
      </c>
      <c r="N1744" t="n">
        <v>33</v>
      </c>
      <c r="O1744" t="n">
        <v>0.33</v>
      </c>
      <c r="P1744" t="n">
        <v>1</v>
      </c>
      <c r="Q1744" t="n">
        <v>0.02</v>
      </c>
      <c r="R1744" t="n">
        <v>1</v>
      </c>
      <c r="S1744" t="n">
        <v>13820.4</v>
      </c>
      <c r="T1744" t="n">
        <v>14</v>
      </c>
      <c r="U1744" t="n">
        <v>15</v>
      </c>
      <c r="V1744" t="n">
        <v>30</v>
      </c>
      <c r="W1744" t="n">
        <v>2</v>
      </c>
      <c r="X1744" t="n">
        <v>252.5252525252525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5774</v>
      </c>
      <c r="AG1744" t="n">
        <v>1</v>
      </c>
      <c r="AH1744" t="inlineStr">
        <is>
          <t>PT. BERSAMA DISTRIVERSA INDONESIA (DC CIPUTAT)</t>
        </is>
      </c>
      <c r="AI1744" t="n">
        <v>1691</v>
      </c>
      <c r="AJ1744" t="inlineStr">
        <is>
          <t>HMNS</t>
        </is>
      </c>
      <c r="AK1744" t="n">
        <v>9</v>
      </c>
      <c r="AL1744" t="inlineStr">
        <is>
          <t>Miss Glam Jambi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HMNS</t>
        </is>
      </c>
      <c r="B1745" s="2">
        <f>"304002115704"</f>
        <v/>
      </c>
      <c r="C1745" t="inlineStr">
        <is>
          <t>HMNS Eau De Parfume The Perfection 100ml</t>
        </is>
      </c>
      <c r="D1745" t="inlineStr">
        <is>
          <t>Miss Glam Jambi</t>
        </is>
      </c>
      <c r="E1745" t="n">
        <v>3</v>
      </c>
      <c r="F1745" t="n">
        <v>0.009900000000000001</v>
      </c>
      <c r="G1745" t="n">
        <v>0.33</v>
      </c>
      <c r="H1745" t="n">
        <v>4</v>
      </c>
      <c r="I1745" t="n">
        <v>20</v>
      </c>
      <c r="J1745" t="n">
        <v>3</v>
      </c>
      <c r="K1745" t="n">
        <v>0</v>
      </c>
      <c r="L1745" t="n">
        <v>298500</v>
      </c>
      <c r="M1745" t="n">
        <v>398000</v>
      </c>
      <c r="N1745" t="n">
        <v>33</v>
      </c>
      <c r="O1745" t="n">
        <v>0.33</v>
      </c>
      <c r="P1745" t="n">
        <v>1</v>
      </c>
      <c r="Q1745" t="n">
        <v>0.03</v>
      </c>
      <c r="R1745" t="n">
        <v>1</v>
      </c>
      <c r="S1745" t="n">
        <v>3940.2</v>
      </c>
      <c r="T1745" t="n">
        <v>7</v>
      </c>
      <c r="U1745" t="n">
        <v>8</v>
      </c>
      <c r="V1745" t="n">
        <v>30</v>
      </c>
      <c r="W1745" t="n">
        <v>1</v>
      </c>
      <c r="X1745" t="n">
        <v>303.030303030303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5774</v>
      </c>
      <c r="AG1745" t="n">
        <v>1</v>
      </c>
      <c r="AH1745" t="inlineStr">
        <is>
          <t>PT. BERSAMA DISTRIVERSA INDONESIA (DC CIPUTAT)</t>
        </is>
      </c>
      <c r="AI1745" t="n">
        <v>1691</v>
      </c>
      <c r="AJ1745" t="inlineStr">
        <is>
          <t>HMNS</t>
        </is>
      </c>
      <c r="AK1745" t="n">
        <v>9</v>
      </c>
      <c r="AL1745" t="inlineStr">
        <is>
          <t>Miss Glam Jambi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HMNS</t>
        </is>
      </c>
      <c r="B1746" s="2">
        <f>"304002116123"</f>
        <v/>
      </c>
      <c r="C1746" t="inlineStr">
        <is>
          <t>HMNS Eau De Parfume Unrosed 100ml</t>
        </is>
      </c>
      <c r="D1746" t="inlineStr">
        <is>
          <t>Miss Glam Jambi</t>
        </is>
      </c>
      <c r="E1746" t="n">
        <v>4</v>
      </c>
      <c r="F1746" t="n">
        <v>0.0231</v>
      </c>
      <c r="G1746" t="n">
        <v>0.33</v>
      </c>
      <c r="H1746" t="n">
        <v>4</v>
      </c>
      <c r="I1746" t="n">
        <v>20</v>
      </c>
      <c r="J1746" t="n">
        <v>3</v>
      </c>
      <c r="K1746" t="n">
        <v>0</v>
      </c>
      <c r="L1746" t="n">
        <v>277542</v>
      </c>
      <c r="M1746" t="n">
        <v>378500</v>
      </c>
      <c r="N1746" t="n">
        <v>33</v>
      </c>
      <c r="O1746" t="n">
        <v>0.33</v>
      </c>
      <c r="P1746" t="n">
        <v>1</v>
      </c>
      <c r="Q1746" t="n">
        <v>0.02</v>
      </c>
      <c r="R1746" t="n">
        <v>1</v>
      </c>
      <c r="S1746" t="n">
        <v>8743.35</v>
      </c>
      <c r="T1746" t="n">
        <v>7</v>
      </c>
      <c r="U1746" t="n">
        <v>8</v>
      </c>
      <c r="V1746" t="n">
        <v>30</v>
      </c>
      <c r="W1746" t="n">
        <v>1</v>
      </c>
      <c r="X1746" t="n">
        <v>173.1601731601731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5774</v>
      </c>
      <c r="AG1746" t="n">
        <v>1</v>
      </c>
      <c r="AH1746" t="inlineStr">
        <is>
          <t>PT. BERSAMA DISTRIVERSA INDONESIA (DC CIPUTAT)</t>
        </is>
      </c>
      <c r="AI1746" t="n">
        <v>1691</v>
      </c>
      <c r="AJ1746" t="inlineStr">
        <is>
          <t>HMNS</t>
        </is>
      </c>
      <c r="AK1746" t="n">
        <v>9</v>
      </c>
      <c r="AL1746" t="inlineStr">
        <is>
          <t>Miss Glam Jambi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HMNS</t>
        </is>
      </c>
      <c r="B1747" s="2">
        <f>"30400184843"</f>
        <v/>
      </c>
      <c r="C1747" t="inlineStr">
        <is>
          <t>HMNS Hair &amp; Body Mist Drop Of Sunshine 250ml</t>
        </is>
      </c>
      <c r="D1747" t="inlineStr">
        <is>
          <t>Miss Glam Jambi</t>
        </is>
      </c>
      <c r="E1747" t="n">
        <v>6</v>
      </c>
      <c r="F1747" t="n">
        <v>0.0825</v>
      </c>
      <c r="G1747" t="n">
        <v>0.66</v>
      </c>
      <c r="H1747" t="n">
        <v>4</v>
      </c>
      <c r="I1747" t="n">
        <v>20</v>
      </c>
      <c r="J1747" t="n">
        <v>3</v>
      </c>
      <c r="K1747" t="n">
        <v>0</v>
      </c>
      <c r="L1747" t="n">
        <v>104639</v>
      </c>
      <c r="M1747" t="n">
        <v>145000</v>
      </c>
      <c r="N1747" t="n">
        <v>33</v>
      </c>
      <c r="O1747" t="n">
        <v>0.33</v>
      </c>
      <c r="P1747" t="n">
        <v>1</v>
      </c>
      <c r="Q1747" t="n">
        <v>0.15</v>
      </c>
      <c r="R1747" t="n">
        <v>2</v>
      </c>
      <c r="S1747" t="n">
        <v>11962.5</v>
      </c>
      <c r="T1747" t="n">
        <v>13</v>
      </c>
      <c r="U1747" t="n">
        <v>14</v>
      </c>
      <c r="V1747" t="n">
        <v>30</v>
      </c>
      <c r="W1747" t="n">
        <v>3</v>
      </c>
      <c r="X1747" t="n">
        <v>72.72727272727272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5774</v>
      </c>
      <c r="AG1747" t="n">
        <v>1</v>
      </c>
      <c r="AH1747" t="inlineStr">
        <is>
          <t>PT. BERSAMA DISTRIVERSA INDONESIA (DC CIPUTAT)</t>
        </is>
      </c>
      <c r="AI1747" t="n">
        <v>1691</v>
      </c>
      <c r="AJ1747" t="inlineStr">
        <is>
          <t>HMNS</t>
        </is>
      </c>
      <c r="AK1747" t="n">
        <v>9</v>
      </c>
      <c r="AL1747" t="inlineStr">
        <is>
          <t>Miss Glam Jambi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HMNS</t>
        </is>
      </c>
      <c r="B1748" s="2">
        <f>"30400184738"</f>
        <v/>
      </c>
      <c r="C1748" t="inlineStr">
        <is>
          <t>HMNS Hair &amp; Body Mist My 1St O 250ml</t>
        </is>
      </c>
      <c r="D1748" t="inlineStr">
        <is>
          <t>Miss Glam Jambi</t>
        </is>
      </c>
      <c r="E1748" t="n">
        <v>4</v>
      </c>
      <c r="F1748" t="n">
        <v>0.009900000000000001</v>
      </c>
      <c r="G1748" t="n">
        <v>0.33</v>
      </c>
      <c r="H1748" t="n">
        <v>4</v>
      </c>
      <c r="I1748" t="n">
        <v>20</v>
      </c>
      <c r="J1748" t="n">
        <v>3</v>
      </c>
      <c r="K1748" t="n">
        <v>0</v>
      </c>
      <c r="L1748" t="n">
        <v>101769</v>
      </c>
      <c r="M1748" t="n">
        <v>139000</v>
      </c>
      <c r="N1748" t="n">
        <v>33</v>
      </c>
      <c r="O1748" t="n">
        <v>0.33</v>
      </c>
      <c r="P1748" t="n">
        <v>1</v>
      </c>
      <c r="Q1748" t="n">
        <v>0.15</v>
      </c>
      <c r="R1748" t="n">
        <v>2</v>
      </c>
      <c r="S1748" t="n">
        <v>1376.1</v>
      </c>
      <c r="T1748" t="n">
        <v>7</v>
      </c>
      <c r="U1748" t="n">
        <v>8</v>
      </c>
      <c r="V1748" t="n">
        <v>30</v>
      </c>
      <c r="W1748" t="n">
        <v>1</v>
      </c>
      <c r="X1748" t="n">
        <v>404.040404040404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5774</v>
      </c>
      <c r="AG1748" t="n">
        <v>1</v>
      </c>
      <c r="AH1748" t="inlineStr">
        <is>
          <t>PT. BERSAMA DISTRIVERSA INDONESIA (DC CIPUTAT)</t>
        </is>
      </c>
      <c r="AI1748" t="n">
        <v>1691</v>
      </c>
      <c r="AJ1748" t="inlineStr">
        <is>
          <t>HMNS</t>
        </is>
      </c>
      <c r="AK1748" t="n">
        <v>9</v>
      </c>
      <c r="AL1748" t="inlineStr">
        <is>
          <t>Miss Glam Jambi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HMNS</t>
        </is>
      </c>
      <c r="B1749" s="2">
        <f>"30400197629"</f>
        <v/>
      </c>
      <c r="C1749" t="inlineStr">
        <is>
          <t>HMNS Sore Zena Fragrance Mist 250ml</t>
        </is>
      </c>
      <c r="D1749" t="inlineStr">
        <is>
          <t>Miss Glam Jambi</t>
        </is>
      </c>
      <c r="E1749" t="n">
        <v>5</v>
      </c>
      <c r="F1749" t="n">
        <v>0.0231</v>
      </c>
      <c r="G1749" t="n">
        <v>0.33</v>
      </c>
      <c r="H1749" t="n">
        <v>4</v>
      </c>
      <c r="I1749" t="n">
        <v>20</v>
      </c>
      <c r="J1749" t="n">
        <v>1</v>
      </c>
      <c r="K1749" t="n">
        <v>0</v>
      </c>
      <c r="L1749" t="n">
        <v>134323</v>
      </c>
      <c r="M1749" t="n">
        <v>185000</v>
      </c>
      <c r="N1749" t="n">
        <v>33</v>
      </c>
      <c r="O1749" t="n">
        <v>0.33</v>
      </c>
      <c r="P1749" t="n">
        <v>1</v>
      </c>
      <c r="Q1749" t="n">
        <v>0.08</v>
      </c>
      <c r="R1749" t="n">
        <v>1</v>
      </c>
      <c r="S1749" t="n">
        <v>4273.500000000001</v>
      </c>
      <c r="T1749" t="n">
        <v>7</v>
      </c>
      <c r="U1749" t="n">
        <v>8</v>
      </c>
      <c r="V1749" t="n">
        <v>30</v>
      </c>
      <c r="W1749" t="n">
        <v>1</v>
      </c>
      <c r="X1749" t="n">
        <v>216.4502164502164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5774</v>
      </c>
      <c r="AG1749" t="n">
        <v>1</v>
      </c>
      <c r="AH1749" t="inlineStr">
        <is>
          <t>PT. BERSAMA DISTRIVERSA INDONESIA (DC CIPUTAT)</t>
        </is>
      </c>
      <c r="AI1749" t="n">
        <v>1691</v>
      </c>
      <c r="AJ1749" t="inlineStr">
        <is>
          <t>HMNS</t>
        </is>
      </c>
      <c r="AK1749" t="n">
        <v>9</v>
      </c>
      <c r="AL1749" t="inlineStr">
        <is>
          <t>Miss Glam Jambi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HMNS</t>
        </is>
      </c>
      <c r="B1750" s="2">
        <f>"304001100510"</f>
        <v/>
      </c>
      <c r="C1750" t="inlineStr">
        <is>
          <t>HMNS Untitled Humans Aroma 02 100ml</t>
        </is>
      </c>
      <c r="D1750" t="inlineStr">
        <is>
          <t>Miss Glam Jambi</t>
        </is>
      </c>
      <c r="E1750" t="n">
        <v>5</v>
      </c>
      <c r="F1750" t="n">
        <v>0.006600000000000001</v>
      </c>
      <c r="G1750" t="n">
        <v>0.33</v>
      </c>
      <c r="H1750" t="n">
        <v>4</v>
      </c>
      <c r="I1750" t="n">
        <v>20</v>
      </c>
      <c r="J1750" t="n">
        <v>1</v>
      </c>
      <c r="K1750" t="n">
        <v>0</v>
      </c>
      <c r="L1750" t="n">
        <v>277585</v>
      </c>
      <c r="M1750" t="n">
        <v>385000</v>
      </c>
      <c r="N1750" t="n">
        <v>33</v>
      </c>
      <c r="O1750" t="n">
        <v>0.33</v>
      </c>
      <c r="P1750" t="n">
        <v>1</v>
      </c>
      <c r="Q1750" t="n">
        <v>0.02</v>
      </c>
      <c r="R1750" t="n">
        <v>1</v>
      </c>
      <c r="S1750" t="n">
        <v>2541</v>
      </c>
      <c r="T1750" t="n">
        <v>7</v>
      </c>
      <c r="U1750" t="n">
        <v>8</v>
      </c>
      <c r="V1750" t="n">
        <v>30</v>
      </c>
      <c r="W1750" t="n">
        <v>1</v>
      </c>
      <c r="X1750" t="n">
        <v>757.5757575757575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5774</v>
      </c>
      <c r="AG1750" t="n">
        <v>1</v>
      </c>
      <c r="AH1750" t="inlineStr">
        <is>
          <t>PT. BERSAMA DISTRIVERSA INDONESIA (DC CIPUTAT)</t>
        </is>
      </c>
      <c r="AI1750" t="n">
        <v>1691</v>
      </c>
      <c r="AJ1750" t="inlineStr">
        <is>
          <t>HMNS</t>
        </is>
      </c>
      <c r="AK1750" t="n">
        <v>9</v>
      </c>
      <c r="AL1750" t="inlineStr">
        <is>
          <t>Miss Glam Jambi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HMNS</t>
        </is>
      </c>
      <c r="B1751" s="2">
        <f>"30400189916"</f>
        <v/>
      </c>
      <c r="C1751" t="inlineStr">
        <is>
          <t>HMNS X TSANA Elea Fragrance Mist 250ml</t>
        </is>
      </c>
      <c r="D1751" t="inlineStr">
        <is>
          <t>Miss Glam Jambi</t>
        </is>
      </c>
      <c r="E1751" t="n">
        <v>14</v>
      </c>
      <c r="F1751" t="n">
        <v>0.1221</v>
      </c>
      <c r="G1751" t="n">
        <v>0.66</v>
      </c>
      <c r="H1751" t="n">
        <v>4</v>
      </c>
      <c r="I1751" t="n">
        <v>20</v>
      </c>
      <c r="J1751" t="n">
        <v>3</v>
      </c>
      <c r="K1751" t="n">
        <v>0</v>
      </c>
      <c r="L1751" t="n">
        <v>133395</v>
      </c>
      <c r="M1751" t="n">
        <v>184000</v>
      </c>
      <c r="N1751" t="n">
        <v>33</v>
      </c>
      <c r="O1751" t="n">
        <v>0.33</v>
      </c>
      <c r="P1751" t="n">
        <v>1</v>
      </c>
      <c r="Q1751" t="n">
        <v>0.1</v>
      </c>
      <c r="R1751" t="n">
        <v>2</v>
      </c>
      <c r="S1751" t="n">
        <v>22466.4</v>
      </c>
      <c r="T1751" t="n">
        <v>13</v>
      </c>
      <c r="U1751" t="n">
        <v>14</v>
      </c>
      <c r="V1751" t="n">
        <v>30</v>
      </c>
      <c r="W1751" t="n">
        <v>4</v>
      </c>
      <c r="X1751" t="n">
        <v>114.6601146601147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5774</v>
      </c>
      <c r="AG1751" t="n">
        <v>1</v>
      </c>
      <c r="AH1751" t="inlineStr">
        <is>
          <t>PT. BERSAMA DISTRIVERSA INDONESIA (DC CIPUTAT)</t>
        </is>
      </c>
      <c r="AI1751" t="n">
        <v>1691</v>
      </c>
      <c r="AJ1751" t="inlineStr">
        <is>
          <t>HMNS</t>
        </is>
      </c>
      <c r="AK1751" t="n">
        <v>9</v>
      </c>
      <c r="AL1751" t="inlineStr">
        <is>
          <t>Miss Glam Jambi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HMNS</t>
        </is>
      </c>
      <c r="B1752" s="2">
        <f>"304001100637"</f>
        <v/>
      </c>
      <c r="C1752" t="inlineStr">
        <is>
          <t>HMNS x Tsana Philea Eau de Parfum 100ml</t>
        </is>
      </c>
      <c r="D1752" t="inlineStr">
        <is>
          <t>Miss Glam Jambi</t>
        </is>
      </c>
      <c r="E1752" t="n">
        <v>7</v>
      </c>
      <c r="F1752" t="n">
        <v>0.009900000000000001</v>
      </c>
      <c r="G1752" t="n">
        <v>0.33</v>
      </c>
      <c r="H1752" t="n">
        <v>4</v>
      </c>
      <c r="I1752" t="n">
        <v>20</v>
      </c>
      <c r="J1752" t="n">
        <v>1</v>
      </c>
      <c r="K1752" t="n">
        <v>0</v>
      </c>
      <c r="L1752" t="n">
        <v>278523</v>
      </c>
      <c r="M1752" t="n">
        <v>385000</v>
      </c>
      <c r="N1752" t="n">
        <v>33</v>
      </c>
      <c r="O1752" t="n">
        <v>0.33</v>
      </c>
      <c r="P1752" t="n">
        <v>1</v>
      </c>
      <c r="Q1752" t="n">
        <v>0.03</v>
      </c>
      <c r="R1752" t="n">
        <v>1</v>
      </c>
      <c r="S1752" t="n">
        <v>3811.5</v>
      </c>
      <c r="T1752" t="n">
        <v>7</v>
      </c>
      <c r="U1752" t="n">
        <v>8</v>
      </c>
      <c r="V1752" t="n">
        <v>30</v>
      </c>
      <c r="W1752" t="n">
        <v>1</v>
      </c>
      <c r="X1752" t="n">
        <v>707.070707070707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5774</v>
      </c>
      <c r="AG1752" t="n">
        <v>1</v>
      </c>
      <c r="AH1752" t="inlineStr">
        <is>
          <t>PT. BERSAMA DISTRIVERSA INDONESIA (DC CIPUTAT)</t>
        </is>
      </c>
      <c r="AI1752" t="n">
        <v>1691</v>
      </c>
      <c r="AJ1752" t="inlineStr">
        <is>
          <t>HMNS</t>
        </is>
      </c>
      <c r="AK1752" t="n">
        <v>9</v>
      </c>
      <c r="AL1752" t="inlineStr">
        <is>
          <t>Miss Glam Jambi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HYALUPURE</t>
        </is>
      </c>
      <c r="B1753" s="2">
        <f>"10300513849"</f>
        <v/>
      </c>
      <c r="C1753" t="inlineStr">
        <is>
          <t>HYALUPURE 9x Hyaluronic Acid Emulsion for Dry Skin 100ml</t>
        </is>
      </c>
      <c r="D1753" t="inlineStr">
        <is>
          <t>Miss Glam Jambi</t>
        </is>
      </c>
      <c r="E1753" t="n">
        <v>5</v>
      </c>
      <c r="F1753" t="n">
        <v>0.006600000000000001</v>
      </c>
      <c r="G1753" t="n">
        <v>0.33</v>
      </c>
      <c r="H1753" t="n">
        <v>4</v>
      </c>
      <c r="I1753" t="n">
        <v>20</v>
      </c>
      <c r="J1753" t="n">
        <v>1</v>
      </c>
      <c r="K1753" t="n">
        <v>0</v>
      </c>
      <c r="L1753" t="n">
        <v>77125</v>
      </c>
      <c r="M1753" t="n">
        <v>92500</v>
      </c>
      <c r="N1753" t="n">
        <v>33</v>
      </c>
      <c r="O1753" t="n">
        <v>0.33</v>
      </c>
      <c r="P1753" t="n">
        <v>1</v>
      </c>
      <c r="Q1753" t="n">
        <v>0.03</v>
      </c>
      <c r="R1753" t="n">
        <v>1</v>
      </c>
      <c r="S1753" t="n">
        <v>610.5000000000001</v>
      </c>
      <c r="T1753" t="n">
        <v>7</v>
      </c>
      <c r="U1753" t="n">
        <v>8</v>
      </c>
      <c r="V1753" t="n">
        <v>30</v>
      </c>
      <c r="W1753" t="n">
        <v>1</v>
      </c>
      <c r="X1753" t="n">
        <v>757.5757575757575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5838</v>
      </c>
      <c r="AG1753" t="n">
        <v>1</v>
      </c>
      <c r="AH1753" t="inlineStr">
        <is>
          <t>PT. BERSAMA DISTRIVERSA INDONESIA (DC CIPUTAT)</t>
        </is>
      </c>
      <c r="AI1753" t="n">
        <v>2298</v>
      </c>
      <c r="AJ1753" t="inlineStr">
        <is>
          <t>HYALUPURE</t>
        </is>
      </c>
      <c r="AK1753" t="n">
        <v>9</v>
      </c>
      <c r="AL1753" t="inlineStr">
        <is>
          <t>Miss Glam Jambi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HYALUPURE</t>
        </is>
      </c>
      <c r="B1754" s="2">
        <f>"10400617253"</f>
        <v/>
      </c>
      <c r="C1754" t="inlineStr">
        <is>
          <t>HYALUPURE 9X Hyaluronic Acid Light Sun Serum SPF 50 PA+++ 50 ml</t>
        </is>
      </c>
      <c r="D1754" t="inlineStr">
        <is>
          <t>Miss Glam Jambi</t>
        </is>
      </c>
      <c r="E1754" t="n">
        <v>4</v>
      </c>
      <c r="F1754" t="n">
        <v>0.02</v>
      </c>
      <c r="G1754" t="n">
        <v>1</v>
      </c>
      <c r="H1754" t="n">
        <v>4</v>
      </c>
      <c r="I1754" t="n">
        <v>20</v>
      </c>
      <c r="J1754" t="n">
        <v>1</v>
      </c>
      <c r="K1754" t="n">
        <v>0</v>
      </c>
      <c r="L1754" t="n">
        <v>58125</v>
      </c>
      <c r="M1754" t="n">
        <v>70000</v>
      </c>
      <c r="N1754" t="n">
        <v>33</v>
      </c>
      <c r="O1754" t="n">
        <v>0.33</v>
      </c>
      <c r="P1754" t="n">
        <v>0</v>
      </c>
      <c r="Q1754" t="n">
        <v>0.02</v>
      </c>
      <c r="R1754" t="n">
        <v>1</v>
      </c>
      <c r="S1754" t="n">
        <v>1400</v>
      </c>
      <c r="T1754" t="n">
        <v>20</v>
      </c>
      <c r="U1754" t="n">
        <v>21</v>
      </c>
      <c r="V1754" t="n">
        <v>30</v>
      </c>
      <c r="W1754" t="n">
        <v>1</v>
      </c>
      <c r="X1754" t="n">
        <v>200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5838</v>
      </c>
      <c r="AG1754" t="n">
        <v>1</v>
      </c>
      <c r="AH1754" t="inlineStr">
        <is>
          <t>PT. BERSAMA DISTRIVERSA INDONESIA (DC CIPUTAT)</t>
        </is>
      </c>
      <c r="AI1754" t="n">
        <v>2298</v>
      </c>
      <c r="AJ1754" t="inlineStr">
        <is>
          <t>HYALUPURE</t>
        </is>
      </c>
      <c r="AK1754" t="n">
        <v>9</v>
      </c>
      <c r="AL1754" t="inlineStr">
        <is>
          <t>Miss Glam Jambi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IFREE</t>
        </is>
      </c>
      <c r="B1755" s="2">
        <f>"8993176814774"</f>
        <v/>
      </c>
      <c r="C1755" t="inlineStr">
        <is>
          <t>IFREE PAd Terapi Nyeri Haid 1 pcs</t>
        </is>
      </c>
      <c r="D1755" t="inlineStr">
        <is>
          <t>Miss Glam Jambi</t>
        </is>
      </c>
      <c r="E1755" t="n">
        <v>21</v>
      </c>
      <c r="F1755" t="n">
        <v>0.05</v>
      </c>
      <c r="G1755" t="n">
        <v>2</v>
      </c>
      <c r="H1755" t="n">
        <v>4</v>
      </c>
      <c r="I1755" t="n">
        <v>20</v>
      </c>
      <c r="J1755" t="n">
        <v>3</v>
      </c>
      <c r="K1755" t="n">
        <v>0</v>
      </c>
      <c r="L1755" t="n">
        <v>8767</v>
      </c>
      <c r="M1755" t="n">
        <v>13000</v>
      </c>
      <c r="N1755" t="n">
        <v>33</v>
      </c>
      <c r="O1755" t="n">
        <v>0.33</v>
      </c>
      <c r="P1755" t="n">
        <v>0</v>
      </c>
      <c r="Q1755" t="n">
        <v>0.05</v>
      </c>
      <c r="R1755" t="n">
        <v>2</v>
      </c>
      <c r="S1755" t="n">
        <v>650</v>
      </c>
      <c r="T1755" t="n">
        <v>40</v>
      </c>
      <c r="U1755" t="n">
        <v>41</v>
      </c>
      <c r="V1755" t="n">
        <v>30</v>
      </c>
      <c r="W1755" t="n">
        <v>2</v>
      </c>
      <c r="X1755" t="n">
        <v>420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5871</v>
      </c>
      <c r="AG1755" t="n">
        <v>1</v>
      </c>
      <c r="AH1755" t="inlineStr">
        <is>
          <t>PT. BERSAMA DISTRIVERSA INDONESIA (DC CIPUTAT)</t>
        </is>
      </c>
      <c r="AI1755" t="n">
        <v>1759</v>
      </c>
      <c r="AJ1755" t="inlineStr">
        <is>
          <t>IFREE</t>
        </is>
      </c>
      <c r="AK1755" t="n">
        <v>9</v>
      </c>
      <c r="AL1755" t="inlineStr">
        <is>
          <t>Miss Glam Jambi</t>
        </is>
      </c>
      <c r="AM1755" t="n">
        <v>4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"20200218706"</f>
        <v/>
      </c>
      <c r="C1756" t="inlineStr">
        <is>
          <t>IMPLORA Urban Volume Mascara Black 7.8gr</t>
        </is>
      </c>
      <c r="D1756" t="inlineStr">
        <is>
          <t>Miss Glam Jambi</t>
        </is>
      </c>
      <c r="E1756" t="n">
        <v>7</v>
      </c>
      <c r="F1756" t="n">
        <v>0.14</v>
      </c>
      <c r="G1756" t="n">
        <v>2</v>
      </c>
      <c r="H1756" t="n">
        <v>4</v>
      </c>
      <c r="I1756" t="n">
        <v>11</v>
      </c>
      <c r="J1756" t="n">
        <v>3</v>
      </c>
      <c r="K1756" t="n">
        <v>0</v>
      </c>
      <c r="L1756" t="n">
        <v>22116</v>
      </c>
      <c r="M1756" t="n">
        <v>28500</v>
      </c>
      <c r="N1756" t="n">
        <v>33</v>
      </c>
      <c r="O1756" t="n">
        <v>0.33</v>
      </c>
      <c r="P1756" t="n">
        <v>0</v>
      </c>
      <c r="Q1756" t="n">
        <v>0.14</v>
      </c>
      <c r="R1756" t="n">
        <v>2</v>
      </c>
      <c r="S1756" t="n">
        <v>3990</v>
      </c>
      <c r="T1756" t="n">
        <v>22</v>
      </c>
      <c r="U1756" t="n">
        <v>23</v>
      </c>
      <c r="V1756" t="n">
        <v>30</v>
      </c>
      <c r="W1756" t="n">
        <v>5</v>
      </c>
      <c r="X1756" t="n">
        <v>49.99999999999999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10056</v>
      </c>
      <c r="AG1756" t="n">
        <v>78</v>
      </c>
      <c r="AH1756" t="inlineStr">
        <is>
          <t>PT. GLORIENTA P.H - PPN (PDG)</t>
        </is>
      </c>
      <c r="AI1756" t="n">
        <v>83</v>
      </c>
      <c r="AJ1756" t="inlineStr">
        <is>
          <t>IMPLORA</t>
        </is>
      </c>
      <c r="AK1756" t="n">
        <v>9</v>
      </c>
      <c r="AL1756" t="inlineStr">
        <is>
          <t>Miss Glam Jambi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"1219020119008"</f>
        <v/>
      </c>
      <c r="C1757" t="inlineStr">
        <is>
          <t>IMPLORA Acne Serum 20ml</t>
        </is>
      </c>
      <c r="D1757" t="inlineStr">
        <is>
          <t>Miss Glam Jambi</t>
        </is>
      </c>
      <c r="E1757" t="n">
        <v>7</v>
      </c>
      <c r="F1757" t="n">
        <v>0.033</v>
      </c>
      <c r="G1757" t="n">
        <v>0.66</v>
      </c>
      <c r="H1757" t="n">
        <v>4</v>
      </c>
      <c r="I1757" t="n">
        <v>11</v>
      </c>
      <c r="J1757" t="n">
        <v>3</v>
      </c>
      <c r="K1757" t="n">
        <v>0</v>
      </c>
      <c r="L1757" t="n">
        <v>22033</v>
      </c>
      <c r="M1757" t="n">
        <v>29000</v>
      </c>
      <c r="N1757" t="n">
        <v>33</v>
      </c>
      <c r="O1757" t="n">
        <v>0.33</v>
      </c>
      <c r="P1757" t="n">
        <v>1</v>
      </c>
      <c r="Q1757" t="n">
        <v>0.03</v>
      </c>
      <c r="R1757" t="n">
        <v>1</v>
      </c>
      <c r="S1757" t="n">
        <v>957</v>
      </c>
      <c r="T1757" t="n">
        <v>8</v>
      </c>
      <c r="U1757" t="n">
        <v>9</v>
      </c>
      <c r="V1757" t="n">
        <v>30</v>
      </c>
      <c r="W1757" t="n">
        <v>1</v>
      </c>
      <c r="X1757" t="n">
        <v>212.1212121212121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10056</v>
      </c>
      <c r="AG1757" t="n">
        <v>78</v>
      </c>
      <c r="AH1757" t="inlineStr">
        <is>
          <t>PT. GLORIENTA P.H - PPN (PDG)</t>
        </is>
      </c>
      <c r="AI1757" t="n">
        <v>83</v>
      </c>
      <c r="AJ1757" t="inlineStr">
        <is>
          <t>IMPLORA</t>
        </is>
      </c>
      <c r="AK1757" t="n">
        <v>9</v>
      </c>
      <c r="AL1757" t="inlineStr">
        <is>
          <t>Miss Glam Jambi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"1202010000035"</f>
        <v/>
      </c>
      <c r="C1758" t="inlineStr">
        <is>
          <t>IMPLORA Blush On Cheek Coral Peach</t>
        </is>
      </c>
      <c r="D1758" t="inlineStr">
        <is>
          <t>Miss Glam Jambi</t>
        </is>
      </c>
      <c r="E1758" t="n">
        <v>0</v>
      </c>
      <c r="F1758" t="n">
        <v>0.12</v>
      </c>
      <c r="G1758" t="n">
        <v>2</v>
      </c>
      <c r="H1758" t="n">
        <v>4</v>
      </c>
      <c r="I1758" t="n">
        <v>11</v>
      </c>
      <c r="J1758" t="n">
        <v>3</v>
      </c>
      <c r="K1758" t="n">
        <v>3</v>
      </c>
      <c r="L1758" t="n">
        <v>13586</v>
      </c>
      <c r="M1758" t="n">
        <v>17500</v>
      </c>
      <c r="N1758" t="n">
        <v>33</v>
      </c>
      <c r="O1758" t="n">
        <v>0.33</v>
      </c>
      <c r="P1758" t="n">
        <v>0</v>
      </c>
      <c r="Q1758" t="n">
        <v>0.12</v>
      </c>
      <c r="R1758" t="n">
        <v>2</v>
      </c>
      <c r="S1758" t="n">
        <v>2100</v>
      </c>
      <c r="T1758" t="n">
        <v>22</v>
      </c>
      <c r="U1758" t="n">
        <v>23</v>
      </c>
      <c r="V1758" t="n">
        <v>30</v>
      </c>
      <c r="W1758" t="n">
        <v>4</v>
      </c>
      <c r="X1758" t="n">
        <v>0</v>
      </c>
      <c r="Y1758" t="n">
        <v>1</v>
      </c>
      <c r="Z1758" t="n">
        <v>1</v>
      </c>
      <c r="AA1758" t="n">
        <v>1</v>
      </c>
      <c r="AB1758" t="n">
        <v>0</v>
      </c>
      <c r="AC1758" t="n">
        <v>0</v>
      </c>
      <c r="AD1758" t="n">
        <v>13586</v>
      </c>
      <c r="AE1758" t="n">
        <v>0</v>
      </c>
      <c r="AF1758" t="n">
        <v>10056</v>
      </c>
      <c r="AG1758" t="n">
        <v>78</v>
      </c>
      <c r="AH1758" t="inlineStr">
        <is>
          <t>PT. GLORIENTA P.H - PPN (PDG)</t>
        </is>
      </c>
      <c r="AI1758" t="n">
        <v>83</v>
      </c>
      <c r="AJ1758" t="inlineStr">
        <is>
          <t>IMPLORA</t>
        </is>
      </c>
      <c r="AK1758" t="n">
        <v>9</v>
      </c>
      <c r="AL1758" t="inlineStr">
        <is>
          <t>Miss Glam Jambi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"1202010000042"</f>
        <v/>
      </c>
      <c r="C1759" t="inlineStr">
        <is>
          <t>IMPLORA Blush On Cheek Dusty Rose</t>
        </is>
      </c>
      <c r="D1759" t="inlineStr">
        <is>
          <t>Miss Glam Jambi</t>
        </is>
      </c>
      <c r="E1759" t="n">
        <v>1</v>
      </c>
      <c r="F1759" t="n">
        <v>0.3696</v>
      </c>
      <c r="G1759" t="n">
        <v>2.64</v>
      </c>
      <c r="H1759" t="n">
        <v>4</v>
      </c>
      <c r="I1759" t="n">
        <v>11</v>
      </c>
      <c r="J1759" t="n">
        <v>3</v>
      </c>
      <c r="K1759" t="n">
        <v>7</v>
      </c>
      <c r="L1759" t="n">
        <v>13592</v>
      </c>
      <c r="M1759" t="n">
        <v>17500</v>
      </c>
      <c r="N1759" t="n">
        <v>33</v>
      </c>
      <c r="O1759" t="n">
        <v>0.33</v>
      </c>
      <c r="P1759" t="n">
        <v>1</v>
      </c>
      <c r="Q1759" t="n">
        <v>0.08</v>
      </c>
      <c r="R1759" t="n">
        <v>1</v>
      </c>
      <c r="S1759" t="n">
        <v>6468.000000000001</v>
      </c>
      <c r="T1759" t="n">
        <v>28</v>
      </c>
      <c r="U1759" t="n">
        <v>30</v>
      </c>
      <c r="V1759" t="n">
        <v>30</v>
      </c>
      <c r="W1759" t="n">
        <v>12</v>
      </c>
      <c r="X1759" t="n">
        <v>2.705627705627705</v>
      </c>
      <c r="Y1759" t="n">
        <v>1</v>
      </c>
      <c r="Z1759" t="n">
        <v>4</v>
      </c>
      <c r="AA1759" t="n">
        <v>3</v>
      </c>
      <c r="AB1759" t="n">
        <v>1</v>
      </c>
      <c r="AC1759" t="n">
        <v>3</v>
      </c>
      <c r="AD1759" t="n">
        <v>40776</v>
      </c>
      <c r="AE1759" t="n">
        <v>40776</v>
      </c>
      <c r="AF1759" t="n">
        <v>10056</v>
      </c>
      <c r="AG1759" t="n">
        <v>78</v>
      </c>
      <c r="AH1759" t="inlineStr">
        <is>
          <t>PT. GLORIENTA P.H - PPN (PDG)</t>
        </is>
      </c>
      <c r="AI1759" t="n">
        <v>83</v>
      </c>
      <c r="AJ1759" t="inlineStr">
        <is>
          <t>IMPLORA</t>
        </is>
      </c>
      <c r="AK1759" t="n">
        <v>9</v>
      </c>
      <c r="AL1759" t="inlineStr">
        <is>
          <t>Miss Glam Jambi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"1202010000196"</f>
        <v/>
      </c>
      <c r="C1760" t="inlineStr">
        <is>
          <t>IMPLORA Blush On Sweet Salmon</t>
        </is>
      </c>
      <c r="D1760" t="inlineStr">
        <is>
          <t>Miss Glam Jambi</t>
        </is>
      </c>
      <c r="E1760" t="n">
        <v>0</v>
      </c>
      <c r="F1760" t="n">
        <v>0.27</v>
      </c>
      <c r="G1760" t="n">
        <v>3</v>
      </c>
      <c r="H1760" t="n">
        <v>4</v>
      </c>
      <c r="I1760" t="n">
        <v>11</v>
      </c>
      <c r="J1760" t="n">
        <v>3</v>
      </c>
      <c r="K1760" t="n">
        <v>6</v>
      </c>
      <c r="L1760" t="n">
        <v>13587</v>
      </c>
      <c r="M1760" t="n">
        <v>17500</v>
      </c>
      <c r="N1760" t="n">
        <v>33</v>
      </c>
      <c r="O1760" t="n">
        <v>0.33</v>
      </c>
      <c r="P1760" t="n">
        <v>0</v>
      </c>
      <c r="Q1760" t="n">
        <v>0.27</v>
      </c>
      <c r="R1760" t="n">
        <v>3</v>
      </c>
      <c r="S1760" t="n">
        <v>4725</v>
      </c>
      <c r="T1760" t="n">
        <v>32</v>
      </c>
      <c r="U1760" t="n">
        <v>34</v>
      </c>
      <c r="V1760" t="n">
        <v>30</v>
      </c>
      <c r="W1760" t="n">
        <v>9</v>
      </c>
      <c r="X1760" t="n">
        <v>0</v>
      </c>
      <c r="Y1760" t="n">
        <v>1</v>
      </c>
      <c r="Z1760" t="n">
        <v>3</v>
      </c>
      <c r="AA1760" t="n">
        <v>2</v>
      </c>
      <c r="AB1760" t="n">
        <v>1</v>
      </c>
      <c r="AC1760" t="n">
        <v>3</v>
      </c>
      <c r="AD1760" t="n">
        <v>27174</v>
      </c>
      <c r="AE1760" t="n">
        <v>40761</v>
      </c>
      <c r="AF1760" t="n">
        <v>10056</v>
      </c>
      <c r="AG1760" t="n">
        <v>78</v>
      </c>
      <c r="AH1760" t="inlineStr">
        <is>
          <t>PT. GLORIENTA P.H - PPN (PDG)</t>
        </is>
      </c>
      <c r="AI1760" t="n">
        <v>83</v>
      </c>
      <c r="AJ1760" t="inlineStr">
        <is>
          <t>IMPLORA</t>
        </is>
      </c>
      <c r="AK1760" t="n">
        <v>9</v>
      </c>
      <c r="AL1760" t="inlineStr">
        <is>
          <t>Miss Glam Jambi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"1212060001005"</f>
        <v/>
      </c>
      <c r="C1761" t="inlineStr">
        <is>
          <t>IMPLORA Cheek &amp; Liptint 01 Vampire</t>
        </is>
      </c>
      <c r="D1761" t="inlineStr">
        <is>
          <t>Miss Glam Jambi</t>
        </is>
      </c>
      <c r="E1761" t="n">
        <v>4</v>
      </c>
      <c r="F1761" t="n">
        <v>0.1617</v>
      </c>
      <c r="G1761" t="n">
        <v>0.99</v>
      </c>
      <c r="H1761" t="n">
        <v>4</v>
      </c>
      <c r="I1761" t="n">
        <v>11</v>
      </c>
      <c r="J1761" t="n">
        <v>3</v>
      </c>
      <c r="K1761" t="n">
        <v>3</v>
      </c>
      <c r="L1761" t="n">
        <v>15132</v>
      </c>
      <c r="M1761" t="n">
        <v>19500</v>
      </c>
      <c r="N1761" t="n">
        <v>33</v>
      </c>
      <c r="O1761" t="n">
        <v>0.33</v>
      </c>
      <c r="P1761" t="n">
        <v>1</v>
      </c>
      <c r="Q1761" t="n">
        <v>0.1</v>
      </c>
      <c r="R1761" t="n">
        <v>1</v>
      </c>
      <c r="S1761" t="n">
        <v>3153.15</v>
      </c>
      <c r="T1761" t="n">
        <v>11</v>
      </c>
      <c r="U1761" t="n">
        <v>12</v>
      </c>
      <c r="V1761" t="n">
        <v>30</v>
      </c>
      <c r="W1761" t="n">
        <v>5</v>
      </c>
      <c r="X1761" t="n">
        <v>24.73716759431045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10056</v>
      </c>
      <c r="AG1761" t="n">
        <v>78</v>
      </c>
      <c r="AH1761" t="inlineStr">
        <is>
          <t>PT. GLORIENTA P.H - PPN (PDG)</t>
        </is>
      </c>
      <c r="AI1761" t="n">
        <v>83</v>
      </c>
      <c r="AJ1761" t="inlineStr">
        <is>
          <t>IMPLORA</t>
        </is>
      </c>
      <c r="AK1761" t="n">
        <v>9</v>
      </c>
      <c r="AL1761" t="inlineStr">
        <is>
          <t>Miss Glam Jambi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"1212060002002"</f>
        <v/>
      </c>
      <c r="C1762" t="inlineStr">
        <is>
          <t>IMPLORA Cheek &amp; Liptint 02 Cherry Bomb</t>
        </is>
      </c>
      <c r="D1762" t="inlineStr">
        <is>
          <t>Miss Glam Jambi</t>
        </is>
      </c>
      <c r="E1762" t="n">
        <v>11</v>
      </c>
      <c r="F1762" t="n">
        <v>0.2013</v>
      </c>
      <c r="G1762" t="n">
        <v>0.66</v>
      </c>
      <c r="H1762" t="n">
        <v>4</v>
      </c>
      <c r="I1762" t="n">
        <v>11</v>
      </c>
      <c r="J1762" t="n">
        <v>3</v>
      </c>
      <c r="K1762" t="n">
        <v>0</v>
      </c>
      <c r="L1762" t="n">
        <v>15132</v>
      </c>
      <c r="M1762" t="n">
        <v>19500</v>
      </c>
      <c r="N1762" t="n">
        <v>33</v>
      </c>
      <c r="O1762" t="n">
        <v>0.33</v>
      </c>
      <c r="P1762" t="n">
        <v>1</v>
      </c>
      <c r="Q1762" t="n">
        <v>0.12</v>
      </c>
      <c r="R1762" t="n">
        <v>1</v>
      </c>
      <c r="S1762" t="n">
        <v>3925.35</v>
      </c>
      <c r="T1762" t="n">
        <v>7</v>
      </c>
      <c r="U1762" t="n">
        <v>8</v>
      </c>
      <c r="V1762" t="n">
        <v>30</v>
      </c>
      <c r="W1762" t="n">
        <v>7</v>
      </c>
      <c r="X1762" t="n">
        <v>54.6448087431694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10056</v>
      </c>
      <c r="AG1762" t="n">
        <v>78</v>
      </c>
      <c r="AH1762" t="inlineStr">
        <is>
          <t>PT. GLORIENTA P.H - PPN (PDG)</t>
        </is>
      </c>
      <c r="AI1762" t="n">
        <v>83</v>
      </c>
      <c r="AJ1762" t="inlineStr">
        <is>
          <t>IMPLORA</t>
        </is>
      </c>
      <c r="AK1762" t="n">
        <v>9</v>
      </c>
      <c r="AL1762" t="inlineStr">
        <is>
          <t>Miss Glam Jambi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"1212060003009"</f>
        <v/>
      </c>
      <c r="C1763" t="inlineStr">
        <is>
          <t>IMPLORA Cheek &amp; Liptint 03 Candy Apple</t>
        </is>
      </c>
      <c r="D1763" t="inlineStr">
        <is>
          <t>Miss Glam Jambi</t>
        </is>
      </c>
      <c r="E1763" t="n">
        <v>6</v>
      </c>
      <c r="F1763" t="n">
        <v>0.1617</v>
      </c>
      <c r="G1763" t="n">
        <v>1.32</v>
      </c>
      <c r="H1763" t="n">
        <v>4</v>
      </c>
      <c r="I1763" t="n">
        <v>11</v>
      </c>
      <c r="J1763" t="n">
        <v>3</v>
      </c>
      <c r="K1763" t="n">
        <v>0</v>
      </c>
      <c r="L1763" t="n">
        <v>15107</v>
      </c>
      <c r="M1763" t="n">
        <v>19500</v>
      </c>
      <c r="N1763" t="n">
        <v>33</v>
      </c>
      <c r="O1763" t="n">
        <v>0.33</v>
      </c>
      <c r="P1763" t="n">
        <v>1</v>
      </c>
      <c r="Q1763" t="n">
        <v>0.05</v>
      </c>
      <c r="R1763" t="n">
        <v>1</v>
      </c>
      <c r="S1763" t="n">
        <v>3153.15</v>
      </c>
      <c r="T1763" t="n">
        <v>14</v>
      </c>
      <c r="U1763" t="n">
        <v>15</v>
      </c>
      <c r="V1763" t="n">
        <v>30</v>
      </c>
      <c r="W1763" t="n">
        <v>5</v>
      </c>
      <c r="X1763" t="n">
        <v>37.10575139146567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10056</v>
      </c>
      <c r="AG1763" t="n">
        <v>78</v>
      </c>
      <c r="AH1763" t="inlineStr">
        <is>
          <t>PT. GLORIENTA P.H - PPN (PDG)</t>
        </is>
      </c>
      <c r="AI1763" t="n">
        <v>83</v>
      </c>
      <c r="AJ1763" t="inlineStr">
        <is>
          <t>IMPLORA</t>
        </is>
      </c>
      <c r="AK1763" t="n">
        <v>9</v>
      </c>
      <c r="AL1763" t="inlineStr">
        <is>
          <t>Miss Glam Jambi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"1212060005003"</f>
        <v/>
      </c>
      <c r="C1764" t="inlineStr">
        <is>
          <t>IMPLORA Cheek &amp; Liptint 05 Cranberry 5.5gr</t>
        </is>
      </c>
      <c r="D1764" t="inlineStr">
        <is>
          <t>Miss Glam Jambi</t>
        </is>
      </c>
      <c r="E1764" t="n">
        <v>8</v>
      </c>
      <c r="F1764" t="n">
        <v>0.2574</v>
      </c>
      <c r="G1764" t="n">
        <v>1.32</v>
      </c>
      <c r="H1764" t="n">
        <v>4</v>
      </c>
      <c r="I1764" t="n">
        <v>11</v>
      </c>
      <c r="J1764" t="n">
        <v>3</v>
      </c>
      <c r="K1764" t="n">
        <v>3</v>
      </c>
      <c r="L1764" t="n">
        <v>15132</v>
      </c>
      <c r="M1764" t="n">
        <v>19500</v>
      </c>
      <c r="N1764" t="n">
        <v>33</v>
      </c>
      <c r="O1764" t="n">
        <v>0.33</v>
      </c>
      <c r="P1764" t="n">
        <v>1</v>
      </c>
      <c r="Q1764" t="n">
        <v>0.1</v>
      </c>
      <c r="R1764" t="n">
        <v>2</v>
      </c>
      <c r="S1764" t="n">
        <v>5019.3</v>
      </c>
      <c r="T1764" t="n">
        <v>14</v>
      </c>
      <c r="U1764" t="n">
        <v>16</v>
      </c>
      <c r="V1764" t="n">
        <v>30</v>
      </c>
      <c r="W1764" t="n">
        <v>8</v>
      </c>
      <c r="X1764" t="n">
        <v>31.08003108003108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10056</v>
      </c>
      <c r="AG1764" t="n">
        <v>78</v>
      </c>
      <c r="AH1764" t="inlineStr">
        <is>
          <t>PT. GLORIENTA P.H - PPN (PDG)</t>
        </is>
      </c>
      <c r="AI1764" t="n">
        <v>83</v>
      </c>
      <c r="AJ1764" t="inlineStr">
        <is>
          <t>IMPLORA</t>
        </is>
      </c>
      <c r="AK1764" t="n">
        <v>9</v>
      </c>
      <c r="AL1764" t="inlineStr">
        <is>
          <t>Miss Glam Jambi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"8993883801180"</f>
        <v/>
      </c>
      <c r="C1765" t="inlineStr">
        <is>
          <t>IMPLORA Cheek &amp; Liptint 07 Juicy Juice 5,5 gr</t>
        </is>
      </c>
      <c r="D1765" t="inlineStr">
        <is>
          <t>Miss Glam Jambi</t>
        </is>
      </c>
      <c r="E1765" t="n">
        <v>1</v>
      </c>
      <c r="F1765" t="n">
        <v>0.05</v>
      </c>
      <c r="G1765" t="n">
        <v>1</v>
      </c>
      <c r="H1765" t="n">
        <v>4</v>
      </c>
      <c r="I1765" t="n">
        <v>11</v>
      </c>
      <c r="J1765" t="n">
        <v>3</v>
      </c>
      <c r="K1765" t="n">
        <v>3</v>
      </c>
      <c r="L1765" t="n">
        <v>14841</v>
      </c>
      <c r="M1765" t="n">
        <v>19500</v>
      </c>
      <c r="N1765" t="n">
        <v>33</v>
      </c>
      <c r="O1765" t="n">
        <v>0.33</v>
      </c>
      <c r="P1765" t="n">
        <v>0</v>
      </c>
      <c r="Q1765" t="n">
        <v>0.05</v>
      </c>
      <c r="R1765" t="n">
        <v>1</v>
      </c>
      <c r="S1765" t="n">
        <v>975</v>
      </c>
      <c r="T1765" t="n">
        <v>11</v>
      </c>
      <c r="U1765" t="n">
        <v>12</v>
      </c>
      <c r="V1765" t="n">
        <v>30</v>
      </c>
      <c r="W1765" t="n">
        <v>2</v>
      </c>
      <c r="X1765" t="n">
        <v>20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10056</v>
      </c>
      <c r="AG1765" t="n">
        <v>78</v>
      </c>
      <c r="AH1765" t="inlineStr">
        <is>
          <t>PT. GLORIENTA P.H - PPN (PDG)</t>
        </is>
      </c>
      <c r="AI1765" t="n">
        <v>83</v>
      </c>
      <c r="AJ1765" t="inlineStr">
        <is>
          <t>IMPLORA</t>
        </is>
      </c>
      <c r="AK1765" t="n">
        <v>9</v>
      </c>
      <c r="AL1765" t="inlineStr">
        <is>
          <t>Miss Glam Jambi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"1212060004006"</f>
        <v/>
      </c>
      <c r="C1766" t="inlineStr">
        <is>
          <t>IMPLORA Cheek&amp;Lip Tint 04 Red Wine 5.5g</t>
        </is>
      </c>
      <c r="D1766" t="inlineStr">
        <is>
          <t>Miss Glam Jambi</t>
        </is>
      </c>
      <c r="E1766" t="n">
        <v>6</v>
      </c>
      <c r="F1766" t="n">
        <v>0.066</v>
      </c>
      <c r="G1766" t="n">
        <v>0.99</v>
      </c>
      <c r="H1766" t="n">
        <v>4</v>
      </c>
      <c r="I1766" t="n">
        <v>11</v>
      </c>
      <c r="J1766" t="n">
        <v>3</v>
      </c>
      <c r="K1766" t="n">
        <v>0</v>
      </c>
      <c r="L1766" t="n">
        <v>15110</v>
      </c>
      <c r="M1766" t="n">
        <v>19500</v>
      </c>
      <c r="N1766" t="n">
        <v>33</v>
      </c>
      <c r="O1766" t="n">
        <v>0.33</v>
      </c>
      <c r="P1766" t="n">
        <v>1</v>
      </c>
      <c r="Q1766" t="n">
        <v>0.12</v>
      </c>
      <c r="R1766" t="n">
        <v>2</v>
      </c>
      <c r="S1766" t="n">
        <v>1287</v>
      </c>
      <c r="T1766" t="n">
        <v>11</v>
      </c>
      <c r="U1766" t="n">
        <v>12</v>
      </c>
      <c r="V1766" t="n">
        <v>30</v>
      </c>
      <c r="W1766" t="n">
        <v>2</v>
      </c>
      <c r="X1766" t="n">
        <v>90.90909090909091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10056</v>
      </c>
      <c r="AG1766" t="n">
        <v>78</v>
      </c>
      <c r="AH1766" t="inlineStr">
        <is>
          <t>PT. GLORIENTA P.H - PPN (PDG)</t>
        </is>
      </c>
      <c r="AI1766" t="n">
        <v>83</v>
      </c>
      <c r="AJ1766" t="inlineStr">
        <is>
          <t>IMPLORA</t>
        </is>
      </c>
      <c r="AK1766" t="n">
        <v>9</v>
      </c>
      <c r="AL1766" t="inlineStr">
        <is>
          <t>Miss Glam Jambi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"1212060006000"</f>
        <v/>
      </c>
      <c r="C1767" t="inlineStr">
        <is>
          <t>IMPLORA Cheek&amp;Lip Tint 06  Pumpkin 5.5g</t>
        </is>
      </c>
      <c r="D1767" t="inlineStr">
        <is>
          <t>Miss Glam Jambi</t>
        </is>
      </c>
      <c r="E1767" t="n">
        <v>7</v>
      </c>
      <c r="F1767" t="n">
        <v>0.06270000000000001</v>
      </c>
      <c r="G1767" t="n">
        <v>0.33</v>
      </c>
      <c r="H1767" t="n">
        <v>4</v>
      </c>
      <c r="I1767" t="n">
        <v>11</v>
      </c>
      <c r="J1767" t="n">
        <v>3</v>
      </c>
      <c r="K1767" t="n">
        <v>0</v>
      </c>
      <c r="L1767" t="n">
        <v>15005</v>
      </c>
      <c r="M1767" t="n">
        <v>19500</v>
      </c>
      <c r="N1767" t="n">
        <v>33</v>
      </c>
      <c r="O1767" t="n">
        <v>0.33</v>
      </c>
      <c r="P1767" t="n">
        <v>1</v>
      </c>
      <c r="Q1767" t="n">
        <v>0.07000000000000001</v>
      </c>
      <c r="R1767" t="n">
        <v>1</v>
      </c>
      <c r="S1767" t="n">
        <v>1222.65</v>
      </c>
      <c r="T1767" t="n">
        <v>4</v>
      </c>
      <c r="U1767" t="n">
        <v>5</v>
      </c>
      <c r="V1767" t="n">
        <v>30</v>
      </c>
      <c r="W1767" t="n">
        <v>2</v>
      </c>
      <c r="X1767" t="n">
        <v>111.6427432216906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10056</v>
      </c>
      <c r="AG1767" t="n">
        <v>78</v>
      </c>
      <c r="AH1767" t="inlineStr">
        <is>
          <t>PT. GLORIENTA P.H - PPN (PDG)</t>
        </is>
      </c>
      <c r="AI1767" t="n">
        <v>83</v>
      </c>
      <c r="AJ1767" t="inlineStr">
        <is>
          <t>IMPLORA</t>
        </is>
      </c>
      <c r="AK1767" t="n">
        <v>9</v>
      </c>
      <c r="AL1767" t="inlineStr">
        <is>
          <t>Miss Glam Jambi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"8993883801401"</f>
        <v/>
      </c>
      <c r="C1768" t="inlineStr">
        <is>
          <t>IMPLORA Cleansing Face &amp; Body Bar Green Tea Acne Control 60gr</t>
        </is>
      </c>
      <c r="D1768" t="inlineStr">
        <is>
          <t>Miss Glam Jambi</t>
        </is>
      </c>
      <c r="E1768" t="n">
        <v>7</v>
      </c>
      <c r="F1768" t="n">
        <v>0.02</v>
      </c>
      <c r="G1768" t="n">
        <v>1</v>
      </c>
      <c r="H1768" t="n">
        <v>4</v>
      </c>
      <c r="I1768" t="n">
        <v>11</v>
      </c>
      <c r="J1768" t="n">
        <v>3</v>
      </c>
      <c r="K1768" t="n">
        <v>0</v>
      </c>
      <c r="L1768" t="n">
        <v>9956</v>
      </c>
      <c r="M1768" t="n">
        <v>13000</v>
      </c>
      <c r="N1768" t="n">
        <v>33</v>
      </c>
      <c r="O1768" t="n">
        <v>0.33</v>
      </c>
      <c r="P1768" t="n">
        <v>0</v>
      </c>
      <c r="Q1768" t="n">
        <v>0.02</v>
      </c>
      <c r="R1768" t="n">
        <v>1</v>
      </c>
      <c r="S1768" t="n">
        <v>260</v>
      </c>
      <c r="T1768" t="n">
        <v>11</v>
      </c>
      <c r="U1768" t="n">
        <v>12</v>
      </c>
      <c r="V1768" t="n">
        <v>30</v>
      </c>
      <c r="W1768" t="n">
        <v>1</v>
      </c>
      <c r="X1768" t="n">
        <v>350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10056</v>
      </c>
      <c r="AG1768" t="n">
        <v>78</v>
      </c>
      <c r="AH1768" t="inlineStr">
        <is>
          <t>PT. GLORIENTA P.H - PPN (PDG)</t>
        </is>
      </c>
      <c r="AI1768" t="n">
        <v>83</v>
      </c>
      <c r="AJ1768" t="inlineStr">
        <is>
          <t>IMPLORA</t>
        </is>
      </c>
      <c r="AK1768" t="n">
        <v>9</v>
      </c>
      <c r="AL1768" t="inlineStr">
        <is>
          <t>Miss Glam Jambi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"8993883800572"</f>
        <v/>
      </c>
      <c r="C1769" t="inlineStr">
        <is>
          <t>IMPLORA Day To Day Series Brow Pop Ash Brown 0.08gr</t>
        </is>
      </c>
      <c r="D1769" t="inlineStr">
        <is>
          <t>Miss Glam Jambi</t>
        </is>
      </c>
      <c r="E1769" t="n">
        <v>23</v>
      </c>
      <c r="F1769" t="n">
        <v>0.07000000000000001</v>
      </c>
      <c r="G1769" t="n">
        <v>1</v>
      </c>
      <c r="H1769" t="n">
        <v>4</v>
      </c>
      <c r="I1769" t="n">
        <v>11</v>
      </c>
      <c r="J1769" t="n">
        <v>3</v>
      </c>
      <c r="K1769" t="n">
        <v>0</v>
      </c>
      <c r="L1769" t="n">
        <v>12419</v>
      </c>
      <c r="M1769" t="n">
        <v>16000</v>
      </c>
      <c r="N1769" t="n">
        <v>33</v>
      </c>
      <c r="O1769" t="n">
        <v>0.33</v>
      </c>
      <c r="P1769" t="n">
        <v>0</v>
      </c>
      <c r="Q1769" t="n">
        <v>0.07000000000000001</v>
      </c>
      <c r="R1769" t="n">
        <v>1</v>
      </c>
      <c r="S1769" t="n">
        <v>1120</v>
      </c>
      <c r="T1769" t="n">
        <v>11</v>
      </c>
      <c r="U1769" t="n">
        <v>12</v>
      </c>
      <c r="V1769" t="n">
        <v>30</v>
      </c>
      <c r="W1769" t="n">
        <v>3</v>
      </c>
      <c r="X1769" t="n">
        <v>328.5714285714286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10056</v>
      </c>
      <c r="AG1769" t="n">
        <v>78</v>
      </c>
      <c r="AH1769" t="inlineStr">
        <is>
          <t>PT. GLORIENTA P.H - PPN (PDG)</t>
        </is>
      </c>
      <c r="AI1769" t="n">
        <v>83</v>
      </c>
      <c r="AJ1769" t="inlineStr">
        <is>
          <t>IMPLORA</t>
        </is>
      </c>
      <c r="AK1769" t="n">
        <v>9</v>
      </c>
      <c r="AL1769" t="inlineStr">
        <is>
          <t>Miss Glam Jambi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"8993883800589"</f>
        <v/>
      </c>
      <c r="C1770" t="inlineStr">
        <is>
          <t>IMPLORA Day To Day Series Brow Pop Dark Ash  0.08gr</t>
        </is>
      </c>
      <c r="D1770" t="inlineStr">
        <is>
          <t>Miss Glam Jambi</t>
        </is>
      </c>
      <c r="E1770" t="n">
        <v>4</v>
      </c>
      <c r="F1770" t="n">
        <v>0.02</v>
      </c>
      <c r="G1770" t="n">
        <v>1</v>
      </c>
      <c r="H1770" t="n">
        <v>4</v>
      </c>
      <c r="I1770" t="n">
        <v>11</v>
      </c>
      <c r="J1770" t="n">
        <v>3</v>
      </c>
      <c r="K1770" t="n">
        <v>0</v>
      </c>
      <c r="L1770" t="n">
        <v>12416</v>
      </c>
      <c r="M1770" t="n">
        <v>16000</v>
      </c>
      <c r="N1770" t="n">
        <v>33</v>
      </c>
      <c r="O1770" t="n">
        <v>0.33</v>
      </c>
      <c r="P1770" t="n">
        <v>0</v>
      </c>
      <c r="Q1770" t="n">
        <v>0.02</v>
      </c>
      <c r="R1770" t="n">
        <v>1</v>
      </c>
      <c r="S1770" t="n">
        <v>320</v>
      </c>
      <c r="T1770" t="n">
        <v>11</v>
      </c>
      <c r="U1770" t="n">
        <v>12</v>
      </c>
      <c r="V1770" t="n">
        <v>30</v>
      </c>
      <c r="W1770" t="n">
        <v>1</v>
      </c>
      <c r="X1770" t="n">
        <v>200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10056</v>
      </c>
      <c r="AG1770" t="n">
        <v>78</v>
      </c>
      <c r="AH1770" t="inlineStr">
        <is>
          <t>PT. GLORIENTA P.H - PPN (PDG)</t>
        </is>
      </c>
      <c r="AI1770" t="n">
        <v>83</v>
      </c>
      <c r="AJ1770" t="inlineStr">
        <is>
          <t>IMPLORA</t>
        </is>
      </c>
      <c r="AK1770" t="n">
        <v>9</v>
      </c>
      <c r="AL1770" t="inlineStr">
        <is>
          <t>Miss Glam Jambi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"8993883800596"</f>
        <v/>
      </c>
      <c r="C1771" t="inlineStr">
        <is>
          <t>IMPLORA Day To Day Series Brow Pop Dark Brown  0.08gr</t>
        </is>
      </c>
      <c r="D1771" t="inlineStr">
        <is>
          <t>Miss Glam Jambi</t>
        </is>
      </c>
      <c r="E1771" t="n">
        <v>9</v>
      </c>
      <c r="F1771" t="n">
        <v>0.22</v>
      </c>
      <c r="G1771" t="n">
        <v>2</v>
      </c>
      <c r="H1771" t="n">
        <v>4</v>
      </c>
      <c r="I1771" t="n">
        <v>11</v>
      </c>
      <c r="J1771" t="n">
        <v>3</v>
      </c>
      <c r="K1771" t="n">
        <v>0</v>
      </c>
      <c r="L1771" t="n">
        <v>12416</v>
      </c>
      <c r="M1771" t="n">
        <v>16000</v>
      </c>
      <c r="N1771" t="n">
        <v>33</v>
      </c>
      <c r="O1771" t="n">
        <v>0.33</v>
      </c>
      <c r="P1771" t="n">
        <v>0</v>
      </c>
      <c r="Q1771" t="n">
        <v>0.22</v>
      </c>
      <c r="R1771" t="n">
        <v>2</v>
      </c>
      <c r="S1771" t="n">
        <v>3520</v>
      </c>
      <c r="T1771" t="n">
        <v>22</v>
      </c>
      <c r="U1771" t="n">
        <v>23</v>
      </c>
      <c r="V1771" t="n">
        <v>30</v>
      </c>
      <c r="W1771" t="n">
        <v>7</v>
      </c>
      <c r="X1771" t="n">
        <v>40.90909090909091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10056</v>
      </c>
      <c r="AG1771" t="n">
        <v>78</v>
      </c>
      <c r="AH1771" t="inlineStr">
        <is>
          <t>PT. GLORIENTA P.H - PPN (PDG)</t>
        </is>
      </c>
      <c r="AI1771" t="n">
        <v>83</v>
      </c>
      <c r="AJ1771" t="inlineStr">
        <is>
          <t>IMPLORA</t>
        </is>
      </c>
      <c r="AK1771" t="n">
        <v>9</v>
      </c>
      <c r="AL1771" t="inlineStr">
        <is>
          <t>Miss Glam Jambi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"8993883800602"</f>
        <v/>
      </c>
      <c r="C1772" t="inlineStr">
        <is>
          <t>IMPLORA Day To Day Series Brow Pop Medium Brown 0.08 gr</t>
        </is>
      </c>
      <c r="D1772" t="inlineStr">
        <is>
          <t>Miss Glam Jambi</t>
        </is>
      </c>
      <c r="E1772" t="n">
        <v>3</v>
      </c>
      <c r="F1772" t="n">
        <v>0.1518</v>
      </c>
      <c r="G1772" t="n">
        <v>1.65</v>
      </c>
      <c r="H1772" t="n">
        <v>4</v>
      </c>
      <c r="I1772" t="n">
        <v>11</v>
      </c>
      <c r="J1772" t="n">
        <v>3</v>
      </c>
      <c r="K1772" t="n">
        <v>3</v>
      </c>
      <c r="L1772" t="n">
        <v>12416</v>
      </c>
      <c r="M1772" t="n">
        <v>16000</v>
      </c>
      <c r="N1772" t="n">
        <v>33</v>
      </c>
      <c r="O1772" t="n">
        <v>0.33</v>
      </c>
      <c r="P1772" t="n">
        <v>1</v>
      </c>
      <c r="Q1772" t="n">
        <v>0.02</v>
      </c>
      <c r="R1772" t="n">
        <v>1</v>
      </c>
      <c r="S1772" t="n">
        <v>2428.8</v>
      </c>
      <c r="T1772" t="n">
        <v>18</v>
      </c>
      <c r="U1772" t="n">
        <v>19</v>
      </c>
      <c r="V1772" t="n">
        <v>30</v>
      </c>
      <c r="W1772" t="n">
        <v>5</v>
      </c>
      <c r="X1772" t="n">
        <v>19.76284584980237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10056</v>
      </c>
      <c r="AG1772" t="n">
        <v>78</v>
      </c>
      <c r="AH1772" t="inlineStr">
        <is>
          <t>PT. GLORIENTA P.H - PPN (PDG)</t>
        </is>
      </c>
      <c r="AI1772" t="n">
        <v>83</v>
      </c>
      <c r="AJ1772" t="inlineStr">
        <is>
          <t>IMPLORA</t>
        </is>
      </c>
      <c r="AK1772" t="n">
        <v>9</v>
      </c>
      <c r="AL1772" t="inlineStr">
        <is>
          <t>Miss Glam Jambi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"8993883800763"</f>
        <v/>
      </c>
      <c r="C1773" t="inlineStr">
        <is>
          <t>IMPLORA Day To Day Series Lite Matte Lip Cream 03 Passionate 4gr</t>
        </is>
      </c>
      <c r="D1773" t="inlineStr">
        <is>
          <t>Miss Glam Jambi</t>
        </is>
      </c>
      <c r="E1773" t="n">
        <v>3</v>
      </c>
      <c r="F1773" t="n">
        <v>0.033</v>
      </c>
      <c r="G1773" t="n">
        <v>0.33</v>
      </c>
      <c r="H1773" t="n">
        <v>4</v>
      </c>
      <c r="I1773" t="n">
        <v>11</v>
      </c>
      <c r="J1773" t="n">
        <v>3</v>
      </c>
      <c r="K1773" t="n">
        <v>0</v>
      </c>
      <c r="L1773" t="n">
        <v>18876</v>
      </c>
      <c r="M1773" t="n">
        <v>27000</v>
      </c>
      <c r="N1773" t="n">
        <v>33</v>
      </c>
      <c r="O1773" t="n">
        <v>0.33</v>
      </c>
      <c r="P1773" t="n">
        <v>1</v>
      </c>
      <c r="Q1773" t="n">
        <v>0.05</v>
      </c>
      <c r="R1773" t="n">
        <v>1</v>
      </c>
      <c r="S1773" t="n">
        <v>891</v>
      </c>
      <c r="T1773" t="n">
        <v>4</v>
      </c>
      <c r="U1773" t="n">
        <v>5</v>
      </c>
      <c r="V1773" t="n">
        <v>30</v>
      </c>
      <c r="W1773" t="n">
        <v>1</v>
      </c>
      <c r="X1773" t="n">
        <v>90.90909090909091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10056</v>
      </c>
      <c r="AG1773" t="n">
        <v>78</v>
      </c>
      <c r="AH1773" t="inlineStr">
        <is>
          <t>PT. GLORIENTA P.H - PPN (PDG)</t>
        </is>
      </c>
      <c r="AI1773" t="n">
        <v>83</v>
      </c>
      <c r="AJ1773" t="inlineStr">
        <is>
          <t>IMPLORA</t>
        </is>
      </c>
      <c r="AK1773" t="n">
        <v>9</v>
      </c>
      <c r="AL1773" t="inlineStr">
        <is>
          <t>Miss Glam Jambi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"8993883800770"</f>
        <v/>
      </c>
      <c r="C1774" t="inlineStr">
        <is>
          <t>IMPLORA Day To Day Series Lite Matte Lip Cream 04 Humble 4gr</t>
        </is>
      </c>
      <c r="D1774" t="inlineStr">
        <is>
          <t>Miss Glam Jambi</t>
        </is>
      </c>
      <c r="E1774" t="n">
        <v>7</v>
      </c>
      <c r="F1774" t="n">
        <v>0.0165</v>
      </c>
      <c r="G1774" t="n">
        <v>0.33</v>
      </c>
      <c r="H1774" t="n">
        <v>4</v>
      </c>
      <c r="I1774" t="n">
        <v>11</v>
      </c>
      <c r="J1774" t="n">
        <v>3</v>
      </c>
      <c r="K1774" t="n">
        <v>0</v>
      </c>
      <c r="L1774" t="n">
        <v>18876</v>
      </c>
      <c r="M1774" t="n">
        <v>27000</v>
      </c>
      <c r="N1774" t="n">
        <v>33</v>
      </c>
      <c r="O1774" t="n">
        <v>0.33</v>
      </c>
      <c r="P1774" t="n">
        <v>1</v>
      </c>
      <c r="Q1774" t="n">
        <v>0.02</v>
      </c>
      <c r="R1774" t="n">
        <v>1</v>
      </c>
      <c r="S1774" t="n">
        <v>445.5</v>
      </c>
      <c r="T1774" t="n">
        <v>4</v>
      </c>
      <c r="U1774" t="n">
        <v>5</v>
      </c>
      <c r="V1774" t="n">
        <v>30</v>
      </c>
      <c r="W1774" t="n">
        <v>1</v>
      </c>
      <c r="X1774" t="n">
        <v>424.2424242424242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10056</v>
      </c>
      <c r="AG1774" t="n">
        <v>78</v>
      </c>
      <c r="AH1774" t="inlineStr">
        <is>
          <t>PT. GLORIENTA P.H - PPN (PDG)</t>
        </is>
      </c>
      <c r="AI1774" t="n">
        <v>83</v>
      </c>
      <c r="AJ1774" t="inlineStr">
        <is>
          <t>IMPLORA</t>
        </is>
      </c>
      <c r="AK1774" t="n">
        <v>9</v>
      </c>
      <c r="AL1774" t="inlineStr">
        <is>
          <t>Miss Glam Jambi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"8993883801159"</f>
        <v/>
      </c>
      <c r="C1775" t="inlineStr">
        <is>
          <t>IMPLORA Essense Sheet Mask Acne Control 25gr</t>
        </is>
      </c>
      <c r="D1775" t="inlineStr">
        <is>
          <t>Miss Glam Jambi</t>
        </is>
      </c>
      <c r="E1775" t="n">
        <v>0</v>
      </c>
      <c r="F1775" t="n">
        <v>1.2243</v>
      </c>
      <c r="G1775" t="n">
        <v>4.95</v>
      </c>
      <c r="H1775" t="n">
        <v>4</v>
      </c>
      <c r="I1775" t="n">
        <v>11</v>
      </c>
      <c r="J1775" t="n">
        <v>3</v>
      </c>
      <c r="K1775" t="n">
        <v>23</v>
      </c>
      <c r="L1775" t="n">
        <v>2561</v>
      </c>
      <c r="M1775" t="n">
        <v>3500</v>
      </c>
      <c r="N1775" t="n">
        <v>33</v>
      </c>
      <c r="O1775" t="n">
        <v>0.33</v>
      </c>
      <c r="P1775" t="n">
        <v>1</v>
      </c>
      <c r="Q1775" t="n">
        <v>1.83</v>
      </c>
      <c r="R1775" t="n">
        <v>8</v>
      </c>
      <c r="S1775" t="n">
        <v>4285.05</v>
      </c>
      <c r="T1775" t="n">
        <v>50</v>
      </c>
      <c r="U1775" t="n">
        <v>55</v>
      </c>
      <c r="V1775" t="n">
        <v>30</v>
      </c>
      <c r="W1775" t="n">
        <v>37</v>
      </c>
      <c r="X1775" t="n">
        <v>0</v>
      </c>
      <c r="Y1775" t="n">
        <v>1</v>
      </c>
      <c r="Z1775" t="n">
        <v>14</v>
      </c>
      <c r="AA1775" t="n">
        <v>13</v>
      </c>
      <c r="AB1775" t="n">
        <v>1</v>
      </c>
      <c r="AC1775" t="n">
        <v>3</v>
      </c>
      <c r="AD1775" t="n">
        <v>33293</v>
      </c>
      <c r="AE1775" t="n">
        <v>7683</v>
      </c>
      <c r="AF1775" t="n">
        <v>10056</v>
      </c>
      <c r="AG1775" t="n">
        <v>78</v>
      </c>
      <c r="AH1775" t="inlineStr">
        <is>
          <t>PT. GLORIENTA P.H - PPN (PDG)</t>
        </is>
      </c>
      <c r="AI1775" t="n">
        <v>83</v>
      </c>
      <c r="AJ1775" t="inlineStr">
        <is>
          <t>IMPLORA</t>
        </is>
      </c>
      <c r="AK1775" t="n">
        <v>9</v>
      </c>
      <c r="AL1775" t="inlineStr">
        <is>
          <t>Miss Glam Jambi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"8993883801173"</f>
        <v/>
      </c>
      <c r="C1776" t="inlineStr">
        <is>
          <t>IMPLORA Essense Sheet Mask Anti Aging 25gr</t>
        </is>
      </c>
      <c r="D1776" t="inlineStr">
        <is>
          <t>Miss Glam Jambi</t>
        </is>
      </c>
      <c r="E1776" t="n">
        <v>21</v>
      </c>
      <c r="F1776" t="n">
        <v>1.4091</v>
      </c>
      <c r="G1776" t="n">
        <v>4.62</v>
      </c>
      <c r="H1776" t="n">
        <v>4</v>
      </c>
      <c r="I1776" t="n">
        <v>11</v>
      </c>
      <c r="J1776" t="n">
        <v>3</v>
      </c>
      <c r="K1776" t="n">
        <v>23</v>
      </c>
      <c r="L1776" t="n">
        <v>2561</v>
      </c>
      <c r="M1776" t="n">
        <v>3500</v>
      </c>
      <c r="N1776" t="n">
        <v>33</v>
      </c>
      <c r="O1776" t="n">
        <v>0.33</v>
      </c>
      <c r="P1776" t="n">
        <v>1</v>
      </c>
      <c r="Q1776" t="n">
        <v>1.68</v>
      </c>
      <c r="R1776" t="n">
        <v>8</v>
      </c>
      <c r="S1776" t="n">
        <v>4931.85</v>
      </c>
      <c r="T1776" t="n">
        <v>46</v>
      </c>
      <c r="U1776" t="n">
        <v>52</v>
      </c>
      <c r="V1776" t="n">
        <v>30</v>
      </c>
      <c r="W1776" t="n">
        <v>43</v>
      </c>
      <c r="X1776" t="n">
        <v>14.90312965722802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10056</v>
      </c>
      <c r="AG1776" t="n">
        <v>78</v>
      </c>
      <c r="AH1776" t="inlineStr">
        <is>
          <t>PT. GLORIENTA P.H - PPN (PDG)</t>
        </is>
      </c>
      <c r="AI1776" t="n">
        <v>83</v>
      </c>
      <c r="AJ1776" t="inlineStr">
        <is>
          <t>IMPLORA</t>
        </is>
      </c>
      <c r="AK1776" t="n">
        <v>9</v>
      </c>
      <c r="AL1776" t="inlineStr">
        <is>
          <t>Miss Glam Jambi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"8993883801142"</f>
        <v/>
      </c>
      <c r="C1777" t="inlineStr">
        <is>
          <t>IMPLORA Essense Sheet Mask Moisturizing 25gr</t>
        </is>
      </c>
      <c r="D1777" t="inlineStr">
        <is>
          <t>Miss Glam Jambi</t>
        </is>
      </c>
      <c r="E1777" t="n">
        <v>42</v>
      </c>
      <c r="F1777" t="n">
        <v>0.6996000000000001</v>
      </c>
      <c r="G1777" t="n">
        <v>3.96</v>
      </c>
      <c r="H1777" t="n">
        <v>4</v>
      </c>
      <c r="I1777" t="n">
        <v>11</v>
      </c>
      <c r="J1777" t="n">
        <v>3</v>
      </c>
      <c r="K1777" t="n">
        <v>0</v>
      </c>
      <c r="L1777" t="n">
        <v>2561</v>
      </c>
      <c r="M1777" t="n">
        <v>3500</v>
      </c>
      <c r="N1777" t="n">
        <v>33</v>
      </c>
      <c r="O1777" t="n">
        <v>0.33</v>
      </c>
      <c r="P1777" t="n">
        <v>1</v>
      </c>
      <c r="Q1777" t="n">
        <v>2.37</v>
      </c>
      <c r="R1777" t="n">
        <v>9</v>
      </c>
      <c r="S1777" t="n">
        <v>2448.6</v>
      </c>
      <c r="T1777" t="n">
        <v>41</v>
      </c>
      <c r="U1777" t="n">
        <v>44</v>
      </c>
      <c r="V1777" t="n">
        <v>30</v>
      </c>
      <c r="W1777" t="n">
        <v>21</v>
      </c>
      <c r="X1777" t="n">
        <v>60.03430531732418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10056</v>
      </c>
      <c r="AG1777" t="n">
        <v>78</v>
      </c>
      <c r="AH1777" t="inlineStr">
        <is>
          <t>PT. GLORIENTA P.H - PPN (PDG)</t>
        </is>
      </c>
      <c r="AI1777" t="n">
        <v>83</v>
      </c>
      <c r="AJ1777" t="inlineStr">
        <is>
          <t>IMPLORA</t>
        </is>
      </c>
      <c r="AK1777" t="n">
        <v>9</v>
      </c>
      <c r="AL1777" t="inlineStr">
        <is>
          <t>Miss Glam Jambi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"8993883801166"</f>
        <v/>
      </c>
      <c r="C1778" t="inlineStr">
        <is>
          <t>IMPLORA Essense Sheet Mask Pore Care 25gr</t>
        </is>
      </c>
      <c r="D1778" t="inlineStr">
        <is>
          <t>Miss Glam Jambi</t>
        </is>
      </c>
      <c r="E1778" t="n">
        <v>38</v>
      </c>
      <c r="F1778" t="n">
        <v>1.7061</v>
      </c>
      <c r="G1778" t="n">
        <v>4.95</v>
      </c>
      <c r="H1778" t="n">
        <v>4</v>
      </c>
      <c r="I1778" t="n">
        <v>11</v>
      </c>
      <c r="J1778" t="n">
        <v>3</v>
      </c>
      <c r="K1778" t="n">
        <v>11</v>
      </c>
      <c r="L1778" t="n">
        <v>2561</v>
      </c>
      <c r="M1778" t="n">
        <v>3500</v>
      </c>
      <c r="N1778" t="n">
        <v>33</v>
      </c>
      <c r="O1778" t="n">
        <v>0.33</v>
      </c>
      <c r="P1778" t="n">
        <v>1</v>
      </c>
      <c r="Q1778" t="n">
        <v>1.98</v>
      </c>
      <c r="R1778" t="n">
        <v>11</v>
      </c>
      <c r="S1778" t="n">
        <v>5971.349999999999</v>
      </c>
      <c r="T1778" t="n">
        <v>48</v>
      </c>
      <c r="U1778" t="n">
        <v>55</v>
      </c>
      <c r="V1778" t="n">
        <v>30</v>
      </c>
      <c r="W1778" t="n">
        <v>52</v>
      </c>
      <c r="X1778" t="n">
        <v>22.27302033878436</v>
      </c>
      <c r="Y1778" t="n">
        <v>1</v>
      </c>
      <c r="Z1778" t="n">
        <v>3</v>
      </c>
      <c r="AA1778" t="n">
        <v>0</v>
      </c>
      <c r="AB1778" t="n">
        <v>3</v>
      </c>
      <c r="AC1778" t="n">
        <v>3</v>
      </c>
      <c r="AD1778" t="n">
        <v>0</v>
      </c>
      <c r="AE1778" t="n">
        <v>7683</v>
      </c>
      <c r="AF1778" t="n">
        <v>10056</v>
      </c>
      <c r="AG1778" t="n">
        <v>78</v>
      </c>
      <c r="AH1778" t="inlineStr">
        <is>
          <t>PT. GLORIENTA P.H - PPN (PDG)</t>
        </is>
      </c>
      <c r="AI1778" t="n">
        <v>83</v>
      </c>
      <c r="AJ1778" t="inlineStr">
        <is>
          <t>IMPLORA</t>
        </is>
      </c>
      <c r="AK1778" t="n">
        <v>9</v>
      </c>
      <c r="AL1778" t="inlineStr">
        <is>
          <t>Miss Glam Jambi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"8993883800985"</f>
        <v/>
      </c>
      <c r="C1779" t="inlineStr">
        <is>
          <t>IMPLORA Even Better Liquid Foundation 01 Ivory 25gr</t>
        </is>
      </c>
      <c r="D1779" t="inlineStr">
        <is>
          <t>Miss Glam Jambi</t>
        </is>
      </c>
      <c r="E1779" t="n">
        <v>5</v>
      </c>
      <c r="F1779" t="n">
        <v>0.2904</v>
      </c>
      <c r="G1779" t="n">
        <v>1.32</v>
      </c>
      <c r="H1779" t="n">
        <v>4</v>
      </c>
      <c r="I1779" t="n">
        <v>11</v>
      </c>
      <c r="J1779" t="n">
        <v>3</v>
      </c>
      <c r="K1779" t="n">
        <v>4</v>
      </c>
      <c r="L1779" t="n">
        <v>15538</v>
      </c>
      <c r="M1779" t="n">
        <v>20000</v>
      </c>
      <c r="N1779" t="n">
        <v>33</v>
      </c>
      <c r="O1779" t="n">
        <v>0.33</v>
      </c>
      <c r="P1779" t="n">
        <v>1</v>
      </c>
      <c r="Q1779" t="n">
        <v>0.1</v>
      </c>
      <c r="R1779" t="n">
        <v>1</v>
      </c>
      <c r="S1779" t="n">
        <v>5808</v>
      </c>
      <c r="T1779" t="n">
        <v>14</v>
      </c>
      <c r="U1779" t="n">
        <v>16</v>
      </c>
      <c r="V1779" t="n">
        <v>30</v>
      </c>
      <c r="W1779" t="n">
        <v>9</v>
      </c>
      <c r="X1779" t="n">
        <v>17.21763085399449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10056</v>
      </c>
      <c r="AG1779" t="n">
        <v>78</v>
      </c>
      <c r="AH1779" t="inlineStr">
        <is>
          <t>PT. GLORIENTA P.H - PPN (PDG)</t>
        </is>
      </c>
      <c r="AI1779" t="n">
        <v>83</v>
      </c>
      <c r="AJ1779" t="inlineStr">
        <is>
          <t>IMPLORA</t>
        </is>
      </c>
      <c r="AK1779" t="n">
        <v>9</v>
      </c>
      <c r="AL1779" t="inlineStr">
        <is>
          <t>Miss Glam Jambi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"8993883800992"</f>
        <v/>
      </c>
      <c r="C1780" t="inlineStr">
        <is>
          <t>IMPLORA Even Better Liquid Foundation 02 Ligt Beige 25gr</t>
        </is>
      </c>
      <c r="D1780" t="inlineStr">
        <is>
          <t>Miss Glam Jambi</t>
        </is>
      </c>
      <c r="E1780" t="n">
        <v>5</v>
      </c>
      <c r="F1780" t="n">
        <v>0.4917</v>
      </c>
      <c r="G1780" t="n">
        <v>1.32</v>
      </c>
      <c r="H1780" t="n">
        <v>4</v>
      </c>
      <c r="I1780" t="n">
        <v>11</v>
      </c>
      <c r="J1780" t="n">
        <v>3</v>
      </c>
      <c r="K1780" t="n">
        <v>9</v>
      </c>
      <c r="L1780" t="n">
        <v>15520</v>
      </c>
      <c r="M1780" t="n">
        <v>20000</v>
      </c>
      <c r="N1780" t="n">
        <v>33</v>
      </c>
      <c r="O1780" t="n">
        <v>0.33</v>
      </c>
      <c r="P1780" t="n">
        <v>1</v>
      </c>
      <c r="Q1780" t="n">
        <v>0.08</v>
      </c>
      <c r="R1780" t="n">
        <v>1</v>
      </c>
      <c r="S1780" t="n">
        <v>9834</v>
      </c>
      <c r="T1780" t="n">
        <v>13</v>
      </c>
      <c r="U1780" t="n">
        <v>15</v>
      </c>
      <c r="V1780" t="n">
        <v>30</v>
      </c>
      <c r="W1780" t="n">
        <v>15</v>
      </c>
      <c r="X1780" t="n">
        <v>10.16880211511084</v>
      </c>
      <c r="Y1780" t="n">
        <v>1</v>
      </c>
      <c r="Z1780" t="n">
        <v>1</v>
      </c>
      <c r="AA1780" t="n">
        <v>0</v>
      </c>
      <c r="AB1780" t="n">
        <v>1</v>
      </c>
      <c r="AC1780" t="n">
        <v>3</v>
      </c>
      <c r="AD1780" t="n">
        <v>0</v>
      </c>
      <c r="AE1780" t="n">
        <v>46560</v>
      </c>
      <c r="AF1780" t="n">
        <v>10056</v>
      </c>
      <c r="AG1780" t="n">
        <v>78</v>
      </c>
      <c r="AH1780" t="inlineStr">
        <is>
          <t>PT. GLORIENTA P.H - PPN (PDG)</t>
        </is>
      </c>
      <c r="AI1780" t="n">
        <v>83</v>
      </c>
      <c r="AJ1780" t="inlineStr">
        <is>
          <t>IMPLORA</t>
        </is>
      </c>
      <c r="AK1780" t="n">
        <v>9</v>
      </c>
      <c r="AL1780" t="inlineStr">
        <is>
          <t>Miss Glam Jambi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"8993883801005"</f>
        <v/>
      </c>
      <c r="C1781" t="inlineStr">
        <is>
          <t>IMPLORA Even Better Liquid Foundation 03 linen 25gr</t>
        </is>
      </c>
      <c r="D1781" t="inlineStr">
        <is>
          <t>Miss Glam Jambi</t>
        </is>
      </c>
      <c r="E1781" t="n">
        <v>2</v>
      </c>
      <c r="F1781" t="n">
        <v>0.3366</v>
      </c>
      <c r="G1781" t="n">
        <v>0.99</v>
      </c>
      <c r="H1781" t="n">
        <v>4</v>
      </c>
      <c r="I1781" t="n">
        <v>11</v>
      </c>
      <c r="J1781" t="n">
        <v>3</v>
      </c>
      <c r="K1781" t="n">
        <v>7</v>
      </c>
      <c r="L1781" t="n">
        <v>15520</v>
      </c>
      <c r="M1781" t="n">
        <v>20000</v>
      </c>
      <c r="N1781" t="n">
        <v>33</v>
      </c>
      <c r="O1781" t="n">
        <v>0.33</v>
      </c>
      <c r="P1781" t="n">
        <v>1</v>
      </c>
      <c r="Q1781" t="n">
        <v>0.07000000000000001</v>
      </c>
      <c r="R1781" t="n">
        <v>1</v>
      </c>
      <c r="S1781" t="n">
        <v>6732</v>
      </c>
      <c r="T1781" t="n">
        <v>10</v>
      </c>
      <c r="U1781" t="n">
        <v>12</v>
      </c>
      <c r="V1781" t="n">
        <v>30</v>
      </c>
      <c r="W1781" t="n">
        <v>11</v>
      </c>
      <c r="X1781" t="n">
        <v>5.941770647653001</v>
      </c>
      <c r="Y1781" t="n">
        <v>1</v>
      </c>
      <c r="Z1781" t="n">
        <v>2</v>
      </c>
      <c r="AA1781" t="n">
        <v>1</v>
      </c>
      <c r="AB1781" t="n">
        <v>1</v>
      </c>
      <c r="AC1781" t="n">
        <v>3</v>
      </c>
      <c r="AD1781" t="n">
        <v>15520</v>
      </c>
      <c r="AE1781" t="n">
        <v>46560</v>
      </c>
      <c r="AF1781" t="n">
        <v>10056</v>
      </c>
      <c r="AG1781" t="n">
        <v>78</v>
      </c>
      <c r="AH1781" t="inlineStr">
        <is>
          <t>PT. GLORIENTA P.H - PPN (PDG)</t>
        </is>
      </c>
      <c r="AI1781" t="n">
        <v>83</v>
      </c>
      <c r="AJ1781" t="inlineStr">
        <is>
          <t>IMPLORA</t>
        </is>
      </c>
      <c r="AK1781" t="n">
        <v>9</v>
      </c>
      <c r="AL1781" t="inlineStr">
        <is>
          <t>Miss Glam Jambi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"8993883801012"</f>
        <v/>
      </c>
      <c r="C1782" t="inlineStr">
        <is>
          <t>IMPLORA Even Better Liquid Foundation 04 Medium Beige 25gr</t>
        </is>
      </c>
      <c r="D1782" t="inlineStr">
        <is>
          <t>Miss Glam Jambi</t>
        </is>
      </c>
      <c r="E1782" t="n">
        <v>8</v>
      </c>
      <c r="F1782" t="n">
        <v>0.1914</v>
      </c>
      <c r="G1782" t="n">
        <v>0.99</v>
      </c>
      <c r="H1782" t="n">
        <v>4</v>
      </c>
      <c r="I1782" t="n">
        <v>11</v>
      </c>
      <c r="J1782" t="n">
        <v>3</v>
      </c>
      <c r="K1782" t="n">
        <v>0</v>
      </c>
      <c r="L1782" t="n">
        <v>15538</v>
      </c>
      <c r="M1782" t="n">
        <v>20000</v>
      </c>
      <c r="N1782" t="n">
        <v>33</v>
      </c>
      <c r="O1782" t="n">
        <v>0.33</v>
      </c>
      <c r="P1782" t="n">
        <v>1</v>
      </c>
      <c r="Q1782" t="n">
        <v>0.12</v>
      </c>
      <c r="R1782" t="n">
        <v>1</v>
      </c>
      <c r="S1782" t="n">
        <v>3828</v>
      </c>
      <c r="T1782" t="n">
        <v>11</v>
      </c>
      <c r="U1782" t="n">
        <v>12</v>
      </c>
      <c r="V1782" t="n">
        <v>30</v>
      </c>
      <c r="W1782" t="n">
        <v>6</v>
      </c>
      <c r="X1782" t="n">
        <v>41.79728317659352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10056</v>
      </c>
      <c r="AG1782" t="n">
        <v>78</v>
      </c>
      <c r="AH1782" t="inlineStr">
        <is>
          <t>PT. GLORIENTA P.H - PPN (PDG)</t>
        </is>
      </c>
      <c r="AI1782" t="n">
        <v>83</v>
      </c>
      <c r="AJ1782" t="inlineStr">
        <is>
          <t>IMPLORA</t>
        </is>
      </c>
      <c r="AK1782" t="n">
        <v>9</v>
      </c>
      <c r="AL1782" t="inlineStr">
        <is>
          <t>Miss Glam Jambi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"1252010001006"</f>
        <v/>
      </c>
      <c r="C1783" t="inlineStr">
        <is>
          <t>IMPLORA Eyebrow Pensil Black</t>
        </is>
      </c>
      <c r="D1783" t="inlineStr">
        <is>
          <t>Miss Glam Jambi</t>
        </is>
      </c>
      <c r="E1783" t="n">
        <v>55</v>
      </c>
      <c r="F1783" t="n">
        <v>2.2275</v>
      </c>
      <c r="G1783" t="n">
        <v>7.260000000000001</v>
      </c>
      <c r="H1783" t="n">
        <v>4</v>
      </c>
      <c r="I1783" t="n">
        <v>11</v>
      </c>
      <c r="J1783" t="n">
        <v>12</v>
      </c>
      <c r="K1783" t="n">
        <v>13</v>
      </c>
      <c r="L1783" t="n">
        <v>4656</v>
      </c>
      <c r="M1783" t="n">
        <v>6000</v>
      </c>
      <c r="N1783" t="n">
        <v>33</v>
      </c>
      <c r="O1783" t="n">
        <v>0.33</v>
      </c>
      <c r="P1783" t="n">
        <v>1</v>
      </c>
      <c r="Q1783" t="n">
        <v>1.54</v>
      </c>
      <c r="R1783" t="n">
        <v>6</v>
      </c>
      <c r="S1783" t="n">
        <v>13365</v>
      </c>
      <c r="T1783" t="n">
        <v>71</v>
      </c>
      <c r="U1783" t="n">
        <v>80</v>
      </c>
      <c r="V1783" t="n">
        <v>30</v>
      </c>
      <c r="W1783" t="n">
        <v>67</v>
      </c>
      <c r="X1783" t="n">
        <v>24.69135802469136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10056</v>
      </c>
      <c r="AG1783" t="n">
        <v>78</v>
      </c>
      <c r="AH1783" t="inlineStr">
        <is>
          <t>PT. GLORIENTA P.H - PPN (PDG)</t>
        </is>
      </c>
      <c r="AI1783" t="n">
        <v>83</v>
      </c>
      <c r="AJ1783" t="inlineStr">
        <is>
          <t>IMPLORA</t>
        </is>
      </c>
      <c r="AK1783" t="n">
        <v>9</v>
      </c>
      <c r="AL1783" t="inlineStr">
        <is>
          <t>Miss Glam Jambi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"1252010002003"</f>
        <v/>
      </c>
      <c r="C1784" t="inlineStr">
        <is>
          <t>IMPLORA Eyebrow Pensil Brown 002</t>
        </is>
      </c>
      <c r="D1784" t="inlineStr">
        <is>
          <t>Miss Glam Jambi</t>
        </is>
      </c>
      <c r="E1784" t="n">
        <v>57</v>
      </c>
      <c r="F1784" t="n">
        <v>2.4651</v>
      </c>
      <c r="G1784" t="n">
        <v>8.25</v>
      </c>
      <c r="H1784" t="n">
        <v>4</v>
      </c>
      <c r="I1784" t="n">
        <v>11</v>
      </c>
      <c r="J1784" t="n">
        <v>12</v>
      </c>
      <c r="K1784" t="n">
        <v>17</v>
      </c>
      <c r="L1784" t="n">
        <v>4656</v>
      </c>
      <c r="M1784" t="n">
        <v>6000</v>
      </c>
      <c r="N1784" t="n">
        <v>33</v>
      </c>
      <c r="O1784" t="n">
        <v>0.33</v>
      </c>
      <c r="P1784" t="n">
        <v>1</v>
      </c>
      <c r="Q1784" t="n">
        <v>2.02</v>
      </c>
      <c r="R1784" t="n">
        <v>13</v>
      </c>
      <c r="S1784" t="n">
        <v>14790.6</v>
      </c>
      <c r="T1784" t="n">
        <v>81</v>
      </c>
      <c r="U1784" t="n">
        <v>91</v>
      </c>
      <c r="V1784" t="n">
        <v>30</v>
      </c>
      <c r="W1784" t="n">
        <v>74</v>
      </c>
      <c r="X1784" t="n">
        <v>23.12279420713156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10056</v>
      </c>
      <c r="AG1784" t="n">
        <v>78</v>
      </c>
      <c r="AH1784" t="inlineStr">
        <is>
          <t>PT. GLORIENTA P.H - PPN (PDG)</t>
        </is>
      </c>
      <c r="AI1784" t="n">
        <v>83</v>
      </c>
      <c r="AJ1784" t="inlineStr">
        <is>
          <t>IMPLORA</t>
        </is>
      </c>
      <c r="AK1784" t="n">
        <v>9</v>
      </c>
      <c r="AL1784" t="inlineStr">
        <is>
          <t>Miss Glam Jambi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"1252010007008"</f>
        <v/>
      </c>
      <c r="C1785" t="inlineStr">
        <is>
          <t>IMPLORA Eyebrow Pensil Dark Brown 007</t>
        </is>
      </c>
      <c r="D1785" t="inlineStr">
        <is>
          <t>Miss Glam Jambi</t>
        </is>
      </c>
      <c r="E1785" t="n">
        <v>58</v>
      </c>
      <c r="F1785" t="n">
        <v>1.7556</v>
      </c>
      <c r="G1785" t="n">
        <v>9.57</v>
      </c>
      <c r="H1785" t="n">
        <v>4</v>
      </c>
      <c r="I1785" t="n">
        <v>11</v>
      </c>
      <c r="J1785" t="n">
        <v>12</v>
      </c>
      <c r="K1785" t="n">
        <v>0</v>
      </c>
      <c r="L1785" t="n">
        <v>4656</v>
      </c>
      <c r="M1785" t="n">
        <v>6000</v>
      </c>
      <c r="N1785" t="n">
        <v>33</v>
      </c>
      <c r="O1785" t="n">
        <v>0.33</v>
      </c>
      <c r="P1785" t="n">
        <v>1</v>
      </c>
      <c r="Q1785" t="n">
        <v>2.73</v>
      </c>
      <c r="R1785" t="n">
        <v>8</v>
      </c>
      <c r="S1785" t="n">
        <v>10533.6</v>
      </c>
      <c r="T1785" t="n">
        <v>99</v>
      </c>
      <c r="U1785" t="n">
        <v>107</v>
      </c>
      <c r="V1785" t="n">
        <v>30</v>
      </c>
      <c r="W1785" t="n">
        <v>53</v>
      </c>
      <c r="X1785" t="n">
        <v>33.03713830029619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10056</v>
      </c>
      <c r="AG1785" t="n">
        <v>78</v>
      </c>
      <c r="AH1785" t="inlineStr">
        <is>
          <t>PT. GLORIENTA P.H - PPN (PDG)</t>
        </is>
      </c>
      <c r="AI1785" t="n">
        <v>83</v>
      </c>
      <c r="AJ1785" t="inlineStr">
        <is>
          <t>IMPLORA</t>
        </is>
      </c>
      <c r="AK1785" t="n">
        <v>9</v>
      </c>
      <c r="AL1785" t="inlineStr">
        <is>
          <t>Miss Glam Jambi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"20200423409"</f>
        <v/>
      </c>
      <c r="C1786" t="inlineStr">
        <is>
          <t>IMPLORA Eyebrow pensil Grey Brown 006</t>
        </is>
      </c>
      <c r="D1786" t="inlineStr">
        <is>
          <t>Miss Glam Jambi</t>
        </is>
      </c>
      <c r="E1786" t="n">
        <v>9</v>
      </c>
      <c r="F1786" t="n">
        <v>2.8017</v>
      </c>
      <c r="G1786" t="n">
        <v>8.58</v>
      </c>
      <c r="H1786" t="n">
        <v>4</v>
      </c>
      <c r="I1786" t="n">
        <v>11</v>
      </c>
      <c r="J1786" t="n">
        <v>12</v>
      </c>
      <c r="K1786" t="n">
        <v>53</v>
      </c>
      <c r="L1786" t="n">
        <v>4656</v>
      </c>
      <c r="M1786" t="n">
        <v>5500</v>
      </c>
      <c r="N1786" t="n">
        <v>33</v>
      </c>
      <c r="O1786" t="n">
        <v>0.33</v>
      </c>
      <c r="P1786" t="n">
        <v>1</v>
      </c>
      <c r="Q1786" t="n">
        <v>0.46</v>
      </c>
      <c r="R1786" t="n">
        <v>5</v>
      </c>
      <c r="S1786" t="n">
        <v>15409.35</v>
      </c>
      <c r="T1786" t="n">
        <v>84</v>
      </c>
      <c r="U1786" t="n">
        <v>96</v>
      </c>
      <c r="V1786" t="n">
        <v>30</v>
      </c>
      <c r="W1786" t="n">
        <v>85</v>
      </c>
      <c r="X1786" t="n">
        <v>3.212335367812399</v>
      </c>
      <c r="Y1786" t="n">
        <v>1</v>
      </c>
      <c r="Z1786" t="n">
        <v>23</v>
      </c>
      <c r="AA1786" t="n">
        <v>21</v>
      </c>
      <c r="AB1786" t="n">
        <v>2</v>
      </c>
      <c r="AC1786" t="n">
        <v>12</v>
      </c>
      <c r="AD1786" t="n">
        <v>97776</v>
      </c>
      <c r="AE1786" t="n">
        <v>55872</v>
      </c>
      <c r="AF1786" t="n">
        <v>10056</v>
      </c>
      <c r="AG1786" t="n">
        <v>78</v>
      </c>
      <c r="AH1786" t="inlineStr">
        <is>
          <t>PT. GLORIENTA P.H - PPN (PDG)</t>
        </is>
      </c>
      <c r="AI1786" t="n">
        <v>83</v>
      </c>
      <c r="AJ1786" t="inlineStr">
        <is>
          <t>IMPLORA</t>
        </is>
      </c>
      <c r="AK1786" t="n">
        <v>9</v>
      </c>
      <c r="AL1786" t="inlineStr">
        <is>
          <t>Miss Glam Jambi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"1205030000160"</f>
        <v/>
      </c>
      <c r="C1787" t="inlineStr">
        <is>
          <t>IMPLORA Eyeliner Pen Waterproof And Dramatic Look 1.7g</t>
        </is>
      </c>
      <c r="D1787" t="inlineStr">
        <is>
          <t>Miss Glam Jambi</t>
        </is>
      </c>
      <c r="E1787" t="n">
        <v>11</v>
      </c>
      <c r="F1787" t="n">
        <v>0.1551</v>
      </c>
      <c r="G1787" t="n">
        <v>0.99</v>
      </c>
      <c r="H1787" t="n">
        <v>4</v>
      </c>
      <c r="I1787" t="n">
        <v>11</v>
      </c>
      <c r="J1787" t="n">
        <v>3</v>
      </c>
      <c r="K1787" t="n">
        <v>0</v>
      </c>
      <c r="L1787" t="n">
        <v>16174</v>
      </c>
      <c r="M1787" t="n">
        <v>21000</v>
      </c>
      <c r="N1787" t="n">
        <v>33</v>
      </c>
      <c r="O1787" t="n">
        <v>0.33</v>
      </c>
      <c r="P1787" t="n">
        <v>1</v>
      </c>
      <c r="Q1787" t="n">
        <v>0.05</v>
      </c>
      <c r="R1787" t="n">
        <v>1</v>
      </c>
      <c r="S1787" t="n">
        <v>3257.1</v>
      </c>
      <c r="T1787" t="n">
        <v>11</v>
      </c>
      <c r="U1787" t="n">
        <v>12</v>
      </c>
      <c r="V1787" t="n">
        <v>30</v>
      </c>
      <c r="W1787" t="n">
        <v>5</v>
      </c>
      <c r="X1787" t="n">
        <v>70.92198581560284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10056</v>
      </c>
      <c r="AG1787" t="n">
        <v>78</v>
      </c>
      <c r="AH1787" t="inlineStr">
        <is>
          <t>PT. GLORIENTA P.H - PPN (PDG)</t>
        </is>
      </c>
      <c r="AI1787" t="n">
        <v>83</v>
      </c>
      <c r="AJ1787" t="inlineStr">
        <is>
          <t>IMPLORA</t>
        </is>
      </c>
      <c r="AK1787" t="n">
        <v>9</v>
      </c>
      <c r="AL1787" t="inlineStr">
        <is>
          <t>Miss Glam Jambi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"1108010001006"</f>
        <v/>
      </c>
      <c r="C1788" t="inlineStr">
        <is>
          <t>IMPLORA Hair Color 01 Bleaching</t>
        </is>
      </c>
      <c r="D1788" t="inlineStr">
        <is>
          <t>Miss Glam Jambi</t>
        </is>
      </c>
      <c r="E1788" t="n">
        <v>3</v>
      </c>
      <c r="F1788" t="n">
        <v>0.05</v>
      </c>
      <c r="G1788" t="n">
        <v>1</v>
      </c>
      <c r="H1788" t="n">
        <v>4</v>
      </c>
      <c r="I1788" t="n">
        <v>11</v>
      </c>
      <c r="J1788" t="n">
        <v>3</v>
      </c>
      <c r="K1788" t="n">
        <v>0</v>
      </c>
      <c r="L1788" t="n">
        <v>8536</v>
      </c>
      <c r="M1788" t="n">
        <v>11000</v>
      </c>
      <c r="N1788" t="n">
        <v>33</v>
      </c>
      <c r="O1788" t="n">
        <v>0.33</v>
      </c>
      <c r="P1788" t="n">
        <v>0</v>
      </c>
      <c r="Q1788" t="n">
        <v>0.05</v>
      </c>
      <c r="R1788" t="n">
        <v>1</v>
      </c>
      <c r="S1788" t="n">
        <v>550</v>
      </c>
      <c r="T1788" t="n">
        <v>11</v>
      </c>
      <c r="U1788" t="n">
        <v>12</v>
      </c>
      <c r="V1788" t="n">
        <v>30</v>
      </c>
      <c r="W1788" t="n">
        <v>2</v>
      </c>
      <c r="X1788" t="n">
        <v>60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10056</v>
      </c>
      <c r="AG1788" t="n">
        <v>78</v>
      </c>
      <c r="AH1788" t="inlineStr">
        <is>
          <t>PT. GLORIENTA P.H - PPN (PDG)</t>
        </is>
      </c>
      <c r="AI1788" t="n">
        <v>83</v>
      </c>
      <c r="AJ1788" t="inlineStr">
        <is>
          <t>IMPLORA</t>
        </is>
      </c>
      <c r="AK1788" t="n">
        <v>9</v>
      </c>
      <c r="AL1788" t="inlineStr">
        <is>
          <t>Miss Glam Jambi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"1108030003004"</f>
        <v/>
      </c>
      <c r="C1789" t="inlineStr">
        <is>
          <t>IMPLORA Hair Color 03 Dark Brown</t>
        </is>
      </c>
      <c r="D1789" t="inlineStr">
        <is>
          <t>Miss Glam Jambi</t>
        </is>
      </c>
      <c r="E1789" t="n">
        <v>4</v>
      </c>
      <c r="F1789" t="n">
        <v>0.1386</v>
      </c>
      <c r="G1789" t="n">
        <v>1.65</v>
      </c>
      <c r="H1789" t="n">
        <v>4</v>
      </c>
      <c r="I1789" t="n">
        <v>11</v>
      </c>
      <c r="J1789" t="n">
        <v>3</v>
      </c>
      <c r="K1789" t="n">
        <v>3</v>
      </c>
      <c r="L1789" t="n">
        <v>8536</v>
      </c>
      <c r="M1789" t="n">
        <v>11000</v>
      </c>
      <c r="N1789" t="n">
        <v>33</v>
      </c>
      <c r="O1789" t="n">
        <v>0.33</v>
      </c>
      <c r="P1789" t="n">
        <v>1</v>
      </c>
      <c r="Q1789" t="n">
        <v>0.07000000000000001</v>
      </c>
      <c r="R1789" t="n">
        <v>2</v>
      </c>
      <c r="S1789" t="n">
        <v>1524.6</v>
      </c>
      <c r="T1789" t="n">
        <v>18</v>
      </c>
      <c r="U1789" t="n">
        <v>19</v>
      </c>
      <c r="V1789" t="n">
        <v>30</v>
      </c>
      <c r="W1789" t="n">
        <v>5</v>
      </c>
      <c r="X1789" t="n">
        <v>28.86002886002886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10056</v>
      </c>
      <c r="AG1789" t="n">
        <v>78</v>
      </c>
      <c r="AH1789" t="inlineStr">
        <is>
          <t>PT. GLORIENTA P.H - PPN (PDG)</t>
        </is>
      </c>
      <c r="AI1789" t="n">
        <v>83</v>
      </c>
      <c r="AJ1789" t="inlineStr">
        <is>
          <t>IMPLORA</t>
        </is>
      </c>
      <c r="AK1789" t="n">
        <v>9</v>
      </c>
      <c r="AL1789" t="inlineStr">
        <is>
          <t>Miss Glam Jambi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"1108080008004"</f>
        <v/>
      </c>
      <c r="C1790" t="inlineStr">
        <is>
          <t>IMPLORA Hair Color 08 Red Wine</t>
        </is>
      </c>
      <c r="D1790" t="inlineStr">
        <is>
          <t>Miss Glam Jambi</t>
        </is>
      </c>
      <c r="E1790" t="n">
        <v>0</v>
      </c>
      <c r="F1790" t="n">
        <v>0.07000000000000001</v>
      </c>
      <c r="G1790" t="n">
        <v>2</v>
      </c>
      <c r="H1790" t="n">
        <v>4</v>
      </c>
      <c r="I1790" t="n">
        <v>11</v>
      </c>
      <c r="J1790" t="n">
        <v>3</v>
      </c>
      <c r="K1790" t="n">
        <v>3</v>
      </c>
      <c r="L1790" t="n">
        <v>8624</v>
      </c>
      <c r="M1790" t="n">
        <v>11000</v>
      </c>
      <c r="N1790" t="n">
        <v>33</v>
      </c>
      <c r="O1790" t="n">
        <v>0.33</v>
      </c>
      <c r="P1790" t="n">
        <v>0</v>
      </c>
      <c r="Q1790" t="n">
        <v>0.07000000000000001</v>
      </c>
      <c r="R1790" t="n">
        <v>2</v>
      </c>
      <c r="S1790" t="n">
        <v>770.0000000000001</v>
      </c>
      <c r="T1790" t="n">
        <v>22</v>
      </c>
      <c r="U1790" t="n">
        <v>23</v>
      </c>
      <c r="V1790" t="n">
        <v>30</v>
      </c>
      <c r="W1790" t="n">
        <v>3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10056</v>
      </c>
      <c r="AG1790" t="n">
        <v>78</v>
      </c>
      <c r="AH1790" t="inlineStr">
        <is>
          <t>PT. GLORIENTA P.H - PPN (PDG)</t>
        </is>
      </c>
      <c r="AI1790" t="n">
        <v>83</v>
      </c>
      <c r="AJ1790" t="inlineStr">
        <is>
          <t>IMPLORA</t>
        </is>
      </c>
      <c r="AK1790" t="n">
        <v>9</v>
      </c>
      <c r="AL1790" t="inlineStr">
        <is>
          <t>Miss Glam Jambi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"8993883801296"</f>
        <v/>
      </c>
      <c r="C1791" t="inlineStr">
        <is>
          <t>IMPLORA Healthy Glow Cushion 02 Light Beige 13gr</t>
        </is>
      </c>
      <c r="D1791" t="inlineStr">
        <is>
          <t>Miss Glam Jambi</t>
        </is>
      </c>
      <c r="E1791" t="n">
        <v>7</v>
      </c>
      <c r="F1791" t="n">
        <v>0.02</v>
      </c>
      <c r="G1791" t="n">
        <v>0</v>
      </c>
      <c r="H1791" t="n">
        <v>4</v>
      </c>
      <c r="I1791" t="n">
        <v>11</v>
      </c>
      <c r="J1791" t="n">
        <v>3</v>
      </c>
      <c r="K1791" t="n">
        <v>0</v>
      </c>
      <c r="L1791" t="n">
        <v>59584</v>
      </c>
      <c r="M1791" t="n">
        <v>76000</v>
      </c>
      <c r="N1791" t="n">
        <v>33</v>
      </c>
      <c r="O1791" t="n">
        <v>0.33</v>
      </c>
      <c r="P1791" t="n">
        <v>0</v>
      </c>
      <c r="Q1791" t="n">
        <v>0.02</v>
      </c>
      <c r="R1791" t="n">
        <v>0</v>
      </c>
      <c r="S1791" t="n">
        <v>1520</v>
      </c>
      <c r="T1791" t="n">
        <v>0</v>
      </c>
      <c r="U1791" t="n">
        <v>1</v>
      </c>
      <c r="V1791" t="n">
        <v>30</v>
      </c>
      <c r="W1791" t="n">
        <v>1</v>
      </c>
      <c r="X1791" t="n">
        <v>350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10056</v>
      </c>
      <c r="AG1791" t="n">
        <v>78</v>
      </c>
      <c r="AH1791" t="inlineStr">
        <is>
          <t>PT. GLORIENTA P.H - PPN (PDG)</t>
        </is>
      </c>
      <c r="AI1791" t="n">
        <v>83</v>
      </c>
      <c r="AJ1791" t="inlineStr">
        <is>
          <t>IMPLORA</t>
        </is>
      </c>
      <c r="AK1791" t="n">
        <v>9</v>
      </c>
      <c r="AL1791" t="inlineStr">
        <is>
          <t>Miss Glam Jambi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"8993883801319"</f>
        <v/>
      </c>
      <c r="C1792" t="inlineStr">
        <is>
          <t>IMPLORA Healthy Glow Cushion 04 Medium Beige 13gr</t>
        </is>
      </c>
      <c r="D1792" t="inlineStr">
        <is>
          <t>Miss Glam Jambi</t>
        </is>
      </c>
      <c r="E1792" t="n">
        <v>6</v>
      </c>
      <c r="F1792" t="n">
        <v>0.009900000000000001</v>
      </c>
      <c r="G1792" t="n">
        <v>0.33</v>
      </c>
      <c r="H1792" t="n">
        <v>4</v>
      </c>
      <c r="I1792" t="n">
        <v>11</v>
      </c>
      <c r="J1792" t="n">
        <v>3</v>
      </c>
      <c r="K1792" t="n">
        <v>0</v>
      </c>
      <c r="L1792" t="n">
        <v>59584</v>
      </c>
      <c r="M1792" t="n">
        <v>76000</v>
      </c>
      <c r="N1792" t="n">
        <v>33</v>
      </c>
      <c r="O1792" t="n">
        <v>0.33</v>
      </c>
      <c r="P1792" t="n">
        <v>1</v>
      </c>
      <c r="Q1792" t="n">
        <v>0.02</v>
      </c>
      <c r="R1792" t="n">
        <v>1</v>
      </c>
      <c r="S1792" t="n">
        <v>752.4000000000001</v>
      </c>
      <c r="T1792" t="n">
        <v>4</v>
      </c>
      <c r="U1792" t="n">
        <v>5</v>
      </c>
      <c r="V1792" t="n">
        <v>30</v>
      </c>
      <c r="W1792" t="n">
        <v>1</v>
      </c>
      <c r="X1792" t="n">
        <v>606.060606060606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10056</v>
      </c>
      <c r="AG1792" t="n">
        <v>78</v>
      </c>
      <c r="AH1792" t="inlineStr">
        <is>
          <t>PT. GLORIENTA P.H - PPN (PDG)</t>
        </is>
      </c>
      <c r="AI1792" t="n">
        <v>83</v>
      </c>
      <c r="AJ1792" t="inlineStr">
        <is>
          <t>IMPLORA</t>
        </is>
      </c>
      <c r="AK1792" t="n">
        <v>9</v>
      </c>
      <c r="AL1792" t="inlineStr">
        <is>
          <t>Miss Glam Jambi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"8993883800312"</f>
        <v/>
      </c>
      <c r="C1793" t="inlineStr">
        <is>
          <t>IMPLORA Hydra Veil Sleeping Mask 100gr</t>
        </is>
      </c>
      <c r="D1793" t="inlineStr">
        <is>
          <t>Miss Glam Jambi</t>
        </is>
      </c>
      <c r="E1793" t="n">
        <v>3</v>
      </c>
      <c r="F1793" t="n">
        <v>0.0462</v>
      </c>
      <c r="G1793" t="n">
        <v>0.66</v>
      </c>
      <c r="H1793" t="n">
        <v>4</v>
      </c>
      <c r="I1793" t="n">
        <v>11</v>
      </c>
      <c r="J1793" t="n">
        <v>3</v>
      </c>
      <c r="K1793" t="n">
        <v>0</v>
      </c>
      <c r="L1793" t="n">
        <v>17954</v>
      </c>
      <c r="M1793" t="n">
        <v>23000</v>
      </c>
      <c r="N1793" t="n">
        <v>33</v>
      </c>
      <c r="O1793" t="n">
        <v>0.33</v>
      </c>
      <c r="P1793" t="n">
        <v>1</v>
      </c>
      <c r="Q1793" t="n">
        <v>0.02</v>
      </c>
      <c r="R1793" t="n">
        <v>0</v>
      </c>
      <c r="S1793" t="n">
        <v>1062.6</v>
      </c>
      <c r="T1793" t="n">
        <v>8</v>
      </c>
      <c r="U1793" t="n">
        <v>9</v>
      </c>
      <c r="V1793" t="n">
        <v>30</v>
      </c>
      <c r="W1793" t="n">
        <v>2</v>
      </c>
      <c r="X1793" t="n">
        <v>64.93506493506493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10056</v>
      </c>
      <c r="AG1793" t="n">
        <v>78</v>
      </c>
      <c r="AH1793" t="inlineStr">
        <is>
          <t>PT. GLORIENTA P.H - PPN (PDG)</t>
        </is>
      </c>
      <c r="AI1793" t="n">
        <v>83</v>
      </c>
      <c r="AJ1793" t="inlineStr">
        <is>
          <t>IMPLORA</t>
        </is>
      </c>
      <c r="AK1793" t="n">
        <v>9</v>
      </c>
      <c r="AL1793" t="inlineStr">
        <is>
          <t>Miss Glam Jambi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"1219050825009"</f>
        <v/>
      </c>
      <c r="C1794" t="inlineStr">
        <is>
          <t>IMPLORA Hydrating Serum 20 ml</t>
        </is>
      </c>
      <c r="D1794" t="inlineStr">
        <is>
          <t>Miss Glam Jambi</t>
        </is>
      </c>
      <c r="E1794" t="n">
        <v>2</v>
      </c>
      <c r="F1794" t="n">
        <v>0.033</v>
      </c>
      <c r="G1794" t="n">
        <v>0.99</v>
      </c>
      <c r="H1794" t="n">
        <v>4</v>
      </c>
      <c r="I1794" t="n">
        <v>11</v>
      </c>
      <c r="J1794" t="n">
        <v>3</v>
      </c>
      <c r="K1794" t="n">
        <v>0</v>
      </c>
      <c r="L1794" t="n">
        <v>15776</v>
      </c>
      <c r="M1794" t="n">
        <v>29000</v>
      </c>
      <c r="N1794" t="n">
        <v>33</v>
      </c>
      <c r="O1794" t="n">
        <v>0.33</v>
      </c>
      <c r="P1794" t="n">
        <v>1</v>
      </c>
      <c r="Q1794" t="n">
        <v>0.02</v>
      </c>
      <c r="R1794" t="n">
        <v>1</v>
      </c>
      <c r="S1794" t="n">
        <v>957</v>
      </c>
      <c r="T1794" t="n">
        <v>11</v>
      </c>
      <c r="U1794" t="n">
        <v>12</v>
      </c>
      <c r="V1794" t="n">
        <v>30</v>
      </c>
      <c r="W1794" t="n">
        <v>1</v>
      </c>
      <c r="X1794" t="n">
        <v>60.6060606060606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10056</v>
      </c>
      <c r="AG1794" t="n">
        <v>78</v>
      </c>
      <c r="AH1794" t="inlineStr">
        <is>
          <t>PT. GLORIENTA P.H - PPN (PDG)</t>
        </is>
      </c>
      <c r="AI1794" t="n">
        <v>83</v>
      </c>
      <c r="AJ1794" t="inlineStr">
        <is>
          <t>IMPLORA</t>
        </is>
      </c>
      <c r="AK1794" t="n">
        <v>9</v>
      </c>
      <c r="AL1794" t="inlineStr">
        <is>
          <t>Miss Glam Jambi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"8993883800046"</f>
        <v/>
      </c>
      <c r="C1795" t="inlineStr">
        <is>
          <t>IMPLORA Jelly Tint 02 Savvy Red 5ml</t>
        </is>
      </c>
      <c r="D1795" t="inlineStr">
        <is>
          <t>Miss Glam Jambi</t>
        </is>
      </c>
      <c r="E1795" t="n">
        <v>2</v>
      </c>
      <c r="F1795" t="n">
        <v>0.08910000000000001</v>
      </c>
      <c r="G1795" t="n">
        <v>0.66</v>
      </c>
      <c r="H1795" t="n">
        <v>4</v>
      </c>
      <c r="I1795" t="n">
        <v>11</v>
      </c>
      <c r="J1795" t="n">
        <v>3</v>
      </c>
      <c r="K1795" t="n">
        <v>3</v>
      </c>
      <c r="L1795" t="n">
        <v>15908</v>
      </c>
      <c r="M1795" t="n">
        <v>20500</v>
      </c>
      <c r="N1795" t="n">
        <v>33</v>
      </c>
      <c r="O1795" t="n">
        <v>0.33</v>
      </c>
      <c r="P1795" t="n">
        <v>1</v>
      </c>
      <c r="Q1795" t="n">
        <v>0.1</v>
      </c>
      <c r="R1795" t="n">
        <v>1</v>
      </c>
      <c r="S1795" t="n">
        <v>1826.55</v>
      </c>
      <c r="T1795" t="n">
        <v>7</v>
      </c>
      <c r="U1795" t="n">
        <v>8</v>
      </c>
      <c r="V1795" t="n">
        <v>30</v>
      </c>
      <c r="W1795" t="n">
        <v>3</v>
      </c>
      <c r="X1795" t="n">
        <v>22.44668911335578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10056</v>
      </c>
      <c r="AG1795" t="n">
        <v>78</v>
      </c>
      <c r="AH1795" t="inlineStr">
        <is>
          <t>PT. GLORIENTA P.H - PPN (PDG)</t>
        </is>
      </c>
      <c r="AI1795" t="n">
        <v>83</v>
      </c>
      <c r="AJ1795" t="inlineStr">
        <is>
          <t>IMPLORA</t>
        </is>
      </c>
      <c r="AK1795" t="n">
        <v>9</v>
      </c>
      <c r="AL1795" t="inlineStr">
        <is>
          <t>Miss Glam Jambi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"8993883800107"</f>
        <v/>
      </c>
      <c r="C1796" t="inlineStr">
        <is>
          <t>IMPLORA Jelly Tint 08 Burn Orange</t>
        </is>
      </c>
      <c r="D1796" t="inlineStr">
        <is>
          <t>Miss Glam Jambi</t>
        </is>
      </c>
      <c r="E1796" t="n">
        <v>6</v>
      </c>
      <c r="F1796" t="n">
        <v>0.066</v>
      </c>
      <c r="G1796" t="n">
        <v>0.33</v>
      </c>
      <c r="H1796" t="n">
        <v>4</v>
      </c>
      <c r="I1796" t="n">
        <v>11</v>
      </c>
      <c r="J1796" t="n">
        <v>3</v>
      </c>
      <c r="K1796" t="n">
        <v>0</v>
      </c>
      <c r="L1796" t="n">
        <v>14834</v>
      </c>
      <c r="M1796" t="n">
        <v>20500</v>
      </c>
      <c r="N1796" t="n">
        <v>33</v>
      </c>
      <c r="O1796" t="n">
        <v>0.33</v>
      </c>
      <c r="P1796" t="n">
        <v>1</v>
      </c>
      <c r="Q1796" t="n">
        <v>0.07000000000000001</v>
      </c>
      <c r="R1796" t="n">
        <v>1</v>
      </c>
      <c r="S1796" t="n">
        <v>1353</v>
      </c>
      <c r="T1796" t="n">
        <v>4</v>
      </c>
      <c r="U1796" t="n">
        <v>5</v>
      </c>
      <c r="V1796" t="n">
        <v>30</v>
      </c>
      <c r="W1796" t="n">
        <v>2</v>
      </c>
      <c r="X1796" t="n">
        <v>90.90909090909091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10056</v>
      </c>
      <c r="AG1796" t="n">
        <v>78</v>
      </c>
      <c r="AH1796" t="inlineStr">
        <is>
          <t>PT. GLORIENTA P.H - PPN (PDG)</t>
        </is>
      </c>
      <c r="AI1796" t="n">
        <v>83</v>
      </c>
      <c r="AJ1796" t="inlineStr">
        <is>
          <t>IMPLORA</t>
        </is>
      </c>
      <c r="AK1796" t="n">
        <v>9</v>
      </c>
      <c r="AL1796" t="inlineStr">
        <is>
          <t>Miss Glam Jambi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"8993883800114"</f>
        <v/>
      </c>
      <c r="C1797" t="inlineStr">
        <is>
          <t>IMPLORA Jelly Tint 09 Rosewood</t>
        </is>
      </c>
      <c r="D1797" t="inlineStr">
        <is>
          <t>Miss Glam Jambi</t>
        </is>
      </c>
      <c r="E1797" t="n">
        <v>9</v>
      </c>
      <c r="F1797" t="n">
        <v>0.14</v>
      </c>
      <c r="G1797" t="n">
        <v>1</v>
      </c>
      <c r="H1797" t="n">
        <v>4</v>
      </c>
      <c r="I1797" t="n">
        <v>11</v>
      </c>
      <c r="J1797" t="n">
        <v>3</v>
      </c>
      <c r="K1797" t="n">
        <v>0</v>
      </c>
      <c r="L1797" t="n">
        <v>15908</v>
      </c>
      <c r="M1797" t="n">
        <v>20500</v>
      </c>
      <c r="N1797" t="n">
        <v>33</v>
      </c>
      <c r="O1797" t="n">
        <v>0.33</v>
      </c>
      <c r="P1797" t="n">
        <v>0</v>
      </c>
      <c r="Q1797" t="n">
        <v>0.14</v>
      </c>
      <c r="R1797" t="n">
        <v>1</v>
      </c>
      <c r="S1797" t="n">
        <v>2870</v>
      </c>
      <c r="T1797" t="n">
        <v>11</v>
      </c>
      <c r="U1797" t="n">
        <v>12</v>
      </c>
      <c r="V1797" t="n">
        <v>30</v>
      </c>
      <c r="W1797" t="n">
        <v>5</v>
      </c>
      <c r="X1797" t="n">
        <v>64.28571428571428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10056</v>
      </c>
      <c r="AG1797" t="n">
        <v>78</v>
      </c>
      <c r="AH1797" t="inlineStr">
        <is>
          <t>PT. GLORIENTA P.H - PPN (PDG)</t>
        </is>
      </c>
      <c r="AI1797" t="n">
        <v>83</v>
      </c>
      <c r="AJ1797" t="inlineStr">
        <is>
          <t>IMPLORA</t>
        </is>
      </c>
      <c r="AK1797" t="n">
        <v>9</v>
      </c>
      <c r="AL1797" t="inlineStr">
        <is>
          <t>Miss Glam Jambi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"8993883801098"</f>
        <v/>
      </c>
      <c r="C1798" t="inlineStr">
        <is>
          <t>IMPLORA Key-Chain Lip Bullet Day To Day Series 04 Attention 1,5 gr</t>
        </is>
      </c>
      <c r="D1798" t="inlineStr">
        <is>
          <t>Miss Glam Jambi</t>
        </is>
      </c>
      <c r="E1798" t="n">
        <v>5</v>
      </c>
      <c r="F1798" t="n">
        <v>0.0264</v>
      </c>
      <c r="G1798" t="n">
        <v>0.33</v>
      </c>
      <c r="H1798" t="n">
        <v>4</v>
      </c>
      <c r="I1798" t="n">
        <v>11</v>
      </c>
      <c r="J1798" t="n">
        <v>3</v>
      </c>
      <c r="K1798" t="n">
        <v>0</v>
      </c>
      <c r="L1798" t="n">
        <v>17477</v>
      </c>
      <c r="M1798" t="n">
        <v>24000</v>
      </c>
      <c r="N1798" t="n">
        <v>33</v>
      </c>
      <c r="O1798" t="n">
        <v>0.33</v>
      </c>
      <c r="P1798" t="n">
        <v>1</v>
      </c>
      <c r="Q1798" t="n">
        <v>0.02</v>
      </c>
      <c r="R1798" t="n">
        <v>1</v>
      </c>
      <c r="S1798" t="n">
        <v>633.6000000000001</v>
      </c>
      <c r="T1798" t="n">
        <v>4</v>
      </c>
      <c r="U1798" t="n">
        <v>5</v>
      </c>
      <c r="V1798" t="n">
        <v>30</v>
      </c>
      <c r="W1798" t="n">
        <v>1</v>
      </c>
      <c r="X1798" t="n">
        <v>189.3939393939394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10056</v>
      </c>
      <c r="AG1798" t="n">
        <v>78</v>
      </c>
      <c r="AH1798" t="inlineStr">
        <is>
          <t>PT. GLORIENTA P.H - PPN (PDG)</t>
        </is>
      </c>
      <c r="AI1798" t="n">
        <v>83</v>
      </c>
      <c r="AJ1798" t="inlineStr">
        <is>
          <t>IMPLORA</t>
        </is>
      </c>
      <c r="AK1798" t="n">
        <v>9</v>
      </c>
      <c r="AL1798" t="inlineStr">
        <is>
          <t>Miss Glam Jambi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"1212040001001"</f>
        <v/>
      </c>
      <c r="C1799" t="inlineStr">
        <is>
          <t>IMPLORA Lip Cream Matte 1 Dusky Nude</t>
        </is>
      </c>
      <c r="D1799" t="inlineStr">
        <is>
          <t>Miss Glam Jambi</t>
        </is>
      </c>
      <c r="E1799" t="n">
        <v>12</v>
      </c>
      <c r="F1799" t="n">
        <v>0.4587</v>
      </c>
      <c r="G1799" t="n">
        <v>1.32</v>
      </c>
      <c r="H1799" t="n">
        <v>4</v>
      </c>
      <c r="I1799" t="n">
        <v>11</v>
      </c>
      <c r="J1799" t="n">
        <v>3</v>
      </c>
      <c r="K1799" t="n">
        <v>3</v>
      </c>
      <c r="L1799" t="n">
        <v>16219</v>
      </c>
      <c r="M1799" t="n">
        <v>21000</v>
      </c>
      <c r="N1799" t="n">
        <v>33</v>
      </c>
      <c r="O1799" t="n">
        <v>0.33</v>
      </c>
      <c r="P1799" t="n">
        <v>1</v>
      </c>
      <c r="Q1799" t="n">
        <v>0.25</v>
      </c>
      <c r="R1799" t="n">
        <v>2</v>
      </c>
      <c r="S1799" t="n">
        <v>9632.700000000001</v>
      </c>
      <c r="T1799" t="n">
        <v>13</v>
      </c>
      <c r="U1799" t="n">
        <v>15</v>
      </c>
      <c r="V1799" t="n">
        <v>30</v>
      </c>
      <c r="W1799" t="n">
        <v>14</v>
      </c>
      <c r="X1799" t="n">
        <v>26.16088947024199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10056</v>
      </c>
      <c r="AG1799" t="n">
        <v>78</v>
      </c>
      <c r="AH1799" t="inlineStr">
        <is>
          <t>PT. GLORIENTA P.H - PPN (PDG)</t>
        </is>
      </c>
      <c r="AI1799" t="n">
        <v>83</v>
      </c>
      <c r="AJ1799" t="inlineStr">
        <is>
          <t>IMPLORA</t>
        </is>
      </c>
      <c r="AK1799" t="n">
        <v>9</v>
      </c>
      <c r="AL1799" t="inlineStr">
        <is>
          <t>Miss Glam Jambi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"8993883800305"</f>
        <v/>
      </c>
      <c r="C1800" t="inlineStr">
        <is>
          <t>IMPLORA lip Moist Essence 24ml</t>
        </is>
      </c>
      <c r="D1800" t="inlineStr">
        <is>
          <t>Miss Glam Jambi</t>
        </is>
      </c>
      <c r="E1800" t="n">
        <v>2</v>
      </c>
      <c r="F1800" t="n">
        <v>0.1452</v>
      </c>
      <c r="G1800" t="n">
        <v>1.32</v>
      </c>
      <c r="H1800" t="n">
        <v>4</v>
      </c>
      <c r="I1800" t="n">
        <v>11</v>
      </c>
      <c r="J1800" t="n">
        <v>3</v>
      </c>
      <c r="K1800" t="n">
        <v>3</v>
      </c>
      <c r="L1800" t="n">
        <v>13228</v>
      </c>
      <c r="M1800" t="n">
        <v>17000</v>
      </c>
      <c r="N1800" t="n">
        <v>33</v>
      </c>
      <c r="O1800" t="n">
        <v>0.33</v>
      </c>
      <c r="P1800" t="n">
        <v>1</v>
      </c>
      <c r="Q1800" t="n">
        <v>0.17</v>
      </c>
      <c r="R1800" t="n">
        <v>2</v>
      </c>
      <c r="S1800" t="n">
        <v>2468.4</v>
      </c>
      <c r="T1800" t="n">
        <v>14</v>
      </c>
      <c r="U1800" t="n">
        <v>15</v>
      </c>
      <c r="V1800" t="n">
        <v>30</v>
      </c>
      <c r="W1800" t="n">
        <v>5</v>
      </c>
      <c r="X1800" t="n">
        <v>13.77410468319559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10056</v>
      </c>
      <c r="AG1800" t="n">
        <v>78</v>
      </c>
      <c r="AH1800" t="inlineStr">
        <is>
          <t>PT. GLORIENTA P.H - PPN (PDG)</t>
        </is>
      </c>
      <c r="AI1800" t="n">
        <v>83</v>
      </c>
      <c r="AJ1800" t="inlineStr">
        <is>
          <t>IMPLORA</t>
        </is>
      </c>
      <c r="AK1800" t="n">
        <v>9</v>
      </c>
      <c r="AL1800" t="inlineStr">
        <is>
          <t>Miss Glam Jambi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"8993883800299"</f>
        <v/>
      </c>
      <c r="C1801" t="inlineStr">
        <is>
          <t>IMPLORA Lip Moist Serum 24ml</t>
        </is>
      </c>
      <c r="D1801" t="inlineStr">
        <is>
          <t>Miss Glam Jambi</t>
        </is>
      </c>
      <c r="E1801" t="n">
        <v>6</v>
      </c>
      <c r="F1801" t="n">
        <v>0.07000000000000001</v>
      </c>
      <c r="G1801" t="n">
        <v>1</v>
      </c>
      <c r="H1801" t="n">
        <v>4</v>
      </c>
      <c r="I1801" t="n">
        <v>11</v>
      </c>
      <c r="J1801" t="n">
        <v>3</v>
      </c>
      <c r="K1801" t="n">
        <v>0</v>
      </c>
      <c r="L1801" t="n">
        <v>13192</v>
      </c>
      <c r="M1801" t="n">
        <v>17000</v>
      </c>
      <c r="N1801" t="n">
        <v>33</v>
      </c>
      <c r="O1801" t="n">
        <v>0.33</v>
      </c>
      <c r="P1801" t="n">
        <v>0</v>
      </c>
      <c r="Q1801" t="n">
        <v>0.07000000000000001</v>
      </c>
      <c r="R1801" t="n">
        <v>1</v>
      </c>
      <c r="S1801" t="n">
        <v>1190</v>
      </c>
      <c r="T1801" t="n">
        <v>11</v>
      </c>
      <c r="U1801" t="n">
        <v>12</v>
      </c>
      <c r="V1801" t="n">
        <v>30</v>
      </c>
      <c r="W1801" t="n">
        <v>3</v>
      </c>
      <c r="X1801" t="n">
        <v>85.71428571428571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10056</v>
      </c>
      <c r="AG1801" t="n">
        <v>78</v>
      </c>
      <c r="AH1801" t="inlineStr">
        <is>
          <t>PT. GLORIENTA P.H - PPN (PDG)</t>
        </is>
      </c>
      <c r="AI1801" t="n">
        <v>83</v>
      </c>
      <c r="AJ1801" t="inlineStr">
        <is>
          <t>IMPLORA</t>
        </is>
      </c>
      <c r="AK1801" t="n">
        <v>9</v>
      </c>
      <c r="AL1801" t="inlineStr">
        <is>
          <t>Miss Glam Jambi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"1212150605007"</f>
        <v/>
      </c>
      <c r="C1802" t="inlineStr">
        <is>
          <t>IMPLORA Lip Velvet Fearless 4.6g</t>
        </is>
      </c>
      <c r="D1802" t="inlineStr">
        <is>
          <t>Miss Glam Jambi</t>
        </is>
      </c>
      <c r="E1802" t="n">
        <v>5</v>
      </c>
      <c r="F1802" t="n">
        <v>0.066</v>
      </c>
      <c r="G1802" t="n">
        <v>0.99</v>
      </c>
      <c r="H1802" t="n">
        <v>4</v>
      </c>
      <c r="I1802" t="n">
        <v>11</v>
      </c>
      <c r="J1802" t="n">
        <v>3</v>
      </c>
      <c r="K1802" t="n">
        <v>0</v>
      </c>
      <c r="L1802" t="n">
        <v>15365</v>
      </c>
      <c r="M1802" t="n">
        <v>20000</v>
      </c>
      <c r="N1802" t="n">
        <v>33</v>
      </c>
      <c r="O1802" t="n">
        <v>0.33</v>
      </c>
      <c r="P1802" t="n">
        <v>1</v>
      </c>
      <c r="Q1802" t="n">
        <v>0.02</v>
      </c>
      <c r="R1802" t="n">
        <v>1</v>
      </c>
      <c r="S1802" t="n">
        <v>1320</v>
      </c>
      <c r="T1802" t="n">
        <v>11</v>
      </c>
      <c r="U1802" t="n">
        <v>12</v>
      </c>
      <c r="V1802" t="n">
        <v>30</v>
      </c>
      <c r="W1802" t="n">
        <v>2</v>
      </c>
      <c r="X1802" t="n">
        <v>75.75757575757575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10056</v>
      </c>
      <c r="AG1802" t="n">
        <v>78</v>
      </c>
      <c r="AH1802" t="inlineStr">
        <is>
          <t>PT. GLORIENTA P.H - PPN (PDG)</t>
        </is>
      </c>
      <c r="AI1802" t="n">
        <v>83</v>
      </c>
      <c r="AJ1802" t="inlineStr">
        <is>
          <t>IMPLORA</t>
        </is>
      </c>
      <c r="AK1802" t="n">
        <v>9</v>
      </c>
      <c r="AL1802" t="inlineStr">
        <is>
          <t>Miss Glam Jambi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"1219011202009"</f>
        <v/>
      </c>
      <c r="C1803" t="inlineStr">
        <is>
          <t>IMPLORA Luminous Brightening Serum 20ml</t>
        </is>
      </c>
      <c r="D1803" t="inlineStr">
        <is>
          <t>Miss Glam Jambi</t>
        </is>
      </c>
      <c r="E1803" t="n">
        <v>11</v>
      </c>
      <c r="F1803" t="n">
        <v>0.1188</v>
      </c>
      <c r="G1803" t="n">
        <v>0.66</v>
      </c>
      <c r="H1803" t="n">
        <v>4</v>
      </c>
      <c r="I1803" t="n">
        <v>11</v>
      </c>
      <c r="J1803" t="n">
        <v>3</v>
      </c>
      <c r="K1803" t="n">
        <v>0</v>
      </c>
      <c r="L1803" t="n">
        <v>16045</v>
      </c>
      <c r="M1803" t="n">
        <v>29000</v>
      </c>
      <c r="N1803" t="n">
        <v>33</v>
      </c>
      <c r="O1803" t="n">
        <v>0.33</v>
      </c>
      <c r="P1803" t="n">
        <v>1</v>
      </c>
      <c r="Q1803" t="n">
        <v>0.05</v>
      </c>
      <c r="R1803" t="n">
        <v>1</v>
      </c>
      <c r="S1803" t="n">
        <v>3445.2</v>
      </c>
      <c r="T1803" t="n">
        <v>7</v>
      </c>
      <c r="U1803" t="n">
        <v>8</v>
      </c>
      <c r="V1803" t="n">
        <v>30</v>
      </c>
      <c r="W1803" t="n">
        <v>4</v>
      </c>
      <c r="X1803" t="n">
        <v>92.5925925925926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10056</v>
      </c>
      <c r="AG1803" t="n">
        <v>78</v>
      </c>
      <c r="AH1803" t="inlineStr">
        <is>
          <t>PT. GLORIENTA P.H - PPN (PDG)</t>
        </is>
      </c>
      <c r="AI1803" t="n">
        <v>83</v>
      </c>
      <c r="AJ1803" t="inlineStr">
        <is>
          <t>IMPLORA</t>
        </is>
      </c>
      <c r="AK1803" t="n">
        <v>9</v>
      </c>
      <c r="AL1803" t="inlineStr">
        <is>
          <t>Miss Glam Jambi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"1411320312008"</f>
        <v/>
      </c>
      <c r="C1804" t="inlineStr">
        <is>
          <t>IMPLORA Nail Polish Clear Bening</t>
        </is>
      </c>
      <c r="D1804" t="inlineStr">
        <is>
          <t>Miss Glam Jambi</t>
        </is>
      </c>
      <c r="E1804" t="n">
        <v>19</v>
      </c>
      <c r="F1804" t="n">
        <v>0.37</v>
      </c>
      <c r="G1804" t="n">
        <v>1</v>
      </c>
      <c r="H1804" t="n">
        <v>4</v>
      </c>
      <c r="I1804" t="n">
        <v>11</v>
      </c>
      <c r="J1804" t="n">
        <v>6</v>
      </c>
      <c r="K1804" t="n">
        <v>0</v>
      </c>
      <c r="L1804" t="n">
        <v>3724</v>
      </c>
      <c r="M1804" t="n">
        <v>5000</v>
      </c>
      <c r="N1804" t="n">
        <v>33</v>
      </c>
      <c r="O1804" t="n">
        <v>0.33</v>
      </c>
      <c r="P1804" t="n">
        <v>0</v>
      </c>
      <c r="Q1804" t="n">
        <v>0.37</v>
      </c>
      <c r="R1804" t="n">
        <v>1</v>
      </c>
      <c r="S1804" t="n">
        <v>1850</v>
      </c>
      <c r="T1804" t="n">
        <v>10</v>
      </c>
      <c r="U1804" t="n">
        <v>12</v>
      </c>
      <c r="V1804" t="n">
        <v>30</v>
      </c>
      <c r="W1804" t="n">
        <v>12</v>
      </c>
      <c r="X1804" t="n">
        <v>51.35135135135135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10056</v>
      </c>
      <c r="AG1804" t="n">
        <v>78</v>
      </c>
      <c r="AH1804" t="inlineStr">
        <is>
          <t>PT. GLORIENTA P.H - PPN (PDG)</t>
        </is>
      </c>
      <c r="AI1804" t="n">
        <v>83</v>
      </c>
      <c r="AJ1804" t="inlineStr">
        <is>
          <t>IMPLORA</t>
        </is>
      </c>
      <c r="AK1804" t="n">
        <v>9</v>
      </c>
      <c r="AL1804" t="inlineStr">
        <is>
          <t>Miss Glam Jambi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"1411181805015"</f>
        <v/>
      </c>
      <c r="C1805" t="inlineStr">
        <is>
          <t>IMPLORA Nail Polish Red 01</t>
        </is>
      </c>
      <c r="D1805" t="inlineStr">
        <is>
          <t>Miss Glam Jambi</t>
        </is>
      </c>
      <c r="E1805" t="n">
        <v>13</v>
      </c>
      <c r="F1805" t="n">
        <v>0.066</v>
      </c>
      <c r="G1805" t="n">
        <v>0.66</v>
      </c>
      <c r="H1805" t="n">
        <v>4</v>
      </c>
      <c r="I1805" t="n">
        <v>11</v>
      </c>
      <c r="J1805" t="n">
        <v>3</v>
      </c>
      <c r="K1805" t="n">
        <v>0</v>
      </c>
      <c r="L1805" t="n">
        <v>3520</v>
      </c>
      <c r="M1805" t="n">
        <v>5000</v>
      </c>
      <c r="N1805" t="n">
        <v>33</v>
      </c>
      <c r="O1805" t="n">
        <v>0.33</v>
      </c>
      <c r="P1805" t="n">
        <v>1</v>
      </c>
      <c r="Q1805" t="n">
        <v>0.08</v>
      </c>
      <c r="R1805" t="n">
        <v>2</v>
      </c>
      <c r="S1805" t="n">
        <v>330</v>
      </c>
      <c r="T1805" t="n">
        <v>7</v>
      </c>
      <c r="U1805" t="n">
        <v>8</v>
      </c>
      <c r="V1805" t="n">
        <v>30</v>
      </c>
      <c r="W1805" t="n">
        <v>2</v>
      </c>
      <c r="X1805" t="n">
        <v>196.969696969697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10056</v>
      </c>
      <c r="AG1805" t="n">
        <v>78</v>
      </c>
      <c r="AH1805" t="inlineStr">
        <is>
          <t>PT. GLORIENTA P.H - PPN (PDG)</t>
        </is>
      </c>
      <c r="AI1805" t="n">
        <v>83</v>
      </c>
      <c r="AJ1805" t="inlineStr">
        <is>
          <t>IMPLORA</t>
        </is>
      </c>
      <c r="AK1805" t="n">
        <v>9</v>
      </c>
      <c r="AL1805" t="inlineStr">
        <is>
          <t>Miss Glam Jambi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"1411282315048"</f>
        <v/>
      </c>
      <c r="C1806" t="inlineStr">
        <is>
          <t>IMPLORA Nail Polish Wonder Kuning 8ml</t>
        </is>
      </c>
      <c r="D1806" t="inlineStr">
        <is>
          <t>Miss Glam Jambi</t>
        </is>
      </c>
      <c r="E1806" t="n">
        <v>41</v>
      </c>
      <c r="F1806" t="n">
        <v>0.06270000000000001</v>
      </c>
      <c r="G1806" t="n">
        <v>0.33</v>
      </c>
      <c r="H1806" t="n">
        <v>4</v>
      </c>
      <c r="I1806" t="n">
        <v>11</v>
      </c>
      <c r="J1806" t="n">
        <v>3</v>
      </c>
      <c r="K1806" t="n">
        <v>0</v>
      </c>
      <c r="L1806" t="n">
        <v>3449</v>
      </c>
      <c r="M1806" t="n">
        <v>5000</v>
      </c>
      <c r="N1806" t="n">
        <v>33</v>
      </c>
      <c r="O1806" t="n">
        <v>0.33</v>
      </c>
      <c r="P1806" t="n">
        <v>1</v>
      </c>
      <c r="Q1806" t="n">
        <v>0.02</v>
      </c>
      <c r="R1806" t="n">
        <v>1</v>
      </c>
      <c r="S1806" t="n">
        <v>313.5000000000001</v>
      </c>
      <c r="T1806" t="n">
        <v>4</v>
      </c>
      <c r="U1806" t="n">
        <v>5</v>
      </c>
      <c r="V1806" t="n">
        <v>30</v>
      </c>
      <c r="W1806" t="n">
        <v>2</v>
      </c>
      <c r="X1806" t="n">
        <v>653.9074960127591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10056</v>
      </c>
      <c r="AG1806" t="n">
        <v>78</v>
      </c>
      <c r="AH1806" t="inlineStr">
        <is>
          <t>PT. GLORIENTA P.H - PPN (PDG)</t>
        </is>
      </c>
      <c r="AI1806" t="n">
        <v>83</v>
      </c>
      <c r="AJ1806" t="inlineStr">
        <is>
          <t>IMPLORA</t>
        </is>
      </c>
      <c r="AK1806" t="n">
        <v>9</v>
      </c>
      <c r="AL1806" t="inlineStr">
        <is>
          <t>Miss Glam Jambi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"1411121421022"</f>
        <v/>
      </c>
      <c r="C1807" t="inlineStr">
        <is>
          <t>IMPLORA Nudes Nail Polish 02</t>
        </is>
      </c>
      <c r="D1807" t="inlineStr">
        <is>
          <t>Miss Glam Jambi</t>
        </is>
      </c>
      <c r="E1807" t="n">
        <v>13</v>
      </c>
      <c r="F1807" t="n">
        <v>0.1749</v>
      </c>
      <c r="G1807" t="n">
        <v>1.32</v>
      </c>
      <c r="H1807" t="n">
        <v>4</v>
      </c>
      <c r="I1807" t="n">
        <v>11</v>
      </c>
      <c r="J1807" t="n">
        <v>3</v>
      </c>
      <c r="K1807" t="n">
        <v>0</v>
      </c>
      <c r="L1807" t="n">
        <v>3724</v>
      </c>
      <c r="M1807" t="n">
        <v>5000</v>
      </c>
      <c r="N1807" t="n">
        <v>33</v>
      </c>
      <c r="O1807" t="n">
        <v>0.33</v>
      </c>
      <c r="P1807" t="n">
        <v>1</v>
      </c>
      <c r="Q1807" t="n">
        <v>0.02</v>
      </c>
      <c r="R1807" t="n">
        <v>1</v>
      </c>
      <c r="S1807" t="n">
        <v>874.5000000000001</v>
      </c>
      <c r="T1807" t="n">
        <v>14</v>
      </c>
      <c r="U1807" t="n">
        <v>15</v>
      </c>
      <c r="V1807" t="n">
        <v>30</v>
      </c>
      <c r="W1807" t="n">
        <v>6</v>
      </c>
      <c r="X1807" t="n">
        <v>74.3281875357347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10056</v>
      </c>
      <c r="AG1807" t="n">
        <v>78</v>
      </c>
      <c r="AH1807" t="inlineStr">
        <is>
          <t>PT. GLORIENTA P.H - PPN (PDG)</t>
        </is>
      </c>
      <c r="AI1807" t="n">
        <v>83</v>
      </c>
      <c r="AJ1807" t="inlineStr">
        <is>
          <t>IMPLORA</t>
        </is>
      </c>
      <c r="AK1807" t="n">
        <v>9</v>
      </c>
      <c r="AL1807" t="inlineStr">
        <is>
          <t>Miss Glam Jambi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"1411131421036"</f>
        <v/>
      </c>
      <c r="C1808" t="inlineStr">
        <is>
          <t>IMPLORA Nudes Nail Polish 03</t>
        </is>
      </c>
      <c r="D1808" t="inlineStr">
        <is>
          <t>Miss Glam Jambi</t>
        </is>
      </c>
      <c r="E1808" t="n">
        <v>7</v>
      </c>
      <c r="F1808" t="n">
        <v>0.1848</v>
      </c>
      <c r="G1808" t="n">
        <v>0.99</v>
      </c>
      <c r="H1808" t="n">
        <v>4</v>
      </c>
      <c r="I1808" t="n">
        <v>11</v>
      </c>
      <c r="J1808" t="n">
        <v>3</v>
      </c>
      <c r="K1808" t="n">
        <v>0</v>
      </c>
      <c r="L1808" t="n">
        <v>3724</v>
      </c>
      <c r="M1808" t="n">
        <v>5000</v>
      </c>
      <c r="N1808" t="n">
        <v>33</v>
      </c>
      <c r="O1808" t="n">
        <v>0.33</v>
      </c>
      <c r="P1808" t="n">
        <v>1</v>
      </c>
      <c r="Q1808" t="n">
        <v>0.03</v>
      </c>
      <c r="R1808" t="n">
        <v>1</v>
      </c>
      <c r="S1808" t="n">
        <v>924.0000000000001</v>
      </c>
      <c r="T1808" t="n">
        <v>11</v>
      </c>
      <c r="U1808" t="n">
        <v>12</v>
      </c>
      <c r="V1808" t="n">
        <v>30</v>
      </c>
      <c r="W1808" t="n">
        <v>6</v>
      </c>
      <c r="X1808" t="n">
        <v>37.87878787878788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10056</v>
      </c>
      <c r="AG1808" t="n">
        <v>78</v>
      </c>
      <c r="AH1808" t="inlineStr">
        <is>
          <t>PT. GLORIENTA P.H - PPN (PDG)</t>
        </is>
      </c>
      <c r="AI1808" t="n">
        <v>83</v>
      </c>
      <c r="AJ1808" t="inlineStr">
        <is>
          <t>IMPLORA</t>
        </is>
      </c>
      <c r="AK1808" t="n">
        <v>9</v>
      </c>
      <c r="AL1808" t="inlineStr">
        <is>
          <t>Miss Glam Jambi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"1411151421054"</f>
        <v/>
      </c>
      <c r="C1809" t="inlineStr">
        <is>
          <t>IMPLORA Nudes Nail Polish 05</t>
        </is>
      </c>
      <c r="D1809" t="inlineStr">
        <is>
          <t>Miss Glam Jambi</t>
        </is>
      </c>
      <c r="E1809" t="n">
        <v>17</v>
      </c>
      <c r="F1809" t="n">
        <v>0.1683</v>
      </c>
      <c r="G1809" t="n">
        <v>1.32</v>
      </c>
      <c r="H1809" t="n">
        <v>4</v>
      </c>
      <c r="I1809" t="n">
        <v>11</v>
      </c>
      <c r="J1809" t="n">
        <v>3</v>
      </c>
      <c r="K1809" t="n">
        <v>0</v>
      </c>
      <c r="L1809" t="n">
        <v>3724</v>
      </c>
      <c r="M1809" t="n">
        <v>5000</v>
      </c>
      <c r="N1809" t="n">
        <v>33</v>
      </c>
      <c r="O1809" t="n">
        <v>0.33</v>
      </c>
      <c r="P1809" t="n">
        <v>1</v>
      </c>
      <c r="Q1809" t="n">
        <v>0.05</v>
      </c>
      <c r="R1809" t="n">
        <v>1</v>
      </c>
      <c r="S1809" t="n">
        <v>841.5</v>
      </c>
      <c r="T1809" t="n">
        <v>14</v>
      </c>
      <c r="U1809" t="n">
        <v>15</v>
      </c>
      <c r="V1809" t="n">
        <v>30</v>
      </c>
      <c r="W1809" t="n">
        <v>6</v>
      </c>
      <c r="X1809" t="n">
        <v>101.010101010101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10056</v>
      </c>
      <c r="AG1809" t="n">
        <v>78</v>
      </c>
      <c r="AH1809" t="inlineStr">
        <is>
          <t>PT. GLORIENTA P.H - PPN (PDG)</t>
        </is>
      </c>
      <c r="AI1809" t="n">
        <v>83</v>
      </c>
      <c r="AJ1809" t="inlineStr">
        <is>
          <t>IMPLORA</t>
        </is>
      </c>
      <c r="AK1809" t="n">
        <v>9</v>
      </c>
      <c r="AL1809" t="inlineStr">
        <is>
          <t>Miss Glam Jambi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"1411161421068"</f>
        <v/>
      </c>
      <c r="C1810" t="inlineStr">
        <is>
          <t>IMPLORA Nudes Nail Polish 06</t>
        </is>
      </c>
      <c r="D1810" t="inlineStr">
        <is>
          <t>Miss Glam Jambi</t>
        </is>
      </c>
      <c r="E1810" t="n">
        <v>2</v>
      </c>
      <c r="F1810" t="n">
        <v>0.1551</v>
      </c>
      <c r="G1810" t="n">
        <v>0.99</v>
      </c>
      <c r="H1810" t="n">
        <v>4</v>
      </c>
      <c r="I1810" t="n">
        <v>11</v>
      </c>
      <c r="J1810" t="n">
        <v>3</v>
      </c>
      <c r="K1810" t="n">
        <v>3</v>
      </c>
      <c r="L1810" t="n">
        <v>3724</v>
      </c>
      <c r="M1810" t="n">
        <v>5000</v>
      </c>
      <c r="N1810" t="n">
        <v>33</v>
      </c>
      <c r="O1810" t="n">
        <v>0.33</v>
      </c>
      <c r="P1810" t="n">
        <v>1</v>
      </c>
      <c r="Q1810" t="n">
        <v>0.05</v>
      </c>
      <c r="R1810" t="n">
        <v>1</v>
      </c>
      <c r="S1810" t="n">
        <v>775.4999999999999</v>
      </c>
      <c r="T1810" t="n">
        <v>11</v>
      </c>
      <c r="U1810" t="n">
        <v>12</v>
      </c>
      <c r="V1810" t="n">
        <v>30</v>
      </c>
      <c r="W1810" t="n">
        <v>5</v>
      </c>
      <c r="X1810" t="n">
        <v>12.89490651192779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10056</v>
      </c>
      <c r="AG1810" t="n">
        <v>78</v>
      </c>
      <c r="AH1810" t="inlineStr">
        <is>
          <t>PT. GLORIENTA P.H - PPN (PDG)</t>
        </is>
      </c>
      <c r="AI1810" t="n">
        <v>83</v>
      </c>
      <c r="AJ1810" t="inlineStr">
        <is>
          <t>IMPLORA</t>
        </is>
      </c>
      <c r="AK1810" t="n">
        <v>9</v>
      </c>
      <c r="AL1810" t="inlineStr">
        <is>
          <t>Miss Glam Jambi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"30500191106"</f>
        <v/>
      </c>
      <c r="C1811" t="inlineStr">
        <is>
          <t>IMPLORA Paint It Nude 01 Cream 8ml</t>
        </is>
      </c>
      <c r="D1811" t="inlineStr">
        <is>
          <t>Miss Glam Jambi</t>
        </is>
      </c>
      <c r="E1811" t="n">
        <v>10</v>
      </c>
      <c r="F1811" t="n">
        <v>0.2178</v>
      </c>
      <c r="G1811" t="n">
        <v>0.99</v>
      </c>
      <c r="H1811" t="n">
        <v>4</v>
      </c>
      <c r="I1811" t="n">
        <v>11</v>
      </c>
      <c r="J1811" t="n">
        <v>1</v>
      </c>
      <c r="K1811" t="n">
        <v>0</v>
      </c>
      <c r="L1811" t="n">
        <v>5898</v>
      </c>
      <c r="M1811" t="n">
        <v>8000</v>
      </c>
      <c r="N1811" t="n">
        <v>33</v>
      </c>
      <c r="O1811" t="n">
        <v>0.33</v>
      </c>
      <c r="P1811" t="n">
        <v>1</v>
      </c>
      <c r="Q1811" t="n">
        <v>0.03</v>
      </c>
      <c r="R1811" t="n">
        <v>1</v>
      </c>
      <c r="S1811" t="n">
        <v>1742.4</v>
      </c>
      <c r="T1811" t="n">
        <v>11</v>
      </c>
      <c r="U1811" t="n">
        <v>12</v>
      </c>
      <c r="V1811" t="n">
        <v>30</v>
      </c>
      <c r="W1811" t="n">
        <v>7</v>
      </c>
      <c r="X1811" t="n">
        <v>45.91368227731864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10056</v>
      </c>
      <c r="AG1811" t="n">
        <v>78</v>
      </c>
      <c r="AH1811" t="inlineStr">
        <is>
          <t>PT. GLORIENTA P.H - PPN (PDG)</t>
        </is>
      </c>
      <c r="AI1811" t="n">
        <v>83</v>
      </c>
      <c r="AJ1811" t="inlineStr">
        <is>
          <t>IMPLORA</t>
        </is>
      </c>
      <c r="AK1811" t="n">
        <v>9</v>
      </c>
      <c r="AL1811" t="inlineStr">
        <is>
          <t>Miss Glam Jambi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"30500191249"</f>
        <v/>
      </c>
      <c r="C1812" t="inlineStr">
        <is>
          <t>IMPLORA Paint It Nude 02 Blush 8ml</t>
        </is>
      </c>
      <c r="D1812" t="inlineStr">
        <is>
          <t>Miss Glam Jambi</t>
        </is>
      </c>
      <c r="E1812" t="n">
        <v>8</v>
      </c>
      <c r="F1812" t="n">
        <v>0.3201</v>
      </c>
      <c r="G1812" t="n">
        <v>0.99</v>
      </c>
      <c r="H1812" t="n">
        <v>4</v>
      </c>
      <c r="I1812" t="n">
        <v>11</v>
      </c>
      <c r="J1812" t="n">
        <v>1</v>
      </c>
      <c r="K1812" t="n">
        <v>2</v>
      </c>
      <c r="L1812" t="n">
        <v>5898</v>
      </c>
      <c r="M1812" t="n">
        <v>8000</v>
      </c>
      <c r="N1812" t="n">
        <v>33</v>
      </c>
      <c r="O1812" t="n">
        <v>0.33</v>
      </c>
      <c r="P1812" t="n">
        <v>1</v>
      </c>
      <c r="Q1812" t="n">
        <v>0.07000000000000001</v>
      </c>
      <c r="R1812" t="n">
        <v>1</v>
      </c>
      <c r="S1812" t="n">
        <v>2560.8</v>
      </c>
      <c r="T1812" t="n">
        <v>10</v>
      </c>
      <c r="U1812" t="n">
        <v>12</v>
      </c>
      <c r="V1812" t="n">
        <v>30</v>
      </c>
      <c r="W1812" t="n">
        <v>10</v>
      </c>
      <c r="X1812" t="n">
        <v>24.99218994064355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10056</v>
      </c>
      <c r="AG1812" t="n">
        <v>78</v>
      </c>
      <c r="AH1812" t="inlineStr">
        <is>
          <t>PT. GLORIENTA P.H - PPN (PDG)</t>
        </is>
      </c>
      <c r="AI1812" t="n">
        <v>83</v>
      </c>
      <c r="AJ1812" t="inlineStr">
        <is>
          <t>IMPLORA</t>
        </is>
      </c>
      <c r="AK1812" t="n">
        <v>9</v>
      </c>
      <c r="AL1812" t="inlineStr">
        <is>
          <t>Miss Glam Jambi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"30500191325"</f>
        <v/>
      </c>
      <c r="C1813" t="inlineStr">
        <is>
          <t>IMPLORA Paint It Nude 03 Maple 8ml</t>
        </is>
      </c>
      <c r="D1813" t="inlineStr">
        <is>
          <t>Miss Glam Jambi</t>
        </is>
      </c>
      <c r="E1813" t="n">
        <v>11</v>
      </c>
      <c r="F1813" t="n">
        <v>0.3234</v>
      </c>
      <c r="G1813" t="n">
        <v>1.65</v>
      </c>
      <c r="H1813" t="n">
        <v>4</v>
      </c>
      <c r="I1813" t="n">
        <v>11</v>
      </c>
      <c r="J1813" t="n">
        <v>1</v>
      </c>
      <c r="K1813" t="n">
        <v>0</v>
      </c>
      <c r="L1813" t="n">
        <v>5898</v>
      </c>
      <c r="M1813" t="n">
        <v>8000</v>
      </c>
      <c r="N1813" t="n">
        <v>33</v>
      </c>
      <c r="O1813" t="n">
        <v>0.33</v>
      </c>
      <c r="P1813" t="n">
        <v>1</v>
      </c>
      <c r="Q1813" t="n">
        <v>0.02</v>
      </c>
      <c r="R1813" t="n">
        <v>1</v>
      </c>
      <c r="S1813" t="n">
        <v>2587.2</v>
      </c>
      <c r="T1813" t="n">
        <v>17</v>
      </c>
      <c r="U1813" t="n">
        <v>19</v>
      </c>
      <c r="V1813" t="n">
        <v>30</v>
      </c>
      <c r="W1813" t="n">
        <v>10</v>
      </c>
      <c r="X1813" t="n">
        <v>34.01360544217687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10056</v>
      </c>
      <c r="AG1813" t="n">
        <v>78</v>
      </c>
      <c r="AH1813" t="inlineStr">
        <is>
          <t>PT. GLORIENTA P.H - PPN (PDG)</t>
        </is>
      </c>
      <c r="AI1813" t="n">
        <v>83</v>
      </c>
      <c r="AJ1813" t="inlineStr">
        <is>
          <t>IMPLORA</t>
        </is>
      </c>
      <c r="AK1813" t="n">
        <v>9</v>
      </c>
      <c r="AL1813" t="inlineStr">
        <is>
          <t>Miss Glam Jambi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"30500191416"</f>
        <v/>
      </c>
      <c r="C1814" t="inlineStr">
        <is>
          <t>IMPLORA Paint It Nude 04 Hazelnude 8ml</t>
        </is>
      </c>
      <c r="D1814" t="inlineStr">
        <is>
          <t>Miss Glam Jambi</t>
        </is>
      </c>
      <c r="E1814" t="n">
        <v>11</v>
      </c>
      <c r="F1814" t="n">
        <v>0.33</v>
      </c>
      <c r="G1814" t="n">
        <v>1.32</v>
      </c>
      <c r="H1814" t="n">
        <v>4</v>
      </c>
      <c r="I1814" t="n">
        <v>11</v>
      </c>
      <c r="J1814" t="n">
        <v>1</v>
      </c>
      <c r="K1814" t="n">
        <v>0</v>
      </c>
      <c r="L1814" t="n">
        <v>5898</v>
      </c>
      <c r="M1814" t="n">
        <v>8000</v>
      </c>
      <c r="N1814" t="n">
        <v>33</v>
      </c>
      <c r="O1814" t="n">
        <v>0.33</v>
      </c>
      <c r="P1814" t="n">
        <v>1</v>
      </c>
      <c r="Q1814" t="n">
        <v>0.02</v>
      </c>
      <c r="R1814" t="n">
        <v>1</v>
      </c>
      <c r="S1814" t="n">
        <v>2640</v>
      </c>
      <c r="T1814" t="n">
        <v>14</v>
      </c>
      <c r="U1814" t="n">
        <v>16</v>
      </c>
      <c r="V1814" t="n">
        <v>30</v>
      </c>
      <c r="W1814" t="n">
        <v>10</v>
      </c>
      <c r="X1814" t="n">
        <v>33.33333333333333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10056</v>
      </c>
      <c r="AG1814" t="n">
        <v>78</v>
      </c>
      <c r="AH1814" t="inlineStr">
        <is>
          <t>PT. GLORIENTA P.H - PPN (PDG)</t>
        </is>
      </c>
      <c r="AI1814" t="n">
        <v>83</v>
      </c>
      <c r="AJ1814" t="inlineStr">
        <is>
          <t>IMPLORA</t>
        </is>
      </c>
      <c r="AK1814" t="n">
        <v>9</v>
      </c>
      <c r="AL1814" t="inlineStr">
        <is>
          <t>Miss Glam Jambi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"8993883800848"</f>
        <v/>
      </c>
      <c r="C1815" t="inlineStr">
        <is>
          <t>IMPLORA Paint It Red Nail Polish 01 Bisou 8ml</t>
        </is>
      </c>
      <c r="D1815" t="inlineStr">
        <is>
          <t>Miss Glam Jambi</t>
        </is>
      </c>
      <c r="E1815" t="n">
        <v>7</v>
      </c>
      <c r="F1815" t="n">
        <v>0.3696</v>
      </c>
      <c r="G1815" t="n">
        <v>2.64</v>
      </c>
      <c r="H1815" t="n">
        <v>4</v>
      </c>
      <c r="I1815" t="n">
        <v>11</v>
      </c>
      <c r="J1815" t="n">
        <v>3</v>
      </c>
      <c r="K1815" t="n">
        <v>5</v>
      </c>
      <c r="L1815" t="n">
        <v>5898</v>
      </c>
      <c r="M1815" t="n">
        <v>8000</v>
      </c>
      <c r="N1815" t="n">
        <v>33</v>
      </c>
      <c r="O1815" t="n">
        <v>0.33</v>
      </c>
      <c r="P1815" t="n">
        <v>1</v>
      </c>
      <c r="Q1815" t="n">
        <v>0.08</v>
      </c>
      <c r="R1815" t="n">
        <v>2</v>
      </c>
      <c r="S1815" t="n">
        <v>2956.8</v>
      </c>
      <c r="T1815" t="n">
        <v>28</v>
      </c>
      <c r="U1815" t="n">
        <v>30</v>
      </c>
      <c r="V1815" t="n">
        <v>30</v>
      </c>
      <c r="W1815" t="n">
        <v>12</v>
      </c>
      <c r="X1815" t="n">
        <v>18.93939393939394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10056</v>
      </c>
      <c r="AG1815" t="n">
        <v>78</v>
      </c>
      <c r="AH1815" t="inlineStr">
        <is>
          <t>PT. GLORIENTA P.H - PPN (PDG)</t>
        </is>
      </c>
      <c r="AI1815" t="n">
        <v>83</v>
      </c>
      <c r="AJ1815" t="inlineStr">
        <is>
          <t>IMPLORA</t>
        </is>
      </c>
      <c r="AK1815" t="n">
        <v>9</v>
      </c>
      <c r="AL1815" t="inlineStr">
        <is>
          <t>Miss Glam Jambi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"8993883800855"</f>
        <v/>
      </c>
      <c r="C1816" t="inlineStr">
        <is>
          <t>IMPLORA Paint It Red Nail Polish 02 Poppy 8ml</t>
        </is>
      </c>
      <c r="D1816" t="inlineStr">
        <is>
          <t>Miss Glam Jambi</t>
        </is>
      </c>
      <c r="E1816" t="n">
        <v>11</v>
      </c>
      <c r="F1816" t="n">
        <v>0.4191</v>
      </c>
      <c r="G1816" t="n">
        <v>2.31</v>
      </c>
      <c r="H1816" t="n">
        <v>4</v>
      </c>
      <c r="I1816" t="n">
        <v>11</v>
      </c>
      <c r="J1816" t="n">
        <v>3</v>
      </c>
      <c r="K1816" t="n">
        <v>3</v>
      </c>
      <c r="L1816" t="n">
        <v>5898</v>
      </c>
      <c r="M1816" t="n">
        <v>8000</v>
      </c>
      <c r="N1816" t="n">
        <v>33</v>
      </c>
      <c r="O1816" t="n">
        <v>0.33</v>
      </c>
      <c r="P1816" t="n">
        <v>1</v>
      </c>
      <c r="Q1816" t="n">
        <v>0.02</v>
      </c>
      <c r="R1816" t="n">
        <v>1</v>
      </c>
      <c r="S1816" t="n">
        <v>3352.8</v>
      </c>
      <c r="T1816" t="n">
        <v>24</v>
      </c>
      <c r="U1816" t="n">
        <v>26</v>
      </c>
      <c r="V1816" t="n">
        <v>30</v>
      </c>
      <c r="W1816" t="n">
        <v>13</v>
      </c>
      <c r="X1816" t="n">
        <v>26.24671916010498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10056</v>
      </c>
      <c r="AG1816" t="n">
        <v>78</v>
      </c>
      <c r="AH1816" t="inlineStr">
        <is>
          <t>PT. GLORIENTA P.H - PPN (PDG)</t>
        </is>
      </c>
      <c r="AI1816" t="n">
        <v>83</v>
      </c>
      <c r="AJ1816" t="inlineStr">
        <is>
          <t>IMPLORA</t>
        </is>
      </c>
      <c r="AK1816" t="n">
        <v>9</v>
      </c>
      <c r="AL1816" t="inlineStr">
        <is>
          <t>Miss Glam Jambi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"8993883800879"</f>
        <v/>
      </c>
      <c r="C1817" t="inlineStr">
        <is>
          <t>IMPLORA Paint It Red Nail Polish 04 Amour 8ml</t>
        </is>
      </c>
      <c r="D1817" t="inlineStr">
        <is>
          <t>Miss Glam Jambi</t>
        </is>
      </c>
      <c r="E1817" t="n">
        <v>11</v>
      </c>
      <c r="F1817" t="n">
        <v>0.396</v>
      </c>
      <c r="G1817" t="n">
        <v>2.31</v>
      </c>
      <c r="H1817" t="n">
        <v>4</v>
      </c>
      <c r="I1817" t="n">
        <v>11</v>
      </c>
      <c r="J1817" t="n">
        <v>3</v>
      </c>
      <c r="K1817" t="n">
        <v>3</v>
      </c>
      <c r="L1817" t="n">
        <v>5898</v>
      </c>
      <c r="M1817" t="n">
        <v>8000</v>
      </c>
      <c r="N1817" t="n">
        <v>33</v>
      </c>
      <c r="O1817" t="n">
        <v>0.33</v>
      </c>
      <c r="P1817" t="n">
        <v>1</v>
      </c>
      <c r="Q1817" t="n">
        <v>0.02</v>
      </c>
      <c r="R1817" t="n">
        <v>1</v>
      </c>
      <c r="S1817" t="n">
        <v>3168</v>
      </c>
      <c r="T1817" t="n">
        <v>24</v>
      </c>
      <c r="U1817" t="n">
        <v>26</v>
      </c>
      <c r="V1817" t="n">
        <v>30</v>
      </c>
      <c r="W1817" t="n">
        <v>12</v>
      </c>
      <c r="X1817" t="n">
        <v>27.77777777777778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10056</v>
      </c>
      <c r="AG1817" t="n">
        <v>78</v>
      </c>
      <c r="AH1817" t="inlineStr">
        <is>
          <t>PT. GLORIENTA P.H - PPN (PDG)</t>
        </is>
      </c>
      <c r="AI1817" t="n">
        <v>83</v>
      </c>
      <c r="AJ1817" t="inlineStr">
        <is>
          <t>IMPLORA</t>
        </is>
      </c>
      <c r="AK1817" t="n">
        <v>9</v>
      </c>
      <c r="AL1817" t="inlineStr">
        <is>
          <t>Miss Glam Jambi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"8993883800886"</f>
        <v/>
      </c>
      <c r="C1818" t="inlineStr">
        <is>
          <t>IMPLORA Paint It Red Nail Polish 05 Classic 8ml</t>
        </is>
      </c>
      <c r="D1818" t="inlineStr">
        <is>
          <t>Miss Glam Jambi</t>
        </is>
      </c>
      <c r="E1818" t="n">
        <v>8</v>
      </c>
      <c r="F1818" t="n">
        <v>0.4092</v>
      </c>
      <c r="G1818" t="n">
        <v>2.97</v>
      </c>
      <c r="H1818" t="n">
        <v>4</v>
      </c>
      <c r="I1818" t="n">
        <v>11</v>
      </c>
      <c r="J1818" t="n">
        <v>3</v>
      </c>
      <c r="K1818" t="n">
        <v>5</v>
      </c>
      <c r="L1818" t="n">
        <v>5898</v>
      </c>
      <c r="M1818" t="n">
        <v>8000</v>
      </c>
      <c r="N1818" t="n">
        <v>33</v>
      </c>
      <c r="O1818" t="n">
        <v>0.33</v>
      </c>
      <c r="P1818" t="n">
        <v>1</v>
      </c>
      <c r="Q1818" t="n">
        <v>0.07000000000000001</v>
      </c>
      <c r="R1818" t="n">
        <v>1</v>
      </c>
      <c r="S1818" t="n">
        <v>3273.6</v>
      </c>
      <c r="T1818" t="n">
        <v>32</v>
      </c>
      <c r="U1818" t="n">
        <v>34</v>
      </c>
      <c r="V1818" t="n">
        <v>30</v>
      </c>
      <c r="W1818" t="n">
        <v>13</v>
      </c>
      <c r="X1818" t="n">
        <v>19.55034213098729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10056</v>
      </c>
      <c r="AG1818" t="n">
        <v>78</v>
      </c>
      <c r="AH1818" t="inlineStr">
        <is>
          <t>PT. GLORIENTA P.H - PPN (PDG)</t>
        </is>
      </c>
      <c r="AI1818" t="n">
        <v>83</v>
      </c>
      <c r="AJ1818" t="inlineStr">
        <is>
          <t>IMPLORA</t>
        </is>
      </c>
      <c r="AK1818" t="n">
        <v>9</v>
      </c>
      <c r="AL1818" t="inlineStr">
        <is>
          <t>Miss Glam Jambi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"8993883800893"</f>
        <v/>
      </c>
      <c r="C1819" t="inlineStr">
        <is>
          <t>IMPLORA Paint It Red Nail Polish 06 Flame 8ml</t>
        </is>
      </c>
      <c r="D1819" t="inlineStr">
        <is>
          <t>Miss Glam Jambi</t>
        </is>
      </c>
      <c r="E1819" t="n">
        <v>10</v>
      </c>
      <c r="F1819" t="n">
        <v>0.4422</v>
      </c>
      <c r="G1819" t="n">
        <v>2.97</v>
      </c>
      <c r="H1819" t="n">
        <v>4</v>
      </c>
      <c r="I1819" t="n">
        <v>11</v>
      </c>
      <c r="J1819" t="n">
        <v>3</v>
      </c>
      <c r="K1819" t="n">
        <v>4</v>
      </c>
      <c r="L1819" t="n">
        <v>5897</v>
      </c>
      <c r="M1819" t="n">
        <v>8000</v>
      </c>
      <c r="N1819" t="n">
        <v>33</v>
      </c>
      <c r="O1819" t="n">
        <v>0.33</v>
      </c>
      <c r="P1819" t="n">
        <v>1</v>
      </c>
      <c r="Q1819" t="n">
        <v>0.03</v>
      </c>
      <c r="R1819" t="n">
        <v>1</v>
      </c>
      <c r="S1819" t="n">
        <v>3537.6</v>
      </c>
      <c r="T1819" t="n">
        <v>31</v>
      </c>
      <c r="U1819" t="n">
        <v>33</v>
      </c>
      <c r="V1819" t="n">
        <v>30</v>
      </c>
      <c r="W1819" t="n">
        <v>14</v>
      </c>
      <c r="X1819" t="n">
        <v>22.61420171867933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10056</v>
      </c>
      <c r="AG1819" t="n">
        <v>78</v>
      </c>
      <c r="AH1819" t="inlineStr">
        <is>
          <t>PT. GLORIENTA P.H - PPN (PDG)</t>
        </is>
      </c>
      <c r="AI1819" t="n">
        <v>83</v>
      </c>
      <c r="AJ1819" t="inlineStr">
        <is>
          <t>IMPLORA</t>
        </is>
      </c>
      <c r="AK1819" t="n">
        <v>9</v>
      </c>
      <c r="AL1819" t="inlineStr">
        <is>
          <t>Miss Glam Jambi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"8993883800923"</f>
        <v/>
      </c>
      <c r="C1820" t="inlineStr">
        <is>
          <t>IMPLORA Paint Me Pretty 03 Stone 8ml</t>
        </is>
      </c>
      <c r="D1820" t="inlineStr">
        <is>
          <t>Miss Glam Jambi</t>
        </is>
      </c>
      <c r="E1820" t="n">
        <v>2</v>
      </c>
      <c r="F1820" t="n">
        <v>0.03</v>
      </c>
      <c r="G1820" t="n">
        <v>1</v>
      </c>
      <c r="H1820" t="n">
        <v>4</v>
      </c>
      <c r="I1820" t="n">
        <v>11</v>
      </c>
      <c r="J1820" t="n">
        <v>3</v>
      </c>
      <c r="K1820" t="n">
        <v>0</v>
      </c>
      <c r="L1820" t="n">
        <v>5898</v>
      </c>
      <c r="M1820" t="n">
        <v>8000</v>
      </c>
      <c r="N1820" t="n">
        <v>33</v>
      </c>
      <c r="O1820" t="n">
        <v>0.33</v>
      </c>
      <c r="P1820" t="n">
        <v>0</v>
      </c>
      <c r="Q1820" t="n">
        <v>0.03</v>
      </c>
      <c r="R1820" t="n">
        <v>1</v>
      </c>
      <c r="S1820" t="n">
        <v>240</v>
      </c>
      <c r="T1820" t="n">
        <v>11</v>
      </c>
      <c r="U1820" t="n">
        <v>12</v>
      </c>
      <c r="V1820" t="n">
        <v>30</v>
      </c>
      <c r="W1820" t="n">
        <v>1</v>
      </c>
      <c r="X1820" t="n">
        <v>66.66666666666667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10056</v>
      </c>
      <c r="AG1820" t="n">
        <v>78</v>
      </c>
      <c r="AH1820" t="inlineStr">
        <is>
          <t>PT. GLORIENTA P.H - PPN (PDG)</t>
        </is>
      </c>
      <c r="AI1820" t="n">
        <v>83</v>
      </c>
      <c r="AJ1820" t="inlineStr">
        <is>
          <t>IMPLORA</t>
        </is>
      </c>
      <c r="AK1820" t="n">
        <v>9</v>
      </c>
      <c r="AL1820" t="inlineStr">
        <is>
          <t>Miss Glam Jambi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"8993883800947"</f>
        <v/>
      </c>
      <c r="C1821" t="inlineStr">
        <is>
          <t>IMPLORA Paint Me Pretty 05 Ashy  8ml</t>
        </is>
      </c>
      <c r="D1821" t="inlineStr">
        <is>
          <t>Miss Glam Jambi</t>
        </is>
      </c>
      <c r="E1821" t="n">
        <v>21</v>
      </c>
      <c r="F1821" t="n">
        <v>0.0462</v>
      </c>
      <c r="G1821" t="n">
        <v>0.33</v>
      </c>
      <c r="H1821" t="n">
        <v>4</v>
      </c>
      <c r="I1821" t="n">
        <v>11</v>
      </c>
      <c r="J1821" t="n">
        <v>3</v>
      </c>
      <c r="K1821" t="n">
        <v>0</v>
      </c>
      <c r="L1821" t="n">
        <v>5898</v>
      </c>
      <c r="M1821" t="n">
        <v>8000</v>
      </c>
      <c r="N1821" t="n">
        <v>33</v>
      </c>
      <c r="O1821" t="n">
        <v>0.33</v>
      </c>
      <c r="P1821" t="n">
        <v>1</v>
      </c>
      <c r="Q1821" t="n">
        <v>0.02</v>
      </c>
      <c r="R1821" t="n">
        <v>1</v>
      </c>
      <c r="S1821" t="n">
        <v>369.6</v>
      </c>
      <c r="T1821" t="n">
        <v>4</v>
      </c>
      <c r="U1821" t="n">
        <v>5</v>
      </c>
      <c r="V1821" t="n">
        <v>30</v>
      </c>
      <c r="W1821" t="n">
        <v>2</v>
      </c>
      <c r="X1821" t="n">
        <v>454.5454545454545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10056</v>
      </c>
      <c r="AG1821" t="n">
        <v>78</v>
      </c>
      <c r="AH1821" t="inlineStr">
        <is>
          <t>PT. GLORIENTA P.H - PPN (PDG)</t>
        </is>
      </c>
      <c r="AI1821" t="n">
        <v>83</v>
      </c>
      <c r="AJ1821" t="inlineStr">
        <is>
          <t>IMPLORA</t>
        </is>
      </c>
      <c r="AK1821" t="n">
        <v>9</v>
      </c>
      <c r="AL1821" t="inlineStr">
        <is>
          <t>Miss Glam Jambi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"8993883800954"</f>
        <v/>
      </c>
      <c r="C1822" t="inlineStr">
        <is>
          <t>IMPLORA Paint Me Pretty 06 Clear 8ml</t>
        </is>
      </c>
      <c r="D1822" t="inlineStr">
        <is>
          <t>Miss Glam Jambi</t>
        </is>
      </c>
      <c r="E1822" t="n">
        <v>0</v>
      </c>
      <c r="F1822" t="n">
        <v>0.06</v>
      </c>
      <c r="G1822" t="n">
        <v>1</v>
      </c>
      <c r="H1822" t="n">
        <v>4</v>
      </c>
      <c r="I1822" t="n">
        <v>11</v>
      </c>
      <c r="J1822" t="n">
        <v>3</v>
      </c>
      <c r="K1822" t="n">
        <v>3</v>
      </c>
      <c r="L1822" t="n">
        <v>5898</v>
      </c>
      <c r="M1822" t="n">
        <v>8000</v>
      </c>
      <c r="N1822" t="n">
        <v>33</v>
      </c>
      <c r="O1822" t="n">
        <v>0.33</v>
      </c>
      <c r="P1822" t="n">
        <v>0</v>
      </c>
      <c r="Q1822" t="n">
        <v>0.06</v>
      </c>
      <c r="R1822" t="n">
        <v>1</v>
      </c>
      <c r="S1822" t="n">
        <v>480</v>
      </c>
      <c r="T1822" t="n">
        <v>11</v>
      </c>
      <c r="U1822" t="n">
        <v>12</v>
      </c>
      <c r="V1822" t="n">
        <v>30</v>
      </c>
      <c r="W1822" t="n">
        <v>2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10056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9</v>
      </c>
      <c r="AL1822" t="inlineStr">
        <is>
          <t>Miss Glam Jambi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"8993883800480"</f>
        <v/>
      </c>
      <c r="C1823" t="inlineStr">
        <is>
          <t>IMPLORA Peeling Gel 50gr</t>
        </is>
      </c>
      <c r="D1823" t="inlineStr">
        <is>
          <t>Miss Glam Jambi</t>
        </is>
      </c>
      <c r="E1823" t="n">
        <v>1</v>
      </c>
      <c r="F1823" t="n">
        <v>0.0396</v>
      </c>
      <c r="G1823" t="n">
        <v>0.66</v>
      </c>
      <c r="H1823" t="n">
        <v>4</v>
      </c>
      <c r="I1823" t="n">
        <v>11</v>
      </c>
      <c r="J1823" t="n">
        <v>3</v>
      </c>
      <c r="K1823" t="n">
        <v>3</v>
      </c>
      <c r="L1823" t="n">
        <v>12936</v>
      </c>
      <c r="M1823" t="n">
        <v>16500</v>
      </c>
      <c r="N1823" t="n">
        <v>33</v>
      </c>
      <c r="O1823" t="n">
        <v>0.33</v>
      </c>
      <c r="P1823" t="n">
        <v>1</v>
      </c>
      <c r="Q1823" t="n">
        <v>0.02</v>
      </c>
      <c r="R1823" t="n">
        <v>1</v>
      </c>
      <c r="S1823" t="n">
        <v>653.4000000000001</v>
      </c>
      <c r="T1823" t="n">
        <v>8</v>
      </c>
      <c r="U1823" t="n">
        <v>9</v>
      </c>
      <c r="V1823" t="n">
        <v>30</v>
      </c>
      <c r="W1823" t="n">
        <v>2</v>
      </c>
      <c r="X1823" t="n">
        <v>25.25252525252525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10056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9</v>
      </c>
      <c r="AL1823" t="inlineStr">
        <is>
          <t>Miss Glam Jambi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"8993883800015"</f>
        <v/>
      </c>
      <c r="C1824" t="inlineStr">
        <is>
          <t>IMPLORA Perfect Shield Sunscreen SPF 40 PA++++</t>
        </is>
      </c>
      <c r="D1824" t="inlineStr">
        <is>
          <t>Miss Glam Jambi</t>
        </is>
      </c>
      <c r="E1824" t="n">
        <v>9</v>
      </c>
      <c r="F1824" t="n">
        <v>1.3035</v>
      </c>
      <c r="G1824" t="n">
        <v>2.64</v>
      </c>
      <c r="H1824" t="n">
        <v>4</v>
      </c>
      <c r="I1824" t="n">
        <v>11</v>
      </c>
      <c r="J1824" t="n">
        <v>3</v>
      </c>
      <c r="K1824" t="n">
        <v>25</v>
      </c>
      <c r="L1824" t="n">
        <v>25996</v>
      </c>
      <c r="M1824" t="n">
        <v>33500</v>
      </c>
      <c r="N1824" t="n">
        <v>33</v>
      </c>
      <c r="O1824" t="n">
        <v>0.33</v>
      </c>
      <c r="P1824" t="n">
        <v>1</v>
      </c>
      <c r="Q1824" t="n">
        <v>0.44</v>
      </c>
      <c r="R1824" t="n">
        <v>3</v>
      </c>
      <c r="S1824" t="n">
        <v>43667.25</v>
      </c>
      <c r="T1824" t="n">
        <v>24</v>
      </c>
      <c r="U1824" t="n">
        <v>30</v>
      </c>
      <c r="V1824" t="n">
        <v>30</v>
      </c>
      <c r="W1824" t="n">
        <v>40</v>
      </c>
      <c r="X1824" t="n">
        <v>6.904487917146144</v>
      </c>
      <c r="Y1824" t="n">
        <v>1</v>
      </c>
      <c r="Z1824" t="n">
        <v>6</v>
      </c>
      <c r="AA1824" t="n">
        <v>5</v>
      </c>
      <c r="AB1824" t="n">
        <v>1</v>
      </c>
      <c r="AC1824" t="n">
        <v>3</v>
      </c>
      <c r="AD1824" t="n">
        <v>129980</v>
      </c>
      <c r="AE1824" t="n">
        <v>77988</v>
      </c>
      <c r="AF1824" t="n">
        <v>10056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9</v>
      </c>
      <c r="AL1824" t="inlineStr">
        <is>
          <t>Miss Glam Jambi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"1108170014007"</f>
        <v/>
      </c>
      <c r="C1825" t="inlineStr">
        <is>
          <t>IMPLORA Permanent Hair Color 14 Tosca</t>
        </is>
      </c>
      <c r="D1825" t="inlineStr">
        <is>
          <t>Miss Glam Jambi</t>
        </is>
      </c>
      <c r="E1825" t="n">
        <v>9</v>
      </c>
      <c r="F1825" t="n">
        <v>0.0297</v>
      </c>
      <c r="G1825" t="n">
        <v>0.66</v>
      </c>
      <c r="H1825" t="n">
        <v>4</v>
      </c>
      <c r="I1825" t="n">
        <v>11</v>
      </c>
      <c r="J1825" t="n">
        <v>3</v>
      </c>
      <c r="K1825" t="n">
        <v>0</v>
      </c>
      <c r="L1825" t="n">
        <v>8560</v>
      </c>
      <c r="M1825" t="n">
        <v>11000</v>
      </c>
      <c r="N1825" t="n">
        <v>33</v>
      </c>
      <c r="O1825" t="n">
        <v>0.33</v>
      </c>
      <c r="P1825" t="n">
        <v>1</v>
      </c>
      <c r="Q1825" t="n">
        <v>0.03</v>
      </c>
      <c r="R1825" t="n">
        <v>1</v>
      </c>
      <c r="S1825" t="n">
        <v>326.7</v>
      </c>
      <c r="T1825" t="n">
        <v>8</v>
      </c>
      <c r="U1825" t="n">
        <v>9</v>
      </c>
      <c r="V1825" t="n">
        <v>30</v>
      </c>
      <c r="W1825" t="n">
        <v>1</v>
      </c>
      <c r="X1825" t="n">
        <v>303.030303030303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10056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9</v>
      </c>
      <c r="AL1825" t="inlineStr">
        <is>
          <t>Miss Glam Jambi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"1219101904004"</f>
        <v/>
      </c>
      <c r="C1826" t="inlineStr">
        <is>
          <t>IMPLORA Salmon DNA Serum 20ml</t>
        </is>
      </c>
      <c r="D1826" t="inlineStr">
        <is>
          <t>Miss Glam Jambi</t>
        </is>
      </c>
      <c r="E1826" t="n">
        <v>4</v>
      </c>
      <c r="F1826" t="n">
        <v>0.02</v>
      </c>
      <c r="G1826" t="n">
        <v>1</v>
      </c>
      <c r="H1826" t="n">
        <v>4</v>
      </c>
      <c r="I1826" t="n">
        <v>11</v>
      </c>
      <c r="J1826" t="n">
        <v>3</v>
      </c>
      <c r="K1826" t="n">
        <v>0</v>
      </c>
      <c r="L1826" t="n">
        <v>15915</v>
      </c>
      <c r="M1826" t="n">
        <v>29000</v>
      </c>
      <c r="N1826" t="n">
        <v>33</v>
      </c>
      <c r="O1826" t="n">
        <v>0.33</v>
      </c>
      <c r="P1826" t="n">
        <v>0</v>
      </c>
      <c r="Q1826" t="n">
        <v>0.02</v>
      </c>
      <c r="R1826" t="n">
        <v>1</v>
      </c>
      <c r="S1826" t="n">
        <v>580</v>
      </c>
      <c r="T1826" t="n">
        <v>11</v>
      </c>
      <c r="U1826" t="n">
        <v>12</v>
      </c>
      <c r="V1826" t="n">
        <v>30</v>
      </c>
      <c r="W1826" t="n">
        <v>1</v>
      </c>
      <c r="X1826" t="n">
        <v>200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10056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9</v>
      </c>
      <c r="AL1826" t="inlineStr">
        <is>
          <t>Miss Glam Jambi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"8993883801456"</f>
        <v/>
      </c>
      <c r="C1827" t="inlineStr">
        <is>
          <t>IMPLORA SPF 30 Perfect Shield Gel Sunscreen</t>
        </is>
      </c>
      <c r="D1827" t="inlineStr">
        <is>
          <t>Miss Glam Jambi</t>
        </is>
      </c>
      <c r="E1827" t="n">
        <v>2</v>
      </c>
      <c r="F1827" t="n">
        <v>0.7425</v>
      </c>
      <c r="G1827" t="n">
        <v>2.64</v>
      </c>
      <c r="H1827" t="n">
        <v>4</v>
      </c>
      <c r="I1827" t="n">
        <v>11</v>
      </c>
      <c r="J1827" t="n">
        <v>3</v>
      </c>
      <c r="K1827" t="n">
        <v>14</v>
      </c>
      <c r="L1827" t="n">
        <v>21728</v>
      </c>
      <c r="M1827" t="n">
        <v>28000</v>
      </c>
      <c r="N1827" t="n">
        <v>33</v>
      </c>
      <c r="O1827" t="n">
        <v>0.33</v>
      </c>
      <c r="P1827" t="n">
        <v>1</v>
      </c>
      <c r="Q1827" t="n">
        <v>0.07000000000000001</v>
      </c>
      <c r="R1827" t="n">
        <v>1</v>
      </c>
      <c r="S1827" t="n">
        <v>20790</v>
      </c>
      <c r="T1827" t="n">
        <v>27</v>
      </c>
      <c r="U1827" t="n">
        <v>30</v>
      </c>
      <c r="V1827" t="n">
        <v>30</v>
      </c>
      <c r="W1827" t="n">
        <v>23</v>
      </c>
      <c r="X1827" t="n">
        <v>2.693602693602693</v>
      </c>
      <c r="Y1827" t="n">
        <v>1</v>
      </c>
      <c r="Z1827" t="n">
        <v>7</v>
      </c>
      <c r="AA1827" t="n">
        <v>6</v>
      </c>
      <c r="AB1827" t="n">
        <v>1</v>
      </c>
      <c r="AC1827" t="n">
        <v>3</v>
      </c>
      <c r="AD1827" t="n">
        <v>130368</v>
      </c>
      <c r="AE1827" t="n">
        <v>65184</v>
      </c>
      <c r="AF1827" t="n">
        <v>10056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9</v>
      </c>
      <c r="AL1827" t="inlineStr">
        <is>
          <t>Miss Glam Jambi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"1212040003005"</f>
        <v/>
      </c>
      <c r="C1828" t="inlineStr">
        <is>
          <t>IMPLORA Urban Lip Cream  Matte 03 Dark Berry</t>
        </is>
      </c>
      <c r="D1828" t="inlineStr">
        <is>
          <t>Miss Glam Jambi</t>
        </is>
      </c>
      <c r="E1828" t="n">
        <v>12</v>
      </c>
      <c r="F1828" t="n">
        <v>0.07000000000000001</v>
      </c>
      <c r="G1828" t="n">
        <v>1</v>
      </c>
      <c r="H1828" t="n">
        <v>4</v>
      </c>
      <c r="I1828" t="n">
        <v>11</v>
      </c>
      <c r="J1828" t="n">
        <v>3</v>
      </c>
      <c r="K1828" t="n">
        <v>0</v>
      </c>
      <c r="L1828" t="n">
        <v>16218</v>
      </c>
      <c r="M1828" t="n">
        <v>21000</v>
      </c>
      <c r="N1828" t="n">
        <v>33</v>
      </c>
      <c r="O1828" t="n">
        <v>0.33</v>
      </c>
      <c r="P1828" t="n">
        <v>0</v>
      </c>
      <c r="Q1828" t="n">
        <v>0.07000000000000001</v>
      </c>
      <c r="R1828" t="n">
        <v>1</v>
      </c>
      <c r="S1828" t="n">
        <v>1470</v>
      </c>
      <c r="T1828" t="n">
        <v>11</v>
      </c>
      <c r="U1828" t="n">
        <v>12</v>
      </c>
      <c r="V1828" t="n">
        <v>30</v>
      </c>
      <c r="W1828" t="n">
        <v>3</v>
      </c>
      <c r="X1828" t="n">
        <v>171.4285714285714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10056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9</v>
      </c>
      <c r="AL1828" t="inlineStr">
        <is>
          <t>Miss Glam Jambi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"1212040002008"</f>
        <v/>
      </c>
      <c r="C1829" t="inlineStr">
        <is>
          <t>IMPLORA Urban Lip Cream Matte 02 Terra Cotta</t>
        </is>
      </c>
      <c r="D1829" t="inlineStr">
        <is>
          <t>Miss Glam Jambi</t>
        </is>
      </c>
      <c r="E1829" t="n">
        <v>1</v>
      </c>
      <c r="F1829" t="n">
        <v>0.0165</v>
      </c>
      <c r="G1829" t="n">
        <v>0.33</v>
      </c>
      <c r="H1829" t="n">
        <v>4</v>
      </c>
      <c r="I1829" t="n">
        <v>11</v>
      </c>
      <c r="J1829" t="n">
        <v>3</v>
      </c>
      <c r="K1829" t="n">
        <v>0</v>
      </c>
      <c r="L1829" t="n">
        <v>16218</v>
      </c>
      <c r="M1829" t="n">
        <v>21000</v>
      </c>
      <c r="N1829" t="n">
        <v>33</v>
      </c>
      <c r="O1829" t="n">
        <v>0.33</v>
      </c>
      <c r="P1829" t="n">
        <v>1</v>
      </c>
      <c r="Q1829" t="n">
        <v>0.05</v>
      </c>
      <c r="R1829" t="n">
        <v>1</v>
      </c>
      <c r="S1829" t="n">
        <v>346.5</v>
      </c>
      <c r="T1829" t="n">
        <v>4</v>
      </c>
      <c r="U1829" t="n">
        <v>5</v>
      </c>
      <c r="V1829" t="n">
        <v>30</v>
      </c>
      <c r="W1829" t="n">
        <v>1</v>
      </c>
      <c r="X1829" t="n">
        <v>60.6060606060606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10056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9</v>
      </c>
      <c r="AL1829" t="inlineStr">
        <is>
          <t>Miss Glam Jambi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"1212040004002"</f>
        <v/>
      </c>
      <c r="C1830" t="inlineStr">
        <is>
          <t>IMPLORA Urban Lip Cream Matte 04 Madeline</t>
        </is>
      </c>
      <c r="D1830" t="inlineStr">
        <is>
          <t>Miss Glam Jambi</t>
        </is>
      </c>
      <c r="E1830" t="n">
        <v>7</v>
      </c>
      <c r="F1830" t="n">
        <v>0.0561</v>
      </c>
      <c r="G1830" t="n">
        <v>0.33</v>
      </c>
      <c r="H1830" t="n">
        <v>4</v>
      </c>
      <c r="I1830" t="n">
        <v>11</v>
      </c>
      <c r="J1830" t="n">
        <v>3</v>
      </c>
      <c r="K1830" t="n">
        <v>0</v>
      </c>
      <c r="L1830" t="n">
        <v>16128</v>
      </c>
      <c r="M1830" t="n">
        <v>21000</v>
      </c>
      <c r="N1830" t="n">
        <v>33</v>
      </c>
      <c r="O1830" t="n">
        <v>0.33</v>
      </c>
      <c r="P1830" t="n">
        <v>1</v>
      </c>
      <c r="Q1830" t="n">
        <v>0.03</v>
      </c>
      <c r="R1830" t="n">
        <v>1</v>
      </c>
      <c r="S1830" t="n">
        <v>1178.1</v>
      </c>
      <c r="T1830" t="n">
        <v>4</v>
      </c>
      <c r="U1830" t="n">
        <v>5</v>
      </c>
      <c r="V1830" t="n">
        <v>30</v>
      </c>
      <c r="W1830" t="n">
        <v>2</v>
      </c>
      <c r="X1830" t="n">
        <v>124.777183600713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10056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9</v>
      </c>
      <c r="AL1830" t="inlineStr">
        <is>
          <t>Miss Glam Jambi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"1212040005009"</f>
        <v/>
      </c>
      <c r="C1831" t="inlineStr">
        <is>
          <t>IMPLORA Urban Lip Cream Matte 05 Allure</t>
        </is>
      </c>
      <c r="D1831" t="inlineStr">
        <is>
          <t>Miss Glam Jambi</t>
        </is>
      </c>
      <c r="E1831" t="n">
        <v>5</v>
      </c>
      <c r="F1831" t="n">
        <v>0.0396</v>
      </c>
      <c r="G1831" t="n">
        <v>0.66</v>
      </c>
      <c r="H1831" t="n">
        <v>4</v>
      </c>
      <c r="I1831" t="n">
        <v>11</v>
      </c>
      <c r="J1831" t="n">
        <v>3</v>
      </c>
      <c r="K1831" t="n">
        <v>0</v>
      </c>
      <c r="L1831" t="n">
        <v>15098</v>
      </c>
      <c r="M1831" t="n">
        <v>21000</v>
      </c>
      <c r="N1831" t="n">
        <v>33</v>
      </c>
      <c r="O1831" t="n">
        <v>0.33</v>
      </c>
      <c r="P1831" t="n">
        <v>1</v>
      </c>
      <c r="Q1831" t="n">
        <v>0.02</v>
      </c>
      <c r="R1831" t="n">
        <v>1</v>
      </c>
      <c r="S1831" t="n">
        <v>831.6</v>
      </c>
      <c r="T1831" t="n">
        <v>8</v>
      </c>
      <c r="U1831" t="n">
        <v>9</v>
      </c>
      <c r="V1831" t="n">
        <v>30</v>
      </c>
      <c r="W1831" t="n">
        <v>2</v>
      </c>
      <c r="X1831" t="n">
        <v>126.2626262626263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10056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9</v>
      </c>
      <c r="AL1831" t="inlineStr">
        <is>
          <t>Miss Glam Jambi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"1212040006006"</f>
        <v/>
      </c>
      <c r="C1832" t="inlineStr">
        <is>
          <t>IMPLORA Urban Lip Cream Matte 06 Lumiere</t>
        </is>
      </c>
      <c r="D1832" t="inlineStr">
        <is>
          <t>Miss Glam Jambi</t>
        </is>
      </c>
      <c r="E1832" t="n">
        <v>2</v>
      </c>
      <c r="F1832" t="n">
        <v>0.1122</v>
      </c>
      <c r="G1832" t="n">
        <v>0.66</v>
      </c>
      <c r="H1832" t="n">
        <v>4</v>
      </c>
      <c r="I1832" t="n">
        <v>11</v>
      </c>
      <c r="J1832" t="n">
        <v>3</v>
      </c>
      <c r="K1832" t="n">
        <v>3</v>
      </c>
      <c r="L1832" t="n">
        <v>16059</v>
      </c>
      <c r="M1832" t="n">
        <v>21000</v>
      </c>
      <c r="N1832" t="n">
        <v>33</v>
      </c>
      <c r="O1832" t="n">
        <v>0.33</v>
      </c>
      <c r="P1832" t="n">
        <v>1</v>
      </c>
      <c r="Q1832" t="n">
        <v>0.08</v>
      </c>
      <c r="R1832" t="n">
        <v>1</v>
      </c>
      <c r="S1832" t="n">
        <v>2356.2</v>
      </c>
      <c r="T1832" t="n">
        <v>7</v>
      </c>
      <c r="U1832" t="n">
        <v>8</v>
      </c>
      <c r="V1832" t="n">
        <v>30</v>
      </c>
      <c r="W1832" t="n">
        <v>4</v>
      </c>
      <c r="X1832" t="n">
        <v>17.825311942959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10056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9</v>
      </c>
      <c r="AL1832" t="inlineStr">
        <is>
          <t>Miss Glam Jambi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"1212040009007"</f>
        <v/>
      </c>
      <c r="C1833" t="inlineStr">
        <is>
          <t>IMPLORA Urban Lip Cream Matte 09 Butterscoth</t>
        </is>
      </c>
      <c r="D1833" t="inlineStr">
        <is>
          <t>Miss Glam Jambi</t>
        </is>
      </c>
      <c r="E1833" t="n">
        <v>1</v>
      </c>
      <c r="F1833" t="n">
        <v>0.1056</v>
      </c>
      <c r="G1833" t="n">
        <v>0.66</v>
      </c>
      <c r="H1833" t="n">
        <v>4</v>
      </c>
      <c r="I1833" t="n">
        <v>11</v>
      </c>
      <c r="J1833" t="n">
        <v>3</v>
      </c>
      <c r="K1833" t="n">
        <v>3</v>
      </c>
      <c r="L1833" t="n">
        <v>16219</v>
      </c>
      <c r="M1833" t="n">
        <v>21000</v>
      </c>
      <c r="N1833" t="n">
        <v>33</v>
      </c>
      <c r="O1833" t="n">
        <v>0.33</v>
      </c>
      <c r="P1833" t="n">
        <v>1</v>
      </c>
      <c r="Q1833" t="n">
        <v>0.17</v>
      </c>
      <c r="R1833" t="n">
        <v>2</v>
      </c>
      <c r="S1833" t="n">
        <v>2217.6</v>
      </c>
      <c r="T1833" t="n">
        <v>7</v>
      </c>
      <c r="U1833" t="n">
        <v>8</v>
      </c>
      <c r="V1833" t="n">
        <v>30</v>
      </c>
      <c r="W1833" t="n">
        <v>4</v>
      </c>
      <c r="X1833" t="n">
        <v>9.469696969696969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10056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9</v>
      </c>
      <c r="AL1833" t="inlineStr">
        <is>
          <t>Miss Glam Jambi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"1212040010003"</f>
        <v/>
      </c>
      <c r="C1834" t="inlineStr">
        <is>
          <t>IMPLORA Urban Lip Cream Matte 10 Gingerbread</t>
        </is>
      </c>
      <c r="D1834" t="inlineStr">
        <is>
          <t>Miss Glam Jambi</t>
        </is>
      </c>
      <c r="E1834" t="n">
        <v>1</v>
      </c>
      <c r="F1834" t="n">
        <v>0.1023</v>
      </c>
      <c r="G1834" t="n">
        <v>0.66</v>
      </c>
      <c r="H1834" t="n">
        <v>4</v>
      </c>
      <c r="I1834" t="n">
        <v>11</v>
      </c>
      <c r="J1834" t="n">
        <v>3</v>
      </c>
      <c r="K1834" t="n">
        <v>3</v>
      </c>
      <c r="L1834" t="n">
        <v>16218</v>
      </c>
      <c r="M1834" t="n">
        <v>21000</v>
      </c>
      <c r="N1834" t="n">
        <v>33</v>
      </c>
      <c r="O1834" t="n">
        <v>0.33</v>
      </c>
      <c r="P1834" t="n">
        <v>1</v>
      </c>
      <c r="Q1834" t="n">
        <v>0.14</v>
      </c>
      <c r="R1834" t="n">
        <v>1</v>
      </c>
      <c r="S1834" t="n">
        <v>2148.3</v>
      </c>
      <c r="T1834" t="n">
        <v>7</v>
      </c>
      <c r="U1834" t="n">
        <v>8</v>
      </c>
      <c r="V1834" t="n">
        <v>30</v>
      </c>
      <c r="W1834" t="n">
        <v>4</v>
      </c>
      <c r="X1834" t="n">
        <v>9.775171065493646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10056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9</v>
      </c>
      <c r="AL1834" t="inlineStr">
        <is>
          <t>Miss Glam Jambi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"1212040013004"</f>
        <v/>
      </c>
      <c r="C1835" t="inlineStr">
        <is>
          <t>IMPLORA Urban Lip Cream Matte 13 Hazelnude</t>
        </is>
      </c>
      <c r="D1835" t="inlineStr">
        <is>
          <t>Miss Glam Jambi</t>
        </is>
      </c>
      <c r="E1835" t="n">
        <v>12</v>
      </c>
      <c r="F1835" t="n">
        <v>0.1056</v>
      </c>
      <c r="G1835" t="n">
        <v>0.33</v>
      </c>
      <c r="H1835" t="n">
        <v>4</v>
      </c>
      <c r="I1835" t="n">
        <v>11</v>
      </c>
      <c r="J1835" t="n">
        <v>3</v>
      </c>
      <c r="K1835" t="n">
        <v>0</v>
      </c>
      <c r="L1835" t="n">
        <v>16218</v>
      </c>
      <c r="M1835" t="n">
        <v>21000</v>
      </c>
      <c r="N1835" t="n">
        <v>33</v>
      </c>
      <c r="O1835" t="n">
        <v>0.33</v>
      </c>
      <c r="P1835" t="n">
        <v>1</v>
      </c>
      <c r="Q1835" t="n">
        <v>0.08</v>
      </c>
      <c r="R1835" t="n">
        <v>1</v>
      </c>
      <c r="S1835" t="n">
        <v>2217.6</v>
      </c>
      <c r="T1835" t="n">
        <v>4</v>
      </c>
      <c r="U1835" t="n">
        <v>5</v>
      </c>
      <c r="V1835" t="n">
        <v>30</v>
      </c>
      <c r="W1835" t="n">
        <v>4</v>
      </c>
      <c r="X1835" t="n">
        <v>113.6363636363636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10056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9</v>
      </c>
      <c r="AL1835" t="inlineStr">
        <is>
          <t>Miss Glam Jambi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"1212040014001"</f>
        <v/>
      </c>
      <c r="C1836" t="inlineStr">
        <is>
          <t>IMPLORA Urban Lip Cream Matte 14 Baby Rose</t>
        </is>
      </c>
      <c r="D1836" t="inlineStr">
        <is>
          <t>Miss Glam Jambi</t>
        </is>
      </c>
      <c r="E1836" t="n">
        <v>5</v>
      </c>
      <c r="F1836" t="n">
        <v>0.0726</v>
      </c>
      <c r="G1836" t="n">
        <v>0.66</v>
      </c>
      <c r="H1836" t="n">
        <v>4</v>
      </c>
      <c r="I1836" t="n">
        <v>11</v>
      </c>
      <c r="J1836" t="n">
        <v>3</v>
      </c>
      <c r="K1836" t="n">
        <v>0</v>
      </c>
      <c r="L1836" t="n">
        <v>15124</v>
      </c>
      <c r="M1836" t="n">
        <v>21000</v>
      </c>
      <c r="N1836" t="n">
        <v>33</v>
      </c>
      <c r="O1836" t="n">
        <v>0.33</v>
      </c>
      <c r="P1836" t="n">
        <v>1</v>
      </c>
      <c r="Q1836" t="n">
        <v>0.02</v>
      </c>
      <c r="R1836" t="n">
        <v>1</v>
      </c>
      <c r="S1836" t="n">
        <v>1524.6</v>
      </c>
      <c r="T1836" t="n">
        <v>7</v>
      </c>
      <c r="U1836" t="n">
        <v>8</v>
      </c>
      <c r="V1836" t="n">
        <v>30</v>
      </c>
      <c r="W1836" t="n">
        <v>3</v>
      </c>
      <c r="X1836" t="n">
        <v>68.87052341597796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10056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9</v>
      </c>
      <c r="AL1836" t="inlineStr">
        <is>
          <t>Miss Glam Jambi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"1212040017002"</f>
        <v/>
      </c>
      <c r="C1837" t="inlineStr">
        <is>
          <t>IMPLORA Urban Lip Cream Matte 17 Redwood</t>
        </is>
      </c>
      <c r="D1837" t="inlineStr">
        <is>
          <t>Miss Glam Jambi</t>
        </is>
      </c>
      <c r="E1837" t="n">
        <v>6</v>
      </c>
      <c r="F1837" t="n">
        <v>0.006600000000000001</v>
      </c>
      <c r="G1837" t="n">
        <v>0.66</v>
      </c>
      <c r="H1837" t="n">
        <v>4</v>
      </c>
      <c r="I1837" t="n">
        <v>11</v>
      </c>
      <c r="J1837" t="n">
        <v>3</v>
      </c>
      <c r="K1837" t="n">
        <v>0</v>
      </c>
      <c r="L1837" t="n">
        <v>16218</v>
      </c>
      <c r="M1837" t="n">
        <v>21000</v>
      </c>
      <c r="N1837" t="n">
        <v>33</v>
      </c>
      <c r="O1837" t="n">
        <v>0.33</v>
      </c>
      <c r="P1837" t="n">
        <v>1</v>
      </c>
      <c r="Q1837" t="n">
        <v>0.05</v>
      </c>
      <c r="R1837" t="n">
        <v>1</v>
      </c>
      <c r="S1837" t="n">
        <v>138.6</v>
      </c>
      <c r="T1837" t="n">
        <v>8</v>
      </c>
      <c r="U1837" t="n">
        <v>9</v>
      </c>
      <c r="V1837" t="n">
        <v>30</v>
      </c>
      <c r="W1837" t="n">
        <v>1</v>
      </c>
      <c r="X1837" t="n">
        <v>909.090909090909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10056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9</v>
      </c>
      <c r="AL1837" t="inlineStr">
        <is>
          <t>Miss Glam Jambi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"1212040018009"</f>
        <v/>
      </c>
      <c r="C1838" t="inlineStr">
        <is>
          <t>IMPLORA Urban Lip Cream Matte 18 Ruby</t>
        </is>
      </c>
      <c r="D1838" t="inlineStr">
        <is>
          <t>Miss Glam Jambi</t>
        </is>
      </c>
      <c r="E1838" t="n">
        <v>2</v>
      </c>
      <c r="F1838" t="n">
        <v>0.066</v>
      </c>
      <c r="G1838" t="n">
        <v>0.66</v>
      </c>
      <c r="H1838" t="n">
        <v>4</v>
      </c>
      <c r="I1838" t="n">
        <v>11</v>
      </c>
      <c r="J1838" t="n">
        <v>3</v>
      </c>
      <c r="K1838" t="n">
        <v>0</v>
      </c>
      <c r="L1838" t="n">
        <v>16218</v>
      </c>
      <c r="M1838" t="n">
        <v>21000</v>
      </c>
      <c r="N1838" t="n">
        <v>33</v>
      </c>
      <c r="O1838" t="n">
        <v>0.33</v>
      </c>
      <c r="P1838" t="n">
        <v>1</v>
      </c>
      <c r="Q1838" t="n">
        <v>0.03</v>
      </c>
      <c r="R1838" t="n">
        <v>1</v>
      </c>
      <c r="S1838" t="n">
        <v>1386</v>
      </c>
      <c r="T1838" t="n">
        <v>7</v>
      </c>
      <c r="U1838" t="n">
        <v>8</v>
      </c>
      <c r="V1838" t="n">
        <v>30</v>
      </c>
      <c r="W1838" t="n">
        <v>2</v>
      </c>
      <c r="X1838" t="n">
        <v>30.3030303030303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10056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9</v>
      </c>
      <c r="AL1838" t="inlineStr">
        <is>
          <t>Miss Glam Jambi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"1212040019006"</f>
        <v/>
      </c>
      <c r="C1839" t="inlineStr">
        <is>
          <t>IMPLORA Urban Lip Cream Matte 19 Carolina</t>
        </is>
      </c>
      <c r="D1839" t="inlineStr">
        <is>
          <t>Miss Glam Jambi</t>
        </is>
      </c>
      <c r="E1839" t="n">
        <v>2</v>
      </c>
      <c r="F1839" t="n">
        <v>0.2508</v>
      </c>
      <c r="G1839" t="n">
        <v>1.32</v>
      </c>
      <c r="H1839" t="n">
        <v>4</v>
      </c>
      <c r="I1839" t="n">
        <v>11</v>
      </c>
      <c r="J1839" t="n">
        <v>3</v>
      </c>
      <c r="K1839" t="n">
        <v>5</v>
      </c>
      <c r="L1839" t="n">
        <v>16218</v>
      </c>
      <c r="M1839" t="n">
        <v>21000</v>
      </c>
      <c r="N1839" t="n">
        <v>33</v>
      </c>
      <c r="O1839" t="n">
        <v>0.33</v>
      </c>
      <c r="P1839" t="n">
        <v>1</v>
      </c>
      <c r="Q1839" t="n">
        <v>0.05</v>
      </c>
      <c r="R1839" t="n">
        <v>1</v>
      </c>
      <c r="S1839" t="n">
        <v>5266.8</v>
      </c>
      <c r="T1839" t="n">
        <v>14</v>
      </c>
      <c r="U1839" t="n">
        <v>16</v>
      </c>
      <c r="V1839" t="n">
        <v>30</v>
      </c>
      <c r="W1839" t="n">
        <v>8</v>
      </c>
      <c r="X1839" t="n">
        <v>7.974481658692184</v>
      </c>
      <c r="Y1839" t="n">
        <v>1</v>
      </c>
      <c r="Z1839" t="n">
        <v>1</v>
      </c>
      <c r="AA1839" t="n">
        <v>0</v>
      </c>
      <c r="AB1839" t="n">
        <v>1</v>
      </c>
      <c r="AC1839" t="n">
        <v>3</v>
      </c>
      <c r="AD1839" t="n">
        <v>0</v>
      </c>
      <c r="AE1839" t="n">
        <v>48654</v>
      </c>
      <c r="AF1839" t="n">
        <v>10056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9</v>
      </c>
      <c r="AL1839" t="inlineStr">
        <is>
          <t>Miss Glam Jambi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"1212040020002"</f>
        <v/>
      </c>
      <c r="C1840" t="inlineStr">
        <is>
          <t>IMPLORA Urban Lip Cream Matte 20 Red Gala</t>
        </is>
      </c>
      <c r="D1840" t="inlineStr">
        <is>
          <t>Miss Glam Jambi</t>
        </is>
      </c>
      <c r="E1840" t="n">
        <v>2</v>
      </c>
      <c r="F1840" t="n">
        <v>0.06270000000000001</v>
      </c>
      <c r="G1840" t="n">
        <v>0.66</v>
      </c>
      <c r="H1840" t="n">
        <v>4</v>
      </c>
      <c r="I1840" t="n">
        <v>11</v>
      </c>
      <c r="J1840" t="n">
        <v>3</v>
      </c>
      <c r="K1840" t="n">
        <v>0</v>
      </c>
      <c r="L1840" t="n">
        <v>16218</v>
      </c>
      <c r="M1840" t="n">
        <v>21000</v>
      </c>
      <c r="N1840" t="n">
        <v>33</v>
      </c>
      <c r="O1840" t="n">
        <v>0.33</v>
      </c>
      <c r="P1840" t="n">
        <v>1</v>
      </c>
      <c r="Q1840" t="n">
        <v>0.03</v>
      </c>
      <c r="R1840" t="n">
        <v>1</v>
      </c>
      <c r="S1840" t="n">
        <v>1316.7</v>
      </c>
      <c r="T1840" t="n">
        <v>8</v>
      </c>
      <c r="U1840" t="n">
        <v>9</v>
      </c>
      <c r="V1840" t="n">
        <v>30</v>
      </c>
      <c r="W1840" t="n">
        <v>2</v>
      </c>
      <c r="X1840" t="n">
        <v>31.89792663476874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10056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9</v>
      </c>
      <c r="AL1840" t="inlineStr">
        <is>
          <t>Miss Glam Jambi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"8993883800800"</f>
        <v/>
      </c>
      <c r="C1841" t="inlineStr">
        <is>
          <t>IMPLORA Wow Brow Pomade Black 2,5gr</t>
        </is>
      </c>
      <c r="D1841" t="inlineStr">
        <is>
          <t>Miss Glam Jambi</t>
        </is>
      </c>
      <c r="E1841" t="n">
        <v>10</v>
      </c>
      <c r="F1841" t="n">
        <v>0.3399</v>
      </c>
      <c r="G1841" t="n">
        <v>1.32</v>
      </c>
      <c r="H1841" t="n">
        <v>4</v>
      </c>
      <c r="I1841" t="n">
        <v>11</v>
      </c>
      <c r="J1841" t="n">
        <v>3</v>
      </c>
      <c r="K1841" t="n">
        <v>3</v>
      </c>
      <c r="L1841" t="n">
        <v>17072</v>
      </c>
      <c r="M1841" t="n">
        <v>22000</v>
      </c>
      <c r="N1841" t="n">
        <v>33</v>
      </c>
      <c r="O1841" t="n">
        <v>0.33</v>
      </c>
      <c r="P1841" t="n">
        <v>1</v>
      </c>
      <c r="Q1841" t="n">
        <v>0.24</v>
      </c>
      <c r="R1841" t="n">
        <v>2</v>
      </c>
      <c r="S1841" t="n">
        <v>7477.800000000001</v>
      </c>
      <c r="T1841" t="n">
        <v>14</v>
      </c>
      <c r="U1841" t="n">
        <v>16</v>
      </c>
      <c r="V1841" t="n">
        <v>30</v>
      </c>
      <c r="W1841" t="n">
        <v>11</v>
      </c>
      <c r="X1841" t="n">
        <v>29.42041776993233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10056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9</v>
      </c>
      <c r="AL1841" t="inlineStr">
        <is>
          <t>Miss Glam Jambi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"8993883800817"</f>
        <v/>
      </c>
      <c r="C1842" t="inlineStr">
        <is>
          <t>IMPLORA Wow Brow Pomade Dark Brown 2,5 gr</t>
        </is>
      </c>
      <c r="D1842" t="inlineStr">
        <is>
          <t>Miss Glam Jambi</t>
        </is>
      </c>
      <c r="E1842" t="n">
        <v>21</v>
      </c>
      <c r="F1842" t="n">
        <v>0.5247000000000001</v>
      </c>
      <c r="G1842" t="n">
        <v>1.98</v>
      </c>
      <c r="H1842" t="n">
        <v>4</v>
      </c>
      <c r="I1842" t="n">
        <v>11</v>
      </c>
      <c r="J1842" t="n">
        <v>3</v>
      </c>
      <c r="K1842" t="n">
        <v>0</v>
      </c>
      <c r="L1842" t="n">
        <v>17072</v>
      </c>
      <c r="M1842" t="n">
        <v>22000</v>
      </c>
      <c r="N1842" t="n">
        <v>33</v>
      </c>
      <c r="O1842" t="n">
        <v>0.33</v>
      </c>
      <c r="P1842" t="n">
        <v>1</v>
      </c>
      <c r="Q1842" t="n">
        <v>0.22</v>
      </c>
      <c r="R1842" t="n">
        <v>2</v>
      </c>
      <c r="S1842" t="n">
        <v>11543.4</v>
      </c>
      <c r="T1842" t="n">
        <v>20</v>
      </c>
      <c r="U1842" t="n">
        <v>23</v>
      </c>
      <c r="V1842" t="n">
        <v>30</v>
      </c>
      <c r="W1842" t="n">
        <v>16</v>
      </c>
      <c r="X1842" t="n">
        <v>40.02287021154945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10056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9</v>
      </c>
      <c r="AL1842" t="inlineStr">
        <is>
          <t>Miss Glam Jambi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"8993883800831"</f>
        <v/>
      </c>
      <c r="C1843" t="inlineStr">
        <is>
          <t>IMPLORA Wow Brow Pomade Medium Brown 2,5gr</t>
        </is>
      </c>
      <c r="D1843" t="inlineStr">
        <is>
          <t>Miss Glam Jambi</t>
        </is>
      </c>
      <c r="E1843" t="n">
        <v>2</v>
      </c>
      <c r="F1843" t="n">
        <v>0.2079</v>
      </c>
      <c r="G1843" t="n">
        <v>0.99</v>
      </c>
      <c r="H1843" t="n">
        <v>4</v>
      </c>
      <c r="I1843" t="n">
        <v>11</v>
      </c>
      <c r="J1843" t="n">
        <v>3</v>
      </c>
      <c r="K1843" t="n">
        <v>4</v>
      </c>
      <c r="L1843" t="n">
        <v>17072</v>
      </c>
      <c r="M1843" t="n">
        <v>22000</v>
      </c>
      <c r="N1843" t="n">
        <v>33</v>
      </c>
      <c r="O1843" t="n">
        <v>0.33</v>
      </c>
      <c r="P1843" t="n">
        <v>1</v>
      </c>
      <c r="Q1843" t="n">
        <v>0.07000000000000001</v>
      </c>
      <c r="R1843" t="n">
        <v>1</v>
      </c>
      <c r="S1843" t="n">
        <v>4573.8</v>
      </c>
      <c r="T1843" t="n">
        <v>11</v>
      </c>
      <c r="U1843" t="n">
        <v>12</v>
      </c>
      <c r="V1843" t="n">
        <v>30</v>
      </c>
      <c r="W1843" t="n">
        <v>7</v>
      </c>
      <c r="X1843" t="n">
        <v>9.62000962000962</v>
      </c>
      <c r="Y1843" t="n">
        <v>1</v>
      </c>
      <c r="Z1843" t="n">
        <v>1</v>
      </c>
      <c r="AA1843" t="n">
        <v>0</v>
      </c>
      <c r="AB1843" t="n">
        <v>1</v>
      </c>
      <c r="AC1843" t="n">
        <v>3</v>
      </c>
      <c r="AD1843" t="n">
        <v>0</v>
      </c>
      <c r="AE1843" t="n">
        <v>51216</v>
      </c>
      <c r="AF1843" t="n">
        <v>10056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9</v>
      </c>
      <c r="AL1843" t="inlineStr">
        <is>
          <t>Miss Glam Jambi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"8993883801425"</f>
        <v/>
      </c>
      <c r="C1844" t="inlineStr">
        <is>
          <t>IMPLORA Zodiac Series Eau De Parfum Aries 30ml</t>
        </is>
      </c>
      <c r="D1844" t="inlineStr">
        <is>
          <t>Miss Glam Jambi</t>
        </is>
      </c>
      <c r="E1844" t="n">
        <v>3</v>
      </c>
      <c r="F1844" t="n">
        <v>0.1749</v>
      </c>
      <c r="G1844" t="n">
        <v>0.99</v>
      </c>
      <c r="H1844" t="n">
        <v>4</v>
      </c>
      <c r="I1844" t="n">
        <v>11</v>
      </c>
      <c r="J1844" t="n">
        <v>3</v>
      </c>
      <c r="K1844" t="n">
        <v>3</v>
      </c>
      <c r="L1844" t="n">
        <v>20176</v>
      </c>
      <c r="M1844" t="n">
        <v>26000</v>
      </c>
      <c r="N1844" t="n">
        <v>33</v>
      </c>
      <c r="O1844" t="n">
        <v>0.33</v>
      </c>
      <c r="P1844" t="n">
        <v>1</v>
      </c>
      <c r="Q1844" t="n">
        <v>0.03</v>
      </c>
      <c r="R1844" t="n">
        <v>1</v>
      </c>
      <c r="S1844" t="n">
        <v>4547.400000000001</v>
      </c>
      <c r="T1844" t="n">
        <v>11</v>
      </c>
      <c r="U1844" t="n">
        <v>12</v>
      </c>
      <c r="V1844" t="n">
        <v>30</v>
      </c>
      <c r="W1844" t="n">
        <v>6</v>
      </c>
      <c r="X1844" t="n">
        <v>17.15265866209262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10056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9</v>
      </c>
      <c r="AL1844" t="inlineStr">
        <is>
          <t>Miss Glam Jambi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"8993883801463"</f>
        <v/>
      </c>
      <c r="C1845" t="inlineStr">
        <is>
          <t>IMPLORA Zodiac Series Eau De Parfum Gemini 30ml</t>
        </is>
      </c>
      <c r="D1845" t="inlineStr">
        <is>
          <t>Miss Glam Jambi</t>
        </is>
      </c>
      <c r="E1845" t="n">
        <v>5</v>
      </c>
      <c r="F1845" t="n">
        <v>0.2112</v>
      </c>
      <c r="G1845" t="n">
        <v>1.32</v>
      </c>
      <c r="H1845" t="n">
        <v>4</v>
      </c>
      <c r="I1845" t="n">
        <v>11</v>
      </c>
      <c r="J1845" t="n">
        <v>3</v>
      </c>
      <c r="K1845" t="n">
        <v>3</v>
      </c>
      <c r="L1845" t="n">
        <v>20176</v>
      </c>
      <c r="M1845" t="n">
        <v>26000</v>
      </c>
      <c r="N1845" t="n">
        <v>33</v>
      </c>
      <c r="O1845" t="n">
        <v>0.33</v>
      </c>
      <c r="P1845" t="n">
        <v>1</v>
      </c>
      <c r="Q1845" t="n">
        <v>0.05</v>
      </c>
      <c r="R1845" t="n">
        <v>1</v>
      </c>
      <c r="S1845" t="n">
        <v>5491.200000000001</v>
      </c>
      <c r="T1845" t="n">
        <v>14</v>
      </c>
      <c r="U1845" t="n">
        <v>15</v>
      </c>
      <c r="V1845" t="n">
        <v>30</v>
      </c>
      <c r="W1845" t="n">
        <v>7</v>
      </c>
      <c r="X1845" t="n">
        <v>23.67424242424242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10056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9</v>
      </c>
      <c r="AL1845" t="inlineStr">
        <is>
          <t>Miss Glam Jambi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"8993883801531"</f>
        <v/>
      </c>
      <c r="C1846" t="inlineStr">
        <is>
          <t>IMPLORA Zodiac Series Eau De Parfum Taurus 30ml</t>
        </is>
      </c>
      <c r="D1846" t="inlineStr">
        <is>
          <t>Miss Glam Jambi</t>
        </is>
      </c>
      <c r="E1846" t="n">
        <v>3</v>
      </c>
      <c r="F1846" t="n">
        <v>0.1617</v>
      </c>
      <c r="G1846" t="n">
        <v>0.99</v>
      </c>
      <c r="H1846" t="n">
        <v>4</v>
      </c>
      <c r="I1846" t="n">
        <v>11</v>
      </c>
      <c r="J1846" t="n">
        <v>3</v>
      </c>
      <c r="K1846" t="n">
        <v>3</v>
      </c>
      <c r="L1846" t="n">
        <v>20176</v>
      </c>
      <c r="M1846" t="n">
        <v>26000</v>
      </c>
      <c r="N1846" t="n">
        <v>33</v>
      </c>
      <c r="O1846" t="n">
        <v>0.33</v>
      </c>
      <c r="P1846" t="n">
        <v>1</v>
      </c>
      <c r="Q1846" t="n">
        <v>0.02</v>
      </c>
      <c r="R1846" t="n">
        <v>1</v>
      </c>
      <c r="S1846" t="n">
        <v>4204.2</v>
      </c>
      <c r="T1846" t="n">
        <v>11</v>
      </c>
      <c r="U1846" t="n">
        <v>12</v>
      </c>
      <c r="V1846" t="n">
        <v>30</v>
      </c>
      <c r="W1846" t="n">
        <v>5</v>
      </c>
      <c r="X1846" t="n">
        <v>18.55287569573284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10056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9</v>
      </c>
      <c r="AL1846" t="inlineStr">
        <is>
          <t>Miss Glam Jambi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INSTAPERFECT</t>
        </is>
      </c>
      <c r="B1847" s="2">
        <f>"8993137700795"</f>
        <v/>
      </c>
      <c r="C1847" t="inlineStr">
        <is>
          <t>INSTAPERFECT Blur Mattifying Primer 20ml</t>
        </is>
      </c>
      <c r="D1847" t="inlineStr">
        <is>
          <t>Miss Glam Jambi</t>
        </is>
      </c>
      <c r="E1847" t="n">
        <v>1</v>
      </c>
      <c r="F1847" t="n">
        <v>0.0495</v>
      </c>
      <c r="G1847" t="n">
        <v>0.33</v>
      </c>
      <c r="H1847" t="n">
        <v>2</v>
      </c>
      <c r="I1847" t="n">
        <v>7</v>
      </c>
      <c r="J1847" t="n">
        <v>3</v>
      </c>
      <c r="K1847" t="n">
        <v>3</v>
      </c>
      <c r="L1847" t="n">
        <v>65552</v>
      </c>
      <c r="M1847" t="n">
        <v>91000</v>
      </c>
      <c r="N1847" t="n">
        <v>33</v>
      </c>
      <c r="O1847" t="n">
        <v>0.33</v>
      </c>
      <c r="P1847" t="n">
        <v>1</v>
      </c>
      <c r="Q1847" t="n">
        <v>0.07000000000000001</v>
      </c>
      <c r="R1847" t="n">
        <v>2</v>
      </c>
      <c r="S1847" t="n">
        <v>4504.5</v>
      </c>
      <c r="T1847" t="n">
        <v>3</v>
      </c>
      <c r="U1847" t="n">
        <v>4</v>
      </c>
      <c r="V1847" t="n">
        <v>30</v>
      </c>
      <c r="W1847" t="n">
        <v>2</v>
      </c>
      <c r="X1847" t="n">
        <v>20.2020202020202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11578</v>
      </c>
      <c r="AG1847" t="n">
        <v>2141</v>
      </c>
      <c r="AH1847" t="inlineStr">
        <is>
          <t>PT. PARAMA GLOBAL INSPIRA - PPN (JMB)</t>
        </is>
      </c>
      <c r="AI1847" t="n">
        <v>1516</v>
      </c>
      <c r="AJ1847" t="inlineStr">
        <is>
          <t>INSTAPERFECT</t>
        </is>
      </c>
      <c r="AK1847" t="n">
        <v>9</v>
      </c>
      <c r="AL1847" t="inlineStr">
        <is>
          <t>Miss Glam Jambi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INSTAPERFECT</t>
        </is>
      </c>
      <c r="B1848" s="2">
        <f>"8993137701150"</f>
        <v/>
      </c>
      <c r="C1848" t="inlineStr">
        <is>
          <t>INSTAPERFECT Hypergetic Precise Black Liner 1gr</t>
        </is>
      </c>
      <c r="D1848" t="inlineStr">
        <is>
          <t>Miss Glam Jambi</t>
        </is>
      </c>
      <c r="E1848" t="n">
        <v>4</v>
      </c>
      <c r="F1848" t="n">
        <v>0.009900000000000001</v>
      </c>
      <c r="G1848" t="n">
        <v>0.33</v>
      </c>
      <c r="H1848" t="n">
        <v>2</v>
      </c>
      <c r="I1848" t="n">
        <v>7</v>
      </c>
      <c r="J1848" t="n">
        <v>3</v>
      </c>
      <c r="K1848" t="n">
        <v>0</v>
      </c>
      <c r="L1848" t="n">
        <v>68256</v>
      </c>
      <c r="M1848" t="n">
        <v>96000</v>
      </c>
      <c r="N1848" t="n">
        <v>33</v>
      </c>
      <c r="O1848" t="n">
        <v>0.33</v>
      </c>
      <c r="P1848" t="n">
        <v>1</v>
      </c>
      <c r="Q1848" t="n">
        <v>0.03</v>
      </c>
      <c r="R1848" t="n">
        <v>1</v>
      </c>
      <c r="S1848" t="n">
        <v>950.4000000000001</v>
      </c>
      <c r="T1848" t="n">
        <v>3</v>
      </c>
      <c r="U1848" t="n">
        <v>4</v>
      </c>
      <c r="V1848" t="n">
        <v>30</v>
      </c>
      <c r="W1848" t="n">
        <v>1</v>
      </c>
      <c r="X1848" t="n">
        <v>404.040404040404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11578</v>
      </c>
      <c r="AG1848" t="n">
        <v>2141</v>
      </c>
      <c r="AH1848" t="inlineStr">
        <is>
          <t>PT. PARAMA GLOBAL INSPIRA - PPN (JMB)</t>
        </is>
      </c>
      <c r="AI1848" t="n">
        <v>1516</v>
      </c>
      <c r="AJ1848" t="inlineStr">
        <is>
          <t>INSTAPERFECT</t>
        </is>
      </c>
      <c r="AK1848" t="n">
        <v>9</v>
      </c>
      <c r="AL1848" t="inlineStr">
        <is>
          <t>Miss Glam Jambi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INSTAPERFECT</t>
        </is>
      </c>
      <c r="B1849" s="2">
        <f>"8993137725972"</f>
        <v/>
      </c>
      <c r="C1849" t="inlineStr">
        <is>
          <t>INSTAPERFECT Matte Fit Powder Foundation 22 Light Ivory 13gr</t>
        </is>
      </c>
      <c r="D1849" t="inlineStr">
        <is>
          <t>Miss Glam Jambi</t>
        </is>
      </c>
      <c r="E1849" t="n">
        <v>2</v>
      </c>
      <c r="F1849" t="n">
        <v>0.033</v>
      </c>
      <c r="G1849" t="n">
        <v>0.33</v>
      </c>
      <c r="H1849" t="n">
        <v>2</v>
      </c>
      <c r="I1849" t="n">
        <v>7</v>
      </c>
      <c r="J1849" t="n">
        <v>3</v>
      </c>
      <c r="K1849" t="n">
        <v>0</v>
      </c>
      <c r="L1849" t="n">
        <v>107537</v>
      </c>
      <c r="M1849" t="n">
        <v>141000</v>
      </c>
      <c r="N1849" t="n">
        <v>33</v>
      </c>
      <c r="O1849" t="n">
        <v>0.33</v>
      </c>
      <c r="P1849" t="n">
        <v>1</v>
      </c>
      <c r="Q1849" t="n">
        <v>0.05</v>
      </c>
      <c r="R1849" t="n">
        <v>1</v>
      </c>
      <c r="S1849" t="n">
        <v>4653</v>
      </c>
      <c r="T1849" t="n">
        <v>3</v>
      </c>
      <c r="U1849" t="n">
        <v>4</v>
      </c>
      <c r="V1849" t="n">
        <v>30</v>
      </c>
      <c r="W1849" t="n">
        <v>1</v>
      </c>
      <c r="X1849" t="n">
        <v>60.6060606060606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11578</v>
      </c>
      <c r="AG1849" t="n">
        <v>2141</v>
      </c>
      <c r="AH1849" t="inlineStr">
        <is>
          <t>PT. PARAMA GLOBAL INSPIRA - PPN (JMB)</t>
        </is>
      </c>
      <c r="AI1849" t="n">
        <v>1516</v>
      </c>
      <c r="AJ1849" t="inlineStr">
        <is>
          <t>INSTAPERFECT</t>
        </is>
      </c>
      <c r="AK1849" t="n">
        <v>9</v>
      </c>
      <c r="AL1849" t="inlineStr">
        <is>
          <t>Miss Glam Jambi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INSTAPERFECT</t>
        </is>
      </c>
      <c r="B1850" s="2">
        <f>"8993137725989"</f>
        <v/>
      </c>
      <c r="C1850" t="inlineStr">
        <is>
          <t>INSTAPERFECT Matte Fit Powder Foundation 32 True Beige 13gr</t>
        </is>
      </c>
      <c r="D1850" t="inlineStr">
        <is>
          <t>Miss Glam Jambi</t>
        </is>
      </c>
      <c r="E1850" t="n">
        <v>1</v>
      </c>
      <c r="F1850" t="n">
        <v>0.06270000000000001</v>
      </c>
      <c r="G1850" t="n">
        <v>0.66</v>
      </c>
      <c r="H1850" t="n">
        <v>2</v>
      </c>
      <c r="I1850" t="n">
        <v>7</v>
      </c>
      <c r="J1850" t="n">
        <v>3</v>
      </c>
      <c r="K1850" t="n">
        <v>3</v>
      </c>
      <c r="L1850" t="n">
        <v>108048</v>
      </c>
      <c r="M1850" t="n">
        <v>141000</v>
      </c>
      <c r="N1850" t="n">
        <v>33</v>
      </c>
      <c r="O1850" t="n">
        <v>0.33</v>
      </c>
      <c r="P1850" t="n">
        <v>1</v>
      </c>
      <c r="Q1850" t="n">
        <v>0.08</v>
      </c>
      <c r="R1850" t="n">
        <v>1</v>
      </c>
      <c r="S1850" t="n">
        <v>8840.700000000001</v>
      </c>
      <c r="T1850" t="n">
        <v>5</v>
      </c>
      <c r="U1850" t="n">
        <v>6</v>
      </c>
      <c r="V1850" t="n">
        <v>30</v>
      </c>
      <c r="W1850" t="n">
        <v>2</v>
      </c>
      <c r="X1850" t="n">
        <v>15.94896331738437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11578</v>
      </c>
      <c r="AG1850" t="n">
        <v>2141</v>
      </c>
      <c r="AH1850" t="inlineStr">
        <is>
          <t>PT. PARAMA GLOBAL INSPIRA - PPN (JMB)</t>
        </is>
      </c>
      <c r="AI1850" t="n">
        <v>1516</v>
      </c>
      <c r="AJ1850" t="inlineStr">
        <is>
          <t>INSTAPERFECT</t>
        </is>
      </c>
      <c r="AK1850" t="n">
        <v>9</v>
      </c>
      <c r="AL1850" t="inlineStr">
        <is>
          <t>Miss Glam Jambi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INSTAPERFECT</t>
        </is>
      </c>
      <c r="B1851" s="2">
        <f>"8993137726009"</f>
        <v/>
      </c>
      <c r="C1851" t="inlineStr">
        <is>
          <t>INSTAPERFECT Matte Fit Powder Foundation 43 Creme Sand 13gr</t>
        </is>
      </c>
      <c r="D1851" t="inlineStr">
        <is>
          <t>Miss Glam Jambi</t>
        </is>
      </c>
      <c r="E1851" t="n">
        <v>3</v>
      </c>
      <c r="F1851" t="n">
        <v>0.02</v>
      </c>
      <c r="G1851" t="n">
        <v>1</v>
      </c>
      <c r="H1851" t="n">
        <v>2</v>
      </c>
      <c r="I1851" t="n">
        <v>7</v>
      </c>
      <c r="J1851" t="n">
        <v>3</v>
      </c>
      <c r="K1851" t="n">
        <v>0</v>
      </c>
      <c r="L1851" t="n">
        <v>103451</v>
      </c>
      <c r="M1851" t="n">
        <v>141000</v>
      </c>
      <c r="N1851" t="n">
        <v>33</v>
      </c>
      <c r="O1851" t="n">
        <v>0.33</v>
      </c>
      <c r="P1851" t="n">
        <v>0</v>
      </c>
      <c r="Q1851" t="n">
        <v>0.02</v>
      </c>
      <c r="R1851" t="n">
        <v>1</v>
      </c>
      <c r="S1851" t="n">
        <v>2820</v>
      </c>
      <c r="T1851" t="n">
        <v>7</v>
      </c>
      <c r="U1851" t="n">
        <v>8</v>
      </c>
      <c r="V1851" t="n">
        <v>30</v>
      </c>
      <c r="W1851" t="n">
        <v>1</v>
      </c>
      <c r="X1851" t="n">
        <v>150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11578</v>
      </c>
      <c r="AG1851" t="n">
        <v>2141</v>
      </c>
      <c r="AH1851" t="inlineStr">
        <is>
          <t>PT. PARAMA GLOBAL INSPIRA - PPN (JMB)</t>
        </is>
      </c>
      <c r="AI1851" t="n">
        <v>1516</v>
      </c>
      <c r="AJ1851" t="inlineStr">
        <is>
          <t>INSTAPERFECT</t>
        </is>
      </c>
      <c r="AK1851" t="n">
        <v>9</v>
      </c>
      <c r="AL1851" t="inlineStr">
        <is>
          <t>Miss Glam Jambi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INSTAPERFECT</t>
        </is>
      </c>
      <c r="B1852" s="2">
        <f>"8993137726047"</f>
        <v/>
      </c>
      <c r="C1852" t="inlineStr">
        <is>
          <t>INSTAPERFECT Matte Fit Powder Foundation Refill 32 True Beige 13gr</t>
        </is>
      </c>
      <c r="D1852" t="inlineStr">
        <is>
          <t>Miss Glam Jambi</t>
        </is>
      </c>
      <c r="E1852" t="n">
        <v>2</v>
      </c>
      <c r="F1852" t="n">
        <v>0.06270000000000001</v>
      </c>
      <c r="G1852" t="n">
        <v>0.66</v>
      </c>
      <c r="H1852" t="n">
        <v>2</v>
      </c>
      <c r="I1852" t="n">
        <v>7</v>
      </c>
      <c r="J1852" t="n">
        <v>3</v>
      </c>
      <c r="K1852" t="n">
        <v>0</v>
      </c>
      <c r="L1852" t="n">
        <v>76170</v>
      </c>
      <c r="M1852" t="n">
        <v>101000</v>
      </c>
      <c r="N1852" t="n">
        <v>33</v>
      </c>
      <c r="O1852" t="n">
        <v>0.33</v>
      </c>
      <c r="P1852" t="n">
        <v>1</v>
      </c>
      <c r="Q1852" t="n">
        <v>0.02</v>
      </c>
      <c r="R1852" t="n">
        <v>1</v>
      </c>
      <c r="S1852" t="n">
        <v>6332.700000000001</v>
      </c>
      <c r="T1852" t="n">
        <v>5</v>
      </c>
      <c r="U1852" t="n">
        <v>6</v>
      </c>
      <c r="V1852" t="n">
        <v>30</v>
      </c>
      <c r="W1852" t="n">
        <v>2</v>
      </c>
      <c r="X1852" t="n">
        <v>31.89792663476874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11578</v>
      </c>
      <c r="AG1852" t="n">
        <v>2141</v>
      </c>
      <c r="AH1852" t="inlineStr">
        <is>
          <t>PT. PARAMA GLOBAL INSPIRA - PPN (JMB)</t>
        </is>
      </c>
      <c r="AI1852" t="n">
        <v>1516</v>
      </c>
      <c r="AJ1852" t="inlineStr">
        <is>
          <t>INSTAPERFECT</t>
        </is>
      </c>
      <c r="AK1852" t="n">
        <v>9</v>
      </c>
      <c r="AL1852" t="inlineStr">
        <is>
          <t>Miss Glam Jambi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INSTAPERFECT</t>
        </is>
      </c>
      <c r="B1853" s="2">
        <f>"20200219727"</f>
        <v/>
      </c>
      <c r="C1853" t="inlineStr">
        <is>
          <t>INSTAPERFECT Noir Lash Mascara 6gr</t>
        </is>
      </c>
      <c r="D1853" t="inlineStr">
        <is>
          <t>Miss Glam Jambi</t>
        </is>
      </c>
      <c r="E1853" t="n">
        <v>5</v>
      </c>
      <c r="F1853" t="n">
        <v>0.0264</v>
      </c>
      <c r="G1853" t="n">
        <v>1.32</v>
      </c>
      <c r="H1853" t="n">
        <v>2</v>
      </c>
      <c r="I1853" t="n">
        <v>7</v>
      </c>
      <c r="J1853" t="n">
        <v>1</v>
      </c>
      <c r="K1853" t="n">
        <v>0</v>
      </c>
      <c r="L1853" t="n">
        <v>102684</v>
      </c>
      <c r="M1853" t="n">
        <v>128500</v>
      </c>
      <c r="N1853" t="n">
        <v>33</v>
      </c>
      <c r="O1853" t="n">
        <v>0.33</v>
      </c>
      <c r="P1853" t="n">
        <v>1</v>
      </c>
      <c r="Q1853" t="n">
        <v>0.03</v>
      </c>
      <c r="R1853" t="n">
        <v>2</v>
      </c>
      <c r="S1853" t="n">
        <v>3392.400000000001</v>
      </c>
      <c r="T1853" t="n">
        <v>10</v>
      </c>
      <c r="U1853" t="n">
        <v>11</v>
      </c>
      <c r="V1853" t="n">
        <v>30</v>
      </c>
      <c r="W1853" t="n">
        <v>1</v>
      </c>
      <c r="X1853" t="n">
        <v>189.3939393939394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11578</v>
      </c>
      <c r="AG1853" t="n">
        <v>2141</v>
      </c>
      <c r="AH1853" t="inlineStr">
        <is>
          <t>PT. PARAMA GLOBAL INSPIRA - PPN (JMB)</t>
        </is>
      </c>
      <c r="AI1853" t="n">
        <v>1516</v>
      </c>
      <c r="AJ1853" t="inlineStr">
        <is>
          <t>INSTAPERFECT</t>
        </is>
      </c>
      <c r="AK1853" t="n">
        <v>9</v>
      </c>
      <c r="AL1853" t="inlineStr">
        <is>
          <t>Miss Glam Jambi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INSTAPERFECT</t>
        </is>
      </c>
      <c r="B1854" s="2">
        <f>"8993137720731"</f>
        <v/>
      </c>
      <c r="C1854" t="inlineStr">
        <is>
          <t>INSTAPERFECT Quickmatte Loose Powder 11 Fair Pink 9gr</t>
        </is>
      </c>
      <c r="D1854" t="inlineStr">
        <is>
          <t>Miss Glam Jambi</t>
        </is>
      </c>
      <c r="E1854" t="n">
        <v>2</v>
      </c>
      <c r="F1854" t="n">
        <v>0.006600000000000001</v>
      </c>
      <c r="G1854" t="n">
        <v>0.33</v>
      </c>
      <c r="H1854" t="n">
        <v>2</v>
      </c>
      <c r="I1854" t="n">
        <v>7</v>
      </c>
      <c r="J1854" t="n">
        <v>3</v>
      </c>
      <c r="K1854" t="n">
        <v>0</v>
      </c>
      <c r="L1854" t="n">
        <v>90423</v>
      </c>
      <c r="M1854" t="n">
        <v>123000</v>
      </c>
      <c r="N1854" t="n">
        <v>33</v>
      </c>
      <c r="O1854" t="n">
        <v>0.33</v>
      </c>
      <c r="P1854" t="n">
        <v>1</v>
      </c>
      <c r="Q1854" t="n">
        <v>0.02</v>
      </c>
      <c r="R1854" t="n">
        <v>1</v>
      </c>
      <c r="S1854" t="n">
        <v>811.8000000000001</v>
      </c>
      <c r="T1854" t="n">
        <v>3</v>
      </c>
      <c r="U1854" t="n">
        <v>4</v>
      </c>
      <c r="V1854" t="n">
        <v>30</v>
      </c>
      <c r="W1854" t="n">
        <v>1</v>
      </c>
      <c r="X1854" t="n">
        <v>303.030303030303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11578</v>
      </c>
      <c r="AG1854" t="n">
        <v>2141</v>
      </c>
      <c r="AH1854" t="inlineStr">
        <is>
          <t>PT. PARAMA GLOBAL INSPIRA - PPN (JMB)</t>
        </is>
      </c>
      <c r="AI1854" t="n">
        <v>1516</v>
      </c>
      <c r="AJ1854" t="inlineStr">
        <is>
          <t>INSTAPERFECT</t>
        </is>
      </c>
      <c r="AK1854" t="n">
        <v>9</v>
      </c>
      <c r="AL1854" t="inlineStr">
        <is>
          <t>Miss Glam Jambi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INSTAPERFECT</t>
        </is>
      </c>
      <c r="B1855" s="2">
        <f>"8993137720755"</f>
        <v/>
      </c>
      <c r="C1855" t="inlineStr">
        <is>
          <t>INSTAPERFECT Quickmatte Loose Powder 22 Light Ivory 9gr</t>
        </is>
      </c>
      <c r="D1855" t="inlineStr">
        <is>
          <t>Miss Glam Jambi</t>
        </is>
      </c>
      <c r="E1855" t="n">
        <v>3</v>
      </c>
      <c r="F1855" t="n">
        <v>0.0495</v>
      </c>
      <c r="G1855" t="n">
        <v>0.66</v>
      </c>
      <c r="H1855" t="n">
        <v>2</v>
      </c>
      <c r="I1855" t="n">
        <v>7</v>
      </c>
      <c r="J1855" t="n">
        <v>3</v>
      </c>
      <c r="K1855" t="n">
        <v>0</v>
      </c>
      <c r="L1855" t="n">
        <v>89848</v>
      </c>
      <c r="M1855" t="n">
        <v>123000</v>
      </c>
      <c r="N1855" t="n">
        <v>33</v>
      </c>
      <c r="O1855" t="n">
        <v>0.33</v>
      </c>
      <c r="P1855" t="n">
        <v>1</v>
      </c>
      <c r="Q1855" t="n">
        <v>0.02</v>
      </c>
      <c r="R1855" t="n">
        <v>1</v>
      </c>
      <c r="S1855" t="n">
        <v>6088.5</v>
      </c>
      <c r="T1855" t="n">
        <v>5</v>
      </c>
      <c r="U1855" t="n">
        <v>6</v>
      </c>
      <c r="V1855" t="n">
        <v>30</v>
      </c>
      <c r="W1855" t="n">
        <v>2</v>
      </c>
      <c r="X1855" t="n">
        <v>60.6060606060606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11578</v>
      </c>
      <c r="AG1855" t="n">
        <v>2141</v>
      </c>
      <c r="AH1855" t="inlineStr">
        <is>
          <t>PT. PARAMA GLOBAL INSPIRA - PPN (JMB)</t>
        </is>
      </c>
      <c r="AI1855" t="n">
        <v>1516</v>
      </c>
      <c r="AJ1855" t="inlineStr">
        <is>
          <t>INSTAPERFECT</t>
        </is>
      </c>
      <c r="AK1855" t="n">
        <v>9</v>
      </c>
      <c r="AL1855" t="inlineStr">
        <is>
          <t>Miss Glam Jambi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INSTAPERFECT</t>
        </is>
      </c>
      <c r="B1856" s="2">
        <f>"8993137723176"</f>
        <v/>
      </c>
      <c r="C1856" t="inlineStr">
        <is>
          <t>INSTAPERFECT Refill Skincover Air Cushion 11 Fair Pink 11gr</t>
        </is>
      </c>
      <c r="D1856" t="inlineStr">
        <is>
          <t>Miss Glam Jambi</t>
        </is>
      </c>
      <c r="E1856" t="n">
        <v>3</v>
      </c>
      <c r="F1856" t="n">
        <v>0.0561</v>
      </c>
      <c r="G1856" t="n">
        <v>0.33</v>
      </c>
      <c r="H1856" t="n">
        <v>2</v>
      </c>
      <c r="I1856" t="n">
        <v>7</v>
      </c>
      <c r="J1856" t="n">
        <v>3</v>
      </c>
      <c r="K1856" t="n">
        <v>0</v>
      </c>
      <c r="L1856" t="n">
        <v>91726</v>
      </c>
      <c r="M1856" t="n">
        <v>136000</v>
      </c>
      <c r="N1856" t="n">
        <v>33</v>
      </c>
      <c r="O1856" t="n">
        <v>0.33</v>
      </c>
      <c r="P1856" t="n">
        <v>1</v>
      </c>
      <c r="Q1856" t="n">
        <v>0.03</v>
      </c>
      <c r="R1856" t="n">
        <v>1</v>
      </c>
      <c r="S1856" t="n">
        <v>7629.6</v>
      </c>
      <c r="T1856" t="n">
        <v>3</v>
      </c>
      <c r="U1856" t="n">
        <v>4</v>
      </c>
      <c r="V1856" t="n">
        <v>30</v>
      </c>
      <c r="W1856" t="n">
        <v>2</v>
      </c>
      <c r="X1856" t="n">
        <v>53.475935828877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11578</v>
      </c>
      <c r="AG1856" t="n">
        <v>2141</v>
      </c>
      <c r="AH1856" t="inlineStr">
        <is>
          <t>PT. PARAMA GLOBAL INSPIRA - PPN (JMB)</t>
        </is>
      </c>
      <c r="AI1856" t="n">
        <v>1516</v>
      </c>
      <c r="AJ1856" t="inlineStr">
        <is>
          <t>INSTAPERFECT</t>
        </is>
      </c>
      <c r="AK1856" t="n">
        <v>9</v>
      </c>
      <c r="AL1856" t="inlineStr">
        <is>
          <t>Miss Glam Jambi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INSTAPERFECT</t>
        </is>
      </c>
      <c r="B1857" s="2">
        <f>"8993137723183"</f>
        <v/>
      </c>
      <c r="C1857" t="inlineStr">
        <is>
          <t>INSTAPERFECT Refill Skincover Air Cushion 22 Light Ivory 11gr</t>
        </is>
      </c>
      <c r="D1857" t="inlineStr">
        <is>
          <t>Miss Glam Jambi</t>
        </is>
      </c>
      <c r="E1857" t="n">
        <v>5</v>
      </c>
      <c r="F1857" t="n">
        <v>0.2244</v>
      </c>
      <c r="G1857" t="n">
        <v>0.99</v>
      </c>
      <c r="H1857" t="n">
        <v>2</v>
      </c>
      <c r="I1857" t="n">
        <v>7</v>
      </c>
      <c r="J1857" t="n">
        <v>3</v>
      </c>
      <c r="K1857" t="n">
        <v>3</v>
      </c>
      <c r="L1857" t="n">
        <v>93755</v>
      </c>
      <c r="M1857" t="n">
        <v>136000</v>
      </c>
      <c r="N1857" t="n">
        <v>33</v>
      </c>
      <c r="O1857" t="n">
        <v>0.33</v>
      </c>
      <c r="P1857" t="n">
        <v>1</v>
      </c>
      <c r="Q1857" t="n">
        <v>0.1</v>
      </c>
      <c r="R1857" t="n">
        <v>2</v>
      </c>
      <c r="S1857" t="n">
        <v>30518.4</v>
      </c>
      <c r="T1857" t="n">
        <v>7</v>
      </c>
      <c r="U1857" t="n">
        <v>8</v>
      </c>
      <c r="V1857" t="n">
        <v>30</v>
      </c>
      <c r="W1857" t="n">
        <v>7</v>
      </c>
      <c r="X1857" t="n">
        <v>22.28163992869875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11578</v>
      </c>
      <c r="AG1857" t="n">
        <v>2141</v>
      </c>
      <c r="AH1857" t="inlineStr">
        <is>
          <t>PT. PARAMA GLOBAL INSPIRA - PPN (JMB)</t>
        </is>
      </c>
      <c r="AI1857" t="n">
        <v>1516</v>
      </c>
      <c r="AJ1857" t="inlineStr">
        <is>
          <t>INSTAPERFECT</t>
        </is>
      </c>
      <c r="AK1857" t="n">
        <v>9</v>
      </c>
      <c r="AL1857" t="inlineStr">
        <is>
          <t>Miss Glam Jambi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INSTAPERFECT</t>
        </is>
      </c>
      <c r="B1858" s="2">
        <f>"8993137723190"</f>
        <v/>
      </c>
      <c r="C1858" t="inlineStr">
        <is>
          <t>INSTAPERFECT Refill Skincover Air Cushion 32 True Beige 11gr</t>
        </is>
      </c>
      <c r="D1858" t="inlineStr">
        <is>
          <t>Miss Glam Jambi</t>
        </is>
      </c>
      <c r="E1858" t="n">
        <v>2</v>
      </c>
      <c r="F1858" t="n">
        <v>0.1782</v>
      </c>
      <c r="G1858" t="n">
        <v>0.99</v>
      </c>
      <c r="H1858" t="n">
        <v>2</v>
      </c>
      <c r="I1858" t="n">
        <v>7</v>
      </c>
      <c r="J1858" t="n">
        <v>3</v>
      </c>
      <c r="K1858" t="n">
        <v>4</v>
      </c>
      <c r="L1858" t="n">
        <v>93565</v>
      </c>
      <c r="M1858" t="n">
        <v>136000</v>
      </c>
      <c r="N1858" t="n">
        <v>33</v>
      </c>
      <c r="O1858" t="n">
        <v>0.33</v>
      </c>
      <c r="P1858" t="n">
        <v>1</v>
      </c>
      <c r="Q1858" t="n">
        <v>0.1</v>
      </c>
      <c r="R1858" t="n">
        <v>2</v>
      </c>
      <c r="S1858" t="n">
        <v>24235.2</v>
      </c>
      <c r="T1858" t="n">
        <v>7</v>
      </c>
      <c r="U1858" t="n">
        <v>8</v>
      </c>
      <c r="V1858" t="n">
        <v>30</v>
      </c>
      <c r="W1858" t="n">
        <v>6</v>
      </c>
      <c r="X1858" t="n">
        <v>11.22334455667789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11578</v>
      </c>
      <c r="AG1858" t="n">
        <v>2141</v>
      </c>
      <c r="AH1858" t="inlineStr">
        <is>
          <t>PT. PARAMA GLOBAL INSPIRA - PPN (JMB)</t>
        </is>
      </c>
      <c r="AI1858" t="n">
        <v>1516</v>
      </c>
      <c r="AJ1858" t="inlineStr">
        <is>
          <t>INSTAPERFECT</t>
        </is>
      </c>
      <c r="AK1858" t="n">
        <v>9</v>
      </c>
      <c r="AL1858" t="inlineStr">
        <is>
          <t>Miss Glam Jambi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INSTAPERFECT</t>
        </is>
      </c>
      <c r="B1859" s="2">
        <f>"8993137723213"</f>
        <v/>
      </c>
      <c r="C1859" t="inlineStr">
        <is>
          <t>INSTAPERFECT Refill Skincover Air Cushion 43 Crème Sand 11gr</t>
        </is>
      </c>
      <c r="D1859" t="inlineStr">
        <is>
          <t>Miss Glam Jambi</t>
        </is>
      </c>
      <c r="E1859" t="n">
        <v>3</v>
      </c>
      <c r="F1859" t="n">
        <v>0.0231</v>
      </c>
      <c r="G1859" t="n">
        <v>0.66</v>
      </c>
      <c r="H1859" t="n">
        <v>2</v>
      </c>
      <c r="I1859" t="n">
        <v>7</v>
      </c>
      <c r="J1859" t="n">
        <v>3</v>
      </c>
      <c r="K1859" t="n">
        <v>0</v>
      </c>
      <c r="L1859" t="n">
        <v>91726</v>
      </c>
      <c r="M1859" t="n">
        <v>136000</v>
      </c>
      <c r="N1859" t="n">
        <v>33</v>
      </c>
      <c r="O1859" t="n">
        <v>0.33</v>
      </c>
      <c r="P1859" t="n">
        <v>1</v>
      </c>
      <c r="Q1859" t="n">
        <v>0.03</v>
      </c>
      <c r="R1859" t="n">
        <v>1</v>
      </c>
      <c r="S1859" t="n">
        <v>3141.6</v>
      </c>
      <c r="T1859" t="n">
        <v>5</v>
      </c>
      <c r="U1859" t="n">
        <v>6</v>
      </c>
      <c r="V1859" t="n">
        <v>30</v>
      </c>
      <c r="W1859" t="n">
        <v>1</v>
      </c>
      <c r="X1859" t="n">
        <v>129.8701298701299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11578</v>
      </c>
      <c r="AG1859" t="n">
        <v>2141</v>
      </c>
      <c r="AH1859" t="inlineStr">
        <is>
          <t>PT. PARAMA GLOBAL INSPIRA - PPN (JMB)</t>
        </is>
      </c>
      <c r="AI1859" t="n">
        <v>1516</v>
      </c>
      <c r="AJ1859" t="inlineStr">
        <is>
          <t>INSTAPERFECT</t>
        </is>
      </c>
      <c r="AK1859" t="n">
        <v>9</v>
      </c>
      <c r="AL1859" t="inlineStr">
        <is>
          <t>Miss Glam Jambi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INSTAPERFECT</t>
        </is>
      </c>
      <c r="B1860" s="2">
        <f>"20100490858"</f>
        <v/>
      </c>
      <c r="C1860" t="inlineStr">
        <is>
          <t>INSTAPERFECT Skin Glow Cover Mesh Cushion C11 Fair Pink 15gr</t>
        </is>
      </c>
      <c r="D1860" t="inlineStr">
        <is>
          <t>Miss Glam Jambi</t>
        </is>
      </c>
      <c r="E1860" t="n">
        <v>4</v>
      </c>
      <c r="F1860" t="n">
        <v>0.006600000000000001</v>
      </c>
      <c r="G1860" t="n">
        <v>0.33</v>
      </c>
      <c r="H1860" t="n">
        <v>2</v>
      </c>
      <c r="I1860" t="n">
        <v>7</v>
      </c>
      <c r="J1860" t="n">
        <v>1</v>
      </c>
      <c r="K1860" t="n">
        <v>0</v>
      </c>
      <c r="L1860" t="n">
        <v>158853</v>
      </c>
      <c r="M1860" t="n">
        <v>211500</v>
      </c>
      <c r="N1860" t="n">
        <v>33</v>
      </c>
      <c r="O1860" t="n">
        <v>0.33</v>
      </c>
      <c r="P1860" t="n">
        <v>1</v>
      </c>
      <c r="Q1860" t="n">
        <v>0.07000000000000001</v>
      </c>
      <c r="R1860" t="n">
        <v>1</v>
      </c>
      <c r="S1860" t="n">
        <v>1395.9</v>
      </c>
      <c r="T1860" t="n">
        <v>3</v>
      </c>
      <c r="U1860" t="n">
        <v>4</v>
      </c>
      <c r="V1860" t="n">
        <v>30</v>
      </c>
      <c r="W1860" t="n">
        <v>1</v>
      </c>
      <c r="X1860" t="n">
        <v>606.060606060606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11578</v>
      </c>
      <c r="AG1860" t="n">
        <v>2141</v>
      </c>
      <c r="AH1860" t="inlineStr">
        <is>
          <t>PT. PARAMA GLOBAL INSPIRA - PPN (JMB)</t>
        </is>
      </c>
      <c r="AI1860" t="n">
        <v>1516</v>
      </c>
      <c r="AJ1860" t="inlineStr">
        <is>
          <t>INSTAPERFECT</t>
        </is>
      </c>
      <c r="AK1860" t="n">
        <v>9</v>
      </c>
      <c r="AL1860" t="inlineStr">
        <is>
          <t>Miss Glam Jambi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INSTAPERFECT</t>
        </is>
      </c>
      <c r="B1861" s="2">
        <f>"20100491437"</f>
        <v/>
      </c>
      <c r="C1861" t="inlineStr">
        <is>
          <t>INSTAPERFECT Skin Glow Cover Mesh Cushion N12 Fair Silk 15gr</t>
        </is>
      </c>
      <c r="D1861" t="inlineStr">
        <is>
          <t>Miss Glam Jambi</t>
        </is>
      </c>
      <c r="E1861" t="n">
        <v>3</v>
      </c>
      <c r="F1861" t="n">
        <v>0.006600000000000001</v>
      </c>
      <c r="G1861" t="n">
        <v>0.33</v>
      </c>
      <c r="H1861" t="n">
        <v>2</v>
      </c>
      <c r="I1861" t="n">
        <v>7</v>
      </c>
      <c r="J1861" t="n">
        <v>1</v>
      </c>
      <c r="K1861" t="n">
        <v>0</v>
      </c>
      <c r="L1861" t="n">
        <v>160475</v>
      </c>
      <c r="M1861" t="n">
        <v>211500</v>
      </c>
      <c r="N1861" t="n">
        <v>33</v>
      </c>
      <c r="O1861" t="n">
        <v>0.33</v>
      </c>
      <c r="P1861" t="n">
        <v>1</v>
      </c>
      <c r="Q1861" t="n">
        <v>0.05</v>
      </c>
      <c r="R1861" t="n">
        <v>1</v>
      </c>
      <c r="S1861" t="n">
        <v>1395.9</v>
      </c>
      <c r="T1861" t="n">
        <v>3</v>
      </c>
      <c r="U1861" t="n">
        <v>4</v>
      </c>
      <c r="V1861" t="n">
        <v>30</v>
      </c>
      <c r="W1861" t="n">
        <v>1</v>
      </c>
      <c r="X1861" t="n">
        <v>454.5454545454545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11578</v>
      </c>
      <c r="AG1861" t="n">
        <v>2141</v>
      </c>
      <c r="AH1861" t="inlineStr">
        <is>
          <t>PT. PARAMA GLOBAL INSPIRA - PPN (JMB)</t>
        </is>
      </c>
      <c r="AI1861" t="n">
        <v>1516</v>
      </c>
      <c r="AJ1861" t="inlineStr">
        <is>
          <t>INSTAPERFECT</t>
        </is>
      </c>
      <c r="AK1861" t="n">
        <v>9</v>
      </c>
      <c r="AL1861" t="inlineStr">
        <is>
          <t>Miss Glam Jambi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INSTAPERFECT</t>
        </is>
      </c>
      <c r="B1862" s="2">
        <f>"20100490907"</f>
        <v/>
      </c>
      <c r="C1862" t="inlineStr">
        <is>
          <t>INSTAPERFECT Skin Glow Cover Mesh Cushion N22 Light Ivory 15gr</t>
        </is>
      </c>
      <c r="D1862" t="inlineStr">
        <is>
          <t>Miss Glam Jambi</t>
        </is>
      </c>
      <c r="E1862" t="n">
        <v>4</v>
      </c>
      <c r="F1862" t="n">
        <v>0.0396</v>
      </c>
      <c r="G1862" t="n">
        <v>0.33</v>
      </c>
      <c r="H1862" t="n">
        <v>2</v>
      </c>
      <c r="I1862" t="n">
        <v>7</v>
      </c>
      <c r="J1862" t="n">
        <v>1</v>
      </c>
      <c r="K1862" t="n">
        <v>0</v>
      </c>
      <c r="L1862" t="n">
        <v>168586</v>
      </c>
      <c r="M1862" t="n">
        <v>211500</v>
      </c>
      <c r="N1862" t="n">
        <v>33</v>
      </c>
      <c r="O1862" t="n">
        <v>0.33</v>
      </c>
      <c r="P1862" t="n">
        <v>1</v>
      </c>
      <c r="Q1862" t="n">
        <v>0.14</v>
      </c>
      <c r="R1862" t="n">
        <v>1</v>
      </c>
      <c r="S1862" t="n">
        <v>8375.400000000001</v>
      </c>
      <c r="T1862" t="n">
        <v>3</v>
      </c>
      <c r="U1862" t="n">
        <v>4</v>
      </c>
      <c r="V1862" t="n">
        <v>30</v>
      </c>
      <c r="W1862" t="n">
        <v>2</v>
      </c>
      <c r="X1862" t="n">
        <v>101.010101010101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11578</v>
      </c>
      <c r="AG1862" t="n">
        <v>2141</v>
      </c>
      <c r="AH1862" t="inlineStr">
        <is>
          <t>PT. PARAMA GLOBAL INSPIRA - PPN (JMB)</t>
        </is>
      </c>
      <c r="AI1862" t="n">
        <v>1516</v>
      </c>
      <c r="AJ1862" t="inlineStr">
        <is>
          <t>INSTAPERFECT</t>
        </is>
      </c>
      <c r="AK1862" t="n">
        <v>9</v>
      </c>
      <c r="AL1862" t="inlineStr">
        <is>
          <t>Miss Glam Jambi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INSTAPERFECT</t>
        </is>
      </c>
      <c r="B1863" s="2">
        <f>"20100491021"</f>
        <v/>
      </c>
      <c r="C1863" t="inlineStr">
        <is>
          <t>INSTAPERFECT Skin Glow Cover Mesh Cushion N32 True Beige 15gr</t>
        </is>
      </c>
      <c r="D1863" t="inlineStr">
        <is>
          <t>Miss Glam Jambi</t>
        </is>
      </c>
      <c r="E1863" t="n">
        <v>2</v>
      </c>
      <c r="F1863" t="n">
        <v>0.0231</v>
      </c>
      <c r="G1863" t="n">
        <v>0.66</v>
      </c>
      <c r="H1863" t="n">
        <v>2</v>
      </c>
      <c r="I1863" t="n">
        <v>7</v>
      </c>
      <c r="J1863" t="n">
        <v>1</v>
      </c>
      <c r="K1863" t="n">
        <v>0</v>
      </c>
      <c r="L1863" t="n">
        <v>163720</v>
      </c>
      <c r="M1863" t="n">
        <v>211500</v>
      </c>
      <c r="N1863" t="n">
        <v>33</v>
      </c>
      <c r="O1863" t="n">
        <v>0.33</v>
      </c>
      <c r="P1863" t="n">
        <v>1</v>
      </c>
      <c r="Q1863" t="n">
        <v>0.05</v>
      </c>
      <c r="R1863" t="n">
        <v>1</v>
      </c>
      <c r="S1863" t="n">
        <v>4885.650000000001</v>
      </c>
      <c r="T1863" t="n">
        <v>5</v>
      </c>
      <c r="U1863" t="n">
        <v>6</v>
      </c>
      <c r="V1863" t="n">
        <v>30</v>
      </c>
      <c r="W1863" t="n">
        <v>1</v>
      </c>
      <c r="X1863" t="n">
        <v>86.58008658008657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11578</v>
      </c>
      <c r="AG1863" t="n">
        <v>2141</v>
      </c>
      <c r="AH1863" t="inlineStr">
        <is>
          <t>PT. PARAMA GLOBAL INSPIRA - PPN (JMB)</t>
        </is>
      </c>
      <c r="AI1863" t="n">
        <v>1516</v>
      </c>
      <c r="AJ1863" t="inlineStr">
        <is>
          <t>INSTAPERFECT</t>
        </is>
      </c>
      <c r="AK1863" t="n">
        <v>9</v>
      </c>
      <c r="AL1863" t="inlineStr">
        <is>
          <t>Miss Glam Jambi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INSTAPERFECT</t>
        </is>
      </c>
      <c r="B1864" s="2">
        <f>"20100491701"</f>
        <v/>
      </c>
      <c r="C1864" t="inlineStr">
        <is>
          <t>INSTAPERFECT Skin Glow Cover Mesh Cushion W24 Light Marigold 15gr</t>
        </is>
      </c>
      <c r="D1864" t="inlineStr">
        <is>
          <t>Miss Glam Jambi</t>
        </is>
      </c>
      <c r="E1864" t="n">
        <v>3</v>
      </c>
      <c r="F1864" t="n">
        <v>0.0231</v>
      </c>
      <c r="G1864" t="n">
        <v>0.33</v>
      </c>
      <c r="H1864" t="n">
        <v>2</v>
      </c>
      <c r="I1864" t="n">
        <v>7</v>
      </c>
      <c r="J1864" t="n">
        <v>1</v>
      </c>
      <c r="K1864" t="n">
        <v>0</v>
      </c>
      <c r="L1864" t="n">
        <v>159007</v>
      </c>
      <c r="M1864" t="n">
        <v>211500</v>
      </c>
      <c r="N1864" t="n">
        <v>33</v>
      </c>
      <c r="O1864" t="n">
        <v>0.33</v>
      </c>
      <c r="P1864" t="n">
        <v>1</v>
      </c>
      <c r="Q1864" t="n">
        <v>0.03</v>
      </c>
      <c r="R1864" t="n">
        <v>1</v>
      </c>
      <c r="S1864" t="n">
        <v>4885.650000000001</v>
      </c>
      <c r="T1864" t="n">
        <v>3</v>
      </c>
      <c r="U1864" t="n">
        <v>4</v>
      </c>
      <c r="V1864" t="n">
        <v>30</v>
      </c>
      <c r="W1864" t="n">
        <v>1</v>
      </c>
      <c r="X1864" t="n">
        <v>129.8701298701299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11578</v>
      </c>
      <c r="AG1864" t="n">
        <v>2141</v>
      </c>
      <c r="AH1864" t="inlineStr">
        <is>
          <t>PT. PARAMA GLOBAL INSPIRA - PPN (JMB)</t>
        </is>
      </c>
      <c r="AI1864" t="n">
        <v>1516</v>
      </c>
      <c r="AJ1864" t="inlineStr">
        <is>
          <t>INSTAPERFECT</t>
        </is>
      </c>
      <c r="AK1864" t="n">
        <v>9</v>
      </c>
      <c r="AL1864" t="inlineStr">
        <is>
          <t>Miss Glam Jambi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INSTAPERFECT</t>
        </is>
      </c>
      <c r="B1865" s="2">
        <f>"20100491107"</f>
        <v/>
      </c>
      <c r="C1865" t="inlineStr">
        <is>
          <t>INSTAPERFECT Skin Glow Cover Mesh Cushion W33 Olive Beige 15gr</t>
        </is>
      </c>
      <c r="D1865" t="inlineStr">
        <is>
          <t>Miss Glam Jambi</t>
        </is>
      </c>
      <c r="E1865" t="n">
        <v>2</v>
      </c>
      <c r="F1865" t="n">
        <v>0.006600000000000001</v>
      </c>
      <c r="G1865" t="n">
        <v>0.33</v>
      </c>
      <c r="H1865" t="n">
        <v>2</v>
      </c>
      <c r="I1865" t="n">
        <v>7</v>
      </c>
      <c r="J1865" t="n">
        <v>1</v>
      </c>
      <c r="K1865" t="n">
        <v>0</v>
      </c>
      <c r="L1865" t="n">
        <v>165545</v>
      </c>
      <c r="M1865" t="n">
        <v>211500</v>
      </c>
      <c r="N1865" t="n">
        <v>33</v>
      </c>
      <c r="O1865" t="n">
        <v>0.33</v>
      </c>
      <c r="P1865" t="n">
        <v>1</v>
      </c>
      <c r="Q1865" t="n">
        <v>0.03</v>
      </c>
      <c r="R1865" t="n">
        <v>1</v>
      </c>
      <c r="S1865" t="n">
        <v>1395.9</v>
      </c>
      <c r="T1865" t="n">
        <v>3</v>
      </c>
      <c r="U1865" t="n">
        <v>4</v>
      </c>
      <c r="V1865" t="n">
        <v>30</v>
      </c>
      <c r="W1865" t="n">
        <v>1</v>
      </c>
      <c r="X1865" t="n">
        <v>303.030303030303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11578</v>
      </c>
      <c r="AG1865" t="n">
        <v>2141</v>
      </c>
      <c r="AH1865" t="inlineStr">
        <is>
          <t>PT. PARAMA GLOBAL INSPIRA - PPN (JMB)</t>
        </is>
      </c>
      <c r="AI1865" t="n">
        <v>1516</v>
      </c>
      <c r="AJ1865" t="inlineStr">
        <is>
          <t>INSTAPERFECT</t>
        </is>
      </c>
      <c r="AK1865" t="n">
        <v>9</v>
      </c>
      <c r="AL1865" t="inlineStr">
        <is>
          <t>Miss Glam Jambi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INSTAPERFECT</t>
        </is>
      </c>
      <c r="B1866" s="2">
        <f>"8993137723114"</f>
        <v/>
      </c>
      <c r="C1866" t="inlineStr">
        <is>
          <t>INSTAPERFECT Skincover Air Cushion 11 Fair Pink 11gr</t>
        </is>
      </c>
      <c r="D1866" t="inlineStr">
        <is>
          <t>Miss Glam Jambi</t>
        </is>
      </c>
      <c r="E1866" t="n">
        <v>3</v>
      </c>
      <c r="F1866" t="n">
        <v>0.033</v>
      </c>
      <c r="G1866" t="n">
        <v>0.33</v>
      </c>
      <c r="H1866" t="n">
        <v>2</v>
      </c>
      <c r="I1866" t="n">
        <v>7</v>
      </c>
      <c r="J1866" t="n">
        <v>3</v>
      </c>
      <c r="K1866" t="n">
        <v>0</v>
      </c>
      <c r="L1866" t="n">
        <v>124141</v>
      </c>
      <c r="M1866" t="n">
        <v>184000</v>
      </c>
      <c r="N1866" t="n">
        <v>33</v>
      </c>
      <c r="O1866" t="n">
        <v>0.33</v>
      </c>
      <c r="P1866" t="n">
        <v>1</v>
      </c>
      <c r="Q1866" t="n">
        <v>0.03</v>
      </c>
      <c r="R1866" t="n">
        <v>1</v>
      </c>
      <c r="S1866" t="n">
        <v>6072</v>
      </c>
      <c r="T1866" t="n">
        <v>3</v>
      </c>
      <c r="U1866" t="n">
        <v>4</v>
      </c>
      <c r="V1866" t="n">
        <v>30</v>
      </c>
      <c r="W1866" t="n">
        <v>1</v>
      </c>
      <c r="X1866" t="n">
        <v>90.90909090909091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11578</v>
      </c>
      <c r="AG1866" t="n">
        <v>2141</v>
      </c>
      <c r="AH1866" t="inlineStr">
        <is>
          <t>PT. PARAMA GLOBAL INSPIRA - PPN (JMB)</t>
        </is>
      </c>
      <c r="AI1866" t="n">
        <v>1516</v>
      </c>
      <c r="AJ1866" t="inlineStr">
        <is>
          <t>INSTAPERFECT</t>
        </is>
      </c>
      <c r="AK1866" t="n">
        <v>9</v>
      </c>
      <c r="AL1866" t="inlineStr">
        <is>
          <t>Miss Glam Jambi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INSTAPERFECT</t>
        </is>
      </c>
      <c r="B1867" s="2">
        <f>"8993137723121"</f>
        <v/>
      </c>
      <c r="C1867" t="inlineStr">
        <is>
          <t>INSTAPERFECT Skincover Air Cushion 22 Light Ivory 11gr</t>
        </is>
      </c>
      <c r="D1867" t="inlineStr">
        <is>
          <t>Miss Glam Jambi</t>
        </is>
      </c>
      <c r="E1867" t="n">
        <v>3</v>
      </c>
      <c r="F1867" t="n">
        <v>0.0462</v>
      </c>
      <c r="G1867" t="n">
        <v>0.66</v>
      </c>
      <c r="H1867" t="n">
        <v>2</v>
      </c>
      <c r="I1867" t="n">
        <v>7</v>
      </c>
      <c r="J1867" t="n">
        <v>3</v>
      </c>
      <c r="K1867" t="n">
        <v>0</v>
      </c>
      <c r="L1867" t="n">
        <v>126838</v>
      </c>
      <c r="M1867" t="n">
        <v>184000</v>
      </c>
      <c r="N1867" t="n">
        <v>33</v>
      </c>
      <c r="O1867" t="n">
        <v>0.33</v>
      </c>
      <c r="P1867" t="n">
        <v>1</v>
      </c>
      <c r="Q1867" t="n">
        <v>0.12</v>
      </c>
      <c r="R1867" t="n">
        <v>2</v>
      </c>
      <c r="S1867" t="n">
        <v>8500.800000000001</v>
      </c>
      <c r="T1867" t="n">
        <v>5</v>
      </c>
      <c r="U1867" t="n">
        <v>6</v>
      </c>
      <c r="V1867" t="n">
        <v>30</v>
      </c>
      <c r="W1867" t="n">
        <v>2</v>
      </c>
      <c r="X1867" t="n">
        <v>64.93506493506493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11578</v>
      </c>
      <c r="AG1867" t="n">
        <v>2141</v>
      </c>
      <c r="AH1867" t="inlineStr">
        <is>
          <t>PT. PARAMA GLOBAL INSPIRA - PPN (JMB)</t>
        </is>
      </c>
      <c r="AI1867" t="n">
        <v>1516</v>
      </c>
      <c r="AJ1867" t="inlineStr">
        <is>
          <t>INSTAPERFECT</t>
        </is>
      </c>
      <c r="AK1867" t="n">
        <v>9</v>
      </c>
      <c r="AL1867" t="inlineStr">
        <is>
          <t>Miss Glam Jambi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INSTAPERFECT</t>
        </is>
      </c>
      <c r="B1868" s="2">
        <f>"8993137723138"</f>
        <v/>
      </c>
      <c r="C1868" t="inlineStr">
        <is>
          <t>INSTAPERFECT Skincover Air Cushion 32 True Beige 11gr</t>
        </is>
      </c>
      <c r="D1868" t="inlineStr">
        <is>
          <t>Miss Glam Jambi</t>
        </is>
      </c>
      <c r="E1868" t="n">
        <v>3</v>
      </c>
      <c r="F1868" t="n">
        <v>0.07920000000000001</v>
      </c>
      <c r="G1868" t="n">
        <v>0.66</v>
      </c>
      <c r="H1868" t="n">
        <v>2</v>
      </c>
      <c r="I1868" t="n">
        <v>7</v>
      </c>
      <c r="J1868" t="n">
        <v>3</v>
      </c>
      <c r="K1868" t="n">
        <v>0</v>
      </c>
      <c r="L1868" t="n">
        <v>125323</v>
      </c>
      <c r="M1868" t="n">
        <v>184000</v>
      </c>
      <c r="N1868" t="n">
        <v>33</v>
      </c>
      <c r="O1868" t="n">
        <v>0.33</v>
      </c>
      <c r="P1868" t="n">
        <v>1</v>
      </c>
      <c r="Q1868" t="n">
        <v>0.02</v>
      </c>
      <c r="R1868" t="n">
        <v>1</v>
      </c>
      <c r="S1868" t="n">
        <v>14572.8</v>
      </c>
      <c r="T1868" t="n">
        <v>5</v>
      </c>
      <c r="U1868" t="n">
        <v>6</v>
      </c>
      <c r="V1868" t="n">
        <v>30</v>
      </c>
      <c r="W1868" t="n">
        <v>3</v>
      </c>
      <c r="X1868" t="n">
        <v>37.87878787878788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11578</v>
      </c>
      <c r="AG1868" t="n">
        <v>2141</v>
      </c>
      <c r="AH1868" t="inlineStr">
        <is>
          <t>PT. PARAMA GLOBAL INSPIRA - PPN (JMB)</t>
        </is>
      </c>
      <c r="AI1868" t="n">
        <v>1516</v>
      </c>
      <c r="AJ1868" t="inlineStr">
        <is>
          <t>INSTAPERFECT</t>
        </is>
      </c>
      <c r="AK1868" t="n">
        <v>9</v>
      </c>
      <c r="AL1868" t="inlineStr">
        <is>
          <t>Miss Glam Jambi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INSTAPERFECT</t>
        </is>
      </c>
      <c r="B1869" s="2">
        <f>"8993137723145"</f>
        <v/>
      </c>
      <c r="C1869" t="inlineStr">
        <is>
          <t>INSTAPERFECT Skincover Air Cushion 33 Warm Olive 11gr</t>
        </is>
      </c>
      <c r="D1869" t="inlineStr">
        <is>
          <t>Miss Glam Jambi</t>
        </is>
      </c>
      <c r="E1869" t="n">
        <v>1</v>
      </c>
      <c r="F1869" t="n">
        <v>0.009900000000000001</v>
      </c>
      <c r="G1869" t="n">
        <v>0.33</v>
      </c>
      <c r="H1869" t="n">
        <v>2</v>
      </c>
      <c r="I1869" t="n">
        <v>7</v>
      </c>
      <c r="J1869" t="n">
        <v>3</v>
      </c>
      <c r="K1869" t="n">
        <v>0</v>
      </c>
      <c r="L1869" t="n">
        <v>137934</v>
      </c>
      <c r="M1869" t="n">
        <v>184000</v>
      </c>
      <c r="N1869" t="n">
        <v>33</v>
      </c>
      <c r="O1869" t="n">
        <v>0.33</v>
      </c>
      <c r="P1869" t="n">
        <v>1</v>
      </c>
      <c r="Q1869" t="n">
        <v>0.03</v>
      </c>
      <c r="R1869" t="n">
        <v>1</v>
      </c>
      <c r="S1869" t="n">
        <v>1821.6</v>
      </c>
      <c r="T1869" t="n">
        <v>3</v>
      </c>
      <c r="U1869" t="n">
        <v>4</v>
      </c>
      <c r="V1869" t="n">
        <v>30</v>
      </c>
      <c r="W1869" t="n">
        <v>1</v>
      </c>
      <c r="X1869" t="n">
        <v>101.010101010101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11578</v>
      </c>
      <c r="AG1869" t="n">
        <v>2141</v>
      </c>
      <c r="AH1869" t="inlineStr">
        <is>
          <t>PT. PARAMA GLOBAL INSPIRA - PPN (JMB)</t>
        </is>
      </c>
      <c r="AI1869" t="n">
        <v>1516</v>
      </c>
      <c r="AJ1869" t="inlineStr">
        <is>
          <t>INSTAPERFECT</t>
        </is>
      </c>
      <c r="AK1869" t="n">
        <v>9</v>
      </c>
      <c r="AL1869" t="inlineStr">
        <is>
          <t>Miss Glam Jambi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INSTAPERFECT</t>
        </is>
      </c>
      <c r="B1870" s="2">
        <f>"8993137008990"</f>
        <v/>
      </c>
      <c r="C1870" t="inlineStr">
        <is>
          <t>INSTAPERFECT Skincover Air Cushion C21 Light Petal 11gr</t>
        </is>
      </c>
      <c r="D1870" t="inlineStr">
        <is>
          <t>Miss Glam Jambi</t>
        </is>
      </c>
      <c r="E1870" t="n">
        <v>2</v>
      </c>
      <c r="F1870" t="n">
        <v>0.006600000000000001</v>
      </c>
      <c r="G1870" t="n">
        <v>0.33</v>
      </c>
      <c r="H1870" t="n">
        <v>2</v>
      </c>
      <c r="I1870" t="n">
        <v>7</v>
      </c>
      <c r="J1870" t="n">
        <v>3</v>
      </c>
      <c r="K1870" t="n">
        <v>0</v>
      </c>
      <c r="L1870" t="n">
        <v>123714</v>
      </c>
      <c r="M1870" t="n">
        <v>184000</v>
      </c>
      <c r="N1870" t="n">
        <v>33</v>
      </c>
      <c r="O1870" t="n">
        <v>0.33</v>
      </c>
      <c r="P1870" t="n">
        <v>1</v>
      </c>
      <c r="Q1870" t="n">
        <v>0.02</v>
      </c>
      <c r="R1870" t="n">
        <v>1</v>
      </c>
      <c r="S1870" t="n">
        <v>1214.4</v>
      </c>
      <c r="T1870" t="n">
        <v>3</v>
      </c>
      <c r="U1870" t="n">
        <v>4</v>
      </c>
      <c r="V1870" t="n">
        <v>30</v>
      </c>
      <c r="W1870" t="n">
        <v>1</v>
      </c>
      <c r="X1870" t="n">
        <v>303.030303030303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11578</v>
      </c>
      <c r="AG1870" t="n">
        <v>2141</v>
      </c>
      <c r="AH1870" t="inlineStr">
        <is>
          <t>PT. PARAMA GLOBAL INSPIRA - PPN (JMB)</t>
        </is>
      </c>
      <c r="AI1870" t="n">
        <v>1516</v>
      </c>
      <c r="AJ1870" t="inlineStr">
        <is>
          <t>INSTAPERFECT</t>
        </is>
      </c>
      <c r="AK1870" t="n">
        <v>9</v>
      </c>
      <c r="AL1870" t="inlineStr">
        <is>
          <t>Miss Glam Jambi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INSTAPERFECT</t>
        </is>
      </c>
      <c r="B1871" s="2">
        <f>"8993137009010"</f>
        <v/>
      </c>
      <c r="C1871" t="inlineStr">
        <is>
          <t>INSTAPERFECT Skincover Air Cushion C31 Cool Beige 11gr</t>
        </is>
      </c>
      <c r="D1871" t="inlineStr">
        <is>
          <t>Miss Glam Jambi</t>
        </is>
      </c>
      <c r="E1871" t="n">
        <v>2</v>
      </c>
      <c r="F1871" t="n">
        <v>0.006600000000000001</v>
      </c>
      <c r="G1871" t="n">
        <v>0.33</v>
      </c>
      <c r="H1871" t="n">
        <v>2</v>
      </c>
      <c r="I1871" t="n">
        <v>7</v>
      </c>
      <c r="J1871" t="n">
        <v>3</v>
      </c>
      <c r="K1871" t="n">
        <v>0</v>
      </c>
      <c r="L1871" t="n">
        <v>123714</v>
      </c>
      <c r="M1871" t="n">
        <v>184000</v>
      </c>
      <c r="N1871" t="n">
        <v>33</v>
      </c>
      <c r="O1871" t="n">
        <v>0.33</v>
      </c>
      <c r="P1871" t="n">
        <v>1</v>
      </c>
      <c r="Q1871" t="n">
        <v>0.02</v>
      </c>
      <c r="R1871" t="n">
        <v>1</v>
      </c>
      <c r="S1871" t="n">
        <v>1214.4</v>
      </c>
      <c r="T1871" t="n">
        <v>3</v>
      </c>
      <c r="U1871" t="n">
        <v>4</v>
      </c>
      <c r="V1871" t="n">
        <v>30</v>
      </c>
      <c r="W1871" t="n">
        <v>1</v>
      </c>
      <c r="X1871" t="n">
        <v>303.030303030303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11578</v>
      </c>
      <c r="AG1871" t="n">
        <v>2141</v>
      </c>
      <c r="AH1871" t="inlineStr">
        <is>
          <t>PT. PARAMA GLOBAL INSPIRA - PPN (JMB)</t>
        </is>
      </c>
      <c r="AI1871" t="n">
        <v>1516</v>
      </c>
      <c r="AJ1871" t="inlineStr">
        <is>
          <t>INSTAPERFECT</t>
        </is>
      </c>
      <c r="AK1871" t="n">
        <v>9</v>
      </c>
      <c r="AL1871" t="inlineStr">
        <is>
          <t>Miss Glam Jambi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INSTAPERFECT</t>
        </is>
      </c>
      <c r="B1872" s="2">
        <f>"8993137008976"</f>
        <v/>
      </c>
      <c r="C1872" t="inlineStr">
        <is>
          <t>INSTAPERFECT Skincover Air Cushion N12 Fair Silk 11gr</t>
        </is>
      </c>
      <c r="D1872" t="inlineStr">
        <is>
          <t>Miss Glam Jambi</t>
        </is>
      </c>
      <c r="E1872" t="n">
        <v>5</v>
      </c>
      <c r="F1872" t="n">
        <v>0.0495</v>
      </c>
      <c r="G1872" t="n">
        <v>0.66</v>
      </c>
      <c r="H1872" t="n">
        <v>2</v>
      </c>
      <c r="I1872" t="n">
        <v>7</v>
      </c>
      <c r="J1872" t="n">
        <v>3</v>
      </c>
      <c r="K1872" t="n">
        <v>0</v>
      </c>
      <c r="L1872" t="n">
        <v>126637</v>
      </c>
      <c r="M1872" t="n">
        <v>184000</v>
      </c>
      <c r="N1872" t="n">
        <v>33</v>
      </c>
      <c r="O1872" t="n">
        <v>0.33</v>
      </c>
      <c r="P1872" t="n">
        <v>1</v>
      </c>
      <c r="Q1872" t="n">
        <v>0.02</v>
      </c>
      <c r="R1872" t="n">
        <v>1</v>
      </c>
      <c r="S1872" t="n">
        <v>9108</v>
      </c>
      <c r="T1872" t="n">
        <v>5</v>
      </c>
      <c r="U1872" t="n">
        <v>6</v>
      </c>
      <c r="V1872" t="n">
        <v>30</v>
      </c>
      <c r="W1872" t="n">
        <v>2</v>
      </c>
      <c r="X1872" t="n">
        <v>101.010101010101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11578</v>
      </c>
      <c r="AG1872" t="n">
        <v>2141</v>
      </c>
      <c r="AH1872" t="inlineStr">
        <is>
          <t>PT. PARAMA GLOBAL INSPIRA - PPN (JMB)</t>
        </is>
      </c>
      <c r="AI1872" t="n">
        <v>1516</v>
      </c>
      <c r="AJ1872" t="inlineStr">
        <is>
          <t>INSTAPERFECT</t>
        </is>
      </c>
      <c r="AK1872" t="n">
        <v>9</v>
      </c>
      <c r="AL1872" t="inlineStr">
        <is>
          <t>Miss Glam Jambi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INSTAPERFECT</t>
        </is>
      </c>
      <c r="B1873" s="2">
        <f>"8993137008983"</f>
        <v/>
      </c>
      <c r="C1873" t="inlineStr">
        <is>
          <t>INSTAPERFECT Skincover Air Cushion W14 Fair Pearl 11gr</t>
        </is>
      </c>
      <c r="D1873" t="inlineStr">
        <is>
          <t>Miss Glam Jambi</t>
        </is>
      </c>
      <c r="E1873" t="n">
        <v>5</v>
      </c>
      <c r="F1873" t="n">
        <v>0.009900000000000001</v>
      </c>
      <c r="G1873" t="n">
        <v>0.33</v>
      </c>
      <c r="H1873" t="n">
        <v>2</v>
      </c>
      <c r="I1873" t="n">
        <v>7</v>
      </c>
      <c r="J1873" t="n">
        <v>3</v>
      </c>
      <c r="K1873" t="n">
        <v>0</v>
      </c>
      <c r="L1873" t="n">
        <v>125349</v>
      </c>
      <c r="M1873" t="n">
        <v>184000</v>
      </c>
      <c r="N1873" t="n">
        <v>33</v>
      </c>
      <c r="O1873" t="n">
        <v>0.33</v>
      </c>
      <c r="P1873" t="n">
        <v>1</v>
      </c>
      <c r="Q1873" t="n">
        <v>0.02</v>
      </c>
      <c r="R1873" t="n">
        <v>1</v>
      </c>
      <c r="S1873" t="n">
        <v>1821.6</v>
      </c>
      <c r="T1873" t="n">
        <v>3</v>
      </c>
      <c r="U1873" t="n">
        <v>4</v>
      </c>
      <c r="V1873" t="n">
        <v>30</v>
      </c>
      <c r="W1873" t="n">
        <v>1</v>
      </c>
      <c r="X1873" t="n">
        <v>505.050505050505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11578</v>
      </c>
      <c r="AG1873" t="n">
        <v>2141</v>
      </c>
      <c r="AH1873" t="inlineStr">
        <is>
          <t>PT. PARAMA GLOBAL INSPIRA - PPN (JMB)</t>
        </is>
      </c>
      <c r="AI1873" t="n">
        <v>1516</v>
      </c>
      <c r="AJ1873" t="inlineStr">
        <is>
          <t>INSTAPERFECT</t>
        </is>
      </c>
      <c r="AK1873" t="n">
        <v>9</v>
      </c>
      <c r="AL1873" t="inlineStr">
        <is>
          <t>Miss Glam Jambi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INSTAPERFECT</t>
        </is>
      </c>
      <c r="B1874" s="2">
        <f>"8993137009003"</f>
        <v/>
      </c>
      <c r="C1874" t="inlineStr">
        <is>
          <t>INSTAPERFECT Skincover Air Cushion W24 Light Marigold 11gr</t>
        </is>
      </c>
      <c r="D1874" t="inlineStr">
        <is>
          <t>Miss Glam Jambi</t>
        </is>
      </c>
      <c r="E1874" t="n">
        <v>3</v>
      </c>
      <c r="F1874" t="n">
        <v>0.009900000000000001</v>
      </c>
      <c r="G1874" t="n">
        <v>0.33</v>
      </c>
      <c r="H1874" t="n">
        <v>2</v>
      </c>
      <c r="I1874" t="n">
        <v>7</v>
      </c>
      <c r="J1874" t="n">
        <v>3</v>
      </c>
      <c r="K1874" t="n">
        <v>0</v>
      </c>
      <c r="L1874" t="n">
        <v>131652</v>
      </c>
      <c r="M1874" t="n">
        <v>184000</v>
      </c>
      <c r="N1874" t="n">
        <v>33</v>
      </c>
      <c r="O1874" t="n">
        <v>0.33</v>
      </c>
      <c r="P1874" t="n">
        <v>1</v>
      </c>
      <c r="Q1874" t="n">
        <v>0.08</v>
      </c>
      <c r="R1874" t="n">
        <v>1</v>
      </c>
      <c r="S1874" t="n">
        <v>1821.6</v>
      </c>
      <c r="T1874" t="n">
        <v>3</v>
      </c>
      <c r="U1874" t="n">
        <v>4</v>
      </c>
      <c r="V1874" t="n">
        <v>30</v>
      </c>
      <c r="W1874" t="n">
        <v>1</v>
      </c>
      <c r="X1874" t="n">
        <v>303.030303030303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11578</v>
      </c>
      <c r="AG1874" t="n">
        <v>2141</v>
      </c>
      <c r="AH1874" t="inlineStr">
        <is>
          <t>PT. PARAMA GLOBAL INSPIRA - PPN (JMB)</t>
        </is>
      </c>
      <c r="AI1874" t="n">
        <v>1516</v>
      </c>
      <c r="AJ1874" t="inlineStr">
        <is>
          <t>INSTAPERFECT</t>
        </is>
      </c>
      <c r="AK1874" t="n">
        <v>9</v>
      </c>
      <c r="AL1874" t="inlineStr">
        <is>
          <t>Miss Glam Jambi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INSTAPERFECT</t>
        </is>
      </c>
      <c r="B1875" s="2">
        <f>"8993137009027"</f>
        <v/>
      </c>
      <c r="C1875" t="inlineStr">
        <is>
          <t>INSTAPERFECT Skincover Air Cushion W34 Warm Beige 11gr</t>
        </is>
      </c>
      <c r="D1875" t="inlineStr">
        <is>
          <t>Miss Glam Jambi</t>
        </is>
      </c>
      <c r="E1875" t="n">
        <v>4</v>
      </c>
      <c r="F1875" t="n">
        <v>0.0231</v>
      </c>
      <c r="G1875" t="n">
        <v>0.33</v>
      </c>
      <c r="H1875" t="n">
        <v>2</v>
      </c>
      <c r="I1875" t="n">
        <v>7</v>
      </c>
      <c r="J1875" t="n">
        <v>3</v>
      </c>
      <c r="K1875" t="n">
        <v>0</v>
      </c>
      <c r="L1875" t="n">
        <v>123714</v>
      </c>
      <c r="M1875" t="n">
        <v>184000</v>
      </c>
      <c r="N1875" t="n">
        <v>33</v>
      </c>
      <c r="O1875" t="n">
        <v>0.33</v>
      </c>
      <c r="P1875" t="n">
        <v>1</v>
      </c>
      <c r="Q1875" t="n">
        <v>0.05</v>
      </c>
      <c r="R1875" t="n">
        <v>1</v>
      </c>
      <c r="S1875" t="n">
        <v>4250.400000000001</v>
      </c>
      <c r="T1875" t="n">
        <v>3</v>
      </c>
      <c r="U1875" t="n">
        <v>4</v>
      </c>
      <c r="V1875" t="n">
        <v>30</v>
      </c>
      <c r="W1875" t="n">
        <v>1</v>
      </c>
      <c r="X1875" t="n">
        <v>173.1601731601731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11578</v>
      </c>
      <c r="AG1875" t="n">
        <v>2141</v>
      </c>
      <c r="AH1875" t="inlineStr">
        <is>
          <t>PT. PARAMA GLOBAL INSPIRA - PPN (JMB)</t>
        </is>
      </c>
      <c r="AI1875" t="n">
        <v>1516</v>
      </c>
      <c r="AJ1875" t="inlineStr">
        <is>
          <t>INSTAPERFECT</t>
        </is>
      </c>
      <c r="AK1875" t="n">
        <v>9</v>
      </c>
      <c r="AL1875" t="inlineStr">
        <is>
          <t>Miss Glam Jambi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INSTAPERFECT</t>
        </is>
      </c>
      <c r="B1876" s="2">
        <f>"8993137009041"</f>
        <v/>
      </c>
      <c r="C1876" t="inlineStr">
        <is>
          <t>INSTAPERFECT Skincover Air Cushion W44 Golden Sand 11gr</t>
        </is>
      </c>
      <c r="D1876" t="inlineStr">
        <is>
          <t>Miss Glam Jambi</t>
        </is>
      </c>
      <c r="E1876" t="n">
        <v>4</v>
      </c>
      <c r="F1876" t="n">
        <v>0.02</v>
      </c>
      <c r="G1876" t="n">
        <v>1</v>
      </c>
      <c r="H1876" t="n">
        <v>2</v>
      </c>
      <c r="I1876" t="n">
        <v>7</v>
      </c>
      <c r="J1876" t="n">
        <v>3</v>
      </c>
      <c r="K1876" t="n">
        <v>0</v>
      </c>
      <c r="L1876" t="n">
        <v>129423</v>
      </c>
      <c r="M1876" t="n">
        <v>184000</v>
      </c>
      <c r="N1876" t="n">
        <v>33</v>
      </c>
      <c r="O1876" t="n">
        <v>0.33</v>
      </c>
      <c r="P1876" t="n">
        <v>0</v>
      </c>
      <c r="Q1876" t="n">
        <v>0.02</v>
      </c>
      <c r="R1876" t="n">
        <v>1</v>
      </c>
      <c r="S1876" t="n">
        <v>3680</v>
      </c>
      <c r="T1876" t="n">
        <v>7</v>
      </c>
      <c r="U1876" t="n">
        <v>8</v>
      </c>
      <c r="V1876" t="n">
        <v>30</v>
      </c>
      <c r="W1876" t="n">
        <v>1</v>
      </c>
      <c r="X1876" t="n">
        <v>200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11578</v>
      </c>
      <c r="AG1876" t="n">
        <v>2141</v>
      </c>
      <c r="AH1876" t="inlineStr">
        <is>
          <t>PT. PARAMA GLOBAL INSPIRA - PPN (JMB)</t>
        </is>
      </c>
      <c r="AI1876" t="n">
        <v>1516</v>
      </c>
      <c r="AJ1876" t="inlineStr">
        <is>
          <t>INSTAPERFECT</t>
        </is>
      </c>
      <c r="AK1876" t="n">
        <v>9</v>
      </c>
      <c r="AL1876" t="inlineStr">
        <is>
          <t>Miss Glam Jambi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INSTAPERFECT</t>
        </is>
      </c>
      <c r="B1877" s="2">
        <f>"8993137720410"</f>
        <v/>
      </c>
      <c r="C1877" t="inlineStr">
        <is>
          <t>INSTAPERFECT Skinfocus Cover Foundation 22 Light Ivory 30ml</t>
        </is>
      </c>
      <c r="D1877" t="inlineStr">
        <is>
          <t>Miss Glam Jambi</t>
        </is>
      </c>
      <c r="E1877" t="n">
        <v>1</v>
      </c>
      <c r="F1877" t="n">
        <v>0.009900000000000001</v>
      </c>
      <c r="G1877" t="n">
        <v>0.33</v>
      </c>
      <c r="H1877" t="n">
        <v>2</v>
      </c>
      <c r="I1877" t="n">
        <v>7</v>
      </c>
      <c r="J1877" t="n">
        <v>3</v>
      </c>
      <c r="K1877" t="n">
        <v>0</v>
      </c>
      <c r="L1877" t="n">
        <v>114945</v>
      </c>
      <c r="M1877" t="n">
        <v>155000</v>
      </c>
      <c r="N1877" t="n">
        <v>33</v>
      </c>
      <c r="O1877" t="n">
        <v>0.33</v>
      </c>
      <c r="P1877" t="n">
        <v>1</v>
      </c>
      <c r="Q1877" t="n">
        <v>0.02</v>
      </c>
      <c r="R1877" t="n">
        <v>0</v>
      </c>
      <c r="S1877" t="n">
        <v>1534.5</v>
      </c>
      <c r="T1877" t="n">
        <v>3</v>
      </c>
      <c r="U1877" t="n">
        <v>4</v>
      </c>
      <c r="V1877" t="n">
        <v>30</v>
      </c>
      <c r="W1877" t="n">
        <v>1</v>
      </c>
      <c r="X1877" t="n">
        <v>101.010101010101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11578</v>
      </c>
      <c r="AG1877" t="n">
        <v>2141</v>
      </c>
      <c r="AH1877" t="inlineStr">
        <is>
          <t>PT. PARAMA GLOBAL INSPIRA - PPN (JMB)</t>
        </is>
      </c>
      <c r="AI1877" t="n">
        <v>1516</v>
      </c>
      <c r="AJ1877" t="inlineStr">
        <is>
          <t>INSTAPERFECT</t>
        </is>
      </c>
      <c r="AK1877" t="n">
        <v>9</v>
      </c>
      <c r="AL1877" t="inlineStr">
        <is>
          <t>Miss Glam Jambi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INSTAPERFECT</t>
        </is>
      </c>
      <c r="B1878" s="2">
        <f>"8993137000802"</f>
        <v/>
      </c>
      <c r="C1878" t="inlineStr">
        <is>
          <t>INSTAPERFECT Suede Lip Matte 01 Tawny 4.2gr</t>
        </is>
      </c>
      <c r="D1878" t="inlineStr">
        <is>
          <t>Miss Glam Jambi</t>
        </is>
      </c>
      <c r="E1878" t="n">
        <v>1</v>
      </c>
      <c r="F1878" t="n">
        <v>0.02</v>
      </c>
      <c r="G1878" t="n">
        <v>1</v>
      </c>
      <c r="H1878" t="n">
        <v>2</v>
      </c>
      <c r="I1878" t="n">
        <v>7</v>
      </c>
      <c r="J1878" t="n">
        <v>3</v>
      </c>
      <c r="K1878" t="n">
        <v>0</v>
      </c>
      <c r="L1878" t="n">
        <v>83527</v>
      </c>
      <c r="M1878" t="n">
        <v>115000</v>
      </c>
      <c r="N1878" t="n">
        <v>33</v>
      </c>
      <c r="O1878" t="n">
        <v>0.33</v>
      </c>
      <c r="P1878" t="n">
        <v>0</v>
      </c>
      <c r="Q1878" t="n">
        <v>0.02</v>
      </c>
      <c r="R1878" t="n">
        <v>1</v>
      </c>
      <c r="S1878" t="n">
        <v>2300</v>
      </c>
      <c r="T1878" t="n">
        <v>7</v>
      </c>
      <c r="U1878" t="n">
        <v>8</v>
      </c>
      <c r="V1878" t="n">
        <v>30</v>
      </c>
      <c r="W1878" t="n">
        <v>1</v>
      </c>
      <c r="X1878" t="n">
        <v>50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11578</v>
      </c>
      <c r="AG1878" t="n">
        <v>2141</v>
      </c>
      <c r="AH1878" t="inlineStr">
        <is>
          <t>PT. PARAMA GLOBAL INSPIRA - PPN (JMB)</t>
        </is>
      </c>
      <c r="AI1878" t="n">
        <v>1516</v>
      </c>
      <c r="AJ1878" t="inlineStr">
        <is>
          <t>INSTAPERFECT</t>
        </is>
      </c>
      <c r="AK1878" t="n">
        <v>9</v>
      </c>
      <c r="AL1878" t="inlineStr">
        <is>
          <t>Miss Glam Jambi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INSTAPERFECT</t>
        </is>
      </c>
      <c r="B1879" s="2">
        <f>"8993137000819"</f>
        <v/>
      </c>
      <c r="C1879" t="inlineStr">
        <is>
          <t>INSTAPERFECT Suede Lip Matte 02 Auburn 4.2gr</t>
        </is>
      </c>
      <c r="D1879" t="inlineStr">
        <is>
          <t>Miss Glam Jambi</t>
        </is>
      </c>
      <c r="E1879" t="n">
        <v>2</v>
      </c>
      <c r="F1879" t="n">
        <v>0.009900000000000001</v>
      </c>
      <c r="G1879" t="n">
        <v>0.33</v>
      </c>
      <c r="H1879" t="n">
        <v>2</v>
      </c>
      <c r="I1879" t="n">
        <v>7</v>
      </c>
      <c r="J1879" t="n">
        <v>3</v>
      </c>
      <c r="K1879" t="n">
        <v>0</v>
      </c>
      <c r="L1879" t="n">
        <v>83527</v>
      </c>
      <c r="M1879" t="n">
        <v>115000</v>
      </c>
      <c r="N1879" t="n">
        <v>33</v>
      </c>
      <c r="O1879" t="n">
        <v>0.33</v>
      </c>
      <c r="P1879" t="n">
        <v>1</v>
      </c>
      <c r="Q1879" t="n">
        <v>0.02</v>
      </c>
      <c r="R1879" t="n">
        <v>1</v>
      </c>
      <c r="S1879" t="n">
        <v>1138.5</v>
      </c>
      <c r="T1879" t="n">
        <v>3</v>
      </c>
      <c r="U1879" t="n">
        <v>4</v>
      </c>
      <c r="V1879" t="n">
        <v>30</v>
      </c>
      <c r="W1879" t="n">
        <v>1</v>
      </c>
      <c r="X1879" t="n">
        <v>202.020202020202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11578</v>
      </c>
      <c r="AG1879" t="n">
        <v>2141</v>
      </c>
      <c r="AH1879" t="inlineStr">
        <is>
          <t>PT. PARAMA GLOBAL INSPIRA - PPN (JMB)</t>
        </is>
      </c>
      <c r="AI1879" t="n">
        <v>1516</v>
      </c>
      <c r="AJ1879" t="inlineStr">
        <is>
          <t>INSTAPERFECT</t>
        </is>
      </c>
      <c r="AK1879" t="n">
        <v>9</v>
      </c>
      <c r="AL1879" t="inlineStr">
        <is>
          <t>Miss Glam Jambi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INSTAPERFECT</t>
        </is>
      </c>
      <c r="B1880" s="2">
        <f>"8993137000833"</f>
        <v/>
      </c>
      <c r="C1880" t="inlineStr">
        <is>
          <t>INSTAPERFECT Suede Lip Matte 04 Sienna 4.2gr</t>
        </is>
      </c>
      <c r="D1880" t="inlineStr">
        <is>
          <t>Miss Glam Jambi</t>
        </is>
      </c>
      <c r="E1880" t="n">
        <v>4</v>
      </c>
      <c r="F1880" t="n">
        <v>0.02</v>
      </c>
      <c r="G1880" t="n">
        <v>1</v>
      </c>
      <c r="H1880" t="n">
        <v>2</v>
      </c>
      <c r="I1880" t="n">
        <v>7</v>
      </c>
      <c r="J1880" t="n">
        <v>3</v>
      </c>
      <c r="K1880" t="n">
        <v>0</v>
      </c>
      <c r="L1880" t="n">
        <v>79351</v>
      </c>
      <c r="M1880" t="n">
        <v>115000</v>
      </c>
      <c r="N1880" t="n">
        <v>33</v>
      </c>
      <c r="O1880" t="n">
        <v>0.33</v>
      </c>
      <c r="P1880" t="n">
        <v>0</v>
      </c>
      <c r="Q1880" t="n">
        <v>0.02</v>
      </c>
      <c r="R1880" t="n">
        <v>1</v>
      </c>
      <c r="S1880" t="n">
        <v>2300</v>
      </c>
      <c r="T1880" t="n">
        <v>7</v>
      </c>
      <c r="U1880" t="n">
        <v>8</v>
      </c>
      <c r="V1880" t="n">
        <v>30</v>
      </c>
      <c r="W1880" t="n">
        <v>1</v>
      </c>
      <c r="X1880" t="n">
        <v>200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11578</v>
      </c>
      <c r="AG1880" t="n">
        <v>2141</v>
      </c>
      <c r="AH1880" t="inlineStr">
        <is>
          <t>PT. PARAMA GLOBAL INSPIRA - PPN (JMB)</t>
        </is>
      </c>
      <c r="AI1880" t="n">
        <v>1516</v>
      </c>
      <c r="AJ1880" t="inlineStr">
        <is>
          <t>INSTAPERFECT</t>
        </is>
      </c>
      <c r="AK1880" t="n">
        <v>9</v>
      </c>
      <c r="AL1880" t="inlineStr">
        <is>
          <t>Miss Glam Jambi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INSTAPERFECT</t>
        </is>
      </c>
      <c r="B1881" s="2">
        <f>"8993137000864"</f>
        <v/>
      </c>
      <c r="C1881" t="inlineStr">
        <is>
          <t>INSTAPERFECT Suede Lip Matte 07 Fawn 4.2gr</t>
        </is>
      </c>
      <c r="D1881" t="inlineStr">
        <is>
          <t>Miss Glam Jambi</t>
        </is>
      </c>
      <c r="E1881" t="n">
        <v>2</v>
      </c>
      <c r="F1881" t="n">
        <v>0.006600000000000001</v>
      </c>
      <c r="G1881" t="n">
        <v>0.33</v>
      </c>
      <c r="H1881" t="n">
        <v>2</v>
      </c>
      <c r="I1881" t="n">
        <v>7</v>
      </c>
      <c r="J1881" t="n">
        <v>3</v>
      </c>
      <c r="K1881" t="n">
        <v>0</v>
      </c>
      <c r="L1881" t="n">
        <v>83527</v>
      </c>
      <c r="M1881" t="n">
        <v>115000</v>
      </c>
      <c r="N1881" t="n">
        <v>33</v>
      </c>
      <c r="O1881" t="n">
        <v>0.33</v>
      </c>
      <c r="P1881" t="n">
        <v>1</v>
      </c>
      <c r="Q1881" t="n">
        <v>0.02</v>
      </c>
      <c r="R1881" t="n">
        <v>1</v>
      </c>
      <c r="S1881" t="n">
        <v>759.0000000000001</v>
      </c>
      <c r="T1881" t="n">
        <v>3</v>
      </c>
      <c r="U1881" t="n">
        <v>4</v>
      </c>
      <c r="V1881" t="n">
        <v>30</v>
      </c>
      <c r="W1881" t="n">
        <v>1</v>
      </c>
      <c r="X1881" t="n">
        <v>303.030303030303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11578</v>
      </c>
      <c r="AG1881" t="n">
        <v>2141</v>
      </c>
      <c r="AH1881" t="inlineStr">
        <is>
          <t>PT. PARAMA GLOBAL INSPIRA - PPN (JMB)</t>
        </is>
      </c>
      <c r="AI1881" t="n">
        <v>1516</v>
      </c>
      <c r="AJ1881" t="inlineStr">
        <is>
          <t>INSTAPERFECT</t>
        </is>
      </c>
      <c r="AK1881" t="n">
        <v>9</v>
      </c>
      <c r="AL1881" t="inlineStr">
        <is>
          <t>Miss Glam Jambi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ISWHITE</t>
        </is>
      </c>
      <c r="B1882" s="2">
        <f>"102002107537"</f>
        <v/>
      </c>
      <c r="C1882" t="inlineStr">
        <is>
          <t>ISWHITE AHA BHA PHA Body Booster Exfoliating 30ml</t>
        </is>
      </c>
      <c r="D1882" t="inlineStr">
        <is>
          <t>Miss Glam Jambi</t>
        </is>
      </c>
      <c r="E1882" t="n">
        <v>4</v>
      </c>
      <c r="F1882" t="n">
        <v>0.02</v>
      </c>
      <c r="G1882" t="n">
        <v>1</v>
      </c>
      <c r="H1882" t="n">
        <v>6</v>
      </c>
      <c r="I1882" t="n">
        <v>12</v>
      </c>
      <c r="J1882" t="n">
        <v>3</v>
      </c>
      <c r="K1882" t="n">
        <v>0</v>
      </c>
      <c r="L1882" t="n">
        <v>66825</v>
      </c>
      <c r="M1882" t="n">
        <v>89000</v>
      </c>
      <c r="N1882" t="n">
        <v>33</v>
      </c>
      <c r="O1882" t="n">
        <v>0.33</v>
      </c>
      <c r="P1882" t="n">
        <v>0</v>
      </c>
      <c r="Q1882" t="n">
        <v>0.02</v>
      </c>
      <c r="R1882" t="n">
        <v>1</v>
      </c>
      <c r="S1882" t="n">
        <v>1780</v>
      </c>
      <c r="T1882" t="n">
        <v>12</v>
      </c>
      <c r="U1882" t="n">
        <v>13</v>
      </c>
      <c r="V1882" t="n">
        <v>30</v>
      </c>
      <c r="W1882" t="n">
        <v>1</v>
      </c>
      <c r="X1882" t="n">
        <v>200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545</v>
      </c>
      <c r="AG1882" t="n">
        <v>107</v>
      </c>
      <c r="AH1882" t="inlineStr">
        <is>
          <t xml:space="preserve">CV. DAHLIA - PPN (PDG) </t>
        </is>
      </c>
      <c r="AI1882" t="n">
        <v>1545</v>
      </c>
      <c r="AJ1882" t="inlineStr">
        <is>
          <t>ISWHITE</t>
        </is>
      </c>
      <c r="AK1882" t="n">
        <v>9</v>
      </c>
      <c r="AL1882" t="inlineStr">
        <is>
          <t>Miss Glam Jambi</t>
        </is>
      </c>
      <c r="AM1882" t="n">
        <v>3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ISWHITE</t>
        </is>
      </c>
      <c r="B1883" s="2">
        <f>"8994451563066"</f>
        <v/>
      </c>
      <c r="C1883" t="inlineStr">
        <is>
          <t>ISWHITE Arabian Night Fine Perfume Mist 100ml</t>
        </is>
      </c>
      <c r="D1883" t="inlineStr">
        <is>
          <t>Miss Glam Jambi</t>
        </is>
      </c>
      <c r="E1883" t="n">
        <v>1</v>
      </c>
      <c r="F1883" t="n">
        <v>0.0132</v>
      </c>
      <c r="G1883" t="n">
        <v>0.33</v>
      </c>
      <c r="H1883" t="n">
        <v>6</v>
      </c>
      <c r="I1883" t="n">
        <v>12</v>
      </c>
      <c r="J1883" t="n">
        <v>3</v>
      </c>
      <c r="K1883" t="n">
        <v>0</v>
      </c>
      <c r="L1883" t="n">
        <v>53325</v>
      </c>
      <c r="M1883" t="n">
        <v>71000</v>
      </c>
      <c r="N1883" t="n">
        <v>33</v>
      </c>
      <c r="O1883" t="n">
        <v>0.33</v>
      </c>
      <c r="P1883" t="n">
        <v>1</v>
      </c>
      <c r="Q1883" t="n">
        <v>0.02</v>
      </c>
      <c r="R1883" t="n">
        <v>1</v>
      </c>
      <c r="S1883" t="n">
        <v>937.2000000000002</v>
      </c>
      <c r="T1883" t="n">
        <v>4</v>
      </c>
      <c r="U1883" t="n">
        <v>5</v>
      </c>
      <c r="V1883" t="n">
        <v>30</v>
      </c>
      <c r="W1883" t="n">
        <v>1</v>
      </c>
      <c r="X1883" t="n">
        <v>75.75757575757575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545</v>
      </c>
      <c r="AG1883" t="n">
        <v>107</v>
      </c>
      <c r="AH1883" t="inlineStr">
        <is>
          <t xml:space="preserve">CV. DAHLIA - PPN (PDG) </t>
        </is>
      </c>
      <c r="AI1883" t="n">
        <v>1545</v>
      </c>
      <c r="AJ1883" t="inlineStr">
        <is>
          <t>ISWHITE</t>
        </is>
      </c>
      <c r="AK1883" t="n">
        <v>9</v>
      </c>
      <c r="AL1883" t="inlineStr">
        <is>
          <t>Miss Glam Jambi</t>
        </is>
      </c>
      <c r="AM1883" t="n">
        <v>3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ISWHITE</t>
        </is>
      </c>
      <c r="B1884" s="2">
        <f>"8994451563073"</f>
        <v/>
      </c>
      <c r="C1884" t="inlineStr">
        <is>
          <t>ISWHITE Citrus Tango Fine Perfume Mist 100ml</t>
        </is>
      </c>
      <c r="D1884" t="inlineStr">
        <is>
          <t>Miss Glam Jambi</t>
        </is>
      </c>
      <c r="E1884" t="n">
        <v>7</v>
      </c>
      <c r="F1884" t="n">
        <v>0.02</v>
      </c>
      <c r="G1884" t="n">
        <v>1</v>
      </c>
      <c r="H1884" t="n">
        <v>6</v>
      </c>
      <c r="I1884" t="n">
        <v>12</v>
      </c>
      <c r="J1884" t="n">
        <v>3</v>
      </c>
      <c r="K1884" t="n">
        <v>0</v>
      </c>
      <c r="L1884" t="n">
        <v>47993</v>
      </c>
      <c r="M1884" t="n">
        <v>71000</v>
      </c>
      <c r="N1884" t="n">
        <v>33</v>
      </c>
      <c r="O1884" t="n">
        <v>0.33</v>
      </c>
      <c r="P1884" t="n">
        <v>0</v>
      </c>
      <c r="Q1884" t="n">
        <v>0.02</v>
      </c>
      <c r="R1884" t="n">
        <v>1</v>
      </c>
      <c r="S1884" t="n">
        <v>1420</v>
      </c>
      <c r="T1884" t="n">
        <v>12</v>
      </c>
      <c r="U1884" t="n">
        <v>13</v>
      </c>
      <c r="V1884" t="n">
        <v>30</v>
      </c>
      <c r="W1884" t="n">
        <v>1</v>
      </c>
      <c r="X1884" t="n">
        <v>350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545</v>
      </c>
      <c r="AG1884" t="n">
        <v>107</v>
      </c>
      <c r="AH1884" t="inlineStr">
        <is>
          <t xml:space="preserve">CV. DAHLIA - PPN (PDG) </t>
        </is>
      </c>
      <c r="AI1884" t="n">
        <v>1545</v>
      </c>
      <c r="AJ1884" t="inlineStr">
        <is>
          <t>ISWHITE</t>
        </is>
      </c>
      <c r="AK1884" t="n">
        <v>9</v>
      </c>
      <c r="AL1884" t="inlineStr">
        <is>
          <t>Miss Glam Jambi</t>
        </is>
      </c>
      <c r="AM1884" t="n">
        <v>3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ISWHITE</t>
        </is>
      </c>
      <c r="B1885" s="2">
        <f>"8994451563028"</f>
        <v/>
      </c>
      <c r="C1885" t="inlineStr">
        <is>
          <t>ISWHITE Dancing Queen Fine Perfume Mist 100ml</t>
        </is>
      </c>
      <c r="D1885" t="inlineStr">
        <is>
          <t>Miss Glam Jambi</t>
        </is>
      </c>
      <c r="E1885" t="n">
        <v>2</v>
      </c>
      <c r="F1885" t="n">
        <v>0.02</v>
      </c>
      <c r="G1885" t="n">
        <v>1</v>
      </c>
      <c r="H1885" t="n">
        <v>6</v>
      </c>
      <c r="I1885" t="n">
        <v>12</v>
      </c>
      <c r="J1885" t="n">
        <v>3</v>
      </c>
      <c r="K1885" t="n">
        <v>0</v>
      </c>
      <c r="L1885" t="n">
        <v>53325</v>
      </c>
      <c r="M1885" t="n">
        <v>75000</v>
      </c>
      <c r="N1885" t="n">
        <v>33</v>
      </c>
      <c r="O1885" t="n">
        <v>0.33</v>
      </c>
      <c r="P1885" t="n">
        <v>0</v>
      </c>
      <c r="Q1885" t="n">
        <v>0.02</v>
      </c>
      <c r="R1885" t="n">
        <v>1</v>
      </c>
      <c r="S1885" t="n">
        <v>1500</v>
      </c>
      <c r="T1885" t="n">
        <v>12</v>
      </c>
      <c r="U1885" t="n">
        <v>13</v>
      </c>
      <c r="V1885" t="n">
        <v>30</v>
      </c>
      <c r="W1885" t="n">
        <v>1</v>
      </c>
      <c r="X1885" t="n">
        <v>100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545</v>
      </c>
      <c r="AG1885" t="n">
        <v>107</v>
      </c>
      <c r="AH1885" t="inlineStr">
        <is>
          <t xml:space="preserve">CV. DAHLIA - PPN (PDG) </t>
        </is>
      </c>
      <c r="AI1885" t="n">
        <v>1545</v>
      </c>
      <c r="AJ1885" t="inlineStr">
        <is>
          <t>ISWHITE</t>
        </is>
      </c>
      <c r="AK1885" t="n">
        <v>9</v>
      </c>
      <c r="AL1885" t="inlineStr">
        <is>
          <t>Miss Glam Jambi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ISWHITE</t>
        </is>
      </c>
      <c r="B1886" s="2">
        <f>"8994451560034"</f>
        <v/>
      </c>
      <c r="C1886" t="inlineStr">
        <is>
          <t>ISWHITE Euphoria Fine Fragrance Mist 100ml</t>
        </is>
      </c>
      <c r="D1886" t="inlineStr">
        <is>
          <t>Miss Glam Jambi</t>
        </is>
      </c>
      <c r="E1886" t="n">
        <v>3</v>
      </c>
      <c r="F1886" t="n">
        <v>0.03</v>
      </c>
      <c r="G1886" t="n">
        <v>1</v>
      </c>
      <c r="H1886" t="n">
        <v>6</v>
      </c>
      <c r="I1886" t="n">
        <v>12</v>
      </c>
      <c r="J1886" t="n">
        <v>3</v>
      </c>
      <c r="K1886" t="n">
        <v>0</v>
      </c>
      <c r="L1886" t="n">
        <v>53325</v>
      </c>
      <c r="M1886" t="n">
        <v>71000</v>
      </c>
      <c r="N1886" t="n">
        <v>33</v>
      </c>
      <c r="O1886" t="n">
        <v>0.33</v>
      </c>
      <c r="P1886" t="n">
        <v>0</v>
      </c>
      <c r="Q1886" t="n">
        <v>0.03</v>
      </c>
      <c r="R1886" t="n">
        <v>1</v>
      </c>
      <c r="S1886" t="n">
        <v>2130</v>
      </c>
      <c r="T1886" t="n">
        <v>12</v>
      </c>
      <c r="U1886" t="n">
        <v>13</v>
      </c>
      <c r="V1886" t="n">
        <v>30</v>
      </c>
      <c r="W1886" t="n">
        <v>1</v>
      </c>
      <c r="X1886" t="n">
        <v>100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545</v>
      </c>
      <c r="AG1886" t="n">
        <v>107</v>
      </c>
      <c r="AH1886" t="inlineStr">
        <is>
          <t xml:space="preserve">CV. DAHLIA - PPN (PDG) </t>
        </is>
      </c>
      <c r="AI1886" t="n">
        <v>1545</v>
      </c>
      <c r="AJ1886" t="inlineStr">
        <is>
          <t>ISWHITE</t>
        </is>
      </c>
      <c r="AK1886" t="n">
        <v>9</v>
      </c>
      <c r="AL1886" t="inlineStr">
        <is>
          <t>Miss Glam Jambi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ISWHITE</t>
        </is>
      </c>
      <c r="B1887" s="2">
        <f>"8994451560355"</f>
        <v/>
      </c>
      <c r="C1887" t="inlineStr">
        <is>
          <t>ISWHITE Glow Body Sunscreen SPF 45 PA+++ 100ml</t>
        </is>
      </c>
      <c r="D1887" t="inlineStr">
        <is>
          <t>Miss Glam Jambi</t>
        </is>
      </c>
      <c r="E1887" t="n">
        <v>0</v>
      </c>
      <c r="F1887" t="n">
        <v>0.0726</v>
      </c>
      <c r="G1887" t="n">
        <v>0.66</v>
      </c>
      <c r="H1887" t="n">
        <v>6</v>
      </c>
      <c r="I1887" t="n">
        <v>12</v>
      </c>
      <c r="J1887" t="n">
        <v>3</v>
      </c>
      <c r="K1887" t="n">
        <v>6</v>
      </c>
      <c r="L1887" t="n">
        <v>55080</v>
      </c>
      <c r="M1887" t="n">
        <v>80000</v>
      </c>
      <c r="N1887" t="n">
        <v>33</v>
      </c>
      <c r="O1887" t="n">
        <v>0.33</v>
      </c>
      <c r="P1887" t="n">
        <v>1</v>
      </c>
      <c r="Q1887" t="n">
        <v>0.09</v>
      </c>
      <c r="R1887" t="n">
        <v>1</v>
      </c>
      <c r="S1887" t="n">
        <v>5808</v>
      </c>
      <c r="T1887" t="n">
        <v>8</v>
      </c>
      <c r="U1887" t="n">
        <v>9</v>
      </c>
      <c r="V1887" t="n">
        <v>30</v>
      </c>
      <c r="W1887" t="n">
        <v>3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545</v>
      </c>
      <c r="AG1887" t="n">
        <v>107</v>
      </c>
      <c r="AH1887" t="inlineStr">
        <is>
          <t xml:space="preserve">CV. DAHLIA - PPN (PDG) </t>
        </is>
      </c>
      <c r="AI1887" t="n">
        <v>1545</v>
      </c>
      <c r="AJ1887" t="inlineStr">
        <is>
          <t>ISWHITE</t>
        </is>
      </c>
      <c r="AK1887" t="n">
        <v>9</v>
      </c>
      <c r="AL1887" t="inlineStr">
        <is>
          <t>Miss Glam Jambi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ISWHITE</t>
        </is>
      </c>
      <c r="B1888" s="2">
        <f>"8994451560041"</f>
        <v/>
      </c>
      <c r="C1888" t="inlineStr">
        <is>
          <t>ISWHITE Glow Up Your Body Scrub 120gr</t>
        </is>
      </c>
      <c r="D1888" t="inlineStr">
        <is>
          <t>Miss Glam Jambi</t>
        </is>
      </c>
      <c r="E1888" t="n">
        <v>7</v>
      </c>
      <c r="F1888" t="n">
        <v>0.009900000000000001</v>
      </c>
      <c r="G1888" t="n">
        <v>0.33</v>
      </c>
      <c r="H1888" t="n">
        <v>6</v>
      </c>
      <c r="I1888" t="n">
        <v>12</v>
      </c>
      <c r="J1888" t="n">
        <v>3</v>
      </c>
      <c r="K1888" t="n">
        <v>0</v>
      </c>
      <c r="L1888" t="n">
        <v>42712</v>
      </c>
      <c r="M1888" t="n">
        <v>80000</v>
      </c>
      <c r="N1888" t="n">
        <v>33</v>
      </c>
      <c r="O1888" t="n">
        <v>0.33</v>
      </c>
      <c r="P1888" t="n">
        <v>1</v>
      </c>
      <c r="Q1888" t="n">
        <v>0.05</v>
      </c>
      <c r="R1888" t="n">
        <v>1</v>
      </c>
      <c r="S1888" t="n">
        <v>792.0000000000001</v>
      </c>
      <c r="T1888" t="n">
        <v>4</v>
      </c>
      <c r="U1888" t="n">
        <v>5</v>
      </c>
      <c r="V1888" t="n">
        <v>30</v>
      </c>
      <c r="W1888" t="n">
        <v>1</v>
      </c>
      <c r="X1888" t="n">
        <v>707.070707070707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545</v>
      </c>
      <c r="AG1888" t="n">
        <v>107</v>
      </c>
      <c r="AH1888" t="inlineStr">
        <is>
          <t xml:space="preserve">CV. DAHLIA - PPN (PDG) </t>
        </is>
      </c>
      <c r="AI1888" t="n">
        <v>1545</v>
      </c>
      <c r="AJ1888" t="inlineStr">
        <is>
          <t>ISWHITE</t>
        </is>
      </c>
      <c r="AK1888" t="n">
        <v>9</v>
      </c>
      <c r="AL1888" t="inlineStr">
        <is>
          <t>Miss Glam Jambi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ISWHITE</t>
        </is>
      </c>
      <c r="B1889" s="2">
        <f>"8994451563035"</f>
        <v/>
      </c>
      <c r="C1889" t="inlineStr">
        <is>
          <t>ISWHITE Melon Million Fine Perfume Mist 100ml</t>
        </is>
      </c>
      <c r="D1889" t="inlineStr">
        <is>
          <t>Miss Glam Jambi</t>
        </is>
      </c>
      <c r="E1889" t="n">
        <v>2</v>
      </c>
      <c r="F1889" t="n">
        <v>0.006600000000000001</v>
      </c>
      <c r="G1889" t="n">
        <v>0.33</v>
      </c>
      <c r="H1889" t="n">
        <v>6</v>
      </c>
      <c r="I1889" t="n">
        <v>12</v>
      </c>
      <c r="J1889" t="n">
        <v>3</v>
      </c>
      <c r="K1889" t="n">
        <v>0</v>
      </c>
      <c r="L1889" t="n">
        <v>53325</v>
      </c>
      <c r="M1889" t="n">
        <v>71000</v>
      </c>
      <c r="N1889" t="n">
        <v>33</v>
      </c>
      <c r="O1889" t="n">
        <v>0.33</v>
      </c>
      <c r="P1889" t="n">
        <v>1</v>
      </c>
      <c r="Q1889" t="n">
        <v>0.02</v>
      </c>
      <c r="R1889" t="n">
        <v>1</v>
      </c>
      <c r="S1889" t="n">
        <v>468.6000000000001</v>
      </c>
      <c r="T1889" t="n">
        <v>4</v>
      </c>
      <c r="U1889" t="n">
        <v>5</v>
      </c>
      <c r="V1889" t="n">
        <v>30</v>
      </c>
      <c r="W1889" t="n">
        <v>1</v>
      </c>
      <c r="X1889" t="n">
        <v>303.030303030303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545</v>
      </c>
      <c r="AG1889" t="n">
        <v>107</v>
      </c>
      <c r="AH1889" t="inlineStr">
        <is>
          <t xml:space="preserve">CV. DAHLIA - PPN (PDG) </t>
        </is>
      </c>
      <c r="AI1889" t="n">
        <v>1545</v>
      </c>
      <c r="AJ1889" t="inlineStr">
        <is>
          <t>ISWHITE</t>
        </is>
      </c>
      <c r="AK1889" t="n">
        <v>9</v>
      </c>
      <c r="AL1889" t="inlineStr">
        <is>
          <t>Miss Glam Jambi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ISWHITE</t>
        </is>
      </c>
      <c r="B1890" s="2">
        <f>"8994451563042"</f>
        <v/>
      </c>
      <c r="C1890" t="inlineStr">
        <is>
          <t>ISWHITE Summer Pink Fine Perfume Mist 100ml</t>
        </is>
      </c>
      <c r="D1890" t="inlineStr">
        <is>
          <t>Miss Glam Jambi</t>
        </is>
      </c>
      <c r="E1890" t="n">
        <v>1</v>
      </c>
      <c r="F1890" t="n">
        <v>0.006600000000000001</v>
      </c>
      <c r="G1890" t="n">
        <v>0.33</v>
      </c>
      <c r="H1890" t="n">
        <v>6</v>
      </c>
      <c r="I1890" t="n">
        <v>12</v>
      </c>
      <c r="J1890" t="n">
        <v>3</v>
      </c>
      <c r="K1890" t="n">
        <v>0</v>
      </c>
      <c r="L1890" t="n">
        <v>53325</v>
      </c>
      <c r="M1890" t="n">
        <v>75000</v>
      </c>
      <c r="N1890" t="n">
        <v>33</v>
      </c>
      <c r="O1890" t="n">
        <v>0.33</v>
      </c>
      <c r="P1890" t="n">
        <v>1</v>
      </c>
      <c r="Q1890" t="n">
        <v>0.02</v>
      </c>
      <c r="R1890" t="n">
        <v>1</v>
      </c>
      <c r="S1890" t="n">
        <v>495.0000000000001</v>
      </c>
      <c r="T1890" t="n">
        <v>4</v>
      </c>
      <c r="U1890" t="n">
        <v>5</v>
      </c>
      <c r="V1890" t="n">
        <v>30</v>
      </c>
      <c r="W1890" t="n">
        <v>1</v>
      </c>
      <c r="X1890" t="n">
        <v>151.5151515151515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545</v>
      </c>
      <c r="AG1890" t="n">
        <v>107</v>
      </c>
      <c r="AH1890" t="inlineStr">
        <is>
          <t xml:space="preserve">CV. DAHLIA - PPN (PDG) </t>
        </is>
      </c>
      <c r="AI1890" t="n">
        <v>1545</v>
      </c>
      <c r="AJ1890" t="inlineStr">
        <is>
          <t>ISWHITE</t>
        </is>
      </c>
      <c r="AK1890" t="n">
        <v>9</v>
      </c>
      <c r="AL1890" t="inlineStr">
        <is>
          <t>Miss Glam Jambi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ISWHITE</t>
        </is>
      </c>
      <c r="B1891" s="2">
        <f>"8994451560058"</f>
        <v/>
      </c>
      <c r="C1891" t="inlineStr">
        <is>
          <t>ISWHITE Ultimate Brightening Body Mask 70gr</t>
        </is>
      </c>
      <c r="D1891" t="inlineStr">
        <is>
          <t>Miss Glam Jambi</t>
        </is>
      </c>
      <c r="E1891" t="n">
        <v>7</v>
      </c>
      <c r="F1891" t="n">
        <v>0.07920000000000001</v>
      </c>
      <c r="G1891" t="n">
        <v>0.66</v>
      </c>
      <c r="H1891" t="n">
        <v>6</v>
      </c>
      <c r="I1891" t="n">
        <v>12</v>
      </c>
      <c r="J1891" t="n">
        <v>3</v>
      </c>
      <c r="K1891" t="n">
        <v>0</v>
      </c>
      <c r="L1891" t="n">
        <v>22142</v>
      </c>
      <c r="M1891" t="n">
        <v>40500</v>
      </c>
      <c r="N1891" t="n">
        <v>33</v>
      </c>
      <c r="O1891" t="n">
        <v>0.33</v>
      </c>
      <c r="P1891" t="n">
        <v>1</v>
      </c>
      <c r="Q1891" t="n">
        <v>0.1</v>
      </c>
      <c r="R1891" t="n">
        <v>1</v>
      </c>
      <c r="S1891" t="n">
        <v>3207.6</v>
      </c>
      <c r="T1891" t="n">
        <v>8</v>
      </c>
      <c r="U1891" t="n">
        <v>9</v>
      </c>
      <c r="V1891" t="n">
        <v>30</v>
      </c>
      <c r="W1891" t="n">
        <v>3</v>
      </c>
      <c r="X1891" t="n">
        <v>88.38383838383838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545</v>
      </c>
      <c r="AG1891" t="n">
        <v>107</v>
      </c>
      <c r="AH1891" t="inlineStr">
        <is>
          <t xml:space="preserve">CV. DAHLIA - PPN (PDG) </t>
        </is>
      </c>
      <c r="AI1891" t="n">
        <v>1545</v>
      </c>
      <c r="AJ1891" t="inlineStr">
        <is>
          <t>ISWHITE</t>
        </is>
      </c>
      <c r="AK1891" t="n">
        <v>9</v>
      </c>
      <c r="AL1891" t="inlineStr">
        <is>
          <t>Miss Glam Jambi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ISWHITE</t>
        </is>
      </c>
      <c r="B1892" s="2">
        <f>"30200411037"</f>
        <v/>
      </c>
      <c r="C1892" t="inlineStr">
        <is>
          <t>ISWHITE Whitening Expert Body Serum 200ml</t>
        </is>
      </c>
      <c r="D1892" t="inlineStr">
        <is>
          <t>Miss Glam Jambi</t>
        </is>
      </c>
      <c r="E1892" t="n">
        <v>3</v>
      </c>
      <c r="F1892" t="n">
        <v>0.06270000000000001</v>
      </c>
      <c r="G1892" t="n">
        <v>0.66</v>
      </c>
      <c r="H1892" t="n">
        <v>6</v>
      </c>
      <c r="I1892" t="n">
        <v>12</v>
      </c>
      <c r="J1892" t="n">
        <v>3</v>
      </c>
      <c r="K1892" t="n">
        <v>0</v>
      </c>
      <c r="L1892" t="n">
        <v>77119</v>
      </c>
      <c r="M1892" t="n">
        <v>130000</v>
      </c>
      <c r="N1892" t="n">
        <v>33</v>
      </c>
      <c r="O1892" t="n">
        <v>0.33</v>
      </c>
      <c r="P1892" t="n">
        <v>1</v>
      </c>
      <c r="Q1892" t="n">
        <v>0.05</v>
      </c>
      <c r="R1892" t="n">
        <v>1</v>
      </c>
      <c r="S1892" t="n">
        <v>8151.000000000001</v>
      </c>
      <c r="T1892" t="n">
        <v>8</v>
      </c>
      <c r="U1892" t="n">
        <v>9</v>
      </c>
      <c r="V1892" t="n">
        <v>30</v>
      </c>
      <c r="W1892" t="n">
        <v>2</v>
      </c>
      <c r="X1892" t="n">
        <v>47.84688995215311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545</v>
      </c>
      <c r="AG1892" t="n">
        <v>107</v>
      </c>
      <c r="AH1892" t="inlineStr">
        <is>
          <t xml:space="preserve">CV. DAHLIA - PPN (PDG) </t>
        </is>
      </c>
      <c r="AI1892" t="n">
        <v>1545</v>
      </c>
      <c r="AJ1892" t="inlineStr">
        <is>
          <t>ISWHITE</t>
        </is>
      </c>
      <c r="AK1892" t="n">
        <v>9</v>
      </c>
      <c r="AL1892" t="inlineStr">
        <is>
          <t>Miss Glam Jambi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ISWHITE</t>
        </is>
      </c>
      <c r="B1893" s="2">
        <f>"8994451560003"</f>
        <v/>
      </c>
      <c r="C1893" t="inlineStr">
        <is>
          <t>ISWHITE Whitening Ultimate Body Mask 200gr</t>
        </is>
      </c>
      <c r="D1893" t="inlineStr">
        <is>
          <t>Miss Glam Jambi</t>
        </is>
      </c>
      <c r="E1893" t="n">
        <v>5</v>
      </c>
      <c r="F1893" t="n">
        <v>0.033</v>
      </c>
      <c r="G1893" t="n">
        <v>0.33</v>
      </c>
      <c r="H1893" t="n">
        <v>6</v>
      </c>
      <c r="I1893" t="n">
        <v>12</v>
      </c>
      <c r="J1893" t="n">
        <v>3</v>
      </c>
      <c r="K1893" t="n">
        <v>0</v>
      </c>
      <c r="L1893" t="n">
        <v>85725</v>
      </c>
      <c r="M1893" t="n">
        <v>124000</v>
      </c>
      <c r="N1893" t="n">
        <v>33</v>
      </c>
      <c r="O1893" t="n">
        <v>0.33</v>
      </c>
      <c r="P1893" t="n">
        <v>1</v>
      </c>
      <c r="Q1893" t="n">
        <v>0.03</v>
      </c>
      <c r="R1893" t="n">
        <v>1</v>
      </c>
      <c r="S1893" t="n">
        <v>4092</v>
      </c>
      <c r="T1893" t="n">
        <v>4</v>
      </c>
      <c r="U1893" t="n">
        <v>5</v>
      </c>
      <c r="V1893" t="n">
        <v>30</v>
      </c>
      <c r="W1893" t="n">
        <v>1</v>
      </c>
      <c r="X1893" t="n">
        <v>151.5151515151515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545</v>
      </c>
      <c r="AG1893" t="n">
        <v>107</v>
      </c>
      <c r="AH1893" t="inlineStr">
        <is>
          <t xml:space="preserve">CV. DAHLIA - PPN (PDG) </t>
        </is>
      </c>
      <c r="AI1893" t="n">
        <v>1545</v>
      </c>
      <c r="AJ1893" t="inlineStr">
        <is>
          <t>ISWHITE</t>
        </is>
      </c>
      <c r="AK1893" t="n">
        <v>9</v>
      </c>
      <c r="AL1893" t="inlineStr">
        <is>
          <t>Miss Glam Jambi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JEJUBY</t>
        </is>
      </c>
      <c r="B1894" s="2">
        <f>"10500635017"</f>
        <v/>
      </c>
      <c r="C1894" t="inlineStr">
        <is>
          <t>JEJUBY Bright My Skin Gluta Rice Milk Mask 100gr</t>
        </is>
      </c>
      <c r="D1894" t="inlineStr">
        <is>
          <t>Miss Glam Jambi</t>
        </is>
      </c>
      <c r="E1894" t="n">
        <v>1</v>
      </c>
      <c r="F1894" t="n">
        <v>0.198</v>
      </c>
      <c r="G1894" t="n">
        <v>1.32</v>
      </c>
      <c r="H1894" t="n">
        <v>4</v>
      </c>
      <c r="I1894" t="n">
        <v>20</v>
      </c>
      <c r="J1894" t="n">
        <v>3</v>
      </c>
      <c r="K1894" t="n">
        <v>3</v>
      </c>
      <c r="L1894" t="n">
        <v>46350</v>
      </c>
      <c r="M1894" t="n">
        <v>65000</v>
      </c>
      <c r="N1894" t="n">
        <v>33</v>
      </c>
      <c r="O1894" t="n">
        <v>0.33</v>
      </c>
      <c r="P1894" t="n">
        <v>1</v>
      </c>
      <c r="Q1894" t="n">
        <v>0.19</v>
      </c>
      <c r="R1894" t="n">
        <v>2</v>
      </c>
      <c r="S1894" t="n">
        <v>12870</v>
      </c>
      <c r="T1894" t="n">
        <v>26</v>
      </c>
      <c r="U1894" t="n">
        <v>27</v>
      </c>
      <c r="V1894" t="n">
        <v>30</v>
      </c>
      <c r="W1894" t="n">
        <v>6</v>
      </c>
      <c r="X1894" t="n">
        <v>5.05050505050505</v>
      </c>
      <c r="Y1894" t="n">
        <v>1</v>
      </c>
      <c r="Z1894" t="n">
        <v>2</v>
      </c>
      <c r="AA1894" t="n">
        <v>2</v>
      </c>
      <c r="AB1894" t="n">
        <v>0</v>
      </c>
      <c r="AC1894" t="n">
        <v>0</v>
      </c>
      <c r="AD1894" t="n">
        <v>92700</v>
      </c>
      <c r="AE1894" t="n">
        <v>0</v>
      </c>
      <c r="AF1894" t="n">
        <v>5909</v>
      </c>
      <c r="AG1894" t="n">
        <v>1</v>
      </c>
      <c r="AH1894" t="inlineStr">
        <is>
          <t>PT. BERSAMA DISTRIVERSA INDONESIA (DC CIPUTAT)</t>
        </is>
      </c>
      <c r="AI1894" t="n">
        <v>1970</v>
      </c>
      <c r="AJ1894" t="inlineStr">
        <is>
          <t>JEJUBY</t>
        </is>
      </c>
      <c r="AK1894" t="n">
        <v>9</v>
      </c>
      <c r="AL1894" t="inlineStr">
        <is>
          <t>Miss Glam Jambi</t>
        </is>
      </c>
      <c r="AM1894" t="n">
        <v>4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JEJUBY</t>
        </is>
      </c>
      <c r="B1895" s="2">
        <f>"10500639053"</f>
        <v/>
      </c>
      <c r="C1895" t="inlineStr">
        <is>
          <t>JEJUBY Gluta Rice Clay Mask 100gr</t>
        </is>
      </c>
      <c r="D1895" t="inlineStr">
        <is>
          <t>Miss Glam Jambi</t>
        </is>
      </c>
      <c r="E1895" t="n">
        <v>5</v>
      </c>
      <c r="F1895" t="n">
        <v>0.0561</v>
      </c>
      <c r="G1895" t="n">
        <v>0.33</v>
      </c>
      <c r="H1895" t="n">
        <v>4</v>
      </c>
      <c r="I1895" t="n">
        <v>20</v>
      </c>
      <c r="J1895" t="n">
        <v>1</v>
      </c>
      <c r="K1895" t="n">
        <v>0</v>
      </c>
      <c r="L1895" t="n">
        <v>113300</v>
      </c>
      <c r="M1895" t="n">
        <v>148000</v>
      </c>
      <c r="N1895" t="n">
        <v>33</v>
      </c>
      <c r="O1895" t="n">
        <v>0.33</v>
      </c>
      <c r="P1895" t="n">
        <v>1</v>
      </c>
      <c r="Q1895" t="n">
        <v>0.07000000000000001</v>
      </c>
      <c r="R1895" t="n">
        <v>1</v>
      </c>
      <c r="S1895" t="n">
        <v>8302.800000000001</v>
      </c>
      <c r="T1895" t="n">
        <v>7</v>
      </c>
      <c r="U1895" t="n">
        <v>8</v>
      </c>
      <c r="V1895" t="n">
        <v>30</v>
      </c>
      <c r="W1895" t="n">
        <v>2</v>
      </c>
      <c r="X1895" t="n">
        <v>89.12655971479501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5909</v>
      </c>
      <c r="AG1895" t="n">
        <v>1</v>
      </c>
      <c r="AH1895" t="inlineStr">
        <is>
          <t>PT. BERSAMA DISTRIVERSA INDONESIA (DC CIPUTAT)</t>
        </is>
      </c>
      <c r="AI1895" t="n">
        <v>1970</v>
      </c>
      <c r="AJ1895" t="inlineStr">
        <is>
          <t>JEJUBY</t>
        </is>
      </c>
      <c r="AK1895" t="n">
        <v>9</v>
      </c>
      <c r="AL1895" t="inlineStr">
        <is>
          <t>Miss Glam Jambi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JEJUBY</t>
        </is>
      </c>
      <c r="B1896" s="2">
        <f>"10500638949"</f>
        <v/>
      </c>
      <c r="C1896" t="inlineStr">
        <is>
          <t>JEJUBY Gluta Rice Clay Mask 50gr</t>
        </is>
      </c>
      <c r="D1896" t="inlineStr">
        <is>
          <t>Miss Glam Jambi</t>
        </is>
      </c>
      <c r="E1896" t="n">
        <v>0</v>
      </c>
      <c r="F1896" t="n">
        <v>0.1353</v>
      </c>
      <c r="G1896" t="n">
        <v>1.65</v>
      </c>
      <c r="H1896" t="n">
        <v>4</v>
      </c>
      <c r="I1896" t="n">
        <v>20</v>
      </c>
      <c r="J1896" t="n">
        <v>1</v>
      </c>
      <c r="K1896" t="n">
        <v>6</v>
      </c>
      <c r="L1896" t="n">
        <v>66950</v>
      </c>
      <c r="M1896" t="n">
        <v>83000</v>
      </c>
      <c r="N1896" t="n">
        <v>33</v>
      </c>
      <c r="O1896" t="n">
        <v>0.33</v>
      </c>
      <c r="P1896" t="n">
        <v>1</v>
      </c>
      <c r="Q1896" t="n">
        <v>0.22</v>
      </c>
      <c r="R1896" t="n">
        <v>2</v>
      </c>
      <c r="S1896" t="n">
        <v>11229.9</v>
      </c>
      <c r="T1896" t="n">
        <v>33</v>
      </c>
      <c r="U1896" t="n">
        <v>34</v>
      </c>
      <c r="V1896" t="n">
        <v>30</v>
      </c>
      <c r="W1896" t="n">
        <v>5</v>
      </c>
      <c r="X1896" t="n">
        <v>0</v>
      </c>
      <c r="Y1896" t="n">
        <v>1</v>
      </c>
      <c r="Z1896" t="n">
        <v>0</v>
      </c>
      <c r="AA1896" t="n">
        <v>2</v>
      </c>
      <c r="AB1896" t="n">
        <v>0</v>
      </c>
      <c r="AC1896" t="n">
        <v>0</v>
      </c>
      <c r="AD1896" t="n">
        <v>133900</v>
      </c>
      <c r="AE1896" t="n">
        <v>0</v>
      </c>
      <c r="AF1896" t="n">
        <v>5909</v>
      </c>
      <c r="AG1896" t="n">
        <v>1</v>
      </c>
      <c r="AH1896" t="inlineStr">
        <is>
          <t>PT. BERSAMA DISTRIVERSA INDONESIA (DC CIPUTAT)</t>
        </is>
      </c>
      <c r="AI1896" t="n">
        <v>1970</v>
      </c>
      <c r="AJ1896" t="inlineStr">
        <is>
          <t>JEJUBY</t>
        </is>
      </c>
      <c r="AK1896" t="n">
        <v>9</v>
      </c>
      <c r="AL1896" t="inlineStr">
        <is>
          <t>Miss Glam Jambi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JEJUBY</t>
        </is>
      </c>
      <c r="B1897" s="2">
        <f>"8994460180018"</f>
        <v/>
      </c>
      <c r="C1897" t="inlineStr">
        <is>
          <t>JEJUBY Gluta Rice Milk UV Filter Lotion 250gr</t>
        </is>
      </c>
      <c r="D1897" t="inlineStr">
        <is>
          <t>Miss Glam Jambi</t>
        </is>
      </c>
      <c r="E1897" t="n">
        <v>0</v>
      </c>
      <c r="F1897" t="n">
        <v>0.02</v>
      </c>
      <c r="G1897" t="n">
        <v>1</v>
      </c>
      <c r="H1897" t="n">
        <v>4</v>
      </c>
      <c r="I1897" t="n">
        <v>20</v>
      </c>
      <c r="J1897" t="n">
        <v>3</v>
      </c>
      <c r="K1897" t="n">
        <v>0</v>
      </c>
      <c r="L1897" t="n">
        <v>105637</v>
      </c>
      <c r="M1897" t="n">
        <v>135000</v>
      </c>
      <c r="N1897" t="n">
        <v>33</v>
      </c>
      <c r="O1897" t="n">
        <v>0.33</v>
      </c>
      <c r="P1897" t="n">
        <v>0</v>
      </c>
      <c r="Q1897" t="n">
        <v>0.02</v>
      </c>
      <c r="R1897" t="n">
        <v>1</v>
      </c>
      <c r="S1897" t="n">
        <v>2700</v>
      </c>
      <c r="T1897" t="n">
        <v>20</v>
      </c>
      <c r="U1897" t="n">
        <v>21</v>
      </c>
      <c r="V1897" t="n">
        <v>30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n">
        <v>0</v>
      </c>
      <c r="AC1897" t="n">
        <v>0</v>
      </c>
      <c r="AD1897" t="n">
        <v>105637</v>
      </c>
      <c r="AE1897" t="n">
        <v>0</v>
      </c>
      <c r="AF1897" t="n">
        <v>5909</v>
      </c>
      <c r="AG1897" t="n">
        <v>1</v>
      </c>
      <c r="AH1897" t="inlineStr">
        <is>
          <t>PT. BERSAMA DISTRIVERSA INDONESIA (DC CIPUTAT)</t>
        </is>
      </c>
      <c r="AI1897" t="n">
        <v>1970</v>
      </c>
      <c r="AJ1897" t="inlineStr">
        <is>
          <t>JEJUBY</t>
        </is>
      </c>
      <c r="AK1897" t="n">
        <v>9</v>
      </c>
      <c r="AL1897" t="inlineStr">
        <is>
          <t>Miss Glam Jambi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JENNSKIN</t>
        </is>
      </c>
      <c r="B1898" s="2">
        <f>"8994457260020"</f>
        <v/>
      </c>
      <c r="C1898" t="inlineStr">
        <is>
          <t>JENNSKIN Baby Fresh Deodorant Spray Aroma 60ml</t>
        </is>
      </c>
      <c r="D1898" t="inlineStr">
        <is>
          <t>Miss Glam Jambi</t>
        </is>
      </c>
      <c r="E1898" t="n">
        <v>0</v>
      </c>
      <c r="F1898" t="n">
        <v>0.3861</v>
      </c>
      <c r="G1898" t="n">
        <v>0.99</v>
      </c>
      <c r="H1898" t="n">
        <v>4</v>
      </c>
      <c r="I1898" t="n">
        <v>20</v>
      </c>
      <c r="J1898" t="n">
        <v>3</v>
      </c>
      <c r="K1898" t="n">
        <v>12</v>
      </c>
      <c r="L1898" t="n">
        <v>40024</v>
      </c>
      <c r="M1898" t="n">
        <v>55000</v>
      </c>
      <c r="N1898" t="n">
        <v>33</v>
      </c>
      <c r="O1898" t="n">
        <v>0.33</v>
      </c>
      <c r="P1898" t="n">
        <v>1</v>
      </c>
      <c r="Q1898" t="n">
        <v>0.45</v>
      </c>
      <c r="R1898" t="n">
        <v>2</v>
      </c>
      <c r="S1898" t="n">
        <v>21235.5</v>
      </c>
      <c r="T1898" t="n">
        <v>19</v>
      </c>
      <c r="U1898" t="n">
        <v>21</v>
      </c>
      <c r="V1898" t="n">
        <v>30</v>
      </c>
      <c r="W1898" t="n">
        <v>12</v>
      </c>
      <c r="X1898" t="n">
        <v>0</v>
      </c>
      <c r="Y1898" t="n">
        <v>1</v>
      </c>
      <c r="Z1898" t="n">
        <v>0</v>
      </c>
      <c r="AA1898" t="n">
        <v>7</v>
      </c>
      <c r="AB1898" t="n">
        <v>0</v>
      </c>
      <c r="AC1898" t="n">
        <v>0</v>
      </c>
      <c r="AD1898" t="n">
        <v>280168</v>
      </c>
      <c r="AE1898" t="n">
        <v>0</v>
      </c>
      <c r="AF1898" t="n">
        <v>5942</v>
      </c>
      <c r="AG1898" t="n">
        <v>1</v>
      </c>
      <c r="AH1898" t="inlineStr">
        <is>
          <t>PT. BERSAMA DISTRIVERSA INDONESIA (DC CIPUTAT)</t>
        </is>
      </c>
      <c r="AI1898" t="n">
        <v>1875</v>
      </c>
      <c r="AJ1898" t="inlineStr">
        <is>
          <t>JENNSKIN</t>
        </is>
      </c>
      <c r="AK1898" t="n">
        <v>9</v>
      </c>
      <c r="AL1898" t="inlineStr">
        <is>
          <t>Miss Glam Jambi</t>
        </is>
      </c>
      <c r="AM1898" t="n">
        <v>3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JENNSKIN</t>
        </is>
      </c>
      <c r="B1899" s="2">
        <f>"8994457260044"</f>
        <v/>
      </c>
      <c r="C1899" t="inlineStr">
        <is>
          <t>JENNSKIN Jasmine Deodorant Spray Aroma 60ml</t>
        </is>
      </c>
      <c r="D1899" t="inlineStr">
        <is>
          <t>Miss Glam Jambi</t>
        </is>
      </c>
      <c r="E1899" t="n">
        <v>0</v>
      </c>
      <c r="F1899" t="n">
        <v>0.1419</v>
      </c>
      <c r="G1899" t="n">
        <v>0.99</v>
      </c>
      <c r="H1899" t="n">
        <v>4</v>
      </c>
      <c r="I1899" t="n">
        <v>20</v>
      </c>
      <c r="J1899" t="n">
        <v>3</v>
      </c>
      <c r="K1899" t="n">
        <v>9</v>
      </c>
      <c r="L1899" t="n">
        <v>40349</v>
      </c>
      <c r="M1899" t="n">
        <v>55000</v>
      </c>
      <c r="N1899" t="n">
        <v>33</v>
      </c>
      <c r="O1899" t="n">
        <v>0.33</v>
      </c>
      <c r="P1899" t="n">
        <v>1</v>
      </c>
      <c r="Q1899" t="n">
        <v>0.29</v>
      </c>
      <c r="R1899" t="n">
        <v>2</v>
      </c>
      <c r="S1899" t="n">
        <v>7804.5</v>
      </c>
      <c r="T1899" t="n">
        <v>20</v>
      </c>
      <c r="U1899" t="n">
        <v>21</v>
      </c>
      <c r="V1899" t="n">
        <v>30</v>
      </c>
      <c r="W1899" t="n">
        <v>5</v>
      </c>
      <c r="X1899" t="n">
        <v>0</v>
      </c>
      <c r="Y1899" t="n">
        <v>1</v>
      </c>
      <c r="Z1899" t="n">
        <v>0</v>
      </c>
      <c r="AA1899" t="n">
        <v>2</v>
      </c>
      <c r="AB1899" t="n">
        <v>0</v>
      </c>
      <c r="AC1899" t="n">
        <v>0</v>
      </c>
      <c r="AD1899" t="n">
        <v>80698</v>
      </c>
      <c r="AE1899" t="n">
        <v>0</v>
      </c>
      <c r="AF1899" t="n">
        <v>5942</v>
      </c>
      <c r="AG1899" t="n">
        <v>1</v>
      </c>
      <c r="AH1899" t="inlineStr">
        <is>
          <t>PT. BERSAMA DISTRIVERSA INDONESIA (DC CIPUTAT)</t>
        </is>
      </c>
      <c r="AI1899" t="n">
        <v>1875</v>
      </c>
      <c r="AJ1899" t="inlineStr">
        <is>
          <t>JENNSKIN</t>
        </is>
      </c>
      <c r="AK1899" t="n">
        <v>9</v>
      </c>
      <c r="AL1899" t="inlineStr">
        <is>
          <t>Miss Glam Jambi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JENNSKIN</t>
        </is>
      </c>
      <c r="B1900" s="2">
        <f>"8994457260006"</f>
        <v/>
      </c>
      <c r="C1900" t="inlineStr">
        <is>
          <t>JENNSKIN Sakura Deodorant Spray Aroma 60ml</t>
        </is>
      </c>
      <c r="D1900" t="inlineStr">
        <is>
          <t>Miss Glam Jambi</t>
        </is>
      </c>
      <c r="E1900" t="n">
        <v>0</v>
      </c>
      <c r="F1900" t="n">
        <v>0.13</v>
      </c>
      <c r="G1900" t="n">
        <v>2</v>
      </c>
      <c r="H1900" t="n">
        <v>4</v>
      </c>
      <c r="I1900" t="n">
        <v>20</v>
      </c>
      <c r="J1900" t="n">
        <v>3</v>
      </c>
      <c r="K1900" t="n">
        <v>6</v>
      </c>
      <c r="L1900" t="n">
        <v>40349</v>
      </c>
      <c r="M1900" t="n">
        <v>55000</v>
      </c>
      <c r="N1900" t="n">
        <v>33</v>
      </c>
      <c r="O1900" t="n">
        <v>0.33</v>
      </c>
      <c r="P1900" t="n">
        <v>0</v>
      </c>
      <c r="Q1900" t="n">
        <v>0.13</v>
      </c>
      <c r="R1900" t="n">
        <v>2</v>
      </c>
      <c r="S1900" t="n">
        <v>7150</v>
      </c>
      <c r="T1900" t="n">
        <v>40</v>
      </c>
      <c r="U1900" t="n">
        <v>41</v>
      </c>
      <c r="V1900" t="n">
        <v>30</v>
      </c>
      <c r="W1900" t="n">
        <v>4</v>
      </c>
      <c r="X1900" t="n">
        <v>0</v>
      </c>
      <c r="Y1900" t="n">
        <v>1</v>
      </c>
      <c r="Z1900" t="n">
        <v>0</v>
      </c>
      <c r="AA1900" t="n">
        <v>2</v>
      </c>
      <c r="AB1900" t="n">
        <v>0</v>
      </c>
      <c r="AC1900" t="n">
        <v>0</v>
      </c>
      <c r="AD1900" t="n">
        <v>80698</v>
      </c>
      <c r="AE1900" t="n">
        <v>0</v>
      </c>
      <c r="AF1900" t="n">
        <v>5942</v>
      </c>
      <c r="AG1900" t="n">
        <v>1</v>
      </c>
      <c r="AH1900" t="inlineStr">
        <is>
          <t>PT. BERSAMA DISTRIVERSA INDONESIA (DC CIPUTAT)</t>
        </is>
      </c>
      <c r="AI1900" t="n">
        <v>1875</v>
      </c>
      <c r="AJ1900" t="inlineStr">
        <is>
          <t>JENNSKIN</t>
        </is>
      </c>
      <c r="AK1900" t="n">
        <v>9</v>
      </c>
      <c r="AL1900" t="inlineStr">
        <is>
          <t>Miss Glam Jambi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JENNSKIN</t>
        </is>
      </c>
      <c r="B1901" s="2">
        <f>"8994457260013"</f>
        <v/>
      </c>
      <c r="C1901" t="inlineStr">
        <is>
          <t>JENNSKIN Vanilla Deodorant Spray Aroma 60ml</t>
        </is>
      </c>
      <c r="D1901" t="inlineStr">
        <is>
          <t>Miss Glam Jambi</t>
        </is>
      </c>
      <c r="E1901" t="n">
        <v>0</v>
      </c>
      <c r="F1901" t="n">
        <v>0.3135</v>
      </c>
      <c r="G1901" t="n">
        <v>1.32</v>
      </c>
      <c r="H1901" t="n">
        <v>4</v>
      </c>
      <c r="I1901" t="n">
        <v>20</v>
      </c>
      <c r="J1901" t="n">
        <v>3</v>
      </c>
      <c r="K1901" t="n">
        <v>6</v>
      </c>
      <c r="L1901" t="n">
        <v>39986</v>
      </c>
      <c r="M1901" t="n">
        <v>55000</v>
      </c>
      <c r="N1901" t="n">
        <v>33</v>
      </c>
      <c r="O1901" t="n">
        <v>0.33</v>
      </c>
      <c r="P1901" t="n">
        <v>1</v>
      </c>
      <c r="Q1901" t="n">
        <v>0.16</v>
      </c>
      <c r="R1901" t="n">
        <v>2</v>
      </c>
      <c r="S1901" t="n">
        <v>17242.5</v>
      </c>
      <c r="T1901" t="n">
        <v>26</v>
      </c>
      <c r="U1901" t="n">
        <v>28</v>
      </c>
      <c r="V1901" t="n">
        <v>30</v>
      </c>
      <c r="W1901" t="n">
        <v>10</v>
      </c>
      <c r="X1901" t="n">
        <v>0</v>
      </c>
      <c r="Y1901" t="n">
        <v>1</v>
      </c>
      <c r="Z1901" t="n">
        <v>4</v>
      </c>
      <c r="AA1901" t="n">
        <v>6</v>
      </c>
      <c r="AB1901" t="n">
        <v>0</v>
      </c>
      <c r="AC1901" t="n">
        <v>0</v>
      </c>
      <c r="AD1901" t="n">
        <v>239916</v>
      </c>
      <c r="AE1901" t="n">
        <v>0</v>
      </c>
      <c r="AF1901" t="n">
        <v>5942</v>
      </c>
      <c r="AG1901" t="n">
        <v>1</v>
      </c>
      <c r="AH1901" t="inlineStr">
        <is>
          <t>PT. BERSAMA DISTRIVERSA INDONESIA (DC CIPUTAT)</t>
        </is>
      </c>
      <c r="AI1901" t="n">
        <v>1875</v>
      </c>
      <c r="AJ1901" t="inlineStr">
        <is>
          <t>JENNSKIN</t>
        </is>
      </c>
      <c r="AK1901" t="n">
        <v>9</v>
      </c>
      <c r="AL1901" t="inlineStr">
        <is>
          <t>Miss Glam Jambi</t>
        </is>
      </c>
      <c r="AM1901" t="n">
        <v>3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JIERA</t>
        </is>
      </c>
      <c r="B1902" s="2">
        <f>"8993319780157"</f>
        <v/>
      </c>
      <c r="C1902" t="inlineStr">
        <is>
          <t>JIERA Advanced Natural Lip Serum 10ml</t>
        </is>
      </c>
      <c r="D1902" t="inlineStr">
        <is>
          <t>Miss Glam Jambi</t>
        </is>
      </c>
      <c r="E1902" t="n">
        <v>17</v>
      </c>
      <c r="F1902" t="n">
        <v>0.006600000000000001</v>
      </c>
      <c r="G1902" t="n">
        <v>0.33</v>
      </c>
      <c r="H1902" t="n">
        <v>4</v>
      </c>
      <c r="I1902" t="n">
        <v>20</v>
      </c>
      <c r="J1902" t="n">
        <v>3</v>
      </c>
      <c r="K1902" t="n">
        <v>0</v>
      </c>
      <c r="L1902" t="n">
        <v>37730</v>
      </c>
      <c r="M1902" t="n">
        <v>53900</v>
      </c>
      <c r="N1902" t="n">
        <v>33</v>
      </c>
      <c r="O1902" t="n">
        <v>0.33</v>
      </c>
      <c r="P1902" t="n">
        <v>1</v>
      </c>
      <c r="Q1902" t="n">
        <v>0.05</v>
      </c>
      <c r="R1902" t="n">
        <v>1</v>
      </c>
      <c r="S1902" t="n">
        <v>355.7400000000001</v>
      </c>
      <c r="T1902" t="n">
        <v>7</v>
      </c>
      <c r="U1902" t="n">
        <v>8</v>
      </c>
      <c r="V1902" t="n">
        <v>30</v>
      </c>
      <c r="W1902" t="n">
        <v>1</v>
      </c>
      <c r="X1902" t="n">
        <v>2575.757575757576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5977</v>
      </c>
      <c r="AG1902" t="n">
        <v>1</v>
      </c>
      <c r="AH1902" t="inlineStr">
        <is>
          <t>PT. BERSAMA DISTRIVERSA INDONESIA (DC CIPUTAT)</t>
        </is>
      </c>
      <c r="AI1902" t="n">
        <v>1069</v>
      </c>
      <c r="AJ1902" t="inlineStr">
        <is>
          <t>JIERA</t>
        </is>
      </c>
      <c r="AK1902" t="n">
        <v>9</v>
      </c>
      <c r="AL1902" t="inlineStr">
        <is>
          <t>Miss Glam Jambi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JUDYDOLL</t>
        </is>
      </c>
      <c r="B1903" s="2">
        <f>"20200218827"</f>
        <v/>
      </c>
      <c r="C1903" t="inlineStr">
        <is>
          <t>JUDYDOLL Fine Curling Mascara #01 Black 18.2gr</t>
        </is>
      </c>
      <c r="D1903" t="inlineStr">
        <is>
          <t>Miss Glam Jambi</t>
        </is>
      </c>
      <c r="E1903" t="n">
        <v>3</v>
      </c>
      <c r="F1903" t="n">
        <v>0.0396</v>
      </c>
      <c r="G1903" t="n">
        <v>0.66</v>
      </c>
      <c r="H1903" t="n">
        <v>5</v>
      </c>
      <c r="I1903" t="n">
        <v>11</v>
      </c>
      <c r="J1903" t="n">
        <v>3</v>
      </c>
      <c r="K1903" t="n">
        <v>0</v>
      </c>
      <c r="L1903" t="n">
        <v>93750</v>
      </c>
      <c r="M1903" t="n">
        <v>125000</v>
      </c>
      <c r="N1903" t="n">
        <v>33</v>
      </c>
      <c r="O1903" t="n">
        <v>0.33</v>
      </c>
      <c r="P1903" t="n">
        <v>1</v>
      </c>
      <c r="Q1903" t="n">
        <v>0.05</v>
      </c>
      <c r="R1903" t="n">
        <v>1</v>
      </c>
      <c r="S1903" t="n">
        <v>4950</v>
      </c>
      <c r="T1903" t="n">
        <v>8</v>
      </c>
      <c r="U1903" t="n">
        <v>9</v>
      </c>
      <c r="V1903" t="n">
        <v>30</v>
      </c>
      <c r="W1903" t="n">
        <v>2</v>
      </c>
      <c r="X1903" t="n">
        <v>75.75757575757575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12459</v>
      </c>
      <c r="AG1903" t="n">
        <v>3502</v>
      </c>
      <c r="AH1903" t="inlineStr">
        <is>
          <t>PT. SAI - PPN (PDG)</t>
        </is>
      </c>
      <c r="AI1903" t="n">
        <v>2247</v>
      </c>
      <c r="AJ1903" t="inlineStr">
        <is>
          <t>JUDYDOLL</t>
        </is>
      </c>
      <c r="AK1903" t="n">
        <v>9</v>
      </c>
      <c r="AL1903" t="inlineStr">
        <is>
          <t>Miss Glam Jambi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JUDYDOLL</t>
        </is>
      </c>
      <c r="B1904" s="2">
        <f>"20200218903"</f>
        <v/>
      </c>
      <c r="C1904" t="inlineStr">
        <is>
          <t>JUDYDOLL Fine Curling Mascara #02 Brown 18.2gr</t>
        </is>
      </c>
      <c r="D1904" t="inlineStr">
        <is>
          <t>Miss Glam Jambi</t>
        </is>
      </c>
      <c r="E1904" t="n">
        <v>1</v>
      </c>
      <c r="F1904" t="n">
        <v>0.009900000000000001</v>
      </c>
      <c r="G1904" t="n">
        <v>0.33</v>
      </c>
      <c r="H1904" t="n">
        <v>5</v>
      </c>
      <c r="I1904" t="n">
        <v>11</v>
      </c>
      <c r="J1904" t="n">
        <v>3</v>
      </c>
      <c r="K1904" t="n">
        <v>0</v>
      </c>
      <c r="L1904" t="n">
        <v>93750</v>
      </c>
      <c r="M1904" t="n">
        <v>125000</v>
      </c>
      <c r="N1904" t="n">
        <v>33</v>
      </c>
      <c r="O1904" t="n">
        <v>0.33</v>
      </c>
      <c r="P1904" t="n">
        <v>1</v>
      </c>
      <c r="Q1904" t="n">
        <v>0.02</v>
      </c>
      <c r="R1904" t="n">
        <v>1</v>
      </c>
      <c r="S1904" t="n">
        <v>1237.5</v>
      </c>
      <c r="T1904" t="n">
        <v>4</v>
      </c>
      <c r="U1904" t="n">
        <v>5</v>
      </c>
      <c r="V1904" t="n">
        <v>30</v>
      </c>
      <c r="W1904" t="n">
        <v>1</v>
      </c>
      <c r="X1904" t="n">
        <v>101.010101010101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12459</v>
      </c>
      <c r="AG1904" t="n">
        <v>3502</v>
      </c>
      <c r="AH1904" t="inlineStr">
        <is>
          <t>PT. SAI - PPN (PDG)</t>
        </is>
      </c>
      <c r="AI1904" t="n">
        <v>2247</v>
      </c>
      <c r="AJ1904" t="inlineStr">
        <is>
          <t>JUDYDOLL</t>
        </is>
      </c>
      <c r="AK1904" t="n">
        <v>9</v>
      </c>
      <c r="AL1904" t="inlineStr">
        <is>
          <t>Miss Glam Jambi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JUDYDOLL</t>
        </is>
      </c>
      <c r="B1905" s="2">
        <f>"20200219056"</f>
        <v/>
      </c>
      <c r="C1905" t="inlineStr">
        <is>
          <t>JUDYDOLL Iron Mascara #01 Black 3gr</t>
        </is>
      </c>
      <c r="D1905" t="inlineStr">
        <is>
          <t>Miss Glam Jambi</t>
        </is>
      </c>
      <c r="E1905" t="n">
        <v>6</v>
      </c>
      <c r="F1905" t="n">
        <v>0.0264</v>
      </c>
      <c r="G1905" t="n">
        <v>0.33</v>
      </c>
      <c r="H1905" t="n">
        <v>5</v>
      </c>
      <c r="I1905" t="n">
        <v>11</v>
      </c>
      <c r="J1905" t="n">
        <v>3</v>
      </c>
      <c r="K1905" t="n">
        <v>0</v>
      </c>
      <c r="L1905" t="n">
        <v>93750</v>
      </c>
      <c r="M1905" t="n">
        <v>125000</v>
      </c>
      <c r="N1905" t="n">
        <v>33</v>
      </c>
      <c r="O1905" t="n">
        <v>0.33</v>
      </c>
      <c r="P1905" t="n">
        <v>1</v>
      </c>
      <c r="Q1905" t="n">
        <v>0.03</v>
      </c>
      <c r="R1905" t="n">
        <v>1</v>
      </c>
      <c r="S1905" t="n">
        <v>3300</v>
      </c>
      <c r="T1905" t="n">
        <v>4</v>
      </c>
      <c r="U1905" t="n">
        <v>5</v>
      </c>
      <c r="V1905" t="n">
        <v>30</v>
      </c>
      <c r="W1905" t="n">
        <v>1</v>
      </c>
      <c r="X1905" t="n">
        <v>227.2727272727273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12459</v>
      </c>
      <c r="AG1905" t="n">
        <v>3502</v>
      </c>
      <c r="AH1905" t="inlineStr">
        <is>
          <t>PT. SAI - PPN (PDG)</t>
        </is>
      </c>
      <c r="AI1905" t="n">
        <v>2247</v>
      </c>
      <c r="AJ1905" t="inlineStr">
        <is>
          <t>JUDYDOLL</t>
        </is>
      </c>
      <c r="AK1905" t="n">
        <v>9</v>
      </c>
      <c r="AL1905" t="inlineStr">
        <is>
          <t>Miss Glam Jambi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JUDYDOLL</t>
        </is>
      </c>
      <c r="B1906" s="2">
        <f>"20200219213"</f>
        <v/>
      </c>
      <c r="C1906" t="inlineStr">
        <is>
          <t>JUDYDOLL Mascara Remover 3.5gr</t>
        </is>
      </c>
      <c r="D1906" t="inlineStr">
        <is>
          <t>Miss Glam Jambi</t>
        </is>
      </c>
      <c r="E1906" t="n">
        <v>9</v>
      </c>
      <c r="F1906" t="n">
        <v>0.006600000000000001</v>
      </c>
      <c r="G1906" t="n">
        <v>0.33</v>
      </c>
      <c r="H1906" t="n">
        <v>5</v>
      </c>
      <c r="I1906" t="n">
        <v>11</v>
      </c>
      <c r="J1906" t="n">
        <v>3</v>
      </c>
      <c r="K1906" t="n">
        <v>0</v>
      </c>
      <c r="L1906" t="n">
        <v>66750</v>
      </c>
      <c r="M1906" t="n">
        <v>89000</v>
      </c>
      <c r="N1906" t="n">
        <v>33</v>
      </c>
      <c r="O1906" t="n">
        <v>0.33</v>
      </c>
      <c r="P1906" t="n">
        <v>1</v>
      </c>
      <c r="Q1906" t="n">
        <v>0.02</v>
      </c>
      <c r="R1906" t="n">
        <v>1</v>
      </c>
      <c r="S1906" t="n">
        <v>587.4000000000001</v>
      </c>
      <c r="T1906" t="n">
        <v>4</v>
      </c>
      <c r="U1906" t="n">
        <v>5</v>
      </c>
      <c r="V1906" t="n">
        <v>30</v>
      </c>
      <c r="W1906" t="n">
        <v>1</v>
      </c>
      <c r="X1906" t="n">
        <v>1363.636363636364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12459</v>
      </c>
      <c r="AG1906" t="n">
        <v>3502</v>
      </c>
      <c r="AH1906" t="inlineStr">
        <is>
          <t>PT. SAI - PPN (PDG)</t>
        </is>
      </c>
      <c r="AI1906" t="n">
        <v>2247</v>
      </c>
      <c r="AJ1906" t="inlineStr">
        <is>
          <t>JUDYDOLL</t>
        </is>
      </c>
      <c r="AK1906" t="n">
        <v>9</v>
      </c>
      <c r="AL1906" t="inlineStr">
        <is>
          <t>Miss Glam Jambi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JUDYDOLL</t>
        </is>
      </c>
      <c r="B1907" s="2">
        <f>"50100315842"</f>
        <v/>
      </c>
      <c r="C1907" t="inlineStr">
        <is>
          <t>JUDYDOLL Tools Eyelash Curler</t>
        </is>
      </c>
      <c r="D1907" t="inlineStr">
        <is>
          <t>Miss Glam Jambi</t>
        </is>
      </c>
      <c r="E1907" t="n">
        <v>17</v>
      </c>
      <c r="F1907" t="n">
        <v>0.02</v>
      </c>
      <c r="G1907" t="n">
        <v>1</v>
      </c>
      <c r="H1907" t="n">
        <v>5</v>
      </c>
      <c r="I1907" t="n">
        <v>11</v>
      </c>
      <c r="J1907" t="n">
        <v>3</v>
      </c>
      <c r="K1907" t="n">
        <v>0</v>
      </c>
      <c r="L1907" t="n">
        <v>35135</v>
      </c>
      <c r="M1907" t="n">
        <v>39000</v>
      </c>
      <c r="N1907" t="n">
        <v>33</v>
      </c>
      <c r="O1907" t="n">
        <v>0.33</v>
      </c>
      <c r="P1907" t="n">
        <v>0</v>
      </c>
      <c r="Q1907" t="n">
        <v>0.02</v>
      </c>
      <c r="R1907" t="n">
        <v>1</v>
      </c>
      <c r="S1907" t="n">
        <v>780</v>
      </c>
      <c r="T1907" t="n">
        <v>11</v>
      </c>
      <c r="U1907" t="n">
        <v>12</v>
      </c>
      <c r="V1907" t="n">
        <v>30</v>
      </c>
      <c r="W1907" t="n">
        <v>1</v>
      </c>
      <c r="X1907" t="n">
        <v>850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12459</v>
      </c>
      <c r="AG1907" t="n">
        <v>3502</v>
      </c>
      <c r="AH1907" t="inlineStr">
        <is>
          <t>PT. SAI - PPN (PDG)</t>
        </is>
      </c>
      <c r="AI1907" t="n">
        <v>2247</v>
      </c>
      <c r="AJ1907" t="inlineStr">
        <is>
          <t>JUDYDOLL</t>
        </is>
      </c>
      <c r="AK1907" t="n">
        <v>9</v>
      </c>
      <c r="AL1907" t="inlineStr">
        <is>
          <t>Miss Glam Jambi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JUST MISS</t>
        </is>
      </c>
      <c r="B1908" s="2">
        <f>"20200453907"</f>
        <v/>
      </c>
      <c r="C1908" t="inlineStr">
        <is>
          <t>JUST MISS Eyebrow Pencil Dengan Sikat 209M Black 1gr</t>
        </is>
      </c>
      <c r="D1908" t="inlineStr">
        <is>
          <t>Miss Glam Jambi</t>
        </is>
      </c>
      <c r="E1908" t="n">
        <v>0</v>
      </c>
      <c r="F1908" t="n">
        <v>0.02</v>
      </c>
      <c r="G1908" t="n">
        <v>1</v>
      </c>
      <c r="H1908" t="n">
        <v>4</v>
      </c>
      <c r="I1908" t="n">
        <v>20</v>
      </c>
      <c r="J1908" t="n">
        <v>3</v>
      </c>
      <c r="K1908" t="n">
        <v>0</v>
      </c>
      <c r="L1908" t="n">
        <v>3208</v>
      </c>
      <c r="M1908" t="n">
        <v>5500</v>
      </c>
      <c r="N1908" t="n">
        <v>33</v>
      </c>
      <c r="O1908" t="n">
        <v>0.33</v>
      </c>
      <c r="P1908" t="n">
        <v>0</v>
      </c>
      <c r="Q1908" t="n">
        <v>0.02</v>
      </c>
      <c r="R1908" t="n">
        <v>1</v>
      </c>
      <c r="S1908" t="n">
        <v>110</v>
      </c>
      <c r="T1908" t="n">
        <v>20</v>
      </c>
      <c r="U1908" t="n">
        <v>21</v>
      </c>
      <c r="V1908" t="n">
        <v>30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n">
        <v>0</v>
      </c>
      <c r="AC1908" t="n">
        <v>0</v>
      </c>
      <c r="AD1908" t="n">
        <v>3208</v>
      </c>
      <c r="AE1908" t="n">
        <v>0</v>
      </c>
      <c r="AF1908" t="n">
        <v>6013</v>
      </c>
      <c r="AG1908" t="n">
        <v>1</v>
      </c>
      <c r="AH1908" t="inlineStr">
        <is>
          <t>PT. BERSAMA DISTRIVERSA INDONESIA (DC CIPUTAT)</t>
        </is>
      </c>
      <c r="AI1908" t="n">
        <v>714</v>
      </c>
      <c r="AJ1908" t="inlineStr">
        <is>
          <t>JUST MISS</t>
        </is>
      </c>
      <c r="AK1908" t="n">
        <v>9</v>
      </c>
      <c r="AL1908" t="inlineStr">
        <is>
          <t>Miss Glam Jambi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JUST MISS</t>
        </is>
      </c>
      <c r="B1909" s="2">
        <f>"20100949935"</f>
        <v/>
      </c>
      <c r="C1909" t="inlineStr">
        <is>
          <t>JUST MISS Wonder Shades Blush 03 Bloom 4.4gr</t>
        </is>
      </c>
      <c r="D1909" t="inlineStr">
        <is>
          <t>Miss Glam Jambi</t>
        </is>
      </c>
      <c r="E1909" t="n">
        <v>1</v>
      </c>
      <c r="F1909" t="n">
        <v>0.1</v>
      </c>
      <c r="G1909" t="n">
        <v>1</v>
      </c>
      <c r="H1909" t="n">
        <v>4</v>
      </c>
      <c r="I1909" t="n">
        <v>20</v>
      </c>
      <c r="J1909" t="n">
        <v>3</v>
      </c>
      <c r="K1909" t="n">
        <v>0</v>
      </c>
      <c r="L1909" t="n">
        <v>14943</v>
      </c>
      <c r="M1909" t="n">
        <v>26000</v>
      </c>
      <c r="N1909" t="n">
        <v>33</v>
      </c>
      <c r="O1909" t="n">
        <v>0.33</v>
      </c>
      <c r="P1909" t="n">
        <v>0</v>
      </c>
      <c r="Q1909" t="n">
        <v>0.1</v>
      </c>
      <c r="R1909" t="n">
        <v>1</v>
      </c>
      <c r="S1909" t="n">
        <v>2600</v>
      </c>
      <c r="T1909" t="n">
        <v>20</v>
      </c>
      <c r="U1909" t="n">
        <v>21</v>
      </c>
      <c r="V1909" t="n">
        <v>30</v>
      </c>
      <c r="W1909" t="n">
        <v>3</v>
      </c>
      <c r="X1909" t="n">
        <v>10</v>
      </c>
      <c r="Y1909" t="n">
        <v>1</v>
      </c>
      <c r="Z1909" t="n">
        <v>2</v>
      </c>
      <c r="AA1909" t="n">
        <v>1</v>
      </c>
      <c r="AB1909" t="n">
        <v>1</v>
      </c>
      <c r="AC1909" t="n">
        <v>3</v>
      </c>
      <c r="AD1909" t="n">
        <v>14943</v>
      </c>
      <c r="AE1909" t="n">
        <v>44829</v>
      </c>
      <c r="AF1909" t="n">
        <v>6013</v>
      </c>
      <c r="AG1909" t="n">
        <v>1</v>
      </c>
      <c r="AH1909" t="inlineStr">
        <is>
          <t>PT. BERSAMA DISTRIVERSA INDONESIA (DC CIPUTAT)</t>
        </is>
      </c>
      <c r="AI1909" t="n">
        <v>714</v>
      </c>
      <c r="AJ1909" t="inlineStr">
        <is>
          <t>JUST MISS</t>
        </is>
      </c>
      <c r="AK1909" t="n">
        <v>9</v>
      </c>
      <c r="AL1909" t="inlineStr">
        <is>
          <t>Miss Glam Jambi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JUST MISS</t>
        </is>
      </c>
      <c r="B1910" s="2">
        <f>"20100950010"</f>
        <v/>
      </c>
      <c r="C1910" t="inlineStr">
        <is>
          <t>JUST MISS Wonder Shades Blush 04 Rouge 4.4gr</t>
        </is>
      </c>
      <c r="D1910" t="inlineStr">
        <is>
          <t>Miss Glam Jambi</t>
        </is>
      </c>
      <c r="E1910" t="n">
        <v>10</v>
      </c>
      <c r="F1910" t="n">
        <v>0.03</v>
      </c>
      <c r="G1910" t="n">
        <v>1</v>
      </c>
      <c r="H1910" t="n">
        <v>4</v>
      </c>
      <c r="I1910" t="n">
        <v>20</v>
      </c>
      <c r="J1910" t="n">
        <v>3</v>
      </c>
      <c r="K1910" t="n">
        <v>0</v>
      </c>
      <c r="L1910" t="n">
        <v>14943</v>
      </c>
      <c r="M1910" t="n">
        <v>26000</v>
      </c>
      <c r="N1910" t="n">
        <v>33</v>
      </c>
      <c r="O1910" t="n">
        <v>0.33</v>
      </c>
      <c r="P1910" t="n">
        <v>0</v>
      </c>
      <c r="Q1910" t="n">
        <v>0.03</v>
      </c>
      <c r="R1910" t="n">
        <v>1</v>
      </c>
      <c r="S1910" t="n">
        <v>780</v>
      </c>
      <c r="T1910" t="n">
        <v>20</v>
      </c>
      <c r="U1910" t="n">
        <v>21</v>
      </c>
      <c r="V1910" t="n">
        <v>30</v>
      </c>
      <c r="W1910" t="n">
        <v>1</v>
      </c>
      <c r="X1910" t="n">
        <v>333.3333333333334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6013</v>
      </c>
      <c r="AG1910" t="n">
        <v>1</v>
      </c>
      <c r="AH1910" t="inlineStr">
        <is>
          <t>PT. BERSAMA DISTRIVERSA INDONESIA (DC CIPUTAT)</t>
        </is>
      </c>
      <c r="AI1910" t="n">
        <v>714</v>
      </c>
      <c r="AJ1910" t="inlineStr">
        <is>
          <t>JUST MISS</t>
        </is>
      </c>
      <c r="AK1910" t="n">
        <v>9</v>
      </c>
      <c r="AL1910" t="inlineStr">
        <is>
          <t>Miss Glam Jambi</t>
        </is>
      </c>
      <c r="AM1910" t="n">
        <v>4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JUST MISS</t>
        </is>
      </c>
      <c r="B1911" s="2">
        <f>"20100950921"</f>
        <v/>
      </c>
      <c r="C1911" t="inlineStr">
        <is>
          <t>JUST MISS Wonder Shades Blush 05 Petal 4.4gr</t>
        </is>
      </c>
      <c r="D1911" t="inlineStr">
        <is>
          <t>Miss Glam Jambi</t>
        </is>
      </c>
      <c r="E1911" t="n">
        <v>0</v>
      </c>
      <c r="F1911" t="n">
        <v>0.02</v>
      </c>
      <c r="G1911" t="n">
        <v>1</v>
      </c>
      <c r="H1911" t="n">
        <v>4</v>
      </c>
      <c r="I1911" t="n">
        <v>20</v>
      </c>
      <c r="J1911" t="n">
        <v>3</v>
      </c>
      <c r="K1911" t="n">
        <v>0</v>
      </c>
      <c r="L1911" t="n">
        <v>14943</v>
      </c>
      <c r="M1911" t="n">
        <v>26000</v>
      </c>
      <c r="N1911" t="n">
        <v>33</v>
      </c>
      <c r="O1911" t="n">
        <v>0.33</v>
      </c>
      <c r="P1911" t="n">
        <v>0</v>
      </c>
      <c r="Q1911" t="n">
        <v>0.02</v>
      </c>
      <c r="R1911" t="n">
        <v>1</v>
      </c>
      <c r="S1911" t="n">
        <v>520</v>
      </c>
      <c r="T1911" t="n">
        <v>20</v>
      </c>
      <c r="U1911" t="n">
        <v>21</v>
      </c>
      <c r="V1911" t="n">
        <v>30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n">
        <v>0</v>
      </c>
      <c r="AC1911" t="n">
        <v>0</v>
      </c>
      <c r="AD1911" t="n">
        <v>14943</v>
      </c>
      <c r="AE1911" t="n">
        <v>0</v>
      </c>
      <c r="AF1911" t="n">
        <v>6013</v>
      </c>
      <c r="AG1911" t="n">
        <v>1</v>
      </c>
      <c r="AH1911" t="inlineStr">
        <is>
          <t>PT. BERSAMA DISTRIVERSA INDONESIA (DC CIPUTAT)</t>
        </is>
      </c>
      <c r="AI1911" t="n">
        <v>714</v>
      </c>
      <c r="AJ1911" t="inlineStr">
        <is>
          <t>JUST MISS</t>
        </is>
      </c>
      <c r="AK1911" t="n">
        <v>9</v>
      </c>
      <c r="AL1911" t="inlineStr">
        <is>
          <t>Miss Glam Jambi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JUST MISS</t>
        </is>
      </c>
      <c r="B1912" s="2">
        <f>"20100950140"</f>
        <v/>
      </c>
      <c r="C1912" t="inlineStr">
        <is>
          <t>JUST MISS Wonder Shades Blush 06 Cider 4.4gr</t>
        </is>
      </c>
      <c r="D1912" t="inlineStr">
        <is>
          <t>Miss Glam Jambi</t>
        </is>
      </c>
      <c r="E1912" t="n">
        <v>3</v>
      </c>
      <c r="F1912" t="n">
        <v>0.03</v>
      </c>
      <c r="G1912" t="n">
        <v>1</v>
      </c>
      <c r="H1912" t="n">
        <v>4</v>
      </c>
      <c r="I1912" t="n">
        <v>20</v>
      </c>
      <c r="J1912" t="n">
        <v>3</v>
      </c>
      <c r="K1912" t="n">
        <v>0</v>
      </c>
      <c r="L1912" t="n">
        <v>15025</v>
      </c>
      <c r="M1912" t="n">
        <v>26000</v>
      </c>
      <c r="N1912" t="n">
        <v>33</v>
      </c>
      <c r="O1912" t="n">
        <v>0.33</v>
      </c>
      <c r="P1912" t="n">
        <v>0</v>
      </c>
      <c r="Q1912" t="n">
        <v>0.03</v>
      </c>
      <c r="R1912" t="n">
        <v>1</v>
      </c>
      <c r="S1912" t="n">
        <v>780</v>
      </c>
      <c r="T1912" t="n">
        <v>20</v>
      </c>
      <c r="U1912" t="n">
        <v>21</v>
      </c>
      <c r="V1912" t="n">
        <v>30</v>
      </c>
      <c r="W1912" t="n">
        <v>1</v>
      </c>
      <c r="X1912" t="n">
        <v>100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6013</v>
      </c>
      <c r="AG1912" t="n">
        <v>1</v>
      </c>
      <c r="AH1912" t="inlineStr">
        <is>
          <t>PT. BERSAMA DISTRIVERSA INDONESIA (DC CIPUTAT)</t>
        </is>
      </c>
      <c r="AI1912" t="n">
        <v>714</v>
      </c>
      <c r="AJ1912" t="inlineStr">
        <is>
          <t>JUST MISS</t>
        </is>
      </c>
      <c r="AK1912" t="n">
        <v>9</v>
      </c>
      <c r="AL1912" t="inlineStr">
        <is>
          <t>Miss Glam Jambi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KAHF</t>
        </is>
      </c>
      <c r="B1913" s="2">
        <f>"101001112914"</f>
        <v/>
      </c>
      <c r="C1913" t="inlineStr">
        <is>
          <t>FREE PRODUCT KAHF Face Wash 50ml</t>
        </is>
      </c>
      <c r="D1913" t="inlineStr">
        <is>
          <t>Miss Glam Jambi</t>
        </is>
      </c>
      <c r="E1913" t="n">
        <v>0</v>
      </c>
      <c r="F1913" t="n">
        <v>0.02</v>
      </c>
      <c r="G1913" t="n">
        <v>1</v>
      </c>
      <c r="H1913" t="n">
        <v>2</v>
      </c>
      <c r="I1913" t="n">
        <v>7</v>
      </c>
      <c r="J1913" t="n">
        <v>1</v>
      </c>
      <c r="K1913" t="n">
        <v>0</v>
      </c>
      <c r="L1913" t="n">
        <v>1</v>
      </c>
      <c r="M1913" t="n">
        <v>100</v>
      </c>
      <c r="N1913" t="n">
        <v>33</v>
      </c>
      <c r="O1913" t="n">
        <v>0.33</v>
      </c>
      <c r="P1913" t="n">
        <v>0</v>
      </c>
      <c r="Q1913" t="n">
        <v>0.02</v>
      </c>
      <c r="R1913" t="n">
        <v>1</v>
      </c>
      <c r="S1913" t="n">
        <v>2</v>
      </c>
      <c r="T1913" t="n">
        <v>7</v>
      </c>
      <c r="U1913" t="n">
        <v>8</v>
      </c>
      <c r="V1913" t="n">
        <v>30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n">
        <v>0</v>
      </c>
      <c r="AC1913" t="n">
        <v>0</v>
      </c>
      <c r="AD1913" t="n">
        <v>1</v>
      </c>
      <c r="AE1913" t="n">
        <v>0</v>
      </c>
      <c r="AF1913" t="n">
        <v>11581</v>
      </c>
      <c r="AG1913" t="n">
        <v>2141</v>
      </c>
      <c r="AH1913" t="inlineStr">
        <is>
          <t>PT. PARAMA GLOBAL INSPIRA - PPN (JMB)</t>
        </is>
      </c>
      <c r="AI1913" t="n">
        <v>1218</v>
      </c>
      <c r="AJ1913" t="inlineStr">
        <is>
          <t>KAHF</t>
        </is>
      </c>
      <c r="AK1913" t="n">
        <v>9</v>
      </c>
      <c r="AL1913" t="inlineStr">
        <is>
          <t>Miss Glam Jambi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KAHF</t>
        </is>
      </c>
      <c r="B1914" s="2">
        <f>"8993137713634"</f>
        <v/>
      </c>
      <c r="C1914" t="inlineStr">
        <is>
          <t>KAFH Brightening And Dark Spot Scrub Face Wash 100ml</t>
        </is>
      </c>
      <c r="D1914" t="inlineStr">
        <is>
          <t>Miss Glam Jambi</t>
        </is>
      </c>
      <c r="E1914" t="n">
        <v>3</v>
      </c>
      <c r="F1914" t="n">
        <v>0.3399</v>
      </c>
      <c r="G1914" t="n">
        <v>1.65</v>
      </c>
      <c r="H1914" t="n">
        <v>2</v>
      </c>
      <c r="I1914" t="n">
        <v>7</v>
      </c>
      <c r="J1914" t="n">
        <v>3</v>
      </c>
      <c r="K1914" t="n">
        <v>8</v>
      </c>
      <c r="L1914" t="n">
        <v>32400</v>
      </c>
      <c r="M1914" t="n">
        <v>40000</v>
      </c>
      <c r="N1914" t="n">
        <v>33</v>
      </c>
      <c r="O1914" t="n">
        <v>0.33</v>
      </c>
      <c r="P1914" t="n">
        <v>1</v>
      </c>
      <c r="Q1914" t="n">
        <v>0.14</v>
      </c>
      <c r="R1914" t="n">
        <v>2</v>
      </c>
      <c r="S1914" t="n">
        <v>13596</v>
      </c>
      <c r="T1914" t="n">
        <v>11</v>
      </c>
      <c r="U1914" t="n">
        <v>12</v>
      </c>
      <c r="V1914" t="n">
        <v>30</v>
      </c>
      <c r="W1914" t="n">
        <v>11</v>
      </c>
      <c r="X1914" t="n">
        <v>8.8261253309797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11581</v>
      </c>
      <c r="AG1914" t="n">
        <v>2141</v>
      </c>
      <c r="AH1914" t="inlineStr">
        <is>
          <t>PT. PARAMA GLOBAL INSPIRA - PPN (JMB)</t>
        </is>
      </c>
      <c r="AI1914" t="n">
        <v>1218</v>
      </c>
      <c r="AJ1914" t="inlineStr">
        <is>
          <t>KAHF</t>
        </is>
      </c>
      <c r="AK1914" t="n">
        <v>9</v>
      </c>
      <c r="AL1914" t="inlineStr">
        <is>
          <t>Miss Glam Jambi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KAHF</t>
        </is>
      </c>
      <c r="B1915" s="2">
        <f>"8993137008471"</f>
        <v/>
      </c>
      <c r="C1915" t="inlineStr">
        <is>
          <t>KAHF Acne And Pore Cleanse Scrub Face Wash 100ml</t>
        </is>
      </c>
      <c r="D1915" t="inlineStr">
        <is>
          <t>Miss Glam Jambi</t>
        </is>
      </c>
      <c r="E1915" t="n">
        <v>0</v>
      </c>
      <c r="F1915" t="n">
        <v>0.2277</v>
      </c>
      <c r="G1915" t="n">
        <v>0.99</v>
      </c>
      <c r="H1915" t="n">
        <v>2</v>
      </c>
      <c r="I1915" t="n">
        <v>7</v>
      </c>
      <c r="J1915" t="n">
        <v>3</v>
      </c>
      <c r="K1915" t="n">
        <v>5</v>
      </c>
      <c r="L1915" t="n">
        <v>32400</v>
      </c>
      <c r="M1915" t="n">
        <v>40000</v>
      </c>
      <c r="N1915" t="n">
        <v>33</v>
      </c>
      <c r="O1915" t="n">
        <v>0.33</v>
      </c>
      <c r="P1915" t="n">
        <v>1</v>
      </c>
      <c r="Q1915" t="n">
        <v>0.18</v>
      </c>
      <c r="R1915" t="n">
        <v>2</v>
      </c>
      <c r="S1915" t="n">
        <v>9108</v>
      </c>
      <c r="T1915" t="n">
        <v>7</v>
      </c>
      <c r="U1915" t="n">
        <v>8</v>
      </c>
      <c r="V1915" t="n">
        <v>30</v>
      </c>
      <c r="W1915" t="n">
        <v>7</v>
      </c>
      <c r="X1915" t="n">
        <v>0</v>
      </c>
      <c r="Y1915" t="n">
        <v>1</v>
      </c>
      <c r="Z1915" t="n">
        <v>2</v>
      </c>
      <c r="AA1915" t="n">
        <v>1</v>
      </c>
      <c r="AB1915" t="n">
        <v>1</v>
      </c>
      <c r="AC1915" t="n">
        <v>3</v>
      </c>
      <c r="AD1915" t="n">
        <v>32400</v>
      </c>
      <c r="AE1915" t="n">
        <v>97200</v>
      </c>
      <c r="AF1915" t="n">
        <v>11581</v>
      </c>
      <c r="AG1915" t="n">
        <v>2141</v>
      </c>
      <c r="AH1915" t="inlineStr">
        <is>
          <t>PT. PARAMA GLOBAL INSPIRA - PPN (JMB)</t>
        </is>
      </c>
      <c r="AI1915" t="n">
        <v>1218</v>
      </c>
      <c r="AJ1915" t="inlineStr">
        <is>
          <t>KAHF</t>
        </is>
      </c>
      <c r="AK1915" t="n">
        <v>9</v>
      </c>
      <c r="AL1915" t="inlineStr">
        <is>
          <t>Miss Glam Jambi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KAHF</t>
        </is>
      </c>
      <c r="B1916" s="2">
        <f>"101001113820"</f>
        <v/>
      </c>
      <c r="C1916" t="inlineStr">
        <is>
          <t>KAHF Acne Care AminoGel Face Wash 100ml</t>
        </is>
      </c>
      <c r="D1916" t="inlineStr">
        <is>
          <t>Miss Glam Jambi</t>
        </is>
      </c>
      <c r="E1916" t="n">
        <v>0</v>
      </c>
      <c r="F1916" t="n">
        <v>0.2013</v>
      </c>
      <c r="G1916" t="n">
        <v>1.32</v>
      </c>
      <c r="H1916" t="n">
        <v>2</v>
      </c>
      <c r="I1916" t="n">
        <v>7</v>
      </c>
      <c r="J1916" t="n">
        <v>1</v>
      </c>
      <c r="K1916" t="n">
        <v>5</v>
      </c>
      <c r="L1916" t="n">
        <v>34000</v>
      </c>
      <c r="M1916" t="n">
        <v>42500</v>
      </c>
      <c r="N1916" t="n">
        <v>33</v>
      </c>
      <c r="O1916" t="n">
        <v>0.33</v>
      </c>
      <c r="P1916" t="n">
        <v>1</v>
      </c>
      <c r="Q1916" t="n">
        <v>0.14</v>
      </c>
      <c r="R1916" t="n">
        <v>1</v>
      </c>
      <c r="S1916" t="n">
        <v>8555.25</v>
      </c>
      <c r="T1916" t="n">
        <v>9</v>
      </c>
      <c r="U1916" t="n">
        <v>10</v>
      </c>
      <c r="V1916" t="n">
        <v>30</v>
      </c>
      <c r="W1916" t="n">
        <v>7</v>
      </c>
      <c r="X1916" t="n">
        <v>0</v>
      </c>
      <c r="Y1916" t="n">
        <v>1</v>
      </c>
      <c r="Z1916" t="n">
        <v>2</v>
      </c>
      <c r="AA1916" t="n">
        <v>1</v>
      </c>
      <c r="AB1916" t="n">
        <v>1</v>
      </c>
      <c r="AC1916" t="n">
        <v>1</v>
      </c>
      <c r="AD1916" t="n">
        <v>34000</v>
      </c>
      <c r="AE1916" t="n">
        <v>34000</v>
      </c>
      <c r="AF1916" t="n">
        <v>11581</v>
      </c>
      <c r="AG1916" t="n">
        <v>2141</v>
      </c>
      <c r="AH1916" t="inlineStr">
        <is>
          <t>PT. PARAMA GLOBAL INSPIRA - PPN (JMB)</t>
        </is>
      </c>
      <c r="AI1916" t="n">
        <v>1218</v>
      </c>
      <c r="AJ1916" t="inlineStr">
        <is>
          <t>KAHF</t>
        </is>
      </c>
      <c r="AK1916" t="n">
        <v>9</v>
      </c>
      <c r="AL1916" t="inlineStr">
        <is>
          <t>Miss Glam Jambi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KAHF</t>
        </is>
      </c>
      <c r="B1917" s="2">
        <f>"8993137728195"</f>
        <v/>
      </c>
      <c r="C1917" t="inlineStr">
        <is>
          <t>KAHF Acne Fight And Relaxing Body Wash 200ml</t>
        </is>
      </c>
      <c r="D1917" t="inlineStr">
        <is>
          <t>Miss Glam Jambi</t>
        </is>
      </c>
      <c r="E1917" t="n">
        <v>4</v>
      </c>
      <c r="F1917" t="n">
        <v>0.06270000000000001</v>
      </c>
      <c r="G1917" t="n">
        <v>0.33</v>
      </c>
      <c r="H1917" t="n">
        <v>2</v>
      </c>
      <c r="I1917" t="n">
        <v>7</v>
      </c>
      <c r="J1917" t="n">
        <v>3</v>
      </c>
      <c r="K1917" t="n">
        <v>0</v>
      </c>
      <c r="L1917" t="n">
        <v>21017</v>
      </c>
      <c r="M1917" t="n">
        <v>25700</v>
      </c>
      <c r="N1917" t="n">
        <v>33</v>
      </c>
      <c r="O1917" t="n">
        <v>0.33</v>
      </c>
      <c r="P1917" t="n">
        <v>1</v>
      </c>
      <c r="Q1917" t="n">
        <v>0.02</v>
      </c>
      <c r="R1917" t="n">
        <v>1</v>
      </c>
      <c r="S1917" t="n">
        <v>1611.39</v>
      </c>
      <c r="T1917" t="n">
        <v>3</v>
      </c>
      <c r="U1917" t="n">
        <v>4</v>
      </c>
      <c r="V1917" t="n">
        <v>30</v>
      </c>
      <c r="W1917" t="n">
        <v>2</v>
      </c>
      <c r="X1917" t="n">
        <v>63.79585326953747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11581</v>
      </c>
      <c r="AG1917" t="n">
        <v>2141</v>
      </c>
      <c r="AH1917" t="inlineStr">
        <is>
          <t>PT. PARAMA GLOBAL INSPIRA - PPN (JMB)</t>
        </is>
      </c>
      <c r="AI1917" t="n">
        <v>1218</v>
      </c>
      <c r="AJ1917" t="inlineStr">
        <is>
          <t>KAHF</t>
        </is>
      </c>
      <c r="AK1917" t="n">
        <v>9</v>
      </c>
      <c r="AL1917" t="inlineStr">
        <is>
          <t>Miss Glam Jambi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KAHF</t>
        </is>
      </c>
      <c r="B1918" s="2">
        <f>"8993137710558"</f>
        <v/>
      </c>
      <c r="C1918" t="inlineStr">
        <is>
          <t>KAHF Advancing Beard Serum 30ml</t>
        </is>
      </c>
      <c r="D1918" t="inlineStr">
        <is>
          <t>Miss Glam Jambi</t>
        </is>
      </c>
      <c r="E1918" t="n">
        <v>4</v>
      </c>
      <c r="F1918" t="n">
        <v>0.02</v>
      </c>
      <c r="G1918" t="n">
        <v>1</v>
      </c>
      <c r="H1918" t="n">
        <v>2</v>
      </c>
      <c r="I1918" t="n">
        <v>7</v>
      </c>
      <c r="J1918" t="n">
        <v>3</v>
      </c>
      <c r="K1918" t="n">
        <v>0</v>
      </c>
      <c r="L1918" t="n">
        <v>110400</v>
      </c>
      <c r="M1918" t="n">
        <v>132000</v>
      </c>
      <c r="N1918" t="n">
        <v>33</v>
      </c>
      <c r="O1918" t="n">
        <v>0.33</v>
      </c>
      <c r="P1918" t="n">
        <v>0</v>
      </c>
      <c r="Q1918" t="n">
        <v>0.02</v>
      </c>
      <c r="R1918" t="n">
        <v>1</v>
      </c>
      <c r="S1918" t="n">
        <v>2640</v>
      </c>
      <c r="T1918" t="n">
        <v>7</v>
      </c>
      <c r="U1918" t="n">
        <v>8</v>
      </c>
      <c r="V1918" t="n">
        <v>30</v>
      </c>
      <c r="W1918" t="n">
        <v>1</v>
      </c>
      <c r="X1918" t="n">
        <v>200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11581</v>
      </c>
      <c r="AG1918" t="n">
        <v>2141</v>
      </c>
      <c r="AH1918" t="inlineStr">
        <is>
          <t>PT. PARAMA GLOBAL INSPIRA - PPN (JMB)</t>
        </is>
      </c>
      <c r="AI1918" t="n">
        <v>1218</v>
      </c>
      <c r="AJ1918" t="inlineStr">
        <is>
          <t>KAHF</t>
        </is>
      </c>
      <c r="AK1918" t="n">
        <v>9</v>
      </c>
      <c r="AL1918" t="inlineStr">
        <is>
          <t>Miss Glam Jambi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KAHF</t>
        </is>
      </c>
      <c r="B1919" s="2">
        <f>"8993137729765"</f>
        <v/>
      </c>
      <c r="C1919" t="inlineStr">
        <is>
          <t>KAHF All In One Power Toning Face Spray 100ml</t>
        </is>
      </c>
      <c r="D1919" t="inlineStr">
        <is>
          <t>Miss Glam Jambi</t>
        </is>
      </c>
      <c r="E1919" t="n">
        <v>1</v>
      </c>
      <c r="F1919" t="n">
        <v>0.0396</v>
      </c>
      <c r="G1919" t="n">
        <v>0.33</v>
      </c>
      <c r="H1919" t="n">
        <v>2</v>
      </c>
      <c r="I1919" t="n">
        <v>7</v>
      </c>
      <c r="J1919" t="n">
        <v>3</v>
      </c>
      <c r="K1919" t="n">
        <v>0</v>
      </c>
      <c r="L1919" t="n">
        <v>59700</v>
      </c>
      <c r="M1919" t="n">
        <v>72000</v>
      </c>
      <c r="N1919" t="n">
        <v>33</v>
      </c>
      <c r="O1919" t="n">
        <v>0.33</v>
      </c>
      <c r="P1919" t="n">
        <v>1</v>
      </c>
      <c r="Q1919" t="n">
        <v>0.05</v>
      </c>
      <c r="R1919" t="n">
        <v>1</v>
      </c>
      <c r="S1919" t="n">
        <v>2851.2</v>
      </c>
      <c r="T1919" t="n">
        <v>3</v>
      </c>
      <c r="U1919" t="n">
        <v>4</v>
      </c>
      <c r="V1919" t="n">
        <v>30</v>
      </c>
      <c r="W1919" t="n">
        <v>2</v>
      </c>
      <c r="X1919" t="n">
        <v>25.25252525252525</v>
      </c>
      <c r="Y1919" t="n">
        <v>1</v>
      </c>
      <c r="Z1919" t="n">
        <v>1</v>
      </c>
      <c r="AA1919" t="n">
        <v>0</v>
      </c>
      <c r="AB1919" t="n">
        <v>1</v>
      </c>
      <c r="AC1919" t="n">
        <v>3</v>
      </c>
      <c r="AD1919" t="n">
        <v>0</v>
      </c>
      <c r="AE1919" t="n">
        <v>179100</v>
      </c>
      <c r="AF1919" t="n">
        <v>11581</v>
      </c>
      <c r="AG1919" t="n">
        <v>2141</v>
      </c>
      <c r="AH1919" t="inlineStr">
        <is>
          <t>PT. PARAMA GLOBAL INSPIRA - PPN (JMB)</t>
        </is>
      </c>
      <c r="AI1919" t="n">
        <v>1218</v>
      </c>
      <c r="AJ1919" t="inlineStr">
        <is>
          <t>KAHF</t>
        </is>
      </c>
      <c r="AK1919" t="n">
        <v>9</v>
      </c>
      <c r="AL1919" t="inlineStr">
        <is>
          <t>Miss Glam Jambi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KAHF</t>
        </is>
      </c>
      <c r="B1920" s="2">
        <f>"11000109541"</f>
        <v/>
      </c>
      <c r="C1920" t="inlineStr">
        <is>
          <t>KAHF Bright Revitalizing AminoGel Face Wash 100ml</t>
        </is>
      </c>
      <c r="D1920" t="inlineStr">
        <is>
          <t>Miss Glam Jambi</t>
        </is>
      </c>
      <c r="E1920" t="n">
        <v>3</v>
      </c>
      <c r="F1920" t="n">
        <v>0.4587</v>
      </c>
      <c r="G1920" t="n">
        <v>1.65</v>
      </c>
      <c r="H1920" t="n">
        <v>2</v>
      </c>
      <c r="I1920" t="n">
        <v>7</v>
      </c>
      <c r="J1920" t="n">
        <v>1</v>
      </c>
      <c r="K1920" t="n">
        <v>10</v>
      </c>
      <c r="L1920" t="n">
        <v>34000</v>
      </c>
      <c r="M1920" t="n">
        <v>42500</v>
      </c>
      <c r="N1920" t="n">
        <v>33</v>
      </c>
      <c r="O1920" t="n">
        <v>0.33</v>
      </c>
      <c r="P1920" t="n">
        <v>1</v>
      </c>
      <c r="Q1920" t="n">
        <v>0.1</v>
      </c>
      <c r="R1920" t="n">
        <v>2</v>
      </c>
      <c r="S1920" t="n">
        <v>19494.75</v>
      </c>
      <c r="T1920" t="n">
        <v>11</v>
      </c>
      <c r="U1920" t="n">
        <v>12</v>
      </c>
      <c r="V1920" t="n">
        <v>30</v>
      </c>
      <c r="W1920" t="n">
        <v>14</v>
      </c>
      <c r="X1920" t="n">
        <v>6.540222367560497</v>
      </c>
      <c r="Y1920" t="n">
        <v>1</v>
      </c>
      <c r="Z1920" t="n">
        <v>1</v>
      </c>
      <c r="AA1920" t="n">
        <v>0</v>
      </c>
      <c r="AB1920" t="n">
        <v>1</v>
      </c>
      <c r="AC1920" t="n">
        <v>1</v>
      </c>
      <c r="AD1920" t="n">
        <v>0</v>
      </c>
      <c r="AE1920" t="n">
        <v>34000</v>
      </c>
      <c r="AF1920" t="n">
        <v>11581</v>
      </c>
      <c r="AG1920" t="n">
        <v>2141</v>
      </c>
      <c r="AH1920" t="inlineStr">
        <is>
          <t>PT. PARAMA GLOBAL INSPIRA - PPN (JMB)</t>
        </is>
      </c>
      <c r="AI1920" t="n">
        <v>1218</v>
      </c>
      <c r="AJ1920" t="inlineStr">
        <is>
          <t>KAHF</t>
        </is>
      </c>
      <c r="AK1920" t="n">
        <v>9</v>
      </c>
      <c r="AL1920" t="inlineStr">
        <is>
          <t>Miss Glam Jambi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KAHF</t>
        </is>
      </c>
      <c r="B1921" s="2">
        <f>"8993137728201"</f>
        <v/>
      </c>
      <c r="C1921" t="inlineStr">
        <is>
          <t>KAHF Brightening And Cooling Body Wash 200ml</t>
        </is>
      </c>
      <c r="D1921" t="inlineStr">
        <is>
          <t>Miss Glam Jambi</t>
        </is>
      </c>
      <c r="E1921" t="n">
        <v>2</v>
      </c>
      <c r="F1921" t="n">
        <v>0.0825</v>
      </c>
      <c r="G1921" t="n">
        <v>0.66</v>
      </c>
      <c r="H1921" t="n">
        <v>2</v>
      </c>
      <c r="I1921" t="n">
        <v>7</v>
      </c>
      <c r="J1921" t="n">
        <v>3</v>
      </c>
      <c r="K1921" t="n">
        <v>3</v>
      </c>
      <c r="L1921" t="n">
        <v>21518</v>
      </c>
      <c r="M1921" t="n">
        <v>25700</v>
      </c>
      <c r="N1921" t="n">
        <v>33</v>
      </c>
      <c r="O1921" t="n">
        <v>0.33</v>
      </c>
      <c r="P1921" t="n">
        <v>1</v>
      </c>
      <c r="Q1921" t="n">
        <v>0.08</v>
      </c>
      <c r="R1921" t="n">
        <v>1</v>
      </c>
      <c r="S1921" t="n">
        <v>2120.25</v>
      </c>
      <c r="T1921" t="n">
        <v>5</v>
      </c>
      <c r="U1921" t="n">
        <v>6</v>
      </c>
      <c r="V1921" t="n">
        <v>30</v>
      </c>
      <c r="W1921" t="n">
        <v>3</v>
      </c>
      <c r="X1921" t="n">
        <v>24.24242424242424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11581</v>
      </c>
      <c r="AG1921" t="n">
        <v>2141</v>
      </c>
      <c r="AH1921" t="inlineStr">
        <is>
          <t>PT. PARAMA GLOBAL INSPIRA - PPN (JMB)</t>
        </is>
      </c>
      <c r="AI1921" t="n">
        <v>1218</v>
      </c>
      <c r="AJ1921" t="inlineStr">
        <is>
          <t>KAHF</t>
        </is>
      </c>
      <c r="AK1921" t="n">
        <v>9</v>
      </c>
      <c r="AL1921" t="inlineStr">
        <is>
          <t>Miss Glam Jambi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KAHF</t>
        </is>
      </c>
      <c r="B1922" s="2">
        <f>"8993137713658"</f>
        <v/>
      </c>
      <c r="C1922" t="inlineStr">
        <is>
          <t>KAHF Brightening And Texture Refining Face Serum 30ml</t>
        </is>
      </c>
      <c r="D1922" t="inlineStr">
        <is>
          <t>Miss Glam Jambi</t>
        </is>
      </c>
      <c r="E1922" t="n">
        <v>0</v>
      </c>
      <c r="F1922" t="n">
        <v>0.1056</v>
      </c>
      <c r="G1922" t="n">
        <v>0.99</v>
      </c>
      <c r="H1922" t="n">
        <v>2</v>
      </c>
      <c r="I1922" t="n">
        <v>7</v>
      </c>
      <c r="J1922" t="n">
        <v>3</v>
      </c>
      <c r="K1922" t="n">
        <v>3</v>
      </c>
      <c r="L1922" t="n">
        <v>79200</v>
      </c>
      <c r="M1922" t="n">
        <v>91500</v>
      </c>
      <c r="N1922" t="n">
        <v>33</v>
      </c>
      <c r="O1922" t="n">
        <v>0.33</v>
      </c>
      <c r="P1922" t="n">
        <v>1</v>
      </c>
      <c r="Q1922" t="n">
        <v>0.1</v>
      </c>
      <c r="R1922" t="n">
        <v>1</v>
      </c>
      <c r="S1922" t="n">
        <v>9662.400000000001</v>
      </c>
      <c r="T1922" t="n">
        <v>7</v>
      </c>
      <c r="U1922" t="n">
        <v>8</v>
      </c>
      <c r="V1922" t="n">
        <v>30</v>
      </c>
      <c r="W1922" t="n">
        <v>4</v>
      </c>
      <c r="X1922" t="n">
        <v>0</v>
      </c>
      <c r="Y1922" t="n">
        <v>1</v>
      </c>
      <c r="Z1922" t="n">
        <v>1</v>
      </c>
      <c r="AA1922" t="n">
        <v>0</v>
      </c>
      <c r="AB1922" t="n">
        <v>1</v>
      </c>
      <c r="AC1922" t="n">
        <v>3</v>
      </c>
      <c r="AD1922" t="n">
        <v>0</v>
      </c>
      <c r="AE1922" t="n">
        <v>237600</v>
      </c>
      <c r="AF1922" t="n">
        <v>11581</v>
      </c>
      <c r="AG1922" t="n">
        <v>2141</v>
      </c>
      <c r="AH1922" t="inlineStr">
        <is>
          <t>PT. PARAMA GLOBAL INSPIRA - PPN (JMB)</t>
        </is>
      </c>
      <c r="AI1922" t="n">
        <v>1218</v>
      </c>
      <c r="AJ1922" t="inlineStr">
        <is>
          <t>KAHF</t>
        </is>
      </c>
      <c r="AK1922" t="n">
        <v>9</v>
      </c>
      <c r="AL1922" t="inlineStr">
        <is>
          <t>Miss Glam Jambi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KAHF</t>
        </is>
      </c>
      <c r="B1923" s="2">
        <f>"8993137741460"</f>
        <v/>
      </c>
      <c r="C1923" t="inlineStr">
        <is>
          <t>KAHF Clean Fresh Antiperspirant Deodorant 45ml</t>
        </is>
      </c>
      <c r="D1923" t="inlineStr">
        <is>
          <t>Miss Glam Jambi</t>
        </is>
      </c>
      <c r="E1923" t="n">
        <v>4</v>
      </c>
      <c r="F1923" t="n">
        <v>0.4356</v>
      </c>
      <c r="G1923" t="n">
        <v>1.32</v>
      </c>
      <c r="H1923" t="n">
        <v>2</v>
      </c>
      <c r="I1923" t="n">
        <v>7</v>
      </c>
      <c r="J1923" t="n">
        <v>3</v>
      </c>
      <c r="K1923" t="n">
        <v>9</v>
      </c>
      <c r="L1923" t="n">
        <v>17600</v>
      </c>
      <c r="M1923" t="n">
        <v>21500</v>
      </c>
      <c r="N1923" t="n">
        <v>33</v>
      </c>
      <c r="O1923" t="n">
        <v>0.33</v>
      </c>
      <c r="P1923" t="n">
        <v>1</v>
      </c>
      <c r="Q1923" t="n">
        <v>0.22</v>
      </c>
      <c r="R1923" t="n">
        <v>3</v>
      </c>
      <c r="S1923" t="n">
        <v>9365.400000000001</v>
      </c>
      <c r="T1923" t="n">
        <v>9</v>
      </c>
      <c r="U1923" t="n">
        <v>10</v>
      </c>
      <c r="V1923" t="n">
        <v>30</v>
      </c>
      <c r="W1923" t="n">
        <v>14</v>
      </c>
      <c r="X1923" t="n">
        <v>9.182736455463727</v>
      </c>
      <c r="Y1923" t="n">
        <v>1</v>
      </c>
      <c r="Z1923" t="n">
        <v>1</v>
      </c>
      <c r="AA1923" t="n">
        <v>0</v>
      </c>
      <c r="AB1923" t="n">
        <v>1</v>
      </c>
      <c r="AC1923" t="n">
        <v>3</v>
      </c>
      <c r="AD1923" t="n">
        <v>0</v>
      </c>
      <c r="AE1923" t="n">
        <v>52800</v>
      </c>
      <c r="AF1923" t="n">
        <v>11581</v>
      </c>
      <c r="AG1923" t="n">
        <v>2141</v>
      </c>
      <c r="AH1923" t="inlineStr">
        <is>
          <t>PT. PARAMA GLOBAL INSPIRA - PPN (JMB)</t>
        </is>
      </c>
      <c r="AI1923" t="n">
        <v>1218</v>
      </c>
      <c r="AJ1923" t="inlineStr">
        <is>
          <t>KAHF</t>
        </is>
      </c>
      <c r="AK1923" t="n">
        <v>9</v>
      </c>
      <c r="AL1923" t="inlineStr">
        <is>
          <t>Miss Glam Jambi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KAHF</t>
        </is>
      </c>
      <c r="B1924" s="2">
        <f>"8993137741330"</f>
        <v/>
      </c>
      <c r="C1924" t="inlineStr">
        <is>
          <t>KAHF Cooling Power Antiperspirant Deodorant Roll On 45ml</t>
        </is>
      </c>
      <c r="D1924" t="inlineStr">
        <is>
          <t>Miss Glam Jambi</t>
        </is>
      </c>
      <c r="E1924" t="n">
        <v>6</v>
      </c>
      <c r="F1924" t="n">
        <v>0.5049</v>
      </c>
      <c r="G1924" t="n">
        <v>1.32</v>
      </c>
      <c r="H1924" t="n">
        <v>2</v>
      </c>
      <c r="I1924" t="n">
        <v>7</v>
      </c>
      <c r="J1924" t="n">
        <v>3</v>
      </c>
      <c r="K1924" t="n">
        <v>9</v>
      </c>
      <c r="L1924" t="n">
        <v>17599</v>
      </c>
      <c r="M1924" t="n">
        <v>22000</v>
      </c>
      <c r="N1924" t="n">
        <v>33</v>
      </c>
      <c r="O1924" t="n">
        <v>0.33</v>
      </c>
      <c r="P1924" t="n">
        <v>1</v>
      </c>
      <c r="Q1924" t="n">
        <v>0.59</v>
      </c>
      <c r="R1924" t="n">
        <v>2</v>
      </c>
      <c r="S1924" t="n">
        <v>11107.8</v>
      </c>
      <c r="T1924" t="n">
        <v>9</v>
      </c>
      <c r="U1924" t="n">
        <v>11</v>
      </c>
      <c r="V1924" t="n">
        <v>30</v>
      </c>
      <c r="W1924" t="n">
        <v>16</v>
      </c>
      <c r="X1924" t="n">
        <v>11.883541295306</v>
      </c>
      <c r="Y1924" t="n">
        <v>1</v>
      </c>
      <c r="Z1924" t="n">
        <v>1</v>
      </c>
      <c r="AA1924" t="n">
        <v>0</v>
      </c>
      <c r="AB1924" t="n">
        <v>1</v>
      </c>
      <c r="AC1924" t="n">
        <v>3</v>
      </c>
      <c r="AD1924" t="n">
        <v>0</v>
      </c>
      <c r="AE1924" t="n">
        <v>52797</v>
      </c>
      <c r="AF1924" t="n">
        <v>11581</v>
      </c>
      <c r="AG1924" t="n">
        <v>2141</v>
      </c>
      <c r="AH1924" t="inlineStr">
        <is>
          <t>PT. PARAMA GLOBAL INSPIRA - PPN (JMB)</t>
        </is>
      </c>
      <c r="AI1924" t="n">
        <v>1218</v>
      </c>
      <c r="AJ1924" t="inlineStr">
        <is>
          <t>KAHF</t>
        </is>
      </c>
      <c r="AK1924" t="n">
        <v>9</v>
      </c>
      <c r="AL1924" t="inlineStr">
        <is>
          <t>Miss Glam Jambi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KAHF</t>
        </is>
      </c>
      <c r="B1925" s="2">
        <f>"8993137741347"</f>
        <v/>
      </c>
      <c r="C1925" t="inlineStr">
        <is>
          <t>KAHF Extra Dry Antiperspirant Deodorant Roll On 45ml</t>
        </is>
      </c>
      <c r="D1925" t="inlineStr">
        <is>
          <t>Miss Glam Jambi</t>
        </is>
      </c>
      <c r="E1925" t="n">
        <v>11</v>
      </c>
      <c r="F1925" t="n">
        <v>0.4257</v>
      </c>
      <c r="G1925" t="n">
        <v>1.65</v>
      </c>
      <c r="H1925" t="n">
        <v>2</v>
      </c>
      <c r="I1925" t="n">
        <v>7</v>
      </c>
      <c r="J1925" t="n">
        <v>3</v>
      </c>
      <c r="K1925" t="n">
        <v>3</v>
      </c>
      <c r="L1925" t="n">
        <v>19600</v>
      </c>
      <c r="M1925" t="n">
        <v>24000</v>
      </c>
      <c r="N1925" t="n">
        <v>33</v>
      </c>
      <c r="O1925" t="n">
        <v>0.33</v>
      </c>
      <c r="P1925" t="n">
        <v>1</v>
      </c>
      <c r="Q1925" t="n">
        <v>0.37</v>
      </c>
      <c r="R1925" t="n">
        <v>3</v>
      </c>
      <c r="S1925" t="n">
        <v>10216.8</v>
      </c>
      <c r="T1925" t="n">
        <v>11</v>
      </c>
      <c r="U1925" t="n">
        <v>12</v>
      </c>
      <c r="V1925" t="n">
        <v>30</v>
      </c>
      <c r="W1925" t="n">
        <v>13</v>
      </c>
      <c r="X1925" t="n">
        <v>25.83979328165374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11581</v>
      </c>
      <c r="AG1925" t="n">
        <v>2141</v>
      </c>
      <c r="AH1925" t="inlineStr">
        <is>
          <t>PT. PARAMA GLOBAL INSPIRA - PPN (JMB)</t>
        </is>
      </c>
      <c r="AI1925" t="n">
        <v>1218</v>
      </c>
      <c r="AJ1925" t="inlineStr">
        <is>
          <t>KAHF</t>
        </is>
      </c>
      <c r="AK1925" t="n">
        <v>9</v>
      </c>
      <c r="AL1925" t="inlineStr">
        <is>
          <t>Miss Glam Jambi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KAHF</t>
        </is>
      </c>
      <c r="B1926" s="2">
        <f>"8993137710442"</f>
        <v/>
      </c>
      <c r="C1926" t="inlineStr">
        <is>
          <t>KAHF Humbling Forest Eau De Toilette 35ml</t>
        </is>
      </c>
      <c r="D1926" t="inlineStr">
        <is>
          <t>Miss Glam Jambi</t>
        </is>
      </c>
      <c r="E1926" t="n">
        <v>2</v>
      </c>
      <c r="F1926" t="n">
        <v>0.1386</v>
      </c>
      <c r="G1926" t="n">
        <v>0.66</v>
      </c>
      <c r="H1926" t="n">
        <v>2</v>
      </c>
      <c r="I1926" t="n">
        <v>7</v>
      </c>
      <c r="J1926" t="n">
        <v>3</v>
      </c>
      <c r="K1926" t="n">
        <v>3</v>
      </c>
      <c r="L1926" t="n">
        <v>62293</v>
      </c>
      <c r="M1926" t="n">
        <v>72000</v>
      </c>
      <c r="N1926" t="n">
        <v>33</v>
      </c>
      <c r="O1926" t="n">
        <v>0.33</v>
      </c>
      <c r="P1926" t="n">
        <v>1</v>
      </c>
      <c r="Q1926" t="n">
        <v>0.14</v>
      </c>
      <c r="R1926" t="n">
        <v>2</v>
      </c>
      <c r="S1926" t="n">
        <v>9979.200000000001</v>
      </c>
      <c r="T1926" t="n">
        <v>5</v>
      </c>
      <c r="U1926" t="n">
        <v>6</v>
      </c>
      <c r="V1926" t="n">
        <v>30</v>
      </c>
      <c r="W1926" t="n">
        <v>5</v>
      </c>
      <c r="X1926" t="n">
        <v>14.43001443001443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11581</v>
      </c>
      <c r="AG1926" t="n">
        <v>2141</v>
      </c>
      <c r="AH1926" t="inlineStr">
        <is>
          <t>PT. PARAMA GLOBAL INSPIRA - PPN (JMB)</t>
        </is>
      </c>
      <c r="AI1926" t="n">
        <v>1218</v>
      </c>
      <c r="AJ1926" t="inlineStr">
        <is>
          <t>KAHF</t>
        </is>
      </c>
      <c r="AK1926" t="n">
        <v>9</v>
      </c>
      <c r="AL1926" t="inlineStr">
        <is>
          <t>Miss Glam Jambi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KAHF</t>
        </is>
      </c>
      <c r="B1927" s="2">
        <f>"8993137710435"</f>
        <v/>
      </c>
      <c r="C1927" t="inlineStr">
        <is>
          <t>KAHF Invigorating Waterfall Eau De Toilette 35ml</t>
        </is>
      </c>
      <c r="D1927" t="inlineStr">
        <is>
          <t>Miss Glam Jambi</t>
        </is>
      </c>
      <c r="E1927" t="n">
        <v>3</v>
      </c>
      <c r="F1927" t="n">
        <v>0.1188</v>
      </c>
      <c r="G1927" t="n">
        <v>0.66</v>
      </c>
      <c r="H1927" t="n">
        <v>2</v>
      </c>
      <c r="I1927" t="n">
        <v>7</v>
      </c>
      <c r="J1927" t="n">
        <v>3</v>
      </c>
      <c r="K1927" t="n">
        <v>3</v>
      </c>
      <c r="L1927" t="n">
        <v>62400</v>
      </c>
      <c r="M1927" t="n">
        <v>72000</v>
      </c>
      <c r="N1927" t="n">
        <v>33</v>
      </c>
      <c r="O1927" t="n">
        <v>0.33</v>
      </c>
      <c r="P1927" t="n">
        <v>1</v>
      </c>
      <c r="Q1927" t="n">
        <v>0.08</v>
      </c>
      <c r="R1927" t="n">
        <v>1</v>
      </c>
      <c r="S1927" t="n">
        <v>8553.6</v>
      </c>
      <c r="T1927" t="n">
        <v>5</v>
      </c>
      <c r="U1927" t="n">
        <v>6</v>
      </c>
      <c r="V1927" t="n">
        <v>30</v>
      </c>
      <c r="W1927" t="n">
        <v>4</v>
      </c>
      <c r="X1927" t="n">
        <v>25.25252525252525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11581</v>
      </c>
      <c r="AG1927" t="n">
        <v>2141</v>
      </c>
      <c r="AH1927" t="inlineStr">
        <is>
          <t>PT. PARAMA GLOBAL INSPIRA - PPN (JMB)</t>
        </is>
      </c>
      <c r="AI1927" t="n">
        <v>1218</v>
      </c>
      <c r="AJ1927" t="inlineStr">
        <is>
          <t>KAHF</t>
        </is>
      </c>
      <c r="AK1927" t="n">
        <v>9</v>
      </c>
      <c r="AL1927" t="inlineStr">
        <is>
          <t>Miss Glam Jambi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KAHF</t>
        </is>
      </c>
      <c r="B1928" s="2">
        <f>"8993137741163"</f>
        <v/>
      </c>
      <c r="C1928" t="inlineStr">
        <is>
          <t>KAHF Invisible Matte Sunscreen Stick SPF 50 PA++++ 22gr</t>
        </is>
      </c>
      <c r="D1928" t="inlineStr">
        <is>
          <t>Miss Glam Jambi</t>
        </is>
      </c>
      <c r="E1928" t="n">
        <v>4</v>
      </c>
      <c r="F1928" t="n">
        <v>0.1023</v>
      </c>
      <c r="G1928" t="n">
        <v>0.66</v>
      </c>
      <c r="H1928" t="n">
        <v>2</v>
      </c>
      <c r="I1928" t="n">
        <v>7</v>
      </c>
      <c r="J1928" t="n">
        <v>3</v>
      </c>
      <c r="K1928" t="n">
        <v>0</v>
      </c>
      <c r="L1928" t="n">
        <v>83600</v>
      </c>
      <c r="M1928" t="n">
        <v>109000</v>
      </c>
      <c r="N1928" t="n">
        <v>33</v>
      </c>
      <c r="O1928" t="n">
        <v>0.33</v>
      </c>
      <c r="P1928" t="n">
        <v>1</v>
      </c>
      <c r="Q1928" t="n">
        <v>0.14</v>
      </c>
      <c r="R1928" t="n">
        <v>1</v>
      </c>
      <c r="S1928" t="n">
        <v>11150.7</v>
      </c>
      <c r="T1928" t="n">
        <v>5</v>
      </c>
      <c r="U1928" t="n">
        <v>6</v>
      </c>
      <c r="V1928" t="n">
        <v>30</v>
      </c>
      <c r="W1928" t="n">
        <v>4</v>
      </c>
      <c r="X1928" t="n">
        <v>39.10068426197459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11581</v>
      </c>
      <c r="AG1928" t="n">
        <v>2141</v>
      </c>
      <c r="AH1928" t="inlineStr">
        <is>
          <t>PT. PARAMA GLOBAL INSPIRA - PPN (JMB)</t>
        </is>
      </c>
      <c r="AI1928" t="n">
        <v>1218</v>
      </c>
      <c r="AJ1928" t="inlineStr">
        <is>
          <t>KAHF</t>
        </is>
      </c>
      <c r="AK1928" t="n">
        <v>9</v>
      </c>
      <c r="AL1928" t="inlineStr">
        <is>
          <t>Miss Glam Jambi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KAHF</t>
        </is>
      </c>
      <c r="B1929" s="2">
        <f>"11000414613"</f>
        <v/>
      </c>
      <c r="C1929" t="inlineStr">
        <is>
          <t>KAHF Matte Dapper Water Based Pomade 70gr</t>
        </is>
      </c>
      <c r="D1929" t="inlineStr">
        <is>
          <t>Miss Glam Jambi</t>
        </is>
      </c>
      <c r="E1929" t="n">
        <v>7</v>
      </c>
      <c r="F1929" t="n">
        <v>0.0825</v>
      </c>
      <c r="G1929" t="n">
        <v>0.66</v>
      </c>
      <c r="H1929" t="n">
        <v>2</v>
      </c>
      <c r="I1929" t="n">
        <v>7</v>
      </c>
      <c r="J1929" t="n">
        <v>3</v>
      </c>
      <c r="K1929" t="n">
        <v>0</v>
      </c>
      <c r="L1929" t="n">
        <v>30320</v>
      </c>
      <c r="M1929" t="n">
        <v>38000</v>
      </c>
      <c r="N1929" t="n">
        <v>33</v>
      </c>
      <c r="O1929" t="n">
        <v>0.33</v>
      </c>
      <c r="P1929" t="n">
        <v>1</v>
      </c>
      <c r="Q1929" t="n">
        <v>0.03</v>
      </c>
      <c r="R1929" t="n">
        <v>1</v>
      </c>
      <c r="S1929" t="n">
        <v>3135</v>
      </c>
      <c r="T1929" t="n">
        <v>5</v>
      </c>
      <c r="U1929" t="n">
        <v>6</v>
      </c>
      <c r="V1929" t="n">
        <v>30</v>
      </c>
      <c r="W1929" t="n">
        <v>3</v>
      </c>
      <c r="X1929" t="n">
        <v>84.84848484848484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11581</v>
      </c>
      <c r="AG1929" t="n">
        <v>2141</v>
      </c>
      <c r="AH1929" t="inlineStr">
        <is>
          <t>PT. PARAMA GLOBAL INSPIRA - PPN (JMB)</t>
        </is>
      </c>
      <c r="AI1929" t="n">
        <v>1218</v>
      </c>
      <c r="AJ1929" t="inlineStr">
        <is>
          <t>KAHF</t>
        </is>
      </c>
      <c r="AK1929" t="n">
        <v>9</v>
      </c>
      <c r="AL1929" t="inlineStr">
        <is>
          <t>Miss Glam Jambi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KAHF</t>
        </is>
      </c>
      <c r="B1930" s="2">
        <f>"8993137710428"</f>
        <v/>
      </c>
      <c r="C1930" t="inlineStr">
        <is>
          <t>KAHF Oil And Acne Care Face Wash 100ml</t>
        </is>
      </c>
      <c r="D1930" t="inlineStr">
        <is>
          <t>Miss Glam Jambi</t>
        </is>
      </c>
      <c r="E1930" t="n">
        <v>3</v>
      </c>
      <c r="F1930" t="n">
        <v>0.6138</v>
      </c>
      <c r="G1930" t="n">
        <v>2.64</v>
      </c>
      <c r="H1930" t="n">
        <v>2</v>
      </c>
      <c r="I1930" t="n">
        <v>7</v>
      </c>
      <c r="J1930" t="n">
        <v>3</v>
      </c>
      <c r="K1930" t="n">
        <v>14</v>
      </c>
      <c r="L1930" t="n">
        <v>32440</v>
      </c>
      <c r="M1930" t="n">
        <v>40000</v>
      </c>
      <c r="N1930" t="n">
        <v>33</v>
      </c>
      <c r="O1930" t="n">
        <v>0.33</v>
      </c>
      <c r="P1930" t="n">
        <v>1</v>
      </c>
      <c r="Q1930" t="n">
        <v>0.39</v>
      </c>
      <c r="R1930" t="n">
        <v>2</v>
      </c>
      <c r="S1930" t="n">
        <v>24552</v>
      </c>
      <c r="T1930" t="n">
        <v>18</v>
      </c>
      <c r="U1930" t="n">
        <v>20</v>
      </c>
      <c r="V1930" t="n">
        <v>30</v>
      </c>
      <c r="W1930" t="n">
        <v>19</v>
      </c>
      <c r="X1930" t="n">
        <v>4.887585532746823</v>
      </c>
      <c r="Y1930" t="n">
        <v>1</v>
      </c>
      <c r="Z1930" t="n">
        <v>2</v>
      </c>
      <c r="AA1930" t="n">
        <v>1</v>
      </c>
      <c r="AB1930" t="n">
        <v>1</v>
      </c>
      <c r="AC1930" t="n">
        <v>3</v>
      </c>
      <c r="AD1930" t="n">
        <v>32440</v>
      </c>
      <c r="AE1930" t="n">
        <v>97320</v>
      </c>
      <c r="AF1930" t="n">
        <v>11581</v>
      </c>
      <c r="AG1930" t="n">
        <v>2141</v>
      </c>
      <c r="AH1930" t="inlineStr">
        <is>
          <t>PT. PARAMA GLOBAL INSPIRA - PPN (JMB)</t>
        </is>
      </c>
      <c r="AI1930" t="n">
        <v>1218</v>
      </c>
      <c r="AJ1930" t="inlineStr">
        <is>
          <t>KAHF</t>
        </is>
      </c>
      <c r="AK1930" t="n">
        <v>9</v>
      </c>
      <c r="AL1930" t="inlineStr">
        <is>
          <t>Miss Glam Jambi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KAHF</t>
        </is>
      </c>
      <c r="B1931" s="2">
        <f>"8993137740838"</f>
        <v/>
      </c>
      <c r="C1931" t="inlineStr">
        <is>
          <t>KAHF Oil And Acne Face Wash 50ml</t>
        </is>
      </c>
      <c r="D1931" t="inlineStr">
        <is>
          <t>Miss Glam Jambi</t>
        </is>
      </c>
      <c r="E1931" t="n">
        <v>4</v>
      </c>
      <c r="F1931" t="n">
        <v>0.4026</v>
      </c>
      <c r="G1931" t="n">
        <v>1.32</v>
      </c>
      <c r="H1931" t="n">
        <v>2</v>
      </c>
      <c r="I1931" t="n">
        <v>7</v>
      </c>
      <c r="J1931" t="n">
        <v>3</v>
      </c>
      <c r="K1931" t="n">
        <v>8</v>
      </c>
      <c r="L1931" t="n">
        <v>21984</v>
      </c>
      <c r="M1931" t="n">
        <v>32000</v>
      </c>
      <c r="N1931" t="n">
        <v>33</v>
      </c>
      <c r="O1931" t="n">
        <v>0.33</v>
      </c>
      <c r="P1931" t="n">
        <v>1</v>
      </c>
      <c r="Q1931" t="n">
        <v>0.1</v>
      </c>
      <c r="R1931" t="n">
        <v>2</v>
      </c>
      <c r="S1931" t="n">
        <v>12883.2</v>
      </c>
      <c r="T1931" t="n">
        <v>9</v>
      </c>
      <c r="U1931" t="n">
        <v>10</v>
      </c>
      <c r="V1931" t="n">
        <v>30</v>
      </c>
      <c r="W1931" t="n">
        <v>13</v>
      </c>
      <c r="X1931" t="n">
        <v>9.935419771485344</v>
      </c>
      <c r="Y1931" t="n">
        <v>1</v>
      </c>
      <c r="Z1931" t="n">
        <v>1</v>
      </c>
      <c r="AA1931" t="n">
        <v>0</v>
      </c>
      <c r="AB1931" t="n">
        <v>1</v>
      </c>
      <c r="AC1931" t="n">
        <v>3</v>
      </c>
      <c r="AD1931" t="n">
        <v>0</v>
      </c>
      <c r="AE1931" t="n">
        <v>65952</v>
      </c>
      <c r="AF1931" t="n">
        <v>11581</v>
      </c>
      <c r="AG1931" t="n">
        <v>2141</v>
      </c>
      <c r="AH1931" t="inlineStr">
        <is>
          <t>PT. PARAMA GLOBAL INSPIRA - PPN (JMB)</t>
        </is>
      </c>
      <c r="AI1931" t="n">
        <v>1218</v>
      </c>
      <c r="AJ1931" t="inlineStr">
        <is>
          <t>KAHF</t>
        </is>
      </c>
      <c r="AK1931" t="n">
        <v>9</v>
      </c>
      <c r="AL1931" t="inlineStr">
        <is>
          <t>Miss Glam Jambi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KAHF</t>
        </is>
      </c>
      <c r="B1932" s="2">
        <f>"8993137713702"</f>
        <v/>
      </c>
      <c r="C1932" t="inlineStr">
        <is>
          <t>KAHF Refreshing Spray 100ml</t>
        </is>
      </c>
      <c r="D1932" t="inlineStr">
        <is>
          <t>Miss Glam Jambi</t>
        </is>
      </c>
      <c r="E1932" t="n">
        <v>4</v>
      </c>
      <c r="F1932" t="n">
        <v>0.009900000000000001</v>
      </c>
      <c r="G1932" t="n">
        <v>0.33</v>
      </c>
      <c r="H1932" t="n">
        <v>2</v>
      </c>
      <c r="I1932" t="n">
        <v>7</v>
      </c>
      <c r="J1932" t="n">
        <v>3</v>
      </c>
      <c r="K1932" t="n">
        <v>0</v>
      </c>
      <c r="L1932" t="n">
        <v>22400</v>
      </c>
      <c r="M1932" t="n">
        <v>26500</v>
      </c>
      <c r="N1932" t="n">
        <v>33</v>
      </c>
      <c r="O1932" t="n">
        <v>0.33</v>
      </c>
      <c r="P1932" t="n">
        <v>1</v>
      </c>
      <c r="Q1932" t="n">
        <v>0.03</v>
      </c>
      <c r="R1932" t="n">
        <v>1</v>
      </c>
      <c r="S1932" t="n">
        <v>262.35</v>
      </c>
      <c r="T1932" t="n">
        <v>3</v>
      </c>
      <c r="U1932" t="n">
        <v>4</v>
      </c>
      <c r="V1932" t="n">
        <v>30</v>
      </c>
      <c r="W1932" t="n">
        <v>1</v>
      </c>
      <c r="X1932" t="n">
        <v>404.040404040404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11581</v>
      </c>
      <c r="AG1932" t="n">
        <v>2141</v>
      </c>
      <c r="AH1932" t="inlineStr">
        <is>
          <t>PT. PARAMA GLOBAL INSPIRA - PPN (JMB)</t>
        </is>
      </c>
      <c r="AI1932" t="n">
        <v>1218</v>
      </c>
      <c r="AJ1932" t="inlineStr">
        <is>
          <t>KAHF</t>
        </is>
      </c>
      <c r="AK1932" t="n">
        <v>9</v>
      </c>
      <c r="AL1932" t="inlineStr">
        <is>
          <t>Miss Glam Jambi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KAHF</t>
        </is>
      </c>
      <c r="B1933" s="2">
        <f>"8993137710466"</f>
        <v/>
      </c>
      <c r="C1933" t="inlineStr">
        <is>
          <t>KAHF Revered Oud Eau De Toilette 35ml</t>
        </is>
      </c>
      <c r="D1933" t="inlineStr">
        <is>
          <t>Miss Glam Jambi</t>
        </is>
      </c>
      <c r="E1933" t="n">
        <v>9</v>
      </c>
      <c r="F1933" t="n">
        <v>0.1947</v>
      </c>
      <c r="G1933" t="n">
        <v>1.98</v>
      </c>
      <c r="H1933" t="n">
        <v>2</v>
      </c>
      <c r="I1933" t="n">
        <v>7</v>
      </c>
      <c r="J1933" t="n">
        <v>3</v>
      </c>
      <c r="K1933" t="n">
        <v>0</v>
      </c>
      <c r="L1933" t="n">
        <v>62400</v>
      </c>
      <c r="M1933" t="n">
        <v>75000</v>
      </c>
      <c r="N1933" t="n">
        <v>33</v>
      </c>
      <c r="O1933" t="n">
        <v>0.33</v>
      </c>
      <c r="P1933" t="n">
        <v>1</v>
      </c>
      <c r="Q1933" t="n">
        <v>0.22</v>
      </c>
      <c r="R1933" t="n">
        <v>2</v>
      </c>
      <c r="S1933" t="n">
        <v>14602.5</v>
      </c>
      <c r="T1933" t="n">
        <v>14</v>
      </c>
      <c r="U1933" t="n">
        <v>15</v>
      </c>
      <c r="V1933" t="n">
        <v>30</v>
      </c>
      <c r="W1933" t="n">
        <v>6</v>
      </c>
      <c r="X1933" t="n">
        <v>46.22496147919876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11581</v>
      </c>
      <c r="AG1933" t="n">
        <v>2141</v>
      </c>
      <c r="AH1933" t="inlineStr">
        <is>
          <t>PT. PARAMA GLOBAL INSPIRA - PPN (JMB)</t>
        </is>
      </c>
      <c r="AI1933" t="n">
        <v>1218</v>
      </c>
      <c r="AJ1933" t="inlineStr">
        <is>
          <t>KAHF</t>
        </is>
      </c>
      <c r="AK1933" t="n">
        <v>9</v>
      </c>
      <c r="AL1933" t="inlineStr">
        <is>
          <t>Miss Glam Jambi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KAHF</t>
        </is>
      </c>
      <c r="B1934" s="2">
        <f>"8993137710411"</f>
        <v/>
      </c>
      <c r="C1934" t="inlineStr">
        <is>
          <t>KAHF Skin Energizing And Brightening Face Wash 100ml</t>
        </is>
      </c>
      <c r="D1934" t="inlineStr">
        <is>
          <t>Miss Glam Jambi</t>
        </is>
      </c>
      <c r="E1934" t="n">
        <v>7</v>
      </c>
      <c r="F1934" t="n">
        <v>0.8778000000000001</v>
      </c>
      <c r="G1934" t="n">
        <v>2.31</v>
      </c>
      <c r="H1934" t="n">
        <v>2</v>
      </c>
      <c r="I1934" t="n">
        <v>7</v>
      </c>
      <c r="J1934" t="n">
        <v>3</v>
      </c>
      <c r="K1934" t="n">
        <v>20</v>
      </c>
      <c r="L1934" t="n">
        <v>32431</v>
      </c>
      <c r="M1934" t="n">
        <v>40000</v>
      </c>
      <c r="N1934" t="n">
        <v>33</v>
      </c>
      <c r="O1934" t="n">
        <v>0.33</v>
      </c>
      <c r="P1934" t="n">
        <v>1</v>
      </c>
      <c r="Q1934" t="n">
        <v>0.54</v>
      </c>
      <c r="R1934" t="n">
        <v>4</v>
      </c>
      <c r="S1934" t="n">
        <v>35112.00000000001</v>
      </c>
      <c r="T1934" t="n">
        <v>15</v>
      </c>
      <c r="U1934" t="n">
        <v>17</v>
      </c>
      <c r="V1934" t="n">
        <v>30</v>
      </c>
      <c r="W1934" t="n">
        <v>27</v>
      </c>
      <c r="X1934" t="n">
        <v>7.974481658692183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11581</v>
      </c>
      <c r="AG1934" t="n">
        <v>2141</v>
      </c>
      <c r="AH1934" t="inlineStr">
        <is>
          <t>PT. PARAMA GLOBAL INSPIRA - PPN (JMB)</t>
        </is>
      </c>
      <c r="AI1934" t="n">
        <v>1218</v>
      </c>
      <c r="AJ1934" t="inlineStr">
        <is>
          <t>KAHF</t>
        </is>
      </c>
      <c r="AK1934" t="n">
        <v>9</v>
      </c>
      <c r="AL1934" t="inlineStr">
        <is>
          <t>Miss Glam Jambi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KAHF</t>
        </is>
      </c>
      <c r="B1935" s="2">
        <f>"8993137740845"</f>
        <v/>
      </c>
      <c r="C1935" t="inlineStr">
        <is>
          <t>KAHF Skin Energizing And Brightening Face Wash 50ml</t>
        </is>
      </c>
      <c r="D1935" t="inlineStr">
        <is>
          <t>Miss Glam Jambi</t>
        </is>
      </c>
      <c r="E1935" t="n">
        <v>3</v>
      </c>
      <c r="F1935" t="n">
        <v>0.66</v>
      </c>
      <c r="G1935" t="n">
        <v>1.65</v>
      </c>
      <c r="H1935" t="n">
        <v>2</v>
      </c>
      <c r="I1935" t="n">
        <v>7</v>
      </c>
      <c r="J1935" t="n">
        <v>3</v>
      </c>
      <c r="K1935" t="n">
        <v>16</v>
      </c>
      <c r="L1935" t="n">
        <v>21998</v>
      </c>
      <c r="M1935" t="n">
        <v>26000</v>
      </c>
      <c r="N1935" t="n">
        <v>33</v>
      </c>
      <c r="O1935" t="n">
        <v>0.33</v>
      </c>
      <c r="P1935" t="n">
        <v>1</v>
      </c>
      <c r="Q1935" t="n">
        <v>0.27</v>
      </c>
      <c r="R1935" t="n">
        <v>2</v>
      </c>
      <c r="S1935" t="n">
        <v>17160</v>
      </c>
      <c r="T1935" t="n">
        <v>11</v>
      </c>
      <c r="U1935" t="n">
        <v>13</v>
      </c>
      <c r="V1935" t="n">
        <v>30</v>
      </c>
      <c r="W1935" t="n">
        <v>20</v>
      </c>
      <c r="X1935" t="n">
        <v>4.545454545454545</v>
      </c>
      <c r="Y1935" t="n">
        <v>1</v>
      </c>
      <c r="Z1935" t="n">
        <v>1</v>
      </c>
      <c r="AA1935" t="n">
        <v>1</v>
      </c>
      <c r="AB1935" t="n">
        <v>0</v>
      </c>
      <c r="AC1935" t="n">
        <v>0</v>
      </c>
      <c r="AD1935" t="n">
        <v>21998</v>
      </c>
      <c r="AE1935" t="n">
        <v>0</v>
      </c>
      <c r="AF1935" t="n">
        <v>11581</v>
      </c>
      <c r="AG1935" t="n">
        <v>2141</v>
      </c>
      <c r="AH1935" t="inlineStr">
        <is>
          <t>PT. PARAMA GLOBAL INSPIRA - PPN (JMB)</t>
        </is>
      </c>
      <c r="AI1935" t="n">
        <v>1218</v>
      </c>
      <c r="AJ1935" t="inlineStr">
        <is>
          <t>KAHF</t>
        </is>
      </c>
      <c r="AK1935" t="n">
        <v>9</v>
      </c>
      <c r="AL1935" t="inlineStr">
        <is>
          <t>Miss Glam Jambi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KAHF</t>
        </is>
      </c>
      <c r="B1936" s="2">
        <f>"11000414703"</f>
        <v/>
      </c>
      <c r="C1936" t="inlineStr">
        <is>
          <t>KAHF Sleek Classy Water Based Pomade 70gr</t>
        </is>
      </c>
      <c r="D1936" t="inlineStr">
        <is>
          <t>Miss Glam Jambi</t>
        </is>
      </c>
      <c r="E1936" t="n">
        <v>5</v>
      </c>
      <c r="F1936" t="n">
        <v>0.1683</v>
      </c>
      <c r="G1936" t="n">
        <v>1.32</v>
      </c>
      <c r="H1936" t="n">
        <v>2</v>
      </c>
      <c r="I1936" t="n">
        <v>7</v>
      </c>
      <c r="J1936" t="n">
        <v>3</v>
      </c>
      <c r="K1936" t="n">
        <v>3</v>
      </c>
      <c r="L1936" t="n">
        <v>30320</v>
      </c>
      <c r="M1936" t="n">
        <v>38000</v>
      </c>
      <c r="N1936" t="n">
        <v>33</v>
      </c>
      <c r="O1936" t="n">
        <v>0.33</v>
      </c>
      <c r="P1936" t="n">
        <v>1</v>
      </c>
      <c r="Q1936" t="n">
        <v>0.1</v>
      </c>
      <c r="R1936" t="n">
        <v>1</v>
      </c>
      <c r="S1936" t="n">
        <v>6395.400000000001</v>
      </c>
      <c r="T1936" t="n">
        <v>9</v>
      </c>
      <c r="U1936" t="n">
        <v>10</v>
      </c>
      <c r="V1936" t="n">
        <v>30</v>
      </c>
      <c r="W1936" t="n">
        <v>6</v>
      </c>
      <c r="X1936" t="n">
        <v>29.708853238265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11581</v>
      </c>
      <c r="AG1936" t="n">
        <v>2141</v>
      </c>
      <c r="AH1936" t="inlineStr">
        <is>
          <t>PT. PARAMA GLOBAL INSPIRA - PPN (JMB)</t>
        </is>
      </c>
      <c r="AI1936" t="n">
        <v>1218</v>
      </c>
      <c r="AJ1936" t="inlineStr">
        <is>
          <t>KAHF</t>
        </is>
      </c>
      <c r="AK1936" t="n">
        <v>9</v>
      </c>
      <c r="AL1936" t="inlineStr">
        <is>
          <t>Miss Glam Jambi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KAHF</t>
        </is>
      </c>
      <c r="B1937" s="2">
        <f>"8993137723756"</f>
        <v/>
      </c>
      <c r="C1937" t="inlineStr">
        <is>
          <t>KAHF Triple Action Oil And Comedo Defense Face Wash 100ml</t>
        </is>
      </c>
      <c r="D1937" t="inlineStr">
        <is>
          <t>Miss Glam Jambi</t>
        </is>
      </c>
      <c r="E1937" t="n">
        <v>3</v>
      </c>
      <c r="F1937" t="n">
        <v>0.4521000000000001</v>
      </c>
      <c r="G1937" t="n">
        <v>1.65</v>
      </c>
      <c r="H1937" t="n">
        <v>2</v>
      </c>
      <c r="I1937" t="n">
        <v>7</v>
      </c>
      <c r="J1937" t="n">
        <v>3</v>
      </c>
      <c r="K1937" t="n">
        <v>10</v>
      </c>
      <c r="L1937" t="n">
        <v>34096</v>
      </c>
      <c r="M1937" t="n">
        <v>42500</v>
      </c>
      <c r="N1937" t="n">
        <v>33</v>
      </c>
      <c r="O1937" t="n">
        <v>0.33</v>
      </c>
      <c r="P1937" t="n">
        <v>1</v>
      </c>
      <c r="Q1937" t="n">
        <v>0.25</v>
      </c>
      <c r="R1937" t="n">
        <v>2</v>
      </c>
      <c r="S1937" t="n">
        <v>19214.25</v>
      </c>
      <c r="T1937" t="n">
        <v>11</v>
      </c>
      <c r="U1937" t="n">
        <v>12</v>
      </c>
      <c r="V1937" t="n">
        <v>30</v>
      </c>
      <c r="W1937" t="n">
        <v>14</v>
      </c>
      <c r="X1937" t="n">
        <v>6.635700066357</v>
      </c>
      <c r="Y1937" t="n">
        <v>1</v>
      </c>
      <c r="Z1937" t="n">
        <v>1</v>
      </c>
      <c r="AA1937" t="n">
        <v>0</v>
      </c>
      <c r="AB1937" t="n">
        <v>1</v>
      </c>
      <c r="AC1937" t="n">
        <v>3</v>
      </c>
      <c r="AD1937" t="n">
        <v>0</v>
      </c>
      <c r="AE1937" t="n">
        <v>102288</v>
      </c>
      <c r="AF1937" t="n">
        <v>11581</v>
      </c>
      <c r="AG1937" t="n">
        <v>2141</v>
      </c>
      <c r="AH1937" t="inlineStr">
        <is>
          <t>PT. PARAMA GLOBAL INSPIRA - PPN (JMB)</t>
        </is>
      </c>
      <c r="AI1937" t="n">
        <v>1218</v>
      </c>
      <c r="AJ1937" t="inlineStr">
        <is>
          <t>KAHF</t>
        </is>
      </c>
      <c r="AK1937" t="n">
        <v>9</v>
      </c>
      <c r="AL1937" t="inlineStr">
        <is>
          <t>Miss Glam Jambi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KAHF</t>
        </is>
      </c>
      <c r="B1938" s="2">
        <f>"8993137713641"</f>
        <v/>
      </c>
      <c r="C1938" t="inlineStr">
        <is>
          <t>KAHF Triple Protection Sunscreen Moisturizer 30ml</t>
        </is>
      </c>
      <c r="D1938" t="inlineStr">
        <is>
          <t>Miss Glam Jambi</t>
        </is>
      </c>
      <c r="E1938" t="n">
        <v>6</v>
      </c>
      <c r="F1938" t="n">
        <v>0.5544</v>
      </c>
      <c r="G1938" t="n">
        <v>1.98</v>
      </c>
      <c r="H1938" t="n">
        <v>2</v>
      </c>
      <c r="I1938" t="n">
        <v>7</v>
      </c>
      <c r="J1938" t="n">
        <v>3</v>
      </c>
      <c r="K1938" t="n">
        <v>10</v>
      </c>
      <c r="L1938" t="n">
        <v>33198</v>
      </c>
      <c r="M1938" t="n">
        <v>40500</v>
      </c>
      <c r="N1938" t="n">
        <v>33</v>
      </c>
      <c r="O1938" t="n">
        <v>0.33</v>
      </c>
      <c r="P1938" t="n">
        <v>1</v>
      </c>
      <c r="Q1938" t="n">
        <v>0.53</v>
      </c>
      <c r="R1938" t="n">
        <v>4</v>
      </c>
      <c r="S1938" t="n">
        <v>22453.2</v>
      </c>
      <c r="T1938" t="n">
        <v>13</v>
      </c>
      <c r="U1938" t="n">
        <v>15</v>
      </c>
      <c r="V1938" t="n">
        <v>30</v>
      </c>
      <c r="W1938" t="n">
        <v>17</v>
      </c>
      <c r="X1938" t="n">
        <v>10.82251082251082</v>
      </c>
      <c r="Y1938" t="n">
        <v>1</v>
      </c>
      <c r="Z1938" t="n">
        <v>1</v>
      </c>
      <c r="AA1938" t="n">
        <v>0</v>
      </c>
      <c r="AB1938" t="n">
        <v>1</v>
      </c>
      <c r="AC1938" t="n">
        <v>3</v>
      </c>
      <c r="AD1938" t="n">
        <v>0</v>
      </c>
      <c r="AE1938" t="n">
        <v>99594</v>
      </c>
      <c r="AF1938" t="n">
        <v>11581</v>
      </c>
      <c r="AG1938" t="n">
        <v>2141</v>
      </c>
      <c r="AH1938" t="inlineStr">
        <is>
          <t>PT. PARAMA GLOBAL INSPIRA - PPN (JMB)</t>
        </is>
      </c>
      <c r="AI1938" t="n">
        <v>1218</v>
      </c>
      <c r="AJ1938" t="inlineStr">
        <is>
          <t>KAHF</t>
        </is>
      </c>
      <c r="AK1938" t="n">
        <v>9</v>
      </c>
      <c r="AL1938" t="inlineStr">
        <is>
          <t>Miss Glam Jambi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KAHF</t>
        </is>
      </c>
      <c r="B1939" s="2">
        <f>"8993137710459"</f>
        <v/>
      </c>
      <c r="C1939" t="inlineStr">
        <is>
          <t>KAHF True Brotherhood Eau De Toilette 35ml</t>
        </is>
      </c>
      <c r="D1939" t="inlineStr">
        <is>
          <t>Miss Glam Jambi</t>
        </is>
      </c>
      <c r="E1939" t="n">
        <v>6</v>
      </c>
      <c r="F1939" t="n">
        <v>0.0495</v>
      </c>
      <c r="G1939" t="n">
        <v>0.66</v>
      </c>
      <c r="H1939" t="n">
        <v>2</v>
      </c>
      <c r="I1939" t="n">
        <v>7</v>
      </c>
      <c r="J1939" t="n">
        <v>3</v>
      </c>
      <c r="K1939" t="n">
        <v>0</v>
      </c>
      <c r="L1939" t="n">
        <v>62384</v>
      </c>
      <c r="M1939" t="n">
        <v>77500</v>
      </c>
      <c r="N1939" t="n">
        <v>33</v>
      </c>
      <c r="O1939" t="n">
        <v>0.33</v>
      </c>
      <c r="P1939" t="n">
        <v>1</v>
      </c>
      <c r="Q1939" t="n">
        <v>0.03</v>
      </c>
      <c r="R1939" t="n">
        <v>2</v>
      </c>
      <c r="S1939" t="n">
        <v>3836.25</v>
      </c>
      <c r="T1939" t="n">
        <v>5</v>
      </c>
      <c r="U1939" t="n">
        <v>6</v>
      </c>
      <c r="V1939" t="n">
        <v>30</v>
      </c>
      <c r="W1939" t="n">
        <v>2</v>
      </c>
      <c r="X1939" t="n">
        <v>121.2121212121212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11581</v>
      </c>
      <c r="AG1939" t="n">
        <v>2141</v>
      </c>
      <c r="AH1939" t="inlineStr">
        <is>
          <t>PT. PARAMA GLOBAL INSPIRA - PPN (JMB)</t>
        </is>
      </c>
      <c r="AI1939" t="n">
        <v>1218</v>
      </c>
      <c r="AJ1939" t="inlineStr">
        <is>
          <t>KAHF</t>
        </is>
      </c>
      <c r="AK1939" t="n">
        <v>9</v>
      </c>
      <c r="AL1939" t="inlineStr">
        <is>
          <t>Miss Glam Jambi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KAHF</t>
        </is>
      </c>
      <c r="B1940" s="2">
        <f>"11000414831"</f>
        <v/>
      </c>
      <c r="C1940" t="inlineStr">
        <is>
          <t>KAHF Volumized Suave Hair Powder 10gr</t>
        </is>
      </c>
      <c r="D1940" t="inlineStr">
        <is>
          <t>Miss Glam Jambi</t>
        </is>
      </c>
      <c r="E1940" t="n">
        <v>0</v>
      </c>
      <c r="F1940" t="n">
        <v>0.066</v>
      </c>
      <c r="G1940" t="n">
        <v>0.33</v>
      </c>
      <c r="H1940" t="n">
        <v>2</v>
      </c>
      <c r="I1940" t="n">
        <v>7</v>
      </c>
      <c r="J1940" t="n">
        <v>3</v>
      </c>
      <c r="K1940" t="n">
        <v>3</v>
      </c>
      <c r="L1940" t="n">
        <v>53200</v>
      </c>
      <c r="M1940" t="n">
        <v>66500</v>
      </c>
      <c r="N1940" t="n">
        <v>33</v>
      </c>
      <c r="O1940" t="n">
        <v>0.33</v>
      </c>
      <c r="P1940" t="n">
        <v>1</v>
      </c>
      <c r="Q1940" t="n">
        <v>0.1</v>
      </c>
      <c r="R1940" t="n">
        <v>1</v>
      </c>
      <c r="S1940" t="n">
        <v>4389</v>
      </c>
      <c r="T1940" t="n">
        <v>3</v>
      </c>
      <c r="U1940" t="n">
        <v>4</v>
      </c>
      <c r="V1940" t="n">
        <v>30</v>
      </c>
      <c r="W1940" t="n">
        <v>2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11581</v>
      </c>
      <c r="AG1940" t="n">
        <v>2141</v>
      </c>
      <c r="AH1940" t="inlineStr">
        <is>
          <t>PT. PARAMA GLOBAL INSPIRA - PPN (JMB)</t>
        </is>
      </c>
      <c r="AI1940" t="n">
        <v>1218</v>
      </c>
      <c r="AJ1940" t="inlineStr">
        <is>
          <t>KAHF</t>
        </is>
      </c>
      <c r="AK1940" t="n">
        <v>9</v>
      </c>
      <c r="AL1940" t="inlineStr">
        <is>
          <t>Miss Glam Jambi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KALEIDO</t>
        </is>
      </c>
      <c r="B1941" s="2">
        <f>"792649367018"</f>
        <v/>
      </c>
      <c r="C1941" t="inlineStr">
        <is>
          <t>KALEIDO Acne Patch Playful Series Bunny &amp; Chick 20 Patches</t>
        </is>
      </c>
      <c r="D1941" t="inlineStr">
        <is>
          <t>Miss Glam Jambi</t>
        </is>
      </c>
      <c r="E1941" t="n">
        <v>13</v>
      </c>
      <c r="F1941" t="n">
        <v>0.0231</v>
      </c>
      <c r="G1941" t="n">
        <v>0.33</v>
      </c>
      <c r="H1941" t="n">
        <v>4</v>
      </c>
      <c r="I1941" t="n">
        <v>20</v>
      </c>
      <c r="J1941" t="n">
        <v>3</v>
      </c>
      <c r="K1941" t="n">
        <v>0</v>
      </c>
      <c r="L1941" t="n">
        <v>20000</v>
      </c>
      <c r="M1941" t="n">
        <v>35500</v>
      </c>
      <c r="N1941" t="n">
        <v>33</v>
      </c>
      <c r="O1941" t="n">
        <v>0.33</v>
      </c>
      <c r="P1941" t="n">
        <v>1</v>
      </c>
      <c r="Q1941" t="n">
        <v>0.03</v>
      </c>
      <c r="R1941" t="n">
        <v>1</v>
      </c>
      <c r="S1941" t="n">
        <v>820.0500000000001</v>
      </c>
      <c r="T1941" t="n">
        <v>7</v>
      </c>
      <c r="U1941" t="n">
        <v>8</v>
      </c>
      <c r="V1941" t="n">
        <v>30</v>
      </c>
      <c r="W1941" t="n">
        <v>1</v>
      </c>
      <c r="X1941" t="n">
        <v>562.7705627705627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6079</v>
      </c>
      <c r="AG1941" t="n">
        <v>1</v>
      </c>
      <c r="AH1941" t="inlineStr">
        <is>
          <t>PT. BERSAMA DISTRIVERSA INDONESIA (DC CIPUTAT)</t>
        </is>
      </c>
      <c r="AI1941" t="n">
        <v>1451</v>
      </c>
      <c r="AJ1941" t="inlineStr">
        <is>
          <t>KALEIDO</t>
        </is>
      </c>
      <c r="AK1941" t="n">
        <v>9</v>
      </c>
      <c r="AL1941" t="inlineStr">
        <is>
          <t>Miss Glam Jambi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KELAYA</t>
        </is>
      </c>
      <c r="B1942" s="2">
        <f>"8994458580011"</f>
        <v/>
      </c>
      <c r="C1942" t="inlineStr">
        <is>
          <t>KELAYA Gentle Hair Essensce Shampoo 0% SLS 250ml</t>
        </is>
      </c>
      <c r="D1942" t="inlineStr">
        <is>
          <t>Miss Glam Jambi</t>
        </is>
      </c>
      <c r="E1942" t="n">
        <v>3</v>
      </c>
      <c r="F1942" t="n">
        <v>0.15</v>
      </c>
      <c r="G1942" t="n">
        <v>1</v>
      </c>
      <c r="H1942" t="n">
        <v>6</v>
      </c>
      <c r="I1942" t="n">
        <v>12</v>
      </c>
      <c r="J1942" t="n">
        <v>6</v>
      </c>
      <c r="K1942" t="n">
        <v>0</v>
      </c>
      <c r="L1942" t="n">
        <v>72000</v>
      </c>
      <c r="M1942" t="n">
        <v>82500</v>
      </c>
      <c r="N1942" t="n">
        <v>33</v>
      </c>
      <c r="O1942" t="n">
        <v>0.33</v>
      </c>
      <c r="P1942" t="n">
        <v>0</v>
      </c>
      <c r="Q1942" t="n">
        <v>0.15</v>
      </c>
      <c r="R1942" t="n">
        <v>1</v>
      </c>
      <c r="S1942" t="n">
        <v>12375</v>
      </c>
      <c r="T1942" t="n">
        <v>12</v>
      </c>
      <c r="U1942" t="n">
        <v>13</v>
      </c>
      <c r="V1942" t="n">
        <v>30</v>
      </c>
      <c r="W1942" t="n">
        <v>5</v>
      </c>
      <c r="X1942" t="n">
        <v>20</v>
      </c>
      <c r="Y1942" t="n">
        <v>1</v>
      </c>
      <c r="Z1942" t="n">
        <v>2</v>
      </c>
      <c r="AA1942" t="n">
        <v>0</v>
      </c>
      <c r="AB1942" t="n">
        <v>2</v>
      </c>
      <c r="AC1942" t="n">
        <v>6</v>
      </c>
      <c r="AD1942" t="n">
        <v>0</v>
      </c>
      <c r="AE1942" t="n">
        <v>432000</v>
      </c>
      <c r="AF1942" t="n">
        <v>12837</v>
      </c>
      <c r="AG1942" t="n">
        <v>2122</v>
      </c>
      <c r="AH1942" t="inlineStr">
        <is>
          <t>PT. SINAR PADANG LESTARI - PPN (PDG)</t>
        </is>
      </c>
      <c r="AI1942" t="n">
        <v>1219</v>
      </c>
      <c r="AJ1942" t="inlineStr">
        <is>
          <t>KELAYA</t>
        </is>
      </c>
      <c r="AK1942" t="n">
        <v>9</v>
      </c>
      <c r="AL1942" t="inlineStr">
        <is>
          <t>Miss Glam Jambi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KELAYA</t>
        </is>
      </c>
      <c r="B1943" s="2">
        <f>"8998183926632"</f>
        <v/>
      </c>
      <c r="C1943" t="inlineStr">
        <is>
          <t>KELAYA Hair Serum 20ml</t>
        </is>
      </c>
      <c r="D1943" t="inlineStr">
        <is>
          <t>Miss Glam Jambi</t>
        </is>
      </c>
      <c r="E1943" t="n">
        <v>4</v>
      </c>
      <c r="F1943" t="n">
        <v>0.033</v>
      </c>
      <c r="G1943" t="n">
        <v>0.33</v>
      </c>
      <c r="H1943" t="n">
        <v>6</v>
      </c>
      <c r="I1943" t="n">
        <v>12</v>
      </c>
      <c r="J1943" t="n">
        <v>3</v>
      </c>
      <c r="K1943" t="n">
        <v>0</v>
      </c>
      <c r="L1943" t="n">
        <v>75040</v>
      </c>
      <c r="M1943" t="n">
        <v>93800</v>
      </c>
      <c r="N1943" t="n">
        <v>33</v>
      </c>
      <c r="O1943" t="n">
        <v>0.33</v>
      </c>
      <c r="P1943" t="n">
        <v>1</v>
      </c>
      <c r="Q1943" t="n">
        <v>0.05</v>
      </c>
      <c r="R1943" t="n">
        <v>1</v>
      </c>
      <c r="S1943" t="n">
        <v>3095.4</v>
      </c>
      <c r="T1943" t="n">
        <v>4</v>
      </c>
      <c r="U1943" t="n">
        <v>5</v>
      </c>
      <c r="V1943" t="n">
        <v>30</v>
      </c>
      <c r="W1943" t="n">
        <v>1</v>
      </c>
      <c r="X1943" t="n">
        <v>121.2121212121212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12837</v>
      </c>
      <c r="AG1943" t="n">
        <v>2122</v>
      </c>
      <c r="AH1943" t="inlineStr">
        <is>
          <t>PT. SINAR PADANG LESTARI - PPN (PDG)</t>
        </is>
      </c>
      <c r="AI1943" t="n">
        <v>1219</v>
      </c>
      <c r="AJ1943" t="inlineStr">
        <is>
          <t>KELAYA</t>
        </is>
      </c>
      <c r="AK1943" t="n">
        <v>9</v>
      </c>
      <c r="AL1943" t="inlineStr">
        <is>
          <t>Miss Glam Jambi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KELAYA</t>
        </is>
      </c>
      <c r="B1944" s="2">
        <f>"8998183923167"</f>
        <v/>
      </c>
      <c r="C1944" t="inlineStr">
        <is>
          <t>KELAYA Hair Treatment Hair Revitalizer Mist Fresh Morning UV Protect 100ml</t>
        </is>
      </c>
      <c r="D1944" t="inlineStr">
        <is>
          <t>Miss Glam Jambi</t>
        </is>
      </c>
      <c r="E1944" t="n">
        <v>6</v>
      </c>
      <c r="F1944" t="n">
        <v>0.033</v>
      </c>
      <c r="G1944" t="n">
        <v>0.33</v>
      </c>
      <c r="H1944" t="n">
        <v>6</v>
      </c>
      <c r="I1944" t="n">
        <v>12</v>
      </c>
      <c r="J1944" t="n">
        <v>6</v>
      </c>
      <c r="K1944" t="n">
        <v>0</v>
      </c>
      <c r="L1944" t="n">
        <v>30320</v>
      </c>
      <c r="M1944" t="n">
        <v>37900</v>
      </c>
      <c r="N1944" t="n">
        <v>33</v>
      </c>
      <c r="O1944" t="n">
        <v>0.33</v>
      </c>
      <c r="P1944" t="n">
        <v>1</v>
      </c>
      <c r="Q1944" t="n">
        <v>0.02</v>
      </c>
      <c r="R1944" t="n">
        <v>1</v>
      </c>
      <c r="S1944" t="n">
        <v>1250.7</v>
      </c>
      <c r="T1944" t="n">
        <v>4</v>
      </c>
      <c r="U1944" t="n">
        <v>5</v>
      </c>
      <c r="V1944" t="n">
        <v>30</v>
      </c>
      <c r="W1944" t="n">
        <v>1</v>
      </c>
      <c r="X1944" t="n">
        <v>181.8181818181818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12837</v>
      </c>
      <c r="AG1944" t="n">
        <v>2122</v>
      </c>
      <c r="AH1944" t="inlineStr">
        <is>
          <t>PT. SINAR PADANG LESTARI - PPN (PDG)</t>
        </is>
      </c>
      <c r="AI1944" t="n">
        <v>1219</v>
      </c>
      <c r="AJ1944" t="inlineStr">
        <is>
          <t>KELAYA</t>
        </is>
      </c>
      <c r="AK1944" t="n">
        <v>9</v>
      </c>
      <c r="AL1944" t="inlineStr">
        <is>
          <t>Miss Glam Jambi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KELAYA</t>
        </is>
      </c>
      <c r="B1945" s="2">
        <f>"8998183923150"</f>
        <v/>
      </c>
      <c r="C1945" t="inlineStr">
        <is>
          <t>KELAYA Hair Treatment Hair Revitalizer Mist Refresh &amp; Recharge UV Protect 100ml</t>
        </is>
      </c>
      <c r="D1945" t="inlineStr">
        <is>
          <t>Miss Glam Jambi</t>
        </is>
      </c>
      <c r="E1945" t="n">
        <v>2</v>
      </c>
      <c r="F1945" t="n">
        <v>0.0165</v>
      </c>
      <c r="G1945" t="n">
        <v>0.33</v>
      </c>
      <c r="H1945" t="n">
        <v>6</v>
      </c>
      <c r="I1945" t="n">
        <v>12</v>
      </c>
      <c r="J1945" t="n">
        <v>3</v>
      </c>
      <c r="K1945" t="n">
        <v>0</v>
      </c>
      <c r="L1945" t="n">
        <v>30320</v>
      </c>
      <c r="M1945" t="n">
        <v>37900</v>
      </c>
      <c r="N1945" t="n">
        <v>33</v>
      </c>
      <c r="O1945" t="n">
        <v>0.33</v>
      </c>
      <c r="P1945" t="n">
        <v>1</v>
      </c>
      <c r="Q1945" t="n">
        <v>0.02</v>
      </c>
      <c r="R1945" t="n">
        <v>1</v>
      </c>
      <c r="S1945" t="n">
        <v>625.35</v>
      </c>
      <c r="T1945" t="n">
        <v>4</v>
      </c>
      <c r="U1945" t="n">
        <v>5</v>
      </c>
      <c r="V1945" t="n">
        <v>30</v>
      </c>
      <c r="W1945" t="n">
        <v>1</v>
      </c>
      <c r="X1945" t="n">
        <v>121.2121212121212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12837</v>
      </c>
      <c r="AG1945" t="n">
        <v>2122</v>
      </c>
      <c r="AH1945" t="inlineStr">
        <is>
          <t>PT. SINAR PADANG LESTARI - PPN (PDG)</t>
        </is>
      </c>
      <c r="AI1945" t="n">
        <v>1219</v>
      </c>
      <c r="AJ1945" t="inlineStr">
        <is>
          <t>KELAYA</t>
        </is>
      </c>
      <c r="AK1945" t="n">
        <v>9</v>
      </c>
      <c r="AL1945" t="inlineStr">
        <is>
          <t>Miss Glam Jambi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KELAYA</t>
        </is>
      </c>
      <c r="B1946" s="2">
        <f>"8998183926847"</f>
        <v/>
      </c>
      <c r="C1946" t="inlineStr">
        <is>
          <t>KELAYA Hair Treatment Minyak Kemiri 50ml</t>
        </is>
      </c>
      <c r="D1946" t="inlineStr">
        <is>
          <t>Miss Glam Jambi</t>
        </is>
      </c>
      <c r="E1946" t="n">
        <v>5</v>
      </c>
      <c r="F1946" t="n">
        <v>0.009900000000000001</v>
      </c>
      <c r="G1946" t="n">
        <v>0.33</v>
      </c>
      <c r="H1946" t="n">
        <v>6</v>
      </c>
      <c r="I1946" t="n">
        <v>12</v>
      </c>
      <c r="J1946" t="n">
        <v>3</v>
      </c>
      <c r="K1946" t="n">
        <v>0</v>
      </c>
      <c r="L1946" t="n">
        <v>71440</v>
      </c>
      <c r="M1946" t="n">
        <v>89300</v>
      </c>
      <c r="N1946" t="n">
        <v>33</v>
      </c>
      <c r="O1946" t="n">
        <v>0.33</v>
      </c>
      <c r="P1946" t="n">
        <v>1</v>
      </c>
      <c r="Q1946" t="n">
        <v>0.02</v>
      </c>
      <c r="R1946" t="n">
        <v>1</v>
      </c>
      <c r="S1946" t="n">
        <v>884.0700000000001</v>
      </c>
      <c r="T1946" t="n">
        <v>4</v>
      </c>
      <c r="U1946" t="n">
        <v>5</v>
      </c>
      <c r="V1946" t="n">
        <v>30</v>
      </c>
      <c r="W1946" t="n">
        <v>1</v>
      </c>
      <c r="X1946" t="n">
        <v>505.050505050505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12837</v>
      </c>
      <c r="AG1946" t="n">
        <v>2122</v>
      </c>
      <c r="AH1946" t="inlineStr">
        <is>
          <t>PT. SINAR PADANG LESTARI - PPN (PDG)</t>
        </is>
      </c>
      <c r="AI1946" t="n">
        <v>1219</v>
      </c>
      <c r="AJ1946" t="inlineStr">
        <is>
          <t>KELAYA</t>
        </is>
      </c>
      <c r="AK1946" t="n">
        <v>9</v>
      </c>
      <c r="AL1946" t="inlineStr">
        <is>
          <t>Miss Glam Jambi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KELAYA</t>
        </is>
      </c>
      <c r="B1947" s="2">
        <f>"8998183923136"</f>
        <v/>
      </c>
      <c r="C1947" t="inlineStr">
        <is>
          <t>KELAYA Hair Treatment Mist Party Glamour 100ml</t>
        </is>
      </c>
      <c r="D1947" t="inlineStr">
        <is>
          <t>Miss Glam Jambi</t>
        </is>
      </c>
      <c r="E1947" t="n">
        <v>3</v>
      </c>
      <c r="F1947" t="n">
        <v>0.02</v>
      </c>
      <c r="G1947" t="n">
        <v>1</v>
      </c>
      <c r="H1947" t="n">
        <v>6</v>
      </c>
      <c r="I1947" t="n">
        <v>12</v>
      </c>
      <c r="J1947" t="n">
        <v>3</v>
      </c>
      <c r="K1947" t="n">
        <v>0</v>
      </c>
      <c r="L1947" t="n">
        <v>30320</v>
      </c>
      <c r="M1947" t="n">
        <v>37900</v>
      </c>
      <c r="N1947" t="n">
        <v>33</v>
      </c>
      <c r="O1947" t="n">
        <v>0.33</v>
      </c>
      <c r="P1947" t="n">
        <v>0</v>
      </c>
      <c r="Q1947" t="n">
        <v>0.02</v>
      </c>
      <c r="R1947" t="n">
        <v>1</v>
      </c>
      <c r="S1947" t="n">
        <v>758</v>
      </c>
      <c r="T1947" t="n">
        <v>12</v>
      </c>
      <c r="U1947" t="n">
        <v>13</v>
      </c>
      <c r="V1947" t="n">
        <v>30</v>
      </c>
      <c r="W1947" t="n">
        <v>1</v>
      </c>
      <c r="X1947" t="n">
        <v>150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12837</v>
      </c>
      <c r="AG1947" t="n">
        <v>2122</v>
      </c>
      <c r="AH1947" t="inlineStr">
        <is>
          <t>PT. SINAR PADANG LESTARI - PPN (PDG)</t>
        </is>
      </c>
      <c r="AI1947" t="n">
        <v>1219</v>
      </c>
      <c r="AJ1947" t="inlineStr">
        <is>
          <t>KELAYA</t>
        </is>
      </c>
      <c r="AK1947" t="n">
        <v>9</v>
      </c>
      <c r="AL1947" t="inlineStr">
        <is>
          <t>Miss Glam Jambi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KELAYA</t>
        </is>
      </c>
      <c r="B1948" s="2">
        <f>"8998183923105"</f>
        <v/>
      </c>
      <c r="C1948" t="inlineStr">
        <is>
          <t>KELAYA Hair Treatment Mist Rise &amp; Shine 100ml</t>
        </is>
      </c>
      <c r="D1948" t="inlineStr">
        <is>
          <t>Miss Glam Jambi</t>
        </is>
      </c>
      <c r="E1948" t="n">
        <v>5</v>
      </c>
      <c r="F1948" t="n">
        <v>0.0231</v>
      </c>
      <c r="G1948" t="n">
        <v>0.33</v>
      </c>
      <c r="H1948" t="n">
        <v>6</v>
      </c>
      <c r="I1948" t="n">
        <v>12</v>
      </c>
      <c r="J1948" t="n">
        <v>3</v>
      </c>
      <c r="K1948" t="n">
        <v>0</v>
      </c>
      <c r="L1948" t="n">
        <v>30320</v>
      </c>
      <c r="M1948" t="n">
        <v>37900</v>
      </c>
      <c r="N1948" t="n">
        <v>33</v>
      </c>
      <c r="O1948" t="n">
        <v>0.33</v>
      </c>
      <c r="P1948" t="n">
        <v>1</v>
      </c>
      <c r="Q1948" t="n">
        <v>0.02</v>
      </c>
      <c r="R1948" t="n">
        <v>1</v>
      </c>
      <c r="S1948" t="n">
        <v>875.4900000000001</v>
      </c>
      <c r="T1948" t="n">
        <v>4</v>
      </c>
      <c r="U1948" t="n">
        <v>5</v>
      </c>
      <c r="V1948" t="n">
        <v>30</v>
      </c>
      <c r="W1948" t="n">
        <v>1</v>
      </c>
      <c r="X1948" t="n">
        <v>216.4502164502164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12837</v>
      </c>
      <c r="AG1948" t="n">
        <v>2122</v>
      </c>
      <c r="AH1948" t="inlineStr">
        <is>
          <t>PT. SINAR PADANG LESTARI - PPN (PDG)</t>
        </is>
      </c>
      <c r="AI1948" t="n">
        <v>1219</v>
      </c>
      <c r="AJ1948" t="inlineStr">
        <is>
          <t>KELAYA</t>
        </is>
      </c>
      <c r="AK1948" t="n">
        <v>9</v>
      </c>
      <c r="AL1948" t="inlineStr">
        <is>
          <t>Miss Glam Jambi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KELAYA</t>
        </is>
      </c>
      <c r="B1949" s="2">
        <f>"8998183923129"</f>
        <v/>
      </c>
      <c r="C1949" t="inlineStr">
        <is>
          <t>KELAYA Hair Treatment Mist Romantic Love 100ml</t>
        </is>
      </c>
      <c r="D1949" t="inlineStr">
        <is>
          <t>Miss Glam Jambi</t>
        </is>
      </c>
      <c r="E1949" t="n">
        <v>5</v>
      </c>
      <c r="F1949" t="n">
        <v>0.02</v>
      </c>
      <c r="G1949" t="n">
        <v>1</v>
      </c>
      <c r="H1949" t="n">
        <v>6</v>
      </c>
      <c r="I1949" t="n">
        <v>12</v>
      </c>
      <c r="J1949" t="n">
        <v>3</v>
      </c>
      <c r="K1949" t="n">
        <v>0</v>
      </c>
      <c r="L1949" t="n">
        <v>30320</v>
      </c>
      <c r="M1949" t="n">
        <v>37900</v>
      </c>
      <c r="N1949" t="n">
        <v>33</v>
      </c>
      <c r="O1949" t="n">
        <v>0.33</v>
      </c>
      <c r="P1949" t="n">
        <v>0</v>
      </c>
      <c r="Q1949" t="n">
        <v>0.02</v>
      </c>
      <c r="R1949" t="n">
        <v>1</v>
      </c>
      <c r="S1949" t="n">
        <v>758</v>
      </c>
      <c r="T1949" t="n">
        <v>12</v>
      </c>
      <c r="U1949" t="n">
        <v>13</v>
      </c>
      <c r="V1949" t="n">
        <v>30</v>
      </c>
      <c r="W1949" t="n">
        <v>1</v>
      </c>
      <c r="X1949" t="n">
        <v>250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12837</v>
      </c>
      <c r="AG1949" t="n">
        <v>2122</v>
      </c>
      <c r="AH1949" t="inlineStr">
        <is>
          <t>PT. SINAR PADANG LESTARI - PPN (PDG)</t>
        </is>
      </c>
      <c r="AI1949" t="n">
        <v>1219</v>
      </c>
      <c r="AJ1949" t="inlineStr">
        <is>
          <t>KELAYA</t>
        </is>
      </c>
      <c r="AK1949" t="n">
        <v>9</v>
      </c>
      <c r="AL1949" t="inlineStr">
        <is>
          <t>Miss Glam Jambi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KELAYA</t>
        </is>
      </c>
      <c r="B1950" s="2">
        <f>"8998183923143"</f>
        <v/>
      </c>
      <c r="C1950" t="inlineStr">
        <is>
          <t>KELAYA Hair Treatment Mist Sweet Cofident 100ml</t>
        </is>
      </c>
      <c r="D1950" t="inlineStr">
        <is>
          <t>Miss Glam Jambi</t>
        </is>
      </c>
      <c r="E1950" t="n">
        <v>1</v>
      </c>
      <c r="F1950" t="n">
        <v>0.009900000000000001</v>
      </c>
      <c r="G1950" t="n">
        <v>0.33</v>
      </c>
      <c r="H1950" t="n">
        <v>6</v>
      </c>
      <c r="I1950" t="n">
        <v>12</v>
      </c>
      <c r="J1950" t="n">
        <v>3</v>
      </c>
      <c r="K1950" t="n">
        <v>0</v>
      </c>
      <c r="L1950" t="n">
        <v>30320</v>
      </c>
      <c r="M1950" t="n">
        <v>37900</v>
      </c>
      <c r="N1950" t="n">
        <v>33</v>
      </c>
      <c r="O1950" t="n">
        <v>0.33</v>
      </c>
      <c r="P1950" t="n">
        <v>1</v>
      </c>
      <c r="Q1950" t="n">
        <v>0.02</v>
      </c>
      <c r="R1950" t="n">
        <v>1</v>
      </c>
      <c r="S1950" t="n">
        <v>375.21</v>
      </c>
      <c r="T1950" t="n">
        <v>4</v>
      </c>
      <c r="U1950" t="n">
        <v>5</v>
      </c>
      <c r="V1950" t="n">
        <v>30</v>
      </c>
      <c r="W1950" t="n">
        <v>1</v>
      </c>
      <c r="X1950" t="n">
        <v>101.010101010101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12837</v>
      </c>
      <c r="AG1950" t="n">
        <v>2122</v>
      </c>
      <c r="AH1950" t="inlineStr">
        <is>
          <t>PT. SINAR PADANG LESTARI - PPN (PDG)</t>
        </is>
      </c>
      <c r="AI1950" t="n">
        <v>1219</v>
      </c>
      <c r="AJ1950" t="inlineStr">
        <is>
          <t>KELAYA</t>
        </is>
      </c>
      <c r="AK1950" t="n">
        <v>9</v>
      </c>
      <c r="AL1950" t="inlineStr">
        <is>
          <t>Miss Glam Jambi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KELLY</t>
        </is>
      </c>
      <c r="B1951" s="2">
        <f>"8994324300705"</f>
        <v/>
      </c>
      <c r="C1951" t="inlineStr">
        <is>
          <t>KELLY Cream 15gr</t>
        </is>
      </c>
      <c r="D1951" t="inlineStr">
        <is>
          <t>Miss Glam Jambi</t>
        </is>
      </c>
      <c r="E1951" t="n">
        <v>24</v>
      </c>
      <c r="F1951" t="n">
        <v>0.3795</v>
      </c>
      <c r="G1951" t="n">
        <v>1.65</v>
      </c>
      <c r="H1951" t="n">
        <v>4</v>
      </c>
      <c r="I1951" t="n">
        <v>20</v>
      </c>
      <c r="J1951" t="n">
        <v>3</v>
      </c>
      <c r="K1951" t="n">
        <v>0</v>
      </c>
      <c r="L1951" t="n">
        <v>9189</v>
      </c>
      <c r="M1951" t="n">
        <v>11500</v>
      </c>
      <c r="N1951" t="n">
        <v>33</v>
      </c>
      <c r="O1951" t="n">
        <v>0.33</v>
      </c>
      <c r="P1951" t="n">
        <v>1</v>
      </c>
      <c r="Q1951" t="n">
        <v>0.47</v>
      </c>
      <c r="R1951" t="n">
        <v>4</v>
      </c>
      <c r="S1951" t="n">
        <v>4364.25</v>
      </c>
      <c r="T1951" t="n">
        <v>32</v>
      </c>
      <c r="U1951" t="n">
        <v>34</v>
      </c>
      <c r="V1951" t="n">
        <v>30</v>
      </c>
      <c r="W1951" t="n">
        <v>12</v>
      </c>
      <c r="X1951" t="n">
        <v>63.24110671936759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6112</v>
      </c>
      <c r="AG1951" t="n">
        <v>1</v>
      </c>
      <c r="AH1951" t="inlineStr">
        <is>
          <t>PT. BERSAMA DISTRIVERSA INDONESIA (DC CIPUTAT)</t>
        </is>
      </c>
      <c r="AI1951" t="n">
        <v>91</v>
      </c>
      <c r="AJ1951" t="inlineStr">
        <is>
          <t>KELLY</t>
        </is>
      </c>
      <c r="AK1951" t="n">
        <v>9</v>
      </c>
      <c r="AL1951" t="inlineStr">
        <is>
          <t>Miss Glam Jambi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KELLY</t>
        </is>
      </c>
      <c r="B1952" s="2">
        <f>"8994324300736"</f>
        <v/>
      </c>
      <c r="C1952" t="inlineStr">
        <is>
          <t>KELLY Cream 6gr</t>
        </is>
      </c>
      <c r="D1952" t="inlineStr">
        <is>
          <t>Miss Glam Jambi</t>
        </is>
      </c>
      <c r="E1952" t="n">
        <v>19</v>
      </c>
      <c r="F1952" t="n">
        <v>0.5808</v>
      </c>
      <c r="G1952" t="n">
        <v>1.98</v>
      </c>
      <c r="H1952" t="n">
        <v>4</v>
      </c>
      <c r="I1952" t="n">
        <v>20</v>
      </c>
      <c r="J1952" t="n">
        <v>3</v>
      </c>
      <c r="K1952" t="n">
        <v>0</v>
      </c>
      <c r="L1952" t="n">
        <v>4880</v>
      </c>
      <c r="M1952" t="n">
        <v>7500</v>
      </c>
      <c r="N1952" t="n">
        <v>33</v>
      </c>
      <c r="O1952" t="n">
        <v>0.33</v>
      </c>
      <c r="P1952" t="n">
        <v>1</v>
      </c>
      <c r="Q1952" t="n">
        <v>0.5600000000000001</v>
      </c>
      <c r="R1952" t="n">
        <v>2</v>
      </c>
      <c r="S1952" t="n">
        <v>4356</v>
      </c>
      <c r="T1952" t="n">
        <v>38</v>
      </c>
      <c r="U1952" t="n">
        <v>41</v>
      </c>
      <c r="V1952" t="n">
        <v>30</v>
      </c>
      <c r="W1952" t="n">
        <v>18</v>
      </c>
      <c r="X1952" t="n">
        <v>32.71349862258953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6112</v>
      </c>
      <c r="AG1952" t="n">
        <v>1</v>
      </c>
      <c r="AH1952" t="inlineStr">
        <is>
          <t>PT. BERSAMA DISTRIVERSA INDONESIA (DC CIPUTAT)</t>
        </is>
      </c>
      <c r="AI1952" t="n">
        <v>91</v>
      </c>
      <c r="AJ1952" t="inlineStr">
        <is>
          <t>KELLY</t>
        </is>
      </c>
      <c r="AK1952" t="n">
        <v>9</v>
      </c>
      <c r="AL1952" t="inlineStr">
        <is>
          <t>Miss Glam Jambi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KERITH</t>
        </is>
      </c>
      <c r="B1953" s="2">
        <f>"30200421315"</f>
        <v/>
      </c>
      <c r="C1953" t="inlineStr">
        <is>
          <t>KERITH Body Serum Whitening Nourish &amp; Moisturizer 100ml</t>
        </is>
      </c>
      <c r="D1953" t="inlineStr">
        <is>
          <t>Miss Glam Jambi</t>
        </is>
      </c>
      <c r="E1953" t="n">
        <v>4</v>
      </c>
      <c r="F1953" t="n">
        <v>0.03</v>
      </c>
      <c r="G1953" t="n">
        <v>1</v>
      </c>
      <c r="H1953" t="n">
        <v>4</v>
      </c>
      <c r="I1953" t="n">
        <v>20</v>
      </c>
      <c r="J1953" t="n">
        <v>3</v>
      </c>
      <c r="K1953" t="n">
        <v>0</v>
      </c>
      <c r="L1953" t="n">
        <v>23854</v>
      </c>
      <c r="M1953" t="n">
        <v>30000</v>
      </c>
      <c r="N1953" t="n">
        <v>33</v>
      </c>
      <c r="O1953" t="n">
        <v>0.33</v>
      </c>
      <c r="P1953" t="n">
        <v>0</v>
      </c>
      <c r="Q1953" t="n">
        <v>0.03</v>
      </c>
      <c r="R1953" t="n">
        <v>1</v>
      </c>
      <c r="S1953" t="n">
        <v>900</v>
      </c>
      <c r="T1953" t="n">
        <v>20</v>
      </c>
      <c r="U1953" t="n">
        <v>21</v>
      </c>
      <c r="V1953" t="n">
        <v>30</v>
      </c>
      <c r="W1953" t="n">
        <v>1</v>
      </c>
      <c r="X1953" t="n">
        <v>133.3333333333333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6145</v>
      </c>
      <c r="AG1953" t="n">
        <v>1</v>
      </c>
      <c r="AH1953" t="inlineStr">
        <is>
          <t>PT. BERSAMA DISTRIVERSA INDONESIA (DC CIPUTAT)</t>
        </is>
      </c>
      <c r="AI1953" t="n">
        <v>1943</v>
      </c>
      <c r="AJ1953" t="inlineStr">
        <is>
          <t>KERITH</t>
        </is>
      </c>
      <c r="AK1953" t="n">
        <v>9</v>
      </c>
      <c r="AL1953" t="inlineStr">
        <is>
          <t>Miss Glam Jambi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KERITH</t>
        </is>
      </c>
      <c r="B1954" s="2">
        <f>"10100822322"</f>
        <v/>
      </c>
      <c r="C1954" t="inlineStr">
        <is>
          <t>KERITH White Glow Perfect Gluta Soap 60gr</t>
        </is>
      </c>
      <c r="D1954" t="inlineStr">
        <is>
          <t>Miss Glam Jambi</t>
        </is>
      </c>
      <c r="E1954" t="n">
        <v>11</v>
      </c>
      <c r="F1954" t="n">
        <v>0.0561</v>
      </c>
      <c r="G1954" t="n">
        <v>0.99</v>
      </c>
      <c r="H1954" t="n">
        <v>4</v>
      </c>
      <c r="I1954" t="n">
        <v>20</v>
      </c>
      <c r="J1954" t="n">
        <v>3</v>
      </c>
      <c r="K1954" t="n">
        <v>0</v>
      </c>
      <c r="L1954" t="n">
        <v>12502</v>
      </c>
      <c r="M1954" t="n">
        <v>16500</v>
      </c>
      <c r="N1954" t="n">
        <v>33</v>
      </c>
      <c r="O1954" t="n">
        <v>0.33</v>
      </c>
      <c r="P1954" t="n">
        <v>1</v>
      </c>
      <c r="Q1954" t="n">
        <v>0.08</v>
      </c>
      <c r="R1954" t="n">
        <v>3</v>
      </c>
      <c r="S1954" t="n">
        <v>925.6500000000001</v>
      </c>
      <c r="T1954" t="n">
        <v>20</v>
      </c>
      <c r="U1954" t="n">
        <v>21</v>
      </c>
      <c r="V1954" t="n">
        <v>30</v>
      </c>
      <c r="W1954" t="n">
        <v>2</v>
      </c>
      <c r="X1954" t="n">
        <v>196.078431372549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6145</v>
      </c>
      <c r="AG1954" t="n">
        <v>1</v>
      </c>
      <c r="AH1954" t="inlineStr">
        <is>
          <t>PT. BERSAMA DISTRIVERSA INDONESIA (DC CIPUTAT)</t>
        </is>
      </c>
      <c r="AI1954" t="n">
        <v>1943</v>
      </c>
      <c r="AJ1954" t="inlineStr">
        <is>
          <t>KERITH</t>
        </is>
      </c>
      <c r="AK1954" t="n">
        <v>9</v>
      </c>
      <c r="AL1954" t="inlineStr">
        <is>
          <t>Miss Glam Jambi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KLEVERU</t>
        </is>
      </c>
      <c r="B1955" s="2">
        <f>"8997219892675"</f>
        <v/>
      </c>
      <c r="C1955" t="inlineStr">
        <is>
          <t>KLEVERU Sea Buckthorn Cleansing Gel 100ml</t>
        </is>
      </c>
      <c r="D1955" t="inlineStr">
        <is>
          <t>Miss Glam Jambi</t>
        </is>
      </c>
      <c r="E1955" t="n">
        <v>2</v>
      </c>
      <c r="F1955" t="n">
        <v>0.0495</v>
      </c>
      <c r="G1955" t="n">
        <v>0.33</v>
      </c>
      <c r="H1955" t="n">
        <v>4</v>
      </c>
      <c r="I1955" t="n">
        <v>20</v>
      </c>
      <c r="J1955" t="n">
        <v>3</v>
      </c>
      <c r="K1955" t="n">
        <v>0</v>
      </c>
      <c r="L1955" t="n">
        <v>58936</v>
      </c>
      <c r="M1955" t="n">
        <v>84000</v>
      </c>
      <c r="N1955" t="n">
        <v>33</v>
      </c>
      <c r="O1955" t="n">
        <v>0.33</v>
      </c>
      <c r="P1955" t="n">
        <v>1</v>
      </c>
      <c r="Q1955" t="n">
        <v>0.05</v>
      </c>
      <c r="R1955" t="n">
        <v>1</v>
      </c>
      <c r="S1955" t="n">
        <v>4158</v>
      </c>
      <c r="T1955" t="n">
        <v>7</v>
      </c>
      <c r="U1955" t="n">
        <v>8</v>
      </c>
      <c r="V1955" t="n">
        <v>30</v>
      </c>
      <c r="W1955" t="n">
        <v>2</v>
      </c>
      <c r="X1955" t="n">
        <v>40.4040404040404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6178</v>
      </c>
      <c r="AG1955" t="n">
        <v>1</v>
      </c>
      <c r="AH1955" t="inlineStr">
        <is>
          <t>PT. BERSAMA DISTRIVERSA INDONESIA (DC CIPUTAT)</t>
        </is>
      </c>
      <c r="AI1955" t="n">
        <v>24</v>
      </c>
      <c r="AJ1955" t="inlineStr">
        <is>
          <t>KLEVERU</t>
        </is>
      </c>
      <c r="AK1955" t="n">
        <v>9</v>
      </c>
      <c r="AL1955" t="inlineStr">
        <is>
          <t>Miss Glam Jambi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KOJIC PLANKTON</t>
        </is>
      </c>
      <c r="B1956" s="2">
        <f>"10100812139"</f>
        <v/>
      </c>
      <c r="C1956" t="inlineStr">
        <is>
          <t>KOJIC PLANKTON Bright &amp; Glow Soap 40gr</t>
        </is>
      </c>
      <c r="D1956" t="inlineStr">
        <is>
          <t>Miss Glam Jambi</t>
        </is>
      </c>
      <c r="E1956" t="n">
        <v>13</v>
      </c>
      <c r="F1956" t="n">
        <v>0.4587</v>
      </c>
      <c r="G1956" t="n">
        <v>2.31</v>
      </c>
      <c r="H1956" t="n">
        <v>4</v>
      </c>
      <c r="I1956" t="n">
        <v>20</v>
      </c>
      <c r="J1956" t="n">
        <v>3</v>
      </c>
      <c r="K1956" t="n">
        <v>3</v>
      </c>
      <c r="L1956" t="n">
        <v>18540</v>
      </c>
      <c r="M1956" t="n">
        <v>21000</v>
      </c>
      <c r="N1956" t="n">
        <v>33</v>
      </c>
      <c r="O1956" t="n">
        <v>0.33</v>
      </c>
      <c r="P1956" t="n">
        <v>1</v>
      </c>
      <c r="Q1956" t="n">
        <v>0.37</v>
      </c>
      <c r="R1956" t="n">
        <v>2</v>
      </c>
      <c r="S1956" t="n">
        <v>9632.700000000001</v>
      </c>
      <c r="T1956" t="n">
        <v>45</v>
      </c>
      <c r="U1956" t="n">
        <v>47</v>
      </c>
      <c r="V1956" t="n">
        <v>30</v>
      </c>
      <c r="W1956" t="n">
        <v>14</v>
      </c>
      <c r="X1956" t="n">
        <v>28.34096359276215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6211</v>
      </c>
      <c r="AG1956" t="n">
        <v>1</v>
      </c>
      <c r="AH1956" t="inlineStr">
        <is>
          <t>PT. BERSAMA DISTRIVERSA INDONESIA (DC CIPUTAT)</t>
        </is>
      </c>
      <c r="AI1956" t="n">
        <v>1511</v>
      </c>
      <c r="AJ1956" t="inlineStr">
        <is>
          <t>KOJIC PLANKTON</t>
        </is>
      </c>
      <c r="AK1956" t="n">
        <v>9</v>
      </c>
      <c r="AL1956" t="inlineStr">
        <is>
          <t>Miss Glam Jambi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KOJIC PLANKTON</t>
        </is>
      </c>
      <c r="B1957" s="2">
        <f>"8994452280009"</f>
        <v/>
      </c>
      <c r="C1957" t="inlineStr">
        <is>
          <t>KOJIC PLANKTON Bright &amp; Glow Soap 90gr</t>
        </is>
      </c>
      <c r="D1957" t="inlineStr">
        <is>
          <t>Miss Glam Jambi</t>
        </is>
      </c>
      <c r="E1957" t="n">
        <v>18</v>
      </c>
      <c r="F1957" t="n">
        <v>0.3036</v>
      </c>
      <c r="G1957" t="n">
        <v>1.98</v>
      </c>
      <c r="H1957" t="n">
        <v>4</v>
      </c>
      <c r="I1957" t="n">
        <v>20</v>
      </c>
      <c r="J1957" t="n">
        <v>3</v>
      </c>
      <c r="K1957" t="n">
        <v>0</v>
      </c>
      <c r="L1957" t="n">
        <v>27038</v>
      </c>
      <c r="M1957" t="n">
        <v>32000</v>
      </c>
      <c r="N1957" t="n">
        <v>33</v>
      </c>
      <c r="O1957" t="n">
        <v>0.33</v>
      </c>
      <c r="P1957" t="n">
        <v>1</v>
      </c>
      <c r="Q1957" t="n">
        <v>0.1</v>
      </c>
      <c r="R1957" t="n">
        <v>2</v>
      </c>
      <c r="S1957" t="n">
        <v>9715.200000000001</v>
      </c>
      <c r="T1957" t="n">
        <v>39</v>
      </c>
      <c r="U1957" t="n">
        <v>41</v>
      </c>
      <c r="V1957" t="n">
        <v>30</v>
      </c>
      <c r="W1957" t="n">
        <v>10</v>
      </c>
      <c r="X1957" t="n">
        <v>59.28853754940711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6211</v>
      </c>
      <c r="AG1957" t="n">
        <v>1</v>
      </c>
      <c r="AH1957" t="inlineStr">
        <is>
          <t>PT. BERSAMA DISTRIVERSA INDONESIA (DC CIPUTAT)</t>
        </is>
      </c>
      <c r="AI1957" t="n">
        <v>1511</v>
      </c>
      <c r="AJ1957" t="inlineStr">
        <is>
          <t>KOJIC PLANKTON</t>
        </is>
      </c>
      <c r="AK1957" t="n">
        <v>9</v>
      </c>
      <c r="AL1957" t="inlineStr">
        <is>
          <t>Miss Glam Jambi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KOJIC PLANKTON</t>
        </is>
      </c>
      <c r="B1958" s="2">
        <f>"8994452280061"</f>
        <v/>
      </c>
      <c r="C1958" t="inlineStr">
        <is>
          <t>KOJIC PLANKTON Go To Bright 100gr</t>
        </is>
      </c>
      <c r="D1958" t="inlineStr">
        <is>
          <t>Miss Glam Jambi</t>
        </is>
      </c>
      <c r="E1958" t="n">
        <v>0</v>
      </c>
      <c r="F1958" t="n">
        <v>0.03</v>
      </c>
      <c r="G1958" t="n">
        <v>1</v>
      </c>
      <c r="H1958" t="n">
        <v>4</v>
      </c>
      <c r="I1958" t="n">
        <v>20</v>
      </c>
      <c r="J1958" t="n">
        <v>3</v>
      </c>
      <c r="K1958" t="n">
        <v>0</v>
      </c>
      <c r="L1958" t="n">
        <v>25168</v>
      </c>
      <c r="M1958" t="n">
        <v>30000</v>
      </c>
      <c r="N1958" t="n">
        <v>33</v>
      </c>
      <c r="O1958" t="n">
        <v>0.33</v>
      </c>
      <c r="P1958" t="n">
        <v>0</v>
      </c>
      <c r="Q1958" t="n">
        <v>0.03</v>
      </c>
      <c r="R1958" t="n">
        <v>1</v>
      </c>
      <c r="S1958" t="n">
        <v>900</v>
      </c>
      <c r="T1958" t="n">
        <v>20</v>
      </c>
      <c r="U1958" t="n">
        <v>21</v>
      </c>
      <c r="V1958" t="n">
        <v>30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n">
        <v>0</v>
      </c>
      <c r="AC1958" t="n">
        <v>0</v>
      </c>
      <c r="AD1958" t="n">
        <v>25168</v>
      </c>
      <c r="AE1958" t="n">
        <v>0</v>
      </c>
      <c r="AF1958" t="n">
        <v>6211</v>
      </c>
      <c r="AG1958" t="n">
        <v>1</v>
      </c>
      <c r="AH1958" t="inlineStr">
        <is>
          <t>PT. BERSAMA DISTRIVERSA INDONESIA (DC CIPUTAT)</t>
        </is>
      </c>
      <c r="AI1958" t="n">
        <v>1511</v>
      </c>
      <c r="AJ1958" t="inlineStr">
        <is>
          <t>KOJIC PLANKTON</t>
        </is>
      </c>
      <c r="AK1958" t="n">
        <v>9</v>
      </c>
      <c r="AL1958" t="inlineStr">
        <is>
          <t>Miss Glam Jambi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KOJIE SAN</t>
        </is>
      </c>
      <c r="B1959" s="2">
        <f>"4809014128030"</f>
        <v/>
      </c>
      <c r="C1959" t="inlineStr">
        <is>
          <t>KOJIE SAN Skin Lightening Body Lotion 100gr</t>
        </is>
      </c>
      <c r="D1959" t="inlineStr">
        <is>
          <t>Miss Glam Jambi</t>
        </is>
      </c>
      <c r="E1959" t="n">
        <v>2</v>
      </c>
      <c r="F1959" t="n">
        <v>0.0165</v>
      </c>
      <c r="G1959" t="n">
        <v>0.33</v>
      </c>
      <c r="H1959" t="n">
        <v>5</v>
      </c>
      <c r="I1959" t="n">
        <v>11</v>
      </c>
      <c r="J1959" t="n">
        <v>3</v>
      </c>
      <c r="K1959" t="n">
        <v>0</v>
      </c>
      <c r="L1959" t="n">
        <v>54087</v>
      </c>
      <c r="M1959" t="n">
        <v>68000</v>
      </c>
      <c r="N1959" t="n">
        <v>33</v>
      </c>
      <c r="O1959" t="n">
        <v>0.33</v>
      </c>
      <c r="P1959" t="n">
        <v>1</v>
      </c>
      <c r="Q1959" t="n">
        <v>0.02</v>
      </c>
      <c r="R1959" t="n">
        <v>1</v>
      </c>
      <c r="S1959" t="n">
        <v>1122</v>
      </c>
      <c r="T1959" t="n">
        <v>4</v>
      </c>
      <c r="U1959" t="n">
        <v>5</v>
      </c>
      <c r="V1959" t="n">
        <v>30</v>
      </c>
      <c r="W1959" t="n">
        <v>1</v>
      </c>
      <c r="X1959" t="n">
        <v>121.2121212121212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12472</v>
      </c>
      <c r="AG1959" t="n">
        <v>3502</v>
      </c>
      <c r="AH1959" t="inlineStr">
        <is>
          <t>PT. SAI - PPN (PDG)</t>
        </is>
      </c>
      <c r="AI1959" t="n">
        <v>92</v>
      </c>
      <c r="AJ1959" t="inlineStr">
        <is>
          <t>KOJIE SAN</t>
        </is>
      </c>
      <c r="AK1959" t="n">
        <v>9</v>
      </c>
      <c r="AL1959" t="inlineStr">
        <is>
          <t>Miss Glam Jambi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KOJIE SAN</t>
        </is>
      </c>
      <c r="B1960" s="2">
        <f>"4806520412882"</f>
        <v/>
      </c>
      <c r="C1960" t="inlineStr">
        <is>
          <t>KOJIE SAN Skin Lightening Body Wash 300ml</t>
        </is>
      </c>
      <c r="D1960" t="inlineStr">
        <is>
          <t>Miss Glam Jambi</t>
        </is>
      </c>
      <c r="E1960" t="n">
        <v>5</v>
      </c>
      <c r="F1960" t="n">
        <v>0.03</v>
      </c>
      <c r="G1960" t="n">
        <v>1</v>
      </c>
      <c r="H1960" t="n">
        <v>5</v>
      </c>
      <c r="I1960" t="n">
        <v>11</v>
      </c>
      <c r="J1960" t="n">
        <v>3</v>
      </c>
      <c r="K1960" t="n">
        <v>0</v>
      </c>
      <c r="L1960" t="n">
        <v>75561</v>
      </c>
      <c r="M1960" t="n">
        <v>97000</v>
      </c>
      <c r="N1960" t="n">
        <v>33</v>
      </c>
      <c r="O1960" t="n">
        <v>0.33</v>
      </c>
      <c r="P1960" t="n">
        <v>0</v>
      </c>
      <c r="Q1960" t="n">
        <v>0.03</v>
      </c>
      <c r="R1960" t="n">
        <v>1</v>
      </c>
      <c r="S1960" t="n">
        <v>2910</v>
      </c>
      <c r="T1960" t="n">
        <v>11</v>
      </c>
      <c r="U1960" t="n">
        <v>12</v>
      </c>
      <c r="V1960" t="n">
        <v>30</v>
      </c>
      <c r="W1960" t="n">
        <v>1</v>
      </c>
      <c r="X1960" t="n">
        <v>166.6666666666667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12472</v>
      </c>
      <c r="AG1960" t="n">
        <v>3502</v>
      </c>
      <c r="AH1960" t="inlineStr">
        <is>
          <t>PT. SAI - PPN (PDG)</t>
        </is>
      </c>
      <c r="AI1960" t="n">
        <v>92</v>
      </c>
      <c r="AJ1960" t="inlineStr">
        <is>
          <t>KOJIE SAN</t>
        </is>
      </c>
      <c r="AK1960" t="n">
        <v>9</v>
      </c>
      <c r="AL1960" t="inlineStr">
        <is>
          <t>Miss Glam Jambi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KOJIE SAN</t>
        </is>
      </c>
      <c r="B1961" s="2">
        <f>"4806520412875"</f>
        <v/>
      </c>
      <c r="C1961" t="inlineStr">
        <is>
          <t>KOJIE SAN Skin Lightening Soap with HydroMoist 135gr</t>
        </is>
      </c>
      <c r="D1961" t="inlineStr">
        <is>
          <t>Miss Glam Jambi</t>
        </is>
      </c>
      <c r="E1961" t="n">
        <v>1</v>
      </c>
      <c r="F1961" t="n">
        <v>0.1749</v>
      </c>
      <c r="G1961" t="n">
        <v>1.32</v>
      </c>
      <c r="H1961" t="n">
        <v>5</v>
      </c>
      <c r="I1961" t="n">
        <v>11</v>
      </c>
      <c r="J1961" t="n">
        <v>3</v>
      </c>
      <c r="K1961" t="n">
        <v>4</v>
      </c>
      <c r="L1961" t="n">
        <v>31887</v>
      </c>
      <c r="M1961" t="n">
        <v>39000</v>
      </c>
      <c r="N1961" t="n">
        <v>33</v>
      </c>
      <c r="O1961" t="n">
        <v>0.33</v>
      </c>
      <c r="P1961" t="n">
        <v>1</v>
      </c>
      <c r="Q1961" t="n">
        <v>0.07000000000000001</v>
      </c>
      <c r="R1961" t="n">
        <v>1</v>
      </c>
      <c r="S1961" t="n">
        <v>6821.100000000001</v>
      </c>
      <c r="T1961" t="n">
        <v>14</v>
      </c>
      <c r="U1961" t="n">
        <v>15</v>
      </c>
      <c r="V1961" t="n">
        <v>30</v>
      </c>
      <c r="W1961" t="n">
        <v>6</v>
      </c>
      <c r="X1961" t="n">
        <v>5.717552887364207</v>
      </c>
      <c r="Y1961" t="n">
        <v>1</v>
      </c>
      <c r="Z1961" t="n">
        <v>1</v>
      </c>
      <c r="AA1961" t="n">
        <v>0</v>
      </c>
      <c r="AB1961" t="n">
        <v>1</v>
      </c>
      <c r="AC1961" t="n">
        <v>3</v>
      </c>
      <c r="AD1961" t="n">
        <v>0</v>
      </c>
      <c r="AE1961" t="n">
        <v>95661</v>
      </c>
      <c r="AF1961" t="n">
        <v>12472</v>
      </c>
      <c r="AG1961" t="n">
        <v>3502</v>
      </c>
      <c r="AH1961" t="inlineStr">
        <is>
          <t>PT. SAI - PPN (PDG)</t>
        </is>
      </c>
      <c r="AI1961" t="n">
        <v>92</v>
      </c>
      <c r="AJ1961" t="inlineStr">
        <is>
          <t>KOJIE SAN</t>
        </is>
      </c>
      <c r="AK1961" t="n">
        <v>9</v>
      </c>
      <c r="AL1961" t="inlineStr">
        <is>
          <t>Miss Glam Jambi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KOJIE SAN</t>
        </is>
      </c>
      <c r="B1962" s="2">
        <f>"4806520412868"</f>
        <v/>
      </c>
      <c r="C1962" t="inlineStr">
        <is>
          <t>KOJIE SAN Skin Lightening Soap With HydroMoist 65gr</t>
        </is>
      </c>
      <c r="D1962" t="inlineStr">
        <is>
          <t>Miss Glam Jambi</t>
        </is>
      </c>
      <c r="E1962" t="n">
        <v>10</v>
      </c>
      <c r="F1962" t="n">
        <v>0.4488</v>
      </c>
      <c r="G1962" t="n">
        <v>1.65</v>
      </c>
      <c r="H1962" t="n">
        <v>5</v>
      </c>
      <c r="I1962" t="n">
        <v>11</v>
      </c>
      <c r="J1962" t="n">
        <v>3</v>
      </c>
      <c r="K1962" t="n">
        <v>4</v>
      </c>
      <c r="L1962" t="n">
        <v>15727</v>
      </c>
      <c r="M1962" t="n">
        <v>19500</v>
      </c>
      <c r="N1962" t="n">
        <v>33</v>
      </c>
      <c r="O1962" t="n">
        <v>0.33</v>
      </c>
      <c r="P1962" t="n">
        <v>1</v>
      </c>
      <c r="Q1962" t="n">
        <v>0.14</v>
      </c>
      <c r="R1962" t="n">
        <v>3</v>
      </c>
      <c r="S1962" t="n">
        <v>8751.6</v>
      </c>
      <c r="T1962" t="n">
        <v>16</v>
      </c>
      <c r="U1962" t="n">
        <v>19</v>
      </c>
      <c r="V1962" t="n">
        <v>30</v>
      </c>
      <c r="W1962" t="n">
        <v>14</v>
      </c>
      <c r="X1962" t="n">
        <v>22.28163992869875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12472</v>
      </c>
      <c r="AG1962" t="n">
        <v>3502</v>
      </c>
      <c r="AH1962" t="inlineStr">
        <is>
          <t>PT. SAI - PPN (PDG)</t>
        </is>
      </c>
      <c r="AI1962" t="n">
        <v>92</v>
      </c>
      <c r="AJ1962" t="inlineStr">
        <is>
          <t>KOJIE SAN</t>
        </is>
      </c>
      <c r="AK1962" t="n">
        <v>9</v>
      </c>
      <c r="AL1962" t="inlineStr">
        <is>
          <t>Miss Glam Jambi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KOJIE SAN</t>
        </is>
      </c>
      <c r="B1963" s="2">
        <f>"4809014128009"</f>
        <v/>
      </c>
      <c r="C1963" t="inlineStr">
        <is>
          <t>KOJIESAN Dream White Anti Aging Soap 135gr</t>
        </is>
      </c>
      <c r="D1963" t="inlineStr">
        <is>
          <t>Miss Glam Jambi</t>
        </is>
      </c>
      <c r="E1963" t="n">
        <v>1</v>
      </c>
      <c r="F1963" t="n">
        <v>0.0495</v>
      </c>
      <c r="G1963" t="n">
        <v>0.99</v>
      </c>
      <c r="H1963" t="n">
        <v>5</v>
      </c>
      <c r="I1963" t="n">
        <v>11</v>
      </c>
      <c r="J1963" t="n">
        <v>3</v>
      </c>
      <c r="K1963" t="n">
        <v>3</v>
      </c>
      <c r="L1963" t="n">
        <v>29466</v>
      </c>
      <c r="M1963" t="n">
        <v>35000</v>
      </c>
      <c r="N1963" t="n">
        <v>33</v>
      </c>
      <c r="O1963" t="n">
        <v>0.33</v>
      </c>
      <c r="P1963" t="n">
        <v>1</v>
      </c>
      <c r="Q1963" t="n">
        <v>0.03</v>
      </c>
      <c r="R1963" t="n">
        <v>1</v>
      </c>
      <c r="S1963" t="n">
        <v>1732.5</v>
      </c>
      <c r="T1963" t="n">
        <v>11</v>
      </c>
      <c r="U1963" t="n">
        <v>12</v>
      </c>
      <c r="V1963" t="n">
        <v>30</v>
      </c>
      <c r="W1963" t="n">
        <v>2</v>
      </c>
      <c r="X1963" t="n">
        <v>20.2020202020202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12472</v>
      </c>
      <c r="AG1963" t="n">
        <v>3502</v>
      </c>
      <c r="AH1963" t="inlineStr">
        <is>
          <t>PT. SAI - PPN (PDG)</t>
        </is>
      </c>
      <c r="AI1963" t="n">
        <v>92</v>
      </c>
      <c r="AJ1963" t="inlineStr">
        <is>
          <t>KOJIE SAN</t>
        </is>
      </c>
      <c r="AK1963" t="n">
        <v>9</v>
      </c>
      <c r="AL1963" t="inlineStr">
        <is>
          <t>Miss Glam Jambi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KOJIE SAN</t>
        </is>
      </c>
      <c r="B1964" s="2">
        <f>"4809013300451"</f>
        <v/>
      </c>
      <c r="C1964" t="inlineStr">
        <is>
          <t>KOJIESAN Dream White AntiAging Soap 65gr</t>
        </is>
      </c>
      <c r="D1964" t="inlineStr">
        <is>
          <t>Miss Glam Jambi</t>
        </is>
      </c>
      <c r="E1964" t="n">
        <v>6</v>
      </c>
      <c r="F1964" t="n">
        <v>0.02</v>
      </c>
      <c r="G1964" t="n">
        <v>1</v>
      </c>
      <c r="H1964" t="n">
        <v>5</v>
      </c>
      <c r="I1964" t="n">
        <v>11</v>
      </c>
      <c r="J1964" t="n">
        <v>3</v>
      </c>
      <c r="K1964" t="n">
        <v>0</v>
      </c>
      <c r="L1964" t="n">
        <v>15742</v>
      </c>
      <c r="M1964" t="n">
        <v>20000</v>
      </c>
      <c r="N1964" t="n">
        <v>33</v>
      </c>
      <c r="O1964" t="n">
        <v>0.33</v>
      </c>
      <c r="P1964" t="n">
        <v>0</v>
      </c>
      <c r="Q1964" t="n">
        <v>0.02</v>
      </c>
      <c r="R1964" t="n">
        <v>1</v>
      </c>
      <c r="S1964" t="n">
        <v>400</v>
      </c>
      <c r="T1964" t="n">
        <v>11</v>
      </c>
      <c r="U1964" t="n">
        <v>12</v>
      </c>
      <c r="V1964" t="n">
        <v>30</v>
      </c>
      <c r="W1964" t="n">
        <v>1</v>
      </c>
      <c r="X1964" t="n">
        <v>300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12472</v>
      </c>
      <c r="AG1964" t="n">
        <v>3502</v>
      </c>
      <c r="AH1964" t="inlineStr">
        <is>
          <t>PT. SAI - PPN (PDG)</t>
        </is>
      </c>
      <c r="AI1964" t="n">
        <v>92</v>
      </c>
      <c r="AJ1964" t="inlineStr">
        <is>
          <t>KOJIE SAN</t>
        </is>
      </c>
      <c r="AK1964" t="n">
        <v>9</v>
      </c>
      <c r="AL1964" t="inlineStr">
        <is>
          <t>Miss Glam Jambi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KOJIE SAN</t>
        </is>
      </c>
      <c r="B1965" s="2">
        <f>"4806520410994"</f>
        <v/>
      </c>
      <c r="C1965" t="inlineStr">
        <is>
          <t>KOJIESAN Kojic Acid Soap Travel Pack 4x30gr</t>
        </is>
      </c>
      <c r="D1965" t="inlineStr">
        <is>
          <t>Miss Glam Jambi</t>
        </is>
      </c>
      <c r="E1965" t="n">
        <v>5</v>
      </c>
      <c r="F1965" t="n">
        <v>0.3135</v>
      </c>
      <c r="G1965" t="n">
        <v>0.99</v>
      </c>
      <c r="H1965" t="n">
        <v>5</v>
      </c>
      <c r="I1965" t="n">
        <v>11</v>
      </c>
      <c r="J1965" t="n">
        <v>3</v>
      </c>
      <c r="K1965" t="n">
        <v>5</v>
      </c>
      <c r="L1965" t="n">
        <v>24218</v>
      </c>
      <c r="M1965" t="n">
        <v>28500</v>
      </c>
      <c r="N1965" t="n">
        <v>33</v>
      </c>
      <c r="O1965" t="n">
        <v>0.33</v>
      </c>
      <c r="P1965" t="n">
        <v>1</v>
      </c>
      <c r="Q1965" t="n">
        <v>0.15</v>
      </c>
      <c r="R1965" t="n">
        <v>2</v>
      </c>
      <c r="S1965" t="n">
        <v>8934.75</v>
      </c>
      <c r="T1965" t="n">
        <v>10</v>
      </c>
      <c r="U1965" t="n">
        <v>12</v>
      </c>
      <c r="V1965" t="n">
        <v>30</v>
      </c>
      <c r="W1965" t="n">
        <v>10</v>
      </c>
      <c r="X1965" t="n">
        <v>15.94896331738437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12472</v>
      </c>
      <c r="AG1965" t="n">
        <v>3502</v>
      </c>
      <c r="AH1965" t="inlineStr">
        <is>
          <t>PT. SAI - PPN (PDG)</t>
        </is>
      </c>
      <c r="AI1965" t="n">
        <v>92</v>
      </c>
      <c r="AJ1965" t="inlineStr">
        <is>
          <t>KOJIE SAN</t>
        </is>
      </c>
      <c r="AK1965" t="n">
        <v>9</v>
      </c>
      <c r="AL1965" t="inlineStr">
        <is>
          <t>Miss Glam Jambi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KOJIE SAN</t>
        </is>
      </c>
      <c r="B1966" s="2">
        <f>"4809014128399"</f>
        <v/>
      </c>
      <c r="C1966" t="inlineStr">
        <is>
          <t>KOJIESAN Lightening Soap 45gr</t>
        </is>
      </c>
      <c r="D1966" t="inlineStr">
        <is>
          <t>Miss Glam Jambi</t>
        </is>
      </c>
      <c r="E1966" t="n">
        <v>4</v>
      </c>
      <c r="F1966" t="n">
        <v>0.3465</v>
      </c>
      <c r="G1966" t="n">
        <v>1.32</v>
      </c>
      <c r="H1966" t="n">
        <v>5</v>
      </c>
      <c r="I1966" t="n">
        <v>11</v>
      </c>
      <c r="J1966" t="n">
        <v>3</v>
      </c>
      <c r="K1966" t="n">
        <v>7</v>
      </c>
      <c r="L1966" t="n">
        <v>11504</v>
      </c>
      <c r="M1966" t="n">
        <v>15000</v>
      </c>
      <c r="N1966" t="n">
        <v>33</v>
      </c>
      <c r="O1966" t="n">
        <v>0.33</v>
      </c>
      <c r="P1966" t="n">
        <v>1</v>
      </c>
      <c r="Q1966" t="n">
        <v>0.03</v>
      </c>
      <c r="R1966" t="n">
        <v>1</v>
      </c>
      <c r="S1966" t="n">
        <v>5197.5</v>
      </c>
      <c r="T1966" t="n">
        <v>13</v>
      </c>
      <c r="U1966" t="n">
        <v>15</v>
      </c>
      <c r="V1966" t="n">
        <v>30</v>
      </c>
      <c r="W1966" t="n">
        <v>11</v>
      </c>
      <c r="X1966" t="n">
        <v>11.54401154401154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12472</v>
      </c>
      <c r="AG1966" t="n">
        <v>3502</v>
      </c>
      <c r="AH1966" t="inlineStr">
        <is>
          <t>PT. SAI - PPN (PDG)</t>
        </is>
      </c>
      <c r="AI1966" t="n">
        <v>92</v>
      </c>
      <c r="AJ1966" t="inlineStr">
        <is>
          <t>KOJIE SAN</t>
        </is>
      </c>
      <c r="AK1966" t="n">
        <v>9</v>
      </c>
      <c r="AL1966" t="inlineStr">
        <is>
          <t>Miss Glam Jambi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KOJIE SAN</t>
        </is>
      </c>
      <c r="B1967" s="2">
        <f>"4806520410444"</f>
        <v/>
      </c>
      <c r="C1967" t="inlineStr">
        <is>
          <t>KOJIESAN Skin Lightening Soap 135gr</t>
        </is>
      </c>
      <c r="D1967" t="inlineStr">
        <is>
          <t>Miss Glam Jambi</t>
        </is>
      </c>
      <c r="E1967" t="n">
        <v>10</v>
      </c>
      <c r="F1967" t="n">
        <v>0.3201</v>
      </c>
      <c r="G1967" t="n">
        <v>1.65</v>
      </c>
      <c r="H1967" t="n">
        <v>5</v>
      </c>
      <c r="I1967" t="n">
        <v>11</v>
      </c>
      <c r="J1967" t="n">
        <v>3</v>
      </c>
      <c r="K1967" t="n">
        <v>0</v>
      </c>
      <c r="L1967" t="n">
        <v>28658</v>
      </c>
      <c r="M1967" t="n">
        <v>35500</v>
      </c>
      <c r="N1967" t="n">
        <v>33</v>
      </c>
      <c r="O1967" t="n">
        <v>0.33</v>
      </c>
      <c r="P1967" t="n">
        <v>1</v>
      </c>
      <c r="Q1967" t="n">
        <v>0.29</v>
      </c>
      <c r="R1967" t="n">
        <v>5</v>
      </c>
      <c r="S1967" t="n">
        <v>11363.55</v>
      </c>
      <c r="T1967" t="n">
        <v>17</v>
      </c>
      <c r="U1967" t="n">
        <v>19</v>
      </c>
      <c r="V1967" t="n">
        <v>30</v>
      </c>
      <c r="W1967" t="n">
        <v>10</v>
      </c>
      <c r="X1967" t="n">
        <v>31.24023742580444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12472</v>
      </c>
      <c r="AG1967" t="n">
        <v>3502</v>
      </c>
      <c r="AH1967" t="inlineStr">
        <is>
          <t>PT. SAI - PPN (PDG)</t>
        </is>
      </c>
      <c r="AI1967" t="n">
        <v>92</v>
      </c>
      <c r="AJ1967" t="inlineStr">
        <is>
          <t>KOJIE SAN</t>
        </is>
      </c>
      <c r="AK1967" t="n">
        <v>9</v>
      </c>
      <c r="AL1967" t="inlineStr">
        <is>
          <t>Miss Glam Jambi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KOJIE SAN</t>
        </is>
      </c>
      <c r="B1968" s="2">
        <f>"4809013300093"</f>
        <v/>
      </c>
      <c r="C1968" t="inlineStr">
        <is>
          <t>KOJIESAN Skin Lightening Soap 65gr</t>
        </is>
      </c>
      <c r="D1968" t="inlineStr">
        <is>
          <t>Miss Glam Jambi</t>
        </is>
      </c>
      <c r="E1968" t="n">
        <v>15</v>
      </c>
      <c r="F1968" t="n">
        <v>0.7095</v>
      </c>
      <c r="G1968" t="n">
        <v>2.31</v>
      </c>
      <c r="H1968" t="n">
        <v>5</v>
      </c>
      <c r="I1968" t="n">
        <v>11</v>
      </c>
      <c r="J1968" t="n">
        <v>3</v>
      </c>
      <c r="K1968" t="n">
        <v>8</v>
      </c>
      <c r="L1968" t="n">
        <v>14127</v>
      </c>
      <c r="M1968" t="n">
        <v>17500</v>
      </c>
      <c r="N1968" t="n">
        <v>33</v>
      </c>
      <c r="O1968" t="n">
        <v>0.33</v>
      </c>
      <c r="P1968" t="n">
        <v>1</v>
      </c>
      <c r="Q1968" t="n">
        <v>0.5600000000000001</v>
      </c>
      <c r="R1968" t="n">
        <v>4</v>
      </c>
      <c r="S1968" t="n">
        <v>12416.25</v>
      </c>
      <c r="T1968" t="n">
        <v>22</v>
      </c>
      <c r="U1968" t="n">
        <v>26</v>
      </c>
      <c r="V1968" t="n">
        <v>30</v>
      </c>
      <c r="W1968" t="n">
        <v>22</v>
      </c>
      <c r="X1968" t="n">
        <v>21.14164904862579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12472</v>
      </c>
      <c r="AG1968" t="n">
        <v>3502</v>
      </c>
      <c r="AH1968" t="inlineStr">
        <is>
          <t>PT. SAI - PPN (PDG)</t>
        </is>
      </c>
      <c r="AI1968" t="n">
        <v>92</v>
      </c>
      <c r="AJ1968" t="inlineStr">
        <is>
          <t>KOJIE SAN</t>
        </is>
      </c>
      <c r="AK1968" t="n">
        <v>9</v>
      </c>
      <c r="AL1968" t="inlineStr">
        <is>
          <t>Miss Glam Jambi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KOJIESAN SAKURA</t>
        </is>
      </c>
      <c r="B1969" s="2">
        <f>"8997024498642"</f>
        <v/>
      </c>
      <c r="C1969" t="inlineStr">
        <is>
          <t>KOJIESAN SAKURA Body Scrub With Goats Milk 250gr</t>
        </is>
      </c>
      <c r="D1969" t="inlineStr">
        <is>
          <t>Miss Glam Jambi</t>
        </is>
      </c>
      <c r="E1969" t="n">
        <v>12</v>
      </c>
      <c r="F1969" t="n">
        <v>0.033</v>
      </c>
      <c r="G1969" t="n">
        <v>0.33</v>
      </c>
      <c r="H1969" t="n">
        <v>5</v>
      </c>
      <c r="I1969" t="n">
        <v>8</v>
      </c>
      <c r="J1969" t="n">
        <v>3</v>
      </c>
      <c r="K1969" t="n">
        <v>0</v>
      </c>
      <c r="L1969" t="n">
        <v>29330</v>
      </c>
      <c r="M1969" t="n">
        <v>35500</v>
      </c>
      <c r="N1969" t="n">
        <v>33</v>
      </c>
      <c r="O1969" t="n">
        <v>0.33</v>
      </c>
      <c r="P1969" t="n">
        <v>1</v>
      </c>
      <c r="Q1969" t="n">
        <v>0.1</v>
      </c>
      <c r="R1969" t="n">
        <v>4</v>
      </c>
      <c r="S1969" t="n">
        <v>1171.5</v>
      </c>
      <c r="T1969" t="n">
        <v>3</v>
      </c>
      <c r="U1969" t="n">
        <v>4</v>
      </c>
      <c r="V1969" t="n">
        <v>30</v>
      </c>
      <c r="W1969" t="n">
        <v>1</v>
      </c>
      <c r="X1969" t="n">
        <v>363.6363636363636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880</v>
      </c>
      <c r="AG1969" t="n">
        <v>3544</v>
      </c>
      <c r="AH1969" t="inlineStr">
        <is>
          <t>CV. DYCO MAKMUR SENTOSA (JMB)</t>
        </is>
      </c>
      <c r="AI1969" t="n">
        <v>1632</v>
      </c>
      <c r="AJ1969" t="inlineStr">
        <is>
          <t>KOJIESAN SAKURA</t>
        </is>
      </c>
      <c r="AK1969" t="n">
        <v>9</v>
      </c>
      <c r="AL1969" t="inlineStr">
        <is>
          <t>Miss Glam Jambi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KOJIESAN SAKURA</t>
        </is>
      </c>
      <c r="B1970" s="2">
        <f>"8997024498574"</f>
        <v/>
      </c>
      <c r="C1970" t="inlineStr">
        <is>
          <t>KOJIESAN SAKURA Body Scrub With Kojic Acid 250gr</t>
        </is>
      </c>
      <c r="D1970" t="inlineStr">
        <is>
          <t>Miss Glam Jambi</t>
        </is>
      </c>
      <c r="E1970" t="n">
        <v>10</v>
      </c>
      <c r="F1970" t="n">
        <v>0.264</v>
      </c>
      <c r="G1970" t="n">
        <v>0.99</v>
      </c>
      <c r="H1970" t="n">
        <v>5</v>
      </c>
      <c r="I1970" t="n">
        <v>8</v>
      </c>
      <c r="J1970" t="n">
        <v>3</v>
      </c>
      <c r="K1970" t="n">
        <v>0</v>
      </c>
      <c r="L1970" t="n">
        <v>29330</v>
      </c>
      <c r="M1970" t="n">
        <v>35500</v>
      </c>
      <c r="N1970" t="n">
        <v>33</v>
      </c>
      <c r="O1970" t="n">
        <v>0.33</v>
      </c>
      <c r="P1970" t="n">
        <v>1</v>
      </c>
      <c r="Q1970" t="n">
        <v>0.15</v>
      </c>
      <c r="R1970" t="n">
        <v>1</v>
      </c>
      <c r="S1970" t="n">
        <v>9372</v>
      </c>
      <c r="T1970" t="n">
        <v>7</v>
      </c>
      <c r="U1970" t="n">
        <v>9</v>
      </c>
      <c r="V1970" t="n">
        <v>30</v>
      </c>
      <c r="W1970" t="n">
        <v>8</v>
      </c>
      <c r="X1970" t="n">
        <v>37.87878787878788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880</v>
      </c>
      <c r="AG1970" t="n">
        <v>3544</v>
      </c>
      <c r="AH1970" t="inlineStr">
        <is>
          <t>CV. DYCO MAKMUR SENTOSA (JMB)</t>
        </is>
      </c>
      <c r="AI1970" t="n">
        <v>1632</v>
      </c>
      <c r="AJ1970" t="inlineStr">
        <is>
          <t>KOJIESAN SAKURA</t>
        </is>
      </c>
      <c r="AK1970" t="n">
        <v>9</v>
      </c>
      <c r="AL1970" t="inlineStr">
        <is>
          <t>Miss Glam Jambi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KOJIESAN SAKURA</t>
        </is>
      </c>
      <c r="B1971" s="2">
        <f>"8997024498598"</f>
        <v/>
      </c>
      <c r="C1971" t="inlineStr">
        <is>
          <t>KOJIESAN SAKURA Body Wash With Goats Milk 250ml</t>
        </is>
      </c>
      <c r="D1971" t="inlineStr">
        <is>
          <t>Miss Glam Jambi</t>
        </is>
      </c>
      <c r="E1971" t="n">
        <v>7</v>
      </c>
      <c r="F1971" t="n">
        <v>0.0165</v>
      </c>
      <c r="G1971" t="n">
        <v>0.33</v>
      </c>
      <c r="H1971" t="n">
        <v>5</v>
      </c>
      <c r="I1971" t="n">
        <v>8</v>
      </c>
      <c r="J1971" t="n">
        <v>3</v>
      </c>
      <c r="K1971" t="n">
        <v>0</v>
      </c>
      <c r="L1971" t="n">
        <v>29330</v>
      </c>
      <c r="M1971" t="n">
        <v>35500</v>
      </c>
      <c r="N1971" t="n">
        <v>33</v>
      </c>
      <c r="O1971" t="n">
        <v>0.33</v>
      </c>
      <c r="P1971" t="n">
        <v>1</v>
      </c>
      <c r="Q1971" t="n">
        <v>0.03</v>
      </c>
      <c r="R1971" t="n">
        <v>1</v>
      </c>
      <c r="S1971" t="n">
        <v>585.75</v>
      </c>
      <c r="T1971" t="n">
        <v>3</v>
      </c>
      <c r="U1971" t="n">
        <v>4</v>
      </c>
      <c r="V1971" t="n">
        <v>30</v>
      </c>
      <c r="W1971" t="n">
        <v>1</v>
      </c>
      <c r="X1971" t="n">
        <v>424.2424242424242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880</v>
      </c>
      <c r="AG1971" t="n">
        <v>3544</v>
      </c>
      <c r="AH1971" t="inlineStr">
        <is>
          <t>CV. DYCO MAKMUR SENTOSA (JMB)</t>
        </is>
      </c>
      <c r="AI1971" t="n">
        <v>1632</v>
      </c>
      <c r="AJ1971" t="inlineStr">
        <is>
          <t>KOJIESAN SAKURA</t>
        </is>
      </c>
      <c r="AK1971" t="n">
        <v>9</v>
      </c>
      <c r="AL1971" t="inlineStr">
        <is>
          <t>Miss Glam Jambi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KOJIESAN SAKURA</t>
        </is>
      </c>
      <c r="B1972" s="2">
        <f>"8997024498581"</f>
        <v/>
      </c>
      <c r="C1972" t="inlineStr">
        <is>
          <t>KOJIESAN SAKURA Body Wash With Kojic Acid 250ml</t>
        </is>
      </c>
      <c r="D1972" t="inlineStr">
        <is>
          <t>Miss Glam Jambi</t>
        </is>
      </c>
      <c r="E1972" t="n">
        <v>2</v>
      </c>
      <c r="F1972" t="n">
        <v>0.033</v>
      </c>
      <c r="G1972" t="n">
        <v>0.33</v>
      </c>
      <c r="H1972" t="n">
        <v>5</v>
      </c>
      <c r="I1972" t="n">
        <v>8</v>
      </c>
      <c r="J1972" t="n">
        <v>3</v>
      </c>
      <c r="K1972" t="n">
        <v>0</v>
      </c>
      <c r="L1972" t="n">
        <v>29330</v>
      </c>
      <c r="M1972" t="n">
        <v>35500</v>
      </c>
      <c r="N1972" t="n">
        <v>33</v>
      </c>
      <c r="O1972" t="n">
        <v>0.33</v>
      </c>
      <c r="P1972" t="n">
        <v>1</v>
      </c>
      <c r="Q1972" t="n">
        <v>0.03</v>
      </c>
      <c r="R1972" t="n">
        <v>1</v>
      </c>
      <c r="S1972" t="n">
        <v>1171.5</v>
      </c>
      <c r="T1972" t="n">
        <v>3</v>
      </c>
      <c r="U1972" t="n">
        <v>4</v>
      </c>
      <c r="V1972" t="n">
        <v>30</v>
      </c>
      <c r="W1972" t="n">
        <v>1</v>
      </c>
      <c r="X1972" t="n">
        <v>60.6060606060606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880</v>
      </c>
      <c r="AG1972" t="n">
        <v>3544</v>
      </c>
      <c r="AH1972" t="inlineStr">
        <is>
          <t>CV. DYCO MAKMUR SENTOSA (JMB)</t>
        </is>
      </c>
      <c r="AI1972" t="n">
        <v>1632</v>
      </c>
      <c r="AJ1972" t="inlineStr">
        <is>
          <t>KOJIESAN SAKURA</t>
        </is>
      </c>
      <c r="AK1972" t="n">
        <v>9</v>
      </c>
      <c r="AL1972" t="inlineStr">
        <is>
          <t>Miss Glam Jambi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KOJIESAN SAKURA</t>
        </is>
      </c>
      <c r="B1973" s="2">
        <f>"8997024498994"</f>
        <v/>
      </c>
      <c r="C1973" t="inlineStr">
        <is>
          <t>KOJIESAN SAKURA Glow Skin Body Lotion With Glutathione And Niacinamide 250ml</t>
        </is>
      </c>
      <c r="D1973" t="inlineStr">
        <is>
          <t>Miss Glam Jambi</t>
        </is>
      </c>
      <c r="E1973" t="n">
        <v>12</v>
      </c>
      <c r="F1973" t="n">
        <v>0.066</v>
      </c>
      <c r="G1973" t="n">
        <v>0.33</v>
      </c>
      <c r="H1973" t="n">
        <v>5</v>
      </c>
      <c r="I1973" t="n">
        <v>8</v>
      </c>
      <c r="J1973" t="n">
        <v>3</v>
      </c>
      <c r="K1973" t="n">
        <v>0</v>
      </c>
      <c r="L1973" t="n">
        <v>29330</v>
      </c>
      <c r="M1973" t="n">
        <v>35500</v>
      </c>
      <c r="N1973" t="n">
        <v>33</v>
      </c>
      <c r="O1973" t="n">
        <v>0.33</v>
      </c>
      <c r="P1973" t="n">
        <v>1</v>
      </c>
      <c r="Q1973" t="n">
        <v>0.02</v>
      </c>
      <c r="R1973" t="n">
        <v>0</v>
      </c>
      <c r="S1973" t="n">
        <v>2343</v>
      </c>
      <c r="T1973" t="n">
        <v>3</v>
      </c>
      <c r="U1973" t="n">
        <v>4</v>
      </c>
      <c r="V1973" t="n">
        <v>30</v>
      </c>
      <c r="W1973" t="n">
        <v>2</v>
      </c>
      <c r="X1973" t="n">
        <v>181.8181818181818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880</v>
      </c>
      <c r="AG1973" t="n">
        <v>3544</v>
      </c>
      <c r="AH1973" t="inlineStr">
        <is>
          <t>CV. DYCO MAKMUR SENTOSA (JMB)</t>
        </is>
      </c>
      <c r="AI1973" t="n">
        <v>1632</v>
      </c>
      <c r="AJ1973" t="inlineStr">
        <is>
          <t>KOJIESAN SAKURA</t>
        </is>
      </c>
      <c r="AK1973" t="n">
        <v>9</v>
      </c>
      <c r="AL1973" t="inlineStr">
        <is>
          <t>Miss Glam Jambi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KOJIESAN SAKURA</t>
        </is>
      </c>
      <c r="B1974" s="2">
        <f>"8997024499007"</f>
        <v/>
      </c>
      <c r="C1974" t="inlineStr">
        <is>
          <t>KOJIESAN SAKURA Glow Skin Body Scrub With Glutathione And Niacinamide 250gr</t>
        </is>
      </c>
      <c r="D1974" t="inlineStr">
        <is>
          <t>Miss Glam Jambi</t>
        </is>
      </c>
      <c r="E1974" t="n">
        <v>9</v>
      </c>
      <c r="F1974" t="n">
        <v>0.1353</v>
      </c>
      <c r="G1974" t="n">
        <v>0.99</v>
      </c>
      <c r="H1974" t="n">
        <v>5</v>
      </c>
      <c r="I1974" t="n">
        <v>8</v>
      </c>
      <c r="J1974" t="n">
        <v>3</v>
      </c>
      <c r="K1974" t="n">
        <v>0</v>
      </c>
      <c r="L1974" t="n">
        <v>29330</v>
      </c>
      <c r="M1974" t="n">
        <v>35500</v>
      </c>
      <c r="N1974" t="n">
        <v>33</v>
      </c>
      <c r="O1974" t="n">
        <v>0.33</v>
      </c>
      <c r="P1974" t="n">
        <v>1</v>
      </c>
      <c r="Q1974" t="n">
        <v>0.05</v>
      </c>
      <c r="R1974" t="n">
        <v>1</v>
      </c>
      <c r="S1974" t="n">
        <v>4803.150000000001</v>
      </c>
      <c r="T1974" t="n">
        <v>8</v>
      </c>
      <c r="U1974" t="n">
        <v>9</v>
      </c>
      <c r="V1974" t="n">
        <v>30</v>
      </c>
      <c r="W1974" t="n">
        <v>5</v>
      </c>
      <c r="X1974" t="n">
        <v>66.51884700665188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880</v>
      </c>
      <c r="AG1974" t="n">
        <v>3544</v>
      </c>
      <c r="AH1974" t="inlineStr">
        <is>
          <t>CV. DYCO MAKMUR SENTOSA (JMB)</t>
        </is>
      </c>
      <c r="AI1974" t="n">
        <v>1632</v>
      </c>
      <c r="AJ1974" t="inlineStr">
        <is>
          <t>KOJIESAN SAKURA</t>
        </is>
      </c>
      <c r="AK1974" t="n">
        <v>9</v>
      </c>
      <c r="AL1974" t="inlineStr">
        <is>
          <t>Miss Glam Jambi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KOJIESAN SAKURA</t>
        </is>
      </c>
      <c r="B1975" s="2">
        <f>"8997024499014"</f>
        <v/>
      </c>
      <c r="C1975" t="inlineStr">
        <is>
          <t>KOJIESAN SAKURA Glow Skin Body Wash With Glutathione And Niacinamide 250ml</t>
        </is>
      </c>
      <c r="D1975" t="inlineStr">
        <is>
          <t>Miss Glam Jambi</t>
        </is>
      </c>
      <c r="E1975" t="n">
        <v>13</v>
      </c>
      <c r="F1975" t="n">
        <v>0.08910000000000001</v>
      </c>
      <c r="G1975" t="n">
        <v>0.66</v>
      </c>
      <c r="H1975" t="n">
        <v>5</v>
      </c>
      <c r="I1975" t="n">
        <v>8</v>
      </c>
      <c r="J1975" t="n">
        <v>3</v>
      </c>
      <c r="K1975" t="n">
        <v>0</v>
      </c>
      <c r="L1975" t="n">
        <v>29330</v>
      </c>
      <c r="M1975" t="n">
        <v>35500</v>
      </c>
      <c r="N1975" t="n">
        <v>33</v>
      </c>
      <c r="O1975" t="n">
        <v>0.33</v>
      </c>
      <c r="P1975" t="n">
        <v>1</v>
      </c>
      <c r="Q1975" t="n">
        <v>0.14</v>
      </c>
      <c r="R1975" t="n">
        <v>2</v>
      </c>
      <c r="S1975" t="n">
        <v>3163.050000000001</v>
      </c>
      <c r="T1975" t="n">
        <v>5</v>
      </c>
      <c r="U1975" t="n">
        <v>6</v>
      </c>
      <c r="V1975" t="n">
        <v>30</v>
      </c>
      <c r="W1975" t="n">
        <v>3</v>
      </c>
      <c r="X1975" t="n">
        <v>145.9034792368126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880</v>
      </c>
      <c r="AG1975" t="n">
        <v>3544</v>
      </c>
      <c r="AH1975" t="inlineStr">
        <is>
          <t>CV. DYCO MAKMUR SENTOSA (JMB)</t>
        </is>
      </c>
      <c r="AI1975" t="n">
        <v>1632</v>
      </c>
      <c r="AJ1975" t="inlineStr">
        <is>
          <t>KOJIESAN SAKURA</t>
        </is>
      </c>
      <c r="AK1975" t="n">
        <v>9</v>
      </c>
      <c r="AL1975" t="inlineStr">
        <is>
          <t>Miss Glam Jambi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KOJIESAN SAKURA</t>
        </is>
      </c>
      <c r="B1976" s="2">
        <f>"8997024498628"</f>
        <v/>
      </c>
      <c r="C1976" t="inlineStr">
        <is>
          <t>KOJIESAN SAKURA Glow Skin Transparant Soap 135gr</t>
        </is>
      </c>
      <c r="D1976" t="inlineStr">
        <is>
          <t>Miss Glam Jambi</t>
        </is>
      </c>
      <c r="E1976" t="n">
        <v>13</v>
      </c>
      <c r="F1976" t="n">
        <v>0.0726</v>
      </c>
      <c r="G1976" t="n">
        <v>0.66</v>
      </c>
      <c r="H1976" t="n">
        <v>5</v>
      </c>
      <c r="I1976" t="n">
        <v>8</v>
      </c>
      <c r="J1976" t="n">
        <v>3</v>
      </c>
      <c r="K1976" t="n">
        <v>0</v>
      </c>
      <c r="L1976" t="n">
        <v>22220</v>
      </c>
      <c r="M1976" t="n">
        <v>27000</v>
      </c>
      <c r="N1976" t="n">
        <v>33</v>
      </c>
      <c r="O1976" t="n">
        <v>0.33</v>
      </c>
      <c r="P1976" t="n">
        <v>1</v>
      </c>
      <c r="Q1976" t="n">
        <v>0.03</v>
      </c>
      <c r="R1976" t="n">
        <v>1</v>
      </c>
      <c r="S1976" t="n">
        <v>1960.2</v>
      </c>
      <c r="T1976" t="n">
        <v>5</v>
      </c>
      <c r="U1976" t="n">
        <v>6</v>
      </c>
      <c r="V1976" t="n">
        <v>30</v>
      </c>
      <c r="W1976" t="n">
        <v>3</v>
      </c>
      <c r="X1976" t="n">
        <v>179.0633608815427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880</v>
      </c>
      <c r="AG1976" t="n">
        <v>3544</v>
      </c>
      <c r="AH1976" t="inlineStr">
        <is>
          <t>CV. DYCO MAKMUR SENTOSA (JMB)</t>
        </is>
      </c>
      <c r="AI1976" t="n">
        <v>1632</v>
      </c>
      <c r="AJ1976" t="inlineStr">
        <is>
          <t>KOJIESAN SAKURA</t>
        </is>
      </c>
      <c r="AK1976" t="n">
        <v>9</v>
      </c>
      <c r="AL1976" t="inlineStr">
        <is>
          <t>Miss Glam Jambi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KOJIESAN SAKURA</t>
        </is>
      </c>
      <c r="B1977" s="2">
        <f>"8997024498536"</f>
        <v/>
      </c>
      <c r="C1977" t="inlineStr">
        <is>
          <t>KOJIESAN SAKURA Goats Milk Soap 135gr</t>
        </is>
      </c>
      <c r="D1977" t="inlineStr">
        <is>
          <t>Miss Glam Jambi</t>
        </is>
      </c>
      <c r="E1977" t="n">
        <v>3</v>
      </c>
      <c r="F1977" t="n">
        <v>0.0495</v>
      </c>
      <c r="G1977" t="n">
        <v>1.32</v>
      </c>
      <c r="H1977" t="n">
        <v>5</v>
      </c>
      <c r="I1977" t="n">
        <v>8</v>
      </c>
      <c r="J1977" t="n">
        <v>3</v>
      </c>
      <c r="K1977" t="n">
        <v>0</v>
      </c>
      <c r="L1977" t="n">
        <v>22220</v>
      </c>
      <c r="M1977" t="n">
        <v>27000</v>
      </c>
      <c r="N1977" t="n">
        <v>33</v>
      </c>
      <c r="O1977" t="n">
        <v>0.33</v>
      </c>
      <c r="P1977" t="n">
        <v>1</v>
      </c>
      <c r="Q1977" t="n">
        <v>0.03</v>
      </c>
      <c r="R1977" t="n">
        <v>1</v>
      </c>
      <c r="S1977" t="n">
        <v>1336.5</v>
      </c>
      <c r="T1977" t="n">
        <v>11</v>
      </c>
      <c r="U1977" t="n">
        <v>12</v>
      </c>
      <c r="V1977" t="n">
        <v>30</v>
      </c>
      <c r="W1977" t="n">
        <v>2</v>
      </c>
      <c r="X1977" t="n">
        <v>60.6060606060606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880</v>
      </c>
      <c r="AG1977" t="n">
        <v>3544</v>
      </c>
      <c r="AH1977" t="inlineStr">
        <is>
          <t>CV. DYCO MAKMUR SENTOSA (JMB)</t>
        </is>
      </c>
      <c r="AI1977" t="n">
        <v>1632</v>
      </c>
      <c r="AJ1977" t="inlineStr">
        <is>
          <t>KOJIESAN SAKURA</t>
        </is>
      </c>
      <c r="AK1977" t="n">
        <v>9</v>
      </c>
      <c r="AL1977" t="inlineStr">
        <is>
          <t>Miss Glam Jambi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KOJIESAN SAKURA</t>
        </is>
      </c>
      <c r="B1978" s="2">
        <f>"10100825033"</f>
        <v/>
      </c>
      <c r="C1978" t="inlineStr">
        <is>
          <t>KOJIESAN SAKURA Kojic Acne Guard Bar Soap 40gr</t>
        </is>
      </c>
      <c r="D1978" t="inlineStr">
        <is>
          <t>Miss Glam Jambi</t>
        </is>
      </c>
      <c r="E1978" t="n">
        <v>3</v>
      </c>
      <c r="F1978" t="n">
        <v>0.0231</v>
      </c>
      <c r="G1978" t="n">
        <v>0.33</v>
      </c>
      <c r="H1978" t="n">
        <v>5</v>
      </c>
      <c r="I1978" t="n">
        <v>8</v>
      </c>
      <c r="J1978" t="n">
        <v>1</v>
      </c>
      <c r="K1978" t="n">
        <v>0</v>
      </c>
      <c r="L1978" t="n">
        <v>18000</v>
      </c>
      <c r="M1978" t="n">
        <v>22500</v>
      </c>
      <c r="N1978" t="n">
        <v>33</v>
      </c>
      <c r="O1978" t="n">
        <v>0.33</v>
      </c>
      <c r="P1978" t="n">
        <v>1</v>
      </c>
      <c r="Q1978" t="n">
        <v>0.02</v>
      </c>
      <c r="R1978" t="n">
        <v>1</v>
      </c>
      <c r="S1978" t="n">
        <v>519.75</v>
      </c>
      <c r="T1978" t="n">
        <v>3</v>
      </c>
      <c r="U1978" t="n">
        <v>4</v>
      </c>
      <c r="V1978" t="n">
        <v>30</v>
      </c>
      <c r="W1978" t="n">
        <v>1</v>
      </c>
      <c r="X1978" t="n">
        <v>129.8701298701299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880</v>
      </c>
      <c r="AG1978" t="n">
        <v>3544</v>
      </c>
      <c r="AH1978" t="inlineStr">
        <is>
          <t>CV. DYCO MAKMUR SENTOSA (JMB)</t>
        </is>
      </c>
      <c r="AI1978" t="n">
        <v>1632</v>
      </c>
      <c r="AJ1978" t="inlineStr">
        <is>
          <t>KOJIESAN SAKURA</t>
        </is>
      </c>
      <c r="AK1978" t="n">
        <v>9</v>
      </c>
      <c r="AL1978" t="inlineStr">
        <is>
          <t>Miss Glam Jambi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KOJIESAN SAKURA</t>
        </is>
      </c>
      <c r="B1979" s="2">
        <f>"8997024498529"</f>
        <v/>
      </c>
      <c r="C1979" t="inlineStr">
        <is>
          <t>KOJIESAN SAKURA Kojic Dipalmitate Soap 135gr</t>
        </is>
      </c>
      <c r="D1979" t="inlineStr">
        <is>
          <t>Miss Glam Jambi</t>
        </is>
      </c>
      <c r="E1979" t="n">
        <v>7</v>
      </c>
      <c r="F1979" t="n">
        <v>0.1122</v>
      </c>
      <c r="G1979" t="n">
        <v>0.66</v>
      </c>
      <c r="H1979" t="n">
        <v>5</v>
      </c>
      <c r="I1979" t="n">
        <v>8</v>
      </c>
      <c r="J1979" t="n">
        <v>12</v>
      </c>
      <c r="K1979" t="n">
        <v>0</v>
      </c>
      <c r="L1979" t="n">
        <v>22220</v>
      </c>
      <c r="M1979" t="n">
        <v>27000</v>
      </c>
      <c r="N1979" t="n">
        <v>33</v>
      </c>
      <c r="O1979" t="n">
        <v>0.33</v>
      </c>
      <c r="P1979" t="n">
        <v>1</v>
      </c>
      <c r="Q1979" t="n">
        <v>0.1</v>
      </c>
      <c r="R1979" t="n">
        <v>2</v>
      </c>
      <c r="S1979" t="n">
        <v>3029.4</v>
      </c>
      <c r="T1979" t="n">
        <v>5</v>
      </c>
      <c r="U1979" t="n">
        <v>6</v>
      </c>
      <c r="V1979" t="n">
        <v>30</v>
      </c>
      <c r="W1979" t="n">
        <v>4</v>
      </c>
      <c r="X1979" t="n">
        <v>62.3885918003565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880</v>
      </c>
      <c r="AG1979" t="n">
        <v>3544</v>
      </c>
      <c r="AH1979" t="inlineStr">
        <is>
          <t>CV. DYCO MAKMUR SENTOSA (JMB)</t>
        </is>
      </c>
      <c r="AI1979" t="n">
        <v>1632</v>
      </c>
      <c r="AJ1979" t="inlineStr">
        <is>
          <t>KOJIESAN SAKURA</t>
        </is>
      </c>
      <c r="AK1979" t="n">
        <v>9</v>
      </c>
      <c r="AL1979" t="inlineStr">
        <is>
          <t>Miss Glam Jambi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KOJIESAN SAKURA</t>
        </is>
      </c>
      <c r="B1980" s="2">
        <f>"10100824953"</f>
        <v/>
      </c>
      <c r="C1980" t="inlineStr">
        <is>
          <t>KOJIESAN SAKURA Kojic Moisture Glow Bar 40gr</t>
        </is>
      </c>
      <c r="D1980" t="inlineStr">
        <is>
          <t>Miss Glam Jambi</t>
        </is>
      </c>
      <c r="E1980" t="n">
        <v>3</v>
      </c>
      <c r="F1980" t="n">
        <v>0.009900000000000001</v>
      </c>
      <c r="G1980" t="n">
        <v>0.33</v>
      </c>
      <c r="H1980" t="n">
        <v>5</v>
      </c>
      <c r="I1980" t="n">
        <v>8</v>
      </c>
      <c r="J1980" t="n">
        <v>1</v>
      </c>
      <c r="K1980" t="n">
        <v>0</v>
      </c>
      <c r="L1980" t="n">
        <v>18000</v>
      </c>
      <c r="M1980" t="n">
        <v>22500</v>
      </c>
      <c r="N1980" t="n">
        <v>33</v>
      </c>
      <c r="O1980" t="n">
        <v>0.33</v>
      </c>
      <c r="P1980" t="n">
        <v>1</v>
      </c>
      <c r="Q1980" t="n">
        <v>0.05</v>
      </c>
      <c r="R1980" t="n">
        <v>1</v>
      </c>
      <c r="S1980" t="n">
        <v>222.75</v>
      </c>
      <c r="T1980" t="n">
        <v>3</v>
      </c>
      <c r="U1980" t="n">
        <v>4</v>
      </c>
      <c r="V1980" t="n">
        <v>30</v>
      </c>
      <c r="W1980" t="n">
        <v>1</v>
      </c>
      <c r="X1980" t="n">
        <v>303.030303030303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880</v>
      </c>
      <c r="AG1980" t="n">
        <v>3544</v>
      </c>
      <c r="AH1980" t="inlineStr">
        <is>
          <t>CV. DYCO MAKMUR SENTOSA (JMB)</t>
        </is>
      </c>
      <c r="AI1980" t="n">
        <v>1632</v>
      </c>
      <c r="AJ1980" t="inlineStr">
        <is>
          <t>KOJIESAN SAKURA</t>
        </is>
      </c>
      <c r="AK1980" t="n">
        <v>9</v>
      </c>
      <c r="AL1980" t="inlineStr">
        <is>
          <t>Miss Glam Jambi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KOJIESAN SAKURA</t>
        </is>
      </c>
      <c r="B1981" s="2">
        <f>"8997024498376"</f>
        <v/>
      </c>
      <c r="C1981" t="inlineStr">
        <is>
          <t>KOJIESAN SAKURA Skin Brightening Soap With Kojic Dipalmitate 65gr</t>
        </is>
      </c>
      <c r="D1981" t="inlineStr">
        <is>
          <t>Miss Glam Jambi</t>
        </is>
      </c>
      <c r="E1981" t="n">
        <v>7</v>
      </c>
      <c r="F1981" t="n">
        <v>0.5577</v>
      </c>
      <c r="G1981" t="n">
        <v>3.3</v>
      </c>
      <c r="H1981" t="n">
        <v>5</v>
      </c>
      <c r="I1981" t="n">
        <v>8</v>
      </c>
      <c r="J1981" t="n">
        <v>3</v>
      </c>
      <c r="K1981" t="n">
        <v>0</v>
      </c>
      <c r="L1981" t="n">
        <v>11110</v>
      </c>
      <c r="M1981" t="n">
        <v>13500</v>
      </c>
      <c r="N1981" t="n">
        <v>33</v>
      </c>
      <c r="O1981" t="n">
        <v>0.33</v>
      </c>
      <c r="P1981" t="n">
        <v>1</v>
      </c>
      <c r="Q1981" t="n">
        <v>0.07000000000000001</v>
      </c>
      <c r="R1981" t="n">
        <v>1</v>
      </c>
      <c r="S1981" t="n">
        <v>7528.95</v>
      </c>
      <c r="T1981" t="n">
        <v>24</v>
      </c>
      <c r="U1981" t="n">
        <v>27</v>
      </c>
      <c r="V1981" t="n">
        <v>30</v>
      </c>
      <c r="W1981" t="n">
        <v>17</v>
      </c>
      <c r="X1981" t="n">
        <v>12.55155101308948</v>
      </c>
      <c r="Y1981" t="n">
        <v>1</v>
      </c>
      <c r="Z1981" t="n">
        <v>10</v>
      </c>
      <c r="AA1981" t="n">
        <v>0</v>
      </c>
      <c r="AB1981" t="n">
        <v>10</v>
      </c>
      <c r="AC1981" t="n">
        <v>10</v>
      </c>
      <c r="AD1981" t="n">
        <v>0</v>
      </c>
      <c r="AE1981" t="n">
        <v>111100</v>
      </c>
      <c r="AF1981" t="n">
        <v>880</v>
      </c>
      <c r="AG1981" t="n">
        <v>3544</v>
      </c>
      <c r="AH1981" t="inlineStr">
        <is>
          <t>CV. DYCO MAKMUR SENTOSA (JMB)</t>
        </is>
      </c>
      <c r="AI1981" t="n">
        <v>1632</v>
      </c>
      <c r="AJ1981" t="inlineStr">
        <is>
          <t>KOJIESAN SAKURA</t>
        </is>
      </c>
      <c r="AK1981" t="n">
        <v>9</v>
      </c>
      <c r="AL1981" t="inlineStr">
        <is>
          <t>Miss Glam Jambi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KOJIESAN SAKURA</t>
        </is>
      </c>
      <c r="B1982" s="2">
        <f>"8997024498611"</f>
        <v/>
      </c>
      <c r="C1982" t="inlineStr">
        <is>
          <t>KOJIESAN SAKURA Skin Glow Skin Transparant Soap With Niacinamide &amp; Glutathione 65gr</t>
        </is>
      </c>
      <c r="D1982" t="inlineStr">
        <is>
          <t>Miss Glam Jambi</t>
        </is>
      </c>
      <c r="E1982" t="n">
        <v>14</v>
      </c>
      <c r="F1982" t="n">
        <v>0.4257</v>
      </c>
      <c r="G1982" t="n">
        <v>1.65</v>
      </c>
      <c r="H1982" t="n">
        <v>5</v>
      </c>
      <c r="I1982" t="n">
        <v>8</v>
      </c>
      <c r="J1982" t="n">
        <v>3</v>
      </c>
      <c r="K1982" t="n">
        <v>0</v>
      </c>
      <c r="L1982" t="n">
        <v>11110</v>
      </c>
      <c r="M1982" t="n">
        <v>13500</v>
      </c>
      <c r="N1982" t="n">
        <v>33</v>
      </c>
      <c r="O1982" t="n">
        <v>0.33</v>
      </c>
      <c r="P1982" t="n">
        <v>1</v>
      </c>
      <c r="Q1982" t="n">
        <v>0.14</v>
      </c>
      <c r="R1982" t="n">
        <v>1</v>
      </c>
      <c r="S1982" t="n">
        <v>5746.950000000001</v>
      </c>
      <c r="T1982" t="n">
        <v>12</v>
      </c>
      <c r="U1982" t="n">
        <v>15</v>
      </c>
      <c r="V1982" t="n">
        <v>30</v>
      </c>
      <c r="W1982" t="n">
        <v>13</v>
      </c>
      <c r="X1982" t="n">
        <v>32.88700963119567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880</v>
      </c>
      <c r="AG1982" t="n">
        <v>3544</v>
      </c>
      <c r="AH1982" t="inlineStr">
        <is>
          <t>CV. DYCO MAKMUR SENTOSA (JMB)</t>
        </is>
      </c>
      <c r="AI1982" t="n">
        <v>1632</v>
      </c>
      <c r="AJ1982" t="inlineStr">
        <is>
          <t>KOJIESAN SAKURA</t>
        </is>
      </c>
      <c r="AK1982" t="n">
        <v>9</v>
      </c>
      <c r="AL1982" t="inlineStr">
        <is>
          <t>Miss Glam Jambi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KOJIESAN SAKURA</t>
        </is>
      </c>
      <c r="B1983" s="2">
        <f>"8997024498765"</f>
        <v/>
      </c>
      <c r="C1983" t="inlineStr">
        <is>
          <t>KOJIESAN SAKURA Whitening Body Lotion Kojic Acid 250ml</t>
        </is>
      </c>
      <c r="D1983" t="inlineStr">
        <is>
          <t>Miss Glam Jambi</t>
        </is>
      </c>
      <c r="E1983" t="n">
        <v>11</v>
      </c>
      <c r="F1983" t="n">
        <v>0.2574</v>
      </c>
      <c r="G1983" t="n">
        <v>0.99</v>
      </c>
      <c r="H1983" t="n">
        <v>5</v>
      </c>
      <c r="I1983" t="n">
        <v>8</v>
      </c>
      <c r="J1983" t="n">
        <v>3</v>
      </c>
      <c r="K1983" t="n">
        <v>0</v>
      </c>
      <c r="L1983" t="n">
        <v>29330</v>
      </c>
      <c r="M1983" t="n">
        <v>35500</v>
      </c>
      <c r="N1983" t="n">
        <v>33</v>
      </c>
      <c r="O1983" t="n">
        <v>0.33</v>
      </c>
      <c r="P1983" t="n">
        <v>1</v>
      </c>
      <c r="Q1983" t="n">
        <v>0.02</v>
      </c>
      <c r="R1983" t="n">
        <v>1</v>
      </c>
      <c r="S1983" t="n">
        <v>9137.700000000001</v>
      </c>
      <c r="T1983" t="n">
        <v>7</v>
      </c>
      <c r="U1983" t="n">
        <v>9</v>
      </c>
      <c r="V1983" t="n">
        <v>30</v>
      </c>
      <c r="W1983" t="n">
        <v>8</v>
      </c>
      <c r="X1983" t="n">
        <v>42.73504273504273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880</v>
      </c>
      <c r="AG1983" t="n">
        <v>3544</v>
      </c>
      <c r="AH1983" t="inlineStr">
        <is>
          <t>CV. DYCO MAKMUR SENTOSA (JMB)</t>
        </is>
      </c>
      <c r="AI1983" t="n">
        <v>1632</v>
      </c>
      <c r="AJ1983" t="inlineStr">
        <is>
          <t>KOJIESAN SAKURA</t>
        </is>
      </c>
      <c r="AK1983" t="n">
        <v>9</v>
      </c>
      <c r="AL1983" t="inlineStr">
        <is>
          <t>Miss Glam Jambi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KOJIESAN SAKURA</t>
        </is>
      </c>
      <c r="B1984" s="2">
        <f>"8997024498604"</f>
        <v/>
      </c>
      <c r="C1984" t="inlineStr">
        <is>
          <t>KOJIESAN SAKURA Whitening Body Lotion With Goats Milk 250ml</t>
        </is>
      </c>
      <c r="D1984" t="inlineStr">
        <is>
          <t>Miss Glam Jambi</t>
        </is>
      </c>
      <c r="E1984" t="n">
        <v>9</v>
      </c>
      <c r="F1984" t="n">
        <v>0.1353</v>
      </c>
      <c r="G1984" t="n">
        <v>0.66</v>
      </c>
      <c r="H1984" t="n">
        <v>5</v>
      </c>
      <c r="I1984" t="n">
        <v>8</v>
      </c>
      <c r="J1984" t="n">
        <v>3</v>
      </c>
      <c r="K1984" t="n">
        <v>0</v>
      </c>
      <c r="L1984" t="n">
        <v>29330</v>
      </c>
      <c r="M1984" t="n">
        <v>35500</v>
      </c>
      <c r="N1984" t="n">
        <v>33</v>
      </c>
      <c r="O1984" t="n">
        <v>0.33</v>
      </c>
      <c r="P1984" t="n">
        <v>1</v>
      </c>
      <c r="Q1984" t="n">
        <v>0.03</v>
      </c>
      <c r="R1984" t="n">
        <v>0</v>
      </c>
      <c r="S1984" t="n">
        <v>4803.150000000001</v>
      </c>
      <c r="T1984" t="n">
        <v>5</v>
      </c>
      <c r="U1984" t="n">
        <v>6</v>
      </c>
      <c r="V1984" t="n">
        <v>30</v>
      </c>
      <c r="W1984" t="n">
        <v>5</v>
      </c>
      <c r="X1984" t="n">
        <v>66.51884700665188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880</v>
      </c>
      <c r="AG1984" t="n">
        <v>3544</v>
      </c>
      <c r="AH1984" t="inlineStr">
        <is>
          <t>CV. DYCO MAKMUR SENTOSA (JMB)</t>
        </is>
      </c>
      <c r="AI1984" t="n">
        <v>1632</v>
      </c>
      <c r="AJ1984" t="inlineStr">
        <is>
          <t>KOJIESAN SAKURA</t>
        </is>
      </c>
      <c r="AK1984" t="n">
        <v>9</v>
      </c>
      <c r="AL1984" t="inlineStr">
        <is>
          <t>Miss Glam Jambi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KOJIS</t>
        </is>
      </c>
      <c r="B1985" s="2">
        <f>"10100825410"</f>
        <v/>
      </c>
      <c r="C1985" t="inlineStr">
        <is>
          <t>KOJIS Kojic Charcoal Brightening Deep Cleansing Soap 100gr</t>
        </is>
      </c>
      <c r="D1985" t="inlineStr">
        <is>
          <t>Miss Glam Jambi</t>
        </is>
      </c>
      <c r="E1985" t="n">
        <v>8</v>
      </c>
      <c r="F1985" t="n">
        <v>0.09569999999999999</v>
      </c>
      <c r="G1985" t="n">
        <v>0.99</v>
      </c>
      <c r="H1985" t="n">
        <v>4</v>
      </c>
      <c r="I1985" t="n">
        <v>20</v>
      </c>
      <c r="J1985" t="n">
        <v>1</v>
      </c>
      <c r="K1985" t="n">
        <v>0</v>
      </c>
      <c r="L1985" t="n">
        <v>20536</v>
      </c>
      <c r="M1985" t="n">
        <v>24500</v>
      </c>
      <c r="N1985" t="n">
        <v>33</v>
      </c>
      <c r="O1985" t="n">
        <v>0.33</v>
      </c>
      <c r="P1985" t="n">
        <v>1</v>
      </c>
      <c r="Q1985" t="n">
        <v>0.02</v>
      </c>
      <c r="R1985" t="n">
        <v>1</v>
      </c>
      <c r="S1985" t="n">
        <v>2344.65</v>
      </c>
      <c r="T1985" t="n">
        <v>20</v>
      </c>
      <c r="U1985" t="n">
        <v>21</v>
      </c>
      <c r="V1985" t="n">
        <v>30</v>
      </c>
      <c r="W1985" t="n">
        <v>3</v>
      </c>
      <c r="X1985" t="n">
        <v>83.59456635318705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6244</v>
      </c>
      <c r="AG1985" t="n">
        <v>1</v>
      </c>
      <c r="AH1985" t="inlineStr">
        <is>
          <t>PT. BERSAMA DISTRIVERSA INDONESIA (DC CIPUTAT)</t>
        </is>
      </c>
      <c r="AI1985" t="n">
        <v>2300</v>
      </c>
      <c r="AJ1985" t="inlineStr">
        <is>
          <t>KOJIS</t>
        </is>
      </c>
      <c r="AK1985" t="n">
        <v>9</v>
      </c>
      <c r="AL1985" t="inlineStr">
        <is>
          <t>Miss Glam Jambi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KOJIS</t>
        </is>
      </c>
      <c r="B1986" s="2">
        <f>"30100167423"</f>
        <v/>
      </c>
      <c r="C1986" t="inlineStr">
        <is>
          <t>KOJIS Kojic Collagen Brightening Soap 90gr</t>
        </is>
      </c>
      <c r="D1986" t="inlineStr">
        <is>
          <t>Miss Glam Jambi</t>
        </is>
      </c>
      <c r="E1986" t="n">
        <v>22</v>
      </c>
      <c r="F1986" t="n">
        <v>0.1749</v>
      </c>
      <c r="G1986" t="n">
        <v>1.65</v>
      </c>
      <c r="H1986" t="n">
        <v>4</v>
      </c>
      <c r="I1986" t="n">
        <v>20</v>
      </c>
      <c r="J1986" t="n">
        <v>1</v>
      </c>
      <c r="K1986" t="n">
        <v>0</v>
      </c>
      <c r="L1986" t="n">
        <v>16856</v>
      </c>
      <c r="M1986" t="n">
        <v>22000</v>
      </c>
      <c r="N1986" t="n">
        <v>33</v>
      </c>
      <c r="O1986" t="n">
        <v>0.33</v>
      </c>
      <c r="P1986" t="n">
        <v>1</v>
      </c>
      <c r="Q1986" t="n">
        <v>0.25</v>
      </c>
      <c r="R1986" t="n">
        <v>3</v>
      </c>
      <c r="S1986" t="n">
        <v>3847.800000000001</v>
      </c>
      <c r="T1986" t="n">
        <v>33</v>
      </c>
      <c r="U1986" t="n">
        <v>34</v>
      </c>
      <c r="V1986" t="n">
        <v>30</v>
      </c>
      <c r="W1986" t="n">
        <v>6</v>
      </c>
      <c r="X1986" t="n">
        <v>125.7861635220126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6244</v>
      </c>
      <c r="AG1986" t="n">
        <v>1</v>
      </c>
      <c r="AH1986" t="inlineStr">
        <is>
          <t>PT. BERSAMA DISTRIVERSA INDONESIA (DC CIPUTAT)</t>
        </is>
      </c>
      <c r="AI1986" t="n">
        <v>2300</v>
      </c>
      <c r="AJ1986" t="inlineStr">
        <is>
          <t>KOJIS</t>
        </is>
      </c>
      <c r="AK1986" t="n">
        <v>9</v>
      </c>
      <c r="AL1986" t="inlineStr">
        <is>
          <t>Miss Glam Jambi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KYE</t>
        </is>
      </c>
      <c r="B1987" s="2">
        <f>"8994942026827"</f>
        <v/>
      </c>
      <c r="C1987" t="inlineStr">
        <is>
          <t>KYE Acne Clear Patch Tea Tree Infusion 36 Patches</t>
        </is>
      </c>
      <c r="D1987" t="inlineStr">
        <is>
          <t>Miss Glam Jambi</t>
        </is>
      </c>
      <c r="E1987" t="n">
        <v>9</v>
      </c>
      <c r="F1987" t="n">
        <v>0.033</v>
      </c>
      <c r="G1987" t="n">
        <v>0.33</v>
      </c>
      <c r="H1987" t="n">
        <v>6</v>
      </c>
      <c r="I1987" t="n">
        <v>10</v>
      </c>
      <c r="J1987" t="n">
        <v>3</v>
      </c>
      <c r="K1987" t="n">
        <v>0</v>
      </c>
      <c r="L1987" t="n">
        <v>24975</v>
      </c>
      <c r="M1987" t="n">
        <v>35000</v>
      </c>
      <c r="N1987" t="n">
        <v>33</v>
      </c>
      <c r="O1987" t="n">
        <v>0.33</v>
      </c>
      <c r="P1987" t="n">
        <v>1</v>
      </c>
      <c r="Q1987" t="n">
        <v>0.05</v>
      </c>
      <c r="R1987" t="n">
        <v>1</v>
      </c>
      <c r="S1987" t="n">
        <v>1155</v>
      </c>
      <c r="T1987" t="n">
        <v>4</v>
      </c>
      <c r="U1987" t="n">
        <v>5</v>
      </c>
      <c r="V1987" t="n">
        <v>30</v>
      </c>
      <c r="W1987" t="n">
        <v>1</v>
      </c>
      <c r="X1987" t="n">
        <v>272.7272727272727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9581</v>
      </c>
      <c r="AG1987" t="n">
        <v>2037</v>
      </c>
      <c r="AH1987" t="inlineStr">
        <is>
          <t>PT. CAKRA DAYA UNGGUL - PPN (PDG)</t>
        </is>
      </c>
      <c r="AI1987" t="n">
        <v>1649</v>
      </c>
      <c r="AJ1987" t="inlineStr">
        <is>
          <t>KYE</t>
        </is>
      </c>
      <c r="AK1987" t="n">
        <v>9</v>
      </c>
      <c r="AL1987" t="inlineStr">
        <is>
          <t>Miss Glam Jambi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KYE</t>
        </is>
      </c>
      <c r="B1988" s="2">
        <f>"8994942026926"</f>
        <v/>
      </c>
      <c r="C1988" t="inlineStr">
        <is>
          <t>KYE Amino Watermelon Eye &amp; Lip Makeup Remover Pads 15 Pads</t>
        </is>
      </c>
      <c r="D1988" t="inlineStr">
        <is>
          <t>Miss Glam Jambi</t>
        </is>
      </c>
      <c r="E1988" t="n">
        <v>4</v>
      </c>
      <c r="F1988" t="n">
        <v>0.14</v>
      </c>
      <c r="G1988" t="n">
        <v>2</v>
      </c>
      <c r="H1988" t="n">
        <v>6</v>
      </c>
      <c r="I1988" t="n">
        <v>10</v>
      </c>
      <c r="J1988" t="n">
        <v>3</v>
      </c>
      <c r="K1988" t="n">
        <v>0</v>
      </c>
      <c r="L1988" t="n">
        <v>19980</v>
      </c>
      <c r="M1988" t="n">
        <v>27000</v>
      </c>
      <c r="N1988" t="n">
        <v>33</v>
      </c>
      <c r="O1988" t="n">
        <v>0.33</v>
      </c>
      <c r="P1988" t="n">
        <v>0</v>
      </c>
      <c r="Q1988" t="n">
        <v>0.14</v>
      </c>
      <c r="R1988" t="n">
        <v>2</v>
      </c>
      <c r="S1988" t="n">
        <v>3780</v>
      </c>
      <c r="T1988" t="n">
        <v>20</v>
      </c>
      <c r="U1988" t="n">
        <v>21</v>
      </c>
      <c r="V1988" t="n">
        <v>30</v>
      </c>
      <c r="W1988" t="n">
        <v>5</v>
      </c>
      <c r="X1988" t="n">
        <v>28.57142857142857</v>
      </c>
      <c r="Y1988" t="n">
        <v>1</v>
      </c>
      <c r="Z1988" t="n">
        <v>1</v>
      </c>
      <c r="AA1988" t="n">
        <v>0</v>
      </c>
      <c r="AB1988" t="n">
        <v>1</v>
      </c>
      <c r="AC1988" t="n">
        <v>3</v>
      </c>
      <c r="AD1988" t="n">
        <v>0</v>
      </c>
      <c r="AE1988" t="n">
        <v>59940</v>
      </c>
      <c r="AF1988" t="n">
        <v>9581</v>
      </c>
      <c r="AG1988" t="n">
        <v>2037</v>
      </c>
      <c r="AH1988" t="inlineStr">
        <is>
          <t>PT. CAKRA DAYA UNGGUL - PPN (PDG)</t>
        </is>
      </c>
      <c r="AI1988" t="n">
        <v>1649</v>
      </c>
      <c r="AJ1988" t="inlineStr">
        <is>
          <t>KYE</t>
        </is>
      </c>
      <c r="AK1988" t="n">
        <v>9</v>
      </c>
      <c r="AL1988" t="inlineStr">
        <is>
          <t>Miss Glam Jambi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KYE</t>
        </is>
      </c>
      <c r="B1989" s="2">
        <f>"8994942027039"</f>
        <v/>
      </c>
      <c r="C1989" t="inlineStr">
        <is>
          <t>KYE Avocado Guava Glow Micellar Cleansing 15Pads</t>
        </is>
      </c>
      <c r="D1989" t="inlineStr">
        <is>
          <t>Miss Glam Jambi</t>
        </is>
      </c>
      <c r="E1989" t="n">
        <v>17</v>
      </c>
      <c r="F1989" t="n">
        <v>0.033</v>
      </c>
      <c r="G1989" t="n">
        <v>0.66</v>
      </c>
      <c r="H1989" t="n">
        <v>6</v>
      </c>
      <c r="I1989" t="n">
        <v>10</v>
      </c>
      <c r="J1989" t="n">
        <v>3</v>
      </c>
      <c r="K1989" t="n">
        <v>0</v>
      </c>
      <c r="L1989" t="n">
        <v>13986</v>
      </c>
      <c r="M1989" t="n">
        <v>21500</v>
      </c>
      <c r="N1989" t="n">
        <v>33</v>
      </c>
      <c r="O1989" t="n">
        <v>0.33</v>
      </c>
      <c r="P1989" t="n">
        <v>1</v>
      </c>
      <c r="Q1989" t="n">
        <v>0.12</v>
      </c>
      <c r="R1989" t="n">
        <v>1</v>
      </c>
      <c r="S1989" t="n">
        <v>709.5</v>
      </c>
      <c r="T1989" t="n">
        <v>7</v>
      </c>
      <c r="U1989" t="n">
        <v>8</v>
      </c>
      <c r="V1989" t="n">
        <v>30</v>
      </c>
      <c r="W1989" t="n">
        <v>1</v>
      </c>
      <c r="X1989" t="n">
        <v>515.1515151515151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9581</v>
      </c>
      <c r="AG1989" t="n">
        <v>2037</v>
      </c>
      <c r="AH1989" t="inlineStr">
        <is>
          <t>PT. CAKRA DAYA UNGGUL - PPN (PDG)</t>
        </is>
      </c>
      <c r="AI1989" t="n">
        <v>1649</v>
      </c>
      <c r="AJ1989" t="inlineStr">
        <is>
          <t>KYE</t>
        </is>
      </c>
      <c r="AK1989" t="n">
        <v>9</v>
      </c>
      <c r="AL1989" t="inlineStr">
        <is>
          <t>Miss Glam Jambi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KYE</t>
        </is>
      </c>
      <c r="B1990" s="2">
        <f>"8994942025851"</f>
        <v/>
      </c>
      <c r="C1990" t="inlineStr">
        <is>
          <t>KYE Jeju Cica Probiotics Aqua Toner Pads 15 Sheets</t>
        </is>
      </c>
      <c r="D1990" t="inlineStr">
        <is>
          <t>Miss Glam Jambi</t>
        </is>
      </c>
      <c r="E1990" t="n">
        <v>22</v>
      </c>
      <c r="F1990" t="n">
        <v>0.03</v>
      </c>
      <c r="G1990" t="n">
        <v>1</v>
      </c>
      <c r="H1990" t="n">
        <v>6</v>
      </c>
      <c r="I1990" t="n">
        <v>10</v>
      </c>
      <c r="J1990" t="n">
        <v>3</v>
      </c>
      <c r="K1990" t="n">
        <v>0</v>
      </c>
      <c r="L1990" t="n">
        <v>22705</v>
      </c>
      <c r="M1990" t="n">
        <v>35000</v>
      </c>
      <c r="N1990" t="n">
        <v>33</v>
      </c>
      <c r="O1990" t="n">
        <v>0.33</v>
      </c>
      <c r="P1990" t="n">
        <v>0</v>
      </c>
      <c r="Q1990" t="n">
        <v>0.03</v>
      </c>
      <c r="R1990" t="n">
        <v>1</v>
      </c>
      <c r="S1990" t="n">
        <v>1050</v>
      </c>
      <c r="T1990" t="n">
        <v>10</v>
      </c>
      <c r="U1990" t="n">
        <v>11</v>
      </c>
      <c r="V1990" t="n">
        <v>30</v>
      </c>
      <c r="W1990" t="n">
        <v>1</v>
      </c>
      <c r="X1990" t="n">
        <v>733.3333333333334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9581</v>
      </c>
      <c r="AG1990" t="n">
        <v>2037</v>
      </c>
      <c r="AH1990" t="inlineStr">
        <is>
          <t>PT. CAKRA DAYA UNGGUL - PPN (PDG)</t>
        </is>
      </c>
      <c r="AI1990" t="n">
        <v>1649</v>
      </c>
      <c r="AJ1990" t="inlineStr">
        <is>
          <t>KYE</t>
        </is>
      </c>
      <c r="AK1990" t="n">
        <v>9</v>
      </c>
      <c r="AL1990" t="inlineStr">
        <is>
          <t>Miss Glam Jambi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LA ROCHE POSAY</t>
        </is>
      </c>
      <c r="B1991" s="2">
        <f>"3337875816847"</f>
        <v/>
      </c>
      <c r="C1991" t="inlineStr">
        <is>
          <t>LA ROCHE POSAY Cicaplast Baume B5+ Shooting Balm 100ml</t>
        </is>
      </c>
      <c r="D1991" t="inlineStr">
        <is>
          <t>Miss Glam Jambi</t>
        </is>
      </c>
      <c r="E1991" t="n">
        <v>6</v>
      </c>
      <c r="F1991" t="n">
        <v>0.0462</v>
      </c>
      <c r="G1991" t="n">
        <v>0.33</v>
      </c>
      <c r="H1991" t="n">
        <v>4</v>
      </c>
      <c r="I1991" t="n">
        <v>20</v>
      </c>
      <c r="J1991" t="n">
        <v>3</v>
      </c>
      <c r="K1991" t="n">
        <v>0</v>
      </c>
      <c r="L1991" t="n">
        <v>379200</v>
      </c>
      <c r="M1991" t="n">
        <v>480000</v>
      </c>
      <c r="N1991" t="n">
        <v>33</v>
      </c>
      <c r="O1991" t="n">
        <v>0.33</v>
      </c>
      <c r="P1991" t="n">
        <v>1</v>
      </c>
      <c r="Q1991" t="n">
        <v>0.02</v>
      </c>
      <c r="R1991" t="n">
        <v>1</v>
      </c>
      <c r="S1991" t="n">
        <v>22176</v>
      </c>
      <c r="T1991" t="n">
        <v>7</v>
      </c>
      <c r="U1991" t="n">
        <v>8</v>
      </c>
      <c r="V1991" t="n">
        <v>30</v>
      </c>
      <c r="W1991" t="n">
        <v>2</v>
      </c>
      <c r="X1991" t="n">
        <v>129.8701298701299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6279</v>
      </c>
      <c r="AG1991" t="n">
        <v>1</v>
      </c>
      <c r="AH1991" t="inlineStr">
        <is>
          <t>PT. BERSAMA DISTRIVERSA INDONESIA (DC CIPUTAT)</t>
        </is>
      </c>
      <c r="AI1991" t="n">
        <v>1409</v>
      </c>
      <c r="AJ1991" t="inlineStr">
        <is>
          <t>LA ROCHE POSAY</t>
        </is>
      </c>
      <c r="AK1991" t="n">
        <v>9</v>
      </c>
      <c r="AL1991" t="inlineStr">
        <is>
          <t>Miss Glam Jambi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LA ROCHE POSAY</t>
        </is>
      </c>
      <c r="B1992" s="2">
        <f>"3337875863377"</f>
        <v/>
      </c>
      <c r="C1992" t="inlineStr">
        <is>
          <t>LA ROCHE POSAY Effacalr Duo + M Soin Triple Correction Anti-Imperfections 40ml</t>
        </is>
      </c>
      <c r="D1992" t="inlineStr">
        <is>
          <t>Miss Glam Jambi</t>
        </is>
      </c>
      <c r="E1992" t="n">
        <v>3</v>
      </c>
      <c r="F1992" t="n">
        <v>0.009900000000000001</v>
      </c>
      <c r="G1992" t="n">
        <v>0.33</v>
      </c>
      <c r="H1992" t="n">
        <v>4</v>
      </c>
      <c r="I1992" t="n">
        <v>20</v>
      </c>
      <c r="J1992" t="n">
        <v>3</v>
      </c>
      <c r="K1992" t="n">
        <v>0</v>
      </c>
      <c r="L1992" t="n">
        <v>239021</v>
      </c>
      <c r="M1992" t="n">
        <v>390000</v>
      </c>
      <c r="N1992" t="n">
        <v>33</v>
      </c>
      <c r="O1992" t="n">
        <v>0.33</v>
      </c>
      <c r="P1992" t="n">
        <v>1</v>
      </c>
      <c r="Q1992" t="n">
        <v>0.02</v>
      </c>
      <c r="R1992" t="n">
        <v>1</v>
      </c>
      <c r="S1992" t="n">
        <v>3861</v>
      </c>
      <c r="T1992" t="n">
        <v>7</v>
      </c>
      <c r="U1992" t="n">
        <v>8</v>
      </c>
      <c r="V1992" t="n">
        <v>30</v>
      </c>
      <c r="W1992" t="n">
        <v>1</v>
      </c>
      <c r="X1992" t="n">
        <v>303.030303030303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6279</v>
      </c>
      <c r="AG1992" t="n">
        <v>1</v>
      </c>
      <c r="AH1992" t="inlineStr">
        <is>
          <t>PT. BERSAMA DISTRIVERSA INDONESIA (DC CIPUTAT)</t>
        </is>
      </c>
      <c r="AI1992" t="n">
        <v>1409</v>
      </c>
      <c r="AJ1992" t="inlineStr">
        <is>
          <t>LA ROCHE POSAY</t>
        </is>
      </c>
      <c r="AK1992" t="n">
        <v>9</v>
      </c>
      <c r="AL1992" t="inlineStr">
        <is>
          <t>Miss Glam Jambi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LA ROCHE POSAY</t>
        </is>
      </c>
      <c r="B1993" s="2">
        <f>"3337872411083"</f>
        <v/>
      </c>
      <c r="C1993" t="inlineStr">
        <is>
          <t>LA ROCHE POSAY Effaclar Purifying Foaming Gel 200ml</t>
        </is>
      </c>
      <c r="D1993" t="inlineStr">
        <is>
          <t>Miss Glam Jambi</t>
        </is>
      </c>
      <c r="E1993" t="n">
        <v>5</v>
      </c>
      <c r="F1993" t="n">
        <v>0.0231</v>
      </c>
      <c r="G1993" t="n">
        <v>0.33</v>
      </c>
      <c r="H1993" t="n">
        <v>4</v>
      </c>
      <c r="I1993" t="n">
        <v>20</v>
      </c>
      <c r="J1993" t="n">
        <v>3</v>
      </c>
      <c r="K1993" t="n">
        <v>0</v>
      </c>
      <c r="L1993" t="n">
        <v>262100</v>
      </c>
      <c r="M1993" t="n">
        <v>330000</v>
      </c>
      <c r="N1993" t="n">
        <v>33</v>
      </c>
      <c r="O1993" t="n">
        <v>0.33</v>
      </c>
      <c r="P1993" t="n">
        <v>1</v>
      </c>
      <c r="Q1993" t="n">
        <v>0.02</v>
      </c>
      <c r="R1993" t="n">
        <v>1</v>
      </c>
      <c r="S1993" t="n">
        <v>7623.000000000001</v>
      </c>
      <c r="T1993" t="n">
        <v>7</v>
      </c>
      <c r="U1993" t="n">
        <v>8</v>
      </c>
      <c r="V1993" t="n">
        <v>30</v>
      </c>
      <c r="W1993" t="n">
        <v>1</v>
      </c>
      <c r="X1993" t="n">
        <v>216.4502164502164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6279</v>
      </c>
      <c r="AG1993" t="n">
        <v>1</v>
      </c>
      <c r="AH1993" t="inlineStr">
        <is>
          <t>PT. BERSAMA DISTRIVERSA INDONESIA (DC CIPUTAT)</t>
        </is>
      </c>
      <c r="AI1993" t="n">
        <v>1409</v>
      </c>
      <c r="AJ1993" t="inlineStr">
        <is>
          <t>LA ROCHE POSAY</t>
        </is>
      </c>
      <c r="AK1993" t="n">
        <v>9</v>
      </c>
      <c r="AL1993" t="inlineStr">
        <is>
          <t>Miss Glam Jambi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LA ROCHE POSAY</t>
        </is>
      </c>
      <c r="B1994" s="2">
        <f>"3337875816809"</f>
        <v/>
      </c>
      <c r="C1994" t="inlineStr">
        <is>
          <t>LA ROCHE-POSAY Cicaplast Baume B5+ Shooting Balm 40ml</t>
        </is>
      </c>
      <c r="D1994" t="inlineStr">
        <is>
          <t>Miss Glam Jambi</t>
        </is>
      </c>
      <c r="E1994" t="n">
        <v>4</v>
      </c>
      <c r="F1994" t="n">
        <v>0.0264</v>
      </c>
      <c r="G1994" t="n">
        <v>0.33</v>
      </c>
      <c r="H1994" t="n">
        <v>4</v>
      </c>
      <c r="I1994" t="n">
        <v>20</v>
      </c>
      <c r="J1994" t="n">
        <v>3</v>
      </c>
      <c r="K1994" t="n">
        <v>3</v>
      </c>
      <c r="L1994" t="n">
        <v>183079</v>
      </c>
      <c r="M1994" t="n">
        <v>260000</v>
      </c>
      <c r="N1994" t="n">
        <v>33</v>
      </c>
      <c r="O1994" t="n">
        <v>0.33</v>
      </c>
      <c r="P1994" t="n">
        <v>1</v>
      </c>
      <c r="Q1994" t="n">
        <v>0.29</v>
      </c>
      <c r="R1994" t="n">
        <v>2</v>
      </c>
      <c r="S1994" t="n">
        <v>6864.000000000001</v>
      </c>
      <c r="T1994" t="n">
        <v>7</v>
      </c>
      <c r="U1994" t="n">
        <v>8</v>
      </c>
      <c r="V1994" t="n">
        <v>30</v>
      </c>
      <c r="W1994" t="n">
        <v>1</v>
      </c>
      <c r="X1994" t="n">
        <v>151.5151515151515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6279</v>
      </c>
      <c r="AG1994" t="n">
        <v>1</v>
      </c>
      <c r="AH1994" t="inlineStr">
        <is>
          <t>PT. BERSAMA DISTRIVERSA INDONESIA (DC CIPUTAT)</t>
        </is>
      </c>
      <c r="AI1994" t="n">
        <v>1409</v>
      </c>
      <c r="AJ1994" t="inlineStr">
        <is>
          <t>LA ROCHE POSAY</t>
        </is>
      </c>
      <c r="AK1994" t="n">
        <v>9</v>
      </c>
      <c r="AL1994" t="inlineStr">
        <is>
          <t>Miss Glam Jambi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LA ROCHE POSAY</t>
        </is>
      </c>
      <c r="B1995" s="2">
        <f>"3337875797597"</f>
        <v/>
      </c>
      <c r="C1995" t="inlineStr">
        <is>
          <t>LAROCHE-POSAY Anthelios UV Mune 400 Invisible Fluid 50ml</t>
        </is>
      </c>
      <c r="D1995" t="inlineStr">
        <is>
          <t>Miss Glam Jambi</t>
        </is>
      </c>
      <c r="E1995" t="n">
        <v>2</v>
      </c>
      <c r="F1995" t="n">
        <v>0.02</v>
      </c>
      <c r="G1995" t="n">
        <v>1</v>
      </c>
      <c r="H1995" t="n">
        <v>4</v>
      </c>
      <c r="I1995" t="n">
        <v>20</v>
      </c>
      <c r="J1995" t="n">
        <v>3</v>
      </c>
      <c r="K1995" t="n">
        <v>0</v>
      </c>
      <c r="L1995" t="n">
        <v>292500</v>
      </c>
      <c r="M1995" t="n">
        <v>420000</v>
      </c>
      <c r="N1995" t="n">
        <v>33</v>
      </c>
      <c r="O1995" t="n">
        <v>0.33</v>
      </c>
      <c r="P1995" t="n">
        <v>0</v>
      </c>
      <c r="Q1995" t="n">
        <v>0.02</v>
      </c>
      <c r="R1995" t="n">
        <v>1</v>
      </c>
      <c r="S1995" t="n">
        <v>8400</v>
      </c>
      <c r="T1995" t="n">
        <v>20</v>
      </c>
      <c r="U1995" t="n">
        <v>21</v>
      </c>
      <c r="V1995" t="n">
        <v>30</v>
      </c>
      <c r="W1995" t="n">
        <v>1</v>
      </c>
      <c r="X1995" t="n">
        <v>100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6279</v>
      </c>
      <c r="AG1995" t="n">
        <v>1</v>
      </c>
      <c r="AH1995" t="inlineStr">
        <is>
          <t>PT. BERSAMA DISTRIVERSA INDONESIA (DC CIPUTAT)</t>
        </is>
      </c>
      <c r="AI1995" t="n">
        <v>1409</v>
      </c>
      <c r="AJ1995" t="inlineStr">
        <is>
          <t>LA ROCHE POSAY</t>
        </is>
      </c>
      <c r="AK1995" t="n">
        <v>9</v>
      </c>
      <c r="AL1995" t="inlineStr">
        <is>
          <t>Miss Glam Jambi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LA ROCHE POSAY</t>
        </is>
      </c>
      <c r="B1996" s="2">
        <f>"3337875816779"</f>
        <v/>
      </c>
      <c r="C1996" t="inlineStr">
        <is>
          <t>LAROCHE-POSAY Cicaplast Baume B5+ Shooting Balm 15ml</t>
        </is>
      </c>
      <c r="D1996" t="inlineStr">
        <is>
          <t>Miss Glam Jambi</t>
        </is>
      </c>
      <c r="E1996" t="n">
        <v>1</v>
      </c>
      <c r="F1996" t="n">
        <v>0.0165</v>
      </c>
      <c r="G1996" t="n">
        <v>0.33</v>
      </c>
      <c r="H1996" t="n">
        <v>4</v>
      </c>
      <c r="I1996" t="n">
        <v>20</v>
      </c>
      <c r="J1996" t="n">
        <v>3</v>
      </c>
      <c r="K1996" t="n">
        <v>6</v>
      </c>
      <c r="L1996" t="n">
        <v>133100</v>
      </c>
      <c r="M1996" t="n">
        <v>190000</v>
      </c>
      <c r="N1996" t="n">
        <v>33</v>
      </c>
      <c r="O1996" t="n">
        <v>0.33</v>
      </c>
      <c r="P1996" t="n">
        <v>1</v>
      </c>
      <c r="Q1996" t="n">
        <v>0.15</v>
      </c>
      <c r="R1996" t="n">
        <v>1</v>
      </c>
      <c r="S1996" t="n">
        <v>3135</v>
      </c>
      <c r="T1996" t="n">
        <v>7</v>
      </c>
      <c r="U1996" t="n">
        <v>8</v>
      </c>
      <c r="V1996" t="n">
        <v>30</v>
      </c>
      <c r="W1996" t="n">
        <v>1</v>
      </c>
      <c r="X1996" t="n">
        <v>60.6060606060606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6279</v>
      </c>
      <c r="AG1996" t="n">
        <v>1</v>
      </c>
      <c r="AH1996" t="inlineStr">
        <is>
          <t>PT. BERSAMA DISTRIVERSA INDONESIA (DC CIPUTAT)</t>
        </is>
      </c>
      <c r="AI1996" t="n">
        <v>1409</v>
      </c>
      <c r="AJ1996" t="inlineStr">
        <is>
          <t>LA ROCHE POSAY</t>
        </is>
      </c>
      <c r="AK1996" t="n">
        <v>9</v>
      </c>
      <c r="AL1996" t="inlineStr">
        <is>
          <t>Miss Glam Jambi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LA ROCHE POSAY</t>
        </is>
      </c>
      <c r="B1997" s="2">
        <f>"3337875890021"</f>
        <v/>
      </c>
      <c r="C1997" t="inlineStr">
        <is>
          <t>LAROCHE-POSAY Mela B3 10% Niacinamide Serum 30ml</t>
        </is>
      </c>
      <c r="D1997" t="inlineStr">
        <is>
          <t>Miss Glam Jambi</t>
        </is>
      </c>
      <c r="E1997" t="n">
        <v>2</v>
      </c>
      <c r="F1997" t="n">
        <v>0.02</v>
      </c>
      <c r="G1997" t="n">
        <v>1</v>
      </c>
      <c r="H1997" t="n">
        <v>4</v>
      </c>
      <c r="I1997" t="n">
        <v>20</v>
      </c>
      <c r="J1997" t="n">
        <v>3</v>
      </c>
      <c r="K1997" t="n">
        <v>0</v>
      </c>
      <c r="L1997" t="n">
        <v>553000</v>
      </c>
      <c r="M1997" t="n">
        <v>790000</v>
      </c>
      <c r="N1997" t="n">
        <v>33</v>
      </c>
      <c r="O1997" t="n">
        <v>0.33</v>
      </c>
      <c r="P1997" t="n">
        <v>0</v>
      </c>
      <c r="Q1997" t="n">
        <v>0.02</v>
      </c>
      <c r="R1997" t="n">
        <v>1</v>
      </c>
      <c r="S1997" t="n">
        <v>15800</v>
      </c>
      <c r="T1997" t="n">
        <v>20</v>
      </c>
      <c r="U1997" t="n">
        <v>21</v>
      </c>
      <c r="V1997" t="n">
        <v>30</v>
      </c>
      <c r="W1997" t="n">
        <v>1</v>
      </c>
      <c r="X1997" t="n">
        <v>100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6279</v>
      </c>
      <c r="AG1997" t="n">
        <v>1</v>
      </c>
      <c r="AH1997" t="inlineStr">
        <is>
          <t>PT. BERSAMA DISTRIVERSA INDONESIA (DC CIPUTAT)</t>
        </is>
      </c>
      <c r="AI1997" t="n">
        <v>1409</v>
      </c>
      <c r="AJ1997" t="inlineStr">
        <is>
          <t>LA ROCHE POSAY</t>
        </is>
      </c>
      <c r="AK1997" t="n">
        <v>9</v>
      </c>
      <c r="AL1997" t="inlineStr">
        <is>
          <t>Miss Glam Jambi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LAB ON HAIR</t>
        </is>
      </c>
      <c r="B1998" s="2">
        <f>"6970146294158"</f>
        <v/>
      </c>
      <c r="C1998" t="inlineStr">
        <is>
          <t>LAB ON HAIR Hair &amp; Scalp Spray 160ml</t>
        </is>
      </c>
      <c r="D1998" t="inlineStr">
        <is>
          <t>Miss Glam Jambi</t>
        </is>
      </c>
      <c r="E1998" t="n">
        <v>2</v>
      </c>
      <c r="F1998" t="n">
        <v>0.02</v>
      </c>
      <c r="G1998" t="n">
        <v>1</v>
      </c>
      <c r="H1998" t="n">
        <v>4</v>
      </c>
      <c r="I1998" t="n">
        <v>11</v>
      </c>
      <c r="J1998" t="n">
        <v>3</v>
      </c>
      <c r="K1998" t="n">
        <v>0</v>
      </c>
      <c r="L1998" t="n">
        <v>108800</v>
      </c>
      <c r="M1998" t="n">
        <v>170000</v>
      </c>
      <c r="N1998" t="n">
        <v>33</v>
      </c>
      <c r="O1998" t="n">
        <v>0.33</v>
      </c>
      <c r="P1998" t="n">
        <v>0</v>
      </c>
      <c r="Q1998" t="n">
        <v>0.02</v>
      </c>
      <c r="R1998" t="n">
        <v>1</v>
      </c>
      <c r="S1998" t="n">
        <v>3400</v>
      </c>
      <c r="T1998" t="n">
        <v>11</v>
      </c>
      <c r="U1998" t="n">
        <v>12</v>
      </c>
      <c r="V1998" t="n">
        <v>30</v>
      </c>
      <c r="W1998" t="n">
        <v>1</v>
      </c>
      <c r="X1998" t="n">
        <v>100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10076</v>
      </c>
      <c r="AG1998" t="n">
        <v>78</v>
      </c>
      <c r="AH1998" t="inlineStr">
        <is>
          <t>PT. GLORIENTA P.H - PPN (PDG)</t>
        </is>
      </c>
      <c r="AI1998" t="n">
        <v>1524</v>
      </c>
      <c r="AJ1998" t="inlineStr">
        <is>
          <t>LAB ON HAIR</t>
        </is>
      </c>
      <c r="AK1998" t="n">
        <v>9</v>
      </c>
      <c r="AL1998" t="inlineStr">
        <is>
          <t>Miss Glam Jambi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LABORE</t>
        </is>
      </c>
      <c r="B1999" s="2">
        <f>"10400309835"</f>
        <v/>
      </c>
      <c r="C1999" t="inlineStr">
        <is>
          <t>LABORE BiomeProtect Acne &amp; Oil Correct Physical Sunscreen 10 ml</t>
        </is>
      </c>
      <c r="D1999" t="inlineStr">
        <is>
          <t>Miss Glam Jambi</t>
        </is>
      </c>
      <c r="E1999" t="n">
        <v>5</v>
      </c>
      <c r="F1999" t="n">
        <v>0.33</v>
      </c>
      <c r="G1999" t="n">
        <v>1.98</v>
      </c>
      <c r="H1999" t="n">
        <v>2</v>
      </c>
      <c r="I1999" t="n">
        <v>7</v>
      </c>
      <c r="J1999" t="n">
        <v>1</v>
      </c>
      <c r="K1999" t="n">
        <v>0</v>
      </c>
      <c r="L1999" t="n">
        <v>47192</v>
      </c>
      <c r="M1999" t="n">
        <v>59000</v>
      </c>
      <c r="N1999" t="n">
        <v>33</v>
      </c>
      <c r="O1999" t="n">
        <v>0.33</v>
      </c>
      <c r="P1999" t="n">
        <v>1</v>
      </c>
      <c r="Q1999" t="n">
        <v>0.39</v>
      </c>
      <c r="R1999" t="n">
        <v>2</v>
      </c>
      <c r="S1999" t="n">
        <v>19470</v>
      </c>
      <c r="T1999" t="n">
        <v>14</v>
      </c>
      <c r="U1999" t="n">
        <v>15</v>
      </c>
      <c r="V1999" t="n">
        <v>30</v>
      </c>
      <c r="W1999" t="n">
        <v>10</v>
      </c>
      <c r="X1999" t="n">
        <v>15.15151515151515</v>
      </c>
      <c r="Y1999" t="n">
        <v>1</v>
      </c>
      <c r="Z1999" t="n">
        <v>5</v>
      </c>
      <c r="AA1999" t="n">
        <v>0</v>
      </c>
      <c r="AB1999" t="n">
        <v>5</v>
      </c>
      <c r="AC1999" t="n">
        <v>5</v>
      </c>
      <c r="AD1999" t="n">
        <v>0</v>
      </c>
      <c r="AE1999" t="n">
        <v>235960</v>
      </c>
      <c r="AF1999" t="n">
        <v>11584</v>
      </c>
      <c r="AG1999" t="n">
        <v>2141</v>
      </c>
      <c r="AH1999" t="inlineStr">
        <is>
          <t>PT. PARAMA GLOBAL INSPIRA - PPN (JMB)</t>
        </is>
      </c>
      <c r="AI1999" t="n">
        <v>1483</v>
      </c>
      <c r="AJ1999" t="inlineStr">
        <is>
          <t>LABORE</t>
        </is>
      </c>
      <c r="AK1999" t="n">
        <v>9</v>
      </c>
      <c r="AL1999" t="inlineStr">
        <is>
          <t>Miss Glam Jambi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LABORE</t>
        </is>
      </c>
      <c r="B2000" s="2">
        <f>"10400309757"</f>
        <v/>
      </c>
      <c r="C2000" t="inlineStr">
        <is>
          <t>LABORE BiomeProtect Acne &amp; Oil Correct Physical Sunscreen 40 ml</t>
        </is>
      </c>
      <c r="D2000" t="inlineStr">
        <is>
          <t>Miss Glam Jambi</t>
        </is>
      </c>
      <c r="E2000" t="n">
        <v>7</v>
      </c>
      <c r="F2000" t="n">
        <v>0.1914</v>
      </c>
      <c r="G2000" t="n">
        <v>1.65</v>
      </c>
      <c r="H2000" t="n">
        <v>2</v>
      </c>
      <c r="I2000" t="n">
        <v>7</v>
      </c>
      <c r="J2000" t="n">
        <v>1</v>
      </c>
      <c r="K2000" t="n">
        <v>0</v>
      </c>
      <c r="L2000" t="n">
        <v>134400</v>
      </c>
      <c r="M2000" t="n">
        <v>168000</v>
      </c>
      <c r="N2000" t="n">
        <v>33</v>
      </c>
      <c r="O2000" t="n">
        <v>0.33</v>
      </c>
      <c r="P2000" t="n">
        <v>1</v>
      </c>
      <c r="Q2000" t="n">
        <v>0.24</v>
      </c>
      <c r="R2000" t="n">
        <v>2</v>
      </c>
      <c r="S2000" t="n">
        <v>32155.2</v>
      </c>
      <c r="T2000" t="n">
        <v>12</v>
      </c>
      <c r="U2000" t="n">
        <v>13</v>
      </c>
      <c r="V2000" t="n">
        <v>30</v>
      </c>
      <c r="W2000" t="n">
        <v>6</v>
      </c>
      <c r="X2000" t="n">
        <v>36.57262277951934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11584</v>
      </c>
      <c r="AG2000" t="n">
        <v>2141</v>
      </c>
      <c r="AH2000" t="inlineStr">
        <is>
          <t>PT. PARAMA GLOBAL INSPIRA - PPN (JMB)</t>
        </is>
      </c>
      <c r="AI2000" t="n">
        <v>1483</v>
      </c>
      <c r="AJ2000" t="inlineStr">
        <is>
          <t>LABORE</t>
        </is>
      </c>
      <c r="AK2000" t="n">
        <v>9</v>
      </c>
      <c r="AL2000" t="inlineStr">
        <is>
          <t>Miss Glam Jambi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LABORE</t>
        </is>
      </c>
      <c r="B2001" s="2">
        <f>"11200151945"</f>
        <v/>
      </c>
      <c r="C2001" t="inlineStr">
        <is>
          <t>LABORE Multi-Pigmentation Brightening Serum 20ml</t>
        </is>
      </c>
      <c r="D2001" t="inlineStr">
        <is>
          <t>Miss Glam Jambi</t>
        </is>
      </c>
      <c r="E2001" t="n">
        <v>4</v>
      </c>
      <c r="F2001" t="n">
        <v>0.0396</v>
      </c>
      <c r="G2001" t="n">
        <v>0.33</v>
      </c>
      <c r="H2001" t="n">
        <v>2</v>
      </c>
      <c r="I2001" t="n">
        <v>7</v>
      </c>
      <c r="J2001" t="n">
        <v>1</v>
      </c>
      <c r="K2001" t="n">
        <v>0</v>
      </c>
      <c r="L2001" t="n">
        <v>180800</v>
      </c>
      <c r="M2001" t="n">
        <v>226000</v>
      </c>
      <c r="N2001" t="n">
        <v>33</v>
      </c>
      <c r="O2001" t="n">
        <v>0.33</v>
      </c>
      <c r="P2001" t="n">
        <v>1</v>
      </c>
      <c r="Q2001" t="n">
        <v>0.05</v>
      </c>
      <c r="R2001" t="n">
        <v>1</v>
      </c>
      <c r="S2001" t="n">
        <v>8949.6</v>
      </c>
      <c r="T2001" t="n">
        <v>3</v>
      </c>
      <c r="U2001" t="n">
        <v>4</v>
      </c>
      <c r="V2001" t="n">
        <v>30</v>
      </c>
      <c r="W2001" t="n">
        <v>2</v>
      </c>
      <c r="X2001" t="n">
        <v>101.010101010101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11584</v>
      </c>
      <c r="AG2001" t="n">
        <v>2141</v>
      </c>
      <c r="AH2001" t="inlineStr">
        <is>
          <t>PT. PARAMA GLOBAL INSPIRA - PPN (JMB)</t>
        </is>
      </c>
      <c r="AI2001" t="n">
        <v>1483</v>
      </c>
      <c r="AJ2001" t="inlineStr">
        <is>
          <t>LABORE</t>
        </is>
      </c>
      <c r="AK2001" t="n">
        <v>9</v>
      </c>
      <c r="AL2001" t="inlineStr">
        <is>
          <t>Miss Glam Jambi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LABORE</t>
        </is>
      </c>
      <c r="B2002" s="2">
        <f>"11200152028"</f>
        <v/>
      </c>
      <c r="C2002" t="inlineStr">
        <is>
          <t>LABORE Multi-Pigmentation Brightening Serum 7ml</t>
        </is>
      </c>
      <c r="D2002" t="inlineStr">
        <is>
          <t>Miss Glam Jambi</t>
        </is>
      </c>
      <c r="E2002" t="n">
        <v>14</v>
      </c>
      <c r="F2002" t="n">
        <v>0.0726</v>
      </c>
      <c r="G2002" t="n">
        <v>0.66</v>
      </c>
      <c r="H2002" t="n">
        <v>2</v>
      </c>
      <c r="I2002" t="n">
        <v>7</v>
      </c>
      <c r="J2002" t="n">
        <v>1</v>
      </c>
      <c r="K2002" t="n">
        <v>0</v>
      </c>
      <c r="L2002" t="n">
        <v>64800</v>
      </c>
      <c r="M2002" t="n">
        <v>81000</v>
      </c>
      <c r="N2002" t="n">
        <v>33</v>
      </c>
      <c r="O2002" t="n">
        <v>0.33</v>
      </c>
      <c r="P2002" t="n">
        <v>1</v>
      </c>
      <c r="Q2002" t="n">
        <v>0.19</v>
      </c>
      <c r="R2002" t="n">
        <v>1</v>
      </c>
      <c r="S2002" t="n">
        <v>5880.599999999999</v>
      </c>
      <c r="T2002" t="n">
        <v>5</v>
      </c>
      <c r="U2002" t="n">
        <v>6</v>
      </c>
      <c r="V2002" t="n">
        <v>30</v>
      </c>
      <c r="W2002" t="n">
        <v>3</v>
      </c>
      <c r="X2002" t="n">
        <v>192.8374655647383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11584</v>
      </c>
      <c r="AG2002" t="n">
        <v>2141</v>
      </c>
      <c r="AH2002" t="inlineStr">
        <is>
          <t>PT. PARAMA GLOBAL INSPIRA - PPN (JMB)</t>
        </is>
      </c>
      <c r="AI2002" t="n">
        <v>1483</v>
      </c>
      <c r="AJ2002" t="inlineStr">
        <is>
          <t>LABORE</t>
        </is>
      </c>
      <c r="AK2002" t="n">
        <v>9</v>
      </c>
      <c r="AL2002" t="inlineStr">
        <is>
          <t>Miss Glam Jambi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LABORE</t>
        </is>
      </c>
      <c r="B2003" s="2">
        <f>"8993137004138"</f>
        <v/>
      </c>
      <c r="C2003" t="inlineStr">
        <is>
          <t>LABORE Sensitive Skin Care Acne Spot Gel 15ml</t>
        </is>
      </c>
      <c r="D2003" t="inlineStr">
        <is>
          <t>Miss Glam Jambi</t>
        </is>
      </c>
      <c r="E2003" t="n">
        <v>5</v>
      </c>
      <c r="F2003" t="n">
        <v>0.066</v>
      </c>
      <c r="G2003" t="n">
        <v>0.66</v>
      </c>
      <c r="H2003" t="n">
        <v>2</v>
      </c>
      <c r="I2003" t="n">
        <v>7</v>
      </c>
      <c r="J2003" t="n">
        <v>3</v>
      </c>
      <c r="K2003" t="n">
        <v>0</v>
      </c>
      <c r="L2003" t="n">
        <v>105297</v>
      </c>
      <c r="M2003" t="n">
        <v>128000</v>
      </c>
      <c r="N2003" t="n">
        <v>33</v>
      </c>
      <c r="O2003" t="n">
        <v>0.33</v>
      </c>
      <c r="P2003" t="n">
        <v>1</v>
      </c>
      <c r="Q2003" t="n">
        <v>0.03</v>
      </c>
      <c r="R2003" t="n">
        <v>1</v>
      </c>
      <c r="S2003" t="n">
        <v>8448</v>
      </c>
      <c r="T2003" t="n">
        <v>5</v>
      </c>
      <c r="U2003" t="n">
        <v>6</v>
      </c>
      <c r="V2003" t="n">
        <v>30</v>
      </c>
      <c r="W2003" t="n">
        <v>2</v>
      </c>
      <c r="X2003" t="n">
        <v>75.75757575757575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11584</v>
      </c>
      <c r="AG2003" t="n">
        <v>2141</v>
      </c>
      <c r="AH2003" t="inlineStr">
        <is>
          <t>PT. PARAMA GLOBAL INSPIRA - PPN (JMB)</t>
        </is>
      </c>
      <c r="AI2003" t="n">
        <v>1483</v>
      </c>
      <c r="AJ2003" t="inlineStr">
        <is>
          <t>LABORE</t>
        </is>
      </c>
      <c r="AK2003" t="n">
        <v>9</v>
      </c>
      <c r="AL2003" t="inlineStr">
        <is>
          <t>Miss Glam Jambi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LABORE</t>
        </is>
      </c>
      <c r="B2004" s="2">
        <f>"8993137711906"</f>
        <v/>
      </c>
      <c r="C2004" t="inlineStr">
        <is>
          <t>LABORE Sensitive Skin Care Barrier Repair Serum 20ml</t>
        </is>
      </c>
      <c r="D2004" t="inlineStr">
        <is>
          <t>Miss Glam Jambi</t>
        </is>
      </c>
      <c r="E2004" t="n">
        <v>2</v>
      </c>
      <c r="F2004" t="n">
        <v>0.033</v>
      </c>
      <c r="G2004" t="n">
        <v>0.33</v>
      </c>
      <c r="H2004" t="n">
        <v>2</v>
      </c>
      <c r="I2004" t="n">
        <v>7</v>
      </c>
      <c r="J2004" t="n">
        <v>3</v>
      </c>
      <c r="K2004" t="n">
        <v>0</v>
      </c>
      <c r="L2004" t="n">
        <v>145492</v>
      </c>
      <c r="M2004" t="n">
        <v>167000</v>
      </c>
      <c r="N2004" t="n">
        <v>33</v>
      </c>
      <c r="O2004" t="n">
        <v>0.33</v>
      </c>
      <c r="P2004" t="n">
        <v>1</v>
      </c>
      <c r="Q2004" t="n">
        <v>0.02</v>
      </c>
      <c r="R2004" t="n">
        <v>1</v>
      </c>
      <c r="S2004" t="n">
        <v>5511</v>
      </c>
      <c r="T2004" t="n">
        <v>3</v>
      </c>
      <c r="U2004" t="n">
        <v>4</v>
      </c>
      <c r="V2004" t="n">
        <v>30</v>
      </c>
      <c r="W2004" t="n">
        <v>1</v>
      </c>
      <c r="X2004" t="n">
        <v>60.6060606060606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11584</v>
      </c>
      <c r="AG2004" t="n">
        <v>2141</v>
      </c>
      <c r="AH2004" t="inlineStr">
        <is>
          <t>PT. PARAMA GLOBAL INSPIRA - PPN (JMB)</t>
        </is>
      </c>
      <c r="AI2004" t="n">
        <v>1483</v>
      </c>
      <c r="AJ2004" t="inlineStr">
        <is>
          <t>LABORE</t>
        </is>
      </c>
      <c r="AK2004" t="n">
        <v>9</v>
      </c>
      <c r="AL2004" t="inlineStr">
        <is>
          <t>Miss Glam Jambi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LABORE</t>
        </is>
      </c>
      <c r="B2005" s="2">
        <f>"10400309637"</f>
        <v/>
      </c>
      <c r="C2005" t="inlineStr">
        <is>
          <t>LABORE Sensitive Skin Care BiomeProtect Physical Sunscreen SPF50+ PA++++ 80 g</t>
        </is>
      </c>
      <c r="D2005" t="inlineStr">
        <is>
          <t>Miss Glam Jambi</t>
        </is>
      </c>
      <c r="E2005" t="n">
        <v>4</v>
      </c>
      <c r="F2005" t="n">
        <v>0.009900000000000001</v>
      </c>
      <c r="G2005" t="n">
        <v>0.33</v>
      </c>
      <c r="H2005" t="n">
        <v>2</v>
      </c>
      <c r="I2005" t="n">
        <v>7</v>
      </c>
      <c r="J2005" t="n">
        <v>1</v>
      </c>
      <c r="K2005" t="n">
        <v>0</v>
      </c>
      <c r="L2005" t="n">
        <v>291200</v>
      </c>
      <c r="M2005" t="n">
        <v>359000</v>
      </c>
      <c r="N2005" t="n">
        <v>33</v>
      </c>
      <c r="O2005" t="n">
        <v>0.33</v>
      </c>
      <c r="P2005" t="n">
        <v>1</v>
      </c>
      <c r="Q2005" t="n">
        <v>0.07000000000000001</v>
      </c>
      <c r="R2005" t="n">
        <v>1</v>
      </c>
      <c r="S2005" t="n">
        <v>3554.1</v>
      </c>
      <c r="T2005" t="n">
        <v>3</v>
      </c>
      <c r="U2005" t="n">
        <v>4</v>
      </c>
      <c r="V2005" t="n">
        <v>30</v>
      </c>
      <c r="W2005" t="n">
        <v>1</v>
      </c>
      <c r="X2005" t="n">
        <v>404.040404040404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11584</v>
      </c>
      <c r="AG2005" t="n">
        <v>2141</v>
      </c>
      <c r="AH2005" t="inlineStr">
        <is>
          <t>PT. PARAMA GLOBAL INSPIRA - PPN (JMB)</t>
        </is>
      </c>
      <c r="AI2005" t="n">
        <v>1483</v>
      </c>
      <c r="AJ2005" t="inlineStr">
        <is>
          <t>LABORE</t>
        </is>
      </c>
      <c r="AK2005" t="n">
        <v>9</v>
      </c>
      <c r="AL2005" t="inlineStr">
        <is>
          <t>Miss Glam Jambi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LABORE</t>
        </is>
      </c>
      <c r="B2006" s="2">
        <f>"10300725012"</f>
        <v/>
      </c>
      <c r="C2006" t="inlineStr">
        <is>
          <t>LABORE Sensitive Skin Care BiomeRepair Barrier Revive Cream 100 ml</t>
        </is>
      </c>
      <c r="D2006" t="inlineStr">
        <is>
          <t>Miss Glam Jambi</t>
        </is>
      </c>
      <c r="E2006" t="n">
        <v>5</v>
      </c>
      <c r="F2006" t="n">
        <v>0.0561</v>
      </c>
      <c r="G2006" t="n">
        <v>0.66</v>
      </c>
      <c r="H2006" t="n">
        <v>2</v>
      </c>
      <c r="I2006" t="n">
        <v>7</v>
      </c>
      <c r="J2006" t="n">
        <v>1</v>
      </c>
      <c r="K2006" t="n">
        <v>0</v>
      </c>
      <c r="L2006" t="n">
        <v>244000</v>
      </c>
      <c r="M2006" t="n">
        <v>297000</v>
      </c>
      <c r="N2006" t="n">
        <v>33</v>
      </c>
      <c r="O2006" t="n">
        <v>0.33</v>
      </c>
      <c r="P2006" t="n">
        <v>1</v>
      </c>
      <c r="Q2006" t="n">
        <v>0.05</v>
      </c>
      <c r="R2006" t="n">
        <v>1</v>
      </c>
      <c r="S2006" t="n">
        <v>16661.7</v>
      </c>
      <c r="T2006" t="n">
        <v>5</v>
      </c>
      <c r="U2006" t="n">
        <v>6</v>
      </c>
      <c r="V2006" t="n">
        <v>30</v>
      </c>
      <c r="W2006" t="n">
        <v>2</v>
      </c>
      <c r="X2006" t="n">
        <v>89.12655971479501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11584</v>
      </c>
      <c r="AG2006" t="n">
        <v>2141</v>
      </c>
      <c r="AH2006" t="inlineStr">
        <is>
          <t>PT. PARAMA GLOBAL INSPIRA - PPN (JMB)</t>
        </is>
      </c>
      <c r="AI2006" t="n">
        <v>1483</v>
      </c>
      <c r="AJ2006" t="inlineStr">
        <is>
          <t>LABORE</t>
        </is>
      </c>
      <c r="AK2006" t="n">
        <v>9</v>
      </c>
      <c r="AL2006" t="inlineStr">
        <is>
          <t>Miss Glam Jambi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LABORE</t>
        </is>
      </c>
      <c r="B2007" s="2">
        <f>"8993137713207"</f>
        <v/>
      </c>
      <c r="C2007" t="inlineStr">
        <is>
          <t>LABORE Sensitive Skin Care Gentle Biome Mild Cleanser 225ml</t>
        </is>
      </c>
      <c r="D2007" t="inlineStr">
        <is>
          <t>Miss Glam Jambi</t>
        </is>
      </c>
      <c r="E2007" t="n">
        <v>15</v>
      </c>
      <c r="F2007" t="n">
        <v>0.1056</v>
      </c>
      <c r="G2007" t="n">
        <v>0.66</v>
      </c>
      <c r="H2007" t="n">
        <v>2</v>
      </c>
      <c r="I2007" t="n">
        <v>7</v>
      </c>
      <c r="J2007" t="n">
        <v>3</v>
      </c>
      <c r="K2007" t="n">
        <v>0</v>
      </c>
      <c r="L2007" t="n">
        <v>119999</v>
      </c>
      <c r="M2007" t="n">
        <v>145000</v>
      </c>
      <c r="N2007" t="n">
        <v>33</v>
      </c>
      <c r="O2007" t="n">
        <v>0.33</v>
      </c>
      <c r="P2007" t="n">
        <v>1</v>
      </c>
      <c r="Q2007" t="n">
        <v>0.34</v>
      </c>
      <c r="R2007" t="n">
        <v>2</v>
      </c>
      <c r="S2007" t="n">
        <v>15312</v>
      </c>
      <c r="T2007" t="n">
        <v>5</v>
      </c>
      <c r="U2007" t="n">
        <v>6</v>
      </c>
      <c r="V2007" t="n">
        <v>30</v>
      </c>
      <c r="W2007" t="n">
        <v>4</v>
      </c>
      <c r="X2007" t="n">
        <v>142.0454545454545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11584</v>
      </c>
      <c r="AG2007" t="n">
        <v>2141</v>
      </c>
      <c r="AH2007" t="inlineStr">
        <is>
          <t>PT. PARAMA GLOBAL INSPIRA - PPN (JMB)</t>
        </is>
      </c>
      <c r="AI2007" t="n">
        <v>1483</v>
      </c>
      <c r="AJ2007" t="inlineStr">
        <is>
          <t>LABORE</t>
        </is>
      </c>
      <c r="AK2007" t="n">
        <v>9</v>
      </c>
      <c r="AL2007" t="inlineStr">
        <is>
          <t>Miss Glam Jambi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LABORE</t>
        </is>
      </c>
      <c r="B2008" s="2">
        <f>"8993137735827"</f>
        <v/>
      </c>
      <c r="C2008" t="inlineStr">
        <is>
          <t>LABORE Sensitive Skin Care GentleBiome Hydrating Face &amp; Body Cleanser 250ml</t>
        </is>
      </c>
      <c r="D2008" t="inlineStr">
        <is>
          <t>Miss Glam Jambi</t>
        </is>
      </c>
      <c r="E2008" t="n">
        <v>4</v>
      </c>
      <c r="F2008" t="n">
        <v>0.0561</v>
      </c>
      <c r="G2008" t="n">
        <v>0.66</v>
      </c>
      <c r="H2008" t="n">
        <v>2</v>
      </c>
      <c r="I2008" t="n">
        <v>7</v>
      </c>
      <c r="J2008" t="n">
        <v>3</v>
      </c>
      <c r="K2008" t="n">
        <v>0</v>
      </c>
      <c r="L2008" t="n">
        <v>115832</v>
      </c>
      <c r="M2008" t="n">
        <v>134000</v>
      </c>
      <c r="N2008" t="n">
        <v>33</v>
      </c>
      <c r="O2008" t="n">
        <v>0.33</v>
      </c>
      <c r="P2008" t="n">
        <v>1</v>
      </c>
      <c r="Q2008" t="n">
        <v>0.07000000000000001</v>
      </c>
      <c r="R2008" t="n">
        <v>1</v>
      </c>
      <c r="S2008" t="n">
        <v>7517.400000000001</v>
      </c>
      <c r="T2008" t="n">
        <v>5</v>
      </c>
      <c r="U2008" t="n">
        <v>6</v>
      </c>
      <c r="V2008" t="n">
        <v>30</v>
      </c>
      <c r="W2008" t="n">
        <v>2</v>
      </c>
      <c r="X2008" t="n">
        <v>71.301247771836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11584</v>
      </c>
      <c r="AG2008" t="n">
        <v>2141</v>
      </c>
      <c r="AH2008" t="inlineStr">
        <is>
          <t>PT. PARAMA GLOBAL INSPIRA - PPN (JMB)</t>
        </is>
      </c>
      <c r="AI2008" t="n">
        <v>1483</v>
      </c>
      <c r="AJ2008" t="inlineStr">
        <is>
          <t>LABORE</t>
        </is>
      </c>
      <c r="AK2008" t="n">
        <v>9</v>
      </c>
      <c r="AL2008" t="inlineStr">
        <is>
          <t>Miss Glam Jambi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LABORE</t>
        </is>
      </c>
      <c r="B2009" s="2">
        <f>"8993137004145"</f>
        <v/>
      </c>
      <c r="C2009" t="inlineStr">
        <is>
          <t>LABORE Sensitive Skin Care Intensive Acne Serun 7ml</t>
        </is>
      </c>
      <c r="D2009" t="inlineStr">
        <is>
          <t>Miss Glam Jambi</t>
        </is>
      </c>
      <c r="E2009" t="n">
        <v>5</v>
      </c>
      <c r="F2009" t="n">
        <v>0.0495</v>
      </c>
      <c r="G2009" t="n">
        <v>0.33</v>
      </c>
      <c r="H2009" t="n">
        <v>2</v>
      </c>
      <c r="I2009" t="n">
        <v>7</v>
      </c>
      <c r="J2009" t="n">
        <v>3</v>
      </c>
      <c r="K2009" t="n">
        <v>0</v>
      </c>
      <c r="L2009" t="n">
        <v>61403</v>
      </c>
      <c r="M2009" t="n">
        <v>77000</v>
      </c>
      <c r="N2009" t="n">
        <v>33</v>
      </c>
      <c r="O2009" t="n">
        <v>0.33</v>
      </c>
      <c r="P2009" t="n">
        <v>1</v>
      </c>
      <c r="Q2009" t="n">
        <v>0.08</v>
      </c>
      <c r="R2009" t="n">
        <v>2</v>
      </c>
      <c r="S2009" t="n">
        <v>3811.5</v>
      </c>
      <c r="T2009" t="n">
        <v>3</v>
      </c>
      <c r="U2009" t="n">
        <v>4</v>
      </c>
      <c r="V2009" t="n">
        <v>30</v>
      </c>
      <c r="W2009" t="n">
        <v>2</v>
      </c>
      <c r="X2009" t="n">
        <v>101.010101010101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11584</v>
      </c>
      <c r="AG2009" t="n">
        <v>2141</v>
      </c>
      <c r="AH2009" t="inlineStr">
        <is>
          <t>PT. PARAMA GLOBAL INSPIRA - PPN (JMB)</t>
        </is>
      </c>
      <c r="AI2009" t="n">
        <v>1483</v>
      </c>
      <c r="AJ2009" t="inlineStr">
        <is>
          <t>LABORE</t>
        </is>
      </c>
      <c r="AK2009" t="n">
        <v>9</v>
      </c>
      <c r="AL2009" t="inlineStr">
        <is>
          <t>Miss Glam Jambi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LABORE</t>
        </is>
      </c>
      <c r="B2010" s="2">
        <f>"8993137004114"</f>
        <v/>
      </c>
      <c r="C2010" t="inlineStr">
        <is>
          <t>LABORE Sensitive Skin Care Micro Exfoliating Gentle Toner 100ml</t>
        </is>
      </c>
      <c r="D2010" t="inlineStr">
        <is>
          <t>Miss Glam Jambi</t>
        </is>
      </c>
      <c r="E2010" t="n">
        <v>3</v>
      </c>
      <c r="F2010" t="n">
        <v>0.0264</v>
      </c>
      <c r="G2010" t="n">
        <v>0.33</v>
      </c>
      <c r="H2010" t="n">
        <v>2</v>
      </c>
      <c r="I2010" t="n">
        <v>7</v>
      </c>
      <c r="J2010" t="n">
        <v>3</v>
      </c>
      <c r="K2010" t="n">
        <v>0</v>
      </c>
      <c r="L2010" t="n">
        <v>133400</v>
      </c>
      <c r="M2010" t="n">
        <v>163000</v>
      </c>
      <c r="N2010" t="n">
        <v>33</v>
      </c>
      <c r="O2010" t="n">
        <v>0.33</v>
      </c>
      <c r="P2010" t="n">
        <v>1</v>
      </c>
      <c r="Q2010" t="n">
        <v>0.05</v>
      </c>
      <c r="R2010" t="n">
        <v>1</v>
      </c>
      <c r="S2010" t="n">
        <v>4303.200000000001</v>
      </c>
      <c r="T2010" t="n">
        <v>3</v>
      </c>
      <c r="U2010" t="n">
        <v>4</v>
      </c>
      <c r="V2010" t="n">
        <v>30</v>
      </c>
      <c r="W2010" t="n">
        <v>1</v>
      </c>
      <c r="X2010" t="n">
        <v>113.6363636363636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11584</v>
      </c>
      <c r="AG2010" t="n">
        <v>2141</v>
      </c>
      <c r="AH2010" t="inlineStr">
        <is>
          <t>PT. PARAMA GLOBAL INSPIRA - PPN (JMB)</t>
        </is>
      </c>
      <c r="AI2010" t="n">
        <v>1483</v>
      </c>
      <c r="AJ2010" t="inlineStr">
        <is>
          <t>LABORE</t>
        </is>
      </c>
      <c r="AK2010" t="n">
        <v>9</v>
      </c>
      <c r="AL2010" t="inlineStr">
        <is>
          <t>Miss Glam Jambi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LABORE</t>
        </is>
      </c>
      <c r="B2011" s="2">
        <f>"8993137004169"</f>
        <v/>
      </c>
      <c r="C2011" t="inlineStr">
        <is>
          <t>LABORE Sensitive Skin Care Sebum &amp; Acne Cleansing Mousse 25ml</t>
        </is>
      </c>
      <c r="D2011" t="inlineStr">
        <is>
          <t>Miss Glam Jambi</t>
        </is>
      </c>
      <c r="E2011" t="n">
        <v>9</v>
      </c>
      <c r="F2011" t="n">
        <v>0.1617</v>
      </c>
      <c r="G2011" t="n">
        <v>0.99</v>
      </c>
      <c r="H2011" t="n">
        <v>2</v>
      </c>
      <c r="I2011" t="n">
        <v>7</v>
      </c>
      <c r="J2011" t="n">
        <v>3</v>
      </c>
      <c r="K2011" t="n">
        <v>0</v>
      </c>
      <c r="L2011" t="n">
        <v>50398</v>
      </c>
      <c r="M2011" t="n">
        <v>63000</v>
      </c>
      <c r="N2011" t="n">
        <v>33</v>
      </c>
      <c r="O2011" t="n">
        <v>0.33</v>
      </c>
      <c r="P2011" t="n">
        <v>1</v>
      </c>
      <c r="Q2011" t="n">
        <v>0.15</v>
      </c>
      <c r="R2011" t="n">
        <v>2</v>
      </c>
      <c r="S2011" t="n">
        <v>10187.1</v>
      </c>
      <c r="T2011" t="n">
        <v>7</v>
      </c>
      <c r="U2011" t="n">
        <v>8</v>
      </c>
      <c r="V2011" t="n">
        <v>30</v>
      </c>
      <c r="W2011" t="n">
        <v>5</v>
      </c>
      <c r="X2011" t="n">
        <v>55.65862708719851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11584</v>
      </c>
      <c r="AG2011" t="n">
        <v>2141</v>
      </c>
      <c r="AH2011" t="inlineStr">
        <is>
          <t>PT. PARAMA GLOBAL INSPIRA - PPN (JMB)</t>
        </is>
      </c>
      <c r="AI2011" t="n">
        <v>1483</v>
      </c>
      <c r="AJ2011" t="inlineStr">
        <is>
          <t>LABORE</t>
        </is>
      </c>
      <c r="AK2011" t="n">
        <v>9</v>
      </c>
      <c r="AL2011" t="inlineStr">
        <is>
          <t>Miss Glam Jambi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LABORE</t>
        </is>
      </c>
      <c r="B2012" s="2">
        <f>"8993137736572"</f>
        <v/>
      </c>
      <c r="C2012" t="inlineStr">
        <is>
          <t>LABORE Sensitive Skin Care Topi Calm Cream 20ml</t>
        </is>
      </c>
      <c r="D2012" t="inlineStr">
        <is>
          <t>Miss Glam Jambi</t>
        </is>
      </c>
      <c r="E2012" t="n">
        <v>16</v>
      </c>
      <c r="F2012" t="n">
        <v>0.2475</v>
      </c>
      <c r="G2012" t="n">
        <v>0.99</v>
      </c>
      <c r="H2012" t="n">
        <v>2</v>
      </c>
      <c r="I2012" t="n">
        <v>7</v>
      </c>
      <c r="J2012" t="n">
        <v>3</v>
      </c>
      <c r="K2012" t="n">
        <v>0</v>
      </c>
      <c r="L2012" t="n">
        <v>51192</v>
      </c>
      <c r="M2012" t="n">
        <v>58000</v>
      </c>
      <c r="N2012" t="n">
        <v>33</v>
      </c>
      <c r="O2012" t="n">
        <v>0.33</v>
      </c>
      <c r="P2012" t="n">
        <v>1</v>
      </c>
      <c r="Q2012" t="n">
        <v>0.24</v>
      </c>
      <c r="R2012" t="n">
        <v>2</v>
      </c>
      <c r="S2012" t="n">
        <v>14355</v>
      </c>
      <c r="T2012" t="n">
        <v>7</v>
      </c>
      <c r="U2012" t="n">
        <v>8</v>
      </c>
      <c r="V2012" t="n">
        <v>30</v>
      </c>
      <c r="W2012" t="n">
        <v>8</v>
      </c>
      <c r="X2012" t="n">
        <v>64.64646464646465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11584</v>
      </c>
      <c r="AG2012" t="n">
        <v>2141</v>
      </c>
      <c r="AH2012" t="inlineStr">
        <is>
          <t>PT. PARAMA GLOBAL INSPIRA - PPN (JMB)</t>
        </is>
      </c>
      <c r="AI2012" t="n">
        <v>1483</v>
      </c>
      <c r="AJ2012" t="inlineStr">
        <is>
          <t>LABORE</t>
        </is>
      </c>
      <c r="AK2012" t="n">
        <v>9</v>
      </c>
      <c r="AL2012" t="inlineStr">
        <is>
          <t>Miss Glam Jambi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LABORE</t>
        </is>
      </c>
      <c r="B2013" s="2">
        <f>"8993137736275"</f>
        <v/>
      </c>
      <c r="C2013" t="inlineStr">
        <is>
          <t>LABORE Sensitive Skin Care Topi Calm Cream 85ml</t>
        </is>
      </c>
      <c r="D2013" t="inlineStr">
        <is>
          <t>Miss Glam Jambi</t>
        </is>
      </c>
      <c r="E2013" t="n">
        <v>2</v>
      </c>
      <c r="F2013" t="n">
        <v>0.0462</v>
      </c>
      <c r="G2013" t="n">
        <v>0.33</v>
      </c>
      <c r="H2013" t="n">
        <v>2</v>
      </c>
      <c r="I2013" t="n">
        <v>7</v>
      </c>
      <c r="J2013" t="n">
        <v>3</v>
      </c>
      <c r="K2013" t="n">
        <v>0</v>
      </c>
      <c r="L2013" t="n">
        <v>139345</v>
      </c>
      <c r="M2013" t="n">
        <v>204000</v>
      </c>
      <c r="N2013" t="n">
        <v>33</v>
      </c>
      <c r="O2013" t="n">
        <v>0.33</v>
      </c>
      <c r="P2013" t="n">
        <v>1</v>
      </c>
      <c r="Q2013" t="n">
        <v>0.02</v>
      </c>
      <c r="R2013" t="n">
        <v>1</v>
      </c>
      <c r="S2013" t="n">
        <v>9424.800000000001</v>
      </c>
      <c r="T2013" t="n">
        <v>3</v>
      </c>
      <c r="U2013" t="n">
        <v>4</v>
      </c>
      <c r="V2013" t="n">
        <v>30</v>
      </c>
      <c r="W2013" t="n">
        <v>2</v>
      </c>
      <c r="X2013" t="n">
        <v>43.29004329004329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11584</v>
      </c>
      <c r="AG2013" t="n">
        <v>2141</v>
      </c>
      <c r="AH2013" t="inlineStr">
        <is>
          <t>PT. PARAMA GLOBAL INSPIRA - PPN (JMB)</t>
        </is>
      </c>
      <c r="AI2013" t="n">
        <v>1483</v>
      </c>
      <c r="AJ2013" t="inlineStr">
        <is>
          <t>LABORE</t>
        </is>
      </c>
      <c r="AK2013" t="n">
        <v>9</v>
      </c>
      <c r="AL2013" t="inlineStr">
        <is>
          <t>Miss Glam Jambi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LABORE</t>
        </is>
      </c>
      <c r="B2014" s="2">
        <f>"8993137712873"</f>
        <v/>
      </c>
      <c r="C2014" t="inlineStr">
        <is>
          <t>LABORE Sensitive Skincare BiomeProctect Physical Sunscreen SPF 45 PA+++ 10ml</t>
        </is>
      </c>
      <c r="D2014" t="inlineStr">
        <is>
          <t>Miss Glam Jambi</t>
        </is>
      </c>
      <c r="E2014" t="n">
        <v>12</v>
      </c>
      <c r="F2014" t="n">
        <v>0.4488</v>
      </c>
      <c r="G2014" t="n">
        <v>2.31</v>
      </c>
      <c r="H2014" t="n">
        <v>2</v>
      </c>
      <c r="I2014" t="n">
        <v>7</v>
      </c>
      <c r="J2014" t="n">
        <v>3</v>
      </c>
      <c r="K2014" t="n">
        <v>0</v>
      </c>
      <c r="L2014" t="n">
        <v>48798</v>
      </c>
      <c r="M2014" t="n">
        <v>59000</v>
      </c>
      <c r="N2014" t="n">
        <v>33</v>
      </c>
      <c r="O2014" t="n">
        <v>0.33</v>
      </c>
      <c r="P2014" t="n">
        <v>1</v>
      </c>
      <c r="Q2014" t="n">
        <v>0.71</v>
      </c>
      <c r="R2014" t="n">
        <v>4</v>
      </c>
      <c r="S2014" t="n">
        <v>26479.2</v>
      </c>
      <c r="T2014" t="n">
        <v>16</v>
      </c>
      <c r="U2014" t="n">
        <v>17</v>
      </c>
      <c r="V2014" t="n">
        <v>30</v>
      </c>
      <c r="W2014" t="n">
        <v>14</v>
      </c>
      <c r="X2014" t="n">
        <v>26.7379679144385</v>
      </c>
      <c r="Y2014" t="n">
        <v>1</v>
      </c>
      <c r="Z2014" t="n">
        <v>2</v>
      </c>
      <c r="AA2014" t="n">
        <v>0</v>
      </c>
      <c r="AB2014" t="n">
        <v>2</v>
      </c>
      <c r="AC2014" t="n">
        <v>3</v>
      </c>
      <c r="AD2014" t="n">
        <v>0</v>
      </c>
      <c r="AE2014" t="n">
        <v>146394</v>
      </c>
      <c r="AF2014" t="n">
        <v>11584</v>
      </c>
      <c r="AG2014" t="n">
        <v>2141</v>
      </c>
      <c r="AH2014" t="inlineStr">
        <is>
          <t>PT. PARAMA GLOBAL INSPIRA - PPN (JMB)</t>
        </is>
      </c>
      <c r="AI2014" t="n">
        <v>1483</v>
      </c>
      <c r="AJ2014" t="inlineStr">
        <is>
          <t>LABORE</t>
        </is>
      </c>
      <c r="AK2014" t="n">
        <v>9</v>
      </c>
      <c r="AL2014" t="inlineStr">
        <is>
          <t>Miss Glam Jambi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LABORE</t>
        </is>
      </c>
      <c r="B2015" s="2">
        <f>"8993137711951"</f>
        <v/>
      </c>
      <c r="C2015" t="inlineStr">
        <is>
          <t>LABORE Sensitive Skincare BiomeProctect Physical Sunscreen SPF 45 PA+++ 30ml</t>
        </is>
      </c>
      <c r="D2015" t="inlineStr">
        <is>
          <t>Miss Glam Jambi</t>
        </is>
      </c>
      <c r="E2015" t="n">
        <v>11</v>
      </c>
      <c r="F2015" t="n">
        <v>0.2574</v>
      </c>
      <c r="G2015" t="n">
        <v>1.32</v>
      </c>
      <c r="H2015" t="n">
        <v>2</v>
      </c>
      <c r="I2015" t="n">
        <v>7</v>
      </c>
      <c r="J2015" t="n">
        <v>3</v>
      </c>
      <c r="K2015" t="n">
        <v>0</v>
      </c>
      <c r="L2015" t="n">
        <v>128800</v>
      </c>
      <c r="M2015" t="n">
        <v>161000</v>
      </c>
      <c r="N2015" t="n">
        <v>33</v>
      </c>
      <c r="O2015" t="n">
        <v>0.33</v>
      </c>
      <c r="P2015" t="n">
        <v>1</v>
      </c>
      <c r="Q2015" t="n">
        <v>0.37</v>
      </c>
      <c r="R2015" t="n">
        <v>2</v>
      </c>
      <c r="S2015" t="n">
        <v>41441.4</v>
      </c>
      <c r="T2015" t="n">
        <v>9</v>
      </c>
      <c r="U2015" t="n">
        <v>10</v>
      </c>
      <c r="V2015" t="n">
        <v>30</v>
      </c>
      <c r="W2015" t="n">
        <v>8</v>
      </c>
      <c r="X2015" t="n">
        <v>42.73504273504273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11584</v>
      </c>
      <c r="AG2015" t="n">
        <v>2141</v>
      </c>
      <c r="AH2015" t="inlineStr">
        <is>
          <t>PT. PARAMA GLOBAL INSPIRA - PPN (JMB)</t>
        </is>
      </c>
      <c r="AI2015" t="n">
        <v>1483</v>
      </c>
      <c r="AJ2015" t="inlineStr">
        <is>
          <t>LABORE</t>
        </is>
      </c>
      <c r="AK2015" t="n">
        <v>9</v>
      </c>
      <c r="AL2015" t="inlineStr">
        <is>
          <t>Miss Glam Jambi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LABORE</t>
        </is>
      </c>
      <c r="B2016" s="2">
        <f>"8993137712880"</f>
        <v/>
      </c>
      <c r="C2016" t="inlineStr">
        <is>
          <t>LABORE Sensitive Skincare BiomeRepair Barier Revive Cream 10ml</t>
        </is>
      </c>
      <c r="D2016" t="inlineStr">
        <is>
          <t>Miss Glam Jambi</t>
        </is>
      </c>
      <c r="E2016" t="n">
        <v>57</v>
      </c>
      <c r="F2016" t="n">
        <v>1.4817</v>
      </c>
      <c r="G2016" t="n">
        <v>4.95</v>
      </c>
      <c r="H2016" t="n">
        <v>2</v>
      </c>
      <c r="I2016" t="n">
        <v>7</v>
      </c>
      <c r="J2016" t="n">
        <v>3</v>
      </c>
      <c r="K2016" t="n">
        <v>0</v>
      </c>
      <c r="L2016" t="n">
        <v>48807</v>
      </c>
      <c r="M2016" t="n">
        <v>59000</v>
      </c>
      <c r="N2016" t="n">
        <v>33</v>
      </c>
      <c r="O2016" t="n">
        <v>0.33</v>
      </c>
      <c r="P2016" t="n">
        <v>1</v>
      </c>
      <c r="Q2016" t="n">
        <v>1.68</v>
      </c>
      <c r="R2016" t="n">
        <v>6</v>
      </c>
      <c r="S2016" t="n">
        <v>87420.30000000002</v>
      </c>
      <c r="T2016" t="n">
        <v>32</v>
      </c>
      <c r="U2016" t="n">
        <v>35</v>
      </c>
      <c r="V2016" t="n">
        <v>30</v>
      </c>
      <c r="W2016" t="n">
        <v>45</v>
      </c>
      <c r="X2016" t="n">
        <v>38.46932577444827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11584</v>
      </c>
      <c r="AG2016" t="n">
        <v>2141</v>
      </c>
      <c r="AH2016" t="inlineStr">
        <is>
          <t>PT. PARAMA GLOBAL INSPIRA - PPN (JMB)</t>
        </is>
      </c>
      <c r="AI2016" t="n">
        <v>1483</v>
      </c>
      <c r="AJ2016" t="inlineStr">
        <is>
          <t>LABORE</t>
        </is>
      </c>
      <c r="AK2016" t="n">
        <v>9</v>
      </c>
      <c r="AL2016" t="inlineStr">
        <is>
          <t>Miss Glam Jambi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LABORE</t>
        </is>
      </c>
      <c r="B2017" s="2">
        <f>"8993137711883"</f>
        <v/>
      </c>
      <c r="C2017" t="inlineStr">
        <is>
          <t>LABORE Sensitive Skincare BiomeRepair Barier Revive Cream 50ml</t>
        </is>
      </c>
      <c r="D2017" t="inlineStr">
        <is>
          <t>Miss Glam Jambi</t>
        </is>
      </c>
      <c r="E2017" t="n">
        <v>36</v>
      </c>
      <c r="F2017" t="n">
        <v>0.6534</v>
      </c>
      <c r="G2017" t="n">
        <v>1.98</v>
      </c>
      <c r="H2017" t="n">
        <v>2</v>
      </c>
      <c r="I2017" t="n">
        <v>7</v>
      </c>
      <c r="J2017" t="n">
        <v>3</v>
      </c>
      <c r="K2017" t="n">
        <v>0</v>
      </c>
      <c r="L2017" t="n">
        <v>152807</v>
      </c>
      <c r="M2017" t="n">
        <v>185000</v>
      </c>
      <c r="N2017" t="n">
        <v>33</v>
      </c>
      <c r="O2017" t="n">
        <v>0.33</v>
      </c>
      <c r="P2017" t="n">
        <v>1</v>
      </c>
      <c r="Q2017" t="n">
        <v>1.15</v>
      </c>
      <c r="R2017" t="n">
        <v>4</v>
      </c>
      <c r="S2017" t="n">
        <v>120879</v>
      </c>
      <c r="T2017" t="n">
        <v>13</v>
      </c>
      <c r="U2017" t="n">
        <v>15</v>
      </c>
      <c r="V2017" t="n">
        <v>30</v>
      </c>
      <c r="W2017" t="n">
        <v>20</v>
      </c>
      <c r="X2017" t="n">
        <v>55.09641873278237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11584</v>
      </c>
      <c r="AG2017" t="n">
        <v>2141</v>
      </c>
      <c r="AH2017" t="inlineStr">
        <is>
          <t>PT. PARAMA GLOBAL INSPIRA - PPN (JMB)</t>
        </is>
      </c>
      <c r="AI2017" t="n">
        <v>1483</v>
      </c>
      <c r="AJ2017" t="inlineStr">
        <is>
          <t>LABORE</t>
        </is>
      </c>
      <c r="AK2017" t="n">
        <v>9</v>
      </c>
      <c r="AL2017" t="inlineStr">
        <is>
          <t>Miss Glam Jambi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LABORE</t>
        </is>
      </c>
      <c r="B2018" s="2">
        <f>"8993137711913"</f>
        <v/>
      </c>
      <c r="C2018" t="inlineStr">
        <is>
          <t>LABORE Sensitive Skincare Gentle Biome Mild Cleanser 100ml</t>
        </is>
      </c>
      <c r="D2018" t="inlineStr">
        <is>
          <t>Miss Glam Jambi</t>
        </is>
      </c>
      <c r="E2018" t="n">
        <v>20</v>
      </c>
      <c r="F2018" t="n">
        <v>0.2475</v>
      </c>
      <c r="G2018" t="n">
        <v>0.99</v>
      </c>
      <c r="H2018" t="n">
        <v>2</v>
      </c>
      <c r="I2018" t="n">
        <v>7</v>
      </c>
      <c r="J2018" t="n">
        <v>3</v>
      </c>
      <c r="K2018" t="n">
        <v>0</v>
      </c>
      <c r="L2018" t="n">
        <v>72141</v>
      </c>
      <c r="M2018" t="n">
        <v>90000</v>
      </c>
      <c r="N2018" t="n">
        <v>33</v>
      </c>
      <c r="O2018" t="n">
        <v>0.33</v>
      </c>
      <c r="P2018" t="n">
        <v>1</v>
      </c>
      <c r="Q2018" t="n">
        <v>0.25</v>
      </c>
      <c r="R2018" t="n">
        <v>2</v>
      </c>
      <c r="S2018" t="n">
        <v>22275</v>
      </c>
      <c r="T2018" t="n">
        <v>7</v>
      </c>
      <c r="U2018" t="n">
        <v>8</v>
      </c>
      <c r="V2018" t="n">
        <v>30</v>
      </c>
      <c r="W2018" t="n">
        <v>8</v>
      </c>
      <c r="X2018" t="n">
        <v>80.8080808080808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11584</v>
      </c>
      <c r="AG2018" t="n">
        <v>2141</v>
      </c>
      <c r="AH2018" t="inlineStr">
        <is>
          <t>PT. PARAMA GLOBAL INSPIRA - PPN (JMB)</t>
        </is>
      </c>
      <c r="AI2018" t="n">
        <v>1483</v>
      </c>
      <c r="AJ2018" t="inlineStr">
        <is>
          <t>LABORE</t>
        </is>
      </c>
      <c r="AK2018" t="n">
        <v>9</v>
      </c>
      <c r="AL2018" t="inlineStr">
        <is>
          <t>Miss Glam Jambi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LABORE</t>
        </is>
      </c>
      <c r="B2019" s="2">
        <f>"8993137711920"</f>
        <v/>
      </c>
      <c r="C2019" t="inlineStr">
        <is>
          <t>LABORE Sensitive Skincare GentleBiome Hydration Toner 100ml</t>
        </is>
      </c>
      <c r="D2019" t="inlineStr">
        <is>
          <t>Miss Glam Jambi</t>
        </is>
      </c>
      <c r="E2019" t="n">
        <v>4</v>
      </c>
      <c r="F2019" t="n">
        <v>0.0561</v>
      </c>
      <c r="G2019" t="n">
        <v>0.66</v>
      </c>
      <c r="H2019" t="n">
        <v>2</v>
      </c>
      <c r="I2019" t="n">
        <v>7</v>
      </c>
      <c r="J2019" t="n">
        <v>3</v>
      </c>
      <c r="K2019" t="n">
        <v>0</v>
      </c>
      <c r="L2019" t="n">
        <v>109829</v>
      </c>
      <c r="M2019" t="n">
        <v>128000</v>
      </c>
      <c r="N2019" t="n">
        <v>33</v>
      </c>
      <c r="O2019" t="n">
        <v>0.33</v>
      </c>
      <c r="P2019" t="n">
        <v>1</v>
      </c>
      <c r="Q2019" t="n">
        <v>0.03</v>
      </c>
      <c r="R2019" t="n">
        <v>1</v>
      </c>
      <c r="S2019" t="n">
        <v>7180.8</v>
      </c>
      <c r="T2019" t="n">
        <v>5</v>
      </c>
      <c r="U2019" t="n">
        <v>6</v>
      </c>
      <c r="V2019" t="n">
        <v>30</v>
      </c>
      <c r="W2019" t="n">
        <v>2</v>
      </c>
      <c r="X2019" t="n">
        <v>71.301247771836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11584</v>
      </c>
      <c r="AG2019" t="n">
        <v>2141</v>
      </c>
      <c r="AH2019" t="inlineStr">
        <is>
          <t>PT. PARAMA GLOBAL INSPIRA - PPN (JMB)</t>
        </is>
      </c>
      <c r="AI2019" t="n">
        <v>1483</v>
      </c>
      <c r="AJ2019" t="inlineStr">
        <is>
          <t>LABORE</t>
        </is>
      </c>
      <c r="AK2019" t="n">
        <v>9</v>
      </c>
      <c r="AL2019" t="inlineStr">
        <is>
          <t>Miss Glam Jambi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LABORE</t>
        </is>
      </c>
      <c r="B2020" s="2">
        <f>"8993137711944"</f>
        <v/>
      </c>
      <c r="C2020" t="inlineStr">
        <is>
          <t>LABORE Sensitive Skincare GentleBiome Skin Nutrition Gel 50ml</t>
        </is>
      </c>
      <c r="D2020" t="inlineStr">
        <is>
          <t>Miss Glam Jambi</t>
        </is>
      </c>
      <c r="E2020" t="n">
        <v>13</v>
      </c>
      <c r="F2020" t="n">
        <v>0.1386</v>
      </c>
      <c r="G2020" t="n">
        <v>0.66</v>
      </c>
      <c r="H2020" t="n">
        <v>2</v>
      </c>
      <c r="I2020" t="n">
        <v>7</v>
      </c>
      <c r="J2020" t="n">
        <v>3</v>
      </c>
      <c r="K2020" t="n">
        <v>0</v>
      </c>
      <c r="L2020" t="n">
        <v>130400</v>
      </c>
      <c r="M2020" t="n">
        <v>135000</v>
      </c>
      <c r="N2020" t="n">
        <v>33</v>
      </c>
      <c r="O2020" t="n">
        <v>0.33</v>
      </c>
      <c r="P2020" t="n">
        <v>1</v>
      </c>
      <c r="Q2020" t="n">
        <v>0.47</v>
      </c>
      <c r="R2020" t="n">
        <v>2</v>
      </c>
      <c r="S2020" t="n">
        <v>18711</v>
      </c>
      <c r="T2020" t="n">
        <v>5</v>
      </c>
      <c r="U2020" t="n">
        <v>6</v>
      </c>
      <c r="V2020" t="n">
        <v>30</v>
      </c>
      <c r="W2020" t="n">
        <v>5</v>
      </c>
      <c r="X2020" t="n">
        <v>93.79509379509379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11584</v>
      </c>
      <c r="AG2020" t="n">
        <v>2141</v>
      </c>
      <c r="AH2020" t="inlineStr">
        <is>
          <t>PT. PARAMA GLOBAL INSPIRA - PPN (JMB)</t>
        </is>
      </c>
      <c r="AI2020" t="n">
        <v>1483</v>
      </c>
      <c r="AJ2020" t="inlineStr">
        <is>
          <t>LABORE</t>
        </is>
      </c>
      <c r="AK2020" t="n">
        <v>9</v>
      </c>
      <c r="AL2020" t="inlineStr">
        <is>
          <t>Miss Glam Jambi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LACTACYD</t>
        </is>
      </c>
      <c r="B2021" s="2">
        <f>"30800115855"</f>
        <v/>
      </c>
      <c r="C2021" t="inlineStr">
        <is>
          <t>LACTACYD Odor Fresh Daily Feminine Wash 150ml</t>
        </is>
      </c>
      <c r="D2021" t="inlineStr">
        <is>
          <t>Miss Glam Jambi</t>
        </is>
      </c>
      <c r="E2021" t="n">
        <v>0</v>
      </c>
      <c r="F2021" t="n">
        <v>0.009900000000000001</v>
      </c>
      <c r="G2021" t="n">
        <v>0.33</v>
      </c>
      <c r="H2021" t="n">
        <v>4</v>
      </c>
      <c r="I2021" t="n">
        <v>20</v>
      </c>
      <c r="J2021" t="n">
        <v>1</v>
      </c>
      <c r="K2021" t="n">
        <v>0</v>
      </c>
      <c r="L2021" t="n">
        <v>68663</v>
      </c>
      <c r="M2021" t="n">
        <v>81000</v>
      </c>
      <c r="N2021" t="n">
        <v>33</v>
      </c>
      <c r="O2021" t="n">
        <v>0.33</v>
      </c>
      <c r="P2021" t="n">
        <v>1</v>
      </c>
      <c r="Q2021" t="n">
        <v>0.04</v>
      </c>
      <c r="R2021" t="n">
        <v>1</v>
      </c>
      <c r="S2021" t="n">
        <v>801.9000000000001</v>
      </c>
      <c r="T2021" t="n">
        <v>7</v>
      </c>
      <c r="U2021" t="n">
        <v>8</v>
      </c>
      <c r="V2021" t="n">
        <v>30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n">
        <v>0</v>
      </c>
      <c r="AC2021" t="n">
        <v>0</v>
      </c>
      <c r="AD2021" t="n">
        <v>68663</v>
      </c>
      <c r="AE2021" t="n">
        <v>0</v>
      </c>
      <c r="AF2021" t="n">
        <v>6312</v>
      </c>
      <c r="AG2021" t="n">
        <v>1</v>
      </c>
      <c r="AH2021" t="inlineStr">
        <is>
          <t>PT. BERSAMA DISTRIVERSA INDONESIA (DC CIPUTAT)</t>
        </is>
      </c>
      <c r="AI2021" t="n">
        <v>1579</v>
      </c>
      <c r="AJ2021" t="inlineStr">
        <is>
          <t>LACTACYD</t>
        </is>
      </c>
      <c r="AK2021" t="n">
        <v>9</v>
      </c>
      <c r="AL2021" t="inlineStr">
        <is>
          <t>Miss Glam Jambi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LACTACYD</t>
        </is>
      </c>
      <c r="B2022" s="2">
        <f>"4800136680024"</f>
        <v/>
      </c>
      <c r="C2022" t="inlineStr">
        <is>
          <t>LACTACYD Odor Fresh Daily Feminine Wash 60ml</t>
        </is>
      </c>
      <c r="D2022" t="inlineStr">
        <is>
          <t>Miss Glam Jambi</t>
        </is>
      </c>
      <c r="E2022" t="n">
        <v>0</v>
      </c>
      <c r="F2022" t="n">
        <v>0.033</v>
      </c>
      <c r="G2022" t="n">
        <v>0.33</v>
      </c>
      <c r="H2022" t="n">
        <v>4</v>
      </c>
      <c r="I2022" t="n">
        <v>20</v>
      </c>
      <c r="J2022" t="n">
        <v>3</v>
      </c>
      <c r="K2022" t="n">
        <v>0</v>
      </c>
      <c r="L2022" t="n">
        <v>33413</v>
      </c>
      <c r="M2022" t="n">
        <v>44000</v>
      </c>
      <c r="N2022" t="n">
        <v>33</v>
      </c>
      <c r="O2022" t="n">
        <v>0.33</v>
      </c>
      <c r="P2022" t="n">
        <v>1</v>
      </c>
      <c r="Q2022" t="n">
        <v>0.02</v>
      </c>
      <c r="R2022" t="n">
        <v>0</v>
      </c>
      <c r="S2022" t="n">
        <v>1452</v>
      </c>
      <c r="T2022" t="n">
        <v>7</v>
      </c>
      <c r="U2022" t="n">
        <v>8</v>
      </c>
      <c r="V2022" t="n">
        <v>30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n">
        <v>0</v>
      </c>
      <c r="AC2022" t="n">
        <v>0</v>
      </c>
      <c r="AD2022" t="n">
        <v>33413</v>
      </c>
      <c r="AE2022" t="n">
        <v>0</v>
      </c>
      <c r="AF2022" t="n">
        <v>6312</v>
      </c>
      <c r="AG2022" t="n">
        <v>1</v>
      </c>
      <c r="AH2022" t="inlineStr">
        <is>
          <t>PT. BERSAMA DISTRIVERSA INDONESIA (DC CIPUTAT)</t>
        </is>
      </c>
      <c r="AI2022" t="n">
        <v>1579</v>
      </c>
      <c r="AJ2022" t="inlineStr">
        <is>
          <t>LACTACYD</t>
        </is>
      </c>
      <c r="AK2022" t="n">
        <v>9</v>
      </c>
      <c r="AL2022" t="inlineStr">
        <is>
          <t>Miss Glam Jambi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LANBENA</t>
        </is>
      </c>
      <c r="B2023" s="2">
        <f>"30700103612"</f>
        <v/>
      </c>
      <c r="C2023" t="inlineStr">
        <is>
          <t>LANBENA Vitamin C Foot Peel Mask Remove Calluses 40gr</t>
        </is>
      </c>
      <c r="D2023" t="inlineStr">
        <is>
          <t>Miss Glam Jambi</t>
        </is>
      </c>
      <c r="E2023" t="n">
        <v>6</v>
      </c>
      <c r="F2023" t="n">
        <v>0.0231</v>
      </c>
      <c r="G2023" t="n">
        <v>0.33</v>
      </c>
      <c r="H2023" t="n">
        <v>4</v>
      </c>
      <c r="I2023" t="n">
        <v>20</v>
      </c>
      <c r="J2023" t="n">
        <v>1</v>
      </c>
      <c r="K2023" t="n">
        <v>0</v>
      </c>
      <c r="L2023" t="n">
        <v>28260</v>
      </c>
      <c r="M2023" t="n">
        <v>38500</v>
      </c>
      <c r="N2023" t="n">
        <v>33</v>
      </c>
      <c r="O2023" t="n">
        <v>0.33</v>
      </c>
      <c r="P2023" t="n">
        <v>1</v>
      </c>
      <c r="Q2023" t="n">
        <v>0.05</v>
      </c>
      <c r="R2023" t="n">
        <v>1</v>
      </c>
      <c r="S2023" t="n">
        <v>889.3500000000001</v>
      </c>
      <c r="T2023" t="n">
        <v>7</v>
      </c>
      <c r="U2023" t="n">
        <v>8</v>
      </c>
      <c r="V2023" t="n">
        <v>30</v>
      </c>
      <c r="W2023" t="n">
        <v>1</v>
      </c>
      <c r="X2023" t="n">
        <v>259.7402597402597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6413</v>
      </c>
      <c r="AG2023" t="n">
        <v>1</v>
      </c>
      <c r="AH2023" t="inlineStr">
        <is>
          <t>PT. BERSAMA DISTRIVERSA INDONESIA (DC CIPUTAT)</t>
        </is>
      </c>
      <c r="AI2023" t="n">
        <v>574</v>
      </c>
      <c r="AJ2023" t="inlineStr">
        <is>
          <t>LANBENA</t>
        </is>
      </c>
      <c r="AK2023" t="n">
        <v>9</v>
      </c>
      <c r="AL2023" t="inlineStr">
        <is>
          <t>Miss Glam Jambi</t>
        </is>
      </c>
      <c r="AM2023" t="n">
        <v>4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LANBENA</t>
        </is>
      </c>
      <c r="B2024" s="2">
        <f>"6970470536498"</f>
        <v/>
      </c>
      <c r="C2024" t="inlineStr">
        <is>
          <t>LANBENA Acne Pimple Night 28 Patches</t>
        </is>
      </c>
      <c r="D2024" t="inlineStr">
        <is>
          <t>Miss Glam Jambi</t>
        </is>
      </c>
      <c r="E2024" t="n">
        <v>0</v>
      </c>
      <c r="F2024" t="n">
        <v>0.09</v>
      </c>
      <c r="G2024" t="n">
        <v>2</v>
      </c>
      <c r="H2024" t="n">
        <v>4</v>
      </c>
      <c r="I2024" t="n">
        <v>20</v>
      </c>
      <c r="J2024" t="n">
        <v>3</v>
      </c>
      <c r="K2024" t="n">
        <v>3</v>
      </c>
      <c r="L2024" t="n">
        <v>23172</v>
      </c>
      <c r="M2024" t="n">
        <v>32000</v>
      </c>
      <c r="N2024" t="n">
        <v>33</v>
      </c>
      <c r="O2024" t="n">
        <v>0.33</v>
      </c>
      <c r="P2024" t="n">
        <v>0</v>
      </c>
      <c r="Q2024" t="n">
        <v>0.09</v>
      </c>
      <c r="R2024" t="n">
        <v>2</v>
      </c>
      <c r="S2024" t="n">
        <v>2880</v>
      </c>
      <c r="T2024" t="n">
        <v>40</v>
      </c>
      <c r="U2024" t="n">
        <v>41</v>
      </c>
      <c r="V2024" t="n">
        <v>30</v>
      </c>
      <c r="W2024" t="n">
        <v>3</v>
      </c>
      <c r="X2024" t="n">
        <v>0</v>
      </c>
      <c r="Y2024" t="n">
        <v>1</v>
      </c>
      <c r="Z2024" t="n">
        <v>0</v>
      </c>
      <c r="AA2024" t="n">
        <v>1</v>
      </c>
      <c r="AB2024" t="n">
        <v>0</v>
      </c>
      <c r="AC2024" t="n">
        <v>0</v>
      </c>
      <c r="AD2024" t="n">
        <v>23172</v>
      </c>
      <c r="AE2024" t="n">
        <v>0</v>
      </c>
      <c r="AF2024" t="n">
        <v>6413</v>
      </c>
      <c r="AG2024" t="n">
        <v>1</v>
      </c>
      <c r="AH2024" t="inlineStr">
        <is>
          <t>PT. BERSAMA DISTRIVERSA INDONESIA (DC CIPUTAT)</t>
        </is>
      </c>
      <c r="AI2024" t="n">
        <v>574</v>
      </c>
      <c r="AJ2024" t="inlineStr">
        <is>
          <t>LANBENA</t>
        </is>
      </c>
      <c r="AK2024" t="n">
        <v>9</v>
      </c>
      <c r="AL2024" t="inlineStr">
        <is>
          <t>Miss Glam Jambi</t>
        </is>
      </c>
      <c r="AM2024" t="n">
        <v>4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LANBENA</t>
        </is>
      </c>
      <c r="B2025" s="2">
        <f>"6970470536481"</f>
        <v/>
      </c>
      <c r="C2025" t="inlineStr">
        <is>
          <t>LANBENA Acne Pimple Patch Daily Use 25 patches</t>
        </is>
      </c>
      <c r="D2025" t="inlineStr">
        <is>
          <t>Miss Glam Jambi</t>
        </is>
      </c>
      <c r="E2025" t="n">
        <v>0</v>
      </c>
      <c r="F2025" t="n">
        <v>0.07000000000000001</v>
      </c>
      <c r="G2025" t="n">
        <v>1</v>
      </c>
      <c r="H2025" t="n">
        <v>4</v>
      </c>
      <c r="I2025" t="n">
        <v>20</v>
      </c>
      <c r="J2025" t="n">
        <v>3</v>
      </c>
      <c r="K2025" t="n">
        <v>3</v>
      </c>
      <c r="L2025" t="n">
        <v>21157</v>
      </c>
      <c r="M2025" t="n">
        <v>32000</v>
      </c>
      <c r="N2025" t="n">
        <v>33</v>
      </c>
      <c r="O2025" t="n">
        <v>0.33</v>
      </c>
      <c r="P2025" t="n">
        <v>0</v>
      </c>
      <c r="Q2025" t="n">
        <v>0.07000000000000001</v>
      </c>
      <c r="R2025" t="n">
        <v>1</v>
      </c>
      <c r="S2025" t="n">
        <v>2240</v>
      </c>
      <c r="T2025" t="n">
        <v>20</v>
      </c>
      <c r="U2025" t="n">
        <v>21</v>
      </c>
      <c r="V2025" t="n">
        <v>30</v>
      </c>
      <c r="W2025" t="n">
        <v>3</v>
      </c>
      <c r="X2025" t="n">
        <v>0</v>
      </c>
      <c r="Y2025" t="n">
        <v>1</v>
      </c>
      <c r="Z2025" t="n">
        <v>0</v>
      </c>
      <c r="AA2025" t="n">
        <v>1</v>
      </c>
      <c r="AB2025" t="n">
        <v>0</v>
      </c>
      <c r="AC2025" t="n">
        <v>0</v>
      </c>
      <c r="AD2025" t="n">
        <v>21157</v>
      </c>
      <c r="AE2025" t="n">
        <v>0</v>
      </c>
      <c r="AF2025" t="n">
        <v>6413</v>
      </c>
      <c r="AG2025" t="n">
        <v>1</v>
      </c>
      <c r="AH2025" t="inlineStr">
        <is>
          <t>PT. BERSAMA DISTRIVERSA INDONESIA (DC CIPUTAT)</t>
        </is>
      </c>
      <c r="AI2025" t="n">
        <v>574</v>
      </c>
      <c r="AJ2025" t="inlineStr">
        <is>
          <t>LANBENA</t>
        </is>
      </c>
      <c r="AK2025" t="n">
        <v>9</v>
      </c>
      <c r="AL2025" t="inlineStr">
        <is>
          <t>Miss Glam Jambi</t>
        </is>
      </c>
      <c r="AM2025" t="n">
        <v>4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LANBENA</t>
        </is>
      </c>
      <c r="B2026" s="2">
        <f>"30700103806"</f>
        <v/>
      </c>
      <c r="C2026" t="inlineStr">
        <is>
          <t>LANBENA Aloe Vera Foot Peel Mask 40gr</t>
        </is>
      </c>
      <c r="D2026" t="inlineStr">
        <is>
          <t>Miss Glam Jambi</t>
        </is>
      </c>
      <c r="E2026" t="n">
        <v>2</v>
      </c>
      <c r="F2026" t="n">
        <v>0.0396</v>
      </c>
      <c r="G2026" t="n">
        <v>0.33</v>
      </c>
      <c r="H2026" t="n">
        <v>4</v>
      </c>
      <c r="I2026" t="n">
        <v>20</v>
      </c>
      <c r="J2026" t="n">
        <v>1</v>
      </c>
      <c r="K2026" t="n">
        <v>0</v>
      </c>
      <c r="L2026" t="n">
        <v>28260</v>
      </c>
      <c r="M2026" t="n">
        <v>38000</v>
      </c>
      <c r="N2026" t="n">
        <v>33</v>
      </c>
      <c r="O2026" t="n">
        <v>0.33</v>
      </c>
      <c r="P2026" t="n">
        <v>1</v>
      </c>
      <c r="Q2026" t="n">
        <v>0.12</v>
      </c>
      <c r="R2026" t="n">
        <v>2</v>
      </c>
      <c r="S2026" t="n">
        <v>1504.8</v>
      </c>
      <c r="T2026" t="n">
        <v>7</v>
      </c>
      <c r="U2026" t="n">
        <v>8</v>
      </c>
      <c r="V2026" t="n">
        <v>30</v>
      </c>
      <c r="W2026" t="n">
        <v>2</v>
      </c>
      <c r="X2026" t="n">
        <v>50.5050505050505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6413</v>
      </c>
      <c r="AG2026" t="n">
        <v>1</v>
      </c>
      <c r="AH2026" t="inlineStr">
        <is>
          <t>PT. BERSAMA DISTRIVERSA INDONESIA (DC CIPUTAT)</t>
        </is>
      </c>
      <c r="AI2026" t="n">
        <v>574</v>
      </c>
      <c r="AJ2026" t="inlineStr">
        <is>
          <t>LANBENA</t>
        </is>
      </c>
      <c r="AK2026" t="n">
        <v>9</v>
      </c>
      <c r="AL2026" t="inlineStr">
        <is>
          <t>Miss Glam Jambi</t>
        </is>
      </c>
      <c r="AM2026" t="n">
        <v>4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LANBENA</t>
        </is>
      </c>
      <c r="B2027" s="2">
        <f>"30600204112"</f>
        <v/>
      </c>
      <c r="C2027" t="inlineStr">
        <is>
          <t>LANBENA Hyaluronic Acid Hand Mask 30gr</t>
        </is>
      </c>
      <c r="D2027" t="inlineStr">
        <is>
          <t>Miss Glam Jambi</t>
        </is>
      </c>
      <c r="E2027" t="n">
        <v>7</v>
      </c>
      <c r="F2027" t="n">
        <v>0.0264</v>
      </c>
      <c r="G2027" t="n">
        <v>0.33</v>
      </c>
      <c r="H2027" t="n">
        <v>4</v>
      </c>
      <c r="I2027" t="n">
        <v>20</v>
      </c>
      <c r="J2027" t="n">
        <v>1</v>
      </c>
      <c r="K2027" t="n">
        <v>0</v>
      </c>
      <c r="L2027" t="n">
        <v>28260</v>
      </c>
      <c r="M2027" t="n">
        <v>38000</v>
      </c>
      <c r="N2027" t="n">
        <v>33</v>
      </c>
      <c r="O2027" t="n">
        <v>0.33</v>
      </c>
      <c r="P2027" t="n">
        <v>1</v>
      </c>
      <c r="Q2027" t="n">
        <v>0.03</v>
      </c>
      <c r="R2027" t="n">
        <v>1</v>
      </c>
      <c r="S2027" t="n">
        <v>1003.2</v>
      </c>
      <c r="T2027" t="n">
        <v>7</v>
      </c>
      <c r="U2027" t="n">
        <v>8</v>
      </c>
      <c r="V2027" t="n">
        <v>30</v>
      </c>
      <c r="W2027" t="n">
        <v>1</v>
      </c>
      <c r="X2027" t="n">
        <v>265.1515151515151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6413</v>
      </c>
      <c r="AG2027" t="n">
        <v>1</v>
      </c>
      <c r="AH2027" t="inlineStr">
        <is>
          <t>PT. BERSAMA DISTRIVERSA INDONESIA (DC CIPUTAT)</t>
        </is>
      </c>
      <c r="AI2027" t="n">
        <v>574</v>
      </c>
      <c r="AJ2027" t="inlineStr">
        <is>
          <t>LANBENA</t>
        </is>
      </c>
      <c r="AK2027" t="n">
        <v>9</v>
      </c>
      <c r="AL2027" t="inlineStr">
        <is>
          <t>Miss Glam Jambi</t>
        </is>
      </c>
      <c r="AM2027" t="n">
        <v>4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LANBENA</t>
        </is>
      </c>
      <c r="B2028" s="2">
        <f>"30700104028"</f>
        <v/>
      </c>
      <c r="C2028" t="inlineStr">
        <is>
          <t>LANBENA Lavender Foot Peel Mask Remove Calluses Dry &amp; Dead Skin Cracked Heels Calluses 40gr</t>
        </is>
      </c>
      <c r="D2028" t="inlineStr">
        <is>
          <t>Miss Glam Jambi</t>
        </is>
      </c>
      <c r="E2028" t="n">
        <v>8</v>
      </c>
      <c r="F2028" t="n">
        <v>0.006600000000000001</v>
      </c>
      <c r="G2028" t="n">
        <v>0.33</v>
      </c>
      <c r="H2028" t="n">
        <v>4</v>
      </c>
      <c r="I2028" t="n">
        <v>20</v>
      </c>
      <c r="J2028" t="n">
        <v>1</v>
      </c>
      <c r="K2028" t="n">
        <v>0</v>
      </c>
      <c r="L2028" t="n">
        <v>28260</v>
      </c>
      <c r="M2028" t="n">
        <v>38000</v>
      </c>
      <c r="N2028" t="n">
        <v>33</v>
      </c>
      <c r="O2028" t="n">
        <v>0.33</v>
      </c>
      <c r="P2028" t="n">
        <v>1</v>
      </c>
      <c r="Q2028" t="n">
        <v>0.02</v>
      </c>
      <c r="R2028" t="n">
        <v>1</v>
      </c>
      <c r="S2028" t="n">
        <v>250.8</v>
      </c>
      <c r="T2028" t="n">
        <v>7</v>
      </c>
      <c r="U2028" t="n">
        <v>8</v>
      </c>
      <c r="V2028" t="n">
        <v>30</v>
      </c>
      <c r="W2028" t="n">
        <v>1</v>
      </c>
      <c r="X2028" t="n">
        <v>1212.121212121212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6413</v>
      </c>
      <c r="AG2028" t="n">
        <v>1</v>
      </c>
      <c r="AH2028" t="inlineStr">
        <is>
          <t>PT. BERSAMA DISTRIVERSA INDONESIA (DC CIPUTAT)</t>
        </is>
      </c>
      <c r="AI2028" t="n">
        <v>574</v>
      </c>
      <c r="AJ2028" t="inlineStr">
        <is>
          <t>LANBENA</t>
        </is>
      </c>
      <c r="AK2028" t="n">
        <v>9</v>
      </c>
      <c r="AL2028" t="inlineStr">
        <is>
          <t>Miss Glam Jambi</t>
        </is>
      </c>
      <c r="AM2028" t="n">
        <v>4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LANBENA</t>
        </is>
      </c>
      <c r="B2029" s="2">
        <f>"30700103921"</f>
        <v/>
      </c>
      <c r="C2029" t="inlineStr">
        <is>
          <t>LANBENA Milk Foot Peel Mask 40gr</t>
        </is>
      </c>
      <c r="D2029" t="inlineStr">
        <is>
          <t>Miss Glam Jambi</t>
        </is>
      </c>
      <c r="E2029" t="n">
        <v>8</v>
      </c>
      <c r="F2029" t="n">
        <v>0.009900000000000001</v>
      </c>
      <c r="G2029" t="n">
        <v>0.33</v>
      </c>
      <c r="H2029" t="n">
        <v>4</v>
      </c>
      <c r="I2029" t="n">
        <v>20</v>
      </c>
      <c r="J2029" t="n">
        <v>1</v>
      </c>
      <c r="K2029" t="n">
        <v>0</v>
      </c>
      <c r="L2029" t="n">
        <v>28260</v>
      </c>
      <c r="M2029" t="n">
        <v>38000</v>
      </c>
      <c r="N2029" t="n">
        <v>33</v>
      </c>
      <c r="O2029" t="n">
        <v>0.33</v>
      </c>
      <c r="P2029" t="n">
        <v>1</v>
      </c>
      <c r="Q2029" t="n">
        <v>0.02</v>
      </c>
      <c r="R2029" t="n">
        <v>0</v>
      </c>
      <c r="S2029" t="n">
        <v>376.2</v>
      </c>
      <c r="T2029" t="n">
        <v>7</v>
      </c>
      <c r="U2029" t="n">
        <v>8</v>
      </c>
      <c r="V2029" t="n">
        <v>30</v>
      </c>
      <c r="W2029" t="n">
        <v>1</v>
      </c>
      <c r="X2029" t="n">
        <v>808.080808080808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6413</v>
      </c>
      <c r="AG2029" t="n">
        <v>1</v>
      </c>
      <c r="AH2029" t="inlineStr">
        <is>
          <t>PT. BERSAMA DISTRIVERSA INDONESIA (DC CIPUTAT)</t>
        </is>
      </c>
      <c r="AI2029" t="n">
        <v>574</v>
      </c>
      <c r="AJ2029" t="inlineStr">
        <is>
          <t>LANBENA</t>
        </is>
      </c>
      <c r="AK2029" t="n">
        <v>9</v>
      </c>
      <c r="AL2029" t="inlineStr">
        <is>
          <t>Miss Glam Jambi</t>
        </is>
      </c>
      <c r="AM2029" t="n">
        <v>4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LANBENA</t>
        </is>
      </c>
      <c r="B2030" s="2">
        <f>"30600204221"</f>
        <v/>
      </c>
      <c r="C2030" t="inlineStr">
        <is>
          <t>LANBENA Niacinamide Hand Mask 30gr</t>
        </is>
      </c>
      <c r="D2030" t="inlineStr">
        <is>
          <t>Miss Glam Jambi</t>
        </is>
      </c>
      <c r="E2030" t="n">
        <v>8</v>
      </c>
      <c r="F2030" t="n">
        <v>0.009900000000000001</v>
      </c>
      <c r="G2030" t="n">
        <v>0.33</v>
      </c>
      <c r="H2030" t="n">
        <v>4</v>
      </c>
      <c r="I2030" t="n">
        <v>20</v>
      </c>
      <c r="J2030" t="n">
        <v>1</v>
      </c>
      <c r="K2030" t="n">
        <v>0</v>
      </c>
      <c r="L2030" t="n">
        <v>28260</v>
      </c>
      <c r="M2030" t="n">
        <v>38000</v>
      </c>
      <c r="N2030" t="n">
        <v>33</v>
      </c>
      <c r="O2030" t="n">
        <v>0.33</v>
      </c>
      <c r="P2030" t="n">
        <v>1</v>
      </c>
      <c r="Q2030" t="n">
        <v>0.02</v>
      </c>
      <c r="R2030" t="n">
        <v>1</v>
      </c>
      <c r="S2030" t="n">
        <v>376.2</v>
      </c>
      <c r="T2030" t="n">
        <v>7</v>
      </c>
      <c r="U2030" t="n">
        <v>8</v>
      </c>
      <c r="V2030" t="n">
        <v>30</v>
      </c>
      <c r="W2030" t="n">
        <v>1</v>
      </c>
      <c r="X2030" t="n">
        <v>808.080808080808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6413</v>
      </c>
      <c r="AG2030" t="n">
        <v>1</v>
      </c>
      <c r="AH2030" t="inlineStr">
        <is>
          <t>PT. BERSAMA DISTRIVERSA INDONESIA (DC CIPUTAT)</t>
        </is>
      </c>
      <c r="AI2030" t="n">
        <v>574</v>
      </c>
      <c r="AJ2030" t="inlineStr">
        <is>
          <t>LANBENA</t>
        </is>
      </c>
      <c r="AK2030" t="n">
        <v>9</v>
      </c>
      <c r="AL2030" t="inlineStr">
        <is>
          <t>Miss Glam Jambi</t>
        </is>
      </c>
      <c r="AM2030" t="n">
        <v>4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LANBENA</t>
        </is>
      </c>
      <c r="B2031" s="2">
        <f>"30600204322"</f>
        <v/>
      </c>
      <c r="C2031" t="inlineStr">
        <is>
          <t>LANBENA Nourishing Hand Mask 30gr</t>
        </is>
      </c>
      <c r="D2031" t="inlineStr">
        <is>
          <t>Miss Glam Jambi</t>
        </is>
      </c>
      <c r="E2031" t="n">
        <v>8</v>
      </c>
      <c r="F2031" t="n">
        <v>0.0165</v>
      </c>
      <c r="G2031" t="n">
        <v>0.33</v>
      </c>
      <c r="H2031" t="n">
        <v>4</v>
      </c>
      <c r="I2031" t="n">
        <v>20</v>
      </c>
      <c r="J2031" t="n">
        <v>1</v>
      </c>
      <c r="K2031" t="n">
        <v>0</v>
      </c>
      <c r="L2031" t="n">
        <v>28260</v>
      </c>
      <c r="M2031" t="n">
        <v>38000</v>
      </c>
      <c r="N2031" t="n">
        <v>33</v>
      </c>
      <c r="O2031" t="n">
        <v>0.33</v>
      </c>
      <c r="P2031" t="n">
        <v>1</v>
      </c>
      <c r="Q2031" t="n">
        <v>0.02</v>
      </c>
      <c r="R2031" t="n">
        <v>1</v>
      </c>
      <c r="S2031" t="n">
        <v>627</v>
      </c>
      <c r="T2031" t="n">
        <v>7</v>
      </c>
      <c r="U2031" t="n">
        <v>8</v>
      </c>
      <c r="V2031" t="n">
        <v>30</v>
      </c>
      <c r="W2031" t="n">
        <v>1</v>
      </c>
      <c r="X2031" t="n">
        <v>484.8484848484848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6413</v>
      </c>
      <c r="AG2031" t="n">
        <v>1</v>
      </c>
      <c r="AH2031" t="inlineStr">
        <is>
          <t>PT. BERSAMA DISTRIVERSA INDONESIA (DC CIPUTAT)</t>
        </is>
      </c>
      <c r="AI2031" t="n">
        <v>574</v>
      </c>
      <c r="AJ2031" t="inlineStr">
        <is>
          <t>LANBENA</t>
        </is>
      </c>
      <c r="AK2031" t="n">
        <v>9</v>
      </c>
      <c r="AL2031" t="inlineStr">
        <is>
          <t>Miss Glam Jambi</t>
        </is>
      </c>
      <c r="AM2031" t="n">
        <v>4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LANBENA</t>
        </is>
      </c>
      <c r="B2032" s="2">
        <f>"10800103131"</f>
        <v/>
      </c>
      <c r="C2032" t="inlineStr">
        <is>
          <t>LANBENA Rejuvenating Retinol Hydra Gel Eye Patches 60 pcs</t>
        </is>
      </c>
      <c r="D2032" t="inlineStr">
        <is>
          <t>Miss Glam Jambi</t>
        </is>
      </c>
      <c r="E2032" t="n">
        <v>5</v>
      </c>
      <c r="F2032" t="n">
        <v>0.0396</v>
      </c>
      <c r="G2032" t="n">
        <v>0.33</v>
      </c>
      <c r="H2032" t="n">
        <v>4</v>
      </c>
      <c r="I2032" t="n">
        <v>20</v>
      </c>
      <c r="J2032" t="n">
        <v>1</v>
      </c>
      <c r="K2032" t="n">
        <v>0</v>
      </c>
      <c r="L2032" t="n">
        <v>73340</v>
      </c>
      <c r="M2032" t="n">
        <v>99000</v>
      </c>
      <c r="N2032" t="n">
        <v>33</v>
      </c>
      <c r="O2032" t="n">
        <v>0.33</v>
      </c>
      <c r="P2032" t="n">
        <v>1</v>
      </c>
      <c r="Q2032" t="n">
        <v>0.07000000000000001</v>
      </c>
      <c r="R2032" t="n">
        <v>1</v>
      </c>
      <c r="S2032" t="n">
        <v>3920.400000000001</v>
      </c>
      <c r="T2032" t="n">
        <v>7</v>
      </c>
      <c r="U2032" t="n">
        <v>8</v>
      </c>
      <c r="V2032" t="n">
        <v>30</v>
      </c>
      <c r="W2032" t="n">
        <v>2</v>
      </c>
      <c r="X2032" t="n">
        <v>126.2626262626263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6413</v>
      </c>
      <c r="AG2032" t="n">
        <v>1</v>
      </c>
      <c r="AH2032" t="inlineStr">
        <is>
          <t>PT. BERSAMA DISTRIVERSA INDONESIA (DC CIPUTAT)</t>
        </is>
      </c>
      <c r="AI2032" t="n">
        <v>574</v>
      </c>
      <c r="AJ2032" t="inlineStr">
        <is>
          <t>LANBENA</t>
        </is>
      </c>
      <c r="AK2032" t="n">
        <v>9</v>
      </c>
      <c r="AL2032" t="inlineStr">
        <is>
          <t>Miss Glam Jambi</t>
        </is>
      </c>
      <c r="AM2032" t="n">
        <v>4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LANBENA</t>
        </is>
      </c>
      <c r="B2033" s="2">
        <f>"10800103226"</f>
        <v/>
      </c>
      <c r="C2033" t="inlineStr">
        <is>
          <t>LANBENA Rejuvenating Retinol Hydra-Gel Eye Patches/ 7 Pairs</t>
        </is>
      </c>
      <c r="D2033" t="inlineStr">
        <is>
          <t>Miss Glam Jambi</t>
        </is>
      </c>
      <c r="E2033" t="n">
        <v>5</v>
      </c>
      <c r="F2033" t="n">
        <v>0.0726</v>
      </c>
      <c r="G2033" t="n">
        <v>0.99</v>
      </c>
      <c r="H2033" t="n">
        <v>4</v>
      </c>
      <c r="I2033" t="n">
        <v>20</v>
      </c>
      <c r="J2033" t="n">
        <v>1</v>
      </c>
      <c r="K2033" t="n">
        <v>0</v>
      </c>
      <c r="L2033" t="n">
        <v>28260</v>
      </c>
      <c r="M2033" t="n">
        <v>38000</v>
      </c>
      <c r="N2033" t="n">
        <v>33</v>
      </c>
      <c r="O2033" t="n">
        <v>0.33</v>
      </c>
      <c r="P2033" t="n">
        <v>1</v>
      </c>
      <c r="Q2033" t="n">
        <v>0.07000000000000001</v>
      </c>
      <c r="R2033" t="n">
        <v>1</v>
      </c>
      <c r="S2033" t="n">
        <v>2758.8</v>
      </c>
      <c r="T2033" t="n">
        <v>20</v>
      </c>
      <c r="U2033" t="n">
        <v>21</v>
      </c>
      <c r="V2033" t="n">
        <v>30</v>
      </c>
      <c r="W2033" t="n">
        <v>3</v>
      </c>
      <c r="X2033" t="n">
        <v>68.87052341597796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6413</v>
      </c>
      <c r="AG2033" t="n">
        <v>1</v>
      </c>
      <c r="AH2033" t="inlineStr">
        <is>
          <t>PT. BERSAMA DISTRIVERSA INDONESIA (DC CIPUTAT)</t>
        </is>
      </c>
      <c r="AI2033" t="n">
        <v>574</v>
      </c>
      <c r="AJ2033" t="inlineStr">
        <is>
          <t>LANBENA</t>
        </is>
      </c>
      <c r="AK2033" t="n">
        <v>9</v>
      </c>
      <c r="AL2033" t="inlineStr">
        <is>
          <t>Miss Glam Jambi</t>
        </is>
      </c>
      <c r="AM2033" t="n">
        <v>4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LASH BOSS</t>
        </is>
      </c>
      <c r="B2034" s="2">
        <f>"20200451950"</f>
        <v/>
      </c>
      <c r="C2034" t="inlineStr">
        <is>
          <t>LASH BOSS Lash and Brow Serum Multivitamin Advanced + Aloe Extract 5ml</t>
        </is>
      </c>
      <c r="D2034" t="inlineStr">
        <is>
          <t>Miss Glam Jambi</t>
        </is>
      </c>
      <c r="E2034" t="n">
        <v>21</v>
      </c>
      <c r="F2034" t="n">
        <v>0.033</v>
      </c>
      <c r="G2034" t="n">
        <v>0.33</v>
      </c>
      <c r="H2034" t="n">
        <v>4</v>
      </c>
      <c r="I2034" t="n">
        <v>20</v>
      </c>
      <c r="J2034" t="n">
        <v>3</v>
      </c>
      <c r="K2034" t="n">
        <v>0</v>
      </c>
      <c r="L2034" t="n">
        <v>57249</v>
      </c>
      <c r="M2034" t="n">
        <v>77000</v>
      </c>
      <c r="N2034" t="n">
        <v>33</v>
      </c>
      <c r="O2034" t="n">
        <v>0.33</v>
      </c>
      <c r="P2034" t="n">
        <v>1</v>
      </c>
      <c r="Q2034" t="n">
        <v>0.05</v>
      </c>
      <c r="R2034" t="n">
        <v>1</v>
      </c>
      <c r="S2034" t="n">
        <v>2541</v>
      </c>
      <c r="T2034" t="n">
        <v>7</v>
      </c>
      <c r="U2034" t="n">
        <v>8</v>
      </c>
      <c r="V2034" t="n">
        <v>30</v>
      </c>
      <c r="W2034" t="n">
        <v>1</v>
      </c>
      <c r="X2034" t="n">
        <v>636.3636363636364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6446</v>
      </c>
      <c r="AG2034" t="n">
        <v>1</v>
      </c>
      <c r="AH2034" t="inlineStr">
        <is>
          <t>PT. BERSAMA DISTRIVERSA INDONESIA (DC CIPUTAT)</t>
        </is>
      </c>
      <c r="AI2034" t="n">
        <v>1106</v>
      </c>
      <c r="AJ2034" t="inlineStr">
        <is>
          <t>LASH BOSS</t>
        </is>
      </c>
      <c r="AK2034" t="n">
        <v>9</v>
      </c>
      <c r="AL2034" t="inlineStr">
        <is>
          <t>Miss Glam Jambi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LASH BOSS</t>
        </is>
      </c>
      <c r="B2035" s="2">
        <f>"010720071999"</f>
        <v/>
      </c>
      <c r="C2035" t="inlineStr">
        <is>
          <t>LASH BOSS Rapunzel Serum For Lash And Brow 5.5gr</t>
        </is>
      </c>
      <c r="D2035" t="inlineStr">
        <is>
          <t>Miss Glam Jambi</t>
        </is>
      </c>
      <c r="E2035" t="n">
        <v>19</v>
      </c>
      <c r="F2035" t="n">
        <v>0.19</v>
      </c>
      <c r="G2035" t="n">
        <v>2</v>
      </c>
      <c r="H2035" t="n">
        <v>4</v>
      </c>
      <c r="I2035" t="n">
        <v>20</v>
      </c>
      <c r="J2035" t="n">
        <v>3</v>
      </c>
      <c r="K2035" t="n">
        <v>0</v>
      </c>
      <c r="L2035" t="n">
        <v>58447</v>
      </c>
      <c r="M2035" t="n">
        <v>70800</v>
      </c>
      <c r="N2035" t="n">
        <v>33</v>
      </c>
      <c r="O2035" t="n">
        <v>0.33</v>
      </c>
      <c r="P2035" t="n">
        <v>0</v>
      </c>
      <c r="Q2035" t="n">
        <v>0.19</v>
      </c>
      <c r="R2035" t="n">
        <v>2</v>
      </c>
      <c r="S2035" t="n">
        <v>13452</v>
      </c>
      <c r="T2035" t="n">
        <v>40</v>
      </c>
      <c r="U2035" t="n">
        <v>41</v>
      </c>
      <c r="V2035" t="n">
        <v>30</v>
      </c>
      <c r="W2035" t="n">
        <v>6</v>
      </c>
      <c r="X2035" t="n">
        <v>100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6446</v>
      </c>
      <c r="AG2035" t="n">
        <v>1</v>
      </c>
      <c r="AH2035" t="inlineStr">
        <is>
          <t>PT. BERSAMA DISTRIVERSA INDONESIA (DC CIPUTAT)</t>
        </is>
      </c>
      <c r="AI2035" t="n">
        <v>1106</v>
      </c>
      <c r="AJ2035" t="inlineStr">
        <is>
          <t>LASH BOSS</t>
        </is>
      </c>
      <c r="AK2035" t="n">
        <v>9</v>
      </c>
      <c r="AL2035" t="inlineStr">
        <is>
          <t>Miss Glam Jambi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LASH BOSS</t>
        </is>
      </c>
      <c r="B2036" s="2">
        <f>"40200305842"</f>
        <v/>
      </c>
      <c r="C2036" t="inlineStr">
        <is>
          <t>LASH BOSS Rosemary Hair Growth Oil 50ml</t>
        </is>
      </c>
      <c r="D2036" t="inlineStr">
        <is>
          <t>Miss Glam Jambi</t>
        </is>
      </c>
      <c r="E2036" t="n">
        <v>5</v>
      </c>
      <c r="F2036" t="n">
        <v>0.0726</v>
      </c>
      <c r="G2036" t="n">
        <v>0.66</v>
      </c>
      <c r="H2036" t="n">
        <v>4</v>
      </c>
      <c r="I2036" t="n">
        <v>20</v>
      </c>
      <c r="J2036" t="n">
        <v>3</v>
      </c>
      <c r="K2036" t="n">
        <v>0</v>
      </c>
      <c r="L2036" t="n">
        <v>83165</v>
      </c>
      <c r="M2036" t="n">
        <v>109000</v>
      </c>
      <c r="N2036" t="n">
        <v>33</v>
      </c>
      <c r="O2036" t="n">
        <v>0.33</v>
      </c>
      <c r="P2036" t="n">
        <v>1</v>
      </c>
      <c r="Q2036" t="n">
        <v>0.08</v>
      </c>
      <c r="R2036" t="n">
        <v>2</v>
      </c>
      <c r="S2036" t="n">
        <v>7913.4</v>
      </c>
      <c r="T2036" t="n">
        <v>13</v>
      </c>
      <c r="U2036" t="n">
        <v>14</v>
      </c>
      <c r="V2036" t="n">
        <v>30</v>
      </c>
      <c r="W2036" t="n">
        <v>3</v>
      </c>
      <c r="X2036" t="n">
        <v>68.87052341597796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6446</v>
      </c>
      <c r="AG2036" t="n">
        <v>1</v>
      </c>
      <c r="AH2036" t="inlineStr">
        <is>
          <t>PT. BERSAMA DISTRIVERSA INDONESIA (DC CIPUTAT)</t>
        </is>
      </c>
      <c r="AI2036" t="n">
        <v>1106</v>
      </c>
      <c r="AJ2036" t="inlineStr">
        <is>
          <t>LASH BOSS</t>
        </is>
      </c>
      <c r="AK2036" t="n">
        <v>9</v>
      </c>
      <c r="AL2036" t="inlineStr">
        <is>
          <t>Miss Glam Jambi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LAURIER</t>
        </is>
      </c>
      <c r="B2037" s="2">
        <f>"8992727000062"</f>
        <v/>
      </c>
      <c r="C2037" t="inlineStr">
        <is>
          <t>LAURIER Activ Day X-Tra Non Wings 22cm 20pcs</t>
        </is>
      </c>
      <c r="D2037" t="inlineStr">
        <is>
          <t>Miss Glam Jambi</t>
        </is>
      </c>
      <c r="E2037" t="n">
        <v>0</v>
      </c>
      <c r="F2037" t="n">
        <v>0.04</v>
      </c>
      <c r="G2037" t="n">
        <v>1</v>
      </c>
      <c r="H2037" t="n">
        <v>4</v>
      </c>
      <c r="I2037" t="n">
        <v>21</v>
      </c>
      <c r="J2037" t="n">
        <v>3</v>
      </c>
      <c r="K2037" t="n">
        <v>24</v>
      </c>
      <c r="L2037" t="n">
        <v>10212</v>
      </c>
      <c r="M2037" t="n">
        <v>12500</v>
      </c>
      <c r="N2037" t="n">
        <v>33</v>
      </c>
      <c r="O2037" t="n">
        <v>0.33</v>
      </c>
      <c r="P2037" t="n">
        <v>0</v>
      </c>
      <c r="Q2037" t="n">
        <v>0.04</v>
      </c>
      <c r="R2037" t="n">
        <v>1</v>
      </c>
      <c r="S2037" t="n">
        <v>500</v>
      </c>
      <c r="T2037" t="n">
        <v>21</v>
      </c>
      <c r="U2037" t="n">
        <v>22</v>
      </c>
      <c r="V2037" t="n">
        <v>30</v>
      </c>
      <c r="W2037" t="n">
        <v>2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9416</v>
      </c>
      <c r="AG2037" t="n">
        <v>2194</v>
      </c>
      <c r="AH2037" t="inlineStr">
        <is>
          <t>PT. BINTANG MAS SURYA - PPN (JMB)</t>
        </is>
      </c>
      <c r="AI2037" t="n">
        <v>1595</v>
      </c>
      <c r="AJ2037" t="inlineStr">
        <is>
          <t>LAURIER</t>
        </is>
      </c>
      <c r="AK2037" t="n">
        <v>9</v>
      </c>
      <c r="AL2037" t="inlineStr">
        <is>
          <t>Miss Glam Jambi</t>
        </is>
      </c>
      <c r="AM2037" t="n">
        <v>4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LAURIER</t>
        </is>
      </c>
      <c r="B2038" s="2">
        <f>"8992727002714"</f>
        <v/>
      </c>
      <c r="C2038" t="inlineStr">
        <is>
          <t>LAURIER Activ Day X-Tra Non Wings 22cm 30pcs</t>
        </is>
      </c>
      <c r="D2038" t="inlineStr">
        <is>
          <t>Miss Glam Jambi</t>
        </is>
      </c>
      <c r="E2038" t="n">
        <v>3</v>
      </c>
      <c r="F2038" t="n">
        <v>0.1683</v>
      </c>
      <c r="G2038" t="n">
        <v>0.99</v>
      </c>
      <c r="H2038" t="n">
        <v>4</v>
      </c>
      <c r="I2038" t="n">
        <v>21</v>
      </c>
      <c r="J2038" t="n">
        <v>3</v>
      </c>
      <c r="K2038" t="n">
        <v>12</v>
      </c>
      <c r="L2038" t="n">
        <v>14430</v>
      </c>
      <c r="M2038" t="n">
        <v>17000</v>
      </c>
      <c r="N2038" t="n">
        <v>33</v>
      </c>
      <c r="O2038" t="n">
        <v>0.33</v>
      </c>
      <c r="P2038" t="n">
        <v>1</v>
      </c>
      <c r="Q2038" t="n">
        <v>0.03</v>
      </c>
      <c r="R2038" t="n">
        <v>1</v>
      </c>
      <c r="S2038" t="n">
        <v>2861.1</v>
      </c>
      <c r="T2038" t="n">
        <v>21</v>
      </c>
      <c r="U2038" t="n">
        <v>22</v>
      </c>
      <c r="V2038" t="n">
        <v>30</v>
      </c>
      <c r="W2038" t="n">
        <v>6</v>
      </c>
      <c r="X2038" t="n">
        <v>17.825311942959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9416</v>
      </c>
      <c r="AG2038" t="n">
        <v>2194</v>
      </c>
      <c r="AH2038" t="inlineStr">
        <is>
          <t>PT. BINTANG MAS SURYA - PPN (JMB)</t>
        </is>
      </c>
      <c r="AI2038" t="n">
        <v>1595</v>
      </c>
      <c r="AJ2038" t="inlineStr">
        <is>
          <t>LAURIER</t>
        </is>
      </c>
      <c r="AK2038" t="n">
        <v>9</v>
      </c>
      <c r="AL2038" t="inlineStr">
        <is>
          <t>Miss Glam Jambi</t>
        </is>
      </c>
      <c r="AM2038" t="n">
        <v>4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LAURIER</t>
        </is>
      </c>
      <c r="B2039" s="2">
        <f>"8992727000048"</f>
        <v/>
      </c>
      <c r="C2039" t="inlineStr">
        <is>
          <t>LAURIER Active Day Super Maxi Non Wing 8pcs</t>
        </is>
      </c>
      <c r="D2039" t="inlineStr">
        <is>
          <t>Miss Glam Jambi</t>
        </is>
      </c>
      <c r="E2039" t="n">
        <v>0</v>
      </c>
      <c r="F2039" t="n">
        <v>0.36</v>
      </c>
      <c r="G2039" t="n">
        <v>2</v>
      </c>
      <c r="H2039" t="n">
        <v>4</v>
      </c>
      <c r="I2039" t="n">
        <v>21</v>
      </c>
      <c r="J2039" t="n">
        <v>3</v>
      </c>
      <c r="K2039" t="n">
        <v>46</v>
      </c>
      <c r="L2039" t="n">
        <v>3896</v>
      </c>
      <c r="M2039" t="n">
        <v>4500</v>
      </c>
      <c r="N2039" t="n">
        <v>33</v>
      </c>
      <c r="O2039" t="n">
        <v>0.33</v>
      </c>
      <c r="P2039" t="n">
        <v>0</v>
      </c>
      <c r="Q2039" t="n">
        <v>0.36</v>
      </c>
      <c r="R2039" t="n">
        <v>2</v>
      </c>
      <c r="S2039" t="n">
        <v>1620</v>
      </c>
      <c r="T2039" t="n">
        <v>41</v>
      </c>
      <c r="U2039" t="n">
        <v>43</v>
      </c>
      <c r="V2039" t="n">
        <v>30</v>
      </c>
      <c r="W2039" t="n">
        <v>11</v>
      </c>
      <c r="X2039" t="n">
        <v>0</v>
      </c>
      <c r="Y2039" t="n">
        <v>1</v>
      </c>
      <c r="Z2039" t="n">
        <v>0</v>
      </c>
      <c r="AA2039" t="n">
        <v>7</v>
      </c>
      <c r="AB2039" t="n">
        <v>0</v>
      </c>
      <c r="AC2039" t="n">
        <v>0</v>
      </c>
      <c r="AD2039" t="n">
        <v>27272</v>
      </c>
      <c r="AE2039" t="n">
        <v>0</v>
      </c>
      <c r="AF2039" t="n">
        <v>9416</v>
      </c>
      <c r="AG2039" t="n">
        <v>2194</v>
      </c>
      <c r="AH2039" t="inlineStr">
        <is>
          <t>PT. BINTANG MAS SURYA - PPN (JMB)</t>
        </is>
      </c>
      <c r="AI2039" t="n">
        <v>1595</v>
      </c>
      <c r="AJ2039" t="inlineStr">
        <is>
          <t>LAURIER</t>
        </is>
      </c>
      <c r="AK2039" t="n">
        <v>9</v>
      </c>
      <c r="AL2039" t="inlineStr">
        <is>
          <t>Miss Glam Jambi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LAURIER</t>
        </is>
      </c>
      <c r="B2040" s="2">
        <f>"8992727003001"</f>
        <v/>
      </c>
      <c r="C2040" t="inlineStr">
        <is>
          <t>LAURIER Active Day X-Tra 22cm 5pcs</t>
        </is>
      </c>
      <c r="D2040" t="inlineStr">
        <is>
          <t>Miss Glam Jambi</t>
        </is>
      </c>
      <c r="E2040" t="n">
        <v>0</v>
      </c>
      <c r="F2040" t="n">
        <v>0.1056</v>
      </c>
      <c r="G2040" t="n">
        <v>0.99</v>
      </c>
      <c r="H2040" t="n">
        <v>4</v>
      </c>
      <c r="I2040" t="n">
        <v>21</v>
      </c>
      <c r="J2040" t="n">
        <v>3</v>
      </c>
      <c r="K2040" t="n">
        <v>0</v>
      </c>
      <c r="L2040" t="n">
        <v>2942</v>
      </c>
      <c r="M2040" t="n">
        <v>3500</v>
      </c>
      <c r="N2040" t="n">
        <v>33</v>
      </c>
      <c r="O2040" t="n">
        <v>0.33</v>
      </c>
      <c r="P2040" t="n">
        <v>1</v>
      </c>
      <c r="Q2040" t="n">
        <v>0.12</v>
      </c>
      <c r="R2040" t="n">
        <v>2</v>
      </c>
      <c r="S2040" t="n">
        <v>369.6</v>
      </c>
      <c r="T2040" t="n">
        <v>21</v>
      </c>
      <c r="U2040" t="n">
        <v>22</v>
      </c>
      <c r="V2040" t="n">
        <v>30</v>
      </c>
      <c r="W2040" t="n">
        <v>4</v>
      </c>
      <c r="X2040" t="n">
        <v>0</v>
      </c>
      <c r="Y2040" t="n">
        <v>1</v>
      </c>
      <c r="Z2040" t="n">
        <v>4</v>
      </c>
      <c r="AA2040" t="n">
        <v>3</v>
      </c>
      <c r="AB2040" t="n">
        <v>1</v>
      </c>
      <c r="AC2040" t="n">
        <v>3</v>
      </c>
      <c r="AD2040" t="n">
        <v>8826</v>
      </c>
      <c r="AE2040" t="n">
        <v>8826</v>
      </c>
      <c r="AF2040" t="n">
        <v>9416</v>
      </c>
      <c r="AG2040" t="n">
        <v>2194</v>
      </c>
      <c r="AH2040" t="inlineStr">
        <is>
          <t>PT. BINTANG MAS SURYA - PPN (JMB)</t>
        </is>
      </c>
      <c r="AI2040" t="n">
        <v>1595</v>
      </c>
      <c r="AJ2040" t="inlineStr">
        <is>
          <t>LAURIER</t>
        </is>
      </c>
      <c r="AK2040" t="n">
        <v>9</v>
      </c>
      <c r="AL2040" t="inlineStr">
        <is>
          <t>Miss Glam Jambi</t>
        </is>
      </c>
      <c r="AM2040" t="n">
        <v>4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LAURIER</t>
        </is>
      </c>
      <c r="B2041" s="2">
        <f>"8992727002981"</f>
        <v/>
      </c>
      <c r="C2041" t="inlineStr">
        <is>
          <t>LAURIER Active Day X-Tra 22cm Wing 20pcs</t>
        </is>
      </c>
      <c r="D2041" t="inlineStr">
        <is>
          <t>Miss Glam Jambi</t>
        </is>
      </c>
      <c r="E2041" t="n">
        <v>2</v>
      </c>
      <c r="F2041" t="n">
        <v>0.1683</v>
      </c>
      <c r="G2041" t="n">
        <v>0.99</v>
      </c>
      <c r="H2041" t="n">
        <v>4</v>
      </c>
      <c r="I2041" t="n">
        <v>21</v>
      </c>
      <c r="J2041" t="n">
        <v>3</v>
      </c>
      <c r="K2041" t="n">
        <v>12</v>
      </c>
      <c r="L2041" t="n">
        <v>14153</v>
      </c>
      <c r="M2041" t="n">
        <v>17000</v>
      </c>
      <c r="N2041" t="n">
        <v>33</v>
      </c>
      <c r="O2041" t="n">
        <v>0.33</v>
      </c>
      <c r="P2041" t="n">
        <v>1</v>
      </c>
      <c r="Q2041" t="n">
        <v>0.08</v>
      </c>
      <c r="R2041" t="n">
        <v>1</v>
      </c>
      <c r="S2041" t="n">
        <v>2861.1</v>
      </c>
      <c r="T2041" t="n">
        <v>21</v>
      </c>
      <c r="U2041" t="n">
        <v>22</v>
      </c>
      <c r="V2041" t="n">
        <v>30</v>
      </c>
      <c r="W2041" t="n">
        <v>6</v>
      </c>
      <c r="X2041" t="n">
        <v>11.883541295306</v>
      </c>
      <c r="Y2041" t="n">
        <v>1</v>
      </c>
      <c r="Z2041" t="n">
        <v>0</v>
      </c>
      <c r="AA2041" t="n">
        <v>1</v>
      </c>
      <c r="AB2041" t="n">
        <v>0</v>
      </c>
      <c r="AC2041" t="n">
        <v>0</v>
      </c>
      <c r="AD2041" t="n">
        <v>14153</v>
      </c>
      <c r="AE2041" t="n">
        <v>0</v>
      </c>
      <c r="AF2041" t="n">
        <v>9416</v>
      </c>
      <c r="AG2041" t="n">
        <v>2194</v>
      </c>
      <c r="AH2041" t="inlineStr">
        <is>
          <t>PT. BINTANG MAS SURYA - PPN (JMB)</t>
        </is>
      </c>
      <c r="AI2041" t="n">
        <v>1595</v>
      </c>
      <c r="AJ2041" t="inlineStr">
        <is>
          <t>LAURIER</t>
        </is>
      </c>
      <c r="AK2041" t="n">
        <v>9</v>
      </c>
      <c r="AL2041" t="inlineStr">
        <is>
          <t>Miss Glam Jambi</t>
        </is>
      </c>
      <c r="AM2041" t="n">
        <v>4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LAURIER</t>
        </is>
      </c>
      <c r="B2042" s="2">
        <f>"8992727002387"</f>
        <v/>
      </c>
      <c r="C2042" t="inlineStr">
        <is>
          <t>LAURIER Gathers Relax Night Wing 35cm 8pcs</t>
        </is>
      </c>
      <c r="D2042" t="inlineStr">
        <is>
          <t>Miss Glam Jambi</t>
        </is>
      </c>
      <c r="E2042" t="n">
        <v>21</v>
      </c>
      <c r="F2042" t="n">
        <v>0.1122</v>
      </c>
      <c r="G2042" t="n">
        <v>1.65</v>
      </c>
      <c r="H2042" t="n">
        <v>4</v>
      </c>
      <c r="I2042" t="n">
        <v>21</v>
      </c>
      <c r="J2042" t="n">
        <v>3</v>
      </c>
      <c r="K2042" t="n">
        <v>0</v>
      </c>
      <c r="L2042" t="n">
        <v>13653</v>
      </c>
      <c r="M2042" t="n">
        <v>16500</v>
      </c>
      <c r="N2042" t="n">
        <v>33</v>
      </c>
      <c r="O2042" t="n">
        <v>0.33</v>
      </c>
      <c r="P2042" t="n">
        <v>1</v>
      </c>
      <c r="Q2042" t="n">
        <v>0.19</v>
      </c>
      <c r="R2042" t="n">
        <v>2</v>
      </c>
      <c r="S2042" t="n">
        <v>1851.3</v>
      </c>
      <c r="T2042" t="n">
        <v>35</v>
      </c>
      <c r="U2042" t="n">
        <v>36</v>
      </c>
      <c r="V2042" t="n">
        <v>30</v>
      </c>
      <c r="W2042" t="n">
        <v>4</v>
      </c>
      <c r="X2042" t="n">
        <v>187.1657754010695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9416</v>
      </c>
      <c r="AG2042" t="n">
        <v>2194</v>
      </c>
      <c r="AH2042" t="inlineStr">
        <is>
          <t>PT. BINTANG MAS SURYA - PPN (JMB)</t>
        </is>
      </c>
      <c r="AI2042" t="n">
        <v>1595</v>
      </c>
      <c r="AJ2042" t="inlineStr">
        <is>
          <t>LAURIER</t>
        </is>
      </c>
      <c r="AK2042" t="n">
        <v>9</v>
      </c>
      <c r="AL2042" t="inlineStr">
        <is>
          <t>Miss Glam Jambi</t>
        </is>
      </c>
      <c r="AM2042" t="n">
        <v>4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LAURIER</t>
        </is>
      </c>
      <c r="B2043" s="2">
        <f>"8992727006217"</f>
        <v/>
      </c>
      <c r="C2043" t="inlineStr">
        <is>
          <t>LAURIER Healthy Skin Day 25cm 14pcs</t>
        </is>
      </c>
      <c r="D2043" t="inlineStr">
        <is>
          <t>Miss Glam Jambi</t>
        </is>
      </c>
      <c r="E2043" t="n">
        <v>2</v>
      </c>
      <c r="F2043" t="n">
        <v>0.02</v>
      </c>
      <c r="G2043" t="n">
        <v>1</v>
      </c>
      <c r="H2043" t="n">
        <v>4</v>
      </c>
      <c r="I2043" t="n">
        <v>21</v>
      </c>
      <c r="J2043" t="n">
        <v>3</v>
      </c>
      <c r="K2043" t="n">
        <v>6</v>
      </c>
      <c r="L2043" t="n">
        <v>16206</v>
      </c>
      <c r="M2043" t="n">
        <v>19500</v>
      </c>
      <c r="N2043" t="n">
        <v>33</v>
      </c>
      <c r="O2043" t="n">
        <v>0.33</v>
      </c>
      <c r="P2043" t="n">
        <v>0</v>
      </c>
      <c r="Q2043" t="n">
        <v>0.02</v>
      </c>
      <c r="R2043" t="n">
        <v>1</v>
      </c>
      <c r="S2043" t="n">
        <v>390</v>
      </c>
      <c r="T2043" t="n">
        <v>21</v>
      </c>
      <c r="U2043" t="n">
        <v>22</v>
      </c>
      <c r="V2043" t="n">
        <v>30</v>
      </c>
      <c r="W2043" t="n">
        <v>1</v>
      </c>
      <c r="X2043" t="n">
        <v>100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9416</v>
      </c>
      <c r="AG2043" t="n">
        <v>2194</v>
      </c>
      <c r="AH2043" t="inlineStr">
        <is>
          <t>PT. BINTANG MAS SURYA - PPN (JMB)</t>
        </is>
      </c>
      <c r="AI2043" t="n">
        <v>1595</v>
      </c>
      <c r="AJ2043" t="inlineStr">
        <is>
          <t>LAURIER</t>
        </is>
      </c>
      <c r="AK2043" t="n">
        <v>9</v>
      </c>
      <c r="AL2043" t="inlineStr">
        <is>
          <t>Miss Glam Jambi</t>
        </is>
      </c>
      <c r="AM2043" t="n">
        <v>4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LAURIER</t>
        </is>
      </c>
      <c r="B2044" s="2">
        <f>"8992727006224"</f>
        <v/>
      </c>
      <c r="C2044" t="inlineStr">
        <is>
          <t>LAURIER Healthy Skin Night Wing 30cm 8pcs</t>
        </is>
      </c>
      <c r="D2044" t="inlineStr">
        <is>
          <t>Miss Glam Jambi</t>
        </is>
      </c>
      <c r="E2044" t="n">
        <v>20</v>
      </c>
      <c r="F2044" t="n">
        <v>0.14</v>
      </c>
      <c r="G2044" t="n">
        <v>2</v>
      </c>
      <c r="H2044" t="n">
        <v>4</v>
      </c>
      <c r="I2044" t="n">
        <v>21</v>
      </c>
      <c r="J2044" t="n">
        <v>3</v>
      </c>
      <c r="K2044" t="n">
        <v>0</v>
      </c>
      <c r="L2044" t="n">
        <v>12987</v>
      </c>
      <c r="M2044" t="n">
        <v>15500</v>
      </c>
      <c r="N2044" t="n">
        <v>33</v>
      </c>
      <c r="O2044" t="n">
        <v>0.33</v>
      </c>
      <c r="P2044" t="n">
        <v>0</v>
      </c>
      <c r="Q2044" t="n">
        <v>0.14</v>
      </c>
      <c r="R2044" t="n">
        <v>2</v>
      </c>
      <c r="S2044" t="n">
        <v>2170</v>
      </c>
      <c r="T2044" t="n">
        <v>42</v>
      </c>
      <c r="U2044" t="n">
        <v>43</v>
      </c>
      <c r="V2044" t="n">
        <v>30</v>
      </c>
      <c r="W2044" t="n">
        <v>5</v>
      </c>
      <c r="X2044" t="n">
        <v>142.8571428571428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9416</v>
      </c>
      <c r="AG2044" t="n">
        <v>2194</v>
      </c>
      <c r="AH2044" t="inlineStr">
        <is>
          <t>PT. BINTANG MAS SURYA - PPN (JMB)</t>
        </is>
      </c>
      <c r="AI2044" t="n">
        <v>1595</v>
      </c>
      <c r="AJ2044" t="inlineStr">
        <is>
          <t>LAURIER</t>
        </is>
      </c>
      <c r="AK2044" t="n">
        <v>9</v>
      </c>
      <c r="AL2044" t="inlineStr">
        <is>
          <t>Miss Glam Jambi</t>
        </is>
      </c>
      <c r="AM2044" t="n">
        <v>4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LAURIER</t>
        </is>
      </c>
      <c r="B2045" s="2">
        <f>"8992727006262"</f>
        <v/>
      </c>
      <c r="C2045" t="inlineStr">
        <is>
          <t>LAURIER Healthy Skin Night Wing 35cm 6pcs</t>
        </is>
      </c>
      <c r="D2045" t="inlineStr">
        <is>
          <t>Miss Glam Jambi</t>
        </is>
      </c>
      <c r="E2045" t="n">
        <v>0</v>
      </c>
      <c r="F2045" t="n">
        <v>0.006600000000000001</v>
      </c>
      <c r="G2045" t="n">
        <v>0.33</v>
      </c>
      <c r="H2045" t="n">
        <v>4</v>
      </c>
      <c r="I2045" t="n">
        <v>21</v>
      </c>
      <c r="J2045" t="n">
        <v>3</v>
      </c>
      <c r="K2045" t="n">
        <v>0</v>
      </c>
      <c r="L2045" t="n">
        <v>11267</v>
      </c>
      <c r="M2045" t="n">
        <v>13500</v>
      </c>
      <c r="N2045" t="n">
        <v>33</v>
      </c>
      <c r="O2045" t="n">
        <v>0.33</v>
      </c>
      <c r="P2045" t="n">
        <v>1</v>
      </c>
      <c r="Q2045" t="n">
        <v>0.03</v>
      </c>
      <c r="R2045" t="n">
        <v>1</v>
      </c>
      <c r="S2045" t="n">
        <v>89.10000000000001</v>
      </c>
      <c r="T2045" t="n">
        <v>7</v>
      </c>
      <c r="U2045" t="n">
        <v>8</v>
      </c>
      <c r="V2045" t="n">
        <v>30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n">
        <v>0</v>
      </c>
      <c r="AC2045" t="n">
        <v>0</v>
      </c>
      <c r="AD2045" t="n">
        <v>11267</v>
      </c>
      <c r="AE2045" t="n">
        <v>0</v>
      </c>
      <c r="AF2045" t="n">
        <v>9416</v>
      </c>
      <c r="AG2045" t="n">
        <v>2194</v>
      </c>
      <c r="AH2045" t="inlineStr">
        <is>
          <t>PT. BINTANG MAS SURYA - PPN (JMB)</t>
        </is>
      </c>
      <c r="AI2045" t="n">
        <v>1595</v>
      </c>
      <c r="AJ2045" t="inlineStr">
        <is>
          <t>LAURIER</t>
        </is>
      </c>
      <c r="AK2045" t="n">
        <v>9</v>
      </c>
      <c r="AL2045" t="inlineStr">
        <is>
          <t>Miss Glam Jambi</t>
        </is>
      </c>
      <c r="AM2045" t="n">
        <v>4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LAURIER</t>
        </is>
      </c>
      <c r="B2046" s="2">
        <f>"8992727008358"</f>
        <v/>
      </c>
      <c r="C2046" t="inlineStr">
        <is>
          <t>LAURIER Natural Clean Wing 22cm 20pcs</t>
        </is>
      </c>
      <c r="D2046" t="inlineStr">
        <is>
          <t>Miss Glam Jambi</t>
        </is>
      </c>
      <c r="E2046" t="n">
        <v>6</v>
      </c>
      <c r="F2046" t="n">
        <v>0.1452</v>
      </c>
      <c r="G2046" t="n">
        <v>0.99</v>
      </c>
      <c r="H2046" t="n">
        <v>4</v>
      </c>
      <c r="I2046" t="n">
        <v>21</v>
      </c>
      <c r="J2046" t="n">
        <v>3</v>
      </c>
      <c r="K2046" t="n">
        <v>0</v>
      </c>
      <c r="L2046" t="n">
        <v>15762</v>
      </c>
      <c r="M2046" t="n">
        <v>19000</v>
      </c>
      <c r="N2046" t="n">
        <v>33</v>
      </c>
      <c r="O2046" t="n">
        <v>0.33</v>
      </c>
      <c r="P2046" t="n">
        <v>1</v>
      </c>
      <c r="Q2046" t="n">
        <v>0.12</v>
      </c>
      <c r="R2046" t="n">
        <v>1</v>
      </c>
      <c r="S2046" t="n">
        <v>2758.8</v>
      </c>
      <c r="T2046" t="n">
        <v>21</v>
      </c>
      <c r="U2046" t="n">
        <v>22</v>
      </c>
      <c r="V2046" t="n">
        <v>30</v>
      </c>
      <c r="W2046" t="n">
        <v>5</v>
      </c>
      <c r="X2046" t="n">
        <v>41.32231404958678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9416</v>
      </c>
      <c r="AG2046" t="n">
        <v>2194</v>
      </c>
      <c r="AH2046" t="inlineStr">
        <is>
          <t>PT. BINTANG MAS SURYA - PPN (JMB)</t>
        </is>
      </c>
      <c r="AI2046" t="n">
        <v>1595</v>
      </c>
      <c r="AJ2046" t="inlineStr">
        <is>
          <t>LAURIER</t>
        </is>
      </c>
      <c r="AK2046" t="n">
        <v>9</v>
      </c>
      <c r="AL2046" t="inlineStr">
        <is>
          <t>Miss Glam Jambi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LAURIER</t>
        </is>
      </c>
      <c r="B2047" s="2">
        <f>"8992727008365"</f>
        <v/>
      </c>
      <c r="C2047" t="inlineStr">
        <is>
          <t>LAURIER Natural Clean Wing 25cm 16pcs</t>
        </is>
      </c>
      <c r="D2047" t="inlineStr">
        <is>
          <t>Miss Glam Jambi</t>
        </is>
      </c>
      <c r="E2047" t="n">
        <v>1</v>
      </c>
      <c r="F2047" t="n">
        <v>0.17</v>
      </c>
      <c r="G2047" t="n">
        <v>1</v>
      </c>
      <c r="H2047" t="n">
        <v>4</v>
      </c>
      <c r="I2047" t="n">
        <v>21</v>
      </c>
      <c r="J2047" t="n">
        <v>3</v>
      </c>
      <c r="K2047" t="n">
        <v>12</v>
      </c>
      <c r="L2047" t="n">
        <v>15762</v>
      </c>
      <c r="M2047" t="n">
        <v>19000</v>
      </c>
      <c r="N2047" t="n">
        <v>33</v>
      </c>
      <c r="O2047" t="n">
        <v>0.33</v>
      </c>
      <c r="P2047" t="n">
        <v>0</v>
      </c>
      <c r="Q2047" t="n">
        <v>0.17</v>
      </c>
      <c r="R2047" t="n">
        <v>1</v>
      </c>
      <c r="S2047" t="n">
        <v>3230</v>
      </c>
      <c r="T2047" t="n">
        <v>21</v>
      </c>
      <c r="U2047" t="n">
        <v>22</v>
      </c>
      <c r="V2047" t="n">
        <v>30</v>
      </c>
      <c r="W2047" t="n">
        <v>6</v>
      </c>
      <c r="X2047" t="n">
        <v>5.88235294117647</v>
      </c>
      <c r="Y2047" t="n">
        <v>1</v>
      </c>
      <c r="Z2047" t="n">
        <v>0</v>
      </c>
      <c r="AA2047" t="n">
        <v>2</v>
      </c>
      <c r="AB2047" t="n">
        <v>0</v>
      </c>
      <c r="AC2047" t="n">
        <v>0</v>
      </c>
      <c r="AD2047" t="n">
        <v>31524</v>
      </c>
      <c r="AE2047" t="n">
        <v>0</v>
      </c>
      <c r="AF2047" t="n">
        <v>9416</v>
      </c>
      <c r="AG2047" t="n">
        <v>2194</v>
      </c>
      <c r="AH2047" t="inlineStr">
        <is>
          <t>PT. BINTANG MAS SURYA - PPN (JMB)</t>
        </is>
      </c>
      <c r="AI2047" t="n">
        <v>1595</v>
      </c>
      <c r="AJ2047" t="inlineStr">
        <is>
          <t>LAURIER</t>
        </is>
      </c>
      <c r="AK2047" t="n">
        <v>9</v>
      </c>
      <c r="AL2047" t="inlineStr">
        <is>
          <t>Miss Glam Jambi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LAURIER</t>
        </is>
      </c>
      <c r="B2048" s="2">
        <f>"8992727008341"</f>
        <v/>
      </c>
      <c r="C2048" t="inlineStr">
        <is>
          <t>LAURIER Pembalut Natural Clean 22cm 5pcs</t>
        </is>
      </c>
      <c r="D2048" t="inlineStr">
        <is>
          <t>Miss Glam Jambi</t>
        </is>
      </c>
      <c r="E2048" t="n">
        <v>5</v>
      </c>
      <c r="F2048" t="n">
        <v>0.22</v>
      </c>
      <c r="G2048" t="n">
        <v>2</v>
      </c>
      <c r="H2048" t="n">
        <v>4</v>
      </c>
      <c r="I2048" t="n">
        <v>21</v>
      </c>
      <c r="J2048" t="n">
        <v>3</v>
      </c>
      <c r="K2048" t="n">
        <v>24</v>
      </c>
      <c r="L2048" t="n">
        <v>3661</v>
      </c>
      <c r="M2048" t="n">
        <v>4500</v>
      </c>
      <c r="N2048" t="n">
        <v>33</v>
      </c>
      <c r="O2048" t="n">
        <v>0.33</v>
      </c>
      <c r="P2048" t="n">
        <v>0</v>
      </c>
      <c r="Q2048" t="n">
        <v>0.22</v>
      </c>
      <c r="R2048" t="n">
        <v>2</v>
      </c>
      <c r="S2048" t="n">
        <v>990</v>
      </c>
      <c r="T2048" t="n">
        <v>42</v>
      </c>
      <c r="U2048" t="n">
        <v>43</v>
      </c>
      <c r="V2048" t="n">
        <v>30</v>
      </c>
      <c r="W2048" t="n">
        <v>7</v>
      </c>
      <c r="X2048" t="n">
        <v>22.72727272727273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9416</v>
      </c>
      <c r="AG2048" t="n">
        <v>2194</v>
      </c>
      <c r="AH2048" t="inlineStr">
        <is>
          <t>PT. BINTANG MAS SURYA - PPN (JMB)</t>
        </is>
      </c>
      <c r="AI2048" t="n">
        <v>1595</v>
      </c>
      <c r="AJ2048" t="inlineStr">
        <is>
          <t>LAURIER</t>
        </is>
      </c>
      <c r="AK2048" t="n">
        <v>9</v>
      </c>
      <c r="AL2048" t="inlineStr">
        <is>
          <t>Miss Glam Jambi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LAURIER</t>
        </is>
      </c>
      <c r="B2049" s="2">
        <f>"8851818936805"</f>
        <v/>
      </c>
      <c r="C2049" t="inlineStr">
        <is>
          <t>LAURIER Relax Night 30cm Wing 8pcs</t>
        </is>
      </c>
      <c r="D2049" t="inlineStr">
        <is>
          <t>Miss Glam Jambi</t>
        </is>
      </c>
      <c r="E2049" t="n">
        <v>5</v>
      </c>
      <c r="F2049" t="n">
        <v>0.12</v>
      </c>
      <c r="G2049" t="n">
        <v>2</v>
      </c>
      <c r="H2049" t="n">
        <v>4</v>
      </c>
      <c r="I2049" t="n">
        <v>21</v>
      </c>
      <c r="J2049" t="n">
        <v>3</v>
      </c>
      <c r="K2049" t="n">
        <v>6</v>
      </c>
      <c r="L2049" t="n">
        <v>7251</v>
      </c>
      <c r="M2049" t="n">
        <v>9000</v>
      </c>
      <c r="N2049" t="n">
        <v>33</v>
      </c>
      <c r="O2049" t="n">
        <v>0.33</v>
      </c>
      <c r="P2049" t="n">
        <v>0</v>
      </c>
      <c r="Q2049" t="n">
        <v>0.12</v>
      </c>
      <c r="R2049" t="n">
        <v>2</v>
      </c>
      <c r="S2049" t="n">
        <v>1080</v>
      </c>
      <c r="T2049" t="n">
        <v>42</v>
      </c>
      <c r="U2049" t="n">
        <v>43</v>
      </c>
      <c r="V2049" t="n">
        <v>30</v>
      </c>
      <c r="W2049" t="n">
        <v>4</v>
      </c>
      <c r="X2049" t="n">
        <v>41.66666666666667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9416</v>
      </c>
      <c r="AG2049" t="n">
        <v>2194</v>
      </c>
      <c r="AH2049" t="inlineStr">
        <is>
          <t>PT. BINTANG MAS SURYA - PPN (JMB)</t>
        </is>
      </c>
      <c r="AI2049" t="n">
        <v>1595</v>
      </c>
      <c r="AJ2049" t="inlineStr">
        <is>
          <t>LAURIER</t>
        </is>
      </c>
      <c r="AK2049" t="n">
        <v>9</v>
      </c>
      <c r="AL2049" t="inlineStr">
        <is>
          <t>Miss Glam Jambi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LAURIER</t>
        </is>
      </c>
      <c r="B2050" s="2">
        <f>"8851818936812"</f>
        <v/>
      </c>
      <c r="C2050" t="inlineStr">
        <is>
          <t>LAURIER Relax Night 30cm x 16pcs</t>
        </is>
      </c>
      <c r="D2050" t="inlineStr">
        <is>
          <t>Miss Glam Jambi</t>
        </is>
      </c>
      <c r="E2050" t="n">
        <v>0</v>
      </c>
      <c r="F2050" t="n">
        <v>0.26</v>
      </c>
      <c r="G2050" t="n">
        <v>4</v>
      </c>
      <c r="H2050" t="n">
        <v>4</v>
      </c>
      <c r="I2050" t="n">
        <v>21</v>
      </c>
      <c r="J2050" t="n">
        <v>3</v>
      </c>
      <c r="K2050" t="n">
        <v>24</v>
      </c>
      <c r="L2050" t="n">
        <v>14609</v>
      </c>
      <c r="M2050" t="n">
        <v>17500</v>
      </c>
      <c r="N2050" t="n">
        <v>33</v>
      </c>
      <c r="O2050" t="n">
        <v>0.33</v>
      </c>
      <c r="P2050" t="n">
        <v>0</v>
      </c>
      <c r="Q2050" t="n">
        <v>0.26</v>
      </c>
      <c r="R2050" t="n">
        <v>4</v>
      </c>
      <c r="S2050" t="n">
        <v>4550</v>
      </c>
      <c r="T2050" t="n">
        <v>83</v>
      </c>
      <c r="U2050" t="n">
        <v>85</v>
      </c>
      <c r="V2050" t="n">
        <v>30</v>
      </c>
      <c r="W2050" t="n">
        <v>8</v>
      </c>
      <c r="X2050" t="n">
        <v>0</v>
      </c>
      <c r="Y2050" t="n">
        <v>1</v>
      </c>
      <c r="Z2050" t="n">
        <v>0</v>
      </c>
      <c r="AA2050" t="n">
        <v>5</v>
      </c>
      <c r="AB2050" t="n">
        <v>0</v>
      </c>
      <c r="AC2050" t="n">
        <v>0</v>
      </c>
      <c r="AD2050" t="n">
        <v>73045</v>
      </c>
      <c r="AE2050" t="n">
        <v>0</v>
      </c>
      <c r="AF2050" t="n">
        <v>9416</v>
      </c>
      <c r="AG2050" t="n">
        <v>2194</v>
      </c>
      <c r="AH2050" t="inlineStr">
        <is>
          <t>PT. BINTANG MAS SURYA - PPN (JMB)</t>
        </is>
      </c>
      <c r="AI2050" t="n">
        <v>1595</v>
      </c>
      <c r="AJ2050" t="inlineStr">
        <is>
          <t>LAURIER</t>
        </is>
      </c>
      <c r="AK2050" t="n">
        <v>9</v>
      </c>
      <c r="AL2050" t="inlineStr">
        <is>
          <t>Miss Glam Jambi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LAURIER</t>
        </is>
      </c>
      <c r="B2051" s="2">
        <f>"8992727003094"</f>
        <v/>
      </c>
      <c r="C2051" t="inlineStr">
        <is>
          <t>LAURIER Relax Night 35cm Wing 12pcs</t>
        </is>
      </c>
      <c r="D2051" t="inlineStr">
        <is>
          <t>Miss Glam Jambi</t>
        </is>
      </c>
      <c r="E2051" t="n">
        <v>1</v>
      </c>
      <c r="F2051" t="n">
        <v>0.22</v>
      </c>
      <c r="G2051" t="n">
        <v>2</v>
      </c>
      <c r="H2051" t="n">
        <v>4</v>
      </c>
      <c r="I2051" t="n">
        <v>21</v>
      </c>
      <c r="J2051" t="n">
        <v>3</v>
      </c>
      <c r="K2051" t="n">
        <v>24</v>
      </c>
      <c r="L2051" t="n">
        <v>15361</v>
      </c>
      <c r="M2051" t="n">
        <v>18500</v>
      </c>
      <c r="N2051" t="n">
        <v>33</v>
      </c>
      <c r="O2051" t="n">
        <v>0.33</v>
      </c>
      <c r="P2051" t="n">
        <v>0</v>
      </c>
      <c r="Q2051" t="n">
        <v>0.22</v>
      </c>
      <c r="R2051" t="n">
        <v>2</v>
      </c>
      <c r="S2051" t="n">
        <v>4070</v>
      </c>
      <c r="T2051" t="n">
        <v>42</v>
      </c>
      <c r="U2051" t="n">
        <v>43</v>
      </c>
      <c r="V2051" t="n">
        <v>30</v>
      </c>
      <c r="W2051" t="n">
        <v>7</v>
      </c>
      <c r="X2051" t="n">
        <v>4.545454545454546</v>
      </c>
      <c r="Y2051" t="n">
        <v>1</v>
      </c>
      <c r="Z2051" t="n">
        <v>0</v>
      </c>
      <c r="AA2051" t="n">
        <v>3</v>
      </c>
      <c r="AB2051" t="n">
        <v>0</v>
      </c>
      <c r="AC2051" t="n">
        <v>0</v>
      </c>
      <c r="AD2051" t="n">
        <v>46083</v>
      </c>
      <c r="AE2051" t="n">
        <v>0</v>
      </c>
      <c r="AF2051" t="n">
        <v>9416</v>
      </c>
      <c r="AG2051" t="n">
        <v>2194</v>
      </c>
      <c r="AH2051" t="inlineStr">
        <is>
          <t>PT. BINTANG MAS SURYA - PPN (JMB)</t>
        </is>
      </c>
      <c r="AI2051" t="n">
        <v>1595</v>
      </c>
      <c r="AJ2051" t="inlineStr">
        <is>
          <t>LAURIER</t>
        </is>
      </c>
      <c r="AK2051" t="n">
        <v>9</v>
      </c>
      <c r="AL2051" t="inlineStr">
        <is>
          <t>Miss Glam Jambi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LAURIER</t>
        </is>
      </c>
      <c r="B2052" s="2">
        <f>"8992727003087"</f>
        <v/>
      </c>
      <c r="C2052" t="inlineStr">
        <is>
          <t>LAURIER Relax Night 35cm x 6pcs</t>
        </is>
      </c>
      <c r="D2052" t="inlineStr">
        <is>
          <t>Miss Glam Jambi</t>
        </is>
      </c>
      <c r="E2052" t="n">
        <v>1</v>
      </c>
      <c r="F2052" t="n">
        <v>0.3069</v>
      </c>
      <c r="G2052" t="n">
        <v>2.64</v>
      </c>
      <c r="H2052" t="n">
        <v>4</v>
      </c>
      <c r="I2052" t="n">
        <v>21</v>
      </c>
      <c r="J2052" t="n">
        <v>3</v>
      </c>
      <c r="K2052" t="n">
        <v>24</v>
      </c>
      <c r="L2052" t="n">
        <v>7766</v>
      </c>
      <c r="M2052" t="n">
        <v>9500</v>
      </c>
      <c r="N2052" t="n">
        <v>33</v>
      </c>
      <c r="O2052" t="n">
        <v>0.33</v>
      </c>
      <c r="P2052" t="n">
        <v>1</v>
      </c>
      <c r="Q2052" t="n">
        <v>0.1</v>
      </c>
      <c r="R2052" t="n">
        <v>2</v>
      </c>
      <c r="S2052" t="n">
        <v>2915.55</v>
      </c>
      <c r="T2052" t="n">
        <v>55</v>
      </c>
      <c r="U2052" t="n">
        <v>57</v>
      </c>
      <c r="V2052" t="n">
        <v>30</v>
      </c>
      <c r="W2052" t="n">
        <v>10</v>
      </c>
      <c r="X2052" t="n">
        <v>3.258390355164549</v>
      </c>
      <c r="Y2052" t="n">
        <v>1</v>
      </c>
      <c r="Z2052" t="n">
        <v>0</v>
      </c>
      <c r="AA2052" t="n">
        <v>5</v>
      </c>
      <c r="AB2052" t="n">
        <v>0</v>
      </c>
      <c r="AC2052" t="n">
        <v>0</v>
      </c>
      <c r="AD2052" t="n">
        <v>38830</v>
      </c>
      <c r="AE2052" t="n">
        <v>0</v>
      </c>
      <c r="AF2052" t="n">
        <v>9416</v>
      </c>
      <c r="AG2052" t="n">
        <v>2194</v>
      </c>
      <c r="AH2052" t="inlineStr">
        <is>
          <t>PT. BINTANG MAS SURYA - PPN (JMB)</t>
        </is>
      </c>
      <c r="AI2052" t="n">
        <v>1595</v>
      </c>
      <c r="AJ2052" t="inlineStr">
        <is>
          <t>LAURIER</t>
        </is>
      </c>
      <c r="AK2052" t="n">
        <v>9</v>
      </c>
      <c r="AL2052" t="inlineStr">
        <is>
          <t>Miss Glam Jambi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LAVOJOY</t>
        </is>
      </c>
      <c r="B2053" s="2">
        <f>"30600112503"</f>
        <v/>
      </c>
      <c r="C2053" t="inlineStr">
        <is>
          <t>LAVOJOY  Keep It Chill Hand Cream 30ml</t>
        </is>
      </c>
      <c r="D2053" t="inlineStr">
        <is>
          <t>Miss Glam Jambi</t>
        </is>
      </c>
      <c r="E2053" t="n">
        <v>4</v>
      </c>
      <c r="F2053" t="n">
        <v>0.0165</v>
      </c>
      <c r="G2053" t="n">
        <v>0.33</v>
      </c>
      <c r="H2053" t="n">
        <v>3</v>
      </c>
      <c r="I2053" t="n">
        <v>11</v>
      </c>
      <c r="J2053" t="n">
        <v>3</v>
      </c>
      <c r="K2053" t="n">
        <v>0</v>
      </c>
      <c r="L2053" t="n">
        <v>29520</v>
      </c>
      <c r="M2053" t="n">
        <v>36900</v>
      </c>
      <c r="N2053" t="n">
        <v>33</v>
      </c>
      <c r="O2053" t="n">
        <v>0.33</v>
      </c>
      <c r="P2053" t="n">
        <v>1</v>
      </c>
      <c r="Q2053" t="n">
        <v>0.22</v>
      </c>
      <c r="R2053" t="n">
        <v>2</v>
      </c>
      <c r="S2053" t="n">
        <v>608.85</v>
      </c>
      <c r="T2053" t="n">
        <v>4</v>
      </c>
      <c r="U2053" t="n">
        <v>5</v>
      </c>
      <c r="V2053" t="n">
        <v>30</v>
      </c>
      <c r="W2053" t="n">
        <v>1</v>
      </c>
      <c r="X2053" t="n">
        <v>242.4242424242424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10380</v>
      </c>
      <c r="AG2053" t="n">
        <v>170</v>
      </c>
      <c r="AH2053" t="inlineStr">
        <is>
          <t>PT. JALUR MANDIRI UTAMA - PPN (PDG)</t>
        </is>
      </c>
      <c r="AI2053" t="n">
        <v>1492</v>
      </c>
      <c r="AJ2053" t="inlineStr">
        <is>
          <t>LAVOJOY</t>
        </is>
      </c>
      <c r="AK2053" t="n">
        <v>9</v>
      </c>
      <c r="AL2053" t="inlineStr">
        <is>
          <t>Miss Glam Jambi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LAVOJOY</t>
        </is>
      </c>
      <c r="B2054" s="2">
        <f>"40100203934"</f>
        <v/>
      </c>
      <c r="C2054" t="inlineStr">
        <is>
          <t>LAVOJOY Hair We Bloom Dry Shampoo Season Of Flower 150ml</t>
        </is>
      </c>
      <c r="D2054" t="inlineStr">
        <is>
          <t>Miss Glam Jambi</t>
        </is>
      </c>
      <c r="E2054" t="n">
        <v>0</v>
      </c>
      <c r="F2054" t="n">
        <v>0.033</v>
      </c>
      <c r="G2054" t="n">
        <v>0.66</v>
      </c>
      <c r="H2054" t="n">
        <v>3</v>
      </c>
      <c r="I2054" t="n">
        <v>11</v>
      </c>
      <c r="J2054" t="n">
        <v>1</v>
      </c>
      <c r="K2054" t="n">
        <v>0</v>
      </c>
      <c r="L2054" t="n">
        <v>71200</v>
      </c>
      <c r="M2054" t="n">
        <v>89000</v>
      </c>
      <c r="N2054" t="n">
        <v>33</v>
      </c>
      <c r="O2054" t="n">
        <v>0.33</v>
      </c>
      <c r="P2054" t="n">
        <v>1</v>
      </c>
      <c r="Q2054" t="n">
        <v>0.07000000000000001</v>
      </c>
      <c r="R2054" t="n">
        <v>1</v>
      </c>
      <c r="S2054" t="n">
        <v>2937</v>
      </c>
      <c r="T2054" t="n">
        <v>8</v>
      </c>
      <c r="U2054" t="n">
        <v>9</v>
      </c>
      <c r="V2054" t="n">
        <v>30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n">
        <v>0</v>
      </c>
      <c r="AC2054" t="n">
        <v>0</v>
      </c>
      <c r="AD2054" t="n">
        <v>71200</v>
      </c>
      <c r="AE2054" t="n">
        <v>0</v>
      </c>
      <c r="AF2054" t="n">
        <v>10380</v>
      </c>
      <c r="AG2054" t="n">
        <v>170</v>
      </c>
      <c r="AH2054" t="inlineStr">
        <is>
          <t>PT. JALUR MANDIRI UTAMA - PPN (PDG)</t>
        </is>
      </c>
      <c r="AI2054" t="n">
        <v>1492</v>
      </c>
      <c r="AJ2054" t="inlineStr">
        <is>
          <t>LAVOJOY</t>
        </is>
      </c>
      <c r="AK2054" t="n">
        <v>9</v>
      </c>
      <c r="AL2054" t="inlineStr">
        <is>
          <t>Miss Glam Jambi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LAVOJOY</t>
        </is>
      </c>
      <c r="B2055" s="2">
        <f>"8991748012016"</f>
        <v/>
      </c>
      <c r="C2055" t="inlineStr">
        <is>
          <t>LAVOJOY Hair We Bloom Shampoo 300ml</t>
        </is>
      </c>
      <c r="D2055" t="inlineStr">
        <is>
          <t>Miss Glam Jambi</t>
        </is>
      </c>
      <c r="E2055" t="n">
        <v>10</v>
      </c>
      <c r="F2055" t="n">
        <v>0.06270000000000001</v>
      </c>
      <c r="G2055" t="n">
        <v>0.33</v>
      </c>
      <c r="H2055" t="n">
        <v>3</v>
      </c>
      <c r="I2055" t="n">
        <v>11</v>
      </c>
      <c r="J2055" t="n">
        <v>3</v>
      </c>
      <c r="K2055" t="n">
        <v>0</v>
      </c>
      <c r="L2055" t="n">
        <v>57520</v>
      </c>
      <c r="M2055" t="n">
        <v>71900</v>
      </c>
      <c r="N2055" t="n">
        <v>33</v>
      </c>
      <c r="O2055" t="n">
        <v>0.33</v>
      </c>
      <c r="P2055" t="n">
        <v>1</v>
      </c>
      <c r="Q2055" t="n">
        <v>0.15</v>
      </c>
      <c r="R2055" t="n">
        <v>5</v>
      </c>
      <c r="S2055" t="n">
        <v>4508.13</v>
      </c>
      <c r="T2055" t="n">
        <v>4</v>
      </c>
      <c r="U2055" t="n">
        <v>5</v>
      </c>
      <c r="V2055" t="n">
        <v>30</v>
      </c>
      <c r="W2055" t="n">
        <v>2</v>
      </c>
      <c r="X2055" t="n">
        <v>159.4896331738437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10380</v>
      </c>
      <c r="AG2055" t="n">
        <v>170</v>
      </c>
      <c r="AH2055" t="inlineStr">
        <is>
          <t>PT. JALUR MANDIRI UTAMA - PPN (PDG)</t>
        </is>
      </c>
      <c r="AI2055" t="n">
        <v>1492</v>
      </c>
      <c r="AJ2055" t="inlineStr">
        <is>
          <t>LAVOJOY</t>
        </is>
      </c>
      <c r="AK2055" t="n">
        <v>9</v>
      </c>
      <c r="AL2055" t="inlineStr">
        <is>
          <t>Miss Glam Jambi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LAVOJOY</t>
        </is>
      </c>
      <c r="B2056" s="2">
        <f>"8991748006374"</f>
        <v/>
      </c>
      <c r="C2056" t="inlineStr">
        <is>
          <t>LAVOJOY Hold Me Tight Pro Conditioner Spring Wonder 180ml</t>
        </is>
      </c>
      <c r="D2056" t="inlineStr">
        <is>
          <t>Miss Glam Jambi</t>
        </is>
      </c>
      <c r="E2056" t="n">
        <v>19</v>
      </c>
      <c r="F2056" t="n">
        <v>0.03</v>
      </c>
      <c r="G2056" t="n">
        <v>1</v>
      </c>
      <c r="H2056" t="n">
        <v>3</v>
      </c>
      <c r="I2056" t="n">
        <v>11</v>
      </c>
      <c r="J2056" t="n">
        <v>3</v>
      </c>
      <c r="K2056" t="n">
        <v>0</v>
      </c>
      <c r="L2056" t="n">
        <v>79200</v>
      </c>
      <c r="M2056" t="n">
        <v>99000</v>
      </c>
      <c r="N2056" t="n">
        <v>33</v>
      </c>
      <c r="O2056" t="n">
        <v>0.33</v>
      </c>
      <c r="P2056" t="n">
        <v>0</v>
      </c>
      <c r="Q2056" t="n">
        <v>0.03</v>
      </c>
      <c r="R2056" t="n">
        <v>1</v>
      </c>
      <c r="S2056" t="n">
        <v>2970</v>
      </c>
      <c r="T2056" t="n">
        <v>11</v>
      </c>
      <c r="U2056" t="n">
        <v>12</v>
      </c>
      <c r="V2056" t="n">
        <v>30</v>
      </c>
      <c r="W2056" t="n">
        <v>1</v>
      </c>
      <c r="X2056" t="n">
        <v>633.3333333333334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10380</v>
      </c>
      <c r="AG2056" t="n">
        <v>170</v>
      </c>
      <c r="AH2056" t="inlineStr">
        <is>
          <t>PT. JALUR MANDIRI UTAMA - PPN (PDG)</t>
        </is>
      </c>
      <c r="AI2056" t="n">
        <v>1492</v>
      </c>
      <c r="AJ2056" t="inlineStr">
        <is>
          <t>LAVOJOY</t>
        </is>
      </c>
      <c r="AK2056" t="n">
        <v>9</v>
      </c>
      <c r="AL2056" t="inlineStr">
        <is>
          <t>Miss Glam Jambi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LAVOJOY</t>
        </is>
      </c>
      <c r="B2057" s="2">
        <f>"8991748010326"</f>
        <v/>
      </c>
      <c r="C2057" t="inlineStr">
        <is>
          <t>LAVOJOY Hold Me Tight Pro Conditioner Spring Wonder 280ml</t>
        </is>
      </c>
      <c r="D2057" t="inlineStr">
        <is>
          <t>Miss Glam Jambi</t>
        </is>
      </c>
      <c r="E2057" t="n">
        <v>23</v>
      </c>
      <c r="F2057" t="n">
        <v>0.0561</v>
      </c>
      <c r="G2057" t="n">
        <v>0.33</v>
      </c>
      <c r="H2057" t="n">
        <v>3</v>
      </c>
      <c r="I2057" t="n">
        <v>11</v>
      </c>
      <c r="J2057" t="n">
        <v>3</v>
      </c>
      <c r="K2057" t="n">
        <v>0</v>
      </c>
      <c r="L2057" t="n">
        <v>80720</v>
      </c>
      <c r="M2057" t="n">
        <v>100900</v>
      </c>
      <c r="N2057" t="n">
        <v>33</v>
      </c>
      <c r="O2057" t="n">
        <v>0.33</v>
      </c>
      <c r="P2057" t="n">
        <v>1</v>
      </c>
      <c r="Q2057" t="n">
        <v>0.05</v>
      </c>
      <c r="R2057" t="n">
        <v>1</v>
      </c>
      <c r="S2057" t="n">
        <v>5660.490000000001</v>
      </c>
      <c r="T2057" t="n">
        <v>4</v>
      </c>
      <c r="U2057" t="n">
        <v>5</v>
      </c>
      <c r="V2057" t="n">
        <v>30</v>
      </c>
      <c r="W2057" t="n">
        <v>2</v>
      </c>
      <c r="X2057" t="n">
        <v>409.982174688057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10380</v>
      </c>
      <c r="AG2057" t="n">
        <v>170</v>
      </c>
      <c r="AH2057" t="inlineStr">
        <is>
          <t>PT. JALUR MANDIRI UTAMA - PPN (PDG)</t>
        </is>
      </c>
      <c r="AI2057" t="n">
        <v>1492</v>
      </c>
      <c r="AJ2057" t="inlineStr">
        <is>
          <t>LAVOJOY</t>
        </is>
      </c>
      <c r="AK2057" t="n">
        <v>9</v>
      </c>
      <c r="AL2057" t="inlineStr">
        <is>
          <t>Miss Glam Jambi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LAVOJOY</t>
        </is>
      </c>
      <c r="B2058" s="2">
        <f>"8991748006381"</f>
        <v/>
      </c>
      <c r="C2058" t="inlineStr">
        <is>
          <t>LAVOJOY Hold Me Tight Pro Scalp Essense Spring Wonder</t>
        </is>
      </c>
      <c r="D2058" t="inlineStr">
        <is>
          <t>Miss Glam Jambi</t>
        </is>
      </c>
      <c r="E2058" t="n">
        <v>9</v>
      </c>
      <c r="F2058" t="n">
        <v>0.0462</v>
      </c>
      <c r="G2058" t="n">
        <v>0.66</v>
      </c>
      <c r="H2058" t="n">
        <v>3</v>
      </c>
      <c r="I2058" t="n">
        <v>11</v>
      </c>
      <c r="J2058" t="n">
        <v>3</v>
      </c>
      <c r="K2058" t="n">
        <v>0</v>
      </c>
      <c r="L2058" t="n">
        <v>97520</v>
      </c>
      <c r="M2058" t="n">
        <v>121900</v>
      </c>
      <c r="N2058" t="n">
        <v>33</v>
      </c>
      <c r="O2058" t="n">
        <v>0.33</v>
      </c>
      <c r="P2058" t="n">
        <v>1</v>
      </c>
      <c r="Q2058" t="n">
        <v>0.05</v>
      </c>
      <c r="R2058" t="n">
        <v>1</v>
      </c>
      <c r="S2058" t="n">
        <v>5631.780000000001</v>
      </c>
      <c r="T2058" t="n">
        <v>8</v>
      </c>
      <c r="U2058" t="n">
        <v>9</v>
      </c>
      <c r="V2058" t="n">
        <v>30</v>
      </c>
      <c r="W2058" t="n">
        <v>2</v>
      </c>
      <c r="X2058" t="n">
        <v>194.8051948051948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10380</v>
      </c>
      <c r="AG2058" t="n">
        <v>170</v>
      </c>
      <c r="AH2058" t="inlineStr">
        <is>
          <t>PT. JALUR MANDIRI UTAMA - PPN (PDG)</t>
        </is>
      </c>
      <c r="AI2058" t="n">
        <v>1492</v>
      </c>
      <c r="AJ2058" t="inlineStr">
        <is>
          <t>LAVOJOY</t>
        </is>
      </c>
      <c r="AK2058" t="n">
        <v>9</v>
      </c>
      <c r="AL2058" t="inlineStr">
        <is>
          <t>Miss Glam Jambi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LAVOJOY</t>
        </is>
      </c>
      <c r="B2059" s="2">
        <f>"8991748006367"</f>
        <v/>
      </c>
      <c r="C2059" t="inlineStr">
        <is>
          <t>LAVOJOY Hold Me Tight Pro Shampoo Spring Wonder 280ml</t>
        </is>
      </c>
      <c r="D2059" t="inlineStr">
        <is>
          <t>Miss Glam Jambi</t>
        </is>
      </c>
      <c r="E2059" t="n">
        <v>23</v>
      </c>
      <c r="F2059" t="n">
        <v>0.1221</v>
      </c>
      <c r="G2059" t="n">
        <v>1.32</v>
      </c>
      <c r="H2059" t="n">
        <v>3</v>
      </c>
      <c r="I2059" t="n">
        <v>11</v>
      </c>
      <c r="J2059" t="n">
        <v>3</v>
      </c>
      <c r="K2059" t="n">
        <v>0</v>
      </c>
      <c r="L2059" t="n">
        <v>97520</v>
      </c>
      <c r="M2059" t="n">
        <v>121900</v>
      </c>
      <c r="N2059" t="n">
        <v>33</v>
      </c>
      <c r="O2059" t="n">
        <v>0.33</v>
      </c>
      <c r="P2059" t="n">
        <v>1</v>
      </c>
      <c r="Q2059" t="n">
        <v>0.27</v>
      </c>
      <c r="R2059" t="n">
        <v>2</v>
      </c>
      <c r="S2059" t="n">
        <v>14883.99</v>
      </c>
      <c r="T2059" t="n">
        <v>15</v>
      </c>
      <c r="U2059" t="n">
        <v>16</v>
      </c>
      <c r="V2059" t="n">
        <v>30</v>
      </c>
      <c r="W2059" t="n">
        <v>4</v>
      </c>
      <c r="X2059" t="n">
        <v>188.3701883701884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10380</v>
      </c>
      <c r="AG2059" t="n">
        <v>170</v>
      </c>
      <c r="AH2059" t="inlineStr">
        <is>
          <t>PT. JALUR MANDIRI UTAMA - PPN (PDG)</t>
        </is>
      </c>
      <c r="AI2059" t="n">
        <v>1492</v>
      </c>
      <c r="AJ2059" t="inlineStr">
        <is>
          <t>LAVOJOY</t>
        </is>
      </c>
      <c r="AK2059" t="n">
        <v>9</v>
      </c>
      <c r="AL2059" t="inlineStr">
        <is>
          <t>Miss Glam Jambi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LAVOJOY</t>
        </is>
      </c>
      <c r="B2060" s="2">
        <f>"30200423428"</f>
        <v/>
      </c>
      <c r="C2060" t="inlineStr">
        <is>
          <t>LAVOJOY Keep It Chill Body Serum Cooling &amp; Soothing 180ml</t>
        </is>
      </c>
      <c r="D2060" t="inlineStr">
        <is>
          <t>Miss Glam Jambi</t>
        </is>
      </c>
      <c r="E2060" t="n">
        <v>60</v>
      </c>
      <c r="F2060" t="n">
        <v>0.297</v>
      </c>
      <c r="G2060" t="n">
        <v>1.32</v>
      </c>
      <c r="H2060" t="n">
        <v>3</v>
      </c>
      <c r="I2060" t="n">
        <v>11</v>
      </c>
      <c r="J2060" t="n">
        <v>3</v>
      </c>
      <c r="K2060" t="n">
        <v>0</v>
      </c>
      <c r="L2060" t="n">
        <v>36720</v>
      </c>
      <c r="M2060" t="n">
        <v>45900</v>
      </c>
      <c r="N2060" t="n">
        <v>33</v>
      </c>
      <c r="O2060" t="n">
        <v>0.33</v>
      </c>
      <c r="P2060" t="n">
        <v>1</v>
      </c>
      <c r="Q2060" t="n">
        <v>0.19</v>
      </c>
      <c r="R2060" t="n">
        <v>1</v>
      </c>
      <c r="S2060" t="n">
        <v>13632.3</v>
      </c>
      <c r="T2060" t="n">
        <v>14</v>
      </c>
      <c r="U2060" t="n">
        <v>15</v>
      </c>
      <c r="V2060" t="n">
        <v>30</v>
      </c>
      <c r="W2060" t="n">
        <v>9</v>
      </c>
      <c r="X2060" t="n">
        <v>202.020202020202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10380</v>
      </c>
      <c r="AG2060" t="n">
        <v>170</v>
      </c>
      <c r="AH2060" t="inlineStr">
        <is>
          <t>PT. JALUR MANDIRI UTAMA - PPN (PDG)</t>
        </is>
      </c>
      <c r="AI2060" t="n">
        <v>1492</v>
      </c>
      <c r="AJ2060" t="inlineStr">
        <is>
          <t>LAVOJOY</t>
        </is>
      </c>
      <c r="AK2060" t="n">
        <v>9</v>
      </c>
      <c r="AL2060" t="inlineStr">
        <is>
          <t>Miss Glam Jambi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LAVOJOY</t>
        </is>
      </c>
      <c r="B2061" s="2">
        <f>"30100165658"</f>
        <v/>
      </c>
      <c r="C2061" t="inlineStr">
        <is>
          <t>LAVOJOY Keep It Chill Body Wash Cooling &amp; Soothing 300ml</t>
        </is>
      </c>
      <c r="D2061" t="inlineStr">
        <is>
          <t>Miss Glam Jambi</t>
        </is>
      </c>
      <c r="E2061" t="n">
        <v>34</v>
      </c>
      <c r="F2061" t="n">
        <v>0.066</v>
      </c>
      <c r="G2061" t="n">
        <v>0.66</v>
      </c>
      <c r="H2061" t="n">
        <v>3</v>
      </c>
      <c r="I2061" t="n">
        <v>11</v>
      </c>
      <c r="J2061" t="n">
        <v>3</v>
      </c>
      <c r="K2061" t="n">
        <v>0</v>
      </c>
      <c r="L2061" t="n">
        <v>40720</v>
      </c>
      <c r="M2061" t="n">
        <v>50900</v>
      </c>
      <c r="N2061" t="n">
        <v>33</v>
      </c>
      <c r="O2061" t="n">
        <v>0.33</v>
      </c>
      <c r="P2061" t="n">
        <v>1</v>
      </c>
      <c r="Q2061" t="n">
        <v>0.12</v>
      </c>
      <c r="R2061" t="n">
        <v>2</v>
      </c>
      <c r="S2061" t="n">
        <v>3359.4</v>
      </c>
      <c r="T2061" t="n">
        <v>8</v>
      </c>
      <c r="U2061" t="n">
        <v>9</v>
      </c>
      <c r="V2061" t="n">
        <v>30</v>
      </c>
      <c r="W2061" t="n">
        <v>2</v>
      </c>
      <c r="X2061" t="n">
        <v>515.1515151515151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10380</v>
      </c>
      <c r="AG2061" t="n">
        <v>170</v>
      </c>
      <c r="AH2061" t="inlineStr">
        <is>
          <t>PT. JALUR MANDIRI UTAMA - PPN (PDG)</t>
        </is>
      </c>
      <c r="AI2061" t="n">
        <v>1492</v>
      </c>
      <c r="AJ2061" t="inlineStr">
        <is>
          <t>LAVOJOY</t>
        </is>
      </c>
      <c r="AK2061" t="n">
        <v>9</v>
      </c>
      <c r="AL2061" t="inlineStr">
        <is>
          <t>Miss Glam Jambi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LAVOJOY</t>
        </is>
      </c>
      <c r="B2062" s="2">
        <f>"8991748011255"</f>
        <v/>
      </c>
      <c r="C2062" t="inlineStr">
        <is>
          <t>LAVOJOY Let It Glow Body Serum 180ml</t>
        </is>
      </c>
      <c r="D2062" t="inlineStr">
        <is>
          <t>Miss Glam Jambi</t>
        </is>
      </c>
      <c r="E2062" t="n">
        <v>37</v>
      </c>
      <c r="F2062" t="n">
        <v>1.0527</v>
      </c>
      <c r="G2062" t="n">
        <v>3.3</v>
      </c>
      <c r="H2062" t="n">
        <v>3</v>
      </c>
      <c r="I2062" t="n">
        <v>11</v>
      </c>
      <c r="J2062" t="n">
        <v>3</v>
      </c>
      <c r="K2062" t="n">
        <v>0</v>
      </c>
      <c r="L2062" t="n">
        <v>36720</v>
      </c>
      <c r="M2062" t="n">
        <v>45900</v>
      </c>
      <c r="N2062" t="n">
        <v>33</v>
      </c>
      <c r="O2062" t="n">
        <v>0.33</v>
      </c>
      <c r="P2062" t="n">
        <v>1</v>
      </c>
      <c r="Q2062" t="n">
        <v>0.51</v>
      </c>
      <c r="R2062" t="n">
        <v>4</v>
      </c>
      <c r="S2062" t="n">
        <v>48318.93</v>
      </c>
      <c r="T2062" t="n">
        <v>34</v>
      </c>
      <c r="U2062" t="n">
        <v>38</v>
      </c>
      <c r="V2062" t="n">
        <v>30</v>
      </c>
      <c r="W2062" t="n">
        <v>32</v>
      </c>
      <c r="X2062" t="n">
        <v>35.1477153984991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10380</v>
      </c>
      <c r="AG2062" t="n">
        <v>170</v>
      </c>
      <c r="AH2062" t="inlineStr">
        <is>
          <t>PT. JALUR MANDIRI UTAMA - PPN (PDG)</t>
        </is>
      </c>
      <c r="AI2062" t="n">
        <v>1492</v>
      </c>
      <c r="AJ2062" t="inlineStr">
        <is>
          <t>LAVOJOY</t>
        </is>
      </c>
      <c r="AK2062" t="n">
        <v>9</v>
      </c>
      <c r="AL2062" t="inlineStr">
        <is>
          <t>Miss Glam Jambi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LAVOJOY</t>
        </is>
      </c>
      <c r="B2063" s="2">
        <f>"8991748014072"</f>
        <v/>
      </c>
      <c r="C2063" t="inlineStr">
        <is>
          <t>LAVOJOY Let It Glow Body Serum Black Opium 180ml</t>
        </is>
      </c>
      <c r="D2063" t="inlineStr">
        <is>
          <t>Miss Glam Jambi</t>
        </is>
      </c>
      <c r="E2063" t="n">
        <v>31</v>
      </c>
      <c r="F2063" t="n">
        <v>0.6930000000000001</v>
      </c>
      <c r="G2063" t="n">
        <v>3.96</v>
      </c>
      <c r="H2063" t="n">
        <v>3</v>
      </c>
      <c r="I2063" t="n">
        <v>11</v>
      </c>
      <c r="J2063" t="n">
        <v>3</v>
      </c>
      <c r="K2063" t="n">
        <v>0</v>
      </c>
      <c r="L2063" t="n">
        <v>36720</v>
      </c>
      <c r="M2063" t="n">
        <v>45900</v>
      </c>
      <c r="N2063" t="n">
        <v>33</v>
      </c>
      <c r="O2063" t="n">
        <v>0.33</v>
      </c>
      <c r="P2063" t="n">
        <v>1</v>
      </c>
      <c r="Q2063" t="n">
        <v>0.64</v>
      </c>
      <c r="R2063" t="n">
        <v>3</v>
      </c>
      <c r="S2063" t="n">
        <v>31808.7</v>
      </c>
      <c r="T2063" t="n">
        <v>42</v>
      </c>
      <c r="U2063" t="n">
        <v>45</v>
      </c>
      <c r="V2063" t="n">
        <v>30</v>
      </c>
      <c r="W2063" t="n">
        <v>21</v>
      </c>
      <c r="X2063" t="n">
        <v>44.73304473304473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10380</v>
      </c>
      <c r="AG2063" t="n">
        <v>170</v>
      </c>
      <c r="AH2063" t="inlineStr">
        <is>
          <t>PT. JALUR MANDIRI UTAMA - PPN (PDG)</t>
        </is>
      </c>
      <c r="AI2063" t="n">
        <v>1492</v>
      </c>
      <c r="AJ2063" t="inlineStr">
        <is>
          <t>LAVOJOY</t>
        </is>
      </c>
      <c r="AK2063" t="n">
        <v>9</v>
      </c>
      <c r="AL2063" t="inlineStr">
        <is>
          <t>Miss Glam Jambi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LAVOJOY</t>
        </is>
      </c>
      <c r="B2064" s="2">
        <f>"8991748014089"</f>
        <v/>
      </c>
      <c r="C2064" t="inlineStr">
        <is>
          <t>LAVOJOY Let It Glow Body Serum Summertrain 180ml</t>
        </is>
      </c>
      <c r="D2064" t="inlineStr">
        <is>
          <t>Miss Glam Jambi</t>
        </is>
      </c>
      <c r="E2064" t="n">
        <v>48</v>
      </c>
      <c r="F2064" t="n">
        <v>0.4917</v>
      </c>
      <c r="G2064" t="n">
        <v>2.64</v>
      </c>
      <c r="H2064" t="n">
        <v>3</v>
      </c>
      <c r="I2064" t="n">
        <v>11</v>
      </c>
      <c r="J2064" t="n">
        <v>3</v>
      </c>
      <c r="K2064" t="n">
        <v>0</v>
      </c>
      <c r="L2064" t="n">
        <v>36720</v>
      </c>
      <c r="M2064" t="n">
        <v>45900</v>
      </c>
      <c r="N2064" t="n">
        <v>33</v>
      </c>
      <c r="O2064" t="n">
        <v>0.33</v>
      </c>
      <c r="P2064" t="n">
        <v>1</v>
      </c>
      <c r="Q2064" t="n">
        <v>0.03</v>
      </c>
      <c r="R2064" t="n">
        <v>1</v>
      </c>
      <c r="S2064" t="n">
        <v>22569.03</v>
      </c>
      <c r="T2064" t="n">
        <v>28</v>
      </c>
      <c r="U2064" t="n">
        <v>30</v>
      </c>
      <c r="V2064" t="n">
        <v>30</v>
      </c>
      <c r="W2064" t="n">
        <v>15</v>
      </c>
      <c r="X2064" t="n">
        <v>97.62050030506406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10380</v>
      </c>
      <c r="AG2064" t="n">
        <v>170</v>
      </c>
      <c r="AH2064" t="inlineStr">
        <is>
          <t>PT. JALUR MANDIRI UTAMA - PPN (PDG)</t>
        </is>
      </c>
      <c r="AI2064" t="n">
        <v>1492</v>
      </c>
      <c r="AJ2064" t="inlineStr">
        <is>
          <t>LAVOJOY</t>
        </is>
      </c>
      <c r="AK2064" t="n">
        <v>9</v>
      </c>
      <c r="AL2064" t="inlineStr">
        <is>
          <t>Miss Glam Jambi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LAVOJOY</t>
        </is>
      </c>
      <c r="B2065" s="2">
        <f>"8991748011293"</f>
        <v/>
      </c>
      <c r="C2065" t="inlineStr">
        <is>
          <t>LAVOJOY Let It Glow Body Wash 300ml</t>
        </is>
      </c>
      <c r="D2065" t="inlineStr">
        <is>
          <t>Miss Glam Jambi</t>
        </is>
      </c>
      <c r="E2065" t="n">
        <v>0</v>
      </c>
      <c r="F2065" t="n">
        <v>0.1353</v>
      </c>
      <c r="G2065" t="n">
        <v>0.66</v>
      </c>
      <c r="H2065" t="n">
        <v>3</v>
      </c>
      <c r="I2065" t="n">
        <v>11</v>
      </c>
      <c r="J2065" t="n">
        <v>3</v>
      </c>
      <c r="K2065" t="n">
        <v>0</v>
      </c>
      <c r="L2065" t="n">
        <v>40720</v>
      </c>
      <c r="M2065" t="n">
        <v>50900</v>
      </c>
      <c r="N2065" t="n">
        <v>33</v>
      </c>
      <c r="O2065" t="n">
        <v>0.33</v>
      </c>
      <c r="P2065" t="n">
        <v>1</v>
      </c>
      <c r="Q2065" t="n">
        <v>0.41</v>
      </c>
      <c r="R2065" t="n">
        <v>4</v>
      </c>
      <c r="S2065" t="n">
        <v>6886.77</v>
      </c>
      <c r="T2065" t="n">
        <v>7</v>
      </c>
      <c r="U2065" t="n">
        <v>8</v>
      </c>
      <c r="V2065" t="n">
        <v>30</v>
      </c>
      <c r="W2065" t="n">
        <v>5</v>
      </c>
      <c r="X2065" t="n">
        <v>0</v>
      </c>
      <c r="Y2065" t="n">
        <v>1</v>
      </c>
      <c r="Z2065" t="n">
        <v>5</v>
      </c>
      <c r="AA2065" t="n">
        <v>2</v>
      </c>
      <c r="AB2065" t="n">
        <v>3</v>
      </c>
      <c r="AC2065" t="n">
        <v>3</v>
      </c>
      <c r="AD2065" t="n">
        <v>81440</v>
      </c>
      <c r="AE2065" t="n">
        <v>122160</v>
      </c>
      <c r="AF2065" t="n">
        <v>10380</v>
      </c>
      <c r="AG2065" t="n">
        <v>170</v>
      </c>
      <c r="AH2065" t="inlineStr">
        <is>
          <t>PT. JALUR MANDIRI UTAMA - PPN (PDG)</t>
        </is>
      </c>
      <c r="AI2065" t="n">
        <v>1492</v>
      </c>
      <c r="AJ2065" t="inlineStr">
        <is>
          <t>LAVOJOY</t>
        </is>
      </c>
      <c r="AK2065" t="n">
        <v>9</v>
      </c>
      <c r="AL2065" t="inlineStr">
        <is>
          <t>Miss Glam Jambi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LAVOJOY</t>
        </is>
      </c>
      <c r="B2066" s="2">
        <f>"8991748011088"</f>
        <v/>
      </c>
      <c r="C2066" t="inlineStr">
        <is>
          <t>LAVOJOY Let It Glow Daily Shene Body Serum 180ml</t>
        </is>
      </c>
      <c r="D2066" t="inlineStr">
        <is>
          <t>Miss Glam Jambi</t>
        </is>
      </c>
      <c r="E2066" t="n">
        <v>89</v>
      </c>
      <c r="F2066" t="n">
        <v>0.7326000000000001</v>
      </c>
      <c r="G2066" t="n">
        <v>3.3</v>
      </c>
      <c r="H2066" t="n">
        <v>3</v>
      </c>
      <c r="I2066" t="n">
        <v>11</v>
      </c>
      <c r="J2066" t="n">
        <v>3</v>
      </c>
      <c r="K2066" t="n">
        <v>0</v>
      </c>
      <c r="L2066" t="n">
        <v>56720</v>
      </c>
      <c r="M2066" t="n">
        <v>70900</v>
      </c>
      <c r="N2066" t="n">
        <v>33</v>
      </c>
      <c r="O2066" t="n">
        <v>0.33</v>
      </c>
      <c r="P2066" t="n">
        <v>1</v>
      </c>
      <c r="Q2066" t="n">
        <v>1.46</v>
      </c>
      <c r="R2066" t="n">
        <v>9</v>
      </c>
      <c r="S2066" t="n">
        <v>51941.34000000001</v>
      </c>
      <c r="T2066" t="n">
        <v>35</v>
      </c>
      <c r="U2066" t="n">
        <v>38</v>
      </c>
      <c r="V2066" t="n">
        <v>30</v>
      </c>
      <c r="W2066" t="n">
        <v>22</v>
      </c>
      <c r="X2066" t="n">
        <v>121.4851214851215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10380</v>
      </c>
      <c r="AG2066" t="n">
        <v>170</v>
      </c>
      <c r="AH2066" t="inlineStr">
        <is>
          <t>PT. JALUR MANDIRI UTAMA - PPN (PDG)</t>
        </is>
      </c>
      <c r="AI2066" t="n">
        <v>1492</v>
      </c>
      <c r="AJ2066" t="inlineStr">
        <is>
          <t>LAVOJOY</t>
        </is>
      </c>
      <c r="AK2066" t="n">
        <v>9</v>
      </c>
      <c r="AL2066" t="inlineStr">
        <is>
          <t>Miss Glam Jambi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LAVOJOY</t>
        </is>
      </c>
      <c r="B2067" s="2">
        <f>"30200426146"</f>
        <v/>
      </c>
      <c r="C2067" t="inlineStr">
        <is>
          <t>LAVOJOY Let It Glow Daily Shine Body Serum Delicate Rose 01 Cream Beige 180ml</t>
        </is>
      </c>
      <c r="D2067" t="inlineStr">
        <is>
          <t>Miss Glam Jambi</t>
        </is>
      </c>
      <c r="E2067" t="n">
        <v>72</v>
      </c>
      <c r="F2067" t="n">
        <v>2.4882</v>
      </c>
      <c r="G2067" t="n">
        <v>5.28</v>
      </c>
      <c r="H2067" t="n">
        <v>3</v>
      </c>
      <c r="I2067" t="n">
        <v>11</v>
      </c>
      <c r="J2067" t="n">
        <v>1</v>
      </c>
      <c r="K2067" t="n">
        <v>0</v>
      </c>
      <c r="L2067" t="n">
        <v>56720</v>
      </c>
      <c r="M2067" t="n">
        <v>70900</v>
      </c>
      <c r="N2067" t="n">
        <v>33</v>
      </c>
      <c r="O2067" t="n">
        <v>0.33</v>
      </c>
      <c r="P2067" t="n">
        <v>1</v>
      </c>
      <c r="Q2067" t="n">
        <v>2.17</v>
      </c>
      <c r="R2067" t="n">
        <v>8</v>
      </c>
      <c r="S2067" t="n">
        <v>176413.38</v>
      </c>
      <c r="T2067" t="n">
        <v>51</v>
      </c>
      <c r="U2067" t="n">
        <v>59</v>
      </c>
      <c r="V2067" t="n">
        <v>30</v>
      </c>
      <c r="W2067" t="n">
        <v>75</v>
      </c>
      <c r="X2067" t="n">
        <v>28.93658066071859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10380</v>
      </c>
      <c r="AG2067" t="n">
        <v>170</v>
      </c>
      <c r="AH2067" t="inlineStr">
        <is>
          <t>PT. JALUR MANDIRI UTAMA - PPN (PDG)</t>
        </is>
      </c>
      <c r="AI2067" t="n">
        <v>1492</v>
      </c>
      <c r="AJ2067" t="inlineStr">
        <is>
          <t>LAVOJOY</t>
        </is>
      </c>
      <c r="AK2067" t="n">
        <v>9</v>
      </c>
      <c r="AL2067" t="inlineStr">
        <is>
          <t>Miss Glam Jambi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LAVOJOY</t>
        </is>
      </c>
      <c r="B2068" s="2">
        <f>"30200426217"</f>
        <v/>
      </c>
      <c r="C2068" t="inlineStr">
        <is>
          <t>LAVOJOY Let It Glow Daily Shine Body Serum Delicate Rose 02 Warm Sand 180ml</t>
        </is>
      </c>
      <c r="D2068" t="inlineStr">
        <is>
          <t>Miss Glam Jambi</t>
        </is>
      </c>
      <c r="E2068" t="n">
        <v>84</v>
      </c>
      <c r="F2068" t="n">
        <v>2.5014</v>
      </c>
      <c r="G2068" t="n">
        <v>4.95</v>
      </c>
      <c r="H2068" t="n">
        <v>3</v>
      </c>
      <c r="I2068" t="n">
        <v>11</v>
      </c>
      <c r="J2068" t="n">
        <v>1</v>
      </c>
      <c r="K2068" t="n">
        <v>0</v>
      </c>
      <c r="L2068" t="n">
        <v>56720</v>
      </c>
      <c r="M2068" t="n">
        <v>70900</v>
      </c>
      <c r="N2068" t="n">
        <v>33</v>
      </c>
      <c r="O2068" t="n">
        <v>0.33</v>
      </c>
      <c r="P2068" t="n">
        <v>1</v>
      </c>
      <c r="Q2068" t="n">
        <v>1.69</v>
      </c>
      <c r="R2068" t="n">
        <v>5</v>
      </c>
      <c r="S2068" t="n">
        <v>177349.26</v>
      </c>
      <c r="T2068" t="n">
        <v>47</v>
      </c>
      <c r="U2068" t="n">
        <v>55</v>
      </c>
      <c r="V2068" t="n">
        <v>30</v>
      </c>
      <c r="W2068" t="n">
        <v>76</v>
      </c>
      <c r="X2068" t="n">
        <v>33.5811945310626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10380</v>
      </c>
      <c r="AG2068" t="n">
        <v>170</v>
      </c>
      <c r="AH2068" t="inlineStr">
        <is>
          <t>PT. JALUR MANDIRI UTAMA - PPN (PDG)</t>
        </is>
      </c>
      <c r="AI2068" t="n">
        <v>1492</v>
      </c>
      <c r="AJ2068" t="inlineStr">
        <is>
          <t>LAVOJOY</t>
        </is>
      </c>
      <c r="AK2068" t="n">
        <v>9</v>
      </c>
      <c r="AL2068" t="inlineStr">
        <is>
          <t>Miss Glam Jambi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LAVOJOY</t>
        </is>
      </c>
      <c r="B2069" s="2">
        <f>"30600112257"</f>
        <v/>
      </c>
      <c r="C2069" t="inlineStr">
        <is>
          <t>LAVOJOY Let It Glow Hand Cream 30ml</t>
        </is>
      </c>
      <c r="D2069" t="inlineStr">
        <is>
          <t>Miss Glam Jambi</t>
        </is>
      </c>
      <c r="E2069" t="n">
        <v>0</v>
      </c>
      <c r="F2069" t="n">
        <v>0.07920000000000001</v>
      </c>
      <c r="G2069" t="n">
        <v>0.66</v>
      </c>
      <c r="H2069" t="n">
        <v>3</v>
      </c>
      <c r="I2069" t="n">
        <v>11</v>
      </c>
      <c r="J2069" t="n">
        <v>3</v>
      </c>
      <c r="K2069" t="n">
        <v>0</v>
      </c>
      <c r="L2069" t="n">
        <v>29520</v>
      </c>
      <c r="M2069" t="n">
        <v>36900</v>
      </c>
      <c r="N2069" t="n">
        <v>33</v>
      </c>
      <c r="O2069" t="n">
        <v>0.33</v>
      </c>
      <c r="P2069" t="n">
        <v>1</v>
      </c>
      <c r="Q2069" t="n">
        <v>0.21</v>
      </c>
      <c r="R2069" t="n">
        <v>2</v>
      </c>
      <c r="S2069" t="n">
        <v>2922.48</v>
      </c>
      <c r="T2069" t="n">
        <v>8</v>
      </c>
      <c r="U2069" t="n">
        <v>9</v>
      </c>
      <c r="V2069" t="n">
        <v>30</v>
      </c>
      <c r="W2069" t="n">
        <v>3</v>
      </c>
      <c r="X2069" t="n">
        <v>0</v>
      </c>
      <c r="Y2069" t="n">
        <v>1</v>
      </c>
      <c r="Z2069" t="n">
        <v>3</v>
      </c>
      <c r="AA2069" t="n">
        <v>1</v>
      </c>
      <c r="AB2069" t="n">
        <v>2</v>
      </c>
      <c r="AC2069" t="n">
        <v>3</v>
      </c>
      <c r="AD2069" t="n">
        <v>29520</v>
      </c>
      <c r="AE2069" t="n">
        <v>88560</v>
      </c>
      <c r="AF2069" t="n">
        <v>10380</v>
      </c>
      <c r="AG2069" t="n">
        <v>170</v>
      </c>
      <c r="AH2069" t="inlineStr">
        <is>
          <t>PT. JALUR MANDIRI UTAMA - PPN (PDG)</t>
        </is>
      </c>
      <c r="AI2069" t="n">
        <v>1492</v>
      </c>
      <c r="AJ2069" t="inlineStr">
        <is>
          <t>LAVOJOY</t>
        </is>
      </c>
      <c r="AK2069" t="n">
        <v>9</v>
      </c>
      <c r="AL2069" t="inlineStr">
        <is>
          <t>Miss Glam Jambi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LAVOJOY</t>
        </is>
      </c>
      <c r="B2070" s="2">
        <f>"8991748012054"</f>
        <v/>
      </c>
      <c r="C2070" t="inlineStr">
        <is>
          <t>LAVOJOY Out Of My Head Conditioner 300ml</t>
        </is>
      </c>
      <c r="D2070" t="inlineStr">
        <is>
          <t>Miss Glam Jambi</t>
        </is>
      </c>
      <c r="E2070" t="n">
        <v>2</v>
      </c>
      <c r="F2070" t="n">
        <v>0.0462</v>
      </c>
      <c r="G2070" t="n">
        <v>0.66</v>
      </c>
      <c r="H2070" t="n">
        <v>3</v>
      </c>
      <c r="I2070" t="n">
        <v>11</v>
      </c>
      <c r="J2070" t="n">
        <v>3</v>
      </c>
      <c r="K2070" t="n">
        <v>0</v>
      </c>
      <c r="L2070" t="n">
        <v>57520</v>
      </c>
      <c r="M2070" t="n">
        <v>71900</v>
      </c>
      <c r="N2070" t="n">
        <v>33</v>
      </c>
      <c r="O2070" t="n">
        <v>0.33</v>
      </c>
      <c r="P2070" t="n">
        <v>1</v>
      </c>
      <c r="Q2070" t="n">
        <v>0.05</v>
      </c>
      <c r="R2070" t="n">
        <v>1</v>
      </c>
      <c r="S2070" t="n">
        <v>3321.78</v>
      </c>
      <c r="T2070" t="n">
        <v>8</v>
      </c>
      <c r="U2070" t="n">
        <v>9</v>
      </c>
      <c r="V2070" t="n">
        <v>30</v>
      </c>
      <c r="W2070" t="n">
        <v>2</v>
      </c>
      <c r="X2070" t="n">
        <v>43.29004329004329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10380</v>
      </c>
      <c r="AG2070" t="n">
        <v>170</v>
      </c>
      <c r="AH2070" t="inlineStr">
        <is>
          <t>PT. JALUR MANDIRI UTAMA - PPN (PDG)</t>
        </is>
      </c>
      <c r="AI2070" t="n">
        <v>1492</v>
      </c>
      <c r="AJ2070" t="inlineStr">
        <is>
          <t>LAVOJOY</t>
        </is>
      </c>
      <c r="AK2070" t="n">
        <v>9</v>
      </c>
      <c r="AL2070" t="inlineStr">
        <is>
          <t>Miss Glam Jambi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LAVOJOY</t>
        </is>
      </c>
      <c r="B2071" s="2">
        <f>"8991748012047"</f>
        <v/>
      </c>
      <c r="C2071" t="inlineStr">
        <is>
          <t>LAVOJOY Out Of My Head Shampoo 300ml</t>
        </is>
      </c>
      <c r="D2071" t="inlineStr">
        <is>
          <t>Miss Glam Jambi</t>
        </is>
      </c>
      <c r="E2071" t="n">
        <v>10</v>
      </c>
      <c r="F2071" t="n">
        <v>0.0561</v>
      </c>
      <c r="G2071" t="n">
        <v>0.66</v>
      </c>
      <c r="H2071" t="n">
        <v>3</v>
      </c>
      <c r="I2071" t="n">
        <v>11</v>
      </c>
      <c r="J2071" t="n">
        <v>3</v>
      </c>
      <c r="K2071" t="n">
        <v>0</v>
      </c>
      <c r="L2071" t="n">
        <v>57520</v>
      </c>
      <c r="M2071" t="n">
        <v>71900</v>
      </c>
      <c r="N2071" t="n">
        <v>33</v>
      </c>
      <c r="O2071" t="n">
        <v>0.33</v>
      </c>
      <c r="P2071" t="n">
        <v>1</v>
      </c>
      <c r="Q2071" t="n">
        <v>0.07000000000000001</v>
      </c>
      <c r="R2071" t="n">
        <v>1</v>
      </c>
      <c r="S2071" t="n">
        <v>4033.59</v>
      </c>
      <c r="T2071" t="n">
        <v>8</v>
      </c>
      <c r="U2071" t="n">
        <v>9</v>
      </c>
      <c r="V2071" t="n">
        <v>30</v>
      </c>
      <c r="W2071" t="n">
        <v>2</v>
      </c>
      <c r="X2071" t="n">
        <v>178.25311942959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10380</v>
      </c>
      <c r="AG2071" t="n">
        <v>170</v>
      </c>
      <c r="AH2071" t="inlineStr">
        <is>
          <t>PT. JALUR MANDIRI UTAMA - PPN (PDG)</t>
        </is>
      </c>
      <c r="AI2071" t="n">
        <v>1492</v>
      </c>
      <c r="AJ2071" t="inlineStr">
        <is>
          <t>LAVOJOY</t>
        </is>
      </c>
      <c r="AK2071" t="n">
        <v>9</v>
      </c>
      <c r="AL2071" t="inlineStr">
        <is>
          <t>Miss Glam Jambi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LAVOJOY</t>
        </is>
      </c>
      <c r="B2072" s="2">
        <f>"8991748012078"</f>
        <v/>
      </c>
      <c r="C2072" t="inlineStr">
        <is>
          <t>LAVOJOY So So So Smooth Conditioner 300ml</t>
        </is>
      </c>
      <c r="D2072" t="inlineStr">
        <is>
          <t>Miss Glam Jambi</t>
        </is>
      </c>
      <c r="E2072" t="n">
        <v>23</v>
      </c>
      <c r="F2072" t="n">
        <v>0.066</v>
      </c>
      <c r="G2072" t="n">
        <v>0.99</v>
      </c>
      <c r="H2072" t="n">
        <v>3</v>
      </c>
      <c r="I2072" t="n">
        <v>11</v>
      </c>
      <c r="J2072" t="n">
        <v>3</v>
      </c>
      <c r="K2072" t="n">
        <v>0</v>
      </c>
      <c r="L2072" t="n">
        <v>57520</v>
      </c>
      <c r="M2072" t="n">
        <v>71900</v>
      </c>
      <c r="N2072" t="n">
        <v>33</v>
      </c>
      <c r="O2072" t="n">
        <v>0.33</v>
      </c>
      <c r="P2072" t="n">
        <v>1</v>
      </c>
      <c r="Q2072" t="n">
        <v>0.1</v>
      </c>
      <c r="R2072" t="n">
        <v>2</v>
      </c>
      <c r="S2072" t="n">
        <v>4745.400000000001</v>
      </c>
      <c r="T2072" t="n">
        <v>11</v>
      </c>
      <c r="U2072" t="n">
        <v>12</v>
      </c>
      <c r="V2072" t="n">
        <v>30</v>
      </c>
      <c r="W2072" t="n">
        <v>2</v>
      </c>
      <c r="X2072" t="n">
        <v>348.4848484848484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10380</v>
      </c>
      <c r="AG2072" t="n">
        <v>170</v>
      </c>
      <c r="AH2072" t="inlineStr">
        <is>
          <t>PT. JALUR MANDIRI UTAMA - PPN (PDG)</t>
        </is>
      </c>
      <c r="AI2072" t="n">
        <v>1492</v>
      </c>
      <c r="AJ2072" t="inlineStr">
        <is>
          <t>LAVOJOY</t>
        </is>
      </c>
      <c r="AK2072" t="n">
        <v>9</v>
      </c>
      <c r="AL2072" t="inlineStr">
        <is>
          <t>Miss Glam Jambi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LAVOJOY</t>
        </is>
      </c>
      <c r="B2073" s="2">
        <f>"40200237060"</f>
        <v/>
      </c>
      <c r="C2073" t="inlineStr">
        <is>
          <t>LAVOJOY So So So Smooth Hair Mask 180gr</t>
        </is>
      </c>
      <c r="D2073" t="inlineStr">
        <is>
          <t>Miss Glam Jambi</t>
        </is>
      </c>
      <c r="E2073" t="n">
        <v>41</v>
      </c>
      <c r="F2073" t="n">
        <v>0.033</v>
      </c>
      <c r="G2073" t="n">
        <v>0.66</v>
      </c>
      <c r="H2073" t="n">
        <v>3</v>
      </c>
      <c r="I2073" t="n">
        <v>11</v>
      </c>
      <c r="J2073" t="n">
        <v>1</v>
      </c>
      <c r="K2073" t="n">
        <v>0</v>
      </c>
      <c r="L2073" t="n">
        <v>51920</v>
      </c>
      <c r="M2073" t="n">
        <v>64900</v>
      </c>
      <c r="N2073" t="n">
        <v>33</v>
      </c>
      <c r="O2073" t="n">
        <v>0.33</v>
      </c>
      <c r="P2073" t="n">
        <v>1</v>
      </c>
      <c r="Q2073" t="n">
        <v>0.05</v>
      </c>
      <c r="R2073" t="n">
        <v>1</v>
      </c>
      <c r="S2073" t="n">
        <v>2141.7</v>
      </c>
      <c r="T2073" t="n">
        <v>8</v>
      </c>
      <c r="U2073" t="n">
        <v>9</v>
      </c>
      <c r="V2073" t="n">
        <v>30</v>
      </c>
      <c r="W2073" t="n">
        <v>1</v>
      </c>
      <c r="X2073" t="n">
        <v>1242.424242424242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10380</v>
      </c>
      <c r="AG2073" t="n">
        <v>170</v>
      </c>
      <c r="AH2073" t="inlineStr">
        <is>
          <t>PT. JALUR MANDIRI UTAMA - PPN (PDG)</t>
        </is>
      </c>
      <c r="AI2073" t="n">
        <v>1492</v>
      </c>
      <c r="AJ2073" t="inlineStr">
        <is>
          <t>LAVOJOY</t>
        </is>
      </c>
      <c r="AK2073" t="n">
        <v>9</v>
      </c>
      <c r="AL2073" t="inlineStr">
        <is>
          <t>Miss Glam Jambi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LAVOJOY</t>
        </is>
      </c>
      <c r="B2074" s="2">
        <f>"30600112337"</f>
        <v/>
      </c>
      <c r="C2074" t="inlineStr">
        <is>
          <t>LAVOJOY So So So Smooth Hand Cream 30ml</t>
        </is>
      </c>
      <c r="D2074" t="inlineStr">
        <is>
          <t>Miss Glam Jambi</t>
        </is>
      </c>
      <c r="E2074" t="n">
        <v>0</v>
      </c>
      <c r="F2074" t="n">
        <v>0.009900000000000001</v>
      </c>
      <c r="G2074" t="n">
        <v>0.33</v>
      </c>
      <c r="H2074" t="n">
        <v>3</v>
      </c>
      <c r="I2074" t="n">
        <v>11</v>
      </c>
      <c r="J2074" t="n">
        <v>3</v>
      </c>
      <c r="K2074" t="n">
        <v>0</v>
      </c>
      <c r="L2074" t="n">
        <v>29520</v>
      </c>
      <c r="M2074" t="n">
        <v>36900</v>
      </c>
      <c r="N2074" t="n">
        <v>33</v>
      </c>
      <c r="O2074" t="n">
        <v>0.33</v>
      </c>
      <c r="P2074" t="n">
        <v>1</v>
      </c>
      <c r="Q2074" t="n">
        <v>0.06</v>
      </c>
      <c r="R2074" t="n">
        <v>1</v>
      </c>
      <c r="S2074" t="n">
        <v>365.31</v>
      </c>
      <c r="T2074" t="n">
        <v>4</v>
      </c>
      <c r="U2074" t="n">
        <v>5</v>
      </c>
      <c r="V2074" t="n">
        <v>30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n">
        <v>0</v>
      </c>
      <c r="AC2074" t="n">
        <v>0</v>
      </c>
      <c r="AD2074" t="n">
        <v>29520</v>
      </c>
      <c r="AE2074" t="n">
        <v>0</v>
      </c>
      <c r="AF2074" t="n">
        <v>10380</v>
      </c>
      <c r="AG2074" t="n">
        <v>170</v>
      </c>
      <c r="AH2074" t="inlineStr">
        <is>
          <t>PT. JALUR MANDIRI UTAMA - PPN (PDG)</t>
        </is>
      </c>
      <c r="AI2074" t="n">
        <v>1492</v>
      </c>
      <c r="AJ2074" t="inlineStr">
        <is>
          <t>LAVOJOY</t>
        </is>
      </c>
      <c r="AK2074" t="n">
        <v>9</v>
      </c>
      <c r="AL2074" t="inlineStr">
        <is>
          <t>Miss Glam Jambi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LAVOJOY</t>
        </is>
      </c>
      <c r="B2075" s="2">
        <f>"8991748012061"</f>
        <v/>
      </c>
      <c r="C2075" t="inlineStr">
        <is>
          <t>LAVOJOY So So So Smooth Shampoo 300ml</t>
        </is>
      </c>
      <c r="D2075" t="inlineStr">
        <is>
          <t>Miss Glam Jambi</t>
        </is>
      </c>
      <c r="E2075" t="n">
        <v>25</v>
      </c>
      <c r="F2075" t="n">
        <v>0.07920000000000001</v>
      </c>
      <c r="G2075" t="n">
        <v>0.99</v>
      </c>
      <c r="H2075" t="n">
        <v>3</v>
      </c>
      <c r="I2075" t="n">
        <v>11</v>
      </c>
      <c r="J2075" t="n">
        <v>3</v>
      </c>
      <c r="K2075" t="n">
        <v>0</v>
      </c>
      <c r="L2075" t="n">
        <v>57520</v>
      </c>
      <c r="M2075" t="n">
        <v>71900</v>
      </c>
      <c r="N2075" t="n">
        <v>33</v>
      </c>
      <c r="O2075" t="n">
        <v>0.33</v>
      </c>
      <c r="P2075" t="n">
        <v>1</v>
      </c>
      <c r="Q2075" t="n">
        <v>0.05</v>
      </c>
      <c r="R2075" t="n">
        <v>1</v>
      </c>
      <c r="S2075" t="n">
        <v>5694.48</v>
      </c>
      <c r="T2075" t="n">
        <v>11</v>
      </c>
      <c r="U2075" t="n">
        <v>12</v>
      </c>
      <c r="V2075" t="n">
        <v>30</v>
      </c>
      <c r="W2075" t="n">
        <v>3</v>
      </c>
      <c r="X2075" t="n">
        <v>315.6565656565656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10380</v>
      </c>
      <c r="AG2075" t="n">
        <v>170</v>
      </c>
      <c r="AH2075" t="inlineStr">
        <is>
          <t>PT. JALUR MANDIRI UTAMA - PPN (PDG)</t>
        </is>
      </c>
      <c r="AI2075" t="n">
        <v>1492</v>
      </c>
      <c r="AJ2075" t="inlineStr">
        <is>
          <t>LAVOJOY</t>
        </is>
      </c>
      <c r="AK2075" t="n">
        <v>9</v>
      </c>
      <c r="AL2075" t="inlineStr">
        <is>
          <t>Miss Glam Jambi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LAVOJOY</t>
        </is>
      </c>
      <c r="B2076" s="2">
        <f>"40200306847"</f>
        <v/>
      </c>
      <c r="C2076" t="inlineStr">
        <is>
          <t>LAVOJOY So So So Smoth Hair Oil 80ml</t>
        </is>
      </c>
      <c r="D2076" t="inlineStr">
        <is>
          <t>Miss Glam Jambi</t>
        </is>
      </c>
      <c r="E2076" t="n">
        <v>3</v>
      </c>
      <c r="F2076" t="n">
        <v>0.0495</v>
      </c>
      <c r="G2076" t="n">
        <v>0.33</v>
      </c>
      <c r="H2076" t="n">
        <v>3</v>
      </c>
      <c r="I2076" t="n">
        <v>11</v>
      </c>
      <c r="J2076" t="n">
        <v>1</v>
      </c>
      <c r="K2076" t="n">
        <v>0</v>
      </c>
      <c r="L2076" t="n">
        <v>71200</v>
      </c>
      <c r="M2076" t="n">
        <v>89000</v>
      </c>
      <c r="N2076" t="n">
        <v>33</v>
      </c>
      <c r="O2076" t="n">
        <v>0.33</v>
      </c>
      <c r="P2076" t="n">
        <v>1</v>
      </c>
      <c r="Q2076" t="n">
        <v>0.02</v>
      </c>
      <c r="R2076" t="n">
        <v>1</v>
      </c>
      <c r="S2076" t="n">
        <v>4405.5</v>
      </c>
      <c r="T2076" t="n">
        <v>4</v>
      </c>
      <c r="U2076" t="n">
        <v>5</v>
      </c>
      <c r="V2076" t="n">
        <v>30</v>
      </c>
      <c r="W2076" t="n">
        <v>2</v>
      </c>
      <c r="X2076" t="n">
        <v>60.6060606060606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10380</v>
      </c>
      <c r="AG2076" t="n">
        <v>170</v>
      </c>
      <c r="AH2076" t="inlineStr">
        <is>
          <t>PT. JALUR MANDIRI UTAMA - PPN (PDG)</t>
        </is>
      </c>
      <c r="AI2076" t="n">
        <v>1492</v>
      </c>
      <c r="AJ2076" t="inlineStr">
        <is>
          <t>LAVOJOY</t>
        </is>
      </c>
      <c r="AK2076" t="n">
        <v>9</v>
      </c>
      <c r="AL2076" t="inlineStr">
        <is>
          <t>Miss Glam Jambi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LAVOJOY</t>
        </is>
      </c>
      <c r="B2077" s="2">
        <f>"8991748011699"</f>
        <v/>
      </c>
      <c r="C2077" t="inlineStr">
        <is>
          <t>LAVOJOY Solve It Now Body Serum Improve Rough Skin 180ml</t>
        </is>
      </c>
      <c r="D2077" t="inlineStr">
        <is>
          <t>Miss Glam Jambi</t>
        </is>
      </c>
      <c r="E2077" t="n">
        <v>73</v>
      </c>
      <c r="F2077" t="n">
        <v>0.1056</v>
      </c>
      <c r="G2077" t="n">
        <v>1.32</v>
      </c>
      <c r="H2077" t="n">
        <v>3</v>
      </c>
      <c r="I2077" t="n">
        <v>11</v>
      </c>
      <c r="J2077" t="n">
        <v>3</v>
      </c>
      <c r="K2077" t="n">
        <v>0</v>
      </c>
      <c r="L2077" t="n">
        <v>36720</v>
      </c>
      <c r="M2077" t="n">
        <v>45900</v>
      </c>
      <c r="N2077" t="n">
        <v>33</v>
      </c>
      <c r="O2077" t="n">
        <v>0.33</v>
      </c>
      <c r="P2077" t="n">
        <v>1</v>
      </c>
      <c r="Q2077" t="n">
        <v>0.07000000000000001</v>
      </c>
      <c r="R2077" t="n">
        <v>1</v>
      </c>
      <c r="S2077" t="n">
        <v>4847.040000000001</v>
      </c>
      <c r="T2077" t="n">
        <v>15</v>
      </c>
      <c r="U2077" t="n">
        <v>16</v>
      </c>
      <c r="V2077" t="n">
        <v>30</v>
      </c>
      <c r="W2077" t="n">
        <v>4</v>
      </c>
      <c r="X2077" t="n">
        <v>691.2878787878788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10380</v>
      </c>
      <c r="AG2077" t="n">
        <v>170</v>
      </c>
      <c r="AH2077" t="inlineStr">
        <is>
          <t>PT. JALUR MANDIRI UTAMA - PPN (PDG)</t>
        </is>
      </c>
      <c r="AI2077" t="n">
        <v>1492</v>
      </c>
      <c r="AJ2077" t="inlineStr">
        <is>
          <t>LAVOJOY</t>
        </is>
      </c>
      <c r="AK2077" t="n">
        <v>9</v>
      </c>
      <c r="AL2077" t="inlineStr">
        <is>
          <t>Miss Glam Jambi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LAVOJOY</t>
        </is>
      </c>
      <c r="B2078" s="2">
        <f>"30600112431"</f>
        <v/>
      </c>
      <c r="C2078" t="inlineStr">
        <is>
          <t>LAVOJOY Solve It Now Hand Cream 30ml</t>
        </is>
      </c>
      <c r="D2078" t="inlineStr">
        <is>
          <t>Miss Glam Jambi</t>
        </is>
      </c>
      <c r="E2078" t="n">
        <v>8</v>
      </c>
      <c r="F2078" t="n">
        <v>0.009900000000000001</v>
      </c>
      <c r="G2078" t="n">
        <v>0.33</v>
      </c>
      <c r="H2078" t="n">
        <v>3</v>
      </c>
      <c r="I2078" t="n">
        <v>11</v>
      </c>
      <c r="J2078" t="n">
        <v>3</v>
      </c>
      <c r="K2078" t="n">
        <v>0</v>
      </c>
      <c r="L2078" t="n">
        <v>29520</v>
      </c>
      <c r="M2078" t="n">
        <v>36900</v>
      </c>
      <c r="N2078" t="n">
        <v>33</v>
      </c>
      <c r="O2078" t="n">
        <v>0.33</v>
      </c>
      <c r="P2078" t="n">
        <v>1</v>
      </c>
      <c r="Q2078" t="n">
        <v>0.14</v>
      </c>
      <c r="R2078" t="n">
        <v>1</v>
      </c>
      <c r="S2078" t="n">
        <v>365.31</v>
      </c>
      <c r="T2078" t="n">
        <v>4</v>
      </c>
      <c r="U2078" t="n">
        <v>5</v>
      </c>
      <c r="V2078" t="n">
        <v>30</v>
      </c>
      <c r="W2078" t="n">
        <v>1</v>
      </c>
      <c r="X2078" t="n">
        <v>808.080808080808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10380</v>
      </c>
      <c r="AG2078" t="n">
        <v>170</v>
      </c>
      <c r="AH2078" t="inlineStr">
        <is>
          <t>PT. JALUR MANDIRI UTAMA - PPN (PDG)</t>
        </is>
      </c>
      <c r="AI2078" t="n">
        <v>1492</v>
      </c>
      <c r="AJ2078" t="inlineStr">
        <is>
          <t>LAVOJOY</t>
        </is>
      </c>
      <c r="AK2078" t="n">
        <v>9</v>
      </c>
      <c r="AL2078" t="inlineStr">
        <is>
          <t>Miss Glam Jambi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LEA GLORIA</t>
        </is>
      </c>
      <c r="B2079" s="2">
        <f>"10500143008"</f>
        <v/>
      </c>
      <c r="C2079" t="inlineStr">
        <is>
          <t>LEA GLORIA Avocado Recipes 20gr</t>
        </is>
      </c>
      <c r="D2079" t="inlineStr">
        <is>
          <t>Miss Glam Jambi</t>
        </is>
      </c>
      <c r="E2079" t="n">
        <v>0</v>
      </c>
      <c r="F2079" t="n">
        <v>0.0165</v>
      </c>
      <c r="G2079" t="n">
        <v>0.33</v>
      </c>
      <c r="H2079" t="n">
        <v>4</v>
      </c>
      <c r="I2079" t="n">
        <v>20</v>
      </c>
      <c r="J2079" t="n">
        <v>3</v>
      </c>
      <c r="K2079" t="n">
        <v>0</v>
      </c>
      <c r="L2079" t="n">
        <v>4030</v>
      </c>
      <c r="M2079" t="n">
        <v>7500</v>
      </c>
      <c r="N2079" t="n">
        <v>33</v>
      </c>
      <c r="O2079" t="n">
        <v>0.33</v>
      </c>
      <c r="P2079" t="n">
        <v>1</v>
      </c>
      <c r="Q2079" t="n">
        <v>0.16</v>
      </c>
      <c r="R2079" t="n">
        <v>3</v>
      </c>
      <c r="S2079" t="n">
        <v>123.75</v>
      </c>
      <c r="T2079" t="n">
        <v>7</v>
      </c>
      <c r="U2079" t="n">
        <v>8</v>
      </c>
      <c r="V2079" t="n">
        <v>30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n">
        <v>0</v>
      </c>
      <c r="AC2079" t="n">
        <v>0</v>
      </c>
      <c r="AD2079" t="n">
        <v>4030</v>
      </c>
      <c r="AE2079" t="n">
        <v>0</v>
      </c>
      <c r="AF2079" t="n">
        <v>6481</v>
      </c>
      <c r="AG2079" t="n">
        <v>1</v>
      </c>
      <c r="AH2079" t="inlineStr">
        <is>
          <t>PT. BERSAMA DISTRIVERSA INDONESIA (DC CIPUTAT)</t>
        </is>
      </c>
      <c r="AI2079" t="n">
        <v>95</v>
      </c>
      <c r="AJ2079" t="inlineStr">
        <is>
          <t>LEA GLORIA</t>
        </is>
      </c>
      <c r="AK2079" t="n">
        <v>9</v>
      </c>
      <c r="AL2079" t="inlineStr">
        <is>
          <t>Miss Glam Jambi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LEA GLORIA</t>
        </is>
      </c>
      <c r="B2080" s="2">
        <f>"10500150128"</f>
        <v/>
      </c>
      <c r="C2080" t="inlineStr">
        <is>
          <t>LEA GLORIA Creamy Coffee Mask 20gr</t>
        </is>
      </c>
      <c r="D2080" t="inlineStr">
        <is>
          <t>Miss Glam Jambi</t>
        </is>
      </c>
      <c r="E2080" t="n">
        <v>0</v>
      </c>
      <c r="F2080" t="n">
        <v>0.09569999999999999</v>
      </c>
      <c r="G2080" t="n">
        <v>0.66</v>
      </c>
      <c r="H2080" t="n">
        <v>4</v>
      </c>
      <c r="I2080" t="n">
        <v>20</v>
      </c>
      <c r="J2080" t="n">
        <v>3</v>
      </c>
      <c r="K2080" t="n">
        <v>3</v>
      </c>
      <c r="L2080" t="n">
        <v>4210</v>
      </c>
      <c r="M2080" t="n">
        <v>7500</v>
      </c>
      <c r="N2080" t="n">
        <v>33</v>
      </c>
      <c r="O2080" t="n">
        <v>0.33</v>
      </c>
      <c r="P2080" t="n">
        <v>1</v>
      </c>
      <c r="Q2080" t="n">
        <v>0.09</v>
      </c>
      <c r="R2080" t="n">
        <v>1</v>
      </c>
      <c r="S2080" t="n">
        <v>717.75</v>
      </c>
      <c r="T2080" t="n">
        <v>13</v>
      </c>
      <c r="U2080" t="n">
        <v>14</v>
      </c>
      <c r="V2080" t="n">
        <v>30</v>
      </c>
      <c r="W2080" t="n">
        <v>3</v>
      </c>
      <c r="X2080" t="n">
        <v>0</v>
      </c>
      <c r="Y2080" t="n">
        <v>1</v>
      </c>
      <c r="Z2080" t="n">
        <v>0</v>
      </c>
      <c r="AA2080" t="n">
        <v>1</v>
      </c>
      <c r="AB2080" t="n">
        <v>0</v>
      </c>
      <c r="AC2080" t="n">
        <v>0</v>
      </c>
      <c r="AD2080" t="n">
        <v>4210</v>
      </c>
      <c r="AE2080" t="n">
        <v>0</v>
      </c>
      <c r="AF2080" t="n">
        <v>6481</v>
      </c>
      <c r="AG2080" t="n">
        <v>1</v>
      </c>
      <c r="AH2080" t="inlineStr">
        <is>
          <t>PT. BERSAMA DISTRIVERSA INDONESIA (DC CIPUTAT)</t>
        </is>
      </c>
      <c r="AI2080" t="n">
        <v>95</v>
      </c>
      <c r="AJ2080" t="inlineStr">
        <is>
          <t>LEA GLORIA</t>
        </is>
      </c>
      <c r="AK2080" t="n">
        <v>9</v>
      </c>
      <c r="AL2080" t="inlineStr">
        <is>
          <t>Miss Glam Jambi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LEA GLORIA</t>
        </is>
      </c>
      <c r="B2081" s="2">
        <f>"10500560035"</f>
        <v/>
      </c>
      <c r="C2081" t="inlineStr">
        <is>
          <t>LEA GLORIA Face Mask Egg White Honey 20gr</t>
        </is>
      </c>
      <c r="D2081" t="inlineStr">
        <is>
          <t>Miss Glam Jambi</t>
        </is>
      </c>
      <c r="E2081" t="n">
        <v>2</v>
      </c>
      <c r="F2081" t="n">
        <v>0.0264</v>
      </c>
      <c r="G2081" t="n">
        <v>0.33</v>
      </c>
      <c r="H2081" t="n">
        <v>4</v>
      </c>
      <c r="I2081" t="n">
        <v>20</v>
      </c>
      <c r="J2081" t="n">
        <v>3</v>
      </c>
      <c r="K2081" t="n">
        <v>0</v>
      </c>
      <c r="L2081" t="n">
        <v>4030</v>
      </c>
      <c r="M2081" t="n">
        <v>7500</v>
      </c>
      <c r="N2081" t="n">
        <v>33</v>
      </c>
      <c r="O2081" t="n">
        <v>0.33</v>
      </c>
      <c r="P2081" t="n">
        <v>1</v>
      </c>
      <c r="Q2081" t="n">
        <v>0.07000000000000001</v>
      </c>
      <c r="R2081" t="n">
        <v>2</v>
      </c>
      <c r="S2081" t="n">
        <v>198</v>
      </c>
      <c r="T2081" t="n">
        <v>7</v>
      </c>
      <c r="U2081" t="n">
        <v>8</v>
      </c>
      <c r="V2081" t="n">
        <v>30</v>
      </c>
      <c r="W2081" t="n">
        <v>1</v>
      </c>
      <c r="X2081" t="n">
        <v>75.75757575757575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6481</v>
      </c>
      <c r="AG2081" t="n">
        <v>1</v>
      </c>
      <c r="AH2081" t="inlineStr">
        <is>
          <t>PT. BERSAMA DISTRIVERSA INDONESIA (DC CIPUTAT)</t>
        </is>
      </c>
      <c r="AI2081" t="n">
        <v>95</v>
      </c>
      <c r="AJ2081" t="inlineStr">
        <is>
          <t>LEA GLORIA</t>
        </is>
      </c>
      <c r="AK2081" t="n">
        <v>9</v>
      </c>
      <c r="AL2081" t="inlineStr">
        <is>
          <t>Miss Glam Jambi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LEA GLORIA</t>
        </is>
      </c>
      <c r="B2082" s="2">
        <f>"10500143030"</f>
        <v/>
      </c>
      <c r="C2082" t="inlineStr">
        <is>
          <t>LEA GLORIA Face Mask Golden Beauty 20gr</t>
        </is>
      </c>
      <c r="D2082" t="inlineStr">
        <is>
          <t>Miss Glam Jambi</t>
        </is>
      </c>
      <c r="E2082" t="n">
        <v>0</v>
      </c>
      <c r="F2082" t="n">
        <v>0.19</v>
      </c>
      <c r="G2082" t="n">
        <v>2</v>
      </c>
      <c r="H2082" t="n">
        <v>4</v>
      </c>
      <c r="I2082" t="n">
        <v>20</v>
      </c>
      <c r="J2082" t="n">
        <v>3</v>
      </c>
      <c r="K2082" t="n">
        <v>3</v>
      </c>
      <c r="L2082" t="n">
        <v>4210</v>
      </c>
      <c r="M2082" t="n">
        <v>7500</v>
      </c>
      <c r="N2082" t="n">
        <v>33</v>
      </c>
      <c r="O2082" t="n">
        <v>0.33</v>
      </c>
      <c r="P2082" t="n">
        <v>0</v>
      </c>
      <c r="Q2082" t="n">
        <v>0.19</v>
      </c>
      <c r="R2082" t="n">
        <v>2</v>
      </c>
      <c r="S2082" t="n">
        <v>1425</v>
      </c>
      <c r="T2082" t="n">
        <v>40</v>
      </c>
      <c r="U2082" t="n">
        <v>41</v>
      </c>
      <c r="V2082" t="n">
        <v>30</v>
      </c>
      <c r="W2082" t="n">
        <v>6</v>
      </c>
      <c r="X2082" t="n">
        <v>0</v>
      </c>
      <c r="Y2082" t="n">
        <v>1</v>
      </c>
      <c r="Z2082" t="n">
        <v>3</v>
      </c>
      <c r="AA2082" t="n">
        <v>3</v>
      </c>
      <c r="AB2082" t="n">
        <v>0</v>
      </c>
      <c r="AC2082" t="n">
        <v>0</v>
      </c>
      <c r="AD2082" t="n">
        <v>12630</v>
      </c>
      <c r="AE2082" t="n">
        <v>0</v>
      </c>
      <c r="AF2082" t="n">
        <v>6481</v>
      </c>
      <c r="AG2082" t="n">
        <v>1</v>
      </c>
      <c r="AH2082" t="inlineStr">
        <is>
          <t>PT. BERSAMA DISTRIVERSA INDONESIA (DC CIPUTAT)</t>
        </is>
      </c>
      <c r="AI2082" t="n">
        <v>95</v>
      </c>
      <c r="AJ2082" t="inlineStr">
        <is>
          <t>LEA GLORIA</t>
        </is>
      </c>
      <c r="AK2082" t="n">
        <v>9</v>
      </c>
      <c r="AL2082" t="inlineStr">
        <is>
          <t>Miss Glam Jambi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LEA GLORIA</t>
        </is>
      </c>
      <c r="B2083" s="2">
        <f>"10500549524"</f>
        <v/>
      </c>
      <c r="C2083" t="inlineStr">
        <is>
          <t>LEA GLORIA Ice Sorbet Whitening Day By Day Face Mask 20gr</t>
        </is>
      </c>
      <c r="D2083" t="inlineStr">
        <is>
          <t>Miss Glam Jambi</t>
        </is>
      </c>
      <c r="E2083" t="n">
        <v>0</v>
      </c>
      <c r="F2083" t="n">
        <v>0.15</v>
      </c>
      <c r="G2083" t="n">
        <v>3</v>
      </c>
      <c r="H2083" t="n">
        <v>4</v>
      </c>
      <c r="I2083" t="n">
        <v>20</v>
      </c>
      <c r="J2083" t="n">
        <v>3</v>
      </c>
      <c r="K2083" t="n">
        <v>3</v>
      </c>
      <c r="L2083" t="n">
        <v>4015</v>
      </c>
      <c r="M2083" t="n">
        <v>7500</v>
      </c>
      <c r="N2083" t="n">
        <v>33</v>
      </c>
      <c r="O2083" t="n">
        <v>0.33</v>
      </c>
      <c r="P2083" t="n">
        <v>0</v>
      </c>
      <c r="Q2083" t="n">
        <v>0.15</v>
      </c>
      <c r="R2083" t="n">
        <v>3</v>
      </c>
      <c r="S2083" t="n">
        <v>1125</v>
      </c>
      <c r="T2083" t="n">
        <v>60</v>
      </c>
      <c r="U2083" t="n">
        <v>61</v>
      </c>
      <c r="V2083" t="n">
        <v>30</v>
      </c>
      <c r="W2083" t="n">
        <v>5</v>
      </c>
      <c r="X2083" t="n">
        <v>0</v>
      </c>
      <c r="Y2083" t="n">
        <v>1</v>
      </c>
      <c r="Z2083" t="n">
        <v>2</v>
      </c>
      <c r="AA2083" t="n">
        <v>3</v>
      </c>
      <c r="AB2083" t="n">
        <v>0</v>
      </c>
      <c r="AC2083" t="n">
        <v>0</v>
      </c>
      <c r="AD2083" t="n">
        <v>12045</v>
      </c>
      <c r="AE2083" t="n">
        <v>0</v>
      </c>
      <c r="AF2083" t="n">
        <v>6481</v>
      </c>
      <c r="AG2083" t="n">
        <v>1</v>
      </c>
      <c r="AH2083" t="inlineStr">
        <is>
          <t>PT. BERSAMA DISTRIVERSA INDONESIA (DC CIPUTAT)</t>
        </is>
      </c>
      <c r="AI2083" t="n">
        <v>95</v>
      </c>
      <c r="AJ2083" t="inlineStr">
        <is>
          <t>LEA GLORIA</t>
        </is>
      </c>
      <c r="AK2083" t="n">
        <v>9</v>
      </c>
      <c r="AL2083" t="inlineStr">
        <is>
          <t>Miss Glam Jambi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LEA GLORIA</t>
        </is>
      </c>
      <c r="B2084" s="2">
        <f>"10500528347"</f>
        <v/>
      </c>
      <c r="C2084" t="inlineStr">
        <is>
          <t>LEA GLORIA Strawberry Shuffle 20gr</t>
        </is>
      </c>
      <c r="D2084" t="inlineStr">
        <is>
          <t>Miss Glam Jambi</t>
        </is>
      </c>
      <c r="E2084" t="n">
        <v>7</v>
      </c>
      <c r="F2084" t="n">
        <v>0.2178</v>
      </c>
      <c r="G2084" t="n">
        <v>1.32</v>
      </c>
      <c r="H2084" t="n">
        <v>4</v>
      </c>
      <c r="I2084" t="n">
        <v>20</v>
      </c>
      <c r="J2084" t="n">
        <v>3</v>
      </c>
      <c r="K2084" t="n">
        <v>0</v>
      </c>
      <c r="L2084" t="n">
        <v>4020</v>
      </c>
      <c r="M2084" t="n">
        <v>7500</v>
      </c>
      <c r="N2084" t="n">
        <v>33</v>
      </c>
      <c r="O2084" t="n">
        <v>0.33</v>
      </c>
      <c r="P2084" t="n">
        <v>1</v>
      </c>
      <c r="Q2084" t="n">
        <v>0.22</v>
      </c>
      <c r="R2084" t="n">
        <v>3</v>
      </c>
      <c r="S2084" t="n">
        <v>1633.5</v>
      </c>
      <c r="T2084" t="n">
        <v>26</v>
      </c>
      <c r="U2084" t="n">
        <v>27</v>
      </c>
      <c r="V2084" t="n">
        <v>30</v>
      </c>
      <c r="W2084" t="n">
        <v>7</v>
      </c>
      <c r="X2084" t="n">
        <v>32.13957759412305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6481</v>
      </c>
      <c r="AG2084" t="n">
        <v>1</v>
      </c>
      <c r="AH2084" t="inlineStr">
        <is>
          <t>PT. BERSAMA DISTRIVERSA INDONESIA (DC CIPUTAT)</t>
        </is>
      </c>
      <c r="AI2084" t="n">
        <v>95</v>
      </c>
      <c r="AJ2084" t="inlineStr">
        <is>
          <t>LEA GLORIA</t>
        </is>
      </c>
      <c r="AK2084" t="n">
        <v>9</v>
      </c>
      <c r="AL2084" t="inlineStr">
        <is>
          <t>Miss Glam Jambi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LEA GLORIA</t>
        </is>
      </c>
      <c r="B2085" s="2">
        <f>"10500549531"</f>
        <v/>
      </c>
      <c r="C2085" t="inlineStr">
        <is>
          <t>LEA GLORIA Vanilla Milk Day By Day Face Mask 20gr</t>
        </is>
      </c>
      <c r="D2085" t="inlineStr">
        <is>
          <t>Miss Glam Jambi</t>
        </is>
      </c>
      <c r="E2085" t="n">
        <v>10</v>
      </c>
      <c r="F2085" t="n">
        <v>0.1452</v>
      </c>
      <c r="G2085" t="n">
        <v>1.32</v>
      </c>
      <c r="H2085" t="n">
        <v>4</v>
      </c>
      <c r="I2085" t="n">
        <v>20</v>
      </c>
      <c r="J2085" t="n">
        <v>3</v>
      </c>
      <c r="K2085" t="n">
        <v>0</v>
      </c>
      <c r="L2085" t="n">
        <v>4018</v>
      </c>
      <c r="M2085" t="n">
        <v>7500</v>
      </c>
      <c r="N2085" t="n">
        <v>33</v>
      </c>
      <c r="O2085" t="n">
        <v>0.33</v>
      </c>
      <c r="P2085" t="n">
        <v>1</v>
      </c>
      <c r="Q2085" t="n">
        <v>0.08</v>
      </c>
      <c r="R2085" t="n">
        <v>1</v>
      </c>
      <c r="S2085" t="n">
        <v>1089</v>
      </c>
      <c r="T2085" t="n">
        <v>26</v>
      </c>
      <c r="U2085" t="n">
        <v>27</v>
      </c>
      <c r="V2085" t="n">
        <v>30</v>
      </c>
      <c r="W2085" t="n">
        <v>5</v>
      </c>
      <c r="X2085" t="n">
        <v>68.87052341597796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6481</v>
      </c>
      <c r="AG2085" t="n">
        <v>1</v>
      </c>
      <c r="AH2085" t="inlineStr">
        <is>
          <t>PT. BERSAMA DISTRIVERSA INDONESIA (DC CIPUTAT)</t>
        </is>
      </c>
      <c r="AI2085" t="n">
        <v>95</v>
      </c>
      <c r="AJ2085" t="inlineStr">
        <is>
          <t>LEA GLORIA</t>
        </is>
      </c>
      <c r="AK2085" t="n">
        <v>9</v>
      </c>
      <c r="AL2085" t="inlineStr">
        <is>
          <t>Miss Glam Jambi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LEIVY</t>
        </is>
      </c>
      <c r="B2086" s="2">
        <f>"9555074300804"</f>
        <v/>
      </c>
      <c r="C2086" t="inlineStr">
        <is>
          <t>LEIVY Naturally Bouble Moisturising Hand &amp; Body Lotion Goats Milk &amp; Milk Protein 270ml</t>
        </is>
      </c>
      <c r="D2086" t="inlineStr">
        <is>
          <t>Miss Glam Jambi</t>
        </is>
      </c>
      <c r="E2086" t="n">
        <v>2</v>
      </c>
      <c r="F2086" t="n">
        <v>0.1188</v>
      </c>
      <c r="G2086" t="n">
        <v>0.66</v>
      </c>
      <c r="H2086" t="n">
        <v>2</v>
      </c>
      <c r="I2086" t="n">
        <v>13</v>
      </c>
      <c r="J2086" t="n">
        <v>3</v>
      </c>
      <c r="K2086" t="n">
        <v>0</v>
      </c>
      <c r="L2086" t="n">
        <v>46398</v>
      </c>
      <c r="M2086" t="n">
        <v>55000</v>
      </c>
      <c r="N2086" t="n">
        <v>33</v>
      </c>
      <c r="O2086" t="n">
        <v>0.33</v>
      </c>
      <c r="P2086" t="n">
        <v>1</v>
      </c>
      <c r="Q2086" t="n">
        <v>0.14</v>
      </c>
      <c r="R2086" t="n">
        <v>2</v>
      </c>
      <c r="S2086" t="n">
        <v>6534</v>
      </c>
      <c r="T2086" t="n">
        <v>9</v>
      </c>
      <c r="U2086" t="n">
        <v>10</v>
      </c>
      <c r="V2086" t="n">
        <v>30</v>
      </c>
      <c r="W2086" t="n">
        <v>4</v>
      </c>
      <c r="X2086" t="n">
        <v>16.83501683501683</v>
      </c>
      <c r="Y2086" t="n">
        <v>1</v>
      </c>
      <c r="Z2086" t="n">
        <v>2</v>
      </c>
      <c r="AA2086" t="n">
        <v>0</v>
      </c>
      <c r="AB2086" t="n">
        <v>2</v>
      </c>
      <c r="AC2086" t="n">
        <v>3</v>
      </c>
      <c r="AD2086" t="n">
        <v>0</v>
      </c>
      <c r="AE2086" t="n">
        <v>139194</v>
      </c>
      <c r="AF2086" t="n">
        <v>1078</v>
      </c>
      <c r="AG2086" t="n">
        <v>2318</v>
      </c>
      <c r="AH2086" t="inlineStr">
        <is>
          <t>CV. KIANO SUKSES MANDIRI - PPN (JMB)</t>
        </is>
      </c>
      <c r="AI2086" t="n">
        <v>912</v>
      </c>
      <c r="AJ2086" t="inlineStr">
        <is>
          <t>LEIVY</t>
        </is>
      </c>
      <c r="AK2086" t="n">
        <v>9</v>
      </c>
      <c r="AL2086" t="inlineStr">
        <is>
          <t>Miss Glam Jambi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LEIVY</t>
        </is>
      </c>
      <c r="B2087" s="2">
        <f>"9555074300866"</f>
        <v/>
      </c>
      <c r="C2087" t="inlineStr">
        <is>
          <t>LEIVY Naturally Double Moisturising Hand &amp; Body lotion 500ml</t>
        </is>
      </c>
      <c r="D2087" t="inlineStr">
        <is>
          <t>Miss Glam Jambi</t>
        </is>
      </c>
      <c r="E2087" t="n">
        <v>3</v>
      </c>
      <c r="F2087" t="n">
        <v>0.0165</v>
      </c>
      <c r="G2087" t="n">
        <v>0.33</v>
      </c>
      <c r="H2087" t="n">
        <v>2</v>
      </c>
      <c r="I2087" t="n">
        <v>13</v>
      </c>
      <c r="J2087" t="n">
        <v>3</v>
      </c>
      <c r="K2087" t="n">
        <v>0</v>
      </c>
      <c r="L2087" t="n">
        <v>85026</v>
      </c>
      <c r="M2087" t="n">
        <v>124000</v>
      </c>
      <c r="N2087" t="n">
        <v>33</v>
      </c>
      <c r="O2087" t="n">
        <v>0.33</v>
      </c>
      <c r="P2087" t="n">
        <v>1</v>
      </c>
      <c r="Q2087" t="n">
        <v>0.08</v>
      </c>
      <c r="R2087" t="n">
        <v>1</v>
      </c>
      <c r="S2087" t="n">
        <v>2046</v>
      </c>
      <c r="T2087" t="n">
        <v>5</v>
      </c>
      <c r="U2087" t="n">
        <v>6</v>
      </c>
      <c r="V2087" t="n">
        <v>30</v>
      </c>
      <c r="W2087" t="n">
        <v>1</v>
      </c>
      <c r="X2087" t="n">
        <v>181.8181818181818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1078</v>
      </c>
      <c r="AG2087" t="n">
        <v>2318</v>
      </c>
      <c r="AH2087" t="inlineStr">
        <is>
          <t>CV. KIANO SUKSES MANDIRI - PPN (JMB)</t>
        </is>
      </c>
      <c r="AI2087" t="n">
        <v>912</v>
      </c>
      <c r="AJ2087" t="inlineStr">
        <is>
          <t>LEIVY</t>
        </is>
      </c>
      <c r="AK2087" t="n">
        <v>9</v>
      </c>
      <c r="AL2087" t="inlineStr">
        <is>
          <t>Miss Glam Jambi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LEIVY</t>
        </is>
      </c>
      <c r="B2088" s="2">
        <f>"9555074300927"</f>
        <v/>
      </c>
      <c r="C2088" t="inlineStr">
        <is>
          <t>LEIVY Naturally Double Moisturising Shower Cream 250ml</t>
        </is>
      </c>
      <c r="D2088" t="inlineStr">
        <is>
          <t>Miss Glam Jambi</t>
        </is>
      </c>
      <c r="E2088" t="n">
        <v>5</v>
      </c>
      <c r="F2088" t="n">
        <v>0.2409</v>
      </c>
      <c r="G2088" t="n">
        <v>1.65</v>
      </c>
      <c r="H2088" t="n">
        <v>2</v>
      </c>
      <c r="I2088" t="n">
        <v>13</v>
      </c>
      <c r="J2088" t="n">
        <v>3</v>
      </c>
      <c r="K2088" t="n">
        <v>0</v>
      </c>
      <c r="L2088" t="n">
        <v>24198</v>
      </c>
      <c r="M2088" t="n">
        <v>35000</v>
      </c>
      <c r="N2088" t="n">
        <v>33</v>
      </c>
      <c r="O2088" t="n">
        <v>0.33</v>
      </c>
      <c r="P2088" t="n">
        <v>1</v>
      </c>
      <c r="Q2088" t="n">
        <v>0.07000000000000001</v>
      </c>
      <c r="R2088" t="n">
        <v>1</v>
      </c>
      <c r="S2088" t="n">
        <v>8431.5</v>
      </c>
      <c r="T2088" t="n">
        <v>21</v>
      </c>
      <c r="U2088" t="n">
        <v>22</v>
      </c>
      <c r="V2088" t="n">
        <v>30</v>
      </c>
      <c r="W2088" t="n">
        <v>8</v>
      </c>
      <c r="X2088" t="n">
        <v>20.755500207555</v>
      </c>
      <c r="Y2088" t="n">
        <v>1</v>
      </c>
      <c r="Z2088" t="n">
        <v>3</v>
      </c>
      <c r="AA2088" t="n">
        <v>0</v>
      </c>
      <c r="AB2088" t="n">
        <v>3</v>
      </c>
      <c r="AC2088" t="n">
        <v>3</v>
      </c>
      <c r="AD2088" t="n">
        <v>0</v>
      </c>
      <c r="AE2088" t="n">
        <v>72594</v>
      </c>
      <c r="AF2088" t="n">
        <v>1078</v>
      </c>
      <c r="AG2088" t="n">
        <v>2318</v>
      </c>
      <c r="AH2088" t="inlineStr">
        <is>
          <t>CV. KIANO SUKSES MANDIRI - PPN (JMB)</t>
        </is>
      </c>
      <c r="AI2088" t="n">
        <v>912</v>
      </c>
      <c r="AJ2088" t="inlineStr">
        <is>
          <t>LEIVY</t>
        </is>
      </c>
      <c r="AK2088" t="n">
        <v>9</v>
      </c>
      <c r="AL2088" t="inlineStr">
        <is>
          <t>Miss Glam Jambi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LEIVY</t>
        </is>
      </c>
      <c r="B2089" s="2">
        <f>"9555074309555"</f>
        <v/>
      </c>
      <c r="C2089" t="inlineStr">
        <is>
          <t>LEIVY Naturally Double Moisturising Shower Cream 500ml</t>
        </is>
      </c>
      <c r="D2089" t="inlineStr">
        <is>
          <t>Miss Glam Jambi</t>
        </is>
      </c>
      <c r="E2089" t="n">
        <v>0</v>
      </c>
      <c r="F2089" t="n">
        <v>0.1188</v>
      </c>
      <c r="G2089" t="n">
        <v>0.66</v>
      </c>
      <c r="H2089" t="n">
        <v>2</v>
      </c>
      <c r="I2089" t="n">
        <v>13</v>
      </c>
      <c r="J2089" t="n">
        <v>3</v>
      </c>
      <c r="K2089" t="n">
        <v>0</v>
      </c>
      <c r="L2089" t="n">
        <v>44400</v>
      </c>
      <c r="M2089" t="n">
        <v>64000</v>
      </c>
      <c r="N2089" t="n">
        <v>33</v>
      </c>
      <c r="O2089" t="n">
        <v>0.33</v>
      </c>
      <c r="P2089" t="n">
        <v>1</v>
      </c>
      <c r="Q2089" t="n">
        <v>0.06</v>
      </c>
      <c r="R2089" t="n">
        <v>1</v>
      </c>
      <c r="S2089" t="n">
        <v>7603.2</v>
      </c>
      <c r="T2089" t="n">
        <v>9</v>
      </c>
      <c r="U2089" t="n">
        <v>10</v>
      </c>
      <c r="V2089" t="n">
        <v>30</v>
      </c>
      <c r="W2089" t="n">
        <v>4</v>
      </c>
      <c r="X2089" t="n">
        <v>0</v>
      </c>
      <c r="Y2089" t="n">
        <v>1</v>
      </c>
      <c r="Z2089" t="n">
        <v>4</v>
      </c>
      <c r="AA2089" t="n">
        <v>2</v>
      </c>
      <c r="AB2089" t="n">
        <v>2</v>
      </c>
      <c r="AC2089" t="n">
        <v>3</v>
      </c>
      <c r="AD2089" t="n">
        <v>88800</v>
      </c>
      <c r="AE2089" t="n">
        <v>133200</v>
      </c>
      <c r="AF2089" t="n">
        <v>1078</v>
      </c>
      <c r="AG2089" t="n">
        <v>2318</v>
      </c>
      <c r="AH2089" t="inlineStr">
        <is>
          <t>CV. KIANO SUKSES MANDIRI - PPN (JMB)</t>
        </is>
      </c>
      <c r="AI2089" t="n">
        <v>912</v>
      </c>
      <c r="AJ2089" t="inlineStr">
        <is>
          <t>LEIVY</t>
        </is>
      </c>
      <c r="AK2089" t="n">
        <v>9</v>
      </c>
      <c r="AL2089" t="inlineStr">
        <is>
          <t>Miss Glam Jambi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LEIVY</t>
        </is>
      </c>
      <c r="B2090" s="2">
        <f>"9555074314320"</f>
        <v/>
      </c>
      <c r="C2090" t="inlineStr">
        <is>
          <t>LEIVY Naturally SPA Brightening Bengkoang Body Scrub 250gr</t>
        </is>
      </c>
      <c r="D2090" t="inlineStr">
        <is>
          <t>Miss Glam Jambi</t>
        </is>
      </c>
      <c r="E2090" t="n">
        <v>3</v>
      </c>
      <c r="F2090" t="n">
        <v>0.009900000000000001</v>
      </c>
      <c r="G2090" t="n">
        <v>0.33</v>
      </c>
      <c r="H2090" t="n">
        <v>2</v>
      </c>
      <c r="I2090" t="n">
        <v>13</v>
      </c>
      <c r="J2090" t="n">
        <v>3</v>
      </c>
      <c r="K2090" t="n">
        <v>0</v>
      </c>
      <c r="L2090" t="n">
        <v>38628</v>
      </c>
      <c r="M2090" t="n">
        <v>56000</v>
      </c>
      <c r="N2090" t="n">
        <v>33</v>
      </c>
      <c r="O2090" t="n">
        <v>0.33</v>
      </c>
      <c r="P2090" t="n">
        <v>1</v>
      </c>
      <c r="Q2090" t="n">
        <v>0.02</v>
      </c>
      <c r="R2090" t="n">
        <v>1</v>
      </c>
      <c r="S2090" t="n">
        <v>554.4000000000001</v>
      </c>
      <c r="T2090" t="n">
        <v>5</v>
      </c>
      <c r="U2090" t="n">
        <v>6</v>
      </c>
      <c r="V2090" t="n">
        <v>30</v>
      </c>
      <c r="W2090" t="n">
        <v>1</v>
      </c>
      <c r="X2090" t="n">
        <v>303.030303030303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1078</v>
      </c>
      <c r="AG2090" t="n">
        <v>2318</v>
      </c>
      <c r="AH2090" t="inlineStr">
        <is>
          <t>CV. KIANO SUKSES MANDIRI - PPN (JMB)</t>
        </is>
      </c>
      <c r="AI2090" t="n">
        <v>912</v>
      </c>
      <c r="AJ2090" t="inlineStr">
        <is>
          <t>LEIVY</t>
        </is>
      </c>
      <c r="AK2090" t="n">
        <v>9</v>
      </c>
      <c r="AL2090" t="inlineStr">
        <is>
          <t>Miss Glam Jambi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LENCIR</t>
        </is>
      </c>
      <c r="B2091" s="2">
        <f>"60100106642"</f>
        <v/>
      </c>
      <c r="C2091" t="inlineStr">
        <is>
          <t>LENCIR Original 300ml-Pack</t>
        </is>
      </c>
      <c r="D2091" t="inlineStr">
        <is>
          <t>Miss Glam Jambi</t>
        </is>
      </c>
      <c r="E2091" t="n">
        <v>2</v>
      </c>
      <c r="F2091" t="n">
        <v>0.05</v>
      </c>
      <c r="G2091" t="n">
        <v>1</v>
      </c>
      <c r="H2091" t="n">
        <v>4</v>
      </c>
      <c r="I2091" t="n">
        <v>20</v>
      </c>
      <c r="J2091" t="n">
        <v>1</v>
      </c>
      <c r="K2091" t="n">
        <v>0</v>
      </c>
      <c r="L2091" t="n">
        <v>179924</v>
      </c>
      <c r="M2091" t="n">
        <v>250000</v>
      </c>
      <c r="N2091" t="n">
        <v>33</v>
      </c>
      <c r="O2091" t="n">
        <v>0.33</v>
      </c>
      <c r="P2091" t="n">
        <v>0</v>
      </c>
      <c r="Q2091" t="n">
        <v>0.05</v>
      </c>
      <c r="R2091" t="n">
        <v>1</v>
      </c>
      <c r="S2091" t="n">
        <v>12500</v>
      </c>
      <c r="T2091" t="n">
        <v>20</v>
      </c>
      <c r="U2091" t="n">
        <v>21</v>
      </c>
      <c r="V2091" t="n">
        <v>30</v>
      </c>
      <c r="W2091" t="n">
        <v>2</v>
      </c>
      <c r="X2091" t="n">
        <v>40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6547</v>
      </c>
      <c r="AG2091" t="n">
        <v>1</v>
      </c>
      <c r="AH2091" t="inlineStr">
        <is>
          <t>PT. BERSAMA DISTRIVERSA INDONESIA (DC CIPUTAT)</t>
        </is>
      </c>
      <c r="AI2091" t="n">
        <v>2267</v>
      </c>
      <c r="AJ2091" t="inlineStr">
        <is>
          <t>LENCIR</t>
        </is>
      </c>
      <c r="AK2091" t="n">
        <v>9</v>
      </c>
      <c r="AL2091" t="inlineStr">
        <is>
          <t>Miss Glam Jambi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LENCIR</t>
        </is>
      </c>
      <c r="B2092" s="2">
        <f>"60100107040"</f>
        <v/>
      </c>
      <c r="C2092" t="inlineStr">
        <is>
          <t>LENCIR Original 300ml/10pcs@30ml-Pcs</t>
        </is>
      </c>
      <c r="D2092" t="inlineStr">
        <is>
          <t>Miss Glam Jambi</t>
        </is>
      </c>
      <c r="E2092" t="n">
        <v>9</v>
      </c>
      <c r="F2092" t="n">
        <v>0.36</v>
      </c>
      <c r="G2092" t="n">
        <v>5</v>
      </c>
      <c r="H2092" t="n">
        <v>4</v>
      </c>
      <c r="I2092" t="n">
        <v>20</v>
      </c>
      <c r="J2092" t="n">
        <v>1</v>
      </c>
      <c r="K2092" t="n">
        <v>0</v>
      </c>
      <c r="L2092" t="n">
        <v>17587</v>
      </c>
      <c r="M2092" t="n">
        <v>25000</v>
      </c>
      <c r="N2092" t="n">
        <v>33</v>
      </c>
      <c r="O2092" t="n">
        <v>0.33</v>
      </c>
      <c r="P2092" t="n">
        <v>0</v>
      </c>
      <c r="Q2092" t="n">
        <v>0.36</v>
      </c>
      <c r="R2092" t="n">
        <v>5</v>
      </c>
      <c r="S2092" t="n">
        <v>9000</v>
      </c>
      <c r="T2092" t="n">
        <v>99</v>
      </c>
      <c r="U2092" t="n">
        <v>101</v>
      </c>
      <c r="V2092" t="n">
        <v>30</v>
      </c>
      <c r="W2092" t="n">
        <v>11</v>
      </c>
      <c r="X2092" t="n">
        <v>25</v>
      </c>
      <c r="Y2092" t="n">
        <v>1</v>
      </c>
      <c r="Z2092" t="n">
        <v>2</v>
      </c>
      <c r="AA2092" t="n">
        <v>0</v>
      </c>
      <c r="AB2092" t="n">
        <v>2</v>
      </c>
      <c r="AC2092" t="n">
        <v>2</v>
      </c>
      <c r="AD2092" t="n">
        <v>0</v>
      </c>
      <c r="AE2092" t="n">
        <v>35174</v>
      </c>
      <c r="AF2092" t="n">
        <v>6547</v>
      </c>
      <c r="AG2092" t="n">
        <v>1</v>
      </c>
      <c r="AH2092" t="inlineStr">
        <is>
          <t>PT. BERSAMA DISTRIVERSA INDONESIA (DC CIPUTAT)</t>
        </is>
      </c>
      <c r="AI2092" t="n">
        <v>2267</v>
      </c>
      <c r="AJ2092" t="inlineStr">
        <is>
          <t>LENCIR</t>
        </is>
      </c>
      <c r="AK2092" t="n">
        <v>9</v>
      </c>
      <c r="AL2092" t="inlineStr">
        <is>
          <t>Miss Glam Jambi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LENCIR</t>
        </is>
      </c>
      <c r="B2093" s="2">
        <f>"60100106741"</f>
        <v/>
      </c>
      <c r="C2093" t="inlineStr">
        <is>
          <t>LENCIR Strong 300ml-Pack</t>
        </is>
      </c>
      <c r="D2093" t="inlineStr">
        <is>
          <t>Miss Glam Jambi</t>
        </is>
      </c>
      <c r="E2093" t="n">
        <v>4</v>
      </c>
      <c r="F2093" t="n">
        <v>0.006600000000000001</v>
      </c>
      <c r="G2093" t="n">
        <v>0.66</v>
      </c>
      <c r="H2093" t="n">
        <v>4</v>
      </c>
      <c r="I2093" t="n">
        <v>20</v>
      </c>
      <c r="J2093" t="n">
        <v>1</v>
      </c>
      <c r="K2093" t="n">
        <v>0</v>
      </c>
      <c r="L2093" t="n">
        <v>180250</v>
      </c>
      <c r="M2093" t="n">
        <v>250000</v>
      </c>
      <c r="N2093" t="n">
        <v>33</v>
      </c>
      <c r="O2093" t="n">
        <v>0.33</v>
      </c>
      <c r="P2093" t="n">
        <v>1</v>
      </c>
      <c r="Q2093" t="n">
        <v>0.03</v>
      </c>
      <c r="R2093" t="n">
        <v>1</v>
      </c>
      <c r="S2093" t="n">
        <v>1650</v>
      </c>
      <c r="T2093" t="n">
        <v>14</v>
      </c>
      <c r="U2093" t="n">
        <v>15</v>
      </c>
      <c r="V2093" t="n">
        <v>30</v>
      </c>
      <c r="W2093" t="n">
        <v>1</v>
      </c>
      <c r="X2093" t="n">
        <v>606.060606060606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6547</v>
      </c>
      <c r="AG2093" t="n">
        <v>1</v>
      </c>
      <c r="AH2093" t="inlineStr">
        <is>
          <t>PT. BERSAMA DISTRIVERSA INDONESIA (DC CIPUTAT)</t>
        </is>
      </c>
      <c r="AI2093" t="n">
        <v>2267</v>
      </c>
      <c r="AJ2093" t="inlineStr">
        <is>
          <t>LENCIR</t>
        </is>
      </c>
      <c r="AK2093" t="n">
        <v>9</v>
      </c>
      <c r="AL2093" t="inlineStr">
        <is>
          <t>Miss Glam Jambi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LENCIR</t>
        </is>
      </c>
      <c r="B2094" s="2">
        <f>"60100107106"</f>
        <v/>
      </c>
      <c r="C2094" t="inlineStr">
        <is>
          <t>LENCIR Strong 300ml/10pcs@30ml-Pcs</t>
        </is>
      </c>
      <c r="D2094" t="inlineStr">
        <is>
          <t>Miss Glam Jambi</t>
        </is>
      </c>
      <c r="E2094" t="n">
        <v>2</v>
      </c>
      <c r="F2094" t="n">
        <v>0.05280000000000001</v>
      </c>
      <c r="G2094" t="n">
        <v>1.32</v>
      </c>
      <c r="H2094" t="n">
        <v>4</v>
      </c>
      <c r="I2094" t="n">
        <v>20</v>
      </c>
      <c r="J2094" t="n">
        <v>1</v>
      </c>
      <c r="K2094" t="n">
        <v>0</v>
      </c>
      <c r="L2094" t="n">
        <v>17681</v>
      </c>
      <c r="M2094" t="n">
        <v>25000</v>
      </c>
      <c r="N2094" t="n">
        <v>33</v>
      </c>
      <c r="O2094" t="n">
        <v>0.33</v>
      </c>
      <c r="P2094" t="n">
        <v>1</v>
      </c>
      <c r="Q2094" t="n">
        <v>0.14</v>
      </c>
      <c r="R2094" t="n">
        <v>2</v>
      </c>
      <c r="S2094" t="n">
        <v>1320</v>
      </c>
      <c r="T2094" t="n">
        <v>27</v>
      </c>
      <c r="U2094" t="n">
        <v>28</v>
      </c>
      <c r="V2094" t="n">
        <v>30</v>
      </c>
      <c r="W2094" t="n">
        <v>2</v>
      </c>
      <c r="X2094" t="n">
        <v>37.87878787878788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6547</v>
      </c>
      <c r="AG2094" t="n">
        <v>1</v>
      </c>
      <c r="AH2094" t="inlineStr">
        <is>
          <t>PT. BERSAMA DISTRIVERSA INDONESIA (DC CIPUTAT)</t>
        </is>
      </c>
      <c r="AI2094" t="n">
        <v>2267</v>
      </c>
      <c r="AJ2094" t="inlineStr">
        <is>
          <t>LENCIR</t>
        </is>
      </c>
      <c r="AK2094" t="n">
        <v>9</v>
      </c>
      <c r="AL2094" t="inlineStr">
        <is>
          <t>Miss Glam Jambi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LIGHT+</t>
        </is>
      </c>
      <c r="B2095" s="2">
        <f>"8993137688628"</f>
        <v/>
      </c>
      <c r="C2095" t="inlineStr">
        <is>
          <t>LIGHT+ Wardah Day Cream Advanced Niacinamide 20ml</t>
        </is>
      </c>
      <c r="D2095" t="inlineStr">
        <is>
          <t>Miss Glam Jambi</t>
        </is>
      </c>
      <c r="E2095" t="n">
        <v>0</v>
      </c>
      <c r="F2095" t="n">
        <v>0.2343</v>
      </c>
      <c r="G2095" t="n">
        <v>0.99</v>
      </c>
      <c r="H2095" t="n">
        <v>2</v>
      </c>
      <c r="I2095" t="n">
        <v>7</v>
      </c>
      <c r="J2095" t="n">
        <v>3</v>
      </c>
      <c r="K2095" t="n">
        <v>6</v>
      </c>
      <c r="L2095" t="n">
        <v>25445</v>
      </c>
      <c r="M2095" t="n">
        <v>29000</v>
      </c>
      <c r="N2095" t="n">
        <v>33</v>
      </c>
      <c r="O2095" t="n">
        <v>0.33</v>
      </c>
      <c r="P2095" t="n">
        <v>1</v>
      </c>
      <c r="Q2095" t="n">
        <v>0.17</v>
      </c>
      <c r="R2095" t="n">
        <v>2</v>
      </c>
      <c r="S2095" t="n">
        <v>6794.7</v>
      </c>
      <c r="T2095" t="n">
        <v>7</v>
      </c>
      <c r="U2095" t="n">
        <v>8</v>
      </c>
      <c r="V2095" t="n">
        <v>30</v>
      </c>
      <c r="W2095" t="n">
        <v>8</v>
      </c>
      <c r="X2095" t="n">
        <v>0</v>
      </c>
      <c r="Y2095" t="n">
        <v>1</v>
      </c>
      <c r="Z2095" t="n">
        <v>2</v>
      </c>
      <c r="AA2095" t="n">
        <v>1</v>
      </c>
      <c r="AB2095" t="n">
        <v>1</v>
      </c>
      <c r="AC2095" t="n">
        <v>3</v>
      </c>
      <c r="AD2095" t="n">
        <v>25445</v>
      </c>
      <c r="AE2095" t="n">
        <v>76335</v>
      </c>
      <c r="AF2095" t="n">
        <v>11587</v>
      </c>
      <c r="AG2095" t="n">
        <v>2141</v>
      </c>
      <c r="AH2095" t="inlineStr">
        <is>
          <t>PT. PARAMA GLOBAL INSPIRA - PPN (JMB)</t>
        </is>
      </c>
      <c r="AI2095" t="n">
        <v>2395</v>
      </c>
      <c r="AJ2095" t="inlineStr">
        <is>
          <t>LIGHT+</t>
        </is>
      </c>
      <c r="AK2095" t="n">
        <v>9</v>
      </c>
      <c r="AL2095" t="inlineStr">
        <is>
          <t>Miss Glam Jambi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LIGHT+</t>
        </is>
      </c>
      <c r="B2096" s="2">
        <f>"8993137572194"</f>
        <v/>
      </c>
      <c r="C2096" t="inlineStr">
        <is>
          <t>LIGHT+ Wardah Lightening Advance Niacinamide Night Cream 30gr</t>
        </is>
      </c>
      <c r="D2096" t="inlineStr">
        <is>
          <t>Miss Glam Jambi</t>
        </is>
      </c>
      <c r="E2096" t="n">
        <v>0</v>
      </c>
      <c r="F2096" t="n">
        <v>0.2112</v>
      </c>
      <c r="G2096" t="n">
        <v>1.32</v>
      </c>
      <c r="H2096" t="n">
        <v>2</v>
      </c>
      <c r="I2096" t="n">
        <v>7</v>
      </c>
      <c r="J2096" t="n">
        <v>3</v>
      </c>
      <c r="K2096" t="n">
        <v>5</v>
      </c>
      <c r="L2096" t="n">
        <v>41191</v>
      </c>
      <c r="M2096" t="n">
        <v>47000</v>
      </c>
      <c r="N2096" t="n">
        <v>33</v>
      </c>
      <c r="O2096" t="n">
        <v>0.33</v>
      </c>
      <c r="P2096" t="n">
        <v>1</v>
      </c>
      <c r="Q2096" t="n">
        <v>0.22</v>
      </c>
      <c r="R2096" t="n">
        <v>2</v>
      </c>
      <c r="S2096" t="n">
        <v>9926.400000000001</v>
      </c>
      <c r="T2096" t="n">
        <v>9</v>
      </c>
      <c r="U2096" t="n">
        <v>10</v>
      </c>
      <c r="V2096" t="n">
        <v>30</v>
      </c>
      <c r="W2096" t="n">
        <v>7</v>
      </c>
      <c r="X2096" t="n">
        <v>0</v>
      </c>
      <c r="Y2096" t="n">
        <v>1</v>
      </c>
      <c r="Z2096" t="n">
        <v>2</v>
      </c>
      <c r="AA2096" t="n">
        <v>1</v>
      </c>
      <c r="AB2096" t="n">
        <v>1</v>
      </c>
      <c r="AC2096" t="n">
        <v>3</v>
      </c>
      <c r="AD2096" t="n">
        <v>41191</v>
      </c>
      <c r="AE2096" t="n">
        <v>123573</v>
      </c>
      <c r="AF2096" t="n">
        <v>11587</v>
      </c>
      <c r="AG2096" t="n">
        <v>2141</v>
      </c>
      <c r="AH2096" t="inlineStr">
        <is>
          <t>PT. PARAMA GLOBAL INSPIRA - PPN (JMB)</t>
        </is>
      </c>
      <c r="AI2096" t="n">
        <v>2395</v>
      </c>
      <c r="AJ2096" t="inlineStr">
        <is>
          <t>LIGHT+</t>
        </is>
      </c>
      <c r="AK2096" t="n">
        <v>9</v>
      </c>
      <c r="AL2096" t="inlineStr">
        <is>
          <t>Miss Glam Jambi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LIGHT+</t>
        </is>
      </c>
      <c r="B2097" s="2">
        <f>"8993137572170"</f>
        <v/>
      </c>
      <c r="C2097" t="inlineStr">
        <is>
          <t>LIGHT+ Wardah Lightening Day Cream Advanced Niacinamide 30gr</t>
        </is>
      </c>
      <c r="D2097" t="inlineStr">
        <is>
          <t>Miss Glam Jambi</t>
        </is>
      </c>
      <c r="E2097" t="n">
        <v>1</v>
      </c>
      <c r="F2097" t="n">
        <v>0.2343</v>
      </c>
      <c r="G2097" t="n">
        <v>1.32</v>
      </c>
      <c r="H2097" t="n">
        <v>2</v>
      </c>
      <c r="I2097" t="n">
        <v>7</v>
      </c>
      <c r="J2097" t="n">
        <v>3</v>
      </c>
      <c r="K2097" t="n">
        <v>6</v>
      </c>
      <c r="L2097" t="n">
        <v>40472</v>
      </c>
      <c r="M2097" t="n">
        <v>51500</v>
      </c>
      <c r="N2097" t="n">
        <v>33</v>
      </c>
      <c r="O2097" t="n">
        <v>0.33</v>
      </c>
      <c r="P2097" t="n">
        <v>1</v>
      </c>
      <c r="Q2097" t="n">
        <v>0.29</v>
      </c>
      <c r="R2097" t="n">
        <v>2</v>
      </c>
      <c r="S2097" t="n">
        <v>12066.45</v>
      </c>
      <c r="T2097" t="n">
        <v>9</v>
      </c>
      <c r="U2097" t="n">
        <v>10</v>
      </c>
      <c r="V2097" t="n">
        <v>30</v>
      </c>
      <c r="W2097" t="n">
        <v>8</v>
      </c>
      <c r="X2097" t="n">
        <v>4.268032437046521</v>
      </c>
      <c r="Y2097" t="n">
        <v>1</v>
      </c>
      <c r="Z2097" t="n">
        <v>1</v>
      </c>
      <c r="AA2097" t="n">
        <v>0</v>
      </c>
      <c r="AB2097" t="n">
        <v>1</v>
      </c>
      <c r="AC2097" t="n">
        <v>3</v>
      </c>
      <c r="AD2097" t="n">
        <v>0</v>
      </c>
      <c r="AE2097" t="n">
        <v>121416</v>
      </c>
      <c r="AF2097" t="n">
        <v>11587</v>
      </c>
      <c r="AG2097" t="n">
        <v>2141</v>
      </c>
      <c r="AH2097" t="inlineStr">
        <is>
          <t>PT. PARAMA GLOBAL INSPIRA - PPN (JMB)</t>
        </is>
      </c>
      <c r="AI2097" t="n">
        <v>2395</v>
      </c>
      <c r="AJ2097" t="inlineStr">
        <is>
          <t>LIGHT+</t>
        </is>
      </c>
      <c r="AK2097" t="n">
        <v>9</v>
      </c>
      <c r="AL2097" t="inlineStr">
        <is>
          <t>Miss Glam Jambi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LIGHT+</t>
        </is>
      </c>
      <c r="B2098" s="2">
        <f>"8993137697019"</f>
        <v/>
      </c>
      <c r="C2098" t="inlineStr">
        <is>
          <t>LIGHT+ Wardah Lightening Micellar Gentel Wash 100ml</t>
        </is>
      </c>
      <c r="D2098" t="inlineStr">
        <is>
          <t>Miss Glam Jambi</t>
        </is>
      </c>
      <c r="E2098" t="n">
        <v>8</v>
      </c>
      <c r="F2098" t="n">
        <v>0.5082</v>
      </c>
      <c r="G2098" t="n">
        <v>1.32</v>
      </c>
      <c r="H2098" t="n">
        <v>2</v>
      </c>
      <c r="I2098" t="n">
        <v>7</v>
      </c>
      <c r="J2098" t="n">
        <v>3</v>
      </c>
      <c r="K2098" t="n">
        <v>8</v>
      </c>
      <c r="L2098" t="n">
        <v>27632</v>
      </c>
      <c r="M2098" t="n">
        <v>30500</v>
      </c>
      <c r="N2098" t="n">
        <v>33</v>
      </c>
      <c r="O2098" t="n">
        <v>0.33</v>
      </c>
      <c r="P2098" t="n">
        <v>1</v>
      </c>
      <c r="Q2098" t="n">
        <v>0.44</v>
      </c>
      <c r="R2098" t="n">
        <v>6</v>
      </c>
      <c r="S2098" t="n">
        <v>15500.1</v>
      </c>
      <c r="T2098" t="n">
        <v>9</v>
      </c>
      <c r="U2098" t="n">
        <v>11</v>
      </c>
      <c r="V2098" t="n">
        <v>30</v>
      </c>
      <c r="W2098" t="n">
        <v>16</v>
      </c>
      <c r="X2098" t="n">
        <v>15.74183392365211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11587</v>
      </c>
      <c r="AG2098" t="n">
        <v>2141</v>
      </c>
      <c r="AH2098" t="inlineStr">
        <is>
          <t>PT. PARAMA GLOBAL INSPIRA - PPN (JMB)</t>
        </is>
      </c>
      <c r="AI2098" t="n">
        <v>2395</v>
      </c>
      <c r="AJ2098" t="inlineStr">
        <is>
          <t>LIGHT+</t>
        </is>
      </c>
      <c r="AK2098" t="n">
        <v>9</v>
      </c>
      <c r="AL2098" t="inlineStr">
        <is>
          <t>Miss Glam Jambi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LIGHT+</t>
        </is>
      </c>
      <c r="B2099" s="2">
        <f>"8993137688666"</f>
        <v/>
      </c>
      <c r="C2099" t="inlineStr">
        <is>
          <t>LIGHT+ Wardah Lightening Night Cream Advanced Niacinamide 20ml</t>
        </is>
      </c>
      <c r="D2099" t="inlineStr">
        <is>
          <t>Miss Glam Jambi</t>
        </is>
      </c>
      <c r="E2099" t="n">
        <v>4</v>
      </c>
      <c r="F2099" t="n">
        <v>0.2277</v>
      </c>
      <c r="G2099" t="n">
        <v>0.99</v>
      </c>
      <c r="H2099" t="n">
        <v>2</v>
      </c>
      <c r="I2099" t="n">
        <v>7</v>
      </c>
      <c r="J2099" t="n">
        <v>3</v>
      </c>
      <c r="K2099" t="n">
        <v>3</v>
      </c>
      <c r="L2099" t="n">
        <v>26573</v>
      </c>
      <c r="M2099" t="n">
        <v>30000</v>
      </c>
      <c r="N2099" t="n">
        <v>33</v>
      </c>
      <c r="O2099" t="n">
        <v>0.33</v>
      </c>
      <c r="P2099" t="n">
        <v>1</v>
      </c>
      <c r="Q2099" t="n">
        <v>0.1</v>
      </c>
      <c r="R2099" t="n">
        <v>2</v>
      </c>
      <c r="S2099" t="n">
        <v>6831</v>
      </c>
      <c r="T2099" t="n">
        <v>7</v>
      </c>
      <c r="U2099" t="n">
        <v>8</v>
      </c>
      <c r="V2099" t="n">
        <v>30</v>
      </c>
      <c r="W2099" t="n">
        <v>7</v>
      </c>
      <c r="X2099" t="n">
        <v>17.56697408871322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11587</v>
      </c>
      <c r="AG2099" t="n">
        <v>2141</v>
      </c>
      <c r="AH2099" t="inlineStr">
        <is>
          <t>PT. PARAMA GLOBAL INSPIRA - PPN (JMB)</t>
        </is>
      </c>
      <c r="AI2099" t="n">
        <v>2395</v>
      </c>
      <c r="AJ2099" t="inlineStr">
        <is>
          <t>LIGHT+</t>
        </is>
      </c>
      <c r="AK2099" t="n">
        <v>9</v>
      </c>
      <c r="AL2099" t="inlineStr">
        <is>
          <t>Miss Glam Jambi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LIGHT+</t>
        </is>
      </c>
      <c r="B2100" s="2">
        <f>"20100485553"</f>
        <v/>
      </c>
      <c r="C2100" t="inlineStr">
        <is>
          <t>LIGHT+ Wardah Lite Skin Filter Cushion 01 Fair 11gr</t>
        </is>
      </c>
      <c r="D2100" t="inlineStr">
        <is>
          <t>Miss Glam Jambi</t>
        </is>
      </c>
      <c r="E2100" t="n">
        <v>6</v>
      </c>
      <c r="F2100" t="n">
        <v>0.066</v>
      </c>
      <c r="G2100" t="n">
        <v>0.66</v>
      </c>
      <c r="H2100" t="n">
        <v>2</v>
      </c>
      <c r="I2100" t="n">
        <v>7</v>
      </c>
      <c r="J2100" t="n">
        <v>1</v>
      </c>
      <c r="K2100" t="n">
        <v>0</v>
      </c>
      <c r="L2100" t="n">
        <v>79695</v>
      </c>
      <c r="M2100" t="n">
        <v>94000</v>
      </c>
      <c r="N2100" t="n">
        <v>33</v>
      </c>
      <c r="O2100" t="n">
        <v>0.33</v>
      </c>
      <c r="P2100" t="n">
        <v>1</v>
      </c>
      <c r="Q2100" t="n">
        <v>0.05</v>
      </c>
      <c r="R2100" t="n">
        <v>1</v>
      </c>
      <c r="S2100" t="n">
        <v>6204</v>
      </c>
      <c r="T2100" t="n">
        <v>5</v>
      </c>
      <c r="U2100" t="n">
        <v>6</v>
      </c>
      <c r="V2100" t="n">
        <v>30</v>
      </c>
      <c r="W2100" t="n">
        <v>2</v>
      </c>
      <c r="X2100" t="n">
        <v>90.90909090909091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11587</v>
      </c>
      <c r="AG2100" t="n">
        <v>2141</v>
      </c>
      <c r="AH2100" t="inlineStr">
        <is>
          <t>PT. PARAMA GLOBAL INSPIRA - PPN (JMB)</t>
        </is>
      </c>
      <c r="AI2100" t="n">
        <v>2395</v>
      </c>
      <c r="AJ2100" t="inlineStr">
        <is>
          <t>LIGHT+</t>
        </is>
      </c>
      <c r="AK2100" t="n">
        <v>9</v>
      </c>
      <c r="AL2100" t="inlineStr">
        <is>
          <t>Miss Glam Jambi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LIGHT+</t>
        </is>
      </c>
      <c r="B2101" s="2">
        <f>"20100485653"</f>
        <v/>
      </c>
      <c r="C2101" t="inlineStr">
        <is>
          <t>LIGHT+ Wardah Lite Skin Filter Cushion 02 Linen 11gr</t>
        </is>
      </c>
      <c r="D2101" t="inlineStr">
        <is>
          <t>Miss Glam Jambi</t>
        </is>
      </c>
      <c r="E2101" t="n">
        <v>3</v>
      </c>
      <c r="F2101" t="n">
        <v>0.2475</v>
      </c>
      <c r="G2101" t="n">
        <v>1.32</v>
      </c>
      <c r="H2101" t="n">
        <v>2</v>
      </c>
      <c r="I2101" t="n">
        <v>7</v>
      </c>
      <c r="J2101" t="n">
        <v>1</v>
      </c>
      <c r="K2101" t="n">
        <v>5</v>
      </c>
      <c r="L2101" t="n">
        <v>79695</v>
      </c>
      <c r="M2101" t="n">
        <v>94000</v>
      </c>
      <c r="N2101" t="n">
        <v>33</v>
      </c>
      <c r="O2101" t="n">
        <v>0.33</v>
      </c>
      <c r="P2101" t="n">
        <v>1</v>
      </c>
      <c r="Q2101" t="n">
        <v>0.12</v>
      </c>
      <c r="R2101" t="n">
        <v>2</v>
      </c>
      <c r="S2101" t="n">
        <v>23265</v>
      </c>
      <c r="T2101" t="n">
        <v>9</v>
      </c>
      <c r="U2101" t="n">
        <v>10</v>
      </c>
      <c r="V2101" t="n">
        <v>30</v>
      </c>
      <c r="W2101" t="n">
        <v>8</v>
      </c>
      <c r="X2101" t="n">
        <v>12.12121212121212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11587</v>
      </c>
      <c r="AG2101" t="n">
        <v>2141</v>
      </c>
      <c r="AH2101" t="inlineStr">
        <is>
          <t>PT. PARAMA GLOBAL INSPIRA - PPN (JMB)</t>
        </is>
      </c>
      <c r="AI2101" t="n">
        <v>2395</v>
      </c>
      <c r="AJ2101" t="inlineStr">
        <is>
          <t>LIGHT+</t>
        </is>
      </c>
      <c r="AK2101" t="n">
        <v>9</v>
      </c>
      <c r="AL2101" t="inlineStr">
        <is>
          <t>Miss Glam Jambi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LIGHT+</t>
        </is>
      </c>
      <c r="B2102" s="2">
        <f>"20100485717"</f>
        <v/>
      </c>
      <c r="C2102" t="inlineStr">
        <is>
          <t>LIGHT+ Wardah Lite Skin Filter Cushion 03 Oat 11gr</t>
        </is>
      </c>
      <c r="D2102" t="inlineStr">
        <is>
          <t>Miss Glam Jambi</t>
        </is>
      </c>
      <c r="E2102" t="n">
        <v>2</v>
      </c>
      <c r="F2102" t="n">
        <v>0.09569999999999999</v>
      </c>
      <c r="G2102" t="n">
        <v>0.66</v>
      </c>
      <c r="H2102" t="n">
        <v>2</v>
      </c>
      <c r="I2102" t="n">
        <v>7</v>
      </c>
      <c r="J2102" t="n">
        <v>1</v>
      </c>
      <c r="K2102" t="n">
        <v>2</v>
      </c>
      <c r="L2102" t="n">
        <v>79695</v>
      </c>
      <c r="M2102" t="n">
        <v>94000</v>
      </c>
      <c r="N2102" t="n">
        <v>33</v>
      </c>
      <c r="O2102" t="n">
        <v>0.33</v>
      </c>
      <c r="P2102" t="n">
        <v>1</v>
      </c>
      <c r="Q2102" t="n">
        <v>0.12</v>
      </c>
      <c r="R2102" t="n">
        <v>1</v>
      </c>
      <c r="S2102" t="n">
        <v>8995.799999999999</v>
      </c>
      <c r="T2102" t="n">
        <v>5</v>
      </c>
      <c r="U2102" t="n">
        <v>6</v>
      </c>
      <c r="V2102" t="n">
        <v>30</v>
      </c>
      <c r="W2102" t="n">
        <v>3</v>
      </c>
      <c r="X2102" t="n">
        <v>20.89864158829676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11587</v>
      </c>
      <c r="AG2102" t="n">
        <v>2141</v>
      </c>
      <c r="AH2102" t="inlineStr">
        <is>
          <t>PT. PARAMA GLOBAL INSPIRA - PPN (JMB)</t>
        </is>
      </c>
      <c r="AI2102" t="n">
        <v>2395</v>
      </c>
      <c r="AJ2102" t="inlineStr">
        <is>
          <t>LIGHT+</t>
        </is>
      </c>
      <c r="AK2102" t="n">
        <v>9</v>
      </c>
      <c r="AL2102" t="inlineStr">
        <is>
          <t>Miss Glam Jambi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LIGHT+</t>
        </is>
      </c>
      <c r="B2103" s="2">
        <f>"20100485860"</f>
        <v/>
      </c>
      <c r="C2103" t="inlineStr">
        <is>
          <t>LIGHT+ Wardah Lite Skin Filter Cushion 04 Beige 11gr</t>
        </is>
      </c>
      <c r="D2103" t="inlineStr">
        <is>
          <t>Miss Glam Jambi</t>
        </is>
      </c>
      <c r="E2103" t="n">
        <v>0</v>
      </c>
      <c r="F2103" t="n">
        <v>0.1518</v>
      </c>
      <c r="G2103" t="n">
        <v>0.99</v>
      </c>
      <c r="H2103" t="n">
        <v>2</v>
      </c>
      <c r="I2103" t="n">
        <v>7</v>
      </c>
      <c r="J2103" t="n">
        <v>1</v>
      </c>
      <c r="K2103" t="n">
        <v>3</v>
      </c>
      <c r="L2103" t="n">
        <v>79695</v>
      </c>
      <c r="M2103" t="n">
        <v>94000</v>
      </c>
      <c r="N2103" t="n">
        <v>33</v>
      </c>
      <c r="O2103" t="n">
        <v>0.33</v>
      </c>
      <c r="P2103" t="n">
        <v>1</v>
      </c>
      <c r="Q2103" t="n">
        <v>0.17</v>
      </c>
      <c r="R2103" t="n">
        <v>2</v>
      </c>
      <c r="S2103" t="n">
        <v>14269.2</v>
      </c>
      <c r="T2103" t="n">
        <v>7</v>
      </c>
      <c r="U2103" t="n">
        <v>8</v>
      </c>
      <c r="V2103" t="n">
        <v>30</v>
      </c>
      <c r="W2103" t="n">
        <v>5</v>
      </c>
      <c r="X2103" t="n">
        <v>0</v>
      </c>
      <c r="Y2103" t="n">
        <v>1</v>
      </c>
      <c r="Z2103" t="n">
        <v>2</v>
      </c>
      <c r="AA2103" t="n">
        <v>1</v>
      </c>
      <c r="AB2103" t="n">
        <v>1</v>
      </c>
      <c r="AC2103" t="n">
        <v>1</v>
      </c>
      <c r="AD2103" t="n">
        <v>79695</v>
      </c>
      <c r="AE2103" t="n">
        <v>79695</v>
      </c>
      <c r="AF2103" t="n">
        <v>11587</v>
      </c>
      <c r="AG2103" t="n">
        <v>2141</v>
      </c>
      <c r="AH2103" t="inlineStr">
        <is>
          <t>PT. PARAMA GLOBAL INSPIRA - PPN (JMB)</t>
        </is>
      </c>
      <c r="AI2103" t="n">
        <v>2395</v>
      </c>
      <c r="AJ2103" t="inlineStr">
        <is>
          <t>LIGHT+</t>
        </is>
      </c>
      <c r="AK2103" t="n">
        <v>9</v>
      </c>
      <c r="AL2103" t="inlineStr">
        <is>
          <t>Miss Glam Jambi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LIGHT+</t>
        </is>
      </c>
      <c r="B2104" s="2">
        <f>"20100485920"</f>
        <v/>
      </c>
      <c r="C2104" t="inlineStr">
        <is>
          <t>LIGHT+ Wardah Lite Skin Filter Cushion 05 Creme 11gr</t>
        </is>
      </c>
      <c r="D2104" t="inlineStr">
        <is>
          <t>Miss Glam Jambi</t>
        </is>
      </c>
      <c r="E2104" t="n">
        <v>0</v>
      </c>
      <c r="F2104" t="n">
        <v>0.0495</v>
      </c>
      <c r="G2104" t="n">
        <v>0.66</v>
      </c>
      <c r="H2104" t="n">
        <v>2</v>
      </c>
      <c r="I2104" t="n">
        <v>7</v>
      </c>
      <c r="J2104" t="n">
        <v>1</v>
      </c>
      <c r="K2104" t="n">
        <v>1</v>
      </c>
      <c r="L2104" t="n">
        <v>79695</v>
      </c>
      <c r="M2104" t="n">
        <v>94000</v>
      </c>
      <c r="N2104" t="n">
        <v>33</v>
      </c>
      <c r="O2104" t="n">
        <v>0.33</v>
      </c>
      <c r="P2104" t="n">
        <v>1</v>
      </c>
      <c r="Q2104" t="n">
        <v>0.1</v>
      </c>
      <c r="R2104" t="n">
        <v>1</v>
      </c>
      <c r="S2104" t="n">
        <v>4653</v>
      </c>
      <c r="T2104" t="n">
        <v>5</v>
      </c>
      <c r="U2104" t="n">
        <v>6</v>
      </c>
      <c r="V2104" t="n">
        <v>30</v>
      </c>
      <c r="W2104" t="n">
        <v>2</v>
      </c>
      <c r="X2104" t="n">
        <v>0</v>
      </c>
      <c r="Y2104" t="n">
        <v>1</v>
      </c>
      <c r="Z2104" t="n">
        <v>1</v>
      </c>
      <c r="AA2104" t="n">
        <v>0</v>
      </c>
      <c r="AB2104" t="n">
        <v>1</v>
      </c>
      <c r="AC2104" t="n">
        <v>1</v>
      </c>
      <c r="AD2104" t="n">
        <v>0</v>
      </c>
      <c r="AE2104" t="n">
        <v>79695</v>
      </c>
      <c r="AF2104" t="n">
        <v>11587</v>
      </c>
      <c r="AG2104" t="n">
        <v>2141</v>
      </c>
      <c r="AH2104" t="inlineStr">
        <is>
          <t>PT. PARAMA GLOBAL INSPIRA - PPN (JMB)</t>
        </is>
      </c>
      <c r="AI2104" t="n">
        <v>2395</v>
      </c>
      <c r="AJ2104" t="inlineStr">
        <is>
          <t>LIGHT+</t>
        </is>
      </c>
      <c r="AK2104" t="n">
        <v>9</v>
      </c>
      <c r="AL2104" t="inlineStr">
        <is>
          <t>Miss Glam Jambi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LIGHT+</t>
        </is>
      </c>
      <c r="B2105" s="2">
        <f>"20100486043"</f>
        <v/>
      </c>
      <c r="C2105" t="inlineStr">
        <is>
          <t>LIGHT+ Wardah Lite Skin Filter Cushion 06 Sand 11g</t>
        </is>
      </c>
      <c r="D2105" t="inlineStr">
        <is>
          <t>Miss Glam Jambi</t>
        </is>
      </c>
      <c r="E2105" t="n">
        <v>4</v>
      </c>
      <c r="F2105" t="n">
        <v>0.0264</v>
      </c>
      <c r="G2105" t="n">
        <v>0.33</v>
      </c>
      <c r="H2105" t="n">
        <v>2</v>
      </c>
      <c r="I2105" t="n">
        <v>7</v>
      </c>
      <c r="J2105" t="n">
        <v>1</v>
      </c>
      <c r="K2105" t="n">
        <v>0</v>
      </c>
      <c r="L2105" t="n">
        <v>79695</v>
      </c>
      <c r="M2105" t="n">
        <v>94000</v>
      </c>
      <c r="N2105" t="n">
        <v>33</v>
      </c>
      <c r="O2105" t="n">
        <v>0.33</v>
      </c>
      <c r="P2105" t="n">
        <v>1</v>
      </c>
      <c r="Q2105" t="n">
        <v>0.03</v>
      </c>
      <c r="R2105" t="n">
        <v>1</v>
      </c>
      <c r="S2105" t="n">
        <v>2481.6</v>
      </c>
      <c r="T2105" t="n">
        <v>3</v>
      </c>
      <c r="U2105" t="n">
        <v>4</v>
      </c>
      <c r="V2105" t="n">
        <v>30</v>
      </c>
      <c r="W2105" t="n">
        <v>1</v>
      </c>
      <c r="X2105" t="n">
        <v>151.5151515151515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11587</v>
      </c>
      <c r="AG2105" t="n">
        <v>2141</v>
      </c>
      <c r="AH2105" t="inlineStr">
        <is>
          <t>PT. PARAMA GLOBAL INSPIRA - PPN (JMB)</t>
        </is>
      </c>
      <c r="AI2105" t="n">
        <v>2395</v>
      </c>
      <c r="AJ2105" t="inlineStr">
        <is>
          <t>LIGHT+</t>
        </is>
      </c>
      <c r="AK2105" t="n">
        <v>9</v>
      </c>
      <c r="AL2105" t="inlineStr">
        <is>
          <t>Miss Glam Jambi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LIGHT+</t>
        </is>
      </c>
      <c r="B2106" s="2">
        <f>"8993137708067"</f>
        <v/>
      </c>
      <c r="C2106" t="inlineStr">
        <is>
          <t>LIGHT+ Wardah Micellar Gentel wash 50ml</t>
        </is>
      </c>
      <c r="D2106" t="inlineStr">
        <is>
          <t>Miss Glam Jambi</t>
        </is>
      </c>
      <c r="E2106" t="n">
        <v>4</v>
      </c>
      <c r="F2106" t="n">
        <v>0.2079</v>
      </c>
      <c r="G2106" t="n">
        <v>1.32</v>
      </c>
      <c r="H2106" t="n">
        <v>2</v>
      </c>
      <c r="I2106" t="n">
        <v>7</v>
      </c>
      <c r="J2106" t="n">
        <v>3</v>
      </c>
      <c r="K2106" t="n">
        <v>3</v>
      </c>
      <c r="L2106" t="n">
        <v>18323</v>
      </c>
      <c r="M2106" t="n">
        <v>21000</v>
      </c>
      <c r="N2106" t="n">
        <v>33</v>
      </c>
      <c r="O2106" t="n">
        <v>0.33</v>
      </c>
      <c r="P2106" t="n">
        <v>1</v>
      </c>
      <c r="Q2106" t="n">
        <v>0.24</v>
      </c>
      <c r="R2106" t="n">
        <v>2</v>
      </c>
      <c r="S2106" t="n">
        <v>4365.9</v>
      </c>
      <c r="T2106" t="n">
        <v>9</v>
      </c>
      <c r="U2106" t="n">
        <v>10</v>
      </c>
      <c r="V2106" t="n">
        <v>30</v>
      </c>
      <c r="W2106" t="n">
        <v>7</v>
      </c>
      <c r="X2106" t="n">
        <v>19.24001924001924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11587</v>
      </c>
      <c r="AG2106" t="n">
        <v>2141</v>
      </c>
      <c r="AH2106" t="inlineStr">
        <is>
          <t>PT. PARAMA GLOBAL INSPIRA - PPN (JMB)</t>
        </is>
      </c>
      <c r="AI2106" t="n">
        <v>2395</v>
      </c>
      <c r="AJ2106" t="inlineStr">
        <is>
          <t>LIGHT+</t>
        </is>
      </c>
      <c r="AK2106" t="n">
        <v>9</v>
      </c>
      <c r="AL2106" t="inlineStr">
        <is>
          <t>Miss Glam Jambi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LIGHT+</t>
        </is>
      </c>
      <c r="B2107" s="2">
        <f>"8993137707749"</f>
        <v/>
      </c>
      <c r="C2107" t="inlineStr">
        <is>
          <t>LIGHT+ Wardah Whip Facial Foam 100ml</t>
        </is>
      </c>
      <c r="D2107" t="inlineStr">
        <is>
          <t>Miss Glam Jambi</t>
        </is>
      </c>
      <c r="E2107" t="n">
        <v>2</v>
      </c>
      <c r="F2107" t="n">
        <v>0.5643</v>
      </c>
      <c r="G2107" t="n">
        <v>1.65</v>
      </c>
      <c r="H2107" t="n">
        <v>2</v>
      </c>
      <c r="I2107" t="n">
        <v>7</v>
      </c>
      <c r="J2107" t="n">
        <v>3</v>
      </c>
      <c r="K2107" t="n">
        <v>13</v>
      </c>
      <c r="L2107" t="n">
        <v>27523</v>
      </c>
      <c r="M2107" t="n">
        <v>31000</v>
      </c>
      <c r="N2107" t="n">
        <v>33</v>
      </c>
      <c r="O2107" t="n">
        <v>0.33</v>
      </c>
      <c r="P2107" t="n">
        <v>1</v>
      </c>
      <c r="Q2107" t="n">
        <v>0.22</v>
      </c>
      <c r="R2107" t="n">
        <v>2</v>
      </c>
      <c r="S2107" t="n">
        <v>17493.3</v>
      </c>
      <c r="T2107" t="n">
        <v>11</v>
      </c>
      <c r="U2107" t="n">
        <v>13</v>
      </c>
      <c r="V2107" t="n">
        <v>30</v>
      </c>
      <c r="W2107" t="n">
        <v>17</v>
      </c>
      <c r="X2107" t="n">
        <v>3.54421407052986</v>
      </c>
      <c r="Y2107" t="n">
        <v>1</v>
      </c>
      <c r="Z2107" t="n">
        <v>2</v>
      </c>
      <c r="AA2107" t="n">
        <v>1</v>
      </c>
      <c r="AB2107" t="n">
        <v>1</v>
      </c>
      <c r="AC2107" t="n">
        <v>3</v>
      </c>
      <c r="AD2107" t="n">
        <v>27523</v>
      </c>
      <c r="AE2107" t="n">
        <v>82569</v>
      </c>
      <c r="AF2107" t="n">
        <v>11587</v>
      </c>
      <c r="AG2107" t="n">
        <v>2141</v>
      </c>
      <c r="AH2107" t="inlineStr">
        <is>
          <t>PT. PARAMA GLOBAL INSPIRA - PPN (JMB)</t>
        </is>
      </c>
      <c r="AI2107" t="n">
        <v>2395</v>
      </c>
      <c r="AJ2107" t="inlineStr">
        <is>
          <t>LIGHT+</t>
        </is>
      </c>
      <c r="AK2107" t="n">
        <v>9</v>
      </c>
      <c r="AL2107" t="inlineStr">
        <is>
          <t>Miss Glam Jambi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LIGHT+</t>
        </is>
      </c>
      <c r="B2108" s="2">
        <f>"8993137707732"</f>
        <v/>
      </c>
      <c r="C2108" t="inlineStr">
        <is>
          <t>LIGHT+ Wardah Whip Facial Foam 50ml</t>
        </is>
      </c>
      <c r="D2108" t="inlineStr">
        <is>
          <t>Miss Glam Jambi</t>
        </is>
      </c>
      <c r="E2108" t="n">
        <v>1</v>
      </c>
      <c r="F2108" t="n">
        <v>0.1221</v>
      </c>
      <c r="G2108" t="n">
        <v>0.66</v>
      </c>
      <c r="H2108" t="n">
        <v>2</v>
      </c>
      <c r="I2108" t="n">
        <v>7</v>
      </c>
      <c r="J2108" t="n">
        <v>3</v>
      </c>
      <c r="K2108" t="n">
        <v>3</v>
      </c>
      <c r="L2108" t="n">
        <v>18391</v>
      </c>
      <c r="M2108" t="n">
        <v>22000</v>
      </c>
      <c r="N2108" t="n">
        <v>33</v>
      </c>
      <c r="O2108" t="n">
        <v>0.33</v>
      </c>
      <c r="P2108" t="n">
        <v>1</v>
      </c>
      <c r="Q2108" t="n">
        <v>0.08</v>
      </c>
      <c r="R2108" t="n">
        <v>1</v>
      </c>
      <c r="S2108" t="n">
        <v>2686.2</v>
      </c>
      <c r="T2108" t="n">
        <v>5</v>
      </c>
      <c r="U2108" t="n">
        <v>6</v>
      </c>
      <c r="V2108" t="n">
        <v>30</v>
      </c>
      <c r="W2108" t="n">
        <v>4</v>
      </c>
      <c r="X2108" t="n">
        <v>8.190008190008189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11587</v>
      </c>
      <c r="AG2108" t="n">
        <v>2141</v>
      </c>
      <c r="AH2108" t="inlineStr">
        <is>
          <t>PT. PARAMA GLOBAL INSPIRA - PPN (JMB)</t>
        </is>
      </c>
      <c r="AI2108" t="n">
        <v>2395</v>
      </c>
      <c r="AJ2108" t="inlineStr">
        <is>
          <t>LIGHT+</t>
        </is>
      </c>
      <c r="AK2108" t="n">
        <v>9</v>
      </c>
      <c r="AL2108" t="inlineStr">
        <is>
          <t>Miss Glam Jambi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LILITH &amp; EVE</t>
        </is>
      </c>
      <c r="B2109" s="2">
        <f>"764460291049"</f>
        <v/>
      </c>
      <c r="C2109" t="inlineStr">
        <is>
          <t>LILITH &amp; EVE Night Deemon Eau De Parfume 30ml</t>
        </is>
      </c>
      <c r="D2109" t="inlineStr">
        <is>
          <t>Miss Glam Jambi</t>
        </is>
      </c>
      <c r="E2109" t="n">
        <v>3</v>
      </c>
      <c r="F2109" t="n">
        <v>0.02</v>
      </c>
      <c r="G2109" t="n">
        <v>1</v>
      </c>
      <c r="H2109" t="n">
        <v>4</v>
      </c>
      <c r="I2109" t="n">
        <v>11</v>
      </c>
      <c r="J2109" t="n">
        <v>3</v>
      </c>
      <c r="K2109" t="n">
        <v>0</v>
      </c>
      <c r="L2109" t="n">
        <v>66300</v>
      </c>
      <c r="M2109" t="n">
        <v>97000</v>
      </c>
      <c r="N2109" t="n">
        <v>33</v>
      </c>
      <c r="O2109" t="n">
        <v>0.33</v>
      </c>
      <c r="P2109" t="n">
        <v>0</v>
      </c>
      <c r="Q2109" t="n">
        <v>0.02</v>
      </c>
      <c r="R2109" t="n">
        <v>1</v>
      </c>
      <c r="S2109" t="n">
        <v>1940</v>
      </c>
      <c r="T2109" t="n">
        <v>11</v>
      </c>
      <c r="U2109" t="n">
        <v>12</v>
      </c>
      <c r="V2109" t="n">
        <v>30</v>
      </c>
      <c r="W2109" t="n">
        <v>1</v>
      </c>
      <c r="X2109" t="n">
        <v>150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10086</v>
      </c>
      <c r="AG2109" t="n">
        <v>78</v>
      </c>
      <c r="AH2109" t="inlineStr">
        <is>
          <t>PT. GLORIENTA P.H - PPN (PDG)</t>
        </is>
      </c>
      <c r="AI2109" t="n">
        <v>1265</v>
      </c>
      <c r="AJ2109" t="inlineStr">
        <is>
          <t>LILITH &amp; EVE</t>
        </is>
      </c>
      <c r="AK2109" t="n">
        <v>9</v>
      </c>
      <c r="AL2109" t="inlineStr">
        <is>
          <t>Miss Glam Jambi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LIP ICE</t>
        </is>
      </c>
      <c r="B2110" s="2">
        <f>"8992821100064"</f>
        <v/>
      </c>
      <c r="C2110" t="inlineStr">
        <is>
          <t>LIP ICE Regular Cherry 2.2gr</t>
        </is>
      </c>
      <c r="D2110" t="inlineStr">
        <is>
          <t>Miss Glam Jambi</t>
        </is>
      </c>
      <c r="E2110" t="n">
        <v>12</v>
      </c>
      <c r="F2110" t="n">
        <v>0.0495</v>
      </c>
      <c r="G2110" t="n">
        <v>0.33</v>
      </c>
      <c r="H2110" t="n">
        <v>4</v>
      </c>
      <c r="I2110" t="n">
        <v>15</v>
      </c>
      <c r="J2110" t="n">
        <v>3</v>
      </c>
      <c r="K2110" t="n">
        <v>0</v>
      </c>
      <c r="L2110" t="n">
        <v>20480</v>
      </c>
      <c r="M2110" t="n">
        <v>24000</v>
      </c>
      <c r="N2110" t="n">
        <v>33</v>
      </c>
      <c r="O2110" t="n">
        <v>0.33</v>
      </c>
      <c r="P2110" t="n">
        <v>1</v>
      </c>
      <c r="Q2110" t="n">
        <v>0.03</v>
      </c>
      <c r="R2110" t="n">
        <v>1</v>
      </c>
      <c r="S2110" t="n">
        <v>1188</v>
      </c>
      <c r="T2110" t="n">
        <v>5</v>
      </c>
      <c r="U2110" t="n">
        <v>6</v>
      </c>
      <c r="V2110" t="n">
        <v>30</v>
      </c>
      <c r="W2110" t="n">
        <v>2</v>
      </c>
      <c r="X2110" t="n">
        <v>242.4242424242424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10815</v>
      </c>
      <c r="AG2110" t="n">
        <v>2132</v>
      </c>
      <c r="AH2110" t="inlineStr">
        <is>
          <t>PT. MENSA BINA SUKSES - PPN (JMB)</t>
        </is>
      </c>
      <c r="AI2110" t="n">
        <v>394</v>
      </c>
      <c r="AJ2110" t="inlineStr">
        <is>
          <t>LIP ICE</t>
        </is>
      </c>
      <c r="AK2110" t="n">
        <v>9</v>
      </c>
      <c r="AL2110" t="inlineStr">
        <is>
          <t>Miss Glam Jambi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LIP ICE</t>
        </is>
      </c>
      <c r="B2111" s="2">
        <f>"8992821100057"</f>
        <v/>
      </c>
      <c r="C2111" t="inlineStr">
        <is>
          <t>LIP ICE Regular Fruity Lip Balm Apple 2.2g</t>
        </is>
      </c>
      <c r="D2111" t="inlineStr">
        <is>
          <t>Miss Glam Jambi</t>
        </is>
      </c>
      <c r="E2111" t="n">
        <v>2</v>
      </c>
      <c r="F2111" t="n">
        <v>0.02</v>
      </c>
      <c r="G2111" t="n">
        <v>2</v>
      </c>
      <c r="H2111" t="n">
        <v>4</v>
      </c>
      <c r="I2111" t="n">
        <v>15</v>
      </c>
      <c r="J2111" t="n">
        <v>3</v>
      </c>
      <c r="K2111" t="n">
        <v>0</v>
      </c>
      <c r="L2111" t="n">
        <v>20480</v>
      </c>
      <c r="M2111" t="n">
        <v>25000</v>
      </c>
      <c r="N2111" t="n">
        <v>33</v>
      </c>
      <c r="O2111" t="n">
        <v>0.33</v>
      </c>
      <c r="P2111" t="n">
        <v>0</v>
      </c>
      <c r="Q2111" t="n">
        <v>0.02</v>
      </c>
      <c r="R2111" t="n">
        <v>2</v>
      </c>
      <c r="S2111" t="n">
        <v>500</v>
      </c>
      <c r="T2111" t="n">
        <v>30</v>
      </c>
      <c r="U2111" t="n">
        <v>31</v>
      </c>
      <c r="V2111" t="n">
        <v>30</v>
      </c>
      <c r="W2111" t="n">
        <v>1</v>
      </c>
      <c r="X2111" t="n">
        <v>100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10815</v>
      </c>
      <c r="AG2111" t="n">
        <v>2132</v>
      </c>
      <c r="AH2111" t="inlineStr">
        <is>
          <t>PT. MENSA BINA SUKSES - PPN (JMB)</t>
        </is>
      </c>
      <c r="AI2111" t="n">
        <v>394</v>
      </c>
      <c r="AJ2111" t="inlineStr">
        <is>
          <t>LIP ICE</t>
        </is>
      </c>
      <c r="AK2111" t="n">
        <v>9</v>
      </c>
      <c r="AL2111" t="inlineStr">
        <is>
          <t>Miss Glam Jambi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LIP ICE</t>
        </is>
      </c>
      <c r="B2112" s="2">
        <f>"8992821100071"</f>
        <v/>
      </c>
      <c r="C2112" t="inlineStr">
        <is>
          <t>LIP ICE Regular Fruity Lip Balm Lemon 2.2gr</t>
        </is>
      </c>
      <c r="D2112" t="inlineStr">
        <is>
          <t>Miss Glam Jambi</t>
        </is>
      </c>
      <c r="E2112" t="n">
        <v>5</v>
      </c>
      <c r="F2112" t="n">
        <v>0.0231</v>
      </c>
      <c r="G2112" t="n">
        <v>0.33</v>
      </c>
      <c r="H2112" t="n">
        <v>4</v>
      </c>
      <c r="I2112" t="n">
        <v>15</v>
      </c>
      <c r="J2112" t="n">
        <v>3</v>
      </c>
      <c r="K2112" t="n">
        <v>0</v>
      </c>
      <c r="L2112" t="n">
        <v>20480</v>
      </c>
      <c r="M2112" t="n">
        <v>24000</v>
      </c>
      <c r="N2112" t="n">
        <v>33</v>
      </c>
      <c r="O2112" t="n">
        <v>0.33</v>
      </c>
      <c r="P2112" t="n">
        <v>1</v>
      </c>
      <c r="Q2112" t="n">
        <v>0.03</v>
      </c>
      <c r="R2112" t="n">
        <v>1</v>
      </c>
      <c r="S2112" t="n">
        <v>554.4000000000001</v>
      </c>
      <c r="T2112" t="n">
        <v>5</v>
      </c>
      <c r="U2112" t="n">
        <v>6</v>
      </c>
      <c r="V2112" t="n">
        <v>30</v>
      </c>
      <c r="W2112" t="n">
        <v>1</v>
      </c>
      <c r="X2112" t="n">
        <v>216.4502164502164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10815</v>
      </c>
      <c r="AG2112" t="n">
        <v>2132</v>
      </c>
      <c r="AH2112" t="inlineStr">
        <is>
          <t>PT. MENSA BINA SUKSES - PPN (JMB)</t>
        </is>
      </c>
      <c r="AI2112" t="n">
        <v>394</v>
      </c>
      <c r="AJ2112" t="inlineStr">
        <is>
          <t>LIP ICE</t>
        </is>
      </c>
      <c r="AK2112" t="n">
        <v>9</v>
      </c>
      <c r="AL2112" t="inlineStr">
        <is>
          <t>Miss Glam Jambi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LIP ICE</t>
        </is>
      </c>
      <c r="B2113" s="2">
        <f>"8992821101337"</f>
        <v/>
      </c>
      <c r="C2113" t="inlineStr">
        <is>
          <t>LIP ICE Sheer Color Bee Wax Strawberry 2,2gr</t>
        </is>
      </c>
      <c r="D2113" t="inlineStr">
        <is>
          <t>Miss Glam Jambi</t>
        </is>
      </c>
      <c r="E2113" t="n">
        <v>2</v>
      </c>
      <c r="F2113" t="n">
        <v>0.05</v>
      </c>
      <c r="G2113" t="n">
        <v>1</v>
      </c>
      <c r="H2113" t="n">
        <v>4</v>
      </c>
      <c r="I2113" t="n">
        <v>15</v>
      </c>
      <c r="J2113" t="n">
        <v>3</v>
      </c>
      <c r="K2113" t="n">
        <v>0</v>
      </c>
      <c r="L2113" t="n">
        <v>26214</v>
      </c>
      <c r="M2113" t="n">
        <v>33000</v>
      </c>
      <c r="N2113" t="n">
        <v>33</v>
      </c>
      <c r="O2113" t="n">
        <v>0.33</v>
      </c>
      <c r="P2113" t="n">
        <v>0</v>
      </c>
      <c r="Q2113" t="n">
        <v>0.05</v>
      </c>
      <c r="R2113" t="n">
        <v>1</v>
      </c>
      <c r="S2113" t="n">
        <v>1650</v>
      </c>
      <c r="T2113" t="n">
        <v>15</v>
      </c>
      <c r="U2113" t="n">
        <v>16</v>
      </c>
      <c r="V2113" t="n">
        <v>30</v>
      </c>
      <c r="W2113" t="n">
        <v>2</v>
      </c>
      <c r="X2113" t="n">
        <v>40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10815</v>
      </c>
      <c r="AG2113" t="n">
        <v>2132</v>
      </c>
      <c r="AH2113" t="inlineStr">
        <is>
          <t>PT. MENSA BINA SUKSES - PPN (JMB)</t>
        </is>
      </c>
      <c r="AI2113" t="n">
        <v>394</v>
      </c>
      <c r="AJ2113" t="inlineStr">
        <is>
          <t>LIP ICE</t>
        </is>
      </c>
      <c r="AK2113" t="n">
        <v>9</v>
      </c>
      <c r="AL2113" t="inlineStr">
        <is>
          <t>Miss Glam Jambi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LIP ICE</t>
        </is>
      </c>
      <c r="B2114" s="2">
        <f>"8992821102068"</f>
        <v/>
      </c>
      <c r="C2114" t="inlineStr">
        <is>
          <t>LIP ICE Sheer Color Cherry 2.2gr</t>
        </is>
      </c>
      <c r="D2114" t="inlineStr">
        <is>
          <t>Miss Glam Jambi</t>
        </is>
      </c>
      <c r="E2114" t="n">
        <v>8</v>
      </c>
      <c r="F2114" t="n">
        <v>0.07000000000000001</v>
      </c>
      <c r="G2114" t="n">
        <v>1</v>
      </c>
      <c r="H2114" t="n">
        <v>4</v>
      </c>
      <c r="I2114" t="n">
        <v>15</v>
      </c>
      <c r="J2114" t="n">
        <v>3</v>
      </c>
      <c r="K2114" t="n">
        <v>0</v>
      </c>
      <c r="L2114" t="n">
        <v>23756</v>
      </c>
      <c r="M2114" t="n">
        <v>30000</v>
      </c>
      <c r="N2114" t="n">
        <v>33</v>
      </c>
      <c r="O2114" t="n">
        <v>0.33</v>
      </c>
      <c r="P2114" t="n">
        <v>0</v>
      </c>
      <c r="Q2114" t="n">
        <v>0.07000000000000001</v>
      </c>
      <c r="R2114" t="n">
        <v>1</v>
      </c>
      <c r="S2114" t="n">
        <v>2100</v>
      </c>
      <c r="T2114" t="n">
        <v>15</v>
      </c>
      <c r="U2114" t="n">
        <v>16</v>
      </c>
      <c r="V2114" t="n">
        <v>30</v>
      </c>
      <c r="W2114" t="n">
        <v>3</v>
      </c>
      <c r="X2114" t="n">
        <v>114.2857142857143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10815</v>
      </c>
      <c r="AG2114" t="n">
        <v>2132</v>
      </c>
      <c r="AH2114" t="inlineStr">
        <is>
          <t>PT. MENSA BINA SUKSES - PPN (JMB)</t>
        </is>
      </c>
      <c r="AI2114" t="n">
        <v>394</v>
      </c>
      <c r="AJ2114" t="inlineStr">
        <is>
          <t>LIP ICE</t>
        </is>
      </c>
      <c r="AK2114" t="n">
        <v>9</v>
      </c>
      <c r="AL2114" t="inlineStr">
        <is>
          <t>Miss Glam Jambi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LIP ICE</t>
        </is>
      </c>
      <c r="B2115" s="2">
        <f>"8992821100088"</f>
        <v/>
      </c>
      <c r="C2115" t="inlineStr">
        <is>
          <t>LIP ICE Sheer Color Natural 2.2g</t>
        </is>
      </c>
      <c r="D2115" t="inlineStr">
        <is>
          <t>Miss Glam Jambi</t>
        </is>
      </c>
      <c r="E2115" t="n">
        <v>8</v>
      </c>
      <c r="F2115" t="n">
        <v>0.3696</v>
      </c>
      <c r="G2115" t="n">
        <v>1.32</v>
      </c>
      <c r="H2115" t="n">
        <v>4</v>
      </c>
      <c r="I2115" t="n">
        <v>15</v>
      </c>
      <c r="J2115" t="n">
        <v>3</v>
      </c>
      <c r="K2115" t="n">
        <v>4</v>
      </c>
      <c r="L2115" t="n">
        <v>23756</v>
      </c>
      <c r="M2115" t="n">
        <v>29000</v>
      </c>
      <c r="N2115" t="n">
        <v>33</v>
      </c>
      <c r="O2115" t="n">
        <v>0.33</v>
      </c>
      <c r="P2115" t="n">
        <v>1</v>
      </c>
      <c r="Q2115" t="n">
        <v>0.12</v>
      </c>
      <c r="R2115" t="n">
        <v>2</v>
      </c>
      <c r="S2115" t="n">
        <v>10718.4</v>
      </c>
      <c r="T2115" t="n">
        <v>19</v>
      </c>
      <c r="U2115" t="n">
        <v>21</v>
      </c>
      <c r="V2115" t="n">
        <v>30</v>
      </c>
      <c r="W2115" t="n">
        <v>12</v>
      </c>
      <c r="X2115" t="n">
        <v>21.64502164502164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10815</v>
      </c>
      <c r="AG2115" t="n">
        <v>2132</v>
      </c>
      <c r="AH2115" t="inlineStr">
        <is>
          <t>PT. MENSA BINA SUKSES - PPN (JMB)</t>
        </is>
      </c>
      <c r="AI2115" t="n">
        <v>394</v>
      </c>
      <c r="AJ2115" t="inlineStr">
        <is>
          <t>LIP ICE</t>
        </is>
      </c>
      <c r="AK2115" t="n">
        <v>9</v>
      </c>
      <c r="AL2115" t="inlineStr">
        <is>
          <t>Miss Glam Jambi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LIP ICE</t>
        </is>
      </c>
      <c r="B2116" s="2">
        <f>"8992821100163"</f>
        <v/>
      </c>
      <c r="C2116" t="inlineStr">
        <is>
          <t>LIP ICE Sheer Color Strawberry 2.2gr</t>
        </is>
      </c>
      <c r="D2116" t="inlineStr">
        <is>
          <t>Miss Glam Jambi</t>
        </is>
      </c>
      <c r="E2116" t="n">
        <v>6</v>
      </c>
      <c r="F2116" t="n">
        <v>0.1221</v>
      </c>
      <c r="G2116" t="n">
        <v>0.66</v>
      </c>
      <c r="H2116" t="n">
        <v>4</v>
      </c>
      <c r="I2116" t="n">
        <v>15</v>
      </c>
      <c r="J2116" t="n">
        <v>3</v>
      </c>
      <c r="K2116" t="n">
        <v>0</v>
      </c>
      <c r="L2116" t="n">
        <v>23756</v>
      </c>
      <c r="M2116" t="n">
        <v>30000</v>
      </c>
      <c r="N2116" t="n">
        <v>33</v>
      </c>
      <c r="O2116" t="n">
        <v>0.33</v>
      </c>
      <c r="P2116" t="n">
        <v>1</v>
      </c>
      <c r="Q2116" t="n">
        <v>0.2</v>
      </c>
      <c r="R2116" t="n">
        <v>1</v>
      </c>
      <c r="S2116" t="n">
        <v>3663</v>
      </c>
      <c r="T2116" t="n">
        <v>10</v>
      </c>
      <c r="U2116" t="n">
        <v>11</v>
      </c>
      <c r="V2116" t="n">
        <v>30</v>
      </c>
      <c r="W2116" t="n">
        <v>4</v>
      </c>
      <c r="X2116" t="n">
        <v>49.14004914004914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10815</v>
      </c>
      <c r="AG2116" t="n">
        <v>2132</v>
      </c>
      <c r="AH2116" t="inlineStr">
        <is>
          <t>PT. MENSA BINA SUKSES - PPN (JMB)</t>
        </is>
      </c>
      <c r="AI2116" t="n">
        <v>394</v>
      </c>
      <c r="AJ2116" t="inlineStr">
        <is>
          <t>LIP ICE</t>
        </is>
      </c>
      <c r="AK2116" t="n">
        <v>9</v>
      </c>
      <c r="AL2116" t="inlineStr">
        <is>
          <t>Miss Glam Jambi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LIP ICE</t>
        </is>
      </c>
      <c r="B2117" s="2">
        <f>"8992821100149"</f>
        <v/>
      </c>
      <c r="C2117" t="inlineStr">
        <is>
          <t>LIP ICE Sheer Colour Apple 2g</t>
        </is>
      </c>
      <c r="D2117" t="inlineStr">
        <is>
          <t>Miss Glam Jambi</t>
        </is>
      </c>
      <c r="E2117" t="n">
        <v>9</v>
      </c>
      <c r="F2117" t="n">
        <v>0.009900000000000001</v>
      </c>
      <c r="G2117" t="n">
        <v>0.33</v>
      </c>
      <c r="H2117" t="n">
        <v>4</v>
      </c>
      <c r="I2117" t="n">
        <v>15</v>
      </c>
      <c r="J2117" t="n">
        <v>3</v>
      </c>
      <c r="K2117" t="n">
        <v>0</v>
      </c>
      <c r="L2117" t="n">
        <v>23756</v>
      </c>
      <c r="M2117" t="n">
        <v>30000</v>
      </c>
      <c r="N2117" t="n">
        <v>33</v>
      </c>
      <c r="O2117" t="n">
        <v>0.33</v>
      </c>
      <c r="P2117" t="n">
        <v>1</v>
      </c>
      <c r="Q2117" t="n">
        <v>0.05</v>
      </c>
      <c r="R2117" t="n">
        <v>1</v>
      </c>
      <c r="S2117" t="n">
        <v>297</v>
      </c>
      <c r="T2117" t="n">
        <v>5</v>
      </c>
      <c r="U2117" t="n">
        <v>6</v>
      </c>
      <c r="V2117" t="n">
        <v>30</v>
      </c>
      <c r="W2117" t="n">
        <v>1</v>
      </c>
      <c r="X2117" t="n">
        <v>909.090909090909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10815</v>
      </c>
      <c r="AG2117" t="n">
        <v>2132</v>
      </c>
      <c r="AH2117" t="inlineStr">
        <is>
          <t>PT. MENSA BINA SUKSES - PPN (JMB)</t>
        </is>
      </c>
      <c r="AI2117" t="n">
        <v>394</v>
      </c>
      <c r="AJ2117" t="inlineStr">
        <is>
          <t>LIP ICE</t>
        </is>
      </c>
      <c r="AK2117" t="n">
        <v>9</v>
      </c>
      <c r="AL2117" t="inlineStr">
        <is>
          <t>Miss Glam Jambi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LIP ICE</t>
        </is>
      </c>
      <c r="B2118" s="2">
        <f>"8992821103645"</f>
        <v/>
      </c>
      <c r="C2118" t="inlineStr">
        <is>
          <t>LIP ICE Sport Sunscreen Lip</t>
        </is>
      </c>
      <c r="D2118" t="inlineStr">
        <is>
          <t>Miss Glam Jambi</t>
        </is>
      </c>
      <c r="E2118" t="n">
        <v>11</v>
      </c>
      <c r="F2118" t="n">
        <v>0.1122</v>
      </c>
      <c r="G2118" t="n">
        <v>1.32</v>
      </c>
      <c r="H2118" t="n">
        <v>4</v>
      </c>
      <c r="I2118" t="n">
        <v>15</v>
      </c>
      <c r="J2118" t="n">
        <v>3</v>
      </c>
      <c r="K2118" t="n">
        <v>0</v>
      </c>
      <c r="L2118" t="n">
        <v>32767</v>
      </c>
      <c r="M2118" t="n">
        <v>40000</v>
      </c>
      <c r="N2118" t="n">
        <v>33</v>
      </c>
      <c r="O2118" t="n">
        <v>0.33</v>
      </c>
      <c r="P2118" t="n">
        <v>1</v>
      </c>
      <c r="Q2118" t="n">
        <v>0.08</v>
      </c>
      <c r="R2118" t="n">
        <v>2</v>
      </c>
      <c r="S2118" t="n">
        <v>4488</v>
      </c>
      <c r="T2118" t="n">
        <v>20</v>
      </c>
      <c r="U2118" t="n">
        <v>21</v>
      </c>
      <c r="V2118" t="n">
        <v>30</v>
      </c>
      <c r="W2118" t="n">
        <v>4</v>
      </c>
      <c r="X2118" t="n">
        <v>98.0392156862745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10815</v>
      </c>
      <c r="AG2118" t="n">
        <v>2132</v>
      </c>
      <c r="AH2118" t="inlineStr">
        <is>
          <t>PT. MENSA BINA SUKSES - PPN (JMB)</t>
        </is>
      </c>
      <c r="AI2118" t="n">
        <v>394</v>
      </c>
      <c r="AJ2118" t="inlineStr">
        <is>
          <t>LIP ICE</t>
        </is>
      </c>
      <c r="AK2118" t="n">
        <v>9</v>
      </c>
      <c r="AL2118" t="inlineStr">
        <is>
          <t>Miss Glam Jambi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LOREAL</t>
        </is>
      </c>
      <c r="B2119" s="2">
        <f>"8994993020362"</f>
        <v/>
      </c>
      <c r="C2119" t="inlineStr">
        <is>
          <t>LOREAL Glycolic Bright Dark Circle Eye Serum 20ml</t>
        </is>
      </c>
      <c r="D2119" t="inlineStr">
        <is>
          <t>Miss Glam Jambi</t>
        </is>
      </c>
      <c r="E2119" t="n">
        <v>3</v>
      </c>
      <c r="F2119" t="n">
        <v>0.02</v>
      </c>
      <c r="G2119" t="n">
        <v>1</v>
      </c>
      <c r="H2119" t="n">
        <v>4</v>
      </c>
      <c r="I2119" t="n">
        <v>15</v>
      </c>
      <c r="J2119" t="n">
        <v>3</v>
      </c>
      <c r="K2119" t="n">
        <v>0</v>
      </c>
      <c r="L2119" t="n">
        <v>123677</v>
      </c>
      <c r="M2119" t="n">
        <v>155000</v>
      </c>
      <c r="N2119" t="n">
        <v>33</v>
      </c>
      <c r="O2119" t="n">
        <v>0.33</v>
      </c>
      <c r="P2119" t="n">
        <v>0</v>
      </c>
      <c r="Q2119" t="n">
        <v>0.02</v>
      </c>
      <c r="R2119" t="n">
        <v>1</v>
      </c>
      <c r="S2119" t="n">
        <v>3100</v>
      </c>
      <c r="T2119" t="n">
        <v>15</v>
      </c>
      <c r="U2119" t="n">
        <v>16</v>
      </c>
      <c r="V2119" t="n">
        <v>30</v>
      </c>
      <c r="W2119" t="n">
        <v>1</v>
      </c>
      <c r="X2119" t="n">
        <v>150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10819</v>
      </c>
      <c r="AG2119" t="n">
        <v>2132</v>
      </c>
      <c r="AH2119" t="inlineStr">
        <is>
          <t>PT. MENSA BINA SUKSES - PPN (JMB)</t>
        </is>
      </c>
      <c r="AI2119" t="n">
        <v>300</v>
      </c>
      <c r="AJ2119" t="inlineStr">
        <is>
          <t>LOREAL</t>
        </is>
      </c>
      <c r="AK2119" t="n">
        <v>9</v>
      </c>
      <c r="AL2119" t="inlineStr">
        <is>
          <t>Miss Glam Jambi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LOREAL</t>
        </is>
      </c>
      <c r="B2120" s="2">
        <f>"8994993016532"</f>
        <v/>
      </c>
      <c r="C2120" t="inlineStr">
        <is>
          <t>LOREAL Glycolic Bright Glowing Daily Cleanser Foam 100ml</t>
        </is>
      </c>
      <c r="D2120" t="inlineStr">
        <is>
          <t>Miss Glam Jambi</t>
        </is>
      </c>
      <c r="E2120" t="n">
        <v>3</v>
      </c>
      <c r="F2120" t="n">
        <v>0.006600000000000001</v>
      </c>
      <c r="G2120" t="n">
        <v>0.33</v>
      </c>
      <c r="H2120" t="n">
        <v>4</v>
      </c>
      <c r="I2120" t="n">
        <v>15</v>
      </c>
      <c r="J2120" t="n">
        <v>3</v>
      </c>
      <c r="K2120" t="n">
        <v>0</v>
      </c>
      <c r="L2120" t="n">
        <v>51089</v>
      </c>
      <c r="M2120" t="n">
        <v>67000</v>
      </c>
      <c r="N2120" t="n">
        <v>33</v>
      </c>
      <c r="O2120" t="n">
        <v>0.33</v>
      </c>
      <c r="P2120" t="n">
        <v>1</v>
      </c>
      <c r="Q2120" t="n">
        <v>0.12</v>
      </c>
      <c r="R2120" t="n">
        <v>1</v>
      </c>
      <c r="S2120" t="n">
        <v>442.2</v>
      </c>
      <c r="T2120" t="n">
        <v>5</v>
      </c>
      <c r="U2120" t="n">
        <v>6</v>
      </c>
      <c r="V2120" t="n">
        <v>30</v>
      </c>
      <c r="W2120" t="n">
        <v>1</v>
      </c>
      <c r="X2120" t="n">
        <v>454.5454545454545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10819</v>
      </c>
      <c r="AG2120" t="n">
        <v>2132</v>
      </c>
      <c r="AH2120" t="inlineStr">
        <is>
          <t>PT. MENSA BINA SUKSES - PPN (JMB)</t>
        </is>
      </c>
      <c r="AI2120" t="n">
        <v>300</v>
      </c>
      <c r="AJ2120" t="inlineStr">
        <is>
          <t>LOREAL</t>
        </is>
      </c>
      <c r="AK2120" t="n">
        <v>9</v>
      </c>
      <c r="AL2120" t="inlineStr">
        <is>
          <t>Miss Glam Jambi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LOREAL</t>
        </is>
      </c>
      <c r="B2121" s="2">
        <f>"8994993016518"</f>
        <v/>
      </c>
      <c r="C2121" t="inlineStr">
        <is>
          <t>LOREAL Glycolic Bright Glowing Day Cream SPF 30 15ml</t>
        </is>
      </c>
      <c r="D2121" t="inlineStr">
        <is>
          <t>Miss Glam Jambi</t>
        </is>
      </c>
      <c r="E2121" t="n">
        <v>7</v>
      </c>
      <c r="F2121" t="n">
        <v>0.07000000000000001</v>
      </c>
      <c r="G2121" t="n">
        <v>1</v>
      </c>
      <c r="H2121" t="n">
        <v>4</v>
      </c>
      <c r="I2121" t="n">
        <v>15</v>
      </c>
      <c r="J2121" t="n">
        <v>3</v>
      </c>
      <c r="K2121" t="n">
        <v>0</v>
      </c>
      <c r="L2121" t="n">
        <v>68449</v>
      </c>
      <c r="M2121" t="n">
        <v>85000</v>
      </c>
      <c r="N2121" t="n">
        <v>33</v>
      </c>
      <c r="O2121" t="n">
        <v>0.33</v>
      </c>
      <c r="P2121" t="n">
        <v>0</v>
      </c>
      <c r="Q2121" t="n">
        <v>0.07000000000000001</v>
      </c>
      <c r="R2121" t="n">
        <v>1</v>
      </c>
      <c r="S2121" t="n">
        <v>5950.000000000001</v>
      </c>
      <c r="T2121" t="n">
        <v>15</v>
      </c>
      <c r="U2121" t="n">
        <v>16</v>
      </c>
      <c r="V2121" t="n">
        <v>30</v>
      </c>
      <c r="W2121" t="n">
        <v>3</v>
      </c>
      <c r="X2121" t="n">
        <v>99.99999999999999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10819</v>
      </c>
      <c r="AG2121" t="n">
        <v>2132</v>
      </c>
      <c r="AH2121" t="inlineStr">
        <is>
          <t>PT. MENSA BINA SUKSES - PPN (JMB)</t>
        </is>
      </c>
      <c r="AI2121" t="n">
        <v>300</v>
      </c>
      <c r="AJ2121" t="inlineStr">
        <is>
          <t>LOREAL</t>
        </is>
      </c>
      <c r="AK2121" t="n">
        <v>9</v>
      </c>
      <c r="AL2121" t="inlineStr">
        <is>
          <t>Miss Glam Jambi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LOREAL</t>
        </is>
      </c>
      <c r="B2122" s="2">
        <f>"8994993016556"</f>
        <v/>
      </c>
      <c r="C2122" t="inlineStr">
        <is>
          <t>LOREAL Glycolic Bright Glowing Night Cream 15ml</t>
        </is>
      </c>
      <c r="D2122" t="inlineStr">
        <is>
          <t>Miss Glam Jambi</t>
        </is>
      </c>
      <c r="E2122" t="n">
        <v>0</v>
      </c>
      <c r="F2122" t="n">
        <v>0.0264</v>
      </c>
      <c r="G2122" t="n">
        <v>0.33</v>
      </c>
      <c r="H2122" t="n">
        <v>4</v>
      </c>
      <c r="I2122" t="n">
        <v>15</v>
      </c>
      <c r="J2122" t="n">
        <v>3</v>
      </c>
      <c r="K2122" t="n">
        <v>0</v>
      </c>
      <c r="L2122" t="n">
        <v>56768</v>
      </c>
      <c r="M2122" t="n">
        <v>85000</v>
      </c>
      <c r="N2122" t="n">
        <v>33</v>
      </c>
      <c r="O2122" t="n">
        <v>0.33</v>
      </c>
      <c r="P2122" t="n">
        <v>1</v>
      </c>
      <c r="Q2122" t="n">
        <v>0.05</v>
      </c>
      <c r="R2122" t="n">
        <v>1</v>
      </c>
      <c r="S2122" t="n">
        <v>2244</v>
      </c>
      <c r="T2122" t="n">
        <v>5</v>
      </c>
      <c r="U2122" t="n">
        <v>6</v>
      </c>
      <c r="V2122" t="n">
        <v>30</v>
      </c>
      <c r="W2122" t="n">
        <v>1</v>
      </c>
      <c r="X2122" t="n">
        <v>0</v>
      </c>
      <c r="Y2122" t="n">
        <v>1</v>
      </c>
      <c r="Z2122" t="n">
        <v>1</v>
      </c>
      <c r="AA2122" t="n">
        <v>1</v>
      </c>
      <c r="AB2122" t="n">
        <v>0</v>
      </c>
      <c r="AC2122" t="n">
        <v>0</v>
      </c>
      <c r="AD2122" t="n">
        <v>56768</v>
      </c>
      <c r="AE2122" t="n">
        <v>0</v>
      </c>
      <c r="AF2122" t="n">
        <v>10819</v>
      </c>
      <c r="AG2122" t="n">
        <v>2132</v>
      </c>
      <c r="AH2122" t="inlineStr">
        <is>
          <t>PT. MENSA BINA SUKSES - PPN (JMB)</t>
        </is>
      </c>
      <c r="AI2122" t="n">
        <v>300</v>
      </c>
      <c r="AJ2122" t="inlineStr">
        <is>
          <t>LOREAL</t>
        </is>
      </c>
      <c r="AK2122" t="n">
        <v>9</v>
      </c>
      <c r="AL2122" t="inlineStr">
        <is>
          <t>Miss Glam Jambi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LOREAL</t>
        </is>
      </c>
      <c r="B2123" s="2">
        <f>"8994993016563"</f>
        <v/>
      </c>
      <c r="C2123" t="inlineStr">
        <is>
          <t>LOREAL Glycolic Bright Glowing Night Cream 50ml</t>
        </is>
      </c>
      <c r="D2123" t="inlineStr">
        <is>
          <t>Miss Glam Jambi</t>
        </is>
      </c>
      <c r="E2123" t="n">
        <v>2</v>
      </c>
      <c r="F2123" t="n">
        <v>0.006600000000000001</v>
      </c>
      <c r="G2123" t="n">
        <v>0.33</v>
      </c>
      <c r="H2123" t="n">
        <v>4</v>
      </c>
      <c r="I2123" t="n">
        <v>15</v>
      </c>
      <c r="J2123" t="n">
        <v>3</v>
      </c>
      <c r="K2123" t="n">
        <v>0</v>
      </c>
      <c r="L2123" t="n">
        <v>150995</v>
      </c>
      <c r="M2123" t="n">
        <v>209000</v>
      </c>
      <c r="N2123" t="n">
        <v>33</v>
      </c>
      <c r="O2123" t="n">
        <v>0.33</v>
      </c>
      <c r="P2123" t="n">
        <v>1</v>
      </c>
      <c r="Q2123" t="n">
        <v>0.03</v>
      </c>
      <c r="R2123" t="n">
        <v>1</v>
      </c>
      <c r="S2123" t="n">
        <v>1379.4</v>
      </c>
      <c r="T2123" t="n">
        <v>5</v>
      </c>
      <c r="U2123" t="n">
        <v>6</v>
      </c>
      <c r="V2123" t="n">
        <v>30</v>
      </c>
      <c r="W2123" t="n">
        <v>1</v>
      </c>
      <c r="X2123" t="n">
        <v>303.030303030303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10819</v>
      </c>
      <c r="AG2123" t="n">
        <v>2132</v>
      </c>
      <c r="AH2123" t="inlineStr">
        <is>
          <t>PT. MENSA BINA SUKSES - PPN (JMB)</t>
        </is>
      </c>
      <c r="AI2123" t="n">
        <v>300</v>
      </c>
      <c r="AJ2123" t="inlineStr">
        <is>
          <t>LOREAL</t>
        </is>
      </c>
      <c r="AK2123" t="n">
        <v>9</v>
      </c>
      <c r="AL2123" t="inlineStr">
        <is>
          <t>Miss Glam Jambi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LOREAL</t>
        </is>
      </c>
      <c r="B2124" s="2">
        <f>"6941594509170"</f>
        <v/>
      </c>
      <c r="C2124" t="inlineStr">
        <is>
          <t>LOREAL Glycolic Bright Glowing Peeling Toner 65ml</t>
        </is>
      </c>
      <c r="D2124" t="inlineStr">
        <is>
          <t>Miss Glam Jambi</t>
        </is>
      </c>
      <c r="E2124" t="n">
        <v>3</v>
      </c>
      <c r="F2124" t="n">
        <v>0.006600000000000001</v>
      </c>
      <c r="G2124" t="n">
        <v>0.33</v>
      </c>
      <c r="H2124" t="n">
        <v>4</v>
      </c>
      <c r="I2124" t="n">
        <v>15</v>
      </c>
      <c r="J2124" t="n">
        <v>3</v>
      </c>
      <c r="K2124" t="n">
        <v>0</v>
      </c>
      <c r="L2124" t="n">
        <v>103747</v>
      </c>
      <c r="M2124" t="n">
        <v>130000</v>
      </c>
      <c r="N2124" t="n">
        <v>33</v>
      </c>
      <c r="O2124" t="n">
        <v>0.33</v>
      </c>
      <c r="P2124" t="n">
        <v>1</v>
      </c>
      <c r="Q2124" t="n">
        <v>0.03</v>
      </c>
      <c r="R2124" t="n">
        <v>1</v>
      </c>
      <c r="S2124" t="n">
        <v>858.0000000000001</v>
      </c>
      <c r="T2124" t="n">
        <v>5</v>
      </c>
      <c r="U2124" t="n">
        <v>6</v>
      </c>
      <c r="V2124" t="n">
        <v>30</v>
      </c>
      <c r="W2124" t="n">
        <v>1</v>
      </c>
      <c r="X2124" t="n">
        <v>454.5454545454545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10819</v>
      </c>
      <c r="AG2124" t="n">
        <v>2132</v>
      </c>
      <c r="AH2124" t="inlineStr">
        <is>
          <t>PT. MENSA BINA SUKSES - PPN (JMB)</t>
        </is>
      </c>
      <c r="AI2124" t="n">
        <v>300</v>
      </c>
      <c r="AJ2124" t="inlineStr">
        <is>
          <t>LOREAL</t>
        </is>
      </c>
      <c r="AK2124" t="n">
        <v>9</v>
      </c>
      <c r="AL2124" t="inlineStr">
        <is>
          <t>Miss Glam Jambi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LOREAL</t>
        </is>
      </c>
      <c r="B2125" s="2">
        <f>"8994993016587"</f>
        <v/>
      </c>
      <c r="C2125" t="inlineStr">
        <is>
          <t>LOREAL Glycolic Bright Instant Glowing Serum 30ml</t>
        </is>
      </c>
      <c r="D2125" t="inlineStr">
        <is>
          <t>Miss Glam Jambi</t>
        </is>
      </c>
      <c r="E2125" t="n">
        <v>2</v>
      </c>
      <c r="F2125" t="n">
        <v>0.0231</v>
      </c>
      <c r="G2125" t="n">
        <v>0.66</v>
      </c>
      <c r="H2125" t="n">
        <v>4</v>
      </c>
      <c r="I2125" t="n">
        <v>15</v>
      </c>
      <c r="J2125" t="n">
        <v>3</v>
      </c>
      <c r="K2125" t="n">
        <v>0</v>
      </c>
      <c r="L2125" t="n">
        <v>169255</v>
      </c>
      <c r="M2125" t="n">
        <v>212000</v>
      </c>
      <c r="N2125" t="n">
        <v>33</v>
      </c>
      <c r="O2125" t="n">
        <v>0.33</v>
      </c>
      <c r="P2125" t="n">
        <v>1</v>
      </c>
      <c r="Q2125" t="n">
        <v>0.03</v>
      </c>
      <c r="R2125" t="n">
        <v>1</v>
      </c>
      <c r="S2125" t="n">
        <v>4897.200000000001</v>
      </c>
      <c r="T2125" t="n">
        <v>10</v>
      </c>
      <c r="U2125" t="n">
        <v>11</v>
      </c>
      <c r="V2125" t="n">
        <v>30</v>
      </c>
      <c r="W2125" t="n">
        <v>1</v>
      </c>
      <c r="X2125" t="n">
        <v>86.58008658008657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10819</v>
      </c>
      <c r="AG2125" t="n">
        <v>2132</v>
      </c>
      <c r="AH2125" t="inlineStr">
        <is>
          <t>PT. MENSA BINA SUKSES - PPN (JMB)</t>
        </is>
      </c>
      <c r="AI2125" t="n">
        <v>300</v>
      </c>
      <c r="AJ2125" t="inlineStr">
        <is>
          <t>LOREAL</t>
        </is>
      </c>
      <c r="AK2125" t="n">
        <v>9</v>
      </c>
      <c r="AL2125" t="inlineStr">
        <is>
          <t>Miss Glam Jambi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LOREAL</t>
        </is>
      </c>
      <c r="B2126" s="2">
        <f>"20100183312"</f>
        <v/>
      </c>
      <c r="C2126" t="inlineStr">
        <is>
          <t>LOREAL Infallible 24h Tinted Serum 1-2 Rosy Light 30ml</t>
        </is>
      </c>
      <c r="D2126" t="inlineStr">
        <is>
          <t>Miss Glam Jambi</t>
        </is>
      </c>
      <c r="E2126" t="n">
        <v>1</v>
      </c>
      <c r="F2126" t="n">
        <v>0.03</v>
      </c>
      <c r="G2126" t="n">
        <v>1</v>
      </c>
      <c r="H2126" t="n">
        <v>4</v>
      </c>
      <c r="I2126" t="n">
        <v>15</v>
      </c>
      <c r="J2126" t="n">
        <v>1</v>
      </c>
      <c r="K2126" t="n">
        <v>0</v>
      </c>
      <c r="L2126" t="n">
        <v>136911</v>
      </c>
      <c r="M2126" t="n">
        <v>145000</v>
      </c>
      <c r="N2126" t="n">
        <v>33</v>
      </c>
      <c r="O2126" t="n">
        <v>0.33</v>
      </c>
      <c r="P2126" t="n">
        <v>0</v>
      </c>
      <c r="Q2126" t="n">
        <v>0.03</v>
      </c>
      <c r="R2126" t="n">
        <v>1</v>
      </c>
      <c r="S2126" t="n">
        <v>4350</v>
      </c>
      <c r="T2126" t="n">
        <v>15</v>
      </c>
      <c r="U2126" t="n">
        <v>16</v>
      </c>
      <c r="V2126" t="n">
        <v>30</v>
      </c>
      <c r="W2126" t="n">
        <v>1</v>
      </c>
      <c r="X2126" t="n">
        <v>33.33333333333334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10819</v>
      </c>
      <c r="AG2126" t="n">
        <v>2132</v>
      </c>
      <c r="AH2126" t="inlineStr">
        <is>
          <t>PT. MENSA BINA SUKSES - PPN (JMB)</t>
        </is>
      </c>
      <c r="AI2126" t="n">
        <v>300</v>
      </c>
      <c r="AJ2126" t="inlineStr">
        <is>
          <t>LOREAL</t>
        </is>
      </c>
      <c r="AK2126" t="n">
        <v>9</v>
      </c>
      <c r="AL2126" t="inlineStr">
        <is>
          <t>Miss Glam Jambi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LOREAL</t>
        </is>
      </c>
      <c r="B2127" s="2">
        <f>"6902395853275"</f>
        <v/>
      </c>
      <c r="C2127" t="inlineStr">
        <is>
          <t>LOREAL Infallible Matte Resistance 115 Snooze Your Alarm 5ml</t>
        </is>
      </c>
      <c r="D2127" t="inlineStr">
        <is>
          <t>Miss Glam Jambi</t>
        </is>
      </c>
      <c r="E2127" t="n">
        <v>8</v>
      </c>
      <c r="F2127" t="n">
        <v>0.0825</v>
      </c>
      <c r="G2127" t="n">
        <v>0.33</v>
      </c>
      <c r="H2127" t="n">
        <v>4</v>
      </c>
      <c r="I2127" t="n">
        <v>15</v>
      </c>
      <c r="J2127" t="n">
        <v>3</v>
      </c>
      <c r="K2127" t="n">
        <v>0</v>
      </c>
      <c r="L2127" t="n">
        <v>106412</v>
      </c>
      <c r="M2127" t="n">
        <v>149000</v>
      </c>
      <c r="N2127" t="n">
        <v>33</v>
      </c>
      <c r="O2127" t="n">
        <v>0.33</v>
      </c>
      <c r="P2127" t="n">
        <v>1</v>
      </c>
      <c r="Q2127" t="n">
        <v>0.19</v>
      </c>
      <c r="R2127" t="n">
        <v>2</v>
      </c>
      <c r="S2127" t="n">
        <v>12292.5</v>
      </c>
      <c r="T2127" t="n">
        <v>5</v>
      </c>
      <c r="U2127" t="n">
        <v>6</v>
      </c>
      <c r="V2127" t="n">
        <v>30</v>
      </c>
      <c r="W2127" t="n">
        <v>3</v>
      </c>
      <c r="X2127" t="n">
        <v>96.96969696969697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10819</v>
      </c>
      <c r="AG2127" t="n">
        <v>2132</v>
      </c>
      <c r="AH2127" t="inlineStr">
        <is>
          <t>PT. MENSA BINA SUKSES - PPN (JMB)</t>
        </is>
      </c>
      <c r="AI2127" t="n">
        <v>300</v>
      </c>
      <c r="AJ2127" t="inlineStr">
        <is>
          <t>LOREAL</t>
        </is>
      </c>
      <c r="AK2127" t="n">
        <v>9</v>
      </c>
      <c r="AL2127" t="inlineStr">
        <is>
          <t>Miss Glam Jambi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LOREAL</t>
        </is>
      </c>
      <c r="B2128" s="2">
        <f>"6902395853282"</f>
        <v/>
      </c>
      <c r="C2128" t="inlineStr">
        <is>
          <t>LOREAL Infallible Matte Resistance 120 Major Crush 5ml</t>
        </is>
      </c>
      <c r="D2128" t="inlineStr">
        <is>
          <t>Miss Glam Jambi</t>
        </is>
      </c>
      <c r="E2128" t="n">
        <v>1</v>
      </c>
      <c r="F2128" t="n">
        <v>0.0264</v>
      </c>
      <c r="G2128" t="n">
        <v>0.33</v>
      </c>
      <c r="H2128" t="n">
        <v>4</v>
      </c>
      <c r="I2128" t="n">
        <v>15</v>
      </c>
      <c r="J2128" t="n">
        <v>3</v>
      </c>
      <c r="K2128" t="n">
        <v>0</v>
      </c>
      <c r="L2128" t="n">
        <v>104290</v>
      </c>
      <c r="M2128" t="n">
        <v>149000</v>
      </c>
      <c r="N2128" t="n">
        <v>33</v>
      </c>
      <c r="O2128" t="n">
        <v>0.33</v>
      </c>
      <c r="P2128" t="n">
        <v>1</v>
      </c>
      <c r="Q2128" t="n">
        <v>0.02</v>
      </c>
      <c r="R2128" t="n">
        <v>1</v>
      </c>
      <c r="S2128" t="n">
        <v>3933.6</v>
      </c>
      <c r="T2128" t="n">
        <v>5</v>
      </c>
      <c r="U2128" t="n">
        <v>6</v>
      </c>
      <c r="V2128" t="n">
        <v>30</v>
      </c>
      <c r="W2128" t="n">
        <v>1</v>
      </c>
      <c r="X2128" t="n">
        <v>37.87878787878788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10819</v>
      </c>
      <c r="AG2128" t="n">
        <v>2132</v>
      </c>
      <c r="AH2128" t="inlineStr">
        <is>
          <t>PT. MENSA BINA SUKSES - PPN (JMB)</t>
        </is>
      </c>
      <c r="AI2128" t="n">
        <v>300</v>
      </c>
      <c r="AJ2128" t="inlineStr">
        <is>
          <t>LOREAL</t>
        </is>
      </c>
      <c r="AK2128" t="n">
        <v>9</v>
      </c>
      <c r="AL2128" t="inlineStr">
        <is>
          <t>Miss Glam Jambi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LOREAL</t>
        </is>
      </c>
      <c r="B2129" s="2">
        <f>"6902395853299"</f>
        <v/>
      </c>
      <c r="C2129" t="inlineStr">
        <is>
          <t>LOREAL Infallible Matte Resistance 150 Lazy Sunday 5ml</t>
        </is>
      </c>
      <c r="D2129" t="inlineStr">
        <is>
          <t>Miss Glam Jambi</t>
        </is>
      </c>
      <c r="E2129" t="n">
        <v>3</v>
      </c>
      <c r="F2129" t="n">
        <v>0.02</v>
      </c>
      <c r="G2129" t="n">
        <v>1</v>
      </c>
      <c r="H2129" t="n">
        <v>4</v>
      </c>
      <c r="I2129" t="n">
        <v>15</v>
      </c>
      <c r="J2129" t="n">
        <v>3</v>
      </c>
      <c r="K2129" t="n">
        <v>0</v>
      </c>
      <c r="L2129" t="n">
        <v>110392</v>
      </c>
      <c r="M2129" t="n">
        <v>149000</v>
      </c>
      <c r="N2129" t="n">
        <v>33</v>
      </c>
      <c r="O2129" t="n">
        <v>0.33</v>
      </c>
      <c r="P2129" t="n">
        <v>0</v>
      </c>
      <c r="Q2129" t="n">
        <v>0.02</v>
      </c>
      <c r="R2129" t="n">
        <v>1</v>
      </c>
      <c r="S2129" t="n">
        <v>2980</v>
      </c>
      <c r="T2129" t="n">
        <v>15</v>
      </c>
      <c r="U2129" t="n">
        <v>16</v>
      </c>
      <c r="V2129" t="n">
        <v>30</v>
      </c>
      <c r="W2129" t="n">
        <v>1</v>
      </c>
      <c r="X2129" t="n">
        <v>150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10819</v>
      </c>
      <c r="AG2129" t="n">
        <v>2132</v>
      </c>
      <c r="AH2129" t="inlineStr">
        <is>
          <t>PT. MENSA BINA SUKSES - PPN (JMB)</t>
        </is>
      </c>
      <c r="AI2129" t="n">
        <v>300</v>
      </c>
      <c r="AJ2129" t="inlineStr">
        <is>
          <t>LOREAL</t>
        </is>
      </c>
      <c r="AK2129" t="n">
        <v>9</v>
      </c>
      <c r="AL2129" t="inlineStr">
        <is>
          <t>Miss Glam Jambi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LOREAL</t>
        </is>
      </c>
      <c r="B2130" s="2">
        <f>"6902395853305"</f>
        <v/>
      </c>
      <c r="C2130" t="inlineStr">
        <is>
          <t>LOREAL Infallible Matte Resistance 210 Tropical Vacay 5ml</t>
        </is>
      </c>
      <c r="D2130" t="inlineStr">
        <is>
          <t>Miss Glam Jambi</t>
        </is>
      </c>
      <c r="E2130" t="n">
        <v>5</v>
      </c>
      <c r="F2130" t="n">
        <v>0.0495</v>
      </c>
      <c r="G2130" t="n">
        <v>0.66</v>
      </c>
      <c r="H2130" t="n">
        <v>4</v>
      </c>
      <c r="I2130" t="n">
        <v>15</v>
      </c>
      <c r="J2130" t="n">
        <v>3</v>
      </c>
      <c r="K2130" t="n">
        <v>0</v>
      </c>
      <c r="L2130" t="n">
        <v>117475</v>
      </c>
      <c r="M2130" t="n">
        <v>149000</v>
      </c>
      <c r="N2130" t="n">
        <v>33</v>
      </c>
      <c r="O2130" t="n">
        <v>0.33</v>
      </c>
      <c r="P2130" t="n">
        <v>1</v>
      </c>
      <c r="Q2130" t="n">
        <v>0.08</v>
      </c>
      <c r="R2130" t="n">
        <v>1</v>
      </c>
      <c r="S2130" t="n">
        <v>7375.5</v>
      </c>
      <c r="T2130" t="n">
        <v>10</v>
      </c>
      <c r="U2130" t="n">
        <v>11</v>
      </c>
      <c r="V2130" t="n">
        <v>30</v>
      </c>
      <c r="W2130" t="n">
        <v>2</v>
      </c>
      <c r="X2130" t="n">
        <v>101.010101010101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10819</v>
      </c>
      <c r="AG2130" t="n">
        <v>2132</v>
      </c>
      <c r="AH2130" t="inlineStr">
        <is>
          <t>PT. MENSA BINA SUKSES - PPN (JMB)</t>
        </is>
      </c>
      <c r="AI2130" t="n">
        <v>300</v>
      </c>
      <c r="AJ2130" t="inlineStr">
        <is>
          <t>LOREAL</t>
        </is>
      </c>
      <c r="AK2130" t="n">
        <v>9</v>
      </c>
      <c r="AL2130" t="inlineStr">
        <is>
          <t>Miss Glam Jambi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LOREAL</t>
        </is>
      </c>
      <c r="B2131" s="2">
        <f>"6902395853312"</f>
        <v/>
      </c>
      <c r="C2131" t="inlineStr">
        <is>
          <t>LOREAL Infallible Matte Resistance 230 Shopping Spree 5ml</t>
        </is>
      </c>
      <c r="D2131" t="inlineStr">
        <is>
          <t>Miss Glam Jambi</t>
        </is>
      </c>
      <c r="E2131" t="n">
        <v>11</v>
      </c>
      <c r="F2131" t="n">
        <v>0.09569999999999999</v>
      </c>
      <c r="G2131" t="n">
        <v>0.66</v>
      </c>
      <c r="H2131" t="n">
        <v>4</v>
      </c>
      <c r="I2131" t="n">
        <v>15</v>
      </c>
      <c r="J2131" t="n">
        <v>3</v>
      </c>
      <c r="K2131" t="n">
        <v>0</v>
      </c>
      <c r="L2131" t="n">
        <v>106192</v>
      </c>
      <c r="M2131" t="n">
        <v>149000</v>
      </c>
      <c r="N2131" t="n">
        <v>33</v>
      </c>
      <c r="O2131" t="n">
        <v>0.33</v>
      </c>
      <c r="P2131" t="n">
        <v>1</v>
      </c>
      <c r="Q2131" t="n">
        <v>0.19</v>
      </c>
      <c r="R2131" t="n">
        <v>2</v>
      </c>
      <c r="S2131" t="n">
        <v>14259.3</v>
      </c>
      <c r="T2131" t="n">
        <v>10</v>
      </c>
      <c r="U2131" t="n">
        <v>11</v>
      </c>
      <c r="V2131" t="n">
        <v>30</v>
      </c>
      <c r="W2131" t="n">
        <v>3</v>
      </c>
      <c r="X2131" t="n">
        <v>114.9425287356322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10819</v>
      </c>
      <c r="AG2131" t="n">
        <v>2132</v>
      </c>
      <c r="AH2131" t="inlineStr">
        <is>
          <t>PT. MENSA BINA SUKSES - PPN (JMB)</t>
        </is>
      </c>
      <c r="AI2131" t="n">
        <v>300</v>
      </c>
      <c r="AJ2131" t="inlineStr">
        <is>
          <t>LOREAL</t>
        </is>
      </c>
      <c r="AK2131" t="n">
        <v>9</v>
      </c>
      <c r="AL2131" t="inlineStr">
        <is>
          <t>Miss Glam Jambi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LOREAL</t>
        </is>
      </c>
      <c r="B2132" s="2">
        <f>"6902395853336"</f>
        <v/>
      </c>
      <c r="C2132" t="inlineStr">
        <is>
          <t>LOREAL Infallible Matte Resistance 245 French Kiss 5ml</t>
        </is>
      </c>
      <c r="D2132" t="inlineStr">
        <is>
          <t>Miss Glam Jambi</t>
        </is>
      </c>
      <c r="E2132" t="n">
        <v>3</v>
      </c>
      <c r="F2132" t="n">
        <v>0.033</v>
      </c>
      <c r="G2132" t="n">
        <v>0.33</v>
      </c>
      <c r="H2132" t="n">
        <v>4</v>
      </c>
      <c r="I2132" t="n">
        <v>15</v>
      </c>
      <c r="J2132" t="n">
        <v>3</v>
      </c>
      <c r="K2132" t="n">
        <v>0</v>
      </c>
      <c r="L2132" t="n">
        <v>104743</v>
      </c>
      <c r="M2132" t="n">
        <v>149000</v>
      </c>
      <c r="N2132" t="n">
        <v>33</v>
      </c>
      <c r="O2132" t="n">
        <v>0.33</v>
      </c>
      <c r="P2132" t="n">
        <v>1</v>
      </c>
      <c r="Q2132" t="n">
        <v>0.03</v>
      </c>
      <c r="R2132" t="n">
        <v>1</v>
      </c>
      <c r="S2132" t="n">
        <v>4917</v>
      </c>
      <c r="T2132" t="n">
        <v>5</v>
      </c>
      <c r="U2132" t="n">
        <v>6</v>
      </c>
      <c r="V2132" t="n">
        <v>30</v>
      </c>
      <c r="W2132" t="n">
        <v>1</v>
      </c>
      <c r="X2132" t="n">
        <v>90.90909090909091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10819</v>
      </c>
      <c r="AG2132" t="n">
        <v>2132</v>
      </c>
      <c r="AH2132" t="inlineStr">
        <is>
          <t>PT. MENSA BINA SUKSES - PPN (JMB)</t>
        </is>
      </c>
      <c r="AI2132" t="n">
        <v>300</v>
      </c>
      <c r="AJ2132" t="inlineStr">
        <is>
          <t>LOREAL</t>
        </is>
      </c>
      <c r="AK2132" t="n">
        <v>9</v>
      </c>
      <c r="AL2132" t="inlineStr">
        <is>
          <t>Miss Glam Jambi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LOREAL</t>
        </is>
      </c>
      <c r="B2133" s="2">
        <f>"6902395853367"</f>
        <v/>
      </c>
      <c r="C2133" t="inlineStr">
        <is>
          <t>LOREAL Infallible Matte Resistance 420 Le Rouge Paris 5ml</t>
        </is>
      </c>
      <c r="D2133" t="inlineStr">
        <is>
          <t>Miss Glam Jambi</t>
        </is>
      </c>
      <c r="E2133" t="n">
        <v>3</v>
      </c>
      <c r="F2133" t="n">
        <v>0.006600000000000001</v>
      </c>
      <c r="G2133" t="n">
        <v>0.33</v>
      </c>
      <c r="H2133" t="n">
        <v>4</v>
      </c>
      <c r="I2133" t="n">
        <v>15</v>
      </c>
      <c r="J2133" t="n">
        <v>3</v>
      </c>
      <c r="K2133" t="n">
        <v>0</v>
      </c>
      <c r="L2133" t="n">
        <v>104017</v>
      </c>
      <c r="M2133" t="n">
        <v>149000</v>
      </c>
      <c r="N2133" t="n">
        <v>33</v>
      </c>
      <c r="O2133" t="n">
        <v>0.33</v>
      </c>
      <c r="P2133" t="n">
        <v>1</v>
      </c>
      <c r="Q2133" t="n">
        <v>0.02</v>
      </c>
      <c r="R2133" t="n">
        <v>1</v>
      </c>
      <c r="S2133" t="n">
        <v>983.4000000000001</v>
      </c>
      <c r="T2133" t="n">
        <v>5</v>
      </c>
      <c r="U2133" t="n">
        <v>6</v>
      </c>
      <c r="V2133" t="n">
        <v>30</v>
      </c>
      <c r="W2133" t="n">
        <v>1</v>
      </c>
      <c r="X2133" t="n">
        <v>454.5454545454545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10819</v>
      </c>
      <c r="AG2133" t="n">
        <v>2132</v>
      </c>
      <c r="AH2133" t="inlineStr">
        <is>
          <t>PT. MENSA BINA SUKSES - PPN (JMB)</t>
        </is>
      </c>
      <c r="AI2133" t="n">
        <v>300</v>
      </c>
      <c r="AJ2133" t="inlineStr">
        <is>
          <t>LOREAL</t>
        </is>
      </c>
      <c r="AK2133" t="n">
        <v>9</v>
      </c>
      <c r="AL2133" t="inlineStr">
        <is>
          <t>Miss Glam Jambi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LOREAL</t>
        </is>
      </c>
      <c r="B2134" s="2">
        <f>"6902395970958"</f>
        <v/>
      </c>
      <c r="C2134" t="inlineStr">
        <is>
          <t>LOREAL Infallible Matte Resistance 601 Worth It 5ml</t>
        </is>
      </c>
      <c r="D2134" t="inlineStr">
        <is>
          <t>Miss Glam Jambi</t>
        </is>
      </c>
      <c r="E2134" t="n">
        <v>1</v>
      </c>
      <c r="F2134" t="n">
        <v>0.0231</v>
      </c>
      <c r="G2134" t="n">
        <v>0.66</v>
      </c>
      <c r="H2134" t="n">
        <v>4</v>
      </c>
      <c r="I2134" t="n">
        <v>15</v>
      </c>
      <c r="J2134" t="n">
        <v>3</v>
      </c>
      <c r="K2134" t="n">
        <v>0</v>
      </c>
      <c r="L2134" t="n">
        <v>105347</v>
      </c>
      <c r="M2134" t="n">
        <v>149000</v>
      </c>
      <c r="N2134" t="n">
        <v>33</v>
      </c>
      <c r="O2134" t="n">
        <v>0.33</v>
      </c>
      <c r="P2134" t="n">
        <v>1</v>
      </c>
      <c r="Q2134" t="n">
        <v>0.05</v>
      </c>
      <c r="R2134" t="n">
        <v>1</v>
      </c>
      <c r="S2134" t="n">
        <v>3441.900000000001</v>
      </c>
      <c r="T2134" t="n">
        <v>10</v>
      </c>
      <c r="U2134" t="n">
        <v>11</v>
      </c>
      <c r="V2134" t="n">
        <v>30</v>
      </c>
      <c r="W2134" t="n">
        <v>1</v>
      </c>
      <c r="X2134" t="n">
        <v>43.29004329004329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10819</v>
      </c>
      <c r="AG2134" t="n">
        <v>2132</v>
      </c>
      <c r="AH2134" t="inlineStr">
        <is>
          <t>PT. MENSA BINA SUKSES - PPN (JMB)</t>
        </is>
      </c>
      <c r="AI2134" t="n">
        <v>300</v>
      </c>
      <c r="AJ2134" t="inlineStr">
        <is>
          <t>LOREAL</t>
        </is>
      </c>
      <c r="AK2134" t="n">
        <v>9</v>
      </c>
      <c r="AL2134" t="inlineStr">
        <is>
          <t>Miss Glam Jambi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LOREAL</t>
        </is>
      </c>
      <c r="B2135" s="2">
        <f>"6902395970965"</f>
        <v/>
      </c>
      <c r="C2135" t="inlineStr">
        <is>
          <t>LOREAL Infallible Matte Resistance 625 Summer Fling 5ml</t>
        </is>
      </c>
      <c r="D2135" t="inlineStr">
        <is>
          <t>Miss Glam Jambi</t>
        </is>
      </c>
      <c r="E2135" t="n">
        <v>3</v>
      </c>
      <c r="F2135" t="n">
        <v>0.0165</v>
      </c>
      <c r="G2135" t="n">
        <v>0.33</v>
      </c>
      <c r="H2135" t="n">
        <v>4</v>
      </c>
      <c r="I2135" t="n">
        <v>15</v>
      </c>
      <c r="J2135" t="n">
        <v>3</v>
      </c>
      <c r="K2135" t="n">
        <v>0</v>
      </c>
      <c r="L2135" t="n">
        <v>105347</v>
      </c>
      <c r="M2135" t="n">
        <v>149000</v>
      </c>
      <c r="N2135" t="n">
        <v>33</v>
      </c>
      <c r="O2135" t="n">
        <v>0.33</v>
      </c>
      <c r="P2135" t="n">
        <v>1</v>
      </c>
      <c r="Q2135" t="n">
        <v>0.02</v>
      </c>
      <c r="R2135" t="n">
        <v>1</v>
      </c>
      <c r="S2135" t="n">
        <v>2458.5</v>
      </c>
      <c r="T2135" t="n">
        <v>5</v>
      </c>
      <c r="U2135" t="n">
        <v>6</v>
      </c>
      <c r="V2135" t="n">
        <v>30</v>
      </c>
      <c r="W2135" t="n">
        <v>1</v>
      </c>
      <c r="X2135" t="n">
        <v>181.8181818181818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10819</v>
      </c>
      <c r="AG2135" t="n">
        <v>2132</v>
      </c>
      <c r="AH2135" t="inlineStr">
        <is>
          <t>PT. MENSA BINA SUKSES - PPN (JMB)</t>
        </is>
      </c>
      <c r="AI2135" t="n">
        <v>300</v>
      </c>
      <c r="AJ2135" t="inlineStr">
        <is>
          <t>LOREAL</t>
        </is>
      </c>
      <c r="AK2135" t="n">
        <v>9</v>
      </c>
      <c r="AL2135" t="inlineStr">
        <is>
          <t>Miss Glam Jambi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LOREAL</t>
        </is>
      </c>
      <c r="B2136" s="2">
        <f>"6902395970972"</f>
        <v/>
      </c>
      <c r="C2136" t="inlineStr">
        <is>
          <t>LOREAL Infallible Matte Resistance 630 Rose Heat 5ml</t>
        </is>
      </c>
      <c r="D2136" t="inlineStr">
        <is>
          <t>Miss Glam Jambi</t>
        </is>
      </c>
      <c r="E2136" t="n">
        <v>5</v>
      </c>
      <c r="F2136" t="n">
        <v>0.0264</v>
      </c>
      <c r="G2136" t="n">
        <v>0.33</v>
      </c>
      <c r="H2136" t="n">
        <v>4</v>
      </c>
      <c r="I2136" t="n">
        <v>15</v>
      </c>
      <c r="J2136" t="n">
        <v>3</v>
      </c>
      <c r="K2136" t="n">
        <v>0</v>
      </c>
      <c r="L2136" t="n">
        <v>105347</v>
      </c>
      <c r="M2136" t="n">
        <v>149000</v>
      </c>
      <c r="N2136" t="n">
        <v>33</v>
      </c>
      <c r="O2136" t="n">
        <v>0.33</v>
      </c>
      <c r="P2136" t="n">
        <v>1</v>
      </c>
      <c r="Q2136" t="n">
        <v>0.02</v>
      </c>
      <c r="R2136" t="n">
        <v>1</v>
      </c>
      <c r="S2136" t="n">
        <v>3933.6</v>
      </c>
      <c r="T2136" t="n">
        <v>5</v>
      </c>
      <c r="U2136" t="n">
        <v>6</v>
      </c>
      <c r="V2136" t="n">
        <v>30</v>
      </c>
      <c r="W2136" t="n">
        <v>1</v>
      </c>
      <c r="X2136" t="n">
        <v>189.3939393939394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10819</v>
      </c>
      <c r="AG2136" t="n">
        <v>2132</v>
      </c>
      <c r="AH2136" t="inlineStr">
        <is>
          <t>PT. MENSA BINA SUKSES - PPN (JMB)</t>
        </is>
      </c>
      <c r="AI2136" t="n">
        <v>300</v>
      </c>
      <c r="AJ2136" t="inlineStr">
        <is>
          <t>LOREAL</t>
        </is>
      </c>
      <c r="AK2136" t="n">
        <v>9</v>
      </c>
      <c r="AL2136" t="inlineStr">
        <is>
          <t>Miss Glam Jambi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LOREAL</t>
        </is>
      </c>
      <c r="B2137" s="2">
        <f>"6902395970989"</f>
        <v/>
      </c>
      <c r="C2137" t="inlineStr">
        <is>
          <t>LOREAL Infallible Matte Resistance 635 Worth It Medium 5ml</t>
        </is>
      </c>
      <c r="D2137" t="inlineStr">
        <is>
          <t>Miss Glam Jambi</t>
        </is>
      </c>
      <c r="E2137" t="n">
        <v>3</v>
      </c>
      <c r="F2137" t="n">
        <v>0.0264</v>
      </c>
      <c r="G2137" t="n">
        <v>0.33</v>
      </c>
      <c r="H2137" t="n">
        <v>4</v>
      </c>
      <c r="I2137" t="n">
        <v>15</v>
      </c>
      <c r="J2137" t="n">
        <v>3</v>
      </c>
      <c r="K2137" t="n">
        <v>0</v>
      </c>
      <c r="L2137" t="n">
        <v>105287</v>
      </c>
      <c r="M2137" t="n">
        <v>149000</v>
      </c>
      <c r="N2137" t="n">
        <v>33</v>
      </c>
      <c r="O2137" t="n">
        <v>0.33</v>
      </c>
      <c r="P2137" t="n">
        <v>1</v>
      </c>
      <c r="Q2137" t="n">
        <v>0.12</v>
      </c>
      <c r="R2137" t="n">
        <v>2</v>
      </c>
      <c r="S2137" t="n">
        <v>3933.6</v>
      </c>
      <c r="T2137" t="n">
        <v>5</v>
      </c>
      <c r="U2137" t="n">
        <v>6</v>
      </c>
      <c r="V2137" t="n">
        <v>30</v>
      </c>
      <c r="W2137" t="n">
        <v>1</v>
      </c>
      <c r="X2137" t="n">
        <v>113.6363636363636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10819</v>
      </c>
      <c r="AG2137" t="n">
        <v>2132</v>
      </c>
      <c r="AH2137" t="inlineStr">
        <is>
          <t>PT. MENSA BINA SUKSES - PPN (JMB)</t>
        </is>
      </c>
      <c r="AI2137" t="n">
        <v>300</v>
      </c>
      <c r="AJ2137" t="inlineStr">
        <is>
          <t>LOREAL</t>
        </is>
      </c>
      <c r="AK2137" t="n">
        <v>9</v>
      </c>
      <c r="AL2137" t="inlineStr">
        <is>
          <t>Miss Glam Jambi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LOREAL</t>
        </is>
      </c>
      <c r="B2138" s="2">
        <f>"10200416112"</f>
        <v/>
      </c>
      <c r="C2138" t="inlineStr">
        <is>
          <t>LOREAL Paris Glycolic-Bright ExfolianT Peeling Solution 25ml</t>
        </is>
      </c>
      <c r="D2138" t="inlineStr">
        <is>
          <t>Miss Glam Jambi</t>
        </is>
      </c>
      <c r="E2138" t="n">
        <v>4</v>
      </c>
      <c r="F2138" t="n">
        <v>0.0462</v>
      </c>
      <c r="G2138" t="n">
        <v>0.33</v>
      </c>
      <c r="H2138" t="n">
        <v>4</v>
      </c>
      <c r="I2138" t="n">
        <v>15</v>
      </c>
      <c r="J2138" t="n">
        <v>1</v>
      </c>
      <c r="K2138" t="n">
        <v>0</v>
      </c>
      <c r="L2138" t="n">
        <v>139825</v>
      </c>
      <c r="M2138" t="n">
        <v>179000</v>
      </c>
      <c r="N2138" t="n">
        <v>33</v>
      </c>
      <c r="O2138" t="n">
        <v>0.33</v>
      </c>
      <c r="P2138" t="n">
        <v>1</v>
      </c>
      <c r="Q2138" t="n">
        <v>0.03</v>
      </c>
      <c r="R2138" t="n">
        <v>1</v>
      </c>
      <c r="S2138" t="n">
        <v>8269.800000000001</v>
      </c>
      <c r="T2138" t="n">
        <v>5</v>
      </c>
      <c r="U2138" t="n">
        <v>6</v>
      </c>
      <c r="V2138" t="n">
        <v>30</v>
      </c>
      <c r="W2138" t="n">
        <v>2</v>
      </c>
      <c r="X2138" t="n">
        <v>86.58008658008657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10819</v>
      </c>
      <c r="AG2138" t="n">
        <v>2132</v>
      </c>
      <c r="AH2138" t="inlineStr">
        <is>
          <t>PT. MENSA BINA SUKSES - PPN (JMB)</t>
        </is>
      </c>
      <c r="AI2138" t="n">
        <v>300</v>
      </c>
      <c r="AJ2138" t="inlineStr">
        <is>
          <t>LOREAL</t>
        </is>
      </c>
      <c r="AK2138" t="n">
        <v>9</v>
      </c>
      <c r="AL2138" t="inlineStr">
        <is>
          <t>Miss Glam Jambi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LOREAL</t>
        </is>
      </c>
      <c r="B2139" s="2">
        <f>"20101209119"</f>
        <v/>
      </c>
      <c r="C2139" t="inlineStr">
        <is>
          <t>LOREAL Paris Infaillible 3-Second Setting Mist 75ml</t>
        </is>
      </c>
      <c r="D2139" t="inlineStr">
        <is>
          <t>Miss Glam Jambi</t>
        </is>
      </c>
      <c r="E2139" t="n">
        <v>3</v>
      </c>
      <c r="F2139" t="n">
        <v>0.009900000000000001</v>
      </c>
      <c r="G2139" t="n">
        <v>0.33</v>
      </c>
      <c r="H2139" t="n">
        <v>4</v>
      </c>
      <c r="I2139" t="n">
        <v>15</v>
      </c>
      <c r="J2139" t="n">
        <v>1</v>
      </c>
      <c r="K2139" t="n">
        <v>0</v>
      </c>
      <c r="L2139" t="n">
        <v>87453</v>
      </c>
      <c r="M2139" t="n">
        <v>95000</v>
      </c>
      <c r="N2139" t="n">
        <v>33</v>
      </c>
      <c r="O2139" t="n">
        <v>0.33</v>
      </c>
      <c r="P2139" t="n">
        <v>1</v>
      </c>
      <c r="Q2139" t="n">
        <v>0.05</v>
      </c>
      <c r="R2139" t="n">
        <v>1</v>
      </c>
      <c r="S2139" t="n">
        <v>940.5000000000001</v>
      </c>
      <c r="T2139" t="n">
        <v>5</v>
      </c>
      <c r="U2139" t="n">
        <v>6</v>
      </c>
      <c r="V2139" t="n">
        <v>30</v>
      </c>
      <c r="W2139" t="n">
        <v>1</v>
      </c>
      <c r="X2139" t="n">
        <v>303.030303030303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10819</v>
      </c>
      <c r="AG2139" t="n">
        <v>2132</v>
      </c>
      <c r="AH2139" t="inlineStr">
        <is>
          <t>PT. MENSA BINA SUKSES - PPN (JMB)</t>
        </is>
      </c>
      <c r="AI2139" t="n">
        <v>300</v>
      </c>
      <c r="AJ2139" t="inlineStr">
        <is>
          <t>LOREAL</t>
        </is>
      </c>
      <c r="AK2139" t="n">
        <v>9</v>
      </c>
      <c r="AL2139" t="inlineStr">
        <is>
          <t>Miss Glam Jambi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LOREAL</t>
        </is>
      </c>
      <c r="B2140" s="2">
        <f>"8994993018086"</f>
        <v/>
      </c>
      <c r="C2140" t="inlineStr">
        <is>
          <t>LOREAL UV Defender Serum Protector SPF 50+ Invisible Fluid 50ml</t>
        </is>
      </c>
      <c r="D2140" t="inlineStr">
        <is>
          <t>Miss Glam Jambi</t>
        </is>
      </c>
      <c r="E2140" t="n">
        <v>6</v>
      </c>
      <c r="F2140" t="n">
        <v>0.009900000000000001</v>
      </c>
      <c r="G2140" t="n">
        <v>0.33</v>
      </c>
      <c r="H2140" t="n">
        <v>4</v>
      </c>
      <c r="I2140" t="n">
        <v>15</v>
      </c>
      <c r="J2140" t="n">
        <v>3</v>
      </c>
      <c r="K2140" t="n">
        <v>0</v>
      </c>
      <c r="L2140" t="n">
        <v>122455</v>
      </c>
      <c r="M2140" t="n">
        <v>175900</v>
      </c>
      <c r="N2140" t="n">
        <v>33</v>
      </c>
      <c r="O2140" t="n">
        <v>0.33</v>
      </c>
      <c r="P2140" t="n">
        <v>1</v>
      </c>
      <c r="Q2140" t="n">
        <v>0.05</v>
      </c>
      <c r="R2140" t="n">
        <v>1</v>
      </c>
      <c r="S2140" t="n">
        <v>1741.41</v>
      </c>
      <c r="T2140" t="n">
        <v>5</v>
      </c>
      <c r="U2140" t="n">
        <v>6</v>
      </c>
      <c r="V2140" t="n">
        <v>30</v>
      </c>
      <c r="W2140" t="n">
        <v>1</v>
      </c>
      <c r="X2140" t="n">
        <v>606.060606060606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10819</v>
      </c>
      <c r="AG2140" t="n">
        <v>2132</v>
      </c>
      <c r="AH2140" t="inlineStr">
        <is>
          <t>PT. MENSA BINA SUKSES - PPN (JMB)</t>
        </is>
      </c>
      <c r="AI2140" t="n">
        <v>300</v>
      </c>
      <c r="AJ2140" t="inlineStr">
        <is>
          <t>LOREAL</t>
        </is>
      </c>
      <c r="AK2140" t="n">
        <v>9</v>
      </c>
      <c r="AL2140" t="inlineStr">
        <is>
          <t>Miss Glam Jambi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LOREAL</t>
        </is>
      </c>
      <c r="B2141" s="2">
        <f>"8994993020836"</f>
        <v/>
      </c>
      <c r="C2141" t="inlineStr">
        <is>
          <t>LOREAL Uv Defender Sun-Repair Invisible Serum Spf 50+ PA++++ 30ml</t>
        </is>
      </c>
      <c r="D2141" t="inlineStr">
        <is>
          <t>Miss Glam Jambi</t>
        </is>
      </c>
      <c r="E2141" t="n">
        <v>2</v>
      </c>
      <c r="F2141" t="n">
        <v>0.009900000000000001</v>
      </c>
      <c r="G2141" t="n">
        <v>0.33</v>
      </c>
      <c r="H2141" t="n">
        <v>4</v>
      </c>
      <c r="I2141" t="n">
        <v>15</v>
      </c>
      <c r="J2141" t="n">
        <v>3</v>
      </c>
      <c r="K2141" t="n">
        <v>0</v>
      </c>
      <c r="L2141" t="n">
        <v>110673</v>
      </c>
      <c r="M2141" t="n">
        <v>159000</v>
      </c>
      <c r="N2141" t="n">
        <v>33</v>
      </c>
      <c r="O2141" t="n">
        <v>0.33</v>
      </c>
      <c r="P2141" t="n">
        <v>1</v>
      </c>
      <c r="Q2141" t="n">
        <v>0.03</v>
      </c>
      <c r="R2141" t="n">
        <v>1</v>
      </c>
      <c r="S2141" t="n">
        <v>1574.1</v>
      </c>
      <c r="T2141" t="n">
        <v>5</v>
      </c>
      <c r="U2141" t="n">
        <v>6</v>
      </c>
      <c r="V2141" t="n">
        <v>30</v>
      </c>
      <c r="W2141" t="n">
        <v>1</v>
      </c>
      <c r="X2141" t="n">
        <v>202.020202020202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10819</v>
      </c>
      <c r="AG2141" t="n">
        <v>2132</v>
      </c>
      <c r="AH2141" t="inlineStr">
        <is>
          <t>PT. MENSA BINA SUKSES - PPN (JMB)</t>
        </is>
      </c>
      <c r="AI2141" t="n">
        <v>300</v>
      </c>
      <c r="AJ2141" t="inlineStr">
        <is>
          <t>LOREAL</t>
        </is>
      </c>
      <c r="AK2141" t="n">
        <v>9</v>
      </c>
      <c r="AL2141" t="inlineStr">
        <is>
          <t>Miss Glam Jambi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LOREAL</t>
        </is>
      </c>
      <c r="B2142" s="2">
        <f>"8994993020423"</f>
        <v/>
      </c>
      <c r="C2142" t="inlineStr">
        <is>
          <t>LOREAL Uv Defender Uv Serum Protector Invisible Fluid Spf 50+ PA++++ 30ml</t>
        </is>
      </c>
      <c r="D2142" t="inlineStr">
        <is>
          <t>Miss Glam Jambi</t>
        </is>
      </c>
      <c r="E2142" t="n">
        <v>3</v>
      </c>
      <c r="F2142" t="n">
        <v>0.006600000000000001</v>
      </c>
      <c r="G2142" t="n">
        <v>0.33</v>
      </c>
      <c r="H2142" t="n">
        <v>4</v>
      </c>
      <c r="I2142" t="n">
        <v>15</v>
      </c>
      <c r="J2142" t="n">
        <v>3</v>
      </c>
      <c r="K2142" t="n">
        <v>0</v>
      </c>
      <c r="L2142" t="n">
        <v>72622</v>
      </c>
      <c r="M2142" t="n">
        <v>92900</v>
      </c>
      <c r="N2142" t="n">
        <v>33</v>
      </c>
      <c r="O2142" t="n">
        <v>0.33</v>
      </c>
      <c r="P2142" t="n">
        <v>1</v>
      </c>
      <c r="Q2142" t="n">
        <v>0.02</v>
      </c>
      <c r="R2142" t="n">
        <v>1</v>
      </c>
      <c r="S2142" t="n">
        <v>613.1400000000001</v>
      </c>
      <c r="T2142" t="n">
        <v>5</v>
      </c>
      <c r="U2142" t="n">
        <v>6</v>
      </c>
      <c r="V2142" t="n">
        <v>30</v>
      </c>
      <c r="W2142" t="n">
        <v>1</v>
      </c>
      <c r="X2142" t="n">
        <v>454.5454545454545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10819</v>
      </c>
      <c r="AG2142" t="n">
        <v>2132</v>
      </c>
      <c r="AH2142" t="inlineStr">
        <is>
          <t>PT. MENSA BINA SUKSES - PPN (JMB)</t>
        </is>
      </c>
      <c r="AI2142" t="n">
        <v>300</v>
      </c>
      <c r="AJ2142" t="inlineStr">
        <is>
          <t>LOREAL</t>
        </is>
      </c>
      <c r="AK2142" t="n">
        <v>9</v>
      </c>
      <c r="AL2142" t="inlineStr">
        <is>
          <t>Miss Glam Jambi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LOREAL</t>
        </is>
      </c>
      <c r="B2143" s="2">
        <f>"6902395848783"</f>
        <v/>
      </c>
      <c r="C2143" t="inlineStr">
        <is>
          <t>LOREAL Voluminious Lash Paradise 7.6ml (New)</t>
        </is>
      </c>
      <c r="D2143" t="inlineStr">
        <is>
          <t>Miss Glam Jambi</t>
        </is>
      </c>
      <c r="E2143" t="n">
        <v>3</v>
      </c>
      <c r="F2143" t="n">
        <v>0.009900000000000001</v>
      </c>
      <c r="G2143" t="n">
        <v>0.33</v>
      </c>
      <c r="H2143" t="n">
        <v>4</v>
      </c>
      <c r="I2143" t="n">
        <v>15</v>
      </c>
      <c r="J2143" t="n">
        <v>3</v>
      </c>
      <c r="K2143" t="n">
        <v>0</v>
      </c>
      <c r="L2143" t="n">
        <v>153142</v>
      </c>
      <c r="M2143" t="n">
        <v>198000</v>
      </c>
      <c r="N2143" t="n">
        <v>33</v>
      </c>
      <c r="O2143" t="n">
        <v>0.33</v>
      </c>
      <c r="P2143" t="n">
        <v>1</v>
      </c>
      <c r="Q2143" t="n">
        <v>0.05</v>
      </c>
      <c r="R2143" t="n">
        <v>1</v>
      </c>
      <c r="S2143" t="n">
        <v>1960.2</v>
      </c>
      <c r="T2143" t="n">
        <v>5</v>
      </c>
      <c r="U2143" t="n">
        <v>6</v>
      </c>
      <c r="V2143" t="n">
        <v>30</v>
      </c>
      <c r="W2143" t="n">
        <v>1</v>
      </c>
      <c r="X2143" t="n">
        <v>303.030303030303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10819</v>
      </c>
      <c r="AG2143" t="n">
        <v>2132</v>
      </c>
      <c r="AH2143" t="inlineStr">
        <is>
          <t>PT. MENSA BINA SUKSES - PPN (JMB)</t>
        </is>
      </c>
      <c r="AI2143" t="n">
        <v>300</v>
      </c>
      <c r="AJ2143" t="inlineStr">
        <is>
          <t>LOREAL</t>
        </is>
      </c>
      <c r="AK2143" t="n">
        <v>9</v>
      </c>
      <c r="AL2143" t="inlineStr">
        <is>
          <t>Miss Glam Jambi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LOREAL</t>
        </is>
      </c>
      <c r="B2144" s="2">
        <f>"071249681008"</f>
        <v/>
      </c>
      <c r="C2144" t="inlineStr">
        <is>
          <t>LOREAL Voluminous Panorama Waterproof Mascara 10gr</t>
        </is>
      </c>
      <c r="D2144" t="inlineStr">
        <is>
          <t>Miss Glam Jambi</t>
        </is>
      </c>
      <c r="E2144" t="n">
        <v>4</v>
      </c>
      <c r="F2144" t="n">
        <v>0.12</v>
      </c>
      <c r="G2144" t="n">
        <v>2</v>
      </c>
      <c r="H2144" t="n">
        <v>4</v>
      </c>
      <c r="I2144" t="n">
        <v>15</v>
      </c>
      <c r="J2144" t="n">
        <v>3</v>
      </c>
      <c r="K2144" t="n">
        <v>0</v>
      </c>
      <c r="L2144" t="n">
        <v>123463</v>
      </c>
      <c r="M2144" t="n">
        <v>164000</v>
      </c>
      <c r="N2144" t="n">
        <v>33</v>
      </c>
      <c r="O2144" t="n">
        <v>0.33</v>
      </c>
      <c r="P2144" t="n">
        <v>0</v>
      </c>
      <c r="Q2144" t="n">
        <v>0.12</v>
      </c>
      <c r="R2144" t="n">
        <v>2</v>
      </c>
      <c r="S2144" t="n">
        <v>19680</v>
      </c>
      <c r="T2144" t="n">
        <v>30</v>
      </c>
      <c r="U2144" t="n">
        <v>31</v>
      </c>
      <c r="V2144" t="n">
        <v>30</v>
      </c>
      <c r="W2144" t="n">
        <v>4</v>
      </c>
      <c r="X2144" t="n">
        <v>33.33333333333334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10819</v>
      </c>
      <c r="AG2144" t="n">
        <v>2132</v>
      </c>
      <c r="AH2144" t="inlineStr">
        <is>
          <t>PT. MENSA BINA SUKSES - PPN (JMB)</t>
        </is>
      </c>
      <c r="AI2144" t="n">
        <v>300</v>
      </c>
      <c r="AJ2144" t="inlineStr">
        <is>
          <t>LOREAL</t>
        </is>
      </c>
      <c r="AK2144" t="n">
        <v>9</v>
      </c>
      <c r="AL2144" t="inlineStr">
        <is>
          <t>Miss Glam Jambi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LOREAL HAIR</t>
        </is>
      </c>
      <c r="B2145" s="2">
        <f>"40100318432"</f>
        <v/>
      </c>
      <c r="C2145" t="inlineStr">
        <is>
          <t>LOREAL ELSEVE Fall Resist 3X Conditioner 175ml</t>
        </is>
      </c>
      <c r="D2145" t="inlineStr">
        <is>
          <t>Miss Glam Jambi</t>
        </is>
      </c>
      <c r="E2145" t="n">
        <v>4</v>
      </c>
      <c r="F2145" t="n">
        <v>0.03</v>
      </c>
      <c r="G2145" t="n">
        <v>1</v>
      </c>
      <c r="H2145" t="n">
        <v>4</v>
      </c>
      <c r="I2145" t="n">
        <v>28</v>
      </c>
      <c r="J2145" t="n">
        <v>1</v>
      </c>
      <c r="K2145" t="n">
        <v>0</v>
      </c>
      <c r="L2145" t="n">
        <v>25730</v>
      </c>
      <c r="M2145" t="n">
        <v>34000</v>
      </c>
      <c r="N2145" t="n">
        <v>33</v>
      </c>
      <c r="O2145" t="n">
        <v>0.33</v>
      </c>
      <c r="P2145" t="n">
        <v>0</v>
      </c>
      <c r="Q2145" t="n">
        <v>0.03</v>
      </c>
      <c r="R2145" t="n">
        <v>1</v>
      </c>
      <c r="S2145" t="n">
        <v>1020</v>
      </c>
      <c r="T2145" t="n">
        <v>28</v>
      </c>
      <c r="U2145" t="n">
        <v>29</v>
      </c>
      <c r="V2145" t="n">
        <v>30</v>
      </c>
      <c r="W2145" t="n">
        <v>1</v>
      </c>
      <c r="X2145" t="n">
        <v>133.3333333333333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10514</v>
      </c>
      <c r="AG2145" t="n">
        <v>2148</v>
      </c>
      <c r="AH2145" t="inlineStr">
        <is>
          <t>PT. JAYA PALEMBANG SUKSES - PPN (JMB)</t>
        </is>
      </c>
      <c r="AI2145" t="n">
        <v>814</v>
      </c>
      <c r="AJ2145" t="inlineStr">
        <is>
          <t>LOREAL HAIR</t>
        </is>
      </c>
      <c r="AK2145" t="n">
        <v>9</v>
      </c>
      <c r="AL2145" t="inlineStr">
        <is>
          <t>Miss Glam Jambi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LOREAL HAIR</t>
        </is>
      </c>
      <c r="B2146" s="2">
        <f>"40100152840"</f>
        <v/>
      </c>
      <c r="C2146" t="inlineStr">
        <is>
          <t>LOREAL ELSEVE Fall Resist 3X Shampoo 200ml</t>
        </is>
      </c>
      <c r="D2146" t="inlineStr">
        <is>
          <t>Miss Glam Jambi</t>
        </is>
      </c>
      <c r="E2146" t="n">
        <v>4</v>
      </c>
      <c r="F2146" t="n">
        <v>0.03</v>
      </c>
      <c r="G2146" t="n">
        <v>1</v>
      </c>
      <c r="H2146" t="n">
        <v>4</v>
      </c>
      <c r="I2146" t="n">
        <v>28</v>
      </c>
      <c r="J2146" t="n">
        <v>1</v>
      </c>
      <c r="K2146" t="n">
        <v>0</v>
      </c>
      <c r="L2146" t="n">
        <v>25730</v>
      </c>
      <c r="M2146" t="n">
        <v>34000</v>
      </c>
      <c r="N2146" t="n">
        <v>33</v>
      </c>
      <c r="O2146" t="n">
        <v>0.33</v>
      </c>
      <c r="P2146" t="n">
        <v>0</v>
      </c>
      <c r="Q2146" t="n">
        <v>0.03</v>
      </c>
      <c r="R2146" t="n">
        <v>1</v>
      </c>
      <c r="S2146" t="n">
        <v>1020</v>
      </c>
      <c r="T2146" t="n">
        <v>28</v>
      </c>
      <c r="U2146" t="n">
        <v>29</v>
      </c>
      <c r="V2146" t="n">
        <v>30</v>
      </c>
      <c r="W2146" t="n">
        <v>1</v>
      </c>
      <c r="X2146" t="n">
        <v>133.3333333333333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10514</v>
      </c>
      <c r="AG2146" t="n">
        <v>2148</v>
      </c>
      <c r="AH2146" t="inlineStr">
        <is>
          <t>PT. JAYA PALEMBANG SUKSES - PPN (JMB)</t>
        </is>
      </c>
      <c r="AI2146" t="n">
        <v>814</v>
      </c>
      <c r="AJ2146" t="inlineStr">
        <is>
          <t>LOREAL HAIR</t>
        </is>
      </c>
      <c r="AK2146" t="n">
        <v>9</v>
      </c>
      <c r="AL2146" t="inlineStr">
        <is>
          <t>Miss Glam Jambi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LOREAL HAIR</t>
        </is>
      </c>
      <c r="B2147" s="2">
        <f>"40200120459"</f>
        <v/>
      </c>
      <c r="C2147" t="inlineStr">
        <is>
          <t>LOREAL ELSEVE Fall Resist Anti Hair Fall Serum 102ml</t>
        </is>
      </c>
      <c r="D2147" t="inlineStr">
        <is>
          <t>Miss Glam Jambi</t>
        </is>
      </c>
      <c r="E2147" t="n">
        <v>4</v>
      </c>
      <c r="F2147" t="n">
        <v>0.0165</v>
      </c>
      <c r="G2147" t="n">
        <v>0.33</v>
      </c>
      <c r="H2147" t="n">
        <v>4</v>
      </c>
      <c r="I2147" t="n">
        <v>28</v>
      </c>
      <c r="J2147" t="n">
        <v>1</v>
      </c>
      <c r="K2147" t="n">
        <v>0</v>
      </c>
      <c r="L2147" t="n">
        <v>113253</v>
      </c>
      <c r="M2147" t="n">
        <v>139000</v>
      </c>
      <c r="N2147" t="n">
        <v>33</v>
      </c>
      <c r="O2147" t="n">
        <v>0.33</v>
      </c>
      <c r="P2147" t="n">
        <v>1</v>
      </c>
      <c r="Q2147" t="n">
        <v>0.03</v>
      </c>
      <c r="R2147" t="n">
        <v>1</v>
      </c>
      <c r="S2147" t="n">
        <v>2293.5</v>
      </c>
      <c r="T2147" t="n">
        <v>10</v>
      </c>
      <c r="U2147" t="n">
        <v>11</v>
      </c>
      <c r="V2147" t="n">
        <v>30</v>
      </c>
      <c r="W2147" t="n">
        <v>1</v>
      </c>
      <c r="X2147" t="n">
        <v>242.4242424242424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10514</v>
      </c>
      <c r="AG2147" t="n">
        <v>2148</v>
      </c>
      <c r="AH2147" t="inlineStr">
        <is>
          <t>PT. JAYA PALEMBANG SUKSES - PPN (JMB)</t>
        </is>
      </c>
      <c r="AI2147" t="n">
        <v>814</v>
      </c>
      <c r="AJ2147" t="inlineStr">
        <is>
          <t>LOREAL HAIR</t>
        </is>
      </c>
      <c r="AK2147" t="n">
        <v>9</v>
      </c>
      <c r="AL2147" t="inlineStr">
        <is>
          <t>Miss Glam Jambi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LOREAL HAIR</t>
        </is>
      </c>
      <c r="B2148" s="2">
        <f>"8994993011940"</f>
        <v/>
      </c>
      <c r="C2148" t="inlineStr">
        <is>
          <t>LOREAL Elseve Total Repair 5 Restoring Conditioner 155ml</t>
        </is>
      </c>
      <c r="D2148" t="inlineStr">
        <is>
          <t>Miss Glam Jambi</t>
        </is>
      </c>
      <c r="E2148" t="n">
        <v>4</v>
      </c>
      <c r="F2148" t="n">
        <v>0.02</v>
      </c>
      <c r="G2148" t="n">
        <v>1</v>
      </c>
      <c r="H2148" t="n">
        <v>4</v>
      </c>
      <c r="I2148" t="n">
        <v>28</v>
      </c>
      <c r="J2148" t="n">
        <v>3</v>
      </c>
      <c r="K2148" t="n">
        <v>0</v>
      </c>
      <c r="L2148" t="n">
        <v>37224</v>
      </c>
      <c r="M2148" t="n">
        <v>46000</v>
      </c>
      <c r="N2148" t="n">
        <v>33</v>
      </c>
      <c r="O2148" t="n">
        <v>0.33</v>
      </c>
      <c r="P2148" t="n">
        <v>0</v>
      </c>
      <c r="Q2148" t="n">
        <v>0.02</v>
      </c>
      <c r="R2148" t="n">
        <v>1</v>
      </c>
      <c r="S2148" t="n">
        <v>920</v>
      </c>
      <c r="T2148" t="n">
        <v>28</v>
      </c>
      <c r="U2148" t="n">
        <v>29</v>
      </c>
      <c r="V2148" t="n">
        <v>30</v>
      </c>
      <c r="W2148" t="n">
        <v>1</v>
      </c>
      <c r="X2148" t="n">
        <v>200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10514</v>
      </c>
      <c r="AG2148" t="n">
        <v>2148</v>
      </c>
      <c r="AH2148" t="inlineStr">
        <is>
          <t>PT. JAYA PALEMBANG SUKSES - PPN (JMB)</t>
        </is>
      </c>
      <c r="AI2148" t="n">
        <v>814</v>
      </c>
      <c r="AJ2148" t="inlineStr">
        <is>
          <t>LOREAL HAIR</t>
        </is>
      </c>
      <c r="AK2148" t="n">
        <v>9</v>
      </c>
      <c r="AL2148" t="inlineStr">
        <is>
          <t>Miss Glam Jambi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LOREAL HAIR</t>
        </is>
      </c>
      <c r="B2149" s="2">
        <f>"40100317947"</f>
        <v/>
      </c>
      <c r="C2149" t="inlineStr">
        <is>
          <t>LOREAL HAIR  Elseve Hyaluron Pure 72H Purifying Conditioner 265ml</t>
        </is>
      </c>
      <c r="D2149" t="inlineStr">
        <is>
          <t>Miss Glam Jambi</t>
        </is>
      </c>
      <c r="E2149" t="n">
        <v>1</v>
      </c>
      <c r="F2149" t="n">
        <v>0.05</v>
      </c>
      <c r="G2149" t="n">
        <v>1</v>
      </c>
      <c r="H2149" t="n">
        <v>4</v>
      </c>
      <c r="I2149" t="n">
        <v>28</v>
      </c>
      <c r="J2149" t="n">
        <v>3</v>
      </c>
      <c r="K2149" t="n">
        <v>0</v>
      </c>
      <c r="L2149" t="n">
        <v>51850</v>
      </c>
      <c r="M2149" t="n">
        <v>65000</v>
      </c>
      <c r="N2149" t="n">
        <v>33</v>
      </c>
      <c r="O2149" t="n">
        <v>0.33</v>
      </c>
      <c r="P2149" t="n">
        <v>0</v>
      </c>
      <c r="Q2149" t="n">
        <v>0.05</v>
      </c>
      <c r="R2149" t="n">
        <v>1</v>
      </c>
      <c r="S2149" t="n">
        <v>3250</v>
      </c>
      <c r="T2149" t="n">
        <v>28</v>
      </c>
      <c r="U2149" t="n">
        <v>29</v>
      </c>
      <c r="V2149" t="n">
        <v>30</v>
      </c>
      <c r="W2149" t="n">
        <v>2</v>
      </c>
      <c r="X2149" t="n">
        <v>20</v>
      </c>
      <c r="Y2149" t="n">
        <v>1</v>
      </c>
      <c r="Z2149" t="n">
        <v>1</v>
      </c>
      <c r="AA2149" t="n">
        <v>1</v>
      </c>
      <c r="AB2149" t="n">
        <v>0</v>
      </c>
      <c r="AC2149" t="n">
        <v>0</v>
      </c>
      <c r="AD2149" t="n">
        <v>51850</v>
      </c>
      <c r="AE2149" t="n">
        <v>0</v>
      </c>
      <c r="AF2149" t="n">
        <v>10514</v>
      </c>
      <c r="AG2149" t="n">
        <v>2148</v>
      </c>
      <c r="AH2149" t="inlineStr">
        <is>
          <t>PT. JAYA PALEMBANG SUKSES - PPN (JMB)</t>
        </is>
      </c>
      <c r="AI2149" t="n">
        <v>814</v>
      </c>
      <c r="AJ2149" t="inlineStr">
        <is>
          <t>LOREAL HAIR</t>
        </is>
      </c>
      <c r="AK2149" t="n">
        <v>9</v>
      </c>
      <c r="AL2149" t="inlineStr">
        <is>
          <t>Miss Glam Jambi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LOREAL HAIR</t>
        </is>
      </c>
      <c r="B2150" s="2">
        <f>"40100149860"</f>
        <v/>
      </c>
      <c r="C2150" t="inlineStr">
        <is>
          <t>LOREAL HAIR  Elseve Hyaluron Pure 72H Purifying Shampoo 280ml</t>
        </is>
      </c>
      <c r="D2150" t="inlineStr">
        <is>
          <t>Miss Glam Jambi</t>
        </is>
      </c>
      <c r="E2150" t="n">
        <v>6</v>
      </c>
      <c r="F2150" t="n">
        <v>0.05</v>
      </c>
      <c r="G2150" t="n">
        <v>1</v>
      </c>
      <c r="H2150" t="n">
        <v>4</v>
      </c>
      <c r="I2150" t="n">
        <v>28</v>
      </c>
      <c r="J2150" t="n">
        <v>3</v>
      </c>
      <c r="K2150" t="n">
        <v>0</v>
      </c>
      <c r="L2150" t="n">
        <v>49588</v>
      </c>
      <c r="M2150" t="n">
        <v>80000</v>
      </c>
      <c r="N2150" t="n">
        <v>33</v>
      </c>
      <c r="O2150" t="n">
        <v>0.33</v>
      </c>
      <c r="P2150" t="n">
        <v>0</v>
      </c>
      <c r="Q2150" t="n">
        <v>0.05</v>
      </c>
      <c r="R2150" t="n">
        <v>1</v>
      </c>
      <c r="S2150" t="n">
        <v>4000</v>
      </c>
      <c r="T2150" t="n">
        <v>28</v>
      </c>
      <c r="U2150" t="n">
        <v>29</v>
      </c>
      <c r="V2150" t="n">
        <v>30</v>
      </c>
      <c r="W2150" t="n">
        <v>2</v>
      </c>
      <c r="X2150" t="n">
        <v>120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10514</v>
      </c>
      <c r="AG2150" t="n">
        <v>2148</v>
      </c>
      <c r="AH2150" t="inlineStr">
        <is>
          <t>PT. JAYA PALEMBANG SUKSES - PPN (JMB)</t>
        </is>
      </c>
      <c r="AI2150" t="n">
        <v>814</v>
      </c>
      <c r="AJ2150" t="inlineStr">
        <is>
          <t>LOREAL HAIR</t>
        </is>
      </c>
      <c r="AK2150" t="n">
        <v>9</v>
      </c>
      <c r="AL2150" t="inlineStr">
        <is>
          <t>Miss Glam Jambi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LOREAL HAIR</t>
        </is>
      </c>
      <c r="B2151" s="2">
        <f>"6923700950632"</f>
        <v/>
      </c>
      <c r="C2151" t="inlineStr">
        <is>
          <t>LOREAL HAIR Elseve Extraordinary Oil Eclat Imperial Pink 100ml</t>
        </is>
      </c>
      <c r="D2151" t="inlineStr">
        <is>
          <t>Miss Glam Jambi</t>
        </is>
      </c>
      <c r="E2151" t="n">
        <v>3</v>
      </c>
      <c r="F2151" t="n">
        <v>0.006600000000000001</v>
      </c>
      <c r="G2151" t="n">
        <v>0.33</v>
      </c>
      <c r="H2151" t="n">
        <v>4</v>
      </c>
      <c r="I2151" t="n">
        <v>28</v>
      </c>
      <c r="J2151" t="n">
        <v>3</v>
      </c>
      <c r="K2151" t="n">
        <v>0</v>
      </c>
      <c r="L2151" t="n">
        <v>132835</v>
      </c>
      <c r="M2151" t="n">
        <v>165000</v>
      </c>
      <c r="N2151" t="n">
        <v>33</v>
      </c>
      <c r="O2151" t="n">
        <v>0.33</v>
      </c>
      <c r="P2151" t="n">
        <v>1</v>
      </c>
      <c r="Q2151" t="n">
        <v>0.02</v>
      </c>
      <c r="R2151" t="n">
        <v>1</v>
      </c>
      <c r="S2151" t="n">
        <v>1089</v>
      </c>
      <c r="T2151" t="n">
        <v>10</v>
      </c>
      <c r="U2151" t="n">
        <v>11</v>
      </c>
      <c r="V2151" t="n">
        <v>30</v>
      </c>
      <c r="W2151" t="n">
        <v>1</v>
      </c>
      <c r="X2151" t="n">
        <v>454.5454545454545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10514</v>
      </c>
      <c r="AG2151" t="n">
        <v>2148</v>
      </c>
      <c r="AH2151" t="inlineStr">
        <is>
          <t>PT. JAYA PALEMBANG SUKSES - PPN (JMB)</t>
        </is>
      </c>
      <c r="AI2151" t="n">
        <v>814</v>
      </c>
      <c r="AJ2151" t="inlineStr">
        <is>
          <t>LOREAL HAIR</t>
        </is>
      </c>
      <c r="AK2151" t="n">
        <v>9</v>
      </c>
      <c r="AL2151" t="inlineStr">
        <is>
          <t>Miss Glam Jambi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LOREAL HAIR</t>
        </is>
      </c>
      <c r="B2152" s="2">
        <f>"4992944111576"</f>
        <v/>
      </c>
      <c r="C2152" t="inlineStr">
        <is>
          <t>LOREAL HAIR Elseve Extraordinary Oil Rich Gold 100ml</t>
        </is>
      </c>
      <c r="D2152" t="inlineStr">
        <is>
          <t>Miss Glam Jambi</t>
        </is>
      </c>
      <c r="E2152" t="n">
        <v>3</v>
      </c>
      <c r="F2152" t="n">
        <v>0.0462</v>
      </c>
      <c r="G2152" t="n">
        <v>0.33</v>
      </c>
      <c r="H2152" t="n">
        <v>4</v>
      </c>
      <c r="I2152" t="n">
        <v>28</v>
      </c>
      <c r="J2152" t="n">
        <v>3</v>
      </c>
      <c r="K2152" t="n">
        <v>0</v>
      </c>
      <c r="L2152" t="n">
        <v>139827</v>
      </c>
      <c r="M2152" t="n">
        <v>213000</v>
      </c>
      <c r="N2152" t="n">
        <v>33</v>
      </c>
      <c r="O2152" t="n">
        <v>0.33</v>
      </c>
      <c r="P2152" t="n">
        <v>1</v>
      </c>
      <c r="Q2152" t="n">
        <v>0.02</v>
      </c>
      <c r="R2152" t="n">
        <v>1</v>
      </c>
      <c r="S2152" t="n">
        <v>9840.6</v>
      </c>
      <c r="T2152" t="n">
        <v>10</v>
      </c>
      <c r="U2152" t="n">
        <v>11</v>
      </c>
      <c r="V2152" t="n">
        <v>30</v>
      </c>
      <c r="W2152" t="n">
        <v>2</v>
      </c>
      <c r="X2152" t="n">
        <v>64.93506493506493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10514</v>
      </c>
      <c r="AG2152" t="n">
        <v>2148</v>
      </c>
      <c r="AH2152" t="inlineStr">
        <is>
          <t>PT. JAYA PALEMBANG SUKSES - PPN (JMB)</t>
        </is>
      </c>
      <c r="AI2152" t="n">
        <v>814</v>
      </c>
      <c r="AJ2152" t="inlineStr">
        <is>
          <t>LOREAL HAIR</t>
        </is>
      </c>
      <c r="AK2152" t="n">
        <v>9</v>
      </c>
      <c r="AL2152" t="inlineStr">
        <is>
          <t>Miss Glam Jambi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LOREAL HAIR</t>
        </is>
      </c>
      <c r="B2153" s="2">
        <f>"6923700950588"</f>
        <v/>
      </c>
      <c r="C2153" t="inlineStr">
        <is>
          <t>LOREAL HAIR Elseve Extraordinary Oil Rich Gold 30ml</t>
        </is>
      </c>
      <c r="D2153" t="inlineStr">
        <is>
          <t>Miss Glam Jambi</t>
        </is>
      </c>
      <c r="E2153" t="n">
        <v>5</v>
      </c>
      <c r="F2153" t="n">
        <v>0.1</v>
      </c>
      <c r="G2153" t="n">
        <v>1</v>
      </c>
      <c r="H2153" t="n">
        <v>4</v>
      </c>
      <c r="I2153" t="n">
        <v>28</v>
      </c>
      <c r="J2153" t="n">
        <v>3</v>
      </c>
      <c r="K2153" t="n">
        <v>0</v>
      </c>
      <c r="L2153" t="n">
        <v>44679</v>
      </c>
      <c r="M2153" t="n">
        <v>72000</v>
      </c>
      <c r="N2153" t="n">
        <v>33</v>
      </c>
      <c r="O2153" t="n">
        <v>0.33</v>
      </c>
      <c r="P2153" t="n">
        <v>0</v>
      </c>
      <c r="Q2153" t="n">
        <v>0.1</v>
      </c>
      <c r="R2153" t="n">
        <v>1</v>
      </c>
      <c r="S2153" t="n">
        <v>7200</v>
      </c>
      <c r="T2153" t="n">
        <v>28</v>
      </c>
      <c r="U2153" t="n">
        <v>29</v>
      </c>
      <c r="V2153" t="n">
        <v>30</v>
      </c>
      <c r="W2153" t="n">
        <v>3</v>
      </c>
      <c r="X2153" t="n">
        <v>50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10514</v>
      </c>
      <c r="AG2153" t="n">
        <v>2148</v>
      </c>
      <c r="AH2153" t="inlineStr">
        <is>
          <t>PT. JAYA PALEMBANG SUKSES - PPN (JMB)</t>
        </is>
      </c>
      <c r="AI2153" t="n">
        <v>814</v>
      </c>
      <c r="AJ2153" t="inlineStr">
        <is>
          <t>LOREAL HAIR</t>
        </is>
      </c>
      <c r="AK2153" t="n">
        <v>9</v>
      </c>
      <c r="AL2153" t="inlineStr">
        <is>
          <t>Miss Glam Jambi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LOREAL HAIR</t>
        </is>
      </c>
      <c r="B2154" s="2">
        <f>"8992304020834"</f>
        <v/>
      </c>
      <c r="C2154" t="inlineStr">
        <is>
          <t>LOREAL HAIR Fall Resist 200ml</t>
        </is>
      </c>
      <c r="D2154" t="inlineStr">
        <is>
          <t>Miss Glam Jambi</t>
        </is>
      </c>
      <c r="E2154" t="n">
        <v>5</v>
      </c>
      <c r="F2154" t="n">
        <v>0.0165</v>
      </c>
      <c r="G2154" t="n">
        <v>0.33</v>
      </c>
      <c r="H2154" t="n">
        <v>4</v>
      </c>
      <c r="I2154" t="n">
        <v>28</v>
      </c>
      <c r="J2154" t="n">
        <v>3</v>
      </c>
      <c r="K2154" t="n">
        <v>0</v>
      </c>
      <c r="L2154" t="n">
        <v>83516</v>
      </c>
      <c r="M2154" t="n">
        <v>101000</v>
      </c>
      <c r="N2154" t="n">
        <v>33</v>
      </c>
      <c r="O2154" t="n">
        <v>0.33</v>
      </c>
      <c r="P2154" t="n">
        <v>1</v>
      </c>
      <c r="Q2154" t="n">
        <v>0.05</v>
      </c>
      <c r="R2154" t="n">
        <v>1</v>
      </c>
      <c r="S2154" t="n">
        <v>1666.5</v>
      </c>
      <c r="T2154" t="n">
        <v>10</v>
      </c>
      <c r="U2154" t="n">
        <v>11</v>
      </c>
      <c r="V2154" t="n">
        <v>30</v>
      </c>
      <c r="W2154" t="n">
        <v>1</v>
      </c>
      <c r="X2154" t="n">
        <v>303.030303030303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10514</v>
      </c>
      <c r="AG2154" t="n">
        <v>2148</v>
      </c>
      <c r="AH2154" t="inlineStr">
        <is>
          <t>PT. JAYA PALEMBANG SUKSES - PPN (JMB)</t>
        </is>
      </c>
      <c r="AI2154" t="n">
        <v>814</v>
      </c>
      <c r="AJ2154" t="inlineStr">
        <is>
          <t>LOREAL HAIR</t>
        </is>
      </c>
      <c r="AK2154" t="n">
        <v>9</v>
      </c>
      <c r="AL2154" t="inlineStr">
        <is>
          <t>Miss Glam Jambi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LOREAL HAIR</t>
        </is>
      </c>
      <c r="B2155" s="2">
        <f>"8994993019120"</f>
        <v/>
      </c>
      <c r="C2155" t="inlineStr">
        <is>
          <t>LOREAL PARIS Elselve 72H Moisture Filling Shampoo 280ml</t>
        </is>
      </c>
      <c r="D2155" t="inlineStr">
        <is>
          <t>Miss Glam Jambi</t>
        </is>
      </c>
      <c r="E2155" t="n">
        <v>4</v>
      </c>
      <c r="F2155" t="n">
        <v>0.009900000000000001</v>
      </c>
      <c r="G2155" t="n">
        <v>0.33</v>
      </c>
      <c r="H2155" t="n">
        <v>4</v>
      </c>
      <c r="I2155" t="n">
        <v>28</v>
      </c>
      <c r="J2155" t="n">
        <v>3</v>
      </c>
      <c r="K2155" t="n">
        <v>0</v>
      </c>
      <c r="L2155" t="n">
        <v>59505</v>
      </c>
      <c r="M2155" t="n">
        <v>63000</v>
      </c>
      <c r="N2155" t="n">
        <v>33</v>
      </c>
      <c r="O2155" t="n">
        <v>0.33</v>
      </c>
      <c r="P2155" t="n">
        <v>1</v>
      </c>
      <c r="Q2155" t="n">
        <v>0.02</v>
      </c>
      <c r="R2155" t="n">
        <v>1</v>
      </c>
      <c r="S2155" t="n">
        <v>623.7</v>
      </c>
      <c r="T2155" t="n">
        <v>10</v>
      </c>
      <c r="U2155" t="n">
        <v>11</v>
      </c>
      <c r="V2155" t="n">
        <v>30</v>
      </c>
      <c r="W2155" t="n">
        <v>1</v>
      </c>
      <c r="X2155" t="n">
        <v>404.040404040404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10514</v>
      </c>
      <c r="AG2155" t="n">
        <v>2148</v>
      </c>
      <c r="AH2155" t="inlineStr">
        <is>
          <t>PT. JAYA PALEMBANG SUKSES - PPN (JMB)</t>
        </is>
      </c>
      <c r="AI2155" t="n">
        <v>814</v>
      </c>
      <c r="AJ2155" t="inlineStr">
        <is>
          <t>LOREAL HAIR</t>
        </is>
      </c>
      <c r="AK2155" t="n">
        <v>9</v>
      </c>
      <c r="AL2155" t="inlineStr">
        <is>
          <t>Miss Glam Jambi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LOREAL HAIR</t>
        </is>
      </c>
      <c r="B2156" s="2">
        <f>"8992304010101"</f>
        <v/>
      </c>
      <c r="C2156" t="inlineStr">
        <is>
          <t>LOREAL Paris Elseve Color Protect 7 Weeks Protecting Shampoo 155ml</t>
        </is>
      </c>
      <c r="D2156" t="inlineStr">
        <is>
          <t>Miss Glam Jambi</t>
        </is>
      </c>
      <c r="E2156" t="n">
        <v>3</v>
      </c>
      <c r="F2156" t="n">
        <v>0.02</v>
      </c>
      <c r="G2156" t="n">
        <v>1</v>
      </c>
      <c r="H2156" t="n">
        <v>4</v>
      </c>
      <c r="I2156" t="n">
        <v>28</v>
      </c>
      <c r="J2156" t="n">
        <v>3</v>
      </c>
      <c r="K2156" t="n">
        <v>0</v>
      </c>
      <c r="L2156" t="n">
        <v>37224</v>
      </c>
      <c r="M2156" t="n">
        <v>48000</v>
      </c>
      <c r="N2156" t="n">
        <v>33</v>
      </c>
      <c r="O2156" t="n">
        <v>0.33</v>
      </c>
      <c r="P2156" t="n">
        <v>0</v>
      </c>
      <c r="Q2156" t="n">
        <v>0.02</v>
      </c>
      <c r="R2156" t="n">
        <v>1</v>
      </c>
      <c r="S2156" t="n">
        <v>960</v>
      </c>
      <c r="T2156" t="n">
        <v>28</v>
      </c>
      <c r="U2156" t="n">
        <v>29</v>
      </c>
      <c r="V2156" t="n">
        <v>30</v>
      </c>
      <c r="W2156" t="n">
        <v>1</v>
      </c>
      <c r="X2156" t="n">
        <v>150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10514</v>
      </c>
      <c r="AG2156" t="n">
        <v>2148</v>
      </c>
      <c r="AH2156" t="inlineStr">
        <is>
          <t>PT. JAYA PALEMBANG SUKSES - PPN (JMB)</t>
        </is>
      </c>
      <c r="AI2156" t="n">
        <v>814</v>
      </c>
      <c r="AJ2156" t="inlineStr">
        <is>
          <t>LOREAL HAIR</t>
        </is>
      </c>
      <c r="AK2156" t="n">
        <v>9</v>
      </c>
      <c r="AL2156" t="inlineStr">
        <is>
          <t>Miss Glam Jambi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LOREAL HAIR</t>
        </is>
      </c>
      <c r="B2157" s="2">
        <f>"8994993011872"</f>
        <v/>
      </c>
      <c r="C2157" t="inlineStr">
        <is>
          <t>LOREAL Paris Elseve Fall Resist 3x Anti Hairfall 155ml</t>
        </is>
      </c>
      <c r="D2157" t="inlineStr">
        <is>
          <t>Miss Glam Jambi</t>
        </is>
      </c>
      <c r="E2157" t="n">
        <v>0</v>
      </c>
      <c r="F2157" t="n">
        <v>0.05</v>
      </c>
      <c r="G2157" t="n">
        <v>1</v>
      </c>
      <c r="H2157" t="n">
        <v>4</v>
      </c>
      <c r="I2157" t="n">
        <v>28</v>
      </c>
      <c r="J2157" t="n">
        <v>3</v>
      </c>
      <c r="K2157" t="n">
        <v>0</v>
      </c>
      <c r="L2157" t="n">
        <v>37224</v>
      </c>
      <c r="M2157" t="n">
        <v>54000</v>
      </c>
      <c r="N2157" t="n">
        <v>33</v>
      </c>
      <c r="O2157" t="n">
        <v>0.33</v>
      </c>
      <c r="P2157" t="n">
        <v>0</v>
      </c>
      <c r="Q2157" t="n">
        <v>0.05</v>
      </c>
      <c r="R2157" t="n">
        <v>1</v>
      </c>
      <c r="S2157" t="n">
        <v>2700</v>
      </c>
      <c r="T2157" t="n">
        <v>28</v>
      </c>
      <c r="U2157" t="n">
        <v>29</v>
      </c>
      <c r="V2157" t="n">
        <v>30</v>
      </c>
      <c r="W2157" t="n">
        <v>2</v>
      </c>
      <c r="X2157" t="n">
        <v>0</v>
      </c>
      <c r="Y2157" t="n">
        <v>1</v>
      </c>
      <c r="Z2157" t="n">
        <v>2</v>
      </c>
      <c r="AA2157" t="n">
        <v>2</v>
      </c>
      <c r="AB2157" t="n">
        <v>0</v>
      </c>
      <c r="AC2157" t="n">
        <v>0</v>
      </c>
      <c r="AD2157" t="n">
        <v>74448</v>
      </c>
      <c r="AE2157" t="n">
        <v>0</v>
      </c>
      <c r="AF2157" t="n">
        <v>10514</v>
      </c>
      <c r="AG2157" t="n">
        <v>2148</v>
      </c>
      <c r="AH2157" t="inlineStr">
        <is>
          <t>PT. JAYA PALEMBANG SUKSES - PPN (JMB)</t>
        </is>
      </c>
      <c r="AI2157" t="n">
        <v>814</v>
      </c>
      <c r="AJ2157" t="inlineStr">
        <is>
          <t>LOREAL HAIR</t>
        </is>
      </c>
      <c r="AK2157" t="n">
        <v>9</v>
      </c>
      <c r="AL2157" t="inlineStr">
        <is>
          <t>Miss Glam Jambi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LOREAL HAIR</t>
        </is>
      </c>
      <c r="B2158" s="2">
        <f>"8994993012480"</f>
        <v/>
      </c>
      <c r="C2158" t="inlineStr">
        <is>
          <t>LOREAL Paris Elseve Fall Resist 3x Anti Hairfall Shampoo 155ml</t>
        </is>
      </c>
      <c r="D2158" t="inlineStr">
        <is>
          <t>Miss Glam Jambi</t>
        </is>
      </c>
      <c r="E2158" t="n">
        <v>5</v>
      </c>
      <c r="F2158" t="n">
        <v>0.12</v>
      </c>
      <c r="G2158" t="n">
        <v>3</v>
      </c>
      <c r="H2158" t="n">
        <v>4</v>
      </c>
      <c r="I2158" t="n">
        <v>28</v>
      </c>
      <c r="J2158" t="n">
        <v>3</v>
      </c>
      <c r="K2158" t="n">
        <v>0</v>
      </c>
      <c r="L2158" t="n">
        <v>37284</v>
      </c>
      <c r="M2158" t="n">
        <v>54000</v>
      </c>
      <c r="N2158" t="n">
        <v>33</v>
      </c>
      <c r="O2158" t="n">
        <v>0.33</v>
      </c>
      <c r="P2158" t="n">
        <v>0</v>
      </c>
      <c r="Q2158" t="n">
        <v>0.12</v>
      </c>
      <c r="R2158" t="n">
        <v>3</v>
      </c>
      <c r="S2158" t="n">
        <v>6480</v>
      </c>
      <c r="T2158" t="n">
        <v>84</v>
      </c>
      <c r="U2158" t="n">
        <v>85</v>
      </c>
      <c r="V2158" t="n">
        <v>30</v>
      </c>
      <c r="W2158" t="n">
        <v>4</v>
      </c>
      <c r="X2158" t="n">
        <v>41.66666666666667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10514</v>
      </c>
      <c r="AG2158" t="n">
        <v>2148</v>
      </c>
      <c r="AH2158" t="inlineStr">
        <is>
          <t>PT. JAYA PALEMBANG SUKSES - PPN (JMB)</t>
        </is>
      </c>
      <c r="AI2158" t="n">
        <v>814</v>
      </c>
      <c r="AJ2158" t="inlineStr">
        <is>
          <t>LOREAL HAIR</t>
        </is>
      </c>
      <c r="AK2158" t="n">
        <v>9</v>
      </c>
      <c r="AL2158" t="inlineStr">
        <is>
          <t>Miss Glam Jambi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LOREAL HAIR</t>
        </is>
      </c>
      <c r="B2159" s="2">
        <f>"8994993012497"</f>
        <v/>
      </c>
      <c r="C2159" t="inlineStr">
        <is>
          <t>LOREAL Paris Elseve Fall Resist 3x Anti Hairfall Shampoo Scalp + Hair With Arginine 280ml</t>
        </is>
      </c>
      <c r="D2159" t="inlineStr">
        <is>
          <t>Miss Glam Jambi</t>
        </is>
      </c>
      <c r="E2159" t="n">
        <v>2</v>
      </c>
      <c r="F2159" t="n">
        <v>0.0363</v>
      </c>
      <c r="G2159" t="n">
        <v>0.66</v>
      </c>
      <c r="H2159" t="n">
        <v>4</v>
      </c>
      <c r="I2159" t="n">
        <v>28</v>
      </c>
      <c r="J2159" t="n">
        <v>3</v>
      </c>
      <c r="K2159" t="n">
        <v>0</v>
      </c>
      <c r="L2159" t="n">
        <v>60739</v>
      </c>
      <c r="M2159" t="n">
        <v>79000</v>
      </c>
      <c r="N2159" t="n">
        <v>33</v>
      </c>
      <c r="O2159" t="n">
        <v>0.33</v>
      </c>
      <c r="P2159" t="n">
        <v>1</v>
      </c>
      <c r="Q2159" t="n">
        <v>0.02</v>
      </c>
      <c r="R2159" t="n">
        <v>0</v>
      </c>
      <c r="S2159" t="n">
        <v>2867.7</v>
      </c>
      <c r="T2159" t="n">
        <v>19</v>
      </c>
      <c r="U2159" t="n">
        <v>20</v>
      </c>
      <c r="V2159" t="n">
        <v>30</v>
      </c>
      <c r="W2159" t="n">
        <v>2</v>
      </c>
      <c r="X2159" t="n">
        <v>55.09641873278237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10514</v>
      </c>
      <c r="AG2159" t="n">
        <v>2148</v>
      </c>
      <c r="AH2159" t="inlineStr">
        <is>
          <t>PT. JAYA PALEMBANG SUKSES - PPN (JMB)</t>
        </is>
      </c>
      <c r="AI2159" t="n">
        <v>814</v>
      </c>
      <c r="AJ2159" t="inlineStr">
        <is>
          <t>LOREAL HAIR</t>
        </is>
      </c>
      <c r="AK2159" t="n">
        <v>9</v>
      </c>
      <c r="AL2159" t="inlineStr">
        <is>
          <t>Miss Glam Jambi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LOREAL HAIR</t>
        </is>
      </c>
      <c r="B2160" s="2">
        <f>"8992304031281"</f>
        <v/>
      </c>
      <c r="C2160" t="inlineStr">
        <is>
          <t>LOREAL Paris Elseve Fall Resist 3x Anti-Hairfall Shampoo-Scalp+Hair 410ml</t>
        </is>
      </c>
      <c r="D2160" t="inlineStr">
        <is>
          <t>Miss Glam Jambi</t>
        </is>
      </c>
      <c r="E2160" t="n">
        <v>4</v>
      </c>
      <c r="F2160" t="n">
        <v>0.02</v>
      </c>
      <c r="G2160" t="n">
        <v>1</v>
      </c>
      <c r="H2160" t="n">
        <v>4</v>
      </c>
      <c r="I2160" t="n">
        <v>28</v>
      </c>
      <c r="J2160" t="n">
        <v>3</v>
      </c>
      <c r="K2160" t="n">
        <v>0</v>
      </c>
      <c r="L2160" t="n">
        <v>64659</v>
      </c>
      <c r="M2160" t="n">
        <v>100000</v>
      </c>
      <c r="N2160" t="n">
        <v>33</v>
      </c>
      <c r="O2160" t="n">
        <v>0.33</v>
      </c>
      <c r="P2160" t="n">
        <v>0</v>
      </c>
      <c r="Q2160" t="n">
        <v>0.02</v>
      </c>
      <c r="R2160" t="n">
        <v>1</v>
      </c>
      <c r="S2160" t="n">
        <v>2000</v>
      </c>
      <c r="T2160" t="n">
        <v>28</v>
      </c>
      <c r="U2160" t="n">
        <v>29</v>
      </c>
      <c r="V2160" t="n">
        <v>30</v>
      </c>
      <c r="W2160" t="n">
        <v>1</v>
      </c>
      <c r="X2160" t="n">
        <v>200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10514</v>
      </c>
      <c r="AG2160" t="n">
        <v>2148</v>
      </c>
      <c r="AH2160" t="inlineStr">
        <is>
          <t>PT. JAYA PALEMBANG SUKSES - PPN (JMB)</t>
        </is>
      </c>
      <c r="AI2160" t="n">
        <v>814</v>
      </c>
      <c r="AJ2160" t="inlineStr">
        <is>
          <t>LOREAL HAIR</t>
        </is>
      </c>
      <c r="AK2160" t="n">
        <v>9</v>
      </c>
      <c r="AL2160" t="inlineStr">
        <is>
          <t>Miss Glam Jambi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 HAIR</t>
        </is>
      </c>
      <c r="B2161" s="2">
        <f>"8994993019090"</f>
        <v/>
      </c>
      <c r="C2161" t="inlineStr">
        <is>
          <t>LOREAL PARIS Elseve Hydra Filling Night Cream 150ml</t>
        </is>
      </c>
      <c r="D2161" t="inlineStr">
        <is>
          <t>Miss Glam Jambi</t>
        </is>
      </c>
      <c r="E2161" t="n">
        <v>3</v>
      </c>
      <c r="F2161" t="n">
        <v>0.0231</v>
      </c>
      <c r="G2161" t="n">
        <v>0.33</v>
      </c>
      <c r="H2161" t="n">
        <v>4</v>
      </c>
      <c r="I2161" t="n">
        <v>28</v>
      </c>
      <c r="J2161" t="n">
        <v>3</v>
      </c>
      <c r="K2161" t="n">
        <v>0</v>
      </c>
      <c r="L2161" t="n">
        <v>53147</v>
      </c>
      <c r="M2161" t="n">
        <v>66500</v>
      </c>
      <c r="N2161" t="n">
        <v>33</v>
      </c>
      <c r="O2161" t="n">
        <v>0.33</v>
      </c>
      <c r="P2161" t="n">
        <v>1</v>
      </c>
      <c r="Q2161" t="n">
        <v>0.03</v>
      </c>
      <c r="R2161" t="n">
        <v>1</v>
      </c>
      <c r="S2161" t="n">
        <v>1536.15</v>
      </c>
      <c r="T2161" t="n">
        <v>10</v>
      </c>
      <c r="U2161" t="n">
        <v>11</v>
      </c>
      <c r="V2161" t="n">
        <v>30</v>
      </c>
      <c r="W2161" t="n">
        <v>1</v>
      </c>
      <c r="X2161" t="n">
        <v>129.8701298701299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10514</v>
      </c>
      <c r="AG2161" t="n">
        <v>2148</v>
      </c>
      <c r="AH2161" t="inlineStr">
        <is>
          <t>PT. JAYA PALEMBANG SUKSES - PPN (JMB)</t>
        </is>
      </c>
      <c r="AI2161" t="n">
        <v>814</v>
      </c>
      <c r="AJ2161" t="inlineStr">
        <is>
          <t>LOREAL HAIR</t>
        </is>
      </c>
      <c r="AK2161" t="n">
        <v>9</v>
      </c>
      <c r="AL2161" t="inlineStr">
        <is>
          <t>Miss Glam Jambi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 HAIR</t>
        </is>
      </c>
      <c r="B2162" s="2">
        <f>"8992304010125"</f>
        <v/>
      </c>
      <c r="C2162" t="inlineStr">
        <is>
          <t>LOREAL Paris Elseve Total Repair 5 3% Repair Concentrate 115ml</t>
        </is>
      </c>
      <c r="D2162" t="inlineStr">
        <is>
          <t>Miss Glam Jambi</t>
        </is>
      </c>
      <c r="E2162" t="n">
        <v>6</v>
      </c>
      <c r="F2162" t="n">
        <v>0.05</v>
      </c>
      <c r="G2162" t="n">
        <v>1</v>
      </c>
      <c r="H2162" t="n">
        <v>4</v>
      </c>
      <c r="I2162" t="n">
        <v>28</v>
      </c>
      <c r="J2162" t="n">
        <v>3</v>
      </c>
      <c r="K2162" t="n">
        <v>0</v>
      </c>
      <c r="L2162" t="n">
        <v>37224</v>
      </c>
      <c r="M2162" t="n">
        <v>48000</v>
      </c>
      <c r="N2162" t="n">
        <v>33</v>
      </c>
      <c r="O2162" t="n">
        <v>0.33</v>
      </c>
      <c r="P2162" t="n">
        <v>0</v>
      </c>
      <c r="Q2162" t="n">
        <v>0.05</v>
      </c>
      <c r="R2162" t="n">
        <v>1</v>
      </c>
      <c r="S2162" t="n">
        <v>2400</v>
      </c>
      <c r="T2162" t="n">
        <v>28</v>
      </c>
      <c r="U2162" t="n">
        <v>29</v>
      </c>
      <c r="V2162" t="n">
        <v>30</v>
      </c>
      <c r="W2162" t="n">
        <v>2</v>
      </c>
      <c r="X2162" t="n">
        <v>120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10514</v>
      </c>
      <c r="AG2162" t="n">
        <v>2148</v>
      </c>
      <c r="AH2162" t="inlineStr">
        <is>
          <t>PT. JAYA PALEMBANG SUKSES - PPN (JMB)</t>
        </is>
      </c>
      <c r="AI2162" t="n">
        <v>814</v>
      </c>
      <c r="AJ2162" t="inlineStr">
        <is>
          <t>LOREAL HAIR</t>
        </is>
      </c>
      <c r="AK2162" t="n">
        <v>9</v>
      </c>
      <c r="AL2162" t="inlineStr">
        <is>
          <t>Miss Glam Jambi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 HAIR</t>
        </is>
      </c>
      <c r="B2163" s="2">
        <f>"8994993011995"</f>
        <v/>
      </c>
      <c r="C2163" t="inlineStr">
        <is>
          <t>LOREAL Paris Elseve Total Repair 5 Repairing Shampoo 3% Repair Concentrate With Keratin 280ml</t>
        </is>
      </c>
      <c r="D2163" t="inlineStr">
        <is>
          <t>Miss Glam Jambi</t>
        </is>
      </c>
      <c r="E2163" t="n">
        <v>4</v>
      </c>
      <c r="F2163" t="n">
        <v>0.02</v>
      </c>
      <c r="G2163" t="n">
        <v>1</v>
      </c>
      <c r="H2163" t="n">
        <v>4</v>
      </c>
      <c r="I2163" t="n">
        <v>28</v>
      </c>
      <c r="J2163" t="n">
        <v>3</v>
      </c>
      <c r="K2163" t="n">
        <v>0</v>
      </c>
      <c r="L2163" t="n">
        <v>54665</v>
      </c>
      <c r="M2163" t="n">
        <v>58000</v>
      </c>
      <c r="N2163" t="n">
        <v>33</v>
      </c>
      <c r="O2163" t="n">
        <v>0.33</v>
      </c>
      <c r="P2163" t="n">
        <v>0</v>
      </c>
      <c r="Q2163" t="n">
        <v>0.02</v>
      </c>
      <c r="R2163" t="n">
        <v>1</v>
      </c>
      <c r="S2163" t="n">
        <v>1160</v>
      </c>
      <c r="T2163" t="n">
        <v>28</v>
      </c>
      <c r="U2163" t="n">
        <v>29</v>
      </c>
      <c r="V2163" t="n">
        <v>30</v>
      </c>
      <c r="W2163" t="n">
        <v>1</v>
      </c>
      <c r="X2163" t="n">
        <v>200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10514</v>
      </c>
      <c r="AG2163" t="n">
        <v>2148</v>
      </c>
      <c r="AH2163" t="inlineStr">
        <is>
          <t>PT. JAYA PALEMBANG SUKSES - PPN (JMB)</t>
        </is>
      </c>
      <c r="AI2163" t="n">
        <v>814</v>
      </c>
      <c r="AJ2163" t="inlineStr">
        <is>
          <t>LOREAL HAIR</t>
        </is>
      </c>
      <c r="AK2163" t="n">
        <v>9</v>
      </c>
      <c r="AL2163" t="inlineStr">
        <is>
          <t>Miss Glam Jambi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 HAIR</t>
        </is>
      </c>
      <c r="B2164" s="2">
        <f>"8991380038108"</f>
        <v/>
      </c>
      <c r="C2164" t="inlineStr">
        <is>
          <t>LOREAL Total Repair Ceramide 200ml</t>
        </is>
      </c>
      <c r="D2164" t="inlineStr">
        <is>
          <t>Miss Glam Jambi</t>
        </is>
      </c>
      <c r="E2164" t="n">
        <v>1</v>
      </c>
      <c r="F2164" t="n">
        <v>0.006600000000000001</v>
      </c>
      <c r="G2164" t="n">
        <v>0.33</v>
      </c>
      <c r="H2164" t="n">
        <v>4</v>
      </c>
      <c r="I2164" t="n">
        <v>28</v>
      </c>
      <c r="J2164" t="n">
        <v>3</v>
      </c>
      <c r="K2164" t="n">
        <v>0</v>
      </c>
      <c r="L2164" t="n">
        <v>80986</v>
      </c>
      <c r="M2164" t="n">
        <v>101000</v>
      </c>
      <c r="N2164" t="n">
        <v>33</v>
      </c>
      <c r="O2164" t="n">
        <v>0.33</v>
      </c>
      <c r="P2164" t="n">
        <v>1</v>
      </c>
      <c r="Q2164" t="n">
        <v>0.02</v>
      </c>
      <c r="R2164" t="n">
        <v>1</v>
      </c>
      <c r="S2164" t="n">
        <v>666.6000000000001</v>
      </c>
      <c r="T2164" t="n">
        <v>10</v>
      </c>
      <c r="U2164" t="n">
        <v>11</v>
      </c>
      <c r="V2164" t="n">
        <v>30</v>
      </c>
      <c r="W2164" t="n">
        <v>1</v>
      </c>
      <c r="X2164" t="n">
        <v>151.5151515151515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10514</v>
      </c>
      <c r="AG2164" t="n">
        <v>2148</v>
      </c>
      <c r="AH2164" t="inlineStr">
        <is>
          <t>PT. JAYA PALEMBANG SUKSES - PPN (JMB)</t>
        </is>
      </c>
      <c r="AI2164" t="n">
        <v>814</v>
      </c>
      <c r="AJ2164" t="inlineStr">
        <is>
          <t>LOREAL HAIR</t>
        </is>
      </c>
      <c r="AK2164" t="n">
        <v>9</v>
      </c>
      <c r="AL2164" t="inlineStr">
        <is>
          <t>Miss Glam Jambi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LOVILLEA</t>
        </is>
      </c>
      <c r="B2165" s="2">
        <f>"30400361749"</f>
        <v/>
      </c>
      <c r="C2165" t="inlineStr">
        <is>
          <t>LOVILLEA  Love Language Eau De Parfum Precious Gift 100ml</t>
        </is>
      </c>
      <c r="D2165" t="inlineStr">
        <is>
          <t>Miss Glam Jambi</t>
        </is>
      </c>
      <c r="E2165" t="n">
        <v>2</v>
      </c>
      <c r="F2165" t="n">
        <v>0.009900000000000001</v>
      </c>
      <c r="G2165" t="n">
        <v>0.33</v>
      </c>
      <c r="H2165" t="n">
        <v>2</v>
      </c>
      <c r="I2165" t="n">
        <v>6</v>
      </c>
      <c r="J2165" t="n">
        <v>1</v>
      </c>
      <c r="K2165" t="n">
        <v>0</v>
      </c>
      <c r="L2165" t="n">
        <v>22459</v>
      </c>
      <c r="M2165" t="n">
        <v>28000</v>
      </c>
      <c r="N2165" t="n">
        <v>33</v>
      </c>
      <c r="O2165" t="n">
        <v>0.33</v>
      </c>
      <c r="P2165" t="n">
        <v>1</v>
      </c>
      <c r="Q2165" t="n">
        <v>0.05</v>
      </c>
      <c r="R2165" t="n">
        <v>1</v>
      </c>
      <c r="S2165" t="n">
        <v>277.2</v>
      </c>
      <c r="T2165" t="n">
        <v>2</v>
      </c>
      <c r="U2165" t="n">
        <v>3</v>
      </c>
      <c r="V2165" t="n">
        <v>30</v>
      </c>
      <c r="W2165" t="n">
        <v>1</v>
      </c>
      <c r="X2165" t="n">
        <v>202.020202020202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1381</v>
      </c>
      <c r="AG2165" t="n">
        <v>2136</v>
      </c>
      <c r="AH2165" t="inlineStr">
        <is>
          <t>CV. SAMUDRA JAYA ABADI - PPN (JMB)</t>
        </is>
      </c>
      <c r="AI2165" t="n">
        <v>1455</v>
      </c>
      <c r="AJ2165" t="inlineStr">
        <is>
          <t>LOVILLEA</t>
        </is>
      </c>
      <c r="AK2165" t="n">
        <v>9</v>
      </c>
      <c r="AL2165" t="inlineStr">
        <is>
          <t>Miss Glam Jambi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LOVILLEA</t>
        </is>
      </c>
      <c r="B2166" s="2">
        <f>"30400361827"</f>
        <v/>
      </c>
      <c r="C2166" t="inlineStr">
        <is>
          <t>LOVILLEA  Love Language Eau De Parfum Sincere Attention 100ml</t>
        </is>
      </c>
      <c r="D2166" t="inlineStr">
        <is>
          <t>Miss Glam Jambi</t>
        </is>
      </c>
      <c r="E2166" t="n">
        <v>6</v>
      </c>
      <c r="F2166" t="n">
        <v>0.009900000000000001</v>
      </c>
      <c r="G2166" t="n">
        <v>0.33</v>
      </c>
      <c r="H2166" t="n">
        <v>2</v>
      </c>
      <c r="I2166" t="n">
        <v>6</v>
      </c>
      <c r="J2166" t="n">
        <v>1</v>
      </c>
      <c r="K2166" t="n">
        <v>0</v>
      </c>
      <c r="L2166" t="n">
        <v>22051</v>
      </c>
      <c r="M2166" t="n">
        <v>28000</v>
      </c>
      <c r="N2166" t="n">
        <v>33</v>
      </c>
      <c r="O2166" t="n">
        <v>0.33</v>
      </c>
      <c r="P2166" t="n">
        <v>1</v>
      </c>
      <c r="Q2166" t="n">
        <v>0.02</v>
      </c>
      <c r="R2166" t="n">
        <v>1</v>
      </c>
      <c r="S2166" t="n">
        <v>277.2</v>
      </c>
      <c r="T2166" t="n">
        <v>2</v>
      </c>
      <c r="U2166" t="n">
        <v>3</v>
      </c>
      <c r="V2166" t="n">
        <v>30</v>
      </c>
      <c r="W2166" t="n">
        <v>1</v>
      </c>
      <c r="X2166" t="n">
        <v>606.060606060606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1381</v>
      </c>
      <c r="AG2166" t="n">
        <v>2136</v>
      </c>
      <c r="AH2166" t="inlineStr">
        <is>
          <t>CV. SAMUDRA JAYA ABADI - PPN (JMB)</t>
        </is>
      </c>
      <c r="AI2166" t="n">
        <v>1455</v>
      </c>
      <c r="AJ2166" t="inlineStr">
        <is>
          <t>LOVILLEA</t>
        </is>
      </c>
      <c r="AK2166" t="n">
        <v>9</v>
      </c>
      <c r="AL2166" t="inlineStr">
        <is>
          <t>Miss Glam Jambi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LOVILLEA</t>
        </is>
      </c>
      <c r="B2167" s="2">
        <f>"30400361536"</f>
        <v/>
      </c>
      <c r="C2167" t="inlineStr">
        <is>
          <t>LOVILLEA  Love Language Eau De Parfum Sweet Talk 100ml</t>
        </is>
      </c>
      <c r="D2167" t="inlineStr">
        <is>
          <t>Miss Glam Jambi</t>
        </is>
      </c>
      <c r="E2167" t="n">
        <v>2</v>
      </c>
      <c r="F2167" t="n">
        <v>0.07920000000000001</v>
      </c>
      <c r="G2167" t="n">
        <v>0.99</v>
      </c>
      <c r="H2167" t="n">
        <v>2</v>
      </c>
      <c r="I2167" t="n">
        <v>6</v>
      </c>
      <c r="J2167" t="n">
        <v>1</v>
      </c>
      <c r="K2167" t="n">
        <v>1</v>
      </c>
      <c r="L2167" t="n">
        <v>22051</v>
      </c>
      <c r="M2167" t="n">
        <v>28000</v>
      </c>
      <c r="N2167" t="n">
        <v>33</v>
      </c>
      <c r="O2167" t="n">
        <v>0.33</v>
      </c>
      <c r="P2167" t="n">
        <v>1</v>
      </c>
      <c r="Q2167" t="n">
        <v>0.07000000000000001</v>
      </c>
      <c r="R2167" t="n">
        <v>1</v>
      </c>
      <c r="S2167" t="n">
        <v>2217.6</v>
      </c>
      <c r="T2167" t="n">
        <v>6</v>
      </c>
      <c r="U2167" t="n">
        <v>7</v>
      </c>
      <c r="V2167" t="n">
        <v>30</v>
      </c>
      <c r="W2167" t="n">
        <v>3</v>
      </c>
      <c r="X2167" t="n">
        <v>25.25252525252525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1381</v>
      </c>
      <c r="AG2167" t="n">
        <v>2136</v>
      </c>
      <c r="AH2167" t="inlineStr">
        <is>
          <t>CV. SAMUDRA JAYA ABADI - PPN (JMB)</t>
        </is>
      </c>
      <c r="AI2167" t="n">
        <v>1455</v>
      </c>
      <c r="AJ2167" t="inlineStr">
        <is>
          <t>LOVILLEA</t>
        </is>
      </c>
      <c r="AK2167" t="n">
        <v>9</v>
      </c>
      <c r="AL2167" t="inlineStr">
        <is>
          <t>Miss Glam Jambi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LOVILLEA</t>
        </is>
      </c>
      <c r="B2168" s="2">
        <f>"30400361901"</f>
        <v/>
      </c>
      <c r="C2168" t="inlineStr">
        <is>
          <t>LOVILLEA  Love Language Eau De Parfum Warm Hug 100ml</t>
        </is>
      </c>
      <c r="D2168" t="inlineStr">
        <is>
          <t>Miss Glam Jambi</t>
        </is>
      </c>
      <c r="E2168" t="n">
        <v>4</v>
      </c>
      <c r="F2168" t="n">
        <v>0.0264</v>
      </c>
      <c r="G2168" t="n">
        <v>0.33</v>
      </c>
      <c r="H2168" t="n">
        <v>2</v>
      </c>
      <c r="I2168" t="n">
        <v>6</v>
      </c>
      <c r="J2168" t="n">
        <v>1</v>
      </c>
      <c r="K2168" t="n">
        <v>0</v>
      </c>
      <c r="L2168" t="n">
        <v>22051</v>
      </c>
      <c r="M2168" t="n">
        <v>28000</v>
      </c>
      <c r="N2168" t="n">
        <v>33</v>
      </c>
      <c r="O2168" t="n">
        <v>0.33</v>
      </c>
      <c r="P2168" t="n">
        <v>1</v>
      </c>
      <c r="Q2168" t="n">
        <v>0.03</v>
      </c>
      <c r="R2168" t="n">
        <v>1</v>
      </c>
      <c r="S2168" t="n">
        <v>739.2</v>
      </c>
      <c r="T2168" t="n">
        <v>2</v>
      </c>
      <c r="U2168" t="n">
        <v>3</v>
      </c>
      <c r="V2168" t="n">
        <v>30</v>
      </c>
      <c r="W2168" t="n">
        <v>1</v>
      </c>
      <c r="X2168" t="n">
        <v>151.5151515151515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1381</v>
      </c>
      <c r="AG2168" t="n">
        <v>2136</v>
      </c>
      <c r="AH2168" t="inlineStr">
        <is>
          <t>CV. SAMUDRA JAYA ABADI - PPN (JMB)</t>
        </is>
      </c>
      <c r="AI2168" t="n">
        <v>1455</v>
      </c>
      <c r="AJ2168" t="inlineStr">
        <is>
          <t>LOVILLEA</t>
        </is>
      </c>
      <c r="AK2168" t="n">
        <v>9</v>
      </c>
      <c r="AL2168" t="inlineStr">
        <is>
          <t>Miss Glam Jambi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LOVILLEA</t>
        </is>
      </c>
      <c r="B2169" s="2">
        <f>"20100576326"</f>
        <v/>
      </c>
      <c r="C2169" t="inlineStr">
        <is>
          <t>LOVILLEA  Velvety Bright Compact Powder 03 Creamy Rose 9gr</t>
        </is>
      </c>
      <c r="D2169" t="inlineStr">
        <is>
          <t>Miss Glam Jambi</t>
        </is>
      </c>
      <c r="E2169" t="n">
        <v>5</v>
      </c>
      <c r="F2169" t="n">
        <v>0.02</v>
      </c>
      <c r="G2169" t="n">
        <v>1</v>
      </c>
      <c r="H2169" t="n">
        <v>2</v>
      </c>
      <c r="I2169" t="n">
        <v>6</v>
      </c>
      <c r="J2169" t="n">
        <v>1</v>
      </c>
      <c r="K2169" t="n">
        <v>0</v>
      </c>
      <c r="L2169" t="n">
        <v>19600</v>
      </c>
      <c r="M2169" t="n">
        <v>25000</v>
      </c>
      <c r="N2169" t="n">
        <v>33</v>
      </c>
      <c r="O2169" t="n">
        <v>0.33</v>
      </c>
      <c r="P2169" t="n">
        <v>0</v>
      </c>
      <c r="Q2169" t="n">
        <v>0.02</v>
      </c>
      <c r="R2169" t="n">
        <v>1</v>
      </c>
      <c r="S2169" t="n">
        <v>500</v>
      </c>
      <c r="T2169" t="n">
        <v>6</v>
      </c>
      <c r="U2169" t="n">
        <v>7</v>
      </c>
      <c r="V2169" t="n">
        <v>30</v>
      </c>
      <c r="W2169" t="n">
        <v>1</v>
      </c>
      <c r="X2169" t="n">
        <v>250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1381</v>
      </c>
      <c r="AG2169" t="n">
        <v>2136</v>
      </c>
      <c r="AH2169" t="inlineStr">
        <is>
          <t>CV. SAMUDRA JAYA ABADI - PPN (JMB)</t>
        </is>
      </c>
      <c r="AI2169" t="n">
        <v>1455</v>
      </c>
      <c r="AJ2169" t="inlineStr">
        <is>
          <t>LOVILLEA</t>
        </is>
      </c>
      <c r="AK2169" t="n">
        <v>9</v>
      </c>
      <c r="AL2169" t="inlineStr">
        <is>
          <t>Miss Glam Jambi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LOVILLEA</t>
        </is>
      </c>
      <c r="B2170" s="2">
        <f>"30400362442"</f>
        <v/>
      </c>
      <c r="C2170" t="inlineStr">
        <is>
          <t>LOVILLEA Body Mist Freshy Park 100ml</t>
        </is>
      </c>
      <c r="D2170" t="inlineStr">
        <is>
          <t>Miss Glam Jambi</t>
        </is>
      </c>
      <c r="E2170" t="n">
        <v>4</v>
      </c>
      <c r="F2170" t="n">
        <v>0.2805</v>
      </c>
      <c r="G2170" t="n">
        <v>1.32</v>
      </c>
      <c r="H2170" t="n">
        <v>2</v>
      </c>
      <c r="I2170" t="n">
        <v>6</v>
      </c>
      <c r="J2170" t="n">
        <v>1</v>
      </c>
      <c r="K2170" t="n">
        <v>5</v>
      </c>
      <c r="L2170" t="n">
        <v>10414</v>
      </c>
      <c r="M2170" t="n">
        <v>12500</v>
      </c>
      <c r="N2170" t="n">
        <v>33</v>
      </c>
      <c r="O2170" t="n">
        <v>0.33</v>
      </c>
      <c r="P2170" t="n">
        <v>1</v>
      </c>
      <c r="Q2170" t="n">
        <v>0.05</v>
      </c>
      <c r="R2170" t="n">
        <v>1</v>
      </c>
      <c r="S2170" t="n">
        <v>3506.25</v>
      </c>
      <c r="T2170" t="n">
        <v>8</v>
      </c>
      <c r="U2170" t="n">
        <v>9</v>
      </c>
      <c r="V2170" t="n">
        <v>30</v>
      </c>
      <c r="W2170" t="n">
        <v>9</v>
      </c>
      <c r="X2170" t="n">
        <v>14.2602495543672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1381</v>
      </c>
      <c r="AG2170" t="n">
        <v>2136</v>
      </c>
      <c r="AH2170" t="inlineStr">
        <is>
          <t>CV. SAMUDRA JAYA ABADI - PPN (JMB)</t>
        </is>
      </c>
      <c r="AI2170" t="n">
        <v>1455</v>
      </c>
      <c r="AJ2170" t="inlineStr">
        <is>
          <t>LOVILLEA</t>
        </is>
      </c>
      <c r="AK2170" t="n">
        <v>9</v>
      </c>
      <c r="AL2170" t="inlineStr">
        <is>
          <t>Miss Glam Jambi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LOVILLEA</t>
        </is>
      </c>
      <c r="B2171" s="2">
        <f>"30400362234"</f>
        <v/>
      </c>
      <c r="C2171" t="inlineStr">
        <is>
          <t>LOVILLEA Body Mist Fruity Movie 100ml</t>
        </is>
      </c>
      <c r="D2171" t="inlineStr">
        <is>
          <t>Miss Glam Jambi</t>
        </is>
      </c>
      <c r="E2171" t="n">
        <v>6</v>
      </c>
      <c r="F2171" t="n">
        <v>0.7062</v>
      </c>
      <c r="G2171" t="n">
        <v>1.98</v>
      </c>
      <c r="H2171" t="n">
        <v>2</v>
      </c>
      <c r="I2171" t="n">
        <v>6</v>
      </c>
      <c r="J2171" t="n">
        <v>1</v>
      </c>
      <c r="K2171" t="n">
        <v>15</v>
      </c>
      <c r="L2171" t="n">
        <v>10606</v>
      </c>
      <c r="M2171" t="n">
        <v>12500</v>
      </c>
      <c r="N2171" t="n">
        <v>33</v>
      </c>
      <c r="O2171" t="n">
        <v>0.33</v>
      </c>
      <c r="P2171" t="n">
        <v>1</v>
      </c>
      <c r="Q2171" t="n">
        <v>0.15</v>
      </c>
      <c r="R2171" t="n">
        <v>1</v>
      </c>
      <c r="S2171" t="n">
        <v>8827.5</v>
      </c>
      <c r="T2171" t="n">
        <v>11</v>
      </c>
      <c r="U2171" t="n">
        <v>13</v>
      </c>
      <c r="V2171" t="n">
        <v>30</v>
      </c>
      <c r="W2171" t="n">
        <v>22</v>
      </c>
      <c r="X2171" t="n">
        <v>8.496176720475786</v>
      </c>
      <c r="Y2171" t="n">
        <v>1</v>
      </c>
      <c r="Z2171" t="n">
        <v>1</v>
      </c>
      <c r="AA2171" t="n">
        <v>0</v>
      </c>
      <c r="AB2171" t="n">
        <v>1</v>
      </c>
      <c r="AC2171" t="n">
        <v>1</v>
      </c>
      <c r="AD2171" t="n">
        <v>0</v>
      </c>
      <c r="AE2171" t="n">
        <v>10606</v>
      </c>
      <c r="AF2171" t="n">
        <v>1381</v>
      </c>
      <c r="AG2171" t="n">
        <v>2136</v>
      </c>
      <c r="AH2171" t="inlineStr">
        <is>
          <t>CV. SAMUDRA JAYA ABADI - PPN (JMB)</t>
        </is>
      </c>
      <c r="AI2171" t="n">
        <v>1455</v>
      </c>
      <c r="AJ2171" t="inlineStr">
        <is>
          <t>LOVILLEA</t>
        </is>
      </c>
      <c r="AK2171" t="n">
        <v>9</v>
      </c>
      <c r="AL2171" t="inlineStr">
        <is>
          <t>Miss Glam Jambi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LOVILLEA</t>
        </is>
      </c>
      <c r="B2172" s="2">
        <f>"30400362309"</f>
        <v/>
      </c>
      <c r="C2172" t="inlineStr">
        <is>
          <t>LOVILLEA body Mist Vanilla Café 100ml</t>
        </is>
      </c>
      <c r="D2172" t="inlineStr">
        <is>
          <t>Miss Glam Jambi</t>
        </is>
      </c>
      <c r="E2172" t="n">
        <v>24</v>
      </c>
      <c r="F2172" t="n">
        <v>0.5577</v>
      </c>
      <c r="G2172" t="n">
        <v>1.65</v>
      </c>
      <c r="H2172" t="n">
        <v>2</v>
      </c>
      <c r="I2172" t="n">
        <v>6</v>
      </c>
      <c r="J2172" t="n">
        <v>1</v>
      </c>
      <c r="K2172" t="n">
        <v>0</v>
      </c>
      <c r="L2172" t="n">
        <v>10618</v>
      </c>
      <c r="M2172" t="n">
        <v>12500</v>
      </c>
      <c r="N2172" t="n">
        <v>33</v>
      </c>
      <c r="O2172" t="n">
        <v>0.33</v>
      </c>
      <c r="P2172" t="n">
        <v>1</v>
      </c>
      <c r="Q2172" t="n">
        <v>0.17</v>
      </c>
      <c r="R2172" t="n">
        <v>3</v>
      </c>
      <c r="S2172" t="n">
        <v>6971.25</v>
      </c>
      <c r="T2172" t="n">
        <v>9</v>
      </c>
      <c r="U2172" t="n">
        <v>11</v>
      </c>
      <c r="V2172" t="n">
        <v>30</v>
      </c>
      <c r="W2172" t="n">
        <v>17</v>
      </c>
      <c r="X2172" t="n">
        <v>43.03388918773534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1381</v>
      </c>
      <c r="AG2172" t="n">
        <v>2136</v>
      </c>
      <c r="AH2172" t="inlineStr">
        <is>
          <t>CV. SAMUDRA JAYA ABADI - PPN (JMB)</t>
        </is>
      </c>
      <c r="AI2172" t="n">
        <v>1455</v>
      </c>
      <c r="AJ2172" t="inlineStr">
        <is>
          <t>LOVILLEA</t>
        </is>
      </c>
      <c r="AK2172" t="n">
        <v>9</v>
      </c>
      <c r="AL2172" t="inlineStr">
        <is>
          <t>Miss Glam Jambi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LOVILLEA</t>
        </is>
      </c>
      <c r="B2173" s="2">
        <f>"101001115956"</f>
        <v/>
      </c>
      <c r="C2173" t="inlineStr">
        <is>
          <t>LOVILLEA Calm &amp; Bright Facial Wash Moist &amp; Smooth 100gr</t>
        </is>
      </c>
      <c r="D2173" t="inlineStr">
        <is>
          <t>Miss Glam Jambi</t>
        </is>
      </c>
      <c r="E2173" t="n">
        <v>4</v>
      </c>
      <c r="F2173" t="n">
        <v>0.0396</v>
      </c>
      <c r="G2173" t="n">
        <v>0.66</v>
      </c>
      <c r="H2173" t="n">
        <v>2</v>
      </c>
      <c r="I2173" t="n">
        <v>6</v>
      </c>
      <c r="J2173" t="n">
        <v>1</v>
      </c>
      <c r="K2173" t="n">
        <v>0</v>
      </c>
      <c r="L2173" t="n">
        <v>20418</v>
      </c>
      <c r="M2173" t="n">
        <v>24500</v>
      </c>
      <c r="N2173" t="n">
        <v>33</v>
      </c>
      <c r="O2173" t="n">
        <v>0.33</v>
      </c>
      <c r="P2173" t="n">
        <v>1</v>
      </c>
      <c r="Q2173" t="n">
        <v>0.03</v>
      </c>
      <c r="R2173" t="n">
        <v>0</v>
      </c>
      <c r="S2173" t="n">
        <v>970.2</v>
      </c>
      <c r="T2173" t="n">
        <v>4</v>
      </c>
      <c r="U2173" t="n">
        <v>5</v>
      </c>
      <c r="V2173" t="n">
        <v>30</v>
      </c>
      <c r="W2173" t="n">
        <v>2</v>
      </c>
      <c r="X2173" t="n">
        <v>101.010101010101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1381</v>
      </c>
      <c r="AG2173" t="n">
        <v>2136</v>
      </c>
      <c r="AH2173" t="inlineStr">
        <is>
          <t>CV. SAMUDRA JAYA ABADI - PPN (JMB)</t>
        </is>
      </c>
      <c r="AI2173" t="n">
        <v>1455</v>
      </c>
      <c r="AJ2173" t="inlineStr">
        <is>
          <t>LOVILLEA</t>
        </is>
      </c>
      <c r="AK2173" t="n">
        <v>9</v>
      </c>
      <c r="AL2173" t="inlineStr">
        <is>
          <t>Miss Glam Jambi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LOVILLEA</t>
        </is>
      </c>
      <c r="B2174" s="2">
        <f>"101001115859"</f>
        <v/>
      </c>
      <c r="C2174" t="inlineStr">
        <is>
          <t>LOVILLEA Calm &amp; Bright Facial Wash Oil Control 100gr</t>
        </is>
      </c>
      <c r="D2174" t="inlineStr">
        <is>
          <t>Miss Glam Jambi</t>
        </is>
      </c>
      <c r="E2174" t="n">
        <v>4</v>
      </c>
      <c r="F2174" t="n">
        <v>0.033</v>
      </c>
      <c r="G2174" t="n">
        <v>0.66</v>
      </c>
      <c r="H2174" t="n">
        <v>2</v>
      </c>
      <c r="I2174" t="n">
        <v>6</v>
      </c>
      <c r="J2174" t="n">
        <v>1</v>
      </c>
      <c r="K2174" t="n">
        <v>0</v>
      </c>
      <c r="L2174" t="n">
        <v>20418</v>
      </c>
      <c r="M2174" t="n">
        <v>24500</v>
      </c>
      <c r="N2174" t="n">
        <v>33</v>
      </c>
      <c r="O2174" t="n">
        <v>0.33</v>
      </c>
      <c r="P2174" t="n">
        <v>1</v>
      </c>
      <c r="Q2174" t="n">
        <v>0.02</v>
      </c>
      <c r="R2174" t="n">
        <v>1</v>
      </c>
      <c r="S2174" t="n">
        <v>808.5</v>
      </c>
      <c r="T2174" t="n">
        <v>4</v>
      </c>
      <c r="U2174" t="n">
        <v>5</v>
      </c>
      <c r="V2174" t="n">
        <v>30</v>
      </c>
      <c r="W2174" t="n">
        <v>1</v>
      </c>
      <c r="X2174" t="n">
        <v>121.2121212121212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1381</v>
      </c>
      <c r="AG2174" t="n">
        <v>2136</v>
      </c>
      <c r="AH2174" t="inlineStr">
        <is>
          <t>CV. SAMUDRA JAYA ABADI - PPN (JMB)</t>
        </is>
      </c>
      <c r="AI2174" t="n">
        <v>1455</v>
      </c>
      <c r="AJ2174" t="inlineStr">
        <is>
          <t>LOVILLEA</t>
        </is>
      </c>
      <c r="AK2174" t="n">
        <v>9</v>
      </c>
      <c r="AL2174" t="inlineStr">
        <is>
          <t>Miss Glam Jambi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LOVILLEA</t>
        </is>
      </c>
      <c r="B2175" s="2">
        <f>"8992222111256"</f>
        <v/>
      </c>
      <c r="C2175" t="inlineStr">
        <is>
          <t>LOVILLEA Deodorant Roll-On Floral Musky 50ml</t>
        </is>
      </c>
      <c r="D2175" t="inlineStr">
        <is>
          <t>Miss Glam Jambi</t>
        </is>
      </c>
      <c r="E2175" t="n">
        <v>2</v>
      </c>
      <c r="F2175" t="n">
        <v>0.2475</v>
      </c>
      <c r="G2175" t="n">
        <v>1.32</v>
      </c>
      <c r="H2175" t="n">
        <v>2</v>
      </c>
      <c r="I2175" t="n">
        <v>6</v>
      </c>
      <c r="J2175" t="n">
        <v>3</v>
      </c>
      <c r="K2175" t="n">
        <v>6</v>
      </c>
      <c r="L2175" t="n">
        <v>12250</v>
      </c>
      <c r="M2175" t="n">
        <v>14500</v>
      </c>
      <c r="N2175" t="n">
        <v>33</v>
      </c>
      <c r="O2175" t="n">
        <v>0.33</v>
      </c>
      <c r="P2175" t="n">
        <v>1</v>
      </c>
      <c r="Q2175" t="n">
        <v>0.15</v>
      </c>
      <c r="R2175" t="n">
        <v>3</v>
      </c>
      <c r="S2175" t="n">
        <v>3588.75</v>
      </c>
      <c r="T2175" t="n">
        <v>8</v>
      </c>
      <c r="U2175" t="n">
        <v>9</v>
      </c>
      <c r="V2175" t="n">
        <v>30</v>
      </c>
      <c r="W2175" t="n">
        <v>8</v>
      </c>
      <c r="X2175" t="n">
        <v>8.080808080808081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1381</v>
      </c>
      <c r="AG2175" t="n">
        <v>2136</v>
      </c>
      <c r="AH2175" t="inlineStr">
        <is>
          <t>CV. SAMUDRA JAYA ABADI - PPN (JMB)</t>
        </is>
      </c>
      <c r="AI2175" t="n">
        <v>1455</v>
      </c>
      <c r="AJ2175" t="inlineStr">
        <is>
          <t>LOVILLEA</t>
        </is>
      </c>
      <c r="AK2175" t="n">
        <v>9</v>
      </c>
      <c r="AL2175" t="inlineStr">
        <is>
          <t>Miss Glam Jambi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LOVILLEA</t>
        </is>
      </c>
      <c r="B2176" s="2">
        <f>"8992222111263"</f>
        <v/>
      </c>
      <c r="C2176" t="inlineStr">
        <is>
          <t>LOVILLEA Deodorant Roll-On Fresh Ambery 50ml</t>
        </is>
      </c>
      <c r="D2176" t="inlineStr">
        <is>
          <t>Miss Glam Jambi</t>
        </is>
      </c>
      <c r="E2176" t="n">
        <v>6</v>
      </c>
      <c r="F2176" t="n">
        <v>0.0462</v>
      </c>
      <c r="G2176" t="n">
        <v>0.66</v>
      </c>
      <c r="H2176" t="n">
        <v>2</v>
      </c>
      <c r="I2176" t="n">
        <v>6</v>
      </c>
      <c r="J2176" t="n">
        <v>3</v>
      </c>
      <c r="K2176" t="n">
        <v>0</v>
      </c>
      <c r="L2176" t="n">
        <v>12250</v>
      </c>
      <c r="M2176" t="n">
        <v>14500</v>
      </c>
      <c r="N2176" t="n">
        <v>33</v>
      </c>
      <c r="O2176" t="n">
        <v>0.33</v>
      </c>
      <c r="P2176" t="n">
        <v>1</v>
      </c>
      <c r="Q2176" t="n">
        <v>0.02</v>
      </c>
      <c r="R2176" t="n">
        <v>1</v>
      </c>
      <c r="S2176" t="n">
        <v>669.9000000000001</v>
      </c>
      <c r="T2176" t="n">
        <v>4</v>
      </c>
      <c r="U2176" t="n">
        <v>5</v>
      </c>
      <c r="V2176" t="n">
        <v>30</v>
      </c>
      <c r="W2176" t="n">
        <v>2</v>
      </c>
      <c r="X2176" t="n">
        <v>129.8701298701299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1381</v>
      </c>
      <c r="AG2176" t="n">
        <v>2136</v>
      </c>
      <c r="AH2176" t="inlineStr">
        <is>
          <t>CV. SAMUDRA JAYA ABADI - PPN (JMB)</t>
        </is>
      </c>
      <c r="AI2176" t="n">
        <v>1455</v>
      </c>
      <c r="AJ2176" t="inlineStr">
        <is>
          <t>LOVILLEA</t>
        </is>
      </c>
      <c r="AK2176" t="n">
        <v>9</v>
      </c>
      <c r="AL2176" t="inlineStr">
        <is>
          <t>Miss Glam Jambi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LOVILLEA</t>
        </is>
      </c>
      <c r="B2177" s="2">
        <f>"8992222111249"</f>
        <v/>
      </c>
      <c r="C2177" t="inlineStr">
        <is>
          <t>LOVILLEA Deodorant Roll-On Soft Powdery 50ml</t>
        </is>
      </c>
      <c r="D2177" t="inlineStr">
        <is>
          <t>Miss Glam Jambi</t>
        </is>
      </c>
      <c r="E2177" t="n">
        <v>4</v>
      </c>
      <c r="F2177" t="n">
        <v>0.066</v>
      </c>
      <c r="G2177" t="n">
        <v>0.66</v>
      </c>
      <c r="H2177" t="n">
        <v>2</v>
      </c>
      <c r="I2177" t="n">
        <v>6</v>
      </c>
      <c r="J2177" t="n">
        <v>3</v>
      </c>
      <c r="K2177" t="n">
        <v>0</v>
      </c>
      <c r="L2177" t="n">
        <v>12250</v>
      </c>
      <c r="M2177" t="n">
        <v>14500</v>
      </c>
      <c r="N2177" t="n">
        <v>33</v>
      </c>
      <c r="O2177" t="n">
        <v>0.33</v>
      </c>
      <c r="P2177" t="n">
        <v>1</v>
      </c>
      <c r="Q2177" t="n">
        <v>0.07000000000000001</v>
      </c>
      <c r="R2177" t="n">
        <v>1</v>
      </c>
      <c r="S2177" t="n">
        <v>957</v>
      </c>
      <c r="T2177" t="n">
        <v>4</v>
      </c>
      <c r="U2177" t="n">
        <v>5</v>
      </c>
      <c r="V2177" t="n">
        <v>30</v>
      </c>
      <c r="W2177" t="n">
        <v>2</v>
      </c>
      <c r="X2177" t="n">
        <v>60.6060606060606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1381</v>
      </c>
      <c r="AG2177" t="n">
        <v>2136</v>
      </c>
      <c r="AH2177" t="inlineStr">
        <is>
          <t>CV. SAMUDRA JAYA ABADI - PPN (JMB)</t>
        </is>
      </c>
      <c r="AI2177" t="n">
        <v>1455</v>
      </c>
      <c r="AJ2177" t="inlineStr">
        <is>
          <t>LOVILLEA</t>
        </is>
      </c>
      <c r="AK2177" t="n">
        <v>9</v>
      </c>
      <c r="AL2177" t="inlineStr">
        <is>
          <t>Miss Glam Jambi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LOVILLEA</t>
        </is>
      </c>
      <c r="B2178" s="2">
        <f>"8992222111140"</f>
        <v/>
      </c>
      <c r="C2178" t="inlineStr">
        <is>
          <t>LOVILLEA Eau De Parfum Blooming Rose 100ml</t>
        </is>
      </c>
      <c r="D2178" t="inlineStr">
        <is>
          <t>Miss Glam Jambi</t>
        </is>
      </c>
      <c r="E2178" t="n">
        <v>4</v>
      </c>
      <c r="F2178" t="n">
        <v>0.1221</v>
      </c>
      <c r="G2178" t="n">
        <v>0.99</v>
      </c>
      <c r="H2178" t="n">
        <v>2</v>
      </c>
      <c r="I2178" t="n">
        <v>6</v>
      </c>
      <c r="J2178" t="n">
        <v>3</v>
      </c>
      <c r="K2178" t="n">
        <v>0</v>
      </c>
      <c r="L2178" t="n">
        <v>22858</v>
      </c>
      <c r="M2178" t="n">
        <v>27000</v>
      </c>
      <c r="N2178" t="n">
        <v>33</v>
      </c>
      <c r="O2178" t="n">
        <v>0.33</v>
      </c>
      <c r="P2178" t="n">
        <v>1</v>
      </c>
      <c r="Q2178" t="n">
        <v>0.08</v>
      </c>
      <c r="R2178" t="n">
        <v>1</v>
      </c>
      <c r="S2178" t="n">
        <v>3296.7</v>
      </c>
      <c r="T2178" t="n">
        <v>6</v>
      </c>
      <c r="U2178" t="n">
        <v>7</v>
      </c>
      <c r="V2178" t="n">
        <v>30</v>
      </c>
      <c r="W2178" t="n">
        <v>4</v>
      </c>
      <c r="X2178" t="n">
        <v>32.76003276003276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1381</v>
      </c>
      <c r="AG2178" t="n">
        <v>2136</v>
      </c>
      <c r="AH2178" t="inlineStr">
        <is>
          <t>CV. SAMUDRA JAYA ABADI - PPN (JMB)</t>
        </is>
      </c>
      <c r="AI2178" t="n">
        <v>1455</v>
      </c>
      <c r="AJ2178" t="inlineStr">
        <is>
          <t>LOVILLEA</t>
        </is>
      </c>
      <c r="AK2178" t="n">
        <v>9</v>
      </c>
      <c r="AL2178" t="inlineStr">
        <is>
          <t>Miss Glam Jambi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LOVILLEA</t>
        </is>
      </c>
      <c r="B2179" s="2">
        <f>"8992222111126"</f>
        <v/>
      </c>
      <c r="C2179" t="inlineStr">
        <is>
          <t>LOVILLEA Eau De Parfum Classy Freesia 100ml</t>
        </is>
      </c>
      <c r="D2179" t="inlineStr">
        <is>
          <t>Miss Glam Jambi</t>
        </is>
      </c>
      <c r="E2179" t="n">
        <v>3</v>
      </c>
      <c r="F2179" t="n">
        <v>0.0264</v>
      </c>
      <c r="G2179" t="n">
        <v>0.33</v>
      </c>
      <c r="H2179" t="n">
        <v>2</v>
      </c>
      <c r="I2179" t="n">
        <v>6</v>
      </c>
      <c r="J2179" t="n">
        <v>3</v>
      </c>
      <c r="K2179" t="n">
        <v>0</v>
      </c>
      <c r="L2179" t="n">
        <v>22050</v>
      </c>
      <c r="M2179" t="n">
        <v>27000</v>
      </c>
      <c r="N2179" t="n">
        <v>33</v>
      </c>
      <c r="O2179" t="n">
        <v>0.33</v>
      </c>
      <c r="P2179" t="n">
        <v>1</v>
      </c>
      <c r="Q2179" t="n">
        <v>0.02</v>
      </c>
      <c r="R2179" t="n">
        <v>1</v>
      </c>
      <c r="S2179" t="n">
        <v>712.8000000000001</v>
      </c>
      <c r="T2179" t="n">
        <v>2</v>
      </c>
      <c r="U2179" t="n">
        <v>3</v>
      </c>
      <c r="V2179" t="n">
        <v>30</v>
      </c>
      <c r="W2179" t="n">
        <v>1</v>
      </c>
      <c r="X2179" t="n">
        <v>113.6363636363636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1381</v>
      </c>
      <c r="AG2179" t="n">
        <v>2136</v>
      </c>
      <c r="AH2179" t="inlineStr">
        <is>
          <t>CV. SAMUDRA JAYA ABADI - PPN (JMB)</t>
        </is>
      </c>
      <c r="AI2179" t="n">
        <v>1455</v>
      </c>
      <c r="AJ2179" t="inlineStr">
        <is>
          <t>LOVILLEA</t>
        </is>
      </c>
      <c r="AK2179" t="n">
        <v>9</v>
      </c>
      <c r="AL2179" t="inlineStr">
        <is>
          <t>Miss Glam Jambi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LOVILLEA</t>
        </is>
      </c>
      <c r="B2180" s="2">
        <f>"8992222111218"</f>
        <v/>
      </c>
      <c r="C2180" t="inlineStr">
        <is>
          <t>LOVILLEA Happy Hype Parfum Body Mist Catchin Sunshine 100ml</t>
        </is>
      </c>
      <c r="D2180" t="inlineStr">
        <is>
          <t>Miss Glam Jambi</t>
        </is>
      </c>
      <c r="E2180" t="n">
        <v>6</v>
      </c>
      <c r="F2180" t="n">
        <v>1.3761</v>
      </c>
      <c r="G2180" t="n">
        <v>3.96</v>
      </c>
      <c r="H2180" t="n">
        <v>2</v>
      </c>
      <c r="I2180" t="n">
        <v>6</v>
      </c>
      <c r="J2180" t="n">
        <v>3</v>
      </c>
      <c r="K2180" t="n">
        <v>34</v>
      </c>
      <c r="L2180" t="n">
        <v>10618</v>
      </c>
      <c r="M2180" t="n">
        <v>12000</v>
      </c>
      <c r="N2180" t="n">
        <v>33</v>
      </c>
      <c r="O2180" t="n">
        <v>0.33</v>
      </c>
      <c r="P2180" t="n">
        <v>1</v>
      </c>
      <c r="Q2180" t="n">
        <v>0.17</v>
      </c>
      <c r="R2180" t="n">
        <v>2</v>
      </c>
      <c r="S2180" t="n">
        <v>16513.2</v>
      </c>
      <c r="T2180" t="n">
        <v>22</v>
      </c>
      <c r="U2180" t="n">
        <v>25</v>
      </c>
      <c r="V2180" t="n">
        <v>30</v>
      </c>
      <c r="W2180" t="n">
        <v>42</v>
      </c>
      <c r="X2180" t="n">
        <v>4.360148245040331</v>
      </c>
      <c r="Y2180" t="n">
        <v>1</v>
      </c>
      <c r="Z2180" t="n">
        <v>2</v>
      </c>
      <c r="AA2180" t="n">
        <v>2</v>
      </c>
      <c r="AB2180" t="n">
        <v>0</v>
      </c>
      <c r="AC2180" t="n">
        <v>0</v>
      </c>
      <c r="AD2180" t="n">
        <v>21236</v>
      </c>
      <c r="AE2180" t="n">
        <v>0</v>
      </c>
      <c r="AF2180" t="n">
        <v>1381</v>
      </c>
      <c r="AG2180" t="n">
        <v>2136</v>
      </c>
      <c r="AH2180" t="inlineStr">
        <is>
          <t>CV. SAMUDRA JAYA ABADI - PPN (JMB)</t>
        </is>
      </c>
      <c r="AI2180" t="n">
        <v>1455</v>
      </c>
      <c r="AJ2180" t="inlineStr">
        <is>
          <t>LOVILLEA</t>
        </is>
      </c>
      <c r="AK2180" t="n">
        <v>9</v>
      </c>
      <c r="AL2180" t="inlineStr">
        <is>
          <t>Miss Glam Jambi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LOVILLEA</t>
        </is>
      </c>
      <c r="B2181" s="2">
        <f>"8992222111225"</f>
        <v/>
      </c>
      <c r="C2181" t="inlineStr">
        <is>
          <t>LOVILLEA Happy Hype Parfum Body Mist Chillin Sunday 100ml</t>
        </is>
      </c>
      <c r="D2181" t="inlineStr">
        <is>
          <t>Miss Glam Jambi</t>
        </is>
      </c>
      <c r="E2181" t="n">
        <v>12</v>
      </c>
      <c r="F2181" t="n">
        <v>3.7917</v>
      </c>
      <c r="G2181" t="n">
        <v>6.930000000000001</v>
      </c>
      <c r="H2181" t="n">
        <v>2</v>
      </c>
      <c r="I2181" t="n">
        <v>6</v>
      </c>
      <c r="J2181" t="n">
        <v>3</v>
      </c>
      <c r="K2181" t="n">
        <v>92</v>
      </c>
      <c r="L2181" t="n">
        <v>10618</v>
      </c>
      <c r="M2181" t="n">
        <v>12000</v>
      </c>
      <c r="N2181" t="n">
        <v>33</v>
      </c>
      <c r="O2181" t="n">
        <v>0.33</v>
      </c>
      <c r="P2181" t="n">
        <v>1</v>
      </c>
      <c r="Q2181" t="n">
        <v>0.86</v>
      </c>
      <c r="R2181" t="n">
        <v>5</v>
      </c>
      <c r="S2181" t="n">
        <v>45500.4</v>
      </c>
      <c r="T2181" t="n">
        <v>34</v>
      </c>
      <c r="U2181" t="n">
        <v>42</v>
      </c>
      <c r="V2181" t="n">
        <v>30</v>
      </c>
      <c r="W2181" t="n">
        <v>114</v>
      </c>
      <c r="X2181" t="n">
        <v>3.164807342353034</v>
      </c>
      <c r="Y2181" t="n">
        <v>1</v>
      </c>
      <c r="Z2181" t="n">
        <v>10</v>
      </c>
      <c r="AA2181" t="n">
        <v>10</v>
      </c>
      <c r="AB2181" t="n">
        <v>0</v>
      </c>
      <c r="AC2181" t="n">
        <v>0</v>
      </c>
      <c r="AD2181" t="n">
        <v>106180</v>
      </c>
      <c r="AE2181" t="n">
        <v>0</v>
      </c>
      <c r="AF2181" t="n">
        <v>1381</v>
      </c>
      <c r="AG2181" t="n">
        <v>2136</v>
      </c>
      <c r="AH2181" t="inlineStr">
        <is>
          <t>CV. SAMUDRA JAYA ABADI - PPN (JMB)</t>
        </is>
      </c>
      <c r="AI2181" t="n">
        <v>1455</v>
      </c>
      <c r="AJ2181" t="inlineStr">
        <is>
          <t>LOVILLEA</t>
        </is>
      </c>
      <c r="AK2181" t="n">
        <v>9</v>
      </c>
      <c r="AL2181" t="inlineStr">
        <is>
          <t>Miss Glam Jambi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LOVILLEA</t>
        </is>
      </c>
      <c r="B2182" s="2">
        <f>"8992222111232"</f>
        <v/>
      </c>
      <c r="C2182" t="inlineStr">
        <is>
          <t>LOVILLEA Happy Hype Parfum Body Mist Poppin Party 100ml</t>
        </is>
      </c>
      <c r="D2182" t="inlineStr">
        <is>
          <t>Miss Glam Jambi</t>
        </is>
      </c>
      <c r="E2182" t="n">
        <v>11</v>
      </c>
      <c r="F2182" t="n">
        <v>1.1022</v>
      </c>
      <c r="G2182" t="n">
        <v>3.96</v>
      </c>
      <c r="H2182" t="n">
        <v>2</v>
      </c>
      <c r="I2182" t="n">
        <v>6</v>
      </c>
      <c r="J2182" t="n">
        <v>3</v>
      </c>
      <c r="K2182" t="n">
        <v>23</v>
      </c>
      <c r="L2182" t="n">
        <v>10618</v>
      </c>
      <c r="M2182" t="n">
        <v>12000</v>
      </c>
      <c r="N2182" t="n">
        <v>33</v>
      </c>
      <c r="O2182" t="n">
        <v>0.33</v>
      </c>
      <c r="P2182" t="n">
        <v>1</v>
      </c>
      <c r="Q2182" t="n">
        <v>0.19</v>
      </c>
      <c r="R2182" t="n">
        <v>2</v>
      </c>
      <c r="S2182" t="n">
        <v>13226.4</v>
      </c>
      <c r="T2182" t="n">
        <v>22</v>
      </c>
      <c r="U2182" t="n">
        <v>25</v>
      </c>
      <c r="V2182" t="n">
        <v>30</v>
      </c>
      <c r="W2182" t="n">
        <v>34</v>
      </c>
      <c r="X2182" t="n">
        <v>9.98003992015968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1381</v>
      </c>
      <c r="AG2182" t="n">
        <v>2136</v>
      </c>
      <c r="AH2182" t="inlineStr">
        <is>
          <t>CV. SAMUDRA JAYA ABADI - PPN (JMB)</t>
        </is>
      </c>
      <c r="AI2182" t="n">
        <v>1455</v>
      </c>
      <c r="AJ2182" t="inlineStr">
        <is>
          <t>LOVILLEA</t>
        </is>
      </c>
      <c r="AK2182" t="n">
        <v>9</v>
      </c>
      <c r="AL2182" t="inlineStr">
        <is>
          <t>Miss Glam Jambi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LOVILLEA</t>
        </is>
      </c>
      <c r="B2183" s="2">
        <f>"8992222111201"</f>
        <v/>
      </c>
      <c r="C2183" t="inlineStr">
        <is>
          <t>LOVILLEA Hijab Mood Eau De Parfum Delight Peony 100ml</t>
        </is>
      </c>
      <c r="D2183" t="inlineStr">
        <is>
          <t>Miss Glam Jambi</t>
        </is>
      </c>
      <c r="E2183" t="n">
        <v>4</v>
      </c>
      <c r="F2183" t="n">
        <v>0.066</v>
      </c>
      <c r="G2183" t="n">
        <v>0.66</v>
      </c>
      <c r="H2183" t="n">
        <v>2</v>
      </c>
      <c r="I2183" t="n">
        <v>6</v>
      </c>
      <c r="J2183" t="n">
        <v>3</v>
      </c>
      <c r="K2183" t="n">
        <v>0</v>
      </c>
      <c r="L2183" t="n">
        <v>22868</v>
      </c>
      <c r="M2183" t="n">
        <v>27000</v>
      </c>
      <c r="N2183" t="n">
        <v>33</v>
      </c>
      <c r="O2183" t="n">
        <v>0.33</v>
      </c>
      <c r="P2183" t="n">
        <v>1</v>
      </c>
      <c r="Q2183" t="n">
        <v>0.03</v>
      </c>
      <c r="R2183" t="n">
        <v>1</v>
      </c>
      <c r="S2183" t="n">
        <v>1782</v>
      </c>
      <c r="T2183" t="n">
        <v>4</v>
      </c>
      <c r="U2183" t="n">
        <v>5</v>
      </c>
      <c r="V2183" t="n">
        <v>30</v>
      </c>
      <c r="W2183" t="n">
        <v>2</v>
      </c>
      <c r="X2183" t="n">
        <v>60.6060606060606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1381</v>
      </c>
      <c r="AG2183" t="n">
        <v>2136</v>
      </c>
      <c r="AH2183" t="inlineStr">
        <is>
          <t>CV. SAMUDRA JAYA ABADI - PPN (JMB)</t>
        </is>
      </c>
      <c r="AI2183" t="n">
        <v>1455</v>
      </c>
      <c r="AJ2183" t="inlineStr">
        <is>
          <t>LOVILLEA</t>
        </is>
      </c>
      <c r="AK2183" t="n">
        <v>9</v>
      </c>
      <c r="AL2183" t="inlineStr">
        <is>
          <t>Miss Glam Jambi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LOVILLEA</t>
        </is>
      </c>
      <c r="B2184" s="2">
        <f>"8992222111195"</f>
        <v/>
      </c>
      <c r="C2184" t="inlineStr">
        <is>
          <t>LOVILLEA Hijab Mood Eau De Parfum Lively Orange 100ml</t>
        </is>
      </c>
      <c r="D2184" t="inlineStr">
        <is>
          <t>Miss Glam Jambi</t>
        </is>
      </c>
      <c r="E2184" t="n">
        <v>0</v>
      </c>
      <c r="F2184" t="n">
        <v>0.0165</v>
      </c>
      <c r="G2184" t="n">
        <v>0.33</v>
      </c>
      <c r="H2184" t="n">
        <v>2</v>
      </c>
      <c r="I2184" t="n">
        <v>6</v>
      </c>
      <c r="J2184" t="n">
        <v>3</v>
      </c>
      <c r="K2184" t="n">
        <v>0</v>
      </c>
      <c r="L2184" t="n">
        <v>22541</v>
      </c>
      <c r="M2184" t="n">
        <v>27000</v>
      </c>
      <c r="N2184" t="n">
        <v>33</v>
      </c>
      <c r="O2184" t="n">
        <v>0.33</v>
      </c>
      <c r="P2184" t="n">
        <v>1</v>
      </c>
      <c r="Q2184" t="n">
        <v>0.03</v>
      </c>
      <c r="R2184" t="n">
        <v>1</v>
      </c>
      <c r="S2184" t="n">
        <v>445.5</v>
      </c>
      <c r="T2184" t="n">
        <v>2</v>
      </c>
      <c r="U2184" t="n">
        <v>3</v>
      </c>
      <c r="V2184" t="n">
        <v>30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0</v>
      </c>
      <c r="AC2184" t="n">
        <v>0</v>
      </c>
      <c r="AD2184" t="n">
        <v>22541</v>
      </c>
      <c r="AE2184" t="n">
        <v>0</v>
      </c>
      <c r="AF2184" t="n">
        <v>1381</v>
      </c>
      <c r="AG2184" t="n">
        <v>2136</v>
      </c>
      <c r="AH2184" t="inlineStr">
        <is>
          <t>CV. SAMUDRA JAYA ABADI - PPN (JMB)</t>
        </is>
      </c>
      <c r="AI2184" t="n">
        <v>1455</v>
      </c>
      <c r="AJ2184" t="inlineStr">
        <is>
          <t>LOVILLEA</t>
        </is>
      </c>
      <c r="AK2184" t="n">
        <v>9</v>
      </c>
      <c r="AL2184" t="inlineStr">
        <is>
          <t>Miss Glam Jambi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LOVILLEA</t>
        </is>
      </c>
      <c r="B2185" s="2">
        <f>"10700340320"</f>
        <v/>
      </c>
      <c r="C2185" t="inlineStr">
        <is>
          <t>LOVILLEA Lippy Balm Blushy Red 10gr</t>
        </is>
      </c>
      <c r="D2185" t="inlineStr">
        <is>
          <t>Miss Glam Jambi</t>
        </is>
      </c>
      <c r="E2185" t="n">
        <v>4</v>
      </c>
      <c r="F2185" t="n">
        <v>0.1353</v>
      </c>
      <c r="G2185" t="n">
        <v>0.99</v>
      </c>
      <c r="H2185" t="n">
        <v>2</v>
      </c>
      <c r="I2185" t="n">
        <v>6</v>
      </c>
      <c r="J2185" t="n">
        <v>1</v>
      </c>
      <c r="K2185" t="n">
        <v>1</v>
      </c>
      <c r="L2185" t="n">
        <v>19600</v>
      </c>
      <c r="M2185" t="n">
        <v>25000</v>
      </c>
      <c r="N2185" t="n">
        <v>33</v>
      </c>
      <c r="O2185" t="n">
        <v>0.33</v>
      </c>
      <c r="P2185" t="n">
        <v>1</v>
      </c>
      <c r="Q2185" t="n">
        <v>0.15</v>
      </c>
      <c r="R2185" t="n">
        <v>3</v>
      </c>
      <c r="S2185" t="n">
        <v>3382.5</v>
      </c>
      <c r="T2185" t="n">
        <v>6</v>
      </c>
      <c r="U2185" t="n">
        <v>7</v>
      </c>
      <c r="V2185" t="n">
        <v>30</v>
      </c>
      <c r="W2185" t="n">
        <v>5</v>
      </c>
      <c r="X2185" t="n">
        <v>29.56393200295639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1381</v>
      </c>
      <c r="AG2185" t="n">
        <v>2136</v>
      </c>
      <c r="AH2185" t="inlineStr">
        <is>
          <t>CV. SAMUDRA JAYA ABADI - PPN (JMB)</t>
        </is>
      </c>
      <c r="AI2185" t="n">
        <v>1455</v>
      </c>
      <c r="AJ2185" t="inlineStr">
        <is>
          <t>LOVILLEA</t>
        </is>
      </c>
      <c r="AK2185" t="n">
        <v>9</v>
      </c>
      <c r="AL2185" t="inlineStr">
        <is>
          <t>Miss Glam Jambi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LOVILLEA</t>
        </is>
      </c>
      <c r="B2186" s="2">
        <f>"10700340450"</f>
        <v/>
      </c>
      <c r="C2186" t="inlineStr">
        <is>
          <t>LOVILLEA Lippy Balm Sunny Coral 10gr</t>
        </is>
      </c>
      <c r="D2186" t="inlineStr">
        <is>
          <t>Miss Glam Jambi</t>
        </is>
      </c>
      <c r="E2186" t="n">
        <v>5</v>
      </c>
      <c r="F2186" t="n">
        <v>0.03</v>
      </c>
      <c r="G2186" t="n">
        <v>1</v>
      </c>
      <c r="H2186" t="n">
        <v>2</v>
      </c>
      <c r="I2186" t="n">
        <v>6</v>
      </c>
      <c r="J2186" t="n">
        <v>1</v>
      </c>
      <c r="K2186" t="n">
        <v>0</v>
      </c>
      <c r="L2186" t="n">
        <v>19600</v>
      </c>
      <c r="M2186" t="n">
        <v>25000</v>
      </c>
      <c r="N2186" t="n">
        <v>33</v>
      </c>
      <c r="O2186" t="n">
        <v>0.33</v>
      </c>
      <c r="P2186" t="n">
        <v>0</v>
      </c>
      <c r="Q2186" t="n">
        <v>0.03</v>
      </c>
      <c r="R2186" t="n">
        <v>1</v>
      </c>
      <c r="S2186" t="n">
        <v>750</v>
      </c>
      <c r="T2186" t="n">
        <v>6</v>
      </c>
      <c r="U2186" t="n">
        <v>7</v>
      </c>
      <c r="V2186" t="n">
        <v>30</v>
      </c>
      <c r="W2186" t="n">
        <v>1</v>
      </c>
      <c r="X2186" t="n">
        <v>166.6666666666667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1381</v>
      </c>
      <c r="AG2186" t="n">
        <v>2136</v>
      </c>
      <c r="AH2186" t="inlineStr">
        <is>
          <t>CV. SAMUDRA JAYA ABADI - PPN (JMB)</t>
        </is>
      </c>
      <c r="AI2186" t="n">
        <v>1455</v>
      </c>
      <c r="AJ2186" t="inlineStr">
        <is>
          <t>LOVILLEA</t>
        </is>
      </c>
      <c r="AK2186" t="n">
        <v>9</v>
      </c>
      <c r="AL2186" t="inlineStr">
        <is>
          <t>Miss Glam Jambi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LOVILLEA</t>
        </is>
      </c>
      <c r="B2187" s="2">
        <f>"10700513218"</f>
        <v/>
      </c>
      <c r="C2187" t="inlineStr">
        <is>
          <t>LOVILLEA Lippy Serum Tint 01 Red Punch 3,5ml</t>
        </is>
      </c>
      <c r="D2187" t="inlineStr">
        <is>
          <t>Miss Glam Jambi</t>
        </is>
      </c>
      <c r="E2187" t="n">
        <v>7</v>
      </c>
      <c r="F2187" t="n">
        <v>0.0462</v>
      </c>
      <c r="G2187" t="n">
        <v>0.66</v>
      </c>
      <c r="H2187" t="n">
        <v>2</v>
      </c>
      <c r="I2187" t="n">
        <v>6</v>
      </c>
      <c r="J2187" t="n">
        <v>1</v>
      </c>
      <c r="K2187" t="n">
        <v>0</v>
      </c>
      <c r="L2187" t="n">
        <v>24501</v>
      </c>
      <c r="M2187" t="n">
        <v>31500</v>
      </c>
      <c r="N2187" t="n">
        <v>33</v>
      </c>
      <c r="O2187" t="n">
        <v>0.33</v>
      </c>
      <c r="P2187" t="n">
        <v>1</v>
      </c>
      <c r="Q2187" t="n">
        <v>0.05</v>
      </c>
      <c r="R2187" t="n">
        <v>1</v>
      </c>
      <c r="S2187" t="n">
        <v>1455.3</v>
      </c>
      <c r="T2187" t="n">
        <v>4</v>
      </c>
      <c r="U2187" t="n">
        <v>5</v>
      </c>
      <c r="V2187" t="n">
        <v>30</v>
      </c>
      <c r="W2187" t="n">
        <v>2</v>
      </c>
      <c r="X2187" t="n">
        <v>151.5151515151515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1381</v>
      </c>
      <c r="AG2187" t="n">
        <v>2136</v>
      </c>
      <c r="AH2187" t="inlineStr">
        <is>
          <t>CV. SAMUDRA JAYA ABADI - PPN (JMB)</t>
        </is>
      </c>
      <c r="AI2187" t="n">
        <v>1455</v>
      </c>
      <c r="AJ2187" t="inlineStr">
        <is>
          <t>LOVILLEA</t>
        </is>
      </c>
      <c r="AK2187" t="n">
        <v>9</v>
      </c>
      <c r="AL2187" t="inlineStr">
        <is>
          <t>Miss Glam Jambi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LOVILLEA</t>
        </is>
      </c>
      <c r="B2188" s="2">
        <f>"10700513343"</f>
        <v/>
      </c>
      <c r="C2188" t="inlineStr">
        <is>
          <t>LOVILLEA Lippy Serum Tint 02 Plum Sweet 3,5ml</t>
        </is>
      </c>
      <c r="D2188" t="inlineStr">
        <is>
          <t>Miss Glam Jambi</t>
        </is>
      </c>
      <c r="E2188" t="n">
        <v>2</v>
      </c>
      <c r="F2188" t="n">
        <v>0.066</v>
      </c>
      <c r="G2188" t="n">
        <v>0.99</v>
      </c>
      <c r="H2188" t="n">
        <v>2</v>
      </c>
      <c r="I2188" t="n">
        <v>6</v>
      </c>
      <c r="J2188" t="n">
        <v>1</v>
      </c>
      <c r="K2188" t="n">
        <v>0</v>
      </c>
      <c r="L2188" t="n">
        <v>24501</v>
      </c>
      <c r="M2188" t="n">
        <v>31500</v>
      </c>
      <c r="N2188" t="n">
        <v>33</v>
      </c>
      <c r="O2188" t="n">
        <v>0.33</v>
      </c>
      <c r="P2188" t="n">
        <v>1</v>
      </c>
      <c r="Q2188" t="n">
        <v>0.02</v>
      </c>
      <c r="R2188" t="n">
        <v>1</v>
      </c>
      <c r="S2188" t="n">
        <v>2079</v>
      </c>
      <c r="T2188" t="n">
        <v>6</v>
      </c>
      <c r="U2188" t="n">
        <v>7</v>
      </c>
      <c r="V2188" t="n">
        <v>30</v>
      </c>
      <c r="W2188" t="n">
        <v>2</v>
      </c>
      <c r="X2188" t="n">
        <v>30.3030303030303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1381</v>
      </c>
      <c r="AG2188" t="n">
        <v>2136</v>
      </c>
      <c r="AH2188" t="inlineStr">
        <is>
          <t>CV. SAMUDRA JAYA ABADI - PPN (JMB)</t>
        </is>
      </c>
      <c r="AI2188" t="n">
        <v>1455</v>
      </c>
      <c r="AJ2188" t="inlineStr">
        <is>
          <t>LOVILLEA</t>
        </is>
      </c>
      <c r="AK2188" t="n">
        <v>9</v>
      </c>
      <c r="AL2188" t="inlineStr">
        <is>
          <t>Miss Glam Jambi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LOVILLEA</t>
        </is>
      </c>
      <c r="B2189" s="2">
        <f>"10700513413"</f>
        <v/>
      </c>
      <c r="C2189" t="inlineStr">
        <is>
          <t>LOVILLEA Lippy Serum Tint 03 Mauve Lovey 3,5ml</t>
        </is>
      </c>
      <c r="D2189" t="inlineStr">
        <is>
          <t>Miss Glam Jambi</t>
        </is>
      </c>
      <c r="E2189" t="n">
        <v>3</v>
      </c>
      <c r="F2189" t="n">
        <v>0.08910000000000001</v>
      </c>
      <c r="G2189" t="n">
        <v>0.66</v>
      </c>
      <c r="H2189" t="n">
        <v>2</v>
      </c>
      <c r="I2189" t="n">
        <v>6</v>
      </c>
      <c r="J2189" t="n">
        <v>1</v>
      </c>
      <c r="K2189" t="n">
        <v>0</v>
      </c>
      <c r="L2189" t="n">
        <v>24501</v>
      </c>
      <c r="M2189" t="n">
        <v>31500</v>
      </c>
      <c r="N2189" t="n">
        <v>33</v>
      </c>
      <c r="O2189" t="n">
        <v>0.33</v>
      </c>
      <c r="P2189" t="n">
        <v>1</v>
      </c>
      <c r="Q2189" t="n">
        <v>0.14</v>
      </c>
      <c r="R2189" t="n">
        <v>2</v>
      </c>
      <c r="S2189" t="n">
        <v>2806.650000000001</v>
      </c>
      <c r="T2189" t="n">
        <v>4</v>
      </c>
      <c r="U2189" t="n">
        <v>5</v>
      </c>
      <c r="V2189" t="n">
        <v>30</v>
      </c>
      <c r="W2189" t="n">
        <v>3</v>
      </c>
      <c r="X2189" t="n">
        <v>33.67003367003367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1381</v>
      </c>
      <c r="AG2189" t="n">
        <v>2136</v>
      </c>
      <c r="AH2189" t="inlineStr">
        <is>
          <t>CV. SAMUDRA JAYA ABADI - PPN (JMB)</t>
        </is>
      </c>
      <c r="AI2189" t="n">
        <v>1455</v>
      </c>
      <c r="AJ2189" t="inlineStr">
        <is>
          <t>LOVILLEA</t>
        </is>
      </c>
      <c r="AK2189" t="n">
        <v>9</v>
      </c>
      <c r="AL2189" t="inlineStr">
        <is>
          <t>Miss Glam Jambi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LOVILLEA</t>
        </is>
      </c>
      <c r="B2190" s="2">
        <f>"10700513551"</f>
        <v/>
      </c>
      <c r="C2190" t="inlineStr">
        <is>
          <t>LOVILLEA Lippy Serum Tint 04 Pink Crush 3,5ml</t>
        </is>
      </c>
      <c r="D2190" t="inlineStr">
        <is>
          <t>Miss Glam Jambi</t>
        </is>
      </c>
      <c r="E2190" t="n">
        <v>4</v>
      </c>
      <c r="F2190" t="n">
        <v>0.0561</v>
      </c>
      <c r="G2190" t="n">
        <v>0.33</v>
      </c>
      <c r="H2190" t="n">
        <v>2</v>
      </c>
      <c r="I2190" t="n">
        <v>6</v>
      </c>
      <c r="J2190" t="n">
        <v>1</v>
      </c>
      <c r="K2190" t="n">
        <v>0</v>
      </c>
      <c r="L2190" t="n">
        <v>24501</v>
      </c>
      <c r="M2190" t="n">
        <v>31500</v>
      </c>
      <c r="N2190" t="n">
        <v>33</v>
      </c>
      <c r="O2190" t="n">
        <v>0.33</v>
      </c>
      <c r="P2190" t="n">
        <v>1</v>
      </c>
      <c r="Q2190" t="n">
        <v>0.05</v>
      </c>
      <c r="R2190" t="n">
        <v>1</v>
      </c>
      <c r="S2190" t="n">
        <v>1767.15</v>
      </c>
      <c r="T2190" t="n">
        <v>2</v>
      </c>
      <c r="U2190" t="n">
        <v>3</v>
      </c>
      <c r="V2190" t="n">
        <v>30</v>
      </c>
      <c r="W2190" t="n">
        <v>2</v>
      </c>
      <c r="X2190" t="n">
        <v>71.301247771836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1381</v>
      </c>
      <c r="AG2190" t="n">
        <v>2136</v>
      </c>
      <c r="AH2190" t="inlineStr">
        <is>
          <t>CV. SAMUDRA JAYA ABADI - PPN (JMB)</t>
        </is>
      </c>
      <c r="AI2190" t="n">
        <v>1455</v>
      </c>
      <c r="AJ2190" t="inlineStr">
        <is>
          <t>LOVILLEA</t>
        </is>
      </c>
      <c r="AK2190" t="n">
        <v>9</v>
      </c>
      <c r="AL2190" t="inlineStr">
        <is>
          <t>Miss Glam Jambi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LOVILLEA</t>
        </is>
      </c>
      <c r="B2191" s="2">
        <f>"10700513616"</f>
        <v/>
      </c>
      <c r="C2191" t="inlineStr">
        <is>
          <t>LOVILLEA Lippy Serum Tint 05 Coral Charm 3,5ml</t>
        </is>
      </c>
      <c r="D2191" t="inlineStr">
        <is>
          <t>Miss Glam Jambi</t>
        </is>
      </c>
      <c r="E2191" t="n">
        <v>5</v>
      </c>
      <c r="F2191" t="n">
        <v>0.0165</v>
      </c>
      <c r="G2191" t="n">
        <v>0.33</v>
      </c>
      <c r="H2191" t="n">
        <v>2</v>
      </c>
      <c r="I2191" t="n">
        <v>6</v>
      </c>
      <c r="J2191" t="n">
        <v>1</v>
      </c>
      <c r="K2191" t="n">
        <v>0</v>
      </c>
      <c r="L2191" t="n">
        <v>24501</v>
      </c>
      <c r="M2191" t="n">
        <v>31500</v>
      </c>
      <c r="N2191" t="n">
        <v>33</v>
      </c>
      <c r="O2191" t="n">
        <v>0.33</v>
      </c>
      <c r="P2191" t="n">
        <v>1</v>
      </c>
      <c r="Q2191" t="n">
        <v>0.02</v>
      </c>
      <c r="R2191" t="n">
        <v>1</v>
      </c>
      <c r="S2191" t="n">
        <v>519.75</v>
      </c>
      <c r="T2191" t="n">
        <v>2</v>
      </c>
      <c r="U2191" t="n">
        <v>3</v>
      </c>
      <c r="V2191" t="n">
        <v>30</v>
      </c>
      <c r="W2191" t="n">
        <v>1</v>
      </c>
      <c r="X2191" t="n">
        <v>303.030303030303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1381</v>
      </c>
      <c r="AG2191" t="n">
        <v>2136</v>
      </c>
      <c r="AH2191" t="inlineStr">
        <is>
          <t>CV. SAMUDRA JAYA ABADI - PPN (JMB)</t>
        </is>
      </c>
      <c r="AI2191" t="n">
        <v>1455</v>
      </c>
      <c r="AJ2191" t="inlineStr">
        <is>
          <t>LOVILLEA</t>
        </is>
      </c>
      <c r="AK2191" t="n">
        <v>9</v>
      </c>
      <c r="AL2191" t="inlineStr">
        <is>
          <t>Miss Glam Jambi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LOVILLEA</t>
        </is>
      </c>
      <c r="B2192" s="2">
        <f>"10400618730"</f>
        <v/>
      </c>
      <c r="C2192" t="inlineStr">
        <is>
          <t>LOVILLEA Sunscreen Sun Glow Guard 30gr</t>
        </is>
      </c>
      <c r="D2192" t="inlineStr">
        <is>
          <t>Miss Glam Jambi</t>
        </is>
      </c>
      <c r="E2192" t="n">
        <v>4</v>
      </c>
      <c r="F2192" t="n">
        <v>0.0726</v>
      </c>
      <c r="G2192" t="n">
        <v>0.66</v>
      </c>
      <c r="H2192" t="n">
        <v>2</v>
      </c>
      <c r="I2192" t="n">
        <v>6</v>
      </c>
      <c r="J2192" t="n">
        <v>1</v>
      </c>
      <c r="K2192" t="n">
        <v>0</v>
      </c>
      <c r="L2192" t="n">
        <v>23684</v>
      </c>
      <c r="M2192" t="n">
        <v>28000</v>
      </c>
      <c r="N2192" t="n">
        <v>33</v>
      </c>
      <c r="O2192" t="n">
        <v>0.33</v>
      </c>
      <c r="P2192" t="n">
        <v>1</v>
      </c>
      <c r="Q2192" t="n">
        <v>0.05</v>
      </c>
      <c r="R2192" t="n">
        <v>1</v>
      </c>
      <c r="S2192" t="n">
        <v>2032.8</v>
      </c>
      <c r="T2192" t="n">
        <v>4</v>
      </c>
      <c r="U2192" t="n">
        <v>5</v>
      </c>
      <c r="V2192" t="n">
        <v>30</v>
      </c>
      <c r="W2192" t="n">
        <v>3</v>
      </c>
      <c r="X2192" t="n">
        <v>55.09641873278237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1381</v>
      </c>
      <c r="AG2192" t="n">
        <v>2136</v>
      </c>
      <c r="AH2192" t="inlineStr">
        <is>
          <t>CV. SAMUDRA JAYA ABADI - PPN (JMB)</t>
        </is>
      </c>
      <c r="AI2192" t="n">
        <v>1455</v>
      </c>
      <c r="AJ2192" t="inlineStr">
        <is>
          <t>LOVILLEA</t>
        </is>
      </c>
      <c r="AK2192" t="n">
        <v>9</v>
      </c>
      <c r="AL2192" t="inlineStr">
        <is>
          <t>Miss Glam Jambi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LOVILLEA</t>
        </is>
      </c>
      <c r="B2193" s="2">
        <f>"20100576240"</f>
        <v/>
      </c>
      <c r="C2193" t="inlineStr">
        <is>
          <t>LOVILLEA Velvety Bright Compact Powder 02 Light Honey 9gr</t>
        </is>
      </c>
      <c r="D2193" t="inlineStr">
        <is>
          <t>Miss Glam Jambi</t>
        </is>
      </c>
      <c r="E2193" t="n">
        <v>5</v>
      </c>
      <c r="F2193" t="n">
        <v>0.006600000000000001</v>
      </c>
      <c r="G2193" t="n">
        <v>0.33</v>
      </c>
      <c r="H2193" t="n">
        <v>2</v>
      </c>
      <c r="I2193" t="n">
        <v>6</v>
      </c>
      <c r="J2193" t="n">
        <v>1</v>
      </c>
      <c r="K2193" t="n">
        <v>0</v>
      </c>
      <c r="L2193" t="n">
        <v>19600</v>
      </c>
      <c r="M2193" t="n">
        <v>25000</v>
      </c>
      <c r="N2193" t="n">
        <v>33</v>
      </c>
      <c r="O2193" t="n">
        <v>0.33</v>
      </c>
      <c r="P2193" t="n">
        <v>1</v>
      </c>
      <c r="Q2193" t="n">
        <v>0.02</v>
      </c>
      <c r="R2193" t="n">
        <v>1</v>
      </c>
      <c r="S2193" t="n">
        <v>165</v>
      </c>
      <c r="T2193" t="n">
        <v>2</v>
      </c>
      <c r="U2193" t="n">
        <v>3</v>
      </c>
      <c r="V2193" t="n">
        <v>30</v>
      </c>
      <c r="W2193" t="n">
        <v>1</v>
      </c>
      <c r="X2193" t="n">
        <v>757.5757575757575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1381</v>
      </c>
      <c r="AG2193" t="n">
        <v>2136</v>
      </c>
      <c r="AH2193" t="inlineStr">
        <is>
          <t>CV. SAMUDRA JAYA ABADI - PPN (JMB)</t>
        </is>
      </c>
      <c r="AI2193" t="n">
        <v>1455</v>
      </c>
      <c r="AJ2193" t="inlineStr">
        <is>
          <t>LOVILLEA</t>
        </is>
      </c>
      <c r="AK2193" t="n">
        <v>9</v>
      </c>
      <c r="AL2193" t="inlineStr">
        <is>
          <t>Miss Glam Jambi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LT-PRO</t>
        </is>
      </c>
      <c r="B2194" s="2">
        <f>"8998113330195"</f>
        <v/>
      </c>
      <c r="C2194" t="inlineStr">
        <is>
          <t>LT PRO Smooth Correcting Plum Rose 15gr</t>
        </is>
      </c>
      <c r="D2194" t="inlineStr">
        <is>
          <t>Miss Glam Jambi</t>
        </is>
      </c>
      <c r="E2194" t="n">
        <v>2</v>
      </c>
      <c r="F2194" t="n">
        <v>0.0165</v>
      </c>
      <c r="G2194" t="n">
        <v>0.33</v>
      </c>
      <c r="H2194" t="n">
        <v>4</v>
      </c>
      <c r="I2194" t="n">
        <v>21</v>
      </c>
      <c r="J2194" t="n">
        <v>3</v>
      </c>
      <c r="K2194" t="n">
        <v>0</v>
      </c>
      <c r="L2194" t="n">
        <v>123750</v>
      </c>
      <c r="M2194" t="n">
        <v>134500</v>
      </c>
      <c r="N2194" t="n">
        <v>33</v>
      </c>
      <c r="O2194" t="n">
        <v>0.33</v>
      </c>
      <c r="P2194" t="n">
        <v>1</v>
      </c>
      <c r="Q2194" t="n">
        <v>0.03</v>
      </c>
      <c r="R2194" t="n">
        <v>1</v>
      </c>
      <c r="S2194" t="n">
        <v>2219.25</v>
      </c>
      <c r="T2194" t="n">
        <v>7</v>
      </c>
      <c r="U2194" t="n">
        <v>8</v>
      </c>
      <c r="V2194" t="n">
        <v>30</v>
      </c>
      <c r="W2194" t="n">
        <v>1</v>
      </c>
      <c r="X2194" t="n">
        <v>121.2121212121212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9421</v>
      </c>
      <c r="AG2194" t="n">
        <v>2194</v>
      </c>
      <c r="AH2194" t="inlineStr">
        <is>
          <t>PT. BINTANG MAS SURYA - PPN (JMB)</t>
        </is>
      </c>
      <c r="AI2194" t="n">
        <v>480</v>
      </c>
      <c r="AJ2194" t="inlineStr">
        <is>
          <t>LT-PRO</t>
        </is>
      </c>
      <c r="AK2194" t="n">
        <v>9</v>
      </c>
      <c r="AL2194" t="inlineStr">
        <is>
          <t>Miss Glam Jambi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LT-PRO</t>
        </is>
      </c>
      <c r="B2195" s="2">
        <f>"8998113332571"</f>
        <v/>
      </c>
      <c r="C2195" t="inlineStr">
        <is>
          <t>LT PRO Smooth Corrector Cream Foundation Natural 15gr</t>
        </is>
      </c>
      <c r="D2195" t="inlineStr">
        <is>
          <t>Miss Glam Jambi</t>
        </is>
      </c>
      <c r="E2195" t="n">
        <v>4</v>
      </c>
      <c r="F2195" t="n">
        <v>0.009900000000000001</v>
      </c>
      <c r="G2195" t="n">
        <v>0.33</v>
      </c>
      <c r="H2195" t="n">
        <v>4</v>
      </c>
      <c r="I2195" t="n">
        <v>21</v>
      </c>
      <c r="J2195" t="n">
        <v>3</v>
      </c>
      <c r="K2195" t="n">
        <v>0</v>
      </c>
      <c r="L2195" t="n">
        <v>123750</v>
      </c>
      <c r="M2195" t="n">
        <v>150000</v>
      </c>
      <c r="N2195" t="n">
        <v>33</v>
      </c>
      <c r="O2195" t="n">
        <v>0.33</v>
      </c>
      <c r="P2195" t="n">
        <v>1</v>
      </c>
      <c r="Q2195" t="n">
        <v>0.03</v>
      </c>
      <c r="R2195" t="n">
        <v>2</v>
      </c>
      <c r="S2195" t="n">
        <v>1485</v>
      </c>
      <c r="T2195" t="n">
        <v>7</v>
      </c>
      <c r="U2195" t="n">
        <v>8</v>
      </c>
      <c r="V2195" t="n">
        <v>30</v>
      </c>
      <c r="W2195" t="n">
        <v>1</v>
      </c>
      <c r="X2195" t="n">
        <v>404.040404040404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9421</v>
      </c>
      <c r="AG2195" t="n">
        <v>2194</v>
      </c>
      <c r="AH2195" t="inlineStr">
        <is>
          <t>PT. BINTANG MAS SURYA - PPN (JMB)</t>
        </is>
      </c>
      <c r="AI2195" t="n">
        <v>480</v>
      </c>
      <c r="AJ2195" t="inlineStr">
        <is>
          <t>LT-PRO</t>
        </is>
      </c>
      <c r="AK2195" t="n">
        <v>9</v>
      </c>
      <c r="AL2195" t="inlineStr">
        <is>
          <t>Miss Glam Jambi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LT-PRO</t>
        </is>
      </c>
      <c r="B2196" s="2">
        <f>"8998113330218"</f>
        <v/>
      </c>
      <c r="C2196" t="inlineStr">
        <is>
          <t>LT PRO Smooth corrector Yellow Orange 15gr</t>
        </is>
      </c>
      <c r="D2196" t="inlineStr">
        <is>
          <t>Miss Glam Jambi</t>
        </is>
      </c>
      <c r="E2196" t="n">
        <v>3</v>
      </c>
      <c r="F2196" t="n">
        <v>0.0561</v>
      </c>
      <c r="G2196" t="n">
        <v>0.66</v>
      </c>
      <c r="H2196" t="n">
        <v>4</v>
      </c>
      <c r="I2196" t="n">
        <v>21</v>
      </c>
      <c r="J2196" t="n">
        <v>3</v>
      </c>
      <c r="K2196" t="n">
        <v>0</v>
      </c>
      <c r="L2196" t="n">
        <v>123750</v>
      </c>
      <c r="M2196" t="n">
        <v>150000</v>
      </c>
      <c r="N2196" t="n">
        <v>33</v>
      </c>
      <c r="O2196" t="n">
        <v>0.33</v>
      </c>
      <c r="P2196" t="n">
        <v>1</v>
      </c>
      <c r="Q2196" t="n">
        <v>0.17</v>
      </c>
      <c r="R2196" t="n">
        <v>2</v>
      </c>
      <c r="S2196" t="n">
        <v>8415</v>
      </c>
      <c r="T2196" t="n">
        <v>14</v>
      </c>
      <c r="U2196" t="n">
        <v>15</v>
      </c>
      <c r="V2196" t="n">
        <v>30</v>
      </c>
      <c r="W2196" t="n">
        <v>2</v>
      </c>
      <c r="X2196" t="n">
        <v>53.475935828877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9421</v>
      </c>
      <c r="AG2196" t="n">
        <v>2194</v>
      </c>
      <c r="AH2196" t="inlineStr">
        <is>
          <t>PT. BINTANG MAS SURYA - PPN (JMB)</t>
        </is>
      </c>
      <c r="AI2196" t="n">
        <v>480</v>
      </c>
      <c r="AJ2196" t="inlineStr">
        <is>
          <t>LT-PRO</t>
        </is>
      </c>
      <c r="AK2196" t="n">
        <v>9</v>
      </c>
      <c r="AL2196" t="inlineStr">
        <is>
          <t>Miss Glam Jambi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LUCIDO</t>
        </is>
      </c>
      <c r="B2197" s="2">
        <f>"8992222320054"</f>
        <v/>
      </c>
      <c r="C2197" t="inlineStr">
        <is>
          <t>LUCIDO Hair Oil Spray Damaged 200ml</t>
        </is>
      </c>
      <c r="D2197" t="inlineStr">
        <is>
          <t>Miss Glam Jambi</t>
        </is>
      </c>
      <c r="E2197" t="n">
        <v>2</v>
      </c>
      <c r="F2197" t="n">
        <v>0.0264</v>
      </c>
      <c r="G2197" t="n">
        <v>0.66</v>
      </c>
      <c r="H2197" t="n">
        <v>2</v>
      </c>
      <c r="I2197" t="n">
        <v>6</v>
      </c>
      <c r="J2197" t="n">
        <v>3</v>
      </c>
      <c r="K2197" t="n">
        <v>0</v>
      </c>
      <c r="L2197" t="n">
        <v>33892</v>
      </c>
      <c r="M2197" t="n">
        <v>45000</v>
      </c>
      <c r="N2197" t="n">
        <v>33</v>
      </c>
      <c r="O2197" t="n">
        <v>0.33</v>
      </c>
      <c r="P2197" t="n">
        <v>1</v>
      </c>
      <c r="Q2197" t="n">
        <v>0.02</v>
      </c>
      <c r="R2197" t="n">
        <v>1</v>
      </c>
      <c r="S2197" t="n">
        <v>1188</v>
      </c>
      <c r="T2197" t="n">
        <v>4</v>
      </c>
      <c r="U2197" t="n">
        <v>5</v>
      </c>
      <c r="V2197" t="n">
        <v>30</v>
      </c>
      <c r="W2197" t="n">
        <v>1</v>
      </c>
      <c r="X2197" t="n">
        <v>75.75757575757575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1385</v>
      </c>
      <c r="AG2197" t="n">
        <v>2136</v>
      </c>
      <c r="AH2197" t="inlineStr">
        <is>
          <t>CV. SAMUDRA JAYA ABADI - PPN (JMB)</t>
        </is>
      </c>
      <c r="AI2197" t="n">
        <v>564</v>
      </c>
      <c r="AJ2197" t="inlineStr">
        <is>
          <t>LUCIDO</t>
        </is>
      </c>
      <c r="AK2197" t="n">
        <v>9</v>
      </c>
      <c r="AL2197" t="inlineStr">
        <is>
          <t>Miss Glam Jambi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LUCIDO</t>
        </is>
      </c>
      <c r="B2198" s="2">
        <f>"8992222320146"</f>
        <v/>
      </c>
      <c r="C2198" t="inlineStr">
        <is>
          <t>LUCIDO Hair Vitamin Oil Damaged (Mini) 30ml</t>
        </is>
      </c>
      <c r="D2198" t="inlineStr">
        <is>
          <t>Miss Glam Jambi</t>
        </is>
      </c>
      <c r="E2198" t="n">
        <v>2</v>
      </c>
      <c r="F2198" t="n">
        <v>0.0462</v>
      </c>
      <c r="G2198" t="n">
        <v>0.33</v>
      </c>
      <c r="H2198" t="n">
        <v>2</v>
      </c>
      <c r="I2198" t="n">
        <v>6</v>
      </c>
      <c r="J2198" t="n">
        <v>3</v>
      </c>
      <c r="K2198" t="n">
        <v>0</v>
      </c>
      <c r="L2198" t="n">
        <v>22867</v>
      </c>
      <c r="M2198" t="n">
        <v>29000</v>
      </c>
      <c r="N2198" t="n">
        <v>33</v>
      </c>
      <c r="O2198" t="n">
        <v>0.33</v>
      </c>
      <c r="P2198" t="n">
        <v>1</v>
      </c>
      <c r="Q2198" t="n">
        <v>0.05</v>
      </c>
      <c r="R2198" t="n">
        <v>1</v>
      </c>
      <c r="S2198" t="n">
        <v>1339.8</v>
      </c>
      <c r="T2198" t="n">
        <v>2</v>
      </c>
      <c r="U2198" t="n">
        <v>3</v>
      </c>
      <c r="V2198" t="n">
        <v>30</v>
      </c>
      <c r="W2198" t="n">
        <v>2</v>
      </c>
      <c r="X2198" t="n">
        <v>43.29004329004329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1385</v>
      </c>
      <c r="AG2198" t="n">
        <v>2136</v>
      </c>
      <c r="AH2198" t="inlineStr">
        <is>
          <t>CV. SAMUDRA JAYA ABADI - PPN (JMB)</t>
        </is>
      </c>
      <c r="AI2198" t="n">
        <v>564</v>
      </c>
      <c r="AJ2198" t="inlineStr">
        <is>
          <t>LUCIDO</t>
        </is>
      </c>
      <c r="AK2198" t="n">
        <v>9</v>
      </c>
      <c r="AL2198" t="inlineStr">
        <is>
          <t>Miss Glam Jambi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LUCIDO</t>
        </is>
      </c>
      <c r="B2199" s="2">
        <f>"8992222320023"</f>
        <v/>
      </c>
      <c r="C2199" t="inlineStr">
        <is>
          <t>LUCIDO Hair Vitamin Oil Damaged 50ml</t>
        </is>
      </c>
      <c r="D2199" t="inlineStr">
        <is>
          <t>Miss Glam Jambi</t>
        </is>
      </c>
      <c r="E2199" t="n">
        <v>1</v>
      </c>
      <c r="F2199" t="n">
        <v>0.08910000000000001</v>
      </c>
      <c r="G2199" t="n">
        <v>0.99</v>
      </c>
      <c r="H2199" t="n">
        <v>2</v>
      </c>
      <c r="I2199" t="n">
        <v>6</v>
      </c>
      <c r="J2199" t="n">
        <v>3</v>
      </c>
      <c r="K2199" t="n">
        <v>3</v>
      </c>
      <c r="L2199" t="n">
        <v>35525</v>
      </c>
      <c r="M2199" t="n">
        <v>44000</v>
      </c>
      <c r="N2199" t="n">
        <v>33</v>
      </c>
      <c r="O2199" t="n">
        <v>0.33</v>
      </c>
      <c r="P2199" t="n">
        <v>1</v>
      </c>
      <c r="Q2199" t="n">
        <v>0.02</v>
      </c>
      <c r="R2199" t="n">
        <v>1</v>
      </c>
      <c r="S2199" t="n">
        <v>3920.400000000001</v>
      </c>
      <c r="T2199" t="n">
        <v>6</v>
      </c>
      <c r="U2199" t="n">
        <v>7</v>
      </c>
      <c r="V2199" t="n">
        <v>30</v>
      </c>
      <c r="W2199" t="n">
        <v>3</v>
      </c>
      <c r="X2199" t="n">
        <v>11.22334455667789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1385</v>
      </c>
      <c r="AG2199" t="n">
        <v>2136</v>
      </c>
      <c r="AH2199" t="inlineStr">
        <is>
          <t>CV. SAMUDRA JAYA ABADI - PPN (JMB)</t>
        </is>
      </c>
      <c r="AI2199" t="n">
        <v>564</v>
      </c>
      <c r="AJ2199" t="inlineStr">
        <is>
          <t>LUCIDO</t>
        </is>
      </c>
      <c r="AK2199" t="n">
        <v>9</v>
      </c>
      <c r="AL2199" t="inlineStr">
        <is>
          <t>Miss Glam Jambi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LUCIDO</t>
        </is>
      </c>
      <c r="B2200" s="2">
        <f>"8992222320139"</f>
        <v/>
      </c>
      <c r="C2200" t="inlineStr">
        <is>
          <t>LUCIDO Hair Vitamin Oil Dry (Mini) 30ml</t>
        </is>
      </c>
      <c r="D2200" t="inlineStr">
        <is>
          <t>Miss Glam Jambi</t>
        </is>
      </c>
      <c r="E2200" t="n">
        <v>2</v>
      </c>
      <c r="F2200" t="n">
        <v>0.1023</v>
      </c>
      <c r="G2200" t="n">
        <v>0.66</v>
      </c>
      <c r="H2200" t="n">
        <v>2</v>
      </c>
      <c r="I2200" t="n">
        <v>6</v>
      </c>
      <c r="J2200" t="n">
        <v>3</v>
      </c>
      <c r="K2200" t="n">
        <v>3</v>
      </c>
      <c r="L2200" t="n">
        <v>22867</v>
      </c>
      <c r="M2200" t="n">
        <v>29000</v>
      </c>
      <c r="N2200" t="n">
        <v>33</v>
      </c>
      <c r="O2200" t="n">
        <v>0.33</v>
      </c>
      <c r="P2200" t="n">
        <v>1</v>
      </c>
      <c r="Q2200" t="n">
        <v>0.02</v>
      </c>
      <c r="R2200" t="n">
        <v>1</v>
      </c>
      <c r="S2200" t="n">
        <v>2966.7</v>
      </c>
      <c r="T2200" t="n">
        <v>4</v>
      </c>
      <c r="U2200" t="n">
        <v>5</v>
      </c>
      <c r="V2200" t="n">
        <v>30</v>
      </c>
      <c r="W2200" t="n">
        <v>4</v>
      </c>
      <c r="X2200" t="n">
        <v>19.55034213098729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1385</v>
      </c>
      <c r="AG2200" t="n">
        <v>2136</v>
      </c>
      <c r="AH2200" t="inlineStr">
        <is>
          <t>CV. SAMUDRA JAYA ABADI - PPN (JMB)</t>
        </is>
      </c>
      <c r="AI2200" t="n">
        <v>564</v>
      </c>
      <c r="AJ2200" t="inlineStr">
        <is>
          <t>LUCIDO</t>
        </is>
      </c>
      <c r="AK2200" t="n">
        <v>9</v>
      </c>
      <c r="AL2200" t="inlineStr">
        <is>
          <t>Miss Glam Jambi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LUCIDO</t>
        </is>
      </c>
      <c r="B2201" s="2">
        <f>"8992222320030"</f>
        <v/>
      </c>
      <c r="C2201" t="inlineStr">
        <is>
          <t>LUCIDO Hair Vitamin Oil Dry 50ml</t>
        </is>
      </c>
      <c r="D2201" t="inlineStr">
        <is>
          <t>Miss Glam Jambi</t>
        </is>
      </c>
      <c r="E2201" t="n">
        <v>2</v>
      </c>
      <c r="F2201" t="n">
        <v>0.1056</v>
      </c>
      <c r="G2201" t="n">
        <v>0.66</v>
      </c>
      <c r="H2201" t="n">
        <v>2</v>
      </c>
      <c r="I2201" t="n">
        <v>6</v>
      </c>
      <c r="J2201" t="n">
        <v>3</v>
      </c>
      <c r="K2201" t="n">
        <v>3</v>
      </c>
      <c r="L2201" t="n">
        <v>35656</v>
      </c>
      <c r="M2201" t="n">
        <v>44000</v>
      </c>
      <c r="N2201" t="n">
        <v>33</v>
      </c>
      <c r="O2201" t="n">
        <v>0.33</v>
      </c>
      <c r="P2201" t="n">
        <v>1</v>
      </c>
      <c r="Q2201" t="n">
        <v>0.03</v>
      </c>
      <c r="R2201" t="n">
        <v>1</v>
      </c>
      <c r="S2201" t="n">
        <v>4646.400000000001</v>
      </c>
      <c r="T2201" t="n">
        <v>4</v>
      </c>
      <c r="U2201" t="n">
        <v>5</v>
      </c>
      <c r="V2201" t="n">
        <v>30</v>
      </c>
      <c r="W2201" t="n">
        <v>4</v>
      </c>
      <c r="X2201" t="n">
        <v>18.93939393939394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1385</v>
      </c>
      <c r="AG2201" t="n">
        <v>2136</v>
      </c>
      <c r="AH2201" t="inlineStr">
        <is>
          <t>CV. SAMUDRA JAYA ABADI - PPN (JMB)</t>
        </is>
      </c>
      <c r="AI2201" t="n">
        <v>564</v>
      </c>
      <c r="AJ2201" t="inlineStr">
        <is>
          <t>LUCIDO</t>
        </is>
      </c>
      <c r="AK2201" t="n">
        <v>9</v>
      </c>
      <c r="AL2201" t="inlineStr">
        <is>
          <t>Miss Glam Jambi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LUCIDO</t>
        </is>
      </c>
      <c r="B2202" s="2">
        <f>"8992222320047"</f>
        <v/>
      </c>
      <c r="C2202" t="inlineStr">
        <is>
          <t>LUCIDO Hair Vitamin Oil Normal 50ml</t>
        </is>
      </c>
      <c r="D2202" t="inlineStr">
        <is>
          <t>Miss Glam Jambi</t>
        </is>
      </c>
      <c r="E2202" t="n">
        <v>7</v>
      </c>
      <c r="F2202" t="n">
        <v>0.09569999999999999</v>
      </c>
      <c r="G2202" t="n">
        <v>0.99</v>
      </c>
      <c r="H2202" t="n">
        <v>2</v>
      </c>
      <c r="I2202" t="n">
        <v>6</v>
      </c>
      <c r="J2202" t="n">
        <v>3</v>
      </c>
      <c r="K2202" t="n">
        <v>0</v>
      </c>
      <c r="L2202" t="n">
        <v>35525</v>
      </c>
      <c r="M2202" t="n">
        <v>44000</v>
      </c>
      <c r="N2202" t="n">
        <v>33</v>
      </c>
      <c r="O2202" t="n">
        <v>0.33</v>
      </c>
      <c r="P2202" t="n">
        <v>1</v>
      </c>
      <c r="Q2202" t="n">
        <v>0.1</v>
      </c>
      <c r="R2202" t="n">
        <v>1</v>
      </c>
      <c r="S2202" t="n">
        <v>4210.799999999999</v>
      </c>
      <c r="T2202" t="n">
        <v>6</v>
      </c>
      <c r="U2202" t="n">
        <v>7</v>
      </c>
      <c r="V2202" t="n">
        <v>30</v>
      </c>
      <c r="W2202" t="n">
        <v>3</v>
      </c>
      <c r="X2202" t="n">
        <v>73.14524555903867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1385</v>
      </c>
      <c r="AG2202" t="n">
        <v>2136</v>
      </c>
      <c r="AH2202" t="inlineStr">
        <is>
          <t>CV. SAMUDRA JAYA ABADI - PPN (JMB)</t>
        </is>
      </c>
      <c r="AI2202" t="n">
        <v>564</v>
      </c>
      <c r="AJ2202" t="inlineStr">
        <is>
          <t>LUCIDO</t>
        </is>
      </c>
      <c r="AK2202" t="n">
        <v>9</v>
      </c>
      <c r="AL2202" t="inlineStr">
        <is>
          <t>Miss Glam Jambi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LUCIDO</t>
        </is>
      </c>
      <c r="B2203" s="2">
        <f>"8992222320078"</f>
        <v/>
      </c>
      <c r="C2203" t="inlineStr">
        <is>
          <t>LUCIDO Hair Vitamin Spray Normal 200ml</t>
        </is>
      </c>
      <c r="D2203" t="inlineStr">
        <is>
          <t>Miss Glam Jambi</t>
        </is>
      </c>
      <c r="E2203" t="n">
        <v>2</v>
      </c>
      <c r="F2203" t="n">
        <v>0.0264</v>
      </c>
      <c r="G2203" t="n">
        <v>0.33</v>
      </c>
      <c r="H2203" t="n">
        <v>2</v>
      </c>
      <c r="I2203" t="n">
        <v>6</v>
      </c>
      <c r="J2203" t="n">
        <v>3</v>
      </c>
      <c r="K2203" t="n">
        <v>0</v>
      </c>
      <c r="L2203" t="n">
        <v>33892</v>
      </c>
      <c r="M2203" t="n">
        <v>42000</v>
      </c>
      <c r="N2203" t="n">
        <v>33</v>
      </c>
      <c r="O2203" t="n">
        <v>0.33</v>
      </c>
      <c r="P2203" t="n">
        <v>1</v>
      </c>
      <c r="Q2203" t="n">
        <v>0.02</v>
      </c>
      <c r="R2203" t="n">
        <v>1</v>
      </c>
      <c r="S2203" t="n">
        <v>1108.8</v>
      </c>
      <c r="T2203" t="n">
        <v>2</v>
      </c>
      <c r="U2203" t="n">
        <v>3</v>
      </c>
      <c r="V2203" t="n">
        <v>30</v>
      </c>
      <c r="W2203" t="n">
        <v>1</v>
      </c>
      <c r="X2203" t="n">
        <v>75.75757575757575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1385</v>
      </c>
      <c r="AG2203" t="n">
        <v>2136</v>
      </c>
      <c r="AH2203" t="inlineStr">
        <is>
          <t>CV. SAMUDRA JAYA ABADI - PPN (JMB)</t>
        </is>
      </c>
      <c r="AI2203" t="n">
        <v>564</v>
      </c>
      <c r="AJ2203" t="inlineStr">
        <is>
          <t>LUCIDO</t>
        </is>
      </c>
      <c r="AK2203" t="n">
        <v>9</v>
      </c>
      <c r="AL2203" t="inlineStr">
        <is>
          <t>Miss Glam Jambi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LUCIDO</t>
        </is>
      </c>
      <c r="B2204" s="2">
        <f>"40200808320"</f>
        <v/>
      </c>
      <c r="C2204" t="inlineStr">
        <is>
          <t>LUCIDO Serum Boost Hair Fragrance Floral Cascade 100ml</t>
        </is>
      </c>
      <c r="D2204" t="inlineStr">
        <is>
          <t>Miss Glam Jambi</t>
        </is>
      </c>
      <c r="E2204" t="n">
        <v>3</v>
      </c>
      <c r="F2204" t="n">
        <v>0.1221</v>
      </c>
      <c r="G2204" t="n">
        <v>0.99</v>
      </c>
      <c r="H2204" t="n">
        <v>2</v>
      </c>
      <c r="I2204" t="n">
        <v>6</v>
      </c>
      <c r="J2204" t="n">
        <v>1</v>
      </c>
      <c r="K2204" t="n">
        <v>1</v>
      </c>
      <c r="L2204" t="n">
        <v>20417</v>
      </c>
      <c r="M2204" t="n">
        <v>26500</v>
      </c>
      <c r="N2204" t="n">
        <v>33</v>
      </c>
      <c r="O2204" t="n">
        <v>0.33</v>
      </c>
      <c r="P2204" t="n">
        <v>1</v>
      </c>
      <c r="Q2204" t="n">
        <v>0.07000000000000001</v>
      </c>
      <c r="R2204" t="n">
        <v>1</v>
      </c>
      <c r="S2204" t="n">
        <v>3235.65</v>
      </c>
      <c r="T2204" t="n">
        <v>6</v>
      </c>
      <c r="U2204" t="n">
        <v>7</v>
      </c>
      <c r="V2204" t="n">
        <v>30</v>
      </c>
      <c r="W2204" t="n">
        <v>4</v>
      </c>
      <c r="X2204" t="n">
        <v>24.57002457002457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1385</v>
      </c>
      <c r="AG2204" t="n">
        <v>2136</v>
      </c>
      <c r="AH2204" t="inlineStr">
        <is>
          <t>CV. SAMUDRA JAYA ABADI - PPN (JMB)</t>
        </is>
      </c>
      <c r="AI2204" t="n">
        <v>564</v>
      </c>
      <c r="AJ2204" t="inlineStr">
        <is>
          <t>LUCIDO</t>
        </is>
      </c>
      <c r="AK2204" t="n">
        <v>9</v>
      </c>
      <c r="AL2204" t="inlineStr">
        <is>
          <t>Miss Glam Jambi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LUCIDO</t>
        </is>
      </c>
      <c r="B2205" s="2">
        <f>"40200808148"</f>
        <v/>
      </c>
      <c r="C2205" t="inlineStr">
        <is>
          <t>LUCIDO Serum Boost Hair Fragrance Frosty Flower 100ml</t>
        </is>
      </c>
      <c r="D2205" t="inlineStr">
        <is>
          <t>Miss Glam Jambi</t>
        </is>
      </c>
      <c r="E2205" t="n">
        <v>5</v>
      </c>
      <c r="F2205" t="n">
        <v>0.033</v>
      </c>
      <c r="G2205" t="n">
        <v>0.33</v>
      </c>
      <c r="H2205" t="n">
        <v>2</v>
      </c>
      <c r="I2205" t="n">
        <v>6</v>
      </c>
      <c r="J2205" t="n">
        <v>1</v>
      </c>
      <c r="K2205" t="n">
        <v>0</v>
      </c>
      <c r="L2205" t="n">
        <v>20428</v>
      </c>
      <c r="M2205" t="n">
        <v>26500</v>
      </c>
      <c r="N2205" t="n">
        <v>33</v>
      </c>
      <c r="O2205" t="n">
        <v>0.33</v>
      </c>
      <c r="P2205" t="n">
        <v>1</v>
      </c>
      <c r="Q2205" t="n">
        <v>0.05</v>
      </c>
      <c r="R2205" t="n">
        <v>1</v>
      </c>
      <c r="S2205" t="n">
        <v>874.5</v>
      </c>
      <c r="T2205" t="n">
        <v>2</v>
      </c>
      <c r="U2205" t="n">
        <v>3</v>
      </c>
      <c r="V2205" t="n">
        <v>30</v>
      </c>
      <c r="W2205" t="n">
        <v>1</v>
      </c>
      <c r="X2205" t="n">
        <v>151.5151515151515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1385</v>
      </c>
      <c r="AG2205" t="n">
        <v>2136</v>
      </c>
      <c r="AH2205" t="inlineStr">
        <is>
          <t>CV. SAMUDRA JAYA ABADI - PPN (JMB)</t>
        </is>
      </c>
      <c r="AI2205" t="n">
        <v>564</v>
      </c>
      <c r="AJ2205" t="inlineStr">
        <is>
          <t>LUCIDO</t>
        </is>
      </c>
      <c r="AK2205" t="n">
        <v>9</v>
      </c>
      <c r="AL2205" t="inlineStr">
        <is>
          <t>Miss Glam Jambi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LUCIDO</t>
        </is>
      </c>
      <c r="B2206" s="2">
        <f>"40200808241"</f>
        <v/>
      </c>
      <c r="C2206" t="inlineStr">
        <is>
          <t>LUCIDO Serum Boost Hair Fragrance Twilight Bloom 100ml</t>
        </is>
      </c>
      <c r="D2206" t="inlineStr">
        <is>
          <t>Miss Glam Jambi</t>
        </is>
      </c>
      <c r="E2206" t="n">
        <v>4</v>
      </c>
      <c r="F2206" t="n">
        <v>0.08910000000000001</v>
      </c>
      <c r="G2206" t="n">
        <v>1.32</v>
      </c>
      <c r="H2206" t="n">
        <v>2</v>
      </c>
      <c r="I2206" t="n">
        <v>6</v>
      </c>
      <c r="J2206" t="n">
        <v>1</v>
      </c>
      <c r="K2206" t="n">
        <v>0</v>
      </c>
      <c r="L2206" t="n">
        <v>20398</v>
      </c>
      <c r="M2206" t="n">
        <v>26500</v>
      </c>
      <c r="N2206" t="n">
        <v>33</v>
      </c>
      <c r="O2206" t="n">
        <v>0.33</v>
      </c>
      <c r="P2206" t="n">
        <v>1</v>
      </c>
      <c r="Q2206" t="n">
        <v>0.08</v>
      </c>
      <c r="R2206" t="n">
        <v>1</v>
      </c>
      <c r="S2206" t="n">
        <v>2361.150000000001</v>
      </c>
      <c r="T2206" t="n">
        <v>8</v>
      </c>
      <c r="U2206" t="n">
        <v>9</v>
      </c>
      <c r="V2206" t="n">
        <v>30</v>
      </c>
      <c r="W2206" t="n">
        <v>3</v>
      </c>
      <c r="X2206" t="n">
        <v>44.89337822671155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1385</v>
      </c>
      <c r="AG2206" t="n">
        <v>2136</v>
      </c>
      <c r="AH2206" t="inlineStr">
        <is>
          <t>CV. SAMUDRA JAYA ABADI - PPN (JMB)</t>
        </is>
      </c>
      <c r="AI2206" t="n">
        <v>564</v>
      </c>
      <c r="AJ2206" t="inlineStr">
        <is>
          <t>LUCIDO</t>
        </is>
      </c>
      <c r="AK2206" t="n">
        <v>9</v>
      </c>
      <c r="AL2206" t="inlineStr">
        <is>
          <t>Miss Glam Jambi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LUCIDO</t>
        </is>
      </c>
      <c r="B2207" s="2">
        <f>"8992222320153"</f>
        <v/>
      </c>
      <c r="C2207" t="inlineStr">
        <is>
          <t>LUCIDO Serum Boost Hair Mask Essential Oil 250gr</t>
        </is>
      </c>
      <c r="D2207" t="inlineStr">
        <is>
          <t>Miss Glam Jambi</t>
        </is>
      </c>
      <c r="E2207" t="n">
        <v>2</v>
      </c>
      <c r="F2207" t="n">
        <v>0.0462</v>
      </c>
      <c r="G2207" t="n">
        <v>0.33</v>
      </c>
      <c r="H2207" t="n">
        <v>2</v>
      </c>
      <c r="I2207" t="n">
        <v>6</v>
      </c>
      <c r="J2207" t="n">
        <v>3</v>
      </c>
      <c r="K2207" t="n">
        <v>0</v>
      </c>
      <c r="L2207" t="n">
        <v>49000</v>
      </c>
      <c r="M2207" t="n">
        <v>62000</v>
      </c>
      <c r="N2207" t="n">
        <v>33</v>
      </c>
      <c r="O2207" t="n">
        <v>0.33</v>
      </c>
      <c r="P2207" t="n">
        <v>1</v>
      </c>
      <c r="Q2207" t="n">
        <v>0.02</v>
      </c>
      <c r="R2207" t="n">
        <v>1</v>
      </c>
      <c r="S2207" t="n">
        <v>2864.4</v>
      </c>
      <c r="T2207" t="n">
        <v>2</v>
      </c>
      <c r="U2207" t="n">
        <v>3</v>
      </c>
      <c r="V2207" t="n">
        <v>30</v>
      </c>
      <c r="W2207" t="n">
        <v>2</v>
      </c>
      <c r="X2207" t="n">
        <v>43.29004329004329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1385</v>
      </c>
      <c r="AG2207" t="n">
        <v>2136</v>
      </c>
      <c r="AH2207" t="inlineStr">
        <is>
          <t>CV. SAMUDRA JAYA ABADI - PPN (JMB)</t>
        </is>
      </c>
      <c r="AI2207" t="n">
        <v>564</v>
      </c>
      <c r="AJ2207" t="inlineStr">
        <is>
          <t>LUCIDO</t>
        </is>
      </c>
      <c r="AK2207" t="n">
        <v>9</v>
      </c>
      <c r="AL2207" t="inlineStr">
        <is>
          <t>Miss Glam Jambi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LUCIDO</t>
        </is>
      </c>
      <c r="B2208" s="2">
        <f>"8992222320160"</f>
        <v/>
      </c>
      <c r="C2208" t="inlineStr">
        <is>
          <t>LUCIDO Serum Boost Hair Mask Keratin 250gr</t>
        </is>
      </c>
      <c r="D2208" t="inlineStr">
        <is>
          <t>Miss Glam Jambi</t>
        </is>
      </c>
      <c r="E2208" t="n">
        <v>4</v>
      </c>
      <c r="F2208" t="n">
        <v>0.0495</v>
      </c>
      <c r="G2208" t="n">
        <v>0.33</v>
      </c>
      <c r="H2208" t="n">
        <v>2</v>
      </c>
      <c r="I2208" t="n">
        <v>6</v>
      </c>
      <c r="J2208" t="n">
        <v>3</v>
      </c>
      <c r="K2208" t="n">
        <v>0</v>
      </c>
      <c r="L2208" t="n">
        <v>49000</v>
      </c>
      <c r="M2208" t="n">
        <v>62000</v>
      </c>
      <c r="N2208" t="n">
        <v>33</v>
      </c>
      <c r="O2208" t="n">
        <v>0.33</v>
      </c>
      <c r="P2208" t="n">
        <v>1</v>
      </c>
      <c r="Q2208" t="n">
        <v>0.02</v>
      </c>
      <c r="R2208" t="n">
        <v>1</v>
      </c>
      <c r="S2208" t="n">
        <v>3069</v>
      </c>
      <c r="T2208" t="n">
        <v>2</v>
      </c>
      <c r="U2208" t="n">
        <v>3</v>
      </c>
      <c r="V2208" t="n">
        <v>30</v>
      </c>
      <c r="W2208" t="n">
        <v>2</v>
      </c>
      <c r="X2208" t="n">
        <v>80.8080808080808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1385</v>
      </c>
      <c r="AG2208" t="n">
        <v>2136</v>
      </c>
      <c r="AH2208" t="inlineStr">
        <is>
          <t>CV. SAMUDRA JAYA ABADI - PPN (JMB)</t>
        </is>
      </c>
      <c r="AI2208" t="n">
        <v>564</v>
      </c>
      <c r="AJ2208" t="inlineStr">
        <is>
          <t>LUCIDO</t>
        </is>
      </c>
      <c r="AK2208" t="n">
        <v>9</v>
      </c>
      <c r="AL2208" t="inlineStr">
        <is>
          <t>Miss Glam Jambi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LUCIDO</t>
        </is>
      </c>
      <c r="B2209" s="2">
        <f>"40200307058"</f>
        <v/>
      </c>
      <c r="C2209" t="inlineStr">
        <is>
          <t>LUCIDO Serum Boost Hair Oil Keratin 50ml</t>
        </is>
      </c>
      <c r="D2209" t="inlineStr">
        <is>
          <t>Miss Glam Jambi</t>
        </is>
      </c>
      <c r="E2209" t="n">
        <v>3</v>
      </c>
      <c r="F2209" t="n">
        <v>0.07920000000000001</v>
      </c>
      <c r="G2209" t="n">
        <v>0.66</v>
      </c>
      <c r="H2209" t="n">
        <v>2</v>
      </c>
      <c r="I2209" t="n">
        <v>6</v>
      </c>
      <c r="J2209" t="n">
        <v>1</v>
      </c>
      <c r="K2209" t="n">
        <v>0</v>
      </c>
      <c r="L2209" t="n">
        <v>47427</v>
      </c>
      <c r="M2209" t="n">
        <v>60000</v>
      </c>
      <c r="N2209" t="n">
        <v>33</v>
      </c>
      <c r="O2209" t="n">
        <v>0.33</v>
      </c>
      <c r="P2209" t="n">
        <v>1</v>
      </c>
      <c r="Q2209" t="n">
        <v>0.03</v>
      </c>
      <c r="R2209" t="n">
        <v>1</v>
      </c>
      <c r="S2209" t="n">
        <v>4752</v>
      </c>
      <c r="T2209" t="n">
        <v>4</v>
      </c>
      <c r="U2209" t="n">
        <v>5</v>
      </c>
      <c r="V2209" t="n">
        <v>30</v>
      </c>
      <c r="W2209" t="n">
        <v>3</v>
      </c>
      <c r="X2209" t="n">
        <v>37.87878787878788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1385</v>
      </c>
      <c r="AG2209" t="n">
        <v>2136</v>
      </c>
      <c r="AH2209" t="inlineStr">
        <is>
          <t>CV. SAMUDRA JAYA ABADI - PPN (JMB)</t>
        </is>
      </c>
      <c r="AI2209" t="n">
        <v>564</v>
      </c>
      <c r="AJ2209" t="inlineStr">
        <is>
          <t>LUCIDO</t>
        </is>
      </c>
      <c r="AK2209" t="n">
        <v>9</v>
      </c>
      <c r="AL2209" t="inlineStr">
        <is>
          <t>Miss Glam Jambi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LUXCRIME</t>
        </is>
      </c>
      <c r="B2210" s="2">
        <f>"769503123516"</f>
        <v/>
      </c>
      <c r="C2210" t="inlineStr">
        <is>
          <t>LUXCRIME Blur &amp; Cover Mini Two Way Cake Silk Glow Buttercream 4,5gr</t>
        </is>
      </c>
      <c r="D2210" t="inlineStr">
        <is>
          <t>Miss Glam Jambi</t>
        </is>
      </c>
      <c r="E2210" t="n">
        <v>3</v>
      </c>
      <c r="F2210" t="n">
        <v>0.0561</v>
      </c>
      <c r="G2210" t="n">
        <v>0.66</v>
      </c>
      <c r="H2210" t="n">
        <v>5</v>
      </c>
      <c r="I2210" t="n">
        <v>11</v>
      </c>
      <c r="J2210" t="n">
        <v>3</v>
      </c>
      <c r="K2210" t="n">
        <v>0</v>
      </c>
      <c r="L2210" t="n">
        <v>59343</v>
      </c>
      <c r="M2210" t="n">
        <v>79000</v>
      </c>
      <c r="N2210" t="n">
        <v>33</v>
      </c>
      <c r="O2210" t="n">
        <v>0.33</v>
      </c>
      <c r="P2210" t="n">
        <v>1</v>
      </c>
      <c r="Q2210" t="n">
        <v>0.03</v>
      </c>
      <c r="R2210" t="n">
        <v>1</v>
      </c>
      <c r="S2210" t="n">
        <v>4431.900000000001</v>
      </c>
      <c r="T2210" t="n">
        <v>7</v>
      </c>
      <c r="U2210" t="n">
        <v>8</v>
      </c>
      <c r="V2210" t="n">
        <v>30</v>
      </c>
      <c r="W2210" t="n">
        <v>2</v>
      </c>
      <c r="X2210" t="n">
        <v>53.475935828877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2496</v>
      </c>
      <c r="AG2210" t="n">
        <v>2060</v>
      </c>
      <c r="AH2210" t="inlineStr">
        <is>
          <t>PT. ANUGERAH NIAGA JAYA (PKU)</t>
        </is>
      </c>
      <c r="AI2210" t="n">
        <v>298</v>
      </c>
      <c r="AJ2210" t="inlineStr">
        <is>
          <t>LUXCRIME</t>
        </is>
      </c>
      <c r="AK2210" t="n">
        <v>9</v>
      </c>
      <c r="AL2210" t="inlineStr">
        <is>
          <t>Miss Glam Jambi</t>
        </is>
      </c>
      <c r="AM2210" t="n">
        <v>4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LUXCRIME</t>
        </is>
      </c>
      <c r="B2211" s="2">
        <f>"769503123509"</f>
        <v/>
      </c>
      <c r="C2211" t="inlineStr">
        <is>
          <t>LUXCRIME Blur &amp; Cover Mini Two Way Cake Silk Glow Cream Puff 4,5gr</t>
        </is>
      </c>
      <c r="D2211" t="inlineStr">
        <is>
          <t>Miss Glam Jambi</t>
        </is>
      </c>
      <c r="E2211" t="n">
        <v>5</v>
      </c>
      <c r="F2211" t="n">
        <v>0.0462</v>
      </c>
      <c r="G2211" t="n">
        <v>0.66</v>
      </c>
      <c r="H2211" t="n">
        <v>5</v>
      </c>
      <c r="I2211" t="n">
        <v>11</v>
      </c>
      <c r="J2211" t="n">
        <v>3</v>
      </c>
      <c r="K2211" t="n">
        <v>0</v>
      </c>
      <c r="L2211" t="n">
        <v>59250</v>
      </c>
      <c r="M2211" t="n">
        <v>79000</v>
      </c>
      <c r="N2211" t="n">
        <v>33</v>
      </c>
      <c r="O2211" t="n">
        <v>0.33</v>
      </c>
      <c r="P2211" t="n">
        <v>1</v>
      </c>
      <c r="Q2211" t="n">
        <v>0.02</v>
      </c>
      <c r="R2211" t="n">
        <v>1</v>
      </c>
      <c r="S2211" t="n">
        <v>3649.8</v>
      </c>
      <c r="T2211" t="n">
        <v>8</v>
      </c>
      <c r="U2211" t="n">
        <v>9</v>
      </c>
      <c r="V2211" t="n">
        <v>30</v>
      </c>
      <c r="W2211" t="n">
        <v>2</v>
      </c>
      <c r="X2211" t="n">
        <v>108.2251082251082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2496</v>
      </c>
      <c r="AG2211" t="n">
        <v>2060</v>
      </c>
      <c r="AH2211" t="inlineStr">
        <is>
          <t>PT. ANUGERAH NIAGA JAYA (PKU)</t>
        </is>
      </c>
      <c r="AI2211" t="n">
        <v>298</v>
      </c>
      <c r="AJ2211" t="inlineStr">
        <is>
          <t>LUXCRIME</t>
        </is>
      </c>
      <c r="AK2211" t="n">
        <v>9</v>
      </c>
      <c r="AL2211" t="inlineStr">
        <is>
          <t>Miss Glam Jambi</t>
        </is>
      </c>
      <c r="AM2211" t="n">
        <v>4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LUXCRIME</t>
        </is>
      </c>
      <c r="B2212" s="2">
        <f>"769503123431"</f>
        <v/>
      </c>
      <c r="C2212" t="inlineStr">
        <is>
          <t>LUXCRIME Blur &amp; Cover Two Way Cake Oil Control Custard 4,5gr</t>
        </is>
      </c>
      <c r="D2212" t="inlineStr">
        <is>
          <t>Miss Glam Jambi</t>
        </is>
      </c>
      <c r="E2212" t="n">
        <v>6</v>
      </c>
      <c r="F2212" t="n">
        <v>0.1056</v>
      </c>
      <c r="G2212" t="n">
        <v>0.66</v>
      </c>
      <c r="H2212" t="n">
        <v>5</v>
      </c>
      <c r="I2212" t="n">
        <v>11</v>
      </c>
      <c r="J2212" t="n">
        <v>3</v>
      </c>
      <c r="K2212" t="n">
        <v>0</v>
      </c>
      <c r="L2212" t="n">
        <v>59695</v>
      </c>
      <c r="M2212" t="n">
        <v>79000</v>
      </c>
      <c r="N2212" t="n">
        <v>33</v>
      </c>
      <c r="O2212" t="n">
        <v>0.33</v>
      </c>
      <c r="P2212" t="n">
        <v>1</v>
      </c>
      <c r="Q2212" t="n">
        <v>0.07000000000000001</v>
      </c>
      <c r="R2212" t="n">
        <v>1</v>
      </c>
      <c r="S2212" t="n">
        <v>8342.400000000001</v>
      </c>
      <c r="T2212" t="n">
        <v>7</v>
      </c>
      <c r="U2212" t="n">
        <v>8</v>
      </c>
      <c r="V2212" t="n">
        <v>30</v>
      </c>
      <c r="W2212" t="n">
        <v>4</v>
      </c>
      <c r="X2212" t="n">
        <v>56.81818181818181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2496</v>
      </c>
      <c r="AG2212" t="n">
        <v>2060</v>
      </c>
      <c r="AH2212" t="inlineStr">
        <is>
          <t>PT. ANUGERAH NIAGA JAYA (PKU)</t>
        </is>
      </c>
      <c r="AI2212" t="n">
        <v>298</v>
      </c>
      <c r="AJ2212" t="inlineStr">
        <is>
          <t>LUXCRIME</t>
        </is>
      </c>
      <c r="AK2212" t="n">
        <v>9</v>
      </c>
      <c r="AL2212" t="inlineStr">
        <is>
          <t>Miss Glam Jambi</t>
        </is>
      </c>
      <c r="AM2212" t="n">
        <v>4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LUXCRIME</t>
        </is>
      </c>
      <c r="B2213" s="2">
        <f>"769503123240"</f>
        <v/>
      </c>
      <c r="C2213" t="inlineStr">
        <is>
          <t>LUXCRIME Blur &amp; Cover Two Way Cake Silk Glow Butter Cream 8.5gr</t>
        </is>
      </c>
      <c r="D2213" t="inlineStr">
        <is>
          <t>Miss Glam Jambi</t>
        </is>
      </c>
      <c r="E2213" t="n">
        <v>4</v>
      </c>
      <c r="F2213" t="n">
        <v>0.1188</v>
      </c>
      <c r="G2213" t="n">
        <v>0.66</v>
      </c>
      <c r="H2213" t="n">
        <v>5</v>
      </c>
      <c r="I2213" t="n">
        <v>11</v>
      </c>
      <c r="J2213" t="n">
        <v>3</v>
      </c>
      <c r="K2213" t="n">
        <v>0</v>
      </c>
      <c r="L2213" t="n">
        <v>97125</v>
      </c>
      <c r="M2213" t="n">
        <v>129000</v>
      </c>
      <c r="N2213" t="n">
        <v>33</v>
      </c>
      <c r="O2213" t="n">
        <v>0.33</v>
      </c>
      <c r="P2213" t="n">
        <v>1</v>
      </c>
      <c r="Q2213" t="n">
        <v>0.08</v>
      </c>
      <c r="R2213" t="n">
        <v>1</v>
      </c>
      <c r="S2213" t="n">
        <v>15325.2</v>
      </c>
      <c r="T2213" t="n">
        <v>7</v>
      </c>
      <c r="U2213" t="n">
        <v>8</v>
      </c>
      <c r="V2213" t="n">
        <v>30</v>
      </c>
      <c r="W2213" t="n">
        <v>4</v>
      </c>
      <c r="X2213" t="n">
        <v>33.67003367003367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2496</v>
      </c>
      <c r="AG2213" t="n">
        <v>2060</v>
      </c>
      <c r="AH2213" t="inlineStr">
        <is>
          <t>PT. ANUGERAH NIAGA JAYA (PKU)</t>
        </is>
      </c>
      <c r="AI2213" t="n">
        <v>298</v>
      </c>
      <c r="AJ2213" t="inlineStr">
        <is>
          <t>LUXCRIME</t>
        </is>
      </c>
      <c r="AK2213" t="n">
        <v>9</v>
      </c>
      <c r="AL2213" t="inlineStr">
        <is>
          <t>Miss Glam Jambi</t>
        </is>
      </c>
      <c r="AM2213" t="n">
        <v>4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LUXCRIME</t>
        </is>
      </c>
      <c r="B2214" s="2">
        <f>"769503123257"</f>
        <v/>
      </c>
      <c r="C2214" t="inlineStr">
        <is>
          <t>LUXCRIME Blur &amp; Cover Two Way Cake Silk Glow Custard 8.5gr</t>
        </is>
      </c>
      <c r="D2214" t="inlineStr">
        <is>
          <t>Miss Glam Jambi</t>
        </is>
      </c>
      <c r="E2214" t="n">
        <v>4</v>
      </c>
      <c r="F2214" t="n">
        <v>0.066</v>
      </c>
      <c r="G2214" t="n">
        <v>0.66</v>
      </c>
      <c r="H2214" t="n">
        <v>5</v>
      </c>
      <c r="I2214" t="n">
        <v>11</v>
      </c>
      <c r="J2214" t="n">
        <v>3</v>
      </c>
      <c r="K2214" t="n">
        <v>0</v>
      </c>
      <c r="L2214" t="n">
        <v>98275</v>
      </c>
      <c r="M2214" t="n">
        <v>129000</v>
      </c>
      <c r="N2214" t="n">
        <v>33</v>
      </c>
      <c r="O2214" t="n">
        <v>0.33</v>
      </c>
      <c r="P2214" t="n">
        <v>1</v>
      </c>
      <c r="Q2214" t="n">
        <v>0.05</v>
      </c>
      <c r="R2214" t="n">
        <v>1</v>
      </c>
      <c r="S2214" t="n">
        <v>8514</v>
      </c>
      <c r="T2214" t="n">
        <v>7</v>
      </c>
      <c r="U2214" t="n">
        <v>8</v>
      </c>
      <c r="V2214" t="n">
        <v>30</v>
      </c>
      <c r="W2214" t="n">
        <v>2</v>
      </c>
      <c r="X2214" t="n">
        <v>60.6060606060606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2496</v>
      </c>
      <c r="AG2214" t="n">
        <v>2060</v>
      </c>
      <c r="AH2214" t="inlineStr">
        <is>
          <t>PT. ANUGERAH NIAGA JAYA (PKU)</t>
        </is>
      </c>
      <c r="AI2214" t="n">
        <v>298</v>
      </c>
      <c r="AJ2214" t="inlineStr">
        <is>
          <t>LUXCRIME</t>
        </is>
      </c>
      <c r="AK2214" t="n">
        <v>9</v>
      </c>
      <c r="AL2214" t="inlineStr">
        <is>
          <t>Miss Glam Jambi</t>
        </is>
      </c>
      <c r="AM2214" t="n">
        <v>4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LUXCRIME</t>
        </is>
      </c>
      <c r="B2215" s="2">
        <f>"769503123264"</f>
        <v/>
      </c>
      <c r="C2215" t="inlineStr">
        <is>
          <t>LUXCRIME Blur &amp; Cover Two Way Cake Silk Glow Honeycomb 8.5gr</t>
        </is>
      </c>
      <c r="D2215" t="inlineStr">
        <is>
          <t>Miss Glam Jambi</t>
        </is>
      </c>
      <c r="E2215" t="n">
        <v>5</v>
      </c>
      <c r="F2215" t="n">
        <v>0.066</v>
      </c>
      <c r="G2215" t="n">
        <v>0.33</v>
      </c>
      <c r="H2215" t="n">
        <v>5</v>
      </c>
      <c r="I2215" t="n">
        <v>11</v>
      </c>
      <c r="J2215" t="n">
        <v>3</v>
      </c>
      <c r="K2215" t="n">
        <v>0</v>
      </c>
      <c r="L2215" t="n">
        <v>96751</v>
      </c>
      <c r="M2215" t="n">
        <v>129000</v>
      </c>
      <c r="N2215" t="n">
        <v>33</v>
      </c>
      <c r="O2215" t="n">
        <v>0.33</v>
      </c>
      <c r="P2215" t="n">
        <v>1</v>
      </c>
      <c r="Q2215" t="n">
        <v>0.02</v>
      </c>
      <c r="R2215" t="n">
        <v>0</v>
      </c>
      <c r="S2215" t="n">
        <v>8514</v>
      </c>
      <c r="T2215" t="n">
        <v>4</v>
      </c>
      <c r="U2215" t="n">
        <v>5</v>
      </c>
      <c r="V2215" t="n">
        <v>30</v>
      </c>
      <c r="W2215" t="n">
        <v>2</v>
      </c>
      <c r="X2215" t="n">
        <v>75.75757575757575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2496</v>
      </c>
      <c r="AG2215" t="n">
        <v>2060</v>
      </c>
      <c r="AH2215" t="inlineStr">
        <is>
          <t>PT. ANUGERAH NIAGA JAYA (PKU)</t>
        </is>
      </c>
      <c r="AI2215" t="n">
        <v>298</v>
      </c>
      <c r="AJ2215" t="inlineStr">
        <is>
          <t>LUXCRIME</t>
        </is>
      </c>
      <c r="AK2215" t="n">
        <v>9</v>
      </c>
      <c r="AL2215" t="inlineStr">
        <is>
          <t>Miss Glam Jambi</t>
        </is>
      </c>
      <c r="AM2215" t="n">
        <v>4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LUXCRIME</t>
        </is>
      </c>
      <c r="B2216" s="2">
        <f>"769503123271"</f>
        <v/>
      </c>
      <c r="C2216" t="inlineStr">
        <is>
          <t>LUXCRIME Blur &amp; Cover Two Way Cake Silk Glow Opera 8.5gr</t>
        </is>
      </c>
      <c r="D2216" t="inlineStr">
        <is>
          <t>Miss Glam Jambi</t>
        </is>
      </c>
      <c r="E2216" t="n">
        <v>9</v>
      </c>
      <c r="F2216" t="n">
        <v>0.009900000000000001</v>
      </c>
      <c r="G2216" t="n">
        <v>0.33</v>
      </c>
      <c r="H2216" t="n">
        <v>5</v>
      </c>
      <c r="I2216" t="n">
        <v>11</v>
      </c>
      <c r="J2216" t="n">
        <v>3</v>
      </c>
      <c r="K2216" t="n">
        <v>0</v>
      </c>
      <c r="L2216" t="n">
        <v>96751</v>
      </c>
      <c r="M2216" t="n">
        <v>129000</v>
      </c>
      <c r="N2216" t="n">
        <v>33</v>
      </c>
      <c r="O2216" t="n">
        <v>0.33</v>
      </c>
      <c r="P2216" t="n">
        <v>1</v>
      </c>
      <c r="Q2216" t="n">
        <v>0.02</v>
      </c>
      <c r="R2216" t="n">
        <v>1</v>
      </c>
      <c r="S2216" t="n">
        <v>1277.1</v>
      </c>
      <c r="T2216" t="n">
        <v>4</v>
      </c>
      <c r="U2216" t="n">
        <v>5</v>
      </c>
      <c r="V2216" t="n">
        <v>30</v>
      </c>
      <c r="W2216" t="n">
        <v>1</v>
      </c>
      <c r="X2216" t="n">
        <v>909.090909090909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2496</v>
      </c>
      <c r="AG2216" t="n">
        <v>2060</v>
      </c>
      <c r="AH2216" t="inlineStr">
        <is>
          <t>PT. ANUGERAH NIAGA JAYA (PKU)</t>
        </is>
      </c>
      <c r="AI2216" t="n">
        <v>298</v>
      </c>
      <c r="AJ2216" t="inlineStr">
        <is>
          <t>LUXCRIME</t>
        </is>
      </c>
      <c r="AK2216" t="n">
        <v>9</v>
      </c>
      <c r="AL2216" t="inlineStr">
        <is>
          <t>Miss Glam Jambi</t>
        </is>
      </c>
      <c r="AM2216" t="n">
        <v>4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LUXCRIME</t>
        </is>
      </c>
      <c r="B2217" s="2">
        <f>"725765030665"</f>
        <v/>
      </c>
      <c r="C2217" t="inlineStr">
        <is>
          <t>LUXCRIME Double Duty Eyelash Curler</t>
        </is>
      </c>
      <c r="D2217" t="inlineStr">
        <is>
          <t>Miss Glam Jambi</t>
        </is>
      </c>
      <c r="E2217" t="n">
        <v>3</v>
      </c>
      <c r="F2217" t="n">
        <v>0.006600000000000001</v>
      </c>
      <c r="G2217" t="n">
        <v>0.33</v>
      </c>
      <c r="H2217" t="n">
        <v>5</v>
      </c>
      <c r="I2217" t="n">
        <v>11</v>
      </c>
      <c r="J2217" t="n">
        <v>3</v>
      </c>
      <c r="K2217" t="n">
        <v>0</v>
      </c>
      <c r="L2217" t="n">
        <v>51884</v>
      </c>
      <c r="M2217" t="n">
        <v>65000</v>
      </c>
      <c r="N2217" t="n">
        <v>33</v>
      </c>
      <c r="O2217" t="n">
        <v>0.33</v>
      </c>
      <c r="P2217" t="n">
        <v>1</v>
      </c>
      <c r="Q2217" t="n">
        <v>0.02</v>
      </c>
      <c r="R2217" t="n">
        <v>1</v>
      </c>
      <c r="S2217" t="n">
        <v>429.0000000000001</v>
      </c>
      <c r="T2217" t="n">
        <v>4</v>
      </c>
      <c r="U2217" t="n">
        <v>5</v>
      </c>
      <c r="V2217" t="n">
        <v>30</v>
      </c>
      <c r="W2217" t="n">
        <v>1</v>
      </c>
      <c r="X2217" t="n">
        <v>454.5454545454545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2496</v>
      </c>
      <c r="AG2217" t="n">
        <v>2060</v>
      </c>
      <c r="AH2217" t="inlineStr">
        <is>
          <t>PT. ANUGERAH NIAGA JAYA (PKU)</t>
        </is>
      </c>
      <c r="AI2217" t="n">
        <v>298</v>
      </c>
      <c r="AJ2217" t="inlineStr">
        <is>
          <t>LUXCRIME</t>
        </is>
      </c>
      <c r="AK2217" t="n">
        <v>9</v>
      </c>
      <c r="AL2217" t="inlineStr">
        <is>
          <t>Miss Glam Jambi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LUXCRIME</t>
        </is>
      </c>
      <c r="B2218" s="2">
        <f>"20200219931"</f>
        <v/>
      </c>
      <c r="C2218" t="inlineStr">
        <is>
          <t>LUXCRIME Extreme Lengthening Mascara 5gr</t>
        </is>
      </c>
      <c r="D2218" t="inlineStr">
        <is>
          <t>Miss Glam Jambi</t>
        </is>
      </c>
      <c r="E2218" t="n">
        <v>5</v>
      </c>
      <c r="F2218" t="n">
        <v>0.02</v>
      </c>
      <c r="G2218" t="n">
        <v>1</v>
      </c>
      <c r="H2218" t="n">
        <v>5</v>
      </c>
      <c r="I2218" t="n">
        <v>11</v>
      </c>
      <c r="J2218" t="n">
        <v>1</v>
      </c>
      <c r="K2218" t="n">
        <v>0</v>
      </c>
      <c r="L2218" t="n">
        <v>81750</v>
      </c>
      <c r="M2218" t="n">
        <v>109000</v>
      </c>
      <c r="N2218" t="n">
        <v>33</v>
      </c>
      <c r="O2218" t="n">
        <v>0.33</v>
      </c>
      <c r="P2218" t="n">
        <v>0</v>
      </c>
      <c r="Q2218" t="n">
        <v>0.02</v>
      </c>
      <c r="R2218" t="n">
        <v>1</v>
      </c>
      <c r="S2218" t="n">
        <v>2180</v>
      </c>
      <c r="T2218" t="n">
        <v>11</v>
      </c>
      <c r="U2218" t="n">
        <v>12</v>
      </c>
      <c r="V2218" t="n">
        <v>30</v>
      </c>
      <c r="W2218" t="n">
        <v>1</v>
      </c>
      <c r="X2218" t="n">
        <v>250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2496</v>
      </c>
      <c r="AG2218" t="n">
        <v>2060</v>
      </c>
      <c r="AH2218" t="inlineStr">
        <is>
          <t>PT. ANUGERAH NIAGA JAYA (PKU)</t>
        </is>
      </c>
      <c r="AI2218" t="n">
        <v>298</v>
      </c>
      <c r="AJ2218" t="inlineStr">
        <is>
          <t>LUXCRIME</t>
        </is>
      </c>
      <c r="AK2218" t="n">
        <v>9</v>
      </c>
      <c r="AL2218" t="inlineStr">
        <is>
          <t>Miss Glam Jambi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LUXCRIME</t>
        </is>
      </c>
      <c r="B2219" s="2">
        <f>"20100930843"</f>
        <v/>
      </c>
      <c r="C2219" t="inlineStr">
        <is>
          <t>LUXCRIME Flushy Cheek Blush Blueberry Muffin 3,5 gr</t>
        </is>
      </c>
      <c r="D2219" t="inlineStr">
        <is>
          <t>Miss Glam Jambi</t>
        </is>
      </c>
      <c r="E2219" t="n">
        <v>2</v>
      </c>
      <c r="F2219" t="n">
        <v>0.066</v>
      </c>
      <c r="G2219" t="n">
        <v>0.99</v>
      </c>
      <c r="H2219" t="n">
        <v>5</v>
      </c>
      <c r="I2219" t="n">
        <v>11</v>
      </c>
      <c r="J2219" t="n">
        <v>3</v>
      </c>
      <c r="K2219" t="n">
        <v>0</v>
      </c>
      <c r="L2219" t="n">
        <v>59405</v>
      </c>
      <c r="M2219" t="n">
        <v>79000</v>
      </c>
      <c r="N2219" t="n">
        <v>33</v>
      </c>
      <c r="O2219" t="n">
        <v>0.33</v>
      </c>
      <c r="P2219" t="n">
        <v>1</v>
      </c>
      <c r="Q2219" t="n">
        <v>0.02</v>
      </c>
      <c r="R2219" t="n">
        <v>1</v>
      </c>
      <c r="S2219" t="n">
        <v>5214</v>
      </c>
      <c r="T2219" t="n">
        <v>11</v>
      </c>
      <c r="U2219" t="n">
        <v>12</v>
      </c>
      <c r="V2219" t="n">
        <v>30</v>
      </c>
      <c r="W2219" t="n">
        <v>2</v>
      </c>
      <c r="X2219" t="n">
        <v>30.3030303030303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2496</v>
      </c>
      <c r="AG2219" t="n">
        <v>2060</v>
      </c>
      <c r="AH2219" t="inlineStr">
        <is>
          <t>PT. ANUGERAH NIAGA JAYA (PKU)</t>
        </is>
      </c>
      <c r="AI2219" t="n">
        <v>298</v>
      </c>
      <c r="AJ2219" t="inlineStr">
        <is>
          <t>LUXCRIME</t>
        </is>
      </c>
      <c r="AK2219" t="n">
        <v>9</v>
      </c>
      <c r="AL2219" t="inlineStr">
        <is>
          <t>Miss Glam Jambi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LUXCRIME</t>
        </is>
      </c>
      <c r="B2220" s="2">
        <f>"725765030443"</f>
        <v/>
      </c>
      <c r="C2220" t="inlineStr">
        <is>
          <t>LUXCRIME Glow Getter Setting Spray Dewy 50ml</t>
        </is>
      </c>
      <c r="D2220" t="inlineStr">
        <is>
          <t>Miss Glam Jambi</t>
        </is>
      </c>
      <c r="E2220" t="n">
        <v>8</v>
      </c>
      <c r="F2220" t="n">
        <v>0.07920000000000001</v>
      </c>
      <c r="G2220" t="n">
        <v>0.66</v>
      </c>
      <c r="H2220" t="n">
        <v>5</v>
      </c>
      <c r="I2220" t="n">
        <v>11</v>
      </c>
      <c r="J2220" t="n">
        <v>6</v>
      </c>
      <c r="K2220" t="n">
        <v>0</v>
      </c>
      <c r="L2220" t="n">
        <v>59950</v>
      </c>
      <c r="M2220" t="n">
        <v>75000</v>
      </c>
      <c r="N2220" t="n">
        <v>33</v>
      </c>
      <c r="O2220" t="n">
        <v>0.33</v>
      </c>
      <c r="P2220" t="n">
        <v>1</v>
      </c>
      <c r="Q2220" t="n">
        <v>0.22</v>
      </c>
      <c r="R2220" t="n">
        <v>4</v>
      </c>
      <c r="S2220" t="n">
        <v>5940.000000000001</v>
      </c>
      <c r="T2220" t="n">
        <v>7</v>
      </c>
      <c r="U2220" t="n">
        <v>8</v>
      </c>
      <c r="V2220" t="n">
        <v>30</v>
      </c>
      <c r="W2220" t="n">
        <v>3</v>
      </c>
      <c r="X2220" t="n">
        <v>101.010101010101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2496</v>
      </c>
      <c r="AG2220" t="n">
        <v>2060</v>
      </c>
      <c r="AH2220" t="inlineStr">
        <is>
          <t>PT. ANUGERAH NIAGA JAYA (PKU)</t>
        </is>
      </c>
      <c r="AI2220" t="n">
        <v>298</v>
      </c>
      <c r="AJ2220" t="inlineStr">
        <is>
          <t>LUXCRIME</t>
        </is>
      </c>
      <c r="AK2220" t="n">
        <v>9</v>
      </c>
      <c r="AL2220" t="inlineStr">
        <is>
          <t>Miss Glam Jambi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LUXCRIME</t>
        </is>
      </c>
      <c r="B2221" s="2">
        <f>"725765030009"</f>
        <v/>
      </c>
      <c r="C2221" t="inlineStr">
        <is>
          <t>LUXCRIME Glow-Getter Dewy Setting Spray 150ml</t>
        </is>
      </c>
      <c r="D2221" t="inlineStr">
        <is>
          <t>Miss Glam Jambi</t>
        </is>
      </c>
      <c r="E2221" t="n">
        <v>3</v>
      </c>
      <c r="F2221" t="n">
        <v>0.0264</v>
      </c>
      <c r="G2221" t="n">
        <v>0.33</v>
      </c>
      <c r="H2221" t="n">
        <v>5</v>
      </c>
      <c r="I2221" t="n">
        <v>11</v>
      </c>
      <c r="J2221" t="n">
        <v>3</v>
      </c>
      <c r="K2221" t="n">
        <v>0</v>
      </c>
      <c r="L2221" t="n">
        <v>111859</v>
      </c>
      <c r="M2221" t="n">
        <v>149000</v>
      </c>
      <c r="N2221" t="n">
        <v>33</v>
      </c>
      <c r="O2221" t="n">
        <v>0.33</v>
      </c>
      <c r="P2221" t="n">
        <v>1</v>
      </c>
      <c r="Q2221" t="n">
        <v>0.08</v>
      </c>
      <c r="R2221" t="n">
        <v>1</v>
      </c>
      <c r="S2221" t="n">
        <v>3933.6</v>
      </c>
      <c r="T2221" t="n">
        <v>4</v>
      </c>
      <c r="U2221" t="n">
        <v>5</v>
      </c>
      <c r="V2221" t="n">
        <v>30</v>
      </c>
      <c r="W2221" t="n">
        <v>1</v>
      </c>
      <c r="X2221" t="n">
        <v>113.6363636363636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2496</v>
      </c>
      <c r="AG2221" t="n">
        <v>2060</v>
      </c>
      <c r="AH2221" t="inlineStr">
        <is>
          <t>PT. ANUGERAH NIAGA JAYA (PKU)</t>
        </is>
      </c>
      <c r="AI2221" t="n">
        <v>298</v>
      </c>
      <c r="AJ2221" t="inlineStr">
        <is>
          <t>LUXCRIME</t>
        </is>
      </c>
      <c r="AK2221" t="n">
        <v>9</v>
      </c>
      <c r="AL2221" t="inlineStr">
        <is>
          <t>Miss Glam Jambi</t>
        </is>
      </c>
      <c r="AM2221" t="n">
        <v>4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LUXCRIME</t>
        </is>
      </c>
      <c r="B2222" s="2">
        <f>"20100572257"</f>
        <v/>
      </c>
      <c r="C2222" t="inlineStr">
        <is>
          <t>LUXCRIME Harley Quinn Blur &amp; Cover Two Way Cake Oil Control - Buttercream 8,5gr</t>
        </is>
      </c>
      <c r="D2222" t="inlineStr">
        <is>
          <t>Miss Glam Jambi</t>
        </is>
      </c>
      <c r="E2222" t="n">
        <v>7</v>
      </c>
      <c r="F2222" t="n">
        <v>0.006600000000000001</v>
      </c>
      <c r="G2222" t="n">
        <v>0.33</v>
      </c>
      <c r="H2222" t="n">
        <v>5</v>
      </c>
      <c r="I2222" t="n">
        <v>11</v>
      </c>
      <c r="J2222" t="n">
        <v>3</v>
      </c>
      <c r="K2222" t="n">
        <v>0</v>
      </c>
      <c r="L2222" t="n">
        <v>97047</v>
      </c>
      <c r="M2222" t="n">
        <v>129000</v>
      </c>
      <c r="N2222" t="n">
        <v>33</v>
      </c>
      <c r="O2222" t="n">
        <v>0.33</v>
      </c>
      <c r="P2222" t="n">
        <v>1</v>
      </c>
      <c r="Q2222" t="n">
        <v>0.02</v>
      </c>
      <c r="R2222" t="n">
        <v>1</v>
      </c>
      <c r="S2222" t="n">
        <v>851.4000000000001</v>
      </c>
      <c r="T2222" t="n">
        <v>4</v>
      </c>
      <c r="U2222" t="n">
        <v>5</v>
      </c>
      <c r="V2222" t="n">
        <v>30</v>
      </c>
      <c r="W2222" t="n">
        <v>1</v>
      </c>
      <c r="X2222" t="n">
        <v>1060.606060606061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2496</v>
      </c>
      <c r="AG2222" t="n">
        <v>2060</v>
      </c>
      <c r="AH2222" t="inlineStr">
        <is>
          <t>PT. ANUGERAH NIAGA JAYA (PKU)</t>
        </is>
      </c>
      <c r="AI2222" t="n">
        <v>298</v>
      </c>
      <c r="AJ2222" t="inlineStr">
        <is>
          <t>LUXCRIME</t>
        </is>
      </c>
      <c r="AK2222" t="n">
        <v>9</v>
      </c>
      <c r="AL2222" t="inlineStr">
        <is>
          <t>Miss Glam Jambi</t>
        </is>
      </c>
      <c r="AM2222" t="n">
        <v>4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LUXCRIME</t>
        </is>
      </c>
      <c r="B2223" s="2">
        <f>"20100572336"</f>
        <v/>
      </c>
      <c r="C2223" t="inlineStr">
        <is>
          <t>LUXCRIME Harley Quinn Blur &amp; Cover Two Way Cake Oil Control - Custard 8,5gr</t>
        </is>
      </c>
      <c r="D2223" t="inlineStr">
        <is>
          <t>Miss Glam Jambi</t>
        </is>
      </c>
      <c r="E2223" t="n">
        <v>6</v>
      </c>
      <c r="F2223" t="n">
        <v>0.006600000000000001</v>
      </c>
      <c r="G2223" t="n">
        <v>0.33</v>
      </c>
      <c r="H2223" t="n">
        <v>5</v>
      </c>
      <c r="I2223" t="n">
        <v>11</v>
      </c>
      <c r="J2223" t="n">
        <v>3</v>
      </c>
      <c r="K2223" t="n">
        <v>0</v>
      </c>
      <c r="L2223" t="n">
        <v>97047</v>
      </c>
      <c r="M2223" t="n">
        <v>129000</v>
      </c>
      <c r="N2223" t="n">
        <v>33</v>
      </c>
      <c r="O2223" t="n">
        <v>0.33</v>
      </c>
      <c r="P2223" t="n">
        <v>1</v>
      </c>
      <c r="Q2223" t="n">
        <v>0.03</v>
      </c>
      <c r="R2223" t="n">
        <v>1</v>
      </c>
      <c r="S2223" t="n">
        <v>851.4000000000001</v>
      </c>
      <c r="T2223" t="n">
        <v>4</v>
      </c>
      <c r="U2223" t="n">
        <v>5</v>
      </c>
      <c r="V2223" t="n">
        <v>30</v>
      </c>
      <c r="W2223" t="n">
        <v>1</v>
      </c>
      <c r="X2223" t="n">
        <v>909.090909090909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2496</v>
      </c>
      <c r="AG2223" t="n">
        <v>2060</v>
      </c>
      <c r="AH2223" t="inlineStr">
        <is>
          <t>PT. ANUGERAH NIAGA JAYA (PKU)</t>
        </is>
      </c>
      <c r="AI2223" t="n">
        <v>298</v>
      </c>
      <c r="AJ2223" t="inlineStr">
        <is>
          <t>LUXCRIME</t>
        </is>
      </c>
      <c r="AK2223" t="n">
        <v>9</v>
      </c>
      <c r="AL2223" t="inlineStr">
        <is>
          <t>Miss Glam Jambi</t>
        </is>
      </c>
      <c r="AM2223" t="n">
        <v>4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LUXCRIME</t>
        </is>
      </c>
      <c r="B2224" s="2">
        <f>"769503123646"</f>
        <v/>
      </c>
      <c r="C2224" t="inlineStr">
        <is>
          <t>LUXCRIME Instant Cover Hydra Light Concealer CO1 4.5gr</t>
        </is>
      </c>
      <c r="D2224" t="inlineStr">
        <is>
          <t>Miss Glam Jambi</t>
        </is>
      </c>
      <c r="E2224" t="n">
        <v>5</v>
      </c>
      <c r="F2224" t="n">
        <v>0.0264</v>
      </c>
      <c r="G2224" t="n">
        <v>0.33</v>
      </c>
      <c r="H2224" t="n">
        <v>5</v>
      </c>
      <c r="I2224" t="n">
        <v>11</v>
      </c>
      <c r="J2224" t="n">
        <v>3</v>
      </c>
      <c r="K2224" t="n">
        <v>0</v>
      </c>
      <c r="L2224" t="n">
        <v>67170</v>
      </c>
      <c r="M2224" t="n">
        <v>89000</v>
      </c>
      <c r="N2224" t="n">
        <v>33</v>
      </c>
      <c r="O2224" t="n">
        <v>0.33</v>
      </c>
      <c r="P2224" t="n">
        <v>1</v>
      </c>
      <c r="Q2224" t="n">
        <v>0.02</v>
      </c>
      <c r="R2224" t="n">
        <v>1</v>
      </c>
      <c r="S2224" t="n">
        <v>2349.6</v>
      </c>
      <c r="T2224" t="n">
        <v>4</v>
      </c>
      <c r="U2224" t="n">
        <v>5</v>
      </c>
      <c r="V2224" t="n">
        <v>30</v>
      </c>
      <c r="W2224" t="n">
        <v>1</v>
      </c>
      <c r="X2224" t="n">
        <v>189.3939393939394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2496</v>
      </c>
      <c r="AG2224" t="n">
        <v>2060</v>
      </c>
      <c r="AH2224" t="inlineStr">
        <is>
          <t>PT. ANUGERAH NIAGA JAYA (PKU)</t>
        </is>
      </c>
      <c r="AI2224" t="n">
        <v>298</v>
      </c>
      <c r="AJ2224" t="inlineStr">
        <is>
          <t>LUXCRIME</t>
        </is>
      </c>
      <c r="AK2224" t="n">
        <v>9</v>
      </c>
      <c r="AL2224" t="inlineStr">
        <is>
          <t>Miss Glam Jambi</t>
        </is>
      </c>
      <c r="AM2224" t="n">
        <v>4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LUXCRIME</t>
        </is>
      </c>
      <c r="B2225" s="2">
        <f>"769503123639"</f>
        <v/>
      </c>
      <c r="C2225" t="inlineStr">
        <is>
          <t>LUXCRIME Instant Cover Hydra Light Concealer N00 4.5gr</t>
        </is>
      </c>
      <c r="D2225" t="inlineStr">
        <is>
          <t>Miss Glam Jambi</t>
        </is>
      </c>
      <c r="E2225" t="n">
        <v>4</v>
      </c>
      <c r="F2225" t="n">
        <v>0.006600000000000001</v>
      </c>
      <c r="G2225" t="n">
        <v>0.33</v>
      </c>
      <c r="H2225" t="n">
        <v>5</v>
      </c>
      <c r="I2225" t="n">
        <v>11</v>
      </c>
      <c r="J2225" t="n">
        <v>3</v>
      </c>
      <c r="K2225" t="n">
        <v>0</v>
      </c>
      <c r="L2225" t="n">
        <v>68097</v>
      </c>
      <c r="M2225" t="n">
        <v>89000</v>
      </c>
      <c r="N2225" t="n">
        <v>33</v>
      </c>
      <c r="O2225" t="n">
        <v>0.33</v>
      </c>
      <c r="P2225" t="n">
        <v>1</v>
      </c>
      <c r="Q2225" t="n">
        <v>0.02</v>
      </c>
      <c r="R2225" t="n">
        <v>1</v>
      </c>
      <c r="S2225" t="n">
        <v>587.4000000000001</v>
      </c>
      <c r="T2225" t="n">
        <v>4</v>
      </c>
      <c r="U2225" t="n">
        <v>5</v>
      </c>
      <c r="V2225" t="n">
        <v>30</v>
      </c>
      <c r="W2225" t="n">
        <v>1</v>
      </c>
      <c r="X2225" t="n">
        <v>606.060606060606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2496</v>
      </c>
      <c r="AG2225" t="n">
        <v>2060</v>
      </c>
      <c r="AH2225" t="inlineStr">
        <is>
          <t>PT. ANUGERAH NIAGA JAYA (PKU)</t>
        </is>
      </c>
      <c r="AI2225" t="n">
        <v>298</v>
      </c>
      <c r="AJ2225" t="inlineStr">
        <is>
          <t>LUXCRIME</t>
        </is>
      </c>
      <c r="AK2225" t="n">
        <v>9</v>
      </c>
      <c r="AL2225" t="inlineStr">
        <is>
          <t>Miss Glam Jambi</t>
        </is>
      </c>
      <c r="AM2225" t="n">
        <v>4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LUXCRIME</t>
        </is>
      </c>
      <c r="B2226" s="2">
        <f>"769503123653"</f>
        <v/>
      </c>
      <c r="C2226" t="inlineStr">
        <is>
          <t>LUXCRIME Instant Cover Hydra Light Concealer N01 4.5gr</t>
        </is>
      </c>
      <c r="D2226" t="inlineStr">
        <is>
          <t>Miss Glam Jambi</t>
        </is>
      </c>
      <c r="E2226" t="n">
        <v>3</v>
      </c>
      <c r="F2226" t="n">
        <v>0.0462</v>
      </c>
      <c r="G2226" t="n">
        <v>0.66</v>
      </c>
      <c r="H2226" t="n">
        <v>5</v>
      </c>
      <c r="I2226" t="n">
        <v>11</v>
      </c>
      <c r="J2226" t="n">
        <v>3</v>
      </c>
      <c r="K2226" t="n">
        <v>0</v>
      </c>
      <c r="L2226" t="n">
        <v>67842</v>
      </c>
      <c r="M2226" t="n">
        <v>89000</v>
      </c>
      <c r="N2226" t="n">
        <v>33</v>
      </c>
      <c r="O2226" t="n">
        <v>0.33</v>
      </c>
      <c r="P2226" t="n">
        <v>1</v>
      </c>
      <c r="Q2226" t="n">
        <v>0.05</v>
      </c>
      <c r="R2226" t="n">
        <v>1</v>
      </c>
      <c r="S2226" t="n">
        <v>4111.8</v>
      </c>
      <c r="T2226" t="n">
        <v>8</v>
      </c>
      <c r="U2226" t="n">
        <v>9</v>
      </c>
      <c r="V2226" t="n">
        <v>30</v>
      </c>
      <c r="W2226" t="n">
        <v>2</v>
      </c>
      <c r="X2226" t="n">
        <v>64.93506493506493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2496</v>
      </c>
      <c r="AG2226" t="n">
        <v>2060</v>
      </c>
      <c r="AH2226" t="inlineStr">
        <is>
          <t>PT. ANUGERAH NIAGA JAYA (PKU)</t>
        </is>
      </c>
      <c r="AI2226" t="n">
        <v>298</v>
      </c>
      <c r="AJ2226" t="inlineStr">
        <is>
          <t>LUXCRIME</t>
        </is>
      </c>
      <c r="AK2226" t="n">
        <v>9</v>
      </c>
      <c r="AL2226" t="inlineStr">
        <is>
          <t>Miss Glam Jambi</t>
        </is>
      </c>
      <c r="AM2226" t="n">
        <v>4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LUXCRIME</t>
        </is>
      </c>
      <c r="B2227" s="2">
        <f>"769503123189"</f>
        <v/>
      </c>
      <c r="C2227" t="inlineStr">
        <is>
          <t>LUXCRIME Lux Blur &amp; Cover Two Way Cake Oil Control Buttercream 8,5gr</t>
        </is>
      </c>
      <c r="D2227" t="inlineStr">
        <is>
          <t>Miss Glam Jambi</t>
        </is>
      </c>
      <c r="E2227" t="n">
        <v>4</v>
      </c>
      <c r="F2227" t="n">
        <v>0.3036</v>
      </c>
      <c r="G2227" t="n">
        <v>1.65</v>
      </c>
      <c r="H2227" t="n">
        <v>5</v>
      </c>
      <c r="I2227" t="n">
        <v>11</v>
      </c>
      <c r="J2227" t="n">
        <v>3</v>
      </c>
      <c r="K2227" t="n">
        <v>0</v>
      </c>
      <c r="L2227" t="n">
        <v>97354</v>
      </c>
      <c r="M2227" t="n">
        <v>129000</v>
      </c>
      <c r="N2227" t="n">
        <v>33</v>
      </c>
      <c r="O2227" t="n">
        <v>0.33</v>
      </c>
      <c r="P2227" t="n">
        <v>1</v>
      </c>
      <c r="Q2227" t="n">
        <v>0.07000000000000001</v>
      </c>
      <c r="R2227" t="n">
        <v>1</v>
      </c>
      <c r="S2227" t="n">
        <v>39164.4</v>
      </c>
      <c r="T2227" t="n">
        <v>17</v>
      </c>
      <c r="U2227" t="n">
        <v>19</v>
      </c>
      <c r="V2227" t="n">
        <v>30</v>
      </c>
      <c r="W2227" t="n">
        <v>10</v>
      </c>
      <c r="X2227" t="n">
        <v>13.17523056653491</v>
      </c>
      <c r="Y2227" t="n">
        <v>1</v>
      </c>
      <c r="Z2227" t="n">
        <v>6</v>
      </c>
      <c r="AA2227" t="n">
        <v>0</v>
      </c>
      <c r="AB2227" t="n">
        <v>6</v>
      </c>
      <c r="AC2227" t="n">
        <v>6</v>
      </c>
      <c r="AD2227" t="n">
        <v>0</v>
      </c>
      <c r="AE2227" t="n">
        <v>584124</v>
      </c>
      <c r="AF2227" t="n">
        <v>2496</v>
      </c>
      <c r="AG2227" t="n">
        <v>2060</v>
      </c>
      <c r="AH2227" t="inlineStr">
        <is>
          <t>PT. ANUGERAH NIAGA JAYA (PKU)</t>
        </is>
      </c>
      <c r="AI2227" t="n">
        <v>298</v>
      </c>
      <c r="AJ2227" t="inlineStr">
        <is>
          <t>LUXCRIME</t>
        </is>
      </c>
      <c r="AK2227" t="n">
        <v>9</v>
      </c>
      <c r="AL2227" t="inlineStr">
        <is>
          <t>Miss Glam Jambi</t>
        </is>
      </c>
      <c r="AM2227" t="n">
        <v>4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LUXCRIME</t>
        </is>
      </c>
      <c r="B2228" s="2">
        <f>"769503123172"</f>
        <v/>
      </c>
      <c r="C2228" t="inlineStr">
        <is>
          <t>LUXCRIME Lux Blur &amp; Cover Two Way Cake Oil Control Cream Puff 8,5gr</t>
        </is>
      </c>
      <c r="D2228" t="inlineStr">
        <is>
          <t>Miss Glam Jambi</t>
        </is>
      </c>
      <c r="E2228" t="n">
        <v>9</v>
      </c>
      <c r="F2228" t="n">
        <v>0.08910000000000001</v>
      </c>
      <c r="G2228" t="n">
        <v>0.66</v>
      </c>
      <c r="H2228" t="n">
        <v>5</v>
      </c>
      <c r="I2228" t="n">
        <v>11</v>
      </c>
      <c r="J2228" t="n">
        <v>3</v>
      </c>
      <c r="K2228" t="n">
        <v>0</v>
      </c>
      <c r="L2228" t="n">
        <v>96973</v>
      </c>
      <c r="M2228" t="n">
        <v>129000</v>
      </c>
      <c r="N2228" t="n">
        <v>33</v>
      </c>
      <c r="O2228" t="n">
        <v>0.33</v>
      </c>
      <c r="P2228" t="n">
        <v>1</v>
      </c>
      <c r="Q2228" t="n">
        <v>0.07000000000000001</v>
      </c>
      <c r="R2228" t="n">
        <v>1</v>
      </c>
      <c r="S2228" t="n">
        <v>11493.9</v>
      </c>
      <c r="T2228" t="n">
        <v>7</v>
      </c>
      <c r="U2228" t="n">
        <v>8</v>
      </c>
      <c r="V2228" t="n">
        <v>30</v>
      </c>
      <c r="W2228" t="n">
        <v>3</v>
      </c>
      <c r="X2228" t="n">
        <v>101.010101010101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2496</v>
      </c>
      <c r="AG2228" t="n">
        <v>2060</v>
      </c>
      <c r="AH2228" t="inlineStr">
        <is>
          <t>PT. ANUGERAH NIAGA JAYA (PKU)</t>
        </is>
      </c>
      <c r="AI2228" t="n">
        <v>298</v>
      </c>
      <c r="AJ2228" t="inlineStr">
        <is>
          <t>LUXCRIME</t>
        </is>
      </c>
      <c r="AK2228" t="n">
        <v>9</v>
      </c>
      <c r="AL2228" t="inlineStr">
        <is>
          <t>Miss Glam Jambi</t>
        </is>
      </c>
      <c r="AM2228" t="n">
        <v>4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LUXCRIME</t>
        </is>
      </c>
      <c r="B2229" s="2">
        <f>"769503123219"</f>
        <v/>
      </c>
      <c r="C2229" t="inlineStr">
        <is>
          <t>LUXCRIME Lux Blur &amp; Cover Two Way Cake Oil Control Opera 8,5gr</t>
        </is>
      </c>
      <c r="D2229" t="inlineStr">
        <is>
          <t>Miss Glam Jambi</t>
        </is>
      </c>
      <c r="E2229" t="n">
        <v>7</v>
      </c>
      <c r="F2229" t="n">
        <v>0.0198</v>
      </c>
      <c r="G2229" t="n">
        <v>0.33</v>
      </c>
      <c r="H2229" t="n">
        <v>5</v>
      </c>
      <c r="I2229" t="n">
        <v>11</v>
      </c>
      <c r="J2229" t="n">
        <v>3</v>
      </c>
      <c r="K2229" t="n">
        <v>0</v>
      </c>
      <c r="L2229" t="n">
        <v>96989</v>
      </c>
      <c r="M2229" t="n">
        <v>129000</v>
      </c>
      <c r="N2229" t="n">
        <v>33</v>
      </c>
      <c r="O2229" t="n">
        <v>0.33</v>
      </c>
      <c r="P2229" t="n">
        <v>1</v>
      </c>
      <c r="Q2229" t="n">
        <v>0.02</v>
      </c>
      <c r="R2229" t="n">
        <v>1</v>
      </c>
      <c r="S2229" t="n">
        <v>2554.2</v>
      </c>
      <c r="T2229" t="n">
        <v>4</v>
      </c>
      <c r="U2229" t="n">
        <v>5</v>
      </c>
      <c r="V2229" t="n">
        <v>30</v>
      </c>
      <c r="W2229" t="n">
        <v>1</v>
      </c>
      <c r="X2229" t="n">
        <v>353.5353535353535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2496</v>
      </c>
      <c r="AG2229" t="n">
        <v>2060</v>
      </c>
      <c r="AH2229" t="inlineStr">
        <is>
          <t>PT. ANUGERAH NIAGA JAYA (PKU)</t>
        </is>
      </c>
      <c r="AI2229" t="n">
        <v>298</v>
      </c>
      <c r="AJ2229" t="inlineStr">
        <is>
          <t>LUXCRIME</t>
        </is>
      </c>
      <c r="AK2229" t="n">
        <v>9</v>
      </c>
      <c r="AL2229" t="inlineStr">
        <is>
          <t>Miss Glam Jambi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LUXCRIME</t>
        </is>
      </c>
      <c r="B2230" s="2">
        <f>"769503122908"</f>
        <v/>
      </c>
      <c r="C2230" t="inlineStr">
        <is>
          <t>LUXCRIME Pencil Dark Brown 12gr</t>
        </is>
      </c>
      <c r="D2230" t="inlineStr">
        <is>
          <t>Miss Glam Jambi</t>
        </is>
      </c>
      <c r="E2230" t="n">
        <v>3</v>
      </c>
      <c r="F2230" t="n">
        <v>0.006600000000000001</v>
      </c>
      <c r="G2230" t="n">
        <v>0.33</v>
      </c>
      <c r="H2230" t="n">
        <v>5</v>
      </c>
      <c r="I2230" t="n">
        <v>11</v>
      </c>
      <c r="J2230" t="n">
        <v>3</v>
      </c>
      <c r="K2230" t="n">
        <v>0</v>
      </c>
      <c r="L2230" t="n">
        <v>74250</v>
      </c>
      <c r="M2230" t="n">
        <v>99000</v>
      </c>
      <c r="N2230" t="n">
        <v>33</v>
      </c>
      <c r="O2230" t="n">
        <v>0.33</v>
      </c>
      <c r="P2230" t="n">
        <v>1</v>
      </c>
      <c r="Q2230" t="n">
        <v>0.05</v>
      </c>
      <c r="R2230" t="n">
        <v>1</v>
      </c>
      <c r="S2230" t="n">
        <v>653.4000000000001</v>
      </c>
      <c r="T2230" t="n">
        <v>4</v>
      </c>
      <c r="U2230" t="n">
        <v>5</v>
      </c>
      <c r="V2230" t="n">
        <v>30</v>
      </c>
      <c r="W2230" t="n">
        <v>1</v>
      </c>
      <c r="X2230" t="n">
        <v>454.5454545454545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2496</v>
      </c>
      <c r="AG2230" t="n">
        <v>2060</v>
      </c>
      <c r="AH2230" t="inlineStr">
        <is>
          <t>PT. ANUGERAH NIAGA JAYA (PKU)</t>
        </is>
      </c>
      <c r="AI2230" t="n">
        <v>298</v>
      </c>
      <c r="AJ2230" t="inlineStr">
        <is>
          <t>LUXCRIME</t>
        </is>
      </c>
      <c r="AK2230" t="n">
        <v>9</v>
      </c>
      <c r="AL2230" t="inlineStr">
        <is>
          <t>Miss Glam Jambi</t>
        </is>
      </c>
      <c r="AM2230" t="n">
        <v>4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LUXCRIME</t>
        </is>
      </c>
      <c r="B2231" s="2">
        <f>"725765030375"</f>
        <v/>
      </c>
      <c r="C2231" t="inlineStr">
        <is>
          <t>LUXCRIME Perfect Canvas Primer Mattifying Poreless Primer 30gr</t>
        </is>
      </c>
      <c r="D2231" t="inlineStr">
        <is>
          <t>Miss Glam Jambi</t>
        </is>
      </c>
      <c r="E2231" t="n">
        <v>3</v>
      </c>
      <c r="F2231" t="n">
        <v>0.05280000000000001</v>
      </c>
      <c r="G2231" t="n">
        <v>0.66</v>
      </c>
      <c r="H2231" t="n">
        <v>5</v>
      </c>
      <c r="I2231" t="n">
        <v>11</v>
      </c>
      <c r="J2231" t="n">
        <v>3</v>
      </c>
      <c r="K2231" t="n">
        <v>0</v>
      </c>
      <c r="L2231" t="n">
        <v>74771</v>
      </c>
      <c r="M2231" t="n">
        <v>93000</v>
      </c>
      <c r="N2231" t="n">
        <v>33</v>
      </c>
      <c r="O2231" t="n">
        <v>0.33</v>
      </c>
      <c r="P2231" t="n">
        <v>1</v>
      </c>
      <c r="Q2231" t="n">
        <v>0.03</v>
      </c>
      <c r="R2231" t="n">
        <v>1</v>
      </c>
      <c r="S2231" t="n">
        <v>4910.400000000001</v>
      </c>
      <c r="T2231" t="n">
        <v>7</v>
      </c>
      <c r="U2231" t="n">
        <v>8</v>
      </c>
      <c r="V2231" t="n">
        <v>30</v>
      </c>
      <c r="W2231" t="n">
        <v>2</v>
      </c>
      <c r="X2231" t="n">
        <v>56.81818181818181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2496</v>
      </c>
      <c r="AG2231" t="n">
        <v>2060</v>
      </c>
      <c r="AH2231" t="inlineStr">
        <is>
          <t>PT. ANUGERAH NIAGA JAYA (PKU)</t>
        </is>
      </c>
      <c r="AI2231" t="n">
        <v>298</v>
      </c>
      <c r="AJ2231" t="inlineStr">
        <is>
          <t>LUXCRIME</t>
        </is>
      </c>
      <c r="AK2231" t="n">
        <v>9</v>
      </c>
      <c r="AL2231" t="inlineStr">
        <is>
          <t>Miss Glam Jambi</t>
        </is>
      </c>
      <c r="AM2231" t="n">
        <v>4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LUXCRIME</t>
        </is>
      </c>
      <c r="B2232" s="2">
        <f>"20100465648"</f>
        <v/>
      </c>
      <c r="C2232" t="inlineStr">
        <is>
          <t>LUXCRIME Perfecting Cover Cushion Healthy Glow Spf 35 PA+++ N01 13gr+Bundling</t>
        </is>
      </c>
      <c r="D2232" t="inlineStr">
        <is>
          <t>Miss Glam Jambi</t>
        </is>
      </c>
      <c r="E2232" t="n">
        <v>14</v>
      </c>
      <c r="F2232" t="n">
        <v>0.02</v>
      </c>
      <c r="G2232" t="n">
        <v>1</v>
      </c>
      <c r="H2232" t="n">
        <v>5</v>
      </c>
      <c r="I2232" t="n">
        <v>11</v>
      </c>
      <c r="J2232" t="n">
        <v>3</v>
      </c>
      <c r="K2232" t="n">
        <v>0</v>
      </c>
      <c r="L2232" t="n">
        <v>200200</v>
      </c>
      <c r="M2232" t="n">
        <v>308000</v>
      </c>
      <c r="N2232" t="n">
        <v>33</v>
      </c>
      <c r="O2232" t="n">
        <v>0.33</v>
      </c>
      <c r="P2232" t="n">
        <v>0</v>
      </c>
      <c r="Q2232" t="n">
        <v>0.02</v>
      </c>
      <c r="R2232" t="n">
        <v>1</v>
      </c>
      <c r="S2232" t="n">
        <v>6160</v>
      </c>
      <c r="T2232" t="n">
        <v>11</v>
      </c>
      <c r="U2232" t="n">
        <v>12</v>
      </c>
      <c r="V2232" t="n">
        <v>30</v>
      </c>
      <c r="W2232" t="n">
        <v>1</v>
      </c>
      <c r="X2232" t="n">
        <v>700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2496</v>
      </c>
      <c r="AG2232" t="n">
        <v>2060</v>
      </c>
      <c r="AH2232" t="inlineStr">
        <is>
          <t>PT. ANUGERAH NIAGA JAYA (PKU)</t>
        </is>
      </c>
      <c r="AI2232" t="n">
        <v>298</v>
      </c>
      <c r="AJ2232" t="inlineStr">
        <is>
          <t>LUXCRIME</t>
        </is>
      </c>
      <c r="AK2232" t="n">
        <v>9</v>
      </c>
      <c r="AL2232" t="inlineStr">
        <is>
          <t>Miss Glam Jambi</t>
        </is>
      </c>
      <c r="AM2232" t="n">
        <v>4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LUXCRIME</t>
        </is>
      </c>
      <c r="B2233" s="2">
        <f>"769503122625"</f>
        <v/>
      </c>
      <c r="C2233" t="inlineStr">
        <is>
          <t>LUXCRIME Perfecting Cover Cushion Velvet Matte Spf 50 PA+++  N01 13gr</t>
        </is>
      </c>
      <c r="D2233" t="inlineStr">
        <is>
          <t>Miss Glam Jambi</t>
        </is>
      </c>
      <c r="E2233" t="n">
        <v>4</v>
      </c>
      <c r="F2233" t="n">
        <v>0.0165</v>
      </c>
      <c r="G2233" t="n">
        <v>0.33</v>
      </c>
      <c r="H2233" t="n">
        <v>5</v>
      </c>
      <c r="I2233" t="n">
        <v>11</v>
      </c>
      <c r="J2233" t="n">
        <v>3</v>
      </c>
      <c r="K2233" t="n">
        <v>0</v>
      </c>
      <c r="L2233" t="n">
        <v>134592</v>
      </c>
      <c r="M2233" t="n">
        <v>179000</v>
      </c>
      <c r="N2233" t="n">
        <v>33</v>
      </c>
      <c r="O2233" t="n">
        <v>0.33</v>
      </c>
      <c r="P2233" t="n">
        <v>1</v>
      </c>
      <c r="Q2233" t="n">
        <v>0.02</v>
      </c>
      <c r="R2233" t="n">
        <v>1</v>
      </c>
      <c r="S2233" t="n">
        <v>2953.5</v>
      </c>
      <c r="T2233" t="n">
        <v>4</v>
      </c>
      <c r="U2233" t="n">
        <v>5</v>
      </c>
      <c r="V2233" t="n">
        <v>30</v>
      </c>
      <c r="W2233" t="n">
        <v>1</v>
      </c>
      <c r="X2233" t="n">
        <v>242.4242424242424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2496</v>
      </c>
      <c r="AG2233" t="n">
        <v>2060</v>
      </c>
      <c r="AH2233" t="inlineStr">
        <is>
          <t>PT. ANUGERAH NIAGA JAYA (PKU)</t>
        </is>
      </c>
      <c r="AI2233" t="n">
        <v>298</v>
      </c>
      <c r="AJ2233" t="inlineStr">
        <is>
          <t>LUXCRIME</t>
        </is>
      </c>
      <c r="AK2233" t="n">
        <v>9</v>
      </c>
      <c r="AL2233" t="inlineStr">
        <is>
          <t>Miss Glam Jambi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LUXCRIME</t>
        </is>
      </c>
      <c r="B2234" s="2">
        <f>"20100173009"</f>
        <v/>
      </c>
      <c r="C2234" t="inlineStr">
        <is>
          <t>LUXCRIME Perfecting Hydralight Skin Tint SPF 35 PA+++ - C01 30ml</t>
        </is>
      </c>
      <c r="D2234" t="inlineStr">
        <is>
          <t>Miss Glam Jambi</t>
        </is>
      </c>
      <c r="E2234" t="n">
        <v>6</v>
      </c>
      <c r="F2234" t="n">
        <v>0.0561</v>
      </c>
      <c r="G2234" t="n">
        <v>0.33</v>
      </c>
      <c r="H2234" t="n">
        <v>5</v>
      </c>
      <c r="I2234" t="n">
        <v>11</v>
      </c>
      <c r="J2234" t="n">
        <v>1</v>
      </c>
      <c r="K2234" t="n">
        <v>0</v>
      </c>
      <c r="L2234" t="n">
        <v>112319</v>
      </c>
      <c r="M2234" t="n">
        <v>149000</v>
      </c>
      <c r="N2234" t="n">
        <v>33</v>
      </c>
      <c r="O2234" t="n">
        <v>0.33</v>
      </c>
      <c r="P2234" t="n">
        <v>1</v>
      </c>
      <c r="Q2234" t="n">
        <v>0.02</v>
      </c>
      <c r="R2234" t="n">
        <v>1</v>
      </c>
      <c r="S2234" t="n">
        <v>8358.900000000001</v>
      </c>
      <c r="T2234" t="n">
        <v>4</v>
      </c>
      <c r="U2234" t="n">
        <v>5</v>
      </c>
      <c r="V2234" t="n">
        <v>30</v>
      </c>
      <c r="W2234" t="n">
        <v>2</v>
      </c>
      <c r="X2234" t="n">
        <v>106.951871657754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2496</v>
      </c>
      <c r="AG2234" t="n">
        <v>2060</v>
      </c>
      <c r="AH2234" t="inlineStr">
        <is>
          <t>PT. ANUGERAH NIAGA JAYA (PKU)</t>
        </is>
      </c>
      <c r="AI2234" t="n">
        <v>298</v>
      </c>
      <c r="AJ2234" t="inlineStr">
        <is>
          <t>LUXCRIME</t>
        </is>
      </c>
      <c r="AK2234" t="n">
        <v>9</v>
      </c>
      <c r="AL2234" t="inlineStr">
        <is>
          <t>Miss Glam Jambi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LUXCRIME</t>
        </is>
      </c>
      <c r="B2235" s="2">
        <f>"20100172822"</f>
        <v/>
      </c>
      <c r="C2235" t="inlineStr">
        <is>
          <t>LUXCRIME Perfecting Hydralight Skin Tint SPF 35 PA+++ - N00 30ml</t>
        </is>
      </c>
      <c r="D2235" t="inlineStr">
        <is>
          <t>Miss Glam Jambi</t>
        </is>
      </c>
      <c r="E2235" t="n">
        <v>7</v>
      </c>
      <c r="F2235" t="n">
        <v>0.0231</v>
      </c>
      <c r="G2235" t="n">
        <v>0.33</v>
      </c>
      <c r="H2235" t="n">
        <v>5</v>
      </c>
      <c r="I2235" t="n">
        <v>11</v>
      </c>
      <c r="J2235" t="n">
        <v>1</v>
      </c>
      <c r="K2235" t="n">
        <v>0</v>
      </c>
      <c r="L2235" t="n">
        <v>112219</v>
      </c>
      <c r="M2235" t="n">
        <v>149000</v>
      </c>
      <c r="N2235" t="n">
        <v>33</v>
      </c>
      <c r="O2235" t="n">
        <v>0.33</v>
      </c>
      <c r="P2235" t="n">
        <v>1</v>
      </c>
      <c r="Q2235" t="n">
        <v>0.02</v>
      </c>
      <c r="R2235" t="n">
        <v>1</v>
      </c>
      <c r="S2235" t="n">
        <v>3441.900000000001</v>
      </c>
      <c r="T2235" t="n">
        <v>4</v>
      </c>
      <c r="U2235" t="n">
        <v>5</v>
      </c>
      <c r="V2235" t="n">
        <v>30</v>
      </c>
      <c r="W2235" t="n">
        <v>1</v>
      </c>
      <c r="X2235" t="n">
        <v>303.030303030303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2496</v>
      </c>
      <c r="AG2235" t="n">
        <v>2060</v>
      </c>
      <c r="AH2235" t="inlineStr">
        <is>
          <t>PT. ANUGERAH NIAGA JAYA (PKU)</t>
        </is>
      </c>
      <c r="AI2235" t="n">
        <v>298</v>
      </c>
      <c r="AJ2235" t="inlineStr">
        <is>
          <t>LUXCRIME</t>
        </is>
      </c>
      <c r="AK2235" t="n">
        <v>9</v>
      </c>
      <c r="AL2235" t="inlineStr">
        <is>
          <t>Miss Glam Jambi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LUXCRIME</t>
        </is>
      </c>
      <c r="B2236" s="2">
        <f>"20100172941"</f>
        <v/>
      </c>
      <c r="C2236" t="inlineStr">
        <is>
          <t>LUXCRIME Perfecting Hydralight Skin Tint SPF 35 PA+++ - N01 30ml</t>
        </is>
      </c>
      <c r="D2236" t="inlineStr">
        <is>
          <t>Miss Glam Jambi</t>
        </is>
      </c>
      <c r="E2236" t="n">
        <v>3</v>
      </c>
      <c r="F2236" t="n">
        <v>0.0726</v>
      </c>
      <c r="G2236" t="n">
        <v>0.66</v>
      </c>
      <c r="H2236" t="n">
        <v>5</v>
      </c>
      <c r="I2236" t="n">
        <v>11</v>
      </c>
      <c r="J2236" t="n">
        <v>1</v>
      </c>
      <c r="K2236" t="n">
        <v>0</v>
      </c>
      <c r="L2236" t="n">
        <v>112152</v>
      </c>
      <c r="M2236" t="n">
        <v>149000</v>
      </c>
      <c r="N2236" t="n">
        <v>33</v>
      </c>
      <c r="O2236" t="n">
        <v>0.33</v>
      </c>
      <c r="P2236" t="n">
        <v>1</v>
      </c>
      <c r="Q2236" t="n">
        <v>0.05</v>
      </c>
      <c r="R2236" t="n">
        <v>1</v>
      </c>
      <c r="S2236" t="n">
        <v>10817.4</v>
      </c>
      <c r="T2236" t="n">
        <v>7</v>
      </c>
      <c r="U2236" t="n">
        <v>8</v>
      </c>
      <c r="V2236" t="n">
        <v>30</v>
      </c>
      <c r="W2236" t="n">
        <v>3</v>
      </c>
      <c r="X2236" t="n">
        <v>41.32231404958678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2496</v>
      </c>
      <c r="AG2236" t="n">
        <v>2060</v>
      </c>
      <c r="AH2236" t="inlineStr">
        <is>
          <t>PT. ANUGERAH NIAGA JAYA (PKU)</t>
        </is>
      </c>
      <c r="AI2236" t="n">
        <v>298</v>
      </c>
      <c r="AJ2236" t="inlineStr">
        <is>
          <t>LUXCRIME</t>
        </is>
      </c>
      <c r="AK2236" t="n">
        <v>9</v>
      </c>
      <c r="AL2236" t="inlineStr">
        <is>
          <t>Miss Glam Jambi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LUXCRIME</t>
        </is>
      </c>
      <c r="B2237" s="2">
        <f>"20100173234"</f>
        <v/>
      </c>
      <c r="C2237" t="inlineStr">
        <is>
          <t>LUXCRIME Perfecting Hydralight Skin Tint SPF 35 PA+++ - N02 30ml</t>
        </is>
      </c>
      <c r="D2237" t="inlineStr">
        <is>
          <t>Miss Glam Jambi</t>
        </is>
      </c>
      <c r="E2237" t="n">
        <v>3</v>
      </c>
      <c r="F2237" t="n">
        <v>0.07920000000000001</v>
      </c>
      <c r="G2237" t="n">
        <v>0.33</v>
      </c>
      <c r="H2237" t="n">
        <v>5</v>
      </c>
      <c r="I2237" t="n">
        <v>11</v>
      </c>
      <c r="J2237" t="n">
        <v>1</v>
      </c>
      <c r="K2237" t="n">
        <v>0</v>
      </c>
      <c r="L2237" t="n">
        <v>111924</v>
      </c>
      <c r="M2237" t="n">
        <v>149000</v>
      </c>
      <c r="N2237" t="n">
        <v>33</v>
      </c>
      <c r="O2237" t="n">
        <v>0.33</v>
      </c>
      <c r="P2237" t="n">
        <v>1</v>
      </c>
      <c r="Q2237" t="n">
        <v>0.03</v>
      </c>
      <c r="R2237" t="n">
        <v>1</v>
      </c>
      <c r="S2237" t="n">
        <v>11800.8</v>
      </c>
      <c r="T2237" t="n">
        <v>4</v>
      </c>
      <c r="U2237" t="n">
        <v>5</v>
      </c>
      <c r="V2237" t="n">
        <v>30</v>
      </c>
      <c r="W2237" t="n">
        <v>3</v>
      </c>
      <c r="X2237" t="n">
        <v>37.87878787878788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2496</v>
      </c>
      <c r="AG2237" t="n">
        <v>2060</v>
      </c>
      <c r="AH2237" t="inlineStr">
        <is>
          <t>PT. ANUGERAH NIAGA JAYA (PKU)</t>
        </is>
      </c>
      <c r="AI2237" t="n">
        <v>298</v>
      </c>
      <c r="AJ2237" t="inlineStr">
        <is>
          <t>LUXCRIME</t>
        </is>
      </c>
      <c r="AK2237" t="n">
        <v>9</v>
      </c>
      <c r="AL2237" t="inlineStr">
        <is>
          <t>Miss Glam Jambi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LUXCRIME</t>
        </is>
      </c>
      <c r="B2238" s="2">
        <f>"20100173143"</f>
        <v/>
      </c>
      <c r="C2238" t="inlineStr">
        <is>
          <t>LUXCRIME Perfecting Hydralight Skin Tint SPF 35 PA+++ - W01 30ml</t>
        </is>
      </c>
      <c r="D2238" t="inlineStr">
        <is>
          <t>Miss Glam Jambi</t>
        </is>
      </c>
      <c r="E2238" t="n">
        <v>4</v>
      </c>
      <c r="F2238" t="n">
        <v>0.033</v>
      </c>
      <c r="G2238" t="n">
        <v>0.33</v>
      </c>
      <c r="H2238" t="n">
        <v>5</v>
      </c>
      <c r="I2238" t="n">
        <v>11</v>
      </c>
      <c r="J2238" t="n">
        <v>1</v>
      </c>
      <c r="K2238" t="n">
        <v>0</v>
      </c>
      <c r="L2238" t="n">
        <v>111750</v>
      </c>
      <c r="M2238" t="n">
        <v>149000</v>
      </c>
      <c r="N2238" t="n">
        <v>33</v>
      </c>
      <c r="O2238" t="n">
        <v>0.33</v>
      </c>
      <c r="P2238" t="n">
        <v>1</v>
      </c>
      <c r="Q2238" t="n">
        <v>0.02</v>
      </c>
      <c r="R2238" t="n">
        <v>1</v>
      </c>
      <c r="S2238" t="n">
        <v>4917</v>
      </c>
      <c r="T2238" t="n">
        <v>4</v>
      </c>
      <c r="U2238" t="n">
        <v>5</v>
      </c>
      <c r="V2238" t="n">
        <v>30</v>
      </c>
      <c r="W2238" t="n">
        <v>1</v>
      </c>
      <c r="X2238" t="n">
        <v>121.2121212121212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2496</v>
      </c>
      <c r="AG2238" t="n">
        <v>2060</v>
      </c>
      <c r="AH2238" t="inlineStr">
        <is>
          <t>PT. ANUGERAH NIAGA JAYA (PKU)</t>
        </is>
      </c>
      <c r="AI2238" t="n">
        <v>298</v>
      </c>
      <c r="AJ2238" t="inlineStr">
        <is>
          <t>LUXCRIME</t>
        </is>
      </c>
      <c r="AK2238" t="n">
        <v>9</v>
      </c>
      <c r="AL2238" t="inlineStr">
        <is>
          <t>Miss Glam Jambi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LUXCRIME</t>
        </is>
      </c>
      <c r="B2239" s="2">
        <f>"203003104903"</f>
        <v/>
      </c>
      <c r="C2239" t="inlineStr">
        <is>
          <t>LUXCRIME Power Glasting Tinted Lip Oil - Burnt Maple 3gr</t>
        </is>
      </c>
      <c r="D2239" t="inlineStr">
        <is>
          <t>Miss Glam Jambi</t>
        </is>
      </c>
      <c r="E2239" t="n">
        <v>5</v>
      </c>
      <c r="F2239" t="n">
        <v>0.0165</v>
      </c>
      <c r="G2239" t="n">
        <v>0.66</v>
      </c>
      <c r="H2239" t="n">
        <v>5</v>
      </c>
      <c r="I2239" t="n">
        <v>11</v>
      </c>
      <c r="J2239" t="n">
        <v>1</v>
      </c>
      <c r="K2239" t="n">
        <v>0</v>
      </c>
      <c r="L2239" t="n">
        <v>66942</v>
      </c>
      <c r="M2239" t="n">
        <v>89000</v>
      </c>
      <c r="N2239" t="n">
        <v>33</v>
      </c>
      <c r="O2239" t="n">
        <v>0.33</v>
      </c>
      <c r="P2239" t="n">
        <v>1</v>
      </c>
      <c r="Q2239" t="n">
        <v>0.02</v>
      </c>
      <c r="R2239" t="n">
        <v>1</v>
      </c>
      <c r="S2239" t="n">
        <v>1468.5</v>
      </c>
      <c r="T2239" t="n">
        <v>8</v>
      </c>
      <c r="U2239" t="n">
        <v>9</v>
      </c>
      <c r="V2239" t="n">
        <v>30</v>
      </c>
      <c r="W2239" t="n">
        <v>1</v>
      </c>
      <c r="X2239" t="n">
        <v>303.030303030303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2496</v>
      </c>
      <c r="AG2239" t="n">
        <v>2060</v>
      </c>
      <c r="AH2239" t="inlineStr">
        <is>
          <t>PT. ANUGERAH NIAGA JAYA (PKU)</t>
        </is>
      </c>
      <c r="AI2239" t="n">
        <v>298</v>
      </c>
      <c r="AJ2239" t="inlineStr">
        <is>
          <t>LUXCRIME</t>
        </is>
      </c>
      <c r="AK2239" t="n">
        <v>9</v>
      </c>
      <c r="AL2239" t="inlineStr">
        <is>
          <t>Miss Glam Jambi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LUXCRIME</t>
        </is>
      </c>
      <c r="B2240" s="2">
        <f>"203003105037"</f>
        <v/>
      </c>
      <c r="C2240" t="inlineStr">
        <is>
          <t>LUXCRIME Power Glasting Tinted Lip Oil - Dark Scarlet 3gr</t>
        </is>
      </c>
      <c r="D2240" t="inlineStr">
        <is>
          <t>Miss Glam Jambi</t>
        </is>
      </c>
      <c r="E2240" t="n">
        <v>4</v>
      </c>
      <c r="F2240" t="n">
        <v>0.1122</v>
      </c>
      <c r="G2240" t="n">
        <v>1.32</v>
      </c>
      <c r="H2240" t="n">
        <v>5</v>
      </c>
      <c r="I2240" t="n">
        <v>11</v>
      </c>
      <c r="J2240" t="n">
        <v>1</v>
      </c>
      <c r="K2240" t="n">
        <v>0</v>
      </c>
      <c r="L2240" t="n">
        <v>66942</v>
      </c>
      <c r="M2240" t="n">
        <v>89000</v>
      </c>
      <c r="N2240" t="n">
        <v>33</v>
      </c>
      <c r="O2240" t="n">
        <v>0.33</v>
      </c>
      <c r="P2240" t="n">
        <v>1</v>
      </c>
      <c r="Q2240" t="n">
        <v>0.07000000000000001</v>
      </c>
      <c r="R2240" t="n">
        <v>2</v>
      </c>
      <c r="S2240" t="n">
        <v>9985.800000000001</v>
      </c>
      <c r="T2240" t="n">
        <v>14</v>
      </c>
      <c r="U2240" t="n">
        <v>15</v>
      </c>
      <c r="V2240" t="n">
        <v>30</v>
      </c>
      <c r="W2240" t="n">
        <v>4</v>
      </c>
      <c r="X2240" t="n">
        <v>35.650623885918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2496</v>
      </c>
      <c r="AG2240" t="n">
        <v>2060</v>
      </c>
      <c r="AH2240" t="inlineStr">
        <is>
          <t>PT. ANUGERAH NIAGA JAYA (PKU)</t>
        </is>
      </c>
      <c r="AI2240" t="n">
        <v>298</v>
      </c>
      <c r="AJ2240" t="inlineStr">
        <is>
          <t>LUXCRIME</t>
        </is>
      </c>
      <c r="AK2240" t="n">
        <v>9</v>
      </c>
      <c r="AL2240" t="inlineStr">
        <is>
          <t>Miss Glam Jambi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LUXCRIME</t>
        </is>
      </c>
      <c r="B2241" s="2">
        <f>"203003104754"</f>
        <v/>
      </c>
      <c r="C2241" t="inlineStr">
        <is>
          <t>LUXCRIME Power Glasting Tinted Lip Oil - Mulberry 3gr</t>
        </is>
      </c>
      <c r="D2241" t="inlineStr">
        <is>
          <t>Miss Glam Jambi</t>
        </is>
      </c>
      <c r="E2241" t="n">
        <v>28</v>
      </c>
      <c r="F2241" t="n">
        <v>0.006600000000000001</v>
      </c>
      <c r="G2241" t="n">
        <v>0.33</v>
      </c>
      <c r="H2241" t="n">
        <v>5</v>
      </c>
      <c r="I2241" t="n">
        <v>11</v>
      </c>
      <c r="J2241" t="n">
        <v>1</v>
      </c>
      <c r="K2241" t="n">
        <v>0</v>
      </c>
      <c r="L2241" t="n">
        <v>67004</v>
      </c>
      <c r="M2241" t="n">
        <v>89000</v>
      </c>
      <c r="N2241" t="n">
        <v>33</v>
      </c>
      <c r="O2241" t="n">
        <v>0.33</v>
      </c>
      <c r="P2241" t="n">
        <v>1</v>
      </c>
      <c r="Q2241" t="n">
        <v>0.05</v>
      </c>
      <c r="R2241" t="n">
        <v>1</v>
      </c>
      <c r="S2241" t="n">
        <v>587.4000000000001</v>
      </c>
      <c r="T2241" t="n">
        <v>4</v>
      </c>
      <c r="U2241" t="n">
        <v>5</v>
      </c>
      <c r="V2241" t="n">
        <v>30</v>
      </c>
      <c r="W2241" t="n">
        <v>1</v>
      </c>
      <c r="X2241" t="n">
        <v>4242.424242424242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2496</v>
      </c>
      <c r="AG2241" t="n">
        <v>2060</v>
      </c>
      <c r="AH2241" t="inlineStr">
        <is>
          <t>PT. ANUGERAH NIAGA JAYA (PKU)</t>
        </is>
      </c>
      <c r="AI2241" t="n">
        <v>298</v>
      </c>
      <c r="AJ2241" t="inlineStr">
        <is>
          <t>LUXCRIME</t>
        </is>
      </c>
      <c r="AK2241" t="n">
        <v>9</v>
      </c>
      <c r="AL2241" t="inlineStr">
        <is>
          <t>Miss Glam Jambi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LUXCRIME</t>
        </is>
      </c>
      <c r="B2242" s="2">
        <f>"203003105248"</f>
        <v/>
      </c>
      <c r="C2242" t="inlineStr">
        <is>
          <t>LUXCRIME Power Glasting Tinted Lip Oil - Rosella 3gr</t>
        </is>
      </c>
      <c r="D2242" t="inlineStr">
        <is>
          <t>Miss Glam Jambi</t>
        </is>
      </c>
      <c r="E2242" t="n">
        <v>10</v>
      </c>
      <c r="F2242" t="n">
        <v>0.0825</v>
      </c>
      <c r="G2242" t="n">
        <v>0.66</v>
      </c>
      <c r="H2242" t="n">
        <v>5</v>
      </c>
      <c r="I2242" t="n">
        <v>11</v>
      </c>
      <c r="J2242" t="n">
        <v>1</v>
      </c>
      <c r="K2242" t="n">
        <v>0</v>
      </c>
      <c r="L2242" t="n">
        <v>66942</v>
      </c>
      <c r="M2242" t="n">
        <v>89000</v>
      </c>
      <c r="N2242" t="n">
        <v>33</v>
      </c>
      <c r="O2242" t="n">
        <v>0.33</v>
      </c>
      <c r="P2242" t="n">
        <v>1</v>
      </c>
      <c r="Q2242" t="n">
        <v>0.02</v>
      </c>
      <c r="R2242" t="n">
        <v>1</v>
      </c>
      <c r="S2242" t="n">
        <v>7342.5</v>
      </c>
      <c r="T2242" t="n">
        <v>7</v>
      </c>
      <c r="U2242" t="n">
        <v>8</v>
      </c>
      <c r="V2242" t="n">
        <v>30</v>
      </c>
      <c r="W2242" t="n">
        <v>3</v>
      </c>
      <c r="X2242" t="n">
        <v>121.2121212121212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2496</v>
      </c>
      <c r="AG2242" t="n">
        <v>2060</v>
      </c>
      <c r="AH2242" t="inlineStr">
        <is>
          <t>PT. ANUGERAH NIAGA JAYA (PKU)</t>
        </is>
      </c>
      <c r="AI2242" t="n">
        <v>298</v>
      </c>
      <c r="AJ2242" t="inlineStr">
        <is>
          <t>LUXCRIME</t>
        </is>
      </c>
      <c r="AK2242" t="n">
        <v>9</v>
      </c>
      <c r="AL2242" t="inlineStr">
        <is>
          <t>Miss Glam Jambi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LUXCRIME</t>
        </is>
      </c>
      <c r="B2243" s="2">
        <f>"203003105115"</f>
        <v/>
      </c>
      <c r="C2243" t="inlineStr">
        <is>
          <t>LUXCRIME Power Glasting Tinted Lip Oil - Wild Orchid 3gr</t>
        </is>
      </c>
      <c r="D2243" t="inlineStr">
        <is>
          <t>Miss Glam Jambi</t>
        </is>
      </c>
      <c r="E2243" t="n">
        <v>4</v>
      </c>
      <c r="F2243" t="n">
        <v>0.1056</v>
      </c>
      <c r="G2243" t="n">
        <v>0.99</v>
      </c>
      <c r="H2243" t="n">
        <v>5</v>
      </c>
      <c r="I2243" t="n">
        <v>11</v>
      </c>
      <c r="J2243" t="n">
        <v>1</v>
      </c>
      <c r="K2243" t="n">
        <v>0</v>
      </c>
      <c r="L2243" t="n">
        <v>66942</v>
      </c>
      <c r="M2243" t="n">
        <v>89000</v>
      </c>
      <c r="N2243" t="n">
        <v>33</v>
      </c>
      <c r="O2243" t="n">
        <v>0.33</v>
      </c>
      <c r="P2243" t="n">
        <v>1</v>
      </c>
      <c r="Q2243" t="n">
        <v>0.02</v>
      </c>
      <c r="R2243" t="n">
        <v>1</v>
      </c>
      <c r="S2243" t="n">
        <v>9398.400000000001</v>
      </c>
      <c r="T2243" t="n">
        <v>11</v>
      </c>
      <c r="U2243" t="n">
        <v>12</v>
      </c>
      <c r="V2243" t="n">
        <v>30</v>
      </c>
      <c r="W2243" t="n">
        <v>4</v>
      </c>
      <c r="X2243" t="n">
        <v>37.87878787878788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2496</v>
      </c>
      <c r="AG2243" t="n">
        <v>2060</v>
      </c>
      <c r="AH2243" t="inlineStr">
        <is>
          <t>PT. ANUGERAH NIAGA JAYA (PKU)</t>
        </is>
      </c>
      <c r="AI2243" t="n">
        <v>298</v>
      </c>
      <c r="AJ2243" t="inlineStr">
        <is>
          <t>LUXCRIME</t>
        </is>
      </c>
      <c r="AK2243" t="n">
        <v>9</v>
      </c>
      <c r="AL2243" t="inlineStr">
        <is>
          <t>Miss Glam Jambi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LUXCRIME</t>
        </is>
      </c>
      <c r="B2244" s="2">
        <f>"769503123301"</f>
        <v/>
      </c>
      <c r="C2244" t="inlineStr">
        <is>
          <t>LUXCRIME Refill Blur &amp; Cover Two Way Cake Buttercream 8,5gr</t>
        </is>
      </c>
      <c r="D2244" t="inlineStr">
        <is>
          <t>Miss Glam Jambi</t>
        </is>
      </c>
      <c r="E2244" t="n">
        <v>3</v>
      </c>
      <c r="F2244" t="n">
        <v>0.2178</v>
      </c>
      <c r="G2244" t="n">
        <v>0.99</v>
      </c>
      <c r="H2244" t="n">
        <v>5</v>
      </c>
      <c r="I2244" t="n">
        <v>11</v>
      </c>
      <c r="J2244" t="n">
        <v>3</v>
      </c>
      <c r="K2244" t="n">
        <v>0</v>
      </c>
      <c r="L2244" t="n">
        <v>67289</v>
      </c>
      <c r="M2244" t="n">
        <v>89000</v>
      </c>
      <c r="N2244" t="n">
        <v>33</v>
      </c>
      <c r="O2244" t="n">
        <v>0.33</v>
      </c>
      <c r="P2244" t="n">
        <v>1</v>
      </c>
      <c r="Q2244" t="n">
        <v>0.07000000000000001</v>
      </c>
      <c r="R2244" t="n">
        <v>1</v>
      </c>
      <c r="S2244" t="n">
        <v>19384.2</v>
      </c>
      <c r="T2244" t="n">
        <v>10</v>
      </c>
      <c r="U2244" t="n">
        <v>12</v>
      </c>
      <c r="V2244" t="n">
        <v>30</v>
      </c>
      <c r="W2244" t="n">
        <v>7</v>
      </c>
      <c r="X2244" t="n">
        <v>13.77410468319559</v>
      </c>
      <c r="Y2244" t="n">
        <v>1</v>
      </c>
      <c r="Z2244" t="n">
        <v>4</v>
      </c>
      <c r="AA2244" t="n">
        <v>0</v>
      </c>
      <c r="AB2244" t="n">
        <v>4</v>
      </c>
      <c r="AC2244" t="n">
        <v>4</v>
      </c>
      <c r="AD2244" t="n">
        <v>0</v>
      </c>
      <c r="AE2244" t="n">
        <v>269156</v>
      </c>
      <c r="AF2244" t="n">
        <v>2496</v>
      </c>
      <c r="AG2244" t="n">
        <v>2060</v>
      </c>
      <c r="AH2244" t="inlineStr">
        <is>
          <t>PT. ANUGERAH NIAGA JAYA (PKU)</t>
        </is>
      </c>
      <c r="AI2244" t="n">
        <v>298</v>
      </c>
      <c r="AJ2244" t="inlineStr">
        <is>
          <t>LUXCRIME</t>
        </is>
      </c>
      <c r="AK2244" t="n">
        <v>9</v>
      </c>
      <c r="AL2244" t="inlineStr">
        <is>
          <t>Miss Glam Jambi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"769503123318"</f>
        <v/>
      </c>
      <c r="C2245" t="inlineStr">
        <is>
          <t>LUXCRIME Refill Blur &amp; Cover Two Way Cake Custard 8,5gr</t>
        </is>
      </c>
      <c r="D2245" t="inlineStr">
        <is>
          <t>Miss Glam Jambi</t>
        </is>
      </c>
      <c r="E2245" t="n">
        <v>3</v>
      </c>
      <c r="F2245" t="n">
        <v>0.2178</v>
      </c>
      <c r="G2245" t="n">
        <v>0.99</v>
      </c>
      <c r="H2245" t="n">
        <v>5</v>
      </c>
      <c r="I2245" t="n">
        <v>11</v>
      </c>
      <c r="J2245" t="n">
        <v>3</v>
      </c>
      <c r="K2245" t="n">
        <v>0</v>
      </c>
      <c r="L2245" t="n">
        <v>67519</v>
      </c>
      <c r="M2245" t="n">
        <v>89000</v>
      </c>
      <c r="N2245" t="n">
        <v>33</v>
      </c>
      <c r="O2245" t="n">
        <v>0.33</v>
      </c>
      <c r="P2245" t="n">
        <v>1</v>
      </c>
      <c r="Q2245" t="n">
        <v>0.03</v>
      </c>
      <c r="R2245" t="n">
        <v>1</v>
      </c>
      <c r="S2245" t="n">
        <v>19384.2</v>
      </c>
      <c r="T2245" t="n">
        <v>10</v>
      </c>
      <c r="U2245" t="n">
        <v>12</v>
      </c>
      <c r="V2245" t="n">
        <v>30</v>
      </c>
      <c r="W2245" t="n">
        <v>7</v>
      </c>
      <c r="X2245" t="n">
        <v>13.77410468319559</v>
      </c>
      <c r="Y2245" t="n">
        <v>1</v>
      </c>
      <c r="Z2245" t="n">
        <v>4</v>
      </c>
      <c r="AA2245" t="n">
        <v>0</v>
      </c>
      <c r="AB2245" t="n">
        <v>4</v>
      </c>
      <c r="AC2245" t="n">
        <v>4</v>
      </c>
      <c r="AD2245" t="n">
        <v>0</v>
      </c>
      <c r="AE2245" t="n">
        <v>270076</v>
      </c>
      <c r="AF2245" t="n">
        <v>2496</v>
      </c>
      <c r="AG2245" t="n">
        <v>2060</v>
      </c>
      <c r="AH2245" t="inlineStr">
        <is>
          <t>PT. ANUGERAH NIAGA JAYA (PKU)</t>
        </is>
      </c>
      <c r="AI2245" t="n">
        <v>298</v>
      </c>
      <c r="AJ2245" t="inlineStr">
        <is>
          <t>LUXCRIME</t>
        </is>
      </c>
      <c r="AK2245" t="n">
        <v>9</v>
      </c>
      <c r="AL2245" t="inlineStr">
        <is>
          <t>Miss Glam Jambi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"769503122779"</f>
        <v/>
      </c>
      <c r="C2246" t="inlineStr">
        <is>
          <t>LUXCRIME Seamless Bounchy Blush Peach Berry 5gr</t>
        </is>
      </c>
      <c r="D2246" t="inlineStr">
        <is>
          <t>Miss Glam Jambi</t>
        </is>
      </c>
      <c r="E2246" t="n">
        <v>4</v>
      </c>
      <c r="F2246" t="n">
        <v>0.006600000000000001</v>
      </c>
      <c r="G2246" t="n">
        <v>0.33</v>
      </c>
      <c r="H2246" t="n">
        <v>5</v>
      </c>
      <c r="I2246" t="n">
        <v>11</v>
      </c>
      <c r="J2246" t="n">
        <v>3</v>
      </c>
      <c r="K2246" t="n">
        <v>0</v>
      </c>
      <c r="L2246" t="n">
        <v>68097</v>
      </c>
      <c r="M2246" t="n">
        <v>84000</v>
      </c>
      <c r="N2246" t="n">
        <v>33</v>
      </c>
      <c r="O2246" t="n">
        <v>0.33</v>
      </c>
      <c r="P2246" t="n">
        <v>1</v>
      </c>
      <c r="Q2246" t="n">
        <v>0.02</v>
      </c>
      <c r="R2246" t="n">
        <v>1</v>
      </c>
      <c r="S2246" t="n">
        <v>554.4000000000001</v>
      </c>
      <c r="T2246" t="n">
        <v>4</v>
      </c>
      <c r="U2246" t="n">
        <v>5</v>
      </c>
      <c r="V2246" t="n">
        <v>30</v>
      </c>
      <c r="W2246" t="n">
        <v>1</v>
      </c>
      <c r="X2246" t="n">
        <v>606.060606060606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2496</v>
      </c>
      <c r="AG2246" t="n">
        <v>2060</v>
      </c>
      <c r="AH2246" t="inlineStr">
        <is>
          <t>PT. ANUGERAH NIAGA JAYA (PKU)</t>
        </is>
      </c>
      <c r="AI2246" t="n">
        <v>298</v>
      </c>
      <c r="AJ2246" t="inlineStr">
        <is>
          <t>LUXCRIME</t>
        </is>
      </c>
      <c r="AK2246" t="n">
        <v>9</v>
      </c>
      <c r="AL2246" t="inlineStr">
        <is>
          <t>Miss Glam Jambi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"725765030658"</f>
        <v/>
      </c>
      <c r="C2247" t="inlineStr">
        <is>
          <t>LUXCRIME Second Skin Loose Powder Banana 12gr</t>
        </is>
      </c>
      <c r="D2247" t="inlineStr">
        <is>
          <t>Miss Glam Jambi</t>
        </is>
      </c>
      <c r="E2247" t="n">
        <v>5</v>
      </c>
      <c r="F2247" t="n">
        <v>0.1452</v>
      </c>
      <c r="G2247" t="n">
        <v>0.99</v>
      </c>
      <c r="H2247" t="n">
        <v>5</v>
      </c>
      <c r="I2247" t="n">
        <v>11</v>
      </c>
      <c r="J2247" t="n">
        <v>3</v>
      </c>
      <c r="K2247" t="n">
        <v>0</v>
      </c>
      <c r="L2247" t="n">
        <v>97566</v>
      </c>
      <c r="M2247" t="n">
        <v>122000</v>
      </c>
      <c r="N2247" t="n">
        <v>33</v>
      </c>
      <c r="O2247" t="n">
        <v>0.33</v>
      </c>
      <c r="P2247" t="n">
        <v>1</v>
      </c>
      <c r="Q2247" t="n">
        <v>0.07000000000000001</v>
      </c>
      <c r="R2247" t="n">
        <v>1</v>
      </c>
      <c r="S2247" t="n">
        <v>17714.4</v>
      </c>
      <c r="T2247" t="n">
        <v>11</v>
      </c>
      <c r="U2247" t="n">
        <v>12</v>
      </c>
      <c r="V2247" t="n">
        <v>30</v>
      </c>
      <c r="W2247" t="n">
        <v>5</v>
      </c>
      <c r="X2247" t="n">
        <v>34.43526170798898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2496</v>
      </c>
      <c r="AG2247" t="n">
        <v>2060</v>
      </c>
      <c r="AH2247" t="inlineStr">
        <is>
          <t>PT. ANUGERAH NIAGA JAYA (PKU)</t>
        </is>
      </c>
      <c r="AI2247" t="n">
        <v>298</v>
      </c>
      <c r="AJ2247" t="inlineStr">
        <is>
          <t>LUXCRIME</t>
        </is>
      </c>
      <c r="AK2247" t="n">
        <v>9</v>
      </c>
      <c r="AL2247" t="inlineStr">
        <is>
          <t>Miss Glam Jambi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"725765030580"</f>
        <v/>
      </c>
      <c r="C2248" t="inlineStr">
        <is>
          <t>LUXCRIME Second Skin Loose Powder Translucent Light 12gr</t>
        </is>
      </c>
      <c r="D2248" t="inlineStr">
        <is>
          <t>Miss Glam Jambi</t>
        </is>
      </c>
      <c r="E2248" t="n">
        <v>1</v>
      </c>
      <c r="F2248" t="n">
        <v>0.066</v>
      </c>
      <c r="G2248" t="n">
        <v>0.33</v>
      </c>
      <c r="H2248" t="n">
        <v>5</v>
      </c>
      <c r="I2248" t="n">
        <v>11</v>
      </c>
      <c r="J2248" t="n">
        <v>3</v>
      </c>
      <c r="K2248" t="n">
        <v>0</v>
      </c>
      <c r="L2248" t="n">
        <v>97710</v>
      </c>
      <c r="M2248" t="n">
        <v>122000</v>
      </c>
      <c r="N2248" t="n">
        <v>33</v>
      </c>
      <c r="O2248" t="n">
        <v>0.33</v>
      </c>
      <c r="P2248" t="n">
        <v>1</v>
      </c>
      <c r="Q2248" t="n">
        <v>0.08</v>
      </c>
      <c r="R2248" t="n">
        <v>1</v>
      </c>
      <c r="S2248" t="n">
        <v>8052</v>
      </c>
      <c r="T2248" t="n">
        <v>4</v>
      </c>
      <c r="U2248" t="n">
        <v>5</v>
      </c>
      <c r="V2248" t="n">
        <v>30</v>
      </c>
      <c r="W2248" t="n">
        <v>2</v>
      </c>
      <c r="X2248" t="n">
        <v>15.15151515151515</v>
      </c>
      <c r="Y2248" t="n">
        <v>1</v>
      </c>
      <c r="Z2248" t="n">
        <v>1</v>
      </c>
      <c r="AA2248" t="n">
        <v>0</v>
      </c>
      <c r="AB2248" t="n">
        <v>1</v>
      </c>
      <c r="AC2248" t="n">
        <v>3</v>
      </c>
      <c r="AD2248" t="n">
        <v>0</v>
      </c>
      <c r="AE2248" t="n">
        <v>293130</v>
      </c>
      <c r="AF2248" t="n">
        <v>2496</v>
      </c>
      <c r="AG2248" t="n">
        <v>2060</v>
      </c>
      <c r="AH2248" t="inlineStr">
        <is>
          <t>PT. ANUGERAH NIAGA JAYA (PKU)</t>
        </is>
      </c>
      <c r="AI2248" t="n">
        <v>298</v>
      </c>
      <c r="AJ2248" t="inlineStr">
        <is>
          <t>LUXCRIME</t>
        </is>
      </c>
      <c r="AK2248" t="n">
        <v>9</v>
      </c>
      <c r="AL2248" t="inlineStr">
        <is>
          <t>Miss Glam Jambi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"769503123523"</f>
        <v/>
      </c>
      <c r="C2249" t="inlineStr">
        <is>
          <t>LUXCRIME Silk Glow Mini Blur &amp; Cover Two Way Cake Custard 4.5gr</t>
        </is>
      </c>
      <c r="D2249" t="inlineStr">
        <is>
          <t>Miss Glam Jambi</t>
        </is>
      </c>
      <c r="E2249" t="n">
        <v>4</v>
      </c>
      <c r="F2249" t="n">
        <v>0.0495</v>
      </c>
      <c r="G2249" t="n">
        <v>0.33</v>
      </c>
      <c r="H2249" t="n">
        <v>5</v>
      </c>
      <c r="I2249" t="n">
        <v>11</v>
      </c>
      <c r="J2249" t="n">
        <v>3</v>
      </c>
      <c r="K2249" t="n">
        <v>0</v>
      </c>
      <c r="L2249" t="n">
        <v>59507</v>
      </c>
      <c r="M2249" t="n">
        <v>79000</v>
      </c>
      <c r="N2249" t="n">
        <v>33</v>
      </c>
      <c r="O2249" t="n">
        <v>0.33</v>
      </c>
      <c r="P2249" t="n">
        <v>1</v>
      </c>
      <c r="Q2249" t="n">
        <v>0.07000000000000001</v>
      </c>
      <c r="R2249" t="n">
        <v>1</v>
      </c>
      <c r="S2249" t="n">
        <v>3910.5</v>
      </c>
      <c r="T2249" t="n">
        <v>4</v>
      </c>
      <c r="U2249" t="n">
        <v>5</v>
      </c>
      <c r="V2249" t="n">
        <v>30</v>
      </c>
      <c r="W2249" t="n">
        <v>2</v>
      </c>
      <c r="X2249" t="n">
        <v>80.8080808080808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2496</v>
      </c>
      <c r="AG2249" t="n">
        <v>2060</v>
      </c>
      <c r="AH2249" t="inlineStr">
        <is>
          <t>PT. ANUGERAH NIAGA JAYA (PKU)</t>
        </is>
      </c>
      <c r="AI2249" t="n">
        <v>298</v>
      </c>
      <c r="AJ2249" t="inlineStr">
        <is>
          <t>LUXCRIME</t>
        </is>
      </c>
      <c r="AK2249" t="n">
        <v>9</v>
      </c>
      <c r="AL2249" t="inlineStr">
        <is>
          <t>Miss Glam Jambi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"725765030405"</f>
        <v/>
      </c>
      <c r="C2250" t="inlineStr">
        <is>
          <t>LUXCRIME Slim Triangle Dark Brown 0.1g</t>
        </is>
      </c>
      <c r="D2250" t="inlineStr">
        <is>
          <t>Miss Glam Jambi</t>
        </is>
      </c>
      <c r="E2250" t="n">
        <v>4</v>
      </c>
      <c r="F2250" t="n">
        <v>0.0561</v>
      </c>
      <c r="G2250" t="n">
        <v>0.66</v>
      </c>
      <c r="H2250" t="n">
        <v>5</v>
      </c>
      <c r="I2250" t="n">
        <v>11</v>
      </c>
      <c r="J2250" t="n">
        <v>3</v>
      </c>
      <c r="K2250" t="n">
        <v>0</v>
      </c>
      <c r="L2250" t="n">
        <v>71519</v>
      </c>
      <c r="M2250" t="n">
        <v>95000</v>
      </c>
      <c r="N2250" t="n">
        <v>33</v>
      </c>
      <c r="O2250" t="n">
        <v>0.33</v>
      </c>
      <c r="P2250" t="n">
        <v>1</v>
      </c>
      <c r="Q2250" t="n">
        <v>0.07000000000000001</v>
      </c>
      <c r="R2250" t="n">
        <v>2</v>
      </c>
      <c r="S2250" t="n">
        <v>5329.5</v>
      </c>
      <c r="T2250" t="n">
        <v>7</v>
      </c>
      <c r="U2250" t="n">
        <v>8</v>
      </c>
      <c r="V2250" t="n">
        <v>30</v>
      </c>
      <c r="W2250" t="n">
        <v>2</v>
      </c>
      <c r="X2250" t="n">
        <v>71.301247771836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2496</v>
      </c>
      <c r="AG2250" t="n">
        <v>2060</v>
      </c>
      <c r="AH2250" t="inlineStr">
        <is>
          <t>PT. ANUGERAH NIAGA JAYA (PKU)</t>
        </is>
      </c>
      <c r="AI2250" t="n">
        <v>298</v>
      </c>
      <c r="AJ2250" t="inlineStr">
        <is>
          <t>LUXCRIME</t>
        </is>
      </c>
      <c r="AK2250" t="n">
        <v>9</v>
      </c>
      <c r="AL2250" t="inlineStr">
        <is>
          <t>Miss Glam Jambi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"725765030382"</f>
        <v/>
      </c>
      <c r="C2251" t="inlineStr">
        <is>
          <t>LUXCRIME Slim Triangle Precision Brow Pencil Ash 0.1gr</t>
        </is>
      </c>
      <c r="D2251" t="inlineStr">
        <is>
          <t>Miss Glam Jambi</t>
        </is>
      </c>
      <c r="E2251" t="n">
        <v>1</v>
      </c>
      <c r="F2251" t="n">
        <v>0.006600000000000001</v>
      </c>
      <c r="G2251" t="n">
        <v>0.33</v>
      </c>
      <c r="H2251" t="n">
        <v>5</v>
      </c>
      <c r="I2251" t="n">
        <v>11</v>
      </c>
      <c r="J2251" t="n">
        <v>3</v>
      </c>
      <c r="K2251" t="n">
        <v>0</v>
      </c>
      <c r="L2251" t="n">
        <v>71250</v>
      </c>
      <c r="M2251" t="n">
        <v>95000</v>
      </c>
      <c r="N2251" t="n">
        <v>33</v>
      </c>
      <c r="O2251" t="n">
        <v>0.33</v>
      </c>
      <c r="P2251" t="n">
        <v>1</v>
      </c>
      <c r="Q2251" t="n">
        <v>0.02</v>
      </c>
      <c r="R2251" t="n">
        <v>1</v>
      </c>
      <c r="S2251" t="n">
        <v>627.0000000000001</v>
      </c>
      <c r="T2251" t="n">
        <v>4</v>
      </c>
      <c r="U2251" t="n">
        <v>5</v>
      </c>
      <c r="V2251" t="n">
        <v>30</v>
      </c>
      <c r="W2251" t="n">
        <v>1</v>
      </c>
      <c r="X2251" t="n">
        <v>151.5151515151515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2496</v>
      </c>
      <c r="AG2251" t="n">
        <v>2060</v>
      </c>
      <c r="AH2251" t="inlineStr">
        <is>
          <t>PT. ANUGERAH NIAGA JAYA (PKU)</t>
        </is>
      </c>
      <c r="AI2251" t="n">
        <v>298</v>
      </c>
      <c r="AJ2251" t="inlineStr">
        <is>
          <t>LUXCRIME</t>
        </is>
      </c>
      <c r="AK2251" t="n">
        <v>9</v>
      </c>
      <c r="AL2251" t="inlineStr">
        <is>
          <t>Miss Glam Jambi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"725765030399"</f>
        <v/>
      </c>
      <c r="C2252" t="inlineStr">
        <is>
          <t>LUXCRIME Slim Triangle Precision Brow Pencil Brown 0.1gr</t>
        </is>
      </c>
      <c r="D2252" t="inlineStr">
        <is>
          <t>Miss Glam Jambi</t>
        </is>
      </c>
      <c r="E2252" t="n">
        <v>8</v>
      </c>
      <c r="F2252" t="n">
        <v>0.033</v>
      </c>
      <c r="G2252" t="n">
        <v>0.66</v>
      </c>
      <c r="H2252" t="n">
        <v>5</v>
      </c>
      <c r="I2252" t="n">
        <v>11</v>
      </c>
      <c r="J2252" t="n">
        <v>3</v>
      </c>
      <c r="K2252" t="n">
        <v>0</v>
      </c>
      <c r="L2252" t="n">
        <v>71250</v>
      </c>
      <c r="M2252" t="n">
        <v>95000</v>
      </c>
      <c r="N2252" t="n">
        <v>33</v>
      </c>
      <c r="O2252" t="n">
        <v>0.33</v>
      </c>
      <c r="P2252" t="n">
        <v>1</v>
      </c>
      <c r="Q2252" t="n">
        <v>0.02</v>
      </c>
      <c r="R2252" t="n">
        <v>0</v>
      </c>
      <c r="S2252" t="n">
        <v>3135</v>
      </c>
      <c r="T2252" t="n">
        <v>8</v>
      </c>
      <c r="U2252" t="n">
        <v>9</v>
      </c>
      <c r="V2252" t="n">
        <v>30</v>
      </c>
      <c r="W2252" t="n">
        <v>1</v>
      </c>
      <c r="X2252" t="n">
        <v>242.4242424242424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2496</v>
      </c>
      <c r="AG2252" t="n">
        <v>2060</v>
      </c>
      <c r="AH2252" t="inlineStr">
        <is>
          <t>PT. ANUGERAH NIAGA JAYA (PKU)</t>
        </is>
      </c>
      <c r="AI2252" t="n">
        <v>298</v>
      </c>
      <c r="AJ2252" t="inlineStr">
        <is>
          <t>LUXCRIME</t>
        </is>
      </c>
      <c r="AK2252" t="n">
        <v>9</v>
      </c>
      <c r="AL2252" t="inlineStr">
        <is>
          <t>Miss Glam Jambi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"769503122922"</f>
        <v/>
      </c>
      <c r="C2253" t="inlineStr">
        <is>
          <t>LUXCRIME Sponge Tip Seamless Liquid Countur Hazelnut 9gr</t>
        </is>
      </c>
      <c r="D2253" t="inlineStr">
        <is>
          <t>Miss Glam Jambi</t>
        </is>
      </c>
      <c r="E2253" t="n">
        <v>4</v>
      </c>
      <c r="F2253" t="n">
        <v>0.0396</v>
      </c>
      <c r="G2253" t="n">
        <v>0.33</v>
      </c>
      <c r="H2253" t="n">
        <v>5</v>
      </c>
      <c r="I2253" t="n">
        <v>11</v>
      </c>
      <c r="J2253" t="n">
        <v>3</v>
      </c>
      <c r="K2253" t="n">
        <v>0</v>
      </c>
      <c r="L2253" t="n">
        <v>74978</v>
      </c>
      <c r="M2253" t="n">
        <v>99000</v>
      </c>
      <c r="N2253" t="n">
        <v>33</v>
      </c>
      <c r="O2253" t="n">
        <v>0.33</v>
      </c>
      <c r="P2253" t="n">
        <v>1</v>
      </c>
      <c r="Q2253" t="n">
        <v>0.08</v>
      </c>
      <c r="R2253" t="n">
        <v>1</v>
      </c>
      <c r="S2253" t="n">
        <v>3920.400000000001</v>
      </c>
      <c r="T2253" t="n">
        <v>4</v>
      </c>
      <c r="U2253" t="n">
        <v>5</v>
      </c>
      <c r="V2253" t="n">
        <v>30</v>
      </c>
      <c r="W2253" t="n">
        <v>2</v>
      </c>
      <c r="X2253" t="n">
        <v>101.010101010101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2496</v>
      </c>
      <c r="AG2253" t="n">
        <v>2060</v>
      </c>
      <c r="AH2253" t="inlineStr">
        <is>
          <t>PT. ANUGERAH NIAGA JAYA (PKU)</t>
        </is>
      </c>
      <c r="AI2253" t="n">
        <v>298</v>
      </c>
      <c r="AJ2253" t="inlineStr">
        <is>
          <t>LUXCRIME</t>
        </is>
      </c>
      <c r="AK2253" t="n">
        <v>9</v>
      </c>
      <c r="AL2253" t="inlineStr">
        <is>
          <t>Miss Glam Jambi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"769503122939"</f>
        <v/>
      </c>
      <c r="C2254" t="inlineStr">
        <is>
          <t>LUXCRIME Sponge Tip Seamless Liquid Countur Hot Cocoa 9gr</t>
        </is>
      </c>
      <c r="D2254" t="inlineStr">
        <is>
          <t>Miss Glam Jambi</t>
        </is>
      </c>
      <c r="E2254" t="n">
        <v>1</v>
      </c>
      <c r="F2254" t="n">
        <v>0.033</v>
      </c>
      <c r="G2254" t="n">
        <v>0.66</v>
      </c>
      <c r="H2254" t="n">
        <v>5</v>
      </c>
      <c r="I2254" t="n">
        <v>11</v>
      </c>
      <c r="J2254" t="n">
        <v>3</v>
      </c>
      <c r="K2254" t="n">
        <v>0</v>
      </c>
      <c r="L2254" t="n">
        <v>74815</v>
      </c>
      <c r="M2254" t="n">
        <v>99000</v>
      </c>
      <c r="N2254" t="n">
        <v>33</v>
      </c>
      <c r="O2254" t="n">
        <v>0.33</v>
      </c>
      <c r="P2254" t="n">
        <v>1</v>
      </c>
      <c r="Q2254" t="n">
        <v>0.02</v>
      </c>
      <c r="R2254" t="n">
        <v>1</v>
      </c>
      <c r="S2254" t="n">
        <v>3267</v>
      </c>
      <c r="T2254" t="n">
        <v>8</v>
      </c>
      <c r="U2254" t="n">
        <v>9</v>
      </c>
      <c r="V2254" t="n">
        <v>30</v>
      </c>
      <c r="W2254" t="n">
        <v>1</v>
      </c>
      <c r="X2254" t="n">
        <v>30.3030303030303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2496</v>
      </c>
      <c r="AG2254" t="n">
        <v>2060</v>
      </c>
      <c r="AH2254" t="inlineStr">
        <is>
          <t>PT. ANUGERAH NIAGA JAYA (PKU)</t>
        </is>
      </c>
      <c r="AI2254" t="n">
        <v>298</v>
      </c>
      <c r="AJ2254" t="inlineStr">
        <is>
          <t>LUXCRIME</t>
        </is>
      </c>
      <c r="AK2254" t="n">
        <v>9</v>
      </c>
      <c r="AL2254" t="inlineStr">
        <is>
          <t>Miss Glam Jambi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"769503123424"</f>
        <v/>
      </c>
      <c r="C2255" t="inlineStr">
        <is>
          <t>LUXCRIME TWC Blur &amp; Cover TWC Oil Control Buttercream 4.5gr</t>
        </is>
      </c>
      <c r="D2255" t="inlineStr">
        <is>
          <t>Miss Glam Jambi</t>
        </is>
      </c>
      <c r="E2255" t="n">
        <v>4</v>
      </c>
      <c r="F2255" t="n">
        <v>0.1221</v>
      </c>
      <c r="G2255" t="n">
        <v>0.66</v>
      </c>
      <c r="H2255" t="n">
        <v>5</v>
      </c>
      <c r="I2255" t="n">
        <v>11</v>
      </c>
      <c r="J2255" t="n">
        <v>3</v>
      </c>
      <c r="K2255" t="n">
        <v>0</v>
      </c>
      <c r="L2255" t="n">
        <v>62482</v>
      </c>
      <c r="M2255" t="n">
        <v>79000</v>
      </c>
      <c r="N2255" t="n">
        <v>33</v>
      </c>
      <c r="O2255" t="n">
        <v>0.33</v>
      </c>
      <c r="P2255" t="n">
        <v>1</v>
      </c>
      <c r="Q2255" t="n">
        <v>0.02</v>
      </c>
      <c r="R2255" t="n">
        <v>1</v>
      </c>
      <c r="S2255" t="n">
        <v>9645.9</v>
      </c>
      <c r="T2255" t="n">
        <v>7</v>
      </c>
      <c r="U2255" t="n">
        <v>8</v>
      </c>
      <c r="V2255" t="n">
        <v>30</v>
      </c>
      <c r="W2255" t="n">
        <v>4</v>
      </c>
      <c r="X2255" t="n">
        <v>32.76003276003276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2496</v>
      </c>
      <c r="AG2255" t="n">
        <v>2060</v>
      </c>
      <c r="AH2255" t="inlineStr">
        <is>
          <t>PT. ANUGERAH NIAGA JAYA (PKU)</t>
        </is>
      </c>
      <c r="AI2255" t="n">
        <v>298</v>
      </c>
      <c r="AJ2255" t="inlineStr">
        <is>
          <t>LUXCRIME</t>
        </is>
      </c>
      <c r="AK2255" t="n">
        <v>9</v>
      </c>
      <c r="AL2255" t="inlineStr">
        <is>
          <t>Miss Glam Jambi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"769503123196"</f>
        <v/>
      </c>
      <c r="C2256" t="inlineStr">
        <is>
          <t>LUXCRIME Two Way Cake Blur &amp; Cover Oil Control Custard 8.5gr</t>
        </is>
      </c>
      <c r="D2256" t="inlineStr">
        <is>
          <t>Miss Glam Jambi</t>
        </is>
      </c>
      <c r="E2256" t="n">
        <v>9</v>
      </c>
      <c r="F2256" t="n">
        <v>0.2904</v>
      </c>
      <c r="G2256" t="n">
        <v>1.32</v>
      </c>
      <c r="H2256" t="n">
        <v>5</v>
      </c>
      <c r="I2256" t="n">
        <v>11</v>
      </c>
      <c r="J2256" t="n">
        <v>3</v>
      </c>
      <c r="K2256" t="n">
        <v>0</v>
      </c>
      <c r="L2256" t="n">
        <v>97580</v>
      </c>
      <c r="M2256" t="n">
        <v>129000</v>
      </c>
      <c r="N2256" t="n">
        <v>33</v>
      </c>
      <c r="O2256" t="n">
        <v>0.33</v>
      </c>
      <c r="P2256" t="n">
        <v>1</v>
      </c>
      <c r="Q2256" t="n">
        <v>0.08</v>
      </c>
      <c r="R2256" t="n">
        <v>1</v>
      </c>
      <c r="S2256" t="n">
        <v>37461.6</v>
      </c>
      <c r="T2256" t="n">
        <v>14</v>
      </c>
      <c r="U2256" t="n">
        <v>16</v>
      </c>
      <c r="V2256" t="n">
        <v>30</v>
      </c>
      <c r="W2256" t="n">
        <v>9</v>
      </c>
      <c r="X2256" t="n">
        <v>30.99173553719008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2496</v>
      </c>
      <c r="AG2256" t="n">
        <v>2060</v>
      </c>
      <c r="AH2256" t="inlineStr">
        <is>
          <t>PT. ANUGERAH NIAGA JAYA (PKU)</t>
        </is>
      </c>
      <c r="AI2256" t="n">
        <v>298</v>
      </c>
      <c r="AJ2256" t="inlineStr">
        <is>
          <t>LUXCRIME</t>
        </is>
      </c>
      <c r="AK2256" t="n">
        <v>9</v>
      </c>
      <c r="AL2256" t="inlineStr">
        <is>
          <t>Miss Glam Jambi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"725765030450"</f>
        <v/>
      </c>
      <c r="C2257" t="inlineStr">
        <is>
          <t>LUXCRIME Ulti Matte Oil Control Setting Spray 50ml</t>
        </is>
      </c>
      <c r="D2257" t="inlineStr">
        <is>
          <t>Miss Glam Jambi</t>
        </is>
      </c>
      <c r="E2257" t="n">
        <v>2</v>
      </c>
      <c r="F2257" t="n">
        <v>0.07920000000000001</v>
      </c>
      <c r="G2257" t="n">
        <v>0.66</v>
      </c>
      <c r="H2257" t="n">
        <v>5</v>
      </c>
      <c r="I2257" t="n">
        <v>11</v>
      </c>
      <c r="J2257" t="n">
        <v>3</v>
      </c>
      <c r="K2257" t="n">
        <v>0</v>
      </c>
      <c r="L2257" t="n">
        <v>59597</v>
      </c>
      <c r="M2257" t="n">
        <v>79000</v>
      </c>
      <c r="N2257" t="n">
        <v>33</v>
      </c>
      <c r="O2257" t="n">
        <v>0.33</v>
      </c>
      <c r="P2257" t="n">
        <v>1</v>
      </c>
      <c r="Q2257" t="n">
        <v>0.05</v>
      </c>
      <c r="R2257" t="n">
        <v>1</v>
      </c>
      <c r="S2257" t="n">
        <v>6256.8</v>
      </c>
      <c r="T2257" t="n">
        <v>7</v>
      </c>
      <c r="U2257" t="n">
        <v>8</v>
      </c>
      <c r="V2257" t="n">
        <v>30</v>
      </c>
      <c r="W2257" t="n">
        <v>3</v>
      </c>
      <c r="X2257" t="n">
        <v>25.25252525252525</v>
      </c>
      <c r="Y2257" t="n">
        <v>1</v>
      </c>
      <c r="Z2257" t="n">
        <v>1</v>
      </c>
      <c r="AA2257" t="n">
        <v>0</v>
      </c>
      <c r="AB2257" t="n">
        <v>1</v>
      </c>
      <c r="AC2257" t="n">
        <v>3</v>
      </c>
      <c r="AD2257" t="n">
        <v>0</v>
      </c>
      <c r="AE2257" t="n">
        <v>178791</v>
      </c>
      <c r="AF2257" t="n">
        <v>2496</v>
      </c>
      <c r="AG2257" t="n">
        <v>2060</v>
      </c>
      <c r="AH2257" t="inlineStr">
        <is>
          <t>PT. ANUGERAH NIAGA JAYA (PKU)</t>
        </is>
      </c>
      <c r="AI2257" t="n">
        <v>298</v>
      </c>
      <c r="AJ2257" t="inlineStr">
        <is>
          <t>LUXCRIME</t>
        </is>
      </c>
      <c r="AK2257" t="n">
        <v>9</v>
      </c>
      <c r="AL2257" t="inlineStr">
        <is>
          <t>Miss Glam Jambi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"725765030016"</f>
        <v/>
      </c>
      <c r="C2258" t="inlineStr">
        <is>
          <t>LUXCRIME Ulti-Matte Oil Control Setting Spray 150ml</t>
        </is>
      </c>
      <c r="D2258" t="inlineStr">
        <is>
          <t>Miss Glam Jambi</t>
        </is>
      </c>
      <c r="E2258" t="n">
        <v>2</v>
      </c>
      <c r="F2258" t="n">
        <v>0.009900000000000001</v>
      </c>
      <c r="G2258" t="n">
        <v>0.33</v>
      </c>
      <c r="H2258" t="n">
        <v>5</v>
      </c>
      <c r="I2258" t="n">
        <v>11</v>
      </c>
      <c r="J2258" t="n">
        <v>3</v>
      </c>
      <c r="K2258" t="n">
        <v>0</v>
      </c>
      <c r="L2258" t="n">
        <v>111966</v>
      </c>
      <c r="M2258" t="n">
        <v>149000</v>
      </c>
      <c r="N2258" t="n">
        <v>33</v>
      </c>
      <c r="O2258" t="n">
        <v>0.33</v>
      </c>
      <c r="P2258" t="n">
        <v>1</v>
      </c>
      <c r="Q2258" t="n">
        <v>0.03</v>
      </c>
      <c r="R2258" t="n">
        <v>1</v>
      </c>
      <c r="S2258" t="n">
        <v>1475.1</v>
      </c>
      <c r="T2258" t="n">
        <v>4</v>
      </c>
      <c r="U2258" t="n">
        <v>5</v>
      </c>
      <c r="V2258" t="n">
        <v>30</v>
      </c>
      <c r="W2258" t="n">
        <v>1</v>
      </c>
      <c r="X2258" t="n">
        <v>202.020202020202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2496</v>
      </c>
      <c r="AG2258" t="n">
        <v>2060</v>
      </c>
      <c r="AH2258" t="inlineStr">
        <is>
          <t>PT. ANUGERAH NIAGA JAYA (PKU)</t>
        </is>
      </c>
      <c r="AI2258" t="n">
        <v>298</v>
      </c>
      <c r="AJ2258" t="inlineStr">
        <is>
          <t>LUXCRIME</t>
        </is>
      </c>
      <c r="AK2258" t="n">
        <v>9</v>
      </c>
      <c r="AL2258" t="inlineStr">
        <is>
          <t>Miss Glam Jambi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"725765030498"</f>
        <v/>
      </c>
      <c r="C2259" t="inlineStr">
        <is>
          <t>LUXCRIME Ultra Dreamy Eyeshadow Compact Rose Cocktail 6gr</t>
        </is>
      </c>
      <c r="D2259" t="inlineStr">
        <is>
          <t>Miss Glam Jambi</t>
        </is>
      </c>
      <c r="E2259" t="n">
        <v>6</v>
      </c>
      <c r="F2259" t="n">
        <v>0.0363</v>
      </c>
      <c r="G2259" t="n">
        <v>0.33</v>
      </c>
      <c r="H2259" t="n">
        <v>5</v>
      </c>
      <c r="I2259" t="n">
        <v>11</v>
      </c>
      <c r="J2259" t="n">
        <v>3</v>
      </c>
      <c r="K2259" t="n">
        <v>0</v>
      </c>
      <c r="L2259" t="n">
        <v>89250</v>
      </c>
      <c r="M2259" t="n">
        <v>119000</v>
      </c>
      <c r="N2259" t="n">
        <v>33</v>
      </c>
      <c r="O2259" t="n">
        <v>0.33</v>
      </c>
      <c r="P2259" t="n">
        <v>1</v>
      </c>
      <c r="Q2259" t="n">
        <v>0.02</v>
      </c>
      <c r="R2259" t="n">
        <v>1</v>
      </c>
      <c r="S2259" t="n">
        <v>4319.7</v>
      </c>
      <c r="T2259" t="n">
        <v>4</v>
      </c>
      <c r="U2259" t="n">
        <v>5</v>
      </c>
      <c r="V2259" t="n">
        <v>30</v>
      </c>
      <c r="W2259" t="n">
        <v>2</v>
      </c>
      <c r="X2259" t="n">
        <v>165.2892561983471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2496</v>
      </c>
      <c r="AG2259" t="n">
        <v>2060</v>
      </c>
      <c r="AH2259" t="inlineStr">
        <is>
          <t>PT. ANUGERAH NIAGA JAYA (PKU)</t>
        </is>
      </c>
      <c r="AI2259" t="n">
        <v>298</v>
      </c>
      <c r="AJ2259" t="inlineStr">
        <is>
          <t>LUXCRIME</t>
        </is>
      </c>
      <c r="AK2259" t="n">
        <v>9</v>
      </c>
      <c r="AL2259" t="inlineStr">
        <is>
          <t>Miss Glam Jambi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"769503122526"</f>
        <v/>
      </c>
      <c r="C2260" t="inlineStr">
        <is>
          <t>LUXCRIME Ultra Light Lip Stain Apricot 3gr</t>
        </is>
      </c>
      <c r="D2260" t="inlineStr">
        <is>
          <t>Miss Glam Jambi</t>
        </is>
      </c>
      <c r="E2260" t="n">
        <v>7</v>
      </c>
      <c r="F2260" t="n">
        <v>0.1551</v>
      </c>
      <c r="G2260" t="n">
        <v>0.66</v>
      </c>
      <c r="H2260" t="n">
        <v>5</v>
      </c>
      <c r="I2260" t="n">
        <v>11</v>
      </c>
      <c r="J2260" t="n">
        <v>3</v>
      </c>
      <c r="K2260" t="n">
        <v>0</v>
      </c>
      <c r="L2260" t="n">
        <v>60704</v>
      </c>
      <c r="M2260" t="n">
        <v>79000</v>
      </c>
      <c r="N2260" t="n">
        <v>33</v>
      </c>
      <c r="O2260" t="n">
        <v>0.33</v>
      </c>
      <c r="P2260" t="n">
        <v>1</v>
      </c>
      <c r="Q2260" t="n">
        <v>0.14</v>
      </c>
      <c r="R2260" t="n">
        <v>2</v>
      </c>
      <c r="S2260" t="n">
        <v>12252.9</v>
      </c>
      <c r="T2260" t="n">
        <v>7</v>
      </c>
      <c r="U2260" t="n">
        <v>8</v>
      </c>
      <c r="V2260" t="n">
        <v>30</v>
      </c>
      <c r="W2260" t="n">
        <v>5</v>
      </c>
      <c r="X2260" t="n">
        <v>45.13217279174727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2496</v>
      </c>
      <c r="AG2260" t="n">
        <v>2060</v>
      </c>
      <c r="AH2260" t="inlineStr">
        <is>
          <t>PT. ANUGERAH NIAGA JAYA (PKU)</t>
        </is>
      </c>
      <c r="AI2260" t="n">
        <v>298</v>
      </c>
      <c r="AJ2260" t="inlineStr">
        <is>
          <t>LUXCRIME</t>
        </is>
      </c>
      <c r="AK2260" t="n">
        <v>9</v>
      </c>
      <c r="AL2260" t="inlineStr">
        <is>
          <t>Miss Glam Jambi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"769503122472"</f>
        <v/>
      </c>
      <c r="C2261" t="inlineStr">
        <is>
          <t>LUXCRIME Ultra Light Lip Stain Crimson 3gr</t>
        </is>
      </c>
      <c r="D2261" t="inlineStr">
        <is>
          <t>Miss Glam Jambi</t>
        </is>
      </c>
      <c r="E2261" t="n">
        <v>2</v>
      </c>
      <c r="F2261" t="n">
        <v>0.07920000000000001</v>
      </c>
      <c r="G2261" t="n">
        <v>0.99</v>
      </c>
      <c r="H2261" t="n">
        <v>5</v>
      </c>
      <c r="I2261" t="n">
        <v>11</v>
      </c>
      <c r="J2261" t="n">
        <v>3</v>
      </c>
      <c r="K2261" t="n">
        <v>0</v>
      </c>
      <c r="L2261" t="n">
        <v>59343</v>
      </c>
      <c r="M2261" t="n">
        <v>79000</v>
      </c>
      <c r="N2261" t="n">
        <v>33</v>
      </c>
      <c r="O2261" t="n">
        <v>0.33</v>
      </c>
      <c r="P2261" t="n">
        <v>1</v>
      </c>
      <c r="Q2261" t="n">
        <v>0.05</v>
      </c>
      <c r="R2261" t="n">
        <v>1</v>
      </c>
      <c r="S2261" t="n">
        <v>6256.8</v>
      </c>
      <c r="T2261" t="n">
        <v>11</v>
      </c>
      <c r="U2261" t="n">
        <v>12</v>
      </c>
      <c r="V2261" t="n">
        <v>30</v>
      </c>
      <c r="W2261" t="n">
        <v>3</v>
      </c>
      <c r="X2261" t="n">
        <v>25.25252525252525</v>
      </c>
      <c r="Y2261" t="n">
        <v>1</v>
      </c>
      <c r="Z2261" t="n">
        <v>1</v>
      </c>
      <c r="AA2261" t="n">
        <v>0</v>
      </c>
      <c r="AB2261" t="n">
        <v>1</v>
      </c>
      <c r="AC2261" t="n">
        <v>3</v>
      </c>
      <c r="AD2261" t="n">
        <v>0</v>
      </c>
      <c r="AE2261" t="n">
        <v>178029</v>
      </c>
      <c r="AF2261" t="n">
        <v>2496</v>
      </c>
      <c r="AG2261" t="n">
        <v>2060</v>
      </c>
      <c r="AH2261" t="inlineStr">
        <is>
          <t>PT. ANUGERAH NIAGA JAYA (PKU)</t>
        </is>
      </c>
      <c r="AI2261" t="n">
        <v>298</v>
      </c>
      <c r="AJ2261" t="inlineStr">
        <is>
          <t>LUXCRIME</t>
        </is>
      </c>
      <c r="AK2261" t="n">
        <v>9</v>
      </c>
      <c r="AL2261" t="inlineStr">
        <is>
          <t>Miss Glam Jambi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"769503122502"</f>
        <v/>
      </c>
      <c r="C2262" t="inlineStr">
        <is>
          <t>LUXCRIME Ultra Light Lip Stain Glasstonberry 3gr</t>
        </is>
      </c>
      <c r="D2262" t="inlineStr">
        <is>
          <t>Miss Glam Jambi</t>
        </is>
      </c>
      <c r="E2262" t="n">
        <v>4</v>
      </c>
      <c r="F2262" t="n">
        <v>0.1287</v>
      </c>
      <c r="G2262" t="n">
        <v>0.66</v>
      </c>
      <c r="H2262" t="n">
        <v>5</v>
      </c>
      <c r="I2262" t="n">
        <v>11</v>
      </c>
      <c r="J2262" t="n">
        <v>6</v>
      </c>
      <c r="K2262" t="n">
        <v>0</v>
      </c>
      <c r="L2262" t="n">
        <v>59327</v>
      </c>
      <c r="M2262" t="n">
        <v>79000</v>
      </c>
      <c r="N2262" t="n">
        <v>33</v>
      </c>
      <c r="O2262" t="n">
        <v>0.33</v>
      </c>
      <c r="P2262" t="n">
        <v>1</v>
      </c>
      <c r="Q2262" t="n">
        <v>0.07000000000000001</v>
      </c>
      <c r="R2262" t="n">
        <v>2</v>
      </c>
      <c r="S2262" t="n">
        <v>10167.3</v>
      </c>
      <c r="T2262" t="n">
        <v>7</v>
      </c>
      <c r="U2262" t="n">
        <v>8</v>
      </c>
      <c r="V2262" t="n">
        <v>30</v>
      </c>
      <c r="W2262" t="n">
        <v>4</v>
      </c>
      <c r="X2262" t="n">
        <v>31.08003108003108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2496</v>
      </c>
      <c r="AG2262" t="n">
        <v>2060</v>
      </c>
      <c r="AH2262" t="inlineStr">
        <is>
          <t>PT. ANUGERAH NIAGA JAYA (PKU)</t>
        </is>
      </c>
      <c r="AI2262" t="n">
        <v>298</v>
      </c>
      <c r="AJ2262" t="inlineStr">
        <is>
          <t>LUXCRIME</t>
        </is>
      </c>
      <c r="AK2262" t="n">
        <v>9</v>
      </c>
      <c r="AL2262" t="inlineStr">
        <is>
          <t>Miss Glam Jambi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"769503122489"</f>
        <v/>
      </c>
      <c r="C2263" t="inlineStr">
        <is>
          <t>LUXCRIME Ultra Light Lip Stain Persimmon 3gr</t>
        </is>
      </c>
      <c r="D2263" t="inlineStr">
        <is>
          <t>Miss Glam Jambi</t>
        </is>
      </c>
      <c r="E2263" t="n">
        <v>3</v>
      </c>
      <c r="F2263" t="n">
        <v>0.0825</v>
      </c>
      <c r="G2263" t="n">
        <v>0.66</v>
      </c>
      <c r="H2263" t="n">
        <v>5</v>
      </c>
      <c r="I2263" t="n">
        <v>11</v>
      </c>
      <c r="J2263" t="n">
        <v>3</v>
      </c>
      <c r="K2263" t="n">
        <v>0</v>
      </c>
      <c r="L2263" t="n">
        <v>59520</v>
      </c>
      <c r="M2263" t="n">
        <v>79000</v>
      </c>
      <c r="N2263" t="n">
        <v>33</v>
      </c>
      <c r="O2263" t="n">
        <v>0.33</v>
      </c>
      <c r="P2263" t="n">
        <v>1</v>
      </c>
      <c r="Q2263" t="n">
        <v>0.03</v>
      </c>
      <c r="R2263" t="n">
        <v>1</v>
      </c>
      <c r="S2263" t="n">
        <v>6517.5</v>
      </c>
      <c r="T2263" t="n">
        <v>7</v>
      </c>
      <c r="U2263" t="n">
        <v>8</v>
      </c>
      <c r="V2263" t="n">
        <v>30</v>
      </c>
      <c r="W2263" t="n">
        <v>3</v>
      </c>
      <c r="X2263" t="n">
        <v>36.36363636363636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2496</v>
      </c>
      <c r="AG2263" t="n">
        <v>2060</v>
      </c>
      <c r="AH2263" t="inlineStr">
        <is>
          <t>PT. ANUGERAH NIAGA JAYA (PKU)</t>
        </is>
      </c>
      <c r="AI2263" t="n">
        <v>298</v>
      </c>
      <c r="AJ2263" t="inlineStr">
        <is>
          <t>LUXCRIME</t>
        </is>
      </c>
      <c r="AK2263" t="n">
        <v>9</v>
      </c>
      <c r="AL2263" t="inlineStr">
        <is>
          <t>Miss Glam Jambi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"769503122519"</f>
        <v/>
      </c>
      <c r="C2264" t="inlineStr">
        <is>
          <t>LUXCRIME Ultra Light Lip Stain Rose Sand 3gr</t>
        </is>
      </c>
      <c r="D2264" t="inlineStr">
        <is>
          <t>Miss Glam Jambi</t>
        </is>
      </c>
      <c r="E2264" t="n">
        <v>7</v>
      </c>
      <c r="F2264" t="n">
        <v>0.1287</v>
      </c>
      <c r="G2264" t="n">
        <v>0.99</v>
      </c>
      <c r="H2264" t="n">
        <v>5</v>
      </c>
      <c r="I2264" t="n">
        <v>11</v>
      </c>
      <c r="J2264" t="n">
        <v>3</v>
      </c>
      <c r="K2264" t="n">
        <v>0</v>
      </c>
      <c r="L2264" t="n">
        <v>60182</v>
      </c>
      <c r="M2264" t="n">
        <v>79000</v>
      </c>
      <c r="N2264" t="n">
        <v>33</v>
      </c>
      <c r="O2264" t="n">
        <v>0.33</v>
      </c>
      <c r="P2264" t="n">
        <v>1</v>
      </c>
      <c r="Q2264" t="n">
        <v>0.12</v>
      </c>
      <c r="R2264" t="n">
        <v>2</v>
      </c>
      <c r="S2264" t="n">
        <v>10167.3</v>
      </c>
      <c r="T2264" t="n">
        <v>11</v>
      </c>
      <c r="U2264" t="n">
        <v>12</v>
      </c>
      <c r="V2264" t="n">
        <v>30</v>
      </c>
      <c r="W2264" t="n">
        <v>4</v>
      </c>
      <c r="X2264" t="n">
        <v>54.39005439005439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2496</v>
      </c>
      <c r="AG2264" t="n">
        <v>2060</v>
      </c>
      <c r="AH2264" t="inlineStr">
        <is>
          <t>PT. ANUGERAH NIAGA JAYA (PKU)</t>
        </is>
      </c>
      <c r="AI2264" t="n">
        <v>298</v>
      </c>
      <c r="AJ2264" t="inlineStr">
        <is>
          <t>LUXCRIME</t>
        </is>
      </c>
      <c r="AK2264" t="n">
        <v>9</v>
      </c>
      <c r="AL2264" t="inlineStr">
        <is>
          <t>Miss Glam Jambi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"769503122038"</f>
        <v/>
      </c>
      <c r="C2265" t="inlineStr">
        <is>
          <t>LUXCRIME Ultra Smooth Lip Liner Chai Tea 0,gr</t>
        </is>
      </c>
      <c r="D2265" t="inlineStr">
        <is>
          <t>Miss Glam Jambi</t>
        </is>
      </c>
      <c r="E2265" t="n">
        <v>6</v>
      </c>
      <c r="F2265" t="n">
        <v>0.1155</v>
      </c>
      <c r="G2265" t="n">
        <v>0.33</v>
      </c>
      <c r="H2265" t="n">
        <v>5</v>
      </c>
      <c r="I2265" t="n">
        <v>11</v>
      </c>
      <c r="J2265" t="n">
        <v>3</v>
      </c>
      <c r="K2265" t="n">
        <v>0</v>
      </c>
      <c r="L2265" t="n">
        <v>67691</v>
      </c>
      <c r="M2265" t="n">
        <v>89000</v>
      </c>
      <c r="N2265" t="n">
        <v>33</v>
      </c>
      <c r="O2265" t="n">
        <v>0.33</v>
      </c>
      <c r="P2265" t="n">
        <v>1</v>
      </c>
      <c r="Q2265" t="n">
        <v>0.15</v>
      </c>
      <c r="R2265" t="n">
        <v>2</v>
      </c>
      <c r="S2265" t="n">
        <v>10279.5</v>
      </c>
      <c r="T2265" t="n">
        <v>4</v>
      </c>
      <c r="U2265" t="n">
        <v>5</v>
      </c>
      <c r="V2265" t="n">
        <v>30</v>
      </c>
      <c r="W2265" t="n">
        <v>4</v>
      </c>
      <c r="X2265" t="n">
        <v>51.94805194805195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2496</v>
      </c>
      <c r="AG2265" t="n">
        <v>2060</v>
      </c>
      <c r="AH2265" t="inlineStr">
        <is>
          <t>PT. ANUGERAH NIAGA JAYA (PKU)</t>
        </is>
      </c>
      <c r="AI2265" t="n">
        <v>298</v>
      </c>
      <c r="AJ2265" t="inlineStr">
        <is>
          <t>LUXCRIME</t>
        </is>
      </c>
      <c r="AK2265" t="n">
        <v>9</v>
      </c>
      <c r="AL2265" t="inlineStr">
        <is>
          <t>Miss Glam Jambi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"20300602126"</f>
        <v/>
      </c>
      <c r="C2266" t="inlineStr">
        <is>
          <t>LUXCRIME Ultra Smooth Lip Liner Crepes 0,3gr</t>
        </is>
      </c>
      <c r="D2266" t="inlineStr">
        <is>
          <t>Miss Glam Jambi</t>
        </is>
      </c>
      <c r="E2266" t="n">
        <v>4</v>
      </c>
      <c r="F2266" t="n">
        <v>0.0462</v>
      </c>
      <c r="G2266" t="n">
        <v>0.33</v>
      </c>
      <c r="H2266" t="n">
        <v>5</v>
      </c>
      <c r="I2266" t="n">
        <v>11</v>
      </c>
      <c r="J2266" t="n">
        <v>1</v>
      </c>
      <c r="K2266" t="n">
        <v>0</v>
      </c>
      <c r="L2266" t="n">
        <v>66923</v>
      </c>
      <c r="M2266" t="n">
        <v>89000</v>
      </c>
      <c r="N2266" t="n">
        <v>33</v>
      </c>
      <c r="O2266" t="n">
        <v>0.33</v>
      </c>
      <c r="P2266" t="n">
        <v>1</v>
      </c>
      <c r="Q2266" t="n">
        <v>0.03</v>
      </c>
      <c r="R2266" t="n">
        <v>1</v>
      </c>
      <c r="S2266" t="n">
        <v>4111.8</v>
      </c>
      <c r="T2266" t="n">
        <v>4</v>
      </c>
      <c r="U2266" t="n">
        <v>5</v>
      </c>
      <c r="V2266" t="n">
        <v>30</v>
      </c>
      <c r="W2266" t="n">
        <v>2</v>
      </c>
      <c r="X2266" t="n">
        <v>86.58008658008657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2496</v>
      </c>
      <c r="AG2266" t="n">
        <v>2060</v>
      </c>
      <c r="AH2266" t="inlineStr">
        <is>
          <t>PT. ANUGERAH NIAGA JAYA (PKU)</t>
        </is>
      </c>
      <c r="AI2266" t="n">
        <v>298</v>
      </c>
      <c r="AJ2266" t="inlineStr">
        <is>
          <t>LUXCRIME</t>
        </is>
      </c>
      <c r="AK2266" t="n">
        <v>9</v>
      </c>
      <c r="AL2266" t="inlineStr">
        <is>
          <t>Miss Glam Jambi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"769503122045"</f>
        <v/>
      </c>
      <c r="C2267" t="inlineStr">
        <is>
          <t>LUXCRIME Ultra Smooth Lip Liner Ginger Bread 0,3gr</t>
        </is>
      </c>
      <c r="D2267" t="inlineStr">
        <is>
          <t>Miss Glam Jambi</t>
        </is>
      </c>
      <c r="E2267" t="n">
        <v>3</v>
      </c>
      <c r="F2267" t="n">
        <v>0.0561</v>
      </c>
      <c r="G2267" t="n">
        <v>0.66</v>
      </c>
      <c r="H2267" t="n">
        <v>5</v>
      </c>
      <c r="I2267" t="n">
        <v>11</v>
      </c>
      <c r="J2267" t="n">
        <v>3</v>
      </c>
      <c r="K2267" t="n">
        <v>0</v>
      </c>
      <c r="L2267" t="n">
        <v>67691</v>
      </c>
      <c r="M2267" t="n">
        <v>89000</v>
      </c>
      <c r="N2267" t="n">
        <v>33</v>
      </c>
      <c r="O2267" t="n">
        <v>0.33</v>
      </c>
      <c r="P2267" t="n">
        <v>1</v>
      </c>
      <c r="Q2267" t="n">
        <v>0.07000000000000001</v>
      </c>
      <c r="R2267" t="n">
        <v>1</v>
      </c>
      <c r="S2267" t="n">
        <v>4992.900000000001</v>
      </c>
      <c r="T2267" t="n">
        <v>7</v>
      </c>
      <c r="U2267" t="n">
        <v>8</v>
      </c>
      <c r="V2267" t="n">
        <v>30</v>
      </c>
      <c r="W2267" t="n">
        <v>2</v>
      </c>
      <c r="X2267" t="n">
        <v>53.475935828877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2496</v>
      </c>
      <c r="AG2267" t="n">
        <v>2060</v>
      </c>
      <c r="AH2267" t="inlineStr">
        <is>
          <t>PT. ANUGERAH NIAGA JAYA (PKU)</t>
        </is>
      </c>
      <c r="AI2267" t="n">
        <v>298</v>
      </c>
      <c r="AJ2267" t="inlineStr">
        <is>
          <t>LUXCRIME</t>
        </is>
      </c>
      <c r="AK2267" t="n">
        <v>9</v>
      </c>
      <c r="AL2267" t="inlineStr">
        <is>
          <t>Miss Glam Jambi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"20300601910"</f>
        <v/>
      </c>
      <c r="C2268" t="inlineStr">
        <is>
          <t>LUXCRIME Ultra Smooth Lip Liner Soda 0,3gr</t>
        </is>
      </c>
      <c r="D2268" t="inlineStr">
        <is>
          <t>Miss Glam Jambi</t>
        </is>
      </c>
      <c r="E2268" t="n">
        <v>4</v>
      </c>
      <c r="F2268" t="n">
        <v>0.0396</v>
      </c>
      <c r="G2268" t="n">
        <v>0.33</v>
      </c>
      <c r="H2268" t="n">
        <v>5</v>
      </c>
      <c r="I2268" t="n">
        <v>11</v>
      </c>
      <c r="J2268" t="n">
        <v>1</v>
      </c>
      <c r="K2268" t="n">
        <v>0</v>
      </c>
      <c r="L2268" t="n">
        <v>67691</v>
      </c>
      <c r="M2268" t="n">
        <v>89000</v>
      </c>
      <c r="N2268" t="n">
        <v>33</v>
      </c>
      <c r="O2268" t="n">
        <v>0.33</v>
      </c>
      <c r="P2268" t="n">
        <v>1</v>
      </c>
      <c r="Q2268" t="n">
        <v>0.1</v>
      </c>
      <c r="R2268" t="n">
        <v>2</v>
      </c>
      <c r="S2268" t="n">
        <v>3524.4</v>
      </c>
      <c r="T2268" t="n">
        <v>4</v>
      </c>
      <c r="U2268" t="n">
        <v>5</v>
      </c>
      <c r="V2268" t="n">
        <v>30</v>
      </c>
      <c r="W2268" t="n">
        <v>2</v>
      </c>
      <c r="X2268" t="n">
        <v>101.010101010101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2496</v>
      </c>
      <c r="AG2268" t="n">
        <v>2060</v>
      </c>
      <c r="AH2268" t="inlineStr">
        <is>
          <t>PT. ANUGERAH NIAGA JAYA (PKU)</t>
        </is>
      </c>
      <c r="AI2268" t="n">
        <v>298</v>
      </c>
      <c r="AJ2268" t="inlineStr">
        <is>
          <t>LUXCRIME</t>
        </is>
      </c>
      <c r="AK2268" t="n">
        <v>9</v>
      </c>
      <c r="AL2268" t="inlineStr">
        <is>
          <t>Miss Glam Jambi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MADAME GIE</t>
        </is>
      </c>
      <c r="B2269" s="2">
        <f>"8994448831277"</f>
        <v/>
      </c>
      <c r="C2269" t="inlineStr">
        <is>
          <t>MADAME GIE Angelic Lash Mascara 7ml</t>
        </is>
      </c>
      <c r="D2269" t="inlineStr">
        <is>
          <t>Miss Glam Jambi</t>
        </is>
      </c>
      <c r="E2269" t="n">
        <v>2</v>
      </c>
      <c r="F2269" t="n">
        <v>0.033</v>
      </c>
      <c r="G2269" t="n">
        <v>0.66</v>
      </c>
      <c r="H2269" t="n">
        <v>4</v>
      </c>
      <c r="I2269" t="n">
        <v>8</v>
      </c>
      <c r="J2269" t="n">
        <v>6</v>
      </c>
      <c r="K2269" t="n">
        <v>0</v>
      </c>
      <c r="L2269" t="n">
        <v>26405</v>
      </c>
      <c r="M2269" t="n">
        <v>33500</v>
      </c>
      <c r="N2269" t="n">
        <v>33</v>
      </c>
      <c r="O2269" t="n">
        <v>0.33</v>
      </c>
      <c r="P2269" t="n">
        <v>1</v>
      </c>
      <c r="Q2269" t="n">
        <v>0.03</v>
      </c>
      <c r="R2269" t="n">
        <v>1</v>
      </c>
      <c r="S2269" t="n">
        <v>1105.5</v>
      </c>
      <c r="T2269" t="n">
        <v>6</v>
      </c>
      <c r="U2269" t="n">
        <v>7</v>
      </c>
      <c r="V2269" t="n">
        <v>30</v>
      </c>
      <c r="W2269" t="n">
        <v>1</v>
      </c>
      <c r="X2269" t="n">
        <v>60.6060606060606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10674</v>
      </c>
      <c r="AG2269" t="n">
        <v>2378</v>
      </c>
      <c r="AH2269" t="inlineStr">
        <is>
          <t>PT. KURNIA MAJU PERKASA - PPN (PDG)</t>
        </is>
      </c>
      <c r="AI2269" t="n">
        <v>101</v>
      </c>
      <c r="AJ2269" t="inlineStr">
        <is>
          <t>MADAME GIE</t>
        </is>
      </c>
      <c r="AK2269" t="n">
        <v>9</v>
      </c>
      <c r="AL2269" t="inlineStr">
        <is>
          <t>Miss Glam Jambi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MADAME GIE</t>
        </is>
      </c>
      <c r="B2270" s="2">
        <f>"8994448831185"</f>
        <v/>
      </c>
      <c r="C2270" t="inlineStr">
        <is>
          <t>MADAME GIE Blushed 01 Funfetti 8gr</t>
        </is>
      </c>
      <c r="D2270" t="inlineStr">
        <is>
          <t>Miss Glam Jambi</t>
        </is>
      </c>
      <c r="E2270" t="n">
        <v>0</v>
      </c>
      <c r="F2270" t="n">
        <v>0.1452</v>
      </c>
      <c r="G2270" t="n">
        <v>1.65</v>
      </c>
      <c r="H2270" t="n">
        <v>4</v>
      </c>
      <c r="I2270" t="n">
        <v>8</v>
      </c>
      <c r="J2270" t="n">
        <v>3</v>
      </c>
      <c r="K2270" t="n">
        <v>0</v>
      </c>
      <c r="L2270" t="n">
        <v>14939</v>
      </c>
      <c r="M2270" t="n">
        <v>19000</v>
      </c>
      <c r="N2270" t="n">
        <v>33</v>
      </c>
      <c r="O2270" t="n">
        <v>0.33</v>
      </c>
      <c r="P2270" t="n">
        <v>1</v>
      </c>
      <c r="Q2270" t="n">
        <v>0.06</v>
      </c>
      <c r="R2270" t="n">
        <v>1</v>
      </c>
      <c r="S2270" t="n">
        <v>2758.8</v>
      </c>
      <c r="T2270" t="n">
        <v>13</v>
      </c>
      <c r="U2270" t="n">
        <v>14</v>
      </c>
      <c r="V2270" t="n">
        <v>30</v>
      </c>
      <c r="W2270" t="n">
        <v>5</v>
      </c>
      <c r="X2270" t="n">
        <v>0</v>
      </c>
      <c r="Y2270" t="n">
        <v>1</v>
      </c>
      <c r="Z2270" t="n">
        <v>5</v>
      </c>
      <c r="AA2270" t="n">
        <v>2</v>
      </c>
      <c r="AB2270" t="n">
        <v>3</v>
      </c>
      <c r="AC2270" t="n">
        <v>3</v>
      </c>
      <c r="AD2270" t="n">
        <v>29878</v>
      </c>
      <c r="AE2270" t="n">
        <v>44817</v>
      </c>
      <c r="AF2270" t="n">
        <v>10674</v>
      </c>
      <c r="AG2270" t="n">
        <v>2378</v>
      </c>
      <c r="AH2270" t="inlineStr">
        <is>
          <t>PT. KURNIA MAJU PERKASA - PPN (PDG)</t>
        </is>
      </c>
      <c r="AI2270" t="n">
        <v>101</v>
      </c>
      <c r="AJ2270" t="inlineStr">
        <is>
          <t>MADAME GIE</t>
        </is>
      </c>
      <c r="AK2270" t="n">
        <v>9</v>
      </c>
      <c r="AL2270" t="inlineStr">
        <is>
          <t>Miss Glam Jambi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MADAME GIE</t>
        </is>
      </c>
      <c r="B2271" s="2">
        <f>"8994448831192"</f>
        <v/>
      </c>
      <c r="C2271" t="inlineStr">
        <is>
          <t>MADAME GIE Blushed 02 Stardust 8gr</t>
        </is>
      </c>
      <c r="D2271" t="inlineStr">
        <is>
          <t>Miss Glam Jambi</t>
        </is>
      </c>
      <c r="E2271" t="n">
        <v>0</v>
      </c>
      <c r="F2271" t="n">
        <v>0.1518</v>
      </c>
      <c r="G2271" t="n">
        <v>0.99</v>
      </c>
      <c r="H2271" t="n">
        <v>4</v>
      </c>
      <c r="I2271" t="n">
        <v>8</v>
      </c>
      <c r="J2271" t="n">
        <v>3</v>
      </c>
      <c r="K2271" t="n">
        <v>0</v>
      </c>
      <c r="L2271" t="n">
        <v>14939</v>
      </c>
      <c r="M2271" t="n">
        <v>19000</v>
      </c>
      <c r="N2271" t="n">
        <v>33</v>
      </c>
      <c r="O2271" t="n">
        <v>0.33</v>
      </c>
      <c r="P2271" t="n">
        <v>1</v>
      </c>
      <c r="Q2271" t="n">
        <v>0.07000000000000001</v>
      </c>
      <c r="R2271" t="n">
        <v>1</v>
      </c>
      <c r="S2271" t="n">
        <v>2884.2</v>
      </c>
      <c r="T2271" t="n">
        <v>8</v>
      </c>
      <c r="U2271" t="n">
        <v>9</v>
      </c>
      <c r="V2271" t="n">
        <v>30</v>
      </c>
      <c r="W2271" t="n">
        <v>5</v>
      </c>
      <c r="X2271" t="n">
        <v>0</v>
      </c>
      <c r="Y2271" t="n">
        <v>1</v>
      </c>
      <c r="Z2271" t="n">
        <v>5</v>
      </c>
      <c r="AA2271" t="n">
        <v>2</v>
      </c>
      <c r="AB2271" t="n">
        <v>3</v>
      </c>
      <c r="AC2271" t="n">
        <v>3</v>
      </c>
      <c r="AD2271" t="n">
        <v>29878</v>
      </c>
      <c r="AE2271" t="n">
        <v>44817</v>
      </c>
      <c r="AF2271" t="n">
        <v>10674</v>
      </c>
      <c r="AG2271" t="n">
        <v>2378</v>
      </c>
      <c r="AH2271" t="inlineStr">
        <is>
          <t>PT. KURNIA MAJU PERKASA - PPN (PDG)</t>
        </is>
      </c>
      <c r="AI2271" t="n">
        <v>101</v>
      </c>
      <c r="AJ2271" t="inlineStr">
        <is>
          <t>MADAME GIE</t>
        </is>
      </c>
      <c r="AK2271" t="n">
        <v>9</v>
      </c>
      <c r="AL2271" t="inlineStr">
        <is>
          <t>Miss Glam Jambi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MADAME GIE</t>
        </is>
      </c>
      <c r="B2272" s="2">
        <f>"8994448831208"</f>
        <v/>
      </c>
      <c r="C2272" t="inlineStr">
        <is>
          <t>MADAME GIE Blushed 03 Euphoria 8gr</t>
        </is>
      </c>
      <c r="D2272" t="inlineStr">
        <is>
          <t>Miss Glam Jambi</t>
        </is>
      </c>
      <c r="E2272" t="n">
        <v>0</v>
      </c>
      <c r="F2272" t="n">
        <v>0.02</v>
      </c>
      <c r="G2272" t="n">
        <v>1</v>
      </c>
      <c r="H2272" t="n">
        <v>4</v>
      </c>
      <c r="I2272" t="n">
        <v>8</v>
      </c>
      <c r="J2272" t="n">
        <v>3</v>
      </c>
      <c r="K2272" t="n">
        <v>0</v>
      </c>
      <c r="L2272" t="n">
        <v>14938</v>
      </c>
      <c r="M2272" t="n">
        <v>19000</v>
      </c>
      <c r="N2272" t="n">
        <v>33</v>
      </c>
      <c r="O2272" t="n">
        <v>0.33</v>
      </c>
      <c r="P2272" t="n">
        <v>0</v>
      </c>
      <c r="Q2272" t="n">
        <v>0.02</v>
      </c>
      <c r="R2272" t="n">
        <v>1</v>
      </c>
      <c r="S2272" t="n">
        <v>380</v>
      </c>
      <c r="T2272" t="n">
        <v>8</v>
      </c>
      <c r="U2272" t="n">
        <v>9</v>
      </c>
      <c r="V2272" t="n">
        <v>30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n">
        <v>0</v>
      </c>
      <c r="AC2272" t="n">
        <v>0</v>
      </c>
      <c r="AD2272" t="n">
        <v>14938</v>
      </c>
      <c r="AE2272" t="n">
        <v>0</v>
      </c>
      <c r="AF2272" t="n">
        <v>10674</v>
      </c>
      <c r="AG2272" t="n">
        <v>2378</v>
      </c>
      <c r="AH2272" t="inlineStr">
        <is>
          <t>PT. KURNIA MAJU PERKASA - PPN (PDG)</t>
        </is>
      </c>
      <c r="AI2272" t="n">
        <v>101</v>
      </c>
      <c r="AJ2272" t="inlineStr">
        <is>
          <t>MADAME GIE</t>
        </is>
      </c>
      <c r="AK2272" t="n">
        <v>9</v>
      </c>
      <c r="AL2272" t="inlineStr">
        <is>
          <t>Miss Glam Jambi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MADAME GIE</t>
        </is>
      </c>
      <c r="B2273" s="2">
        <f>"8994448831215"</f>
        <v/>
      </c>
      <c r="C2273" t="inlineStr">
        <is>
          <t>MADAME GIE Blushed 04 Dance Floor 8gr</t>
        </is>
      </c>
      <c r="D2273" t="inlineStr">
        <is>
          <t>Miss Glam Jambi</t>
        </is>
      </c>
      <c r="E2273" t="n">
        <v>0</v>
      </c>
      <c r="F2273" t="n">
        <v>0.02</v>
      </c>
      <c r="G2273" t="n">
        <v>1</v>
      </c>
      <c r="H2273" t="n">
        <v>4</v>
      </c>
      <c r="I2273" t="n">
        <v>8</v>
      </c>
      <c r="J2273" t="n">
        <v>3</v>
      </c>
      <c r="K2273" t="n">
        <v>0</v>
      </c>
      <c r="L2273" t="n">
        <v>14939</v>
      </c>
      <c r="M2273" t="n">
        <v>19000</v>
      </c>
      <c r="N2273" t="n">
        <v>33</v>
      </c>
      <c r="O2273" t="n">
        <v>0.33</v>
      </c>
      <c r="P2273" t="n">
        <v>0</v>
      </c>
      <c r="Q2273" t="n">
        <v>0.02</v>
      </c>
      <c r="R2273" t="n">
        <v>1</v>
      </c>
      <c r="S2273" t="n">
        <v>380</v>
      </c>
      <c r="T2273" t="n">
        <v>8</v>
      </c>
      <c r="U2273" t="n">
        <v>9</v>
      </c>
      <c r="V2273" t="n">
        <v>30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n">
        <v>0</v>
      </c>
      <c r="AC2273" t="n">
        <v>0</v>
      </c>
      <c r="AD2273" t="n">
        <v>14939</v>
      </c>
      <c r="AE2273" t="n">
        <v>0</v>
      </c>
      <c r="AF2273" t="n">
        <v>10674</v>
      </c>
      <c r="AG2273" t="n">
        <v>2378</v>
      </c>
      <c r="AH2273" t="inlineStr">
        <is>
          <t>PT. KURNIA MAJU PERKASA - PPN (PDG)</t>
        </is>
      </c>
      <c r="AI2273" t="n">
        <v>101</v>
      </c>
      <c r="AJ2273" t="inlineStr">
        <is>
          <t>MADAME GIE</t>
        </is>
      </c>
      <c r="AK2273" t="n">
        <v>9</v>
      </c>
      <c r="AL2273" t="inlineStr">
        <is>
          <t>Miss Glam Jambi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MADAME GIE</t>
        </is>
      </c>
      <c r="B2274" s="2">
        <f>"8997230675653"</f>
        <v/>
      </c>
      <c r="C2274" t="inlineStr">
        <is>
          <t>MADAME GIE Brow On Point 01 Earl Grey 6gr</t>
        </is>
      </c>
      <c r="D2274" t="inlineStr">
        <is>
          <t>Miss Glam Jambi</t>
        </is>
      </c>
      <c r="E2274" t="n">
        <v>0</v>
      </c>
      <c r="F2274" t="n">
        <v>0.009900000000000001</v>
      </c>
      <c r="G2274" t="n">
        <v>0.33</v>
      </c>
      <c r="H2274" t="n">
        <v>4</v>
      </c>
      <c r="I2274" t="n">
        <v>8</v>
      </c>
      <c r="J2274" t="n">
        <v>3</v>
      </c>
      <c r="K2274" t="n">
        <v>0</v>
      </c>
      <c r="L2274" t="n">
        <v>21157</v>
      </c>
      <c r="M2274" t="n">
        <v>26200</v>
      </c>
      <c r="N2274" t="n">
        <v>33</v>
      </c>
      <c r="O2274" t="n">
        <v>0.33</v>
      </c>
      <c r="P2274" t="n">
        <v>1</v>
      </c>
      <c r="Q2274" t="n">
        <v>0.18</v>
      </c>
      <c r="R2274" t="n">
        <v>5</v>
      </c>
      <c r="S2274" t="n">
        <v>259.38</v>
      </c>
      <c r="T2274" t="n">
        <v>3</v>
      </c>
      <c r="U2274" t="n">
        <v>4</v>
      </c>
      <c r="V2274" t="n">
        <v>30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n">
        <v>0</v>
      </c>
      <c r="AC2274" t="n">
        <v>0</v>
      </c>
      <c r="AD2274" t="n">
        <v>21157</v>
      </c>
      <c r="AE2274" t="n">
        <v>0</v>
      </c>
      <c r="AF2274" t="n">
        <v>10674</v>
      </c>
      <c r="AG2274" t="n">
        <v>2378</v>
      </c>
      <c r="AH2274" t="inlineStr">
        <is>
          <t>PT. KURNIA MAJU PERKASA - PPN (PDG)</t>
        </is>
      </c>
      <c r="AI2274" t="n">
        <v>101</v>
      </c>
      <c r="AJ2274" t="inlineStr">
        <is>
          <t>MADAME GIE</t>
        </is>
      </c>
      <c r="AK2274" t="n">
        <v>9</v>
      </c>
      <c r="AL2274" t="inlineStr">
        <is>
          <t>Miss Glam Jambi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MADAME GIE</t>
        </is>
      </c>
      <c r="B2275" s="2">
        <f>"8997230678005"</f>
        <v/>
      </c>
      <c r="C2275" t="inlineStr">
        <is>
          <t>MADAME GIE Charmseeker 02 Sassy Lipstick &amp; Lipcream 7gr</t>
        </is>
      </c>
      <c r="D2275" t="inlineStr">
        <is>
          <t>Miss Glam Jambi</t>
        </is>
      </c>
      <c r="E2275" t="n">
        <v>2</v>
      </c>
      <c r="F2275" t="n">
        <v>0.02</v>
      </c>
      <c r="G2275" t="n">
        <v>1</v>
      </c>
      <c r="H2275" t="n">
        <v>4</v>
      </c>
      <c r="I2275" t="n">
        <v>8</v>
      </c>
      <c r="J2275" t="n">
        <v>3</v>
      </c>
      <c r="K2275" t="n">
        <v>0</v>
      </c>
      <c r="L2275" t="n">
        <v>20520</v>
      </c>
      <c r="M2275" t="n">
        <v>35000</v>
      </c>
      <c r="N2275" t="n">
        <v>33</v>
      </c>
      <c r="O2275" t="n">
        <v>0.33</v>
      </c>
      <c r="P2275" t="n">
        <v>0</v>
      </c>
      <c r="Q2275" t="n">
        <v>0.02</v>
      </c>
      <c r="R2275" t="n">
        <v>1</v>
      </c>
      <c r="S2275" t="n">
        <v>700</v>
      </c>
      <c r="T2275" t="n">
        <v>8</v>
      </c>
      <c r="U2275" t="n">
        <v>9</v>
      </c>
      <c r="V2275" t="n">
        <v>30</v>
      </c>
      <c r="W2275" t="n">
        <v>1</v>
      </c>
      <c r="X2275" t="n">
        <v>100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10674</v>
      </c>
      <c r="AG2275" t="n">
        <v>2378</v>
      </c>
      <c r="AH2275" t="inlineStr">
        <is>
          <t>PT. KURNIA MAJU PERKASA - PPN (PDG)</t>
        </is>
      </c>
      <c r="AI2275" t="n">
        <v>101</v>
      </c>
      <c r="AJ2275" t="inlineStr">
        <is>
          <t>MADAME GIE</t>
        </is>
      </c>
      <c r="AK2275" t="n">
        <v>9</v>
      </c>
      <c r="AL2275" t="inlineStr">
        <is>
          <t>Miss Glam Jambi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MADAME GIE</t>
        </is>
      </c>
      <c r="B2276" s="2">
        <f>"8997230678012"</f>
        <v/>
      </c>
      <c r="C2276" t="inlineStr">
        <is>
          <t>MADAME GIE Charmseeker 03 Baddie Lipstick &amp; Lipcream 7gr</t>
        </is>
      </c>
      <c r="D2276" t="inlineStr">
        <is>
          <t>Miss Glam Jambi</t>
        </is>
      </c>
      <c r="E2276" t="n">
        <v>9</v>
      </c>
      <c r="F2276" t="n">
        <v>0.1188</v>
      </c>
      <c r="G2276" t="n">
        <v>0.99</v>
      </c>
      <c r="H2276" t="n">
        <v>4</v>
      </c>
      <c r="I2276" t="n">
        <v>8</v>
      </c>
      <c r="J2276" t="n">
        <v>3</v>
      </c>
      <c r="K2276" t="n">
        <v>0</v>
      </c>
      <c r="L2276" t="n">
        <v>27617</v>
      </c>
      <c r="M2276" t="n">
        <v>35000</v>
      </c>
      <c r="N2276" t="n">
        <v>33</v>
      </c>
      <c r="O2276" t="n">
        <v>0.33</v>
      </c>
      <c r="P2276" t="n">
        <v>1</v>
      </c>
      <c r="Q2276" t="n">
        <v>0.07000000000000001</v>
      </c>
      <c r="R2276" t="n">
        <v>1</v>
      </c>
      <c r="S2276" t="n">
        <v>4158</v>
      </c>
      <c r="T2276" t="n">
        <v>8</v>
      </c>
      <c r="U2276" t="n">
        <v>9</v>
      </c>
      <c r="V2276" t="n">
        <v>30</v>
      </c>
      <c r="W2276" t="n">
        <v>4</v>
      </c>
      <c r="X2276" t="n">
        <v>75.75757575757575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10674</v>
      </c>
      <c r="AG2276" t="n">
        <v>2378</v>
      </c>
      <c r="AH2276" t="inlineStr">
        <is>
          <t>PT. KURNIA MAJU PERKASA - PPN (PDG)</t>
        </is>
      </c>
      <c r="AI2276" t="n">
        <v>101</v>
      </c>
      <c r="AJ2276" t="inlineStr">
        <is>
          <t>MADAME GIE</t>
        </is>
      </c>
      <c r="AK2276" t="n">
        <v>9</v>
      </c>
      <c r="AL2276" t="inlineStr">
        <is>
          <t>Miss Glam Jambi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MADAME GIE</t>
        </is>
      </c>
      <c r="B2277" s="2">
        <f>"8994448831291"</f>
        <v/>
      </c>
      <c r="C2277" t="inlineStr">
        <is>
          <t>MADAME GIE Madame Protect Me Sun Serum SPF30 With Dustress Out 60gr</t>
        </is>
      </c>
      <c r="D2277" t="inlineStr">
        <is>
          <t>Miss Glam Jambi</t>
        </is>
      </c>
      <c r="E2277" t="n">
        <v>2</v>
      </c>
      <c r="F2277" t="n">
        <v>0.1056</v>
      </c>
      <c r="G2277" t="n">
        <v>0.66</v>
      </c>
      <c r="H2277" t="n">
        <v>4</v>
      </c>
      <c r="I2277" t="n">
        <v>8</v>
      </c>
      <c r="J2277" t="n">
        <v>3</v>
      </c>
      <c r="K2277" t="n">
        <v>0</v>
      </c>
      <c r="L2277" t="n">
        <v>36338</v>
      </c>
      <c r="M2277" t="n">
        <v>45000</v>
      </c>
      <c r="N2277" t="n">
        <v>33</v>
      </c>
      <c r="O2277" t="n">
        <v>0.33</v>
      </c>
      <c r="P2277" t="n">
        <v>1</v>
      </c>
      <c r="Q2277" t="n">
        <v>0.02</v>
      </c>
      <c r="R2277" t="n">
        <v>1</v>
      </c>
      <c r="S2277" t="n">
        <v>4752.000000000001</v>
      </c>
      <c r="T2277" t="n">
        <v>5</v>
      </c>
      <c r="U2277" t="n">
        <v>6</v>
      </c>
      <c r="V2277" t="n">
        <v>30</v>
      </c>
      <c r="W2277" t="n">
        <v>4</v>
      </c>
      <c r="X2277" t="n">
        <v>18.93939393939394</v>
      </c>
      <c r="Y2277" t="n">
        <v>1</v>
      </c>
      <c r="Z2277" t="n">
        <v>2</v>
      </c>
      <c r="AA2277" t="n">
        <v>0</v>
      </c>
      <c r="AB2277" t="n">
        <v>2</v>
      </c>
      <c r="AC2277" t="n">
        <v>3</v>
      </c>
      <c r="AD2277" t="n">
        <v>0</v>
      </c>
      <c r="AE2277" t="n">
        <v>109014</v>
      </c>
      <c r="AF2277" t="n">
        <v>10674</v>
      </c>
      <c r="AG2277" t="n">
        <v>2378</v>
      </c>
      <c r="AH2277" t="inlineStr">
        <is>
          <t>PT. KURNIA MAJU PERKASA - PPN (PDG)</t>
        </is>
      </c>
      <c r="AI2277" t="n">
        <v>101</v>
      </c>
      <c r="AJ2277" t="inlineStr">
        <is>
          <t>MADAME GIE</t>
        </is>
      </c>
      <c r="AK2277" t="n">
        <v>9</v>
      </c>
      <c r="AL2277" t="inlineStr">
        <is>
          <t>Miss Glam Jambi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MADAME GIE</t>
        </is>
      </c>
      <c r="B2278" s="2">
        <f>"8994448832267"</f>
        <v/>
      </c>
      <c r="C2278" t="inlineStr">
        <is>
          <t>MADAME GIE Necessity Micellar Water 300ml</t>
        </is>
      </c>
      <c r="D2278" t="inlineStr">
        <is>
          <t>Miss Glam Jambi</t>
        </is>
      </c>
      <c r="E2278" t="n">
        <v>2</v>
      </c>
      <c r="F2278" t="n">
        <v>0.5643</v>
      </c>
      <c r="G2278" t="n">
        <v>1.65</v>
      </c>
      <c r="H2278" t="n">
        <v>4</v>
      </c>
      <c r="I2278" t="n">
        <v>8</v>
      </c>
      <c r="J2278" t="n">
        <v>3</v>
      </c>
      <c r="K2278" t="n">
        <v>0</v>
      </c>
      <c r="L2278" t="n">
        <v>29635</v>
      </c>
      <c r="M2278" t="n">
        <v>37500</v>
      </c>
      <c r="N2278" t="n">
        <v>33</v>
      </c>
      <c r="O2278" t="n">
        <v>0.33</v>
      </c>
      <c r="P2278" t="n">
        <v>1</v>
      </c>
      <c r="Q2278" t="n">
        <v>0.24</v>
      </c>
      <c r="R2278" t="n">
        <v>2</v>
      </c>
      <c r="S2278" t="n">
        <v>21161.25</v>
      </c>
      <c r="T2278" t="n">
        <v>11</v>
      </c>
      <c r="U2278" t="n">
        <v>14</v>
      </c>
      <c r="V2278" t="n">
        <v>30</v>
      </c>
      <c r="W2278" t="n">
        <v>17</v>
      </c>
      <c r="X2278" t="n">
        <v>3.54421407052986</v>
      </c>
      <c r="Y2278" t="n">
        <v>1</v>
      </c>
      <c r="Z2278" t="n">
        <v>15</v>
      </c>
      <c r="AA2278" t="n">
        <v>3</v>
      </c>
      <c r="AB2278" t="n">
        <v>12</v>
      </c>
      <c r="AC2278" t="n">
        <v>12</v>
      </c>
      <c r="AD2278" t="n">
        <v>88905</v>
      </c>
      <c r="AE2278" t="n">
        <v>355620</v>
      </c>
      <c r="AF2278" t="n">
        <v>10674</v>
      </c>
      <c r="AG2278" t="n">
        <v>2378</v>
      </c>
      <c r="AH2278" t="inlineStr">
        <is>
          <t>PT. KURNIA MAJU PERKASA - PPN (PDG)</t>
        </is>
      </c>
      <c r="AI2278" t="n">
        <v>101</v>
      </c>
      <c r="AJ2278" t="inlineStr">
        <is>
          <t>MADAME GIE</t>
        </is>
      </c>
      <c r="AK2278" t="n">
        <v>9</v>
      </c>
      <c r="AL2278" t="inlineStr">
        <is>
          <t>Miss Glam Jambi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MADAME GIE</t>
        </is>
      </c>
      <c r="B2279" s="2">
        <f>"8994448831858"</f>
        <v/>
      </c>
      <c r="C2279" t="inlineStr">
        <is>
          <t>MADAME GIE Plump Balm 101 Better 2.5gr</t>
        </is>
      </c>
      <c r="D2279" t="inlineStr">
        <is>
          <t>Miss Glam Jambi</t>
        </is>
      </c>
      <c r="E2279" t="n">
        <v>2</v>
      </c>
      <c r="F2279" t="n">
        <v>0.1221</v>
      </c>
      <c r="G2279" t="n">
        <v>1.32</v>
      </c>
      <c r="H2279" t="n">
        <v>4</v>
      </c>
      <c r="I2279" t="n">
        <v>8</v>
      </c>
      <c r="J2279" t="n">
        <v>3</v>
      </c>
      <c r="K2279" t="n">
        <v>0</v>
      </c>
      <c r="L2279" t="n">
        <v>24532</v>
      </c>
      <c r="M2279" t="n">
        <v>29000</v>
      </c>
      <c r="N2279" t="n">
        <v>33</v>
      </c>
      <c r="O2279" t="n">
        <v>0.33</v>
      </c>
      <c r="P2279" t="n">
        <v>1</v>
      </c>
      <c r="Q2279" t="n">
        <v>0.1</v>
      </c>
      <c r="R2279" t="n">
        <v>1</v>
      </c>
      <c r="S2279" t="n">
        <v>3540.9</v>
      </c>
      <c r="T2279" t="n">
        <v>11</v>
      </c>
      <c r="U2279" t="n">
        <v>12</v>
      </c>
      <c r="V2279" t="n">
        <v>30</v>
      </c>
      <c r="W2279" t="n">
        <v>4</v>
      </c>
      <c r="X2279" t="n">
        <v>16.38001638001638</v>
      </c>
      <c r="Y2279" t="n">
        <v>1</v>
      </c>
      <c r="Z2279" t="n">
        <v>2</v>
      </c>
      <c r="AA2279" t="n">
        <v>0</v>
      </c>
      <c r="AB2279" t="n">
        <v>2</v>
      </c>
      <c r="AC2279" t="n">
        <v>3</v>
      </c>
      <c r="AD2279" t="n">
        <v>0</v>
      </c>
      <c r="AE2279" t="n">
        <v>73596</v>
      </c>
      <c r="AF2279" t="n">
        <v>10674</v>
      </c>
      <c r="AG2279" t="n">
        <v>2378</v>
      </c>
      <c r="AH2279" t="inlineStr">
        <is>
          <t>PT. KURNIA MAJU PERKASA - PPN (PDG)</t>
        </is>
      </c>
      <c r="AI2279" t="n">
        <v>101</v>
      </c>
      <c r="AJ2279" t="inlineStr">
        <is>
          <t>MADAME GIE</t>
        </is>
      </c>
      <c r="AK2279" t="n">
        <v>9</v>
      </c>
      <c r="AL2279" t="inlineStr">
        <is>
          <t>Miss Glam Jambi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MADAME GIE</t>
        </is>
      </c>
      <c r="B2280" s="2">
        <f>"8994448831864"</f>
        <v/>
      </c>
      <c r="C2280" t="inlineStr">
        <is>
          <t>MADAME GIE Plump Balm 102 Prettier 2.5gr</t>
        </is>
      </c>
      <c r="D2280" t="inlineStr">
        <is>
          <t>Miss Glam Jambi</t>
        </is>
      </c>
      <c r="E2280" t="n">
        <v>3</v>
      </c>
      <c r="F2280" t="n">
        <v>0.4125</v>
      </c>
      <c r="G2280" t="n">
        <v>1.32</v>
      </c>
      <c r="H2280" t="n">
        <v>4</v>
      </c>
      <c r="I2280" t="n">
        <v>8</v>
      </c>
      <c r="J2280" t="n">
        <v>3</v>
      </c>
      <c r="K2280" t="n">
        <v>0</v>
      </c>
      <c r="L2280" t="n">
        <v>22448</v>
      </c>
      <c r="M2280" t="n">
        <v>28000</v>
      </c>
      <c r="N2280" t="n">
        <v>33</v>
      </c>
      <c r="O2280" t="n">
        <v>0.33</v>
      </c>
      <c r="P2280" t="n">
        <v>1</v>
      </c>
      <c r="Q2280" t="n">
        <v>0.14</v>
      </c>
      <c r="R2280" t="n">
        <v>1</v>
      </c>
      <c r="S2280" t="n">
        <v>11550</v>
      </c>
      <c r="T2280" t="n">
        <v>9</v>
      </c>
      <c r="U2280" t="n">
        <v>11</v>
      </c>
      <c r="V2280" t="n">
        <v>30</v>
      </c>
      <c r="W2280" t="n">
        <v>13</v>
      </c>
      <c r="X2280" t="n">
        <v>7.272727272727272</v>
      </c>
      <c r="Y2280" t="n">
        <v>1</v>
      </c>
      <c r="Z2280" t="n">
        <v>10</v>
      </c>
      <c r="AA2280" t="n">
        <v>1</v>
      </c>
      <c r="AB2280" t="n">
        <v>9</v>
      </c>
      <c r="AC2280" t="n">
        <v>9</v>
      </c>
      <c r="AD2280" t="n">
        <v>22448</v>
      </c>
      <c r="AE2280" t="n">
        <v>202032</v>
      </c>
      <c r="AF2280" t="n">
        <v>10674</v>
      </c>
      <c r="AG2280" t="n">
        <v>2378</v>
      </c>
      <c r="AH2280" t="inlineStr">
        <is>
          <t>PT. KURNIA MAJU PERKASA - PPN (PDG)</t>
        </is>
      </c>
      <c r="AI2280" t="n">
        <v>101</v>
      </c>
      <c r="AJ2280" t="inlineStr">
        <is>
          <t>MADAME GIE</t>
        </is>
      </c>
      <c r="AK2280" t="n">
        <v>9</v>
      </c>
      <c r="AL2280" t="inlineStr">
        <is>
          <t>Miss Glam Jambi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MADAME GIE</t>
        </is>
      </c>
      <c r="B2281" s="2">
        <f>"8994448831871"</f>
        <v/>
      </c>
      <c r="C2281" t="inlineStr">
        <is>
          <t>MADAME GIE Plump Balm 103 Juicier 2.5gr</t>
        </is>
      </c>
      <c r="D2281" t="inlineStr">
        <is>
          <t>Miss Glam Jambi</t>
        </is>
      </c>
      <c r="E2281" t="n">
        <v>4</v>
      </c>
      <c r="F2281" t="n">
        <v>0.1848</v>
      </c>
      <c r="G2281" t="n">
        <v>0.99</v>
      </c>
      <c r="H2281" t="n">
        <v>4</v>
      </c>
      <c r="I2281" t="n">
        <v>8</v>
      </c>
      <c r="J2281" t="n">
        <v>3</v>
      </c>
      <c r="K2281" t="n">
        <v>0</v>
      </c>
      <c r="L2281" t="n">
        <v>22448</v>
      </c>
      <c r="M2281" t="n">
        <v>28000</v>
      </c>
      <c r="N2281" t="n">
        <v>33</v>
      </c>
      <c r="O2281" t="n">
        <v>0.33</v>
      </c>
      <c r="P2281" t="n">
        <v>1</v>
      </c>
      <c r="Q2281" t="n">
        <v>0.05</v>
      </c>
      <c r="R2281" t="n">
        <v>1</v>
      </c>
      <c r="S2281" t="n">
        <v>5174.400000000001</v>
      </c>
      <c r="T2281" t="n">
        <v>8</v>
      </c>
      <c r="U2281" t="n">
        <v>9</v>
      </c>
      <c r="V2281" t="n">
        <v>30</v>
      </c>
      <c r="W2281" t="n">
        <v>6</v>
      </c>
      <c r="X2281" t="n">
        <v>21.64502164502164</v>
      </c>
      <c r="Y2281" t="n">
        <v>1</v>
      </c>
      <c r="Z2281" t="n">
        <v>2</v>
      </c>
      <c r="AA2281" t="n">
        <v>0</v>
      </c>
      <c r="AB2281" t="n">
        <v>2</v>
      </c>
      <c r="AC2281" t="n">
        <v>3</v>
      </c>
      <c r="AD2281" t="n">
        <v>0</v>
      </c>
      <c r="AE2281" t="n">
        <v>67344</v>
      </c>
      <c r="AF2281" t="n">
        <v>10674</v>
      </c>
      <c r="AG2281" t="n">
        <v>2378</v>
      </c>
      <c r="AH2281" t="inlineStr">
        <is>
          <t>PT. KURNIA MAJU PERKASA - PPN (PDG)</t>
        </is>
      </c>
      <c r="AI2281" t="n">
        <v>101</v>
      </c>
      <c r="AJ2281" t="inlineStr">
        <is>
          <t>MADAME GIE</t>
        </is>
      </c>
      <c r="AK2281" t="n">
        <v>9</v>
      </c>
      <c r="AL2281" t="inlineStr">
        <is>
          <t>Miss Glam Jambi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MADAME GIE</t>
        </is>
      </c>
      <c r="B2282" s="2">
        <f>"8994448831888"</f>
        <v/>
      </c>
      <c r="C2282" t="inlineStr">
        <is>
          <t>MADAME GIE Plump Balm 104 Tastier 2.5gr</t>
        </is>
      </c>
      <c r="D2282" t="inlineStr">
        <is>
          <t>Miss Glam Jambi</t>
        </is>
      </c>
      <c r="E2282" t="n">
        <v>3</v>
      </c>
      <c r="F2282" t="n">
        <v>0.2838</v>
      </c>
      <c r="G2282" t="n">
        <v>1.65</v>
      </c>
      <c r="H2282" t="n">
        <v>4</v>
      </c>
      <c r="I2282" t="n">
        <v>8</v>
      </c>
      <c r="J2282" t="n">
        <v>3</v>
      </c>
      <c r="K2282" t="n">
        <v>0</v>
      </c>
      <c r="L2282" t="n">
        <v>22448</v>
      </c>
      <c r="M2282" t="n">
        <v>28000</v>
      </c>
      <c r="N2282" t="n">
        <v>33</v>
      </c>
      <c r="O2282" t="n">
        <v>0.33</v>
      </c>
      <c r="P2282" t="n">
        <v>1</v>
      </c>
      <c r="Q2282" t="n">
        <v>0.05</v>
      </c>
      <c r="R2282" t="n">
        <v>1</v>
      </c>
      <c r="S2282" t="n">
        <v>7946.4</v>
      </c>
      <c r="T2282" t="n">
        <v>13</v>
      </c>
      <c r="U2282" t="n">
        <v>15</v>
      </c>
      <c r="V2282" t="n">
        <v>30</v>
      </c>
      <c r="W2282" t="n">
        <v>9</v>
      </c>
      <c r="X2282" t="n">
        <v>10.5708245243129</v>
      </c>
      <c r="Y2282" t="n">
        <v>1</v>
      </c>
      <c r="Z2282" t="n">
        <v>6</v>
      </c>
      <c r="AA2282" t="n">
        <v>0</v>
      </c>
      <c r="AB2282" t="n">
        <v>6</v>
      </c>
      <c r="AC2282" t="n">
        <v>6</v>
      </c>
      <c r="AD2282" t="n">
        <v>0</v>
      </c>
      <c r="AE2282" t="n">
        <v>134688</v>
      </c>
      <c r="AF2282" t="n">
        <v>10674</v>
      </c>
      <c r="AG2282" t="n">
        <v>2378</v>
      </c>
      <c r="AH2282" t="inlineStr">
        <is>
          <t>PT. KURNIA MAJU PERKASA - PPN (PDG)</t>
        </is>
      </c>
      <c r="AI2282" t="n">
        <v>101</v>
      </c>
      <c r="AJ2282" t="inlineStr">
        <is>
          <t>MADAME GIE</t>
        </is>
      </c>
      <c r="AK2282" t="n">
        <v>9</v>
      </c>
      <c r="AL2282" t="inlineStr">
        <is>
          <t>Miss Glam Jambi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MADAME GIE</t>
        </is>
      </c>
      <c r="B2283" s="2">
        <f>"20101210730"</f>
        <v/>
      </c>
      <c r="C2283" t="inlineStr">
        <is>
          <t>MADAME GIE Setting Spray Dewy 50ml</t>
        </is>
      </c>
      <c r="D2283" t="inlineStr">
        <is>
          <t>Miss Glam Jambi</t>
        </is>
      </c>
      <c r="E2283" t="n">
        <v>2</v>
      </c>
      <c r="F2283" t="n">
        <v>0.0231</v>
      </c>
      <c r="G2283" t="n">
        <v>0.66</v>
      </c>
      <c r="H2283" t="n">
        <v>4</v>
      </c>
      <c r="I2283" t="n">
        <v>8</v>
      </c>
      <c r="J2283" t="n">
        <v>1</v>
      </c>
      <c r="K2283" t="n">
        <v>0</v>
      </c>
      <c r="L2283" t="n">
        <v>26649</v>
      </c>
      <c r="M2283" t="n">
        <v>33000</v>
      </c>
      <c r="N2283" t="n">
        <v>33</v>
      </c>
      <c r="O2283" t="n">
        <v>0.33</v>
      </c>
      <c r="P2283" t="n">
        <v>1</v>
      </c>
      <c r="Q2283" t="n">
        <v>0.05</v>
      </c>
      <c r="R2283" t="n">
        <v>1</v>
      </c>
      <c r="S2283" t="n">
        <v>762.3000000000001</v>
      </c>
      <c r="T2283" t="n">
        <v>6</v>
      </c>
      <c r="U2283" t="n">
        <v>7</v>
      </c>
      <c r="V2283" t="n">
        <v>30</v>
      </c>
      <c r="W2283" t="n">
        <v>1</v>
      </c>
      <c r="X2283" t="n">
        <v>86.58008658008657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10674</v>
      </c>
      <c r="AG2283" t="n">
        <v>2378</v>
      </c>
      <c r="AH2283" t="inlineStr">
        <is>
          <t>PT. KURNIA MAJU PERKASA - PPN (PDG)</t>
        </is>
      </c>
      <c r="AI2283" t="n">
        <v>101</v>
      </c>
      <c r="AJ2283" t="inlineStr">
        <is>
          <t>MADAME GIE</t>
        </is>
      </c>
      <c r="AK2283" t="n">
        <v>9</v>
      </c>
      <c r="AL2283" t="inlineStr">
        <is>
          <t>Miss Glam Jambi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MADAME GIE</t>
        </is>
      </c>
      <c r="B2284" s="2">
        <f>"20101210621"</f>
        <v/>
      </c>
      <c r="C2284" t="inlineStr">
        <is>
          <t>MADAME GIE Setting Spray Matte 50ml</t>
        </is>
      </c>
      <c r="D2284" t="inlineStr">
        <is>
          <t>Miss Glam Jambi</t>
        </is>
      </c>
      <c r="E2284" t="n">
        <v>4</v>
      </c>
      <c r="F2284" t="n">
        <v>0.0264</v>
      </c>
      <c r="G2284" t="n">
        <v>0.33</v>
      </c>
      <c r="H2284" t="n">
        <v>4</v>
      </c>
      <c r="I2284" t="n">
        <v>8</v>
      </c>
      <c r="J2284" t="n">
        <v>1</v>
      </c>
      <c r="K2284" t="n">
        <v>0</v>
      </c>
      <c r="L2284" t="n">
        <v>26649</v>
      </c>
      <c r="M2284" t="n">
        <v>33000</v>
      </c>
      <c r="N2284" t="n">
        <v>33</v>
      </c>
      <c r="O2284" t="n">
        <v>0.33</v>
      </c>
      <c r="P2284" t="n">
        <v>1</v>
      </c>
      <c r="Q2284" t="n">
        <v>0.02</v>
      </c>
      <c r="R2284" t="n">
        <v>1</v>
      </c>
      <c r="S2284" t="n">
        <v>871.2000000000002</v>
      </c>
      <c r="T2284" t="n">
        <v>3</v>
      </c>
      <c r="U2284" t="n">
        <v>4</v>
      </c>
      <c r="V2284" t="n">
        <v>30</v>
      </c>
      <c r="W2284" t="n">
        <v>1</v>
      </c>
      <c r="X2284" t="n">
        <v>151.5151515151515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10674</v>
      </c>
      <c r="AG2284" t="n">
        <v>2378</v>
      </c>
      <c r="AH2284" t="inlineStr">
        <is>
          <t>PT. KURNIA MAJU PERKASA - PPN (PDG)</t>
        </is>
      </c>
      <c r="AI2284" t="n">
        <v>101</v>
      </c>
      <c r="AJ2284" t="inlineStr">
        <is>
          <t>MADAME GIE</t>
        </is>
      </c>
      <c r="AK2284" t="n">
        <v>9</v>
      </c>
      <c r="AL2284" t="inlineStr">
        <is>
          <t>Miss Glam Jambi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MADAME GIE</t>
        </is>
      </c>
      <c r="B2285" s="2">
        <f>"8997230678036"</f>
        <v/>
      </c>
      <c r="C2285" t="inlineStr">
        <is>
          <t>MADAME GIE You Peel Me Peeling Gel With Blueberry, Pomegranate And Starfruit 01 100gr</t>
        </is>
      </c>
      <c r="D2285" t="inlineStr">
        <is>
          <t>Miss Glam Jambi</t>
        </is>
      </c>
      <c r="E2285" t="n">
        <v>3</v>
      </c>
      <c r="F2285" t="n">
        <v>0.1551</v>
      </c>
      <c r="G2285" t="n">
        <v>1.32</v>
      </c>
      <c r="H2285" t="n">
        <v>4</v>
      </c>
      <c r="I2285" t="n">
        <v>8</v>
      </c>
      <c r="J2285" t="n">
        <v>3</v>
      </c>
      <c r="K2285" t="n">
        <v>0</v>
      </c>
      <c r="L2285" t="n">
        <v>15368</v>
      </c>
      <c r="M2285" t="n">
        <v>36500</v>
      </c>
      <c r="N2285" t="n">
        <v>33</v>
      </c>
      <c r="O2285" t="n">
        <v>0.33</v>
      </c>
      <c r="P2285" t="n">
        <v>1</v>
      </c>
      <c r="Q2285" t="n">
        <v>0.03</v>
      </c>
      <c r="R2285" t="n">
        <v>1</v>
      </c>
      <c r="S2285" t="n">
        <v>5661.15</v>
      </c>
      <c r="T2285" t="n">
        <v>10</v>
      </c>
      <c r="U2285" t="n">
        <v>11</v>
      </c>
      <c r="V2285" t="n">
        <v>30</v>
      </c>
      <c r="W2285" t="n">
        <v>5</v>
      </c>
      <c r="X2285" t="n">
        <v>19.34235976789168</v>
      </c>
      <c r="Y2285" t="n">
        <v>1</v>
      </c>
      <c r="Z2285" t="n">
        <v>2</v>
      </c>
      <c r="AA2285" t="n">
        <v>0</v>
      </c>
      <c r="AB2285" t="n">
        <v>2</v>
      </c>
      <c r="AC2285" t="n">
        <v>3</v>
      </c>
      <c r="AD2285" t="n">
        <v>0</v>
      </c>
      <c r="AE2285" t="n">
        <v>46104</v>
      </c>
      <c r="AF2285" t="n">
        <v>10674</v>
      </c>
      <c r="AG2285" t="n">
        <v>2378</v>
      </c>
      <c r="AH2285" t="inlineStr">
        <is>
          <t>PT. KURNIA MAJU PERKASA - PPN (PDG)</t>
        </is>
      </c>
      <c r="AI2285" t="n">
        <v>101</v>
      </c>
      <c r="AJ2285" t="inlineStr">
        <is>
          <t>MADAME GIE</t>
        </is>
      </c>
      <c r="AK2285" t="n">
        <v>9</v>
      </c>
      <c r="AL2285" t="inlineStr">
        <is>
          <t>Miss Glam Jambi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MADAME GIE</t>
        </is>
      </c>
      <c r="B2286" s="2">
        <f>"8997230678043"</f>
        <v/>
      </c>
      <c r="C2286" t="inlineStr">
        <is>
          <t>MADAME GIE You Peel Me Peeling Gel With Honey, Lemon And Edelweiss 02 100gr</t>
        </is>
      </c>
      <c r="D2286" t="inlineStr">
        <is>
          <t>Miss Glam Jambi</t>
        </is>
      </c>
      <c r="E2286" t="n">
        <v>0</v>
      </c>
      <c r="F2286" t="n">
        <v>0.033</v>
      </c>
      <c r="G2286" t="n">
        <v>0.66</v>
      </c>
      <c r="H2286" t="n">
        <v>4</v>
      </c>
      <c r="I2286" t="n">
        <v>8</v>
      </c>
      <c r="J2286" t="n">
        <v>3</v>
      </c>
      <c r="K2286" t="n">
        <v>0</v>
      </c>
      <c r="L2286" t="n">
        <v>14534</v>
      </c>
      <c r="M2286" t="n">
        <v>36500</v>
      </c>
      <c r="N2286" t="n">
        <v>33</v>
      </c>
      <c r="O2286" t="n">
        <v>0.33</v>
      </c>
      <c r="P2286" t="n">
        <v>1</v>
      </c>
      <c r="Q2286" t="n">
        <v>0.04</v>
      </c>
      <c r="R2286" t="n">
        <v>1</v>
      </c>
      <c r="S2286" t="n">
        <v>1204.5</v>
      </c>
      <c r="T2286" t="n">
        <v>6</v>
      </c>
      <c r="U2286" t="n">
        <v>7</v>
      </c>
      <c r="V2286" t="n">
        <v>30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14534</v>
      </c>
      <c r="AE2286" t="n">
        <v>0</v>
      </c>
      <c r="AF2286" t="n">
        <v>10674</v>
      </c>
      <c r="AG2286" t="n">
        <v>2378</v>
      </c>
      <c r="AH2286" t="inlineStr">
        <is>
          <t>PT. KURNIA MAJU PERKASA - PPN (PDG)</t>
        </is>
      </c>
      <c r="AI2286" t="n">
        <v>101</v>
      </c>
      <c r="AJ2286" t="inlineStr">
        <is>
          <t>MADAME GIE</t>
        </is>
      </c>
      <c r="AK2286" t="n">
        <v>9</v>
      </c>
      <c r="AL2286" t="inlineStr">
        <is>
          <t>Miss Glam Jambi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MAKARIZO</t>
        </is>
      </c>
      <c r="B2287" s="2">
        <f>"800142384118"</f>
        <v/>
      </c>
      <c r="C2287" t="inlineStr">
        <is>
          <t>MAKARIZO  Hair Energy Creambath Kiwi 60ml</t>
        </is>
      </c>
      <c r="D2287" t="inlineStr">
        <is>
          <t>Miss Glam Jambi</t>
        </is>
      </c>
      <c r="E2287" t="n">
        <v>6</v>
      </c>
      <c r="F2287" t="n">
        <v>0.3927</v>
      </c>
      <c r="G2287" t="n">
        <v>1.98</v>
      </c>
      <c r="H2287" t="n">
        <v>4</v>
      </c>
      <c r="I2287" t="n">
        <v>17</v>
      </c>
      <c r="J2287" t="n">
        <v>3</v>
      </c>
      <c r="K2287" t="n">
        <v>17</v>
      </c>
      <c r="L2287" t="n">
        <v>11640</v>
      </c>
      <c r="M2287" t="n">
        <v>14200</v>
      </c>
      <c r="N2287" t="n">
        <v>33</v>
      </c>
      <c r="O2287" t="n">
        <v>0.33</v>
      </c>
      <c r="P2287" t="n">
        <v>1</v>
      </c>
      <c r="Q2287" t="n">
        <v>0.12</v>
      </c>
      <c r="R2287" t="n">
        <v>2</v>
      </c>
      <c r="S2287" t="n">
        <v>5576.34</v>
      </c>
      <c r="T2287" t="n">
        <v>33</v>
      </c>
      <c r="U2287" t="n">
        <v>35</v>
      </c>
      <c r="V2287" t="n">
        <v>30</v>
      </c>
      <c r="W2287" t="n">
        <v>12</v>
      </c>
      <c r="X2287" t="n">
        <v>15.27883880825057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2266</v>
      </c>
      <c r="AG2287" t="n">
        <v>2602</v>
      </c>
      <c r="AH2287" t="inlineStr">
        <is>
          <t>PT. AKASHA INTERNATIONAL Tbk - PPN (PLB)</t>
        </is>
      </c>
      <c r="AI2287" t="n">
        <v>102</v>
      </c>
      <c r="AJ2287" t="inlineStr">
        <is>
          <t>MAKARIZO</t>
        </is>
      </c>
      <c r="AK2287" t="n">
        <v>9</v>
      </c>
      <c r="AL2287" t="inlineStr">
        <is>
          <t>Miss Glam Jambi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MAKARIZO</t>
        </is>
      </c>
      <c r="B2288" s="2">
        <f>"800142384262"</f>
        <v/>
      </c>
      <c r="C2288" t="inlineStr">
        <is>
          <t>MAKARIZO  Hair Energy Creambath Royal 30ml</t>
        </is>
      </c>
      <c r="D2288" t="inlineStr">
        <is>
          <t>Miss Glam Jambi</t>
        </is>
      </c>
      <c r="E2288" t="n">
        <v>28</v>
      </c>
      <c r="F2288" t="n">
        <v>2.0922</v>
      </c>
      <c r="G2288" t="n">
        <v>4.95</v>
      </c>
      <c r="H2288" t="n">
        <v>4</v>
      </c>
      <c r="I2288" t="n">
        <v>17</v>
      </c>
      <c r="J2288" t="n">
        <v>3</v>
      </c>
      <c r="K2288" t="n">
        <v>26</v>
      </c>
      <c r="L2288" t="n">
        <v>6207</v>
      </c>
      <c r="M2288" t="n">
        <v>7600</v>
      </c>
      <c r="N2288" t="n">
        <v>33</v>
      </c>
      <c r="O2288" t="n">
        <v>0.33</v>
      </c>
      <c r="P2288" t="n">
        <v>1</v>
      </c>
      <c r="Q2288" t="n">
        <v>0.46</v>
      </c>
      <c r="R2288" t="n">
        <v>3</v>
      </c>
      <c r="S2288" t="n">
        <v>15900.72</v>
      </c>
      <c r="T2288" t="n">
        <v>76</v>
      </c>
      <c r="U2288" t="n">
        <v>85</v>
      </c>
      <c r="V2288" t="n">
        <v>30</v>
      </c>
      <c r="W2288" t="n">
        <v>63</v>
      </c>
      <c r="X2288" t="n">
        <v>13.38304177420897</v>
      </c>
      <c r="Y2288" t="n">
        <v>1</v>
      </c>
      <c r="Z2288" t="n">
        <v>9</v>
      </c>
      <c r="AA2288" t="n">
        <v>7</v>
      </c>
      <c r="AB2288" t="n">
        <v>2</v>
      </c>
      <c r="AC2288" t="n">
        <v>3</v>
      </c>
      <c r="AD2288" t="n">
        <v>43449</v>
      </c>
      <c r="AE2288" t="n">
        <v>18621</v>
      </c>
      <c r="AF2288" t="n">
        <v>2266</v>
      </c>
      <c r="AG2288" t="n">
        <v>2602</v>
      </c>
      <c r="AH2288" t="inlineStr">
        <is>
          <t>PT. AKASHA INTERNATIONAL Tbk - PPN (PLB)</t>
        </is>
      </c>
      <c r="AI2288" t="n">
        <v>102</v>
      </c>
      <c r="AJ2288" t="inlineStr">
        <is>
          <t>MAKARIZO</t>
        </is>
      </c>
      <c r="AK2288" t="n">
        <v>9</v>
      </c>
      <c r="AL2288" t="inlineStr">
        <is>
          <t>Miss Glam Jambi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MAKARIZO</t>
        </is>
      </c>
      <c r="B2289" s="2">
        <f>"40200307241"</f>
        <v/>
      </c>
      <c r="C2289" t="inlineStr">
        <is>
          <t>MAKARIZO  T1 Techno Nature Protein Cream with Rosemary Oil Jar 50ml</t>
        </is>
      </c>
      <c r="D2289" t="inlineStr">
        <is>
          <t>Miss Glam Jambi</t>
        </is>
      </c>
      <c r="E2289" t="n">
        <v>9</v>
      </c>
      <c r="F2289" t="n">
        <v>0.2112</v>
      </c>
      <c r="G2289" t="n">
        <v>1.32</v>
      </c>
      <c r="H2289" t="n">
        <v>4</v>
      </c>
      <c r="I2289" t="n">
        <v>17</v>
      </c>
      <c r="J2289" t="n">
        <v>1</v>
      </c>
      <c r="K2289" t="n">
        <v>0</v>
      </c>
      <c r="L2289" t="n">
        <v>69840</v>
      </c>
      <c r="M2289" t="n">
        <v>85500</v>
      </c>
      <c r="N2289" t="n">
        <v>33</v>
      </c>
      <c r="O2289" t="n">
        <v>0.33</v>
      </c>
      <c r="P2289" t="n">
        <v>1</v>
      </c>
      <c r="Q2289" t="n">
        <v>0.15</v>
      </c>
      <c r="R2289" t="n">
        <v>1</v>
      </c>
      <c r="S2289" t="n">
        <v>18057.6</v>
      </c>
      <c r="T2289" t="n">
        <v>22</v>
      </c>
      <c r="U2289" t="n">
        <v>23</v>
      </c>
      <c r="V2289" t="n">
        <v>30</v>
      </c>
      <c r="W2289" t="n">
        <v>7</v>
      </c>
      <c r="X2289" t="n">
        <v>42.61363636363636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2266</v>
      </c>
      <c r="AG2289" t="n">
        <v>2602</v>
      </c>
      <c r="AH2289" t="inlineStr">
        <is>
          <t>PT. AKASHA INTERNATIONAL Tbk - PPN (PLB)</t>
        </is>
      </c>
      <c r="AI2289" t="n">
        <v>102</v>
      </c>
      <c r="AJ2289" t="inlineStr">
        <is>
          <t>MAKARIZO</t>
        </is>
      </c>
      <c r="AK2289" t="n">
        <v>9</v>
      </c>
      <c r="AL2289" t="inlineStr">
        <is>
          <t>Miss Glam Jambi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MAKARIZO</t>
        </is>
      </c>
      <c r="B2290" s="2">
        <f>"800142333031"</f>
        <v/>
      </c>
      <c r="C2290" t="inlineStr">
        <is>
          <t>MAKARIZO Advisor AntiFrizz Spray 70ml</t>
        </is>
      </c>
      <c r="D2290" t="inlineStr">
        <is>
          <t>Miss Glam Jambi</t>
        </is>
      </c>
      <c r="E2290" t="n">
        <v>13</v>
      </c>
      <c r="F2290" t="n">
        <v>0.1353</v>
      </c>
      <c r="G2290" t="n">
        <v>0.66</v>
      </c>
      <c r="H2290" t="n">
        <v>4</v>
      </c>
      <c r="I2290" t="n">
        <v>17</v>
      </c>
      <c r="J2290" t="n">
        <v>3</v>
      </c>
      <c r="K2290" t="n">
        <v>0</v>
      </c>
      <c r="L2290" t="n">
        <v>29585</v>
      </c>
      <c r="M2290" t="n">
        <v>36100</v>
      </c>
      <c r="N2290" t="n">
        <v>33</v>
      </c>
      <c r="O2290" t="n">
        <v>0.33</v>
      </c>
      <c r="P2290" t="n">
        <v>1</v>
      </c>
      <c r="Q2290" t="n">
        <v>0.05</v>
      </c>
      <c r="R2290" t="n">
        <v>1</v>
      </c>
      <c r="S2290" t="n">
        <v>4884.33</v>
      </c>
      <c r="T2290" t="n">
        <v>11</v>
      </c>
      <c r="U2290" t="n">
        <v>12</v>
      </c>
      <c r="V2290" t="n">
        <v>30</v>
      </c>
      <c r="W2290" t="n">
        <v>5</v>
      </c>
      <c r="X2290" t="n">
        <v>96.08277900960827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2266</v>
      </c>
      <c r="AG2290" t="n">
        <v>2602</v>
      </c>
      <c r="AH2290" t="inlineStr">
        <is>
          <t>PT. AKASHA INTERNATIONAL Tbk - PPN (PLB)</t>
        </is>
      </c>
      <c r="AI2290" t="n">
        <v>102</v>
      </c>
      <c r="AJ2290" t="inlineStr">
        <is>
          <t>MAKARIZO</t>
        </is>
      </c>
      <c r="AK2290" t="n">
        <v>9</v>
      </c>
      <c r="AL2290" t="inlineStr">
        <is>
          <t>Miss Glam Jambi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MAKARIZO</t>
        </is>
      </c>
      <c r="B2291" s="2">
        <f>"40100151920"</f>
        <v/>
      </c>
      <c r="C2291" t="inlineStr">
        <is>
          <t>MAKARIZO Advisor Dual Defence Shampoo Bottle 200ml</t>
        </is>
      </c>
      <c r="D2291" t="inlineStr">
        <is>
          <t>Miss Glam Jambi</t>
        </is>
      </c>
      <c r="E2291" t="n">
        <v>11</v>
      </c>
      <c r="F2291" t="n">
        <v>0.2673</v>
      </c>
      <c r="G2291" t="n">
        <v>1.32</v>
      </c>
      <c r="H2291" t="n">
        <v>4</v>
      </c>
      <c r="I2291" t="n">
        <v>17</v>
      </c>
      <c r="J2291" t="n">
        <v>1</v>
      </c>
      <c r="K2291" t="n">
        <v>0</v>
      </c>
      <c r="L2291" t="n">
        <v>72750</v>
      </c>
      <c r="M2291" t="n">
        <v>86000</v>
      </c>
      <c r="N2291" t="n">
        <v>33</v>
      </c>
      <c r="O2291" t="n">
        <v>0.33</v>
      </c>
      <c r="P2291" t="n">
        <v>1</v>
      </c>
      <c r="Q2291" t="n">
        <v>0.14</v>
      </c>
      <c r="R2291" t="n">
        <v>1</v>
      </c>
      <c r="S2291" t="n">
        <v>22987.8</v>
      </c>
      <c r="T2291" t="n">
        <v>22</v>
      </c>
      <c r="U2291" t="n">
        <v>24</v>
      </c>
      <c r="V2291" t="n">
        <v>30</v>
      </c>
      <c r="W2291" t="n">
        <v>9</v>
      </c>
      <c r="X2291" t="n">
        <v>41.15226337448559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2266</v>
      </c>
      <c r="AG2291" t="n">
        <v>2602</v>
      </c>
      <c r="AH2291" t="inlineStr">
        <is>
          <t>PT. AKASHA INTERNATIONAL Tbk - PPN (PLB)</t>
        </is>
      </c>
      <c r="AI2291" t="n">
        <v>102</v>
      </c>
      <c r="AJ2291" t="inlineStr">
        <is>
          <t>MAKARIZO</t>
        </is>
      </c>
      <c r="AK2291" t="n">
        <v>9</v>
      </c>
      <c r="AL2291" t="inlineStr">
        <is>
          <t>Miss Glam Jambi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MAKARIZO</t>
        </is>
      </c>
      <c r="B2292" s="2">
        <f>"800142202085"</f>
        <v/>
      </c>
      <c r="C2292" t="inlineStr">
        <is>
          <t>MAKARIZO Advisor Hair Recovery Vitamax 50ml</t>
        </is>
      </c>
      <c r="D2292" t="inlineStr">
        <is>
          <t>Miss Glam Jambi</t>
        </is>
      </c>
      <c r="E2292" t="n">
        <v>20</v>
      </c>
      <c r="F2292" t="n">
        <v>0.6830999999999999</v>
      </c>
      <c r="G2292" t="n">
        <v>2.64</v>
      </c>
      <c r="H2292" t="n">
        <v>4</v>
      </c>
      <c r="I2292" t="n">
        <v>17</v>
      </c>
      <c r="J2292" t="n">
        <v>3</v>
      </c>
      <c r="K2292" t="n">
        <v>0</v>
      </c>
      <c r="L2292" t="n">
        <v>40333</v>
      </c>
      <c r="M2292" t="n">
        <v>49300</v>
      </c>
      <c r="N2292" t="n">
        <v>33</v>
      </c>
      <c r="O2292" t="n">
        <v>0.33</v>
      </c>
      <c r="P2292" t="n">
        <v>1</v>
      </c>
      <c r="Q2292" t="n">
        <v>0.32</v>
      </c>
      <c r="R2292" t="n">
        <v>2</v>
      </c>
      <c r="S2292" t="n">
        <v>33676.82999999999</v>
      </c>
      <c r="T2292" t="n">
        <v>43</v>
      </c>
      <c r="U2292" t="n">
        <v>46</v>
      </c>
      <c r="V2292" t="n">
        <v>30</v>
      </c>
      <c r="W2292" t="n">
        <v>21</v>
      </c>
      <c r="X2292" t="n">
        <v>29.27829014785537</v>
      </c>
      <c r="Y2292" t="n">
        <v>1</v>
      </c>
      <c r="Z2292" t="n">
        <v>1</v>
      </c>
      <c r="AA2292" t="n">
        <v>0</v>
      </c>
      <c r="AB2292" t="n">
        <v>1</v>
      </c>
      <c r="AC2292" t="n">
        <v>3</v>
      </c>
      <c r="AD2292" t="n">
        <v>0</v>
      </c>
      <c r="AE2292" t="n">
        <v>120999</v>
      </c>
      <c r="AF2292" t="n">
        <v>2266</v>
      </c>
      <c r="AG2292" t="n">
        <v>2602</v>
      </c>
      <c r="AH2292" t="inlineStr">
        <is>
          <t>PT. AKASHA INTERNATIONAL Tbk - PPN (PLB)</t>
        </is>
      </c>
      <c r="AI2292" t="n">
        <v>102</v>
      </c>
      <c r="AJ2292" t="inlineStr">
        <is>
          <t>MAKARIZO</t>
        </is>
      </c>
      <c r="AK2292" t="n">
        <v>9</v>
      </c>
      <c r="AL2292" t="inlineStr">
        <is>
          <t>Miss Glam Jambi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MAKARIZO</t>
        </is>
      </c>
      <c r="B2293" s="2">
        <f>"800142106031"</f>
        <v/>
      </c>
      <c r="C2293" t="inlineStr">
        <is>
          <t>MAKARIZO Advisor Hair Recovery Vitamax 8ml</t>
        </is>
      </c>
      <c r="D2293" t="inlineStr">
        <is>
          <t>Miss Glam Jambi</t>
        </is>
      </c>
      <c r="E2293" t="n">
        <v>21</v>
      </c>
      <c r="F2293" t="n">
        <v>1.4487</v>
      </c>
      <c r="G2293" t="n">
        <v>3.63</v>
      </c>
      <c r="H2293" t="n">
        <v>4</v>
      </c>
      <c r="I2293" t="n">
        <v>17</v>
      </c>
      <c r="J2293" t="n">
        <v>3</v>
      </c>
      <c r="K2293" t="n">
        <v>29</v>
      </c>
      <c r="L2293" t="n">
        <v>7468</v>
      </c>
      <c r="M2293" t="n">
        <v>11000</v>
      </c>
      <c r="N2293" t="n">
        <v>33</v>
      </c>
      <c r="O2293" t="n">
        <v>0.33</v>
      </c>
      <c r="P2293" t="n">
        <v>1</v>
      </c>
      <c r="Q2293" t="n">
        <v>0.25</v>
      </c>
      <c r="R2293" t="n">
        <v>3</v>
      </c>
      <c r="S2293" t="n">
        <v>15935.7</v>
      </c>
      <c r="T2293" t="n">
        <v>56</v>
      </c>
      <c r="U2293" t="n">
        <v>62</v>
      </c>
      <c r="V2293" t="n">
        <v>30</v>
      </c>
      <c r="W2293" t="n">
        <v>44</v>
      </c>
      <c r="X2293" t="n">
        <v>14.49575481466142</v>
      </c>
      <c r="Y2293" t="n">
        <v>1</v>
      </c>
      <c r="Z2293" t="n">
        <v>0</v>
      </c>
      <c r="AA2293" t="n">
        <v>3</v>
      </c>
      <c r="AB2293" t="n">
        <v>0</v>
      </c>
      <c r="AC2293" t="n">
        <v>0</v>
      </c>
      <c r="AD2293" t="n">
        <v>22404</v>
      </c>
      <c r="AE2293" t="n">
        <v>0</v>
      </c>
      <c r="AF2293" t="n">
        <v>2266</v>
      </c>
      <c r="AG2293" t="n">
        <v>2602</v>
      </c>
      <c r="AH2293" t="inlineStr">
        <is>
          <t>PT. AKASHA INTERNATIONAL Tbk - PPN (PLB)</t>
        </is>
      </c>
      <c r="AI2293" t="n">
        <v>102</v>
      </c>
      <c r="AJ2293" t="inlineStr">
        <is>
          <t>MAKARIZO</t>
        </is>
      </c>
      <c r="AK2293" t="n">
        <v>9</v>
      </c>
      <c r="AL2293" t="inlineStr">
        <is>
          <t>Miss Glam Jambi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MAKARIZO</t>
        </is>
      </c>
      <c r="B2294" s="2">
        <f>"800142202115"</f>
        <v/>
      </c>
      <c r="C2294" t="inlineStr">
        <is>
          <t>MAKARIZO Advisor Hair Recovery Vitamax Isi 3 Pcs @ 8Ml</t>
        </is>
      </c>
      <c r="D2294" t="inlineStr">
        <is>
          <t>Miss Glam Jambi</t>
        </is>
      </c>
      <c r="E2294" t="n">
        <v>17</v>
      </c>
      <c r="F2294" t="n">
        <v>0.2178</v>
      </c>
      <c r="G2294" t="n">
        <v>0.99</v>
      </c>
      <c r="H2294" t="n">
        <v>4</v>
      </c>
      <c r="I2294" t="n">
        <v>17</v>
      </c>
      <c r="J2294" t="n">
        <v>3</v>
      </c>
      <c r="K2294" t="n">
        <v>0</v>
      </c>
      <c r="L2294" t="n">
        <v>25026</v>
      </c>
      <c r="M2294" t="n">
        <v>30600</v>
      </c>
      <c r="N2294" t="n">
        <v>33</v>
      </c>
      <c r="O2294" t="n">
        <v>0.33</v>
      </c>
      <c r="P2294" t="n">
        <v>1</v>
      </c>
      <c r="Q2294" t="n">
        <v>0.32</v>
      </c>
      <c r="R2294" t="n">
        <v>3</v>
      </c>
      <c r="S2294" t="n">
        <v>6664.68</v>
      </c>
      <c r="T2294" t="n">
        <v>16</v>
      </c>
      <c r="U2294" t="n">
        <v>17</v>
      </c>
      <c r="V2294" t="n">
        <v>30</v>
      </c>
      <c r="W2294" t="n">
        <v>7</v>
      </c>
      <c r="X2294" t="n">
        <v>78.05325987144168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2266</v>
      </c>
      <c r="AG2294" t="n">
        <v>2602</v>
      </c>
      <c r="AH2294" t="inlineStr">
        <is>
          <t>PT. AKASHA INTERNATIONAL Tbk - PPN (PLB)</t>
        </is>
      </c>
      <c r="AI2294" t="n">
        <v>102</v>
      </c>
      <c r="AJ2294" t="inlineStr">
        <is>
          <t>MAKARIZO</t>
        </is>
      </c>
      <c r="AK2294" t="n">
        <v>9</v>
      </c>
      <c r="AL2294" t="inlineStr">
        <is>
          <t>Miss Glam Jambi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MAKARIZO</t>
        </is>
      </c>
      <c r="B2295" s="2">
        <f>"800142386099"</f>
        <v/>
      </c>
      <c r="C2295" t="inlineStr">
        <is>
          <t>MAKARIZO Advisor Hair Scalp 150ml</t>
        </is>
      </c>
      <c r="D2295" t="inlineStr">
        <is>
          <t>Miss Glam Jambi</t>
        </is>
      </c>
      <c r="E2295" t="n">
        <v>10</v>
      </c>
      <c r="F2295" t="n">
        <v>0.1749</v>
      </c>
      <c r="G2295" t="n">
        <v>0.66</v>
      </c>
      <c r="H2295" t="n">
        <v>4</v>
      </c>
      <c r="I2295" t="n">
        <v>17</v>
      </c>
      <c r="J2295" t="n">
        <v>3</v>
      </c>
      <c r="K2295" t="n">
        <v>0</v>
      </c>
      <c r="L2295" t="n">
        <v>49373</v>
      </c>
      <c r="M2295" t="n">
        <v>60000</v>
      </c>
      <c r="N2295" t="n">
        <v>33</v>
      </c>
      <c r="O2295" t="n">
        <v>0.33</v>
      </c>
      <c r="P2295" t="n">
        <v>1</v>
      </c>
      <c r="Q2295" t="n">
        <v>0.14</v>
      </c>
      <c r="R2295" t="n">
        <v>1</v>
      </c>
      <c r="S2295" t="n">
        <v>10494</v>
      </c>
      <c r="T2295" t="n">
        <v>11</v>
      </c>
      <c r="U2295" t="n">
        <v>12</v>
      </c>
      <c r="V2295" t="n">
        <v>30</v>
      </c>
      <c r="W2295" t="n">
        <v>6</v>
      </c>
      <c r="X2295" t="n">
        <v>57.17552887364207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2266</v>
      </c>
      <c r="AG2295" t="n">
        <v>2602</v>
      </c>
      <c r="AH2295" t="inlineStr">
        <is>
          <t>PT. AKASHA INTERNATIONAL Tbk - PPN (PLB)</t>
        </is>
      </c>
      <c r="AI2295" t="n">
        <v>102</v>
      </c>
      <c r="AJ2295" t="inlineStr">
        <is>
          <t>MAKARIZO</t>
        </is>
      </c>
      <c r="AK2295" t="n">
        <v>9</v>
      </c>
      <c r="AL2295" t="inlineStr">
        <is>
          <t>Miss Glam Jambi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MAKARIZO</t>
        </is>
      </c>
      <c r="B2296" s="2">
        <f>"800142384651"</f>
        <v/>
      </c>
      <c r="C2296" t="inlineStr">
        <is>
          <t>MAKARIZO Energy Olive Oil Creambath 30ml</t>
        </is>
      </c>
      <c r="D2296" t="inlineStr">
        <is>
          <t>Miss Glam Jambi</t>
        </is>
      </c>
      <c r="E2296" t="n">
        <v>29</v>
      </c>
      <c r="F2296" t="n">
        <v>0.6765</v>
      </c>
      <c r="G2296" t="n">
        <v>2.31</v>
      </c>
      <c r="H2296" t="n">
        <v>4</v>
      </c>
      <c r="I2296" t="n">
        <v>17</v>
      </c>
      <c r="J2296" t="n">
        <v>3</v>
      </c>
      <c r="K2296" t="n">
        <v>0</v>
      </c>
      <c r="L2296" t="n">
        <v>6208</v>
      </c>
      <c r="M2296" t="n">
        <v>7600</v>
      </c>
      <c r="N2296" t="n">
        <v>33</v>
      </c>
      <c r="O2296" t="n">
        <v>0.33</v>
      </c>
      <c r="P2296" t="n">
        <v>1</v>
      </c>
      <c r="Q2296" t="n">
        <v>0.27</v>
      </c>
      <c r="R2296" t="n">
        <v>5</v>
      </c>
      <c r="S2296" t="n">
        <v>5141.4</v>
      </c>
      <c r="T2296" t="n">
        <v>37</v>
      </c>
      <c r="U2296" t="n">
        <v>40</v>
      </c>
      <c r="V2296" t="n">
        <v>30</v>
      </c>
      <c r="W2296" t="n">
        <v>21</v>
      </c>
      <c r="X2296" t="n">
        <v>42.86770140428677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2266</v>
      </c>
      <c r="AG2296" t="n">
        <v>2602</v>
      </c>
      <c r="AH2296" t="inlineStr">
        <is>
          <t>PT. AKASHA INTERNATIONAL Tbk - PPN (PLB)</t>
        </is>
      </c>
      <c r="AI2296" t="n">
        <v>102</v>
      </c>
      <c r="AJ2296" t="inlineStr">
        <is>
          <t>MAKARIZO</t>
        </is>
      </c>
      <c r="AK2296" t="n">
        <v>9</v>
      </c>
      <c r="AL2296" t="inlineStr">
        <is>
          <t>Miss Glam Jambi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MAKARIZO</t>
        </is>
      </c>
      <c r="B2297" s="2">
        <f>"8992982401772"</f>
        <v/>
      </c>
      <c r="C2297" t="inlineStr">
        <is>
          <t>MAKARIZO Hair Enargy Vitaglitz Hair Serum Royal Jelly 20x1ml</t>
        </is>
      </c>
      <c r="D2297" t="inlineStr">
        <is>
          <t>Miss Glam Jambi</t>
        </is>
      </c>
      <c r="E2297" t="n">
        <v>25</v>
      </c>
      <c r="F2297" t="n">
        <v>0.66</v>
      </c>
      <c r="G2297" t="n">
        <v>3</v>
      </c>
      <c r="H2297" t="n">
        <v>4</v>
      </c>
      <c r="I2297" t="n">
        <v>17</v>
      </c>
      <c r="J2297" t="n">
        <v>3</v>
      </c>
      <c r="K2297" t="n">
        <v>0</v>
      </c>
      <c r="L2297" t="n">
        <v>19516</v>
      </c>
      <c r="M2297" t="n">
        <v>21500</v>
      </c>
      <c r="N2297" t="n">
        <v>33</v>
      </c>
      <c r="O2297" t="n">
        <v>0.33</v>
      </c>
      <c r="P2297" t="n">
        <v>0</v>
      </c>
      <c r="Q2297" t="n">
        <v>0.66</v>
      </c>
      <c r="R2297" t="n">
        <v>3</v>
      </c>
      <c r="S2297" t="n">
        <v>14190</v>
      </c>
      <c r="T2297" t="n">
        <v>49</v>
      </c>
      <c r="U2297" t="n">
        <v>52</v>
      </c>
      <c r="V2297" t="n">
        <v>30</v>
      </c>
      <c r="W2297" t="n">
        <v>20</v>
      </c>
      <c r="X2297" t="n">
        <v>37.87878787878788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2266</v>
      </c>
      <c r="AG2297" t="n">
        <v>2602</v>
      </c>
      <c r="AH2297" t="inlineStr">
        <is>
          <t>PT. AKASHA INTERNATIONAL Tbk - PPN (PLB)</t>
        </is>
      </c>
      <c r="AI2297" t="n">
        <v>102</v>
      </c>
      <c r="AJ2297" t="inlineStr">
        <is>
          <t>MAKARIZO</t>
        </is>
      </c>
      <c r="AK2297" t="n">
        <v>9</v>
      </c>
      <c r="AL2297" t="inlineStr">
        <is>
          <t>Miss Glam Jambi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MAKARIZO</t>
        </is>
      </c>
      <c r="B2298" s="2">
        <f>"800142384408"</f>
        <v/>
      </c>
      <c r="C2298" t="inlineStr">
        <is>
          <t>MAKARIZO Hair Energy Cherry 100ml</t>
        </is>
      </c>
      <c r="D2298" t="inlineStr">
        <is>
          <t>Miss Glam Jambi</t>
        </is>
      </c>
      <c r="E2298" t="n">
        <v>18</v>
      </c>
      <c r="F2298" t="n">
        <v>0.8052</v>
      </c>
      <c r="G2298" t="n">
        <v>2.64</v>
      </c>
      <c r="H2298" t="n">
        <v>4</v>
      </c>
      <c r="I2298" t="n">
        <v>17</v>
      </c>
      <c r="J2298" t="n">
        <v>3</v>
      </c>
      <c r="K2298" t="n">
        <v>7</v>
      </c>
      <c r="L2298" t="n">
        <v>20811</v>
      </c>
      <c r="M2298" t="n">
        <v>28000</v>
      </c>
      <c r="N2298" t="n">
        <v>33</v>
      </c>
      <c r="O2298" t="n">
        <v>0.33</v>
      </c>
      <c r="P2298" t="n">
        <v>1</v>
      </c>
      <c r="Q2298" t="n">
        <v>0.05</v>
      </c>
      <c r="R2298" t="n">
        <v>1</v>
      </c>
      <c r="S2298" t="n">
        <v>22545.6</v>
      </c>
      <c r="T2298" t="n">
        <v>42</v>
      </c>
      <c r="U2298" t="n">
        <v>46</v>
      </c>
      <c r="V2298" t="n">
        <v>30</v>
      </c>
      <c r="W2298" t="n">
        <v>25</v>
      </c>
      <c r="X2298" t="n">
        <v>22.35469448584202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2266</v>
      </c>
      <c r="AG2298" t="n">
        <v>2602</v>
      </c>
      <c r="AH2298" t="inlineStr">
        <is>
          <t>PT. AKASHA INTERNATIONAL Tbk - PPN (PLB)</t>
        </is>
      </c>
      <c r="AI2298" t="n">
        <v>102</v>
      </c>
      <c r="AJ2298" t="inlineStr">
        <is>
          <t>MAKARIZO</t>
        </is>
      </c>
      <c r="AK2298" t="n">
        <v>9</v>
      </c>
      <c r="AL2298" t="inlineStr">
        <is>
          <t>Miss Glam Jambi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MAKARIZO</t>
        </is>
      </c>
      <c r="B2299" s="2">
        <f>"800142384248"</f>
        <v/>
      </c>
      <c r="C2299" t="inlineStr">
        <is>
          <t>MAKARIZO Hair Energy Creambath Aloe 30ml</t>
        </is>
      </c>
      <c r="D2299" t="inlineStr">
        <is>
          <t>Miss Glam Jambi</t>
        </is>
      </c>
      <c r="E2299" t="n">
        <v>24</v>
      </c>
      <c r="F2299" t="n">
        <v>1.5477</v>
      </c>
      <c r="G2299" t="n">
        <v>4.29</v>
      </c>
      <c r="H2299" t="n">
        <v>4</v>
      </c>
      <c r="I2299" t="n">
        <v>17</v>
      </c>
      <c r="J2299" t="n">
        <v>3</v>
      </c>
      <c r="K2299" t="n">
        <v>19</v>
      </c>
      <c r="L2299" t="n">
        <v>6207</v>
      </c>
      <c r="M2299" t="n">
        <v>7600</v>
      </c>
      <c r="N2299" t="n">
        <v>33</v>
      </c>
      <c r="O2299" t="n">
        <v>0.33</v>
      </c>
      <c r="P2299" t="n">
        <v>1</v>
      </c>
      <c r="Q2299" t="n">
        <v>0.39</v>
      </c>
      <c r="R2299" t="n">
        <v>4</v>
      </c>
      <c r="S2299" t="n">
        <v>11762.52</v>
      </c>
      <c r="T2299" t="n">
        <v>67</v>
      </c>
      <c r="U2299" t="n">
        <v>74</v>
      </c>
      <c r="V2299" t="n">
        <v>30</v>
      </c>
      <c r="W2299" t="n">
        <v>47</v>
      </c>
      <c r="X2299" t="n">
        <v>15.50688117852297</v>
      </c>
      <c r="Y2299" t="n">
        <v>1</v>
      </c>
      <c r="Z2299" t="n">
        <v>4</v>
      </c>
      <c r="AA2299" t="n">
        <v>2</v>
      </c>
      <c r="AB2299" t="n">
        <v>2</v>
      </c>
      <c r="AC2299" t="n">
        <v>3</v>
      </c>
      <c r="AD2299" t="n">
        <v>12414</v>
      </c>
      <c r="AE2299" t="n">
        <v>18621</v>
      </c>
      <c r="AF2299" t="n">
        <v>2266</v>
      </c>
      <c r="AG2299" t="n">
        <v>2602</v>
      </c>
      <c r="AH2299" t="inlineStr">
        <is>
          <t>PT. AKASHA INTERNATIONAL Tbk - PPN (PLB)</t>
        </is>
      </c>
      <c r="AI2299" t="n">
        <v>102</v>
      </c>
      <c r="AJ2299" t="inlineStr">
        <is>
          <t>MAKARIZO</t>
        </is>
      </c>
      <c r="AK2299" t="n">
        <v>9</v>
      </c>
      <c r="AL2299" t="inlineStr">
        <is>
          <t>Miss Glam Jambi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MAKARIZO</t>
        </is>
      </c>
      <c r="B2300" s="2">
        <f>"800142384101"</f>
        <v/>
      </c>
      <c r="C2300" t="inlineStr">
        <is>
          <t>MAKARIZO Hair Energy Creambath Aloe 60gr</t>
        </is>
      </c>
      <c r="D2300" t="inlineStr">
        <is>
          <t>Miss Glam Jambi</t>
        </is>
      </c>
      <c r="E2300" t="n">
        <v>5</v>
      </c>
      <c r="F2300" t="n">
        <v>0.8514</v>
      </c>
      <c r="G2300" t="n">
        <v>3.3</v>
      </c>
      <c r="H2300" t="n">
        <v>4</v>
      </c>
      <c r="I2300" t="n">
        <v>17</v>
      </c>
      <c r="J2300" t="n">
        <v>3</v>
      </c>
      <c r="K2300" t="n">
        <v>35</v>
      </c>
      <c r="L2300" t="n">
        <v>11640</v>
      </c>
      <c r="M2300" t="n">
        <v>14200</v>
      </c>
      <c r="N2300" t="n">
        <v>33</v>
      </c>
      <c r="O2300" t="n">
        <v>0.33</v>
      </c>
      <c r="P2300" t="n">
        <v>1</v>
      </c>
      <c r="Q2300" t="n">
        <v>0.25</v>
      </c>
      <c r="R2300" t="n">
        <v>5</v>
      </c>
      <c r="S2300" t="n">
        <v>12089.88</v>
      </c>
      <c r="T2300" t="n">
        <v>53</v>
      </c>
      <c r="U2300" t="n">
        <v>57</v>
      </c>
      <c r="V2300" t="n">
        <v>30</v>
      </c>
      <c r="W2300" t="n">
        <v>26</v>
      </c>
      <c r="X2300" t="n">
        <v>5.872680291284942</v>
      </c>
      <c r="Y2300" t="n">
        <v>1</v>
      </c>
      <c r="Z2300" t="n">
        <v>0</v>
      </c>
      <c r="AA2300" t="n">
        <v>9</v>
      </c>
      <c r="AB2300" t="n">
        <v>0</v>
      </c>
      <c r="AC2300" t="n">
        <v>0</v>
      </c>
      <c r="AD2300" t="n">
        <v>104760</v>
      </c>
      <c r="AE2300" t="n">
        <v>0</v>
      </c>
      <c r="AF2300" t="n">
        <v>2266</v>
      </c>
      <c r="AG2300" t="n">
        <v>2602</v>
      </c>
      <c r="AH2300" t="inlineStr">
        <is>
          <t>PT. AKASHA INTERNATIONAL Tbk - PPN (PLB)</t>
        </is>
      </c>
      <c r="AI2300" t="n">
        <v>102</v>
      </c>
      <c r="AJ2300" t="inlineStr">
        <is>
          <t>MAKARIZO</t>
        </is>
      </c>
      <c r="AK2300" t="n">
        <v>9</v>
      </c>
      <c r="AL2300" t="inlineStr">
        <is>
          <t>Miss Glam Jambi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MAKARIZO</t>
        </is>
      </c>
      <c r="B2301" s="2">
        <f>"800142384255"</f>
        <v/>
      </c>
      <c r="C2301" t="inlineStr">
        <is>
          <t>MAKARIZO Hair Energy Creambath Kiwi 30ml</t>
        </is>
      </c>
      <c r="D2301" t="inlineStr">
        <is>
          <t>Miss Glam Jambi</t>
        </is>
      </c>
      <c r="E2301" t="n">
        <v>29</v>
      </c>
      <c r="F2301" t="n">
        <v>0.6369</v>
      </c>
      <c r="G2301" t="n">
        <v>1.65</v>
      </c>
      <c r="H2301" t="n">
        <v>4</v>
      </c>
      <c r="I2301" t="n">
        <v>17</v>
      </c>
      <c r="J2301" t="n">
        <v>3</v>
      </c>
      <c r="K2301" t="n">
        <v>0</v>
      </c>
      <c r="L2301" t="n">
        <v>6204</v>
      </c>
      <c r="M2301" t="n">
        <v>7600</v>
      </c>
      <c r="N2301" t="n">
        <v>33</v>
      </c>
      <c r="O2301" t="n">
        <v>0.33</v>
      </c>
      <c r="P2301" t="n">
        <v>1</v>
      </c>
      <c r="Q2301" t="n">
        <v>0.24</v>
      </c>
      <c r="R2301" t="n">
        <v>6</v>
      </c>
      <c r="S2301" t="n">
        <v>4840.440000000001</v>
      </c>
      <c r="T2301" t="n">
        <v>26</v>
      </c>
      <c r="U2301" t="n">
        <v>29</v>
      </c>
      <c r="V2301" t="n">
        <v>30</v>
      </c>
      <c r="W2301" t="n">
        <v>20</v>
      </c>
      <c r="X2301" t="n">
        <v>45.53305071439787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2266</v>
      </c>
      <c r="AG2301" t="n">
        <v>2602</v>
      </c>
      <c r="AH2301" t="inlineStr">
        <is>
          <t>PT. AKASHA INTERNATIONAL Tbk - PPN (PLB)</t>
        </is>
      </c>
      <c r="AI2301" t="n">
        <v>102</v>
      </c>
      <c r="AJ2301" t="inlineStr">
        <is>
          <t>MAKARIZO</t>
        </is>
      </c>
      <c r="AK2301" t="n">
        <v>9</v>
      </c>
      <c r="AL2301" t="inlineStr">
        <is>
          <t>Miss Glam Jambi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MAKARIZO</t>
        </is>
      </c>
      <c r="B2302" s="2">
        <f>"800142384613"</f>
        <v/>
      </c>
      <c r="C2302" t="inlineStr">
        <is>
          <t>MAKARIZO Hair Energy Creambath Olive 60ml</t>
        </is>
      </c>
      <c r="D2302" t="inlineStr">
        <is>
          <t>Miss Glam Jambi</t>
        </is>
      </c>
      <c r="E2302" t="n">
        <v>10</v>
      </c>
      <c r="F2302" t="n">
        <v>0.3696</v>
      </c>
      <c r="G2302" t="n">
        <v>1.32</v>
      </c>
      <c r="H2302" t="n">
        <v>4</v>
      </c>
      <c r="I2302" t="n">
        <v>17</v>
      </c>
      <c r="J2302" t="n">
        <v>3</v>
      </c>
      <c r="K2302" t="n">
        <v>3</v>
      </c>
      <c r="L2302" t="n">
        <v>11640</v>
      </c>
      <c r="M2302" t="n">
        <v>14200</v>
      </c>
      <c r="N2302" t="n">
        <v>33</v>
      </c>
      <c r="O2302" t="n">
        <v>0.33</v>
      </c>
      <c r="P2302" t="n">
        <v>1</v>
      </c>
      <c r="Q2302" t="n">
        <v>0.07000000000000001</v>
      </c>
      <c r="R2302" t="n">
        <v>1</v>
      </c>
      <c r="S2302" t="n">
        <v>5248.320000000001</v>
      </c>
      <c r="T2302" t="n">
        <v>21</v>
      </c>
      <c r="U2302" t="n">
        <v>23</v>
      </c>
      <c r="V2302" t="n">
        <v>30</v>
      </c>
      <c r="W2302" t="n">
        <v>12</v>
      </c>
      <c r="X2302" t="n">
        <v>27.05627705627705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2266</v>
      </c>
      <c r="AG2302" t="n">
        <v>2602</v>
      </c>
      <c r="AH2302" t="inlineStr">
        <is>
          <t>PT. AKASHA INTERNATIONAL Tbk - PPN (PLB)</t>
        </is>
      </c>
      <c r="AI2302" t="n">
        <v>102</v>
      </c>
      <c r="AJ2302" t="inlineStr">
        <is>
          <t>MAKARIZO</t>
        </is>
      </c>
      <c r="AK2302" t="n">
        <v>9</v>
      </c>
      <c r="AL2302" t="inlineStr">
        <is>
          <t>Miss Glam Jambi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MAKARIZO</t>
        </is>
      </c>
      <c r="B2303" s="2">
        <f>"800142384125"</f>
        <v/>
      </c>
      <c r="C2303" t="inlineStr">
        <is>
          <t>MAKARIZO Hair Energy Creambath Royal Jelly Ectract 60ml</t>
        </is>
      </c>
      <c r="D2303" t="inlineStr">
        <is>
          <t>Miss Glam Jambi</t>
        </is>
      </c>
      <c r="E2303" t="n">
        <v>14</v>
      </c>
      <c r="F2303" t="n">
        <v>1.2705</v>
      </c>
      <c r="G2303" t="n">
        <v>4.95</v>
      </c>
      <c r="H2303" t="n">
        <v>4</v>
      </c>
      <c r="I2303" t="n">
        <v>17</v>
      </c>
      <c r="J2303" t="n">
        <v>3</v>
      </c>
      <c r="K2303" t="n">
        <v>16</v>
      </c>
      <c r="L2303" t="n">
        <v>11640</v>
      </c>
      <c r="M2303" t="n">
        <v>14200</v>
      </c>
      <c r="N2303" t="n">
        <v>33</v>
      </c>
      <c r="O2303" t="n">
        <v>0.33</v>
      </c>
      <c r="P2303" t="n">
        <v>1</v>
      </c>
      <c r="Q2303" t="n">
        <v>0.29</v>
      </c>
      <c r="R2303" t="n">
        <v>3</v>
      </c>
      <c r="S2303" t="n">
        <v>18041.1</v>
      </c>
      <c r="T2303" t="n">
        <v>80</v>
      </c>
      <c r="U2303" t="n">
        <v>86</v>
      </c>
      <c r="V2303" t="n">
        <v>30</v>
      </c>
      <c r="W2303" t="n">
        <v>39</v>
      </c>
      <c r="X2303" t="n">
        <v>11.01928374655647</v>
      </c>
      <c r="Y2303" t="n">
        <v>1</v>
      </c>
      <c r="Z2303" t="n">
        <v>9</v>
      </c>
      <c r="AA2303" t="n">
        <v>7</v>
      </c>
      <c r="AB2303" t="n">
        <v>2</v>
      </c>
      <c r="AC2303" t="n">
        <v>3</v>
      </c>
      <c r="AD2303" t="n">
        <v>81480</v>
      </c>
      <c r="AE2303" t="n">
        <v>34920</v>
      </c>
      <c r="AF2303" t="n">
        <v>2266</v>
      </c>
      <c r="AG2303" t="n">
        <v>2602</v>
      </c>
      <c r="AH2303" t="inlineStr">
        <is>
          <t>PT. AKASHA INTERNATIONAL Tbk - PPN (PLB)</t>
        </is>
      </c>
      <c r="AI2303" t="n">
        <v>102</v>
      </c>
      <c r="AJ2303" t="inlineStr">
        <is>
          <t>MAKARIZO</t>
        </is>
      </c>
      <c r="AK2303" t="n">
        <v>9</v>
      </c>
      <c r="AL2303" t="inlineStr">
        <is>
          <t>Miss Glam Jambi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MAKARIZO</t>
        </is>
      </c>
      <c r="B2304" s="2">
        <f>"8992982400027"</f>
        <v/>
      </c>
      <c r="C2304" t="inlineStr">
        <is>
          <t>MAKARIZO Hair Energy Easy Medium 120 gr</t>
        </is>
      </c>
      <c r="D2304" t="inlineStr">
        <is>
          <t>Miss Glam Jambi</t>
        </is>
      </c>
      <c r="E2304" t="n">
        <v>4</v>
      </c>
      <c r="F2304" t="n">
        <v>0.0396</v>
      </c>
      <c r="G2304" t="n">
        <v>0.33</v>
      </c>
      <c r="H2304" t="n">
        <v>4</v>
      </c>
      <c r="I2304" t="n">
        <v>17</v>
      </c>
      <c r="J2304" t="n">
        <v>3</v>
      </c>
      <c r="K2304" t="n">
        <v>0</v>
      </c>
      <c r="L2304" t="n">
        <v>27645</v>
      </c>
      <c r="M2304" t="n">
        <v>33800</v>
      </c>
      <c r="N2304" t="n">
        <v>33</v>
      </c>
      <c r="O2304" t="n">
        <v>0.33</v>
      </c>
      <c r="P2304" t="n">
        <v>1</v>
      </c>
      <c r="Q2304" t="n">
        <v>0.03</v>
      </c>
      <c r="R2304" t="n">
        <v>1</v>
      </c>
      <c r="S2304" t="n">
        <v>1338.48</v>
      </c>
      <c r="T2304" t="n">
        <v>6</v>
      </c>
      <c r="U2304" t="n">
        <v>7</v>
      </c>
      <c r="V2304" t="n">
        <v>30</v>
      </c>
      <c r="W2304" t="n">
        <v>2</v>
      </c>
      <c r="X2304" t="n">
        <v>101.010101010101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2266</v>
      </c>
      <c r="AG2304" t="n">
        <v>2602</v>
      </c>
      <c r="AH2304" t="inlineStr">
        <is>
          <t>PT. AKASHA INTERNATIONAL Tbk - PPN (PLB)</t>
        </is>
      </c>
      <c r="AI2304" t="n">
        <v>102</v>
      </c>
      <c r="AJ2304" t="inlineStr">
        <is>
          <t>MAKARIZO</t>
        </is>
      </c>
      <c r="AK2304" t="n">
        <v>9</v>
      </c>
      <c r="AL2304" t="inlineStr">
        <is>
          <t>Miss Glam Jambi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MAKARIZO</t>
        </is>
      </c>
      <c r="B2305" s="2">
        <f>"8992982400041"</f>
        <v/>
      </c>
      <c r="C2305" t="inlineStr">
        <is>
          <t>MAKARIZO Hair Energy Easy Straight Mild 80ml</t>
        </is>
      </c>
      <c r="D2305" t="inlineStr">
        <is>
          <t>Miss Glam Jambi</t>
        </is>
      </c>
      <c r="E2305" t="n">
        <v>9</v>
      </c>
      <c r="F2305" t="n">
        <v>0.1221</v>
      </c>
      <c r="G2305" t="n">
        <v>0.99</v>
      </c>
      <c r="H2305" t="n">
        <v>4</v>
      </c>
      <c r="I2305" t="n">
        <v>17</v>
      </c>
      <c r="J2305" t="n">
        <v>3</v>
      </c>
      <c r="K2305" t="n">
        <v>0</v>
      </c>
      <c r="L2305" t="n">
        <v>18430</v>
      </c>
      <c r="M2305" t="n">
        <v>22500</v>
      </c>
      <c r="N2305" t="n">
        <v>33</v>
      </c>
      <c r="O2305" t="n">
        <v>0.33</v>
      </c>
      <c r="P2305" t="n">
        <v>1</v>
      </c>
      <c r="Q2305" t="n">
        <v>0.08</v>
      </c>
      <c r="R2305" t="n">
        <v>1</v>
      </c>
      <c r="S2305" t="n">
        <v>2747.25</v>
      </c>
      <c r="T2305" t="n">
        <v>17</v>
      </c>
      <c r="U2305" t="n">
        <v>18</v>
      </c>
      <c r="V2305" t="n">
        <v>30</v>
      </c>
      <c r="W2305" t="n">
        <v>4</v>
      </c>
      <c r="X2305" t="n">
        <v>73.71007371007371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2266</v>
      </c>
      <c r="AG2305" t="n">
        <v>2602</v>
      </c>
      <c r="AH2305" t="inlineStr">
        <is>
          <t>PT. AKASHA INTERNATIONAL Tbk - PPN (PLB)</t>
        </is>
      </c>
      <c r="AI2305" t="n">
        <v>102</v>
      </c>
      <c r="AJ2305" t="inlineStr">
        <is>
          <t>MAKARIZO</t>
        </is>
      </c>
      <c r="AK2305" t="n">
        <v>9</v>
      </c>
      <c r="AL2305" t="inlineStr">
        <is>
          <t>Miss Glam Jambi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MAKARIZO</t>
        </is>
      </c>
      <c r="B2306" s="2">
        <f>"8992982400034"</f>
        <v/>
      </c>
      <c r="C2306" t="inlineStr">
        <is>
          <t>MAKARIZO Hair Energy Easy Strong 120gr</t>
        </is>
      </c>
      <c r="D2306" t="inlineStr">
        <is>
          <t>Miss Glam Jambi</t>
        </is>
      </c>
      <c r="E2306" t="n">
        <v>10</v>
      </c>
      <c r="F2306" t="n">
        <v>0.033</v>
      </c>
      <c r="G2306" t="n">
        <v>0.66</v>
      </c>
      <c r="H2306" t="n">
        <v>4</v>
      </c>
      <c r="I2306" t="n">
        <v>17</v>
      </c>
      <c r="J2306" t="n">
        <v>3</v>
      </c>
      <c r="K2306" t="n">
        <v>0</v>
      </c>
      <c r="L2306" t="n">
        <v>27645</v>
      </c>
      <c r="M2306" t="n">
        <v>33800</v>
      </c>
      <c r="N2306" t="n">
        <v>33</v>
      </c>
      <c r="O2306" t="n">
        <v>0.33</v>
      </c>
      <c r="P2306" t="n">
        <v>1</v>
      </c>
      <c r="Q2306" t="n">
        <v>0.02</v>
      </c>
      <c r="R2306" t="n">
        <v>1</v>
      </c>
      <c r="S2306" t="n">
        <v>1115.4</v>
      </c>
      <c r="T2306" t="n">
        <v>12</v>
      </c>
      <c r="U2306" t="n">
        <v>13</v>
      </c>
      <c r="V2306" t="n">
        <v>30</v>
      </c>
      <c r="W2306" t="n">
        <v>1</v>
      </c>
      <c r="X2306" t="n">
        <v>303.030303030303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2266</v>
      </c>
      <c r="AG2306" t="n">
        <v>2602</v>
      </c>
      <c r="AH2306" t="inlineStr">
        <is>
          <t>PT. AKASHA INTERNATIONAL Tbk - PPN (PLB)</t>
        </is>
      </c>
      <c r="AI2306" t="n">
        <v>102</v>
      </c>
      <c r="AJ2306" t="inlineStr">
        <is>
          <t>MAKARIZO</t>
        </is>
      </c>
      <c r="AK2306" t="n">
        <v>9</v>
      </c>
      <c r="AL2306" t="inlineStr">
        <is>
          <t>Miss Glam Jambi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MAKARIZO</t>
        </is>
      </c>
      <c r="B2307" s="2">
        <f>"800142384538"</f>
        <v/>
      </c>
      <c r="C2307" t="inlineStr">
        <is>
          <t>MAKARIZO Hair Energy Fiberteraphy Olive Extract 170ml</t>
        </is>
      </c>
      <c r="D2307" t="inlineStr">
        <is>
          <t>Miss Glam Jambi</t>
        </is>
      </c>
      <c r="E2307" t="n">
        <v>6</v>
      </c>
      <c r="F2307" t="n">
        <v>0.1023</v>
      </c>
      <c r="G2307" t="n">
        <v>0.66</v>
      </c>
      <c r="H2307" t="n">
        <v>4</v>
      </c>
      <c r="I2307" t="n">
        <v>17</v>
      </c>
      <c r="J2307" t="n">
        <v>3</v>
      </c>
      <c r="K2307" t="n">
        <v>0</v>
      </c>
      <c r="L2307" t="n">
        <v>19600</v>
      </c>
      <c r="M2307" t="n">
        <v>25000</v>
      </c>
      <c r="N2307" t="n">
        <v>33</v>
      </c>
      <c r="O2307" t="n">
        <v>0.33</v>
      </c>
      <c r="P2307" t="n">
        <v>1</v>
      </c>
      <c r="Q2307" t="n">
        <v>0.05</v>
      </c>
      <c r="R2307" t="n">
        <v>1</v>
      </c>
      <c r="S2307" t="n">
        <v>2557.5</v>
      </c>
      <c r="T2307" t="n">
        <v>11</v>
      </c>
      <c r="U2307" t="n">
        <v>12</v>
      </c>
      <c r="V2307" t="n">
        <v>30</v>
      </c>
      <c r="W2307" t="n">
        <v>4</v>
      </c>
      <c r="X2307" t="n">
        <v>58.65102639296187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2266</v>
      </c>
      <c r="AG2307" t="n">
        <v>2602</v>
      </c>
      <c r="AH2307" t="inlineStr">
        <is>
          <t>PT. AKASHA INTERNATIONAL Tbk - PPN (PLB)</t>
        </is>
      </c>
      <c r="AI2307" t="n">
        <v>102</v>
      </c>
      <c r="AJ2307" t="inlineStr">
        <is>
          <t>MAKARIZO</t>
        </is>
      </c>
      <c r="AK2307" t="n">
        <v>9</v>
      </c>
      <c r="AL2307" t="inlineStr">
        <is>
          <t>Miss Glam Jambi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MAKARIZO</t>
        </is>
      </c>
      <c r="B2308" s="2">
        <f>"8992982401215"</f>
        <v/>
      </c>
      <c r="C2308" t="inlineStr">
        <is>
          <t>MAKARIZO Hair Energy Fibertheraphy Creambath Ginseng Extract 500gr</t>
        </is>
      </c>
      <c r="D2308" t="inlineStr">
        <is>
          <t>Miss Glam Jambi</t>
        </is>
      </c>
      <c r="E2308" t="n">
        <v>10</v>
      </c>
      <c r="F2308" t="n">
        <v>0.0462</v>
      </c>
      <c r="G2308" t="n">
        <v>0.66</v>
      </c>
      <c r="H2308" t="n">
        <v>4</v>
      </c>
      <c r="I2308" t="n">
        <v>17</v>
      </c>
      <c r="J2308" t="n">
        <v>3</v>
      </c>
      <c r="K2308" t="n">
        <v>0</v>
      </c>
      <c r="L2308" t="n">
        <v>70810</v>
      </c>
      <c r="M2308" t="n">
        <v>88000</v>
      </c>
      <c r="N2308" t="n">
        <v>33</v>
      </c>
      <c r="O2308" t="n">
        <v>0.33</v>
      </c>
      <c r="P2308" t="n">
        <v>1</v>
      </c>
      <c r="Q2308" t="n">
        <v>0.03</v>
      </c>
      <c r="R2308" t="n">
        <v>1</v>
      </c>
      <c r="S2308" t="n">
        <v>4065.6</v>
      </c>
      <c r="T2308" t="n">
        <v>12</v>
      </c>
      <c r="U2308" t="n">
        <v>13</v>
      </c>
      <c r="V2308" t="n">
        <v>30</v>
      </c>
      <c r="W2308" t="n">
        <v>2</v>
      </c>
      <c r="X2308" t="n">
        <v>216.4502164502164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2266</v>
      </c>
      <c r="AG2308" t="n">
        <v>2602</v>
      </c>
      <c r="AH2308" t="inlineStr">
        <is>
          <t>PT. AKASHA INTERNATIONAL Tbk - PPN (PLB)</t>
        </is>
      </c>
      <c r="AI2308" t="n">
        <v>102</v>
      </c>
      <c r="AJ2308" t="inlineStr">
        <is>
          <t>MAKARIZO</t>
        </is>
      </c>
      <c r="AK2308" t="n">
        <v>9</v>
      </c>
      <c r="AL2308" t="inlineStr">
        <is>
          <t>Miss Glam Jambi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MAKARIZO</t>
        </is>
      </c>
      <c r="B2309" s="2">
        <f>"800142384521"</f>
        <v/>
      </c>
      <c r="C2309" t="inlineStr">
        <is>
          <t>MAKARIZO Hair Energy Fibertherapy Conditioning Shampoo Aloe &amp; Melon 170ml</t>
        </is>
      </c>
      <c r="D2309" t="inlineStr">
        <is>
          <t>Miss Glam Jambi</t>
        </is>
      </c>
      <c r="E2309" t="n">
        <v>14</v>
      </c>
      <c r="F2309" t="n">
        <v>0.7161</v>
      </c>
      <c r="G2309" t="n">
        <v>1.98</v>
      </c>
      <c r="H2309" t="n">
        <v>4</v>
      </c>
      <c r="I2309" t="n">
        <v>17</v>
      </c>
      <c r="J2309" t="n">
        <v>3</v>
      </c>
      <c r="K2309" t="n">
        <v>8</v>
      </c>
      <c r="L2309" t="n">
        <v>19691</v>
      </c>
      <c r="M2309" t="n">
        <v>25000</v>
      </c>
      <c r="N2309" t="n">
        <v>33</v>
      </c>
      <c r="O2309" t="n">
        <v>0.33</v>
      </c>
      <c r="P2309" t="n">
        <v>1</v>
      </c>
      <c r="Q2309" t="n">
        <v>0.2</v>
      </c>
      <c r="R2309" t="n">
        <v>2</v>
      </c>
      <c r="S2309" t="n">
        <v>17902.5</v>
      </c>
      <c r="T2309" t="n">
        <v>31</v>
      </c>
      <c r="U2309" t="n">
        <v>34</v>
      </c>
      <c r="V2309" t="n">
        <v>30</v>
      </c>
      <c r="W2309" t="n">
        <v>22</v>
      </c>
      <c r="X2309" t="n">
        <v>19.55034213098729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2266</v>
      </c>
      <c r="AG2309" t="n">
        <v>2602</v>
      </c>
      <c r="AH2309" t="inlineStr">
        <is>
          <t>PT. AKASHA INTERNATIONAL Tbk - PPN (PLB)</t>
        </is>
      </c>
      <c r="AI2309" t="n">
        <v>102</v>
      </c>
      <c r="AJ2309" t="inlineStr">
        <is>
          <t>MAKARIZO</t>
        </is>
      </c>
      <c r="AK2309" t="n">
        <v>9</v>
      </c>
      <c r="AL2309" t="inlineStr">
        <is>
          <t>Miss Glam Jambi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MAKARIZO</t>
        </is>
      </c>
      <c r="B2310" s="2">
        <f>"800142384569"</f>
        <v/>
      </c>
      <c r="C2310" t="inlineStr">
        <is>
          <t>MAKARIZO Hair Energy Fibertherapy Conditioning Shampoo Aloe &amp; Melon 330ml</t>
        </is>
      </c>
      <c r="D2310" t="inlineStr">
        <is>
          <t>Miss Glam Jambi</t>
        </is>
      </c>
      <c r="E2310" t="n">
        <v>12</v>
      </c>
      <c r="F2310" t="n">
        <v>0.2112</v>
      </c>
      <c r="G2310" t="n">
        <v>0.99</v>
      </c>
      <c r="H2310" t="n">
        <v>4</v>
      </c>
      <c r="I2310" t="n">
        <v>17</v>
      </c>
      <c r="J2310" t="n">
        <v>3</v>
      </c>
      <c r="K2310" t="n">
        <v>0</v>
      </c>
      <c r="L2310" t="n">
        <v>35211</v>
      </c>
      <c r="M2310" t="n">
        <v>43000</v>
      </c>
      <c r="N2310" t="n">
        <v>33</v>
      </c>
      <c r="O2310" t="n">
        <v>0.33</v>
      </c>
      <c r="P2310" t="n">
        <v>1</v>
      </c>
      <c r="Q2310" t="n">
        <v>0.24</v>
      </c>
      <c r="R2310" t="n">
        <v>4</v>
      </c>
      <c r="S2310" t="n">
        <v>9081.6</v>
      </c>
      <c r="T2310" t="n">
        <v>16</v>
      </c>
      <c r="U2310" t="n">
        <v>17</v>
      </c>
      <c r="V2310" t="n">
        <v>30</v>
      </c>
      <c r="W2310" t="n">
        <v>7</v>
      </c>
      <c r="X2310" t="n">
        <v>56.81818181818181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2266</v>
      </c>
      <c r="AG2310" t="n">
        <v>2602</v>
      </c>
      <c r="AH2310" t="inlineStr">
        <is>
          <t>PT. AKASHA INTERNATIONAL Tbk - PPN (PLB)</t>
        </is>
      </c>
      <c r="AI2310" t="n">
        <v>102</v>
      </c>
      <c r="AJ2310" t="inlineStr">
        <is>
          <t>MAKARIZO</t>
        </is>
      </c>
      <c r="AK2310" t="n">
        <v>9</v>
      </c>
      <c r="AL2310" t="inlineStr">
        <is>
          <t>Miss Glam Jambi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MAKARIZO</t>
        </is>
      </c>
      <c r="B2311" s="2">
        <f>"8992982401680"</f>
        <v/>
      </c>
      <c r="C2311" t="inlineStr">
        <is>
          <t>MAKARIZO Hair Energy Fibertherapy Creambath Aloe &amp; Melon 200ml</t>
        </is>
      </c>
      <c r="D2311" t="inlineStr">
        <is>
          <t>Miss Glam Jambi</t>
        </is>
      </c>
      <c r="E2311" t="n">
        <v>10</v>
      </c>
      <c r="F2311" t="n">
        <v>0.1518</v>
      </c>
      <c r="G2311" t="n">
        <v>0.99</v>
      </c>
      <c r="H2311" t="n">
        <v>4</v>
      </c>
      <c r="I2311" t="n">
        <v>17</v>
      </c>
      <c r="J2311" t="n">
        <v>3</v>
      </c>
      <c r="K2311" t="n">
        <v>0</v>
      </c>
      <c r="L2311" t="n">
        <v>33950</v>
      </c>
      <c r="M2311" t="n">
        <v>41500</v>
      </c>
      <c r="N2311" t="n">
        <v>33</v>
      </c>
      <c r="O2311" t="n">
        <v>0.33</v>
      </c>
      <c r="P2311" t="n">
        <v>1</v>
      </c>
      <c r="Q2311" t="n">
        <v>0.08</v>
      </c>
      <c r="R2311" t="n">
        <v>2</v>
      </c>
      <c r="S2311" t="n">
        <v>6299.700000000001</v>
      </c>
      <c r="T2311" t="n">
        <v>17</v>
      </c>
      <c r="U2311" t="n">
        <v>18</v>
      </c>
      <c r="V2311" t="n">
        <v>30</v>
      </c>
      <c r="W2311" t="n">
        <v>5</v>
      </c>
      <c r="X2311" t="n">
        <v>65.87615283267456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2266</v>
      </c>
      <c r="AG2311" t="n">
        <v>2602</v>
      </c>
      <c r="AH2311" t="inlineStr">
        <is>
          <t>PT. AKASHA INTERNATIONAL Tbk - PPN (PLB)</t>
        </is>
      </c>
      <c r="AI2311" t="n">
        <v>102</v>
      </c>
      <c r="AJ2311" t="inlineStr">
        <is>
          <t>MAKARIZO</t>
        </is>
      </c>
      <c r="AK2311" t="n">
        <v>9</v>
      </c>
      <c r="AL2311" t="inlineStr">
        <is>
          <t>Miss Glam Jambi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MAKARIZO</t>
        </is>
      </c>
      <c r="B2312" s="2">
        <f>"800142384156"</f>
        <v/>
      </c>
      <c r="C2312" t="inlineStr">
        <is>
          <t>MAKARIZO Hair Energy Fibertherapy Royal Jelly Extract 500gr</t>
        </is>
      </c>
      <c r="D2312" t="inlineStr">
        <is>
          <t>Miss Glam Jambi</t>
        </is>
      </c>
      <c r="E2312" t="n">
        <v>9</v>
      </c>
      <c r="F2312" t="n">
        <v>0.1122</v>
      </c>
      <c r="G2312" t="n">
        <v>0.66</v>
      </c>
      <c r="H2312" t="n">
        <v>4</v>
      </c>
      <c r="I2312" t="n">
        <v>17</v>
      </c>
      <c r="J2312" t="n">
        <v>3</v>
      </c>
      <c r="K2312" t="n">
        <v>0</v>
      </c>
      <c r="L2312" t="n">
        <v>70810</v>
      </c>
      <c r="M2312" t="n">
        <v>88000</v>
      </c>
      <c r="N2312" t="n">
        <v>33</v>
      </c>
      <c r="O2312" t="n">
        <v>0.33</v>
      </c>
      <c r="P2312" t="n">
        <v>1</v>
      </c>
      <c r="Q2312" t="n">
        <v>0.12</v>
      </c>
      <c r="R2312" t="n">
        <v>1</v>
      </c>
      <c r="S2312" t="n">
        <v>9873.6</v>
      </c>
      <c r="T2312" t="n">
        <v>11</v>
      </c>
      <c r="U2312" t="n">
        <v>12</v>
      </c>
      <c r="V2312" t="n">
        <v>30</v>
      </c>
      <c r="W2312" t="n">
        <v>4</v>
      </c>
      <c r="X2312" t="n">
        <v>80.2139037433155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2266</v>
      </c>
      <c r="AG2312" t="n">
        <v>2602</v>
      </c>
      <c r="AH2312" t="inlineStr">
        <is>
          <t>PT. AKASHA INTERNATIONAL Tbk - PPN (PLB)</t>
        </is>
      </c>
      <c r="AI2312" t="n">
        <v>102</v>
      </c>
      <c r="AJ2312" t="inlineStr">
        <is>
          <t>MAKARIZO</t>
        </is>
      </c>
      <c r="AK2312" t="n">
        <v>9</v>
      </c>
      <c r="AL2312" t="inlineStr">
        <is>
          <t>Miss Glam Jambi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MAKARIZO</t>
        </is>
      </c>
      <c r="B2313" s="2">
        <f>"8992982401697"</f>
        <v/>
      </c>
      <c r="C2313" t="inlineStr">
        <is>
          <t>MAKARIZO Hair Energy Fibertherapy Royal Jelly Extract Hair &amp; Scalp Creambath 200ml</t>
        </is>
      </c>
      <c r="D2313" t="inlineStr">
        <is>
          <t>Miss Glam Jambi</t>
        </is>
      </c>
      <c r="E2313" t="n">
        <v>11</v>
      </c>
      <c r="F2313" t="n">
        <v>0.2508</v>
      </c>
      <c r="G2313" t="n">
        <v>0.99</v>
      </c>
      <c r="H2313" t="n">
        <v>4</v>
      </c>
      <c r="I2313" t="n">
        <v>17</v>
      </c>
      <c r="J2313" t="n">
        <v>3</v>
      </c>
      <c r="K2313" t="n">
        <v>0</v>
      </c>
      <c r="L2313" t="n">
        <v>33950</v>
      </c>
      <c r="M2313" t="n">
        <v>41500</v>
      </c>
      <c r="N2313" t="n">
        <v>33</v>
      </c>
      <c r="O2313" t="n">
        <v>0.33</v>
      </c>
      <c r="P2313" t="n">
        <v>1</v>
      </c>
      <c r="Q2313" t="n">
        <v>0.14</v>
      </c>
      <c r="R2313" t="n">
        <v>2</v>
      </c>
      <c r="S2313" t="n">
        <v>10408.2</v>
      </c>
      <c r="T2313" t="n">
        <v>16</v>
      </c>
      <c r="U2313" t="n">
        <v>18</v>
      </c>
      <c r="V2313" t="n">
        <v>30</v>
      </c>
      <c r="W2313" t="n">
        <v>8</v>
      </c>
      <c r="X2313" t="n">
        <v>43.85964912280701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2266</v>
      </c>
      <c r="AG2313" t="n">
        <v>2602</v>
      </c>
      <c r="AH2313" t="inlineStr">
        <is>
          <t>PT. AKASHA INTERNATIONAL Tbk - PPN (PLB)</t>
        </is>
      </c>
      <c r="AI2313" t="n">
        <v>102</v>
      </c>
      <c r="AJ2313" t="inlineStr">
        <is>
          <t>MAKARIZO</t>
        </is>
      </c>
      <c r="AK2313" t="n">
        <v>9</v>
      </c>
      <c r="AL2313" t="inlineStr">
        <is>
          <t>Miss Glam Jambi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MAKARIZO</t>
        </is>
      </c>
      <c r="B2314" s="2">
        <f>"800142384149"</f>
        <v/>
      </c>
      <c r="C2314" t="inlineStr">
        <is>
          <t>MAKARIZO Hair Energy Kiwi Exrtact Creambath 500ml</t>
        </is>
      </c>
      <c r="D2314" t="inlineStr">
        <is>
          <t>Miss Glam Jambi</t>
        </is>
      </c>
      <c r="E2314" t="n">
        <v>9</v>
      </c>
      <c r="F2314" t="n">
        <v>0.0495</v>
      </c>
      <c r="G2314" t="n">
        <v>0.66</v>
      </c>
      <c r="H2314" t="n">
        <v>4</v>
      </c>
      <c r="I2314" t="n">
        <v>17</v>
      </c>
      <c r="J2314" t="n">
        <v>3</v>
      </c>
      <c r="K2314" t="n">
        <v>0</v>
      </c>
      <c r="L2314" t="n">
        <v>70810</v>
      </c>
      <c r="M2314" t="n">
        <v>88000</v>
      </c>
      <c r="N2314" t="n">
        <v>33</v>
      </c>
      <c r="O2314" t="n">
        <v>0.33</v>
      </c>
      <c r="P2314" t="n">
        <v>1</v>
      </c>
      <c r="Q2314" t="n">
        <v>0.05</v>
      </c>
      <c r="R2314" t="n">
        <v>1</v>
      </c>
      <c r="S2314" t="n">
        <v>4356</v>
      </c>
      <c r="T2314" t="n">
        <v>12</v>
      </c>
      <c r="U2314" t="n">
        <v>13</v>
      </c>
      <c r="V2314" t="n">
        <v>30</v>
      </c>
      <c r="W2314" t="n">
        <v>2</v>
      </c>
      <c r="X2314" t="n">
        <v>181.8181818181818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2266</v>
      </c>
      <c r="AG2314" t="n">
        <v>2602</v>
      </c>
      <c r="AH2314" t="inlineStr">
        <is>
          <t>PT. AKASHA INTERNATIONAL Tbk - PPN (PLB)</t>
        </is>
      </c>
      <c r="AI2314" t="n">
        <v>102</v>
      </c>
      <c r="AJ2314" t="inlineStr">
        <is>
          <t>MAKARIZO</t>
        </is>
      </c>
      <c r="AK2314" t="n">
        <v>9</v>
      </c>
      <c r="AL2314" t="inlineStr">
        <is>
          <t>Miss Glam Jambi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MAKARIZO</t>
        </is>
      </c>
      <c r="B2315" s="2">
        <f>"800142384514"</f>
        <v/>
      </c>
      <c r="C2315" t="inlineStr">
        <is>
          <t>MAKARIZO Hair Energy Kiwi Extract 170ml</t>
        </is>
      </c>
      <c r="D2315" t="inlineStr">
        <is>
          <t>Miss Glam Jambi</t>
        </is>
      </c>
      <c r="E2315" t="n">
        <v>17</v>
      </c>
      <c r="F2315" t="n">
        <v>0.1683</v>
      </c>
      <c r="G2315" t="n">
        <v>0.99</v>
      </c>
      <c r="H2315" t="n">
        <v>4</v>
      </c>
      <c r="I2315" t="n">
        <v>17</v>
      </c>
      <c r="J2315" t="n">
        <v>3</v>
      </c>
      <c r="K2315" t="n">
        <v>0</v>
      </c>
      <c r="L2315" t="n">
        <v>19722</v>
      </c>
      <c r="M2315" t="n">
        <v>25000</v>
      </c>
      <c r="N2315" t="n">
        <v>33</v>
      </c>
      <c r="O2315" t="n">
        <v>0.33</v>
      </c>
      <c r="P2315" t="n">
        <v>1</v>
      </c>
      <c r="Q2315" t="n">
        <v>0.05</v>
      </c>
      <c r="R2315" t="n">
        <v>1</v>
      </c>
      <c r="S2315" t="n">
        <v>4207.5</v>
      </c>
      <c r="T2315" t="n">
        <v>17</v>
      </c>
      <c r="U2315" t="n">
        <v>18</v>
      </c>
      <c r="V2315" t="n">
        <v>30</v>
      </c>
      <c r="W2315" t="n">
        <v>6</v>
      </c>
      <c r="X2315" t="n">
        <v>101.010101010101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2266</v>
      </c>
      <c r="AG2315" t="n">
        <v>2602</v>
      </c>
      <c r="AH2315" t="inlineStr">
        <is>
          <t>PT. AKASHA INTERNATIONAL Tbk - PPN (PLB)</t>
        </is>
      </c>
      <c r="AI2315" t="n">
        <v>102</v>
      </c>
      <c r="AJ2315" t="inlineStr">
        <is>
          <t>MAKARIZO</t>
        </is>
      </c>
      <c r="AK2315" t="n">
        <v>9</v>
      </c>
      <c r="AL2315" t="inlineStr">
        <is>
          <t>Miss Glam Jambi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MAKARIZO</t>
        </is>
      </c>
      <c r="B2316" s="2">
        <f>"40100149606"</f>
        <v/>
      </c>
      <c r="C2316" t="inlineStr">
        <is>
          <t>MAKARIZO Hair Energy Kiwi Extract Shampoo 330ml</t>
        </is>
      </c>
      <c r="D2316" t="inlineStr">
        <is>
          <t>Miss Glam Jambi</t>
        </is>
      </c>
      <c r="E2316" t="n">
        <v>6</v>
      </c>
      <c r="F2316" t="n">
        <v>0.06270000000000001</v>
      </c>
      <c r="G2316" t="n">
        <v>0.66</v>
      </c>
      <c r="H2316" t="n">
        <v>4</v>
      </c>
      <c r="I2316" t="n">
        <v>17</v>
      </c>
      <c r="J2316" t="n">
        <v>3</v>
      </c>
      <c r="K2316" t="n">
        <v>0</v>
      </c>
      <c r="L2316" t="n">
        <v>35211</v>
      </c>
      <c r="M2316" t="n">
        <v>43000</v>
      </c>
      <c r="N2316" t="n">
        <v>33</v>
      </c>
      <c r="O2316" t="n">
        <v>0.33</v>
      </c>
      <c r="P2316" t="n">
        <v>1</v>
      </c>
      <c r="Q2316" t="n">
        <v>0.03</v>
      </c>
      <c r="R2316" t="n">
        <v>1</v>
      </c>
      <c r="S2316" t="n">
        <v>2696.1</v>
      </c>
      <c r="T2316" t="n">
        <v>11</v>
      </c>
      <c r="U2316" t="n">
        <v>12</v>
      </c>
      <c r="V2316" t="n">
        <v>30</v>
      </c>
      <c r="W2316" t="n">
        <v>2</v>
      </c>
      <c r="X2316" t="n">
        <v>95.69377990430621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2266</v>
      </c>
      <c r="AG2316" t="n">
        <v>2602</v>
      </c>
      <c r="AH2316" t="inlineStr">
        <is>
          <t>PT. AKASHA INTERNATIONAL Tbk - PPN (PLB)</t>
        </is>
      </c>
      <c r="AI2316" t="n">
        <v>102</v>
      </c>
      <c r="AJ2316" t="inlineStr">
        <is>
          <t>MAKARIZO</t>
        </is>
      </c>
      <c r="AK2316" t="n">
        <v>9</v>
      </c>
      <c r="AL2316" t="inlineStr">
        <is>
          <t>Miss Glam Jambi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MAKARIZO</t>
        </is>
      </c>
      <c r="B2317" s="2">
        <f>"8992982400010"</f>
        <v/>
      </c>
      <c r="C2317" t="inlineStr">
        <is>
          <t>MAKARIZO Hair Energy Mild 120gr</t>
        </is>
      </c>
      <c r="D2317" t="inlineStr">
        <is>
          <t>Miss Glam Jambi</t>
        </is>
      </c>
      <c r="E2317" t="n">
        <v>6</v>
      </c>
      <c r="F2317" t="n">
        <v>0.0462</v>
      </c>
      <c r="G2317" t="n">
        <v>0.99</v>
      </c>
      <c r="H2317" t="n">
        <v>4</v>
      </c>
      <c r="I2317" t="n">
        <v>17</v>
      </c>
      <c r="J2317" t="n">
        <v>3</v>
      </c>
      <c r="K2317" t="n">
        <v>0</v>
      </c>
      <c r="L2317" t="n">
        <v>27645</v>
      </c>
      <c r="M2317" t="n">
        <v>33800</v>
      </c>
      <c r="N2317" t="n">
        <v>33</v>
      </c>
      <c r="O2317" t="n">
        <v>0.33</v>
      </c>
      <c r="P2317" t="n">
        <v>1</v>
      </c>
      <c r="Q2317" t="n">
        <v>0.07000000000000001</v>
      </c>
      <c r="R2317" t="n">
        <v>2</v>
      </c>
      <c r="S2317" t="n">
        <v>1561.56</v>
      </c>
      <c r="T2317" t="n">
        <v>17</v>
      </c>
      <c r="U2317" t="n">
        <v>18</v>
      </c>
      <c r="V2317" t="n">
        <v>30</v>
      </c>
      <c r="W2317" t="n">
        <v>2</v>
      </c>
      <c r="X2317" t="n">
        <v>129.8701298701299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2266</v>
      </c>
      <c r="AG2317" t="n">
        <v>2602</v>
      </c>
      <c r="AH2317" t="inlineStr">
        <is>
          <t>PT. AKASHA INTERNATIONAL Tbk - PPN (PLB)</t>
        </is>
      </c>
      <c r="AI2317" t="n">
        <v>102</v>
      </c>
      <c r="AJ2317" t="inlineStr">
        <is>
          <t>MAKARIZO</t>
        </is>
      </c>
      <c r="AK2317" t="n">
        <v>9</v>
      </c>
      <c r="AL2317" t="inlineStr">
        <is>
          <t>Miss Glam Jambi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MAKARIZO</t>
        </is>
      </c>
      <c r="B2318" s="2">
        <f>"800142384385"</f>
        <v/>
      </c>
      <c r="C2318" t="inlineStr">
        <is>
          <t>MAKARIZO Hair Energy Morning Dew 100ml</t>
        </is>
      </c>
      <c r="D2318" t="inlineStr">
        <is>
          <t>Miss Glam Jambi</t>
        </is>
      </c>
      <c r="E2318" t="n">
        <v>12</v>
      </c>
      <c r="F2318" t="n">
        <v>1.0065</v>
      </c>
      <c r="G2318" t="n">
        <v>2.64</v>
      </c>
      <c r="H2318" t="n">
        <v>4</v>
      </c>
      <c r="I2318" t="n">
        <v>17</v>
      </c>
      <c r="J2318" t="n">
        <v>3</v>
      </c>
      <c r="K2318" t="n">
        <v>13</v>
      </c>
      <c r="L2318" t="n">
        <v>22287</v>
      </c>
      <c r="M2318" t="n">
        <v>28000</v>
      </c>
      <c r="N2318" t="n">
        <v>33</v>
      </c>
      <c r="O2318" t="n">
        <v>0.33</v>
      </c>
      <c r="P2318" t="n">
        <v>1</v>
      </c>
      <c r="Q2318" t="n">
        <v>0.22</v>
      </c>
      <c r="R2318" t="n">
        <v>2</v>
      </c>
      <c r="S2318" t="n">
        <v>28182</v>
      </c>
      <c r="T2318" t="n">
        <v>41</v>
      </c>
      <c r="U2318" t="n">
        <v>46</v>
      </c>
      <c r="V2318" t="n">
        <v>30</v>
      </c>
      <c r="W2318" t="n">
        <v>31</v>
      </c>
      <c r="X2318" t="n">
        <v>11.92250372578241</v>
      </c>
      <c r="Y2318" t="n">
        <v>1</v>
      </c>
      <c r="Z2318" t="n">
        <v>6</v>
      </c>
      <c r="AA2318" t="n">
        <v>5</v>
      </c>
      <c r="AB2318" t="n">
        <v>1</v>
      </c>
      <c r="AC2318" t="n">
        <v>3</v>
      </c>
      <c r="AD2318" t="n">
        <v>111435</v>
      </c>
      <c r="AE2318" t="n">
        <v>66861</v>
      </c>
      <c r="AF2318" t="n">
        <v>2266</v>
      </c>
      <c r="AG2318" t="n">
        <v>2602</v>
      </c>
      <c r="AH2318" t="inlineStr">
        <is>
          <t>PT. AKASHA INTERNATIONAL Tbk - PPN (PLB)</t>
        </is>
      </c>
      <c r="AI2318" t="n">
        <v>102</v>
      </c>
      <c r="AJ2318" t="inlineStr">
        <is>
          <t>MAKARIZO</t>
        </is>
      </c>
      <c r="AK2318" t="n">
        <v>9</v>
      </c>
      <c r="AL2318" t="inlineStr">
        <is>
          <t>Miss Glam Jambi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MAKARIZO</t>
        </is>
      </c>
      <c r="B2319" s="2">
        <f>"800142384392"</f>
        <v/>
      </c>
      <c r="C2319" t="inlineStr">
        <is>
          <t>MAKARIZO Hair Energy Ocean 100ml</t>
        </is>
      </c>
      <c r="D2319" t="inlineStr">
        <is>
          <t>Miss Glam Jambi</t>
        </is>
      </c>
      <c r="E2319" t="n">
        <v>5</v>
      </c>
      <c r="F2319" t="n">
        <v>0.3036</v>
      </c>
      <c r="G2319" t="n">
        <v>0.99</v>
      </c>
      <c r="H2319" t="n">
        <v>4</v>
      </c>
      <c r="I2319" t="n">
        <v>17</v>
      </c>
      <c r="J2319" t="n">
        <v>3</v>
      </c>
      <c r="K2319" t="n">
        <v>10</v>
      </c>
      <c r="L2319" t="n">
        <v>22407</v>
      </c>
      <c r="M2319" t="n">
        <v>27500</v>
      </c>
      <c r="N2319" t="n">
        <v>33</v>
      </c>
      <c r="O2319" t="n">
        <v>0.33</v>
      </c>
      <c r="P2319" t="n">
        <v>1</v>
      </c>
      <c r="Q2319" t="n">
        <v>0.07000000000000001</v>
      </c>
      <c r="R2319" t="n">
        <v>2</v>
      </c>
      <c r="S2319" t="n">
        <v>8349.000000000002</v>
      </c>
      <c r="T2319" t="n">
        <v>16</v>
      </c>
      <c r="U2319" t="n">
        <v>18</v>
      </c>
      <c r="V2319" t="n">
        <v>30</v>
      </c>
      <c r="W2319" t="n">
        <v>10</v>
      </c>
      <c r="X2319" t="n">
        <v>16.46903820816864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2266</v>
      </c>
      <c r="AG2319" t="n">
        <v>2602</v>
      </c>
      <c r="AH2319" t="inlineStr">
        <is>
          <t>PT. AKASHA INTERNATIONAL Tbk - PPN (PLB)</t>
        </is>
      </c>
      <c r="AI2319" t="n">
        <v>102</v>
      </c>
      <c r="AJ2319" t="inlineStr">
        <is>
          <t>MAKARIZO</t>
        </is>
      </c>
      <c r="AK2319" t="n">
        <v>9</v>
      </c>
      <c r="AL2319" t="inlineStr">
        <is>
          <t>Miss Glam Jambi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MAKARIZO</t>
        </is>
      </c>
      <c r="B2320" s="2">
        <f>"800142384439"</f>
        <v/>
      </c>
      <c r="C2320" t="inlineStr">
        <is>
          <t>MAKARIZO Hair Energy Ocean 30ml</t>
        </is>
      </c>
      <c r="D2320" t="inlineStr">
        <is>
          <t>Miss Glam Jambi</t>
        </is>
      </c>
      <c r="E2320" t="n">
        <v>5</v>
      </c>
      <c r="F2320" t="n">
        <v>0.2013</v>
      </c>
      <c r="G2320" t="n">
        <v>0.99</v>
      </c>
      <c r="H2320" t="n">
        <v>4</v>
      </c>
      <c r="I2320" t="n">
        <v>17</v>
      </c>
      <c r="J2320" t="n">
        <v>3</v>
      </c>
      <c r="K2320" t="n">
        <v>3</v>
      </c>
      <c r="L2320" t="n">
        <v>10379</v>
      </c>
      <c r="M2320" t="n">
        <v>12700</v>
      </c>
      <c r="N2320" t="n">
        <v>33</v>
      </c>
      <c r="O2320" t="n">
        <v>0.33</v>
      </c>
      <c r="P2320" t="n">
        <v>1</v>
      </c>
      <c r="Q2320" t="n">
        <v>0.03</v>
      </c>
      <c r="R2320" t="n">
        <v>1</v>
      </c>
      <c r="S2320" t="n">
        <v>2556.51</v>
      </c>
      <c r="T2320" t="n">
        <v>17</v>
      </c>
      <c r="U2320" t="n">
        <v>18</v>
      </c>
      <c r="V2320" t="n">
        <v>30</v>
      </c>
      <c r="W2320" t="n">
        <v>7</v>
      </c>
      <c r="X2320" t="n">
        <v>24.83854942871336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2266</v>
      </c>
      <c r="AG2320" t="n">
        <v>2602</v>
      </c>
      <c r="AH2320" t="inlineStr">
        <is>
          <t>PT. AKASHA INTERNATIONAL Tbk - PPN (PLB)</t>
        </is>
      </c>
      <c r="AI2320" t="n">
        <v>102</v>
      </c>
      <c r="AJ2320" t="inlineStr">
        <is>
          <t>MAKARIZO</t>
        </is>
      </c>
      <c r="AK2320" t="n">
        <v>9</v>
      </c>
      <c r="AL2320" t="inlineStr">
        <is>
          <t>Miss Glam Jambi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MAKARIZO</t>
        </is>
      </c>
      <c r="B2321" s="2">
        <f>"800142384491"</f>
        <v/>
      </c>
      <c r="C2321" t="inlineStr">
        <is>
          <t>MAKARIZO Hair Energy Olive 500ml</t>
        </is>
      </c>
      <c r="D2321" t="inlineStr">
        <is>
          <t>Miss Glam Jambi</t>
        </is>
      </c>
      <c r="E2321" t="n">
        <v>2</v>
      </c>
      <c r="F2321" t="n">
        <v>0.033</v>
      </c>
      <c r="G2321" t="n">
        <v>0.66</v>
      </c>
      <c r="H2321" t="n">
        <v>4</v>
      </c>
      <c r="I2321" t="n">
        <v>17</v>
      </c>
      <c r="J2321" t="n">
        <v>3</v>
      </c>
      <c r="K2321" t="n">
        <v>0</v>
      </c>
      <c r="L2321" t="n">
        <v>74796</v>
      </c>
      <c r="M2321" t="n">
        <v>88000</v>
      </c>
      <c r="N2321" t="n">
        <v>33</v>
      </c>
      <c r="O2321" t="n">
        <v>0.33</v>
      </c>
      <c r="P2321" t="n">
        <v>1</v>
      </c>
      <c r="Q2321" t="n">
        <v>0.02</v>
      </c>
      <c r="R2321" t="n">
        <v>0</v>
      </c>
      <c r="S2321" t="n">
        <v>2904</v>
      </c>
      <c r="T2321" t="n">
        <v>12</v>
      </c>
      <c r="U2321" t="n">
        <v>13</v>
      </c>
      <c r="V2321" t="n">
        <v>30</v>
      </c>
      <c r="W2321" t="n">
        <v>1</v>
      </c>
      <c r="X2321" t="n">
        <v>60.6060606060606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2266</v>
      </c>
      <c r="AG2321" t="n">
        <v>2602</v>
      </c>
      <c r="AH2321" t="inlineStr">
        <is>
          <t>PT. AKASHA INTERNATIONAL Tbk - PPN (PLB)</t>
        </is>
      </c>
      <c r="AI2321" t="n">
        <v>102</v>
      </c>
      <c r="AJ2321" t="inlineStr">
        <is>
          <t>MAKARIZO</t>
        </is>
      </c>
      <c r="AK2321" t="n">
        <v>9</v>
      </c>
      <c r="AL2321" t="inlineStr">
        <is>
          <t>Miss Glam Jambi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MAKARIZO</t>
        </is>
      </c>
      <c r="B2322" s="2">
        <f>"40100149521"</f>
        <v/>
      </c>
      <c r="C2322" t="inlineStr">
        <is>
          <t>MAKARIZO Hair Energy Royal Jelly Extract Shampoo 330ml</t>
        </is>
      </c>
      <c r="D2322" t="inlineStr">
        <is>
          <t>Miss Glam Jambi</t>
        </is>
      </c>
      <c r="E2322" t="n">
        <v>5</v>
      </c>
      <c r="F2322" t="n">
        <v>0.1386</v>
      </c>
      <c r="G2322" t="n">
        <v>0.66</v>
      </c>
      <c r="H2322" t="n">
        <v>4</v>
      </c>
      <c r="I2322" t="n">
        <v>17</v>
      </c>
      <c r="J2322" t="n">
        <v>3</v>
      </c>
      <c r="K2322" t="n">
        <v>0</v>
      </c>
      <c r="L2322" t="n">
        <v>35211</v>
      </c>
      <c r="M2322" t="n">
        <v>41500</v>
      </c>
      <c r="N2322" t="n">
        <v>33</v>
      </c>
      <c r="O2322" t="n">
        <v>0.33</v>
      </c>
      <c r="P2322" t="n">
        <v>1</v>
      </c>
      <c r="Q2322" t="n">
        <v>0.05</v>
      </c>
      <c r="R2322" t="n">
        <v>1</v>
      </c>
      <c r="S2322" t="n">
        <v>5751.9</v>
      </c>
      <c r="T2322" t="n">
        <v>11</v>
      </c>
      <c r="U2322" t="n">
        <v>12</v>
      </c>
      <c r="V2322" t="n">
        <v>30</v>
      </c>
      <c r="W2322" t="n">
        <v>5</v>
      </c>
      <c r="X2322" t="n">
        <v>36.07503607503607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2266</v>
      </c>
      <c r="AG2322" t="n">
        <v>2602</v>
      </c>
      <c r="AH2322" t="inlineStr">
        <is>
          <t>PT. AKASHA INTERNATIONAL Tbk - PPN (PLB)</t>
        </is>
      </c>
      <c r="AI2322" t="n">
        <v>102</v>
      </c>
      <c r="AJ2322" t="inlineStr">
        <is>
          <t>MAKARIZO</t>
        </is>
      </c>
      <c r="AK2322" t="n">
        <v>9</v>
      </c>
      <c r="AL2322" t="inlineStr">
        <is>
          <t>Miss Glam Jambi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MAKARIZO</t>
        </is>
      </c>
      <c r="B2323" s="2">
        <f>"800142384828"</f>
        <v/>
      </c>
      <c r="C2323" t="inlineStr">
        <is>
          <t>MAKARIZO Hair Energy Scensations Blue Coast 100ml</t>
        </is>
      </c>
      <c r="D2323" t="inlineStr">
        <is>
          <t>Miss Glam Jambi</t>
        </is>
      </c>
      <c r="E2323" t="n">
        <v>10</v>
      </c>
      <c r="F2323" t="n">
        <v>0.3201</v>
      </c>
      <c r="G2323" t="n">
        <v>0.99</v>
      </c>
      <c r="H2323" t="n">
        <v>4</v>
      </c>
      <c r="I2323" t="n">
        <v>17</v>
      </c>
      <c r="J2323" t="n">
        <v>3</v>
      </c>
      <c r="K2323" t="n">
        <v>0</v>
      </c>
      <c r="L2323" t="n">
        <v>23669</v>
      </c>
      <c r="M2323" t="n">
        <v>28000</v>
      </c>
      <c r="N2323" t="n">
        <v>33</v>
      </c>
      <c r="O2323" t="n">
        <v>0.33</v>
      </c>
      <c r="P2323" t="n">
        <v>1</v>
      </c>
      <c r="Q2323" t="n">
        <v>0.03</v>
      </c>
      <c r="R2323" t="n">
        <v>1</v>
      </c>
      <c r="S2323" t="n">
        <v>8962.799999999999</v>
      </c>
      <c r="T2323" t="n">
        <v>16</v>
      </c>
      <c r="U2323" t="n">
        <v>18</v>
      </c>
      <c r="V2323" t="n">
        <v>30</v>
      </c>
      <c r="W2323" t="n">
        <v>10</v>
      </c>
      <c r="X2323" t="n">
        <v>31.24023742580444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2266</v>
      </c>
      <c r="AG2323" t="n">
        <v>2602</v>
      </c>
      <c r="AH2323" t="inlineStr">
        <is>
          <t>PT. AKASHA INTERNATIONAL Tbk - PPN (PLB)</t>
        </is>
      </c>
      <c r="AI2323" t="n">
        <v>102</v>
      </c>
      <c r="AJ2323" t="inlineStr">
        <is>
          <t>MAKARIZO</t>
        </is>
      </c>
      <c r="AK2323" t="n">
        <v>9</v>
      </c>
      <c r="AL2323" t="inlineStr">
        <is>
          <t>Miss Glam Jambi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MAKARIZO</t>
        </is>
      </c>
      <c r="B2324" s="2">
        <f>"8992982401703"</f>
        <v/>
      </c>
      <c r="C2324" t="inlineStr">
        <is>
          <t>MAKARIZO Hair Energy Scentsaional Amber Wood 100ml</t>
        </is>
      </c>
      <c r="D2324" t="inlineStr">
        <is>
          <t>Miss Glam Jambi</t>
        </is>
      </c>
      <c r="E2324" t="n">
        <v>11</v>
      </c>
      <c r="F2324" t="n">
        <v>0.6666000000000001</v>
      </c>
      <c r="G2324" t="n">
        <v>1.98</v>
      </c>
      <c r="H2324" t="n">
        <v>4</v>
      </c>
      <c r="I2324" t="n">
        <v>17</v>
      </c>
      <c r="J2324" t="n">
        <v>3</v>
      </c>
      <c r="K2324" t="n">
        <v>9</v>
      </c>
      <c r="L2324" t="n">
        <v>22359</v>
      </c>
      <c r="M2324" t="n">
        <v>27500</v>
      </c>
      <c r="N2324" t="n">
        <v>33</v>
      </c>
      <c r="O2324" t="n">
        <v>0.33</v>
      </c>
      <c r="P2324" t="n">
        <v>1</v>
      </c>
      <c r="Q2324" t="n">
        <v>0.07000000000000001</v>
      </c>
      <c r="R2324" t="n">
        <v>1</v>
      </c>
      <c r="S2324" t="n">
        <v>18331.5</v>
      </c>
      <c r="T2324" t="n">
        <v>31</v>
      </c>
      <c r="U2324" t="n">
        <v>34</v>
      </c>
      <c r="V2324" t="n">
        <v>30</v>
      </c>
      <c r="W2324" t="n">
        <v>20</v>
      </c>
      <c r="X2324" t="n">
        <v>16.5016501650165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2266</v>
      </c>
      <c r="AG2324" t="n">
        <v>2602</v>
      </c>
      <c r="AH2324" t="inlineStr">
        <is>
          <t>PT. AKASHA INTERNATIONAL Tbk - PPN (PLB)</t>
        </is>
      </c>
      <c r="AI2324" t="n">
        <v>102</v>
      </c>
      <c r="AJ2324" t="inlineStr">
        <is>
          <t>MAKARIZO</t>
        </is>
      </c>
      <c r="AK2324" t="n">
        <v>9</v>
      </c>
      <c r="AL2324" t="inlineStr">
        <is>
          <t>Miss Glam Jambi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MAKARIZO</t>
        </is>
      </c>
      <c r="B2325" s="2">
        <f>"800142384453"</f>
        <v/>
      </c>
      <c r="C2325" t="inlineStr">
        <is>
          <t>MAKARIZO Hair Energy Scentsations Fresh Bouquet 30ml</t>
        </is>
      </c>
      <c r="D2325" t="inlineStr">
        <is>
          <t>Miss Glam Jambi</t>
        </is>
      </c>
      <c r="E2325" t="n">
        <v>8</v>
      </c>
      <c r="F2325" t="n">
        <v>0.1914</v>
      </c>
      <c r="G2325" t="n">
        <v>0.99</v>
      </c>
      <c r="H2325" t="n">
        <v>4</v>
      </c>
      <c r="I2325" t="n">
        <v>17</v>
      </c>
      <c r="J2325" t="n">
        <v>3</v>
      </c>
      <c r="K2325" t="n">
        <v>0</v>
      </c>
      <c r="L2325" t="n">
        <v>10379</v>
      </c>
      <c r="M2325" t="n">
        <v>12700</v>
      </c>
      <c r="N2325" t="n">
        <v>33</v>
      </c>
      <c r="O2325" t="n">
        <v>0.33</v>
      </c>
      <c r="P2325" t="n">
        <v>1</v>
      </c>
      <c r="Q2325" t="n">
        <v>0.08</v>
      </c>
      <c r="R2325" t="n">
        <v>1</v>
      </c>
      <c r="S2325" t="n">
        <v>2430.78</v>
      </c>
      <c r="T2325" t="n">
        <v>17</v>
      </c>
      <c r="U2325" t="n">
        <v>18</v>
      </c>
      <c r="V2325" t="n">
        <v>30</v>
      </c>
      <c r="W2325" t="n">
        <v>6</v>
      </c>
      <c r="X2325" t="n">
        <v>41.79728317659352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2266</v>
      </c>
      <c r="AG2325" t="n">
        <v>2602</v>
      </c>
      <c r="AH2325" t="inlineStr">
        <is>
          <t>PT. AKASHA INTERNATIONAL Tbk - PPN (PLB)</t>
        </is>
      </c>
      <c r="AI2325" t="n">
        <v>102</v>
      </c>
      <c r="AJ2325" t="inlineStr">
        <is>
          <t>MAKARIZO</t>
        </is>
      </c>
      <c r="AK2325" t="n">
        <v>9</v>
      </c>
      <c r="AL2325" t="inlineStr">
        <is>
          <t>Miss Glam Jambi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MAKARIZO</t>
        </is>
      </c>
      <c r="B2326" s="2">
        <f>"800142384446"</f>
        <v/>
      </c>
      <c r="C2326" t="inlineStr">
        <is>
          <t>MAKARIZO Hair Energy Scentsations Hair Fragrance Cherry Blossom 30ml</t>
        </is>
      </c>
      <c r="D2326" t="inlineStr">
        <is>
          <t>Miss Glam Jambi</t>
        </is>
      </c>
      <c r="E2326" t="n">
        <v>6</v>
      </c>
      <c r="F2326" t="n">
        <v>0.5379</v>
      </c>
      <c r="G2326" t="n">
        <v>1.32</v>
      </c>
      <c r="H2326" t="n">
        <v>4</v>
      </c>
      <c r="I2326" t="n">
        <v>17</v>
      </c>
      <c r="J2326" t="n">
        <v>3</v>
      </c>
      <c r="K2326" t="n">
        <v>7</v>
      </c>
      <c r="L2326" t="n">
        <v>10361</v>
      </c>
      <c r="M2326" t="n">
        <v>12700</v>
      </c>
      <c r="N2326" t="n">
        <v>33</v>
      </c>
      <c r="O2326" t="n">
        <v>0.33</v>
      </c>
      <c r="P2326" t="n">
        <v>1</v>
      </c>
      <c r="Q2326" t="n">
        <v>0.14</v>
      </c>
      <c r="R2326" t="n">
        <v>1</v>
      </c>
      <c r="S2326" t="n">
        <v>6831.330000000001</v>
      </c>
      <c r="T2326" t="n">
        <v>21</v>
      </c>
      <c r="U2326" t="n">
        <v>24</v>
      </c>
      <c r="V2326" t="n">
        <v>30</v>
      </c>
      <c r="W2326" t="n">
        <v>17</v>
      </c>
      <c r="X2326" t="n">
        <v>11.15448968209704</v>
      </c>
      <c r="Y2326" t="n">
        <v>1</v>
      </c>
      <c r="Z2326" t="n">
        <v>4</v>
      </c>
      <c r="AA2326" t="n">
        <v>3</v>
      </c>
      <c r="AB2326" t="n">
        <v>1</v>
      </c>
      <c r="AC2326" t="n">
        <v>3</v>
      </c>
      <c r="AD2326" t="n">
        <v>31083</v>
      </c>
      <c r="AE2326" t="n">
        <v>31083</v>
      </c>
      <c r="AF2326" t="n">
        <v>2266</v>
      </c>
      <c r="AG2326" t="n">
        <v>2602</v>
      </c>
      <c r="AH2326" t="inlineStr">
        <is>
          <t>PT. AKASHA INTERNATIONAL Tbk - PPN (PLB)</t>
        </is>
      </c>
      <c r="AI2326" t="n">
        <v>102</v>
      </c>
      <c r="AJ2326" t="inlineStr">
        <is>
          <t>MAKARIZO</t>
        </is>
      </c>
      <c r="AK2326" t="n">
        <v>9</v>
      </c>
      <c r="AL2326" t="inlineStr">
        <is>
          <t>Miss Glam Jambi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MAKARIZO</t>
        </is>
      </c>
      <c r="B2327" s="2">
        <f>"800142384422"</f>
        <v/>
      </c>
      <c r="C2327" t="inlineStr">
        <is>
          <t>MAKARIZO Hair Energy Scentsations Hair Fragrance Morning Dew 30ml</t>
        </is>
      </c>
      <c r="D2327" t="inlineStr">
        <is>
          <t>Miss Glam Jambi</t>
        </is>
      </c>
      <c r="E2327" t="n">
        <v>8</v>
      </c>
      <c r="F2327" t="n">
        <v>0.3234</v>
      </c>
      <c r="G2327" t="n">
        <v>1.32</v>
      </c>
      <c r="H2327" t="n">
        <v>4</v>
      </c>
      <c r="I2327" t="n">
        <v>17</v>
      </c>
      <c r="J2327" t="n">
        <v>3</v>
      </c>
      <c r="K2327" t="n">
        <v>3</v>
      </c>
      <c r="L2327" t="n">
        <v>10379</v>
      </c>
      <c r="M2327" t="n">
        <v>13000</v>
      </c>
      <c r="N2327" t="n">
        <v>33</v>
      </c>
      <c r="O2327" t="n">
        <v>0.33</v>
      </c>
      <c r="P2327" t="n">
        <v>1</v>
      </c>
      <c r="Q2327" t="n">
        <v>0.08</v>
      </c>
      <c r="R2327" t="n">
        <v>1</v>
      </c>
      <c r="S2327" t="n">
        <v>4204.2</v>
      </c>
      <c r="T2327" t="n">
        <v>22</v>
      </c>
      <c r="U2327" t="n">
        <v>24</v>
      </c>
      <c r="V2327" t="n">
        <v>30</v>
      </c>
      <c r="W2327" t="n">
        <v>10</v>
      </c>
      <c r="X2327" t="n">
        <v>24.73716759431045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2266</v>
      </c>
      <c r="AG2327" t="n">
        <v>2602</v>
      </c>
      <c r="AH2327" t="inlineStr">
        <is>
          <t>PT. AKASHA INTERNATIONAL Tbk - PPN (PLB)</t>
        </is>
      </c>
      <c r="AI2327" t="n">
        <v>102</v>
      </c>
      <c r="AJ2327" t="inlineStr">
        <is>
          <t>MAKARIZO</t>
        </is>
      </c>
      <c r="AK2327" t="n">
        <v>9</v>
      </c>
      <c r="AL2327" t="inlineStr">
        <is>
          <t>Miss Glam Jambi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MAKARIZO</t>
        </is>
      </c>
      <c r="B2328" s="2">
        <f>"8992982401673"</f>
        <v/>
      </c>
      <c r="C2328" t="inlineStr">
        <is>
          <t>MAKARIZO Hair Energy Scentsations Hair Fragrance White Musk 60ml</t>
        </is>
      </c>
      <c r="D2328" t="inlineStr">
        <is>
          <t>Miss Glam Jambi</t>
        </is>
      </c>
      <c r="E2328" t="n">
        <v>2</v>
      </c>
      <c r="F2328" t="n">
        <v>0.15</v>
      </c>
      <c r="G2328" t="n">
        <v>2</v>
      </c>
      <c r="H2328" t="n">
        <v>4</v>
      </c>
      <c r="I2328" t="n">
        <v>17</v>
      </c>
      <c r="J2328" t="n">
        <v>3</v>
      </c>
      <c r="K2328" t="n">
        <v>15</v>
      </c>
      <c r="L2328" t="n">
        <v>12125</v>
      </c>
      <c r="M2328" t="n">
        <v>14500</v>
      </c>
      <c r="N2328" t="n">
        <v>33</v>
      </c>
      <c r="O2328" t="n">
        <v>0.33</v>
      </c>
      <c r="P2328" t="n">
        <v>0</v>
      </c>
      <c r="Q2328" t="n">
        <v>0.15</v>
      </c>
      <c r="R2328" t="n">
        <v>2</v>
      </c>
      <c r="S2328" t="n">
        <v>2175</v>
      </c>
      <c r="T2328" t="n">
        <v>34</v>
      </c>
      <c r="U2328" t="n">
        <v>35</v>
      </c>
      <c r="V2328" t="n">
        <v>30</v>
      </c>
      <c r="W2328" t="n">
        <v>5</v>
      </c>
      <c r="X2328" t="n">
        <v>13.33333333333333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2266</v>
      </c>
      <c r="AG2328" t="n">
        <v>2602</v>
      </c>
      <c r="AH2328" t="inlineStr">
        <is>
          <t>PT. AKASHA INTERNATIONAL Tbk - PPN (PLB)</t>
        </is>
      </c>
      <c r="AI2328" t="n">
        <v>102</v>
      </c>
      <c r="AJ2328" t="inlineStr">
        <is>
          <t>MAKARIZO</t>
        </is>
      </c>
      <c r="AK2328" t="n">
        <v>9</v>
      </c>
      <c r="AL2328" t="inlineStr">
        <is>
          <t>Miss Glam Jambi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MAKARIZO</t>
        </is>
      </c>
      <c r="B2329" s="2">
        <f>"800142384507"</f>
        <v/>
      </c>
      <c r="C2329" t="inlineStr">
        <is>
          <t>MAKARIZO Hair Energy Shampoo Royal Jelly Extract 170ml</t>
        </is>
      </c>
      <c r="D2329" t="inlineStr">
        <is>
          <t>Miss Glam Jambi</t>
        </is>
      </c>
      <c r="E2329" t="n">
        <v>9</v>
      </c>
      <c r="F2329" t="n">
        <v>0.4356</v>
      </c>
      <c r="G2329" t="n">
        <v>1.65</v>
      </c>
      <c r="H2329" t="n">
        <v>4</v>
      </c>
      <c r="I2329" t="n">
        <v>17</v>
      </c>
      <c r="J2329" t="n">
        <v>3</v>
      </c>
      <c r="K2329" t="n">
        <v>4</v>
      </c>
      <c r="L2329" t="n">
        <v>19691</v>
      </c>
      <c r="M2329" t="n">
        <v>25000</v>
      </c>
      <c r="N2329" t="n">
        <v>33</v>
      </c>
      <c r="O2329" t="n">
        <v>0.33</v>
      </c>
      <c r="P2329" t="n">
        <v>1</v>
      </c>
      <c r="Q2329" t="n">
        <v>0.19</v>
      </c>
      <c r="R2329" t="n">
        <v>1</v>
      </c>
      <c r="S2329" t="n">
        <v>10890</v>
      </c>
      <c r="T2329" t="n">
        <v>27</v>
      </c>
      <c r="U2329" t="n">
        <v>29</v>
      </c>
      <c r="V2329" t="n">
        <v>30</v>
      </c>
      <c r="W2329" t="n">
        <v>14</v>
      </c>
      <c r="X2329" t="n">
        <v>20.66115702479339</v>
      </c>
      <c r="Y2329" t="n">
        <v>1</v>
      </c>
      <c r="Z2329" t="n">
        <v>1</v>
      </c>
      <c r="AA2329" t="n">
        <v>0</v>
      </c>
      <c r="AB2329" t="n">
        <v>1</v>
      </c>
      <c r="AC2329" t="n">
        <v>3</v>
      </c>
      <c r="AD2329" t="n">
        <v>0</v>
      </c>
      <c r="AE2329" t="n">
        <v>59073</v>
      </c>
      <c r="AF2329" t="n">
        <v>2266</v>
      </c>
      <c r="AG2329" t="n">
        <v>2602</v>
      </c>
      <c r="AH2329" t="inlineStr">
        <is>
          <t>PT. AKASHA INTERNATIONAL Tbk - PPN (PLB)</t>
        </is>
      </c>
      <c r="AI2329" t="n">
        <v>102</v>
      </c>
      <c r="AJ2329" t="inlineStr">
        <is>
          <t>MAKARIZO</t>
        </is>
      </c>
      <c r="AK2329" t="n">
        <v>9</v>
      </c>
      <c r="AL2329" t="inlineStr">
        <is>
          <t>Miss Glam Jambi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MAKARIZO</t>
        </is>
      </c>
      <c r="B2330" s="2">
        <f>"8992982400195"</f>
        <v/>
      </c>
      <c r="C2330" t="inlineStr">
        <is>
          <t>MAKARIZO Hair Energy Vitaglits Hair Serum Royal Jelly 6X1ml</t>
        </is>
      </c>
      <c r="D2330" t="inlineStr">
        <is>
          <t>Miss Glam Jambi</t>
        </is>
      </c>
      <c r="E2330" t="n">
        <v>21</v>
      </c>
      <c r="F2330" t="n">
        <v>1.4652</v>
      </c>
      <c r="G2330" t="n">
        <v>3.96</v>
      </c>
      <c r="H2330" t="n">
        <v>4</v>
      </c>
      <c r="I2330" t="n">
        <v>17</v>
      </c>
      <c r="J2330" t="n">
        <v>3</v>
      </c>
      <c r="K2330" t="n">
        <v>25</v>
      </c>
      <c r="L2330" t="n">
        <v>9700</v>
      </c>
      <c r="M2330" t="n">
        <v>12000</v>
      </c>
      <c r="N2330" t="n">
        <v>33</v>
      </c>
      <c r="O2330" t="n">
        <v>0.33</v>
      </c>
      <c r="P2330" t="n">
        <v>1</v>
      </c>
      <c r="Q2330" t="n">
        <v>0.46</v>
      </c>
      <c r="R2330" t="n">
        <v>3</v>
      </c>
      <c r="S2330" t="n">
        <v>17582.40000000001</v>
      </c>
      <c r="T2330" t="n">
        <v>62</v>
      </c>
      <c r="U2330" t="n">
        <v>68</v>
      </c>
      <c r="V2330" t="n">
        <v>30</v>
      </c>
      <c r="W2330" t="n">
        <v>44</v>
      </c>
      <c r="X2330" t="n">
        <v>14.33251433251433</v>
      </c>
      <c r="Y2330" t="n">
        <v>1</v>
      </c>
      <c r="Z2330" t="n">
        <v>0</v>
      </c>
      <c r="AA2330" t="n">
        <v>3</v>
      </c>
      <c r="AB2330" t="n">
        <v>0</v>
      </c>
      <c r="AC2330" t="n">
        <v>0</v>
      </c>
      <c r="AD2330" t="n">
        <v>29100</v>
      </c>
      <c r="AE2330" t="n">
        <v>0</v>
      </c>
      <c r="AF2330" t="n">
        <v>2266</v>
      </c>
      <c r="AG2330" t="n">
        <v>2602</v>
      </c>
      <c r="AH2330" t="inlineStr">
        <is>
          <t>PT. AKASHA INTERNATIONAL Tbk - PPN (PLB)</t>
        </is>
      </c>
      <c r="AI2330" t="n">
        <v>102</v>
      </c>
      <c r="AJ2330" t="inlineStr">
        <is>
          <t>MAKARIZO</t>
        </is>
      </c>
      <c r="AK2330" t="n">
        <v>9</v>
      </c>
      <c r="AL2330" t="inlineStr">
        <is>
          <t>Miss Glam Jambi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MAKARIZO</t>
        </is>
      </c>
      <c r="B2331" s="2">
        <f>"800142384835"</f>
        <v/>
      </c>
      <c r="C2331" t="inlineStr">
        <is>
          <t>MAKARIZO Hair Energy White Musk 100ml</t>
        </is>
      </c>
      <c r="D2331" t="inlineStr">
        <is>
          <t>Miss Glam Jambi</t>
        </is>
      </c>
      <c r="E2331" t="n">
        <v>9</v>
      </c>
      <c r="F2331" t="n">
        <v>1.0857</v>
      </c>
      <c r="G2331" t="n">
        <v>3.3</v>
      </c>
      <c r="H2331" t="n">
        <v>4</v>
      </c>
      <c r="I2331" t="n">
        <v>17</v>
      </c>
      <c r="J2331" t="n">
        <v>3</v>
      </c>
      <c r="K2331" t="n">
        <v>20</v>
      </c>
      <c r="L2331" t="n">
        <v>21875</v>
      </c>
      <c r="M2331" t="n">
        <v>27500</v>
      </c>
      <c r="N2331" t="n">
        <v>33</v>
      </c>
      <c r="O2331" t="n">
        <v>0.33</v>
      </c>
      <c r="P2331" t="n">
        <v>1</v>
      </c>
      <c r="Q2331" t="n">
        <v>0.25</v>
      </c>
      <c r="R2331" t="n">
        <v>2</v>
      </c>
      <c r="S2331" t="n">
        <v>29856.75</v>
      </c>
      <c r="T2331" t="n">
        <v>52</v>
      </c>
      <c r="U2331" t="n">
        <v>57</v>
      </c>
      <c r="V2331" t="n">
        <v>30</v>
      </c>
      <c r="W2331" t="n">
        <v>33</v>
      </c>
      <c r="X2331" t="n">
        <v>8.289582757667864</v>
      </c>
      <c r="Y2331" t="n">
        <v>1</v>
      </c>
      <c r="Z2331" t="n">
        <v>4</v>
      </c>
      <c r="AA2331" t="n">
        <v>9</v>
      </c>
      <c r="AB2331" t="n">
        <v>0</v>
      </c>
      <c r="AC2331" t="n">
        <v>0</v>
      </c>
      <c r="AD2331" t="n">
        <v>196875</v>
      </c>
      <c r="AE2331" t="n">
        <v>0</v>
      </c>
      <c r="AF2331" t="n">
        <v>2266</v>
      </c>
      <c r="AG2331" t="n">
        <v>2602</v>
      </c>
      <c r="AH2331" t="inlineStr">
        <is>
          <t>PT. AKASHA INTERNATIONAL Tbk - PPN (PLB)</t>
        </is>
      </c>
      <c r="AI2331" t="n">
        <v>102</v>
      </c>
      <c r="AJ2331" t="inlineStr">
        <is>
          <t>MAKARIZO</t>
        </is>
      </c>
      <c r="AK2331" t="n">
        <v>9</v>
      </c>
      <c r="AL2331" t="inlineStr">
        <is>
          <t>Miss Glam Jambi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MAKARIZO</t>
        </is>
      </c>
      <c r="B2332" s="2">
        <f>"800142207103"</f>
        <v/>
      </c>
      <c r="C2332" t="inlineStr">
        <is>
          <t>MAKARIZO Hair Mask Repair 15ml</t>
        </is>
      </c>
      <c r="D2332" t="inlineStr">
        <is>
          <t>Miss Glam Jambi</t>
        </is>
      </c>
      <c r="E2332" t="n">
        <v>18</v>
      </c>
      <c r="F2332" t="n">
        <v>1.056</v>
      </c>
      <c r="G2332" t="n">
        <v>3.96</v>
      </c>
      <c r="H2332" t="n">
        <v>4</v>
      </c>
      <c r="I2332" t="n">
        <v>17</v>
      </c>
      <c r="J2332" t="n">
        <v>3</v>
      </c>
      <c r="K2332" t="n">
        <v>14</v>
      </c>
      <c r="L2332" t="n">
        <v>4688</v>
      </c>
      <c r="M2332" t="n">
        <v>5800</v>
      </c>
      <c r="N2332" t="n">
        <v>33</v>
      </c>
      <c r="O2332" t="n">
        <v>0.33</v>
      </c>
      <c r="P2332" t="n">
        <v>1</v>
      </c>
      <c r="Q2332" t="n">
        <v>0.2</v>
      </c>
      <c r="R2332" t="n">
        <v>2</v>
      </c>
      <c r="S2332" t="n">
        <v>6124.8</v>
      </c>
      <c r="T2332" t="n">
        <v>64</v>
      </c>
      <c r="U2332" t="n">
        <v>69</v>
      </c>
      <c r="V2332" t="n">
        <v>30</v>
      </c>
      <c r="W2332" t="n">
        <v>32</v>
      </c>
      <c r="X2332" t="n">
        <v>17.04545454545454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2266</v>
      </c>
      <c r="AG2332" t="n">
        <v>2602</v>
      </c>
      <c r="AH2332" t="inlineStr">
        <is>
          <t>PT. AKASHA INTERNATIONAL Tbk - PPN (PLB)</t>
        </is>
      </c>
      <c r="AI2332" t="n">
        <v>102</v>
      </c>
      <c r="AJ2332" t="inlineStr">
        <is>
          <t>MAKARIZO</t>
        </is>
      </c>
      <c r="AK2332" t="n">
        <v>9</v>
      </c>
      <c r="AL2332" t="inlineStr">
        <is>
          <t>Miss Glam Jambi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MAKARIZO</t>
        </is>
      </c>
      <c r="B2333" s="2">
        <f>"800142332003"</f>
        <v/>
      </c>
      <c r="C2333" t="inlineStr">
        <is>
          <t>MAKARIZO Hair Repair Mask Advisor 45ml</t>
        </is>
      </c>
      <c r="D2333" t="inlineStr">
        <is>
          <t>Miss Glam Jambi</t>
        </is>
      </c>
      <c r="E2333" t="n">
        <v>11</v>
      </c>
      <c r="F2333" t="n">
        <v>0.3762</v>
      </c>
      <c r="G2333" t="n">
        <v>1.98</v>
      </c>
      <c r="H2333" t="n">
        <v>4</v>
      </c>
      <c r="I2333" t="n">
        <v>17</v>
      </c>
      <c r="J2333" t="n">
        <v>3</v>
      </c>
      <c r="K2333" t="n">
        <v>3</v>
      </c>
      <c r="L2333" t="n">
        <v>13495</v>
      </c>
      <c r="M2333" t="n">
        <v>16600</v>
      </c>
      <c r="N2333" t="n">
        <v>33</v>
      </c>
      <c r="O2333" t="n">
        <v>0.33</v>
      </c>
      <c r="P2333" t="n">
        <v>1</v>
      </c>
      <c r="Q2333" t="n">
        <v>0.19</v>
      </c>
      <c r="R2333" t="n">
        <v>2</v>
      </c>
      <c r="S2333" t="n">
        <v>6244.92</v>
      </c>
      <c r="T2333" t="n">
        <v>33</v>
      </c>
      <c r="U2333" t="n">
        <v>35</v>
      </c>
      <c r="V2333" t="n">
        <v>30</v>
      </c>
      <c r="W2333" t="n">
        <v>12</v>
      </c>
      <c r="X2333" t="n">
        <v>29.23976608187135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2266</v>
      </c>
      <c r="AG2333" t="n">
        <v>2602</v>
      </c>
      <c r="AH2333" t="inlineStr">
        <is>
          <t>PT. AKASHA INTERNATIONAL Tbk - PPN (PLB)</t>
        </is>
      </c>
      <c r="AI2333" t="n">
        <v>102</v>
      </c>
      <c r="AJ2333" t="inlineStr">
        <is>
          <t>MAKARIZO</t>
        </is>
      </c>
      <c r="AK2333" t="n">
        <v>9</v>
      </c>
      <c r="AL2333" t="inlineStr">
        <is>
          <t>Miss Glam Jambi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MAKARIZO</t>
        </is>
      </c>
      <c r="B2334" s="2">
        <f>"40200634853"</f>
        <v/>
      </c>
      <c r="C2334" t="inlineStr">
        <is>
          <t>MAKARIZO HE EASYCOLOURZ Natural Hair Colour Light Brown Sachet 26ml - KIT</t>
        </is>
      </c>
      <c r="D2334" t="inlineStr">
        <is>
          <t>Miss Glam Jambi</t>
        </is>
      </c>
      <c r="E2334" t="n">
        <v>28</v>
      </c>
      <c r="F2334" t="n">
        <v>1.3695</v>
      </c>
      <c r="G2334" t="n">
        <v>4.95</v>
      </c>
      <c r="H2334" t="n">
        <v>4</v>
      </c>
      <c r="I2334" t="n">
        <v>17</v>
      </c>
      <c r="J2334" t="n">
        <v>1</v>
      </c>
      <c r="K2334" t="n">
        <v>14</v>
      </c>
      <c r="L2334" t="n">
        <v>8148</v>
      </c>
      <c r="M2334" t="n">
        <v>10000</v>
      </c>
      <c r="N2334" t="n">
        <v>33</v>
      </c>
      <c r="O2334" t="n">
        <v>0.33</v>
      </c>
      <c r="P2334" t="n">
        <v>1</v>
      </c>
      <c r="Q2334" t="n">
        <v>0.42</v>
      </c>
      <c r="R2334" t="n">
        <v>6</v>
      </c>
      <c r="S2334" t="n">
        <v>13695</v>
      </c>
      <c r="T2334" t="n">
        <v>79</v>
      </c>
      <c r="U2334" t="n">
        <v>85</v>
      </c>
      <c r="V2334" t="n">
        <v>30</v>
      </c>
      <c r="W2334" t="n">
        <v>42</v>
      </c>
      <c r="X2334" t="n">
        <v>20.44541803577948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2266</v>
      </c>
      <c r="AG2334" t="n">
        <v>2602</v>
      </c>
      <c r="AH2334" t="inlineStr">
        <is>
          <t>PT. AKASHA INTERNATIONAL Tbk - PPN (PLB)</t>
        </is>
      </c>
      <c r="AI2334" t="n">
        <v>102</v>
      </c>
      <c r="AJ2334" t="inlineStr">
        <is>
          <t>MAKARIZO</t>
        </is>
      </c>
      <c r="AK2334" t="n">
        <v>9</v>
      </c>
      <c r="AL2334" t="inlineStr">
        <is>
          <t>Miss Glam Jambi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MAKARIZO</t>
        </is>
      </c>
      <c r="B2335" s="2">
        <f>"40200634751"</f>
        <v/>
      </c>
      <c r="C2335" t="inlineStr">
        <is>
          <t>MAKARIZO HE EASYCOLOURZ Natural Hair Colour Natural Black Sachet 26ml - KIT</t>
        </is>
      </c>
      <c r="D2335" t="inlineStr">
        <is>
          <t>Miss Glam Jambi</t>
        </is>
      </c>
      <c r="E2335" t="n">
        <v>9</v>
      </c>
      <c r="F2335" t="n">
        <v>0.1683</v>
      </c>
      <c r="G2335" t="n">
        <v>1.65</v>
      </c>
      <c r="H2335" t="n">
        <v>4</v>
      </c>
      <c r="I2335" t="n">
        <v>17</v>
      </c>
      <c r="J2335" t="n">
        <v>1</v>
      </c>
      <c r="K2335" t="n">
        <v>0</v>
      </c>
      <c r="L2335" t="n">
        <v>8148</v>
      </c>
      <c r="M2335" t="n">
        <v>10000</v>
      </c>
      <c r="N2335" t="n">
        <v>33</v>
      </c>
      <c r="O2335" t="n">
        <v>0.33</v>
      </c>
      <c r="P2335" t="n">
        <v>1</v>
      </c>
      <c r="Q2335" t="n">
        <v>0.07000000000000001</v>
      </c>
      <c r="R2335" t="n">
        <v>2</v>
      </c>
      <c r="S2335" t="n">
        <v>1683</v>
      </c>
      <c r="T2335" t="n">
        <v>28</v>
      </c>
      <c r="U2335" t="n">
        <v>29</v>
      </c>
      <c r="V2335" t="n">
        <v>30</v>
      </c>
      <c r="W2335" t="n">
        <v>6</v>
      </c>
      <c r="X2335" t="n">
        <v>53.47593582887701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2266</v>
      </c>
      <c r="AG2335" t="n">
        <v>2602</v>
      </c>
      <c r="AH2335" t="inlineStr">
        <is>
          <t>PT. AKASHA INTERNATIONAL Tbk - PPN (PLB)</t>
        </is>
      </c>
      <c r="AI2335" t="n">
        <v>102</v>
      </c>
      <c r="AJ2335" t="inlineStr">
        <is>
          <t>MAKARIZO</t>
        </is>
      </c>
      <c r="AK2335" t="n">
        <v>9</v>
      </c>
      <c r="AL2335" t="inlineStr">
        <is>
          <t>Miss Glam Jambi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MAKARIZO</t>
        </is>
      </c>
      <c r="B2336" s="2">
        <f>"40100151828"</f>
        <v/>
      </c>
      <c r="C2336" t="inlineStr">
        <is>
          <t>MAKARIZO HE Fibertherapy Conditioning Shampoo Citrus Tea Bottle 170ml NEW</t>
        </is>
      </c>
      <c r="D2336" t="inlineStr">
        <is>
          <t>Miss Glam Jambi</t>
        </is>
      </c>
      <c r="E2336" t="n">
        <v>12</v>
      </c>
      <c r="F2336" t="n">
        <v>0.5478</v>
      </c>
      <c r="G2336" t="n">
        <v>1.65</v>
      </c>
      <c r="H2336" t="n">
        <v>4</v>
      </c>
      <c r="I2336" t="n">
        <v>17</v>
      </c>
      <c r="J2336" t="n">
        <v>1</v>
      </c>
      <c r="K2336" t="n">
        <v>5</v>
      </c>
      <c r="L2336" t="n">
        <v>19691</v>
      </c>
      <c r="M2336" t="n">
        <v>23500</v>
      </c>
      <c r="N2336" t="n">
        <v>33</v>
      </c>
      <c r="O2336" t="n">
        <v>0.33</v>
      </c>
      <c r="P2336" t="n">
        <v>1</v>
      </c>
      <c r="Q2336" t="n">
        <v>0.22</v>
      </c>
      <c r="R2336" t="n">
        <v>2</v>
      </c>
      <c r="S2336" t="n">
        <v>12873.3</v>
      </c>
      <c r="T2336" t="n">
        <v>26</v>
      </c>
      <c r="U2336" t="n">
        <v>29</v>
      </c>
      <c r="V2336" t="n">
        <v>30</v>
      </c>
      <c r="W2336" t="n">
        <v>17</v>
      </c>
      <c r="X2336" t="n">
        <v>21.90580503833516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2266</v>
      </c>
      <c r="AG2336" t="n">
        <v>2602</v>
      </c>
      <c r="AH2336" t="inlineStr">
        <is>
          <t>PT. AKASHA INTERNATIONAL Tbk - PPN (PLB)</t>
        </is>
      </c>
      <c r="AI2336" t="n">
        <v>102</v>
      </c>
      <c r="AJ2336" t="inlineStr">
        <is>
          <t>MAKARIZO</t>
        </is>
      </c>
      <c r="AK2336" t="n">
        <v>9</v>
      </c>
      <c r="AL2336" t="inlineStr">
        <is>
          <t>Miss Glam Jambi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MAKARIZO</t>
        </is>
      </c>
      <c r="B2337" s="2">
        <f>"40200807704"</f>
        <v/>
      </c>
      <c r="C2337" t="inlineStr">
        <is>
          <t>MAKARIZO HE Scentsation Hair Perfume It's Litchi Tea Time Bottle 100ml</t>
        </is>
      </c>
      <c r="D2337" t="inlineStr">
        <is>
          <t>Miss Glam Jambi</t>
        </is>
      </c>
      <c r="E2337" t="n">
        <v>4</v>
      </c>
      <c r="F2337" t="n">
        <v>0.07920000000000001</v>
      </c>
      <c r="G2337" t="n">
        <v>0.66</v>
      </c>
      <c r="H2337" t="n">
        <v>4</v>
      </c>
      <c r="I2337" t="n">
        <v>17</v>
      </c>
      <c r="J2337" t="n">
        <v>1</v>
      </c>
      <c r="K2337" t="n">
        <v>0</v>
      </c>
      <c r="L2337" t="n">
        <v>32495</v>
      </c>
      <c r="M2337" t="n">
        <v>50500</v>
      </c>
      <c r="N2337" t="n">
        <v>33</v>
      </c>
      <c r="O2337" t="n">
        <v>0.33</v>
      </c>
      <c r="P2337" t="n">
        <v>1</v>
      </c>
      <c r="Q2337" t="n">
        <v>0.05</v>
      </c>
      <c r="R2337" t="n">
        <v>1</v>
      </c>
      <c r="S2337" t="n">
        <v>3999.6</v>
      </c>
      <c r="T2337" t="n">
        <v>11</v>
      </c>
      <c r="U2337" t="n">
        <v>12</v>
      </c>
      <c r="V2337" t="n">
        <v>30</v>
      </c>
      <c r="W2337" t="n">
        <v>3</v>
      </c>
      <c r="X2337" t="n">
        <v>50.5050505050505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2266</v>
      </c>
      <c r="AG2337" t="n">
        <v>2602</v>
      </c>
      <c r="AH2337" t="inlineStr">
        <is>
          <t>PT. AKASHA INTERNATIONAL Tbk - PPN (PLB)</t>
        </is>
      </c>
      <c r="AI2337" t="n">
        <v>102</v>
      </c>
      <c r="AJ2337" t="inlineStr">
        <is>
          <t>MAKARIZO</t>
        </is>
      </c>
      <c r="AK2337" t="n">
        <v>9</v>
      </c>
      <c r="AL2337" t="inlineStr">
        <is>
          <t>Miss Glam Jambi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MAKARIZO</t>
        </is>
      </c>
      <c r="B2338" s="2">
        <f>"40200807814"</f>
        <v/>
      </c>
      <c r="C2338" t="inlineStr">
        <is>
          <t>MAKARIZO HE Scentsation Hair Perfume The Taste of Chocolate Bottle 100ml</t>
        </is>
      </c>
      <c r="D2338" t="inlineStr">
        <is>
          <t>Miss Glam Jambi</t>
        </is>
      </c>
      <c r="E2338" t="n">
        <v>9</v>
      </c>
      <c r="F2338" t="n">
        <v>0.09569999999999999</v>
      </c>
      <c r="G2338" t="n">
        <v>0.66</v>
      </c>
      <c r="H2338" t="n">
        <v>4</v>
      </c>
      <c r="I2338" t="n">
        <v>17</v>
      </c>
      <c r="J2338" t="n">
        <v>1</v>
      </c>
      <c r="K2338" t="n">
        <v>0</v>
      </c>
      <c r="L2338" t="n">
        <v>41322</v>
      </c>
      <c r="M2338" t="n">
        <v>50500</v>
      </c>
      <c r="N2338" t="n">
        <v>33</v>
      </c>
      <c r="O2338" t="n">
        <v>0.33</v>
      </c>
      <c r="P2338" t="n">
        <v>1</v>
      </c>
      <c r="Q2338" t="n">
        <v>0.08</v>
      </c>
      <c r="R2338" t="n">
        <v>1</v>
      </c>
      <c r="S2338" t="n">
        <v>4832.849999999999</v>
      </c>
      <c r="T2338" t="n">
        <v>11</v>
      </c>
      <c r="U2338" t="n">
        <v>12</v>
      </c>
      <c r="V2338" t="n">
        <v>30</v>
      </c>
      <c r="W2338" t="n">
        <v>3</v>
      </c>
      <c r="X2338" t="n">
        <v>94.04388714733543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2266</v>
      </c>
      <c r="AG2338" t="n">
        <v>2602</v>
      </c>
      <c r="AH2338" t="inlineStr">
        <is>
          <t>PT. AKASHA INTERNATIONAL Tbk - PPN (PLB)</t>
        </is>
      </c>
      <c r="AI2338" t="n">
        <v>102</v>
      </c>
      <c r="AJ2338" t="inlineStr">
        <is>
          <t>MAKARIZO</t>
        </is>
      </c>
      <c r="AK2338" t="n">
        <v>9</v>
      </c>
      <c r="AL2338" t="inlineStr">
        <is>
          <t>Miss Glam Jambi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MAKARIZO</t>
        </is>
      </c>
      <c r="B2339" s="2">
        <f>"40200807902"</f>
        <v/>
      </c>
      <c r="C2339" t="inlineStr">
        <is>
          <t>MAKARIZO HE Scentsation Hair Perfume Under the Orange Tree Bottle 100ml</t>
        </is>
      </c>
      <c r="D2339" t="inlineStr">
        <is>
          <t>Miss Glam Jambi</t>
        </is>
      </c>
      <c r="E2339" t="n">
        <v>6</v>
      </c>
      <c r="F2339" t="n">
        <v>0.0165</v>
      </c>
      <c r="G2339" t="n">
        <v>0.33</v>
      </c>
      <c r="H2339" t="n">
        <v>4</v>
      </c>
      <c r="I2339" t="n">
        <v>17</v>
      </c>
      <c r="J2339" t="n">
        <v>1</v>
      </c>
      <c r="K2339" t="n">
        <v>0</v>
      </c>
      <c r="L2339" t="n">
        <v>32495</v>
      </c>
      <c r="M2339" t="n">
        <v>50500</v>
      </c>
      <c r="N2339" t="n">
        <v>33</v>
      </c>
      <c r="O2339" t="n">
        <v>0.33</v>
      </c>
      <c r="P2339" t="n">
        <v>1</v>
      </c>
      <c r="Q2339" t="n">
        <v>0.02</v>
      </c>
      <c r="R2339" t="n">
        <v>1</v>
      </c>
      <c r="S2339" t="n">
        <v>833.25</v>
      </c>
      <c r="T2339" t="n">
        <v>6</v>
      </c>
      <c r="U2339" t="n">
        <v>7</v>
      </c>
      <c r="V2339" t="n">
        <v>30</v>
      </c>
      <c r="W2339" t="n">
        <v>1</v>
      </c>
      <c r="X2339" t="n">
        <v>363.6363636363636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2266</v>
      </c>
      <c r="AG2339" t="n">
        <v>2602</v>
      </c>
      <c r="AH2339" t="inlineStr">
        <is>
          <t>PT. AKASHA INTERNATIONAL Tbk - PPN (PLB)</t>
        </is>
      </c>
      <c r="AI2339" t="n">
        <v>102</v>
      </c>
      <c r="AJ2339" t="inlineStr">
        <is>
          <t>MAKARIZO</t>
        </is>
      </c>
      <c r="AK2339" t="n">
        <v>9</v>
      </c>
      <c r="AL2339" t="inlineStr">
        <is>
          <t>Miss Glam Jambi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MAKARIZO</t>
        </is>
      </c>
      <c r="B2340" s="2">
        <f>"40200807912"</f>
        <v/>
      </c>
      <c r="C2340" t="inlineStr">
        <is>
          <t>MAKARIZO HE Scentsations Hair Fragrance Emerland Crush 100ml</t>
        </is>
      </c>
      <c r="D2340" t="inlineStr">
        <is>
          <t>Miss Glam Jambi</t>
        </is>
      </c>
      <c r="E2340" t="n">
        <v>10</v>
      </c>
      <c r="F2340" t="n">
        <v>0.2112</v>
      </c>
      <c r="G2340" t="n">
        <v>1.32</v>
      </c>
      <c r="H2340" t="n">
        <v>4</v>
      </c>
      <c r="I2340" t="n">
        <v>17</v>
      </c>
      <c r="J2340" t="n">
        <v>3</v>
      </c>
      <c r="K2340" t="n">
        <v>0</v>
      </c>
      <c r="L2340" t="n">
        <v>22406</v>
      </c>
      <c r="M2340" t="n">
        <v>27500</v>
      </c>
      <c r="N2340" t="n">
        <v>33</v>
      </c>
      <c r="O2340" t="n">
        <v>0.33</v>
      </c>
      <c r="P2340" t="n">
        <v>1</v>
      </c>
      <c r="Q2340" t="n">
        <v>0.08</v>
      </c>
      <c r="R2340" t="n">
        <v>2</v>
      </c>
      <c r="S2340" t="n">
        <v>5808.000000000001</v>
      </c>
      <c r="T2340" t="n">
        <v>22</v>
      </c>
      <c r="U2340" t="n">
        <v>23</v>
      </c>
      <c r="V2340" t="n">
        <v>30</v>
      </c>
      <c r="W2340" t="n">
        <v>7</v>
      </c>
      <c r="X2340" t="n">
        <v>47.34848484848484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2266</v>
      </c>
      <c r="AG2340" t="n">
        <v>2602</v>
      </c>
      <c r="AH2340" t="inlineStr">
        <is>
          <t>PT. AKASHA INTERNATIONAL Tbk - PPN (PLB)</t>
        </is>
      </c>
      <c r="AI2340" t="n">
        <v>102</v>
      </c>
      <c r="AJ2340" t="inlineStr">
        <is>
          <t>MAKARIZO</t>
        </is>
      </c>
      <c r="AK2340" t="n">
        <v>9</v>
      </c>
      <c r="AL2340" t="inlineStr">
        <is>
          <t>Miss Glam Jambi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MAKARIZO</t>
        </is>
      </c>
      <c r="B2341" s="2">
        <f>"40200808057"</f>
        <v/>
      </c>
      <c r="C2341" t="inlineStr">
        <is>
          <t>MAKARIZO HE Scentsations Hair Fragrance Fresh Bouquet 100mL</t>
        </is>
      </c>
      <c r="D2341" t="inlineStr">
        <is>
          <t>Miss Glam Jambi</t>
        </is>
      </c>
      <c r="E2341" t="n">
        <v>27</v>
      </c>
      <c r="F2341" t="n">
        <v>0.2574</v>
      </c>
      <c r="G2341" t="n">
        <v>1.32</v>
      </c>
      <c r="H2341" t="n">
        <v>4</v>
      </c>
      <c r="I2341" t="n">
        <v>17</v>
      </c>
      <c r="J2341" t="n">
        <v>3</v>
      </c>
      <c r="K2341" t="n">
        <v>0</v>
      </c>
      <c r="L2341" t="n">
        <v>22406</v>
      </c>
      <c r="M2341" t="n">
        <v>27500</v>
      </c>
      <c r="N2341" t="n">
        <v>33</v>
      </c>
      <c r="O2341" t="n">
        <v>0.33</v>
      </c>
      <c r="P2341" t="n">
        <v>1</v>
      </c>
      <c r="Q2341" t="n">
        <v>0.07000000000000001</v>
      </c>
      <c r="R2341" t="n">
        <v>1</v>
      </c>
      <c r="S2341" t="n">
        <v>7078.500000000001</v>
      </c>
      <c r="T2341" t="n">
        <v>22</v>
      </c>
      <c r="U2341" t="n">
        <v>24</v>
      </c>
      <c r="V2341" t="n">
        <v>30</v>
      </c>
      <c r="W2341" t="n">
        <v>8</v>
      </c>
      <c r="X2341" t="n">
        <v>104.8951048951049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2266</v>
      </c>
      <c r="AG2341" t="n">
        <v>2602</v>
      </c>
      <c r="AH2341" t="inlineStr">
        <is>
          <t>PT. AKASHA INTERNATIONAL Tbk - PPN (PLB)</t>
        </is>
      </c>
      <c r="AI2341" t="n">
        <v>102</v>
      </c>
      <c r="AJ2341" t="inlineStr">
        <is>
          <t>MAKARIZO</t>
        </is>
      </c>
      <c r="AK2341" t="n">
        <v>9</v>
      </c>
      <c r="AL2341" t="inlineStr">
        <is>
          <t>Miss Glam Jambi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"40200119658"</f>
        <v/>
      </c>
      <c r="C2342" t="inlineStr">
        <is>
          <t>MAKARIZO Honey Dew Nutriv Serum Dusset 5 ml x 5</t>
        </is>
      </c>
      <c r="D2342" t="inlineStr">
        <is>
          <t>Miss Glam Jambi</t>
        </is>
      </c>
      <c r="E2342" t="n">
        <v>51</v>
      </c>
      <c r="F2342" t="n">
        <v>0.09569999999999999</v>
      </c>
      <c r="G2342" t="n">
        <v>0.66</v>
      </c>
      <c r="H2342" t="n">
        <v>4</v>
      </c>
      <c r="I2342" t="n">
        <v>17</v>
      </c>
      <c r="J2342" t="n">
        <v>1</v>
      </c>
      <c r="K2342" t="n">
        <v>0</v>
      </c>
      <c r="L2342" t="n">
        <v>54900</v>
      </c>
      <c r="M2342" t="n">
        <v>65000</v>
      </c>
      <c r="N2342" t="n">
        <v>33</v>
      </c>
      <c r="O2342" t="n">
        <v>0.33</v>
      </c>
      <c r="P2342" t="n">
        <v>1</v>
      </c>
      <c r="Q2342" t="n">
        <v>0.14</v>
      </c>
      <c r="R2342" t="n">
        <v>1</v>
      </c>
      <c r="S2342" t="n">
        <v>6220.5</v>
      </c>
      <c r="T2342" t="n">
        <v>11</v>
      </c>
      <c r="U2342" t="n">
        <v>12</v>
      </c>
      <c r="V2342" t="n">
        <v>30</v>
      </c>
      <c r="W2342" t="n">
        <v>3</v>
      </c>
      <c r="X2342" t="n">
        <v>532.9153605015674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2266</v>
      </c>
      <c r="AG2342" t="n">
        <v>2602</v>
      </c>
      <c r="AH2342" t="inlineStr">
        <is>
          <t>PT. AKASHA INTERNATIONAL Tbk - PPN (PLB)</t>
        </is>
      </c>
      <c r="AI2342" t="n">
        <v>102</v>
      </c>
      <c r="AJ2342" t="inlineStr">
        <is>
          <t>MAKARIZO</t>
        </is>
      </c>
      <c r="AK2342" t="n">
        <v>9</v>
      </c>
      <c r="AL2342" t="inlineStr">
        <is>
          <t>Miss Glam Jambi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"40200119726"</f>
        <v/>
      </c>
      <c r="C2343" t="inlineStr">
        <is>
          <t>MAKARIZO Honey Dew Restructuring Serum 5 x 5 ml</t>
        </is>
      </c>
      <c r="D2343" t="inlineStr">
        <is>
          <t>Miss Glam Jambi</t>
        </is>
      </c>
      <c r="E2343" t="n">
        <v>12</v>
      </c>
      <c r="F2343" t="n">
        <v>0.0264</v>
      </c>
      <c r="G2343" t="n">
        <v>0.66</v>
      </c>
      <c r="H2343" t="n">
        <v>4</v>
      </c>
      <c r="I2343" t="n">
        <v>17</v>
      </c>
      <c r="J2343" t="n">
        <v>1</v>
      </c>
      <c r="K2343" t="n">
        <v>0</v>
      </c>
      <c r="L2343" t="n">
        <v>54900</v>
      </c>
      <c r="M2343" t="n">
        <v>65000</v>
      </c>
      <c r="N2343" t="n">
        <v>33</v>
      </c>
      <c r="O2343" t="n">
        <v>0.33</v>
      </c>
      <c r="P2343" t="n">
        <v>1</v>
      </c>
      <c r="Q2343" t="n">
        <v>0.08</v>
      </c>
      <c r="R2343" t="n">
        <v>3</v>
      </c>
      <c r="S2343" t="n">
        <v>1716</v>
      </c>
      <c r="T2343" t="n">
        <v>12</v>
      </c>
      <c r="U2343" t="n">
        <v>13</v>
      </c>
      <c r="V2343" t="n">
        <v>30</v>
      </c>
      <c r="W2343" t="n">
        <v>1</v>
      </c>
      <c r="X2343" t="n">
        <v>454.5454545454545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2266</v>
      </c>
      <c r="AG2343" t="n">
        <v>2602</v>
      </c>
      <c r="AH2343" t="inlineStr">
        <is>
          <t>PT. AKASHA INTERNATIONAL Tbk - PPN (PLB)</t>
        </is>
      </c>
      <c r="AI2343" t="n">
        <v>102</v>
      </c>
      <c r="AJ2343" t="inlineStr">
        <is>
          <t>MAKARIZO</t>
        </is>
      </c>
      <c r="AK2343" t="n">
        <v>9</v>
      </c>
      <c r="AL2343" t="inlineStr">
        <is>
          <t>Miss Glam Jambi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"8992982500185"</f>
        <v/>
      </c>
      <c r="C2344" t="inlineStr">
        <is>
          <t>MAKARIZO Professional Salon Daily Hair Mask Repair Treatment 500ml</t>
        </is>
      </c>
      <c r="D2344" t="inlineStr">
        <is>
          <t>Miss Glam Jambi</t>
        </is>
      </c>
      <c r="E2344" t="n">
        <v>3</v>
      </c>
      <c r="F2344" t="n">
        <v>0.06270000000000001</v>
      </c>
      <c r="G2344" t="n">
        <v>0.66</v>
      </c>
      <c r="H2344" t="n">
        <v>4</v>
      </c>
      <c r="I2344" t="n">
        <v>17</v>
      </c>
      <c r="J2344" t="n">
        <v>3</v>
      </c>
      <c r="K2344" t="n">
        <v>0</v>
      </c>
      <c r="L2344" t="n">
        <v>92700</v>
      </c>
      <c r="M2344" t="n">
        <v>102000</v>
      </c>
      <c r="N2344" t="n">
        <v>33</v>
      </c>
      <c r="O2344" t="n">
        <v>0.33</v>
      </c>
      <c r="P2344" t="n">
        <v>1</v>
      </c>
      <c r="Q2344" t="n">
        <v>0.05</v>
      </c>
      <c r="R2344" t="n">
        <v>1</v>
      </c>
      <c r="S2344" t="n">
        <v>6395.400000000001</v>
      </c>
      <c r="T2344" t="n">
        <v>11</v>
      </c>
      <c r="U2344" t="n">
        <v>12</v>
      </c>
      <c r="V2344" t="n">
        <v>30</v>
      </c>
      <c r="W2344" t="n">
        <v>2</v>
      </c>
      <c r="X2344" t="n">
        <v>47.84688995215311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2266</v>
      </c>
      <c r="AG2344" t="n">
        <v>2602</v>
      </c>
      <c r="AH2344" t="inlineStr">
        <is>
          <t>PT. AKASHA INTERNATIONAL Tbk - PPN (PLB)</t>
        </is>
      </c>
      <c r="AI2344" t="n">
        <v>102</v>
      </c>
      <c r="AJ2344" t="inlineStr">
        <is>
          <t>MAKARIZO</t>
        </is>
      </c>
      <c r="AK2344" t="n">
        <v>9</v>
      </c>
      <c r="AL2344" t="inlineStr">
        <is>
          <t>Miss Glam Jambi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"8992982501540"</f>
        <v/>
      </c>
      <c r="C2345" t="inlineStr">
        <is>
          <t>MAKARIZO Professional Texture Experience Conditioner Strawberry Yoghurt 250ml</t>
        </is>
      </c>
      <c r="D2345" t="inlineStr">
        <is>
          <t>Miss Glam Jambi</t>
        </is>
      </c>
      <c r="E2345" t="n">
        <v>9</v>
      </c>
      <c r="F2345" t="n">
        <v>0.0165</v>
      </c>
      <c r="G2345" t="n">
        <v>0.33</v>
      </c>
      <c r="H2345" t="n">
        <v>4</v>
      </c>
      <c r="I2345" t="n">
        <v>17</v>
      </c>
      <c r="J2345" t="n">
        <v>3</v>
      </c>
      <c r="K2345" t="n">
        <v>0</v>
      </c>
      <c r="L2345" t="n">
        <v>46800</v>
      </c>
      <c r="M2345" t="n">
        <v>57000</v>
      </c>
      <c r="N2345" t="n">
        <v>33</v>
      </c>
      <c r="O2345" t="n">
        <v>0.33</v>
      </c>
      <c r="P2345" t="n">
        <v>1</v>
      </c>
      <c r="Q2345" t="n">
        <v>0.05</v>
      </c>
      <c r="R2345" t="n">
        <v>1</v>
      </c>
      <c r="S2345" t="n">
        <v>940.5</v>
      </c>
      <c r="T2345" t="n">
        <v>6</v>
      </c>
      <c r="U2345" t="n">
        <v>7</v>
      </c>
      <c r="V2345" t="n">
        <v>30</v>
      </c>
      <c r="W2345" t="n">
        <v>1</v>
      </c>
      <c r="X2345" t="n">
        <v>545.4545454545454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2266</v>
      </c>
      <c r="AG2345" t="n">
        <v>2602</v>
      </c>
      <c r="AH2345" t="inlineStr">
        <is>
          <t>PT. AKASHA INTERNATIONAL Tbk - PPN (PLB)</t>
        </is>
      </c>
      <c r="AI2345" t="n">
        <v>102</v>
      </c>
      <c r="AJ2345" t="inlineStr">
        <is>
          <t>MAKARIZO</t>
        </is>
      </c>
      <c r="AK2345" t="n">
        <v>9</v>
      </c>
      <c r="AL2345" t="inlineStr">
        <is>
          <t>Miss Glam Jambi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"8992982501786"</f>
        <v/>
      </c>
      <c r="C2346" t="inlineStr">
        <is>
          <t>MAKARIZO Salon Daily Professional Conditioner + Keratin Collagen Pro Vit B5 200ml</t>
        </is>
      </c>
      <c r="D2346" t="inlineStr">
        <is>
          <t>Miss Glam Jambi</t>
        </is>
      </c>
      <c r="E2346" t="n">
        <v>8</v>
      </c>
      <c r="F2346" t="n">
        <v>0.2673</v>
      </c>
      <c r="G2346" t="n">
        <v>1.32</v>
      </c>
      <c r="H2346" t="n">
        <v>4</v>
      </c>
      <c r="I2346" t="n">
        <v>17</v>
      </c>
      <c r="J2346" t="n">
        <v>3</v>
      </c>
      <c r="K2346" t="n">
        <v>6</v>
      </c>
      <c r="L2346" t="n">
        <v>26549</v>
      </c>
      <c r="M2346" t="n">
        <v>32400</v>
      </c>
      <c r="N2346" t="n">
        <v>33</v>
      </c>
      <c r="O2346" t="n">
        <v>0.33</v>
      </c>
      <c r="P2346" t="n">
        <v>1</v>
      </c>
      <c r="Q2346" t="n">
        <v>0.31</v>
      </c>
      <c r="R2346" t="n">
        <v>2</v>
      </c>
      <c r="S2346" t="n">
        <v>8660.52</v>
      </c>
      <c r="T2346" t="n">
        <v>22</v>
      </c>
      <c r="U2346" t="n">
        <v>24</v>
      </c>
      <c r="V2346" t="n">
        <v>30</v>
      </c>
      <c r="W2346" t="n">
        <v>9</v>
      </c>
      <c r="X2346" t="n">
        <v>29.9289188178077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2266</v>
      </c>
      <c r="AG2346" t="n">
        <v>2602</v>
      </c>
      <c r="AH2346" t="inlineStr">
        <is>
          <t>PT. AKASHA INTERNATIONAL Tbk - PPN (PLB)</t>
        </is>
      </c>
      <c r="AI2346" t="n">
        <v>102</v>
      </c>
      <c r="AJ2346" t="inlineStr">
        <is>
          <t>MAKARIZO</t>
        </is>
      </c>
      <c r="AK2346" t="n">
        <v>9</v>
      </c>
      <c r="AL2346" t="inlineStr">
        <is>
          <t>Miss Glam Jambi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"40100318114"</f>
        <v/>
      </c>
      <c r="C2347" t="inlineStr">
        <is>
          <t>MAKARIZO Salon Daily Professional Conditioner Pump Bottle 950 ml [New]</t>
        </is>
      </c>
      <c r="D2347" t="inlineStr">
        <is>
          <t>Miss Glam Jambi</t>
        </is>
      </c>
      <c r="E2347" t="n">
        <v>7</v>
      </c>
      <c r="F2347" t="n">
        <v>0.033</v>
      </c>
      <c r="G2347" t="n">
        <v>0.33</v>
      </c>
      <c r="H2347" t="n">
        <v>4</v>
      </c>
      <c r="I2347" t="n">
        <v>17</v>
      </c>
      <c r="J2347" t="n">
        <v>1</v>
      </c>
      <c r="K2347" t="n">
        <v>0</v>
      </c>
      <c r="L2347" t="n">
        <v>92700</v>
      </c>
      <c r="M2347" t="n">
        <v>109500</v>
      </c>
      <c r="N2347" t="n">
        <v>33</v>
      </c>
      <c r="O2347" t="n">
        <v>0.33</v>
      </c>
      <c r="P2347" t="n">
        <v>1</v>
      </c>
      <c r="Q2347" t="n">
        <v>0.02</v>
      </c>
      <c r="R2347" t="n">
        <v>1</v>
      </c>
      <c r="S2347" t="n">
        <v>3613.5</v>
      </c>
      <c r="T2347" t="n">
        <v>6</v>
      </c>
      <c r="U2347" t="n">
        <v>7</v>
      </c>
      <c r="V2347" t="n">
        <v>30</v>
      </c>
      <c r="W2347" t="n">
        <v>1</v>
      </c>
      <c r="X2347" t="n">
        <v>212.1212121212121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2266</v>
      </c>
      <c r="AG2347" t="n">
        <v>2602</v>
      </c>
      <c r="AH2347" t="inlineStr">
        <is>
          <t>PT. AKASHA INTERNATIONAL Tbk - PPN (PLB)</t>
        </is>
      </c>
      <c r="AI2347" t="n">
        <v>102</v>
      </c>
      <c r="AJ2347" t="inlineStr">
        <is>
          <t>MAKARIZO</t>
        </is>
      </c>
      <c r="AK2347" t="n">
        <v>9</v>
      </c>
      <c r="AL2347" t="inlineStr">
        <is>
          <t>Miss Glam Jambi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"40100318215"</f>
        <v/>
      </c>
      <c r="C2348" t="inlineStr">
        <is>
          <t>MAKARIZO Salon Daily Professional Creambath 250ml [New]</t>
        </is>
      </c>
      <c r="D2348" t="inlineStr">
        <is>
          <t>Miss Glam Jambi</t>
        </is>
      </c>
      <c r="E2348" t="n">
        <v>11</v>
      </c>
      <c r="F2348" t="n">
        <v>0.066</v>
      </c>
      <c r="G2348" t="n">
        <v>0.66</v>
      </c>
      <c r="H2348" t="n">
        <v>4</v>
      </c>
      <c r="I2348" t="n">
        <v>17</v>
      </c>
      <c r="J2348" t="n">
        <v>1</v>
      </c>
      <c r="K2348" t="n">
        <v>0</v>
      </c>
      <c r="L2348" t="n">
        <v>45000</v>
      </c>
      <c r="M2348" t="n">
        <v>54900</v>
      </c>
      <c r="N2348" t="n">
        <v>33</v>
      </c>
      <c r="O2348" t="n">
        <v>0.33</v>
      </c>
      <c r="P2348" t="n">
        <v>1</v>
      </c>
      <c r="Q2348" t="n">
        <v>0.02</v>
      </c>
      <c r="R2348" t="n">
        <v>1</v>
      </c>
      <c r="S2348" t="n">
        <v>3623.4</v>
      </c>
      <c r="T2348" t="n">
        <v>11</v>
      </c>
      <c r="U2348" t="n">
        <v>12</v>
      </c>
      <c r="V2348" t="n">
        <v>30</v>
      </c>
      <c r="W2348" t="n">
        <v>2</v>
      </c>
      <c r="X2348" t="n">
        <v>166.6666666666667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2266</v>
      </c>
      <c r="AG2348" t="n">
        <v>2602</v>
      </c>
      <c r="AH2348" t="inlineStr">
        <is>
          <t>PT. AKASHA INTERNATIONAL Tbk - PPN (PLB)</t>
        </is>
      </c>
      <c r="AI2348" t="n">
        <v>102</v>
      </c>
      <c r="AJ2348" t="inlineStr">
        <is>
          <t>MAKARIZO</t>
        </is>
      </c>
      <c r="AK2348" t="n">
        <v>9</v>
      </c>
      <c r="AL2348" t="inlineStr">
        <is>
          <t>Miss Glam Jambi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"40200237628"</f>
        <v/>
      </c>
      <c r="C2349" t="inlineStr">
        <is>
          <t>MAKARIZO Salon Daily Professional Hair Mask 250ml [New]</t>
        </is>
      </c>
      <c r="D2349" t="inlineStr">
        <is>
          <t>Miss Glam Jambi</t>
        </is>
      </c>
      <c r="E2349" t="n">
        <v>8</v>
      </c>
      <c r="F2349" t="n">
        <v>0.1782</v>
      </c>
      <c r="G2349" t="n">
        <v>0.99</v>
      </c>
      <c r="H2349" t="n">
        <v>4</v>
      </c>
      <c r="I2349" t="n">
        <v>17</v>
      </c>
      <c r="J2349" t="n">
        <v>1</v>
      </c>
      <c r="K2349" t="n">
        <v>0</v>
      </c>
      <c r="L2349" t="n">
        <v>58500</v>
      </c>
      <c r="M2349" t="n">
        <v>69000</v>
      </c>
      <c r="N2349" t="n">
        <v>33</v>
      </c>
      <c r="O2349" t="n">
        <v>0.33</v>
      </c>
      <c r="P2349" t="n">
        <v>1</v>
      </c>
      <c r="Q2349" t="n">
        <v>0.07000000000000001</v>
      </c>
      <c r="R2349" t="n">
        <v>1</v>
      </c>
      <c r="S2349" t="n">
        <v>12295.8</v>
      </c>
      <c r="T2349" t="n">
        <v>17</v>
      </c>
      <c r="U2349" t="n">
        <v>18</v>
      </c>
      <c r="V2349" t="n">
        <v>30</v>
      </c>
      <c r="W2349" t="n">
        <v>6</v>
      </c>
      <c r="X2349" t="n">
        <v>44.89337822671155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2266</v>
      </c>
      <c r="AG2349" t="n">
        <v>2602</v>
      </c>
      <c r="AH2349" t="inlineStr">
        <is>
          <t>PT. AKASHA INTERNATIONAL Tbk - PPN (PLB)</t>
        </is>
      </c>
      <c r="AI2349" t="n">
        <v>102</v>
      </c>
      <c r="AJ2349" t="inlineStr">
        <is>
          <t>MAKARIZO</t>
        </is>
      </c>
      <c r="AK2349" t="n">
        <v>9</v>
      </c>
      <c r="AL2349" t="inlineStr">
        <is>
          <t>Miss Glam Jambi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"8992982501373"</f>
        <v/>
      </c>
      <c r="C2350" t="inlineStr">
        <is>
          <t>MAKARIZO Salon Daily Professional Hair Tonic + Keratin Collagen Pro Vit B5 140ml</t>
        </is>
      </c>
      <c r="D2350" t="inlineStr">
        <is>
          <t>Miss Glam Jambi</t>
        </is>
      </c>
      <c r="E2350" t="n">
        <v>17</v>
      </c>
      <c r="F2350" t="n">
        <v>0.1947</v>
      </c>
      <c r="G2350" t="n">
        <v>0.99</v>
      </c>
      <c r="H2350" t="n">
        <v>4</v>
      </c>
      <c r="I2350" t="n">
        <v>17</v>
      </c>
      <c r="J2350" t="n">
        <v>3</v>
      </c>
      <c r="K2350" t="n">
        <v>0</v>
      </c>
      <c r="L2350" t="n">
        <v>54900</v>
      </c>
      <c r="M2350" t="n">
        <v>65000</v>
      </c>
      <c r="N2350" t="n">
        <v>33</v>
      </c>
      <c r="O2350" t="n">
        <v>0.33</v>
      </c>
      <c r="P2350" t="n">
        <v>1</v>
      </c>
      <c r="Q2350" t="n">
        <v>0.12</v>
      </c>
      <c r="R2350" t="n">
        <v>2</v>
      </c>
      <c r="S2350" t="n">
        <v>12655.5</v>
      </c>
      <c r="T2350" t="n">
        <v>17</v>
      </c>
      <c r="U2350" t="n">
        <v>18</v>
      </c>
      <c r="V2350" t="n">
        <v>30</v>
      </c>
      <c r="W2350" t="n">
        <v>6</v>
      </c>
      <c r="X2350" t="n">
        <v>87.31381612737545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2266</v>
      </c>
      <c r="AG2350" t="n">
        <v>2602</v>
      </c>
      <c r="AH2350" t="inlineStr">
        <is>
          <t>PT. AKASHA INTERNATIONAL Tbk - PPN (PLB)</t>
        </is>
      </c>
      <c r="AI2350" t="n">
        <v>102</v>
      </c>
      <c r="AJ2350" t="inlineStr">
        <is>
          <t>MAKARIZO</t>
        </is>
      </c>
      <c r="AK2350" t="n">
        <v>9</v>
      </c>
      <c r="AL2350" t="inlineStr">
        <is>
          <t>Miss Glam Jambi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"8992982501779"</f>
        <v/>
      </c>
      <c r="C2351" t="inlineStr">
        <is>
          <t>MAKARIZO Salon Daily Professional Shampoo + Keratin Collagen Pro Vit B5 200ml</t>
        </is>
      </c>
      <c r="D2351" t="inlineStr">
        <is>
          <t>Miss Glam Jambi</t>
        </is>
      </c>
      <c r="E2351" t="n">
        <v>4</v>
      </c>
      <c r="F2351" t="n">
        <v>0.4191</v>
      </c>
      <c r="G2351" t="n">
        <v>1.65</v>
      </c>
      <c r="H2351" t="n">
        <v>4</v>
      </c>
      <c r="I2351" t="n">
        <v>17</v>
      </c>
      <c r="J2351" t="n">
        <v>3</v>
      </c>
      <c r="K2351" t="n">
        <v>11</v>
      </c>
      <c r="L2351" t="n">
        <v>26550</v>
      </c>
      <c r="M2351" t="n">
        <v>32400</v>
      </c>
      <c r="N2351" t="n">
        <v>33</v>
      </c>
      <c r="O2351" t="n">
        <v>0.33</v>
      </c>
      <c r="P2351" t="n">
        <v>1</v>
      </c>
      <c r="Q2351" t="n">
        <v>0.15</v>
      </c>
      <c r="R2351" t="n">
        <v>2</v>
      </c>
      <c r="S2351" t="n">
        <v>13578.84</v>
      </c>
      <c r="T2351" t="n">
        <v>27</v>
      </c>
      <c r="U2351" t="n">
        <v>29</v>
      </c>
      <c r="V2351" t="n">
        <v>30</v>
      </c>
      <c r="W2351" t="n">
        <v>13</v>
      </c>
      <c r="X2351" t="n">
        <v>9.544261512765448</v>
      </c>
      <c r="Y2351" t="n">
        <v>1</v>
      </c>
      <c r="Z2351" t="n">
        <v>0</v>
      </c>
      <c r="AA2351" t="n">
        <v>3</v>
      </c>
      <c r="AB2351" t="n">
        <v>0</v>
      </c>
      <c r="AC2351" t="n">
        <v>0</v>
      </c>
      <c r="AD2351" t="n">
        <v>79650</v>
      </c>
      <c r="AE2351" t="n">
        <v>0</v>
      </c>
      <c r="AF2351" t="n">
        <v>2266</v>
      </c>
      <c r="AG2351" t="n">
        <v>2602</v>
      </c>
      <c r="AH2351" t="inlineStr">
        <is>
          <t>PT. AKASHA INTERNATIONAL Tbk - PPN (PLB)</t>
        </is>
      </c>
      <c r="AI2351" t="n">
        <v>102</v>
      </c>
      <c r="AJ2351" t="inlineStr">
        <is>
          <t>MAKARIZO</t>
        </is>
      </c>
      <c r="AK2351" t="n">
        <v>9</v>
      </c>
      <c r="AL2351" t="inlineStr">
        <is>
          <t>Miss Glam Jambi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"40100152017"</f>
        <v/>
      </c>
      <c r="C2352" t="inlineStr">
        <is>
          <t>MAKARIZO Salon Daily Professional Shampoo Pump Bottle 950ml [New]</t>
        </is>
      </c>
      <c r="D2352" t="inlineStr">
        <is>
          <t>Miss Glam Jambi</t>
        </is>
      </c>
      <c r="E2352" t="n">
        <v>2</v>
      </c>
      <c r="F2352" t="n">
        <v>0.033</v>
      </c>
      <c r="G2352" t="n">
        <v>0.33</v>
      </c>
      <c r="H2352" t="n">
        <v>4</v>
      </c>
      <c r="I2352" t="n">
        <v>17</v>
      </c>
      <c r="J2352" t="n">
        <v>1</v>
      </c>
      <c r="K2352" t="n">
        <v>0</v>
      </c>
      <c r="L2352" t="n">
        <v>92700</v>
      </c>
      <c r="M2352" t="n">
        <v>109500</v>
      </c>
      <c r="N2352" t="n">
        <v>33</v>
      </c>
      <c r="O2352" t="n">
        <v>0.33</v>
      </c>
      <c r="P2352" t="n">
        <v>1</v>
      </c>
      <c r="Q2352" t="n">
        <v>0.05</v>
      </c>
      <c r="R2352" t="n">
        <v>1</v>
      </c>
      <c r="S2352" t="n">
        <v>3613.5</v>
      </c>
      <c r="T2352" t="n">
        <v>6</v>
      </c>
      <c r="U2352" t="n">
        <v>7</v>
      </c>
      <c r="V2352" t="n">
        <v>30</v>
      </c>
      <c r="W2352" t="n">
        <v>1</v>
      </c>
      <c r="X2352" t="n">
        <v>60.6060606060606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2266</v>
      </c>
      <c r="AG2352" t="n">
        <v>2602</v>
      </c>
      <c r="AH2352" t="inlineStr">
        <is>
          <t>PT. AKASHA INTERNATIONAL Tbk - PPN (PLB)</t>
        </is>
      </c>
      <c r="AI2352" t="n">
        <v>102</v>
      </c>
      <c r="AJ2352" t="inlineStr">
        <is>
          <t>MAKARIZO</t>
        </is>
      </c>
      <c r="AK2352" t="n">
        <v>9</v>
      </c>
      <c r="AL2352" t="inlineStr">
        <is>
          <t>Miss Glam Jambi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"8992982501472"</f>
        <v/>
      </c>
      <c r="C2353" t="inlineStr">
        <is>
          <t>MAKARIZO Shampo Texture Black Chocolate 250ml</t>
        </is>
      </c>
      <c r="D2353" t="inlineStr">
        <is>
          <t>Miss Glam Jambi</t>
        </is>
      </c>
      <c r="E2353" t="n">
        <v>10</v>
      </c>
      <c r="F2353" t="n">
        <v>0.0396</v>
      </c>
      <c r="G2353" t="n">
        <v>0.66</v>
      </c>
      <c r="H2353" t="n">
        <v>4</v>
      </c>
      <c r="I2353" t="n">
        <v>17</v>
      </c>
      <c r="J2353" t="n">
        <v>3</v>
      </c>
      <c r="K2353" t="n">
        <v>0</v>
      </c>
      <c r="L2353" t="n">
        <v>46800</v>
      </c>
      <c r="M2353" t="n">
        <v>57000</v>
      </c>
      <c r="N2353" t="n">
        <v>33</v>
      </c>
      <c r="O2353" t="n">
        <v>0.33</v>
      </c>
      <c r="P2353" t="n">
        <v>1</v>
      </c>
      <c r="Q2353" t="n">
        <v>0.07000000000000001</v>
      </c>
      <c r="R2353" t="n">
        <v>1</v>
      </c>
      <c r="S2353" t="n">
        <v>2257.2</v>
      </c>
      <c r="T2353" t="n">
        <v>12</v>
      </c>
      <c r="U2353" t="n">
        <v>13</v>
      </c>
      <c r="V2353" t="n">
        <v>30</v>
      </c>
      <c r="W2353" t="n">
        <v>2</v>
      </c>
      <c r="X2353" t="n">
        <v>252.5252525252525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2266</v>
      </c>
      <c r="AG2353" t="n">
        <v>2602</v>
      </c>
      <c r="AH2353" t="inlineStr">
        <is>
          <t>PT. AKASHA INTERNATIONAL Tbk - PPN (PLB)</t>
        </is>
      </c>
      <c r="AI2353" t="n">
        <v>102</v>
      </c>
      <c r="AJ2353" t="inlineStr">
        <is>
          <t>MAKARIZO</t>
        </is>
      </c>
      <c r="AK2353" t="n">
        <v>9</v>
      </c>
      <c r="AL2353" t="inlineStr">
        <is>
          <t>Miss Glam Jambi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"800142902329"</f>
        <v/>
      </c>
      <c r="C2354" t="inlineStr">
        <is>
          <t>MAKARIZO Shampo Texture Vanila  Milk 250ml</t>
        </is>
      </c>
      <c r="D2354" t="inlineStr">
        <is>
          <t>Miss Glam Jambi</t>
        </is>
      </c>
      <c r="E2354" t="n">
        <v>10</v>
      </c>
      <c r="F2354" t="n">
        <v>0.0165</v>
      </c>
      <c r="G2354" t="n">
        <v>0.33</v>
      </c>
      <c r="H2354" t="n">
        <v>4</v>
      </c>
      <c r="I2354" t="n">
        <v>17</v>
      </c>
      <c r="J2354" t="n">
        <v>3</v>
      </c>
      <c r="K2354" t="n">
        <v>0</v>
      </c>
      <c r="L2354" t="n">
        <v>46545</v>
      </c>
      <c r="M2354" t="n">
        <v>55500</v>
      </c>
      <c r="N2354" t="n">
        <v>33</v>
      </c>
      <c r="O2354" t="n">
        <v>0.33</v>
      </c>
      <c r="P2354" t="n">
        <v>1</v>
      </c>
      <c r="Q2354" t="n">
        <v>0.02</v>
      </c>
      <c r="R2354" t="n">
        <v>1</v>
      </c>
      <c r="S2354" t="n">
        <v>915.75</v>
      </c>
      <c r="T2354" t="n">
        <v>6</v>
      </c>
      <c r="U2354" t="n">
        <v>7</v>
      </c>
      <c r="V2354" t="n">
        <v>30</v>
      </c>
      <c r="W2354" t="n">
        <v>1</v>
      </c>
      <c r="X2354" t="n">
        <v>606.060606060606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2266</v>
      </c>
      <c r="AG2354" t="n">
        <v>2602</v>
      </c>
      <c r="AH2354" t="inlineStr">
        <is>
          <t>PT. AKASHA INTERNATIONAL Tbk - PPN (PLB)</t>
        </is>
      </c>
      <c r="AI2354" t="n">
        <v>102</v>
      </c>
      <c r="AJ2354" t="inlineStr">
        <is>
          <t>MAKARIZO</t>
        </is>
      </c>
      <c r="AK2354" t="n">
        <v>9</v>
      </c>
      <c r="AL2354" t="inlineStr">
        <is>
          <t>Miss Glam Jambi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"8992982501496"</f>
        <v/>
      </c>
      <c r="C2355" t="inlineStr">
        <is>
          <t>MAKARIZO Shampoo Texture Mint Sorbet 250ml</t>
        </is>
      </c>
      <c r="D2355" t="inlineStr">
        <is>
          <t>Miss Glam Jambi</t>
        </is>
      </c>
      <c r="E2355" t="n">
        <v>5</v>
      </c>
      <c r="F2355" t="n">
        <v>0.033</v>
      </c>
      <c r="G2355" t="n">
        <v>0.66</v>
      </c>
      <c r="H2355" t="n">
        <v>4</v>
      </c>
      <c r="I2355" t="n">
        <v>17</v>
      </c>
      <c r="J2355" t="n">
        <v>3</v>
      </c>
      <c r="K2355" t="n">
        <v>0</v>
      </c>
      <c r="L2355" t="n">
        <v>46800</v>
      </c>
      <c r="M2355" t="n">
        <v>55500</v>
      </c>
      <c r="N2355" t="n">
        <v>33</v>
      </c>
      <c r="O2355" t="n">
        <v>0.33</v>
      </c>
      <c r="P2355" t="n">
        <v>1</v>
      </c>
      <c r="Q2355" t="n">
        <v>0.02</v>
      </c>
      <c r="R2355" t="n">
        <v>1</v>
      </c>
      <c r="S2355" t="n">
        <v>1831.5</v>
      </c>
      <c r="T2355" t="n">
        <v>12</v>
      </c>
      <c r="U2355" t="n">
        <v>13</v>
      </c>
      <c r="V2355" t="n">
        <v>30</v>
      </c>
      <c r="W2355" t="n">
        <v>1</v>
      </c>
      <c r="X2355" t="n">
        <v>151.5151515151515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2266</v>
      </c>
      <c r="AG2355" t="n">
        <v>2602</v>
      </c>
      <c r="AH2355" t="inlineStr">
        <is>
          <t>PT. AKASHA INTERNATIONAL Tbk - PPN (PLB)</t>
        </is>
      </c>
      <c r="AI2355" t="n">
        <v>102</v>
      </c>
      <c r="AJ2355" t="inlineStr">
        <is>
          <t>MAKARIZO</t>
        </is>
      </c>
      <c r="AK2355" t="n">
        <v>9</v>
      </c>
      <c r="AL2355" t="inlineStr">
        <is>
          <t>Miss Glam Jambi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"8992982501649"</f>
        <v/>
      </c>
      <c r="C2356" t="inlineStr">
        <is>
          <t>MAKARIZO T1 Intensive Care System Equalizer Conditioner Bottle 180ml</t>
        </is>
      </c>
      <c r="D2356" t="inlineStr">
        <is>
          <t>Miss Glam Jambi</t>
        </is>
      </c>
      <c r="E2356" t="n">
        <v>7</v>
      </c>
      <c r="F2356" t="n">
        <v>0.0561</v>
      </c>
      <c r="G2356" t="n">
        <v>0.66</v>
      </c>
      <c r="H2356" t="n">
        <v>4</v>
      </c>
      <c r="I2356" t="n">
        <v>17</v>
      </c>
      <c r="J2356" t="n">
        <v>3</v>
      </c>
      <c r="K2356" t="n">
        <v>0</v>
      </c>
      <c r="L2356" t="n">
        <v>33950</v>
      </c>
      <c r="M2356" t="n">
        <v>40000</v>
      </c>
      <c r="N2356" t="n">
        <v>33</v>
      </c>
      <c r="O2356" t="n">
        <v>0.33</v>
      </c>
      <c r="P2356" t="n">
        <v>1</v>
      </c>
      <c r="Q2356" t="n">
        <v>0.05</v>
      </c>
      <c r="R2356" t="n">
        <v>1</v>
      </c>
      <c r="S2356" t="n">
        <v>2244</v>
      </c>
      <c r="T2356" t="n">
        <v>11</v>
      </c>
      <c r="U2356" t="n">
        <v>12</v>
      </c>
      <c r="V2356" t="n">
        <v>30</v>
      </c>
      <c r="W2356" t="n">
        <v>2</v>
      </c>
      <c r="X2356" t="n">
        <v>124.777183600713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2266</v>
      </c>
      <c r="AG2356" t="n">
        <v>2602</v>
      </c>
      <c r="AH2356" t="inlineStr">
        <is>
          <t>PT. AKASHA INTERNATIONAL Tbk - PPN (PLB)</t>
        </is>
      </c>
      <c r="AI2356" t="n">
        <v>102</v>
      </c>
      <c r="AJ2356" t="inlineStr">
        <is>
          <t>MAKARIZO</t>
        </is>
      </c>
      <c r="AK2356" t="n">
        <v>9</v>
      </c>
      <c r="AL2356" t="inlineStr">
        <is>
          <t>Miss Glam Jambi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"8992982501632"</f>
        <v/>
      </c>
      <c r="C2357" t="inlineStr">
        <is>
          <t>MAKARIZO T1 Intensive Care System Equalizer Shampoo Bottle 180ml</t>
        </is>
      </c>
      <c r="D2357" t="inlineStr">
        <is>
          <t>Miss Glam Jambi</t>
        </is>
      </c>
      <c r="E2357" t="n">
        <v>13</v>
      </c>
      <c r="F2357" t="n">
        <v>0.1848</v>
      </c>
      <c r="G2357" t="n">
        <v>0.66</v>
      </c>
      <c r="H2357" t="n">
        <v>4</v>
      </c>
      <c r="I2357" t="n">
        <v>17</v>
      </c>
      <c r="J2357" t="n">
        <v>3</v>
      </c>
      <c r="K2357" t="n">
        <v>0</v>
      </c>
      <c r="L2357" t="n">
        <v>38800</v>
      </c>
      <c r="M2357" t="n">
        <v>48000</v>
      </c>
      <c r="N2357" t="n">
        <v>33</v>
      </c>
      <c r="O2357" t="n">
        <v>0.33</v>
      </c>
      <c r="P2357" t="n">
        <v>1</v>
      </c>
      <c r="Q2357" t="n">
        <v>0.08</v>
      </c>
      <c r="R2357" t="n">
        <v>2</v>
      </c>
      <c r="S2357" t="n">
        <v>8870.400000000001</v>
      </c>
      <c r="T2357" t="n">
        <v>11</v>
      </c>
      <c r="U2357" t="n">
        <v>12</v>
      </c>
      <c r="V2357" t="n">
        <v>30</v>
      </c>
      <c r="W2357" t="n">
        <v>6</v>
      </c>
      <c r="X2357" t="n">
        <v>70.34632034632034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2266</v>
      </c>
      <c r="AG2357" t="n">
        <v>2602</v>
      </c>
      <c r="AH2357" t="inlineStr">
        <is>
          <t>PT. AKASHA INTERNATIONAL Tbk - PPN (PLB)</t>
        </is>
      </c>
      <c r="AI2357" t="n">
        <v>102</v>
      </c>
      <c r="AJ2357" t="inlineStr">
        <is>
          <t>MAKARIZO</t>
        </is>
      </c>
      <c r="AK2357" t="n">
        <v>9</v>
      </c>
      <c r="AL2357" t="inlineStr">
        <is>
          <t>Miss Glam Jambi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"8992982401581"</f>
        <v/>
      </c>
      <c r="C2358" t="inlineStr">
        <is>
          <t>MAKARIZO T1 Pure Care System Micellar Conditioner Bottle 180ml</t>
        </is>
      </c>
      <c r="D2358" t="inlineStr">
        <is>
          <t>Miss Glam Jambi</t>
        </is>
      </c>
      <c r="E2358" t="n">
        <v>9</v>
      </c>
      <c r="F2358" t="n">
        <v>0.066</v>
      </c>
      <c r="G2358" t="n">
        <v>0.66</v>
      </c>
      <c r="H2358" t="n">
        <v>4</v>
      </c>
      <c r="I2358" t="n">
        <v>17</v>
      </c>
      <c r="J2358" t="n">
        <v>3</v>
      </c>
      <c r="K2358" t="n">
        <v>0</v>
      </c>
      <c r="L2358" t="n">
        <v>33950</v>
      </c>
      <c r="M2358" t="n">
        <v>41500</v>
      </c>
      <c r="N2358" t="n">
        <v>33</v>
      </c>
      <c r="O2358" t="n">
        <v>0.33</v>
      </c>
      <c r="P2358" t="n">
        <v>1</v>
      </c>
      <c r="Q2358" t="n">
        <v>0.03</v>
      </c>
      <c r="R2358" t="n">
        <v>1</v>
      </c>
      <c r="S2358" t="n">
        <v>2739</v>
      </c>
      <c r="T2358" t="n">
        <v>11</v>
      </c>
      <c r="U2358" t="n">
        <v>12</v>
      </c>
      <c r="V2358" t="n">
        <v>30</v>
      </c>
      <c r="W2358" t="n">
        <v>2</v>
      </c>
      <c r="X2358" t="n">
        <v>136.3636363636363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2266</v>
      </c>
      <c r="AG2358" t="n">
        <v>2602</v>
      </c>
      <c r="AH2358" t="inlineStr">
        <is>
          <t>PT. AKASHA INTERNATIONAL Tbk - PPN (PLB)</t>
        </is>
      </c>
      <c r="AI2358" t="n">
        <v>102</v>
      </c>
      <c r="AJ2358" t="inlineStr">
        <is>
          <t>MAKARIZO</t>
        </is>
      </c>
      <c r="AK2358" t="n">
        <v>9</v>
      </c>
      <c r="AL2358" t="inlineStr">
        <is>
          <t>Miss Glam Jambi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"8992982401574"</f>
        <v/>
      </c>
      <c r="C2359" t="inlineStr">
        <is>
          <t>MAKARIZO T1 Pure Care System Micellar Shampoo Bottle 180ml</t>
        </is>
      </c>
      <c r="D2359" t="inlineStr">
        <is>
          <t>Miss Glam Jambi</t>
        </is>
      </c>
      <c r="E2359" t="n">
        <v>8</v>
      </c>
      <c r="F2359" t="n">
        <v>0.2013</v>
      </c>
      <c r="G2359" t="n">
        <v>1.32</v>
      </c>
      <c r="H2359" t="n">
        <v>4</v>
      </c>
      <c r="I2359" t="n">
        <v>17</v>
      </c>
      <c r="J2359" t="n">
        <v>3</v>
      </c>
      <c r="K2359" t="n">
        <v>0</v>
      </c>
      <c r="L2359" t="n">
        <v>38800</v>
      </c>
      <c r="M2359" t="n">
        <v>48000</v>
      </c>
      <c r="N2359" t="n">
        <v>33</v>
      </c>
      <c r="O2359" t="n">
        <v>0.33</v>
      </c>
      <c r="P2359" t="n">
        <v>1</v>
      </c>
      <c r="Q2359" t="n">
        <v>0.05</v>
      </c>
      <c r="R2359" t="n">
        <v>1</v>
      </c>
      <c r="S2359" t="n">
        <v>9662.4</v>
      </c>
      <c r="T2359" t="n">
        <v>22</v>
      </c>
      <c r="U2359" t="n">
        <v>23</v>
      </c>
      <c r="V2359" t="n">
        <v>30</v>
      </c>
      <c r="W2359" t="n">
        <v>7</v>
      </c>
      <c r="X2359" t="n">
        <v>39.74167908594138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2266</v>
      </c>
      <c r="AG2359" t="n">
        <v>2602</v>
      </c>
      <c r="AH2359" t="inlineStr">
        <is>
          <t>PT. AKASHA INTERNATIONAL Tbk - PPN (PLB)</t>
        </is>
      </c>
      <c r="AI2359" t="n">
        <v>102</v>
      </c>
      <c r="AJ2359" t="inlineStr">
        <is>
          <t>MAKARIZO</t>
        </is>
      </c>
      <c r="AK2359" t="n">
        <v>9</v>
      </c>
      <c r="AL2359" t="inlineStr">
        <is>
          <t>Miss Glam Jambi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"40200307125"</f>
        <v/>
      </c>
      <c r="C2360" t="inlineStr">
        <is>
          <t>MAKARIZO T1 Techno Nature Scalp &amp; Hair Oil with Rosemary Oil 40ml</t>
        </is>
      </c>
      <c r="D2360" t="inlineStr">
        <is>
          <t>Miss Glam Jambi</t>
        </is>
      </c>
      <c r="E2360" t="n">
        <v>12</v>
      </c>
      <c r="F2360" t="n">
        <v>0.1749</v>
      </c>
      <c r="G2360" t="n">
        <v>0.99</v>
      </c>
      <c r="H2360" t="n">
        <v>4</v>
      </c>
      <c r="I2360" t="n">
        <v>17</v>
      </c>
      <c r="J2360" t="n">
        <v>1</v>
      </c>
      <c r="K2360" t="n">
        <v>0</v>
      </c>
      <c r="L2360" t="n">
        <v>67900</v>
      </c>
      <c r="M2360" t="n">
        <v>83000</v>
      </c>
      <c r="N2360" t="n">
        <v>33</v>
      </c>
      <c r="O2360" t="n">
        <v>0.33</v>
      </c>
      <c r="P2360" t="n">
        <v>1</v>
      </c>
      <c r="Q2360" t="n">
        <v>0.12</v>
      </c>
      <c r="R2360" t="n">
        <v>2</v>
      </c>
      <c r="S2360" t="n">
        <v>14516.7</v>
      </c>
      <c r="T2360" t="n">
        <v>17</v>
      </c>
      <c r="U2360" t="n">
        <v>18</v>
      </c>
      <c r="V2360" t="n">
        <v>30</v>
      </c>
      <c r="W2360" t="n">
        <v>6</v>
      </c>
      <c r="X2360" t="n">
        <v>68.61063464837049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2266</v>
      </c>
      <c r="AG2360" t="n">
        <v>2602</v>
      </c>
      <c r="AH2360" t="inlineStr">
        <is>
          <t>PT. AKASHA INTERNATIONAL Tbk - PPN (PLB)</t>
        </is>
      </c>
      <c r="AI2360" t="n">
        <v>102</v>
      </c>
      <c r="AJ2360" t="inlineStr">
        <is>
          <t>MAKARIZO</t>
        </is>
      </c>
      <c r="AK2360" t="n">
        <v>9</v>
      </c>
      <c r="AL2360" t="inlineStr">
        <is>
          <t>Miss Glam Jambi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"8992982500055"</f>
        <v/>
      </c>
      <c r="C2361" t="inlineStr">
        <is>
          <t>MAKARIZO Tex Mint Sorbet 60ml</t>
        </is>
      </c>
      <c r="D2361" t="inlineStr">
        <is>
          <t>Miss Glam Jambi</t>
        </is>
      </c>
      <c r="E2361" t="n">
        <v>16</v>
      </c>
      <c r="F2361" t="n">
        <v>0.2046</v>
      </c>
      <c r="G2361" t="n">
        <v>1.32</v>
      </c>
      <c r="H2361" t="n">
        <v>4</v>
      </c>
      <c r="I2361" t="n">
        <v>17</v>
      </c>
      <c r="J2361" t="n">
        <v>3</v>
      </c>
      <c r="K2361" t="n">
        <v>0</v>
      </c>
      <c r="L2361" t="n">
        <v>19485</v>
      </c>
      <c r="M2361" t="n">
        <v>22000</v>
      </c>
      <c r="N2361" t="n">
        <v>33</v>
      </c>
      <c r="O2361" t="n">
        <v>0.33</v>
      </c>
      <c r="P2361" t="n">
        <v>1</v>
      </c>
      <c r="Q2361" t="n">
        <v>0.03</v>
      </c>
      <c r="R2361" t="n">
        <v>1</v>
      </c>
      <c r="S2361" t="n">
        <v>4501.2</v>
      </c>
      <c r="T2361" t="n">
        <v>22</v>
      </c>
      <c r="U2361" t="n">
        <v>23</v>
      </c>
      <c r="V2361" t="n">
        <v>30</v>
      </c>
      <c r="W2361" t="n">
        <v>7</v>
      </c>
      <c r="X2361" t="n">
        <v>78.20136852394917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2266</v>
      </c>
      <c r="AG2361" t="n">
        <v>2602</v>
      </c>
      <c r="AH2361" t="inlineStr">
        <is>
          <t>PT. AKASHA INTERNATIONAL Tbk - PPN (PLB)</t>
        </is>
      </c>
      <c r="AI2361" t="n">
        <v>102</v>
      </c>
      <c r="AJ2361" t="inlineStr">
        <is>
          <t>MAKARIZO</t>
        </is>
      </c>
      <c r="AK2361" t="n">
        <v>9</v>
      </c>
      <c r="AL2361" t="inlineStr">
        <is>
          <t>Miss Glam Jambi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"8992982500215"</f>
        <v/>
      </c>
      <c r="C2362" t="inlineStr">
        <is>
          <t>MAKARIZO Texture  Creambath Black  Chocolate 500gr</t>
        </is>
      </c>
      <c r="D2362" t="inlineStr">
        <is>
          <t>Miss Glam Jambi</t>
        </is>
      </c>
      <c r="E2362" t="n">
        <v>4</v>
      </c>
      <c r="F2362" t="n">
        <v>0.006600000000000001</v>
      </c>
      <c r="G2362" t="n">
        <v>0.33</v>
      </c>
      <c r="H2362" t="n">
        <v>4</v>
      </c>
      <c r="I2362" t="n">
        <v>17</v>
      </c>
      <c r="J2362" t="n">
        <v>3</v>
      </c>
      <c r="K2362" t="n">
        <v>0</v>
      </c>
      <c r="L2362" t="n">
        <v>143100</v>
      </c>
      <c r="M2362" t="n">
        <v>172000</v>
      </c>
      <c r="N2362" t="n">
        <v>33</v>
      </c>
      <c r="O2362" t="n">
        <v>0.33</v>
      </c>
      <c r="P2362" t="n">
        <v>1</v>
      </c>
      <c r="Q2362" t="n">
        <v>0.02</v>
      </c>
      <c r="R2362" t="n">
        <v>1</v>
      </c>
      <c r="S2362" t="n">
        <v>1135.2</v>
      </c>
      <c r="T2362" t="n">
        <v>6</v>
      </c>
      <c r="U2362" t="n">
        <v>7</v>
      </c>
      <c r="V2362" t="n">
        <v>30</v>
      </c>
      <c r="W2362" t="n">
        <v>1</v>
      </c>
      <c r="X2362" t="n">
        <v>606.060606060606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2266</v>
      </c>
      <c r="AG2362" t="n">
        <v>2602</v>
      </c>
      <c r="AH2362" t="inlineStr">
        <is>
          <t>PT. AKASHA INTERNATIONAL Tbk - PPN (PLB)</t>
        </is>
      </c>
      <c r="AI2362" t="n">
        <v>102</v>
      </c>
      <c r="AJ2362" t="inlineStr">
        <is>
          <t>MAKARIZO</t>
        </is>
      </c>
      <c r="AK2362" t="n">
        <v>9</v>
      </c>
      <c r="AL2362" t="inlineStr">
        <is>
          <t>Miss Glam Jambi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"40200707029"</f>
        <v/>
      </c>
      <c r="C2363" t="inlineStr">
        <is>
          <t>MAKARIZO Texture Creambath Black Chocolate Tube 200ml</t>
        </is>
      </c>
      <c r="D2363" t="inlineStr">
        <is>
          <t>Miss Glam Jambi</t>
        </is>
      </c>
      <c r="E2363" t="n">
        <v>9</v>
      </c>
      <c r="F2363" t="n">
        <v>0.066</v>
      </c>
      <c r="G2363" t="n">
        <v>0.66</v>
      </c>
      <c r="H2363" t="n">
        <v>4</v>
      </c>
      <c r="I2363" t="n">
        <v>17</v>
      </c>
      <c r="J2363" t="n">
        <v>1</v>
      </c>
      <c r="K2363" t="n">
        <v>0</v>
      </c>
      <c r="L2363" t="n">
        <v>64770</v>
      </c>
      <c r="M2363" t="n">
        <v>76500</v>
      </c>
      <c r="N2363" t="n">
        <v>33</v>
      </c>
      <c r="O2363" t="n">
        <v>0.33</v>
      </c>
      <c r="P2363" t="n">
        <v>1</v>
      </c>
      <c r="Q2363" t="n">
        <v>0.14</v>
      </c>
      <c r="R2363" t="n">
        <v>1</v>
      </c>
      <c r="S2363" t="n">
        <v>5049</v>
      </c>
      <c r="T2363" t="n">
        <v>11</v>
      </c>
      <c r="U2363" t="n">
        <v>12</v>
      </c>
      <c r="V2363" t="n">
        <v>30</v>
      </c>
      <c r="W2363" t="n">
        <v>2</v>
      </c>
      <c r="X2363" t="n">
        <v>136.3636363636363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2266</v>
      </c>
      <c r="AG2363" t="n">
        <v>2602</v>
      </c>
      <c r="AH2363" t="inlineStr">
        <is>
          <t>PT. AKASHA INTERNATIONAL Tbk - PPN (PLB)</t>
        </is>
      </c>
      <c r="AI2363" t="n">
        <v>102</v>
      </c>
      <c r="AJ2363" t="inlineStr">
        <is>
          <t>MAKARIZO</t>
        </is>
      </c>
      <c r="AK2363" t="n">
        <v>9</v>
      </c>
      <c r="AL2363" t="inlineStr">
        <is>
          <t>Miss Glam Jambi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"40200707249"</f>
        <v/>
      </c>
      <c r="C2364" t="inlineStr">
        <is>
          <t>MAKARIZO Texture Creambath Green Tea Tube 200ml</t>
        </is>
      </c>
      <c r="D2364" t="inlineStr">
        <is>
          <t>Miss Glam Jambi</t>
        </is>
      </c>
      <c r="E2364" t="n">
        <v>10</v>
      </c>
      <c r="F2364" t="n">
        <v>0.0231</v>
      </c>
      <c r="G2364" t="n">
        <v>0.99</v>
      </c>
      <c r="H2364" t="n">
        <v>4</v>
      </c>
      <c r="I2364" t="n">
        <v>17</v>
      </c>
      <c r="J2364" t="n">
        <v>1</v>
      </c>
      <c r="K2364" t="n">
        <v>0</v>
      </c>
      <c r="L2364" t="n">
        <v>64800</v>
      </c>
      <c r="M2364" t="n">
        <v>76500</v>
      </c>
      <c r="N2364" t="n">
        <v>33</v>
      </c>
      <c r="O2364" t="n">
        <v>0.33</v>
      </c>
      <c r="P2364" t="n">
        <v>1</v>
      </c>
      <c r="Q2364" t="n">
        <v>0.02</v>
      </c>
      <c r="R2364" t="n">
        <v>1</v>
      </c>
      <c r="S2364" t="n">
        <v>1767.15</v>
      </c>
      <c r="T2364" t="n">
        <v>17</v>
      </c>
      <c r="U2364" t="n">
        <v>18</v>
      </c>
      <c r="V2364" t="n">
        <v>30</v>
      </c>
      <c r="W2364" t="n">
        <v>1</v>
      </c>
      <c r="X2364" t="n">
        <v>432.9004329004329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2266</v>
      </c>
      <c r="AG2364" t="n">
        <v>2602</v>
      </c>
      <c r="AH2364" t="inlineStr">
        <is>
          <t>PT. AKASHA INTERNATIONAL Tbk - PPN (PLB)</t>
        </is>
      </c>
      <c r="AI2364" t="n">
        <v>102</v>
      </c>
      <c r="AJ2364" t="inlineStr">
        <is>
          <t>MAKARIZO</t>
        </is>
      </c>
      <c r="AK2364" t="n">
        <v>9</v>
      </c>
      <c r="AL2364" t="inlineStr">
        <is>
          <t>Miss Glam Jambi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"40200707421"</f>
        <v/>
      </c>
      <c r="C2365" t="inlineStr">
        <is>
          <t>MAKARIZO Texture Creambath Strawberry Yoghurt Tube 200ml</t>
        </is>
      </c>
      <c r="D2365" t="inlineStr">
        <is>
          <t>Miss Glam Jambi</t>
        </is>
      </c>
      <c r="E2365" t="n">
        <v>13</v>
      </c>
      <c r="F2365" t="n">
        <v>0.1056</v>
      </c>
      <c r="G2365" t="n">
        <v>0.66</v>
      </c>
      <c r="H2365" t="n">
        <v>4</v>
      </c>
      <c r="I2365" t="n">
        <v>17</v>
      </c>
      <c r="J2365" t="n">
        <v>1</v>
      </c>
      <c r="K2365" t="n">
        <v>0</v>
      </c>
      <c r="L2365" t="n">
        <v>64729</v>
      </c>
      <c r="M2365" t="n">
        <v>76500</v>
      </c>
      <c r="N2365" t="n">
        <v>33</v>
      </c>
      <c r="O2365" t="n">
        <v>0.33</v>
      </c>
      <c r="P2365" t="n">
        <v>1</v>
      </c>
      <c r="Q2365" t="n">
        <v>0.12</v>
      </c>
      <c r="R2365" t="n">
        <v>2</v>
      </c>
      <c r="S2365" t="n">
        <v>8078.400000000001</v>
      </c>
      <c r="T2365" t="n">
        <v>11</v>
      </c>
      <c r="U2365" t="n">
        <v>12</v>
      </c>
      <c r="V2365" t="n">
        <v>30</v>
      </c>
      <c r="W2365" t="n">
        <v>4</v>
      </c>
      <c r="X2365" t="n">
        <v>123.1060606060606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2266</v>
      </c>
      <c r="AG2365" t="n">
        <v>2602</v>
      </c>
      <c r="AH2365" t="inlineStr">
        <is>
          <t>PT. AKASHA INTERNATIONAL Tbk - PPN (PLB)</t>
        </is>
      </c>
      <c r="AI2365" t="n">
        <v>102</v>
      </c>
      <c r="AJ2365" t="inlineStr">
        <is>
          <t>MAKARIZO</t>
        </is>
      </c>
      <c r="AK2365" t="n">
        <v>9</v>
      </c>
      <c r="AL2365" t="inlineStr">
        <is>
          <t>Miss Glam Jambi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"40200707503"</f>
        <v/>
      </c>
      <c r="C2366" t="inlineStr">
        <is>
          <t>MAKARIZO Texture Creambath Vanilla Milk Tube 200ml</t>
        </is>
      </c>
      <c r="D2366" t="inlineStr">
        <is>
          <t>Miss Glam Jambi</t>
        </is>
      </c>
      <c r="E2366" t="n">
        <v>5</v>
      </c>
      <c r="F2366" t="n">
        <v>0.033</v>
      </c>
      <c r="G2366" t="n">
        <v>0.33</v>
      </c>
      <c r="H2366" t="n">
        <v>4</v>
      </c>
      <c r="I2366" t="n">
        <v>17</v>
      </c>
      <c r="J2366" t="n">
        <v>1</v>
      </c>
      <c r="K2366" t="n">
        <v>0</v>
      </c>
      <c r="L2366" t="n">
        <v>64800</v>
      </c>
      <c r="M2366" t="n">
        <v>76500</v>
      </c>
      <c r="N2366" t="n">
        <v>33</v>
      </c>
      <c r="O2366" t="n">
        <v>0.33</v>
      </c>
      <c r="P2366" t="n">
        <v>1</v>
      </c>
      <c r="Q2366" t="n">
        <v>0.02</v>
      </c>
      <c r="R2366" t="n">
        <v>1</v>
      </c>
      <c r="S2366" t="n">
        <v>2524.5</v>
      </c>
      <c r="T2366" t="n">
        <v>6</v>
      </c>
      <c r="U2366" t="n">
        <v>7</v>
      </c>
      <c r="V2366" t="n">
        <v>30</v>
      </c>
      <c r="W2366" t="n">
        <v>1</v>
      </c>
      <c r="X2366" t="n">
        <v>151.5151515151515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2266</v>
      </c>
      <c r="AG2366" t="n">
        <v>2602</v>
      </c>
      <c r="AH2366" t="inlineStr">
        <is>
          <t>PT. AKASHA INTERNATIONAL Tbk - PPN (PLB)</t>
        </is>
      </c>
      <c r="AI2366" t="n">
        <v>102</v>
      </c>
      <c r="AJ2366" t="inlineStr">
        <is>
          <t>MAKARIZO</t>
        </is>
      </c>
      <c r="AK2366" t="n">
        <v>9</v>
      </c>
      <c r="AL2366" t="inlineStr">
        <is>
          <t>Miss Glam Jambi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"8992982501076"</f>
        <v/>
      </c>
      <c r="C2367" t="inlineStr">
        <is>
          <t>MAKARIZO Texture Experience  Creambath Strawberry Yoghurt 60ml</t>
        </is>
      </c>
      <c r="D2367" t="inlineStr">
        <is>
          <t>Miss Glam Jambi</t>
        </is>
      </c>
      <c r="E2367" t="n">
        <v>34</v>
      </c>
      <c r="F2367" t="n">
        <v>0.3234</v>
      </c>
      <c r="G2367" t="n">
        <v>1.32</v>
      </c>
      <c r="H2367" t="n">
        <v>4</v>
      </c>
      <c r="I2367" t="n">
        <v>17</v>
      </c>
      <c r="J2367" t="n">
        <v>3</v>
      </c>
      <c r="K2367" t="n">
        <v>0</v>
      </c>
      <c r="L2367" t="n">
        <v>19559</v>
      </c>
      <c r="M2367" t="n">
        <v>20600</v>
      </c>
      <c r="N2367" t="n">
        <v>33</v>
      </c>
      <c r="O2367" t="n">
        <v>0.33</v>
      </c>
      <c r="P2367" t="n">
        <v>1</v>
      </c>
      <c r="Q2367" t="n">
        <v>0.36</v>
      </c>
      <c r="R2367" t="n">
        <v>2</v>
      </c>
      <c r="S2367" t="n">
        <v>6662.040000000001</v>
      </c>
      <c r="T2367" t="n">
        <v>22</v>
      </c>
      <c r="U2367" t="n">
        <v>24</v>
      </c>
      <c r="V2367" t="n">
        <v>30</v>
      </c>
      <c r="W2367" t="n">
        <v>10</v>
      </c>
      <c r="X2367" t="n">
        <v>105.1329622758194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2266</v>
      </c>
      <c r="AG2367" t="n">
        <v>2602</v>
      </c>
      <c r="AH2367" t="inlineStr">
        <is>
          <t>PT. AKASHA INTERNATIONAL Tbk - PPN (PLB)</t>
        </is>
      </c>
      <c r="AI2367" t="n">
        <v>102</v>
      </c>
      <c r="AJ2367" t="inlineStr">
        <is>
          <t>MAKARIZO</t>
        </is>
      </c>
      <c r="AK2367" t="n">
        <v>9</v>
      </c>
      <c r="AL2367" t="inlineStr">
        <is>
          <t>Miss Glam Jambi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"800142902220"</f>
        <v/>
      </c>
      <c r="C2368" t="inlineStr">
        <is>
          <t>MAKARIZO Texture Experience Black Choco 60g</t>
        </is>
      </c>
      <c r="D2368" t="inlineStr">
        <is>
          <t>Miss Glam Jambi</t>
        </is>
      </c>
      <c r="E2368" t="n">
        <v>17</v>
      </c>
      <c r="F2368" t="n">
        <v>0.2277</v>
      </c>
      <c r="G2368" t="n">
        <v>1.32</v>
      </c>
      <c r="H2368" t="n">
        <v>4</v>
      </c>
      <c r="I2368" t="n">
        <v>17</v>
      </c>
      <c r="J2368" t="n">
        <v>3</v>
      </c>
      <c r="K2368" t="n">
        <v>0</v>
      </c>
      <c r="L2368" t="n">
        <v>18080</v>
      </c>
      <c r="M2368" t="n">
        <v>21500</v>
      </c>
      <c r="N2368" t="n">
        <v>33</v>
      </c>
      <c r="O2368" t="n">
        <v>0.33</v>
      </c>
      <c r="P2368" t="n">
        <v>1</v>
      </c>
      <c r="Q2368" t="n">
        <v>0.15</v>
      </c>
      <c r="R2368" t="n">
        <v>1</v>
      </c>
      <c r="S2368" t="n">
        <v>4895.549999999999</v>
      </c>
      <c r="T2368" t="n">
        <v>22</v>
      </c>
      <c r="U2368" t="n">
        <v>23</v>
      </c>
      <c r="V2368" t="n">
        <v>30</v>
      </c>
      <c r="W2368" t="n">
        <v>7</v>
      </c>
      <c r="X2368" t="n">
        <v>74.65963987703118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2266</v>
      </c>
      <c r="AG2368" t="n">
        <v>2602</v>
      </c>
      <c r="AH2368" t="inlineStr">
        <is>
          <t>PT. AKASHA INTERNATIONAL Tbk - PPN (PLB)</t>
        </is>
      </c>
      <c r="AI2368" t="n">
        <v>102</v>
      </c>
      <c r="AJ2368" t="inlineStr">
        <is>
          <t>MAKARIZO</t>
        </is>
      </c>
      <c r="AK2368" t="n">
        <v>9</v>
      </c>
      <c r="AL2368" t="inlineStr">
        <is>
          <t>Miss Glam Jambi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"8992982501533"</f>
        <v/>
      </c>
      <c r="C2369" t="inlineStr">
        <is>
          <t>MAKARIZO Texture Experience Conditioner Black Chocolate 250ml</t>
        </is>
      </c>
      <c r="D2369" t="inlineStr">
        <is>
          <t>Miss Glam Jambi</t>
        </is>
      </c>
      <c r="E2369" t="n">
        <v>7</v>
      </c>
      <c r="F2369" t="n">
        <v>0.0231</v>
      </c>
      <c r="G2369" t="n">
        <v>0.33</v>
      </c>
      <c r="H2369" t="n">
        <v>4</v>
      </c>
      <c r="I2369" t="n">
        <v>17</v>
      </c>
      <c r="J2369" t="n">
        <v>3</v>
      </c>
      <c r="K2369" t="n">
        <v>0</v>
      </c>
      <c r="L2369" t="n">
        <v>46800</v>
      </c>
      <c r="M2369" t="n">
        <v>53000</v>
      </c>
      <c r="N2369" t="n">
        <v>33</v>
      </c>
      <c r="O2369" t="n">
        <v>0.33</v>
      </c>
      <c r="P2369" t="n">
        <v>1</v>
      </c>
      <c r="Q2369" t="n">
        <v>0.02</v>
      </c>
      <c r="R2369" t="n">
        <v>1</v>
      </c>
      <c r="S2369" t="n">
        <v>1224.3</v>
      </c>
      <c r="T2369" t="n">
        <v>6</v>
      </c>
      <c r="U2369" t="n">
        <v>7</v>
      </c>
      <c r="V2369" t="n">
        <v>30</v>
      </c>
      <c r="W2369" t="n">
        <v>1</v>
      </c>
      <c r="X2369" t="n">
        <v>303.030303030303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2266</v>
      </c>
      <c r="AG2369" t="n">
        <v>2602</v>
      </c>
      <c r="AH2369" t="inlineStr">
        <is>
          <t>PT. AKASHA INTERNATIONAL Tbk - PPN (PLB)</t>
        </is>
      </c>
      <c r="AI2369" t="n">
        <v>102</v>
      </c>
      <c r="AJ2369" t="inlineStr">
        <is>
          <t>MAKARIZO</t>
        </is>
      </c>
      <c r="AK2369" t="n">
        <v>9</v>
      </c>
      <c r="AL2369" t="inlineStr">
        <is>
          <t>Miss Glam Jambi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"8992982501489"</f>
        <v/>
      </c>
      <c r="C2370" t="inlineStr">
        <is>
          <t>MAKARIZO Texture Experience Shampoo Strawberry Yoghurt 250ml</t>
        </is>
      </c>
      <c r="D2370" t="inlineStr">
        <is>
          <t>Miss Glam Jambi</t>
        </is>
      </c>
      <c r="E2370" t="n">
        <v>8</v>
      </c>
      <c r="F2370" t="n">
        <v>0.0264</v>
      </c>
      <c r="G2370" t="n">
        <v>0.33</v>
      </c>
      <c r="H2370" t="n">
        <v>4</v>
      </c>
      <c r="I2370" t="n">
        <v>17</v>
      </c>
      <c r="J2370" t="n">
        <v>3</v>
      </c>
      <c r="K2370" t="n">
        <v>0</v>
      </c>
      <c r="L2370" t="n">
        <v>46800</v>
      </c>
      <c r="M2370" t="n">
        <v>54000</v>
      </c>
      <c r="N2370" t="n">
        <v>33</v>
      </c>
      <c r="O2370" t="n">
        <v>0.33</v>
      </c>
      <c r="P2370" t="n">
        <v>1</v>
      </c>
      <c r="Q2370" t="n">
        <v>0.03</v>
      </c>
      <c r="R2370" t="n">
        <v>1</v>
      </c>
      <c r="S2370" t="n">
        <v>1425.6</v>
      </c>
      <c r="T2370" t="n">
        <v>6</v>
      </c>
      <c r="U2370" t="n">
        <v>7</v>
      </c>
      <c r="V2370" t="n">
        <v>30</v>
      </c>
      <c r="W2370" t="n">
        <v>1</v>
      </c>
      <c r="X2370" t="n">
        <v>303.030303030303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2266</v>
      </c>
      <c r="AG2370" t="n">
        <v>2602</v>
      </c>
      <c r="AH2370" t="inlineStr">
        <is>
          <t>PT. AKASHA INTERNATIONAL Tbk - PPN (PLB)</t>
        </is>
      </c>
      <c r="AI2370" t="n">
        <v>102</v>
      </c>
      <c r="AJ2370" t="inlineStr">
        <is>
          <t>MAKARIZO</t>
        </is>
      </c>
      <c r="AK2370" t="n">
        <v>9</v>
      </c>
      <c r="AL2370" t="inlineStr">
        <is>
          <t>Miss Glam Jambi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"8992982501571"</f>
        <v/>
      </c>
      <c r="C2371" t="inlineStr">
        <is>
          <t>MAKARIZO Texture Experince Conditioner Vanila Milk 250ml</t>
        </is>
      </c>
      <c r="D2371" t="inlineStr">
        <is>
          <t>Miss Glam Jambi</t>
        </is>
      </c>
      <c r="E2371" t="n">
        <v>5</v>
      </c>
      <c r="F2371" t="n">
        <v>0.006600000000000001</v>
      </c>
      <c r="G2371" t="n">
        <v>0.33</v>
      </c>
      <c r="H2371" t="n">
        <v>4</v>
      </c>
      <c r="I2371" t="n">
        <v>17</v>
      </c>
      <c r="J2371" t="n">
        <v>3</v>
      </c>
      <c r="K2371" t="n">
        <v>0</v>
      </c>
      <c r="L2371" t="n">
        <v>46800</v>
      </c>
      <c r="M2371" t="n">
        <v>55500</v>
      </c>
      <c r="N2371" t="n">
        <v>33</v>
      </c>
      <c r="O2371" t="n">
        <v>0.33</v>
      </c>
      <c r="P2371" t="n">
        <v>1</v>
      </c>
      <c r="Q2371" t="n">
        <v>0.02</v>
      </c>
      <c r="R2371" t="n">
        <v>1</v>
      </c>
      <c r="S2371" t="n">
        <v>366.3000000000001</v>
      </c>
      <c r="T2371" t="n">
        <v>6</v>
      </c>
      <c r="U2371" t="n">
        <v>7</v>
      </c>
      <c r="V2371" t="n">
        <v>30</v>
      </c>
      <c r="W2371" t="n">
        <v>1</v>
      </c>
      <c r="X2371" t="n">
        <v>757.5757575757575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2266</v>
      </c>
      <c r="AG2371" t="n">
        <v>2602</v>
      </c>
      <c r="AH2371" t="inlineStr">
        <is>
          <t>PT. AKASHA INTERNATIONAL Tbk - PPN (PLB)</t>
        </is>
      </c>
      <c r="AI2371" t="n">
        <v>102</v>
      </c>
      <c r="AJ2371" t="inlineStr">
        <is>
          <t>MAKARIZO</t>
        </is>
      </c>
      <c r="AK2371" t="n">
        <v>9</v>
      </c>
      <c r="AL2371" t="inlineStr">
        <is>
          <t>Miss Glam Jambi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"8992982401208"</f>
        <v/>
      </c>
      <c r="C2372" t="inlineStr">
        <is>
          <t>MAKARIZO Vitaglitz Hair Serum Revitalizing Care 8ml</t>
        </is>
      </c>
      <c r="D2372" t="inlineStr">
        <is>
          <t>Miss Glam Jambi</t>
        </is>
      </c>
      <c r="E2372" t="n">
        <v>3</v>
      </c>
      <c r="F2372" t="n">
        <v>0.1452</v>
      </c>
      <c r="G2372" t="n">
        <v>0.66</v>
      </c>
      <c r="H2372" t="n">
        <v>4</v>
      </c>
      <c r="I2372" t="n">
        <v>17</v>
      </c>
      <c r="J2372" t="n">
        <v>3</v>
      </c>
      <c r="K2372" t="n">
        <v>3</v>
      </c>
      <c r="L2372" t="n">
        <v>11834</v>
      </c>
      <c r="M2372" t="n">
        <v>16200</v>
      </c>
      <c r="N2372" t="n">
        <v>33</v>
      </c>
      <c r="O2372" t="n">
        <v>0.33</v>
      </c>
      <c r="P2372" t="n">
        <v>1</v>
      </c>
      <c r="Q2372" t="n">
        <v>0.1</v>
      </c>
      <c r="R2372" t="n">
        <v>1</v>
      </c>
      <c r="S2372" t="n">
        <v>2352.24</v>
      </c>
      <c r="T2372" t="n">
        <v>11</v>
      </c>
      <c r="U2372" t="n">
        <v>12</v>
      </c>
      <c r="V2372" t="n">
        <v>30</v>
      </c>
      <c r="W2372" t="n">
        <v>5</v>
      </c>
      <c r="X2372" t="n">
        <v>20.66115702479339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2266</v>
      </c>
      <c r="AG2372" t="n">
        <v>2602</v>
      </c>
      <c r="AH2372" t="inlineStr">
        <is>
          <t>PT. AKASHA INTERNATIONAL Tbk - PPN (PLB)</t>
        </is>
      </c>
      <c r="AI2372" t="n">
        <v>102</v>
      </c>
      <c r="AJ2372" t="inlineStr">
        <is>
          <t>MAKARIZO</t>
        </is>
      </c>
      <c r="AK2372" t="n">
        <v>9</v>
      </c>
      <c r="AL2372" t="inlineStr">
        <is>
          <t>Miss Glam Jambi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"8992982401185"</f>
        <v/>
      </c>
      <c r="C2373" t="inlineStr">
        <is>
          <t>MAKARIZO VItaglitz Hair Serum Shine Reflect Enhancer 8ml</t>
        </is>
      </c>
      <c r="D2373" t="inlineStr">
        <is>
          <t>Miss Glam Jambi</t>
        </is>
      </c>
      <c r="E2373" t="n">
        <v>4</v>
      </c>
      <c r="F2373" t="n">
        <v>0.1188</v>
      </c>
      <c r="G2373" t="n">
        <v>0.99</v>
      </c>
      <c r="H2373" t="n">
        <v>4</v>
      </c>
      <c r="I2373" t="n">
        <v>17</v>
      </c>
      <c r="J2373" t="n">
        <v>3</v>
      </c>
      <c r="K2373" t="n">
        <v>0</v>
      </c>
      <c r="L2373" t="n">
        <v>11834</v>
      </c>
      <c r="M2373" t="n">
        <v>15700</v>
      </c>
      <c r="N2373" t="n">
        <v>33</v>
      </c>
      <c r="O2373" t="n">
        <v>0.33</v>
      </c>
      <c r="P2373" t="n">
        <v>1</v>
      </c>
      <c r="Q2373" t="n">
        <v>0.02</v>
      </c>
      <c r="R2373" t="n">
        <v>1</v>
      </c>
      <c r="S2373" t="n">
        <v>1865.16</v>
      </c>
      <c r="T2373" t="n">
        <v>17</v>
      </c>
      <c r="U2373" t="n">
        <v>18</v>
      </c>
      <c r="V2373" t="n">
        <v>30</v>
      </c>
      <c r="W2373" t="n">
        <v>4</v>
      </c>
      <c r="X2373" t="n">
        <v>33.67003367003367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2266</v>
      </c>
      <c r="AG2373" t="n">
        <v>2602</v>
      </c>
      <c r="AH2373" t="inlineStr">
        <is>
          <t>PT. AKASHA INTERNATIONAL Tbk - PPN (PLB)</t>
        </is>
      </c>
      <c r="AI2373" t="n">
        <v>102</v>
      </c>
      <c r="AJ2373" t="inlineStr">
        <is>
          <t>MAKARIZO</t>
        </is>
      </c>
      <c r="AK2373" t="n">
        <v>9</v>
      </c>
      <c r="AL2373" t="inlineStr">
        <is>
          <t>Miss Glam Jambi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"8992982401192"</f>
        <v/>
      </c>
      <c r="C2374" t="inlineStr">
        <is>
          <t>MAKARIZO Vitaglitz Hair Serum Stregh Booster 8ml</t>
        </is>
      </c>
      <c r="D2374" t="inlineStr">
        <is>
          <t>Miss Glam Jambi</t>
        </is>
      </c>
      <c r="E2374" t="n">
        <v>12</v>
      </c>
      <c r="F2374" t="n">
        <v>0.0396</v>
      </c>
      <c r="G2374" t="n">
        <v>0.33</v>
      </c>
      <c r="H2374" t="n">
        <v>4</v>
      </c>
      <c r="I2374" t="n">
        <v>17</v>
      </c>
      <c r="J2374" t="n">
        <v>3</v>
      </c>
      <c r="K2374" t="n">
        <v>0</v>
      </c>
      <c r="L2374" t="n">
        <v>11834</v>
      </c>
      <c r="M2374" t="n">
        <v>15700</v>
      </c>
      <c r="N2374" t="n">
        <v>33</v>
      </c>
      <c r="O2374" t="n">
        <v>0.33</v>
      </c>
      <c r="P2374" t="n">
        <v>1</v>
      </c>
      <c r="Q2374" t="n">
        <v>0.02</v>
      </c>
      <c r="R2374" t="n">
        <v>1</v>
      </c>
      <c r="S2374" t="n">
        <v>621.72</v>
      </c>
      <c r="T2374" t="n">
        <v>6</v>
      </c>
      <c r="U2374" t="n">
        <v>7</v>
      </c>
      <c r="V2374" t="n">
        <v>30</v>
      </c>
      <c r="W2374" t="n">
        <v>2</v>
      </c>
      <c r="X2374" t="n">
        <v>303.030303030303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2266</v>
      </c>
      <c r="AG2374" t="n">
        <v>2602</v>
      </c>
      <c r="AH2374" t="inlineStr">
        <is>
          <t>PT. AKASHA INTERNATIONAL Tbk - PPN (PLB)</t>
        </is>
      </c>
      <c r="AI2374" t="n">
        <v>102</v>
      </c>
      <c r="AJ2374" t="inlineStr">
        <is>
          <t>MAKARIZO</t>
        </is>
      </c>
      <c r="AK2374" t="n">
        <v>9</v>
      </c>
      <c r="AL2374" t="inlineStr">
        <is>
          <t>Miss Glam Jambi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"20300450236"</f>
        <v/>
      </c>
      <c r="C2375" t="inlineStr">
        <is>
          <t>MAKE OVER Amplify Fluid Glass 500 COAT 4.7gr</t>
        </is>
      </c>
      <c r="D2375" t="inlineStr">
        <is>
          <t>Miss Glam Jambi</t>
        </is>
      </c>
      <c r="E2375" t="n">
        <v>5</v>
      </c>
      <c r="F2375" t="n">
        <v>0.02</v>
      </c>
      <c r="G2375" t="n">
        <v>1</v>
      </c>
      <c r="H2375" t="n">
        <v>2</v>
      </c>
      <c r="I2375" t="n">
        <v>7</v>
      </c>
      <c r="J2375" t="n">
        <v>1</v>
      </c>
      <c r="K2375" t="n">
        <v>0</v>
      </c>
      <c r="L2375" t="n">
        <v>102750</v>
      </c>
      <c r="M2375" t="n">
        <v>125500</v>
      </c>
      <c r="N2375" t="n">
        <v>33</v>
      </c>
      <c r="O2375" t="n">
        <v>0.33</v>
      </c>
      <c r="P2375" t="n">
        <v>0</v>
      </c>
      <c r="Q2375" t="n">
        <v>0.02</v>
      </c>
      <c r="R2375" t="n">
        <v>1</v>
      </c>
      <c r="S2375" t="n">
        <v>2510</v>
      </c>
      <c r="T2375" t="n">
        <v>7</v>
      </c>
      <c r="U2375" t="n">
        <v>8</v>
      </c>
      <c r="V2375" t="n">
        <v>30</v>
      </c>
      <c r="W2375" t="n">
        <v>1</v>
      </c>
      <c r="X2375" t="n">
        <v>250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11590</v>
      </c>
      <c r="AG2375" t="n">
        <v>2141</v>
      </c>
      <c r="AH2375" t="inlineStr">
        <is>
          <t>PT. PARAMA GLOBAL INSPIRA - PPN (JMB)</t>
        </is>
      </c>
      <c r="AI2375" t="n">
        <v>103</v>
      </c>
      <c r="AJ2375" t="inlineStr">
        <is>
          <t>MAKE OVER</t>
        </is>
      </c>
      <c r="AK2375" t="n">
        <v>9</v>
      </c>
      <c r="AL2375" t="inlineStr">
        <is>
          <t>Miss Glam Jambi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"8993137708845"</f>
        <v/>
      </c>
      <c r="C2376" t="inlineStr">
        <is>
          <t>MAKE OVER Hydrastay Liquid Tint Blush 02 Gala 15ml</t>
        </is>
      </c>
      <c r="D2376" t="inlineStr">
        <is>
          <t>Miss Glam Jambi</t>
        </is>
      </c>
      <c r="E2376" t="n">
        <v>4</v>
      </c>
      <c r="F2376" t="n">
        <v>0.0231</v>
      </c>
      <c r="G2376" t="n">
        <v>0.33</v>
      </c>
      <c r="H2376" t="n">
        <v>2</v>
      </c>
      <c r="I2376" t="n">
        <v>7</v>
      </c>
      <c r="J2376" t="n">
        <v>3</v>
      </c>
      <c r="K2376" t="n">
        <v>0</v>
      </c>
      <c r="L2376" t="n">
        <v>99000</v>
      </c>
      <c r="M2376" t="n">
        <v>129000</v>
      </c>
      <c r="N2376" t="n">
        <v>33</v>
      </c>
      <c r="O2376" t="n">
        <v>0.33</v>
      </c>
      <c r="P2376" t="n">
        <v>1</v>
      </c>
      <c r="Q2376" t="n">
        <v>0.05</v>
      </c>
      <c r="R2376" t="n">
        <v>1</v>
      </c>
      <c r="S2376" t="n">
        <v>2979.900000000001</v>
      </c>
      <c r="T2376" t="n">
        <v>3</v>
      </c>
      <c r="U2376" t="n">
        <v>4</v>
      </c>
      <c r="V2376" t="n">
        <v>30</v>
      </c>
      <c r="W2376" t="n">
        <v>1</v>
      </c>
      <c r="X2376" t="n">
        <v>173.1601731601731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11590</v>
      </c>
      <c r="AG2376" t="n">
        <v>2141</v>
      </c>
      <c r="AH2376" t="inlineStr">
        <is>
          <t>PT. PARAMA GLOBAL INSPIRA - PPN (JMB)</t>
        </is>
      </c>
      <c r="AI2376" t="n">
        <v>103</v>
      </c>
      <c r="AJ2376" t="inlineStr">
        <is>
          <t>MAKE OVER</t>
        </is>
      </c>
      <c r="AK2376" t="n">
        <v>9</v>
      </c>
      <c r="AL2376" t="inlineStr">
        <is>
          <t>Miss Glam Jambi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MAKE OVER</t>
        </is>
      </c>
      <c r="B2377" s="2">
        <f>"8993137708876"</f>
        <v/>
      </c>
      <c r="C2377" t="inlineStr">
        <is>
          <t>MAKE OVER Hydrastay Liquid Tint Blush 05 Sun Baked 15ml</t>
        </is>
      </c>
      <c r="D2377" t="inlineStr">
        <is>
          <t>Miss Glam Jambi</t>
        </is>
      </c>
      <c r="E2377" t="n">
        <v>3</v>
      </c>
      <c r="F2377" t="n">
        <v>0.03</v>
      </c>
      <c r="G2377" t="n">
        <v>1</v>
      </c>
      <c r="H2377" t="n">
        <v>2</v>
      </c>
      <c r="I2377" t="n">
        <v>7</v>
      </c>
      <c r="J2377" t="n">
        <v>3</v>
      </c>
      <c r="K2377" t="n">
        <v>0</v>
      </c>
      <c r="L2377" t="n">
        <v>99000</v>
      </c>
      <c r="M2377" t="n">
        <v>124500</v>
      </c>
      <c r="N2377" t="n">
        <v>33</v>
      </c>
      <c r="O2377" t="n">
        <v>0.33</v>
      </c>
      <c r="P2377" t="n">
        <v>0</v>
      </c>
      <c r="Q2377" t="n">
        <v>0.03</v>
      </c>
      <c r="R2377" t="n">
        <v>1</v>
      </c>
      <c r="S2377" t="n">
        <v>3735</v>
      </c>
      <c r="T2377" t="n">
        <v>7</v>
      </c>
      <c r="U2377" t="n">
        <v>8</v>
      </c>
      <c r="V2377" t="n">
        <v>30</v>
      </c>
      <c r="W2377" t="n">
        <v>1</v>
      </c>
      <c r="X2377" t="n">
        <v>100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11590</v>
      </c>
      <c r="AG2377" t="n">
        <v>2141</v>
      </c>
      <c r="AH2377" t="inlineStr">
        <is>
          <t>PT. PARAMA GLOBAL INSPIRA - PPN (JMB)</t>
        </is>
      </c>
      <c r="AI2377" t="n">
        <v>103</v>
      </c>
      <c r="AJ2377" t="inlineStr">
        <is>
          <t>MAKE OVER</t>
        </is>
      </c>
      <c r="AK2377" t="n">
        <v>9</v>
      </c>
      <c r="AL2377" t="inlineStr">
        <is>
          <t>Miss Glam Jambi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MAKE OVER</t>
        </is>
      </c>
      <c r="B2378" s="2">
        <f>"20100472020"</f>
        <v/>
      </c>
      <c r="C2378" t="inlineStr">
        <is>
          <t>MAKE OVER Hydrastay Prismatic Glass Cushion C21 Pink Ivory 12gr</t>
        </is>
      </c>
      <c r="D2378" t="inlineStr">
        <is>
          <t>Miss Glam Jambi</t>
        </is>
      </c>
      <c r="E2378" t="n">
        <v>3</v>
      </c>
      <c r="F2378" t="n">
        <v>0.02</v>
      </c>
      <c r="G2378" t="n">
        <v>1</v>
      </c>
      <c r="H2378" t="n">
        <v>2</v>
      </c>
      <c r="I2378" t="n">
        <v>7</v>
      </c>
      <c r="J2378" t="n">
        <v>1</v>
      </c>
      <c r="K2378" t="n">
        <v>0</v>
      </c>
      <c r="L2378" t="n">
        <v>170250</v>
      </c>
      <c r="M2378" t="n">
        <v>208000</v>
      </c>
      <c r="N2378" t="n">
        <v>33</v>
      </c>
      <c r="O2378" t="n">
        <v>0.33</v>
      </c>
      <c r="P2378" t="n">
        <v>0</v>
      </c>
      <c r="Q2378" t="n">
        <v>0.02</v>
      </c>
      <c r="R2378" t="n">
        <v>1</v>
      </c>
      <c r="S2378" t="n">
        <v>4160</v>
      </c>
      <c r="T2378" t="n">
        <v>7</v>
      </c>
      <c r="U2378" t="n">
        <v>8</v>
      </c>
      <c r="V2378" t="n">
        <v>30</v>
      </c>
      <c r="W2378" t="n">
        <v>1</v>
      </c>
      <c r="X2378" t="n">
        <v>150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11590</v>
      </c>
      <c r="AG2378" t="n">
        <v>2141</v>
      </c>
      <c r="AH2378" t="inlineStr">
        <is>
          <t>PT. PARAMA GLOBAL INSPIRA - PPN (JMB)</t>
        </is>
      </c>
      <c r="AI2378" t="n">
        <v>103</v>
      </c>
      <c r="AJ2378" t="inlineStr">
        <is>
          <t>MAKE OVER</t>
        </is>
      </c>
      <c r="AK2378" t="n">
        <v>9</v>
      </c>
      <c r="AL2378" t="inlineStr">
        <is>
          <t>Miss Glam Jambi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MAKE OVER</t>
        </is>
      </c>
      <c r="B2379" s="2">
        <f>"20100472211"</f>
        <v/>
      </c>
      <c r="C2379" t="inlineStr">
        <is>
          <t>MAKE OVER Hydrastay Prismatic Glass Cushion N00 Porcelain 12gr</t>
        </is>
      </c>
      <c r="D2379" t="inlineStr">
        <is>
          <t>Miss Glam Jambi</t>
        </is>
      </c>
      <c r="E2379" t="n">
        <v>4</v>
      </c>
      <c r="F2379" t="n">
        <v>0.0165</v>
      </c>
      <c r="G2379" t="n">
        <v>0.66</v>
      </c>
      <c r="H2379" t="n">
        <v>2</v>
      </c>
      <c r="I2379" t="n">
        <v>7</v>
      </c>
      <c r="J2379" t="n">
        <v>1</v>
      </c>
      <c r="K2379" t="n">
        <v>0</v>
      </c>
      <c r="L2379" t="n">
        <v>170250</v>
      </c>
      <c r="M2379" t="n">
        <v>208000</v>
      </c>
      <c r="N2379" t="n">
        <v>33</v>
      </c>
      <c r="O2379" t="n">
        <v>0.33</v>
      </c>
      <c r="P2379" t="n">
        <v>1</v>
      </c>
      <c r="Q2379" t="n">
        <v>0.05</v>
      </c>
      <c r="R2379" t="n">
        <v>1</v>
      </c>
      <c r="S2379" t="n">
        <v>3432</v>
      </c>
      <c r="T2379" t="n">
        <v>5</v>
      </c>
      <c r="U2379" t="n">
        <v>6</v>
      </c>
      <c r="V2379" t="n">
        <v>30</v>
      </c>
      <c r="W2379" t="n">
        <v>1</v>
      </c>
      <c r="X2379" t="n">
        <v>242.4242424242424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11590</v>
      </c>
      <c r="AG2379" t="n">
        <v>2141</v>
      </c>
      <c r="AH2379" t="inlineStr">
        <is>
          <t>PT. PARAMA GLOBAL INSPIRA - PPN (JMB)</t>
        </is>
      </c>
      <c r="AI2379" t="n">
        <v>103</v>
      </c>
      <c r="AJ2379" t="inlineStr">
        <is>
          <t>MAKE OVER</t>
        </is>
      </c>
      <c r="AK2379" t="n">
        <v>9</v>
      </c>
      <c r="AL2379" t="inlineStr">
        <is>
          <t>Miss Glam Jambi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"20100472355"</f>
        <v/>
      </c>
      <c r="C2380" t="inlineStr">
        <is>
          <t>MAKE OVER Hydrastay Prismatic Glass Cushion N10 Marble 12gr</t>
        </is>
      </c>
      <c r="D2380" t="inlineStr">
        <is>
          <t>Miss Glam Jambi</t>
        </is>
      </c>
      <c r="E2380" t="n">
        <v>4</v>
      </c>
      <c r="F2380" t="n">
        <v>0.009900000000000001</v>
      </c>
      <c r="G2380" t="n">
        <v>0.33</v>
      </c>
      <c r="H2380" t="n">
        <v>2</v>
      </c>
      <c r="I2380" t="n">
        <v>7</v>
      </c>
      <c r="J2380" t="n">
        <v>1</v>
      </c>
      <c r="K2380" t="n">
        <v>0</v>
      </c>
      <c r="L2380" t="n">
        <v>170250</v>
      </c>
      <c r="M2380" t="n">
        <v>208000</v>
      </c>
      <c r="N2380" t="n">
        <v>33</v>
      </c>
      <c r="O2380" t="n">
        <v>0.33</v>
      </c>
      <c r="P2380" t="n">
        <v>1</v>
      </c>
      <c r="Q2380" t="n">
        <v>0.07000000000000001</v>
      </c>
      <c r="R2380" t="n">
        <v>1</v>
      </c>
      <c r="S2380" t="n">
        <v>2059.2</v>
      </c>
      <c r="T2380" t="n">
        <v>3</v>
      </c>
      <c r="U2380" t="n">
        <v>4</v>
      </c>
      <c r="V2380" t="n">
        <v>30</v>
      </c>
      <c r="W2380" t="n">
        <v>1</v>
      </c>
      <c r="X2380" t="n">
        <v>404.040404040404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11590</v>
      </c>
      <c r="AG2380" t="n">
        <v>2141</v>
      </c>
      <c r="AH2380" t="inlineStr">
        <is>
          <t>PT. PARAMA GLOBAL INSPIRA - PPN (JMB)</t>
        </is>
      </c>
      <c r="AI2380" t="n">
        <v>103</v>
      </c>
      <c r="AJ2380" t="inlineStr">
        <is>
          <t>MAKE OVER</t>
        </is>
      </c>
      <c r="AK2380" t="n">
        <v>9</v>
      </c>
      <c r="AL2380" t="inlineStr">
        <is>
          <t>Miss Glam Jambi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"20100472446"</f>
        <v/>
      </c>
      <c r="C2381" t="inlineStr">
        <is>
          <t>MAKE OVER Hydrastay Prismatic Glass Cushion N20 Ivory 12gr</t>
        </is>
      </c>
      <c r="D2381" t="inlineStr">
        <is>
          <t>Miss Glam Jambi</t>
        </is>
      </c>
      <c r="E2381" t="n">
        <v>6</v>
      </c>
      <c r="F2381" t="n">
        <v>0.0231</v>
      </c>
      <c r="G2381" t="n">
        <v>0.33</v>
      </c>
      <c r="H2381" t="n">
        <v>2</v>
      </c>
      <c r="I2381" t="n">
        <v>7</v>
      </c>
      <c r="J2381" t="n">
        <v>1</v>
      </c>
      <c r="K2381" t="n">
        <v>0</v>
      </c>
      <c r="L2381" t="n">
        <v>170250</v>
      </c>
      <c r="M2381" t="n">
        <v>208000</v>
      </c>
      <c r="N2381" t="n">
        <v>33</v>
      </c>
      <c r="O2381" t="n">
        <v>0.33</v>
      </c>
      <c r="P2381" t="n">
        <v>1</v>
      </c>
      <c r="Q2381" t="n">
        <v>0.29</v>
      </c>
      <c r="R2381" t="n">
        <v>2</v>
      </c>
      <c r="S2381" t="n">
        <v>4804.8</v>
      </c>
      <c r="T2381" t="n">
        <v>3</v>
      </c>
      <c r="U2381" t="n">
        <v>4</v>
      </c>
      <c r="V2381" t="n">
        <v>30</v>
      </c>
      <c r="W2381" t="n">
        <v>1</v>
      </c>
      <c r="X2381" t="n">
        <v>259.7402597402597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11590</v>
      </c>
      <c r="AG2381" t="n">
        <v>2141</v>
      </c>
      <c r="AH2381" t="inlineStr">
        <is>
          <t>PT. PARAMA GLOBAL INSPIRA - PPN (JMB)</t>
        </is>
      </c>
      <c r="AI2381" t="n">
        <v>103</v>
      </c>
      <c r="AJ2381" t="inlineStr">
        <is>
          <t>MAKE OVER</t>
        </is>
      </c>
      <c r="AK2381" t="n">
        <v>9</v>
      </c>
      <c r="AL2381" t="inlineStr">
        <is>
          <t>Miss Glam Jambi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MAKE OVER</t>
        </is>
      </c>
      <c r="B2382" s="2">
        <f>"20100472560"</f>
        <v/>
      </c>
      <c r="C2382" t="inlineStr">
        <is>
          <t>MAKE OVER Hydrastay Prismatic Glass Cushion N30 Natural Beige 12gr</t>
        </is>
      </c>
      <c r="D2382" t="inlineStr">
        <is>
          <t>Miss Glam Jambi</t>
        </is>
      </c>
      <c r="E2382" t="n">
        <v>4</v>
      </c>
      <c r="F2382" t="n">
        <v>0.0561</v>
      </c>
      <c r="G2382" t="n">
        <v>0.33</v>
      </c>
      <c r="H2382" t="n">
        <v>2</v>
      </c>
      <c r="I2382" t="n">
        <v>7</v>
      </c>
      <c r="J2382" t="n">
        <v>1</v>
      </c>
      <c r="K2382" t="n">
        <v>0</v>
      </c>
      <c r="L2382" t="n">
        <v>170250</v>
      </c>
      <c r="M2382" t="n">
        <v>208000</v>
      </c>
      <c r="N2382" t="n">
        <v>33</v>
      </c>
      <c r="O2382" t="n">
        <v>0.33</v>
      </c>
      <c r="P2382" t="n">
        <v>1</v>
      </c>
      <c r="Q2382" t="n">
        <v>0.05</v>
      </c>
      <c r="R2382" t="n">
        <v>1</v>
      </c>
      <c r="S2382" t="n">
        <v>11668.8</v>
      </c>
      <c r="T2382" t="n">
        <v>3</v>
      </c>
      <c r="U2382" t="n">
        <v>4</v>
      </c>
      <c r="V2382" t="n">
        <v>30</v>
      </c>
      <c r="W2382" t="n">
        <v>2</v>
      </c>
      <c r="X2382" t="n">
        <v>71.301247771836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11590</v>
      </c>
      <c r="AG2382" t="n">
        <v>2141</v>
      </c>
      <c r="AH2382" t="inlineStr">
        <is>
          <t>PT. PARAMA GLOBAL INSPIRA - PPN (JMB)</t>
        </is>
      </c>
      <c r="AI2382" t="n">
        <v>103</v>
      </c>
      <c r="AJ2382" t="inlineStr">
        <is>
          <t>MAKE OVER</t>
        </is>
      </c>
      <c r="AK2382" t="n">
        <v>9</v>
      </c>
      <c r="AL2382" t="inlineStr">
        <is>
          <t>Miss Glam Jambi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MAKE OVER</t>
        </is>
      </c>
      <c r="B2383" s="2">
        <f>"20100472644"</f>
        <v/>
      </c>
      <c r="C2383" t="inlineStr">
        <is>
          <t>MAKE OVER Hydrastay Prismatic Glass Cushion N40 Sand 12gr</t>
        </is>
      </c>
      <c r="D2383" t="inlineStr">
        <is>
          <t>Miss Glam Jambi</t>
        </is>
      </c>
      <c r="E2383" t="n">
        <v>5</v>
      </c>
      <c r="F2383" t="n">
        <v>0.009900000000000001</v>
      </c>
      <c r="G2383" t="n">
        <v>0.33</v>
      </c>
      <c r="H2383" t="n">
        <v>2</v>
      </c>
      <c r="I2383" t="n">
        <v>7</v>
      </c>
      <c r="J2383" t="n">
        <v>1</v>
      </c>
      <c r="K2383" t="n">
        <v>0</v>
      </c>
      <c r="L2383" t="n">
        <v>170250</v>
      </c>
      <c r="M2383" t="n">
        <v>208000</v>
      </c>
      <c r="N2383" t="n">
        <v>33</v>
      </c>
      <c r="O2383" t="n">
        <v>0.33</v>
      </c>
      <c r="P2383" t="n">
        <v>1</v>
      </c>
      <c r="Q2383" t="n">
        <v>0.02</v>
      </c>
      <c r="R2383" t="n">
        <v>1</v>
      </c>
      <c r="S2383" t="n">
        <v>2059.2</v>
      </c>
      <c r="T2383" t="n">
        <v>3</v>
      </c>
      <c r="U2383" t="n">
        <v>4</v>
      </c>
      <c r="V2383" t="n">
        <v>30</v>
      </c>
      <c r="W2383" t="n">
        <v>1</v>
      </c>
      <c r="X2383" t="n">
        <v>505.050505050505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11590</v>
      </c>
      <c r="AG2383" t="n">
        <v>2141</v>
      </c>
      <c r="AH2383" t="inlineStr">
        <is>
          <t>PT. PARAMA GLOBAL INSPIRA - PPN (JMB)</t>
        </is>
      </c>
      <c r="AI2383" t="n">
        <v>103</v>
      </c>
      <c r="AJ2383" t="inlineStr">
        <is>
          <t>MAKE OVER</t>
        </is>
      </c>
      <c r="AK2383" t="n">
        <v>9</v>
      </c>
      <c r="AL2383" t="inlineStr">
        <is>
          <t>Miss Glam Jambi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MAKE OVER</t>
        </is>
      </c>
      <c r="B2384" s="2">
        <f>"20100481745"</f>
        <v/>
      </c>
      <c r="C2384" t="inlineStr">
        <is>
          <t>MAKE OVER Hydrastay Prismatic Glass Cushion W21 Coral Ivory 12gr</t>
        </is>
      </c>
      <c r="D2384" t="inlineStr">
        <is>
          <t>Miss Glam Jambi</t>
        </is>
      </c>
      <c r="E2384" t="n">
        <v>3</v>
      </c>
      <c r="F2384" t="n">
        <v>0.0396</v>
      </c>
      <c r="G2384" t="n">
        <v>0.33</v>
      </c>
      <c r="H2384" t="n">
        <v>2</v>
      </c>
      <c r="I2384" t="n">
        <v>7</v>
      </c>
      <c r="J2384" t="n">
        <v>1</v>
      </c>
      <c r="K2384" t="n">
        <v>0</v>
      </c>
      <c r="L2384" t="n">
        <v>170250</v>
      </c>
      <c r="M2384" t="n">
        <v>208000</v>
      </c>
      <c r="N2384" t="n">
        <v>33</v>
      </c>
      <c r="O2384" t="n">
        <v>0.33</v>
      </c>
      <c r="P2384" t="n">
        <v>1</v>
      </c>
      <c r="Q2384" t="n">
        <v>0.05</v>
      </c>
      <c r="R2384" t="n">
        <v>1</v>
      </c>
      <c r="S2384" t="n">
        <v>8236.800000000001</v>
      </c>
      <c r="T2384" t="n">
        <v>3</v>
      </c>
      <c r="U2384" t="n">
        <v>4</v>
      </c>
      <c r="V2384" t="n">
        <v>30</v>
      </c>
      <c r="W2384" t="n">
        <v>2</v>
      </c>
      <c r="X2384" t="n">
        <v>75.75757575757575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11590</v>
      </c>
      <c r="AG2384" t="n">
        <v>2141</v>
      </c>
      <c r="AH2384" t="inlineStr">
        <is>
          <t>PT. PARAMA GLOBAL INSPIRA - PPN (JMB)</t>
        </is>
      </c>
      <c r="AI2384" t="n">
        <v>103</v>
      </c>
      <c r="AJ2384" t="inlineStr">
        <is>
          <t>MAKE OVER</t>
        </is>
      </c>
      <c r="AK2384" t="n">
        <v>9</v>
      </c>
      <c r="AL2384" t="inlineStr">
        <is>
          <t>Miss Glam Jambi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MAKE OVER</t>
        </is>
      </c>
      <c r="B2385" s="2">
        <f>"20100472927"</f>
        <v/>
      </c>
      <c r="C2385" t="inlineStr">
        <is>
          <t>MAKE OVER Hydrastay Prismatic Glass Cushion W22 Warm Ivory 12gr</t>
        </is>
      </c>
      <c r="D2385" t="inlineStr">
        <is>
          <t>Miss Glam Jambi</t>
        </is>
      </c>
      <c r="E2385" t="n">
        <v>4</v>
      </c>
      <c r="F2385" t="n">
        <v>0.0231</v>
      </c>
      <c r="G2385" t="n">
        <v>0.33</v>
      </c>
      <c r="H2385" t="n">
        <v>2</v>
      </c>
      <c r="I2385" t="n">
        <v>7</v>
      </c>
      <c r="J2385" t="n">
        <v>1</v>
      </c>
      <c r="K2385" t="n">
        <v>0</v>
      </c>
      <c r="L2385" t="n">
        <v>170250</v>
      </c>
      <c r="M2385" t="n">
        <v>208000</v>
      </c>
      <c r="N2385" t="n">
        <v>33</v>
      </c>
      <c r="O2385" t="n">
        <v>0.33</v>
      </c>
      <c r="P2385" t="n">
        <v>1</v>
      </c>
      <c r="Q2385" t="n">
        <v>0.03</v>
      </c>
      <c r="R2385" t="n">
        <v>1</v>
      </c>
      <c r="S2385" t="n">
        <v>4804.8</v>
      </c>
      <c r="T2385" t="n">
        <v>3</v>
      </c>
      <c r="U2385" t="n">
        <v>4</v>
      </c>
      <c r="V2385" t="n">
        <v>30</v>
      </c>
      <c r="W2385" t="n">
        <v>1</v>
      </c>
      <c r="X2385" t="n">
        <v>173.1601731601731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11590</v>
      </c>
      <c r="AG2385" t="n">
        <v>2141</v>
      </c>
      <c r="AH2385" t="inlineStr">
        <is>
          <t>PT. PARAMA GLOBAL INSPIRA - PPN (JMB)</t>
        </is>
      </c>
      <c r="AI2385" t="n">
        <v>103</v>
      </c>
      <c r="AJ2385" t="inlineStr">
        <is>
          <t>MAKE OVER</t>
        </is>
      </c>
      <c r="AK2385" t="n">
        <v>9</v>
      </c>
      <c r="AL2385" t="inlineStr">
        <is>
          <t>Miss Glam Jambi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MAKE OVER</t>
        </is>
      </c>
      <c r="B2386" s="2">
        <f>"20100481832"</f>
        <v/>
      </c>
      <c r="C2386" t="inlineStr">
        <is>
          <t>MAKE OVER Hydrastay Prismatic Glass Cushion W30 Creme Beige 12gr</t>
        </is>
      </c>
      <c r="D2386" t="inlineStr">
        <is>
          <t>Miss Glam Jambi</t>
        </is>
      </c>
      <c r="E2386" t="n">
        <v>2</v>
      </c>
      <c r="F2386" t="n">
        <v>0.0231</v>
      </c>
      <c r="G2386" t="n">
        <v>0.66</v>
      </c>
      <c r="H2386" t="n">
        <v>2</v>
      </c>
      <c r="I2386" t="n">
        <v>7</v>
      </c>
      <c r="J2386" t="n">
        <v>1</v>
      </c>
      <c r="K2386" t="n">
        <v>0</v>
      </c>
      <c r="L2386" t="n">
        <v>170250</v>
      </c>
      <c r="M2386" t="n">
        <v>208000</v>
      </c>
      <c r="N2386" t="n">
        <v>33</v>
      </c>
      <c r="O2386" t="n">
        <v>0.33</v>
      </c>
      <c r="P2386" t="n">
        <v>1</v>
      </c>
      <c r="Q2386" t="n">
        <v>0.02</v>
      </c>
      <c r="R2386" t="n">
        <v>1</v>
      </c>
      <c r="S2386" t="n">
        <v>4804.8</v>
      </c>
      <c r="T2386" t="n">
        <v>5</v>
      </c>
      <c r="U2386" t="n">
        <v>6</v>
      </c>
      <c r="V2386" t="n">
        <v>30</v>
      </c>
      <c r="W2386" t="n">
        <v>1</v>
      </c>
      <c r="X2386" t="n">
        <v>86.58008658008657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11590</v>
      </c>
      <c r="AG2386" t="n">
        <v>2141</v>
      </c>
      <c r="AH2386" t="inlineStr">
        <is>
          <t>PT. PARAMA GLOBAL INSPIRA - PPN (JMB)</t>
        </is>
      </c>
      <c r="AI2386" t="n">
        <v>103</v>
      </c>
      <c r="AJ2386" t="inlineStr">
        <is>
          <t>MAKE OVER</t>
        </is>
      </c>
      <c r="AK2386" t="n">
        <v>9</v>
      </c>
      <c r="AL2386" t="inlineStr">
        <is>
          <t>Miss Glam Jambi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MAKE OVER</t>
        </is>
      </c>
      <c r="B2387" s="2">
        <f>"20100473026"</f>
        <v/>
      </c>
      <c r="C2387" t="inlineStr">
        <is>
          <t>MAKE OVER Hydrastay Prismatic Glass Cushion W32 Warm Beige 12gr</t>
        </is>
      </c>
      <c r="D2387" t="inlineStr">
        <is>
          <t>Miss Glam Jambi</t>
        </is>
      </c>
      <c r="E2387" t="n">
        <v>3</v>
      </c>
      <c r="F2387" t="n">
        <v>0.009900000000000001</v>
      </c>
      <c r="G2387" t="n">
        <v>0.33</v>
      </c>
      <c r="H2387" t="n">
        <v>2</v>
      </c>
      <c r="I2387" t="n">
        <v>7</v>
      </c>
      <c r="J2387" t="n">
        <v>1</v>
      </c>
      <c r="K2387" t="n">
        <v>0</v>
      </c>
      <c r="L2387" t="n">
        <v>170250</v>
      </c>
      <c r="M2387" t="n">
        <v>208000</v>
      </c>
      <c r="N2387" t="n">
        <v>33</v>
      </c>
      <c r="O2387" t="n">
        <v>0.33</v>
      </c>
      <c r="P2387" t="n">
        <v>1</v>
      </c>
      <c r="Q2387" t="n">
        <v>0.03</v>
      </c>
      <c r="R2387" t="n">
        <v>1</v>
      </c>
      <c r="S2387" t="n">
        <v>2059.2</v>
      </c>
      <c r="T2387" t="n">
        <v>3</v>
      </c>
      <c r="U2387" t="n">
        <v>4</v>
      </c>
      <c r="V2387" t="n">
        <v>30</v>
      </c>
      <c r="W2387" t="n">
        <v>1</v>
      </c>
      <c r="X2387" t="n">
        <v>303.030303030303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11590</v>
      </c>
      <c r="AG2387" t="n">
        <v>2141</v>
      </c>
      <c r="AH2387" t="inlineStr">
        <is>
          <t>PT. PARAMA GLOBAL INSPIRA - PPN (JMB)</t>
        </is>
      </c>
      <c r="AI2387" t="n">
        <v>103</v>
      </c>
      <c r="AJ2387" t="inlineStr">
        <is>
          <t>MAKE OVER</t>
        </is>
      </c>
      <c r="AK2387" t="n">
        <v>9</v>
      </c>
      <c r="AL2387" t="inlineStr">
        <is>
          <t>Miss Glam Jambi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MAKE OVER</t>
        </is>
      </c>
      <c r="B2388" s="2">
        <f>"20100473148"</f>
        <v/>
      </c>
      <c r="C2388" t="inlineStr">
        <is>
          <t>MAKE OVER Hydrastay Prismatic Glass Cushion W33 Honey Beige 12gr</t>
        </is>
      </c>
      <c r="D2388" t="inlineStr">
        <is>
          <t>Miss Glam Jambi</t>
        </is>
      </c>
      <c r="E2388" t="n">
        <v>5</v>
      </c>
      <c r="F2388" t="n">
        <v>0.033</v>
      </c>
      <c r="G2388" t="n">
        <v>0.33</v>
      </c>
      <c r="H2388" t="n">
        <v>2</v>
      </c>
      <c r="I2388" t="n">
        <v>7</v>
      </c>
      <c r="J2388" t="n">
        <v>1</v>
      </c>
      <c r="K2388" t="n">
        <v>0</v>
      </c>
      <c r="L2388" t="n">
        <v>170250</v>
      </c>
      <c r="M2388" t="n">
        <v>208000</v>
      </c>
      <c r="N2388" t="n">
        <v>33</v>
      </c>
      <c r="O2388" t="n">
        <v>0.33</v>
      </c>
      <c r="P2388" t="n">
        <v>1</v>
      </c>
      <c r="Q2388" t="n">
        <v>0.05</v>
      </c>
      <c r="R2388" t="n">
        <v>1</v>
      </c>
      <c r="S2388" t="n">
        <v>6864</v>
      </c>
      <c r="T2388" t="n">
        <v>3</v>
      </c>
      <c r="U2388" t="n">
        <v>4</v>
      </c>
      <c r="V2388" t="n">
        <v>30</v>
      </c>
      <c r="W2388" t="n">
        <v>1</v>
      </c>
      <c r="X2388" t="n">
        <v>151.5151515151515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11590</v>
      </c>
      <c r="AG2388" t="n">
        <v>2141</v>
      </c>
      <c r="AH2388" t="inlineStr">
        <is>
          <t>PT. PARAMA GLOBAL INSPIRA - PPN (JMB)</t>
        </is>
      </c>
      <c r="AI2388" t="n">
        <v>103</v>
      </c>
      <c r="AJ2388" t="inlineStr">
        <is>
          <t>MAKE OVER</t>
        </is>
      </c>
      <c r="AK2388" t="n">
        <v>9</v>
      </c>
      <c r="AL2388" t="inlineStr">
        <is>
          <t>Miss Glam Jambi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MAKE OVER</t>
        </is>
      </c>
      <c r="B2389" s="2">
        <f>"203002202354"</f>
        <v/>
      </c>
      <c r="C2389" t="inlineStr">
        <is>
          <t>MAKE OVER Hydrastay Smooth Lip Whip C18 Waltz 5gr</t>
        </is>
      </c>
      <c r="D2389" t="inlineStr">
        <is>
          <t>Miss Glam Jambi</t>
        </is>
      </c>
      <c r="E2389" t="n">
        <v>1</v>
      </c>
      <c r="F2389" t="n">
        <v>0.006600000000000001</v>
      </c>
      <c r="G2389" t="n">
        <v>0.33</v>
      </c>
      <c r="H2389" t="n">
        <v>2</v>
      </c>
      <c r="I2389" t="n">
        <v>7</v>
      </c>
      <c r="J2389" t="n">
        <v>1</v>
      </c>
      <c r="K2389" t="n">
        <v>0</v>
      </c>
      <c r="L2389" t="n">
        <v>81750</v>
      </c>
      <c r="M2389" t="n">
        <v>109000</v>
      </c>
      <c r="N2389" t="n">
        <v>33</v>
      </c>
      <c r="O2389" t="n">
        <v>0.33</v>
      </c>
      <c r="P2389" t="n">
        <v>1</v>
      </c>
      <c r="Q2389" t="n">
        <v>0.02</v>
      </c>
      <c r="R2389" t="n">
        <v>1</v>
      </c>
      <c r="S2389" t="n">
        <v>719.4000000000001</v>
      </c>
      <c r="T2389" t="n">
        <v>3</v>
      </c>
      <c r="U2389" t="n">
        <v>4</v>
      </c>
      <c r="V2389" t="n">
        <v>30</v>
      </c>
      <c r="W2389" t="n">
        <v>1</v>
      </c>
      <c r="X2389" t="n">
        <v>151.5151515151515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11590</v>
      </c>
      <c r="AG2389" t="n">
        <v>2141</v>
      </c>
      <c r="AH2389" t="inlineStr">
        <is>
          <t>PT. PARAMA GLOBAL INSPIRA - PPN (JMB)</t>
        </is>
      </c>
      <c r="AI2389" t="n">
        <v>103</v>
      </c>
      <c r="AJ2389" t="inlineStr">
        <is>
          <t>MAKE OVER</t>
        </is>
      </c>
      <c r="AK2389" t="n">
        <v>9</v>
      </c>
      <c r="AL2389" t="inlineStr">
        <is>
          <t>Miss Glam Jambi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MAKE OVER</t>
        </is>
      </c>
      <c r="B2390" s="2">
        <f>"20100578156"</f>
        <v/>
      </c>
      <c r="C2390" t="inlineStr">
        <is>
          <t>MAKE OVER Perfect Cover Powder Foundation Mini 04 Desert 4,4gr</t>
        </is>
      </c>
      <c r="D2390" t="inlineStr">
        <is>
          <t>Miss Glam Jambi</t>
        </is>
      </c>
      <c r="E2390" t="n">
        <v>4</v>
      </c>
      <c r="F2390" t="n">
        <v>0.03</v>
      </c>
      <c r="G2390" t="n">
        <v>1</v>
      </c>
      <c r="H2390" t="n">
        <v>2</v>
      </c>
      <c r="I2390" t="n">
        <v>7</v>
      </c>
      <c r="J2390" t="n">
        <v>1</v>
      </c>
      <c r="K2390" t="n">
        <v>0</v>
      </c>
      <c r="L2390" t="n">
        <v>67500</v>
      </c>
      <c r="M2390" t="n">
        <v>90000</v>
      </c>
      <c r="N2390" t="n">
        <v>33</v>
      </c>
      <c r="O2390" t="n">
        <v>0.33</v>
      </c>
      <c r="P2390" t="n">
        <v>0</v>
      </c>
      <c r="Q2390" t="n">
        <v>0.03</v>
      </c>
      <c r="R2390" t="n">
        <v>1</v>
      </c>
      <c r="S2390" t="n">
        <v>2700</v>
      </c>
      <c r="T2390" t="n">
        <v>7</v>
      </c>
      <c r="U2390" t="n">
        <v>8</v>
      </c>
      <c r="V2390" t="n">
        <v>30</v>
      </c>
      <c r="W2390" t="n">
        <v>1</v>
      </c>
      <c r="X2390" t="n">
        <v>133.3333333333333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11590</v>
      </c>
      <c r="AG2390" t="n">
        <v>2141</v>
      </c>
      <c r="AH2390" t="inlineStr">
        <is>
          <t>PT. PARAMA GLOBAL INSPIRA - PPN (JMB)</t>
        </is>
      </c>
      <c r="AI2390" t="n">
        <v>103</v>
      </c>
      <c r="AJ2390" t="inlineStr">
        <is>
          <t>MAKE OVER</t>
        </is>
      </c>
      <c r="AK2390" t="n">
        <v>9</v>
      </c>
      <c r="AL2390" t="inlineStr">
        <is>
          <t>Miss Glam Jambi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MAKE OVER</t>
        </is>
      </c>
      <c r="B2391" s="2">
        <f>"20100578252"</f>
        <v/>
      </c>
      <c r="C2391" t="inlineStr">
        <is>
          <t>MAKE OVER Perfect Cover Powder Foundation Mini 05 Cinnamon 4,4gr</t>
        </is>
      </c>
      <c r="D2391" t="inlineStr">
        <is>
          <t>Miss Glam Jambi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33</v>
      </c>
      <c r="O2391" t="n">
        <v>0.33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30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11590</v>
      </c>
      <c r="AG2391" t="n">
        <v>2141</v>
      </c>
      <c r="AH2391" t="inlineStr">
        <is>
          <t>PT. PARAMA GLOBAL INSPIRA - PPN (JMB)</t>
        </is>
      </c>
      <c r="AI2391" t="n">
        <v>103</v>
      </c>
      <c r="AJ2391" t="inlineStr">
        <is>
          <t>MAKE OVER</t>
        </is>
      </c>
      <c r="AK2391" t="n">
        <v>9</v>
      </c>
      <c r="AL2391" t="inlineStr">
        <is>
          <t>Miss Glam Jambi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MAKE OVER</t>
        </is>
      </c>
      <c r="B2392" s="2">
        <f>"8993137717687"</f>
        <v/>
      </c>
      <c r="C2392" t="inlineStr">
        <is>
          <t>MAKE OVER Powerskin Ultra Deep Cleansing Oil 190ml</t>
        </is>
      </c>
      <c r="D2392" t="inlineStr">
        <is>
          <t>Miss Glam Jambi</t>
        </is>
      </c>
      <c r="E2392" t="n">
        <v>4</v>
      </c>
      <c r="F2392" t="n">
        <v>0.009900000000000001</v>
      </c>
      <c r="G2392" t="n">
        <v>0.33</v>
      </c>
      <c r="H2392" t="n">
        <v>2</v>
      </c>
      <c r="I2392" t="n">
        <v>7</v>
      </c>
      <c r="J2392" t="n">
        <v>3</v>
      </c>
      <c r="K2392" t="n">
        <v>0</v>
      </c>
      <c r="L2392" t="n">
        <v>95250</v>
      </c>
      <c r="M2392" t="n">
        <v>123000</v>
      </c>
      <c r="N2392" t="n">
        <v>33</v>
      </c>
      <c r="O2392" t="n">
        <v>0.33</v>
      </c>
      <c r="P2392" t="n">
        <v>1</v>
      </c>
      <c r="Q2392" t="n">
        <v>0.02</v>
      </c>
      <c r="R2392" t="n">
        <v>1</v>
      </c>
      <c r="S2392" t="n">
        <v>1217.7</v>
      </c>
      <c r="T2392" t="n">
        <v>3</v>
      </c>
      <c r="U2392" t="n">
        <v>4</v>
      </c>
      <c r="V2392" t="n">
        <v>30</v>
      </c>
      <c r="W2392" t="n">
        <v>1</v>
      </c>
      <c r="X2392" t="n">
        <v>404.040404040404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11590</v>
      </c>
      <c r="AG2392" t="n">
        <v>2141</v>
      </c>
      <c r="AH2392" t="inlineStr">
        <is>
          <t>PT. PARAMA GLOBAL INSPIRA - PPN (JMB)</t>
        </is>
      </c>
      <c r="AI2392" t="n">
        <v>103</v>
      </c>
      <c r="AJ2392" t="inlineStr">
        <is>
          <t>MAKE OVER</t>
        </is>
      </c>
      <c r="AK2392" t="n">
        <v>9</v>
      </c>
      <c r="AL2392" t="inlineStr">
        <is>
          <t>Miss Glam Jambi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MAKE OVER</t>
        </is>
      </c>
      <c r="B2393" s="2">
        <f>"8993137717304"</f>
        <v/>
      </c>
      <c r="C2393" t="inlineStr">
        <is>
          <t>MAKE OVER Powerskin Urban Defense Suncreen SPF 50 PA++++</t>
        </is>
      </c>
      <c r="D2393" t="inlineStr">
        <is>
          <t>Miss Glam Jambi</t>
        </is>
      </c>
      <c r="E2393" t="n">
        <v>2</v>
      </c>
      <c r="F2393" t="n">
        <v>0.0264</v>
      </c>
      <c r="G2393" t="n">
        <v>0.33</v>
      </c>
      <c r="H2393" t="n">
        <v>2</v>
      </c>
      <c r="I2393" t="n">
        <v>7</v>
      </c>
      <c r="J2393" t="n">
        <v>3</v>
      </c>
      <c r="K2393" t="n">
        <v>0</v>
      </c>
      <c r="L2393" t="n">
        <v>87200</v>
      </c>
      <c r="M2393" t="n">
        <v>105000</v>
      </c>
      <c r="N2393" t="n">
        <v>33</v>
      </c>
      <c r="O2393" t="n">
        <v>0.33</v>
      </c>
      <c r="P2393" t="n">
        <v>1</v>
      </c>
      <c r="Q2393" t="n">
        <v>0.02</v>
      </c>
      <c r="R2393" t="n">
        <v>1</v>
      </c>
      <c r="S2393" t="n">
        <v>2772</v>
      </c>
      <c r="T2393" t="n">
        <v>3</v>
      </c>
      <c r="U2393" t="n">
        <v>4</v>
      </c>
      <c r="V2393" t="n">
        <v>30</v>
      </c>
      <c r="W2393" t="n">
        <v>1</v>
      </c>
      <c r="X2393" t="n">
        <v>75.75757575757575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11590</v>
      </c>
      <c r="AG2393" t="n">
        <v>2141</v>
      </c>
      <c r="AH2393" t="inlineStr">
        <is>
          <t>PT. PARAMA GLOBAL INSPIRA - PPN (JMB)</t>
        </is>
      </c>
      <c r="AI2393" t="n">
        <v>103</v>
      </c>
      <c r="AJ2393" t="inlineStr">
        <is>
          <t>MAKE OVER</t>
        </is>
      </c>
      <c r="AK2393" t="n">
        <v>9</v>
      </c>
      <c r="AL2393" t="inlineStr">
        <is>
          <t>Miss Glam Jambi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MAKE OVER</t>
        </is>
      </c>
      <c r="B2394" s="2">
        <f>"8993137721493"</f>
        <v/>
      </c>
      <c r="C2394" t="inlineStr">
        <is>
          <t>MAKE OVER Powerstay 24H Matte Powder Foundation W22 Warm Ivory 10gr New</t>
        </is>
      </c>
      <c r="D2394" t="inlineStr">
        <is>
          <t>Miss Glam Jambi</t>
        </is>
      </c>
      <c r="E2394" t="n">
        <v>10</v>
      </c>
      <c r="F2394" t="n">
        <v>0.08910000000000001</v>
      </c>
      <c r="G2394" t="n">
        <v>0.66</v>
      </c>
      <c r="H2394" t="n">
        <v>2</v>
      </c>
      <c r="I2394" t="n">
        <v>7</v>
      </c>
      <c r="J2394" t="n">
        <v>3</v>
      </c>
      <c r="K2394" t="n">
        <v>0</v>
      </c>
      <c r="L2394" t="n">
        <v>150000</v>
      </c>
      <c r="M2394" t="n">
        <v>195000</v>
      </c>
      <c r="N2394" t="n">
        <v>33</v>
      </c>
      <c r="O2394" t="n">
        <v>0.33</v>
      </c>
      <c r="P2394" t="n">
        <v>1</v>
      </c>
      <c r="Q2394" t="n">
        <v>0.07000000000000001</v>
      </c>
      <c r="R2394" t="n">
        <v>1</v>
      </c>
      <c r="S2394" t="n">
        <v>17374.5</v>
      </c>
      <c r="T2394" t="n">
        <v>5</v>
      </c>
      <c r="U2394" t="n">
        <v>6</v>
      </c>
      <c r="V2394" t="n">
        <v>30</v>
      </c>
      <c r="W2394" t="n">
        <v>3</v>
      </c>
      <c r="X2394" t="n">
        <v>112.2334455667789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11590</v>
      </c>
      <c r="AG2394" t="n">
        <v>2141</v>
      </c>
      <c r="AH2394" t="inlineStr">
        <is>
          <t>PT. PARAMA GLOBAL INSPIRA - PPN (JMB)</t>
        </is>
      </c>
      <c r="AI2394" t="n">
        <v>103</v>
      </c>
      <c r="AJ2394" t="inlineStr">
        <is>
          <t>MAKE OVER</t>
        </is>
      </c>
      <c r="AK2394" t="n">
        <v>9</v>
      </c>
      <c r="AL2394" t="inlineStr">
        <is>
          <t>Miss Glam Jambi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MAKE OVER</t>
        </is>
      </c>
      <c r="B2395" s="2">
        <f>"8993137721219"</f>
        <v/>
      </c>
      <c r="C2395" t="inlineStr">
        <is>
          <t>MAKE OVER Powerstay 24H Weightless Liquid Foundation W12 Warm Marble 40ml</t>
        </is>
      </c>
      <c r="D2395" t="inlineStr">
        <is>
          <t>Miss Glam Jambi</t>
        </is>
      </c>
      <c r="E2395" t="n">
        <v>2</v>
      </c>
      <c r="F2395" t="n">
        <v>0.009900000000000001</v>
      </c>
      <c r="G2395" t="n">
        <v>0.33</v>
      </c>
      <c r="H2395" t="n">
        <v>2</v>
      </c>
      <c r="I2395" t="n">
        <v>7</v>
      </c>
      <c r="J2395" t="n">
        <v>3</v>
      </c>
      <c r="K2395" t="n">
        <v>0</v>
      </c>
      <c r="L2395" t="n">
        <v>137250</v>
      </c>
      <c r="M2395" t="n">
        <v>174000</v>
      </c>
      <c r="N2395" t="n">
        <v>33</v>
      </c>
      <c r="O2395" t="n">
        <v>0.33</v>
      </c>
      <c r="P2395" t="n">
        <v>1</v>
      </c>
      <c r="Q2395" t="n">
        <v>0.05</v>
      </c>
      <c r="R2395" t="n">
        <v>1</v>
      </c>
      <c r="S2395" t="n">
        <v>1722.6</v>
      </c>
      <c r="T2395" t="n">
        <v>3</v>
      </c>
      <c r="U2395" t="n">
        <v>4</v>
      </c>
      <c r="V2395" t="n">
        <v>30</v>
      </c>
      <c r="W2395" t="n">
        <v>1</v>
      </c>
      <c r="X2395" t="n">
        <v>202.020202020202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11590</v>
      </c>
      <c r="AG2395" t="n">
        <v>2141</v>
      </c>
      <c r="AH2395" t="inlineStr">
        <is>
          <t>PT. PARAMA GLOBAL INSPIRA - PPN (JMB)</t>
        </is>
      </c>
      <c r="AI2395" t="n">
        <v>103</v>
      </c>
      <c r="AJ2395" t="inlineStr">
        <is>
          <t>MAKE OVER</t>
        </is>
      </c>
      <c r="AK2395" t="n">
        <v>9</v>
      </c>
      <c r="AL2395" t="inlineStr">
        <is>
          <t>Miss Glam Jambi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MAKE OVER</t>
        </is>
      </c>
      <c r="B2396" s="2">
        <f>"8993137721288"</f>
        <v/>
      </c>
      <c r="C2396" t="inlineStr">
        <is>
          <t>MAKE OVER Powerstay 24H Weightless Liquid Foundation W32 Warm Beige 40ml</t>
        </is>
      </c>
      <c r="D2396" t="inlineStr">
        <is>
          <t>Miss Glam Jambi</t>
        </is>
      </c>
      <c r="E2396" t="n">
        <v>2</v>
      </c>
      <c r="F2396" t="n">
        <v>0.0495</v>
      </c>
      <c r="G2396" t="n">
        <v>0.33</v>
      </c>
      <c r="H2396" t="n">
        <v>2</v>
      </c>
      <c r="I2396" t="n">
        <v>7</v>
      </c>
      <c r="J2396" t="n">
        <v>3</v>
      </c>
      <c r="K2396" t="n">
        <v>0</v>
      </c>
      <c r="L2396" t="n">
        <v>133500</v>
      </c>
      <c r="M2396" t="n">
        <v>174000</v>
      </c>
      <c r="N2396" t="n">
        <v>33</v>
      </c>
      <c r="O2396" t="n">
        <v>0.33</v>
      </c>
      <c r="P2396" t="n">
        <v>1</v>
      </c>
      <c r="Q2396" t="n">
        <v>0.02</v>
      </c>
      <c r="R2396" t="n">
        <v>1</v>
      </c>
      <c r="S2396" t="n">
        <v>8613</v>
      </c>
      <c r="T2396" t="n">
        <v>3</v>
      </c>
      <c r="U2396" t="n">
        <v>4</v>
      </c>
      <c r="V2396" t="n">
        <v>30</v>
      </c>
      <c r="W2396" t="n">
        <v>2</v>
      </c>
      <c r="X2396" t="n">
        <v>40.4040404040404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11590</v>
      </c>
      <c r="AG2396" t="n">
        <v>2141</v>
      </c>
      <c r="AH2396" t="inlineStr">
        <is>
          <t>PT. PARAMA GLOBAL INSPIRA - PPN (JMB)</t>
        </is>
      </c>
      <c r="AI2396" t="n">
        <v>103</v>
      </c>
      <c r="AJ2396" t="inlineStr">
        <is>
          <t>MAKE OVER</t>
        </is>
      </c>
      <c r="AK2396" t="n">
        <v>9</v>
      </c>
      <c r="AL2396" t="inlineStr">
        <is>
          <t>Miss Glam Jambi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MAKE OVER</t>
        </is>
      </c>
      <c r="B2397" s="2">
        <f>"8993137717984"</f>
        <v/>
      </c>
      <c r="C2397" t="inlineStr">
        <is>
          <t>MAKE OVER Powerstay Eye Palette Hall Of Stars,12×1,5gr</t>
        </is>
      </c>
      <c r="D2397" t="inlineStr">
        <is>
          <t>Miss Glam Jambi</t>
        </is>
      </c>
      <c r="E2397" t="n">
        <v>5</v>
      </c>
      <c r="F2397" t="n">
        <v>0.009900000000000001</v>
      </c>
      <c r="G2397" t="n">
        <v>0.33</v>
      </c>
      <c r="H2397" t="n">
        <v>2</v>
      </c>
      <c r="I2397" t="n">
        <v>7</v>
      </c>
      <c r="J2397" t="n">
        <v>3</v>
      </c>
      <c r="K2397" t="n">
        <v>0</v>
      </c>
      <c r="L2397" t="n">
        <v>226650</v>
      </c>
      <c r="M2397" t="n">
        <v>290000</v>
      </c>
      <c r="N2397" t="n">
        <v>33</v>
      </c>
      <c r="O2397" t="n">
        <v>0.33</v>
      </c>
      <c r="P2397" t="n">
        <v>1</v>
      </c>
      <c r="Q2397" t="n">
        <v>0.02</v>
      </c>
      <c r="R2397" t="n">
        <v>1</v>
      </c>
      <c r="S2397" t="n">
        <v>2871</v>
      </c>
      <c r="T2397" t="n">
        <v>3</v>
      </c>
      <c r="U2397" t="n">
        <v>4</v>
      </c>
      <c r="V2397" t="n">
        <v>30</v>
      </c>
      <c r="W2397" t="n">
        <v>1</v>
      </c>
      <c r="X2397" t="n">
        <v>505.050505050505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11590</v>
      </c>
      <c r="AG2397" t="n">
        <v>2141</v>
      </c>
      <c r="AH2397" t="inlineStr">
        <is>
          <t>PT. PARAMA GLOBAL INSPIRA - PPN (JMB)</t>
        </is>
      </c>
      <c r="AI2397" t="n">
        <v>103</v>
      </c>
      <c r="AJ2397" t="inlineStr">
        <is>
          <t>MAKE OVER</t>
        </is>
      </c>
      <c r="AK2397" t="n">
        <v>9</v>
      </c>
      <c r="AL2397" t="inlineStr">
        <is>
          <t>Miss Glam Jambi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MAKE OVER</t>
        </is>
      </c>
      <c r="B2398" s="2">
        <f>"8993137001236"</f>
        <v/>
      </c>
      <c r="C2398" t="inlineStr">
        <is>
          <t>MAKE OVER Powerstay Glazed D01 Lover 3gr</t>
        </is>
      </c>
      <c r="D2398" t="inlineStr">
        <is>
          <t>Miss Glam Jambi</t>
        </is>
      </c>
      <c r="E2398" t="n">
        <v>3</v>
      </c>
      <c r="F2398" t="n">
        <v>0.08910000000000001</v>
      </c>
      <c r="G2398" t="n">
        <v>0.66</v>
      </c>
      <c r="H2398" t="n">
        <v>2</v>
      </c>
      <c r="I2398" t="n">
        <v>7</v>
      </c>
      <c r="J2398" t="n">
        <v>3</v>
      </c>
      <c r="K2398" t="n">
        <v>0</v>
      </c>
      <c r="L2398" t="n">
        <v>108316</v>
      </c>
      <c r="M2398" t="n">
        <v>132000</v>
      </c>
      <c r="N2398" t="n">
        <v>33</v>
      </c>
      <c r="O2398" t="n">
        <v>0.33</v>
      </c>
      <c r="P2398" t="n">
        <v>1</v>
      </c>
      <c r="Q2398" t="n">
        <v>0.12</v>
      </c>
      <c r="R2398" t="n">
        <v>3</v>
      </c>
      <c r="S2398" t="n">
        <v>11761.2</v>
      </c>
      <c r="T2398" t="n">
        <v>5</v>
      </c>
      <c r="U2398" t="n">
        <v>6</v>
      </c>
      <c r="V2398" t="n">
        <v>30</v>
      </c>
      <c r="W2398" t="n">
        <v>3</v>
      </c>
      <c r="X2398" t="n">
        <v>33.67003367003367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11590</v>
      </c>
      <c r="AG2398" t="n">
        <v>2141</v>
      </c>
      <c r="AH2398" t="inlineStr">
        <is>
          <t>PT. PARAMA GLOBAL INSPIRA - PPN (JMB)</t>
        </is>
      </c>
      <c r="AI2398" t="n">
        <v>103</v>
      </c>
      <c r="AJ2398" t="inlineStr">
        <is>
          <t>MAKE OVER</t>
        </is>
      </c>
      <c r="AK2398" t="n">
        <v>9</v>
      </c>
      <c r="AL2398" t="inlineStr">
        <is>
          <t>Miss Glam Jambi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MAKE OVER</t>
        </is>
      </c>
      <c r="B2399" s="2">
        <f>"8993137001243"</f>
        <v/>
      </c>
      <c r="C2399" t="inlineStr">
        <is>
          <t>MAKE OVER Powerstay Glazed D02 Vixen 3gr</t>
        </is>
      </c>
      <c r="D2399" t="inlineStr">
        <is>
          <t>Miss Glam Jambi</t>
        </is>
      </c>
      <c r="E2399" t="n">
        <v>7</v>
      </c>
      <c r="F2399" t="n">
        <v>0.1452</v>
      </c>
      <c r="G2399" t="n">
        <v>0.99</v>
      </c>
      <c r="H2399" t="n">
        <v>2</v>
      </c>
      <c r="I2399" t="n">
        <v>7</v>
      </c>
      <c r="J2399" t="n">
        <v>3</v>
      </c>
      <c r="K2399" t="n">
        <v>0</v>
      </c>
      <c r="L2399" t="n">
        <v>123423</v>
      </c>
      <c r="M2399" t="n">
        <v>132000</v>
      </c>
      <c r="N2399" t="n">
        <v>33</v>
      </c>
      <c r="O2399" t="n">
        <v>0.33</v>
      </c>
      <c r="P2399" t="n">
        <v>1</v>
      </c>
      <c r="Q2399" t="n">
        <v>0.19</v>
      </c>
      <c r="R2399" t="n">
        <v>2</v>
      </c>
      <c r="S2399" t="n">
        <v>19166.4</v>
      </c>
      <c r="T2399" t="n">
        <v>7</v>
      </c>
      <c r="U2399" t="n">
        <v>8</v>
      </c>
      <c r="V2399" t="n">
        <v>30</v>
      </c>
      <c r="W2399" t="n">
        <v>5</v>
      </c>
      <c r="X2399" t="n">
        <v>48.20936639118457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11590</v>
      </c>
      <c r="AG2399" t="n">
        <v>2141</v>
      </c>
      <c r="AH2399" t="inlineStr">
        <is>
          <t>PT. PARAMA GLOBAL INSPIRA - PPN (JMB)</t>
        </is>
      </c>
      <c r="AI2399" t="n">
        <v>103</v>
      </c>
      <c r="AJ2399" t="inlineStr">
        <is>
          <t>MAKE OVER</t>
        </is>
      </c>
      <c r="AK2399" t="n">
        <v>9</v>
      </c>
      <c r="AL2399" t="inlineStr">
        <is>
          <t>Miss Glam Jambi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MAKE OVER</t>
        </is>
      </c>
      <c r="B2400" s="2">
        <f>"8993137001267"</f>
        <v/>
      </c>
      <c r="C2400" t="inlineStr">
        <is>
          <t>MAKE OVER Powerstay Glazed D04 IYKYK 3gr</t>
        </is>
      </c>
      <c r="D2400" t="inlineStr">
        <is>
          <t>Miss Glam Jambi</t>
        </is>
      </c>
      <c r="E2400" t="n">
        <v>6</v>
      </c>
      <c r="F2400" t="n">
        <v>0.07920000000000001</v>
      </c>
      <c r="G2400" t="n">
        <v>0.66</v>
      </c>
      <c r="H2400" t="n">
        <v>2</v>
      </c>
      <c r="I2400" t="n">
        <v>7</v>
      </c>
      <c r="J2400" t="n">
        <v>3</v>
      </c>
      <c r="K2400" t="n">
        <v>0</v>
      </c>
      <c r="L2400" t="n">
        <v>102750</v>
      </c>
      <c r="M2400" t="n">
        <v>132000</v>
      </c>
      <c r="N2400" t="n">
        <v>33</v>
      </c>
      <c r="O2400" t="n">
        <v>0.33</v>
      </c>
      <c r="P2400" t="n">
        <v>1</v>
      </c>
      <c r="Q2400" t="n">
        <v>0.19</v>
      </c>
      <c r="R2400" t="n">
        <v>2</v>
      </c>
      <c r="S2400" t="n">
        <v>10454.4</v>
      </c>
      <c r="T2400" t="n">
        <v>5</v>
      </c>
      <c r="U2400" t="n">
        <v>6</v>
      </c>
      <c r="V2400" t="n">
        <v>30</v>
      </c>
      <c r="W2400" t="n">
        <v>3</v>
      </c>
      <c r="X2400" t="n">
        <v>75.75757575757575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11590</v>
      </c>
      <c r="AG2400" t="n">
        <v>2141</v>
      </c>
      <c r="AH2400" t="inlineStr">
        <is>
          <t>PT. PARAMA GLOBAL INSPIRA - PPN (JMB)</t>
        </is>
      </c>
      <c r="AI2400" t="n">
        <v>103</v>
      </c>
      <c r="AJ2400" t="inlineStr">
        <is>
          <t>MAKE OVER</t>
        </is>
      </c>
      <c r="AK2400" t="n">
        <v>9</v>
      </c>
      <c r="AL2400" t="inlineStr">
        <is>
          <t>Miss Glam Jambi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MAKE OVER</t>
        </is>
      </c>
      <c r="B2401" s="2">
        <f>"8993137001274"</f>
        <v/>
      </c>
      <c r="C2401" t="inlineStr">
        <is>
          <t>MAKE OVER Powerstay Glazed D05 Summertime</t>
        </is>
      </c>
      <c r="D2401" t="inlineStr">
        <is>
          <t>Miss Glam Jambi</t>
        </is>
      </c>
      <c r="E2401" t="n">
        <v>11</v>
      </c>
      <c r="F2401" t="n">
        <v>0.07920000000000001</v>
      </c>
      <c r="G2401" t="n">
        <v>0.66</v>
      </c>
      <c r="H2401" t="n">
        <v>2</v>
      </c>
      <c r="I2401" t="n">
        <v>7</v>
      </c>
      <c r="J2401" t="n">
        <v>3</v>
      </c>
      <c r="K2401" t="n">
        <v>0</v>
      </c>
      <c r="L2401" t="n">
        <v>102750</v>
      </c>
      <c r="M2401" t="n">
        <v>132000</v>
      </c>
      <c r="N2401" t="n">
        <v>33</v>
      </c>
      <c r="O2401" t="n">
        <v>0.33</v>
      </c>
      <c r="P2401" t="n">
        <v>1</v>
      </c>
      <c r="Q2401" t="n">
        <v>0.2</v>
      </c>
      <c r="R2401" t="n">
        <v>2</v>
      </c>
      <c r="S2401" t="n">
        <v>10454.4</v>
      </c>
      <c r="T2401" t="n">
        <v>5</v>
      </c>
      <c r="U2401" t="n">
        <v>6</v>
      </c>
      <c r="V2401" t="n">
        <v>30</v>
      </c>
      <c r="W2401" t="n">
        <v>3</v>
      </c>
      <c r="X2401" t="n">
        <v>138.8888888888889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11590</v>
      </c>
      <c r="AG2401" t="n">
        <v>2141</v>
      </c>
      <c r="AH2401" t="inlineStr">
        <is>
          <t>PT. PARAMA GLOBAL INSPIRA - PPN (JMB)</t>
        </is>
      </c>
      <c r="AI2401" t="n">
        <v>103</v>
      </c>
      <c r="AJ2401" t="inlineStr">
        <is>
          <t>MAKE OVER</t>
        </is>
      </c>
      <c r="AK2401" t="n">
        <v>9</v>
      </c>
      <c r="AL2401" t="inlineStr">
        <is>
          <t>Miss Glam Jambi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MAKE OVER</t>
        </is>
      </c>
      <c r="B2402" s="2">
        <f>"8993137001281"</f>
        <v/>
      </c>
      <c r="C2402" t="inlineStr">
        <is>
          <t>MAKE OVER Powerstay Glazed D06 Karma</t>
        </is>
      </c>
      <c r="D2402" t="inlineStr">
        <is>
          <t>Miss Glam Jambi</t>
        </is>
      </c>
      <c r="E2402" t="n">
        <v>6</v>
      </c>
      <c r="F2402" t="n">
        <v>0.0462</v>
      </c>
      <c r="G2402" t="n">
        <v>0.66</v>
      </c>
      <c r="H2402" t="n">
        <v>2</v>
      </c>
      <c r="I2402" t="n">
        <v>7</v>
      </c>
      <c r="J2402" t="n">
        <v>3</v>
      </c>
      <c r="K2402" t="n">
        <v>0</v>
      </c>
      <c r="L2402" t="n">
        <v>102750</v>
      </c>
      <c r="M2402" t="n">
        <v>132000</v>
      </c>
      <c r="N2402" t="n">
        <v>33</v>
      </c>
      <c r="O2402" t="n">
        <v>0.33</v>
      </c>
      <c r="P2402" t="n">
        <v>1</v>
      </c>
      <c r="Q2402" t="n">
        <v>0.17</v>
      </c>
      <c r="R2402" t="n">
        <v>2</v>
      </c>
      <c r="S2402" t="n">
        <v>6098.400000000001</v>
      </c>
      <c r="T2402" t="n">
        <v>5</v>
      </c>
      <c r="U2402" t="n">
        <v>6</v>
      </c>
      <c r="V2402" t="n">
        <v>30</v>
      </c>
      <c r="W2402" t="n">
        <v>2</v>
      </c>
      <c r="X2402" t="n">
        <v>129.8701298701299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11590</v>
      </c>
      <c r="AG2402" t="n">
        <v>2141</v>
      </c>
      <c r="AH2402" t="inlineStr">
        <is>
          <t>PT. PARAMA GLOBAL INSPIRA - PPN (JMB)</t>
        </is>
      </c>
      <c r="AI2402" t="n">
        <v>103</v>
      </c>
      <c r="AJ2402" t="inlineStr">
        <is>
          <t>MAKE OVER</t>
        </is>
      </c>
      <c r="AK2402" t="n">
        <v>9</v>
      </c>
      <c r="AL2402" t="inlineStr">
        <is>
          <t>Miss Glam Jambi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MAKE OVER</t>
        </is>
      </c>
      <c r="B2403" s="2">
        <f>"8993137001298"</f>
        <v/>
      </c>
      <c r="C2403" t="inlineStr">
        <is>
          <t>MAKE OVER Powerstay Glazed D07 Hallway 3gr</t>
        </is>
      </c>
      <c r="D2403" t="inlineStr">
        <is>
          <t>Miss Glam Jambi</t>
        </is>
      </c>
      <c r="E2403" t="n">
        <v>6</v>
      </c>
      <c r="F2403" t="n">
        <v>0.2178</v>
      </c>
      <c r="G2403" t="n">
        <v>1.32</v>
      </c>
      <c r="H2403" t="n">
        <v>2</v>
      </c>
      <c r="I2403" t="n">
        <v>7</v>
      </c>
      <c r="J2403" t="n">
        <v>3</v>
      </c>
      <c r="K2403" t="n">
        <v>0</v>
      </c>
      <c r="L2403" t="n">
        <v>103210</v>
      </c>
      <c r="M2403" t="n">
        <v>132000</v>
      </c>
      <c r="N2403" t="n">
        <v>33</v>
      </c>
      <c r="O2403" t="n">
        <v>0.33</v>
      </c>
      <c r="P2403" t="n">
        <v>1</v>
      </c>
      <c r="Q2403" t="n">
        <v>0.24</v>
      </c>
      <c r="R2403" t="n">
        <v>2</v>
      </c>
      <c r="S2403" t="n">
        <v>28749.6</v>
      </c>
      <c r="T2403" t="n">
        <v>9</v>
      </c>
      <c r="U2403" t="n">
        <v>10</v>
      </c>
      <c r="V2403" t="n">
        <v>30</v>
      </c>
      <c r="W2403" t="n">
        <v>7</v>
      </c>
      <c r="X2403" t="n">
        <v>27.54820936639118</v>
      </c>
      <c r="Y2403" t="n">
        <v>1</v>
      </c>
      <c r="Z2403" t="n">
        <v>1</v>
      </c>
      <c r="AA2403" t="n">
        <v>0</v>
      </c>
      <c r="AB2403" t="n">
        <v>1</v>
      </c>
      <c r="AC2403" t="n">
        <v>3</v>
      </c>
      <c r="AD2403" t="n">
        <v>0</v>
      </c>
      <c r="AE2403" t="n">
        <v>309630</v>
      </c>
      <c r="AF2403" t="n">
        <v>11590</v>
      </c>
      <c r="AG2403" t="n">
        <v>2141</v>
      </c>
      <c r="AH2403" t="inlineStr">
        <is>
          <t>PT. PARAMA GLOBAL INSPIRA - PPN (JMB)</t>
        </is>
      </c>
      <c r="AI2403" t="n">
        <v>103</v>
      </c>
      <c r="AJ2403" t="inlineStr">
        <is>
          <t>MAKE OVER</t>
        </is>
      </c>
      <c r="AK2403" t="n">
        <v>9</v>
      </c>
      <c r="AL2403" t="inlineStr">
        <is>
          <t>Miss Glam Jambi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MAKE OVER</t>
        </is>
      </c>
      <c r="B2404" s="2">
        <f>"8993137001304"</f>
        <v/>
      </c>
      <c r="C2404" t="inlineStr">
        <is>
          <t>MAKE OVER Powerstay Glazed D08 UPLIFT 3gr</t>
        </is>
      </c>
      <c r="D2404" t="inlineStr">
        <is>
          <t>Miss Glam Jambi</t>
        </is>
      </c>
      <c r="E2404" t="n">
        <v>2</v>
      </c>
      <c r="F2404" t="n">
        <v>0.0462</v>
      </c>
      <c r="G2404" t="n">
        <v>0.33</v>
      </c>
      <c r="H2404" t="n">
        <v>2</v>
      </c>
      <c r="I2404" t="n">
        <v>7</v>
      </c>
      <c r="J2404" t="n">
        <v>3</v>
      </c>
      <c r="K2404" t="n">
        <v>0</v>
      </c>
      <c r="L2404" t="n">
        <v>105334</v>
      </c>
      <c r="M2404" t="n">
        <v>132000</v>
      </c>
      <c r="N2404" t="n">
        <v>33</v>
      </c>
      <c r="O2404" t="n">
        <v>0.33</v>
      </c>
      <c r="P2404" t="n">
        <v>1</v>
      </c>
      <c r="Q2404" t="n">
        <v>0.07000000000000001</v>
      </c>
      <c r="R2404" t="n">
        <v>1</v>
      </c>
      <c r="S2404" t="n">
        <v>6098.400000000001</v>
      </c>
      <c r="T2404" t="n">
        <v>3</v>
      </c>
      <c r="U2404" t="n">
        <v>4</v>
      </c>
      <c r="V2404" t="n">
        <v>30</v>
      </c>
      <c r="W2404" t="n">
        <v>2</v>
      </c>
      <c r="X2404" t="n">
        <v>43.29004329004329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11590</v>
      </c>
      <c r="AG2404" t="n">
        <v>2141</v>
      </c>
      <c r="AH2404" t="inlineStr">
        <is>
          <t>PT. PARAMA GLOBAL INSPIRA - PPN (JMB)</t>
        </is>
      </c>
      <c r="AI2404" t="n">
        <v>103</v>
      </c>
      <c r="AJ2404" t="inlineStr">
        <is>
          <t>MAKE OVER</t>
        </is>
      </c>
      <c r="AK2404" t="n">
        <v>9</v>
      </c>
      <c r="AL2404" t="inlineStr">
        <is>
          <t>Miss Glam Jambi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MAKE OVER</t>
        </is>
      </c>
      <c r="B2405" s="2">
        <f>"8993137001311"</f>
        <v/>
      </c>
      <c r="C2405" t="inlineStr">
        <is>
          <t>MAKE OVER Powerstay Glazed D09 Skye Glaze 3gr</t>
        </is>
      </c>
      <c r="D2405" t="inlineStr">
        <is>
          <t>Miss Glam Jambi</t>
        </is>
      </c>
      <c r="E2405" t="n">
        <v>8</v>
      </c>
      <c r="F2405" t="n">
        <v>0.06270000000000001</v>
      </c>
      <c r="G2405" t="n">
        <v>0.66</v>
      </c>
      <c r="H2405" t="n">
        <v>2</v>
      </c>
      <c r="I2405" t="n">
        <v>7</v>
      </c>
      <c r="J2405" t="n">
        <v>3</v>
      </c>
      <c r="K2405" t="n">
        <v>0</v>
      </c>
      <c r="L2405" t="n">
        <v>102828</v>
      </c>
      <c r="M2405" t="n">
        <v>132000</v>
      </c>
      <c r="N2405" t="n">
        <v>33</v>
      </c>
      <c r="O2405" t="n">
        <v>0.33</v>
      </c>
      <c r="P2405" t="n">
        <v>1</v>
      </c>
      <c r="Q2405" t="n">
        <v>0.31</v>
      </c>
      <c r="R2405" t="n">
        <v>2</v>
      </c>
      <c r="S2405" t="n">
        <v>8276.400000000001</v>
      </c>
      <c r="T2405" t="n">
        <v>5</v>
      </c>
      <c r="U2405" t="n">
        <v>6</v>
      </c>
      <c r="V2405" t="n">
        <v>30</v>
      </c>
      <c r="W2405" t="n">
        <v>2</v>
      </c>
      <c r="X2405" t="n">
        <v>127.5917065390749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11590</v>
      </c>
      <c r="AG2405" t="n">
        <v>2141</v>
      </c>
      <c r="AH2405" t="inlineStr">
        <is>
          <t>PT. PARAMA GLOBAL INSPIRA - PPN (JMB)</t>
        </is>
      </c>
      <c r="AI2405" t="n">
        <v>103</v>
      </c>
      <c r="AJ2405" t="inlineStr">
        <is>
          <t>MAKE OVER</t>
        </is>
      </c>
      <c r="AK2405" t="n">
        <v>9</v>
      </c>
      <c r="AL2405" t="inlineStr">
        <is>
          <t>Miss Glam Jambi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MAKE OVER</t>
        </is>
      </c>
      <c r="B2406" s="2">
        <f>"8993137001328"</f>
        <v/>
      </c>
      <c r="C2406" t="inlineStr">
        <is>
          <t>MAKE OVER Powerstay Glazed D10 DNA 3gr</t>
        </is>
      </c>
      <c r="D2406" t="inlineStr">
        <is>
          <t>Miss Glam Jambi</t>
        </is>
      </c>
      <c r="E2406" t="n">
        <v>6</v>
      </c>
      <c r="F2406" t="n">
        <v>0.0264</v>
      </c>
      <c r="G2406" t="n">
        <v>0.66</v>
      </c>
      <c r="H2406" t="n">
        <v>2</v>
      </c>
      <c r="I2406" t="n">
        <v>7</v>
      </c>
      <c r="J2406" t="n">
        <v>3</v>
      </c>
      <c r="K2406" t="n">
        <v>0</v>
      </c>
      <c r="L2406" t="n">
        <v>102935</v>
      </c>
      <c r="M2406" t="n">
        <v>132000</v>
      </c>
      <c r="N2406" t="n">
        <v>33</v>
      </c>
      <c r="O2406" t="n">
        <v>0.33</v>
      </c>
      <c r="P2406" t="n">
        <v>1</v>
      </c>
      <c r="Q2406" t="n">
        <v>0.12</v>
      </c>
      <c r="R2406" t="n">
        <v>2</v>
      </c>
      <c r="S2406" t="n">
        <v>3484.800000000001</v>
      </c>
      <c r="T2406" t="n">
        <v>5</v>
      </c>
      <c r="U2406" t="n">
        <v>6</v>
      </c>
      <c r="V2406" t="n">
        <v>30</v>
      </c>
      <c r="W2406" t="n">
        <v>1</v>
      </c>
      <c r="X2406" t="n">
        <v>227.2727272727273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11590</v>
      </c>
      <c r="AG2406" t="n">
        <v>2141</v>
      </c>
      <c r="AH2406" t="inlineStr">
        <is>
          <t>PT. PARAMA GLOBAL INSPIRA - PPN (JMB)</t>
        </is>
      </c>
      <c r="AI2406" t="n">
        <v>103</v>
      </c>
      <c r="AJ2406" t="inlineStr">
        <is>
          <t>MAKE OVER</t>
        </is>
      </c>
      <c r="AK2406" t="n">
        <v>9</v>
      </c>
      <c r="AL2406" t="inlineStr">
        <is>
          <t>Miss Glam Jambi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MAKE OVER</t>
        </is>
      </c>
      <c r="B2407" s="2">
        <f>"8993137001335"</f>
        <v/>
      </c>
      <c r="C2407" t="inlineStr">
        <is>
          <t>MAKE OVER Powerstay Glazed D11 Pompous 2.0 3gr</t>
        </is>
      </c>
      <c r="D2407" t="inlineStr">
        <is>
          <t>Miss Glam Jambi</t>
        </is>
      </c>
      <c r="E2407" t="n">
        <v>1</v>
      </c>
      <c r="F2407" t="n">
        <v>0.09569999999999999</v>
      </c>
      <c r="G2407" t="n">
        <v>0.66</v>
      </c>
      <c r="H2407" t="n">
        <v>2</v>
      </c>
      <c r="I2407" t="n">
        <v>7</v>
      </c>
      <c r="J2407" t="n">
        <v>3</v>
      </c>
      <c r="K2407" t="n">
        <v>3</v>
      </c>
      <c r="L2407" t="n">
        <v>101250</v>
      </c>
      <c r="M2407" t="n">
        <v>132000</v>
      </c>
      <c r="N2407" t="n">
        <v>33</v>
      </c>
      <c r="O2407" t="n">
        <v>0.33</v>
      </c>
      <c r="P2407" t="n">
        <v>1</v>
      </c>
      <c r="Q2407" t="n">
        <v>0.05</v>
      </c>
      <c r="R2407" t="n">
        <v>1</v>
      </c>
      <c r="S2407" t="n">
        <v>12632.4</v>
      </c>
      <c r="T2407" t="n">
        <v>5</v>
      </c>
      <c r="U2407" t="n">
        <v>6</v>
      </c>
      <c r="V2407" t="n">
        <v>30</v>
      </c>
      <c r="W2407" t="n">
        <v>3</v>
      </c>
      <c r="X2407" t="n">
        <v>10.44932079414838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11590</v>
      </c>
      <c r="AG2407" t="n">
        <v>2141</v>
      </c>
      <c r="AH2407" t="inlineStr">
        <is>
          <t>PT. PARAMA GLOBAL INSPIRA - PPN (JMB)</t>
        </is>
      </c>
      <c r="AI2407" t="n">
        <v>103</v>
      </c>
      <c r="AJ2407" t="inlineStr">
        <is>
          <t>MAKE OVER</t>
        </is>
      </c>
      <c r="AK2407" t="n">
        <v>9</v>
      </c>
      <c r="AL2407" t="inlineStr">
        <is>
          <t>Miss Glam Jambi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MAKE OVER</t>
        </is>
      </c>
      <c r="B2408" s="2">
        <f>"8993137007801"</f>
        <v/>
      </c>
      <c r="C2408" t="inlineStr">
        <is>
          <t>MAKE OVER Powerstay Glazed D13 Gimme! 3gr</t>
        </is>
      </c>
      <c r="D2408" t="inlineStr">
        <is>
          <t>Miss Glam Jambi</t>
        </is>
      </c>
      <c r="E2408" t="n">
        <v>6</v>
      </c>
      <c r="F2408" t="n">
        <v>0.0561</v>
      </c>
      <c r="G2408" t="n">
        <v>0.66</v>
      </c>
      <c r="H2408" t="n">
        <v>2</v>
      </c>
      <c r="I2408" t="n">
        <v>7</v>
      </c>
      <c r="J2408" t="n">
        <v>3</v>
      </c>
      <c r="K2408" t="n">
        <v>0</v>
      </c>
      <c r="L2408" t="n">
        <v>102750</v>
      </c>
      <c r="M2408" t="n">
        <v>132000</v>
      </c>
      <c r="N2408" t="n">
        <v>33</v>
      </c>
      <c r="O2408" t="n">
        <v>0.33</v>
      </c>
      <c r="P2408" t="n">
        <v>1</v>
      </c>
      <c r="Q2408" t="n">
        <v>0.03</v>
      </c>
      <c r="R2408" t="n">
        <v>1</v>
      </c>
      <c r="S2408" t="n">
        <v>7405.200000000001</v>
      </c>
      <c r="T2408" t="n">
        <v>5</v>
      </c>
      <c r="U2408" t="n">
        <v>6</v>
      </c>
      <c r="V2408" t="n">
        <v>30</v>
      </c>
      <c r="W2408" t="n">
        <v>2</v>
      </c>
      <c r="X2408" t="n">
        <v>106.951871657754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11590</v>
      </c>
      <c r="AG2408" t="n">
        <v>2141</v>
      </c>
      <c r="AH2408" t="inlineStr">
        <is>
          <t>PT. PARAMA GLOBAL INSPIRA - PPN (JMB)</t>
        </is>
      </c>
      <c r="AI2408" t="n">
        <v>103</v>
      </c>
      <c r="AJ2408" t="inlineStr">
        <is>
          <t>MAKE OVER</t>
        </is>
      </c>
      <c r="AK2408" t="n">
        <v>9</v>
      </c>
      <c r="AL2408" t="inlineStr">
        <is>
          <t>Miss Glam Jambi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MAKE OVER</t>
        </is>
      </c>
      <c r="B2409" s="2">
        <f>"8993137007818"</f>
        <v/>
      </c>
      <c r="C2409" t="inlineStr">
        <is>
          <t>MAKE OVER Powerstay Glazed D14 Cherry 3gr</t>
        </is>
      </c>
      <c r="D2409" t="inlineStr">
        <is>
          <t>Miss Glam Jambi</t>
        </is>
      </c>
      <c r="E2409" t="n">
        <v>12</v>
      </c>
      <c r="F2409" t="n">
        <v>0.0264</v>
      </c>
      <c r="G2409" t="n">
        <v>0.33</v>
      </c>
      <c r="H2409" t="n">
        <v>2</v>
      </c>
      <c r="I2409" t="n">
        <v>7</v>
      </c>
      <c r="J2409" t="n">
        <v>3</v>
      </c>
      <c r="K2409" t="n">
        <v>0</v>
      </c>
      <c r="L2409" t="n">
        <v>102750</v>
      </c>
      <c r="M2409" t="n">
        <v>132000</v>
      </c>
      <c r="N2409" t="n">
        <v>33</v>
      </c>
      <c r="O2409" t="n">
        <v>0.33</v>
      </c>
      <c r="P2409" t="n">
        <v>1</v>
      </c>
      <c r="Q2409" t="n">
        <v>0.12</v>
      </c>
      <c r="R2409" t="n">
        <v>2</v>
      </c>
      <c r="S2409" t="n">
        <v>3484.800000000001</v>
      </c>
      <c r="T2409" t="n">
        <v>3</v>
      </c>
      <c r="U2409" t="n">
        <v>4</v>
      </c>
      <c r="V2409" t="n">
        <v>30</v>
      </c>
      <c r="W2409" t="n">
        <v>1</v>
      </c>
      <c r="X2409" t="n">
        <v>454.5454545454545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11590</v>
      </c>
      <c r="AG2409" t="n">
        <v>2141</v>
      </c>
      <c r="AH2409" t="inlineStr">
        <is>
          <t>PT. PARAMA GLOBAL INSPIRA - PPN (JMB)</t>
        </is>
      </c>
      <c r="AI2409" t="n">
        <v>103</v>
      </c>
      <c r="AJ2409" t="inlineStr">
        <is>
          <t>MAKE OVER</t>
        </is>
      </c>
      <c r="AK2409" t="n">
        <v>9</v>
      </c>
      <c r="AL2409" t="inlineStr">
        <is>
          <t>Miss Glam Jambi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MAKE OVER</t>
        </is>
      </c>
      <c r="B2410" s="2">
        <f>"8993137007825"</f>
        <v/>
      </c>
      <c r="C2410" t="inlineStr">
        <is>
          <t>MAKE OVER Powerstay Glazed D15 Psyched 3gr</t>
        </is>
      </c>
      <c r="D2410" t="inlineStr">
        <is>
          <t>Miss Glam Jambi</t>
        </is>
      </c>
      <c r="E2410" t="n">
        <v>4</v>
      </c>
      <c r="F2410" t="n">
        <v>0.06270000000000001</v>
      </c>
      <c r="G2410" t="n">
        <v>0.66</v>
      </c>
      <c r="H2410" t="n">
        <v>2</v>
      </c>
      <c r="I2410" t="n">
        <v>7</v>
      </c>
      <c r="J2410" t="n">
        <v>3</v>
      </c>
      <c r="K2410" t="n">
        <v>0</v>
      </c>
      <c r="L2410" t="n">
        <v>107918</v>
      </c>
      <c r="M2410" t="n">
        <v>132000</v>
      </c>
      <c r="N2410" t="n">
        <v>33</v>
      </c>
      <c r="O2410" t="n">
        <v>0.33</v>
      </c>
      <c r="P2410" t="n">
        <v>1</v>
      </c>
      <c r="Q2410" t="n">
        <v>0.03</v>
      </c>
      <c r="R2410" t="n">
        <v>1</v>
      </c>
      <c r="S2410" t="n">
        <v>8276.400000000001</v>
      </c>
      <c r="T2410" t="n">
        <v>5</v>
      </c>
      <c r="U2410" t="n">
        <v>6</v>
      </c>
      <c r="V2410" t="n">
        <v>30</v>
      </c>
      <c r="W2410" t="n">
        <v>2</v>
      </c>
      <c r="X2410" t="n">
        <v>63.79585326953747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11590</v>
      </c>
      <c r="AG2410" t="n">
        <v>2141</v>
      </c>
      <c r="AH2410" t="inlineStr">
        <is>
          <t>PT. PARAMA GLOBAL INSPIRA - PPN (JMB)</t>
        </is>
      </c>
      <c r="AI2410" t="n">
        <v>103</v>
      </c>
      <c r="AJ2410" t="inlineStr">
        <is>
          <t>MAKE OVER</t>
        </is>
      </c>
      <c r="AK2410" t="n">
        <v>9</v>
      </c>
      <c r="AL2410" t="inlineStr">
        <is>
          <t>Miss Glam Jambi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MAKE OVER</t>
        </is>
      </c>
      <c r="B2411" s="2">
        <f>"8993137007832"</f>
        <v/>
      </c>
      <c r="C2411" t="inlineStr">
        <is>
          <t>MAKE OVER Powerstay Glazed D16 California 3gr</t>
        </is>
      </c>
      <c r="D2411" t="inlineStr">
        <is>
          <t>Miss Glam Jambi</t>
        </is>
      </c>
      <c r="E2411" t="n">
        <v>5</v>
      </c>
      <c r="F2411" t="n">
        <v>0.0396</v>
      </c>
      <c r="G2411" t="n">
        <v>0.33</v>
      </c>
      <c r="H2411" t="n">
        <v>2</v>
      </c>
      <c r="I2411" t="n">
        <v>7</v>
      </c>
      <c r="J2411" t="n">
        <v>3</v>
      </c>
      <c r="K2411" t="n">
        <v>0</v>
      </c>
      <c r="L2411" t="n">
        <v>123423</v>
      </c>
      <c r="M2411" t="n">
        <v>132000</v>
      </c>
      <c r="N2411" t="n">
        <v>33</v>
      </c>
      <c r="O2411" t="n">
        <v>0.33</v>
      </c>
      <c r="P2411" t="n">
        <v>1</v>
      </c>
      <c r="Q2411" t="n">
        <v>0.08</v>
      </c>
      <c r="R2411" t="n">
        <v>1</v>
      </c>
      <c r="S2411" t="n">
        <v>5227.200000000001</v>
      </c>
      <c r="T2411" t="n">
        <v>3</v>
      </c>
      <c r="U2411" t="n">
        <v>4</v>
      </c>
      <c r="V2411" t="n">
        <v>30</v>
      </c>
      <c r="W2411" t="n">
        <v>2</v>
      </c>
      <c r="X2411" t="n">
        <v>126.2626262626263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11590</v>
      </c>
      <c r="AG2411" t="n">
        <v>2141</v>
      </c>
      <c r="AH2411" t="inlineStr">
        <is>
          <t>PT. PARAMA GLOBAL INSPIRA - PPN (JMB)</t>
        </is>
      </c>
      <c r="AI2411" t="n">
        <v>103</v>
      </c>
      <c r="AJ2411" t="inlineStr">
        <is>
          <t>MAKE OVER</t>
        </is>
      </c>
      <c r="AK2411" t="n">
        <v>9</v>
      </c>
      <c r="AL2411" t="inlineStr">
        <is>
          <t>Miss Glam Jambi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MAKE OVER</t>
        </is>
      </c>
      <c r="B2412" s="2">
        <f>"8993137007849"</f>
        <v/>
      </c>
      <c r="C2412" t="inlineStr">
        <is>
          <t>MAKE OVER Powerstay Glazed D17 As If 3gr</t>
        </is>
      </c>
      <c r="D2412" t="inlineStr">
        <is>
          <t>Miss Glam Jambi</t>
        </is>
      </c>
      <c r="E2412" t="n">
        <v>5</v>
      </c>
      <c r="F2412" t="n">
        <v>0.06270000000000001</v>
      </c>
      <c r="G2412" t="n">
        <v>0.33</v>
      </c>
      <c r="H2412" t="n">
        <v>2</v>
      </c>
      <c r="I2412" t="n">
        <v>7</v>
      </c>
      <c r="J2412" t="n">
        <v>3</v>
      </c>
      <c r="K2412" t="n">
        <v>0</v>
      </c>
      <c r="L2412" t="n">
        <v>102750</v>
      </c>
      <c r="M2412" t="n">
        <v>132000</v>
      </c>
      <c r="N2412" t="n">
        <v>33</v>
      </c>
      <c r="O2412" t="n">
        <v>0.33</v>
      </c>
      <c r="P2412" t="n">
        <v>1</v>
      </c>
      <c r="Q2412" t="n">
        <v>0.14</v>
      </c>
      <c r="R2412" t="n">
        <v>1</v>
      </c>
      <c r="S2412" t="n">
        <v>8276.400000000001</v>
      </c>
      <c r="T2412" t="n">
        <v>3</v>
      </c>
      <c r="U2412" t="n">
        <v>4</v>
      </c>
      <c r="V2412" t="n">
        <v>30</v>
      </c>
      <c r="W2412" t="n">
        <v>2</v>
      </c>
      <c r="X2412" t="n">
        <v>79.74481658692184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11590</v>
      </c>
      <c r="AG2412" t="n">
        <v>2141</v>
      </c>
      <c r="AH2412" t="inlineStr">
        <is>
          <t>PT. PARAMA GLOBAL INSPIRA - PPN (JMB)</t>
        </is>
      </c>
      <c r="AI2412" t="n">
        <v>103</v>
      </c>
      <c r="AJ2412" t="inlineStr">
        <is>
          <t>MAKE OVER</t>
        </is>
      </c>
      <c r="AK2412" t="n">
        <v>9</v>
      </c>
      <c r="AL2412" t="inlineStr">
        <is>
          <t>Miss Glam Jambi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MAKE OVER</t>
        </is>
      </c>
      <c r="B2413" s="2">
        <f>"20300447007"</f>
        <v/>
      </c>
      <c r="C2413" t="inlineStr">
        <is>
          <t>MAKE OVER Powerstay Glazed Lock Lip Pigment D19 Tease 3gr</t>
        </is>
      </c>
      <c r="D2413" t="inlineStr">
        <is>
          <t>Miss Glam Jambi</t>
        </is>
      </c>
      <c r="E2413" t="n">
        <v>3</v>
      </c>
      <c r="F2413" t="n">
        <v>0.006600000000000001</v>
      </c>
      <c r="G2413" t="n">
        <v>0.33</v>
      </c>
      <c r="H2413" t="n">
        <v>2</v>
      </c>
      <c r="I2413" t="n">
        <v>7</v>
      </c>
      <c r="J2413" t="n">
        <v>1</v>
      </c>
      <c r="K2413" t="n">
        <v>0</v>
      </c>
      <c r="L2413" t="n">
        <v>102750</v>
      </c>
      <c r="M2413" t="n">
        <v>125500</v>
      </c>
      <c r="N2413" t="n">
        <v>33</v>
      </c>
      <c r="O2413" t="n">
        <v>0.33</v>
      </c>
      <c r="P2413" t="n">
        <v>1</v>
      </c>
      <c r="Q2413" t="n">
        <v>0.02</v>
      </c>
      <c r="R2413" t="n">
        <v>1</v>
      </c>
      <c r="S2413" t="n">
        <v>828.3000000000001</v>
      </c>
      <c r="T2413" t="n">
        <v>3</v>
      </c>
      <c r="U2413" t="n">
        <v>4</v>
      </c>
      <c r="V2413" t="n">
        <v>30</v>
      </c>
      <c r="W2413" t="n">
        <v>1</v>
      </c>
      <c r="X2413" t="n">
        <v>454.5454545454545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11590</v>
      </c>
      <c r="AG2413" t="n">
        <v>2141</v>
      </c>
      <c r="AH2413" t="inlineStr">
        <is>
          <t>PT. PARAMA GLOBAL INSPIRA - PPN (JMB)</t>
        </is>
      </c>
      <c r="AI2413" t="n">
        <v>103</v>
      </c>
      <c r="AJ2413" t="inlineStr">
        <is>
          <t>MAKE OVER</t>
        </is>
      </c>
      <c r="AK2413" t="n">
        <v>9</v>
      </c>
      <c r="AL2413" t="inlineStr">
        <is>
          <t>Miss Glam Jambi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MAKE OVER</t>
        </is>
      </c>
      <c r="B2414" s="2">
        <f>"20300447238"</f>
        <v/>
      </c>
      <c r="C2414" t="inlineStr">
        <is>
          <t>MAKE OVER Powerstay Glazed Lock Lip Pigment D21 Extra 3gr</t>
        </is>
      </c>
      <c r="D2414" t="inlineStr">
        <is>
          <t>Miss Glam Jambi</t>
        </is>
      </c>
      <c r="E2414" t="n">
        <v>1</v>
      </c>
      <c r="F2414" t="n">
        <v>0.0561</v>
      </c>
      <c r="G2414" t="n">
        <v>0.33</v>
      </c>
      <c r="H2414" t="n">
        <v>2</v>
      </c>
      <c r="I2414" t="n">
        <v>7</v>
      </c>
      <c r="J2414" t="n">
        <v>1</v>
      </c>
      <c r="K2414" t="n">
        <v>1</v>
      </c>
      <c r="L2414" t="n">
        <v>102935</v>
      </c>
      <c r="M2414" t="n">
        <v>125500</v>
      </c>
      <c r="N2414" t="n">
        <v>33</v>
      </c>
      <c r="O2414" t="n">
        <v>0.33</v>
      </c>
      <c r="P2414" t="n">
        <v>1</v>
      </c>
      <c r="Q2414" t="n">
        <v>0.05</v>
      </c>
      <c r="R2414" t="n">
        <v>1</v>
      </c>
      <c r="S2414" t="n">
        <v>7040.55</v>
      </c>
      <c r="T2414" t="n">
        <v>3</v>
      </c>
      <c r="U2414" t="n">
        <v>4</v>
      </c>
      <c r="V2414" t="n">
        <v>30</v>
      </c>
      <c r="W2414" t="n">
        <v>2</v>
      </c>
      <c r="X2414" t="n">
        <v>17.825311942959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11590</v>
      </c>
      <c r="AG2414" t="n">
        <v>2141</v>
      </c>
      <c r="AH2414" t="inlineStr">
        <is>
          <t>PT. PARAMA GLOBAL INSPIRA - PPN (JMB)</t>
        </is>
      </c>
      <c r="AI2414" t="n">
        <v>103</v>
      </c>
      <c r="AJ2414" t="inlineStr">
        <is>
          <t>MAKE OVER</t>
        </is>
      </c>
      <c r="AK2414" t="n">
        <v>9</v>
      </c>
      <c r="AL2414" t="inlineStr">
        <is>
          <t>Miss Glam Jambi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MAKE OVER</t>
        </is>
      </c>
      <c r="B2415" s="2">
        <f>"20300447310"</f>
        <v/>
      </c>
      <c r="C2415" t="inlineStr">
        <is>
          <t>MAKE OVER Powerstay Glazed Lock Lip Pigment D22 Lowkey 3gr</t>
        </is>
      </c>
      <c r="D2415" t="inlineStr">
        <is>
          <t>Miss Glam Jambi</t>
        </is>
      </c>
      <c r="E2415" t="n">
        <v>5</v>
      </c>
      <c r="F2415" t="n">
        <v>0.0165</v>
      </c>
      <c r="G2415" t="n">
        <v>0.33</v>
      </c>
      <c r="H2415" t="n">
        <v>2</v>
      </c>
      <c r="I2415" t="n">
        <v>7</v>
      </c>
      <c r="J2415" t="n">
        <v>1</v>
      </c>
      <c r="K2415" t="n">
        <v>0</v>
      </c>
      <c r="L2415" t="n">
        <v>102750</v>
      </c>
      <c r="M2415" t="n">
        <v>125500</v>
      </c>
      <c r="N2415" t="n">
        <v>33</v>
      </c>
      <c r="O2415" t="n">
        <v>0.33</v>
      </c>
      <c r="P2415" t="n">
        <v>1</v>
      </c>
      <c r="Q2415" t="n">
        <v>0.03</v>
      </c>
      <c r="R2415" t="n">
        <v>1</v>
      </c>
      <c r="S2415" t="n">
        <v>2070.75</v>
      </c>
      <c r="T2415" t="n">
        <v>3</v>
      </c>
      <c r="U2415" t="n">
        <v>4</v>
      </c>
      <c r="V2415" t="n">
        <v>30</v>
      </c>
      <c r="W2415" t="n">
        <v>1</v>
      </c>
      <c r="X2415" t="n">
        <v>303.030303030303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11590</v>
      </c>
      <c r="AG2415" t="n">
        <v>2141</v>
      </c>
      <c r="AH2415" t="inlineStr">
        <is>
          <t>PT. PARAMA GLOBAL INSPIRA - PPN (JMB)</t>
        </is>
      </c>
      <c r="AI2415" t="n">
        <v>103</v>
      </c>
      <c r="AJ2415" t="inlineStr">
        <is>
          <t>MAKE OVER</t>
        </is>
      </c>
      <c r="AK2415" t="n">
        <v>9</v>
      </c>
      <c r="AL2415" t="inlineStr">
        <is>
          <t>Miss Glam Jambi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MAKE OVER</t>
        </is>
      </c>
      <c r="B2416" s="2">
        <f>"20300447445"</f>
        <v/>
      </c>
      <c r="C2416" t="inlineStr">
        <is>
          <t>MAKE OVER Powerstay Glazed Lock Lip Pigment D23 WYD 3gr</t>
        </is>
      </c>
      <c r="D2416" t="inlineStr">
        <is>
          <t>Miss Glam Jambi</t>
        </is>
      </c>
      <c r="E2416" t="n">
        <v>1</v>
      </c>
      <c r="F2416" t="n">
        <v>0.0495</v>
      </c>
      <c r="G2416" t="n">
        <v>0.66</v>
      </c>
      <c r="H2416" t="n">
        <v>2</v>
      </c>
      <c r="I2416" t="n">
        <v>7</v>
      </c>
      <c r="J2416" t="n">
        <v>1</v>
      </c>
      <c r="K2416" t="n">
        <v>1</v>
      </c>
      <c r="L2416" t="n">
        <v>102750</v>
      </c>
      <c r="M2416" t="n">
        <v>125500</v>
      </c>
      <c r="N2416" t="n">
        <v>33</v>
      </c>
      <c r="O2416" t="n">
        <v>0.33</v>
      </c>
      <c r="P2416" t="n">
        <v>1</v>
      </c>
      <c r="Q2416" t="n">
        <v>0.02</v>
      </c>
      <c r="R2416" t="n">
        <v>1</v>
      </c>
      <c r="S2416" t="n">
        <v>6212.25</v>
      </c>
      <c r="T2416" t="n">
        <v>5</v>
      </c>
      <c r="U2416" t="n">
        <v>6</v>
      </c>
      <c r="V2416" t="n">
        <v>30</v>
      </c>
      <c r="W2416" t="n">
        <v>2</v>
      </c>
      <c r="X2416" t="n">
        <v>20.2020202020202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11590</v>
      </c>
      <c r="AG2416" t="n">
        <v>2141</v>
      </c>
      <c r="AH2416" t="inlineStr">
        <is>
          <t>PT. PARAMA GLOBAL INSPIRA - PPN (JMB)</t>
        </is>
      </c>
      <c r="AI2416" t="n">
        <v>103</v>
      </c>
      <c r="AJ2416" t="inlineStr">
        <is>
          <t>MAKE OVER</t>
        </is>
      </c>
      <c r="AK2416" t="n">
        <v>9</v>
      </c>
      <c r="AL2416" t="inlineStr">
        <is>
          <t>Miss Glam Jambi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MAKE OVER</t>
        </is>
      </c>
      <c r="B2417" s="2">
        <f>"20300447524"</f>
        <v/>
      </c>
      <c r="C2417" t="inlineStr">
        <is>
          <t>MAKE OVER Powerstay Glazed Lock Lip Pigment D24 Served 3gr</t>
        </is>
      </c>
      <c r="D2417" t="inlineStr">
        <is>
          <t>Miss Glam Jambi</t>
        </is>
      </c>
      <c r="E2417" t="n">
        <v>6</v>
      </c>
      <c r="F2417" t="n">
        <v>0.0495</v>
      </c>
      <c r="G2417" t="n">
        <v>0.33</v>
      </c>
      <c r="H2417" t="n">
        <v>2</v>
      </c>
      <c r="I2417" t="n">
        <v>7</v>
      </c>
      <c r="J2417" t="n">
        <v>1</v>
      </c>
      <c r="K2417" t="n">
        <v>0</v>
      </c>
      <c r="L2417" t="n">
        <v>102750</v>
      </c>
      <c r="M2417" t="n">
        <v>125500</v>
      </c>
      <c r="N2417" t="n">
        <v>33</v>
      </c>
      <c r="O2417" t="n">
        <v>0.33</v>
      </c>
      <c r="P2417" t="n">
        <v>1</v>
      </c>
      <c r="Q2417" t="n">
        <v>0.12</v>
      </c>
      <c r="R2417" t="n">
        <v>1</v>
      </c>
      <c r="S2417" t="n">
        <v>6212.25</v>
      </c>
      <c r="T2417" t="n">
        <v>3</v>
      </c>
      <c r="U2417" t="n">
        <v>4</v>
      </c>
      <c r="V2417" t="n">
        <v>30</v>
      </c>
      <c r="W2417" t="n">
        <v>2</v>
      </c>
      <c r="X2417" t="n">
        <v>121.2121212121212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11590</v>
      </c>
      <c r="AG2417" t="n">
        <v>2141</v>
      </c>
      <c r="AH2417" t="inlineStr">
        <is>
          <t>PT. PARAMA GLOBAL INSPIRA - PPN (JMB)</t>
        </is>
      </c>
      <c r="AI2417" t="n">
        <v>103</v>
      </c>
      <c r="AJ2417" t="inlineStr">
        <is>
          <t>MAKE OVER</t>
        </is>
      </c>
      <c r="AK2417" t="n">
        <v>9</v>
      </c>
      <c r="AL2417" t="inlineStr">
        <is>
          <t>Miss Glam Jambi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MAKE OVER</t>
        </is>
      </c>
      <c r="B2418" s="2">
        <f>"8993137721578"</f>
        <v/>
      </c>
      <c r="C2418" t="inlineStr">
        <is>
          <t>MAKE OVER Powerstay Matte Powder Foundation 24H Oil Control N20 Ivory 10gr</t>
        </is>
      </c>
      <c r="D2418" t="inlineStr">
        <is>
          <t>Miss Glam Jambi</t>
        </is>
      </c>
      <c r="E2418" t="n">
        <v>5</v>
      </c>
      <c r="F2418" t="n">
        <v>0.06270000000000001</v>
      </c>
      <c r="G2418" t="n">
        <v>0.66</v>
      </c>
      <c r="H2418" t="n">
        <v>2</v>
      </c>
      <c r="I2418" t="n">
        <v>7</v>
      </c>
      <c r="J2418" t="n">
        <v>3</v>
      </c>
      <c r="K2418" t="n">
        <v>0</v>
      </c>
      <c r="L2418" t="n">
        <v>150000</v>
      </c>
      <c r="M2418" t="n">
        <v>195000</v>
      </c>
      <c r="N2418" t="n">
        <v>33</v>
      </c>
      <c r="O2418" t="n">
        <v>0.33</v>
      </c>
      <c r="P2418" t="n">
        <v>1</v>
      </c>
      <c r="Q2418" t="n">
        <v>0.05</v>
      </c>
      <c r="R2418" t="n">
        <v>1</v>
      </c>
      <c r="S2418" t="n">
        <v>12226.5</v>
      </c>
      <c r="T2418" t="n">
        <v>5</v>
      </c>
      <c r="U2418" t="n">
        <v>6</v>
      </c>
      <c r="V2418" t="n">
        <v>30</v>
      </c>
      <c r="W2418" t="n">
        <v>2</v>
      </c>
      <c r="X2418" t="n">
        <v>79.74481658692184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11590</v>
      </c>
      <c r="AG2418" t="n">
        <v>2141</v>
      </c>
      <c r="AH2418" t="inlineStr">
        <is>
          <t>PT. PARAMA GLOBAL INSPIRA - PPN (JMB)</t>
        </is>
      </c>
      <c r="AI2418" t="n">
        <v>103</v>
      </c>
      <c r="AJ2418" t="inlineStr">
        <is>
          <t>MAKE OVER</t>
        </is>
      </c>
      <c r="AK2418" t="n">
        <v>9</v>
      </c>
      <c r="AL2418" t="inlineStr">
        <is>
          <t>Miss Glam Jambi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MAKE OVER</t>
        </is>
      </c>
      <c r="B2419" s="2">
        <f>"8993137721585"</f>
        <v/>
      </c>
      <c r="C2419" t="inlineStr">
        <is>
          <t>MAKE OVER Powerstay Matte Powder Foundation 24H Oil Control N40 Sand 10gr</t>
        </is>
      </c>
      <c r="D2419" t="inlineStr">
        <is>
          <t>Miss Glam Jambi</t>
        </is>
      </c>
      <c r="E2419" t="n">
        <v>2</v>
      </c>
      <c r="F2419" t="n">
        <v>0.006600000000000001</v>
      </c>
      <c r="G2419" t="n">
        <v>0.33</v>
      </c>
      <c r="H2419" t="n">
        <v>2</v>
      </c>
      <c r="I2419" t="n">
        <v>7</v>
      </c>
      <c r="J2419" t="n">
        <v>3</v>
      </c>
      <c r="K2419" t="n">
        <v>0</v>
      </c>
      <c r="L2419" t="n">
        <v>150000</v>
      </c>
      <c r="M2419" t="n">
        <v>195000</v>
      </c>
      <c r="N2419" t="n">
        <v>33</v>
      </c>
      <c r="O2419" t="n">
        <v>0.33</v>
      </c>
      <c r="P2419" t="n">
        <v>1</v>
      </c>
      <c r="Q2419" t="n">
        <v>0.05</v>
      </c>
      <c r="R2419" t="n">
        <v>1</v>
      </c>
      <c r="S2419" t="n">
        <v>1287</v>
      </c>
      <c r="T2419" t="n">
        <v>3</v>
      </c>
      <c r="U2419" t="n">
        <v>4</v>
      </c>
      <c r="V2419" t="n">
        <v>30</v>
      </c>
      <c r="W2419" t="n">
        <v>1</v>
      </c>
      <c r="X2419" t="n">
        <v>303.030303030303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11590</v>
      </c>
      <c r="AG2419" t="n">
        <v>2141</v>
      </c>
      <c r="AH2419" t="inlineStr">
        <is>
          <t>PT. PARAMA GLOBAL INSPIRA - PPN (JMB)</t>
        </is>
      </c>
      <c r="AI2419" t="n">
        <v>103</v>
      </c>
      <c r="AJ2419" t="inlineStr">
        <is>
          <t>MAKE OVER</t>
        </is>
      </c>
      <c r="AK2419" t="n">
        <v>9</v>
      </c>
      <c r="AL2419" t="inlineStr">
        <is>
          <t>Miss Glam Jambi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MAKE OVER</t>
        </is>
      </c>
      <c r="B2420" s="2">
        <f>"8993137721639"</f>
        <v/>
      </c>
      <c r="C2420" t="inlineStr">
        <is>
          <t>MAKE OVER Powerstay Matte Powder Foundation 24H Oil Control W12 Warm Marble 10gr</t>
        </is>
      </c>
      <c r="D2420" t="inlineStr">
        <is>
          <t>Miss Glam Jambi</t>
        </is>
      </c>
      <c r="E2420" t="n">
        <v>4</v>
      </c>
      <c r="F2420" t="n">
        <v>0.02</v>
      </c>
      <c r="G2420" t="n">
        <v>1</v>
      </c>
      <c r="H2420" t="n">
        <v>2</v>
      </c>
      <c r="I2420" t="n">
        <v>7</v>
      </c>
      <c r="J2420" t="n">
        <v>3</v>
      </c>
      <c r="K2420" t="n">
        <v>0</v>
      </c>
      <c r="L2420" t="n">
        <v>160000</v>
      </c>
      <c r="M2420" t="n">
        <v>195000</v>
      </c>
      <c r="N2420" t="n">
        <v>33</v>
      </c>
      <c r="O2420" t="n">
        <v>0.33</v>
      </c>
      <c r="P2420" t="n">
        <v>0</v>
      </c>
      <c r="Q2420" t="n">
        <v>0.02</v>
      </c>
      <c r="R2420" t="n">
        <v>1</v>
      </c>
      <c r="S2420" t="n">
        <v>3900</v>
      </c>
      <c r="T2420" t="n">
        <v>7</v>
      </c>
      <c r="U2420" t="n">
        <v>8</v>
      </c>
      <c r="V2420" t="n">
        <v>30</v>
      </c>
      <c r="W2420" t="n">
        <v>1</v>
      </c>
      <c r="X2420" t="n">
        <v>200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11590</v>
      </c>
      <c r="AG2420" t="n">
        <v>2141</v>
      </c>
      <c r="AH2420" t="inlineStr">
        <is>
          <t>PT. PARAMA GLOBAL INSPIRA - PPN (JMB)</t>
        </is>
      </c>
      <c r="AI2420" t="n">
        <v>103</v>
      </c>
      <c r="AJ2420" t="inlineStr">
        <is>
          <t>MAKE OVER</t>
        </is>
      </c>
      <c r="AK2420" t="n">
        <v>9</v>
      </c>
      <c r="AL2420" t="inlineStr">
        <is>
          <t>Miss Glam Jambi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MAKE OVER</t>
        </is>
      </c>
      <c r="B2421" s="2">
        <f>"8993137721622"</f>
        <v/>
      </c>
      <c r="C2421" t="inlineStr">
        <is>
          <t>MAKE OVER Powerstay Matte Powder Foundation 24H Oil Control W21 Coral Ivory 10gr</t>
        </is>
      </c>
      <c r="D2421" t="inlineStr">
        <is>
          <t>Miss Glam Jambi</t>
        </is>
      </c>
      <c r="E2421" t="n">
        <v>3</v>
      </c>
      <c r="F2421" t="n">
        <v>0.0231</v>
      </c>
      <c r="G2421" t="n">
        <v>0.33</v>
      </c>
      <c r="H2421" t="n">
        <v>2</v>
      </c>
      <c r="I2421" t="n">
        <v>7</v>
      </c>
      <c r="J2421" t="n">
        <v>3</v>
      </c>
      <c r="K2421" t="n">
        <v>0</v>
      </c>
      <c r="L2421" t="n">
        <v>150000</v>
      </c>
      <c r="M2421" t="n">
        <v>195000</v>
      </c>
      <c r="N2421" t="n">
        <v>33</v>
      </c>
      <c r="O2421" t="n">
        <v>0.33</v>
      </c>
      <c r="P2421" t="n">
        <v>1</v>
      </c>
      <c r="Q2421" t="n">
        <v>0.05</v>
      </c>
      <c r="R2421" t="n">
        <v>1</v>
      </c>
      <c r="S2421" t="n">
        <v>4504.500000000001</v>
      </c>
      <c r="T2421" t="n">
        <v>3</v>
      </c>
      <c r="U2421" t="n">
        <v>4</v>
      </c>
      <c r="V2421" t="n">
        <v>30</v>
      </c>
      <c r="W2421" t="n">
        <v>1</v>
      </c>
      <c r="X2421" t="n">
        <v>129.8701298701299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11590</v>
      </c>
      <c r="AG2421" t="n">
        <v>2141</v>
      </c>
      <c r="AH2421" t="inlineStr">
        <is>
          <t>PT. PARAMA GLOBAL INSPIRA - PPN (JMB)</t>
        </is>
      </c>
      <c r="AI2421" t="n">
        <v>103</v>
      </c>
      <c r="AJ2421" t="inlineStr">
        <is>
          <t>MAKE OVER</t>
        </is>
      </c>
      <c r="AK2421" t="n">
        <v>9</v>
      </c>
      <c r="AL2421" t="inlineStr">
        <is>
          <t>Miss Glam Jambi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"8993137721615"</f>
        <v/>
      </c>
      <c r="C2422" t="inlineStr">
        <is>
          <t>MAKE OVER Powerstay Matte Powder Foundation 24H Oil Control W32 Warm Beige 10gr</t>
        </is>
      </c>
      <c r="D2422" t="inlineStr">
        <is>
          <t>Miss Glam Jambi</t>
        </is>
      </c>
      <c r="E2422" t="n">
        <v>5</v>
      </c>
      <c r="F2422" t="n">
        <v>0.06270000000000001</v>
      </c>
      <c r="G2422" t="n">
        <v>0.66</v>
      </c>
      <c r="H2422" t="n">
        <v>2</v>
      </c>
      <c r="I2422" t="n">
        <v>7</v>
      </c>
      <c r="J2422" t="n">
        <v>3</v>
      </c>
      <c r="K2422" t="n">
        <v>0</v>
      </c>
      <c r="L2422" t="n">
        <v>150000</v>
      </c>
      <c r="M2422" t="n">
        <v>195000</v>
      </c>
      <c r="N2422" t="n">
        <v>33</v>
      </c>
      <c r="O2422" t="n">
        <v>0.33</v>
      </c>
      <c r="P2422" t="n">
        <v>1</v>
      </c>
      <c r="Q2422" t="n">
        <v>0.15</v>
      </c>
      <c r="R2422" t="n">
        <v>1</v>
      </c>
      <c r="S2422" t="n">
        <v>12226.5</v>
      </c>
      <c r="T2422" t="n">
        <v>5</v>
      </c>
      <c r="U2422" t="n">
        <v>6</v>
      </c>
      <c r="V2422" t="n">
        <v>30</v>
      </c>
      <c r="W2422" t="n">
        <v>2</v>
      </c>
      <c r="X2422" t="n">
        <v>79.74481658692184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11590</v>
      </c>
      <c r="AG2422" t="n">
        <v>2141</v>
      </c>
      <c r="AH2422" t="inlineStr">
        <is>
          <t>PT. PARAMA GLOBAL INSPIRA - PPN (JMB)</t>
        </is>
      </c>
      <c r="AI2422" t="n">
        <v>103</v>
      </c>
      <c r="AJ2422" t="inlineStr">
        <is>
          <t>MAKE OVER</t>
        </is>
      </c>
      <c r="AK2422" t="n">
        <v>9</v>
      </c>
      <c r="AL2422" t="inlineStr">
        <is>
          <t>Miss Glam Jambi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"20100473422"</f>
        <v/>
      </c>
      <c r="C2423" t="inlineStr">
        <is>
          <t>MAKE OVER Powerstay Sync Matte Cushion C21 Pink Ivory 12gr</t>
        </is>
      </c>
      <c r="D2423" t="inlineStr">
        <is>
          <t>Miss Glam Jambi</t>
        </is>
      </c>
      <c r="E2423" t="n">
        <v>3</v>
      </c>
      <c r="F2423" t="n">
        <v>0.02</v>
      </c>
      <c r="G2423" t="n">
        <v>1</v>
      </c>
      <c r="H2423" t="n">
        <v>2</v>
      </c>
      <c r="I2423" t="n">
        <v>7</v>
      </c>
      <c r="J2423" t="n">
        <v>1</v>
      </c>
      <c r="K2423" t="n">
        <v>0</v>
      </c>
      <c r="L2423" t="n">
        <v>170250</v>
      </c>
      <c r="M2423" t="n">
        <v>208000</v>
      </c>
      <c r="N2423" t="n">
        <v>33</v>
      </c>
      <c r="O2423" t="n">
        <v>0.33</v>
      </c>
      <c r="P2423" t="n">
        <v>0</v>
      </c>
      <c r="Q2423" t="n">
        <v>0.02</v>
      </c>
      <c r="R2423" t="n">
        <v>1</v>
      </c>
      <c r="S2423" t="n">
        <v>4160</v>
      </c>
      <c r="T2423" t="n">
        <v>7</v>
      </c>
      <c r="U2423" t="n">
        <v>8</v>
      </c>
      <c r="V2423" t="n">
        <v>30</v>
      </c>
      <c r="W2423" t="n">
        <v>1</v>
      </c>
      <c r="X2423" t="n">
        <v>150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11590</v>
      </c>
      <c r="AG2423" t="n">
        <v>2141</v>
      </c>
      <c r="AH2423" t="inlineStr">
        <is>
          <t>PT. PARAMA GLOBAL INSPIRA - PPN (JMB)</t>
        </is>
      </c>
      <c r="AI2423" t="n">
        <v>103</v>
      </c>
      <c r="AJ2423" t="inlineStr">
        <is>
          <t>MAKE OVER</t>
        </is>
      </c>
      <c r="AK2423" t="n">
        <v>9</v>
      </c>
      <c r="AL2423" t="inlineStr">
        <is>
          <t>Miss Glam Jambi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"20100473756"</f>
        <v/>
      </c>
      <c r="C2424" t="inlineStr">
        <is>
          <t>MAKE OVER Powerstay Sync Matte Cushion N10 Marble 12gr</t>
        </is>
      </c>
      <c r="D2424" t="inlineStr">
        <is>
          <t>Miss Glam Jambi</t>
        </is>
      </c>
      <c r="E2424" t="n">
        <v>5</v>
      </c>
      <c r="F2424" t="n">
        <v>0.0462</v>
      </c>
      <c r="G2424" t="n">
        <v>0.33</v>
      </c>
      <c r="H2424" t="n">
        <v>2</v>
      </c>
      <c r="I2424" t="n">
        <v>7</v>
      </c>
      <c r="J2424" t="n">
        <v>1</v>
      </c>
      <c r="K2424" t="n">
        <v>0</v>
      </c>
      <c r="L2424" t="n">
        <v>170250</v>
      </c>
      <c r="M2424" t="n">
        <v>208000</v>
      </c>
      <c r="N2424" t="n">
        <v>33</v>
      </c>
      <c r="O2424" t="n">
        <v>0.33</v>
      </c>
      <c r="P2424" t="n">
        <v>1</v>
      </c>
      <c r="Q2424" t="n">
        <v>0.03</v>
      </c>
      <c r="R2424" t="n">
        <v>0</v>
      </c>
      <c r="S2424" t="n">
        <v>9609.6</v>
      </c>
      <c r="T2424" t="n">
        <v>3</v>
      </c>
      <c r="U2424" t="n">
        <v>4</v>
      </c>
      <c r="V2424" t="n">
        <v>30</v>
      </c>
      <c r="W2424" t="n">
        <v>2</v>
      </c>
      <c r="X2424" t="n">
        <v>108.2251082251082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11590</v>
      </c>
      <c r="AG2424" t="n">
        <v>2141</v>
      </c>
      <c r="AH2424" t="inlineStr">
        <is>
          <t>PT. PARAMA GLOBAL INSPIRA - PPN (JMB)</t>
        </is>
      </c>
      <c r="AI2424" t="n">
        <v>103</v>
      </c>
      <c r="AJ2424" t="inlineStr">
        <is>
          <t>MAKE OVER</t>
        </is>
      </c>
      <c r="AK2424" t="n">
        <v>9</v>
      </c>
      <c r="AL2424" t="inlineStr">
        <is>
          <t>Miss Glam Jambi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"20100473807"</f>
        <v/>
      </c>
      <c r="C2425" t="inlineStr">
        <is>
          <t>MAKE OVER Powerstay Sync Matte Cushion N20 Ivory 12gr</t>
        </is>
      </c>
      <c r="D2425" t="inlineStr">
        <is>
          <t>Miss Glam Jambi</t>
        </is>
      </c>
      <c r="E2425" t="n">
        <v>3</v>
      </c>
      <c r="F2425" t="n">
        <v>0.009900000000000001</v>
      </c>
      <c r="G2425" t="n">
        <v>0.33</v>
      </c>
      <c r="H2425" t="n">
        <v>2</v>
      </c>
      <c r="I2425" t="n">
        <v>7</v>
      </c>
      <c r="J2425" t="n">
        <v>1</v>
      </c>
      <c r="K2425" t="n">
        <v>0</v>
      </c>
      <c r="L2425" t="n">
        <v>170250</v>
      </c>
      <c r="M2425" t="n">
        <v>208000</v>
      </c>
      <c r="N2425" t="n">
        <v>33</v>
      </c>
      <c r="O2425" t="n">
        <v>0.33</v>
      </c>
      <c r="P2425" t="n">
        <v>1</v>
      </c>
      <c r="Q2425" t="n">
        <v>0.08</v>
      </c>
      <c r="R2425" t="n">
        <v>2</v>
      </c>
      <c r="S2425" t="n">
        <v>2059.2</v>
      </c>
      <c r="T2425" t="n">
        <v>3</v>
      </c>
      <c r="U2425" t="n">
        <v>4</v>
      </c>
      <c r="V2425" t="n">
        <v>30</v>
      </c>
      <c r="W2425" t="n">
        <v>1</v>
      </c>
      <c r="X2425" t="n">
        <v>303.030303030303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11590</v>
      </c>
      <c r="AG2425" t="n">
        <v>2141</v>
      </c>
      <c r="AH2425" t="inlineStr">
        <is>
          <t>PT. PARAMA GLOBAL INSPIRA - PPN (JMB)</t>
        </is>
      </c>
      <c r="AI2425" t="n">
        <v>103</v>
      </c>
      <c r="AJ2425" t="inlineStr">
        <is>
          <t>MAKE OVER</t>
        </is>
      </c>
      <c r="AK2425" t="n">
        <v>9</v>
      </c>
      <c r="AL2425" t="inlineStr">
        <is>
          <t>Miss Glam Jambi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"20100473914"</f>
        <v/>
      </c>
      <c r="C2426" t="inlineStr">
        <is>
          <t>MAKE OVER Powerstay Sync Matte Cushion N30 Natural Beige 12gr</t>
        </is>
      </c>
      <c r="D2426" t="inlineStr">
        <is>
          <t>Miss Glam Jambi</t>
        </is>
      </c>
      <c r="E2426" t="n">
        <v>4</v>
      </c>
      <c r="F2426" t="n">
        <v>0.009900000000000001</v>
      </c>
      <c r="G2426" t="n">
        <v>0.33</v>
      </c>
      <c r="H2426" t="n">
        <v>2</v>
      </c>
      <c r="I2426" t="n">
        <v>7</v>
      </c>
      <c r="J2426" t="n">
        <v>1</v>
      </c>
      <c r="K2426" t="n">
        <v>0</v>
      </c>
      <c r="L2426" t="n">
        <v>170250</v>
      </c>
      <c r="M2426" t="n">
        <v>208000</v>
      </c>
      <c r="N2426" t="n">
        <v>33</v>
      </c>
      <c r="O2426" t="n">
        <v>0.33</v>
      </c>
      <c r="P2426" t="n">
        <v>1</v>
      </c>
      <c r="Q2426" t="n">
        <v>0.12</v>
      </c>
      <c r="R2426" t="n">
        <v>2</v>
      </c>
      <c r="S2426" t="n">
        <v>2059.2</v>
      </c>
      <c r="T2426" t="n">
        <v>3</v>
      </c>
      <c r="U2426" t="n">
        <v>4</v>
      </c>
      <c r="V2426" t="n">
        <v>30</v>
      </c>
      <c r="W2426" t="n">
        <v>1</v>
      </c>
      <c r="X2426" t="n">
        <v>404.040404040404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11590</v>
      </c>
      <c r="AG2426" t="n">
        <v>2141</v>
      </c>
      <c r="AH2426" t="inlineStr">
        <is>
          <t>PT. PARAMA GLOBAL INSPIRA - PPN (JMB)</t>
        </is>
      </c>
      <c r="AI2426" t="n">
        <v>103</v>
      </c>
      <c r="AJ2426" t="inlineStr">
        <is>
          <t>MAKE OVER</t>
        </is>
      </c>
      <c r="AK2426" t="n">
        <v>9</v>
      </c>
      <c r="AL2426" t="inlineStr">
        <is>
          <t>Miss Glam Jambi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"20100474150"</f>
        <v/>
      </c>
      <c r="C2427" t="inlineStr">
        <is>
          <t>MAKE OVER Powerstay Sync Matte Cushion W12 Warm Marble 12gr</t>
        </is>
      </c>
      <c r="D2427" t="inlineStr">
        <is>
          <t>Miss Glam Jambi</t>
        </is>
      </c>
      <c r="E2427" t="n">
        <v>2</v>
      </c>
      <c r="F2427" t="n">
        <v>0.009900000000000001</v>
      </c>
      <c r="G2427" t="n">
        <v>0.33</v>
      </c>
      <c r="H2427" t="n">
        <v>2</v>
      </c>
      <c r="I2427" t="n">
        <v>7</v>
      </c>
      <c r="J2427" t="n">
        <v>1</v>
      </c>
      <c r="K2427" t="n">
        <v>0</v>
      </c>
      <c r="L2427" t="n">
        <v>170250</v>
      </c>
      <c r="M2427" t="n">
        <v>208000</v>
      </c>
      <c r="N2427" t="n">
        <v>33</v>
      </c>
      <c r="O2427" t="n">
        <v>0.33</v>
      </c>
      <c r="P2427" t="n">
        <v>1</v>
      </c>
      <c r="Q2427" t="n">
        <v>0.02</v>
      </c>
      <c r="R2427" t="n">
        <v>1</v>
      </c>
      <c r="S2427" t="n">
        <v>2059.2</v>
      </c>
      <c r="T2427" t="n">
        <v>3</v>
      </c>
      <c r="U2427" t="n">
        <v>4</v>
      </c>
      <c r="V2427" t="n">
        <v>30</v>
      </c>
      <c r="W2427" t="n">
        <v>1</v>
      </c>
      <c r="X2427" t="n">
        <v>202.020202020202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11590</v>
      </c>
      <c r="AG2427" t="n">
        <v>2141</v>
      </c>
      <c r="AH2427" t="inlineStr">
        <is>
          <t>PT. PARAMA GLOBAL INSPIRA - PPN (JMB)</t>
        </is>
      </c>
      <c r="AI2427" t="n">
        <v>103</v>
      </c>
      <c r="AJ2427" t="inlineStr">
        <is>
          <t>MAKE OVER</t>
        </is>
      </c>
      <c r="AK2427" t="n">
        <v>9</v>
      </c>
      <c r="AL2427" t="inlineStr">
        <is>
          <t>Miss Glam Jambi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"20100480631"</f>
        <v/>
      </c>
      <c r="C2428" t="inlineStr">
        <is>
          <t>MAKE OVER Powerstay Sync Matte Cushion W21 Coral Ivory 12gr</t>
        </is>
      </c>
      <c r="D2428" t="inlineStr">
        <is>
          <t>Miss Glam Jambi</t>
        </is>
      </c>
      <c r="E2428" t="n">
        <v>6</v>
      </c>
      <c r="F2428" t="n">
        <v>0.02</v>
      </c>
      <c r="G2428" t="n">
        <v>1</v>
      </c>
      <c r="H2428" t="n">
        <v>2</v>
      </c>
      <c r="I2428" t="n">
        <v>7</v>
      </c>
      <c r="J2428" t="n">
        <v>1</v>
      </c>
      <c r="K2428" t="n">
        <v>0</v>
      </c>
      <c r="L2428" t="n">
        <v>170250</v>
      </c>
      <c r="M2428" t="n">
        <v>208000</v>
      </c>
      <c r="N2428" t="n">
        <v>33</v>
      </c>
      <c r="O2428" t="n">
        <v>0.33</v>
      </c>
      <c r="P2428" t="n">
        <v>0</v>
      </c>
      <c r="Q2428" t="n">
        <v>0.02</v>
      </c>
      <c r="R2428" t="n">
        <v>1</v>
      </c>
      <c r="S2428" t="n">
        <v>4160</v>
      </c>
      <c r="T2428" t="n">
        <v>7</v>
      </c>
      <c r="U2428" t="n">
        <v>8</v>
      </c>
      <c r="V2428" t="n">
        <v>30</v>
      </c>
      <c r="W2428" t="n">
        <v>1</v>
      </c>
      <c r="X2428" t="n">
        <v>300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11590</v>
      </c>
      <c r="AG2428" t="n">
        <v>2141</v>
      </c>
      <c r="AH2428" t="inlineStr">
        <is>
          <t>PT. PARAMA GLOBAL INSPIRA - PPN (JMB)</t>
        </is>
      </c>
      <c r="AI2428" t="n">
        <v>103</v>
      </c>
      <c r="AJ2428" t="inlineStr">
        <is>
          <t>MAKE OVER</t>
        </is>
      </c>
      <c r="AK2428" t="n">
        <v>9</v>
      </c>
      <c r="AL2428" t="inlineStr">
        <is>
          <t>Miss Glam Jambi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"20100474341"</f>
        <v/>
      </c>
      <c r="C2429" t="inlineStr">
        <is>
          <t>MAKE OVER Powerstay Sync Matte Cushion W22 Warm Ivory 12gr</t>
        </is>
      </c>
      <c r="D2429" t="inlineStr">
        <is>
          <t>Miss Glam Jambi</t>
        </is>
      </c>
      <c r="E2429" t="n">
        <v>6</v>
      </c>
      <c r="F2429" t="n">
        <v>0.0396</v>
      </c>
      <c r="G2429" t="n">
        <v>0.66</v>
      </c>
      <c r="H2429" t="n">
        <v>2</v>
      </c>
      <c r="I2429" t="n">
        <v>7</v>
      </c>
      <c r="J2429" t="n">
        <v>1</v>
      </c>
      <c r="K2429" t="n">
        <v>0</v>
      </c>
      <c r="L2429" t="n">
        <v>170250</v>
      </c>
      <c r="M2429" t="n">
        <v>208000</v>
      </c>
      <c r="N2429" t="n">
        <v>33</v>
      </c>
      <c r="O2429" t="n">
        <v>0.33</v>
      </c>
      <c r="P2429" t="n">
        <v>1</v>
      </c>
      <c r="Q2429" t="n">
        <v>0.02</v>
      </c>
      <c r="R2429" t="n">
        <v>1</v>
      </c>
      <c r="S2429" t="n">
        <v>8236.800000000001</v>
      </c>
      <c r="T2429" t="n">
        <v>5</v>
      </c>
      <c r="U2429" t="n">
        <v>6</v>
      </c>
      <c r="V2429" t="n">
        <v>30</v>
      </c>
      <c r="W2429" t="n">
        <v>2</v>
      </c>
      <c r="X2429" t="n">
        <v>151.5151515151515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11590</v>
      </c>
      <c r="AG2429" t="n">
        <v>2141</v>
      </c>
      <c r="AH2429" t="inlineStr">
        <is>
          <t>PT. PARAMA GLOBAL INSPIRA - PPN (JMB)</t>
        </is>
      </c>
      <c r="AI2429" t="n">
        <v>103</v>
      </c>
      <c r="AJ2429" t="inlineStr">
        <is>
          <t>MAKE OVER</t>
        </is>
      </c>
      <c r="AK2429" t="n">
        <v>9</v>
      </c>
      <c r="AL2429" t="inlineStr">
        <is>
          <t>Miss Glam Jambi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"20100490214"</f>
        <v/>
      </c>
      <c r="C2430" t="inlineStr">
        <is>
          <t>MAKE OVER Powerstay Sync Matte Cushion W22 Warm Ivory 12gr REFILL</t>
        </is>
      </c>
      <c r="D2430" t="inlineStr">
        <is>
          <t>Miss Glam Jambi</t>
        </is>
      </c>
      <c r="E2430" t="n">
        <v>2</v>
      </c>
      <c r="F2430" t="n">
        <v>0.009900000000000001</v>
      </c>
      <c r="G2430" t="n">
        <v>0.33</v>
      </c>
      <c r="H2430" t="n">
        <v>2</v>
      </c>
      <c r="I2430" t="n">
        <v>7</v>
      </c>
      <c r="J2430" t="n">
        <v>1</v>
      </c>
      <c r="K2430" t="n">
        <v>0</v>
      </c>
      <c r="L2430" t="n">
        <v>108750</v>
      </c>
      <c r="M2430" t="n">
        <v>145000</v>
      </c>
      <c r="N2430" t="n">
        <v>33</v>
      </c>
      <c r="O2430" t="n">
        <v>0.33</v>
      </c>
      <c r="P2430" t="n">
        <v>1</v>
      </c>
      <c r="Q2430" t="n">
        <v>0.07000000000000001</v>
      </c>
      <c r="R2430" t="n">
        <v>1</v>
      </c>
      <c r="S2430" t="n">
        <v>1435.5</v>
      </c>
      <c r="T2430" t="n">
        <v>3</v>
      </c>
      <c r="U2430" t="n">
        <v>4</v>
      </c>
      <c r="V2430" t="n">
        <v>30</v>
      </c>
      <c r="W2430" t="n">
        <v>1</v>
      </c>
      <c r="X2430" t="n">
        <v>202.020202020202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11590</v>
      </c>
      <c r="AG2430" t="n">
        <v>2141</v>
      </c>
      <c r="AH2430" t="inlineStr">
        <is>
          <t>PT. PARAMA GLOBAL INSPIRA - PPN (JMB)</t>
        </is>
      </c>
      <c r="AI2430" t="n">
        <v>103</v>
      </c>
      <c r="AJ2430" t="inlineStr">
        <is>
          <t>MAKE OVER</t>
        </is>
      </c>
      <c r="AK2430" t="n">
        <v>9</v>
      </c>
      <c r="AL2430" t="inlineStr">
        <is>
          <t>Miss Glam Jambi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"20100480711"</f>
        <v/>
      </c>
      <c r="C2431" t="inlineStr">
        <is>
          <t>MAKE OVER Powerstay Sync Matte Cushion W30 Creme Beige 12gr</t>
        </is>
      </c>
      <c r="D2431" t="inlineStr">
        <is>
          <t>Miss Glam Jambi</t>
        </is>
      </c>
      <c r="E2431" t="n">
        <v>2</v>
      </c>
      <c r="F2431" t="n">
        <v>0.0264</v>
      </c>
      <c r="G2431" t="n">
        <v>0.33</v>
      </c>
      <c r="H2431" t="n">
        <v>2</v>
      </c>
      <c r="I2431" t="n">
        <v>7</v>
      </c>
      <c r="J2431" t="n">
        <v>1</v>
      </c>
      <c r="K2431" t="n">
        <v>0</v>
      </c>
      <c r="L2431" t="n">
        <v>170250</v>
      </c>
      <c r="M2431" t="n">
        <v>208000</v>
      </c>
      <c r="N2431" t="n">
        <v>33</v>
      </c>
      <c r="O2431" t="n">
        <v>0.33</v>
      </c>
      <c r="P2431" t="n">
        <v>1</v>
      </c>
      <c r="Q2431" t="n">
        <v>0.03</v>
      </c>
      <c r="R2431" t="n">
        <v>1</v>
      </c>
      <c r="S2431" t="n">
        <v>5491.200000000001</v>
      </c>
      <c r="T2431" t="n">
        <v>3</v>
      </c>
      <c r="U2431" t="n">
        <v>4</v>
      </c>
      <c r="V2431" t="n">
        <v>30</v>
      </c>
      <c r="W2431" t="n">
        <v>1</v>
      </c>
      <c r="X2431" t="n">
        <v>75.75757575757575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11590</v>
      </c>
      <c r="AG2431" t="n">
        <v>2141</v>
      </c>
      <c r="AH2431" t="inlineStr">
        <is>
          <t>PT. PARAMA GLOBAL INSPIRA - PPN (JMB)</t>
        </is>
      </c>
      <c r="AI2431" t="n">
        <v>103</v>
      </c>
      <c r="AJ2431" t="inlineStr">
        <is>
          <t>MAKE OVER</t>
        </is>
      </c>
      <c r="AK2431" t="n">
        <v>9</v>
      </c>
      <c r="AL2431" t="inlineStr">
        <is>
          <t>Miss Glam Jambi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"20100474417"</f>
        <v/>
      </c>
      <c r="C2432" t="inlineStr">
        <is>
          <t>MAKE OVER Powerstay Sync Matte Cushion W32 Warm Beige 12gr</t>
        </is>
      </c>
      <c r="D2432" t="inlineStr">
        <is>
          <t>Miss Glam Jambi</t>
        </is>
      </c>
      <c r="E2432" t="n">
        <v>2</v>
      </c>
      <c r="F2432" t="n">
        <v>0.0231</v>
      </c>
      <c r="G2432" t="n">
        <v>0.33</v>
      </c>
      <c r="H2432" t="n">
        <v>2</v>
      </c>
      <c r="I2432" t="n">
        <v>7</v>
      </c>
      <c r="J2432" t="n">
        <v>1</v>
      </c>
      <c r="K2432" t="n">
        <v>0</v>
      </c>
      <c r="L2432" t="n">
        <v>170250</v>
      </c>
      <c r="M2432" t="n">
        <v>208000</v>
      </c>
      <c r="N2432" t="n">
        <v>33</v>
      </c>
      <c r="O2432" t="n">
        <v>0.33</v>
      </c>
      <c r="P2432" t="n">
        <v>1</v>
      </c>
      <c r="Q2432" t="n">
        <v>0.05</v>
      </c>
      <c r="R2432" t="n">
        <v>1</v>
      </c>
      <c r="S2432" t="n">
        <v>4804.8</v>
      </c>
      <c r="T2432" t="n">
        <v>3</v>
      </c>
      <c r="U2432" t="n">
        <v>4</v>
      </c>
      <c r="V2432" t="n">
        <v>30</v>
      </c>
      <c r="W2432" t="n">
        <v>1</v>
      </c>
      <c r="X2432" t="n">
        <v>86.58008658008657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11590</v>
      </c>
      <c r="AG2432" t="n">
        <v>2141</v>
      </c>
      <c r="AH2432" t="inlineStr">
        <is>
          <t>PT. PARAMA GLOBAL INSPIRA - PPN (JMB)</t>
        </is>
      </c>
      <c r="AI2432" t="n">
        <v>103</v>
      </c>
      <c r="AJ2432" t="inlineStr">
        <is>
          <t>MAKE OVER</t>
        </is>
      </c>
      <c r="AK2432" t="n">
        <v>9</v>
      </c>
      <c r="AL2432" t="inlineStr">
        <is>
          <t>Miss Glam Jambi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"20100474560"</f>
        <v/>
      </c>
      <c r="C2433" t="inlineStr">
        <is>
          <t>MAKE OVER Powerstay Sync Matte Cushion W33 Honey Beige 12gr</t>
        </is>
      </c>
      <c r="D2433" t="inlineStr">
        <is>
          <t>Miss Glam Jambi</t>
        </is>
      </c>
      <c r="E2433" t="n">
        <v>2</v>
      </c>
      <c r="F2433" t="n">
        <v>0.0264</v>
      </c>
      <c r="G2433" t="n">
        <v>0.33</v>
      </c>
      <c r="H2433" t="n">
        <v>2</v>
      </c>
      <c r="I2433" t="n">
        <v>7</v>
      </c>
      <c r="J2433" t="n">
        <v>1</v>
      </c>
      <c r="K2433" t="n">
        <v>0</v>
      </c>
      <c r="L2433" t="n">
        <v>170250</v>
      </c>
      <c r="M2433" t="n">
        <v>208000</v>
      </c>
      <c r="N2433" t="n">
        <v>33</v>
      </c>
      <c r="O2433" t="n">
        <v>0.33</v>
      </c>
      <c r="P2433" t="n">
        <v>1</v>
      </c>
      <c r="Q2433" t="n">
        <v>0.05</v>
      </c>
      <c r="R2433" t="n">
        <v>2</v>
      </c>
      <c r="S2433" t="n">
        <v>5491.200000000001</v>
      </c>
      <c r="T2433" t="n">
        <v>3</v>
      </c>
      <c r="U2433" t="n">
        <v>4</v>
      </c>
      <c r="V2433" t="n">
        <v>30</v>
      </c>
      <c r="W2433" t="n">
        <v>1</v>
      </c>
      <c r="X2433" t="n">
        <v>75.75757575757575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11590</v>
      </c>
      <c r="AG2433" t="n">
        <v>2141</v>
      </c>
      <c r="AH2433" t="inlineStr">
        <is>
          <t>PT. PARAMA GLOBAL INSPIRA - PPN (JMB)</t>
        </is>
      </c>
      <c r="AI2433" t="n">
        <v>103</v>
      </c>
      <c r="AJ2433" t="inlineStr">
        <is>
          <t>MAKE OVER</t>
        </is>
      </c>
      <c r="AK2433" t="n">
        <v>9</v>
      </c>
      <c r="AL2433" t="inlineStr">
        <is>
          <t>Miss Glam Jambi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"20100474644"</f>
        <v/>
      </c>
      <c r="C2434" t="inlineStr">
        <is>
          <t>MAKE OVER Powerstay Sync Matte Cushion W40 Creme Sand 12gr</t>
        </is>
      </c>
      <c r="D2434" t="inlineStr">
        <is>
          <t>Miss Glam Jambi</t>
        </is>
      </c>
      <c r="E2434" t="n">
        <v>3</v>
      </c>
      <c r="F2434" t="n">
        <v>0.02</v>
      </c>
      <c r="G2434" t="n">
        <v>1</v>
      </c>
      <c r="H2434" t="n">
        <v>2</v>
      </c>
      <c r="I2434" t="n">
        <v>7</v>
      </c>
      <c r="J2434" t="n">
        <v>1</v>
      </c>
      <c r="K2434" t="n">
        <v>0</v>
      </c>
      <c r="L2434" t="n">
        <v>170250</v>
      </c>
      <c r="M2434" t="n">
        <v>208000</v>
      </c>
      <c r="N2434" t="n">
        <v>33</v>
      </c>
      <c r="O2434" t="n">
        <v>0.33</v>
      </c>
      <c r="P2434" t="n">
        <v>0</v>
      </c>
      <c r="Q2434" t="n">
        <v>0.02</v>
      </c>
      <c r="R2434" t="n">
        <v>1</v>
      </c>
      <c r="S2434" t="n">
        <v>4160</v>
      </c>
      <c r="T2434" t="n">
        <v>7</v>
      </c>
      <c r="U2434" t="n">
        <v>8</v>
      </c>
      <c r="V2434" t="n">
        <v>30</v>
      </c>
      <c r="W2434" t="n">
        <v>1</v>
      </c>
      <c r="X2434" t="n">
        <v>150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11590</v>
      </c>
      <c r="AG2434" t="n">
        <v>2141</v>
      </c>
      <c r="AH2434" t="inlineStr">
        <is>
          <t>PT. PARAMA GLOBAL INSPIRA - PPN (JMB)</t>
        </is>
      </c>
      <c r="AI2434" t="n">
        <v>103</v>
      </c>
      <c r="AJ2434" t="inlineStr">
        <is>
          <t>MAKE OVER</t>
        </is>
      </c>
      <c r="AK2434" t="n">
        <v>9</v>
      </c>
      <c r="AL2434" t="inlineStr">
        <is>
          <t>Miss Glam Jambi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"8993137715676"</f>
        <v/>
      </c>
      <c r="C2435" t="inlineStr">
        <is>
          <t>MAKE OVER Powerstay Transferproof Matte Lip Cream 30 Fame</t>
        </is>
      </c>
      <c r="D2435" t="inlineStr">
        <is>
          <t>Miss Glam Jambi</t>
        </is>
      </c>
      <c r="E2435" t="n">
        <v>4</v>
      </c>
      <c r="F2435" t="n">
        <v>0.02</v>
      </c>
      <c r="G2435" t="n">
        <v>1</v>
      </c>
      <c r="H2435" t="n">
        <v>2</v>
      </c>
      <c r="I2435" t="n">
        <v>7</v>
      </c>
      <c r="J2435" t="n">
        <v>3</v>
      </c>
      <c r="K2435" t="n">
        <v>0</v>
      </c>
      <c r="L2435" t="n">
        <v>97500</v>
      </c>
      <c r="M2435" t="n">
        <v>129000</v>
      </c>
      <c r="N2435" t="n">
        <v>33</v>
      </c>
      <c r="O2435" t="n">
        <v>0.33</v>
      </c>
      <c r="P2435" t="n">
        <v>0</v>
      </c>
      <c r="Q2435" t="n">
        <v>0.02</v>
      </c>
      <c r="R2435" t="n">
        <v>1</v>
      </c>
      <c r="S2435" t="n">
        <v>2580</v>
      </c>
      <c r="T2435" t="n">
        <v>7</v>
      </c>
      <c r="U2435" t="n">
        <v>8</v>
      </c>
      <c r="V2435" t="n">
        <v>30</v>
      </c>
      <c r="W2435" t="n">
        <v>1</v>
      </c>
      <c r="X2435" t="n">
        <v>200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11590</v>
      </c>
      <c r="AG2435" t="n">
        <v>2141</v>
      </c>
      <c r="AH2435" t="inlineStr">
        <is>
          <t>PT. PARAMA GLOBAL INSPIRA - PPN (JMB)</t>
        </is>
      </c>
      <c r="AI2435" t="n">
        <v>103</v>
      </c>
      <c r="AJ2435" t="inlineStr">
        <is>
          <t>MAKE OVER</t>
        </is>
      </c>
      <c r="AK2435" t="n">
        <v>9</v>
      </c>
      <c r="AL2435" t="inlineStr">
        <is>
          <t>Miss Glam Jambi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"8993137715683"</f>
        <v/>
      </c>
      <c r="C2436" t="inlineStr">
        <is>
          <t>MAKE OVER Powerstay Transferproof Matte Lip Cream 40 Authentic</t>
        </is>
      </c>
      <c r="D2436" t="inlineStr">
        <is>
          <t>Miss Glam Jambi</t>
        </is>
      </c>
      <c r="E2436" t="n">
        <v>2</v>
      </c>
      <c r="F2436" t="n">
        <v>0.009900000000000001</v>
      </c>
      <c r="G2436" t="n">
        <v>0.33</v>
      </c>
      <c r="H2436" t="n">
        <v>2</v>
      </c>
      <c r="I2436" t="n">
        <v>7</v>
      </c>
      <c r="J2436" t="n">
        <v>3</v>
      </c>
      <c r="K2436" t="n">
        <v>0</v>
      </c>
      <c r="L2436" t="n">
        <v>97500</v>
      </c>
      <c r="M2436" t="n">
        <v>129000</v>
      </c>
      <c r="N2436" t="n">
        <v>33</v>
      </c>
      <c r="O2436" t="n">
        <v>0.33</v>
      </c>
      <c r="P2436" t="n">
        <v>1</v>
      </c>
      <c r="Q2436" t="n">
        <v>0.02</v>
      </c>
      <c r="R2436" t="n">
        <v>1</v>
      </c>
      <c r="S2436" t="n">
        <v>1277.1</v>
      </c>
      <c r="T2436" t="n">
        <v>3</v>
      </c>
      <c r="U2436" t="n">
        <v>4</v>
      </c>
      <c r="V2436" t="n">
        <v>30</v>
      </c>
      <c r="W2436" t="n">
        <v>1</v>
      </c>
      <c r="X2436" t="n">
        <v>202.020202020202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11590</v>
      </c>
      <c r="AG2436" t="n">
        <v>2141</v>
      </c>
      <c r="AH2436" t="inlineStr">
        <is>
          <t>PT. PARAMA GLOBAL INSPIRA - PPN (JMB)</t>
        </is>
      </c>
      <c r="AI2436" t="n">
        <v>103</v>
      </c>
      <c r="AJ2436" t="inlineStr">
        <is>
          <t>MAKE OVER</t>
        </is>
      </c>
      <c r="AK2436" t="n">
        <v>9</v>
      </c>
      <c r="AL2436" t="inlineStr">
        <is>
          <t>Miss Glam Jambi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"8993137711005"</f>
        <v/>
      </c>
      <c r="C2437" t="inlineStr">
        <is>
          <t>MAKE OVER Powerstay Transferproof Matte Lip Cream B11 New Rules 7gr</t>
        </is>
      </c>
      <c r="D2437" t="inlineStr">
        <is>
          <t>Miss Glam Jambi</t>
        </is>
      </c>
      <c r="E2437" t="n">
        <v>9</v>
      </c>
      <c r="F2437" t="n">
        <v>0.1452</v>
      </c>
      <c r="G2437" t="n">
        <v>0.99</v>
      </c>
      <c r="H2437" t="n">
        <v>2</v>
      </c>
      <c r="I2437" t="n">
        <v>7</v>
      </c>
      <c r="J2437" t="n">
        <v>3</v>
      </c>
      <c r="K2437" t="n">
        <v>0</v>
      </c>
      <c r="L2437" t="n">
        <v>97500</v>
      </c>
      <c r="M2437" t="n">
        <v>129000</v>
      </c>
      <c r="N2437" t="n">
        <v>33</v>
      </c>
      <c r="O2437" t="n">
        <v>0.33</v>
      </c>
      <c r="P2437" t="n">
        <v>1</v>
      </c>
      <c r="Q2437" t="n">
        <v>0.15</v>
      </c>
      <c r="R2437" t="n">
        <v>2</v>
      </c>
      <c r="S2437" t="n">
        <v>18730.8</v>
      </c>
      <c r="T2437" t="n">
        <v>7</v>
      </c>
      <c r="U2437" t="n">
        <v>8</v>
      </c>
      <c r="V2437" t="n">
        <v>30</v>
      </c>
      <c r="W2437" t="n">
        <v>5</v>
      </c>
      <c r="X2437" t="n">
        <v>61.98347107438017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11590</v>
      </c>
      <c r="AG2437" t="n">
        <v>2141</v>
      </c>
      <c r="AH2437" t="inlineStr">
        <is>
          <t>PT. PARAMA GLOBAL INSPIRA - PPN (JMB)</t>
        </is>
      </c>
      <c r="AI2437" t="n">
        <v>103</v>
      </c>
      <c r="AJ2437" t="inlineStr">
        <is>
          <t>MAKE OVER</t>
        </is>
      </c>
      <c r="AK2437" t="n">
        <v>9</v>
      </c>
      <c r="AL2437" t="inlineStr">
        <is>
          <t>Miss Glam Jambi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"20100642032"</f>
        <v/>
      </c>
      <c r="C2438" t="inlineStr">
        <is>
          <t>MAKE OVER Silky Smooth Translucent Powder 01 Porcelain 30gr</t>
        </is>
      </c>
      <c r="D2438" t="inlineStr">
        <is>
          <t>Miss Glam Jambi</t>
        </is>
      </c>
      <c r="E2438" t="n">
        <v>4</v>
      </c>
      <c r="F2438" t="n">
        <v>0.2178</v>
      </c>
      <c r="G2438" t="n">
        <v>0.99</v>
      </c>
      <c r="H2438" t="n">
        <v>2</v>
      </c>
      <c r="I2438" t="n">
        <v>7</v>
      </c>
      <c r="J2438" t="n">
        <v>1</v>
      </c>
      <c r="K2438" t="n">
        <v>3</v>
      </c>
      <c r="L2438" t="n">
        <v>108750</v>
      </c>
      <c r="M2438" t="n">
        <v>133000</v>
      </c>
      <c r="N2438" t="n">
        <v>33</v>
      </c>
      <c r="O2438" t="n">
        <v>0.33</v>
      </c>
      <c r="P2438" t="n">
        <v>1</v>
      </c>
      <c r="Q2438" t="n">
        <v>0.03</v>
      </c>
      <c r="R2438" t="n">
        <v>1</v>
      </c>
      <c r="S2438" t="n">
        <v>28967.4</v>
      </c>
      <c r="T2438" t="n">
        <v>7</v>
      </c>
      <c r="U2438" t="n">
        <v>8</v>
      </c>
      <c r="V2438" t="n">
        <v>30</v>
      </c>
      <c r="W2438" t="n">
        <v>7</v>
      </c>
      <c r="X2438" t="n">
        <v>18.36547291092745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11590</v>
      </c>
      <c r="AG2438" t="n">
        <v>2141</v>
      </c>
      <c r="AH2438" t="inlineStr">
        <is>
          <t>PT. PARAMA GLOBAL INSPIRA - PPN (JMB)</t>
        </is>
      </c>
      <c r="AI2438" t="n">
        <v>103</v>
      </c>
      <c r="AJ2438" t="inlineStr">
        <is>
          <t>MAKE OVER</t>
        </is>
      </c>
      <c r="AK2438" t="n">
        <v>9</v>
      </c>
      <c r="AL2438" t="inlineStr">
        <is>
          <t>Miss Glam Jambi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"20100642146"</f>
        <v/>
      </c>
      <c r="C2439" t="inlineStr">
        <is>
          <t>MAKE OVER Silky Smooth Translucent Powder 02 Rosy 30gr</t>
        </is>
      </c>
      <c r="D2439" t="inlineStr">
        <is>
          <t>Miss Glam Jambi</t>
        </is>
      </c>
      <c r="E2439" t="n">
        <v>2</v>
      </c>
      <c r="F2439" t="n">
        <v>0.0726</v>
      </c>
      <c r="G2439" t="n">
        <v>0.66</v>
      </c>
      <c r="H2439" t="n">
        <v>2</v>
      </c>
      <c r="I2439" t="n">
        <v>7</v>
      </c>
      <c r="J2439" t="n">
        <v>1</v>
      </c>
      <c r="K2439" t="n">
        <v>1</v>
      </c>
      <c r="L2439" t="n">
        <v>108750</v>
      </c>
      <c r="M2439" t="n">
        <v>133000</v>
      </c>
      <c r="N2439" t="n">
        <v>33</v>
      </c>
      <c r="O2439" t="n">
        <v>0.33</v>
      </c>
      <c r="P2439" t="n">
        <v>1</v>
      </c>
      <c r="Q2439" t="n">
        <v>0.07000000000000001</v>
      </c>
      <c r="R2439" t="n">
        <v>1</v>
      </c>
      <c r="S2439" t="n">
        <v>9655.799999999999</v>
      </c>
      <c r="T2439" t="n">
        <v>5</v>
      </c>
      <c r="U2439" t="n">
        <v>6</v>
      </c>
      <c r="V2439" t="n">
        <v>30</v>
      </c>
      <c r="W2439" t="n">
        <v>3</v>
      </c>
      <c r="X2439" t="n">
        <v>27.54820936639118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11590</v>
      </c>
      <c r="AG2439" t="n">
        <v>2141</v>
      </c>
      <c r="AH2439" t="inlineStr">
        <is>
          <t>PT. PARAMA GLOBAL INSPIRA - PPN (JMB)</t>
        </is>
      </c>
      <c r="AI2439" t="n">
        <v>103</v>
      </c>
      <c r="AJ2439" t="inlineStr">
        <is>
          <t>MAKE OVER</t>
        </is>
      </c>
      <c r="AK2439" t="n">
        <v>9</v>
      </c>
      <c r="AL2439" t="inlineStr">
        <is>
          <t>Miss Glam Jambi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"20100642557"</f>
        <v/>
      </c>
      <c r="C2440" t="inlineStr">
        <is>
          <t>MAKE OVER Silky Smooth Translucent Powder 08 Feather 30gr</t>
        </is>
      </c>
      <c r="D2440" t="inlineStr">
        <is>
          <t>Miss Glam Jambi</t>
        </is>
      </c>
      <c r="E2440" t="n">
        <v>5</v>
      </c>
      <c r="F2440" t="n">
        <v>0.009900000000000001</v>
      </c>
      <c r="G2440" t="n">
        <v>0.33</v>
      </c>
      <c r="H2440" t="n">
        <v>2</v>
      </c>
      <c r="I2440" t="n">
        <v>7</v>
      </c>
      <c r="J2440" t="n">
        <v>1</v>
      </c>
      <c r="K2440" t="n">
        <v>0</v>
      </c>
      <c r="L2440" t="n">
        <v>108749</v>
      </c>
      <c r="M2440" t="n">
        <v>133000</v>
      </c>
      <c r="N2440" t="n">
        <v>33</v>
      </c>
      <c r="O2440" t="n">
        <v>0.33</v>
      </c>
      <c r="P2440" t="n">
        <v>1</v>
      </c>
      <c r="Q2440" t="n">
        <v>0.02</v>
      </c>
      <c r="R2440" t="n">
        <v>1</v>
      </c>
      <c r="S2440" t="n">
        <v>1316.7</v>
      </c>
      <c r="T2440" t="n">
        <v>3</v>
      </c>
      <c r="U2440" t="n">
        <v>4</v>
      </c>
      <c r="V2440" t="n">
        <v>30</v>
      </c>
      <c r="W2440" t="n">
        <v>1</v>
      </c>
      <c r="X2440" t="n">
        <v>505.050505050505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11590</v>
      </c>
      <c r="AG2440" t="n">
        <v>2141</v>
      </c>
      <c r="AH2440" t="inlineStr">
        <is>
          <t>PT. PARAMA GLOBAL INSPIRA - PPN (JMB)</t>
        </is>
      </c>
      <c r="AI2440" t="n">
        <v>103</v>
      </c>
      <c r="AJ2440" t="inlineStr">
        <is>
          <t>MAKE OVER</t>
        </is>
      </c>
      <c r="AK2440" t="n">
        <v>9</v>
      </c>
      <c r="AL2440" t="inlineStr">
        <is>
          <t>Miss Glam Jambi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"20100641922"</f>
        <v/>
      </c>
      <c r="C2441" t="inlineStr">
        <is>
          <t>MAKE OVER Silky Smooth Translucent Powder Vanila 30gr</t>
        </is>
      </c>
      <c r="D2441" t="inlineStr">
        <is>
          <t>Miss Glam Jambi</t>
        </is>
      </c>
      <c r="E2441" t="n">
        <v>5</v>
      </c>
      <c r="F2441" t="n">
        <v>0.2277</v>
      </c>
      <c r="G2441" t="n">
        <v>0.99</v>
      </c>
      <c r="H2441" t="n">
        <v>2</v>
      </c>
      <c r="I2441" t="n">
        <v>7</v>
      </c>
      <c r="J2441" t="n">
        <v>1</v>
      </c>
      <c r="K2441" t="n">
        <v>0</v>
      </c>
      <c r="L2441" t="n">
        <v>108750</v>
      </c>
      <c r="M2441" t="n">
        <v>133000</v>
      </c>
      <c r="N2441" t="n">
        <v>33</v>
      </c>
      <c r="O2441" t="n">
        <v>0.33</v>
      </c>
      <c r="P2441" t="n">
        <v>1</v>
      </c>
      <c r="Q2441" t="n">
        <v>0.02</v>
      </c>
      <c r="R2441" t="n">
        <v>0</v>
      </c>
      <c r="S2441" t="n">
        <v>30284.1</v>
      </c>
      <c r="T2441" t="n">
        <v>7</v>
      </c>
      <c r="U2441" t="n">
        <v>8</v>
      </c>
      <c r="V2441" t="n">
        <v>30</v>
      </c>
      <c r="W2441" t="n">
        <v>7</v>
      </c>
      <c r="X2441" t="n">
        <v>21.95871761089153</v>
      </c>
      <c r="Y2441" t="n">
        <v>1</v>
      </c>
      <c r="Z2441" t="n">
        <v>2</v>
      </c>
      <c r="AA2441" t="n">
        <v>0</v>
      </c>
      <c r="AB2441" t="n">
        <v>2</v>
      </c>
      <c r="AC2441" t="n">
        <v>2</v>
      </c>
      <c r="AD2441" t="n">
        <v>0</v>
      </c>
      <c r="AE2441" t="n">
        <v>217500</v>
      </c>
      <c r="AF2441" t="n">
        <v>11590</v>
      </c>
      <c r="AG2441" t="n">
        <v>2141</v>
      </c>
      <c r="AH2441" t="inlineStr">
        <is>
          <t>PT. PARAMA GLOBAL INSPIRA - PPN (JMB)</t>
        </is>
      </c>
      <c r="AI2441" t="n">
        <v>103</v>
      </c>
      <c r="AJ2441" t="inlineStr">
        <is>
          <t>MAKE OVER</t>
        </is>
      </c>
      <c r="AK2441" t="n">
        <v>9</v>
      </c>
      <c r="AL2441" t="inlineStr">
        <is>
          <t>Miss Glam Jambi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"8993137682664"</f>
        <v/>
      </c>
      <c r="C2442" t="inlineStr">
        <is>
          <t>MAKEOVER Blush On Single 06 Caribbean Sunset 6gr</t>
        </is>
      </c>
      <c r="D2442" t="inlineStr">
        <is>
          <t>Miss Glam Jambi</t>
        </is>
      </c>
      <c r="E2442" t="n">
        <v>5</v>
      </c>
      <c r="F2442" t="n">
        <v>0.006600000000000001</v>
      </c>
      <c r="G2442" t="n">
        <v>0.33</v>
      </c>
      <c r="H2442" t="n">
        <v>2</v>
      </c>
      <c r="I2442" t="n">
        <v>7</v>
      </c>
      <c r="J2442" t="n">
        <v>3</v>
      </c>
      <c r="K2442" t="n">
        <v>0</v>
      </c>
      <c r="L2442" t="n">
        <v>74250</v>
      </c>
      <c r="M2442" t="n">
        <v>94000</v>
      </c>
      <c r="N2442" t="n">
        <v>33</v>
      </c>
      <c r="O2442" t="n">
        <v>0.33</v>
      </c>
      <c r="P2442" t="n">
        <v>1</v>
      </c>
      <c r="Q2442" t="n">
        <v>0.03</v>
      </c>
      <c r="R2442" t="n">
        <v>1</v>
      </c>
      <c r="S2442" t="n">
        <v>620.4000000000001</v>
      </c>
      <c r="T2442" t="n">
        <v>3</v>
      </c>
      <c r="U2442" t="n">
        <v>4</v>
      </c>
      <c r="V2442" t="n">
        <v>30</v>
      </c>
      <c r="W2442" t="n">
        <v>1</v>
      </c>
      <c r="X2442" t="n">
        <v>757.5757575757575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11590</v>
      </c>
      <c r="AG2442" t="n">
        <v>2141</v>
      </c>
      <c r="AH2442" t="inlineStr">
        <is>
          <t>PT. PARAMA GLOBAL INSPIRA - PPN (JMB)</t>
        </is>
      </c>
      <c r="AI2442" t="n">
        <v>103</v>
      </c>
      <c r="AJ2442" t="inlineStr">
        <is>
          <t>MAKE OVER</t>
        </is>
      </c>
      <c r="AK2442" t="n">
        <v>9</v>
      </c>
      <c r="AL2442" t="inlineStr">
        <is>
          <t>Miss Glam Jambi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"8993137699969"</f>
        <v/>
      </c>
      <c r="C2443" t="inlineStr">
        <is>
          <t>MAKEOVER Cliquematte Lip Stylo 202 Hollywood 2g</t>
        </is>
      </c>
      <c r="D2443" t="inlineStr">
        <is>
          <t>Miss Glam Jambi</t>
        </is>
      </c>
      <c r="E2443" t="n">
        <v>4</v>
      </c>
      <c r="F2443" t="n">
        <v>0.0264</v>
      </c>
      <c r="G2443" t="n">
        <v>0.66</v>
      </c>
      <c r="H2443" t="n">
        <v>2</v>
      </c>
      <c r="I2443" t="n">
        <v>7</v>
      </c>
      <c r="J2443" t="n">
        <v>3</v>
      </c>
      <c r="K2443" t="n">
        <v>0</v>
      </c>
      <c r="L2443" t="n">
        <v>91500</v>
      </c>
      <c r="M2443" t="n">
        <v>115500</v>
      </c>
      <c r="N2443" t="n">
        <v>33</v>
      </c>
      <c r="O2443" t="n">
        <v>0.33</v>
      </c>
      <c r="P2443" t="n">
        <v>1</v>
      </c>
      <c r="Q2443" t="n">
        <v>0.07000000000000001</v>
      </c>
      <c r="R2443" t="n">
        <v>1</v>
      </c>
      <c r="S2443" t="n">
        <v>3049.2</v>
      </c>
      <c r="T2443" t="n">
        <v>5</v>
      </c>
      <c r="U2443" t="n">
        <v>6</v>
      </c>
      <c r="V2443" t="n">
        <v>30</v>
      </c>
      <c r="W2443" t="n">
        <v>1</v>
      </c>
      <c r="X2443" t="n">
        <v>151.5151515151515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11590</v>
      </c>
      <c r="AG2443" t="n">
        <v>2141</v>
      </c>
      <c r="AH2443" t="inlineStr">
        <is>
          <t>PT. PARAMA GLOBAL INSPIRA - PPN (JMB)</t>
        </is>
      </c>
      <c r="AI2443" t="n">
        <v>103</v>
      </c>
      <c r="AJ2443" t="inlineStr">
        <is>
          <t>MAKE OVER</t>
        </is>
      </c>
      <c r="AK2443" t="n">
        <v>9</v>
      </c>
      <c r="AL2443" t="inlineStr">
        <is>
          <t>Miss Glam Jambi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"8993137699976"</f>
        <v/>
      </c>
      <c r="C2444" t="inlineStr">
        <is>
          <t>MAKEOVER Cliquematte Lip Stylo 203 Crush 2gr</t>
        </is>
      </c>
      <c r="D2444" t="inlineStr">
        <is>
          <t>Miss Glam Jambi</t>
        </is>
      </c>
      <c r="E2444" t="n">
        <v>12</v>
      </c>
      <c r="F2444" t="n">
        <v>0.009900000000000001</v>
      </c>
      <c r="G2444" t="n">
        <v>0.33</v>
      </c>
      <c r="H2444" t="n">
        <v>2</v>
      </c>
      <c r="I2444" t="n">
        <v>7</v>
      </c>
      <c r="J2444" t="n">
        <v>3</v>
      </c>
      <c r="K2444" t="n">
        <v>0</v>
      </c>
      <c r="L2444" t="n">
        <v>92250</v>
      </c>
      <c r="M2444" t="n">
        <v>115500</v>
      </c>
      <c r="N2444" t="n">
        <v>33</v>
      </c>
      <c r="O2444" t="n">
        <v>0.33</v>
      </c>
      <c r="P2444" t="n">
        <v>1</v>
      </c>
      <c r="Q2444" t="n">
        <v>0.07000000000000001</v>
      </c>
      <c r="R2444" t="n">
        <v>1</v>
      </c>
      <c r="S2444" t="n">
        <v>1143.45</v>
      </c>
      <c r="T2444" t="n">
        <v>3</v>
      </c>
      <c r="U2444" t="n">
        <v>4</v>
      </c>
      <c r="V2444" t="n">
        <v>30</v>
      </c>
      <c r="W2444" t="n">
        <v>1</v>
      </c>
      <c r="X2444" t="n">
        <v>1212.121212121212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11590</v>
      </c>
      <c r="AG2444" t="n">
        <v>2141</v>
      </c>
      <c r="AH2444" t="inlineStr">
        <is>
          <t>PT. PARAMA GLOBAL INSPIRA - PPN (JMB)</t>
        </is>
      </c>
      <c r="AI2444" t="n">
        <v>103</v>
      </c>
      <c r="AJ2444" t="inlineStr">
        <is>
          <t>MAKE OVER</t>
        </is>
      </c>
      <c r="AK2444" t="n">
        <v>9</v>
      </c>
      <c r="AL2444" t="inlineStr">
        <is>
          <t>Miss Glam Jambi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"8993137706162"</f>
        <v/>
      </c>
      <c r="C2445" t="inlineStr">
        <is>
          <t>MAKEOVER Color Hypnose Cream Lip Matte 04 Hypnotic 4.3gr</t>
        </is>
      </c>
      <c r="D2445" t="inlineStr">
        <is>
          <t>Miss Glam Jambi</t>
        </is>
      </c>
      <c r="E2445" t="n">
        <v>4</v>
      </c>
      <c r="F2445" t="n">
        <v>0.009900000000000001</v>
      </c>
      <c r="G2445" t="n">
        <v>0.33</v>
      </c>
      <c r="H2445" t="n">
        <v>2</v>
      </c>
      <c r="I2445" t="n">
        <v>7</v>
      </c>
      <c r="J2445" t="n">
        <v>3</v>
      </c>
      <c r="K2445" t="n">
        <v>0</v>
      </c>
      <c r="L2445" t="n">
        <v>68215</v>
      </c>
      <c r="M2445" t="n">
        <v>86000</v>
      </c>
      <c r="N2445" t="n">
        <v>33</v>
      </c>
      <c r="O2445" t="n">
        <v>0.33</v>
      </c>
      <c r="P2445" t="n">
        <v>1</v>
      </c>
      <c r="Q2445" t="n">
        <v>0.03</v>
      </c>
      <c r="R2445" t="n">
        <v>1</v>
      </c>
      <c r="S2445" t="n">
        <v>851.4000000000001</v>
      </c>
      <c r="T2445" t="n">
        <v>3</v>
      </c>
      <c r="U2445" t="n">
        <v>4</v>
      </c>
      <c r="V2445" t="n">
        <v>30</v>
      </c>
      <c r="W2445" t="n">
        <v>1</v>
      </c>
      <c r="X2445" t="n">
        <v>404.040404040404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11590</v>
      </c>
      <c r="AG2445" t="n">
        <v>2141</v>
      </c>
      <c r="AH2445" t="inlineStr">
        <is>
          <t>PT. PARAMA GLOBAL INSPIRA - PPN (JMB)</t>
        </is>
      </c>
      <c r="AI2445" t="n">
        <v>103</v>
      </c>
      <c r="AJ2445" t="inlineStr">
        <is>
          <t>MAKE OVER</t>
        </is>
      </c>
      <c r="AK2445" t="n">
        <v>9</v>
      </c>
      <c r="AL2445" t="inlineStr">
        <is>
          <t>Miss Glam Jambi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"8993137706193"</f>
        <v/>
      </c>
      <c r="C2446" t="inlineStr">
        <is>
          <t>MAKEOVER Color Hypnose Creamy Lip Matte 07 Temptation 4,3gr</t>
        </is>
      </c>
      <c r="D2446" t="inlineStr">
        <is>
          <t>Miss Glam Jambi</t>
        </is>
      </c>
      <c r="E2446" t="n">
        <v>3</v>
      </c>
      <c r="F2446" t="n">
        <v>0.009900000000000001</v>
      </c>
      <c r="G2446" t="n">
        <v>0.33</v>
      </c>
      <c r="H2446" t="n">
        <v>2</v>
      </c>
      <c r="I2446" t="n">
        <v>7</v>
      </c>
      <c r="J2446" t="n">
        <v>3</v>
      </c>
      <c r="K2446" t="n">
        <v>0</v>
      </c>
      <c r="L2446" t="n">
        <v>67350</v>
      </c>
      <c r="M2446" t="n">
        <v>86000</v>
      </c>
      <c r="N2446" t="n">
        <v>33</v>
      </c>
      <c r="O2446" t="n">
        <v>0.33</v>
      </c>
      <c r="P2446" t="n">
        <v>1</v>
      </c>
      <c r="Q2446" t="n">
        <v>0.03</v>
      </c>
      <c r="R2446" t="n">
        <v>1</v>
      </c>
      <c r="S2446" t="n">
        <v>851.4000000000001</v>
      </c>
      <c r="T2446" t="n">
        <v>3</v>
      </c>
      <c r="U2446" t="n">
        <v>4</v>
      </c>
      <c r="V2446" t="n">
        <v>30</v>
      </c>
      <c r="W2446" t="n">
        <v>1</v>
      </c>
      <c r="X2446" t="n">
        <v>303.030303030303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11590</v>
      </c>
      <c r="AG2446" t="n">
        <v>2141</v>
      </c>
      <c r="AH2446" t="inlineStr">
        <is>
          <t>PT. PARAMA GLOBAL INSPIRA - PPN (JMB)</t>
        </is>
      </c>
      <c r="AI2446" t="n">
        <v>103</v>
      </c>
      <c r="AJ2446" t="inlineStr">
        <is>
          <t>MAKE OVER</t>
        </is>
      </c>
      <c r="AK2446" t="n">
        <v>9</v>
      </c>
      <c r="AL2446" t="inlineStr">
        <is>
          <t>Miss Glam Jambi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"8993137706216"</f>
        <v/>
      </c>
      <c r="C2447" t="inlineStr">
        <is>
          <t>MAKEOVER Color Hypnose Creamy Lip Matte 09 Undercover 4,3gr</t>
        </is>
      </c>
      <c r="D2447" t="inlineStr">
        <is>
          <t>Miss Glam Jambi</t>
        </is>
      </c>
      <c r="E2447" t="n">
        <v>2</v>
      </c>
      <c r="F2447" t="n">
        <v>0.006600000000000001</v>
      </c>
      <c r="G2447" t="n">
        <v>0.33</v>
      </c>
      <c r="H2447" t="n">
        <v>2</v>
      </c>
      <c r="I2447" t="n">
        <v>7</v>
      </c>
      <c r="J2447" t="n">
        <v>3</v>
      </c>
      <c r="K2447" t="n">
        <v>0</v>
      </c>
      <c r="L2447" t="n">
        <v>67800</v>
      </c>
      <c r="M2447" t="n">
        <v>86000</v>
      </c>
      <c r="N2447" t="n">
        <v>33</v>
      </c>
      <c r="O2447" t="n">
        <v>0.33</v>
      </c>
      <c r="P2447" t="n">
        <v>1</v>
      </c>
      <c r="Q2447" t="n">
        <v>0.05</v>
      </c>
      <c r="R2447" t="n">
        <v>1</v>
      </c>
      <c r="S2447" t="n">
        <v>567.6</v>
      </c>
      <c r="T2447" t="n">
        <v>3</v>
      </c>
      <c r="U2447" t="n">
        <v>4</v>
      </c>
      <c r="V2447" t="n">
        <v>30</v>
      </c>
      <c r="W2447" t="n">
        <v>1</v>
      </c>
      <c r="X2447" t="n">
        <v>303.030303030303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11590</v>
      </c>
      <c r="AG2447" t="n">
        <v>2141</v>
      </c>
      <c r="AH2447" t="inlineStr">
        <is>
          <t>PT. PARAMA GLOBAL INSPIRA - PPN (JMB)</t>
        </is>
      </c>
      <c r="AI2447" t="n">
        <v>103</v>
      </c>
      <c r="AJ2447" t="inlineStr">
        <is>
          <t>MAKE OVER</t>
        </is>
      </c>
      <c r="AK2447" t="n">
        <v>9</v>
      </c>
      <c r="AL2447" t="inlineStr">
        <is>
          <t>Miss Glam Jambi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"8993137706179"</f>
        <v/>
      </c>
      <c r="C2448" t="inlineStr">
        <is>
          <t>MAKEOVER Color Hypnose Creamy Lipmatte 05 Scandal 4,3gr</t>
        </is>
      </c>
      <c r="D2448" t="inlineStr">
        <is>
          <t>Miss Glam Jambi</t>
        </is>
      </c>
      <c r="E2448" t="n">
        <v>5</v>
      </c>
      <c r="F2448" t="n">
        <v>0.006600000000000001</v>
      </c>
      <c r="G2448" t="n">
        <v>0.33</v>
      </c>
      <c r="H2448" t="n">
        <v>2</v>
      </c>
      <c r="I2448" t="n">
        <v>7</v>
      </c>
      <c r="J2448" t="n">
        <v>3</v>
      </c>
      <c r="K2448" t="n">
        <v>0</v>
      </c>
      <c r="L2448" t="n">
        <v>67350</v>
      </c>
      <c r="M2448" t="n">
        <v>86000</v>
      </c>
      <c r="N2448" t="n">
        <v>33</v>
      </c>
      <c r="O2448" t="n">
        <v>0.33</v>
      </c>
      <c r="P2448" t="n">
        <v>1</v>
      </c>
      <c r="Q2448" t="n">
        <v>0.03</v>
      </c>
      <c r="R2448" t="n">
        <v>2</v>
      </c>
      <c r="S2448" t="n">
        <v>567.6</v>
      </c>
      <c r="T2448" t="n">
        <v>3</v>
      </c>
      <c r="U2448" t="n">
        <v>4</v>
      </c>
      <c r="V2448" t="n">
        <v>30</v>
      </c>
      <c r="W2448" t="n">
        <v>1</v>
      </c>
      <c r="X2448" t="n">
        <v>757.5757575757575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11590</v>
      </c>
      <c r="AG2448" t="n">
        <v>2141</v>
      </c>
      <c r="AH2448" t="inlineStr">
        <is>
          <t>PT. PARAMA GLOBAL INSPIRA - PPN (JMB)</t>
        </is>
      </c>
      <c r="AI2448" t="n">
        <v>103</v>
      </c>
      <c r="AJ2448" t="inlineStr">
        <is>
          <t>MAKE OVER</t>
        </is>
      </c>
      <c r="AK2448" t="n">
        <v>9</v>
      </c>
      <c r="AL2448" t="inlineStr">
        <is>
          <t>Miss Glam Jambi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"8993137706186"</f>
        <v/>
      </c>
      <c r="C2449" t="inlineStr">
        <is>
          <t>MAKEOVER Color Hypnose Creamy Lipmatte 06 Kiss 4,3gr</t>
        </is>
      </c>
      <c r="D2449" t="inlineStr">
        <is>
          <t>Miss Glam Jambi</t>
        </is>
      </c>
      <c r="E2449" t="n">
        <v>4</v>
      </c>
      <c r="F2449" t="n">
        <v>0.0264</v>
      </c>
      <c r="G2449" t="n">
        <v>0.33</v>
      </c>
      <c r="H2449" t="n">
        <v>2</v>
      </c>
      <c r="I2449" t="n">
        <v>7</v>
      </c>
      <c r="J2449" t="n">
        <v>3</v>
      </c>
      <c r="K2449" t="n">
        <v>0</v>
      </c>
      <c r="L2449" t="n">
        <v>67350</v>
      </c>
      <c r="M2449" t="n">
        <v>86000</v>
      </c>
      <c r="N2449" t="n">
        <v>33</v>
      </c>
      <c r="O2449" t="n">
        <v>0.33</v>
      </c>
      <c r="P2449" t="n">
        <v>1</v>
      </c>
      <c r="Q2449" t="n">
        <v>0.02</v>
      </c>
      <c r="R2449" t="n">
        <v>1</v>
      </c>
      <c r="S2449" t="n">
        <v>2270.4</v>
      </c>
      <c r="T2449" t="n">
        <v>3</v>
      </c>
      <c r="U2449" t="n">
        <v>4</v>
      </c>
      <c r="V2449" t="n">
        <v>30</v>
      </c>
      <c r="W2449" t="n">
        <v>1</v>
      </c>
      <c r="X2449" t="n">
        <v>151.5151515151515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11590</v>
      </c>
      <c r="AG2449" t="n">
        <v>2141</v>
      </c>
      <c r="AH2449" t="inlineStr">
        <is>
          <t>PT. PARAMA GLOBAL INSPIRA - PPN (JMB)</t>
        </is>
      </c>
      <c r="AI2449" t="n">
        <v>103</v>
      </c>
      <c r="AJ2449" t="inlineStr">
        <is>
          <t>MAKE OVER</t>
        </is>
      </c>
      <c r="AK2449" t="n">
        <v>9</v>
      </c>
      <c r="AL2449" t="inlineStr">
        <is>
          <t>Miss Glam Jambi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"8993137699280"</f>
        <v/>
      </c>
      <c r="C2450" t="inlineStr">
        <is>
          <t>MAKEOVER Color Stick Matte Crayon 101 Brooklyn 2.6gr</t>
        </is>
      </c>
      <c r="D2450" t="inlineStr">
        <is>
          <t>Miss Glam Jambi</t>
        </is>
      </c>
      <c r="E2450" t="n">
        <v>4</v>
      </c>
      <c r="F2450" t="n">
        <v>0.006600000000000001</v>
      </c>
      <c r="G2450" t="n">
        <v>0.33</v>
      </c>
      <c r="H2450" t="n">
        <v>2</v>
      </c>
      <c r="I2450" t="n">
        <v>7</v>
      </c>
      <c r="J2450" t="n">
        <v>3</v>
      </c>
      <c r="K2450" t="n">
        <v>0</v>
      </c>
      <c r="L2450" t="n">
        <v>80790</v>
      </c>
      <c r="M2450" t="n">
        <v>102000</v>
      </c>
      <c r="N2450" t="n">
        <v>33</v>
      </c>
      <c r="O2450" t="n">
        <v>0.33</v>
      </c>
      <c r="P2450" t="n">
        <v>1</v>
      </c>
      <c r="Q2450" t="n">
        <v>0.02</v>
      </c>
      <c r="R2450" t="n">
        <v>1</v>
      </c>
      <c r="S2450" t="n">
        <v>673.2</v>
      </c>
      <c r="T2450" t="n">
        <v>3</v>
      </c>
      <c r="U2450" t="n">
        <v>4</v>
      </c>
      <c r="V2450" t="n">
        <v>30</v>
      </c>
      <c r="W2450" t="n">
        <v>1</v>
      </c>
      <c r="X2450" t="n">
        <v>606.060606060606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11590</v>
      </c>
      <c r="AG2450" t="n">
        <v>2141</v>
      </c>
      <c r="AH2450" t="inlineStr">
        <is>
          <t>PT. PARAMA GLOBAL INSPIRA - PPN (JMB)</t>
        </is>
      </c>
      <c r="AI2450" t="n">
        <v>103</v>
      </c>
      <c r="AJ2450" t="inlineStr">
        <is>
          <t>MAKE OVER</t>
        </is>
      </c>
      <c r="AK2450" t="n">
        <v>9</v>
      </c>
      <c r="AL2450" t="inlineStr">
        <is>
          <t>Miss Glam Jambi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"8993137699303"</f>
        <v/>
      </c>
      <c r="C2451" t="inlineStr">
        <is>
          <t>MAKEOVER Color Stick Matte Crayon 103 Harper 2.6gr</t>
        </is>
      </c>
      <c r="D2451" t="inlineStr">
        <is>
          <t>Miss Glam Jambi</t>
        </is>
      </c>
      <c r="E2451" t="n">
        <v>1</v>
      </c>
      <c r="F2451" t="n">
        <v>0.033</v>
      </c>
      <c r="G2451" t="n">
        <v>0.66</v>
      </c>
      <c r="H2451" t="n">
        <v>2</v>
      </c>
      <c r="I2451" t="n">
        <v>7</v>
      </c>
      <c r="J2451" t="n">
        <v>3</v>
      </c>
      <c r="K2451" t="n">
        <v>0</v>
      </c>
      <c r="L2451" t="n">
        <v>80190</v>
      </c>
      <c r="M2451" t="n">
        <v>102000</v>
      </c>
      <c r="N2451" t="n">
        <v>33</v>
      </c>
      <c r="O2451" t="n">
        <v>0.33</v>
      </c>
      <c r="P2451" t="n">
        <v>1</v>
      </c>
      <c r="Q2451" t="n">
        <v>0.08</v>
      </c>
      <c r="R2451" t="n">
        <v>2</v>
      </c>
      <c r="S2451" t="n">
        <v>3366</v>
      </c>
      <c r="T2451" t="n">
        <v>5</v>
      </c>
      <c r="U2451" t="n">
        <v>6</v>
      </c>
      <c r="V2451" t="n">
        <v>30</v>
      </c>
      <c r="W2451" t="n">
        <v>1</v>
      </c>
      <c r="X2451" t="n">
        <v>30.3030303030303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11590</v>
      </c>
      <c r="AG2451" t="n">
        <v>2141</v>
      </c>
      <c r="AH2451" t="inlineStr">
        <is>
          <t>PT. PARAMA GLOBAL INSPIRA - PPN (JMB)</t>
        </is>
      </c>
      <c r="AI2451" t="n">
        <v>103</v>
      </c>
      <c r="AJ2451" t="inlineStr">
        <is>
          <t>MAKE OVER</t>
        </is>
      </c>
      <c r="AK2451" t="n">
        <v>9</v>
      </c>
      <c r="AL2451" t="inlineStr">
        <is>
          <t>Miss Glam Jambi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"8993137699310"</f>
        <v/>
      </c>
      <c r="C2452" t="inlineStr">
        <is>
          <t>MAKEOVER Color Stick Matte Crayon 104 Blake 2.6gr</t>
        </is>
      </c>
      <c r="D2452" t="inlineStr">
        <is>
          <t>Miss Glam Jambi</t>
        </is>
      </c>
      <c r="E2452" t="n">
        <v>2</v>
      </c>
      <c r="F2452" t="n">
        <v>0.0462</v>
      </c>
      <c r="G2452" t="n">
        <v>0.66</v>
      </c>
      <c r="H2452" t="n">
        <v>2</v>
      </c>
      <c r="I2452" t="n">
        <v>7</v>
      </c>
      <c r="J2452" t="n">
        <v>3</v>
      </c>
      <c r="K2452" t="n">
        <v>0</v>
      </c>
      <c r="L2452" t="n">
        <v>80010</v>
      </c>
      <c r="M2452" t="n">
        <v>102000</v>
      </c>
      <c r="N2452" t="n">
        <v>33</v>
      </c>
      <c r="O2452" t="n">
        <v>0.33</v>
      </c>
      <c r="P2452" t="n">
        <v>1</v>
      </c>
      <c r="Q2452" t="n">
        <v>0.05</v>
      </c>
      <c r="R2452" t="n">
        <v>1</v>
      </c>
      <c r="S2452" t="n">
        <v>4712.400000000001</v>
      </c>
      <c r="T2452" t="n">
        <v>5</v>
      </c>
      <c r="U2452" t="n">
        <v>6</v>
      </c>
      <c r="V2452" t="n">
        <v>30</v>
      </c>
      <c r="W2452" t="n">
        <v>2</v>
      </c>
      <c r="X2452" t="n">
        <v>43.29004329004329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11590</v>
      </c>
      <c r="AG2452" t="n">
        <v>2141</v>
      </c>
      <c r="AH2452" t="inlineStr">
        <is>
          <t>PT. PARAMA GLOBAL INSPIRA - PPN (JMB)</t>
        </is>
      </c>
      <c r="AI2452" t="n">
        <v>103</v>
      </c>
      <c r="AJ2452" t="inlineStr">
        <is>
          <t>MAKE OVER</t>
        </is>
      </c>
      <c r="AK2452" t="n">
        <v>9</v>
      </c>
      <c r="AL2452" t="inlineStr">
        <is>
          <t>Miss Glam Jambi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"8993137699327"</f>
        <v/>
      </c>
      <c r="C2453" t="inlineStr">
        <is>
          <t>MAKEOVER Color Stick Matte Crayon 105 Skye 2.6gr</t>
        </is>
      </c>
      <c r="D2453" t="inlineStr">
        <is>
          <t>Miss Glam Jambi</t>
        </is>
      </c>
      <c r="E2453" t="n">
        <v>35</v>
      </c>
      <c r="F2453" t="n">
        <v>0.5214000000000001</v>
      </c>
      <c r="G2453" t="n">
        <v>1.65</v>
      </c>
      <c r="H2453" t="n">
        <v>2</v>
      </c>
      <c r="I2453" t="n">
        <v>7</v>
      </c>
      <c r="J2453" t="n">
        <v>12</v>
      </c>
      <c r="K2453" t="n">
        <v>0</v>
      </c>
      <c r="L2453" t="n">
        <v>80250</v>
      </c>
      <c r="M2453" t="n">
        <v>102000</v>
      </c>
      <c r="N2453" t="n">
        <v>33</v>
      </c>
      <c r="O2453" t="n">
        <v>0.33</v>
      </c>
      <c r="P2453" t="n">
        <v>1</v>
      </c>
      <c r="Q2453" t="n">
        <v>1.07</v>
      </c>
      <c r="R2453" t="n">
        <v>6</v>
      </c>
      <c r="S2453" t="n">
        <v>53182.80000000001</v>
      </c>
      <c r="T2453" t="n">
        <v>11</v>
      </c>
      <c r="U2453" t="n">
        <v>13</v>
      </c>
      <c r="V2453" t="n">
        <v>30</v>
      </c>
      <c r="W2453" t="n">
        <v>16</v>
      </c>
      <c r="X2453" t="n">
        <v>67.12696586114306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11590</v>
      </c>
      <c r="AG2453" t="n">
        <v>2141</v>
      </c>
      <c r="AH2453" t="inlineStr">
        <is>
          <t>PT. PARAMA GLOBAL INSPIRA - PPN (JMB)</t>
        </is>
      </c>
      <c r="AI2453" t="n">
        <v>103</v>
      </c>
      <c r="AJ2453" t="inlineStr">
        <is>
          <t>MAKE OVER</t>
        </is>
      </c>
      <c r="AK2453" t="n">
        <v>9</v>
      </c>
      <c r="AL2453" t="inlineStr">
        <is>
          <t>Miss Glam Jambi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"8993137683043"</f>
        <v/>
      </c>
      <c r="C2454" t="inlineStr">
        <is>
          <t>MAKEOVER Eye Liner Pencil Black Jack 1,2gr</t>
        </is>
      </c>
      <c r="D2454" t="inlineStr">
        <is>
          <t>Miss Glam Jambi</t>
        </is>
      </c>
      <c r="E2454" t="n">
        <v>3</v>
      </c>
      <c r="F2454" t="n">
        <v>0.09569999999999999</v>
      </c>
      <c r="G2454" t="n">
        <v>0.66</v>
      </c>
      <c r="H2454" t="n">
        <v>2</v>
      </c>
      <c r="I2454" t="n">
        <v>7</v>
      </c>
      <c r="J2454" t="n">
        <v>3</v>
      </c>
      <c r="K2454" t="n">
        <v>0</v>
      </c>
      <c r="L2454" t="n">
        <v>66188</v>
      </c>
      <c r="M2454" t="n">
        <v>84000</v>
      </c>
      <c r="N2454" t="n">
        <v>33</v>
      </c>
      <c r="O2454" t="n">
        <v>0.33</v>
      </c>
      <c r="P2454" t="n">
        <v>1</v>
      </c>
      <c r="Q2454" t="n">
        <v>0.1</v>
      </c>
      <c r="R2454" t="n">
        <v>2</v>
      </c>
      <c r="S2454" t="n">
        <v>8038.799999999999</v>
      </c>
      <c r="T2454" t="n">
        <v>5</v>
      </c>
      <c r="U2454" t="n">
        <v>6</v>
      </c>
      <c r="V2454" t="n">
        <v>30</v>
      </c>
      <c r="W2454" t="n">
        <v>3</v>
      </c>
      <c r="X2454" t="n">
        <v>31.34796238244514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11590</v>
      </c>
      <c r="AG2454" t="n">
        <v>2141</v>
      </c>
      <c r="AH2454" t="inlineStr">
        <is>
          <t>PT. PARAMA GLOBAL INSPIRA - PPN (JMB)</t>
        </is>
      </c>
      <c r="AI2454" t="n">
        <v>103</v>
      </c>
      <c r="AJ2454" t="inlineStr">
        <is>
          <t>MAKE OVER</t>
        </is>
      </c>
      <c r="AK2454" t="n">
        <v>9</v>
      </c>
      <c r="AL2454" t="inlineStr">
        <is>
          <t>Miss Glam Jambi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"8993137683067"</f>
        <v/>
      </c>
      <c r="C2455" t="inlineStr">
        <is>
          <t>MAKEOVER Eye Liner Pencil Brown Latte 1,2gr</t>
        </is>
      </c>
      <c r="D2455" t="inlineStr">
        <is>
          <t>Miss Glam Jambi</t>
        </is>
      </c>
      <c r="E2455" t="n">
        <v>2</v>
      </c>
      <c r="F2455" t="n">
        <v>0.009900000000000001</v>
      </c>
      <c r="G2455" t="n">
        <v>0.33</v>
      </c>
      <c r="H2455" t="n">
        <v>2</v>
      </c>
      <c r="I2455" t="n">
        <v>7</v>
      </c>
      <c r="J2455" t="n">
        <v>3</v>
      </c>
      <c r="K2455" t="n">
        <v>0</v>
      </c>
      <c r="L2455" t="n">
        <v>66750</v>
      </c>
      <c r="M2455" t="n">
        <v>84000</v>
      </c>
      <c r="N2455" t="n">
        <v>33</v>
      </c>
      <c r="O2455" t="n">
        <v>0.33</v>
      </c>
      <c r="P2455" t="n">
        <v>1</v>
      </c>
      <c r="Q2455" t="n">
        <v>0.05</v>
      </c>
      <c r="R2455" t="n">
        <v>1</v>
      </c>
      <c r="S2455" t="n">
        <v>831.6</v>
      </c>
      <c r="T2455" t="n">
        <v>3</v>
      </c>
      <c r="U2455" t="n">
        <v>4</v>
      </c>
      <c r="V2455" t="n">
        <v>30</v>
      </c>
      <c r="W2455" t="n">
        <v>1</v>
      </c>
      <c r="X2455" t="n">
        <v>202.020202020202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11590</v>
      </c>
      <c r="AG2455" t="n">
        <v>2141</v>
      </c>
      <c r="AH2455" t="inlineStr">
        <is>
          <t>PT. PARAMA GLOBAL INSPIRA - PPN (JMB)</t>
        </is>
      </c>
      <c r="AI2455" t="n">
        <v>103</v>
      </c>
      <c r="AJ2455" t="inlineStr">
        <is>
          <t>MAKE OVER</t>
        </is>
      </c>
      <c r="AK2455" t="n">
        <v>9</v>
      </c>
      <c r="AL2455" t="inlineStr">
        <is>
          <t>Miss Glam Jambi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"8993137692694"</f>
        <v/>
      </c>
      <c r="C2456" t="inlineStr">
        <is>
          <t>MAKEOVER Eye Liner Pencil Silver Lines 1,2gr</t>
        </is>
      </c>
      <c r="D2456" t="inlineStr">
        <is>
          <t>Miss Glam Jambi</t>
        </is>
      </c>
      <c r="E2456" t="n">
        <v>4</v>
      </c>
      <c r="F2456" t="n">
        <v>0.0165</v>
      </c>
      <c r="G2456" t="n">
        <v>0.33</v>
      </c>
      <c r="H2456" t="n">
        <v>2</v>
      </c>
      <c r="I2456" t="n">
        <v>7</v>
      </c>
      <c r="J2456" t="n">
        <v>3</v>
      </c>
      <c r="K2456" t="n">
        <v>0</v>
      </c>
      <c r="L2456" t="n">
        <v>67570</v>
      </c>
      <c r="M2456" t="n">
        <v>84000</v>
      </c>
      <c r="N2456" t="n">
        <v>33</v>
      </c>
      <c r="O2456" t="n">
        <v>0.33</v>
      </c>
      <c r="P2456" t="n">
        <v>1</v>
      </c>
      <c r="Q2456" t="n">
        <v>0.02</v>
      </c>
      <c r="R2456" t="n">
        <v>1</v>
      </c>
      <c r="S2456" t="n">
        <v>1386</v>
      </c>
      <c r="T2456" t="n">
        <v>3</v>
      </c>
      <c r="U2456" t="n">
        <v>4</v>
      </c>
      <c r="V2456" t="n">
        <v>30</v>
      </c>
      <c r="W2456" t="n">
        <v>1</v>
      </c>
      <c r="X2456" t="n">
        <v>242.4242424242424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11590</v>
      </c>
      <c r="AG2456" t="n">
        <v>2141</v>
      </c>
      <c r="AH2456" t="inlineStr">
        <is>
          <t>PT. PARAMA GLOBAL INSPIRA - PPN (JMB)</t>
        </is>
      </c>
      <c r="AI2456" t="n">
        <v>103</v>
      </c>
      <c r="AJ2456" t="inlineStr">
        <is>
          <t>MAKE OVER</t>
        </is>
      </c>
      <c r="AK2456" t="n">
        <v>9</v>
      </c>
      <c r="AL2456" t="inlineStr">
        <is>
          <t>Miss Glam Jambi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"8993137683050"</f>
        <v/>
      </c>
      <c r="C2457" t="inlineStr">
        <is>
          <t>MAKEOVER Eye Liner Pencil White Techno 1,2gr</t>
        </is>
      </c>
      <c r="D2457" t="inlineStr">
        <is>
          <t>Miss Glam Jambi</t>
        </is>
      </c>
      <c r="E2457" t="n">
        <v>2</v>
      </c>
      <c r="F2457" t="n">
        <v>0.03</v>
      </c>
      <c r="G2457" t="n">
        <v>1</v>
      </c>
      <c r="H2457" t="n">
        <v>2</v>
      </c>
      <c r="I2457" t="n">
        <v>7</v>
      </c>
      <c r="J2457" t="n">
        <v>3</v>
      </c>
      <c r="K2457" t="n">
        <v>0</v>
      </c>
      <c r="L2457" t="n">
        <v>66188</v>
      </c>
      <c r="M2457" t="n">
        <v>84000</v>
      </c>
      <c r="N2457" t="n">
        <v>33</v>
      </c>
      <c r="O2457" t="n">
        <v>0.33</v>
      </c>
      <c r="P2457" t="n">
        <v>0</v>
      </c>
      <c r="Q2457" t="n">
        <v>0.03</v>
      </c>
      <c r="R2457" t="n">
        <v>1</v>
      </c>
      <c r="S2457" t="n">
        <v>2520</v>
      </c>
      <c r="T2457" t="n">
        <v>7</v>
      </c>
      <c r="U2457" t="n">
        <v>8</v>
      </c>
      <c r="V2457" t="n">
        <v>30</v>
      </c>
      <c r="W2457" t="n">
        <v>1</v>
      </c>
      <c r="X2457" t="n">
        <v>66.66666666666667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11590</v>
      </c>
      <c r="AG2457" t="n">
        <v>2141</v>
      </c>
      <c r="AH2457" t="inlineStr">
        <is>
          <t>PT. PARAMA GLOBAL INSPIRA - PPN (JMB)</t>
        </is>
      </c>
      <c r="AI2457" t="n">
        <v>103</v>
      </c>
      <c r="AJ2457" t="inlineStr">
        <is>
          <t>MAKE OVER</t>
        </is>
      </c>
      <c r="AK2457" t="n">
        <v>9</v>
      </c>
      <c r="AL2457" t="inlineStr">
        <is>
          <t>Miss Glam Jambi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"8993137683371"</f>
        <v/>
      </c>
      <c r="C2458" t="inlineStr">
        <is>
          <t>MAKEOVER Eyebrow Pencil Brown To Earth 1,14gr</t>
        </is>
      </c>
      <c r="D2458" t="inlineStr">
        <is>
          <t>Miss Glam Jambi</t>
        </is>
      </c>
      <c r="E2458" t="n">
        <v>6</v>
      </c>
      <c r="F2458" t="n">
        <v>0.0264</v>
      </c>
      <c r="G2458" t="n">
        <v>0.33</v>
      </c>
      <c r="H2458" t="n">
        <v>2</v>
      </c>
      <c r="I2458" t="n">
        <v>7</v>
      </c>
      <c r="J2458" t="n">
        <v>3</v>
      </c>
      <c r="K2458" t="n">
        <v>0</v>
      </c>
      <c r="L2458" t="n">
        <v>50250</v>
      </c>
      <c r="M2458" t="n">
        <v>63000</v>
      </c>
      <c r="N2458" t="n">
        <v>33</v>
      </c>
      <c r="O2458" t="n">
        <v>0.33</v>
      </c>
      <c r="P2458" t="n">
        <v>1</v>
      </c>
      <c r="Q2458" t="n">
        <v>0.12</v>
      </c>
      <c r="R2458" t="n">
        <v>1</v>
      </c>
      <c r="S2458" t="n">
        <v>1663.2</v>
      </c>
      <c r="T2458" t="n">
        <v>3</v>
      </c>
      <c r="U2458" t="n">
        <v>4</v>
      </c>
      <c r="V2458" t="n">
        <v>30</v>
      </c>
      <c r="W2458" t="n">
        <v>1</v>
      </c>
      <c r="X2458" t="n">
        <v>227.2727272727273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11590</v>
      </c>
      <c r="AG2458" t="n">
        <v>2141</v>
      </c>
      <c r="AH2458" t="inlineStr">
        <is>
          <t>PT. PARAMA GLOBAL INSPIRA - PPN (JMB)</t>
        </is>
      </c>
      <c r="AI2458" t="n">
        <v>103</v>
      </c>
      <c r="AJ2458" t="inlineStr">
        <is>
          <t>MAKE OVER</t>
        </is>
      </c>
      <c r="AK2458" t="n">
        <v>9</v>
      </c>
      <c r="AL2458" t="inlineStr">
        <is>
          <t>Miss Glam Jambi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"8993137708777"</f>
        <v/>
      </c>
      <c r="C2459" t="inlineStr">
        <is>
          <t>MAKEOVER Hydrastay Glow Fluid Foundation C21 Pink Ivory 35ml</t>
        </is>
      </c>
      <c r="D2459" t="inlineStr">
        <is>
          <t>Miss Glam Jambi</t>
        </is>
      </c>
      <c r="E2459" t="n">
        <v>4</v>
      </c>
      <c r="F2459" t="n">
        <v>0.0165</v>
      </c>
      <c r="G2459" t="n">
        <v>0.33</v>
      </c>
      <c r="H2459" t="n">
        <v>2</v>
      </c>
      <c r="I2459" t="n">
        <v>7</v>
      </c>
      <c r="J2459" t="n">
        <v>3</v>
      </c>
      <c r="K2459" t="n">
        <v>0</v>
      </c>
      <c r="L2459" t="n">
        <v>142400</v>
      </c>
      <c r="M2459" t="n">
        <v>174000</v>
      </c>
      <c r="N2459" t="n">
        <v>33</v>
      </c>
      <c r="O2459" t="n">
        <v>0.33</v>
      </c>
      <c r="P2459" t="n">
        <v>1</v>
      </c>
      <c r="Q2459" t="n">
        <v>0.03</v>
      </c>
      <c r="R2459" t="n">
        <v>1</v>
      </c>
      <c r="S2459" t="n">
        <v>2871</v>
      </c>
      <c r="T2459" t="n">
        <v>3</v>
      </c>
      <c r="U2459" t="n">
        <v>4</v>
      </c>
      <c r="V2459" t="n">
        <v>30</v>
      </c>
      <c r="W2459" t="n">
        <v>1</v>
      </c>
      <c r="X2459" t="n">
        <v>242.4242424242424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11590</v>
      </c>
      <c r="AG2459" t="n">
        <v>2141</v>
      </c>
      <c r="AH2459" t="inlineStr">
        <is>
          <t>PT. PARAMA GLOBAL INSPIRA - PPN (JMB)</t>
        </is>
      </c>
      <c r="AI2459" t="n">
        <v>103</v>
      </c>
      <c r="AJ2459" t="inlineStr">
        <is>
          <t>MAKE OVER</t>
        </is>
      </c>
      <c r="AK2459" t="n">
        <v>9</v>
      </c>
      <c r="AL2459" t="inlineStr">
        <is>
          <t>Miss Glam Jambi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"8993137708852"</f>
        <v/>
      </c>
      <c r="C2460" t="inlineStr">
        <is>
          <t>MAKEOVER Hydrastay Liquid Tint Blush 03 Solace 15ml</t>
        </is>
      </c>
      <c r="D2460" t="inlineStr">
        <is>
          <t>Miss Glam Jambi</t>
        </is>
      </c>
      <c r="E2460" t="n">
        <v>3</v>
      </c>
      <c r="F2460" t="n">
        <v>0.0165</v>
      </c>
      <c r="G2460" t="n">
        <v>0.66</v>
      </c>
      <c r="H2460" t="n">
        <v>2</v>
      </c>
      <c r="I2460" t="n">
        <v>7</v>
      </c>
      <c r="J2460" t="n">
        <v>3</v>
      </c>
      <c r="K2460" t="n">
        <v>0</v>
      </c>
      <c r="L2460" t="n">
        <v>99000</v>
      </c>
      <c r="M2460" t="n">
        <v>129000</v>
      </c>
      <c r="N2460" t="n">
        <v>33</v>
      </c>
      <c r="O2460" t="n">
        <v>0.33</v>
      </c>
      <c r="P2460" t="n">
        <v>1</v>
      </c>
      <c r="Q2460" t="n">
        <v>0.02</v>
      </c>
      <c r="R2460" t="n">
        <v>1</v>
      </c>
      <c r="S2460" t="n">
        <v>2128.5</v>
      </c>
      <c r="T2460" t="n">
        <v>5</v>
      </c>
      <c r="U2460" t="n">
        <v>6</v>
      </c>
      <c r="V2460" t="n">
        <v>30</v>
      </c>
      <c r="W2460" t="n">
        <v>1</v>
      </c>
      <c r="X2460" t="n">
        <v>181.8181818181818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11590</v>
      </c>
      <c r="AG2460" t="n">
        <v>2141</v>
      </c>
      <c r="AH2460" t="inlineStr">
        <is>
          <t>PT. PARAMA GLOBAL INSPIRA - PPN (JMB)</t>
        </is>
      </c>
      <c r="AI2460" t="n">
        <v>103</v>
      </c>
      <c r="AJ2460" t="inlineStr">
        <is>
          <t>MAKE OVER</t>
        </is>
      </c>
      <c r="AK2460" t="n">
        <v>9</v>
      </c>
      <c r="AL2460" t="inlineStr">
        <is>
          <t>Miss Glam Jambi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"8993137711067"</f>
        <v/>
      </c>
      <c r="C2461" t="inlineStr">
        <is>
          <t>MAKEOVER Hydrastay Radiant Finishing Powder 8gr</t>
        </is>
      </c>
      <c r="D2461" t="inlineStr">
        <is>
          <t>Miss Glam Jambi</t>
        </is>
      </c>
      <c r="E2461" t="n">
        <v>4</v>
      </c>
      <c r="F2461" t="n">
        <v>0.033</v>
      </c>
      <c r="G2461" t="n">
        <v>0.66</v>
      </c>
      <c r="H2461" t="n">
        <v>2</v>
      </c>
      <c r="I2461" t="n">
        <v>7</v>
      </c>
      <c r="J2461" t="n">
        <v>3</v>
      </c>
      <c r="K2461" t="n">
        <v>0</v>
      </c>
      <c r="L2461" t="n">
        <v>96188</v>
      </c>
      <c r="M2461" t="n">
        <v>123000</v>
      </c>
      <c r="N2461" t="n">
        <v>33</v>
      </c>
      <c r="O2461" t="n">
        <v>0.33</v>
      </c>
      <c r="P2461" t="n">
        <v>1</v>
      </c>
      <c r="Q2461" t="n">
        <v>0.03</v>
      </c>
      <c r="R2461" t="n">
        <v>1</v>
      </c>
      <c r="S2461" t="n">
        <v>4059</v>
      </c>
      <c r="T2461" t="n">
        <v>5</v>
      </c>
      <c r="U2461" t="n">
        <v>6</v>
      </c>
      <c r="V2461" t="n">
        <v>30</v>
      </c>
      <c r="W2461" t="n">
        <v>1</v>
      </c>
      <c r="X2461" t="n">
        <v>121.2121212121212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11590</v>
      </c>
      <c r="AG2461" t="n">
        <v>2141</v>
      </c>
      <c r="AH2461" t="inlineStr">
        <is>
          <t>PT. PARAMA GLOBAL INSPIRA - PPN (JMB)</t>
        </is>
      </c>
      <c r="AI2461" t="n">
        <v>103</v>
      </c>
      <c r="AJ2461" t="inlineStr">
        <is>
          <t>MAKE OVER</t>
        </is>
      </c>
      <c r="AK2461" t="n">
        <v>9</v>
      </c>
      <c r="AL2461" t="inlineStr">
        <is>
          <t>Miss Glam Jambi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"8993137709729"</f>
        <v/>
      </c>
      <c r="C2462" t="inlineStr">
        <is>
          <t>MAKEOVER Hydrastay Smooth Lip Whip C03 Poetic 6.5gr</t>
        </is>
      </c>
      <c r="D2462" t="inlineStr">
        <is>
          <t>Miss Glam Jambi</t>
        </is>
      </c>
      <c r="E2462" t="n">
        <v>6</v>
      </c>
      <c r="F2462" t="n">
        <v>0.02</v>
      </c>
      <c r="G2462" t="n">
        <v>1</v>
      </c>
      <c r="H2462" t="n">
        <v>2</v>
      </c>
      <c r="I2462" t="n">
        <v>7</v>
      </c>
      <c r="J2462" t="n">
        <v>3</v>
      </c>
      <c r="K2462" t="n">
        <v>0</v>
      </c>
      <c r="L2462" t="n">
        <v>81750</v>
      </c>
      <c r="M2462" t="n">
        <v>106000</v>
      </c>
      <c r="N2462" t="n">
        <v>33</v>
      </c>
      <c r="O2462" t="n">
        <v>0.33</v>
      </c>
      <c r="P2462" t="n">
        <v>0</v>
      </c>
      <c r="Q2462" t="n">
        <v>0.02</v>
      </c>
      <c r="R2462" t="n">
        <v>1</v>
      </c>
      <c r="S2462" t="n">
        <v>2120</v>
      </c>
      <c r="T2462" t="n">
        <v>7</v>
      </c>
      <c r="U2462" t="n">
        <v>8</v>
      </c>
      <c r="V2462" t="n">
        <v>30</v>
      </c>
      <c r="W2462" t="n">
        <v>1</v>
      </c>
      <c r="X2462" t="n">
        <v>300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11590</v>
      </c>
      <c r="AG2462" t="n">
        <v>2141</v>
      </c>
      <c r="AH2462" t="inlineStr">
        <is>
          <t>PT. PARAMA GLOBAL INSPIRA - PPN (JMB)</t>
        </is>
      </c>
      <c r="AI2462" t="n">
        <v>103</v>
      </c>
      <c r="AJ2462" t="inlineStr">
        <is>
          <t>MAKE OVER</t>
        </is>
      </c>
      <c r="AK2462" t="n">
        <v>9</v>
      </c>
      <c r="AL2462" t="inlineStr">
        <is>
          <t>Miss Glam Jambi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"8993137681872"</f>
        <v/>
      </c>
      <c r="C2463" t="inlineStr">
        <is>
          <t>MAKEOVER Hydration Serum 33ml</t>
        </is>
      </c>
      <c r="D2463" t="inlineStr">
        <is>
          <t>Miss Glam Jambi</t>
        </is>
      </c>
      <c r="E2463" t="n">
        <v>3</v>
      </c>
      <c r="F2463" t="n">
        <v>0.0561</v>
      </c>
      <c r="G2463" t="n">
        <v>0.33</v>
      </c>
      <c r="H2463" t="n">
        <v>2</v>
      </c>
      <c r="I2463" t="n">
        <v>7</v>
      </c>
      <c r="J2463" t="n">
        <v>3</v>
      </c>
      <c r="K2463" t="n">
        <v>0</v>
      </c>
      <c r="L2463" t="n">
        <v>94500</v>
      </c>
      <c r="M2463" t="n">
        <v>118000</v>
      </c>
      <c r="N2463" t="n">
        <v>33</v>
      </c>
      <c r="O2463" t="n">
        <v>0.33</v>
      </c>
      <c r="P2463" t="n">
        <v>1</v>
      </c>
      <c r="Q2463" t="n">
        <v>0.1</v>
      </c>
      <c r="R2463" t="n">
        <v>3</v>
      </c>
      <c r="S2463" t="n">
        <v>6619.8</v>
      </c>
      <c r="T2463" t="n">
        <v>3</v>
      </c>
      <c r="U2463" t="n">
        <v>4</v>
      </c>
      <c r="V2463" t="n">
        <v>30</v>
      </c>
      <c r="W2463" t="n">
        <v>2</v>
      </c>
      <c r="X2463" t="n">
        <v>53.475935828877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11590</v>
      </c>
      <c r="AG2463" t="n">
        <v>2141</v>
      </c>
      <c r="AH2463" t="inlineStr">
        <is>
          <t>PT. PARAMA GLOBAL INSPIRA - PPN (JMB)</t>
        </is>
      </c>
      <c r="AI2463" t="n">
        <v>103</v>
      </c>
      <c r="AJ2463" t="inlineStr">
        <is>
          <t>MAKE OVER</t>
        </is>
      </c>
      <c r="AK2463" t="n">
        <v>9</v>
      </c>
      <c r="AL2463" t="inlineStr">
        <is>
          <t>Miss Glam Jambi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"8993137699273"</f>
        <v/>
      </c>
      <c r="C2464" t="inlineStr">
        <is>
          <t>MAKEOVER Hyperblack Superstay Liner 1gr</t>
        </is>
      </c>
      <c r="D2464" t="inlineStr">
        <is>
          <t>Miss Glam Jambi</t>
        </is>
      </c>
      <c r="E2464" t="n">
        <v>2</v>
      </c>
      <c r="F2464" t="n">
        <v>0.1056</v>
      </c>
      <c r="G2464" t="n">
        <v>0.33</v>
      </c>
      <c r="H2464" t="n">
        <v>2</v>
      </c>
      <c r="I2464" t="n">
        <v>7</v>
      </c>
      <c r="J2464" t="n">
        <v>12</v>
      </c>
      <c r="K2464" t="n">
        <v>12</v>
      </c>
      <c r="L2464" t="n">
        <v>99750</v>
      </c>
      <c r="M2464" t="n">
        <v>118000</v>
      </c>
      <c r="N2464" t="n">
        <v>33</v>
      </c>
      <c r="O2464" t="n">
        <v>0.33</v>
      </c>
      <c r="P2464" t="n">
        <v>1</v>
      </c>
      <c r="Q2464" t="n">
        <v>0.08</v>
      </c>
      <c r="R2464" t="n">
        <v>1</v>
      </c>
      <c r="S2464" t="n">
        <v>12460.8</v>
      </c>
      <c r="T2464" t="n">
        <v>3</v>
      </c>
      <c r="U2464" t="n">
        <v>4</v>
      </c>
      <c r="V2464" t="n">
        <v>30</v>
      </c>
      <c r="W2464" t="n">
        <v>4</v>
      </c>
      <c r="X2464" t="n">
        <v>18.93939393939394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11590</v>
      </c>
      <c r="AG2464" t="n">
        <v>2141</v>
      </c>
      <c r="AH2464" t="inlineStr">
        <is>
          <t>PT. PARAMA GLOBAL INSPIRA - PPN (JMB)</t>
        </is>
      </c>
      <c r="AI2464" t="n">
        <v>103</v>
      </c>
      <c r="AJ2464" t="inlineStr">
        <is>
          <t>MAKE OVER</t>
        </is>
      </c>
      <c r="AK2464" t="n">
        <v>9</v>
      </c>
      <c r="AL2464" t="inlineStr">
        <is>
          <t>Miss Glam Jambi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"8993137693868"</f>
        <v/>
      </c>
      <c r="C2465" t="inlineStr">
        <is>
          <t>MAKEOVER Intense Matte Lip Cream  005 Impulse 6.5gr</t>
        </is>
      </c>
      <c r="D2465" t="inlineStr">
        <is>
          <t>Miss Glam Jambi</t>
        </is>
      </c>
      <c r="E2465" t="n">
        <v>7</v>
      </c>
      <c r="F2465" t="n">
        <v>0.006600000000000001</v>
      </c>
      <c r="G2465" t="n">
        <v>0.33</v>
      </c>
      <c r="H2465" t="n">
        <v>2</v>
      </c>
      <c r="I2465" t="n">
        <v>7</v>
      </c>
      <c r="J2465" t="n">
        <v>3</v>
      </c>
      <c r="K2465" t="n">
        <v>0</v>
      </c>
      <c r="L2465" t="n">
        <v>81750</v>
      </c>
      <c r="M2465" t="n">
        <v>106000</v>
      </c>
      <c r="N2465" t="n">
        <v>33</v>
      </c>
      <c r="O2465" t="n">
        <v>0.33</v>
      </c>
      <c r="P2465" t="n">
        <v>1</v>
      </c>
      <c r="Q2465" t="n">
        <v>0.02</v>
      </c>
      <c r="R2465" t="n">
        <v>1</v>
      </c>
      <c r="S2465" t="n">
        <v>699.6000000000001</v>
      </c>
      <c r="T2465" t="n">
        <v>3</v>
      </c>
      <c r="U2465" t="n">
        <v>4</v>
      </c>
      <c r="V2465" t="n">
        <v>30</v>
      </c>
      <c r="W2465" t="n">
        <v>1</v>
      </c>
      <c r="X2465" t="n">
        <v>1060.606060606061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11590</v>
      </c>
      <c r="AG2465" t="n">
        <v>2141</v>
      </c>
      <c r="AH2465" t="inlineStr">
        <is>
          <t>PT. PARAMA GLOBAL INSPIRA - PPN (JMB)</t>
        </is>
      </c>
      <c r="AI2465" t="n">
        <v>103</v>
      </c>
      <c r="AJ2465" t="inlineStr">
        <is>
          <t>MAKE OVER</t>
        </is>
      </c>
      <c r="AK2465" t="n">
        <v>9</v>
      </c>
      <c r="AL2465" t="inlineStr">
        <is>
          <t>Miss Glam Jambi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"8993137696432"</f>
        <v/>
      </c>
      <c r="C2466" t="inlineStr">
        <is>
          <t>MAKEOVER Intense Matte Lip Cream  010 Lux 6.5gr</t>
        </is>
      </c>
      <c r="D2466" t="inlineStr">
        <is>
          <t>Miss Glam Jambi</t>
        </is>
      </c>
      <c r="E2466" t="n">
        <v>3</v>
      </c>
      <c r="F2466" t="n">
        <v>0.02</v>
      </c>
      <c r="G2466" t="n">
        <v>1</v>
      </c>
      <c r="H2466" t="n">
        <v>2</v>
      </c>
      <c r="I2466" t="n">
        <v>7</v>
      </c>
      <c r="J2466" t="n">
        <v>3</v>
      </c>
      <c r="K2466" t="n">
        <v>0</v>
      </c>
      <c r="L2466" t="n">
        <v>83113</v>
      </c>
      <c r="M2466" t="n">
        <v>106000</v>
      </c>
      <c r="N2466" t="n">
        <v>33</v>
      </c>
      <c r="O2466" t="n">
        <v>0.33</v>
      </c>
      <c r="P2466" t="n">
        <v>0</v>
      </c>
      <c r="Q2466" t="n">
        <v>0.02</v>
      </c>
      <c r="R2466" t="n">
        <v>1</v>
      </c>
      <c r="S2466" t="n">
        <v>2120</v>
      </c>
      <c r="T2466" t="n">
        <v>7</v>
      </c>
      <c r="U2466" t="n">
        <v>8</v>
      </c>
      <c r="V2466" t="n">
        <v>30</v>
      </c>
      <c r="W2466" t="n">
        <v>1</v>
      </c>
      <c r="X2466" t="n">
        <v>150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11590</v>
      </c>
      <c r="AG2466" t="n">
        <v>2141</v>
      </c>
      <c r="AH2466" t="inlineStr">
        <is>
          <t>PT. PARAMA GLOBAL INSPIRA - PPN (JMB)</t>
        </is>
      </c>
      <c r="AI2466" t="n">
        <v>103</v>
      </c>
      <c r="AJ2466" t="inlineStr">
        <is>
          <t>MAKE OVER</t>
        </is>
      </c>
      <c r="AK2466" t="n">
        <v>9</v>
      </c>
      <c r="AL2466" t="inlineStr">
        <is>
          <t>Miss Glam Jambi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"8993137693820"</f>
        <v/>
      </c>
      <c r="C2467" t="inlineStr">
        <is>
          <t>MAKEOVER Intense Matte lip Cream 001 6.5gr</t>
        </is>
      </c>
      <c r="D2467" t="inlineStr">
        <is>
          <t>Miss Glam Jambi</t>
        </is>
      </c>
      <c r="E2467" t="n">
        <v>2</v>
      </c>
      <c r="F2467" t="n">
        <v>0.006600000000000001</v>
      </c>
      <c r="G2467" t="n">
        <v>0.33</v>
      </c>
      <c r="H2467" t="n">
        <v>2</v>
      </c>
      <c r="I2467" t="n">
        <v>7</v>
      </c>
      <c r="J2467" t="n">
        <v>3</v>
      </c>
      <c r="K2467" t="n">
        <v>0</v>
      </c>
      <c r="L2467" t="n">
        <v>81750</v>
      </c>
      <c r="M2467" t="n">
        <v>106000</v>
      </c>
      <c r="N2467" t="n">
        <v>33</v>
      </c>
      <c r="O2467" t="n">
        <v>0.33</v>
      </c>
      <c r="P2467" t="n">
        <v>1</v>
      </c>
      <c r="Q2467" t="n">
        <v>0.03</v>
      </c>
      <c r="R2467" t="n">
        <v>1</v>
      </c>
      <c r="S2467" t="n">
        <v>699.6000000000001</v>
      </c>
      <c r="T2467" t="n">
        <v>3</v>
      </c>
      <c r="U2467" t="n">
        <v>4</v>
      </c>
      <c r="V2467" t="n">
        <v>30</v>
      </c>
      <c r="W2467" t="n">
        <v>1</v>
      </c>
      <c r="X2467" t="n">
        <v>303.030303030303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11590</v>
      </c>
      <c r="AG2467" t="n">
        <v>2141</v>
      </c>
      <c r="AH2467" t="inlineStr">
        <is>
          <t>PT. PARAMA GLOBAL INSPIRA - PPN (JMB)</t>
        </is>
      </c>
      <c r="AI2467" t="n">
        <v>103</v>
      </c>
      <c r="AJ2467" t="inlineStr">
        <is>
          <t>MAKE OVER</t>
        </is>
      </c>
      <c r="AK2467" t="n">
        <v>9</v>
      </c>
      <c r="AL2467" t="inlineStr">
        <is>
          <t>Miss Glam Jambi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"8993137693837"</f>
        <v/>
      </c>
      <c r="C2468" t="inlineStr">
        <is>
          <t>MAKEOVER Intense Matte Lip Cream 002 Heiress 6,5gr</t>
        </is>
      </c>
      <c r="D2468" t="inlineStr">
        <is>
          <t>Miss Glam Jambi</t>
        </is>
      </c>
      <c r="E2468" t="n">
        <v>4</v>
      </c>
      <c r="F2468" t="n">
        <v>0.009900000000000001</v>
      </c>
      <c r="G2468" t="n">
        <v>0.33</v>
      </c>
      <c r="H2468" t="n">
        <v>2</v>
      </c>
      <c r="I2468" t="n">
        <v>7</v>
      </c>
      <c r="J2468" t="n">
        <v>3</v>
      </c>
      <c r="K2468" t="n">
        <v>0</v>
      </c>
      <c r="L2468" t="n">
        <v>82622</v>
      </c>
      <c r="M2468" t="n">
        <v>106000</v>
      </c>
      <c r="N2468" t="n">
        <v>33</v>
      </c>
      <c r="O2468" t="n">
        <v>0.33</v>
      </c>
      <c r="P2468" t="n">
        <v>1</v>
      </c>
      <c r="Q2468" t="n">
        <v>0.02</v>
      </c>
      <c r="R2468" t="n">
        <v>1</v>
      </c>
      <c r="S2468" t="n">
        <v>1049.4</v>
      </c>
      <c r="T2468" t="n">
        <v>3</v>
      </c>
      <c r="U2468" t="n">
        <v>4</v>
      </c>
      <c r="V2468" t="n">
        <v>30</v>
      </c>
      <c r="W2468" t="n">
        <v>1</v>
      </c>
      <c r="X2468" t="n">
        <v>404.040404040404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11590</v>
      </c>
      <c r="AG2468" t="n">
        <v>2141</v>
      </c>
      <c r="AH2468" t="inlineStr">
        <is>
          <t>PT. PARAMA GLOBAL INSPIRA - PPN (JMB)</t>
        </is>
      </c>
      <c r="AI2468" t="n">
        <v>103</v>
      </c>
      <c r="AJ2468" t="inlineStr">
        <is>
          <t>MAKE OVER</t>
        </is>
      </c>
      <c r="AK2468" t="n">
        <v>9</v>
      </c>
      <c r="AL2468" t="inlineStr">
        <is>
          <t>Miss Glam Jambi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"8993137693844"</f>
        <v/>
      </c>
      <c r="C2469" t="inlineStr">
        <is>
          <t>MAKEOVER Intense Matte Lip Cream 003 Secret 6.5gr</t>
        </is>
      </c>
      <c r="D2469" t="inlineStr">
        <is>
          <t>Miss Glam Jambi</t>
        </is>
      </c>
      <c r="E2469" t="n">
        <v>1</v>
      </c>
      <c r="F2469" t="n">
        <v>0.009900000000000001</v>
      </c>
      <c r="G2469" t="n">
        <v>0.33</v>
      </c>
      <c r="H2469" t="n">
        <v>2</v>
      </c>
      <c r="I2469" t="n">
        <v>7</v>
      </c>
      <c r="J2469" t="n">
        <v>3</v>
      </c>
      <c r="K2469" t="n">
        <v>0</v>
      </c>
      <c r="L2469" t="n">
        <v>81750</v>
      </c>
      <c r="M2469" t="n">
        <v>106000</v>
      </c>
      <c r="N2469" t="n">
        <v>33</v>
      </c>
      <c r="O2469" t="n">
        <v>0.33</v>
      </c>
      <c r="P2469" t="n">
        <v>1</v>
      </c>
      <c r="Q2469" t="n">
        <v>0.05</v>
      </c>
      <c r="R2469" t="n">
        <v>1</v>
      </c>
      <c r="S2469" t="n">
        <v>1049.4</v>
      </c>
      <c r="T2469" t="n">
        <v>3</v>
      </c>
      <c r="U2469" t="n">
        <v>4</v>
      </c>
      <c r="V2469" t="n">
        <v>30</v>
      </c>
      <c r="W2469" t="n">
        <v>1</v>
      </c>
      <c r="X2469" t="n">
        <v>101.010101010101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11590</v>
      </c>
      <c r="AG2469" t="n">
        <v>2141</v>
      </c>
      <c r="AH2469" t="inlineStr">
        <is>
          <t>PT. PARAMA GLOBAL INSPIRA - PPN (JMB)</t>
        </is>
      </c>
      <c r="AI2469" t="n">
        <v>103</v>
      </c>
      <c r="AJ2469" t="inlineStr">
        <is>
          <t>MAKE OVER</t>
        </is>
      </c>
      <c r="AK2469" t="n">
        <v>9</v>
      </c>
      <c r="AL2469" t="inlineStr">
        <is>
          <t>Miss Glam Jambi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"8993137693851"</f>
        <v/>
      </c>
      <c r="C2470" t="inlineStr">
        <is>
          <t>MAKEOVER Intense Matte Lip Cream 004 Vanity 6.5gr</t>
        </is>
      </c>
      <c r="D2470" t="inlineStr">
        <is>
          <t>Miss Glam Jambi</t>
        </is>
      </c>
      <c r="E2470" t="n">
        <v>2</v>
      </c>
      <c r="F2470" t="n">
        <v>0.0231</v>
      </c>
      <c r="G2470" t="n">
        <v>0.33</v>
      </c>
      <c r="H2470" t="n">
        <v>2</v>
      </c>
      <c r="I2470" t="n">
        <v>7</v>
      </c>
      <c r="J2470" t="n">
        <v>3</v>
      </c>
      <c r="K2470" t="n">
        <v>0</v>
      </c>
      <c r="L2470" t="n">
        <v>81750</v>
      </c>
      <c r="M2470" t="n">
        <v>106000</v>
      </c>
      <c r="N2470" t="n">
        <v>33</v>
      </c>
      <c r="O2470" t="n">
        <v>0.33</v>
      </c>
      <c r="P2470" t="n">
        <v>1</v>
      </c>
      <c r="Q2470" t="n">
        <v>0.03</v>
      </c>
      <c r="R2470" t="n">
        <v>1</v>
      </c>
      <c r="S2470" t="n">
        <v>2448.6</v>
      </c>
      <c r="T2470" t="n">
        <v>3</v>
      </c>
      <c r="U2470" t="n">
        <v>4</v>
      </c>
      <c r="V2470" t="n">
        <v>30</v>
      </c>
      <c r="W2470" t="n">
        <v>1</v>
      </c>
      <c r="X2470" t="n">
        <v>86.58008658008657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11590</v>
      </c>
      <c r="AG2470" t="n">
        <v>2141</v>
      </c>
      <c r="AH2470" t="inlineStr">
        <is>
          <t>PT. PARAMA GLOBAL INSPIRA - PPN (JMB)</t>
        </is>
      </c>
      <c r="AI2470" t="n">
        <v>103</v>
      </c>
      <c r="AJ2470" t="inlineStr">
        <is>
          <t>MAKE OVER</t>
        </is>
      </c>
      <c r="AK2470" t="n">
        <v>9</v>
      </c>
      <c r="AL2470" t="inlineStr">
        <is>
          <t>Miss Glam Jambi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"8993137693882"</f>
        <v/>
      </c>
      <c r="C2471" t="inlineStr">
        <is>
          <t>MAKEOVER Intense Matte Lip Cream 007 Scarlet 6.5gr</t>
        </is>
      </c>
      <c r="D2471" t="inlineStr">
        <is>
          <t>Miss Glam Jambi</t>
        </is>
      </c>
      <c r="E2471" t="n">
        <v>4</v>
      </c>
      <c r="F2471" t="n">
        <v>0.006600000000000001</v>
      </c>
      <c r="G2471" t="n">
        <v>0.33</v>
      </c>
      <c r="H2471" t="n">
        <v>2</v>
      </c>
      <c r="I2471" t="n">
        <v>7</v>
      </c>
      <c r="J2471" t="n">
        <v>3</v>
      </c>
      <c r="K2471" t="n">
        <v>0</v>
      </c>
      <c r="L2471" t="n">
        <v>81750</v>
      </c>
      <c r="M2471" t="n">
        <v>106000</v>
      </c>
      <c r="N2471" t="n">
        <v>33</v>
      </c>
      <c r="O2471" t="n">
        <v>0.33</v>
      </c>
      <c r="P2471" t="n">
        <v>1</v>
      </c>
      <c r="Q2471" t="n">
        <v>0.08</v>
      </c>
      <c r="R2471" t="n">
        <v>2</v>
      </c>
      <c r="S2471" t="n">
        <v>699.6000000000001</v>
      </c>
      <c r="T2471" t="n">
        <v>3</v>
      </c>
      <c r="U2471" t="n">
        <v>4</v>
      </c>
      <c r="V2471" t="n">
        <v>30</v>
      </c>
      <c r="W2471" t="n">
        <v>1</v>
      </c>
      <c r="X2471" t="n">
        <v>606.060606060606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11590</v>
      </c>
      <c r="AG2471" t="n">
        <v>2141</v>
      </c>
      <c r="AH2471" t="inlineStr">
        <is>
          <t>PT. PARAMA GLOBAL INSPIRA - PPN (JMB)</t>
        </is>
      </c>
      <c r="AI2471" t="n">
        <v>103</v>
      </c>
      <c r="AJ2471" t="inlineStr">
        <is>
          <t>MAKE OVER</t>
        </is>
      </c>
      <c r="AK2471" t="n">
        <v>9</v>
      </c>
      <c r="AL2471" t="inlineStr">
        <is>
          <t>Miss Glam Jambi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"8993137694094"</f>
        <v/>
      </c>
      <c r="C2472" t="inlineStr">
        <is>
          <t>MAKEOVER Intense Matte Lip Cream 008 Libertine 6.5gr</t>
        </is>
      </c>
      <c r="D2472" t="inlineStr">
        <is>
          <t>Miss Glam Jambi</t>
        </is>
      </c>
      <c r="E2472" t="n">
        <v>3</v>
      </c>
      <c r="F2472" t="n">
        <v>0.0231</v>
      </c>
      <c r="G2472" t="n">
        <v>0.66</v>
      </c>
      <c r="H2472" t="n">
        <v>2</v>
      </c>
      <c r="I2472" t="n">
        <v>7</v>
      </c>
      <c r="J2472" t="n">
        <v>3</v>
      </c>
      <c r="K2472" t="n">
        <v>0</v>
      </c>
      <c r="L2472" t="n">
        <v>81750</v>
      </c>
      <c r="M2472" t="n">
        <v>106000</v>
      </c>
      <c r="N2472" t="n">
        <v>33</v>
      </c>
      <c r="O2472" t="n">
        <v>0.33</v>
      </c>
      <c r="P2472" t="n">
        <v>1</v>
      </c>
      <c r="Q2472" t="n">
        <v>0.05</v>
      </c>
      <c r="R2472" t="n">
        <v>1</v>
      </c>
      <c r="S2472" t="n">
        <v>2448.6</v>
      </c>
      <c r="T2472" t="n">
        <v>5</v>
      </c>
      <c r="U2472" t="n">
        <v>6</v>
      </c>
      <c r="V2472" t="n">
        <v>30</v>
      </c>
      <c r="W2472" t="n">
        <v>1</v>
      </c>
      <c r="X2472" t="n">
        <v>129.8701298701299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11590</v>
      </c>
      <c r="AG2472" t="n">
        <v>2141</v>
      </c>
      <c r="AH2472" t="inlineStr">
        <is>
          <t>PT. PARAMA GLOBAL INSPIRA - PPN (JMB)</t>
        </is>
      </c>
      <c r="AI2472" t="n">
        <v>103</v>
      </c>
      <c r="AJ2472" t="inlineStr">
        <is>
          <t>MAKE OVER</t>
        </is>
      </c>
      <c r="AK2472" t="n">
        <v>9</v>
      </c>
      <c r="AL2472" t="inlineStr">
        <is>
          <t>Miss Glam Jambi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"8993137696425"</f>
        <v/>
      </c>
      <c r="C2473" t="inlineStr">
        <is>
          <t>MAKEOVER Intense Matte Lip Cream 009 Posh 6.5gr</t>
        </is>
      </c>
      <c r="D2473" t="inlineStr">
        <is>
          <t>Miss Glam Jambi</t>
        </is>
      </c>
      <c r="E2473" t="n">
        <v>2</v>
      </c>
      <c r="F2473" t="n">
        <v>0.006600000000000001</v>
      </c>
      <c r="G2473" t="n">
        <v>0.33</v>
      </c>
      <c r="H2473" t="n">
        <v>2</v>
      </c>
      <c r="I2473" t="n">
        <v>7</v>
      </c>
      <c r="J2473" t="n">
        <v>3</v>
      </c>
      <c r="K2473" t="n">
        <v>0</v>
      </c>
      <c r="L2473" t="n">
        <v>87200</v>
      </c>
      <c r="M2473" t="n">
        <v>106000</v>
      </c>
      <c r="N2473" t="n">
        <v>33</v>
      </c>
      <c r="O2473" t="n">
        <v>0.33</v>
      </c>
      <c r="P2473" t="n">
        <v>1</v>
      </c>
      <c r="Q2473" t="n">
        <v>0.03</v>
      </c>
      <c r="R2473" t="n">
        <v>1</v>
      </c>
      <c r="S2473" t="n">
        <v>699.6000000000001</v>
      </c>
      <c r="T2473" t="n">
        <v>3</v>
      </c>
      <c r="U2473" t="n">
        <v>4</v>
      </c>
      <c r="V2473" t="n">
        <v>30</v>
      </c>
      <c r="W2473" t="n">
        <v>1</v>
      </c>
      <c r="X2473" t="n">
        <v>303.030303030303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11590</v>
      </c>
      <c r="AG2473" t="n">
        <v>2141</v>
      </c>
      <c r="AH2473" t="inlineStr">
        <is>
          <t>PT. PARAMA GLOBAL INSPIRA - PPN (JMB)</t>
        </is>
      </c>
      <c r="AI2473" t="n">
        <v>103</v>
      </c>
      <c r="AJ2473" t="inlineStr">
        <is>
          <t>MAKE OVER</t>
        </is>
      </c>
      <c r="AK2473" t="n">
        <v>9</v>
      </c>
      <c r="AL2473" t="inlineStr">
        <is>
          <t>Miss Glam Jambi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"8993137696449"</f>
        <v/>
      </c>
      <c r="C2474" t="inlineStr">
        <is>
          <t>MAKEOVER Intense Matte Lip Cream 011 Pompous 6.5gr</t>
        </is>
      </c>
      <c r="D2474" t="inlineStr">
        <is>
          <t>Miss Glam Jambi</t>
        </is>
      </c>
      <c r="E2474" t="n">
        <v>2</v>
      </c>
      <c r="F2474" t="n">
        <v>0.009900000000000001</v>
      </c>
      <c r="G2474" t="n">
        <v>0.33</v>
      </c>
      <c r="H2474" t="n">
        <v>2</v>
      </c>
      <c r="I2474" t="n">
        <v>7</v>
      </c>
      <c r="J2474" t="n">
        <v>3</v>
      </c>
      <c r="K2474" t="n">
        <v>0</v>
      </c>
      <c r="L2474" t="n">
        <v>81750</v>
      </c>
      <c r="M2474" t="n">
        <v>106000</v>
      </c>
      <c r="N2474" t="n">
        <v>33</v>
      </c>
      <c r="O2474" t="n">
        <v>0.33</v>
      </c>
      <c r="P2474" t="n">
        <v>1</v>
      </c>
      <c r="Q2474" t="n">
        <v>0.02</v>
      </c>
      <c r="R2474" t="n">
        <v>1</v>
      </c>
      <c r="S2474" t="n">
        <v>1049.4</v>
      </c>
      <c r="T2474" t="n">
        <v>3</v>
      </c>
      <c r="U2474" t="n">
        <v>4</v>
      </c>
      <c r="V2474" t="n">
        <v>30</v>
      </c>
      <c r="W2474" t="n">
        <v>1</v>
      </c>
      <c r="X2474" t="n">
        <v>202.020202020202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11590</v>
      </c>
      <c r="AG2474" t="n">
        <v>2141</v>
      </c>
      <c r="AH2474" t="inlineStr">
        <is>
          <t>PT. PARAMA GLOBAL INSPIRA - PPN (JMB)</t>
        </is>
      </c>
      <c r="AI2474" t="n">
        <v>103</v>
      </c>
      <c r="AJ2474" t="inlineStr">
        <is>
          <t>MAKE OVER</t>
        </is>
      </c>
      <c r="AK2474" t="n">
        <v>9</v>
      </c>
      <c r="AL2474" t="inlineStr">
        <is>
          <t>Miss Glam Jambi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"8993137696456"</f>
        <v/>
      </c>
      <c r="C2475" t="inlineStr">
        <is>
          <t>MAKEOVER Intense Matte Lip Cream 012 Couture 6.5gr</t>
        </is>
      </c>
      <c r="D2475" t="inlineStr">
        <is>
          <t>Miss Glam Jambi</t>
        </is>
      </c>
      <c r="E2475" t="n">
        <v>2</v>
      </c>
      <c r="F2475" t="n">
        <v>0.006600000000000001</v>
      </c>
      <c r="G2475" t="n">
        <v>0.33</v>
      </c>
      <c r="H2475" t="n">
        <v>2</v>
      </c>
      <c r="I2475" t="n">
        <v>7</v>
      </c>
      <c r="J2475" t="n">
        <v>3</v>
      </c>
      <c r="K2475" t="n">
        <v>0</v>
      </c>
      <c r="L2475" t="n">
        <v>87200</v>
      </c>
      <c r="M2475" t="n">
        <v>106000</v>
      </c>
      <c r="N2475" t="n">
        <v>33</v>
      </c>
      <c r="O2475" t="n">
        <v>0.33</v>
      </c>
      <c r="P2475" t="n">
        <v>1</v>
      </c>
      <c r="Q2475" t="n">
        <v>0.03</v>
      </c>
      <c r="R2475" t="n">
        <v>1</v>
      </c>
      <c r="S2475" t="n">
        <v>699.6000000000001</v>
      </c>
      <c r="T2475" t="n">
        <v>3</v>
      </c>
      <c r="U2475" t="n">
        <v>4</v>
      </c>
      <c r="V2475" t="n">
        <v>30</v>
      </c>
      <c r="W2475" t="n">
        <v>1</v>
      </c>
      <c r="X2475" t="n">
        <v>303.030303030303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11590</v>
      </c>
      <c r="AG2475" t="n">
        <v>2141</v>
      </c>
      <c r="AH2475" t="inlineStr">
        <is>
          <t>PT. PARAMA GLOBAL INSPIRA - PPN (JMB)</t>
        </is>
      </c>
      <c r="AI2475" t="n">
        <v>103</v>
      </c>
      <c r="AJ2475" t="inlineStr">
        <is>
          <t>MAKE OVER</t>
        </is>
      </c>
      <c r="AK2475" t="n">
        <v>9</v>
      </c>
      <c r="AL2475" t="inlineStr">
        <is>
          <t>Miss Glam Jambi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"8993137696463"</f>
        <v/>
      </c>
      <c r="C2476" t="inlineStr">
        <is>
          <t>MAKEOVER Intense Matte Lip Cream 013 Dainty 6.5gr</t>
        </is>
      </c>
      <c r="D2476" t="inlineStr">
        <is>
          <t>Miss Glam Jambi</t>
        </is>
      </c>
      <c r="E2476" t="n">
        <v>3</v>
      </c>
      <c r="F2476" t="n">
        <v>0.0165</v>
      </c>
      <c r="G2476" t="n">
        <v>0.33</v>
      </c>
      <c r="H2476" t="n">
        <v>2</v>
      </c>
      <c r="I2476" t="n">
        <v>7</v>
      </c>
      <c r="J2476" t="n">
        <v>3</v>
      </c>
      <c r="K2476" t="n">
        <v>0</v>
      </c>
      <c r="L2476" t="n">
        <v>83930</v>
      </c>
      <c r="M2476" t="n">
        <v>106000</v>
      </c>
      <c r="N2476" t="n">
        <v>33</v>
      </c>
      <c r="O2476" t="n">
        <v>0.33</v>
      </c>
      <c r="P2476" t="n">
        <v>1</v>
      </c>
      <c r="Q2476" t="n">
        <v>0.03</v>
      </c>
      <c r="R2476" t="n">
        <v>1</v>
      </c>
      <c r="S2476" t="n">
        <v>1749</v>
      </c>
      <c r="T2476" t="n">
        <v>3</v>
      </c>
      <c r="U2476" t="n">
        <v>4</v>
      </c>
      <c r="V2476" t="n">
        <v>30</v>
      </c>
      <c r="W2476" t="n">
        <v>1</v>
      </c>
      <c r="X2476" t="n">
        <v>181.8181818181818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11590</v>
      </c>
      <c r="AG2476" t="n">
        <v>2141</v>
      </c>
      <c r="AH2476" t="inlineStr">
        <is>
          <t>PT. PARAMA GLOBAL INSPIRA - PPN (JMB)</t>
        </is>
      </c>
      <c r="AI2476" t="n">
        <v>103</v>
      </c>
      <c r="AJ2476" t="inlineStr">
        <is>
          <t>MAKE OVER</t>
        </is>
      </c>
      <c r="AK2476" t="n">
        <v>9</v>
      </c>
      <c r="AL2476" t="inlineStr">
        <is>
          <t>Miss Glam Jambi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"8993137697613"</f>
        <v/>
      </c>
      <c r="C2477" t="inlineStr">
        <is>
          <t>MAKEOVER Intense Matte Lip Cream 016 Pixie 6.5gr</t>
        </is>
      </c>
      <c r="D2477" t="inlineStr">
        <is>
          <t>Miss Glam Jambi</t>
        </is>
      </c>
      <c r="E2477" t="n">
        <v>2</v>
      </c>
      <c r="F2477" t="n">
        <v>0.0462</v>
      </c>
      <c r="G2477" t="n">
        <v>0.66</v>
      </c>
      <c r="H2477" t="n">
        <v>2</v>
      </c>
      <c r="I2477" t="n">
        <v>7</v>
      </c>
      <c r="J2477" t="n">
        <v>3</v>
      </c>
      <c r="K2477" t="n">
        <v>0</v>
      </c>
      <c r="L2477" t="n">
        <v>81750</v>
      </c>
      <c r="M2477" t="n">
        <v>106000</v>
      </c>
      <c r="N2477" t="n">
        <v>33</v>
      </c>
      <c r="O2477" t="n">
        <v>0.33</v>
      </c>
      <c r="P2477" t="n">
        <v>1</v>
      </c>
      <c r="Q2477" t="n">
        <v>0.07000000000000001</v>
      </c>
      <c r="R2477" t="n">
        <v>1</v>
      </c>
      <c r="S2477" t="n">
        <v>4897.200000000001</v>
      </c>
      <c r="T2477" t="n">
        <v>5</v>
      </c>
      <c r="U2477" t="n">
        <v>6</v>
      </c>
      <c r="V2477" t="n">
        <v>30</v>
      </c>
      <c r="W2477" t="n">
        <v>2</v>
      </c>
      <c r="X2477" t="n">
        <v>43.29004329004329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11590</v>
      </c>
      <c r="AG2477" t="n">
        <v>2141</v>
      </c>
      <c r="AH2477" t="inlineStr">
        <is>
          <t>PT. PARAMA GLOBAL INSPIRA - PPN (JMB)</t>
        </is>
      </c>
      <c r="AI2477" t="n">
        <v>103</v>
      </c>
      <c r="AJ2477" t="inlineStr">
        <is>
          <t>MAKE OVER</t>
        </is>
      </c>
      <c r="AK2477" t="n">
        <v>9</v>
      </c>
      <c r="AL2477" t="inlineStr">
        <is>
          <t>Miss Glam Jambi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"8993137697637"</f>
        <v/>
      </c>
      <c r="C2478" t="inlineStr">
        <is>
          <t>MAKEOVER Intense Matte Lip Cream 018 Classic 6.5gr</t>
        </is>
      </c>
      <c r="D2478" t="inlineStr">
        <is>
          <t>Miss Glam Jambi</t>
        </is>
      </c>
      <c r="E2478" t="n">
        <v>3</v>
      </c>
      <c r="F2478" t="n">
        <v>0.006600000000000001</v>
      </c>
      <c r="G2478" t="n">
        <v>0.33</v>
      </c>
      <c r="H2478" t="n">
        <v>2</v>
      </c>
      <c r="I2478" t="n">
        <v>7</v>
      </c>
      <c r="J2478" t="n">
        <v>3</v>
      </c>
      <c r="K2478" t="n">
        <v>0</v>
      </c>
      <c r="L2478" t="n">
        <v>82022</v>
      </c>
      <c r="M2478" t="n">
        <v>106000</v>
      </c>
      <c r="N2478" t="n">
        <v>33</v>
      </c>
      <c r="O2478" t="n">
        <v>0.33</v>
      </c>
      <c r="P2478" t="n">
        <v>1</v>
      </c>
      <c r="Q2478" t="n">
        <v>0.05</v>
      </c>
      <c r="R2478" t="n">
        <v>1</v>
      </c>
      <c r="S2478" t="n">
        <v>699.6000000000001</v>
      </c>
      <c r="T2478" t="n">
        <v>3</v>
      </c>
      <c r="U2478" t="n">
        <v>4</v>
      </c>
      <c r="V2478" t="n">
        <v>30</v>
      </c>
      <c r="W2478" t="n">
        <v>1</v>
      </c>
      <c r="X2478" t="n">
        <v>454.5454545454545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11590</v>
      </c>
      <c r="AG2478" t="n">
        <v>2141</v>
      </c>
      <c r="AH2478" t="inlineStr">
        <is>
          <t>PT. PARAMA GLOBAL INSPIRA - PPN (JMB)</t>
        </is>
      </c>
      <c r="AI2478" t="n">
        <v>103</v>
      </c>
      <c r="AJ2478" t="inlineStr">
        <is>
          <t>MAKE OVER</t>
        </is>
      </c>
      <c r="AK2478" t="n">
        <v>9</v>
      </c>
      <c r="AL2478" t="inlineStr">
        <is>
          <t>Miss Glam Jambi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"8993137712033"</f>
        <v/>
      </c>
      <c r="C2479" t="inlineStr">
        <is>
          <t>MAKEOVER Lash Waterproof Mascara</t>
        </is>
      </c>
      <c r="D2479" t="inlineStr">
        <is>
          <t>Miss Glam Jambi</t>
        </is>
      </c>
      <c r="E2479" t="n">
        <v>3</v>
      </c>
      <c r="F2479" t="n">
        <v>0.1056</v>
      </c>
      <c r="G2479" t="n">
        <v>0.66</v>
      </c>
      <c r="H2479" t="n">
        <v>2</v>
      </c>
      <c r="I2479" t="n">
        <v>7</v>
      </c>
      <c r="J2479" t="n">
        <v>3</v>
      </c>
      <c r="K2479" t="n">
        <v>3</v>
      </c>
      <c r="L2479" t="n">
        <v>96256</v>
      </c>
      <c r="M2479" t="n">
        <v>121000</v>
      </c>
      <c r="N2479" t="n">
        <v>33</v>
      </c>
      <c r="O2479" t="n">
        <v>0.33</v>
      </c>
      <c r="P2479" t="n">
        <v>1</v>
      </c>
      <c r="Q2479" t="n">
        <v>0.15</v>
      </c>
      <c r="R2479" t="n">
        <v>1</v>
      </c>
      <c r="S2479" t="n">
        <v>12777.6</v>
      </c>
      <c r="T2479" t="n">
        <v>5</v>
      </c>
      <c r="U2479" t="n">
        <v>6</v>
      </c>
      <c r="V2479" t="n">
        <v>30</v>
      </c>
      <c r="W2479" t="n">
        <v>4</v>
      </c>
      <c r="X2479" t="n">
        <v>28.40909090909091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11590</v>
      </c>
      <c r="AG2479" t="n">
        <v>2141</v>
      </c>
      <c r="AH2479" t="inlineStr">
        <is>
          <t>PT. PARAMA GLOBAL INSPIRA - PPN (JMB)</t>
        </is>
      </c>
      <c r="AI2479" t="n">
        <v>103</v>
      </c>
      <c r="AJ2479" t="inlineStr">
        <is>
          <t>MAKE OVER</t>
        </is>
      </c>
      <c r="AK2479" t="n">
        <v>9</v>
      </c>
      <c r="AL2479" t="inlineStr">
        <is>
          <t>Miss Glam Jambi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"8993137700801"</f>
        <v/>
      </c>
      <c r="C2480" t="inlineStr">
        <is>
          <t>MAKEOVER Multifix Matte Blusher 01 Rose Hour 9gr</t>
        </is>
      </c>
      <c r="D2480" t="inlineStr">
        <is>
          <t>Miss Glam Jambi</t>
        </is>
      </c>
      <c r="E2480" t="n">
        <v>4</v>
      </c>
      <c r="F2480" t="n">
        <v>0.02</v>
      </c>
      <c r="G2480" t="n">
        <v>1</v>
      </c>
      <c r="H2480" t="n">
        <v>2</v>
      </c>
      <c r="I2480" t="n">
        <v>7</v>
      </c>
      <c r="J2480" t="n">
        <v>3</v>
      </c>
      <c r="K2480" t="n">
        <v>0</v>
      </c>
      <c r="L2480" t="n">
        <v>102300</v>
      </c>
      <c r="M2480" t="n">
        <v>131000</v>
      </c>
      <c r="N2480" t="n">
        <v>33</v>
      </c>
      <c r="O2480" t="n">
        <v>0.33</v>
      </c>
      <c r="P2480" t="n">
        <v>0</v>
      </c>
      <c r="Q2480" t="n">
        <v>0.02</v>
      </c>
      <c r="R2480" t="n">
        <v>1</v>
      </c>
      <c r="S2480" t="n">
        <v>2620</v>
      </c>
      <c r="T2480" t="n">
        <v>7</v>
      </c>
      <c r="U2480" t="n">
        <v>8</v>
      </c>
      <c r="V2480" t="n">
        <v>30</v>
      </c>
      <c r="W2480" t="n">
        <v>1</v>
      </c>
      <c r="X2480" t="n">
        <v>200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11590</v>
      </c>
      <c r="AG2480" t="n">
        <v>2141</v>
      </c>
      <c r="AH2480" t="inlineStr">
        <is>
          <t>PT. PARAMA GLOBAL INSPIRA - PPN (JMB)</t>
        </is>
      </c>
      <c r="AI2480" t="n">
        <v>103</v>
      </c>
      <c r="AJ2480" t="inlineStr">
        <is>
          <t>MAKE OVER</t>
        </is>
      </c>
      <c r="AK2480" t="n">
        <v>9</v>
      </c>
      <c r="AL2480" t="inlineStr">
        <is>
          <t>Miss Glam Jambi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"8993137713801"</f>
        <v/>
      </c>
      <c r="C2481" t="inlineStr">
        <is>
          <t>MAKEOVER Powerskin Bi-Phase Oil Micellar Water 200ml</t>
        </is>
      </c>
      <c r="D2481" t="inlineStr">
        <is>
          <t>Miss Glam Jambi</t>
        </is>
      </c>
      <c r="E2481" t="n">
        <v>8</v>
      </c>
      <c r="F2481" t="n">
        <v>0.0726</v>
      </c>
      <c r="G2481" t="n">
        <v>0.66</v>
      </c>
      <c r="H2481" t="n">
        <v>2</v>
      </c>
      <c r="I2481" t="n">
        <v>7</v>
      </c>
      <c r="J2481" t="n">
        <v>3</v>
      </c>
      <c r="K2481" t="n">
        <v>0</v>
      </c>
      <c r="L2481" t="n">
        <v>72756</v>
      </c>
      <c r="M2481" t="n">
        <v>92000</v>
      </c>
      <c r="N2481" t="n">
        <v>33</v>
      </c>
      <c r="O2481" t="n">
        <v>0.33</v>
      </c>
      <c r="P2481" t="n">
        <v>1</v>
      </c>
      <c r="Q2481" t="n">
        <v>0.14</v>
      </c>
      <c r="R2481" t="n">
        <v>2</v>
      </c>
      <c r="S2481" t="n">
        <v>6679.2</v>
      </c>
      <c r="T2481" t="n">
        <v>5</v>
      </c>
      <c r="U2481" t="n">
        <v>6</v>
      </c>
      <c r="V2481" t="n">
        <v>30</v>
      </c>
      <c r="W2481" t="n">
        <v>3</v>
      </c>
      <c r="X2481" t="n">
        <v>110.1928374655647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11590</v>
      </c>
      <c r="AG2481" t="n">
        <v>2141</v>
      </c>
      <c r="AH2481" t="inlineStr">
        <is>
          <t>PT. PARAMA GLOBAL INSPIRA - PPN (JMB)</t>
        </is>
      </c>
      <c r="AI2481" t="n">
        <v>103</v>
      </c>
      <c r="AJ2481" t="inlineStr">
        <is>
          <t>MAKE OVER</t>
        </is>
      </c>
      <c r="AK2481" t="n">
        <v>9</v>
      </c>
      <c r="AL2481" t="inlineStr">
        <is>
          <t>Miss Glam Jambi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"8993137702270"</f>
        <v/>
      </c>
      <c r="C2482" t="inlineStr">
        <is>
          <t>MAKEOVER Powerstay Color Correcting Primer Peach 25ml</t>
        </is>
      </c>
      <c r="D2482" t="inlineStr">
        <is>
          <t>Miss Glam Jambi</t>
        </is>
      </c>
      <c r="E2482" t="n">
        <v>4</v>
      </c>
      <c r="F2482" t="n">
        <v>0.05</v>
      </c>
      <c r="G2482" t="n">
        <v>1</v>
      </c>
      <c r="H2482" t="n">
        <v>2</v>
      </c>
      <c r="I2482" t="n">
        <v>7</v>
      </c>
      <c r="J2482" t="n">
        <v>3</v>
      </c>
      <c r="K2482" t="n">
        <v>0</v>
      </c>
      <c r="L2482" t="n">
        <v>69750</v>
      </c>
      <c r="M2482" t="n">
        <v>89000</v>
      </c>
      <c r="N2482" t="n">
        <v>33</v>
      </c>
      <c r="O2482" t="n">
        <v>0.33</v>
      </c>
      <c r="P2482" t="n">
        <v>0</v>
      </c>
      <c r="Q2482" t="n">
        <v>0.05</v>
      </c>
      <c r="R2482" t="n">
        <v>1</v>
      </c>
      <c r="S2482" t="n">
        <v>4450</v>
      </c>
      <c r="T2482" t="n">
        <v>7</v>
      </c>
      <c r="U2482" t="n">
        <v>8</v>
      </c>
      <c r="V2482" t="n">
        <v>30</v>
      </c>
      <c r="W2482" t="n">
        <v>2</v>
      </c>
      <c r="X2482" t="n">
        <v>80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11590</v>
      </c>
      <c r="AG2482" t="n">
        <v>2141</v>
      </c>
      <c r="AH2482" t="inlineStr">
        <is>
          <t>PT. PARAMA GLOBAL INSPIRA - PPN (JMB)</t>
        </is>
      </c>
      <c r="AI2482" t="n">
        <v>103</v>
      </c>
      <c r="AJ2482" t="inlineStr">
        <is>
          <t>MAKE OVER</t>
        </is>
      </c>
      <c r="AK2482" t="n">
        <v>9</v>
      </c>
      <c r="AL2482" t="inlineStr">
        <is>
          <t>Miss Glam Jambi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"8993137701310"</f>
        <v/>
      </c>
      <c r="C2483" t="inlineStr">
        <is>
          <t>MAKEOVER Powerstay Fix &amp; Matte Makeup Setting Spray 50ml</t>
        </is>
      </c>
      <c r="D2483" t="inlineStr">
        <is>
          <t>Miss Glam Jambi</t>
        </is>
      </c>
      <c r="E2483" t="n">
        <v>3</v>
      </c>
      <c r="F2483" t="n">
        <v>0.06270000000000001</v>
      </c>
      <c r="G2483" t="n">
        <v>0.33</v>
      </c>
      <c r="H2483" t="n">
        <v>2</v>
      </c>
      <c r="I2483" t="n">
        <v>7</v>
      </c>
      <c r="J2483" t="n">
        <v>3</v>
      </c>
      <c r="K2483" t="n">
        <v>0</v>
      </c>
      <c r="L2483" t="n">
        <v>84750</v>
      </c>
      <c r="M2483" t="n">
        <v>107000</v>
      </c>
      <c r="N2483" t="n">
        <v>33</v>
      </c>
      <c r="O2483" t="n">
        <v>0.33</v>
      </c>
      <c r="P2483" t="n">
        <v>1</v>
      </c>
      <c r="Q2483" t="n">
        <v>0.07000000000000001</v>
      </c>
      <c r="R2483" t="n">
        <v>1</v>
      </c>
      <c r="S2483" t="n">
        <v>6708.900000000001</v>
      </c>
      <c r="T2483" t="n">
        <v>3</v>
      </c>
      <c r="U2483" t="n">
        <v>4</v>
      </c>
      <c r="V2483" t="n">
        <v>30</v>
      </c>
      <c r="W2483" t="n">
        <v>2</v>
      </c>
      <c r="X2483" t="n">
        <v>47.84688995215311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11590</v>
      </c>
      <c r="AG2483" t="n">
        <v>2141</v>
      </c>
      <c r="AH2483" t="inlineStr">
        <is>
          <t>PT. PARAMA GLOBAL INSPIRA - PPN (JMB)</t>
        </is>
      </c>
      <c r="AI2483" t="n">
        <v>103</v>
      </c>
      <c r="AJ2483" t="inlineStr">
        <is>
          <t>MAKE OVER</t>
        </is>
      </c>
      <c r="AK2483" t="n">
        <v>9</v>
      </c>
      <c r="AL2483" t="inlineStr">
        <is>
          <t>Miss Glam Jambi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"8993137736657"</f>
        <v/>
      </c>
      <c r="C2484" t="inlineStr">
        <is>
          <t>MAKEOVER Powerstay Grip Brow Gel 24H Lifting Effect 5.5 gr</t>
        </is>
      </c>
      <c r="D2484" t="inlineStr">
        <is>
          <t>Miss Glam Jambi</t>
        </is>
      </c>
      <c r="E2484" t="n">
        <v>5</v>
      </c>
      <c r="F2484" t="n">
        <v>0.0561</v>
      </c>
      <c r="G2484" t="n">
        <v>0.33</v>
      </c>
      <c r="H2484" t="n">
        <v>2</v>
      </c>
      <c r="I2484" t="n">
        <v>7</v>
      </c>
      <c r="J2484" t="n">
        <v>3</v>
      </c>
      <c r="K2484" t="n">
        <v>0</v>
      </c>
      <c r="L2484" t="n">
        <v>104250</v>
      </c>
      <c r="M2484" t="n">
        <v>131000</v>
      </c>
      <c r="N2484" t="n">
        <v>33</v>
      </c>
      <c r="O2484" t="n">
        <v>0.33</v>
      </c>
      <c r="P2484" t="n">
        <v>1</v>
      </c>
      <c r="Q2484" t="n">
        <v>0.17</v>
      </c>
      <c r="R2484" t="n">
        <v>2</v>
      </c>
      <c r="S2484" t="n">
        <v>7349.1</v>
      </c>
      <c r="T2484" t="n">
        <v>3</v>
      </c>
      <c r="U2484" t="n">
        <v>4</v>
      </c>
      <c r="V2484" t="n">
        <v>30</v>
      </c>
      <c r="W2484" t="n">
        <v>2</v>
      </c>
      <c r="X2484" t="n">
        <v>89.12655971479501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11590</v>
      </c>
      <c r="AG2484" t="n">
        <v>2141</v>
      </c>
      <c r="AH2484" t="inlineStr">
        <is>
          <t>PT. PARAMA GLOBAL INSPIRA - PPN (JMB)</t>
        </is>
      </c>
      <c r="AI2484" t="n">
        <v>103</v>
      </c>
      <c r="AJ2484" t="inlineStr">
        <is>
          <t>MAKE OVER</t>
        </is>
      </c>
      <c r="AK2484" t="n">
        <v>9</v>
      </c>
      <c r="AL2484" t="inlineStr">
        <is>
          <t>Miss Glam Jambi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"8993137705998"</f>
        <v/>
      </c>
      <c r="C2485" t="inlineStr">
        <is>
          <t>MAKEOVER Powerstay Lip Top Coat 6.2gr</t>
        </is>
      </c>
      <c r="D2485" t="inlineStr">
        <is>
          <t>Miss Glam Jambi</t>
        </is>
      </c>
      <c r="E2485" t="n">
        <v>4</v>
      </c>
      <c r="F2485" t="n">
        <v>0.02</v>
      </c>
      <c r="G2485" t="n">
        <v>1</v>
      </c>
      <c r="H2485" t="n">
        <v>2</v>
      </c>
      <c r="I2485" t="n">
        <v>7</v>
      </c>
      <c r="J2485" t="n">
        <v>3</v>
      </c>
      <c r="K2485" t="n">
        <v>0</v>
      </c>
      <c r="L2485" t="n">
        <v>81750</v>
      </c>
      <c r="M2485" t="n">
        <v>107000</v>
      </c>
      <c r="N2485" t="n">
        <v>33</v>
      </c>
      <c r="O2485" t="n">
        <v>0.33</v>
      </c>
      <c r="P2485" t="n">
        <v>0</v>
      </c>
      <c r="Q2485" t="n">
        <v>0.02</v>
      </c>
      <c r="R2485" t="n">
        <v>1</v>
      </c>
      <c r="S2485" t="n">
        <v>2140</v>
      </c>
      <c r="T2485" t="n">
        <v>7</v>
      </c>
      <c r="U2485" t="n">
        <v>8</v>
      </c>
      <c r="V2485" t="n">
        <v>30</v>
      </c>
      <c r="W2485" t="n">
        <v>1</v>
      </c>
      <c r="X2485" t="n">
        <v>200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11590</v>
      </c>
      <c r="AG2485" t="n">
        <v>2141</v>
      </c>
      <c r="AH2485" t="inlineStr">
        <is>
          <t>PT. PARAMA GLOBAL INSPIRA - PPN (JMB)</t>
        </is>
      </c>
      <c r="AI2485" t="n">
        <v>103</v>
      </c>
      <c r="AJ2485" t="inlineStr">
        <is>
          <t>MAKE OVER</t>
        </is>
      </c>
      <c r="AK2485" t="n">
        <v>9</v>
      </c>
      <c r="AL2485" t="inlineStr">
        <is>
          <t>Miss Glam Jambi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"8993137721301"</f>
        <v/>
      </c>
      <c r="C2486" t="inlineStr">
        <is>
          <t>MAKEOVER Powerstay Liquid Foundation Oil Control N30 Natural Beige 40ml</t>
        </is>
      </c>
      <c r="D2486" t="inlineStr">
        <is>
          <t>Miss Glam Jambi</t>
        </is>
      </c>
      <c r="E2486" t="n">
        <v>3</v>
      </c>
      <c r="F2486" t="n">
        <v>0.0561</v>
      </c>
      <c r="G2486" t="n">
        <v>0.66</v>
      </c>
      <c r="H2486" t="n">
        <v>2</v>
      </c>
      <c r="I2486" t="n">
        <v>7</v>
      </c>
      <c r="J2486" t="n">
        <v>3</v>
      </c>
      <c r="K2486" t="n">
        <v>0</v>
      </c>
      <c r="L2486" t="n">
        <v>137707</v>
      </c>
      <c r="M2486" t="n">
        <v>174000</v>
      </c>
      <c r="N2486" t="n">
        <v>33</v>
      </c>
      <c r="O2486" t="n">
        <v>0.33</v>
      </c>
      <c r="P2486" t="n">
        <v>1</v>
      </c>
      <c r="Q2486" t="n">
        <v>0.07000000000000001</v>
      </c>
      <c r="R2486" t="n">
        <v>1</v>
      </c>
      <c r="S2486" t="n">
        <v>9761.400000000001</v>
      </c>
      <c r="T2486" t="n">
        <v>5</v>
      </c>
      <c r="U2486" t="n">
        <v>6</v>
      </c>
      <c r="V2486" t="n">
        <v>30</v>
      </c>
      <c r="W2486" t="n">
        <v>2</v>
      </c>
      <c r="X2486" t="n">
        <v>53.475935828877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11590</v>
      </c>
      <c r="AG2486" t="n">
        <v>2141</v>
      </c>
      <c r="AH2486" t="inlineStr">
        <is>
          <t>PT. PARAMA GLOBAL INSPIRA - PPN (JMB)</t>
        </is>
      </c>
      <c r="AI2486" t="n">
        <v>103</v>
      </c>
      <c r="AJ2486" t="inlineStr">
        <is>
          <t>MAKE OVER</t>
        </is>
      </c>
      <c r="AK2486" t="n">
        <v>9</v>
      </c>
      <c r="AL2486" t="inlineStr">
        <is>
          <t>Miss Glam Jambi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"8993137721233"</f>
        <v/>
      </c>
      <c r="C2487" t="inlineStr">
        <is>
          <t>MAKEOVER Powerstay Liquid Foundation Oil Control W22 Warm Ivory 40ml</t>
        </is>
      </c>
      <c r="D2487" t="inlineStr">
        <is>
          <t>Miss Glam Jambi</t>
        </is>
      </c>
      <c r="E2487" t="n">
        <v>5</v>
      </c>
      <c r="F2487" t="n">
        <v>0.1023</v>
      </c>
      <c r="G2487" t="n">
        <v>0.66</v>
      </c>
      <c r="H2487" t="n">
        <v>2</v>
      </c>
      <c r="I2487" t="n">
        <v>7</v>
      </c>
      <c r="J2487" t="n">
        <v>3</v>
      </c>
      <c r="K2487" t="n">
        <v>0</v>
      </c>
      <c r="L2487" t="n">
        <v>117643</v>
      </c>
      <c r="M2487" t="n">
        <v>174000</v>
      </c>
      <c r="N2487" t="n">
        <v>33</v>
      </c>
      <c r="O2487" t="n">
        <v>0.33</v>
      </c>
      <c r="P2487" t="n">
        <v>1</v>
      </c>
      <c r="Q2487" t="n">
        <v>0.02</v>
      </c>
      <c r="R2487" t="n">
        <v>1</v>
      </c>
      <c r="S2487" t="n">
        <v>17800.2</v>
      </c>
      <c r="T2487" t="n">
        <v>5</v>
      </c>
      <c r="U2487" t="n">
        <v>6</v>
      </c>
      <c r="V2487" t="n">
        <v>30</v>
      </c>
      <c r="W2487" t="n">
        <v>4</v>
      </c>
      <c r="X2487" t="n">
        <v>48.87585532746823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11590</v>
      </c>
      <c r="AG2487" t="n">
        <v>2141</v>
      </c>
      <c r="AH2487" t="inlineStr">
        <is>
          <t>PT. PARAMA GLOBAL INSPIRA - PPN (JMB)</t>
        </is>
      </c>
      <c r="AI2487" t="n">
        <v>103</v>
      </c>
      <c r="AJ2487" t="inlineStr">
        <is>
          <t>MAKE OVER</t>
        </is>
      </c>
      <c r="AK2487" t="n">
        <v>9</v>
      </c>
      <c r="AL2487" t="inlineStr">
        <is>
          <t>Miss Glam Jambi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"8993137721509"</f>
        <v/>
      </c>
      <c r="C2488" t="inlineStr">
        <is>
          <t>MAKEOVER Powerstay Matte Powder Foundation 24H Oil Control C21 Pink Ivory 10g</t>
        </is>
      </c>
      <c r="D2488" t="inlineStr">
        <is>
          <t>Miss Glam Jambi</t>
        </is>
      </c>
      <c r="E2488" t="n">
        <v>3</v>
      </c>
      <c r="F2488" t="n">
        <v>0.08</v>
      </c>
      <c r="G2488" t="n">
        <v>1</v>
      </c>
      <c r="H2488" t="n">
        <v>2</v>
      </c>
      <c r="I2488" t="n">
        <v>7</v>
      </c>
      <c r="J2488" t="n">
        <v>3</v>
      </c>
      <c r="K2488" t="n">
        <v>0</v>
      </c>
      <c r="L2488" t="n">
        <v>150000</v>
      </c>
      <c r="M2488" t="n">
        <v>195000</v>
      </c>
      <c r="N2488" t="n">
        <v>33</v>
      </c>
      <c r="O2488" t="n">
        <v>0.33</v>
      </c>
      <c r="P2488" t="n">
        <v>0</v>
      </c>
      <c r="Q2488" t="n">
        <v>0.08</v>
      </c>
      <c r="R2488" t="n">
        <v>1</v>
      </c>
      <c r="S2488" t="n">
        <v>15600</v>
      </c>
      <c r="T2488" t="n">
        <v>7</v>
      </c>
      <c r="U2488" t="n">
        <v>8</v>
      </c>
      <c r="V2488" t="n">
        <v>30</v>
      </c>
      <c r="W2488" t="n">
        <v>3</v>
      </c>
      <c r="X2488" t="n">
        <v>37.5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11590</v>
      </c>
      <c r="AG2488" t="n">
        <v>2141</v>
      </c>
      <c r="AH2488" t="inlineStr">
        <is>
          <t>PT. PARAMA GLOBAL INSPIRA - PPN (JMB)</t>
        </is>
      </c>
      <c r="AI2488" t="n">
        <v>103</v>
      </c>
      <c r="AJ2488" t="inlineStr">
        <is>
          <t>MAKE OVER</t>
        </is>
      </c>
      <c r="AK2488" t="n">
        <v>9</v>
      </c>
      <c r="AL2488" t="inlineStr">
        <is>
          <t>Miss Glam Jambi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"8993137721516"</f>
        <v/>
      </c>
      <c r="C2489" t="inlineStr">
        <is>
          <t>MAKEOVER Powerstay Matte Powder Foundation 24H Oil Control W33 Honey Beige 10g</t>
        </is>
      </c>
      <c r="D2489" t="inlineStr">
        <is>
          <t>Miss Glam Jambi</t>
        </is>
      </c>
      <c r="E2489" t="n">
        <v>3</v>
      </c>
      <c r="F2489" t="n">
        <v>0.1287</v>
      </c>
      <c r="G2489" t="n">
        <v>0.99</v>
      </c>
      <c r="H2489" t="n">
        <v>2</v>
      </c>
      <c r="I2489" t="n">
        <v>7</v>
      </c>
      <c r="J2489" t="n">
        <v>3</v>
      </c>
      <c r="K2489" t="n">
        <v>3</v>
      </c>
      <c r="L2489" t="n">
        <v>150000</v>
      </c>
      <c r="M2489" t="n">
        <v>195000</v>
      </c>
      <c r="N2489" t="n">
        <v>33</v>
      </c>
      <c r="O2489" t="n">
        <v>0.33</v>
      </c>
      <c r="P2489" t="n">
        <v>1</v>
      </c>
      <c r="Q2489" t="n">
        <v>0.05</v>
      </c>
      <c r="R2489" t="n">
        <v>1</v>
      </c>
      <c r="S2489" t="n">
        <v>25096.5</v>
      </c>
      <c r="T2489" t="n">
        <v>7</v>
      </c>
      <c r="U2489" t="n">
        <v>8</v>
      </c>
      <c r="V2489" t="n">
        <v>30</v>
      </c>
      <c r="W2489" t="n">
        <v>4</v>
      </c>
      <c r="X2489" t="n">
        <v>23.31002331002331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11590</v>
      </c>
      <c r="AG2489" t="n">
        <v>2141</v>
      </c>
      <c r="AH2489" t="inlineStr">
        <is>
          <t>PT. PARAMA GLOBAL INSPIRA - PPN (JMB)</t>
        </is>
      </c>
      <c r="AI2489" t="n">
        <v>103</v>
      </c>
      <c r="AJ2489" t="inlineStr">
        <is>
          <t>MAKE OVER</t>
        </is>
      </c>
      <c r="AK2489" t="n">
        <v>9</v>
      </c>
      <c r="AL2489" t="inlineStr">
        <is>
          <t>Miss Glam Jambi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"8993137721523"</f>
        <v/>
      </c>
      <c r="C2490" t="inlineStr">
        <is>
          <t>MAKEOVER Powerstay Matte Powder Foundation N30 12gr</t>
        </is>
      </c>
      <c r="D2490" t="inlineStr">
        <is>
          <t>Miss Glam Jambi</t>
        </is>
      </c>
      <c r="E2490" t="n">
        <v>7</v>
      </c>
      <c r="F2490" t="n">
        <v>0.05</v>
      </c>
      <c r="G2490" t="n">
        <v>2</v>
      </c>
      <c r="H2490" t="n">
        <v>2</v>
      </c>
      <c r="I2490" t="n">
        <v>7</v>
      </c>
      <c r="J2490" t="n">
        <v>3</v>
      </c>
      <c r="K2490" t="n">
        <v>0</v>
      </c>
      <c r="L2490" t="n">
        <v>150286</v>
      </c>
      <c r="M2490" t="n">
        <v>195000</v>
      </c>
      <c r="N2490" t="n">
        <v>33</v>
      </c>
      <c r="O2490" t="n">
        <v>0.33</v>
      </c>
      <c r="P2490" t="n">
        <v>0</v>
      </c>
      <c r="Q2490" t="n">
        <v>0.05</v>
      </c>
      <c r="R2490" t="n">
        <v>2</v>
      </c>
      <c r="S2490" t="n">
        <v>9750</v>
      </c>
      <c r="T2490" t="n">
        <v>14</v>
      </c>
      <c r="U2490" t="n">
        <v>15</v>
      </c>
      <c r="V2490" t="n">
        <v>30</v>
      </c>
      <c r="W2490" t="n">
        <v>2</v>
      </c>
      <c r="X2490" t="n">
        <v>140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11590</v>
      </c>
      <c r="AG2490" t="n">
        <v>2141</v>
      </c>
      <c r="AH2490" t="inlineStr">
        <is>
          <t>PT. PARAMA GLOBAL INSPIRA - PPN (JMB)</t>
        </is>
      </c>
      <c r="AI2490" t="n">
        <v>103</v>
      </c>
      <c r="AJ2490" t="inlineStr">
        <is>
          <t>MAKE OVER</t>
        </is>
      </c>
      <c r="AK2490" t="n">
        <v>9</v>
      </c>
      <c r="AL2490" t="inlineStr">
        <is>
          <t>Miss Glam Jambi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"8993137721561"</f>
        <v/>
      </c>
      <c r="C2491" t="inlineStr">
        <is>
          <t>MAKEOVER Powerstay Matte Powder Foundation W30 12gr</t>
        </is>
      </c>
      <c r="D2491" t="inlineStr">
        <is>
          <t>Miss Glam Jambi</t>
        </is>
      </c>
      <c r="E2491" t="n">
        <v>3</v>
      </c>
      <c r="F2491" t="n">
        <v>0.0495</v>
      </c>
      <c r="G2491" t="n">
        <v>0.66</v>
      </c>
      <c r="H2491" t="n">
        <v>2</v>
      </c>
      <c r="I2491" t="n">
        <v>7</v>
      </c>
      <c r="J2491" t="n">
        <v>3</v>
      </c>
      <c r="K2491" t="n">
        <v>0</v>
      </c>
      <c r="L2491" t="n">
        <v>152000</v>
      </c>
      <c r="M2491" t="n">
        <v>195000</v>
      </c>
      <c r="N2491" t="n">
        <v>33</v>
      </c>
      <c r="O2491" t="n">
        <v>0.33</v>
      </c>
      <c r="P2491" t="n">
        <v>1</v>
      </c>
      <c r="Q2491" t="n">
        <v>0.03</v>
      </c>
      <c r="R2491" t="n">
        <v>1</v>
      </c>
      <c r="S2491" t="n">
        <v>9652.5</v>
      </c>
      <c r="T2491" t="n">
        <v>5</v>
      </c>
      <c r="U2491" t="n">
        <v>6</v>
      </c>
      <c r="V2491" t="n">
        <v>30</v>
      </c>
      <c r="W2491" t="n">
        <v>2</v>
      </c>
      <c r="X2491" t="n">
        <v>60.6060606060606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11590</v>
      </c>
      <c r="AG2491" t="n">
        <v>2141</v>
      </c>
      <c r="AH2491" t="inlineStr">
        <is>
          <t>PT. PARAMA GLOBAL INSPIRA - PPN (JMB)</t>
        </is>
      </c>
      <c r="AI2491" t="n">
        <v>103</v>
      </c>
      <c r="AJ2491" t="inlineStr">
        <is>
          <t>MAKE OVER</t>
        </is>
      </c>
      <c r="AK2491" t="n">
        <v>9</v>
      </c>
      <c r="AL2491" t="inlineStr">
        <is>
          <t>Miss Glam Jambi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"8993137721530"</f>
        <v/>
      </c>
      <c r="C2492" t="inlineStr">
        <is>
          <t>MAKEOVER Powerstay Matte Powder Foundation W42 12gr</t>
        </is>
      </c>
      <c r="D2492" t="inlineStr">
        <is>
          <t>Miss Glam Jambi</t>
        </is>
      </c>
      <c r="E2492" t="n">
        <v>2</v>
      </c>
      <c r="F2492" t="n">
        <v>0.0165</v>
      </c>
      <c r="G2492" t="n">
        <v>0.33</v>
      </c>
      <c r="H2492" t="n">
        <v>2</v>
      </c>
      <c r="I2492" t="n">
        <v>7</v>
      </c>
      <c r="J2492" t="n">
        <v>3</v>
      </c>
      <c r="K2492" t="n">
        <v>0</v>
      </c>
      <c r="L2492" t="n">
        <v>152000</v>
      </c>
      <c r="M2492" t="n">
        <v>195000</v>
      </c>
      <c r="N2492" t="n">
        <v>33</v>
      </c>
      <c r="O2492" t="n">
        <v>0.33</v>
      </c>
      <c r="P2492" t="n">
        <v>1</v>
      </c>
      <c r="Q2492" t="n">
        <v>0.03</v>
      </c>
      <c r="R2492" t="n">
        <v>1</v>
      </c>
      <c r="S2492" t="n">
        <v>3217.5</v>
      </c>
      <c r="T2492" t="n">
        <v>3</v>
      </c>
      <c r="U2492" t="n">
        <v>4</v>
      </c>
      <c r="V2492" t="n">
        <v>30</v>
      </c>
      <c r="W2492" t="n">
        <v>1</v>
      </c>
      <c r="X2492" t="n">
        <v>121.2121212121212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11590</v>
      </c>
      <c r="AG2492" t="n">
        <v>2141</v>
      </c>
      <c r="AH2492" t="inlineStr">
        <is>
          <t>PT. PARAMA GLOBAL INSPIRA - PPN (JMB)</t>
        </is>
      </c>
      <c r="AI2492" t="n">
        <v>103</v>
      </c>
      <c r="AJ2492" t="inlineStr">
        <is>
          <t>MAKE OVER</t>
        </is>
      </c>
      <c r="AK2492" t="n">
        <v>9</v>
      </c>
      <c r="AL2492" t="inlineStr">
        <is>
          <t>Miss Glam Jambi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"8993137699624"</f>
        <v/>
      </c>
      <c r="C2493" t="inlineStr">
        <is>
          <t>MAKEOVER Powerstay Mattifying Transparent Powder 11gr</t>
        </is>
      </c>
      <c r="D2493" t="inlineStr">
        <is>
          <t>Miss Glam Jambi</t>
        </is>
      </c>
      <c r="E2493" t="n">
        <v>2</v>
      </c>
      <c r="F2493" t="n">
        <v>0.009900000000000001</v>
      </c>
      <c r="G2493" t="n">
        <v>0.33</v>
      </c>
      <c r="H2493" t="n">
        <v>2</v>
      </c>
      <c r="I2493" t="n">
        <v>7</v>
      </c>
      <c r="J2493" t="n">
        <v>3</v>
      </c>
      <c r="K2493" t="n">
        <v>0</v>
      </c>
      <c r="L2493" t="n">
        <v>108060</v>
      </c>
      <c r="M2493" t="n">
        <v>135000</v>
      </c>
      <c r="N2493" t="n">
        <v>33</v>
      </c>
      <c r="O2493" t="n">
        <v>0.33</v>
      </c>
      <c r="P2493" t="n">
        <v>1</v>
      </c>
      <c r="Q2493" t="n">
        <v>0.02</v>
      </c>
      <c r="R2493" t="n">
        <v>1</v>
      </c>
      <c r="S2493" t="n">
        <v>1336.5</v>
      </c>
      <c r="T2493" t="n">
        <v>3</v>
      </c>
      <c r="U2493" t="n">
        <v>4</v>
      </c>
      <c r="V2493" t="n">
        <v>30</v>
      </c>
      <c r="W2493" t="n">
        <v>1</v>
      </c>
      <c r="X2493" t="n">
        <v>202.020202020202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11590</v>
      </c>
      <c r="AG2493" t="n">
        <v>2141</v>
      </c>
      <c r="AH2493" t="inlineStr">
        <is>
          <t>PT. PARAMA GLOBAL INSPIRA - PPN (JMB)</t>
        </is>
      </c>
      <c r="AI2493" t="n">
        <v>103</v>
      </c>
      <c r="AJ2493" t="inlineStr">
        <is>
          <t>MAKE OVER</t>
        </is>
      </c>
      <c r="AK2493" t="n">
        <v>9</v>
      </c>
      <c r="AL2493" t="inlineStr">
        <is>
          <t>Miss Glam Jambi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"8993137736237"</f>
        <v/>
      </c>
      <c r="C2494" t="inlineStr">
        <is>
          <t>MAKEOVER Powerstay Micro Brow Sculptor 24H Ultra Precision 1.0 Light Brown 0.07 gr</t>
        </is>
      </c>
      <c r="D2494" t="inlineStr">
        <is>
          <t>Miss Glam Jambi</t>
        </is>
      </c>
      <c r="E2494" t="n">
        <v>2</v>
      </c>
      <c r="F2494" t="n">
        <v>0.009900000000000001</v>
      </c>
      <c r="G2494" t="n">
        <v>0.66</v>
      </c>
      <c r="H2494" t="n">
        <v>2</v>
      </c>
      <c r="I2494" t="n">
        <v>7</v>
      </c>
      <c r="J2494" t="n">
        <v>3</v>
      </c>
      <c r="K2494" t="n">
        <v>0</v>
      </c>
      <c r="L2494" t="n">
        <v>94500</v>
      </c>
      <c r="M2494" t="n">
        <v>119000</v>
      </c>
      <c r="N2494" t="n">
        <v>33</v>
      </c>
      <c r="O2494" t="n">
        <v>0.33</v>
      </c>
      <c r="P2494" t="n">
        <v>1</v>
      </c>
      <c r="Q2494" t="n">
        <v>0.05</v>
      </c>
      <c r="R2494" t="n">
        <v>1</v>
      </c>
      <c r="S2494" t="n">
        <v>1178.1</v>
      </c>
      <c r="T2494" t="n">
        <v>5</v>
      </c>
      <c r="U2494" t="n">
        <v>6</v>
      </c>
      <c r="V2494" t="n">
        <v>30</v>
      </c>
      <c r="W2494" t="n">
        <v>1</v>
      </c>
      <c r="X2494" t="n">
        <v>202.020202020202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11590</v>
      </c>
      <c r="AG2494" t="n">
        <v>2141</v>
      </c>
      <c r="AH2494" t="inlineStr">
        <is>
          <t>PT. PARAMA GLOBAL INSPIRA - PPN (JMB)</t>
        </is>
      </c>
      <c r="AI2494" t="n">
        <v>103</v>
      </c>
      <c r="AJ2494" t="inlineStr">
        <is>
          <t>MAKE OVER</t>
        </is>
      </c>
      <c r="AK2494" t="n">
        <v>9</v>
      </c>
      <c r="AL2494" t="inlineStr">
        <is>
          <t>Miss Glam Jambi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"8993137736244"</f>
        <v/>
      </c>
      <c r="C2495" t="inlineStr">
        <is>
          <t>MAKEOVER Powerstay Micro Brow Sculptor 24H Ultra Precision 2.0 Dark Brown 0.07gr</t>
        </is>
      </c>
      <c r="D2495" t="inlineStr">
        <is>
          <t>Miss Glam Jambi</t>
        </is>
      </c>
      <c r="E2495" t="n">
        <v>4</v>
      </c>
      <c r="F2495" t="n">
        <v>0.066</v>
      </c>
      <c r="G2495" t="n">
        <v>0.66</v>
      </c>
      <c r="H2495" t="n">
        <v>2</v>
      </c>
      <c r="I2495" t="n">
        <v>7</v>
      </c>
      <c r="J2495" t="n">
        <v>3</v>
      </c>
      <c r="K2495" t="n">
        <v>0</v>
      </c>
      <c r="L2495" t="n">
        <v>78750</v>
      </c>
      <c r="M2495" t="n">
        <v>119000</v>
      </c>
      <c r="N2495" t="n">
        <v>33</v>
      </c>
      <c r="O2495" t="n">
        <v>0.33</v>
      </c>
      <c r="P2495" t="n">
        <v>1</v>
      </c>
      <c r="Q2495" t="n">
        <v>0.2</v>
      </c>
      <c r="R2495" t="n">
        <v>2</v>
      </c>
      <c r="S2495" t="n">
        <v>7854</v>
      </c>
      <c r="T2495" t="n">
        <v>5</v>
      </c>
      <c r="U2495" t="n">
        <v>6</v>
      </c>
      <c r="V2495" t="n">
        <v>30</v>
      </c>
      <c r="W2495" t="n">
        <v>2</v>
      </c>
      <c r="X2495" t="n">
        <v>60.6060606060606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11590</v>
      </c>
      <c r="AG2495" t="n">
        <v>2141</v>
      </c>
      <c r="AH2495" t="inlineStr">
        <is>
          <t>PT. PARAMA GLOBAL INSPIRA - PPN (JMB)</t>
        </is>
      </c>
      <c r="AI2495" t="n">
        <v>103</v>
      </c>
      <c r="AJ2495" t="inlineStr">
        <is>
          <t>MAKE OVER</t>
        </is>
      </c>
      <c r="AK2495" t="n">
        <v>9</v>
      </c>
      <c r="AL2495" t="inlineStr">
        <is>
          <t>Miss Glam Jambi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"8993137736251"</f>
        <v/>
      </c>
      <c r="C2496" t="inlineStr">
        <is>
          <t>MAKEOVER Powerstay Micro Brow Sculptor 24H Ultra Precision 3.5 Deep Gray 0.07 gr</t>
        </is>
      </c>
      <c r="D2496" t="inlineStr">
        <is>
          <t>Miss Glam Jambi</t>
        </is>
      </c>
      <c r="E2496" t="n">
        <v>4</v>
      </c>
      <c r="F2496" t="n">
        <v>0.06270000000000001</v>
      </c>
      <c r="G2496" t="n">
        <v>0.99</v>
      </c>
      <c r="H2496" t="n">
        <v>2</v>
      </c>
      <c r="I2496" t="n">
        <v>7</v>
      </c>
      <c r="J2496" t="n">
        <v>3</v>
      </c>
      <c r="K2496" t="n">
        <v>0</v>
      </c>
      <c r="L2496" t="n">
        <v>72900</v>
      </c>
      <c r="M2496" t="n">
        <v>119000</v>
      </c>
      <c r="N2496" t="n">
        <v>33</v>
      </c>
      <c r="O2496" t="n">
        <v>0.33</v>
      </c>
      <c r="P2496" t="n">
        <v>1</v>
      </c>
      <c r="Q2496" t="n">
        <v>0.05</v>
      </c>
      <c r="R2496" t="n">
        <v>1</v>
      </c>
      <c r="S2496" t="n">
        <v>7461.300000000001</v>
      </c>
      <c r="T2496" t="n">
        <v>7</v>
      </c>
      <c r="U2496" t="n">
        <v>8</v>
      </c>
      <c r="V2496" t="n">
        <v>30</v>
      </c>
      <c r="W2496" t="n">
        <v>2</v>
      </c>
      <c r="X2496" t="n">
        <v>63.79585326953747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11590</v>
      </c>
      <c r="AG2496" t="n">
        <v>2141</v>
      </c>
      <c r="AH2496" t="inlineStr">
        <is>
          <t>PT. PARAMA GLOBAL INSPIRA - PPN (JMB)</t>
        </is>
      </c>
      <c r="AI2496" t="n">
        <v>103</v>
      </c>
      <c r="AJ2496" t="inlineStr">
        <is>
          <t>MAKE OVER</t>
        </is>
      </c>
      <c r="AK2496" t="n">
        <v>9</v>
      </c>
      <c r="AL2496" t="inlineStr">
        <is>
          <t>Miss Glam Jambi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"8993137736671"</f>
        <v/>
      </c>
      <c r="C2497" t="inlineStr">
        <is>
          <t>MAKEOVER Powerstay Micro Brow Volumizer Mascara 24H Defined Volume 2.0 Dark Brown 5 gr</t>
        </is>
      </c>
      <c r="D2497" t="inlineStr">
        <is>
          <t>Miss Glam Jambi</t>
        </is>
      </c>
      <c r="E2497" t="n">
        <v>5</v>
      </c>
      <c r="F2497" t="n">
        <v>0.0462</v>
      </c>
      <c r="G2497" t="n">
        <v>0.66</v>
      </c>
      <c r="H2497" t="n">
        <v>2</v>
      </c>
      <c r="I2497" t="n">
        <v>7</v>
      </c>
      <c r="J2497" t="n">
        <v>3</v>
      </c>
      <c r="K2497" t="n">
        <v>0</v>
      </c>
      <c r="L2497" t="n">
        <v>95244</v>
      </c>
      <c r="M2497" t="n">
        <v>123000</v>
      </c>
      <c r="N2497" t="n">
        <v>33</v>
      </c>
      <c r="O2497" t="n">
        <v>0.33</v>
      </c>
      <c r="P2497" t="n">
        <v>1</v>
      </c>
      <c r="Q2497" t="n">
        <v>0.15</v>
      </c>
      <c r="R2497" t="n">
        <v>2</v>
      </c>
      <c r="S2497" t="n">
        <v>5682.6</v>
      </c>
      <c r="T2497" t="n">
        <v>5</v>
      </c>
      <c r="U2497" t="n">
        <v>6</v>
      </c>
      <c r="V2497" t="n">
        <v>30</v>
      </c>
      <c r="W2497" t="n">
        <v>2</v>
      </c>
      <c r="X2497" t="n">
        <v>108.2251082251082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11590</v>
      </c>
      <c r="AG2497" t="n">
        <v>2141</v>
      </c>
      <c r="AH2497" t="inlineStr">
        <is>
          <t>PT. PARAMA GLOBAL INSPIRA - PPN (JMB)</t>
        </is>
      </c>
      <c r="AI2497" t="n">
        <v>103</v>
      </c>
      <c r="AJ2497" t="inlineStr">
        <is>
          <t>MAKE OVER</t>
        </is>
      </c>
      <c r="AK2497" t="n">
        <v>9</v>
      </c>
      <c r="AL2497" t="inlineStr">
        <is>
          <t>Miss Glam Jambi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"8993137736688"</f>
        <v/>
      </c>
      <c r="C2498" t="inlineStr">
        <is>
          <t>MAKEOVER Powerstay Micro Brow Volumizer Mascara 24H Defined Volume 3.5 Deep Gray 5 gr</t>
        </is>
      </c>
      <c r="D2498" t="inlineStr">
        <is>
          <t>Miss Glam Jambi</t>
        </is>
      </c>
      <c r="E2498" t="n">
        <v>2</v>
      </c>
      <c r="F2498" t="n">
        <v>0.0231</v>
      </c>
      <c r="G2498" t="n">
        <v>0.33</v>
      </c>
      <c r="H2498" t="n">
        <v>2</v>
      </c>
      <c r="I2498" t="n">
        <v>7</v>
      </c>
      <c r="J2498" t="n">
        <v>3</v>
      </c>
      <c r="K2498" t="n">
        <v>0</v>
      </c>
      <c r="L2498" t="n">
        <v>95250</v>
      </c>
      <c r="M2498" t="n">
        <v>123000</v>
      </c>
      <c r="N2498" t="n">
        <v>33</v>
      </c>
      <c r="O2498" t="n">
        <v>0.33</v>
      </c>
      <c r="P2498" t="n">
        <v>1</v>
      </c>
      <c r="Q2498" t="n">
        <v>0.02</v>
      </c>
      <c r="R2498" t="n">
        <v>1</v>
      </c>
      <c r="S2498" t="n">
        <v>2841.3</v>
      </c>
      <c r="T2498" t="n">
        <v>3</v>
      </c>
      <c r="U2498" t="n">
        <v>4</v>
      </c>
      <c r="V2498" t="n">
        <v>30</v>
      </c>
      <c r="W2498" t="n">
        <v>1</v>
      </c>
      <c r="X2498" t="n">
        <v>86.58008658008657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11590</v>
      </c>
      <c r="AG2498" t="n">
        <v>2141</v>
      </c>
      <c r="AH2498" t="inlineStr">
        <is>
          <t>PT. PARAMA GLOBAL INSPIRA - PPN (JMB)</t>
        </is>
      </c>
      <c r="AI2498" t="n">
        <v>103</v>
      </c>
      <c r="AJ2498" t="inlineStr">
        <is>
          <t>MAKE OVER</t>
        </is>
      </c>
      <c r="AK2498" t="n">
        <v>9</v>
      </c>
      <c r="AL2498" t="inlineStr">
        <is>
          <t>Miss Glam Jambi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"8993137700764"</f>
        <v/>
      </c>
      <c r="C2499" t="inlineStr">
        <is>
          <t>MAKEOVER Powerstay Total Cover Liquid Concealer 01 Light 6.5ml</t>
        </is>
      </c>
      <c r="D2499" t="inlineStr">
        <is>
          <t>Miss Glam Jambi</t>
        </is>
      </c>
      <c r="E2499" t="n">
        <v>6</v>
      </c>
      <c r="F2499" t="n">
        <v>0.07000000000000001</v>
      </c>
      <c r="G2499" t="n">
        <v>1</v>
      </c>
      <c r="H2499" t="n">
        <v>2</v>
      </c>
      <c r="I2499" t="n">
        <v>7</v>
      </c>
      <c r="J2499" t="n">
        <v>3</v>
      </c>
      <c r="K2499" t="n">
        <v>0</v>
      </c>
      <c r="L2499" t="n">
        <v>84750</v>
      </c>
      <c r="M2499" t="n">
        <v>106000</v>
      </c>
      <c r="N2499" t="n">
        <v>33</v>
      </c>
      <c r="O2499" t="n">
        <v>0.33</v>
      </c>
      <c r="P2499" t="n">
        <v>0</v>
      </c>
      <c r="Q2499" t="n">
        <v>0.07000000000000001</v>
      </c>
      <c r="R2499" t="n">
        <v>1</v>
      </c>
      <c r="S2499" t="n">
        <v>7420.000000000001</v>
      </c>
      <c r="T2499" t="n">
        <v>7</v>
      </c>
      <c r="U2499" t="n">
        <v>8</v>
      </c>
      <c r="V2499" t="n">
        <v>30</v>
      </c>
      <c r="W2499" t="n">
        <v>3</v>
      </c>
      <c r="X2499" t="n">
        <v>85.71428571428571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11590</v>
      </c>
      <c r="AG2499" t="n">
        <v>2141</v>
      </c>
      <c r="AH2499" t="inlineStr">
        <is>
          <t>PT. PARAMA GLOBAL INSPIRA - PPN (JMB)</t>
        </is>
      </c>
      <c r="AI2499" t="n">
        <v>103</v>
      </c>
      <c r="AJ2499" t="inlineStr">
        <is>
          <t>MAKE OVER</t>
        </is>
      </c>
      <c r="AK2499" t="n">
        <v>9</v>
      </c>
      <c r="AL2499" t="inlineStr">
        <is>
          <t>Miss Glam Jambi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"8993137704953"</f>
        <v/>
      </c>
      <c r="C2500" t="inlineStr">
        <is>
          <t>MAKEOVER Powerstay Total Cover Matte Cream Foundation N10</t>
        </is>
      </c>
      <c r="D2500" t="inlineStr">
        <is>
          <t>Miss Glam Jambi</t>
        </is>
      </c>
      <c r="E2500" t="n">
        <v>6</v>
      </c>
      <c r="F2500" t="n">
        <v>0.02</v>
      </c>
      <c r="G2500" t="n">
        <v>1</v>
      </c>
      <c r="H2500" t="n">
        <v>2</v>
      </c>
      <c r="I2500" t="n">
        <v>7</v>
      </c>
      <c r="J2500" t="n">
        <v>3</v>
      </c>
      <c r="K2500" t="n">
        <v>0</v>
      </c>
      <c r="L2500" t="n">
        <v>109500</v>
      </c>
      <c r="M2500" t="n">
        <v>143000</v>
      </c>
      <c r="N2500" t="n">
        <v>33</v>
      </c>
      <c r="O2500" t="n">
        <v>0.33</v>
      </c>
      <c r="P2500" t="n">
        <v>0</v>
      </c>
      <c r="Q2500" t="n">
        <v>0.02</v>
      </c>
      <c r="R2500" t="n">
        <v>1</v>
      </c>
      <c r="S2500" t="n">
        <v>2860</v>
      </c>
      <c r="T2500" t="n">
        <v>7</v>
      </c>
      <c r="U2500" t="n">
        <v>8</v>
      </c>
      <c r="V2500" t="n">
        <v>30</v>
      </c>
      <c r="W2500" t="n">
        <v>1</v>
      </c>
      <c r="X2500" t="n">
        <v>300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11590</v>
      </c>
      <c r="AG2500" t="n">
        <v>2141</v>
      </c>
      <c r="AH2500" t="inlineStr">
        <is>
          <t>PT. PARAMA GLOBAL INSPIRA - PPN (JMB)</t>
        </is>
      </c>
      <c r="AI2500" t="n">
        <v>103</v>
      </c>
      <c r="AJ2500" t="inlineStr">
        <is>
          <t>MAKE OVER</t>
        </is>
      </c>
      <c r="AK2500" t="n">
        <v>9</v>
      </c>
      <c r="AL2500" t="inlineStr">
        <is>
          <t>Miss Glam Jambi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"8993137704960"</f>
        <v/>
      </c>
      <c r="C2501" t="inlineStr">
        <is>
          <t>MAKEOVER Powerstay Total Cover Matte Cream Foundation W22 Warm Ivory 12gr</t>
        </is>
      </c>
      <c r="D2501" t="inlineStr">
        <is>
          <t>Miss Glam Jambi</t>
        </is>
      </c>
      <c r="E2501" t="n">
        <v>6</v>
      </c>
      <c r="F2501" t="n">
        <v>0.0231</v>
      </c>
      <c r="G2501" t="n">
        <v>0.33</v>
      </c>
      <c r="H2501" t="n">
        <v>2</v>
      </c>
      <c r="I2501" t="n">
        <v>7</v>
      </c>
      <c r="J2501" t="n">
        <v>3</v>
      </c>
      <c r="K2501" t="n">
        <v>0</v>
      </c>
      <c r="L2501" t="n">
        <v>109500</v>
      </c>
      <c r="M2501" t="n">
        <v>143000</v>
      </c>
      <c r="N2501" t="n">
        <v>33</v>
      </c>
      <c r="O2501" t="n">
        <v>0.33</v>
      </c>
      <c r="P2501" t="n">
        <v>1</v>
      </c>
      <c r="Q2501" t="n">
        <v>0.02</v>
      </c>
      <c r="R2501" t="n">
        <v>1</v>
      </c>
      <c r="S2501" t="n">
        <v>3303.3</v>
      </c>
      <c r="T2501" t="n">
        <v>3</v>
      </c>
      <c r="U2501" t="n">
        <v>4</v>
      </c>
      <c r="V2501" t="n">
        <v>30</v>
      </c>
      <c r="W2501" t="n">
        <v>1</v>
      </c>
      <c r="X2501" t="n">
        <v>259.7402597402597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11590</v>
      </c>
      <c r="AG2501" t="n">
        <v>2141</v>
      </c>
      <c r="AH2501" t="inlineStr">
        <is>
          <t>PT. PARAMA GLOBAL INSPIRA - PPN (JMB)</t>
        </is>
      </c>
      <c r="AI2501" t="n">
        <v>103</v>
      </c>
      <c r="AJ2501" t="inlineStr">
        <is>
          <t>MAKE OVER</t>
        </is>
      </c>
      <c r="AK2501" t="n">
        <v>9</v>
      </c>
      <c r="AL2501" t="inlineStr">
        <is>
          <t>Miss Glam Jambi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"8993137706018"</f>
        <v/>
      </c>
      <c r="C2502" t="inlineStr">
        <is>
          <t>MAKEOVER Powerstay Transferproof Matte Lip Cream B01 No.1 7gr</t>
        </is>
      </c>
      <c r="D2502" t="inlineStr">
        <is>
          <t>Miss Glam Jambi</t>
        </is>
      </c>
      <c r="E2502" t="n">
        <v>2</v>
      </c>
      <c r="F2502" t="n">
        <v>0.0495</v>
      </c>
      <c r="G2502" t="n">
        <v>0.33</v>
      </c>
      <c r="H2502" t="n">
        <v>2</v>
      </c>
      <c r="I2502" t="n">
        <v>7</v>
      </c>
      <c r="J2502" t="n">
        <v>3</v>
      </c>
      <c r="K2502" t="n">
        <v>0</v>
      </c>
      <c r="L2502" t="n">
        <v>98800</v>
      </c>
      <c r="M2502" t="n">
        <v>129000</v>
      </c>
      <c r="N2502" t="n">
        <v>33</v>
      </c>
      <c r="O2502" t="n">
        <v>0.33</v>
      </c>
      <c r="P2502" t="n">
        <v>1</v>
      </c>
      <c r="Q2502" t="n">
        <v>0.03</v>
      </c>
      <c r="R2502" t="n">
        <v>1</v>
      </c>
      <c r="S2502" t="n">
        <v>6385.5</v>
      </c>
      <c r="T2502" t="n">
        <v>3</v>
      </c>
      <c r="U2502" t="n">
        <v>4</v>
      </c>
      <c r="V2502" t="n">
        <v>30</v>
      </c>
      <c r="W2502" t="n">
        <v>2</v>
      </c>
      <c r="X2502" t="n">
        <v>40.4040404040404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11590</v>
      </c>
      <c r="AG2502" t="n">
        <v>2141</v>
      </c>
      <c r="AH2502" t="inlineStr">
        <is>
          <t>PT. PARAMA GLOBAL INSPIRA - PPN (JMB)</t>
        </is>
      </c>
      <c r="AI2502" t="n">
        <v>103</v>
      </c>
      <c r="AJ2502" t="inlineStr">
        <is>
          <t>MAKE OVER</t>
        </is>
      </c>
      <c r="AK2502" t="n">
        <v>9</v>
      </c>
      <c r="AL2502" t="inlineStr">
        <is>
          <t>Miss Glam Jambi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"8993137706025"</f>
        <v/>
      </c>
      <c r="C2503" t="inlineStr">
        <is>
          <t>MAKEOVER Powerstay Transferproof Matte Lip Cream B02 Lucky 7gr</t>
        </is>
      </c>
      <c r="D2503" t="inlineStr">
        <is>
          <t>Miss Glam Jambi</t>
        </is>
      </c>
      <c r="E2503" t="n">
        <v>3</v>
      </c>
      <c r="F2503" t="n">
        <v>0.02</v>
      </c>
      <c r="G2503" t="n">
        <v>1</v>
      </c>
      <c r="H2503" t="n">
        <v>2</v>
      </c>
      <c r="I2503" t="n">
        <v>7</v>
      </c>
      <c r="J2503" t="n">
        <v>3</v>
      </c>
      <c r="K2503" t="n">
        <v>0</v>
      </c>
      <c r="L2503" t="n">
        <v>98800</v>
      </c>
      <c r="M2503" t="n">
        <v>129000</v>
      </c>
      <c r="N2503" t="n">
        <v>33</v>
      </c>
      <c r="O2503" t="n">
        <v>0.33</v>
      </c>
      <c r="P2503" t="n">
        <v>0</v>
      </c>
      <c r="Q2503" t="n">
        <v>0.02</v>
      </c>
      <c r="R2503" t="n">
        <v>1</v>
      </c>
      <c r="S2503" t="n">
        <v>2580</v>
      </c>
      <c r="T2503" t="n">
        <v>7</v>
      </c>
      <c r="U2503" t="n">
        <v>8</v>
      </c>
      <c r="V2503" t="n">
        <v>30</v>
      </c>
      <c r="W2503" t="n">
        <v>1</v>
      </c>
      <c r="X2503" t="n">
        <v>150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11590</v>
      </c>
      <c r="AG2503" t="n">
        <v>2141</v>
      </c>
      <c r="AH2503" t="inlineStr">
        <is>
          <t>PT. PARAMA GLOBAL INSPIRA - PPN (JMB)</t>
        </is>
      </c>
      <c r="AI2503" t="n">
        <v>103</v>
      </c>
      <c r="AJ2503" t="inlineStr">
        <is>
          <t>MAKE OVER</t>
        </is>
      </c>
      <c r="AK2503" t="n">
        <v>9</v>
      </c>
      <c r="AL2503" t="inlineStr">
        <is>
          <t>Miss Glam Jambi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"8993137706032"</f>
        <v/>
      </c>
      <c r="C2504" t="inlineStr">
        <is>
          <t>MAKEOVER Powerstay Transferproof Matte Lip Cream B03 Hype 7gr</t>
        </is>
      </c>
      <c r="D2504" t="inlineStr">
        <is>
          <t>Miss Glam Jambi</t>
        </is>
      </c>
      <c r="E2504" t="n">
        <v>4</v>
      </c>
      <c r="F2504" t="n">
        <v>0.0693</v>
      </c>
      <c r="G2504" t="n">
        <v>0.66</v>
      </c>
      <c r="H2504" t="n">
        <v>2</v>
      </c>
      <c r="I2504" t="n">
        <v>7</v>
      </c>
      <c r="J2504" t="n">
        <v>3</v>
      </c>
      <c r="K2504" t="n">
        <v>0</v>
      </c>
      <c r="L2504" t="n">
        <v>98800</v>
      </c>
      <c r="M2504" t="n">
        <v>129000</v>
      </c>
      <c r="N2504" t="n">
        <v>33</v>
      </c>
      <c r="O2504" t="n">
        <v>0.33</v>
      </c>
      <c r="P2504" t="n">
        <v>1</v>
      </c>
      <c r="Q2504" t="n">
        <v>0.03</v>
      </c>
      <c r="R2504" t="n">
        <v>1</v>
      </c>
      <c r="S2504" t="n">
        <v>8939.700000000001</v>
      </c>
      <c r="T2504" t="n">
        <v>5</v>
      </c>
      <c r="U2504" t="n">
        <v>6</v>
      </c>
      <c r="V2504" t="n">
        <v>30</v>
      </c>
      <c r="W2504" t="n">
        <v>3</v>
      </c>
      <c r="X2504" t="n">
        <v>57.72005772005772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11590</v>
      </c>
      <c r="AG2504" t="n">
        <v>2141</v>
      </c>
      <c r="AH2504" t="inlineStr">
        <is>
          <t>PT. PARAMA GLOBAL INSPIRA - PPN (JMB)</t>
        </is>
      </c>
      <c r="AI2504" t="n">
        <v>103</v>
      </c>
      <c r="AJ2504" t="inlineStr">
        <is>
          <t>MAKE OVER</t>
        </is>
      </c>
      <c r="AK2504" t="n">
        <v>9</v>
      </c>
      <c r="AL2504" t="inlineStr">
        <is>
          <t>Miss Glam Jambi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"8993137706049"</f>
        <v/>
      </c>
      <c r="C2505" t="inlineStr">
        <is>
          <t>MAKEOVER Powerstay Transferproof Matte Lip Cream B04 Fearless 7gr</t>
        </is>
      </c>
      <c r="D2505" t="inlineStr">
        <is>
          <t>Miss Glam Jambi</t>
        </is>
      </c>
      <c r="E2505" t="n">
        <v>6</v>
      </c>
      <c r="F2505" t="n">
        <v>0.066</v>
      </c>
      <c r="G2505" t="n">
        <v>0.66</v>
      </c>
      <c r="H2505" t="n">
        <v>2</v>
      </c>
      <c r="I2505" t="n">
        <v>7</v>
      </c>
      <c r="J2505" t="n">
        <v>3</v>
      </c>
      <c r="K2505" t="n">
        <v>0</v>
      </c>
      <c r="L2505" t="n">
        <v>97686</v>
      </c>
      <c r="M2505" t="n">
        <v>129000</v>
      </c>
      <c r="N2505" t="n">
        <v>33</v>
      </c>
      <c r="O2505" t="n">
        <v>0.33</v>
      </c>
      <c r="P2505" t="n">
        <v>1</v>
      </c>
      <c r="Q2505" t="n">
        <v>0.08</v>
      </c>
      <c r="R2505" t="n">
        <v>1</v>
      </c>
      <c r="S2505" t="n">
        <v>8514</v>
      </c>
      <c r="T2505" t="n">
        <v>5</v>
      </c>
      <c r="U2505" t="n">
        <v>6</v>
      </c>
      <c r="V2505" t="n">
        <v>30</v>
      </c>
      <c r="W2505" t="n">
        <v>2</v>
      </c>
      <c r="X2505" t="n">
        <v>90.90909090909091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11590</v>
      </c>
      <c r="AG2505" t="n">
        <v>2141</v>
      </c>
      <c r="AH2505" t="inlineStr">
        <is>
          <t>PT. PARAMA GLOBAL INSPIRA - PPN (JMB)</t>
        </is>
      </c>
      <c r="AI2505" t="n">
        <v>103</v>
      </c>
      <c r="AJ2505" t="inlineStr">
        <is>
          <t>MAKE OVER</t>
        </is>
      </c>
      <c r="AK2505" t="n">
        <v>9</v>
      </c>
      <c r="AL2505" t="inlineStr">
        <is>
          <t>Miss Glam Jambi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"8993137706056"</f>
        <v/>
      </c>
      <c r="C2506" t="inlineStr">
        <is>
          <t>MAKEOVER Powerstay Transferproof Matte Lip Cream B05 Fired Up 7gr</t>
        </is>
      </c>
      <c r="D2506" t="inlineStr">
        <is>
          <t>Miss Glam Jambi</t>
        </is>
      </c>
      <c r="E2506" t="n">
        <v>6</v>
      </c>
      <c r="F2506" t="n">
        <v>0.1749</v>
      </c>
      <c r="G2506" t="n">
        <v>0.99</v>
      </c>
      <c r="H2506" t="n">
        <v>2</v>
      </c>
      <c r="I2506" t="n">
        <v>7</v>
      </c>
      <c r="J2506" t="n">
        <v>3</v>
      </c>
      <c r="K2506" t="n">
        <v>0</v>
      </c>
      <c r="L2506" t="n">
        <v>92005</v>
      </c>
      <c r="M2506" t="n">
        <v>129000</v>
      </c>
      <c r="N2506" t="n">
        <v>33</v>
      </c>
      <c r="O2506" t="n">
        <v>0.33</v>
      </c>
      <c r="P2506" t="n">
        <v>1</v>
      </c>
      <c r="Q2506" t="n">
        <v>0.14</v>
      </c>
      <c r="R2506" t="n">
        <v>1</v>
      </c>
      <c r="S2506" t="n">
        <v>22562.1</v>
      </c>
      <c r="T2506" t="n">
        <v>7</v>
      </c>
      <c r="U2506" t="n">
        <v>8</v>
      </c>
      <c r="V2506" t="n">
        <v>30</v>
      </c>
      <c r="W2506" t="n">
        <v>6</v>
      </c>
      <c r="X2506" t="n">
        <v>34.30531732418525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11590</v>
      </c>
      <c r="AG2506" t="n">
        <v>2141</v>
      </c>
      <c r="AH2506" t="inlineStr">
        <is>
          <t>PT. PARAMA GLOBAL INSPIRA - PPN (JMB)</t>
        </is>
      </c>
      <c r="AI2506" t="n">
        <v>103</v>
      </c>
      <c r="AJ2506" t="inlineStr">
        <is>
          <t>MAKE OVER</t>
        </is>
      </c>
      <c r="AK2506" t="n">
        <v>9</v>
      </c>
      <c r="AL2506" t="inlineStr">
        <is>
          <t>Miss Glam Jambi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"8993137706063"</f>
        <v/>
      </c>
      <c r="C2507" t="inlineStr">
        <is>
          <t>MAKEOVER Powerstay Transferproof Matte Lip Cream B06 Powerful 7gr</t>
        </is>
      </c>
      <c r="D2507" t="inlineStr">
        <is>
          <t>Miss Glam Jambi</t>
        </is>
      </c>
      <c r="E2507" t="n">
        <v>4</v>
      </c>
      <c r="F2507" t="n">
        <v>0.0264</v>
      </c>
      <c r="G2507" t="n">
        <v>0.33</v>
      </c>
      <c r="H2507" t="n">
        <v>2</v>
      </c>
      <c r="I2507" t="n">
        <v>7</v>
      </c>
      <c r="J2507" t="n">
        <v>3</v>
      </c>
      <c r="K2507" t="n">
        <v>0</v>
      </c>
      <c r="L2507" t="n">
        <v>97500</v>
      </c>
      <c r="M2507" t="n">
        <v>129000</v>
      </c>
      <c r="N2507" t="n">
        <v>33</v>
      </c>
      <c r="O2507" t="n">
        <v>0.33</v>
      </c>
      <c r="P2507" t="n">
        <v>1</v>
      </c>
      <c r="Q2507" t="n">
        <v>0.1</v>
      </c>
      <c r="R2507" t="n">
        <v>1</v>
      </c>
      <c r="S2507" t="n">
        <v>3405.6</v>
      </c>
      <c r="T2507" t="n">
        <v>3</v>
      </c>
      <c r="U2507" t="n">
        <v>4</v>
      </c>
      <c r="V2507" t="n">
        <v>30</v>
      </c>
      <c r="W2507" t="n">
        <v>1</v>
      </c>
      <c r="X2507" t="n">
        <v>151.5151515151515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11590</v>
      </c>
      <c r="AG2507" t="n">
        <v>2141</v>
      </c>
      <c r="AH2507" t="inlineStr">
        <is>
          <t>PT. PARAMA GLOBAL INSPIRA - PPN (JMB)</t>
        </is>
      </c>
      <c r="AI2507" t="n">
        <v>103</v>
      </c>
      <c r="AJ2507" t="inlineStr">
        <is>
          <t>MAKE OVER</t>
        </is>
      </c>
      <c r="AK2507" t="n">
        <v>9</v>
      </c>
      <c r="AL2507" t="inlineStr">
        <is>
          <t>Miss Glam Jambi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"8993137706070"</f>
        <v/>
      </c>
      <c r="C2508" t="inlineStr">
        <is>
          <t>MAKEOVER Powerstay Transferproof Matte Lip Cream B07 Amplify 7gr</t>
        </is>
      </c>
      <c r="D2508" t="inlineStr">
        <is>
          <t>Miss Glam Jambi</t>
        </is>
      </c>
      <c r="E2508" t="n">
        <v>8</v>
      </c>
      <c r="F2508" t="n">
        <v>0.0495</v>
      </c>
      <c r="G2508" t="n">
        <v>0.33</v>
      </c>
      <c r="H2508" t="n">
        <v>2</v>
      </c>
      <c r="I2508" t="n">
        <v>7</v>
      </c>
      <c r="J2508" t="n">
        <v>3</v>
      </c>
      <c r="K2508" t="n">
        <v>0</v>
      </c>
      <c r="L2508" t="n">
        <v>97498</v>
      </c>
      <c r="M2508" t="n">
        <v>129000</v>
      </c>
      <c r="N2508" t="n">
        <v>33</v>
      </c>
      <c r="O2508" t="n">
        <v>0.33</v>
      </c>
      <c r="P2508" t="n">
        <v>1</v>
      </c>
      <c r="Q2508" t="n">
        <v>0.19</v>
      </c>
      <c r="R2508" t="n">
        <v>3</v>
      </c>
      <c r="S2508" t="n">
        <v>6385.5</v>
      </c>
      <c r="T2508" t="n">
        <v>3</v>
      </c>
      <c r="U2508" t="n">
        <v>4</v>
      </c>
      <c r="V2508" t="n">
        <v>30</v>
      </c>
      <c r="W2508" t="n">
        <v>2</v>
      </c>
      <c r="X2508" t="n">
        <v>161.6161616161616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11590</v>
      </c>
      <c r="AG2508" t="n">
        <v>2141</v>
      </c>
      <c r="AH2508" t="inlineStr">
        <is>
          <t>PT. PARAMA GLOBAL INSPIRA - PPN (JMB)</t>
        </is>
      </c>
      <c r="AI2508" t="n">
        <v>103</v>
      </c>
      <c r="AJ2508" t="inlineStr">
        <is>
          <t>MAKE OVER</t>
        </is>
      </c>
      <c r="AK2508" t="n">
        <v>9</v>
      </c>
      <c r="AL2508" t="inlineStr">
        <is>
          <t>Miss Glam Jambi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"8993137706087"</f>
        <v/>
      </c>
      <c r="C2509" t="inlineStr">
        <is>
          <t>MAKEOVER Powerstay Transferproof Matte Lip Cream B08 Curious 7gr</t>
        </is>
      </c>
      <c r="D2509" t="inlineStr">
        <is>
          <t>Miss Glam Jambi</t>
        </is>
      </c>
      <c r="E2509" t="n">
        <v>2</v>
      </c>
      <c r="F2509" t="n">
        <v>0.07920000000000001</v>
      </c>
      <c r="G2509" t="n">
        <v>0.66</v>
      </c>
      <c r="H2509" t="n">
        <v>2</v>
      </c>
      <c r="I2509" t="n">
        <v>7</v>
      </c>
      <c r="J2509" t="n">
        <v>3</v>
      </c>
      <c r="K2509" t="n">
        <v>3</v>
      </c>
      <c r="L2509" t="n">
        <v>97500</v>
      </c>
      <c r="M2509" t="n">
        <v>129000</v>
      </c>
      <c r="N2509" t="n">
        <v>33</v>
      </c>
      <c r="O2509" t="n">
        <v>0.33</v>
      </c>
      <c r="P2509" t="n">
        <v>1</v>
      </c>
      <c r="Q2509" t="n">
        <v>0.12</v>
      </c>
      <c r="R2509" t="n">
        <v>1</v>
      </c>
      <c r="S2509" t="n">
        <v>10216.8</v>
      </c>
      <c r="T2509" t="n">
        <v>5</v>
      </c>
      <c r="U2509" t="n">
        <v>6</v>
      </c>
      <c r="V2509" t="n">
        <v>30</v>
      </c>
      <c r="W2509" t="n">
        <v>3</v>
      </c>
      <c r="X2509" t="n">
        <v>25.25252525252525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11590</v>
      </c>
      <c r="AG2509" t="n">
        <v>2141</v>
      </c>
      <c r="AH2509" t="inlineStr">
        <is>
          <t>PT. PARAMA GLOBAL INSPIRA - PPN (JMB)</t>
        </is>
      </c>
      <c r="AI2509" t="n">
        <v>103</v>
      </c>
      <c r="AJ2509" t="inlineStr">
        <is>
          <t>MAKE OVER</t>
        </is>
      </c>
      <c r="AK2509" t="n">
        <v>9</v>
      </c>
      <c r="AL2509" t="inlineStr">
        <is>
          <t>Miss Glam Jambi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"8993137710985"</f>
        <v/>
      </c>
      <c r="C2510" t="inlineStr">
        <is>
          <t>MAKEOVER Powerstay Transferproof Matte Lip Cream B09 Popular 7gr</t>
        </is>
      </c>
      <c r="D2510" t="inlineStr">
        <is>
          <t>Miss Glam Jambi</t>
        </is>
      </c>
      <c r="E2510" t="n">
        <v>0</v>
      </c>
      <c r="F2510" t="n">
        <v>0.0561</v>
      </c>
      <c r="G2510" t="n">
        <v>0.66</v>
      </c>
      <c r="H2510" t="n">
        <v>2</v>
      </c>
      <c r="I2510" t="n">
        <v>7</v>
      </c>
      <c r="J2510" t="n">
        <v>3</v>
      </c>
      <c r="K2510" t="n">
        <v>0</v>
      </c>
      <c r="L2510" t="n">
        <v>97656</v>
      </c>
      <c r="M2510" t="n">
        <v>129000</v>
      </c>
      <c r="N2510" t="n">
        <v>33</v>
      </c>
      <c r="O2510" t="n">
        <v>0.33</v>
      </c>
      <c r="P2510" t="n">
        <v>1</v>
      </c>
      <c r="Q2510" t="n">
        <v>0.11</v>
      </c>
      <c r="R2510" t="n">
        <v>2</v>
      </c>
      <c r="S2510" t="n">
        <v>7236.900000000001</v>
      </c>
      <c r="T2510" t="n">
        <v>5</v>
      </c>
      <c r="U2510" t="n">
        <v>6</v>
      </c>
      <c r="V2510" t="n">
        <v>30</v>
      </c>
      <c r="W2510" t="n">
        <v>2</v>
      </c>
      <c r="X2510" t="n">
        <v>0</v>
      </c>
      <c r="Y2510" t="n">
        <v>1</v>
      </c>
      <c r="Z2510" t="n">
        <v>2</v>
      </c>
      <c r="AA2510" t="n">
        <v>1</v>
      </c>
      <c r="AB2510" t="n">
        <v>1</v>
      </c>
      <c r="AC2510" t="n">
        <v>3</v>
      </c>
      <c r="AD2510" t="n">
        <v>97656</v>
      </c>
      <c r="AE2510" t="n">
        <v>292968</v>
      </c>
      <c r="AF2510" t="n">
        <v>11590</v>
      </c>
      <c r="AG2510" t="n">
        <v>2141</v>
      </c>
      <c r="AH2510" t="inlineStr">
        <is>
          <t>PT. PARAMA GLOBAL INSPIRA - PPN (JMB)</t>
        </is>
      </c>
      <c r="AI2510" t="n">
        <v>103</v>
      </c>
      <c r="AJ2510" t="inlineStr">
        <is>
          <t>MAKE OVER</t>
        </is>
      </c>
      <c r="AK2510" t="n">
        <v>9</v>
      </c>
      <c r="AL2510" t="inlineStr">
        <is>
          <t>Miss Glam Jambi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"8993137710992"</f>
        <v/>
      </c>
      <c r="C2511" t="inlineStr">
        <is>
          <t>MAKEOVER Powerstay Transferproof Matte Lip Cream B10 M.O. 7gr</t>
        </is>
      </c>
      <c r="D2511" t="inlineStr">
        <is>
          <t>Miss Glam Jambi</t>
        </is>
      </c>
      <c r="E2511" t="n">
        <v>5</v>
      </c>
      <c r="F2511" t="n">
        <v>0.0495</v>
      </c>
      <c r="G2511" t="n">
        <v>0.66</v>
      </c>
      <c r="H2511" t="n">
        <v>2</v>
      </c>
      <c r="I2511" t="n">
        <v>7</v>
      </c>
      <c r="J2511" t="n">
        <v>3</v>
      </c>
      <c r="K2511" t="n">
        <v>0</v>
      </c>
      <c r="L2511" t="n">
        <v>98800</v>
      </c>
      <c r="M2511" t="n">
        <v>129000</v>
      </c>
      <c r="N2511" t="n">
        <v>33</v>
      </c>
      <c r="O2511" t="n">
        <v>0.33</v>
      </c>
      <c r="P2511" t="n">
        <v>1</v>
      </c>
      <c r="Q2511" t="n">
        <v>0.03</v>
      </c>
      <c r="R2511" t="n">
        <v>1</v>
      </c>
      <c r="S2511" t="n">
        <v>6385.5</v>
      </c>
      <c r="T2511" t="n">
        <v>5</v>
      </c>
      <c r="U2511" t="n">
        <v>6</v>
      </c>
      <c r="V2511" t="n">
        <v>30</v>
      </c>
      <c r="W2511" t="n">
        <v>2</v>
      </c>
      <c r="X2511" t="n">
        <v>101.010101010101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11590</v>
      </c>
      <c r="AG2511" t="n">
        <v>2141</v>
      </c>
      <c r="AH2511" t="inlineStr">
        <is>
          <t>PT. PARAMA GLOBAL INSPIRA - PPN (JMB)</t>
        </is>
      </c>
      <c r="AI2511" t="n">
        <v>103</v>
      </c>
      <c r="AJ2511" t="inlineStr">
        <is>
          <t>MAKE OVER</t>
        </is>
      </c>
      <c r="AK2511" t="n">
        <v>9</v>
      </c>
      <c r="AL2511" t="inlineStr">
        <is>
          <t>Miss Glam Jambi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"8993137727198"</f>
        <v/>
      </c>
      <c r="C2512" t="inlineStr">
        <is>
          <t>MAKEOVER Powerstay Transferproof Matte Lip Cream B101 Pleasure</t>
        </is>
      </c>
      <c r="D2512" t="inlineStr">
        <is>
          <t>Miss Glam Jambi</t>
        </is>
      </c>
      <c r="E2512" t="n">
        <v>7</v>
      </c>
      <c r="F2512" t="n">
        <v>0.006600000000000001</v>
      </c>
      <c r="G2512" t="n">
        <v>0.33</v>
      </c>
      <c r="H2512" t="n">
        <v>2</v>
      </c>
      <c r="I2512" t="n">
        <v>7</v>
      </c>
      <c r="J2512" t="n">
        <v>3</v>
      </c>
      <c r="K2512" t="n">
        <v>0</v>
      </c>
      <c r="L2512" t="n">
        <v>97500</v>
      </c>
      <c r="M2512" t="n">
        <v>129000</v>
      </c>
      <c r="N2512" t="n">
        <v>33</v>
      </c>
      <c r="O2512" t="n">
        <v>0.33</v>
      </c>
      <c r="P2512" t="n">
        <v>1</v>
      </c>
      <c r="Q2512" t="n">
        <v>0.07000000000000001</v>
      </c>
      <c r="R2512" t="n">
        <v>1</v>
      </c>
      <c r="S2512" t="n">
        <v>851.4000000000001</v>
      </c>
      <c r="T2512" t="n">
        <v>3</v>
      </c>
      <c r="U2512" t="n">
        <v>4</v>
      </c>
      <c r="V2512" t="n">
        <v>30</v>
      </c>
      <c r="W2512" t="n">
        <v>1</v>
      </c>
      <c r="X2512" t="n">
        <v>1060.606060606061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11590</v>
      </c>
      <c r="AG2512" t="n">
        <v>2141</v>
      </c>
      <c r="AH2512" t="inlineStr">
        <is>
          <t>PT. PARAMA GLOBAL INSPIRA - PPN (JMB)</t>
        </is>
      </c>
      <c r="AI2512" t="n">
        <v>103</v>
      </c>
      <c r="AJ2512" t="inlineStr">
        <is>
          <t>MAKE OVER</t>
        </is>
      </c>
      <c r="AK2512" t="n">
        <v>9</v>
      </c>
      <c r="AL2512" t="inlineStr">
        <is>
          <t>Miss Glam Jambi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"8993137711012"</f>
        <v/>
      </c>
      <c r="C2513" t="inlineStr">
        <is>
          <t>MAKEOVER Powerstay Transferproof Matte Lip Cream B12 Feisty 7gr</t>
        </is>
      </c>
      <c r="D2513" t="inlineStr">
        <is>
          <t>Miss Glam Jambi</t>
        </is>
      </c>
      <c r="E2513" t="n">
        <v>8</v>
      </c>
      <c r="F2513" t="n">
        <v>0.066</v>
      </c>
      <c r="G2513" t="n">
        <v>0.33</v>
      </c>
      <c r="H2513" t="n">
        <v>2</v>
      </c>
      <c r="I2513" t="n">
        <v>7</v>
      </c>
      <c r="J2513" t="n">
        <v>3</v>
      </c>
      <c r="K2513" t="n">
        <v>0</v>
      </c>
      <c r="L2513" t="n">
        <v>97500</v>
      </c>
      <c r="M2513" t="n">
        <v>129000</v>
      </c>
      <c r="N2513" t="n">
        <v>33</v>
      </c>
      <c r="O2513" t="n">
        <v>0.33</v>
      </c>
      <c r="P2513" t="n">
        <v>1</v>
      </c>
      <c r="Q2513" t="n">
        <v>0.14</v>
      </c>
      <c r="R2513" t="n">
        <v>2</v>
      </c>
      <c r="S2513" t="n">
        <v>8514</v>
      </c>
      <c r="T2513" t="n">
        <v>3</v>
      </c>
      <c r="U2513" t="n">
        <v>4</v>
      </c>
      <c r="V2513" t="n">
        <v>30</v>
      </c>
      <c r="W2513" t="n">
        <v>2</v>
      </c>
      <c r="X2513" t="n">
        <v>121.2121212121212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11590</v>
      </c>
      <c r="AG2513" t="n">
        <v>2141</v>
      </c>
      <c r="AH2513" t="inlineStr">
        <is>
          <t>PT. PARAMA GLOBAL INSPIRA - PPN (JMB)</t>
        </is>
      </c>
      <c r="AI2513" t="n">
        <v>103</v>
      </c>
      <c r="AJ2513" t="inlineStr">
        <is>
          <t>MAKE OVER</t>
        </is>
      </c>
      <c r="AK2513" t="n">
        <v>9</v>
      </c>
      <c r="AL2513" t="inlineStr">
        <is>
          <t>Miss Glam Jambi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"8993137727228"</f>
        <v/>
      </c>
      <c r="C2514" t="inlineStr">
        <is>
          <t>MAKEOVER Powerstay Transferproof matte lip cream B202 Skye-Hi</t>
        </is>
      </c>
      <c r="D2514" t="inlineStr">
        <is>
          <t>Miss Glam Jambi</t>
        </is>
      </c>
      <c r="E2514" t="n">
        <v>13</v>
      </c>
      <c r="F2514" t="n">
        <v>0.1221</v>
      </c>
      <c r="G2514" t="n">
        <v>0.99</v>
      </c>
      <c r="H2514" t="n">
        <v>2</v>
      </c>
      <c r="I2514" t="n">
        <v>7</v>
      </c>
      <c r="J2514" t="n">
        <v>3</v>
      </c>
      <c r="K2514" t="n">
        <v>0</v>
      </c>
      <c r="L2514" t="n">
        <v>97500</v>
      </c>
      <c r="M2514" t="n">
        <v>129000</v>
      </c>
      <c r="N2514" t="n">
        <v>33</v>
      </c>
      <c r="O2514" t="n">
        <v>0.33</v>
      </c>
      <c r="P2514" t="n">
        <v>1</v>
      </c>
      <c r="Q2514" t="n">
        <v>0.27</v>
      </c>
      <c r="R2514" t="n">
        <v>2</v>
      </c>
      <c r="S2514" t="n">
        <v>15750.9</v>
      </c>
      <c r="T2514" t="n">
        <v>7</v>
      </c>
      <c r="U2514" t="n">
        <v>8</v>
      </c>
      <c r="V2514" t="n">
        <v>30</v>
      </c>
      <c r="W2514" t="n">
        <v>4</v>
      </c>
      <c r="X2514" t="n">
        <v>106.4701064701065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11590</v>
      </c>
      <c r="AG2514" t="n">
        <v>2141</v>
      </c>
      <c r="AH2514" t="inlineStr">
        <is>
          <t>PT. PARAMA GLOBAL INSPIRA - PPN (JMB)</t>
        </is>
      </c>
      <c r="AI2514" t="n">
        <v>103</v>
      </c>
      <c r="AJ2514" t="inlineStr">
        <is>
          <t>MAKE OVER</t>
        </is>
      </c>
      <c r="AK2514" t="n">
        <v>9</v>
      </c>
      <c r="AL2514" t="inlineStr">
        <is>
          <t>Miss Glam Jambi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"8993137721226"</f>
        <v/>
      </c>
      <c r="C2515" t="inlineStr">
        <is>
          <t>MAKEOVER Powerstay Weightless Liquid Foundation N10 Marble 40ml</t>
        </is>
      </c>
      <c r="D2515" t="inlineStr">
        <is>
          <t>Miss Glam Jambi</t>
        </is>
      </c>
      <c r="E2515" t="n">
        <v>2</v>
      </c>
      <c r="F2515" t="n">
        <v>0.0231</v>
      </c>
      <c r="G2515" t="n">
        <v>0.33</v>
      </c>
      <c r="H2515" t="n">
        <v>2</v>
      </c>
      <c r="I2515" t="n">
        <v>7</v>
      </c>
      <c r="J2515" t="n">
        <v>3</v>
      </c>
      <c r="K2515" t="n">
        <v>0</v>
      </c>
      <c r="L2515" t="n">
        <v>136750</v>
      </c>
      <c r="M2515" t="n">
        <v>174000</v>
      </c>
      <c r="N2515" t="n">
        <v>33</v>
      </c>
      <c r="O2515" t="n">
        <v>0.33</v>
      </c>
      <c r="P2515" t="n">
        <v>1</v>
      </c>
      <c r="Q2515" t="n">
        <v>0.05</v>
      </c>
      <c r="R2515" t="n">
        <v>1</v>
      </c>
      <c r="S2515" t="n">
        <v>4019.400000000001</v>
      </c>
      <c r="T2515" t="n">
        <v>3</v>
      </c>
      <c r="U2515" t="n">
        <v>4</v>
      </c>
      <c r="V2515" t="n">
        <v>30</v>
      </c>
      <c r="W2515" t="n">
        <v>1</v>
      </c>
      <c r="X2515" t="n">
        <v>86.58008658008657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11590</v>
      </c>
      <c r="AG2515" t="n">
        <v>2141</v>
      </c>
      <c r="AH2515" t="inlineStr">
        <is>
          <t>PT. PARAMA GLOBAL INSPIRA - PPN (JMB)</t>
        </is>
      </c>
      <c r="AI2515" t="n">
        <v>103</v>
      </c>
      <c r="AJ2515" t="inlineStr">
        <is>
          <t>MAKE OVER</t>
        </is>
      </c>
      <c r="AK2515" t="n">
        <v>9</v>
      </c>
      <c r="AL2515" t="inlineStr">
        <is>
          <t>Miss Glam Jambi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"20100642418"</f>
        <v/>
      </c>
      <c r="C2516" t="inlineStr">
        <is>
          <t>MAKEOVER Silky Smooth Translucent Powder 06 Buttermilk 30gr</t>
        </is>
      </c>
      <c r="D2516" t="inlineStr">
        <is>
          <t>Miss Glam Jambi</t>
        </is>
      </c>
      <c r="E2516" t="n">
        <v>7</v>
      </c>
      <c r="F2516" t="n">
        <v>0.3696</v>
      </c>
      <c r="G2516" t="n">
        <v>1.32</v>
      </c>
      <c r="H2516" t="n">
        <v>2</v>
      </c>
      <c r="I2516" t="n">
        <v>7</v>
      </c>
      <c r="J2516" t="n">
        <v>1</v>
      </c>
      <c r="K2516" t="n">
        <v>5</v>
      </c>
      <c r="L2516" t="n">
        <v>108750</v>
      </c>
      <c r="M2516" t="n">
        <v>133000</v>
      </c>
      <c r="N2516" t="n">
        <v>33</v>
      </c>
      <c r="O2516" t="n">
        <v>0.33</v>
      </c>
      <c r="P2516" t="n">
        <v>1</v>
      </c>
      <c r="Q2516" t="n">
        <v>0.41</v>
      </c>
      <c r="R2516" t="n">
        <v>3</v>
      </c>
      <c r="S2516" t="n">
        <v>49156.8</v>
      </c>
      <c r="T2516" t="n">
        <v>9</v>
      </c>
      <c r="U2516" t="n">
        <v>10</v>
      </c>
      <c r="V2516" t="n">
        <v>30</v>
      </c>
      <c r="W2516" t="n">
        <v>12</v>
      </c>
      <c r="X2516" t="n">
        <v>18.93939393939394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11590</v>
      </c>
      <c r="AG2516" t="n">
        <v>2141</v>
      </c>
      <c r="AH2516" t="inlineStr">
        <is>
          <t>PT. PARAMA GLOBAL INSPIRA - PPN (JMB)</t>
        </is>
      </c>
      <c r="AI2516" t="n">
        <v>103</v>
      </c>
      <c r="AJ2516" t="inlineStr">
        <is>
          <t>MAKE OVER</t>
        </is>
      </c>
      <c r="AK2516" t="n">
        <v>9</v>
      </c>
      <c r="AL2516" t="inlineStr">
        <is>
          <t>Miss Glam Jambi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"8993137682589"</f>
        <v/>
      </c>
      <c r="C2517" t="inlineStr">
        <is>
          <t>MAKEOVER Trivia Eye Shadow Emperor Brown 6gr</t>
        </is>
      </c>
      <c r="D2517" t="inlineStr">
        <is>
          <t>Miss Glam Jambi</t>
        </is>
      </c>
      <c r="E2517" t="n">
        <v>3</v>
      </c>
      <c r="F2517" t="n">
        <v>0.009900000000000001</v>
      </c>
      <c r="G2517" t="n">
        <v>0.33</v>
      </c>
      <c r="H2517" t="n">
        <v>2</v>
      </c>
      <c r="I2517" t="n">
        <v>7</v>
      </c>
      <c r="J2517" t="n">
        <v>3</v>
      </c>
      <c r="K2517" t="n">
        <v>0</v>
      </c>
      <c r="L2517" t="n">
        <v>70500</v>
      </c>
      <c r="M2517" t="n">
        <v>92000</v>
      </c>
      <c r="N2517" t="n">
        <v>33</v>
      </c>
      <c r="O2517" t="n">
        <v>0.33</v>
      </c>
      <c r="P2517" t="n">
        <v>1</v>
      </c>
      <c r="Q2517" t="n">
        <v>0.02</v>
      </c>
      <c r="R2517" t="n">
        <v>1</v>
      </c>
      <c r="S2517" t="n">
        <v>910.8000000000001</v>
      </c>
      <c r="T2517" t="n">
        <v>3</v>
      </c>
      <c r="U2517" t="n">
        <v>4</v>
      </c>
      <c r="V2517" t="n">
        <v>30</v>
      </c>
      <c r="W2517" t="n">
        <v>1</v>
      </c>
      <c r="X2517" t="n">
        <v>303.030303030303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11590</v>
      </c>
      <c r="AG2517" t="n">
        <v>2141</v>
      </c>
      <c r="AH2517" t="inlineStr">
        <is>
          <t>PT. PARAMA GLOBAL INSPIRA - PPN (JMB)</t>
        </is>
      </c>
      <c r="AI2517" t="n">
        <v>103</v>
      </c>
      <c r="AJ2517" t="inlineStr">
        <is>
          <t>MAKE OVER</t>
        </is>
      </c>
      <c r="AK2517" t="n">
        <v>9</v>
      </c>
      <c r="AL2517" t="inlineStr">
        <is>
          <t>Miss Glam Jambi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"8993137682602"</f>
        <v/>
      </c>
      <c r="C2518" t="inlineStr">
        <is>
          <t>MAKEOVER Trivia Eye Shadow Indian Summer 6gr</t>
        </is>
      </c>
      <c r="D2518" t="inlineStr">
        <is>
          <t>Miss Glam Jambi</t>
        </is>
      </c>
      <c r="E2518" t="n">
        <v>2</v>
      </c>
      <c r="F2518" t="n">
        <v>0.066</v>
      </c>
      <c r="G2518" t="n">
        <v>0.66</v>
      </c>
      <c r="H2518" t="n">
        <v>2</v>
      </c>
      <c r="I2518" t="n">
        <v>7</v>
      </c>
      <c r="J2518" t="n">
        <v>3</v>
      </c>
      <c r="K2518" t="n">
        <v>0</v>
      </c>
      <c r="L2518" t="n">
        <v>71850</v>
      </c>
      <c r="M2518" t="n">
        <v>92000</v>
      </c>
      <c r="N2518" t="n">
        <v>33</v>
      </c>
      <c r="O2518" t="n">
        <v>0.33</v>
      </c>
      <c r="P2518" t="n">
        <v>1</v>
      </c>
      <c r="Q2518" t="n">
        <v>0.03</v>
      </c>
      <c r="R2518" t="n">
        <v>1</v>
      </c>
      <c r="S2518" t="n">
        <v>6072</v>
      </c>
      <c r="T2518" t="n">
        <v>5</v>
      </c>
      <c r="U2518" t="n">
        <v>6</v>
      </c>
      <c r="V2518" t="n">
        <v>30</v>
      </c>
      <c r="W2518" t="n">
        <v>2</v>
      </c>
      <c r="X2518" t="n">
        <v>30.3030303030303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11590</v>
      </c>
      <c r="AG2518" t="n">
        <v>2141</v>
      </c>
      <c r="AH2518" t="inlineStr">
        <is>
          <t>PT. PARAMA GLOBAL INSPIRA - PPN (JMB)</t>
        </is>
      </c>
      <c r="AI2518" t="n">
        <v>103</v>
      </c>
      <c r="AJ2518" t="inlineStr">
        <is>
          <t>MAKE OVER</t>
        </is>
      </c>
      <c r="AK2518" t="n">
        <v>9</v>
      </c>
      <c r="AL2518" t="inlineStr">
        <is>
          <t>Miss Glam Jambi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"8993137681698"</f>
        <v/>
      </c>
      <c r="C2519" t="inlineStr">
        <is>
          <t>MAKEOVER Ultra Cover Liquid Matt Foundation 01 Ochre 33ml</t>
        </is>
      </c>
      <c r="D2519" t="inlineStr">
        <is>
          <t>Miss Glam Jambi</t>
        </is>
      </c>
      <c r="E2519" t="n">
        <v>4</v>
      </c>
      <c r="F2519" t="n">
        <v>0.07920000000000001</v>
      </c>
      <c r="G2519" t="n">
        <v>0.66</v>
      </c>
      <c r="H2519" t="n">
        <v>2</v>
      </c>
      <c r="I2519" t="n">
        <v>7</v>
      </c>
      <c r="J2519" t="n">
        <v>3</v>
      </c>
      <c r="K2519" t="n">
        <v>0</v>
      </c>
      <c r="L2519" t="n">
        <v>115745</v>
      </c>
      <c r="M2519" t="n">
        <v>145000</v>
      </c>
      <c r="N2519" t="n">
        <v>33</v>
      </c>
      <c r="O2519" t="n">
        <v>0.33</v>
      </c>
      <c r="P2519" t="n">
        <v>1</v>
      </c>
      <c r="Q2519" t="n">
        <v>0.1</v>
      </c>
      <c r="R2519" t="n">
        <v>1</v>
      </c>
      <c r="S2519" t="n">
        <v>11484</v>
      </c>
      <c r="T2519" t="n">
        <v>5</v>
      </c>
      <c r="U2519" t="n">
        <v>6</v>
      </c>
      <c r="V2519" t="n">
        <v>30</v>
      </c>
      <c r="W2519" t="n">
        <v>3</v>
      </c>
      <c r="X2519" t="n">
        <v>50.5050505050505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11590</v>
      </c>
      <c r="AG2519" t="n">
        <v>2141</v>
      </c>
      <c r="AH2519" t="inlineStr">
        <is>
          <t>PT. PARAMA GLOBAL INSPIRA - PPN (JMB)</t>
        </is>
      </c>
      <c r="AI2519" t="n">
        <v>103</v>
      </c>
      <c r="AJ2519" t="inlineStr">
        <is>
          <t>MAKE OVER</t>
        </is>
      </c>
      <c r="AK2519" t="n">
        <v>9</v>
      </c>
      <c r="AL2519" t="inlineStr">
        <is>
          <t>Miss Glam Jambi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"8993137681704"</f>
        <v/>
      </c>
      <c r="C2520" t="inlineStr">
        <is>
          <t>MAKEOVER Ultra Cover Liquid Matt Foundation 02 Pink Shade 33ml</t>
        </is>
      </c>
      <c r="D2520" t="inlineStr">
        <is>
          <t>Miss Glam Jambi</t>
        </is>
      </c>
      <c r="E2520" t="n">
        <v>3</v>
      </c>
      <c r="F2520" t="n">
        <v>0.009900000000000001</v>
      </c>
      <c r="G2520" t="n">
        <v>0.33</v>
      </c>
      <c r="H2520" t="n">
        <v>2</v>
      </c>
      <c r="I2520" t="n">
        <v>7</v>
      </c>
      <c r="J2520" t="n">
        <v>3</v>
      </c>
      <c r="K2520" t="n">
        <v>0</v>
      </c>
      <c r="L2520" t="n">
        <v>113250</v>
      </c>
      <c r="M2520" t="n">
        <v>145000</v>
      </c>
      <c r="N2520" t="n">
        <v>33</v>
      </c>
      <c r="O2520" t="n">
        <v>0.33</v>
      </c>
      <c r="P2520" t="n">
        <v>1</v>
      </c>
      <c r="Q2520" t="n">
        <v>0.03</v>
      </c>
      <c r="R2520" t="n">
        <v>1</v>
      </c>
      <c r="S2520" t="n">
        <v>1435.5</v>
      </c>
      <c r="T2520" t="n">
        <v>3</v>
      </c>
      <c r="U2520" t="n">
        <v>4</v>
      </c>
      <c r="V2520" t="n">
        <v>30</v>
      </c>
      <c r="W2520" t="n">
        <v>1</v>
      </c>
      <c r="X2520" t="n">
        <v>303.030303030303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11590</v>
      </c>
      <c r="AG2520" t="n">
        <v>2141</v>
      </c>
      <c r="AH2520" t="inlineStr">
        <is>
          <t>PT. PARAMA GLOBAL INSPIRA - PPN (JMB)</t>
        </is>
      </c>
      <c r="AI2520" t="n">
        <v>103</v>
      </c>
      <c r="AJ2520" t="inlineStr">
        <is>
          <t>MAKE OVER</t>
        </is>
      </c>
      <c r="AK2520" t="n">
        <v>9</v>
      </c>
      <c r="AL2520" t="inlineStr">
        <is>
          <t>Miss Glam Jambi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"8993137692687"</f>
        <v/>
      </c>
      <c r="C2521" t="inlineStr">
        <is>
          <t>MAKEOVER Ultra Cover Liquid Matt Foundation 09 Creme Rose 33ml</t>
        </is>
      </c>
      <c r="D2521" t="inlineStr">
        <is>
          <t>Miss Glam Jambi</t>
        </is>
      </c>
      <c r="E2521" t="n">
        <v>1</v>
      </c>
      <c r="F2521" t="n">
        <v>0.006600000000000001</v>
      </c>
      <c r="G2521" t="n">
        <v>0.33</v>
      </c>
      <c r="H2521" t="n">
        <v>2</v>
      </c>
      <c r="I2521" t="n">
        <v>7</v>
      </c>
      <c r="J2521" t="n">
        <v>3</v>
      </c>
      <c r="K2521" t="n">
        <v>0</v>
      </c>
      <c r="L2521" t="n">
        <v>118400</v>
      </c>
      <c r="M2521" t="n">
        <v>145000</v>
      </c>
      <c r="N2521" t="n">
        <v>33</v>
      </c>
      <c r="O2521" t="n">
        <v>0.33</v>
      </c>
      <c r="P2521" t="n">
        <v>1</v>
      </c>
      <c r="Q2521" t="n">
        <v>0.02</v>
      </c>
      <c r="R2521" t="n">
        <v>1</v>
      </c>
      <c r="S2521" t="n">
        <v>957.0000000000001</v>
      </c>
      <c r="T2521" t="n">
        <v>3</v>
      </c>
      <c r="U2521" t="n">
        <v>4</v>
      </c>
      <c r="V2521" t="n">
        <v>30</v>
      </c>
      <c r="W2521" t="n">
        <v>1</v>
      </c>
      <c r="X2521" t="n">
        <v>151.5151515151515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11590</v>
      </c>
      <c r="AG2521" t="n">
        <v>2141</v>
      </c>
      <c r="AH2521" t="inlineStr">
        <is>
          <t>PT. PARAMA GLOBAL INSPIRA - PPN (JMB)</t>
        </is>
      </c>
      <c r="AI2521" t="n">
        <v>103</v>
      </c>
      <c r="AJ2521" t="inlineStr">
        <is>
          <t>MAKE OVER</t>
        </is>
      </c>
      <c r="AK2521" t="n">
        <v>9</v>
      </c>
      <c r="AL2521" t="inlineStr">
        <is>
          <t>Miss Glam Jambi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"8993137695237"</f>
        <v/>
      </c>
      <c r="C2522" t="inlineStr">
        <is>
          <t>MAKEOVER Velvet Mattfying Primer 20ml</t>
        </is>
      </c>
      <c r="D2522" t="inlineStr">
        <is>
          <t>Miss Glam Jambi</t>
        </is>
      </c>
      <c r="E2522" t="n">
        <v>2</v>
      </c>
      <c r="F2522" t="n">
        <v>0.1683</v>
      </c>
      <c r="G2522" t="n">
        <v>0.66</v>
      </c>
      <c r="H2522" t="n">
        <v>2</v>
      </c>
      <c r="I2522" t="n">
        <v>7</v>
      </c>
      <c r="J2522" t="n">
        <v>3</v>
      </c>
      <c r="K2522" t="n">
        <v>4</v>
      </c>
      <c r="L2522" t="n">
        <v>78058</v>
      </c>
      <c r="M2522" t="n">
        <v>99900</v>
      </c>
      <c r="N2522" t="n">
        <v>33</v>
      </c>
      <c r="O2522" t="n">
        <v>0.33</v>
      </c>
      <c r="P2522" t="n">
        <v>1</v>
      </c>
      <c r="Q2522" t="n">
        <v>0.14</v>
      </c>
      <c r="R2522" t="n">
        <v>1</v>
      </c>
      <c r="S2522" t="n">
        <v>16813.17</v>
      </c>
      <c r="T2522" t="n">
        <v>5</v>
      </c>
      <c r="U2522" t="n">
        <v>6</v>
      </c>
      <c r="V2522" t="n">
        <v>30</v>
      </c>
      <c r="W2522" t="n">
        <v>6</v>
      </c>
      <c r="X2522" t="n">
        <v>11.883541295306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11590</v>
      </c>
      <c r="AG2522" t="n">
        <v>2141</v>
      </c>
      <c r="AH2522" t="inlineStr">
        <is>
          <t>PT. PARAMA GLOBAL INSPIRA - PPN (JMB)</t>
        </is>
      </c>
      <c r="AI2522" t="n">
        <v>103</v>
      </c>
      <c r="AJ2522" t="inlineStr">
        <is>
          <t>MAKE OVER</t>
        </is>
      </c>
      <c r="AK2522" t="n">
        <v>9</v>
      </c>
      <c r="AL2522" t="inlineStr">
        <is>
          <t>Miss Glam Jambi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MAMAYA</t>
        </is>
      </c>
      <c r="B2523" s="2">
        <f>"8997214430179"</f>
        <v/>
      </c>
      <c r="C2523" t="inlineStr">
        <is>
          <t>MAMAYA Papaya Anti Acne Face Wash 100gr</t>
        </is>
      </c>
      <c r="D2523" t="inlineStr">
        <is>
          <t>Miss Glam Jambi</t>
        </is>
      </c>
      <c r="E2523" t="n">
        <v>0</v>
      </c>
      <c r="F2523" t="n">
        <v>0.1122</v>
      </c>
      <c r="G2523" t="n">
        <v>0.66</v>
      </c>
      <c r="H2523" t="n">
        <v>4</v>
      </c>
      <c r="I2523" t="n">
        <v>11</v>
      </c>
      <c r="J2523" t="n">
        <v>3</v>
      </c>
      <c r="K2523" t="n">
        <v>0</v>
      </c>
      <c r="L2523" t="n">
        <v>14666</v>
      </c>
      <c r="M2523" t="n">
        <v>16200</v>
      </c>
      <c r="N2523" t="n">
        <v>33</v>
      </c>
      <c r="O2523" t="n">
        <v>0.33</v>
      </c>
      <c r="P2523" t="n">
        <v>1</v>
      </c>
      <c r="Q2523" t="n">
        <v>0.1</v>
      </c>
      <c r="R2523" t="n">
        <v>2</v>
      </c>
      <c r="S2523" t="n">
        <v>1817.64</v>
      </c>
      <c r="T2523" t="n">
        <v>7</v>
      </c>
      <c r="U2523" t="n">
        <v>8</v>
      </c>
      <c r="V2523" t="n">
        <v>30</v>
      </c>
      <c r="W2523" t="n">
        <v>4</v>
      </c>
      <c r="X2523" t="n">
        <v>0</v>
      </c>
      <c r="Y2523" t="n">
        <v>1</v>
      </c>
      <c r="Z2523" t="n">
        <v>4</v>
      </c>
      <c r="AA2523" t="n">
        <v>2</v>
      </c>
      <c r="AB2523" t="n">
        <v>2</v>
      </c>
      <c r="AC2523" t="n">
        <v>3</v>
      </c>
      <c r="AD2523" t="n">
        <v>29332</v>
      </c>
      <c r="AE2523" t="n">
        <v>43998</v>
      </c>
      <c r="AF2523" t="n">
        <v>10106</v>
      </c>
      <c r="AG2523" t="n">
        <v>78</v>
      </c>
      <c r="AH2523" t="inlineStr">
        <is>
          <t>PT. GLORIENTA P.H - PPN (PDG)</t>
        </is>
      </c>
      <c r="AI2523" t="n">
        <v>497</v>
      </c>
      <c r="AJ2523" t="inlineStr">
        <is>
          <t>MAMAYA</t>
        </is>
      </c>
      <c r="AK2523" t="n">
        <v>9</v>
      </c>
      <c r="AL2523" t="inlineStr">
        <is>
          <t>Miss Glam Jambi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MAMAYA</t>
        </is>
      </c>
      <c r="B2524" s="2">
        <f>"8997214430049"</f>
        <v/>
      </c>
      <c r="C2524" t="inlineStr">
        <is>
          <t>MAMAYA Papaya Orange 70gr</t>
        </is>
      </c>
      <c r="D2524" t="inlineStr">
        <is>
          <t>Miss Glam Jambi</t>
        </is>
      </c>
      <c r="E2524" t="n">
        <v>21</v>
      </c>
      <c r="F2524" t="n">
        <v>0.7722</v>
      </c>
      <c r="G2524" t="n">
        <v>2.31</v>
      </c>
      <c r="H2524" t="n">
        <v>4</v>
      </c>
      <c r="I2524" t="n">
        <v>11</v>
      </c>
      <c r="J2524" t="n">
        <v>3</v>
      </c>
      <c r="K2524" t="n">
        <v>0</v>
      </c>
      <c r="L2524" t="n">
        <v>5546</v>
      </c>
      <c r="M2524" t="n">
        <v>6500</v>
      </c>
      <c r="N2524" t="n">
        <v>33</v>
      </c>
      <c r="O2524" t="n">
        <v>0.33</v>
      </c>
      <c r="P2524" t="n">
        <v>1</v>
      </c>
      <c r="Q2524" t="n">
        <v>0.08</v>
      </c>
      <c r="R2524" t="n">
        <v>1</v>
      </c>
      <c r="S2524" t="n">
        <v>5019.3</v>
      </c>
      <c r="T2524" t="n">
        <v>23</v>
      </c>
      <c r="U2524" t="n">
        <v>27</v>
      </c>
      <c r="V2524" t="n">
        <v>30</v>
      </c>
      <c r="W2524" t="n">
        <v>24</v>
      </c>
      <c r="X2524" t="n">
        <v>27.19502719502719</v>
      </c>
      <c r="Y2524" t="n">
        <v>1</v>
      </c>
      <c r="Z2524" t="n">
        <v>3</v>
      </c>
      <c r="AA2524" t="n">
        <v>0</v>
      </c>
      <c r="AB2524" t="n">
        <v>3</v>
      </c>
      <c r="AC2524" t="n">
        <v>3</v>
      </c>
      <c r="AD2524" t="n">
        <v>0</v>
      </c>
      <c r="AE2524" t="n">
        <v>16638</v>
      </c>
      <c r="AF2524" t="n">
        <v>10106</v>
      </c>
      <c r="AG2524" t="n">
        <v>78</v>
      </c>
      <c r="AH2524" t="inlineStr">
        <is>
          <t>PT. GLORIENTA P.H - PPN (PDG)</t>
        </is>
      </c>
      <c r="AI2524" t="n">
        <v>497</v>
      </c>
      <c r="AJ2524" t="inlineStr">
        <is>
          <t>MAMAYA</t>
        </is>
      </c>
      <c r="AK2524" t="n">
        <v>9</v>
      </c>
      <c r="AL2524" t="inlineStr">
        <is>
          <t>Miss Glam Jambi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MARCKS</t>
        </is>
      </c>
      <c r="B2525" s="2">
        <f>"8995026801019"</f>
        <v/>
      </c>
      <c r="C2525" t="inlineStr">
        <is>
          <t>MARCKS Bedak Beauty Powder Creme 40gr</t>
        </is>
      </c>
      <c r="D2525" t="inlineStr">
        <is>
          <t>Miss Glam Jambi</t>
        </is>
      </c>
      <c r="E2525" t="n">
        <v>24</v>
      </c>
      <c r="F2525" t="n">
        <v>1.1583</v>
      </c>
      <c r="G2525" t="n">
        <v>3.3</v>
      </c>
      <c r="H2525" t="n">
        <v>4</v>
      </c>
      <c r="I2525" t="n">
        <v>8</v>
      </c>
      <c r="J2525" t="n">
        <v>3</v>
      </c>
      <c r="K2525" t="n">
        <v>12</v>
      </c>
      <c r="L2525" t="n">
        <v>16650</v>
      </c>
      <c r="M2525" t="n">
        <v>20000</v>
      </c>
      <c r="N2525" t="n">
        <v>33</v>
      </c>
      <c r="O2525" t="n">
        <v>0.33</v>
      </c>
      <c r="P2525" t="n">
        <v>1</v>
      </c>
      <c r="Q2525" t="n">
        <v>0.08</v>
      </c>
      <c r="R2525" t="n">
        <v>1</v>
      </c>
      <c r="S2525" t="n">
        <v>23166</v>
      </c>
      <c r="T2525" t="n">
        <v>22</v>
      </c>
      <c r="U2525" t="n">
        <v>27</v>
      </c>
      <c r="V2525" t="n">
        <v>30</v>
      </c>
      <c r="W2525" t="n">
        <v>35</v>
      </c>
      <c r="X2525" t="n">
        <v>20.72002072002072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10640</v>
      </c>
      <c r="AG2525" t="n">
        <v>2144</v>
      </c>
      <c r="AH2525" t="inlineStr">
        <is>
          <t>PT. KIMIA FARMA - PPN (JMB)</t>
        </is>
      </c>
      <c r="AI2525" t="n">
        <v>462</v>
      </c>
      <c r="AJ2525" t="inlineStr">
        <is>
          <t>MARCKS</t>
        </is>
      </c>
      <c r="AK2525" t="n">
        <v>9</v>
      </c>
      <c r="AL2525" t="inlineStr">
        <is>
          <t>Miss Glam Jambi</t>
        </is>
      </c>
      <c r="AM2525" t="n">
        <v>4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MARCKS</t>
        </is>
      </c>
      <c r="B2526" s="2">
        <f>"8995026801033"</f>
        <v/>
      </c>
      <c r="C2526" t="inlineStr">
        <is>
          <t>MARCKS Bedak Beauty Powder Rose 40gr</t>
        </is>
      </c>
      <c r="D2526" t="inlineStr">
        <is>
          <t>Miss Glam Jambi</t>
        </is>
      </c>
      <c r="E2526" t="n">
        <v>34</v>
      </c>
      <c r="F2526" t="n">
        <v>0.4851</v>
      </c>
      <c r="G2526" t="n">
        <v>1.98</v>
      </c>
      <c r="H2526" t="n">
        <v>4</v>
      </c>
      <c r="I2526" t="n">
        <v>8</v>
      </c>
      <c r="J2526" t="n">
        <v>3</v>
      </c>
      <c r="K2526" t="n">
        <v>0</v>
      </c>
      <c r="L2526" t="n">
        <v>16650</v>
      </c>
      <c r="M2526" t="n">
        <v>20000</v>
      </c>
      <c r="N2526" t="n">
        <v>33</v>
      </c>
      <c r="O2526" t="n">
        <v>0.33</v>
      </c>
      <c r="P2526" t="n">
        <v>1</v>
      </c>
      <c r="Q2526" t="n">
        <v>0.5600000000000001</v>
      </c>
      <c r="R2526" t="n">
        <v>2</v>
      </c>
      <c r="S2526" t="n">
        <v>9702</v>
      </c>
      <c r="T2526" t="n">
        <v>14</v>
      </c>
      <c r="U2526" t="n">
        <v>16</v>
      </c>
      <c r="V2526" t="n">
        <v>30</v>
      </c>
      <c r="W2526" t="n">
        <v>15</v>
      </c>
      <c r="X2526" t="n">
        <v>70.08864151721293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10640</v>
      </c>
      <c r="AG2526" t="n">
        <v>2144</v>
      </c>
      <c r="AH2526" t="inlineStr">
        <is>
          <t>PT. KIMIA FARMA - PPN (JMB)</t>
        </is>
      </c>
      <c r="AI2526" t="n">
        <v>462</v>
      </c>
      <c r="AJ2526" t="inlineStr">
        <is>
          <t>MARCKS</t>
        </is>
      </c>
      <c r="AK2526" t="n">
        <v>9</v>
      </c>
      <c r="AL2526" t="inlineStr">
        <is>
          <t>Miss Glam Jambi</t>
        </is>
      </c>
      <c r="AM2526" t="n">
        <v>4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MARCKS</t>
        </is>
      </c>
      <c r="B2527" s="2">
        <f>"8995026806144"</f>
        <v/>
      </c>
      <c r="C2527" t="inlineStr">
        <is>
          <t>MARCKS Bedak Beauty Powder White 20g</t>
        </is>
      </c>
      <c r="D2527" t="inlineStr">
        <is>
          <t>Miss Glam Jambi</t>
        </is>
      </c>
      <c r="E2527" t="n">
        <v>6</v>
      </c>
      <c r="F2527" t="n">
        <v>0.1056</v>
      </c>
      <c r="G2527" t="n">
        <v>0.66</v>
      </c>
      <c r="H2527" t="n">
        <v>4</v>
      </c>
      <c r="I2527" t="n">
        <v>8</v>
      </c>
      <c r="J2527" t="n">
        <v>3</v>
      </c>
      <c r="K2527" t="n">
        <v>0</v>
      </c>
      <c r="L2527" t="n">
        <v>26307</v>
      </c>
      <c r="M2527" t="n">
        <v>31500</v>
      </c>
      <c r="N2527" t="n">
        <v>33</v>
      </c>
      <c r="O2527" t="n">
        <v>0.33</v>
      </c>
      <c r="P2527" t="n">
        <v>1</v>
      </c>
      <c r="Q2527" t="n">
        <v>0.12</v>
      </c>
      <c r="R2527" t="n">
        <v>1</v>
      </c>
      <c r="S2527" t="n">
        <v>3326.400000000001</v>
      </c>
      <c r="T2527" t="n">
        <v>5</v>
      </c>
      <c r="U2527" t="n">
        <v>6</v>
      </c>
      <c r="V2527" t="n">
        <v>30</v>
      </c>
      <c r="W2527" t="n">
        <v>4</v>
      </c>
      <c r="X2527" t="n">
        <v>56.81818181818181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10640</v>
      </c>
      <c r="AG2527" t="n">
        <v>2144</v>
      </c>
      <c r="AH2527" t="inlineStr">
        <is>
          <t>PT. KIMIA FARMA - PPN (JMB)</t>
        </is>
      </c>
      <c r="AI2527" t="n">
        <v>462</v>
      </c>
      <c r="AJ2527" t="inlineStr">
        <is>
          <t>MARCKS</t>
        </is>
      </c>
      <c r="AK2527" t="n">
        <v>9</v>
      </c>
      <c r="AL2527" t="inlineStr">
        <is>
          <t>Miss Glam Jambi</t>
        </is>
      </c>
      <c r="AM2527" t="n">
        <v>4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MARCKS</t>
        </is>
      </c>
      <c r="B2528" s="2">
        <f>"8995026807127"</f>
        <v/>
      </c>
      <c r="C2528" t="inlineStr">
        <is>
          <t>MARCKS Breathable Smoothing Powder Natural Beige 15g</t>
        </is>
      </c>
      <c r="D2528" t="inlineStr">
        <is>
          <t>Miss Glam Jambi</t>
        </is>
      </c>
      <c r="E2528" t="n">
        <v>9</v>
      </c>
      <c r="F2528" t="n">
        <v>0.03</v>
      </c>
      <c r="G2528" t="n">
        <v>1</v>
      </c>
      <c r="H2528" t="n">
        <v>4</v>
      </c>
      <c r="I2528" t="n">
        <v>8</v>
      </c>
      <c r="J2528" t="n">
        <v>3</v>
      </c>
      <c r="K2528" t="n">
        <v>0</v>
      </c>
      <c r="L2528" t="n">
        <v>38517</v>
      </c>
      <c r="M2528" t="n">
        <v>45500</v>
      </c>
      <c r="N2528" t="n">
        <v>33</v>
      </c>
      <c r="O2528" t="n">
        <v>0.33</v>
      </c>
      <c r="P2528" t="n">
        <v>0</v>
      </c>
      <c r="Q2528" t="n">
        <v>0.03</v>
      </c>
      <c r="R2528" t="n">
        <v>1</v>
      </c>
      <c r="S2528" t="n">
        <v>1365</v>
      </c>
      <c r="T2528" t="n">
        <v>8</v>
      </c>
      <c r="U2528" t="n">
        <v>9</v>
      </c>
      <c r="V2528" t="n">
        <v>30</v>
      </c>
      <c r="W2528" t="n">
        <v>1</v>
      </c>
      <c r="X2528" t="n">
        <v>300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10640</v>
      </c>
      <c r="AG2528" t="n">
        <v>2144</v>
      </c>
      <c r="AH2528" t="inlineStr">
        <is>
          <t>PT. KIMIA FARMA - PPN (JMB)</t>
        </is>
      </c>
      <c r="AI2528" t="n">
        <v>462</v>
      </c>
      <c r="AJ2528" t="inlineStr">
        <is>
          <t>MARCKS</t>
        </is>
      </c>
      <c r="AK2528" t="n">
        <v>9</v>
      </c>
      <c r="AL2528" t="inlineStr">
        <is>
          <t>Miss Glam Jambi</t>
        </is>
      </c>
      <c r="AM2528" t="n">
        <v>4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MARCKS</t>
        </is>
      </c>
      <c r="B2529" s="2">
        <f>"8995026807110"</f>
        <v/>
      </c>
      <c r="C2529" t="inlineStr">
        <is>
          <t>MARCKS Breathable Smoothing Powder Rose 15g</t>
        </is>
      </c>
      <c r="D2529" t="inlineStr">
        <is>
          <t>Miss Glam Jambi</t>
        </is>
      </c>
      <c r="E2529" t="n">
        <v>1</v>
      </c>
      <c r="F2529" t="n">
        <v>0.0198</v>
      </c>
      <c r="G2529" t="n">
        <v>0.33</v>
      </c>
      <c r="H2529" t="n">
        <v>4</v>
      </c>
      <c r="I2529" t="n">
        <v>8</v>
      </c>
      <c r="J2529" t="n">
        <v>3</v>
      </c>
      <c r="K2529" t="n">
        <v>0</v>
      </c>
      <c r="L2529" t="n">
        <v>34735</v>
      </c>
      <c r="M2529" t="n">
        <v>45500</v>
      </c>
      <c r="N2529" t="n">
        <v>33</v>
      </c>
      <c r="O2529" t="n">
        <v>0.33</v>
      </c>
      <c r="P2529" t="n">
        <v>1</v>
      </c>
      <c r="Q2529" t="n">
        <v>0.02</v>
      </c>
      <c r="R2529" t="n">
        <v>1</v>
      </c>
      <c r="S2529" t="n">
        <v>900.9000000000001</v>
      </c>
      <c r="T2529" t="n">
        <v>3</v>
      </c>
      <c r="U2529" t="n">
        <v>4</v>
      </c>
      <c r="V2529" t="n">
        <v>30</v>
      </c>
      <c r="W2529" t="n">
        <v>1</v>
      </c>
      <c r="X2529" t="n">
        <v>50.5050505050505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10640</v>
      </c>
      <c r="AG2529" t="n">
        <v>2144</v>
      </c>
      <c r="AH2529" t="inlineStr">
        <is>
          <t>PT. KIMIA FARMA - PPN (JMB)</t>
        </is>
      </c>
      <c r="AI2529" t="n">
        <v>462</v>
      </c>
      <c r="AJ2529" t="inlineStr">
        <is>
          <t>MARCKS</t>
        </is>
      </c>
      <c r="AK2529" t="n">
        <v>9</v>
      </c>
      <c r="AL2529" t="inlineStr">
        <is>
          <t>Miss Glam Jambi</t>
        </is>
      </c>
      <c r="AM2529" t="n">
        <v>4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MARCKS</t>
        </is>
      </c>
      <c r="B2530" s="2">
        <f>"8995026806304"</f>
        <v/>
      </c>
      <c r="C2530" t="inlineStr">
        <is>
          <t>MARCKS Teen Hello Bright Compact Powder Invisible12g</t>
        </is>
      </c>
      <c r="D2530" t="inlineStr">
        <is>
          <t>Miss Glam Jambi</t>
        </is>
      </c>
      <c r="E2530" t="n">
        <v>3</v>
      </c>
      <c r="F2530" t="n">
        <v>0.05</v>
      </c>
      <c r="G2530" t="n">
        <v>1</v>
      </c>
      <c r="H2530" t="n">
        <v>4</v>
      </c>
      <c r="I2530" t="n">
        <v>8</v>
      </c>
      <c r="J2530" t="n">
        <v>3</v>
      </c>
      <c r="K2530" t="n">
        <v>0</v>
      </c>
      <c r="L2530" t="n">
        <v>22200</v>
      </c>
      <c r="M2530" t="n">
        <v>26500</v>
      </c>
      <c r="N2530" t="n">
        <v>33</v>
      </c>
      <c r="O2530" t="n">
        <v>0.33</v>
      </c>
      <c r="P2530" t="n">
        <v>0</v>
      </c>
      <c r="Q2530" t="n">
        <v>0.05</v>
      </c>
      <c r="R2530" t="n">
        <v>1</v>
      </c>
      <c r="S2530" t="n">
        <v>1325</v>
      </c>
      <c r="T2530" t="n">
        <v>8</v>
      </c>
      <c r="U2530" t="n">
        <v>9</v>
      </c>
      <c r="V2530" t="n">
        <v>30</v>
      </c>
      <c r="W2530" t="n">
        <v>2</v>
      </c>
      <c r="X2530" t="n">
        <v>60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10640</v>
      </c>
      <c r="AG2530" t="n">
        <v>2144</v>
      </c>
      <c r="AH2530" t="inlineStr">
        <is>
          <t>PT. KIMIA FARMA - PPN (JMB)</t>
        </is>
      </c>
      <c r="AI2530" t="n">
        <v>462</v>
      </c>
      <c r="AJ2530" t="inlineStr">
        <is>
          <t>MARCKS</t>
        </is>
      </c>
      <c r="AK2530" t="n">
        <v>9</v>
      </c>
      <c r="AL2530" t="inlineStr">
        <is>
          <t>Miss Glam Jambi</t>
        </is>
      </c>
      <c r="AM2530" t="n">
        <v>4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MARCKS</t>
        </is>
      </c>
      <c r="B2531" s="2">
        <f>"8995026806298"</f>
        <v/>
      </c>
      <c r="C2531" t="inlineStr">
        <is>
          <t>MARCKS Teens Hello Bright Compact Powder Creme 12gr</t>
        </is>
      </c>
      <c r="D2531" t="inlineStr">
        <is>
          <t>Miss Glam Jambi</t>
        </is>
      </c>
      <c r="E2531" t="n">
        <v>3</v>
      </c>
      <c r="F2531" t="n">
        <v>0.5082</v>
      </c>
      <c r="G2531" t="n">
        <v>1.98</v>
      </c>
      <c r="H2531" t="n">
        <v>4</v>
      </c>
      <c r="I2531" t="n">
        <v>8</v>
      </c>
      <c r="J2531" t="n">
        <v>3</v>
      </c>
      <c r="K2531" t="n">
        <v>11</v>
      </c>
      <c r="L2531" t="n">
        <v>22200</v>
      </c>
      <c r="M2531" t="n">
        <v>26200</v>
      </c>
      <c r="N2531" t="n">
        <v>33</v>
      </c>
      <c r="O2531" t="n">
        <v>0.33</v>
      </c>
      <c r="P2531" t="n">
        <v>1</v>
      </c>
      <c r="Q2531" t="n">
        <v>0.08</v>
      </c>
      <c r="R2531" t="n">
        <v>1</v>
      </c>
      <c r="S2531" t="n">
        <v>13314.84</v>
      </c>
      <c r="T2531" t="n">
        <v>14</v>
      </c>
      <c r="U2531" t="n">
        <v>17</v>
      </c>
      <c r="V2531" t="n">
        <v>30</v>
      </c>
      <c r="W2531" t="n">
        <v>16</v>
      </c>
      <c r="X2531" t="n">
        <v>5.90318772136954</v>
      </c>
      <c r="Y2531" t="n">
        <v>1</v>
      </c>
      <c r="Z2531" t="n">
        <v>2</v>
      </c>
      <c r="AA2531" t="n">
        <v>1</v>
      </c>
      <c r="AB2531" t="n">
        <v>1</v>
      </c>
      <c r="AC2531" t="n">
        <v>3</v>
      </c>
      <c r="AD2531" t="n">
        <v>22200</v>
      </c>
      <c r="AE2531" t="n">
        <v>66600</v>
      </c>
      <c r="AF2531" t="n">
        <v>10640</v>
      </c>
      <c r="AG2531" t="n">
        <v>2144</v>
      </c>
      <c r="AH2531" t="inlineStr">
        <is>
          <t>PT. KIMIA FARMA - PPN (JMB)</t>
        </is>
      </c>
      <c r="AI2531" t="n">
        <v>462</v>
      </c>
      <c r="AJ2531" t="inlineStr">
        <is>
          <t>MARCKS</t>
        </is>
      </c>
      <c r="AK2531" t="n">
        <v>9</v>
      </c>
      <c r="AL2531" t="inlineStr">
        <is>
          <t>Miss Glam Jambi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MARCKS</t>
        </is>
      </c>
      <c r="B2532" s="2">
        <f>"8995026806311"</f>
        <v/>
      </c>
      <c r="C2532" t="inlineStr">
        <is>
          <t>MARCKS Teens Hello Bright Compact Powder Natural Beige 12g</t>
        </is>
      </c>
      <c r="D2532" t="inlineStr">
        <is>
          <t>Miss Glam Jambi</t>
        </is>
      </c>
      <c r="E2532" t="n">
        <v>6</v>
      </c>
      <c r="F2532" t="n">
        <v>0.3465</v>
      </c>
      <c r="G2532" t="n">
        <v>0.99</v>
      </c>
      <c r="H2532" t="n">
        <v>4</v>
      </c>
      <c r="I2532" t="n">
        <v>8</v>
      </c>
      <c r="J2532" t="n">
        <v>3</v>
      </c>
      <c r="K2532" t="n">
        <v>5</v>
      </c>
      <c r="L2532" t="n">
        <v>22200</v>
      </c>
      <c r="M2532" t="n">
        <v>27500</v>
      </c>
      <c r="N2532" t="n">
        <v>33</v>
      </c>
      <c r="O2532" t="n">
        <v>0.33</v>
      </c>
      <c r="P2532" t="n">
        <v>1</v>
      </c>
      <c r="Q2532" t="n">
        <v>0.14</v>
      </c>
      <c r="R2532" t="n">
        <v>2</v>
      </c>
      <c r="S2532" t="n">
        <v>9528.75</v>
      </c>
      <c r="T2532" t="n">
        <v>7</v>
      </c>
      <c r="U2532" t="n">
        <v>9</v>
      </c>
      <c r="V2532" t="n">
        <v>30</v>
      </c>
      <c r="W2532" t="n">
        <v>11</v>
      </c>
      <c r="X2532" t="n">
        <v>17.31601731601732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10640</v>
      </c>
      <c r="AG2532" t="n">
        <v>2144</v>
      </c>
      <c r="AH2532" t="inlineStr">
        <is>
          <t>PT. KIMIA FARMA - PPN (JMB)</t>
        </is>
      </c>
      <c r="AI2532" t="n">
        <v>462</v>
      </c>
      <c r="AJ2532" t="inlineStr">
        <is>
          <t>MARCKS</t>
        </is>
      </c>
      <c r="AK2532" t="n">
        <v>9</v>
      </c>
      <c r="AL2532" t="inlineStr">
        <is>
          <t>Miss Glam Jambi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MARCKS</t>
        </is>
      </c>
      <c r="B2533" s="2">
        <f>"8995026806274"</f>
        <v/>
      </c>
      <c r="C2533" t="inlineStr">
        <is>
          <t>MARCKS' Teen Hello Bright Compact Powder Pink 12g</t>
        </is>
      </c>
      <c r="D2533" t="inlineStr">
        <is>
          <t>Miss Glam Jambi</t>
        </is>
      </c>
      <c r="E2533" t="n">
        <v>3</v>
      </c>
      <c r="F2533" t="n">
        <v>0.2112</v>
      </c>
      <c r="G2533" t="n">
        <v>0.99</v>
      </c>
      <c r="H2533" t="n">
        <v>4</v>
      </c>
      <c r="I2533" t="n">
        <v>8</v>
      </c>
      <c r="J2533" t="n">
        <v>3</v>
      </c>
      <c r="K2533" t="n">
        <v>4</v>
      </c>
      <c r="L2533" t="n">
        <v>22200</v>
      </c>
      <c r="M2533" t="n">
        <v>26500</v>
      </c>
      <c r="N2533" t="n">
        <v>33</v>
      </c>
      <c r="O2533" t="n">
        <v>0.33</v>
      </c>
      <c r="P2533" t="n">
        <v>1</v>
      </c>
      <c r="Q2533" t="n">
        <v>0.05</v>
      </c>
      <c r="R2533" t="n">
        <v>1</v>
      </c>
      <c r="S2533" t="n">
        <v>5596.800000000001</v>
      </c>
      <c r="T2533" t="n">
        <v>8</v>
      </c>
      <c r="U2533" t="n">
        <v>9</v>
      </c>
      <c r="V2533" t="n">
        <v>30</v>
      </c>
      <c r="W2533" t="n">
        <v>7</v>
      </c>
      <c r="X2533" t="n">
        <v>14.20454545454545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10640</v>
      </c>
      <c r="AG2533" t="n">
        <v>2144</v>
      </c>
      <c r="AH2533" t="inlineStr">
        <is>
          <t>PT. KIMIA FARMA - PPN (JMB)</t>
        </is>
      </c>
      <c r="AI2533" t="n">
        <v>462</v>
      </c>
      <c r="AJ2533" t="inlineStr">
        <is>
          <t>MARCKS</t>
        </is>
      </c>
      <c r="AK2533" t="n">
        <v>9</v>
      </c>
      <c r="AL2533" t="inlineStr">
        <is>
          <t>Miss Glam Jambi</t>
        </is>
      </c>
      <c r="AM2533" t="n">
        <v>4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MARINA</t>
        </is>
      </c>
      <c r="B2534" s="2">
        <f>"8999908450807"</f>
        <v/>
      </c>
      <c r="C2534" t="inlineStr">
        <is>
          <t>MARINA Body Lotion Uv White Extra Spf30 92ml</t>
        </is>
      </c>
      <c r="D2534" t="inlineStr">
        <is>
          <t>Miss Glam Jambi</t>
        </is>
      </c>
      <c r="E2534" t="n">
        <v>48</v>
      </c>
      <c r="F2534" t="n">
        <v>2.0031</v>
      </c>
      <c r="G2534" t="n">
        <v>5.28</v>
      </c>
      <c r="H2534" t="n">
        <v>3</v>
      </c>
      <c r="I2534" t="n">
        <v>9</v>
      </c>
      <c r="J2534" t="n">
        <v>3</v>
      </c>
      <c r="K2534" t="n">
        <v>13</v>
      </c>
      <c r="L2534" t="n">
        <v>7391</v>
      </c>
      <c r="M2534" t="n">
        <v>10500</v>
      </c>
      <c r="N2534" t="n">
        <v>33</v>
      </c>
      <c r="O2534" t="n">
        <v>0.33</v>
      </c>
      <c r="P2534" t="n">
        <v>1</v>
      </c>
      <c r="Q2534" t="n">
        <v>0.63</v>
      </c>
      <c r="R2534" t="n">
        <v>5</v>
      </c>
      <c r="S2534" t="n">
        <v>21032.55</v>
      </c>
      <c r="T2534" t="n">
        <v>42</v>
      </c>
      <c r="U2534" t="n">
        <v>49</v>
      </c>
      <c r="V2534" t="n">
        <v>30</v>
      </c>
      <c r="W2534" t="n">
        <v>61</v>
      </c>
      <c r="X2534" t="n">
        <v>23.96285757076531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13205</v>
      </c>
      <c r="AG2534" t="n">
        <v>2143</v>
      </c>
      <c r="AH2534" t="inlineStr">
        <is>
          <t>PT. TEMPO - PPN (JMB)</t>
        </is>
      </c>
      <c r="AI2534" t="n">
        <v>106</v>
      </c>
      <c r="AJ2534" t="inlineStr">
        <is>
          <t>MARINA</t>
        </is>
      </c>
      <c r="AK2534" t="n">
        <v>9</v>
      </c>
      <c r="AL2534" t="inlineStr">
        <is>
          <t>Miss Glam Jambi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MARINA</t>
        </is>
      </c>
      <c r="B2535" s="2">
        <f>"8999908214409"</f>
        <v/>
      </c>
      <c r="C2535" t="inlineStr">
        <is>
          <t>MARINA Body Mist Cologne Caribbean Breeze Toska 100ml</t>
        </is>
      </c>
      <c r="D2535" t="inlineStr">
        <is>
          <t>Miss Glam Jambi</t>
        </is>
      </c>
      <c r="E2535" t="n">
        <v>10</v>
      </c>
      <c r="F2535" t="n">
        <v>0.1617</v>
      </c>
      <c r="G2535" t="n">
        <v>0.99</v>
      </c>
      <c r="H2535" t="n">
        <v>3</v>
      </c>
      <c r="I2535" t="n">
        <v>9</v>
      </c>
      <c r="J2535" t="n">
        <v>3</v>
      </c>
      <c r="K2535" t="n">
        <v>0</v>
      </c>
      <c r="L2535" t="n">
        <v>10493</v>
      </c>
      <c r="M2535" t="n">
        <v>14000</v>
      </c>
      <c r="N2535" t="n">
        <v>33</v>
      </c>
      <c r="O2535" t="n">
        <v>0.33</v>
      </c>
      <c r="P2535" t="n">
        <v>1</v>
      </c>
      <c r="Q2535" t="n">
        <v>0.05</v>
      </c>
      <c r="R2535" t="n">
        <v>1</v>
      </c>
      <c r="S2535" t="n">
        <v>2263.8</v>
      </c>
      <c r="T2535" t="n">
        <v>9</v>
      </c>
      <c r="U2535" t="n">
        <v>10</v>
      </c>
      <c r="V2535" t="n">
        <v>30</v>
      </c>
      <c r="W2535" t="n">
        <v>5</v>
      </c>
      <c r="X2535" t="n">
        <v>61.84291898577612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13205</v>
      </c>
      <c r="AG2535" t="n">
        <v>2143</v>
      </c>
      <c r="AH2535" t="inlineStr">
        <is>
          <t>PT. TEMPO - PPN (JMB)</t>
        </is>
      </c>
      <c r="AI2535" t="n">
        <v>106</v>
      </c>
      <c r="AJ2535" t="inlineStr">
        <is>
          <t>MARINA</t>
        </is>
      </c>
      <c r="AK2535" t="n">
        <v>9</v>
      </c>
      <c r="AL2535" t="inlineStr">
        <is>
          <t>Miss Glam Jambi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MARINA</t>
        </is>
      </c>
      <c r="B2536" s="2">
        <f>"8999908692603"</f>
        <v/>
      </c>
      <c r="C2536" t="inlineStr">
        <is>
          <t>MARINA E Eau De Toilette Glam Perfection 150ml</t>
        </is>
      </c>
      <c r="D2536" t="inlineStr">
        <is>
          <t>Miss Glam Jambi</t>
        </is>
      </c>
      <c r="E2536" t="n">
        <v>5</v>
      </c>
      <c r="F2536" t="n">
        <v>0.0462</v>
      </c>
      <c r="G2536" t="n">
        <v>0.66</v>
      </c>
      <c r="H2536" t="n">
        <v>3</v>
      </c>
      <c r="I2536" t="n">
        <v>9</v>
      </c>
      <c r="J2536" t="n">
        <v>3</v>
      </c>
      <c r="K2536" t="n">
        <v>0</v>
      </c>
      <c r="L2536" t="n">
        <v>17239</v>
      </c>
      <c r="M2536" t="n">
        <v>24000</v>
      </c>
      <c r="N2536" t="n">
        <v>33</v>
      </c>
      <c r="O2536" t="n">
        <v>0.33</v>
      </c>
      <c r="P2536" t="n">
        <v>1</v>
      </c>
      <c r="Q2536" t="n">
        <v>0.07000000000000001</v>
      </c>
      <c r="R2536" t="n">
        <v>1</v>
      </c>
      <c r="S2536" t="n">
        <v>1108.8</v>
      </c>
      <c r="T2536" t="n">
        <v>6</v>
      </c>
      <c r="U2536" t="n">
        <v>7</v>
      </c>
      <c r="V2536" t="n">
        <v>30</v>
      </c>
      <c r="W2536" t="n">
        <v>2</v>
      </c>
      <c r="X2536" t="n">
        <v>108.2251082251082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13205</v>
      </c>
      <c r="AG2536" t="n">
        <v>2143</v>
      </c>
      <c r="AH2536" t="inlineStr">
        <is>
          <t>PT. TEMPO - PPN (JMB)</t>
        </is>
      </c>
      <c r="AI2536" t="n">
        <v>106</v>
      </c>
      <c r="AJ2536" t="inlineStr">
        <is>
          <t>MARINA</t>
        </is>
      </c>
      <c r="AK2536" t="n">
        <v>9</v>
      </c>
      <c r="AL2536" t="inlineStr">
        <is>
          <t>Miss Glam Jambi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MARINA</t>
        </is>
      </c>
      <c r="B2537" s="2">
        <f>"8999908766809"</f>
        <v/>
      </c>
      <c r="C2537" t="inlineStr">
        <is>
          <t>MARINA Eau De Toilette Royale Velvet 150ml</t>
        </is>
      </c>
      <c r="D2537" t="inlineStr">
        <is>
          <t>Miss Glam Jambi</t>
        </is>
      </c>
      <c r="E2537" t="n">
        <v>9</v>
      </c>
      <c r="F2537" t="n">
        <v>0.0462</v>
      </c>
      <c r="G2537" t="n">
        <v>0.33</v>
      </c>
      <c r="H2537" t="n">
        <v>3</v>
      </c>
      <c r="I2537" t="n">
        <v>9</v>
      </c>
      <c r="J2537" t="n">
        <v>3</v>
      </c>
      <c r="K2537" t="n">
        <v>0</v>
      </c>
      <c r="L2537" t="n">
        <v>17933</v>
      </c>
      <c r="M2537" t="n">
        <v>22500</v>
      </c>
      <c r="N2537" t="n">
        <v>33</v>
      </c>
      <c r="O2537" t="n">
        <v>0.33</v>
      </c>
      <c r="P2537" t="n">
        <v>1</v>
      </c>
      <c r="Q2537" t="n">
        <v>0.1</v>
      </c>
      <c r="R2537" t="n">
        <v>1</v>
      </c>
      <c r="S2537" t="n">
        <v>1039.5</v>
      </c>
      <c r="T2537" t="n">
        <v>3</v>
      </c>
      <c r="U2537" t="n">
        <v>4</v>
      </c>
      <c r="V2537" t="n">
        <v>30</v>
      </c>
      <c r="W2537" t="n">
        <v>2</v>
      </c>
      <c r="X2537" t="n">
        <v>194.8051948051948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13205</v>
      </c>
      <c r="AG2537" t="n">
        <v>2143</v>
      </c>
      <c r="AH2537" t="inlineStr">
        <is>
          <t>PT. TEMPO - PPN (JMB)</t>
        </is>
      </c>
      <c r="AI2537" t="n">
        <v>106</v>
      </c>
      <c r="AJ2537" t="inlineStr">
        <is>
          <t>MARINA</t>
        </is>
      </c>
      <c r="AK2537" t="n">
        <v>9</v>
      </c>
      <c r="AL2537" t="inlineStr">
        <is>
          <t>Miss Glam Jambi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MARINA</t>
        </is>
      </c>
      <c r="B2538" s="2">
        <f>"8999908692504"</f>
        <v/>
      </c>
      <c r="C2538" t="inlineStr">
        <is>
          <t>MARINA Eau De Toilette Sweet Romance 150ml</t>
        </is>
      </c>
      <c r="D2538" t="inlineStr">
        <is>
          <t>Miss Glam Jambi</t>
        </is>
      </c>
      <c r="E2538" t="n">
        <v>9</v>
      </c>
      <c r="F2538" t="n">
        <v>0.09569999999999999</v>
      </c>
      <c r="G2538" t="n">
        <v>0.66</v>
      </c>
      <c r="H2538" t="n">
        <v>3</v>
      </c>
      <c r="I2538" t="n">
        <v>9</v>
      </c>
      <c r="J2538" t="n">
        <v>3</v>
      </c>
      <c r="K2538" t="n">
        <v>0</v>
      </c>
      <c r="L2538" t="n">
        <v>19933</v>
      </c>
      <c r="M2538" t="n">
        <v>25000</v>
      </c>
      <c r="N2538" t="n">
        <v>33</v>
      </c>
      <c r="O2538" t="n">
        <v>0.33</v>
      </c>
      <c r="P2538" t="n">
        <v>1</v>
      </c>
      <c r="Q2538" t="n">
        <v>0.12</v>
      </c>
      <c r="R2538" t="n">
        <v>1</v>
      </c>
      <c r="S2538" t="n">
        <v>2392.5</v>
      </c>
      <c r="T2538" t="n">
        <v>6</v>
      </c>
      <c r="U2538" t="n">
        <v>7</v>
      </c>
      <c r="V2538" t="n">
        <v>30</v>
      </c>
      <c r="W2538" t="n">
        <v>3</v>
      </c>
      <c r="X2538" t="n">
        <v>94.04388714733543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13205</v>
      </c>
      <c r="AG2538" t="n">
        <v>2143</v>
      </c>
      <c r="AH2538" t="inlineStr">
        <is>
          <t>PT. TEMPO - PPN (JMB)</t>
        </is>
      </c>
      <c r="AI2538" t="n">
        <v>106</v>
      </c>
      <c r="AJ2538" t="inlineStr">
        <is>
          <t>MARINA</t>
        </is>
      </c>
      <c r="AK2538" t="n">
        <v>9</v>
      </c>
      <c r="AL2538" t="inlineStr">
        <is>
          <t>Miss Glam Jambi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MARINA</t>
        </is>
      </c>
      <c r="B2539" s="2">
        <f>"8999908961006"</f>
        <v/>
      </c>
      <c r="C2539" t="inlineStr">
        <is>
          <t>MARINA Extra 25% Nourished and Healthy Hand &amp; Body Lotion 150ml+38ml</t>
        </is>
      </c>
      <c r="D2539" t="inlineStr">
        <is>
          <t>Miss Glam Jambi</t>
        </is>
      </c>
      <c r="E2539" t="n">
        <v>44</v>
      </c>
      <c r="F2539" t="n">
        <v>0.0825</v>
      </c>
      <c r="G2539" t="n">
        <v>1.32</v>
      </c>
      <c r="H2539" t="n">
        <v>3</v>
      </c>
      <c r="I2539" t="n">
        <v>9</v>
      </c>
      <c r="J2539" t="n">
        <v>3</v>
      </c>
      <c r="K2539" t="n">
        <v>0</v>
      </c>
      <c r="L2539" t="n">
        <v>5507</v>
      </c>
      <c r="M2539" t="n">
        <v>7000</v>
      </c>
      <c r="N2539" t="n">
        <v>33</v>
      </c>
      <c r="O2539" t="n">
        <v>0.33</v>
      </c>
      <c r="P2539" t="n">
        <v>1</v>
      </c>
      <c r="Q2539" t="n">
        <v>0.14</v>
      </c>
      <c r="R2539" t="n">
        <v>1</v>
      </c>
      <c r="S2539" t="n">
        <v>577.5</v>
      </c>
      <c r="T2539" t="n">
        <v>12</v>
      </c>
      <c r="U2539" t="n">
        <v>13</v>
      </c>
      <c r="V2539" t="n">
        <v>30</v>
      </c>
      <c r="W2539" t="n">
        <v>3</v>
      </c>
      <c r="X2539" t="n">
        <v>533.3333333333333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13205</v>
      </c>
      <c r="AG2539" t="n">
        <v>2143</v>
      </c>
      <c r="AH2539" t="inlineStr">
        <is>
          <t>PT. TEMPO - PPN (JMB)</t>
        </is>
      </c>
      <c r="AI2539" t="n">
        <v>106</v>
      </c>
      <c r="AJ2539" t="inlineStr">
        <is>
          <t>MARINA</t>
        </is>
      </c>
      <c r="AK2539" t="n">
        <v>9</v>
      </c>
      <c r="AL2539" t="inlineStr">
        <is>
          <t>Miss Glam Jambi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MARINA</t>
        </is>
      </c>
      <c r="B2540" s="2">
        <f>"8999908956705"</f>
        <v/>
      </c>
      <c r="C2540" t="inlineStr">
        <is>
          <t>MARINA Extra 25% Protects and Cares Hand &amp; Body Lotion 150ml+38ml</t>
        </is>
      </c>
      <c r="D2540" t="inlineStr">
        <is>
          <t>Miss Glam Jambi</t>
        </is>
      </c>
      <c r="E2540" t="n">
        <v>40</v>
      </c>
      <c r="F2540" t="n">
        <v>0.4686</v>
      </c>
      <c r="G2540" t="n">
        <v>3.3</v>
      </c>
      <c r="H2540" t="n">
        <v>3</v>
      </c>
      <c r="I2540" t="n">
        <v>9</v>
      </c>
      <c r="J2540" t="n">
        <v>3</v>
      </c>
      <c r="K2540" t="n">
        <v>0</v>
      </c>
      <c r="L2540" t="n">
        <v>5503</v>
      </c>
      <c r="M2540" t="n">
        <v>7000</v>
      </c>
      <c r="N2540" t="n">
        <v>33</v>
      </c>
      <c r="O2540" t="n">
        <v>0.33</v>
      </c>
      <c r="P2540" t="n">
        <v>1</v>
      </c>
      <c r="Q2540" t="n">
        <v>0.08</v>
      </c>
      <c r="R2540" t="n">
        <v>2</v>
      </c>
      <c r="S2540" t="n">
        <v>3280.2</v>
      </c>
      <c r="T2540" t="n">
        <v>29</v>
      </c>
      <c r="U2540" t="n">
        <v>31</v>
      </c>
      <c r="V2540" t="n">
        <v>30</v>
      </c>
      <c r="W2540" t="n">
        <v>15</v>
      </c>
      <c r="X2540" t="n">
        <v>85.36064874093043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13205</v>
      </c>
      <c r="AG2540" t="n">
        <v>2143</v>
      </c>
      <c r="AH2540" t="inlineStr">
        <is>
          <t>PT. TEMPO - PPN (JMB)</t>
        </is>
      </c>
      <c r="AI2540" t="n">
        <v>106</v>
      </c>
      <c r="AJ2540" t="inlineStr">
        <is>
          <t>MARINA</t>
        </is>
      </c>
      <c r="AK2540" t="n">
        <v>9</v>
      </c>
      <c r="AL2540" t="inlineStr">
        <is>
          <t>Miss Glam Jambi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MARINA</t>
        </is>
      </c>
      <c r="B2541" s="2">
        <f>"8999908961204"</f>
        <v/>
      </c>
      <c r="C2541" t="inlineStr">
        <is>
          <t>MARINA Extra 25% Smooth and Glow Hand &amp; Body Lotion 150ml+38ml</t>
        </is>
      </c>
      <c r="D2541" t="inlineStr">
        <is>
          <t>Miss Glam Jambi</t>
        </is>
      </c>
      <c r="E2541" t="n">
        <v>17</v>
      </c>
      <c r="F2541" t="n">
        <v>0.1848</v>
      </c>
      <c r="G2541" t="n">
        <v>1.32</v>
      </c>
      <c r="H2541" t="n">
        <v>3</v>
      </c>
      <c r="I2541" t="n">
        <v>9</v>
      </c>
      <c r="J2541" t="n">
        <v>3</v>
      </c>
      <c r="K2541" t="n">
        <v>0</v>
      </c>
      <c r="L2541" t="n">
        <v>5503</v>
      </c>
      <c r="M2541" t="n">
        <v>7500</v>
      </c>
      <c r="N2541" t="n">
        <v>33</v>
      </c>
      <c r="O2541" t="n">
        <v>0.33</v>
      </c>
      <c r="P2541" t="n">
        <v>1</v>
      </c>
      <c r="Q2541" t="n">
        <v>0.1</v>
      </c>
      <c r="R2541" t="n">
        <v>1</v>
      </c>
      <c r="S2541" t="n">
        <v>1386</v>
      </c>
      <c r="T2541" t="n">
        <v>12</v>
      </c>
      <c r="U2541" t="n">
        <v>13</v>
      </c>
      <c r="V2541" t="n">
        <v>30</v>
      </c>
      <c r="W2541" t="n">
        <v>6</v>
      </c>
      <c r="X2541" t="n">
        <v>91.99134199134198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13205</v>
      </c>
      <c r="AG2541" t="n">
        <v>2143</v>
      </c>
      <c r="AH2541" t="inlineStr">
        <is>
          <t>PT. TEMPO - PPN (JMB)</t>
        </is>
      </c>
      <c r="AI2541" t="n">
        <v>106</v>
      </c>
      <c r="AJ2541" t="inlineStr">
        <is>
          <t>MARINA</t>
        </is>
      </c>
      <c r="AK2541" t="n">
        <v>9</v>
      </c>
      <c r="AL2541" t="inlineStr">
        <is>
          <t>Miss Glam Jambi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MARINA</t>
        </is>
      </c>
      <c r="B2542" s="2">
        <f>"30200184333"</f>
        <v/>
      </c>
      <c r="C2542" t="inlineStr">
        <is>
          <t>MARINA Hand Body Lotion Dewy Bright Pump 350ml</t>
        </is>
      </c>
      <c r="D2542" t="inlineStr">
        <is>
          <t>Miss Glam Jambi</t>
        </is>
      </c>
      <c r="E2542" t="n">
        <v>0</v>
      </c>
      <c r="F2542" t="n">
        <v>0.07000000000000001</v>
      </c>
      <c r="G2542" t="n">
        <v>1</v>
      </c>
      <c r="H2542" t="n">
        <v>3</v>
      </c>
      <c r="I2542" t="n">
        <v>9</v>
      </c>
      <c r="J2542" t="n">
        <v>3</v>
      </c>
      <c r="K2542" t="n">
        <v>3</v>
      </c>
      <c r="L2542" t="n">
        <v>13775</v>
      </c>
      <c r="M2542" t="n">
        <v>16500</v>
      </c>
      <c r="N2542" t="n">
        <v>33</v>
      </c>
      <c r="O2542" t="n">
        <v>0.33</v>
      </c>
      <c r="P2542" t="n">
        <v>0</v>
      </c>
      <c r="Q2542" t="n">
        <v>0.07000000000000001</v>
      </c>
      <c r="R2542" t="n">
        <v>1</v>
      </c>
      <c r="S2542" t="n">
        <v>1155</v>
      </c>
      <c r="T2542" t="n">
        <v>9</v>
      </c>
      <c r="U2542" t="n">
        <v>10</v>
      </c>
      <c r="V2542" t="n">
        <v>30</v>
      </c>
      <c r="W2542" t="n">
        <v>3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13205</v>
      </c>
      <c r="AG2542" t="n">
        <v>2143</v>
      </c>
      <c r="AH2542" t="inlineStr">
        <is>
          <t>PT. TEMPO - PPN (JMB)</t>
        </is>
      </c>
      <c r="AI2542" t="n">
        <v>106</v>
      </c>
      <c r="AJ2542" t="inlineStr">
        <is>
          <t>MARINA</t>
        </is>
      </c>
      <c r="AK2542" t="n">
        <v>9</v>
      </c>
      <c r="AL2542" t="inlineStr">
        <is>
          <t>Miss Glam Jambi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MARINA</t>
        </is>
      </c>
      <c r="B2543" s="2">
        <f>"30200192617"</f>
        <v/>
      </c>
      <c r="C2543" t="inlineStr">
        <is>
          <t>MARINA Hand Body Lotion Natural Nourish &amp; Healthy Ext 75ml</t>
        </is>
      </c>
      <c r="D2543" t="inlineStr">
        <is>
          <t>Miss Glam Jambi</t>
        </is>
      </c>
      <c r="E2543" t="n">
        <v>48</v>
      </c>
      <c r="F2543" t="n">
        <v>0.2838</v>
      </c>
      <c r="G2543" t="n">
        <v>1.32</v>
      </c>
      <c r="H2543" t="n">
        <v>3</v>
      </c>
      <c r="I2543" t="n">
        <v>9</v>
      </c>
      <c r="J2543" t="n">
        <v>1</v>
      </c>
      <c r="K2543" t="n">
        <v>0</v>
      </c>
      <c r="L2543" t="n">
        <v>3179</v>
      </c>
      <c r="M2543" t="n">
        <v>4000</v>
      </c>
      <c r="N2543" t="n">
        <v>33</v>
      </c>
      <c r="O2543" t="n">
        <v>0.33</v>
      </c>
      <c r="P2543" t="n">
        <v>1</v>
      </c>
      <c r="Q2543" t="n">
        <v>0.07000000000000001</v>
      </c>
      <c r="R2543" t="n">
        <v>1</v>
      </c>
      <c r="S2543" t="n">
        <v>1135.2</v>
      </c>
      <c r="T2543" t="n">
        <v>12</v>
      </c>
      <c r="U2543" t="n">
        <v>13</v>
      </c>
      <c r="V2543" t="n">
        <v>30</v>
      </c>
      <c r="W2543" t="n">
        <v>9</v>
      </c>
      <c r="X2543" t="n">
        <v>169.1331923890064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13205</v>
      </c>
      <c r="AG2543" t="n">
        <v>2143</v>
      </c>
      <c r="AH2543" t="inlineStr">
        <is>
          <t>PT. TEMPO - PPN (JMB)</t>
        </is>
      </c>
      <c r="AI2543" t="n">
        <v>106</v>
      </c>
      <c r="AJ2543" t="inlineStr">
        <is>
          <t>MARINA</t>
        </is>
      </c>
      <c r="AK2543" t="n">
        <v>9</v>
      </c>
      <c r="AL2543" t="inlineStr">
        <is>
          <t>Miss Glam Jambi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MARINA</t>
        </is>
      </c>
      <c r="B2544" s="2">
        <f>"8999908060709"</f>
        <v/>
      </c>
      <c r="C2544" t="inlineStr">
        <is>
          <t>MARINA Hand Body Lotion Natural Nourished &amp; Healthy 95ml</t>
        </is>
      </c>
      <c r="D2544" t="inlineStr">
        <is>
          <t>Miss Glam Jambi</t>
        </is>
      </c>
      <c r="E2544" t="n">
        <v>21</v>
      </c>
      <c r="F2544" t="n">
        <v>0.1518</v>
      </c>
      <c r="G2544" t="n">
        <v>1.32</v>
      </c>
      <c r="H2544" t="n">
        <v>3</v>
      </c>
      <c r="I2544" t="n">
        <v>9</v>
      </c>
      <c r="J2544" t="n">
        <v>3</v>
      </c>
      <c r="K2544" t="n">
        <v>0</v>
      </c>
      <c r="L2544" t="n">
        <v>3804</v>
      </c>
      <c r="M2544" t="n">
        <v>5000</v>
      </c>
      <c r="N2544" t="n">
        <v>33</v>
      </c>
      <c r="O2544" t="n">
        <v>0.33</v>
      </c>
      <c r="P2544" t="n">
        <v>1</v>
      </c>
      <c r="Q2544" t="n">
        <v>0.03</v>
      </c>
      <c r="R2544" t="n">
        <v>1</v>
      </c>
      <c r="S2544" t="n">
        <v>759.0000000000001</v>
      </c>
      <c r="T2544" t="n">
        <v>12</v>
      </c>
      <c r="U2544" t="n">
        <v>13</v>
      </c>
      <c r="V2544" t="n">
        <v>30</v>
      </c>
      <c r="W2544" t="n">
        <v>5</v>
      </c>
      <c r="X2544" t="n">
        <v>138.3399209486166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13205</v>
      </c>
      <c r="AG2544" t="n">
        <v>2143</v>
      </c>
      <c r="AH2544" t="inlineStr">
        <is>
          <t>PT. TEMPO - PPN (JMB)</t>
        </is>
      </c>
      <c r="AI2544" t="n">
        <v>106</v>
      </c>
      <c r="AJ2544" t="inlineStr">
        <is>
          <t>MARINA</t>
        </is>
      </c>
      <c r="AK2544" t="n">
        <v>9</v>
      </c>
      <c r="AL2544" t="inlineStr">
        <is>
          <t>Miss Glam Jambi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MARINA</t>
        </is>
      </c>
      <c r="B2545" s="2">
        <f>"8999908611208"</f>
        <v/>
      </c>
      <c r="C2545" t="inlineStr">
        <is>
          <t>MARINA Hand Body Lotion Natural Nutri Fresh 500ml</t>
        </is>
      </c>
      <c r="D2545" t="inlineStr">
        <is>
          <t>Miss Glam Jambi</t>
        </is>
      </c>
      <c r="E2545" t="n">
        <v>30</v>
      </c>
      <c r="F2545" t="n">
        <v>1.1979</v>
      </c>
      <c r="G2545" t="n">
        <v>3.63</v>
      </c>
      <c r="H2545" t="n">
        <v>3</v>
      </c>
      <c r="I2545" t="n">
        <v>9</v>
      </c>
      <c r="J2545" t="n">
        <v>3</v>
      </c>
      <c r="K2545" t="n">
        <v>7</v>
      </c>
      <c r="L2545" t="n">
        <v>13569</v>
      </c>
      <c r="M2545" t="n">
        <v>17000</v>
      </c>
      <c r="N2545" t="n">
        <v>33</v>
      </c>
      <c r="O2545" t="n">
        <v>0.33</v>
      </c>
      <c r="P2545" t="n">
        <v>1</v>
      </c>
      <c r="Q2545" t="n">
        <v>0.44</v>
      </c>
      <c r="R2545" t="n">
        <v>3</v>
      </c>
      <c r="S2545" t="n">
        <v>20364.3</v>
      </c>
      <c r="T2545" t="n">
        <v>30</v>
      </c>
      <c r="U2545" t="n">
        <v>34</v>
      </c>
      <c r="V2545" t="n">
        <v>30</v>
      </c>
      <c r="W2545" t="n">
        <v>36</v>
      </c>
      <c r="X2545" t="n">
        <v>25.04382669671926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13205</v>
      </c>
      <c r="AG2545" t="n">
        <v>2143</v>
      </c>
      <c r="AH2545" t="inlineStr">
        <is>
          <t>PT. TEMPO - PPN (JMB)</t>
        </is>
      </c>
      <c r="AI2545" t="n">
        <v>106</v>
      </c>
      <c r="AJ2545" t="inlineStr">
        <is>
          <t>MARINA</t>
        </is>
      </c>
      <c r="AK2545" t="n">
        <v>9</v>
      </c>
      <c r="AL2545" t="inlineStr">
        <is>
          <t>Miss Glam Jambi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MARINA</t>
        </is>
      </c>
      <c r="B2546" s="2">
        <f>"8999908045607"</f>
        <v/>
      </c>
      <c r="C2546" t="inlineStr">
        <is>
          <t>MARINA Hand body Lotion Natural Nutri Fresh 95Ml</t>
        </is>
      </c>
      <c r="D2546" t="inlineStr">
        <is>
          <t>Miss Glam Jambi</t>
        </is>
      </c>
      <c r="E2546" t="n">
        <v>88</v>
      </c>
      <c r="F2546" t="n">
        <v>0.6138</v>
      </c>
      <c r="G2546" t="n">
        <v>2.31</v>
      </c>
      <c r="H2546" t="n">
        <v>3</v>
      </c>
      <c r="I2546" t="n">
        <v>9</v>
      </c>
      <c r="J2546" t="n">
        <v>3</v>
      </c>
      <c r="K2546" t="n">
        <v>0</v>
      </c>
      <c r="L2546" t="n">
        <v>3781</v>
      </c>
      <c r="M2546" t="n">
        <v>5500</v>
      </c>
      <c r="N2546" t="n">
        <v>33</v>
      </c>
      <c r="O2546" t="n">
        <v>0.33</v>
      </c>
      <c r="P2546" t="n">
        <v>1</v>
      </c>
      <c r="Q2546" t="n">
        <v>0.17</v>
      </c>
      <c r="R2546" t="n">
        <v>1</v>
      </c>
      <c r="S2546" t="n">
        <v>3375.9</v>
      </c>
      <c r="T2546" t="n">
        <v>19</v>
      </c>
      <c r="U2546" t="n">
        <v>21</v>
      </c>
      <c r="V2546" t="n">
        <v>30</v>
      </c>
      <c r="W2546" t="n">
        <v>19</v>
      </c>
      <c r="X2546" t="n">
        <v>143.3691756272401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13205</v>
      </c>
      <c r="AG2546" t="n">
        <v>2143</v>
      </c>
      <c r="AH2546" t="inlineStr">
        <is>
          <t>PT. TEMPO - PPN (JMB)</t>
        </is>
      </c>
      <c r="AI2546" t="n">
        <v>106</v>
      </c>
      <c r="AJ2546" t="inlineStr">
        <is>
          <t>MARINA</t>
        </is>
      </c>
      <c r="AK2546" t="n">
        <v>9</v>
      </c>
      <c r="AL2546" t="inlineStr">
        <is>
          <t>Miss Glam Jambi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MARINA</t>
        </is>
      </c>
      <c r="B2547" s="2">
        <f>"30200192314"</f>
        <v/>
      </c>
      <c r="C2547" t="inlineStr">
        <is>
          <t>MARINA Hand Body Lotion Natural Protect &amp; Care Ext 75ml</t>
        </is>
      </c>
      <c r="D2547" t="inlineStr">
        <is>
          <t>Miss Glam Jambi</t>
        </is>
      </c>
      <c r="E2547" t="n">
        <v>16</v>
      </c>
      <c r="F2547" t="n">
        <v>0.0462</v>
      </c>
      <c r="G2547" t="n">
        <v>0.99</v>
      </c>
      <c r="H2547" t="n">
        <v>3</v>
      </c>
      <c r="I2547" t="n">
        <v>9</v>
      </c>
      <c r="J2547" t="n">
        <v>1</v>
      </c>
      <c r="K2547" t="n">
        <v>0</v>
      </c>
      <c r="L2547" t="n">
        <v>3179</v>
      </c>
      <c r="M2547" t="n">
        <v>4000</v>
      </c>
      <c r="N2547" t="n">
        <v>33</v>
      </c>
      <c r="O2547" t="n">
        <v>0.33</v>
      </c>
      <c r="P2547" t="n">
        <v>1</v>
      </c>
      <c r="Q2547" t="n">
        <v>0.2</v>
      </c>
      <c r="R2547" t="n">
        <v>1</v>
      </c>
      <c r="S2547" t="n">
        <v>184.8</v>
      </c>
      <c r="T2547" t="n">
        <v>9</v>
      </c>
      <c r="U2547" t="n">
        <v>10</v>
      </c>
      <c r="V2547" t="n">
        <v>30</v>
      </c>
      <c r="W2547" t="n">
        <v>2</v>
      </c>
      <c r="X2547" t="n">
        <v>346.3203463203463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13205</v>
      </c>
      <c r="AG2547" t="n">
        <v>2143</v>
      </c>
      <c r="AH2547" t="inlineStr">
        <is>
          <t>PT. TEMPO - PPN (JMB)</t>
        </is>
      </c>
      <c r="AI2547" t="n">
        <v>106</v>
      </c>
      <c r="AJ2547" t="inlineStr">
        <is>
          <t>MARINA</t>
        </is>
      </c>
      <c r="AK2547" t="n">
        <v>9</v>
      </c>
      <c r="AL2547" t="inlineStr">
        <is>
          <t>Miss Glam Jambi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MARINA</t>
        </is>
      </c>
      <c r="B2548" s="2">
        <f>"8999908956903"</f>
        <v/>
      </c>
      <c r="C2548" t="inlineStr">
        <is>
          <t>MARINA Hand Body Lotion Natural Protects and Cares 313ml</t>
        </is>
      </c>
      <c r="D2548" t="inlineStr">
        <is>
          <t>Miss Glam Jambi</t>
        </is>
      </c>
      <c r="E2548" t="n">
        <v>25</v>
      </c>
      <c r="F2548" t="n">
        <v>0.7557</v>
      </c>
      <c r="G2548" t="n">
        <v>2.64</v>
      </c>
      <c r="H2548" t="n">
        <v>3</v>
      </c>
      <c r="I2548" t="n">
        <v>9</v>
      </c>
      <c r="J2548" t="n">
        <v>3</v>
      </c>
      <c r="K2548" t="n">
        <v>0</v>
      </c>
      <c r="L2548" t="n">
        <v>7688</v>
      </c>
      <c r="M2548" t="n">
        <v>9500</v>
      </c>
      <c r="N2548" t="n">
        <v>33</v>
      </c>
      <c r="O2548" t="n">
        <v>0.33</v>
      </c>
      <c r="P2548" t="n">
        <v>1</v>
      </c>
      <c r="Q2548" t="n">
        <v>0.07000000000000001</v>
      </c>
      <c r="R2548" t="n">
        <v>1</v>
      </c>
      <c r="S2548" t="n">
        <v>7179.150000000001</v>
      </c>
      <c r="T2548" t="n">
        <v>22</v>
      </c>
      <c r="U2548" t="n">
        <v>25</v>
      </c>
      <c r="V2548" t="n">
        <v>30</v>
      </c>
      <c r="W2548" t="n">
        <v>23</v>
      </c>
      <c r="X2548" t="n">
        <v>33.08191081116845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13205</v>
      </c>
      <c r="AG2548" t="n">
        <v>2143</v>
      </c>
      <c r="AH2548" t="inlineStr">
        <is>
          <t>PT. TEMPO - PPN (JMB)</t>
        </is>
      </c>
      <c r="AI2548" t="n">
        <v>106</v>
      </c>
      <c r="AJ2548" t="inlineStr">
        <is>
          <t>MARINA</t>
        </is>
      </c>
      <c r="AK2548" t="n">
        <v>9</v>
      </c>
      <c r="AL2548" t="inlineStr">
        <is>
          <t>Miss Glam Jambi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MARINA</t>
        </is>
      </c>
      <c r="B2549" s="2">
        <f>"30200192448"</f>
        <v/>
      </c>
      <c r="C2549" t="inlineStr">
        <is>
          <t>MARINA Hand Body Lotion Natural Richmoist Ext 75ml</t>
        </is>
      </c>
      <c r="D2549" t="inlineStr">
        <is>
          <t>Miss Glam Jambi</t>
        </is>
      </c>
      <c r="E2549" t="n">
        <v>38</v>
      </c>
      <c r="F2549" t="n">
        <v>0.3036</v>
      </c>
      <c r="G2549" t="n">
        <v>2.31</v>
      </c>
      <c r="H2549" t="n">
        <v>3</v>
      </c>
      <c r="I2549" t="n">
        <v>9</v>
      </c>
      <c r="J2549" t="n">
        <v>1</v>
      </c>
      <c r="K2549" t="n">
        <v>0</v>
      </c>
      <c r="L2549" t="n">
        <v>3179</v>
      </c>
      <c r="M2549" t="n">
        <v>4000</v>
      </c>
      <c r="N2549" t="n">
        <v>33</v>
      </c>
      <c r="O2549" t="n">
        <v>0.33</v>
      </c>
      <c r="P2549" t="n">
        <v>1</v>
      </c>
      <c r="Q2549" t="n">
        <v>0.07000000000000001</v>
      </c>
      <c r="R2549" t="n">
        <v>1</v>
      </c>
      <c r="S2549" t="n">
        <v>1214.4</v>
      </c>
      <c r="T2549" t="n">
        <v>20</v>
      </c>
      <c r="U2549" t="n">
        <v>21</v>
      </c>
      <c r="V2549" t="n">
        <v>30</v>
      </c>
      <c r="W2549" t="n">
        <v>10</v>
      </c>
      <c r="X2549" t="n">
        <v>125.1646903820817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13205</v>
      </c>
      <c r="AG2549" t="n">
        <v>2143</v>
      </c>
      <c r="AH2549" t="inlineStr">
        <is>
          <t>PT. TEMPO - PPN (JMB)</t>
        </is>
      </c>
      <c r="AI2549" t="n">
        <v>106</v>
      </c>
      <c r="AJ2549" t="inlineStr">
        <is>
          <t>MARINA</t>
        </is>
      </c>
      <c r="AK2549" t="n">
        <v>9</v>
      </c>
      <c r="AL2549" t="inlineStr">
        <is>
          <t>Miss Glam Jambi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MARINA</t>
        </is>
      </c>
      <c r="B2550" s="2">
        <f>"30200192543"</f>
        <v/>
      </c>
      <c r="C2550" t="inlineStr">
        <is>
          <t>MARINA Hand Body Lotion Natural Smooth &amp; Glow Ext 75ml</t>
        </is>
      </c>
      <c r="D2550" t="inlineStr">
        <is>
          <t>Miss Glam Jambi</t>
        </is>
      </c>
      <c r="E2550" t="n">
        <v>7</v>
      </c>
      <c r="F2550" t="n">
        <v>0.2574</v>
      </c>
      <c r="G2550" t="n">
        <v>1.32</v>
      </c>
      <c r="H2550" t="n">
        <v>3</v>
      </c>
      <c r="I2550" t="n">
        <v>9</v>
      </c>
      <c r="J2550" t="n">
        <v>1</v>
      </c>
      <c r="K2550" t="n">
        <v>1</v>
      </c>
      <c r="L2550" t="n">
        <v>3179</v>
      </c>
      <c r="M2550" t="n">
        <v>4000</v>
      </c>
      <c r="N2550" t="n">
        <v>33</v>
      </c>
      <c r="O2550" t="n">
        <v>0.33</v>
      </c>
      <c r="P2550" t="n">
        <v>1</v>
      </c>
      <c r="Q2550" t="n">
        <v>0.02</v>
      </c>
      <c r="R2550" t="n">
        <v>1</v>
      </c>
      <c r="S2550" t="n">
        <v>1029.6</v>
      </c>
      <c r="T2550" t="n">
        <v>12</v>
      </c>
      <c r="U2550" t="n">
        <v>13</v>
      </c>
      <c r="V2550" t="n">
        <v>30</v>
      </c>
      <c r="W2550" t="n">
        <v>8</v>
      </c>
      <c r="X2550" t="n">
        <v>27.19502719502719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13205</v>
      </c>
      <c r="AG2550" t="n">
        <v>2143</v>
      </c>
      <c r="AH2550" t="inlineStr">
        <is>
          <t>PT. TEMPO - PPN (JMB)</t>
        </is>
      </c>
      <c r="AI2550" t="n">
        <v>106</v>
      </c>
      <c r="AJ2550" t="inlineStr">
        <is>
          <t>MARINA</t>
        </is>
      </c>
      <c r="AK2550" t="n">
        <v>9</v>
      </c>
      <c r="AL2550" t="inlineStr">
        <is>
          <t>Miss Glam Jambi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MARINA</t>
        </is>
      </c>
      <c r="B2551" s="2">
        <f>"8999908082800"</f>
        <v/>
      </c>
      <c r="C2551" t="inlineStr">
        <is>
          <t>MARINA Hand Body Lotion Uv White Healthy &amp; Glow 185Ml</t>
        </is>
      </c>
      <c r="D2551" t="inlineStr">
        <is>
          <t>Miss Glam Jambi</t>
        </is>
      </c>
      <c r="E2551" t="n">
        <v>64</v>
      </c>
      <c r="F2551" t="n">
        <v>3.2175</v>
      </c>
      <c r="G2551" t="n">
        <v>9.24</v>
      </c>
      <c r="H2551" t="n">
        <v>3</v>
      </c>
      <c r="I2551" t="n">
        <v>9</v>
      </c>
      <c r="J2551" t="n">
        <v>3</v>
      </c>
      <c r="K2551" t="n">
        <v>30</v>
      </c>
      <c r="L2551" t="n">
        <v>7662</v>
      </c>
      <c r="M2551" t="n">
        <v>11000</v>
      </c>
      <c r="N2551" t="n">
        <v>33</v>
      </c>
      <c r="O2551" t="n">
        <v>0.33</v>
      </c>
      <c r="P2551" t="n">
        <v>1</v>
      </c>
      <c r="Q2551" t="n">
        <v>1.2</v>
      </c>
      <c r="R2551" t="n">
        <v>6</v>
      </c>
      <c r="S2551" t="n">
        <v>35392.5</v>
      </c>
      <c r="T2551" t="n">
        <v>74</v>
      </c>
      <c r="U2551" t="n">
        <v>84</v>
      </c>
      <c r="V2551" t="n">
        <v>30</v>
      </c>
      <c r="W2551" t="n">
        <v>97</v>
      </c>
      <c r="X2551" t="n">
        <v>19.89121989121989</v>
      </c>
      <c r="Y2551" t="n">
        <v>1</v>
      </c>
      <c r="Z2551" t="n">
        <v>3</v>
      </c>
      <c r="AA2551" t="n">
        <v>0</v>
      </c>
      <c r="AB2551" t="n">
        <v>3</v>
      </c>
      <c r="AC2551" t="n">
        <v>3</v>
      </c>
      <c r="AD2551" t="n">
        <v>0</v>
      </c>
      <c r="AE2551" t="n">
        <v>22986</v>
      </c>
      <c r="AF2551" t="n">
        <v>13205</v>
      </c>
      <c r="AG2551" t="n">
        <v>2143</v>
      </c>
      <c r="AH2551" t="inlineStr">
        <is>
          <t>PT. TEMPO - PPN (JMB)</t>
        </is>
      </c>
      <c r="AI2551" t="n">
        <v>106</v>
      </c>
      <c r="AJ2551" t="inlineStr">
        <is>
          <t>MARINA</t>
        </is>
      </c>
      <c r="AK2551" t="n">
        <v>9</v>
      </c>
      <c r="AL2551" t="inlineStr">
        <is>
          <t>Miss Glam Jambi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MARINA</t>
        </is>
      </c>
      <c r="B2552" s="2">
        <f>"8999908266101"</f>
        <v/>
      </c>
      <c r="C2552" t="inlineStr">
        <is>
          <t>MARINA Hand Body Lotion Uv White Healthy &amp; Glow 460Ml</t>
        </is>
      </c>
      <c r="D2552" t="inlineStr">
        <is>
          <t>Miss Glam Jambi</t>
        </is>
      </c>
      <c r="E2552" t="n">
        <v>0</v>
      </c>
      <c r="F2552" t="n">
        <v>0.5148</v>
      </c>
      <c r="G2552" t="n">
        <v>5.61</v>
      </c>
      <c r="H2552" t="n">
        <v>3</v>
      </c>
      <c r="I2552" t="n">
        <v>9</v>
      </c>
      <c r="J2552" t="n">
        <v>3</v>
      </c>
      <c r="K2552" t="n">
        <v>11</v>
      </c>
      <c r="L2552" t="n">
        <v>15577</v>
      </c>
      <c r="M2552" t="n">
        <v>17600</v>
      </c>
      <c r="N2552" t="n">
        <v>33</v>
      </c>
      <c r="O2552" t="n">
        <v>0.33</v>
      </c>
      <c r="P2552" t="n">
        <v>1</v>
      </c>
      <c r="Q2552" t="n">
        <v>1.82</v>
      </c>
      <c r="R2552" t="n">
        <v>5</v>
      </c>
      <c r="S2552" t="n">
        <v>9060.480000000001</v>
      </c>
      <c r="T2552" t="n">
        <v>49</v>
      </c>
      <c r="U2552" t="n">
        <v>51</v>
      </c>
      <c r="V2552" t="n">
        <v>30</v>
      </c>
      <c r="W2552" t="n">
        <v>16</v>
      </c>
      <c r="X2552" t="n">
        <v>0</v>
      </c>
      <c r="Y2552" t="n">
        <v>1</v>
      </c>
      <c r="Z2552" t="n">
        <v>5</v>
      </c>
      <c r="AA2552" t="n">
        <v>4</v>
      </c>
      <c r="AB2552" t="n">
        <v>1</v>
      </c>
      <c r="AC2552" t="n">
        <v>3</v>
      </c>
      <c r="AD2552" t="n">
        <v>62308</v>
      </c>
      <c r="AE2552" t="n">
        <v>46731</v>
      </c>
      <c r="AF2552" t="n">
        <v>13205</v>
      </c>
      <c r="AG2552" t="n">
        <v>2143</v>
      </c>
      <c r="AH2552" t="inlineStr">
        <is>
          <t>PT. TEMPO - PPN (JMB)</t>
        </is>
      </c>
      <c r="AI2552" t="n">
        <v>106</v>
      </c>
      <c r="AJ2552" t="inlineStr">
        <is>
          <t>MARINA</t>
        </is>
      </c>
      <c r="AK2552" t="n">
        <v>9</v>
      </c>
      <c r="AL2552" t="inlineStr">
        <is>
          <t>Miss Glam Jambi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MARINA</t>
        </is>
      </c>
      <c r="B2553" s="2">
        <f>"8999908082701"</f>
        <v/>
      </c>
      <c r="C2553" t="inlineStr">
        <is>
          <t>MARINA Hand Body Lotion Uv White Healthy &amp; Glow 92ml</t>
        </is>
      </c>
      <c r="D2553" t="inlineStr">
        <is>
          <t>Miss Glam Jambi</t>
        </is>
      </c>
      <c r="E2553" t="n">
        <v>23</v>
      </c>
      <c r="F2553" t="n">
        <v>3.036</v>
      </c>
      <c r="G2553" t="n">
        <v>7.92</v>
      </c>
      <c r="H2553" t="n">
        <v>3</v>
      </c>
      <c r="I2553" t="n">
        <v>9</v>
      </c>
      <c r="J2553" t="n">
        <v>3</v>
      </c>
      <c r="K2553" t="n">
        <v>66</v>
      </c>
      <c r="L2553" t="n">
        <v>4136</v>
      </c>
      <c r="M2553" t="n">
        <v>5500</v>
      </c>
      <c r="N2553" t="n">
        <v>33</v>
      </c>
      <c r="O2553" t="n">
        <v>0.33</v>
      </c>
      <c r="P2553" t="n">
        <v>1</v>
      </c>
      <c r="Q2553" t="n">
        <v>1.12</v>
      </c>
      <c r="R2553" t="n">
        <v>5</v>
      </c>
      <c r="S2553" t="n">
        <v>16698</v>
      </c>
      <c r="T2553" t="n">
        <v>63</v>
      </c>
      <c r="U2553" t="n">
        <v>73</v>
      </c>
      <c r="V2553" t="n">
        <v>30</v>
      </c>
      <c r="W2553" t="n">
        <v>92</v>
      </c>
      <c r="X2553" t="n">
        <v>7.575757575757575</v>
      </c>
      <c r="Y2553" t="n">
        <v>1</v>
      </c>
      <c r="Z2553" t="n">
        <v>3</v>
      </c>
      <c r="AA2553" t="n">
        <v>4</v>
      </c>
      <c r="AB2553" t="n">
        <v>0</v>
      </c>
      <c r="AC2553" t="n">
        <v>0</v>
      </c>
      <c r="AD2553" t="n">
        <v>16544</v>
      </c>
      <c r="AE2553" t="n">
        <v>0</v>
      </c>
      <c r="AF2553" t="n">
        <v>13205</v>
      </c>
      <c r="AG2553" t="n">
        <v>2143</v>
      </c>
      <c r="AH2553" t="inlineStr">
        <is>
          <t>PT. TEMPO - PPN (JMB)</t>
        </is>
      </c>
      <c r="AI2553" t="n">
        <v>106</v>
      </c>
      <c r="AJ2553" t="inlineStr">
        <is>
          <t>MARINA</t>
        </is>
      </c>
      <c r="AK2553" t="n">
        <v>9</v>
      </c>
      <c r="AL2553" t="inlineStr">
        <is>
          <t>Miss Glam Jambi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MARINA</t>
        </is>
      </c>
      <c r="B2554" s="2">
        <f>"8999908902009"</f>
        <v/>
      </c>
      <c r="C2554" t="inlineStr">
        <is>
          <t>MARINA Healthy Booster Bright Serum Kakadu 185ml</t>
        </is>
      </c>
      <c r="D2554" t="inlineStr">
        <is>
          <t>Miss Glam Jambi</t>
        </is>
      </c>
      <c r="E2554" t="n">
        <v>7</v>
      </c>
      <c r="F2554" t="n">
        <v>0.08</v>
      </c>
      <c r="G2554" t="n">
        <v>1</v>
      </c>
      <c r="H2554" t="n">
        <v>3</v>
      </c>
      <c r="I2554" t="n">
        <v>9</v>
      </c>
      <c r="J2554" t="n">
        <v>3</v>
      </c>
      <c r="K2554" t="n">
        <v>0</v>
      </c>
      <c r="L2554" t="n">
        <v>8139</v>
      </c>
      <c r="M2554" t="n">
        <v>10000</v>
      </c>
      <c r="N2554" t="n">
        <v>33</v>
      </c>
      <c r="O2554" t="n">
        <v>0.33</v>
      </c>
      <c r="P2554" t="n">
        <v>0</v>
      </c>
      <c r="Q2554" t="n">
        <v>0.08</v>
      </c>
      <c r="R2554" t="n">
        <v>1</v>
      </c>
      <c r="S2554" t="n">
        <v>800</v>
      </c>
      <c r="T2554" t="n">
        <v>9</v>
      </c>
      <c r="U2554" t="n">
        <v>10</v>
      </c>
      <c r="V2554" t="n">
        <v>30</v>
      </c>
      <c r="W2554" t="n">
        <v>3</v>
      </c>
      <c r="X2554" t="n">
        <v>87.5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13205</v>
      </c>
      <c r="AG2554" t="n">
        <v>2143</v>
      </c>
      <c r="AH2554" t="inlineStr">
        <is>
          <t>PT. TEMPO - PPN (JMB)</t>
        </is>
      </c>
      <c r="AI2554" t="n">
        <v>106</v>
      </c>
      <c r="AJ2554" t="inlineStr">
        <is>
          <t>MARINA</t>
        </is>
      </c>
      <c r="AK2554" t="n">
        <v>9</v>
      </c>
      <c r="AL2554" t="inlineStr">
        <is>
          <t>Miss Glam Jambi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MARINA</t>
        </is>
      </c>
      <c r="B2555" s="2">
        <f>"8999908618702"</f>
        <v/>
      </c>
      <c r="C2555" t="inlineStr">
        <is>
          <t>MARINA Healty and Glow Body Scrub 200ml</t>
        </is>
      </c>
      <c r="D2555" t="inlineStr">
        <is>
          <t>Miss Glam Jambi</t>
        </is>
      </c>
      <c r="E2555" t="n">
        <v>0</v>
      </c>
      <c r="F2555" t="n">
        <v>0.3399</v>
      </c>
      <c r="G2555" t="n">
        <v>1.65</v>
      </c>
      <c r="H2555" t="n">
        <v>3</v>
      </c>
      <c r="I2555" t="n">
        <v>9</v>
      </c>
      <c r="J2555" t="n">
        <v>48</v>
      </c>
      <c r="K2555" t="n">
        <v>48</v>
      </c>
      <c r="L2555" t="n">
        <v>12392</v>
      </c>
      <c r="M2555" t="n">
        <v>14500</v>
      </c>
      <c r="N2555" t="n">
        <v>33</v>
      </c>
      <c r="O2555" t="n">
        <v>0.33</v>
      </c>
      <c r="P2555" t="n">
        <v>1</v>
      </c>
      <c r="Q2555" t="n">
        <v>0.24</v>
      </c>
      <c r="R2555" t="n">
        <v>3</v>
      </c>
      <c r="S2555" t="n">
        <v>4928.55</v>
      </c>
      <c r="T2555" t="n">
        <v>14</v>
      </c>
      <c r="U2555" t="n">
        <v>16</v>
      </c>
      <c r="V2555" t="n">
        <v>30</v>
      </c>
      <c r="W2555" t="n">
        <v>11</v>
      </c>
      <c r="X2555" t="n">
        <v>0</v>
      </c>
      <c r="Y2555" t="n">
        <v>1</v>
      </c>
      <c r="Z2555" t="n">
        <v>0</v>
      </c>
      <c r="AA2555" t="n">
        <v>3</v>
      </c>
      <c r="AB2555" t="n">
        <v>0</v>
      </c>
      <c r="AC2555" t="n">
        <v>0</v>
      </c>
      <c r="AD2555" t="n">
        <v>37176</v>
      </c>
      <c r="AE2555" t="n">
        <v>0</v>
      </c>
      <c r="AF2555" t="n">
        <v>13205</v>
      </c>
      <c r="AG2555" t="n">
        <v>2143</v>
      </c>
      <c r="AH2555" t="inlineStr">
        <is>
          <t>PT. TEMPO - PPN (JMB)</t>
        </is>
      </c>
      <c r="AI2555" t="n">
        <v>106</v>
      </c>
      <c r="AJ2555" t="inlineStr">
        <is>
          <t>MARINA</t>
        </is>
      </c>
      <c r="AK2555" t="n">
        <v>9</v>
      </c>
      <c r="AL2555" t="inlineStr">
        <is>
          <t>Miss Glam Jambi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MARINA</t>
        </is>
      </c>
      <c r="B2556" s="2">
        <f>"8999908962805"</f>
        <v/>
      </c>
      <c r="C2556" t="inlineStr">
        <is>
          <t>MARINA Natural Nourished &amp; Healthy 24H Mouisturizing 440ml</t>
        </is>
      </c>
      <c r="D2556" t="inlineStr">
        <is>
          <t>Miss Glam Jambi</t>
        </is>
      </c>
      <c r="E2556" t="n">
        <v>18</v>
      </c>
      <c r="F2556" t="n">
        <v>0.7062</v>
      </c>
      <c r="G2556" t="n">
        <v>2.64</v>
      </c>
      <c r="H2556" t="n">
        <v>3</v>
      </c>
      <c r="I2556" t="n">
        <v>9</v>
      </c>
      <c r="J2556" t="n">
        <v>3</v>
      </c>
      <c r="K2556" t="n">
        <v>4</v>
      </c>
      <c r="L2556" t="n">
        <v>10663</v>
      </c>
      <c r="M2556" t="n">
        <v>13000</v>
      </c>
      <c r="N2556" t="n">
        <v>33</v>
      </c>
      <c r="O2556" t="n">
        <v>0.33</v>
      </c>
      <c r="P2556" t="n">
        <v>1</v>
      </c>
      <c r="Q2556" t="n">
        <v>0.19</v>
      </c>
      <c r="R2556" t="n">
        <v>2</v>
      </c>
      <c r="S2556" t="n">
        <v>9180.6</v>
      </c>
      <c r="T2556" t="n">
        <v>22</v>
      </c>
      <c r="U2556" t="n">
        <v>25</v>
      </c>
      <c r="V2556" t="n">
        <v>30</v>
      </c>
      <c r="W2556" t="n">
        <v>22</v>
      </c>
      <c r="X2556" t="n">
        <v>25.48853016142736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13205</v>
      </c>
      <c r="AG2556" t="n">
        <v>2143</v>
      </c>
      <c r="AH2556" t="inlineStr">
        <is>
          <t>PT. TEMPO - PPN (JMB)</t>
        </is>
      </c>
      <c r="AI2556" t="n">
        <v>106</v>
      </c>
      <c r="AJ2556" t="inlineStr">
        <is>
          <t>MARINA</t>
        </is>
      </c>
      <c r="AK2556" t="n">
        <v>9</v>
      </c>
      <c r="AL2556" t="inlineStr">
        <is>
          <t>Miss Glam Jambi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MARINA</t>
        </is>
      </c>
      <c r="B2557" s="2">
        <f>"8999908045706"</f>
        <v/>
      </c>
      <c r="C2557" t="inlineStr">
        <is>
          <t>MARINA Natural Nutri Fresh 190ml</t>
        </is>
      </c>
      <c r="D2557" t="inlineStr">
        <is>
          <t>Miss Glam Jambi</t>
        </is>
      </c>
      <c r="E2557" t="n">
        <v>2</v>
      </c>
      <c r="F2557" t="n">
        <v>0.5808</v>
      </c>
      <c r="G2557" t="n">
        <v>4.95</v>
      </c>
      <c r="H2557" t="n">
        <v>3</v>
      </c>
      <c r="I2557" t="n">
        <v>9</v>
      </c>
      <c r="J2557" t="n">
        <v>3</v>
      </c>
      <c r="K2557" t="n">
        <v>12</v>
      </c>
      <c r="L2557" t="n">
        <v>6636</v>
      </c>
      <c r="M2557" t="n">
        <v>9000</v>
      </c>
      <c r="N2557" t="n">
        <v>33</v>
      </c>
      <c r="O2557" t="n">
        <v>0.33</v>
      </c>
      <c r="P2557" t="n">
        <v>1</v>
      </c>
      <c r="Q2557" t="n">
        <v>0.15</v>
      </c>
      <c r="R2557" t="n">
        <v>2</v>
      </c>
      <c r="S2557" t="n">
        <v>5227.2</v>
      </c>
      <c r="T2557" t="n">
        <v>43</v>
      </c>
      <c r="U2557" t="n">
        <v>45</v>
      </c>
      <c r="V2557" t="n">
        <v>30</v>
      </c>
      <c r="W2557" t="n">
        <v>18</v>
      </c>
      <c r="X2557" t="n">
        <v>3.443526170798898</v>
      </c>
      <c r="Y2557" t="n">
        <v>1</v>
      </c>
      <c r="Z2557" t="n">
        <v>4</v>
      </c>
      <c r="AA2557" t="n">
        <v>3</v>
      </c>
      <c r="AB2557" t="n">
        <v>1</v>
      </c>
      <c r="AC2557" t="n">
        <v>3</v>
      </c>
      <c r="AD2557" t="n">
        <v>19908</v>
      </c>
      <c r="AE2557" t="n">
        <v>19908</v>
      </c>
      <c r="AF2557" t="n">
        <v>13205</v>
      </c>
      <c r="AG2557" t="n">
        <v>2143</v>
      </c>
      <c r="AH2557" t="inlineStr">
        <is>
          <t>PT. TEMPO - PPN (JMB)</t>
        </is>
      </c>
      <c r="AI2557" t="n">
        <v>106</v>
      </c>
      <c r="AJ2557" t="inlineStr">
        <is>
          <t>MARINA</t>
        </is>
      </c>
      <c r="AK2557" t="n">
        <v>9</v>
      </c>
      <c r="AL2557" t="inlineStr">
        <is>
          <t>Miss Glam Jambi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MARINA</t>
        </is>
      </c>
      <c r="B2558" s="2">
        <f>"8999908962607"</f>
        <v/>
      </c>
      <c r="C2558" t="inlineStr">
        <is>
          <t>MARINA Natural Protects And Cares 483ml</t>
        </is>
      </c>
      <c r="D2558" t="inlineStr">
        <is>
          <t>Miss Glam Jambi</t>
        </is>
      </c>
      <c r="E2558" t="n">
        <v>24</v>
      </c>
      <c r="F2558" t="n">
        <v>0.7392000000000001</v>
      </c>
      <c r="G2558" t="n">
        <v>3.3</v>
      </c>
      <c r="H2558" t="n">
        <v>3</v>
      </c>
      <c r="I2558" t="n">
        <v>9</v>
      </c>
      <c r="J2558" t="n">
        <v>3</v>
      </c>
      <c r="K2558" t="n">
        <v>0</v>
      </c>
      <c r="L2558" t="n">
        <v>10643</v>
      </c>
      <c r="M2558" t="n">
        <v>13500</v>
      </c>
      <c r="N2558" t="n">
        <v>33</v>
      </c>
      <c r="O2558" t="n">
        <v>0.33</v>
      </c>
      <c r="P2558" t="n">
        <v>1</v>
      </c>
      <c r="Q2558" t="n">
        <v>0.27</v>
      </c>
      <c r="R2558" t="n">
        <v>2</v>
      </c>
      <c r="S2558" t="n">
        <v>9979.200000000001</v>
      </c>
      <c r="T2558" t="n">
        <v>28</v>
      </c>
      <c r="U2558" t="n">
        <v>31</v>
      </c>
      <c r="V2558" t="n">
        <v>30</v>
      </c>
      <c r="W2558" t="n">
        <v>23</v>
      </c>
      <c r="X2558" t="n">
        <v>32.46753246753246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13205</v>
      </c>
      <c r="AG2558" t="n">
        <v>2143</v>
      </c>
      <c r="AH2558" t="inlineStr">
        <is>
          <t>PT. TEMPO - PPN (JMB)</t>
        </is>
      </c>
      <c r="AI2558" t="n">
        <v>106</v>
      </c>
      <c r="AJ2558" t="inlineStr">
        <is>
          <t>MARINA</t>
        </is>
      </c>
      <c r="AK2558" t="n">
        <v>9</v>
      </c>
      <c r="AL2558" t="inlineStr">
        <is>
          <t>Miss Glam Jambi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MARINA</t>
        </is>
      </c>
      <c r="B2559" s="2">
        <f>"8999908962706"</f>
        <v/>
      </c>
      <c r="C2559" t="inlineStr">
        <is>
          <t>MARINA Natural Rich Moisturizing 438ml</t>
        </is>
      </c>
      <c r="D2559" t="inlineStr">
        <is>
          <t>Miss Glam Jambi</t>
        </is>
      </c>
      <c r="E2559" t="n">
        <v>1</v>
      </c>
      <c r="F2559" t="n">
        <v>0.4323</v>
      </c>
      <c r="G2559" t="n">
        <v>1.98</v>
      </c>
      <c r="H2559" t="n">
        <v>3</v>
      </c>
      <c r="I2559" t="n">
        <v>9</v>
      </c>
      <c r="J2559" t="n">
        <v>3</v>
      </c>
      <c r="K2559" t="n">
        <v>9</v>
      </c>
      <c r="L2559" t="n">
        <v>10476</v>
      </c>
      <c r="M2559" t="n">
        <v>13500</v>
      </c>
      <c r="N2559" t="n">
        <v>33</v>
      </c>
      <c r="O2559" t="n">
        <v>0.33</v>
      </c>
      <c r="P2559" t="n">
        <v>1</v>
      </c>
      <c r="Q2559" t="n">
        <v>0.29</v>
      </c>
      <c r="R2559" t="n">
        <v>2</v>
      </c>
      <c r="S2559" t="n">
        <v>5836.05</v>
      </c>
      <c r="T2559" t="n">
        <v>17</v>
      </c>
      <c r="U2559" t="n">
        <v>19</v>
      </c>
      <c r="V2559" t="n">
        <v>30</v>
      </c>
      <c r="W2559" t="n">
        <v>13</v>
      </c>
      <c r="X2559" t="n">
        <v>2.313208420078649</v>
      </c>
      <c r="Y2559" t="n">
        <v>1</v>
      </c>
      <c r="Z2559" t="n">
        <v>3</v>
      </c>
      <c r="AA2559" t="n">
        <v>2</v>
      </c>
      <c r="AB2559" t="n">
        <v>1</v>
      </c>
      <c r="AC2559" t="n">
        <v>3</v>
      </c>
      <c r="AD2559" t="n">
        <v>20952</v>
      </c>
      <c r="AE2559" t="n">
        <v>31428</v>
      </c>
      <c r="AF2559" t="n">
        <v>13205</v>
      </c>
      <c r="AG2559" t="n">
        <v>2143</v>
      </c>
      <c r="AH2559" t="inlineStr">
        <is>
          <t>PT. TEMPO - PPN (JMB)</t>
        </is>
      </c>
      <c r="AI2559" t="n">
        <v>106</v>
      </c>
      <c r="AJ2559" t="inlineStr">
        <is>
          <t>MARINA</t>
        </is>
      </c>
      <c r="AK2559" t="n">
        <v>9</v>
      </c>
      <c r="AL2559" t="inlineStr">
        <is>
          <t>Miss Glam Jambi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MARINA</t>
        </is>
      </c>
      <c r="B2560" s="2">
        <f>"8999908961105"</f>
        <v/>
      </c>
      <c r="C2560" t="inlineStr">
        <is>
          <t>MARINA Nourished and Healthy Sweet Almond &amp; Chia Seed 250ml+63ml</t>
        </is>
      </c>
      <c r="D2560" t="inlineStr">
        <is>
          <t>Miss Glam Jambi</t>
        </is>
      </c>
      <c r="E2560" t="n">
        <v>2</v>
      </c>
      <c r="F2560" t="n">
        <v>0.3531</v>
      </c>
      <c r="G2560" t="n">
        <v>1.32</v>
      </c>
      <c r="H2560" t="n">
        <v>3</v>
      </c>
      <c r="I2560" t="n">
        <v>9</v>
      </c>
      <c r="J2560" t="n">
        <v>3</v>
      </c>
      <c r="K2560" t="n">
        <v>7</v>
      </c>
      <c r="L2560" t="n">
        <v>7825</v>
      </c>
      <c r="M2560" t="n">
        <v>11000</v>
      </c>
      <c r="N2560" t="n">
        <v>33</v>
      </c>
      <c r="O2560" t="n">
        <v>0.33</v>
      </c>
      <c r="P2560" t="n">
        <v>1</v>
      </c>
      <c r="Q2560" t="n">
        <v>0.12</v>
      </c>
      <c r="R2560" t="n">
        <v>1</v>
      </c>
      <c r="S2560" t="n">
        <v>3884.1</v>
      </c>
      <c r="T2560" t="n">
        <v>11</v>
      </c>
      <c r="U2560" t="n">
        <v>13</v>
      </c>
      <c r="V2560" t="n">
        <v>30</v>
      </c>
      <c r="W2560" t="n">
        <v>11</v>
      </c>
      <c r="X2560" t="n">
        <v>5.664117813650524</v>
      </c>
      <c r="Y2560" t="n">
        <v>1</v>
      </c>
      <c r="Z2560" t="n">
        <v>2</v>
      </c>
      <c r="AA2560" t="n">
        <v>1</v>
      </c>
      <c r="AB2560" t="n">
        <v>1</v>
      </c>
      <c r="AC2560" t="n">
        <v>3</v>
      </c>
      <c r="AD2560" t="n">
        <v>7825</v>
      </c>
      <c r="AE2560" t="n">
        <v>23475</v>
      </c>
      <c r="AF2560" t="n">
        <v>13205</v>
      </c>
      <c r="AG2560" t="n">
        <v>2143</v>
      </c>
      <c r="AH2560" t="inlineStr">
        <is>
          <t>PT. TEMPO - PPN (JMB)</t>
        </is>
      </c>
      <c r="AI2560" t="n">
        <v>106</v>
      </c>
      <c r="AJ2560" t="inlineStr">
        <is>
          <t>MARINA</t>
        </is>
      </c>
      <c r="AK2560" t="n">
        <v>9</v>
      </c>
      <c r="AL2560" t="inlineStr">
        <is>
          <t>Miss Glam Jambi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MARINA</t>
        </is>
      </c>
      <c r="B2561" s="2">
        <f>"8999908887108"</f>
        <v/>
      </c>
      <c r="C2561" t="inlineStr">
        <is>
          <t>MARINA Perfume Body Spray Fresh Start 150ml</t>
        </is>
      </c>
      <c r="D2561" t="inlineStr">
        <is>
          <t>Miss Glam Jambi</t>
        </is>
      </c>
      <c r="E2561" t="n">
        <v>7</v>
      </c>
      <c r="F2561" t="n">
        <v>0.0495</v>
      </c>
      <c r="G2561" t="n">
        <v>0.33</v>
      </c>
      <c r="H2561" t="n">
        <v>3</v>
      </c>
      <c r="I2561" t="n">
        <v>9</v>
      </c>
      <c r="J2561" t="n">
        <v>3</v>
      </c>
      <c r="K2561" t="n">
        <v>0</v>
      </c>
      <c r="L2561" t="n">
        <v>18422</v>
      </c>
      <c r="M2561" t="n">
        <v>21500</v>
      </c>
      <c r="N2561" t="n">
        <v>33</v>
      </c>
      <c r="O2561" t="n">
        <v>0.33</v>
      </c>
      <c r="P2561" t="n">
        <v>1</v>
      </c>
      <c r="Q2561" t="n">
        <v>0.02</v>
      </c>
      <c r="R2561" t="n">
        <v>1</v>
      </c>
      <c r="S2561" t="n">
        <v>1064.25</v>
      </c>
      <c r="T2561" t="n">
        <v>3</v>
      </c>
      <c r="U2561" t="n">
        <v>4</v>
      </c>
      <c r="V2561" t="n">
        <v>30</v>
      </c>
      <c r="W2561" t="n">
        <v>2</v>
      </c>
      <c r="X2561" t="n">
        <v>141.4141414141414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13205</v>
      </c>
      <c r="AG2561" t="n">
        <v>2143</v>
      </c>
      <c r="AH2561" t="inlineStr">
        <is>
          <t>PT. TEMPO - PPN (JMB)</t>
        </is>
      </c>
      <c r="AI2561" t="n">
        <v>106</v>
      </c>
      <c r="AJ2561" t="inlineStr">
        <is>
          <t>MARINA</t>
        </is>
      </c>
      <c r="AK2561" t="n">
        <v>9</v>
      </c>
      <c r="AL2561" t="inlineStr">
        <is>
          <t>Miss Glam Jambi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MARINA</t>
        </is>
      </c>
      <c r="B2562" s="2">
        <f>"8999908887207"</f>
        <v/>
      </c>
      <c r="C2562" t="inlineStr">
        <is>
          <t>MARINA Perfume Body Spray Let's Talk 150ml</t>
        </is>
      </c>
      <c r="D2562" t="inlineStr">
        <is>
          <t>Miss Glam Jambi</t>
        </is>
      </c>
      <c r="E2562" t="n">
        <v>1</v>
      </c>
      <c r="F2562" t="n">
        <v>0.2079</v>
      </c>
      <c r="G2562" t="n">
        <v>1.32</v>
      </c>
      <c r="H2562" t="n">
        <v>3</v>
      </c>
      <c r="I2562" t="n">
        <v>9</v>
      </c>
      <c r="J2562" t="n">
        <v>3</v>
      </c>
      <c r="K2562" t="n">
        <v>5</v>
      </c>
      <c r="L2562" t="n">
        <v>16354</v>
      </c>
      <c r="M2562" t="n">
        <v>20000</v>
      </c>
      <c r="N2562" t="n">
        <v>33</v>
      </c>
      <c r="O2562" t="n">
        <v>0.33</v>
      </c>
      <c r="P2562" t="n">
        <v>1</v>
      </c>
      <c r="Q2562" t="n">
        <v>0.08</v>
      </c>
      <c r="R2562" t="n">
        <v>1</v>
      </c>
      <c r="S2562" t="n">
        <v>4158</v>
      </c>
      <c r="T2562" t="n">
        <v>12</v>
      </c>
      <c r="U2562" t="n">
        <v>13</v>
      </c>
      <c r="V2562" t="n">
        <v>30</v>
      </c>
      <c r="W2562" t="n">
        <v>7</v>
      </c>
      <c r="X2562" t="n">
        <v>4.81000481000481</v>
      </c>
      <c r="Y2562" t="n">
        <v>1</v>
      </c>
      <c r="Z2562" t="n">
        <v>1</v>
      </c>
      <c r="AA2562" t="n">
        <v>0</v>
      </c>
      <c r="AB2562" t="n">
        <v>1</v>
      </c>
      <c r="AC2562" t="n">
        <v>3</v>
      </c>
      <c r="AD2562" t="n">
        <v>0</v>
      </c>
      <c r="AE2562" t="n">
        <v>49062</v>
      </c>
      <c r="AF2562" t="n">
        <v>13205</v>
      </c>
      <c r="AG2562" t="n">
        <v>2143</v>
      </c>
      <c r="AH2562" t="inlineStr">
        <is>
          <t>PT. TEMPO - PPN (JMB)</t>
        </is>
      </c>
      <c r="AI2562" t="n">
        <v>106</v>
      </c>
      <c r="AJ2562" t="inlineStr">
        <is>
          <t>MARINA</t>
        </is>
      </c>
      <c r="AK2562" t="n">
        <v>9</v>
      </c>
      <c r="AL2562" t="inlineStr">
        <is>
          <t>Miss Glam Jambi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MARINA</t>
        </is>
      </c>
      <c r="B2563" s="2">
        <f>"8999908618801"</f>
        <v/>
      </c>
      <c r="C2563" t="inlineStr">
        <is>
          <t>MARINA UV Bright and Fresh Body Scrub 200ml</t>
        </is>
      </c>
      <c r="D2563" t="inlineStr">
        <is>
          <t>Miss Glam Jambi</t>
        </is>
      </c>
      <c r="E2563" t="n">
        <v>5</v>
      </c>
      <c r="F2563" t="n">
        <v>0.2838</v>
      </c>
      <c r="G2563" t="n">
        <v>1.32</v>
      </c>
      <c r="H2563" t="n">
        <v>3</v>
      </c>
      <c r="I2563" t="n">
        <v>9</v>
      </c>
      <c r="J2563" t="n">
        <v>3</v>
      </c>
      <c r="K2563" t="n">
        <v>4</v>
      </c>
      <c r="L2563" t="n">
        <v>12467</v>
      </c>
      <c r="M2563" t="n">
        <v>15000</v>
      </c>
      <c r="N2563" t="n">
        <v>33</v>
      </c>
      <c r="O2563" t="n">
        <v>0.33</v>
      </c>
      <c r="P2563" t="n">
        <v>1</v>
      </c>
      <c r="Q2563" t="n">
        <v>0.07000000000000001</v>
      </c>
      <c r="R2563" t="n">
        <v>1</v>
      </c>
      <c r="S2563" t="n">
        <v>4257</v>
      </c>
      <c r="T2563" t="n">
        <v>12</v>
      </c>
      <c r="U2563" t="n">
        <v>13</v>
      </c>
      <c r="V2563" t="n">
        <v>30</v>
      </c>
      <c r="W2563" t="n">
        <v>9</v>
      </c>
      <c r="X2563" t="n">
        <v>17.61804087385483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13205</v>
      </c>
      <c r="AG2563" t="n">
        <v>2143</v>
      </c>
      <c r="AH2563" t="inlineStr">
        <is>
          <t>PT. TEMPO - PPN (JMB)</t>
        </is>
      </c>
      <c r="AI2563" t="n">
        <v>106</v>
      </c>
      <c r="AJ2563" t="inlineStr">
        <is>
          <t>MARINA</t>
        </is>
      </c>
      <c r="AK2563" t="n">
        <v>9</v>
      </c>
      <c r="AL2563" t="inlineStr">
        <is>
          <t>Miss Glam Jambi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MARINA</t>
        </is>
      </c>
      <c r="B2564" s="2">
        <f>"8999908559500"</f>
        <v/>
      </c>
      <c r="C2564" t="inlineStr">
        <is>
          <t>MARINA Uv Hand Body Gel Lation White Hydroo Cool 185Ml</t>
        </is>
      </c>
      <c r="D2564" t="inlineStr">
        <is>
          <t>Miss Glam Jambi</t>
        </is>
      </c>
      <c r="E2564" t="n">
        <v>3</v>
      </c>
      <c r="F2564" t="n">
        <v>0.05</v>
      </c>
      <c r="G2564" t="n">
        <v>1</v>
      </c>
      <c r="H2564" t="n">
        <v>3</v>
      </c>
      <c r="I2564" t="n">
        <v>9</v>
      </c>
      <c r="J2564" t="n">
        <v>3</v>
      </c>
      <c r="K2564" t="n">
        <v>0</v>
      </c>
      <c r="L2564" t="n">
        <v>7367</v>
      </c>
      <c r="M2564" t="n">
        <v>9500</v>
      </c>
      <c r="N2564" t="n">
        <v>33</v>
      </c>
      <c r="O2564" t="n">
        <v>0.33</v>
      </c>
      <c r="P2564" t="n">
        <v>0</v>
      </c>
      <c r="Q2564" t="n">
        <v>0.05</v>
      </c>
      <c r="R2564" t="n">
        <v>1</v>
      </c>
      <c r="S2564" t="n">
        <v>475</v>
      </c>
      <c r="T2564" t="n">
        <v>9</v>
      </c>
      <c r="U2564" t="n">
        <v>10</v>
      </c>
      <c r="V2564" t="n">
        <v>30</v>
      </c>
      <c r="W2564" t="n">
        <v>2</v>
      </c>
      <c r="X2564" t="n">
        <v>60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13205</v>
      </c>
      <c r="AG2564" t="n">
        <v>2143</v>
      </c>
      <c r="AH2564" t="inlineStr">
        <is>
          <t>PT. TEMPO - PPN (JMB)</t>
        </is>
      </c>
      <c r="AI2564" t="n">
        <v>106</v>
      </c>
      <c r="AJ2564" t="inlineStr">
        <is>
          <t>MARINA</t>
        </is>
      </c>
      <c r="AK2564" t="n">
        <v>9</v>
      </c>
      <c r="AL2564" t="inlineStr">
        <is>
          <t>Miss Glam Jambi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MARINA</t>
        </is>
      </c>
      <c r="B2565" s="2">
        <f>"8999908559401"</f>
        <v/>
      </c>
      <c r="C2565" t="inlineStr">
        <is>
          <t>MARINA Uv Hand Body Gel Lation White Hydroo Cool 92Ml</t>
        </is>
      </c>
      <c r="D2565" t="inlineStr">
        <is>
          <t>Miss Glam Jambi</t>
        </is>
      </c>
      <c r="E2565" t="n">
        <v>20</v>
      </c>
      <c r="F2565" t="n">
        <v>0.12</v>
      </c>
      <c r="G2565" t="n">
        <v>1</v>
      </c>
      <c r="H2565" t="n">
        <v>3</v>
      </c>
      <c r="I2565" t="n">
        <v>9</v>
      </c>
      <c r="J2565" t="n">
        <v>3</v>
      </c>
      <c r="K2565" t="n">
        <v>0</v>
      </c>
      <c r="L2565" t="n">
        <v>4333</v>
      </c>
      <c r="M2565" t="n">
        <v>5500</v>
      </c>
      <c r="N2565" t="n">
        <v>33</v>
      </c>
      <c r="O2565" t="n">
        <v>0.33</v>
      </c>
      <c r="P2565" t="n">
        <v>0</v>
      </c>
      <c r="Q2565" t="n">
        <v>0.12</v>
      </c>
      <c r="R2565" t="n">
        <v>1</v>
      </c>
      <c r="S2565" t="n">
        <v>660</v>
      </c>
      <c r="T2565" t="n">
        <v>9</v>
      </c>
      <c r="U2565" t="n">
        <v>10</v>
      </c>
      <c r="V2565" t="n">
        <v>30</v>
      </c>
      <c r="W2565" t="n">
        <v>4</v>
      </c>
      <c r="X2565" t="n">
        <v>166.6666666666667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13205</v>
      </c>
      <c r="AG2565" t="n">
        <v>2143</v>
      </c>
      <c r="AH2565" t="inlineStr">
        <is>
          <t>PT. TEMPO - PPN (JMB)</t>
        </is>
      </c>
      <c r="AI2565" t="n">
        <v>106</v>
      </c>
      <c r="AJ2565" t="inlineStr">
        <is>
          <t>MARINA</t>
        </is>
      </c>
      <c r="AK2565" t="n">
        <v>9</v>
      </c>
      <c r="AL2565" t="inlineStr">
        <is>
          <t>Miss Glam Jambi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MARINA</t>
        </is>
      </c>
      <c r="B2566" s="2">
        <f>"8999908010704"</f>
        <v/>
      </c>
      <c r="C2566" t="inlineStr">
        <is>
          <t>MARINA Uv Hand Body Lotion White Bright &amp; Fresh 185Ml</t>
        </is>
      </c>
      <c r="D2566" t="inlineStr">
        <is>
          <t>Miss Glam Jambi</t>
        </is>
      </c>
      <c r="E2566" t="n">
        <v>15</v>
      </c>
      <c r="F2566" t="n">
        <v>0.6105</v>
      </c>
      <c r="G2566" t="n">
        <v>1.65</v>
      </c>
      <c r="H2566" t="n">
        <v>3</v>
      </c>
      <c r="I2566" t="n">
        <v>9</v>
      </c>
      <c r="J2566" t="n">
        <v>3</v>
      </c>
      <c r="K2566" t="n">
        <v>0</v>
      </c>
      <c r="L2566" t="n">
        <v>7098</v>
      </c>
      <c r="M2566" t="n">
        <v>9500</v>
      </c>
      <c r="N2566" t="n">
        <v>33</v>
      </c>
      <c r="O2566" t="n">
        <v>0.33</v>
      </c>
      <c r="P2566" t="n">
        <v>1</v>
      </c>
      <c r="Q2566" t="n">
        <v>0.17</v>
      </c>
      <c r="R2566" t="n">
        <v>3</v>
      </c>
      <c r="S2566" t="n">
        <v>5799.75</v>
      </c>
      <c r="T2566" t="n">
        <v>14</v>
      </c>
      <c r="U2566" t="n">
        <v>16</v>
      </c>
      <c r="V2566" t="n">
        <v>30</v>
      </c>
      <c r="W2566" t="n">
        <v>19</v>
      </c>
      <c r="X2566" t="n">
        <v>24.57002457002457</v>
      </c>
      <c r="Y2566" t="n">
        <v>1</v>
      </c>
      <c r="Z2566" t="n">
        <v>4</v>
      </c>
      <c r="AA2566" t="n">
        <v>0</v>
      </c>
      <c r="AB2566" t="n">
        <v>4</v>
      </c>
      <c r="AC2566" t="n">
        <v>4</v>
      </c>
      <c r="AD2566" t="n">
        <v>0</v>
      </c>
      <c r="AE2566" t="n">
        <v>28392</v>
      </c>
      <c r="AF2566" t="n">
        <v>13205</v>
      </c>
      <c r="AG2566" t="n">
        <v>2143</v>
      </c>
      <c r="AH2566" t="inlineStr">
        <is>
          <t>PT. TEMPO - PPN (JMB)</t>
        </is>
      </c>
      <c r="AI2566" t="n">
        <v>106</v>
      </c>
      <c r="AJ2566" t="inlineStr">
        <is>
          <t>MARINA</t>
        </is>
      </c>
      <c r="AK2566" t="n">
        <v>9</v>
      </c>
      <c r="AL2566" t="inlineStr">
        <is>
          <t>Miss Glam Jambi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MARINA</t>
        </is>
      </c>
      <c r="B2567" s="2">
        <f>"8999908734808"</f>
        <v/>
      </c>
      <c r="C2567" t="inlineStr">
        <is>
          <t>MARINA Uv White ECollagen Asta 185ml</t>
        </is>
      </c>
      <c r="D2567" t="inlineStr">
        <is>
          <t>Miss Glam Jambi</t>
        </is>
      </c>
      <c r="E2567" t="n">
        <v>19</v>
      </c>
      <c r="F2567" t="n">
        <v>0.396</v>
      </c>
      <c r="G2567" t="n">
        <v>1.98</v>
      </c>
      <c r="H2567" t="n">
        <v>3</v>
      </c>
      <c r="I2567" t="n">
        <v>9</v>
      </c>
      <c r="J2567" t="n">
        <v>3</v>
      </c>
      <c r="K2567" t="n">
        <v>0</v>
      </c>
      <c r="L2567" t="n">
        <v>7987</v>
      </c>
      <c r="M2567" t="n">
        <v>10000</v>
      </c>
      <c r="N2567" t="n">
        <v>33</v>
      </c>
      <c r="O2567" t="n">
        <v>0.33</v>
      </c>
      <c r="P2567" t="n">
        <v>1</v>
      </c>
      <c r="Q2567" t="n">
        <v>0.29</v>
      </c>
      <c r="R2567" t="n">
        <v>2</v>
      </c>
      <c r="S2567" t="n">
        <v>3960</v>
      </c>
      <c r="T2567" t="n">
        <v>17</v>
      </c>
      <c r="U2567" t="n">
        <v>19</v>
      </c>
      <c r="V2567" t="n">
        <v>30</v>
      </c>
      <c r="W2567" t="n">
        <v>12</v>
      </c>
      <c r="X2567" t="n">
        <v>47.97979797979798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13205</v>
      </c>
      <c r="AG2567" t="n">
        <v>2143</v>
      </c>
      <c r="AH2567" t="inlineStr">
        <is>
          <t>PT. TEMPO - PPN (JMB)</t>
        </is>
      </c>
      <c r="AI2567" t="n">
        <v>106</v>
      </c>
      <c r="AJ2567" t="inlineStr">
        <is>
          <t>MARINA</t>
        </is>
      </c>
      <c r="AK2567" t="n">
        <v>9</v>
      </c>
      <c r="AL2567" t="inlineStr">
        <is>
          <t>Miss Glam Jambi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MARINA</t>
        </is>
      </c>
      <c r="B2568" s="2">
        <f>"8999908734709"</f>
        <v/>
      </c>
      <c r="C2568" t="inlineStr">
        <is>
          <t>MARINA Uv White ECollagen Asta 92ml</t>
        </is>
      </c>
      <c r="D2568" t="inlineStr">
        <is>
          <t>Miss Glam Jambi</t>
        </is>
      </c>
      <c r="E2568" t="n">
        <v>28</v>
      </c>
      <c r="F2568" t="n">
        <v>0.6501</v>
      </c>
      <c r="G2568" t="n">
        <v>3.63</v>
      </c>
      <c r="H2568" t="n">
        <v>3</v>
      </c>
      <c r="I2568" t="n">
        <v>9</v>
      </c>
      <c r="J2568" t="n">
        <v>3</v>
      </c>
      <c r="K2568" t="n">
        <v>0</v>
      </c>
      <c r="L2568" t="n">
        <v>4308</v>
      </c>
      <c r="M2568" t="n">
        <v>5500</v>
      </c>
      <c r="N2568" t="n">
        <v>33</v>
      </c>
      <c r="O2568" t="n">
        <v>0.33</v>
      </c>
      <c r="P2568" t="n">
        <v>1</v>
      </c>
      <c r="Q2568" t="n">
        <v>0.19</v>
      </c>
      <c r="R2568" t="n">
        <v>2</v>
      </c>
      <c r="S2568" t="n">
        <v>3575.55</v>
      </c>
      <c r="T2568" t="n">
        <v>31</v>
      </c>
      <c r="U2568" t="n">
        <v>33</v>
      </c>
      <c r="V2568" t="n">
        <v>30</v>
      </c>
      <c r="W2568" t="n">
        <v>20</v>
      </c>
      <c r="X2568" t="n">
        <v>43.07029687740348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13205</v>
      </c>
      <c r="AG2568" t="n">
        <v>2143</v>
      </c>
      <c r="AH2568" t="inlineStr">
        <is>
          <t>PT. TEMPO - PPN (JMB)</t>
        </is>
      </c>
      <c r="AI2568" t="n">
        <v>106</v>
      </c>
      <c r="AJ2568" t="inlineStr">
        <is>
          <t>MARINA</t>
        </is>
      </c>
      <c r="AK2568" t="n">
        <v>9</v>
      </c>
      <c r="AL2568" t="inlineStr">
        <is>
          <t>Miss Glam Jambi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MARINA</t>
        </is>
      </c>
      <c r="B2569" s="2">
        <f>"8999908450906"</f>
        <v/>
      </c>
      <c r="C2569" t="inlineStr">
        <is>
          <t>MARINA Uv White Extra SPF30 185ml</t>
        </is>
      </c>
      <c r="D2569" t="inlineStr">
        <is>
          <t>Miss Glam Jambi</t>
        </is>
      </c>
      <c r="E2569" t="n">
        <v>60</v>
      </c>
      <c r="F2569" t="n">
        <v>1.8051</v>
      </c>
      <c r="G2569" t="n">
        <v>4.95</v>
      </c>
      <c r="H2569" t="n">
        <v>3</v>
      </c>
      <c r="I2569" t="n">
        <v>9</v>
      </c>
      <c r="J2569" t="n">
        <v>3</v>
      </c>
      <c r="K2569" t="n">
        <v>0</v>
      </c>
      <c r="L2569" t="n">
        <v>13670</v>
      </c>
      <c r="M2569" t="n">
        <v>19000</v>
      </c>
      <c r="N2569" t="n">
        <v>33</v>
      </c>
      <c r="O2569" t="n">
        <v>0.33</v>
      </c>
      <c r="P2569" t="n">
        <v>1</v>
      </c>
      <c r="Q2569" t="n">
        <v>1.05</v>
      </c>
      <c r="R2569" t="n">
        <v>6</v>
      </c>
      <c r="S2569" t="n">
        <v>34296.9</v>
      </c>
      <c r="T2569" t="n">
        <v>40</v>
      </c>
      <c r="U2569" t="n">
        <v>46</v>
      </c>
      <c r="V2569" t="n">
        <v>30</v>
      </c>
      <c r="W2569" t="n">
        <v>55</v>
      </c>
      <c r="X2569" t="n">
        <v>33.23915572544458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13205</v>
      </c>
      <c r="AG2569" t="n">
        <v>2143</v>
      </c>
      <c r="AH2569" t="inlineStr">
        <is>
          <t>PT. TEMPO - PPN (JMB)</t>
        </is>
      </c>
      <c r="AI2569" t="n">
        <v>106</v>
      </c>
      <c r="AJ2569" t="inlineStr">
        <is>
          <t>MARINA</t>
        </is>
      </c>
      <c r="AK2569" t="n">
        <v>9</v>
      </c>
      <c r="AL2569" t="inlineStr">
        <is>
          <t>Miss Glam Jambi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MARINA</t>
        </is>
      </c>
      <c r="B2570" s="2">
        <f>"8999908010605"</f>
        <v/>
      </c>
      <c r="C2570" t="inlineStr">
        <is>
          <t>MARINA Uv White Nourish &amp; Bright Lotion 92ml</t>
        </is>
      </c>
      <c r="D2570" t="inlineStr">
        <is>
          <t>Miss Glam Jambi</t>
        </is>
      </c>
      <c r="E2570" t="n">
        <v>9</v>
      </c>
      <c r="F2570" t="n">
        <v>0.5478</v>
      </c>
      <c r="G2570" t="n">
        <v>2.64</v>
      </c>
      <c r="H2570" t="n">
        <v>3</v>
      </c>
      <c r="I2570" t="n">
        <v>9</v>
      </c>
      <c r="J2570" t="n">
        <v>3</v>
      </c>
      <c r="K2570" t="n">
        <v>8</v>
      </c>
      <c r="L2570" t="n">
        <v>4088</v>
      </c>
      <c r="M2570" t="n">
        <v>6000</v>
      </c>
      <c r="N2570" t="n">
        <v>33</v>
      </c>
      <c r="O2570" t="n">
        <v>0.33</v>
      </c>
      <c r="P2570" t="n">
        <v>1</v>
      </c>
      <c r="Q2570" t="n">
        <v>0.2</v>
      </c>
      <c r="R2570" t="n">
        <v>2</v>
      </c>
      <c r="S2570" t="n">
        <v>3286.8</v>
      </c>
      <c r="T2570" t="n">
        <v>23</v>
      </c>
      <c r="U2570" t="n">
        <v>25</v>
      </c>
      <c r="V2570" t="n">
        <v>30</v>
      </c>
      <c r="W2570" t="n">
        <v>17</v>
      </c>
      <c r="X2570" t="n">
        <v>16.42935377875137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13205</v>
      </c>
      <c r="AG2570" t="n">
        <v>2143</v>
      </c>
      <c r="AH2570" t="inlineStr">
        <is>
          <t>PT. TEMPO - PPN (JMB)</t>
        </is>
      </c>
      <c r="AI2570" t="n">
        <v>106</v>
      </c>
      <c r="AJ2570" t="inlineStr">
        <is>
          <t>MARINA</t>
        </is>
      </c>
      <c r="AK2570" t="n">
        <v>9</v>
      </c>
      <c r="AL2570" t="inlineStr">
        <is>
          <t>Miss Glam Jambi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MARINA</t>
        </is>
      </c>
      <c r="B2571" s="2">
        <f>"8999908805508"</f>
        <v/>
      </c>
      <c r="C2571" t="inlineStr">
        <is>
          <t>MARINA UV White Sunblock Spf 30 PA++ Hand &amp; Body Lotion 85ml</t>
        </is>
      </c>
      <c r="D2571" t="inlineStr">
        <is>
          <t>Miss Glam Jambi</t>
        </is>
      </c>
      <c r="E2571" t="n">
        <v>8</v>
      </c>
      <c r="F2571" t="n">
        <v>0.71</v>
      </c>
      <c r="G2571" t="n">
        <v>3</v>
      </c>
      <c r="H2571" t="n">
        <v>3</v>
      </c>
      <c r="I2571" t="n">
        <v>9</v>
      </c>
      <c r="J2571" t="n">
        <v>3</v>
      </c>
      <c r="K2571" t="n">
        <v>14</v>
      </c>
      <c r="L2571" t="n">
        <v>27046</v>
      </c>
      <c r="M2571" t="n">
        <v>35000</v>
      </c>
      <c r="N2571" t="n">
        <v>33</v>
      </c>
      <c r="O2571" t="n">
        <v>0.33</v>
      </c>
      <c r="P2571" t="n">
        <v>0</v>
      </c>
      <c r="Q2571" t="n">
        <v>0.71</v>
      </c>
      <c r="R2571" t="n">
        <v>3</v>
      </c>
      <c r="S2571" t="n">
        <v>24850</v>
      </c>
      <c r="T2571" t="n">
        <v>25</v>
      </c>
      <c r="U2571" t="n">
        <v>28</v>
      </c>
      <c r="V2571" t="n">
        <v>30</v>
      </c>
      <c r="W2571" t="n">
        <v>22</v>
      </c>
      <c r="X2571" t="n">
        <v>11.26760563380282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13205</v>
      </c>
      <c r="AG2571" t="n">
        <v>2143</v>
      </c>
      <c r="AH2571" t="inlineStr">
        <is>
          <t>PT. TEMPO - PPN (JMB)</t>
        </is>
      </c>
      <c r="AI2571" t="n">
        <v>106</v>
      </c>
      <c r="AJ2571" t="inlineStr">
        <is>
          <t>MARINA</t>
        </is>
      </c>
      <c r="AK2571" t="n">
        <v>9</v>
      </c>
      <c r="AL2571" t="inlineStr">
        <is>
          <t>Miss Glam Jambi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MARINA</t>
        </is>
      </c>
      <c r="B2572" s="2">
        <f>"8999908030108"</f>
        <v/>
      </c>
      <c r="C2572" t="inlineStr">
        <is>
          <t>NATURAL Honey Hand Body Lotion Hijab Hydra Fresh 180 Ml</t>
        </is>
      </c>
      <c r="D2572" t="inlineStr">
        <is>
          <t>Miss Glam Jambi</t>
        </is>
      </c>
      <c r="E2572" t="n">
        <v>0</v>
      </c>
      <c r="F2572" t="n">
        <v>0.06</v>
      </c>
      <c r="G2572" t="n">
        <v>1</v>
      </c>
      <c r="H2572" t="n">
        <v>3</v>
      </c>
      <c r="I2572" t="n">
        <v>9</v>
      </c>
      <c r="J2572" t="n">
        <v>3</v>
      </c>
      <c r="K2572" t="n">
        <v>3</v>
      </c>
      <c r="L2572" t="n">
        <v>9331</v>
      </c>
      <c r="M2572" t="n">
        <v>11500</v>
      </c>
      <c r="N2572" t="n">
        <v>33</v>
      </c>
      <c r="O2572" t="n">
        <v>0.33</v>
      </c>
      <c r="P2572" t="n">
        <v>0</v>
      </c>
      <c r="Q2572" t="n">
        <v>0.06</v>
      </c>
      <c r="R2572" t="n">
        <v>1</v>
      </c>
      <c r="S2572" t="n">
        <v>690</v>
      </c>
      <c r="T2572" t="n">
        <v>9</v>
      </c>
      <c r="U2572" t="n">
        <v>10</v>
      </c>
      <c r="V2572" t="n">
        <v>30</v>
      </c>
      <c r="W2572" t="n">
        <v>2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13205</v>
      </c>
      <c r="AG2572" t="n">
        <v>2143</v>
      </c>
      <c r="AH2572" t="inlineStr">
        <is>
          <t>PT. TEMPO - PPN (JMB)</t>
        </is>
      </c>
      <c r="AI2572" t="n">
        <v>106</v>
      </c>
      <c r="AJ2572" t="inlineStr">
        <is>
          <t>MARINA</t>
        </is>
      </c>
      <c r="AK2572" t="n">
        <v>9</v>
      </c>
      <c r="AL2572" t="inlineStr">
        <is>
          <t>Miss Glam Jambi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MARSHWILLOW</t>
        </is>
      </c>
      <c r="B2573" s="2">
        <f>"8997232431837"</f>
        <v/>
      </c>
      <c r="C2573" t="inlineStr">
        <is>
          <t>MARSHWILLOW Candy Crush Berry Pop 3.5gr</t>
        </is>
      </c>
      <c r="D2573" t="inlineStr">
        <is>
          <t>Miss Glam Jambi</t>
        </is>
      </c>
      <c r="E2573" t="n">
        <v>1</v>
      </c>
      <c r="F2573" t="n">
        <v>0.1287</v>
      </c>
      <c r="G2573" t="n">
        <v>1.32</v>
      </c>
      <c r="H2573" t="n">
        <v>6</v>
      </c>
      <c r="I2573" t="n">
        <v>12</v>
      </c>
      <c r="J2573" t="n">
        <v>3</v>
      </c>
      <c r="K2573" t="n">
        <v>0</v>
      </c>
      <c r="L2573" t="n">
        <v>5694</v>
      </c>
      <c r="M2573" t="n">
        <v>7500</v>
      </c>
      <c r="N2573" t="n">
        <v>33</v>
      </c>
      <c r="O2573" t="n">
        <v>0.33</v>
      </c>
      <c r="P2573" t="n">
        <v>1</v>
      </c>
      <c r="Q2573" t="n">
        <v>0.2</v>
      </c>
      <c r="R2573" t="n">
        <v>3</v>
      </c>
      <c r="S2573" t="n">
        <v>965.2500000000001</v>
      </c>
      <c r="T2573" t="n">
        <v>16</v>
      </c>
      <c r="U2573" t="n">
        <v>17</v>
      </c>
      <c r="V2573" t="n">
        <v>30</v>
      </c>
      <c r="W2573" t="n">
        <v>4</v>
      </c>
      <c r="X2573" t="n">
        <v>7.770007770007769</v>
      </c>
      <c r="Y2573" t="n">
        <v>1</v>
      </c>
      <c r="Z2573" t="n">
        <v>3</v>
      </c>
      <c r="AA2573" t="n">
        <v>1</v>
      </c>
      <c r="AB2573" t="n">
        <v>2</v>
      </c>
      <c r="AC2573" t="n">
        <v>3</v>
      </c>
      <c r="AD2573" t="n">
        <v>5694</v>
      </c>
      <c r="AE2573" t="n">
        <v>17082</v>
      </c>
      <c r="AF2573" t="n">
        <v>578</v>
      </c>
      <c r="AG2573" t="n">
        <v>107</v>
      </c>
      <c r="AH2573" t="inlineStr">
        <is>
          <t xml:space="preserve">CV. DAHLIA - PPN (PDG) </t>
        </is>
      </c>
      <c r="AI2573" t="n">
        <v>107</v>
      </c>
      <c r="AJ2573" t="inlineStr">
        <is>
          <t>MARSHWILLOW</t>
        </is>
      </c>
      <c r="AK2573" t="n">
        <v>9</v>
      </c>
      <c r="AL2573" t="inlineStr">
        <is>
          <t>Miss Glam Jambi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MARSHWILLOW</t>
        </is>
      </c>
      <c r="B2574" s="2">
        <f>"8997232431851"</f>
        <v/>
      </c>
      <c r="C2574" t="inlineStr">
        <is>
          <t>MARSHWILLOW Candy Crush Bubble Gum 3.5gr</t>
        </is>
      </c>
      <c r="D2574" t="inlineStr">
        <is>
          <t>Miss Glam Jambi</t>
        </is>
      </c>
      <c r="E2574" t="n">
        <v>15</v>
      </c>
      <c r="F2574" t="n">
        <v>0.1056</v>
      </c>
      <c r="G2574" t="n">
        <v>0.99</v>
      </c>
      <c r="H2574" t="n">
        <v>6</v>
      </c>
      <c r="I2574" t="n">
        <v>12</v>
      </c>
      <c r="J2574" t="n">
        <v>3</v>
      </c>
      <c r="K2574" t="n">
        <v>0</v>
      </c>
      <c r="L2574" t="n">
        <v>5694</v>
      </c>
      <c r="M2574" t="n">
        <v>9000</v>
      </c>
      <c r="N2574" t="n">
        <v>33</v>
      </c>
      <c r="O2574" t="n">
        <v>0.33</v>
      </c>
      <c r="P2574" t="n">
        <v>1</v>
      </c>
      <c r="Q2574" t="n">
        <v>0.07000000000000001</v>
      </c>
      <c r="R2574" t="n">
        <v>1</v>
      </c>
      <c r="S2574" t="n">
        <v>950.4000000000001</v>
      </c>
      <c r="T2574" t="n">
        <v>12</v>
      </c>
      <c r="U2574" t="n">
        <v>13</v>
      </c>
      <c r="V2574" t="n">
        <v>30</v>
      </c>
      <c r="W2574" t="n">
        <v>4</v>
      </c>
      <c r="X2574" t="n">
        <v>142.0454545454545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578</v>
      </c>
      <c r="AG2574" t="n">
        <v>107</v>
      </c>
      <c r="AH2574" t="inlineStr">
        <is>
          <t xml:space="preserve">CV. DAHLIA - PPN (PDG) </t>
        </is>
      </c>
      <c r="AI2574" t="n">
        <v>107</v>
      </c>
      <c r="AJ2574" t="inlineStr">
        <is>
          <t>MARSHWILLOW</t>
        </is>
      </c>
      <c r="AK2574" t="n">
        <v>9</v>
      </c>
      <c r="AL2574" t="inlineStr">
        <is>
          <t>Miss Glam Jambi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MARSHWILLOW</t>
        </is>
      </c>
      <c r="B2575" s="2">
        <f>"8997232431868"</f>
        <v/>
      </c>
      <c r="C2575" t="inlineStr">
        <is>
          <t>MARSHWILLOW Candy Crush Cherry Lush 3.5gr</t>
        </is>
      </c>
      <c r="D2575" t="inlineStr">
        <is>
          <t>Miss Glam Jambi</t>
        </is>
      </c>
      <c r="E2575" t="n">
        <v>0</v>
      </c>
      <c r="F2575" t="n">
        <v>0.08910000000000001</v>
      </c>
      <c r="G2575" t="n">
        <v>1.32</v>
      </c>
      <c r="H2575" t="n">
        <v>6</v>
      </c>
      <c r="I2575" t="n">
        <v>12</v>
      </c>
      <c r="J2575" t="n">
        <v>3</v>
      </c>
      <c r="K2575" t="n">
        <v>0</v>
      </c>
      <c r="L2575" t="n">
        <v>5694</v>
      </c>
      <c r="M2575" t="n">
        <v>7500</v>
      </c>
      <c r="N2575" t="n">
        <v>33</v>
      </c>
      <c r="O2575" t="n">
        <v>0.33</v>
      </c>
      <c r="P2575" t="n">
        <v>1</v>
      </c>
      <c r="Q2575" t="n">
        <v>0.1</v>
      </c>
      <c r="R2575" t="n">
        <v>1</v>
      </c>
      <c r="S2575" t="n">
        <v>668.2500000000001</v>
      </c>
      <c r="T2575" t="n">
        <v>16</v>
      </c>
      <c r="U2575" t="n">
        <v>17</v>
      </c>
      <c r="V2575" t="n">
        <v>30</v>
      </c>
      <c r="W2575" t="n">
        <v>3</v>
      </c>
      <c r="X2575" t="n">
        <v>0</v>
      </c>
      <c r="Y2575" t="n">
        <v>1</v>
      </c>
      <c r="Z2575" t="n">
        <v>3</v>
      </c>
      <c r="AA2575" t="n">
        <v>2</v>
      </c>
      <c r="AB2575" t="n">
        <v>1</v>
      </c>
      <c r="AC2575" t="n">
        <v>3</v>
      </c>
      <c r="AD2575" t="n">
        <v>11388</v>
      </c>
      <c r="AE2575" t="n">
        <v>17082</v>
      </c>
      <c r="AF2575" t="n">
        <v>578</v>
      </c>
      <c r="AG2575" t="n">
        <v>107</v>
      </c>
      <c r="AH2575" t="inlineStr">
        <is>
          <t xml:space="preserve">CV. DAHLIA - PPN (PDG) </t>
        </is>
      </c>
      <c r="AI2575" t="n">
        <v>107</v>
      </c>
      <c r="AJ2575" t="inlineStr">
        <is>
          <t>MARSHWILLOW</t>
        </is>
      </c>
      <c r="AK2575" t="n">
        <v>9</v>
      </c>
      <c r="AL2575" t="inlineStr">
        <is>
          <t>Miss Glam Jambi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MARSHWILLOW</t>
        </is>
      </c>
      <c r="B2576" s="2">
        <f>"8997232431813"</f>
        <v/>
      </c>
      <c r="C2576" t="inlineStr">
        <is>
          <t>MARSHWILLOW Candy Crush Sugar Apple 3.5gr</t>
        </is>
      </c>
      <c r="D2576" t="inlineStr">
        <is>
          <t>Miss Glam Jambi</t>
        </is>
      </c>
      <c r="E2576" t="n">
        <v>4</v>
      </c>
      <c r="F2576" t="n">
        <v>0.2409</v>
      </c>
      <c r="G2576" t="n">
        <v>0.99</v>
      </c>
      <c r="H2576" t="n">
        <v>6</v>
      </c>
      <c r="I2576" t="n">
        <v>12</v>
      </c>
      <c r="J2576" t="n">
        <v>3</v>
      </c>
      <c r="K2576" t="n">
        <v>0</v>
      </c>
      <c r="L2576" t="n">
        <v>5694</v>
      </c>
      <c r="M2576" t="n">
        <v>7500</v>
      </c>
      <c r="N2576" t="n">
        <v>33</v>
      </c>
      <c r="O2576" t="n">
        <v>0.33</v>
      </c>
      <c r="P2576" t="n">
        <v>1</v>
      </c>
      <c r="Q2576" t="n">
        <v>0.05</v>
      </c>
      <c r="R2576" t="n">
        <v>1</v>
      </c>
      <c r="S2576" t="n">
        <v>1806.75</v>
      </c>
      <c r="T2576" t="n">
        <v>11</v>
      </c>
      <c r="U2576" t="n">
        <v>13</v>
      </c>
      <c r="V2576" t="n">
        <v>30</v>
      </c>
      <c r="W2576" t="n">
        <v>8</v>
      </c>
      <c r="X2576" t="n">
        <v>16.604400166044</v>
      </c>
      <c r="Y2576" t="n">
        <v>1</v>
      </c>
      <c r="Z2576" t="n">
        <v>4</v>
      </c>
      <c r="AA2576" t="n">
        <v>0</v>
      </c>
      <c r="AB2576" t="n">
        <v>4</v>
      </c>
      <c r="AC2576" t="n">
        <v>4</v>
      </c>
      <c r="AD2576" t="n">
        <v>0</v>
      </c>
      <c r="AE2576" t="n">
        <v>22776</v>
      </c>
      <c r="AF2576" t="n">
        <v>578</v>
      </c>
      <c r="AG2576" t="n">
        <v>107</v>
      </c>
      <c r="AH2576" t="inlineStr">
        <is>
          <t xml:space="preserve">CV. DAHLIA - PPN (PDG) </t>
        </is>
      </c>
      <c r="AI2576" t="n">
        <v>107</v>
      </c>
      <c r="AJ2576" t="inlineStr">
        <is>
          <t>MARSHWILLOW</t>
        </is>
      </c>
      <c r="AK2576" t="n">
        <v>9</v>
      </c>
      <c r="AL2576" t="inlineStr">
        <is>
          <t>Miss Glam Jambi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MARSHWILLOW</t>
        </is>
      </c>
      <c r="B2577" s="2">
        <f>"8997232431820"</f>
        <v/>
      </c>
      <c r="C2577" t="inlineStr">
        <is>
          <t>MARSHWILLOW Candy Crush Tropical Punch 3.5gr</t>
        </is>
      </c>
      <c r="D2577" t="inlineStr">
        <is>
          <t>Miss Glam Jambi</t>
        </is>
      </c>
      <c r="E2577" t="n">
        <v>0</v>
      </c>
      <c r="F2577" t="n">
        <v>0.08910000000000001</v>
      </c>
      <c r="G2577" t="n">
        <v>0.66</v>
      </c>
      <c r="H2577" t="n">
        <v>6</v>
      </c>
      <c r="I2577" t="n">
        <v>12</v>
      </c>
      <c r="J2577" t="n">
        <v>3</v>
      </c>
      <c r="K2577" t="n">
        <v>0</v>
      </c>
      <c r="L2577" t="n">
        <v>5694</v>
      </c>
      <c r="M2577" t="n">
        <v>7500</v>
      </c>
      <c r="N2577" t="n">
        <v>33</v>
      </c>
      <c r="O2577" t="n">
        <v>0.33</v>
      </c>
      <c r="P2577" t="n">
        <v>1</v>
      </c>
      <c r="Q2577" t="n">
        <v>0.03</v>
      </c>
      <c r="R2577" t="n">
        <v>1</v>
      </c>
      <c r="S2577" t="n">
        <v>668.2500000000001</v>
      </c>
      <c r="T2577" t="n">
        <v>8</v>
      </c>
      <c r="U2577" t="n">
        <v>9</v>
      </c>
      <c r="V2577" t="n">
        <v>30</v>
      </c>
      <c r="W2577" t="n">
        <v>3</v>
      </c>
      <c r="X2577" t="n">
        <v>0</v>
      </c>
      <c r="Y2577" t="n">
        <v>1</v>
      </c>
      <c r="Z2577" t="n">
        <v>3</v>
      </c>
      <c r="AA2577" t="n">
        <v>2</v>
      </c>
      <c r="AB2577" t="n">
        <v>1</v>
      </c>
      <c r="AC2577" t="n">
        <v>3</v>
      </c>
      <c r="AD2577" t="n">
        <v>11388</v>
      </c>
      <c r="AE2577" t="n">
        <v>17082</v>
      </c>
      <c r="AF2577" t="n">
        <v>578</v>
      </c>
      <c r="AG2577" t="n">
        <v>107</v>
      </c>
      <c r="AH2577" t="inlineStr">
        <is>
          <t xml:space="preserve">CV. DAHLIA - PPN (PDG) </t>
        </is>
      </c>
      <c r="AI2577" t="n">
        <v>107</v>
      </c>
      <c r="AJ2577" t="inlineStr">
        <is>
          <t>MARSHWILLOW</t>
        </is>
      </c>
      <c r="AK2577" t="n">
        <v>9</v>
      </c>
      <c r="AL2577" t="inlineStr">
        <is>
          <t>Miss Glam Jambi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MARSHWILLOW</t>
        </is>
      </c>
      <c r="B2578" s="2">
        <f>"8997232433282"</f>
        <v/>
      </c>
      <c r="C2578" t="inlineStr">
        <is>
          <t>MARSHWILLOW Mascara Extra Volume Waterproof 8gr</t>
        </is>
      </c>
      <c r="D2578" t="inlineStr">
        <is>
          <t>Miss Glam Jambi</t>
        </is>
      </c>
      <c r="E2578" t="n">
        <v>3</v>
      </c>
      <c r="F2578" t="n">
        <v>0.05</v>
      </c>
      <c r="G2578" t="n">
        <v>2</v>
      </c>
      <c r="H2578" t="n">
        <v>6</v>
      </c>
      <c r="I2578" t="n">
        <v>12</v>
      </c>
      <c r="J2578" t="n">
        <v>3</v>
      </c>
      <c r="K2578" t="n">
        <v>0</v>
      </c>
      <c r="L2578" t="n">
        <v>28472</v>
      </c>
      <c r="M2578" t="n">
        <v>40000</v>
      </c>
      <c r="N2578" t="n">
        <v>33</v>
      </c>
      <c r="O2578" t="n">
        <v>0.33</v>
      </c>
      <c r="P2578" t="n">
        <v>0</v>
      </c>
      <c r="Q2578" t="n">
        <v>0.05</v>
      </c>
      <c r="R2578" t="n">
        <v>2</v>
      </c>
      <c r="S2578" t="n">
        <v>2000</v>
      </c>
      <c r="T2578" t="n">
        <v>24</v>
      </c>
      <c r="U2578" t="n">
        <v>25</v>
      </c>
      <c r="V2578" t="n">
        <v>30</v>
      </c>
      <c r="W2578" t="n">
        <v>2</v>
      </c>
      <c r="X2578" t="n">
        <v>60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578</v>
      </c>
      <c r="AG2578" t="n">
        <v>107</v>
      </c>
      <c r="AH2578" t="inlineStr">
        <is>
          <t xml:space="preserve">CV. DAHLIA - PPN (PDG) </t>
        </is>
      </c>
      <c r="AI2578" t="n">
        <v>107</v>
      </c>
      <c r="AJ2578" t="inlineStr">
        <is>
          <t>MARSHWILLOW</t>
        </is>
      </c>
      <c r="AK2578" t="n">
        <v>9</v>
      </c>
      <c r="AL2578" t="inlineStr">
        <is>
          <t>Miss Glam Jambi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MARSHWILLOW</t>
        </is>
      </c>
      <c r="B2579" s="2">
        <f>"8997232433275"</f>
        <v/>
      </c>
      <c r="C2579" t="inlineStr">
        <is>
          <t>MARSHWILLOW Mascara Overcurl Waterproof 8gr</t>
        </is>
      </c>
      <c r="D2579" t="inlineStr">
        <is>
          <t>Miss Glam Jambi</t>
        </is>
      </c>
      <c r="E2579" t="n">
        <v>2</v>
      </c>
      <c r="F2579" t="n">
        <v>0.02</v>
      </c>
      <c r="G2579" t="n">
        <v>1</v>
      </c>
      <c r="H2579" t="n">
        <v>6</v>
      </c>
      <c r="I2579" t="n">
        <v>12</v>
      </c>
      <c r="J2579" t="n">
        <v>3</v>
      </c>
      <c r="K2579" t="n">
        <v>0</v>
      </c>
      <c r="L2579" t="n">
        <v>28472</v>
      </c>
      <c r="M2579" t="n">
        <v>37200</v>
      </c>
      <c r="N2579" t="n">
        <v>33</v>
      </c>
      <c r="O2579" t="n">
        <v>0.33</v>
      </c>
      <c r="P2579" t="n">
        <v>0</v>
      </c>
      <c r="Q2579" t="n">
        <v>0.02</v>
      </c>
      <c r="R2579" t="n">
        <v>1</v>
      </c>
      <c r="S2579" t="n">
        <v>744</v>
      </c>
      <c r="T2579" t="n">
        <v>12</v>
      </c>
      <c r="U2579" t="n">
        <v>13</v>
      </c>
      <c r="V2579" t="n">
        <v>30</v>
      </c>
      <c r="W2579" t="n">
        <v>1</v>
      </c>
      <c r="X2579" t="n">
        <v>100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578</v>
      </c>
      <c r="AG2579" t="n">
        <v>107</v>
      </c>
      <c r="AH2579" t="inlineStr">
        <is>
          <t xml:space="preserve">CV. DAHLIA - PPN (PDG) </t>
        </is>
      </c>
      <c r="AI2579" t="n">
        <v>107</v>
      </c>
      <c r="AJ2579" t="inlineStr">
        <is>
          <t>MARSHWILLOW</t>
        </is>
      </c>
      <c r="AK2579" t="n">
        <v>9</v>
      </c>
      <c r="AL2579" t="inlineStr">
        <is>
          <t>Miss Glam Jambi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MARSHWILLOW</t>
        </is>
      </c>
      <c r="B2580" s="2">
        <f>"8997232434180"</f>
        <v/>
      </c>
      <c r="C2580" t="inlineStr">
        <is>
          <t>MARSHWILLOW Pretty Me Eye Pallete Hello Brown 04 18gr</t>
        </is>
      </c>
      <c r="D2580" t="inlineStr">
        <is>
          <t>Miss Glam Jambi</t>
        </is>
      </c>
      <c r="E2580" t="n">
        <v>0</v>
      </c>
      <c r="F2580" t="n">
        <v>0.04</v>
      </c>
      <c r="G2580" t="n">
        <v>1</v>
      </c>
      <c r="H2580" t="n">
        <v>6</v>
      </c>
      <c r="I2580" t="n">
        <v>12</v>
      </c>
      <c r="J2580" t="n">
        <v>3</v>
      </c>
      <c r="K2580" t="n">
        <v>0</v>
      </c>
      <c r="L2580" t="n">
        <v>27873</v>
      </c>
      <c r="M2580" t="n">
        <v>35000</v>
      </c>
      <c r="N2580" t="n">
        <v>33</v>
      </c>
      <c r="O2580" t="n">
        <v>0.33</v>
      </c>
      <c r="P2580" t="n">
        <v>0</v>
      </c>
      <c r="Q2580" t="n">
        <v>0.04</v>
      </c>
      <c r="R2580" t="n">
        <v>1</v>
      </c>
      <c r="S2580" t="n">
        <v>1400</v>
      </c>
      <c r="T2580" t="n">
        <v>12</v>
      </c>
      <c r="U2580" t="n">
        <v>13</v>
      </c>
      <c r="V2580" t="n">
        <v>30</v>
      </c>
      <c r="W2580" t="n">
        <v>2</v>
      </c>
      <c r="X2580" t="n">
        <v>0</v>
      </c>
      <c r="Y2580" t="n">
        <v>1</v>
      </c>
      <c r="Z2580" t="n">
        <v>2</v>
      </c>
      <c r="AA2580" t="n">
        <v>1</v>
      </c>
      <c r="AB2580" t="n">
        <v>1</v>
      </c>
      <c r="AC2580" t="n">
        <v>3</v>
      </c>
      <c r="AD2580" t="n">
        <v>27873</v>
      </c>
      <c r="AE2580" t="n">
        <v>83619</v>
      </c>
      <c r="AF2580" t="n">
        <v>578</v>
      </c>
      <c r="AG2580" t="n">
        <v>107</v>
      </c>
      <c r="AH2580" t="inlineStr">
        <is>
          <t xml:space="preserve">CV. DAHLIA - PPN (PDG) </t>
        </is>
      </c>
      <c r="AI2580" t="n">
        <v>107</v>
      </c>
      <c r="AJ2580" t="inlineStr">
        <is>
          <t>MARSHWILLOW</t>
        </is>
      </c>
      <c r="AK2580" t="n">
        <v>9</v>
      </c>
      <c r="AL2580" t="inlineStr">
        <is>
          <t>Miss Glam Jambi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MARSHWILLOW</t>
        </is>
      </c>
      <c r="B2581" s="2">
        <f>"8997232434197"</f>
        <v/>
      </c>
      <c r="C2581" t="inlineStr">
        <is>
          <t>MARSHWILLOW Pretty Me Eye Pallete Love Me Not 03 18gr</t>
        </is>
      </c>
      <c r="D2581" t="inlineStr">
        <is>
          <t>Miss Glam Jambi</t>
        </is>
      </c>
      <c r="E2581" t="n">
        <v>0</v>
      </c>
      <c r="F2581" t="n">
        <v>0.0132</v>
      </c>
      <c r="G2581" t="n">
        <v>0.66</v>
      </c>
      <c r="H2581" t="n">
        <v>6</v>
      </c>
      <c r="I2581" t="n">
        <v>12</v>
      </c>
      <c r="J2581" t="n">
        <v>3</v>
      </c>
      <c r="K2581" t="n">
        <v>0</v>
      </c>
      <c r="L2581" t="n">
        <v>27873</v>
      </c>
      <c r="M2581" t="n">
        <v>35000</v>
      </c>
      <c r="N2581" t="n">
        <v>33</v>
      </c>
      <c r="O2581" t="n">
        <v>0.33</v>
      </c>
      <c r="P2581" t="n">
        <v>1</v>
      </c>
      <c r="Q2581" t="n">
        <v>0.15</v>
      </c>
      <c r="R2581" t="n">
        <v>1</v>
      </c>
      <c r="S2581" t="n">
        <v>462.0000000000001</v>
      </c>
      <c r="T2581" t="n">
        <v>8</v>
      </c>
      <c r="U2581" t="n">
        <v>9</v>
      </c>
      <c r="V2581" t="n">
        <v>30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n">
        <v>0</v>
      </c>
      <c r="AC2581" t="n">
        <v>0</v>
      </c>
      <c r="AD2581" t="n">
        <v>27873</v>
      </c>
      <c r="AE2581" t="n">
        <v>0</v>
      </c>
      <c r="AF2581" t="n">
        <v>578</v>
      </c>
      <c r="AG2581" t="n">
        <v>107</v>
      </c>
      <c r="AH2581" t="inlineStr">
        <is>
          <t xml:space="preserve">CV. DAHLIA - PPN (PDG) </t>
        </is>
      </c>
      <c r="AI2581" t="n">
        <v>107</v>
      </c>
      <c r="AJ2581" t="inlineStr">
        <is>
          <t>MARSHWILLOW</t>
        </is>
      </c>
      <c r="AK2581" t="n">
        <v>9</v>
      </c>
      <c r="AL2581" t="inlineStr">
        <is>
          <t>Miss Glam Jambi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MAYBELLINE</t>
        </is>
      </c>
      <c r="B2582" s="2">
        <f>"6902395847335"</f>
        <v/>
      </c>
      <c r="C2582" t="inlineStr">
        <is>
          <t>MAYBELLINE Eye Lip Remover 70ml</t>
        </is>
      </c>
      <c r="D2582" t="inlineStr">
        <is>
          <t>Miss Glam Jambi</t>
        </is>
      </c>
      <c r="E2582" t="n">
        <v>5</v>
      </c>
      <c r="F2582" t="n">
        <v>0.0231</v>
      </c>
      <c r="G2582" t="n">
        <v>0.33</v>
      </c>
      <c r="H2582" t="n">
        <v>4</v>
      </c>
      <c r="I2582" t="n">
        <v>15</v>
      </c>
      <c r="J2582" t="n">
        <v>3</v>
      </c>
      <c r="K2582" t="n">
        <v>0</v>
      </c>
      <c r="L2582" t="n">
        <v>68611</v>
      </c>
      <c r="M2582" t="n">
        <v>95000</v>
      </c>
      <c r="N2582" t="n">
        <v>33</v>
      </c>
      <c r="O2582" t="n">
        <v>0.33</v>
      </c>
      <c r="P2582" t="n">
        <v>1</v>
      </c>
      <c r="Q2582" t="n">
        <v>0.1</v>
      </c>
      <c r="R2582" t="n">
        <v>2</v>
      </c>
      <c r="S2582" t="n">
        <v>2194.5</v>
      </c>
      <c r="T2582" t="n">
        <v>5</v>
      </c>
      <c r="U2582" t="n">
        <v>6</v>
      </c>
      <c r="V2582" t="n">
        <v>30</v>
      </c>
      <c r="W2582" t="n">
        <v>1</v>
      </c>
      <c r="X2582" t="n">
        <v>216.4502164502164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10825</v>
      </c>
      <c r="AG2582" t="n">
        <v>2132</v>
      </c>
      <c r="AH2582" t="inlineStr">
        <is>
          <t>PT. MENSA BINA SUKSES - PPN (JMB)</t>
        </is>
      </c>
      <c r="AI2582" t="n">
        <v>98</v>
      </c>
      <c r="AJ2582" t="inlineStr">
        <is>
          <t>MAYBELLINE</t>
        </is>
      </c>
      <c r="AK2582" t="n">
        <v>9</v>
      </c>
      <c r="AL2582" t="inlineStr">
        <is>
          <t>Miss Glam Jambi</t>
        </is>
      </c>
      <c r="AM2582" t="n">
        <v>3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MAYBELLINE</t>
        </is>
      </c>
      <c r="B2583" s="2">
        <f>"6902395972518"</f>
        <v/>
      </c>
      <c r="C2583" t="inlineStr">
        <is>
          <t>MAYBELLINE Firework Waterproof Mascara 6ml</t>
        </is>
      </c>
      <c r="D2583" t="inlineStr">
        <is>
          <t>Miss Glam Jambi</t>
        </is>
      </c>
      <c r="E2583" t="n">
        <v>7</v>
      </c>
      <c r="F2583" t="n">
        <v>0.066</v>
      </c>
      <c r="G2583" t="n">
        <v>0.66</v>
      </c>
      <c r="H2583" t="n">
        <v>4</v>
      </c>
      <c r="I2583" t="n">
        <v>15</v>
      </c>
      <c r="J2583" t="n">
        <v>3</v>
      </c>
      <c r="K2583" t="n">
        <v>0</v>
      </c>
      <c r="L2583" t="n">
        <v>113920</v>
      </c>
      <c r="M2583" t="n">
        <v>157000</v>
      </c>
      <c r="N2583" t="n">
        <v>33</v>
      </c>
      <c r="O2583" t="n">
        <v>0.33</v>
      </c>
      <c r="P2583" t="n">
        <v>1</v>
      </c>
      <c r="Q2583" t="n">
        <v>0.1</v>
      </c>
      <c r="R2583" t="n">
        <v>2</v>
      </c>
      <c r="S2583" t="n">
        <v>10362</v>
      </c>
      <c r="T2583" t="n">
        <v>10</v>
      </c>
      <c r="U2583" t="n">
        <v>11</v>
      </c>
      <c r="V2583" t="n">
        <v>30</v>
      </c>
      <c r="W2583" t="n">
        <v>2</v>
      </c>
      <c r="X2583" t="n">
        <v>106.0606060606061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10825</v>
      </c>
      <c r="AG2583" t="n">
        <v>2132</v>
      </c>
      <c r="AH2583" t="inlineStr">
        <is>
          <t>PT. MENSA BINA SUKSES - PPN (JMB)</t>
        </is>
      </c>
      <c r="AI2583" t="n">
        <v>98</v>
      </c>
      <c r="AJ2583" t="inlineStr">
        <is>
          <t>MAYBELLINE</t>
        </is>
      </c>
      <c r="AK2583" t="n">
        <v>9</v>
      </c>
      <c r="AL2583" t="inlineStr">
        <is>
          <t>Miss Glam Jambi</t>
        </is>
      </c>
      <c r="AM2583" t="n">
        <v>3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MAYBELLINE</t>
        </is>
      </c>
      <c r="B2584" s="2">
        <f>"6902395828310"</f>
        <v/>
      </c>
      <c r="C2584" t="inlineStr">
        <is>
          <t>MAYBELLINE Fit Me Blush Make Up 20 Hope 4.5g</t>
        </is>
      </c>
      <c r="D2584" t="inlineStr">
        <is>
          <t>Miss Glam Jambi</t>
        </is>
      </c>
      <c r="E2584" t="n">
        <v>0</v>
      </c>
      <c r="F2584" t="n">
        <v>0.02</v>
      </c>
      <c r="G2584" t="n">
        <v>1</v>
      </c>
      <c r="H2584" t="n">
        <v>4</v>
      </c>
      <c r="I2584" t="n">
        <v>15</v>
      </c>
      <c r="J2584" t="n">
        <v>3</v>
      </c>
      <c r="K2584" t="n">
        <v>0</v>
      </c>
      <c r="L2584" t="n">
        <v>99898</v>
      </c>
      <c r="M2584" t="n">
        <v>132000</v>
      </c>
      <c r="N2584" t="n">
        <v>33</v>
      </c>
      <c r="O2584" t="n">
        <v>0.33</v>
      </c>
      <c r="P2584" t="n">
        <v>0</v>
      </c>
      <c r="Q2584" t="n">
        <v>0.02</v>
      </c>
      <c r="R2584" t="n">
        <v>1</v>
      </c>
      <c r="S2584" t="n">
        <v>2640</v>
      </c>
      <c r="T2584" t="n">
        <v>15</v>
      </c>
      <c r="U2584" t="n">
        <v>16</v>
      </c>
      <c r="V2584" t="n">
        <v>30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n">
        <v>0</v>
      </c>
      <c r="AC2584" t="n">
        <v>0</v>
      </c>
      <c r="AD2584" t="n">
        <v>99898</v>
      </c>
      <c r="AE2584" t="n">
        <v>0</v>
      </c>
      <c r="AF2584" t="n">
        <v>10825</v>
      </c>
      <c r="AG2584" t="n">
        <v>2132</v>
      </c>
      <c r="AH2584" t="inlineStr">
        <is>
          <t>PT. MENSA BINA SUKSES - PPN (JMB)</t>
        </is>
      </c>
      <c r="AI2584" t="n">
        <v>98</v>
      </c>
      <c r="AJ2584" t="inlineStr">
        <is>
          <t>MAYBELLINE</t>
        </is>
      </c>
      <c r="AK2584" t="n">
        <v>9</v>
      </c>
      <c r="AL2584" t="inlineStr">
        <is>
          <t>Miss Glam Jambi</t>
        </is>
      </c>
      <c r="AM2584" t="n">
        <v>3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MAYBELLINE</t>
        </is>
      </c>
      <c r="B2585" s="2">
        <f>"6902395718338"</f>
        <v/>
      </c>
      <c r="C2585" t="inlineStr">
        <is>
          <t>MAYBELLINE Fit Me Matte Poreless Liquid Foundation128</t>
        </is>
      </c>
      <c r="D2585" t="inlineStr">
        <is>
          <t>Miss Glam Jambi</t>
        </is>
      </c>
      <c r="E2585" t="n">
        <v>6</v>
      </c>
      <c r="F2585" t="n">
        <v>0.0231</v>
      </c>
      <c r="G2585" t="n">
        <v>0.33</v>
      </c>
      <c r="H2585" t="n">
        <v>4</v>
      </c>
      <c r="I2585" t="n">
        <v>15</v>
      </c>
      <c r="J2585" t="n">
        <v>3</v>
      </c>
      <c r="K2585" t="n">
        <v>0</v>
      </c>
      <c r="L2585" t="n">
        <v>122559</v>
      </c>
      <c r="M2585" t="n">
        <v>168000</v>
      </c>
      <c r="N2585" t="n">
        <v>33</v>
      </c>
      <c r="O2585" t="n">
        <v>0.33</v>
      </c>
      <c r="P2585" t="n">
        <v>1</v>
      </c>
      <c r="Q2585" t="n">
        <v>0.05</v>
      </c>
      <c r="R2585" t="n">
        <v>1</v>
      </c>
      <c r="S2585" t="n">
        <v>3880.800000000001</v>
      </c>
      <c r="T2585" t="n">
        <v>5</v>
      </c>
      <c r="U2585" t="n">
        <v>6</v>
      </c>
      <c r="V2585" t="n">
        <v>30</v>
      </c>
      <c r="W2585" t="n">
        <v>1</v>
      </c>
      <c r="X2585" t="n">
        <v>259.7402597402597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10825</v>
      </c>
      <c r="AG2585" t="n">
        <v>2132</v>
      </c>
      <c r="AH2585" t="inlineStr">
        <is>
          <t>PT. MENSA BINA SUKSES - PPN (JMB)</t>
        </is>
      </c>
      <c r="AI2585" t="n">
        <v>98</v>
      </c>
      <c r="AJ2585" t="inlineStr">
        <is>
          <t>MAYBELLINE</t>
        </is>
      </c>
      <c r="AK2585" t="n">
        <v>9</v>
      </c>
      <c r="AL2585" t="inlineStr">
        <is>
          <t>Miss Glam Jambi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MAYBELLINE</t>
        </is>
      </c>
      <c r="B2586" s="2">
        <f>"6902395646877"</f>
        <v/>
      </c>
      <c r="C2586" t="inlineStr">
        <is>
          <t>MAYBELLINE Fit Me Matte+Poreless 120 30ml</t>
        </is>
      </c>
      <c r="D2586" t="inlineStr">
        <is>
          <t>Miss Glam Jambi</t>
        </is>
      </c>
      <c r="E2586" t="n">
        <v>5</v>
      </c>
      <c r="F2586" t="n">
        <v>0.0231</v>
      </c>
      <c r="G2586" t="n">
        <v>0.66</v>
      </c>
      <c r="H2586" t="n">
        <v>4</v>
      </c>
      <c r="I2586" t="n">
        <v>15</v>
      </c>
      <c r="J2586" t="n">
        <v>3</v>
      </c>
      <c r="K2586" t="n">
        <v>0</v>
      </c>
      <c r="L2586" t="n">
        <v>124735</v>
      </c>
      <c r="M2586" t="n">
        <v>168000</v>
      </c>
      <c r="N2586" t="n">
        <v>33</v>
      </c>
      <c r="O2586" t="n">
        <v>0.33</v>
      </c>
      <c r="P2586" t="n">
        <v>1</v>
      </c>
      <c r="Q2586" t="n">
        <v>0.02</v>
      </c>
      <c r="R2586" t="n">
        <v>1</v>
      </c>
      <c r="S2586" t="n">
        <v>3880.800000000001</v>
      </c>
      <c r="T2586" t="n">
        <v>10</v>
      </c>
      <c r="U2586" t="n">
        <v>11</v>
      </c>
      <c r="V2586" t="n">
        <v>30</v>
      </c>
      <c r="W2586" t="n">
        <v>1</v>
      </c>
      <c r="X2586" t="n">
        <v>216.4502164502164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10825</v>
      </c>
      <c r="AG2586" t="n">
        <v>2132</v>
      </c>
      <c r="AH2586" t="inlineStr">
        <is>
          <t>PT. MENSA BINA SUKSES - PPN (JMB)</t>
        </is>
      </c>
      <c r="AI2586" t="n">
        <v>98</v>
      </c>
      <c r="AJ2586" t="inlineStr">
        <is>
          <t>MAYBELLINE</t>
        </is>
      </c>
      <c r="AK2586" t="n">
        <v>9</v>
      </c>
      <c r="AL2586" t="inlineStr">
        <is>
          <t>Miss Glam Jambi</t>
        </is>
      </c>
      <c r="AM2586" t="n">
        <v>3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MAYBELLINE</t>
        </is>
      </c>
      <c r="B2587" s="2">
        <f>"6902395646921"</f>
        <v/>
      </c>
      <c r="C2587" t="inlineStr">
        <is>
          <t>MAYBELLINE Fit Me Matte+Poreless Foundation 220 30ml</t>
        </is>
      </c>
      <c r="D2587" t="inlineStr">
        <is>
          <t>Miss Glam Jambi</t>
        </is>
      </c>
      <c r="E2587" t="n">
        <v>0</v>
      </c>
      <c r="F2587" t="n">
        <v>0.0231</v>
      </c>
      <c r="G2587" t="n">
        <v>0.33</v>
      </c>
      <c r="H2587" t="n">
        <v>4</v>
      </c>
      <c r="I2587" t="n">
        <v>15</v>
      </c>
      <c r="J2587" t="n">
        <v>3</v>
      </c>
      <c r="K2587" t="n">
        <v>0</v>
      </c>
      <c r="L2587" t="n">
        <v>128707</v>
      </c>
      <c r="M2587" t="n">
        <v>168000</v>
      </c>
      <c r="N2587" t="n">
        <v>33</v>
      </c>
      <c r="O2587" t="n">
        <v>0.33</v>
      </c>
      <c r="P2587" t="n">
        <v>1</v>
      </c>
      <c r="Q2587" t="n">
        <v>0.02</v>
      </c>
      <c r="R2587" t="n">
        <v>1</v>
      </c>
      <c r="S2587" t="n">
        <v>3880.800000000001</v>
      </c>
      <c r="T2587" t="n">
        <v>5</v>
      </c>
      <c r="U2587" t="n">
        <v>6</v>
      </c>
      <c r="V2587" t="n">
        <v>30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n">
        <v>0</v>
      </c>
      <c r="AC2587" t="n">
        <v>0</v>
      </c>
      <c r="AD2587" t="n">
        <v>128707</v>
      </c>
      <c r="AE2587" t="n">
        <v>0</v>
      </c>
      <c r="AF2587" t="n">
        <v>10825</v>
      </c>
      <c r="AG2587" t="n">
        <v>2132</v>
      </c>
      <c r="AH2587" t="inlineStr">
        <is>
          <t>PT. MENSA BINA SUKSES - PPN (JMB)</t>
        </is>
      </c>
      <c r="AI2587" t="n">
        <v>98</v>
      </c>
      <c r="AJ2587" t="inlineStr">
        <is>
          <t>MAYBELLINE</t>
        </is>
      </c>
      <c r="AK2587" t="n">
        <v>9</v>
      </c>
      <c r="AL2587" t="inlineStr">
        <is>
          <t>Miss Glam Jambi</t>
        </is>
      </c>
      <c r="AM2587" t="n">
        <v>3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MAYBELLINE</t>
        </is>
      </c>
      <c r="B2588" s="2">
        <f>"6902395762393"</f>
        <v/>
      </c>
      <c r="C2588" t="inlineStr">
        <is>
          <t>MAYBELLINE Fit Me Matte+Poreless Powder 112 Natural Ivory 6gr</t>
        </is>
      </c>
      <c r="D2588" t="inlineStr">
        <is>
          <t>Miss Glam Jambi</t>
        </is>
      </c>
      <c r="E2588" t="n">
        <v>5</v>
      </c>
      <c r="F2588" t="n">
        <v>0.07920000000000001</v>
      </c>
      <c r="G2588" t="n">
        <v>0.66</v>
      </c>
      <c r="H2588" t="n">
        <v>4</v>
      </c>
      <c r="I2588" t="n">
        <v>15</v>
      </c>
      <c r="J2588" t="n">
        <v>3</v>
      </c>
      <c r="K2588" t="n">
        <v>0</v>
      </c>
      <c r="L2588" t="n">
        <v>55460</v>
      </c>
      <c r="M2588" t="n">
        <v>82900</v>
      </c>
      <c r="N2588" t="n">
        <v>33</v>
      </c>
      <c r="O2588" t="n">
        <v>0.33</v>
      </c>
      <c r="P2588" t="n">
        <v>1</v>
      </c>
      <c r="Q2588" t="n">
        <v>0.08</v>
      </c>
      <c r="R2588" t="n">
        <v>1</v>
      </c>
      <c r="S2588" t="n">
        <v>6565.68</v>
      </c>
      <c r="T2588" t="n">
        <v>10</v>
      </c>
      <c r="U2588" t="n">
        <v>11</v>
      </c>
      <c r="V2588" t="n">
        <v>30</v>
      </c>
      <c r="W2588" t="n">
        <v>3</v>
      </c>
      <c r="X2588" t="n">
        <v>63.13131313131313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10825</v>
      </c>
      <c r="AG2588" t="n">
        <v>2132</v>
      </c>
      <c r="AH2588" t="inlineStr">
        <is>
          <t>PT. MENSA BINA SUKSES - PPN (JMB)</t>
        </is>
      </c>
      <c r="AI2588" t="n">
        <v>98</v>
      </c>
      <c r="AJ2588" t="inlineStr">
        <is>
          <t>MAYBELLINE</t>
        </is>
      </c>
      <c r="AK2588" t="n">
        <v>9</v>
      </c>
      <c r="AL2588" t="inlineStr">
        <is>
          <t>Miss Glam Jambi</t>
        </is>
      </c>
      <c r="AM2588" t="n">
        <v>3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MAYBELLINE</t>
        </is>
      </c>
      <c r="B2589" s="2">
        <f>"6902395762416"</f>
        <v/>
      </c>
      <c r="C2589" t="inlineStr">
        <is>
          <t>MAYBELLINE Fit Me Matte+Poreless Powder 118 Light Beige 6g</t>
        </is>
      </c>
      <c r="D2589" t="inlineStr">
        <is>
          <t>Miss Glam Jambi</t>
        </is>
      </c>
      <c r="E2589" t="n">
        <v>2</v>
      </c>
      <c r="F2589" t="n">
        <v>0.09569999999999999</v>
      </c>
      <c r="G2589" t="n">
        <v>0.99</v>
      </c>
      <c r="H2589" t="n">
        <v>4</v>
      </c>
      <c r="I2589" t="n">
        <v>15</v>
      </c>
      <c r="J2589" t="n">
        <v>3</v>
      </c>
      <c r="K2589" t="n">
        <v>3</v>
      </c>
      <c r="L2589" t="n">
        <v>62800</v>
      </c>
      <c r="M2589" t="n">
        <v>82900</v>
      </c>
      <c r="N2589" t="n">
        <v>33</v>
      </c>
      <c r="O2589" t="n">
        <v>0.33</v>
      </c>
      <c r="P2589" t="n">
        <v>1</v>
      </c>
      <c r="Q2589" t="n">
        <v>0.03</v>
      </c>
      <c r="R2589" t="n">
        <v>1</v>
      </c>
      <c r="S2589" t="n">
        <v>7933.53</v>
      </c>
      <c r="T2589" t="n">
        <v>15</v>
      </c>
      <c r="U2589" t="n">
        <v>16</v>
      </c>
      <c r="V2589" t="n">
        <v>30</v>
      </c>
      <c r="W2589" t="n">
        <v>3</v>
      </c>
      <c r="X2589" t="n">
        <v>20.89864158829676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10825</v>
      </c>
      <c r="AG2589" t="n">
        <v>2132</v>
      </c>
      <c r="AH2589" t="inlineStr">
        <is>
          <t>PT. MENSA BINA SUKSES - PPN (JMB)</t>
        </is>
      </c>
      <c r="AI2589" t="n">
        <v>98</v>
      </c>
      <c r="AJ2589" t="inlineStr">
        <is>
          <t>MAYBELLINE</t>
        </is>
      </c>
      <c r="AK2589" t="n">
        <v>9</v>
      </c>
      <c r="AL2589" t="inlineStr">
        <is>
          <t>Miss Glam Jambi</t>
        </is>
      </c>
      <c r="AM2589" t="n">
        <v>3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MAYBELLINE</t>
        </is>
      </c>
      <c r="B2590" s="2">
        <f>"6902395762423"</f>
        <v/>
      </c>
      <c r="C2590" t="inlineStr">
        <is>
          <t>MAYBELLINE Fit Me Matte+Poreless Powder 120 Classic Ivory 6g</t>
        </is>
      </c>
      <c r="D2590" t="inlineStr">
        <is>
          <t>Miss Glam Jambi</t>
        </is>
      </c>
      <c r="E2590" t="n">
        <v>2</v>
      </c>
      <c r="F2590" t="n">
        <v>0.08910000000000001</v>
      </c>
      <c r="G2590" t="n">
        <v>0.66</v>
      </c>
      <c r="H2590" t="n">
        <v>4</v>
      </c>
      <c r="I2590" t="n">
        <v>15</v>
      </c>
      <c r="J2590" t="n">
        <v>3</v>
      </c>
      <c r="K2590" t="n">
        <v>3</v>
      </c>
      <c r="L2590" t="n">
        <v>59974</v>
      </c>
      <c r="M2590" t="n">
        <v>82900</v>
      </c>
      <c r="N2590" t="n">
        <v>33</v>
      </c>
      <c r="O2590" t="n">
        <v>0.33</v>
      </c>
      <c r="P2590" t="n">
        <v>1</v>
      </c>
      <c r="Q2590" t="n">
        <v>0.05</v>
      </c>
      <c r="R2590" t="n">
        <v>2</v>
      </c>
      <c r="S2590" t="n">
        <v>7386.390000000001</v>
      </c>
      <c r="T2590" t="n">
        <v>10</v>
      </c>
      <c r="U2590" t="n">
        <v>11</v>
      </c>
      <c r="V2590" t="n">
        <v>30</v>
      </c>
      <c r="W2590" t="n">
        <v>3</v>
      </c>
      <c r="X2590" t="n">
        <v>22.44668911335578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10825</v>
      </c>
      <c r="AG2590" t="n">
        <v>2132</v>
      </c>
      <c r="AH2590" t="inlineStr">
        <is>
          <t>PT. MENSA BINA SUKSES - PPN (JMB)</t>
        </is>
      </c>
      <c r="AI2590" t="n">
        <v>98</v>
      </c>
      <c r="AJ2590" t="inlineStr">
        <is>
          <t>MAYBELLINE</t>
        </is>
      </c>
      <c r="AK2590" t="n">
        <v>9</v>
      </c>
      <c r="AL2590" t="inlineStr">
        <is>
          <t>Miss Glam Jambi</t>
        </is>
      </c>
      <c r="AM2590" t="n">
        <v>3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MAYBELLINE</t>
        </is>
      </c>
      <c r="B2591" s="2">
        <f>"6902395762430"</f>
        <v/>
      </c>
      <c r="C2591" t="inlineStr">
        <is>
          <t>MAYBELLINE Fit Me Matte+Poreless Powder 128 Warm Nude 6gr</t>
        </is>
      </c>
      <c r="D2591" t="inlineStr">
        <is>
          <t>Miss Glam Jambi</t>
        </is>
      </c>
      <c r="E2591" t="n">
        <v>4</v>
      </c>
      <c r="F2591" t="n">
        <v>0.066</v>
      </c>
      <c r="G2591" t="n">
        <v>0.66</v>
      </c>
      <c r="H2591" t="n">
        <v>4</v>
      </c>
      <c r="I2591" t="n">
        <v>15</v>
      </c>
      <c r="J2591" t="n">
        <v>3</v>
      </c>
      <c r="K2591" t="n">
        <v>0</v>
      </c>
      <c r="L2591" t="n">
        <v>62800</v>
      </c>
      <c r="M2591" t="n">
        <v>82900</v>
      </c>
      <c r="N2591" t="n">
        <v>33</v>
      </c>
      <c r="O2591" t="n">
        <v>0.33</v>
      </c>
      <c r="P2591" t="n">
        <v>1</v>
      </c>
      <c r="Q2591" t="n">
        <v>0.07000000000000001</v>
      </c>
      <c r="R2591" t="n">
        <v>1</v>
      </c>
      <c r="S2591" t="n">
        <v>5471.400000000001</v>
      </c>
      <c r="T2591" t="n">
        <v>10</v>
      </c>
      <c r="U2591" t="n">
        <v>11</v>
      </c>
      <c r="V2591" t="n">
        <v>30</v>
      </c>
      <c r="W2591" t="n">
        <v>2</v>
      </c>
      <c r="X2591" t="n">
        <v>60.6060606060606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10825</v>
      </c>
      <c r="AG2591" t="n">
        <v>2132</v>
      </c>
      <c r="AH2591" t="inlineStr">
        <is>
          <t>PT. MENSA BINA SUKSES - PPN (JMB)</t>
        </is>
      </c>
      <c r="AI2591" t="n">
        <v>98</v>
      </c>
      <c r="AJ2591" t="inlineStr">
        <is>
          <t>MAYBELLINE</t>
        </is>
      </c>
      <c r="AK2591" t="n">
        <v>9</v>
      </c>
      <c r="AL2591" t="inlineStr">
        <is>
          <t>Miss Glam Jambi</t>
        </is>
      </c>
      <c r="AM2591" t="n">
        <v>3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MAYBELLINE</t>
        </is>
      </c>
      <c r="B2592" s="2">
        <f>"6902395806431"</f>
        <v/>
      </c>
      <c r="C2592" t="inlineStr">
        <is>
          <t>MAYBELLINE Fit Me Matte+Poreless Powder Foundation 112 9gr</t>
        </is>
      </c>
      <c r="D2592" t="inlineStr">
        <is>
          <t>Miss Glam Jambi</t>
        </is>
      </c>
      <c r="E2592" t="n">
        <v>2</v>
      </c>
      <c r="F2592" t="n">
        <v>0.006600000000000001</v>
      </c>
      <c r="G2592" t="n">
        <v>0.33</v>
      </c>
      <c r="H2592" t="n">
        <v>4</v>
      </c>
      <c r="I2592" t="n">
        <v>15</v>
      </c>
      <c r="J2592" t="n">
        <v>3</v>
      </c>
      <c r="K2592" t="n">
        <v>0</v>
      </c>
      <c r="L2592" t="n">
        <v>104581</v>
      </c>
      <c r="M2592" t="n">
        <v>169000</v>
      </c>
      <c r="N2592" t="n">
        <v>33</v>
      </c>
      <c r="O2592" t="n">
        <v>0.33</v>
      </c>
      <c r="P2592" t="n">
        <v>1</v>
      </c>
      <c r="Q2592" t="n">
        <v>0.02</v>
      </c>
      <c r="R2592" t="n">
        <v>1</v>
      </c>
      <c r="S2592" t="n">
        <v>1115.4</v>
      </c>
      <c r="T2592" t="n">
        <v>5</v>
      </c>
      <c r="U2592" t="n">
        <v>6</v>
      </c>
      <c r="V2592" t="n">
        <v>30</v>
      </c>
      <c r="W2592" t="n">
        <v>1</v>
      </c>
      <c r="X2592" t="n">
        <v>303.030303030303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10825</v>
      </c>
      <c r="AG2592" t="n">
        <v>2132</v>
      </c>
      <c r="AH2592" t="inlineStr">
        <is>
          <t>PT. MENSA BINA SUKSES - PPN (JMB)</t>
        </is>
      </c>
      <c r="AI2592" t="n">
        <v>98</v>
      </c>
      <c r="AJ2592" t="inlineStr">
        <is>
          <t>MAYBELLINE</t>
        </is>
      </c>
      <c r="AK2592" t="n">
        <v>9</v>
      </c>
      <c r="AL2592" t="inlineStr">
        <is>
          <t>Miss Glam Jambi</t>
        </is>
      </c>
      <c r="AM2592" t="n">
        <v>3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MAYBELLINE</t>
        </is>
      </c>
      <c r="B2593" s="2">
        <f>"041554590913"</f>
        <v/>
      </c>
      <c r="C2593" t="inlineStr">
        <is>
          <t>MAYBELLINE Lash Sensational Sky High Mascara 6ml</t>
        </is>
      </c>
      <c r="D2593" t="inlineStr">
        <is>
          <t>Miss Glam Jambi</t>
        </is>
      </c>
      <c r="E2593" t="n">
        <v>12</v>
      </c>
      <c r="F2593" t="n">
        <v>0.47</v>
      </c>
      <c r="G2593" t="n">
        <v>2</v>
      </c>
      <c r="H2593" t="n">
        <v>4</v>
      </c>
      <c r="I2593" t="n">
        <v>15</v>
      </c>
      <c r="J2593" t="n">
        <v>3</v>
      </c>
      <c r="K2593" t="n">
        <v>0</v>
      </c>
      <c r="L2593" t="n">
        <v>106362</v>
      </c>
      <c r="M2593" t="n">
        <v>139000</v>
      </c>
      <c r="N2593" t="n">
        <v>33</v>
      </c>
      <c r="O2593" t="n">
        <v>0.33</v>
      </c>
      <c r="P2593" t="n">
        <v>0</v>
      </c>
      <c r="Q2593" t="n">
        <v>0.47</v>
      </c>
      <c r="R2593" t="n">
        <v>2</v>
      </c>
      <c r="S2593" t="n">
        <v>65329.99999999999</v>
      </c>
      <c r="T2593" t="n">
        <v>29</v>
      </c>
      <c r="U2593" t="n">
        <v>31</v>
      </c>
      <c r="V2593" t="n">
        <v>30</v>
      </c>
      <c r="W2593" t="n">
        <v>15</v>
      </c>
      <c r="X2593" t="n">
        <v>25.53191489361702</v>
      </c>
      <c r="Y2593" t="n">
        <v>1</v>
      </c>
      <c r="Z2593" t="n">
        <v>3</v>
      </c>
      <c r="AA2593" t="n">
        <v>0</v>
      </c>
      <c r="AB2593" t="n">
        <v>3</v>
      </c>
      <c r="AC2593" t="n">
        <v>3</v>
      </c>
      <c r="AD2593" t="n">
        <v>0</v>
      </c>
      <c r="AE2593" t="n">
        <v>319086</v>
      </c>
      <c r="AF2593" t="n">
        <v>10825</v>
      </c>
      <c r="AG2593" t="n">
        <v>2132</v>
      </c>
      <c r="AH2593" t="inlineStr">
        <is>
          <t>PT. MENSA BINA SUKSES - PPN (JMB)</t>
        </is>
      </c>
      <c r="AI2593" t="n">
        <v>98</v>
      </c>
      <c r="AJ2593" t="inlineStr">
        <is>
          <t>MAYBELLINE</t>
        </is>
      </c>
      <c r="AK2593" t="n">
        <v>9</v>
      </c>
      <c r="AL2593" t="inlineStr">
        <is>
          <t>Miss Glam Jambi</t>
        </is>
      </c>
      <c r="AM2593" t="n">
        <v>3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MAYBELLINE</t>
        </is>
      </c>
      <c r="B2594" s="2">
        <f>"6902395703495"</f>
        <v/>
      </c>
      <c r="C2594" t="inlineStr">
        <is>
          <t>MAYBELLINE Line Tatto Crayon Pen Black</t>
        </is>
      </c>
      <c r="D2594" t="inlineStr">
        <is>
          <t>Miss Glam Jambi</t>
        </is>
      </c>
      <c r="E2594" t="n">
        <v>7</v>
      </c>
      <c r="F2594" t="n">
        <v>0.0495</v>
      </c>
      <c r="G2594" t="n">
        <v>0.66</v>
      </c>
      <c r="H2594" t="n">
        <v>4</v>
      </c>
      <c r="I2594" t="n">
        <v>15</v>
      </c>
      <c r="J2594" t="n">
        <v>3</v>
      </c>
      <c r="K2594" t="n">
        <v>0</v>
      </c>
      <c r="L2594" t="n">
        <v>105347</v>
      </c>
      <c r="M2594" t="n">
        <v>145000</v>
      </c>
      <c r="N2594" t="n">
        <v>33</v>
      </c>
      <c r="O2594" t="n">
        <v>0.33</v>
      </c>
      <c r="P2594" t="n">
        <v>1</v>
      </c>
      <c r="Q2594" t="n">
        <v>0.1</v>
      </c>
      <c r="R2594" t="n">
        <v>1</v>
      </c>
      <c r="S2594" t="n">
        <v>7177.5</v>
      </c>
      <c r="T2594" t="n">
        <v>10</v>
      </c>
      <c r="U2594" t="n">
        <v>11</v>
      </c>
      <c r="V2594" t="n">
        <v>30</v>
      </c>
      <c r="W2594" t="n">
        <v>2</v>
      </c>
      <c r="X2594" t="n">
        <v>141.4141414141414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10825</v>
      </c>
      <c r="AG2594" t="n">
        <v>2132</v>
      </c>
      <c r="AH2594" t="inlineStr">
        <is>
          <t>PT. MENSA BINA SUKSES - PPN (JMB)</t>
        </is>
      </c>
      <c r="AI2594" t="n">
        <v>98</v>
      </c>
      <c r="AJ2594" t="inlineStr">
        <is>
          <t>MAYBELLINE</t>
        </is>
      </c>
      <c r="AK2594" t="n">
        <v>9</v>
      </c>
      <c r="AL2594" t="inlineStr">
        <is>
          <t>Miss Glam Jambi</t>
        </is>
      </c>
      <c r="AM2594" t="n">
        <v>3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MAYBELLINE</t>
        </is>
      </c>
      <c r="B2595" s="2">
        <f>"6902395703549"</f>
        <v/>
      </c>
      <c r="C2595" t="inlineStr">
        <is>
          <t>MAYBELLINE Line Tatto Crayon Pen Dark Brown</t>
        </is>
      </c>
      <c r="D2595" t="inlineStr">
        <is>
          <t>Miss Glam Jambi</t>
        </is>
      </c>
      <c r="E2595" t="n">
        <v>3</v>
      </c>
      <c r="F2595" t="n">
        <v>0.0165</v>
      </c>
      <c r="G2595" t="n">
        <v>0.33</v>
      </c>
      <c r="H2595" t="n">
        <v>4</v>
      </c>
      <c r="I2595" t="n">
        <v>15</v>
      </c>
      <c r="J2595" t="n">
        <v>3</v>
      </c>
      <c r="K2595" t="n">
        <v>0</v>
      </c>
      <c r="L2595" t="n">
        <v>111613</v>
      </c>
      <c r="M2595" t="n">
        <v>145000</v>
      </c>
      <c r="N2595" t="n">
        <v>33</v>
      </c>
      <c r="O2595" t="n">
        <v>0.33</v>
      </c>
      <c r="P2595" t="n">
        <v>1</v>
      </c>
      <c r="Q2595" t="n">
        <v>0.07000000000000001</v>
      </c>
      <c r="R2595" t="n">
        <v>1</v>
      </c>
      <c r="S2595" t="n">
        <v>2392.5</v>
      </c>
      <c r="T2595" t="n">
        <v>5</v>
      </c>
      <c r="U2595" t="n">
        <v>6</v>
      </c>
      <c r="V2595" t="n">
        <v>30</v>
      </c>
      <c r="W2595" t="n">
        <v>1</v>
      </c>
      <c r="X2595" t="n">
        <v>181.8181818181818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10825</v>
      </c>
      <c r="AG2595" t="n">
        <v>2132</v>
      </c>
      <c r="AH2595" t="inlineStr">
        <is>
          <t>PT. MENSA BINA SUKSES - PPN (JMB)</t>
        </is>
      </c>
      <c r="AI2595" t="n">
        <v>98</v>
      </c>
      <c r="AJ2595" t="inlineStr">
        <is>
          <t>MAYBELLINE</t>
        </is>
      </c>
      <c r="AK2595" t="n">
        <v>9</v>
      </c>
      <c r="AL2595" t="inlineStr">
        <is>
          <t>Miss Glam Jambi</t>
        </is>
      </c>
      <c r="AM2595" t="n">
        <v>3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MAYBELLINE</t>
        </is>
      </c>
      <c r="B2596" s="2">
        <f>"6902395970071"</f>
        <v/>
      </c>
      <c r="C2596" t="inlineStr">
        <is>
          <t>MAYBELLINE Super Stay Lumi-Matte Foundation Up to 30H 120 35ml</t>
        </is>
      </c>
      <c r="D2596" t="inlineStr">
        <is>
          <t>Miss Glam Jambi</t>
        </is>
      </c>
      <c r="E2596" t="n">
        <v>7</v>
      </c>
      <c r="F2596" t="n">
        <v>0.0231</v>
      </c>
      <c r="G2596" t="n">
        <v>0.33</v>
      </c>
      <c r="H2596" t="n">
        <v>4</v>
      </c>
      <c r="I2596" t="n">
        <v>15</v>
      </c>
      <c r="J2596" t="n">
        <v>3</v>
      </c>
      <c r="K2596" t="n">
        <v>0</v>
      </c>
      <c r="L2596" t="n">
        <v>106951</v>
      </c>
      <c r="M2596" t="n">
        <v>145000</v>
      </c>
      <c r="N2596" t="n">
        <v>33</v>
      </c>
      <c r="O2596" t="n">
        <v>0.33</v>
      </c>
      <c r="P2596" t="n">
        <v>1</v>
      </c>
      <c r="Q2596" t="n">
        <v>0.05</v>
      </c>
      <c r="R2596" t="n">
        <v>1</v>
      </c>
      <c r="S2596" t="n">
        <v>3349.5</v>
      </c>
      <c r="T2596" t="n">
        <v>5</v>
      </c>
      <c r="U2596" t="n">
        <v>6</v>
      </c>
      <c r="V2596" t="n">
        <v>30</v>
      </c>
      <c r="W2596" t="n">
        <v>1</v>
      </c>
      <c r="X2596" t="n">
        <v>303.030303030303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10825</v>
      </c>
      <c r="AG2596" t="n">
        <v>2132</v>
      </c>
      <c r="AH2596" t="inlineStr">
        <is>
          <t>PT. MENSA BINA SUKSES - PPN (JMB)</t>
        </is>
      </c>
      <c r="AI2596" t="n">
        <v>98</v>
      </c>
      <c r="AJ2596" t="inlineStr">
        <is>
          <t>MAYBELLINE</t>
        </is>
      </c>
      <c r="AK2596" t="n">
        <v>9</v>
      </c>
      <c r="AL2596" t="inlineStr">
        <is>
          <t>Miss Glam Jambi</t>
        </is>
      </c>
      <c r="AM2596" t="n">
        <v>3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MAYBELLINE</t>
        </is>
      </c>
      <c r="B2597" s="2">
        <f>"6902395970156"</f>
        <v/>
      </c>
      <c r="C2597" t="inlineStr">
        <is>
          <t>MAYBELLINE Super Stay Lumi-Matte Foundation Up to 30H 220 35ml</t>
        </is>
      </c>
      <c r="D2597" t="inlineStr">
        <is>
          <t>Miss Glam Jambi</t>
        </is>
      </c>
      <c r="E2597" t="n">
        <v>6</v>
      </c>
      <c r="F2597" t="n">
        <v>0.02</v>
      </c>
      <c r="G2597" t="n">
        <v>1</v>
      </c>
      <c r="H2597" t="n">
        <v>4</v>
      </c>
      <c r="I2597" t="n">
        <v>15</v>
      </c>
      <c r="J2597" t="n">
        <v>3</v>
      </c>
      <c r="K2597" t="n">
        <v>0</v>
      </c>
      <c r="L2597" t="n">
        <v>103068</v>
      </c>
      <c r="M2597" t="n">
        <v>145000</v>
      </c>
      <c r="N2597" t="n">
        <v>33</v>
      </c>
      <c r="O2597" t="n">
        <v>0.33</v>
      </c>
      <c r="P2597" t="n">
        <v>0</v>
      </c>
      <c r="Q2597" t="n">
        <v>0.02</v>
      </c>
      <c r="R2597" t="n">
        <v>1</v>
      </c>
      <c r="S2597" t="n">
        <v>2900</v>
      </c>
      <c r="T2597" t="n">
        <v>15</v>
      </c>
      <c r="U2597" t="n">
        <v>16</v>
      </c>
      <c r="V2597" t="n">
        <v>30</v>
      </c>
      <c r="W2597" t="n">
        <v>1</v>
      </c>
      <c r="X2597" t="n">
        <v>300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10825</v>
      </c>
      <c r="AG2597" t="n">
        <v>2132</v>
      </c>
      <c r="AH2597" t="inlineStr">
        <is>
          <t>PT. MENSA BINA SUKSES - PPN (JMB)</t>
        </is>
      </c>
      <c r="AI2597" t="n">
        <v>98</v>
      </c>
      <c r="AJ2597" t="inlineStr">
        <is>
          <t>MAYBELLINE</t>
        </is>
      </c>
      <c r="AK2597" t="n">
        <v>9</v>
      </c>
      <c r="AL2597" t="inlineStr">
        <is>
          <t>Miss Glam Jambi</t>
        </is>
      </c>
      <c r="AM2597" t="n">
        <v>3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MAYBELLINE</t>
        </is>
      </c>
      <c r="B2598" s="2">
        <f>"203002196829"</f>
        <v/>
      </c>
      <c r="C2598" t="inlineStr">
        <is>
          <t>MAYBELLINE Super Stay Matte Ink 500 Insider 5ml</t>
        </is>
      </c>
      <c r="D2598" t="inlineStr">
        <is>
          <t>Miss Glam Jambi</t>
        </is>
      </c>
      <c r="E2598" t="n">
        <v>5</v>
      </c>
      <c r="F2598" t="n">
        <v>0.0231</v>
      </c>
      <c r="G2598" t="n">
        <v>0.33</v>
      </c>
      <c r="H2598" t="n">
        <v>4</v>
      </c>
      <c r="I2598" t="n">
        <v>15</v>
      </c>
      <c r="J2598" t="n">
        <v>1</v>
      </c>
      <c r="K2598" t="n">
        <v>0</v>
      </c>
      <c r="L2598" t="n">
        <v>75916</v>
      </c>
      <c r="M2598" t="n">
        <v>129000</v>
      </c>
      <c r="N2598" t="n">
        <v>33</v>
      </c>
      <c r="O2598" t="n">
        <v>0.33</v>
      </c>
      <c r="P2598" t="n">
        <v>1</v>
      </c>
      <c r="Q2598" t="n">
        <v>0.02</v>
      </c>
      <c r="R2598" t="n">
        <v>1</v>
      </c>
      <c r="S2598" t="n">
        <v>2979.900000000001</v>
      </c>
      <c r="T2598" t="n">
        <v>5</v>
      </c>
      <c r="U2598" t="n">
        <v>6</v>
      </c>
      <c r="V2598" t="n">
        <v>30</v>
      </c>
      <c r="W2598" t="n">
        <v>1</v>
      </c>
      <c r="X2598" t="n">
        <v>216.4502164502164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10825</v>
      </c>
      <c r="AG2598" t="n">
        <v>2132</v>
      </c>
      <c r="AH2598" t="inlineStr">
        <is>
          <t>PT. MENSA BINA SUKSES - PPN (JMB)</t>
        </is>
      </c>
      <c r="AI2598" t="n">
        <v>98</v>
      </c>
      <c r="AJ2598" t="inlineStr">
        <is>
          <t>MAYBELLINE</t>
        </is>
      </c>
      <c r="AK2598" t="n">
        <v>9</v>
      </c>
      <c r="AL2598" t="inlineStr">
        <is>
          <t>Miss Glam Jambi</t>
        </is>
      </c>
      <c r="AM2598" t="n">
        <v>3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MAYBELLINE</t>
        </is>
      </c>
      <c r="B2599" s="2">
        <f>"203002197017"</f>
        <v/>
      </c>
      <c r="C2599" t="inlineStr">
        <is>
          <t>MAYBELLINE Super Stay Matte Ink 515 Renegade 5ml</t>
        </is>
      </c>
      <c r="D2599" t="inlineStr">
        <is>
          <t>Miss Glam Jambi</t>
        </is>
      </c>
      <c r="E2599" t="n">
        <v>5</v>
      </c>
      <c r="F2599" t="n">
        <v>0.0264</v>
      </c>
      <c r="G2599" t="n">
        <v>0.33</v>
      </c>
      <c r="H2599" t="n">
        <v>4</v>
      </c>
      <c r="I2599" t="n">
        <v>15</v>
      </c>
      <c r="J2599" t="n">
        <v>1</v>
      </c>
      <c r="K2599" t="n">
        <v>0</v>
      </c>
      <c r="L2599" t="n">
        <v>75916</v>
      </c>
      <c r="M2599" t="n">
        <v>129000</v>
      </c>
      <c r="N2599" t="n">
        <v>33</v>
      </c>
      <c r="O2599" t="n">
        <v>0.33</v>
      </c>
      <c r="P2599" t="n">
        <v>1</v>
      </c>
      <c r="Q2599" t="n">
        <v>0.02</v>
      </c>
      <c r="R2599" t="n">
        <v>1</v>
      </c>
      <c r="S2599" t="n">
        <v>3405.6</v>
      </c>
      <c r="T2599" t="n">
        <v>5</v>
      </c>
      <c r="U2599" t="n">
        <v>6</v>
      </c>
      <c r="V2599" t="n">
        <v>30</v>
      </c>
      <c r="W2599" t="n">
        <v>1</v>
      </c>
      <c r="X2599" t="n">
        <v>189.3939393939394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10825</v>
      </c>
      <c r="AG2599" t="n">
        <v>2132</v>
      </c>
      <c r="AH2599" t="inlineStr">
        <is>
          <t>PT. MENSA BINA SUKSES - PPN (JMB)</t>
        </is>
      </c>
      <c r="AI2599" t="n">
        <v>98</v>
      </c>
      <c r="AJ2599" t="inlineStr">
        <is>
          <t>MAYBELLINE</t>
        </is>
      </c>
      <c r="AK2599" t="n">
        <v>9</v>
      </c>
      <c r="AL2599" t="inlineStr">
        <is>
          <t>Miss Glam Jambi</t>
        </is>
      </c>
      <c r="AM2599" t="n">
        <v>3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MAYBELLINE</t>
        </is>
      </c>
      <c r="B2600" s="2">
        <f>"6902395832676"</f>
        <v/>
      </c>
      <c r="C2600" t="inlineStr">
        <is>
          <t>MAYBELLINE Super Stay Vinyl Ink 10 Lippy</t>
        </is>
      </c>
      <c r="D2600" t="inlineStr">
        <is>
          <t>Miss Glam Jambi</t>
        </is>
      </c>
      <c r="E2600" t="n">
        <v>23</v>
      </c>
      <c r="F2600" t="n">
        <v>0.3399</v>
      </c>
      <c r="G2600" t="n">
        <v>1.32</v>
      </c>
      <c r="H2600" t="n">
        <v>4</v>
      </c>
      <c r="I2600" t="n">
        <v>15</v>
      </c>
      <c r="J2600" t="n">
        <v>3</v>
      </c>
      <c r="K2600" t="n">
        <v>0</v>
      </c>
      <c r="L2600" t="n">
        <v>93311</v>
      </c>
      <c r="M2600" t="n">
        <v>119000</v>
      </c>
      <c r="N2600" t="n">
        <v>33</v>
      </c>
      <c r="O2600" t="n">
        <v>0.33</v>
      </c>
      <c r="P2600" t="n">
        <v>1</v>
      </c>
      <c r="Q2600" t="n">
        <v>0.66</v>
      </c>
      <c r="R2600" t="n">
        <v>3</v>
      </c>
      <c r="S2600" t="n">
        <v>40448.10000000001</v>
      </c>
      <c r="T2600" t="n">
        <v>19</v>
      </c>
      <c r="U2600" t="n">
        <v>21</v>
      </c>
      <c r="V2600" t="n">
        <v>30</v>
      </c>
      <c r="W2600" t="n">
        <v>11</v>
      </c>
      <c r="X2600" t="n">
        <v>67.66696087084436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10825</v>
      </c>
      <c r="AG2600" t="n">
        <v>2132</v>
      </c>
      <c r="AH2600" t="inlineStr">
        <is>
          <t>PT. MENSA BINA SUKSES - PPN (JMB)</t>
        </is>
      </c>
      <c r="AI2600" t="n">
        <v>98</v>
      </c>
      <c r="AJ2600" t="inlineStr">
        <is>
          <t>MAYBELLINE</t>
        </is>
      </c>
      <c r="AK2600" t="n">
        <v>9</v>
      </c>
      <c r="AL2600" t="inlineStr">
        <is>
          <t>Miss Glam Jambi</t>
        </is>
      </c>
      <c r="AM2600" t="n">
        <v>3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MAYBELLINE</t>
        </is>
      </c>
      <c r="B2601" s="2">
        <f>"6902395841562"</f>
        <v/>
      </c>
      <c r="C2601" t="inlineStr">
        <is>
          <t>MAYBELLINE Super Stay Vinyl Ink 100 Charmed</t>
        </is>
      </c>
      <c r="D2601" t="inlineStr">
        <is>
          <t>Miss Glam Jambi</t>
        </is>
      </c>
      <c r="E2601" t="n">
        <v>4</v>
      </c>
      <c r="F2601" t="n">
        <v>0.07920000000000001</v>
      </c>
      <c r="G2601" t="n">
        <v>0.66</v>
      </c>
      <c r="H2601" t="n">
        <v>4</v>
      </c>
      <c r="I2601" t="n">
        <v>15</v>
      </c>
      <c r="J2601" t="n">
        <v>3</v>
      </c>
      <c r="K2601" t="n">
        <v>0</v>
      </c>
      <c r="L2601" t="n">
        <v>96454</v>
      </c>
      <c r="M2601" t="n">
        <v>119000</v>
      </c>
      <c r="N2601" t="n">
        <v>33</v>
      </c>
      <c r="O2601" t="n">
        <v>0.33</v>
      </c>
      <c r="P2601" t="n">
        <v>1</v>
      </c>
      <c r="Q2601" t="n">
        <v>0.1</v>
      </c>
      <c r="R2601" t="n">
        <v>1</v>
      </c>
      <c r="S2601" t="n">
        <v>9424.800000000001</v>
      </c>
      <c r="T2601" t="n">
        <v>10</v>
      </c>
      <c r="U2601" t="n">
        <v>11</v>
      </c>
      <c r="V2601" t="n">
        <v>30</v>
      </c>
      <c r="W2601" t="n">
        <v>3</v>
      </c>
      <c r="X2601" t="n">
        <v>50.5050505050505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10825</v>
      </c>
      <c r="AG2601" t="n">
        <v>2132</v>
      </c>
      <c r="AH2601" t="inlineStr">
        <is>
          <t>PT. MENSA BINA SUKSES - PPN (JMB)</t>
        </is>
      </c>
      <c r="AI2601" t="n">
        <v>98</v>
      </c>
      <c r="AJ2601" t="inlineStr">
        <is>
          <t>MAYBELLINE</t>
        </is>
      </c>
      <c r="AK2601" t="n">
        <v>9</v>
      </c>
      <c r="AL2601" t="inlineStr">
        <is>
          <t>Miss Glam Jambi</t>
        </is>
      </c>
      <c r="AM2601" t="n">
        <v>3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MAYBELLINE</t>
        </is>
      </c>
      <c r="B2602" s="2">
        <f>"6902395841531"</f>
        <v/>
      </c>
      <c r="C2602" t="inlineStr">
        <is>
          <t>MAYBELLINE Super Stay Vinyl Ink 120 Punchy</t>
        </is>
      </c>
      <c r="D2602" t="inlineStr">
        <is>
          <t>Miss Glam Jambi</t>
        </is>
      </c>
      <c r="E2602" t="n">
        <v>1</v>
      </c>
      <c r="F2602" t="n">
        <v>0.02</v>
      </c>
      <c r="G2602" t="n">
        <v>1</v>
      </c>
      <c r="H2602" t="n">
        <v>4</v>
      </c>
      <c r="I2602" t="n">
        <v>15</v>
      </c>
      <c r="J2602" t="n">
        <v>3</v>
      </c>
      <c r="K2602" t="n">
        <v>0</v>
      </c>
      <c r="L2602" t="n">
        <v>103580</v>
      </c>
      <c r="M2602" t="n">
        <v>119000</v>
      </c>
      <c r="N2602" t="n">
        <v>33</v>
      </c>
      <c r="O2602" t="n">
        <v>0.33</v>
      </c>
      <c r="P2602" t="n">
        <v>0</v>
      </c>
      <c r="Q2602" t="n">
        <v>0.02</v>
      </c>
      <c r="R2602" t="n">
        <v>1</v>
      </c>
      <c r="S2602" t="n">
        <v>2380</v>
      </c>
      <c r="T2602" t="n">
        <v>15</v>
      </c>
      <c r="U2602" t="n">
        <v>16</v>
      </c>
      <c r="V2602" t="n">
        <v>30</v>
      </c>
      <c r="W2602" t="n">
        <v>1</v>
      </c>
      <c r="X2602" t="n">
        <v>50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10825</v>
      </c>
      <c r="AG2602" t="n">
        <v>2132</v>
      </c>
      <c r="AH2602" t="inlineStr">
        <is>
          <t>PT. MENSA BINA SUKSES - PPN (JMB)</t>
        </is>
      </c>
      <c r="AI2602" t="n">
        <v>98</v>
      </c>
      <c r="AJ2602" t="inlineStr">
        <is>
          <t>MAYBELLINE</t>
        </is>
      </c>
      <c r="AK2602" t="n">
        <v>9</v>
      </c>
      <c r="AL2602" t="inlineStr">
        <is>
          <t>Miss Glam Jambi</t>
        </is>
      </c>
      <c r="AM2602" t="n">
        <v>3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MAYBELLINE</t>
        </is>
      </c>
      <c r="B2603" s="2">
        <f>"6902395841548"</f>
        <v/>
      </c>
      <c r="C2603" t="inlineStr">
        <is>
          <t>MAYBELLINE Super Stay Vinyl Ink 125 Keen</t>
        </is>
      </c>
      <c r="D2603" t="inlineStr">
        <is>
          <t>Miss Glam Jambi</t>
        </is>
      </c>
      <c r="E2603" t="n">
        <v>7</v>
      </c>
      <c r="F2603" t="n">
        <v>0.08910000000000001</v>
      </c>
      <c r="G2603" t="n">
        <v>0.99</v>
      </c>
      <c r="H2603" t="n">
        <v>4</v>
      </c>
      <c r="I2603" t="n">
        <v>15</v>
      </c>
      <c r="J2603" t="n">
        <v>3</v>
      </c>
      <c r="K2603" t="n">
        <v>0</v>
      </c>
      <c r="L2603" t="n">
        <v>83765</v>
      </c>
      <c r="M2603" t="n">
        <v>119000</v>
      </c>
      <c r="N2603" t="n">
        <v>33</v>
      </c>
      <c r="O2603" t="n">
        <v>0.33</v>
      </c>
      <c r="P2603" t="n">
        <v>1</v>
      </c>
      <c r="Q2603" t="n">
        <v>0.05</v>
      </c>
      <c r="R2603" t="n">
        <v>1</v>
      </c>
      <c r="S2603" t="n">
        <v>10602.9</v>
      </c>
      <c r="T2603" t="n">
        <v>15</v>
      </c>
      <c r="U2603" t="n">
        <v>16</v>
      </c>
      <c r="V2603" t="n">
        <v>30</v>
      </c>
      <c r="W2603" t="n">
        <v>3</v>
      </c>
      <c r="X2603" t="n">
        <v>78.56341189674522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10825</v>
      </c>
      <c r="AG2603" t="n">
        <v>2132</v>
      </c>
      <c r="AH2603" t="inlineStr">
        <is>
          <t>PT. MENSA BINA SUKSES - PPN (JMB)</t>
        </is>
      </c>
      <c r="AI2603" t="n">
        <v>98</v>
      </c>
      <c r="AJ2603" t="inlineStr">
        <is>
          <t>MAYBELLINE</t>
        </is>
      </c>
      <c r="AK2603" t="n">
        <v>9</v>
      </c>
      <c r="AL2603" t="inlineStr">
        <is>
          <t>Miss Glam Jambi</t>
        </is>
      </c>
      <c r="AM2603" t="n">
        <v>3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MAYBELLINE</t>
        </is>
      </c>
      <c r="B2604" s="2">
        <f>"6902395841555"</f>
        <v/>
      </c>
      <c r="C2604" t="inlineStr">
        <is>
          <t>MAYBELLINE Super Stay Vinyl Ink 130 Ekstra</t>
        </is>
      </c>
      <c r="D2604" t="inlineStr">
        <is>
          <t>Miss Glam Jambi</t>
        </is>
      </c>
      <c r="E2604" t="n">
        <v>5</v>
      </c>
      <c r="F2604" t="n">
        <v>0.2079</v>
      </c>
      <c r="G2604" t="n">
        <v>1.32</v>
      </c>
      <c r="H2604" t="n">
        <v>4</v>
      </c>
      <c r="I2604" t="n">
        <v>15</v>
      </c>
      <c r="J2604" t="n">
        <v>3</v>
      </c>
      <c r="K2604" t="n">
        <v>3</v>
      </c>
      <c r="L2604" t="n">
        <v>103397</v>
      </c>
      <c r="M2604" t="n">
        <v>119000</v>
      </c>
      <c r="N2604" t="n">
        <v>33</v>
      </c>
      <c r="O2604" t="n">
        <v>0.33</v>
      </c>
      <c r="P2604" t="n">
        <v>1</v>
      </c>
      <c r="Q2604" t="n">
        <v>0.1</v>
      </c>
      <c r="R2604" t="n">
        <v>2</v>
      </c>
      <c r="S2604" t="n">
        <v>24740.1</v>
      </c>
      <c r="T2604" t="n">
        <v>19</v>
      </c>
      <c r="U2604" t="n">
        <v>20</v>
      </c>
      <c r="V2604" t="n">
        <v>30</v>
      </c>
      <c r="W2604" t="n">
        <v>7</v>
      </c>
      <c r="X2604" t="n">
        <v>24.05002405002405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10825</v>
      </c>
      <c r="AG2604" t="n">
        <v>2132</v>
      </c>
      <c r="AH2604" t="inlineStr">
        <is>
          <t>PT. MENSA BINA SUKSES - PPN (JMB)</t>
        </is>
      </c>
      <c r="AI2604" t="n">
        <v>98</v>
      </c>
      <c r="AJ2604" t="inlineStr">
        <is>
          <t>MAYBELLINE</t>
        </is>
      </c>
      <c r="AK2604" t="n">
        <v>9</v>
      </c>
      <c r="AL2604" t="inlineStr">
        <is>
          <t>Miss Glam Jambi</t>
        </is>
      </c>
      <c r="AM2604" t="n">
        <v>3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MAYBELLINE</t>
        </is>
      </c>
      <c r="B2605" s="2">
        <f>"6902395858928"</f>
        <v/>
      </c>
      <c r="C2605" t="inlineStr">
        <is>
          <t>MAYBELLINE Super Stay Vinyl Ink 145 Rouge 4,2ml</t>
        </is>
      </c>
      <c r="D2605" t="inlineStr">
        <is>
          <t>Miss Glam Jambi</t>
        </is>
      </c>
      <c r="E2605" t="n">
        <v>3</v>
      </c>
      <c r="F2605" t="n">
        <v>0.1386</v>
      </c>
      <c r="G2605" t="n">
        <v>0.99</v>
      </c>
      <c r="H2605" t="n">
        <v>4</v>
      </c>
      <c r="I2605" t="n">
        <v>15</v>
      </c>
      <c r="J2605" t="n">
        <v>3</v>
      </c>
      <c r="K2605" t="n">
        <v>3</v>
      </c>
      <c r="L2605" t="n">
        <v>95163</v>
      </c>
      <c r="M2605" t="n">
        <v>119000</v>
      </c>
      <c r="N2605" t="n">
        <v>33</v>
      </c>
      <c r="O2605" t="n">
        <v>0.33</v>
      </c>
      <c r="P2605" t="n">
        <v>1</v>
      </c>
      <c r="Q2605" t="n">
        <v>0.22</v>
      </c>
      <c r="R2605" t="n">
        <v>2</v>
      </c>
      <c r="S2605" t="n">
        <v>16493.4</v>
      </c>
      <c r="T2605" t="n">
        <v>15</v>
      </c>
      <c r="U2605" t="n">
        <v>16</v>
      </c>
      <c r="V2605" t="n">
        <v>30</v>
      </c>
      <c r="W2605" t="n">
        <v>5</v>
      </c>
      <c r="X2605" t="n">
        <v>21.64502164502165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10825</v>
      </c>
      <c r="AG2605" t="n">
        <v>2132</v>
      </c>
      <c r="AH2605" t="inlineStr">
        <is>
          <t>PT. MENSA BINA SUKSES - PPN (JMB)</t>
        </is>
      </c>
      <c r="AI2605" t="n">
        <v>98</v>
      </c>
      <c r="AJ2605" t="inlineStr">
        <is>
          <t>MAYBELLINE</t>
        </is>
      </c>
      <c r="AK2605" t="n">
        <v>9</v>
      </c>
      <c r="AL2605" t="inlineStr">
        <is>
          <t>Miss Glam Jambi</t>
        </is>
      </c>
      <c r="AM2605" t="n">
        <v>3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MAYBELLINE</t>
        </is>
      </c>
      <c r="B2606" s="2">
        <f>"6902395832690"</f>
        <v/>
      </c>
      <c r="C2606" t="inlineStr">
        <is>
          <t>MAYBELLINE Super Stay Vinyl Ink 15 Peachy</t>
        </is>
      </c>
      <c r="D2606" t="inlineStr">
        <is>
          <t>Miss Glam Jambi</t>
        </is>
      </c>
      <c r="E2606" t="n">
        <v>8</v>
      </c>
      <c r="F2606" t="n">
        <v>0.1122</v>
      </c>
      <c r="G2606" t="n">
        <v>0.66</v>
      </c>
      <c r="H2606" t="n">
        <v>4</v>
      </c>
      <c r="I2606" t="n">
        <v>15</v>
      </c>
      <c r="J2606" t="n">
        <v>3</v>
      </c>
      <c r="K2606" t="n">
        <v>0</v>
      </c>
      <c r="L2606" t="n">
        <v>90518</v>
      </c>
      <c r="M2606" t="n">
        <v>119000</v>
      </c>
      <c r="N2606" t="n">
        <v>33</v>
      </c>
      <c r="O2606" t="n">
        <v>0.33</v>
      </c>
      <c r="P2606" t="n">
        <v>1</v>
      </c>
      <c r="Q2606" t="n">
        <v>0.08</v>
      </c>
      <c r="R2606" t="n">
        <v>2</v>
      </c>
      <c r="S2606" t="n">
        <v>13351.8</v>
      </c>
      <c r="T2606" t="n">
        <v>10</v>
      </c>
      <c r="U2606" t="n">
        <v>11</v>
      </c>
      <c r="V2606" t="n">
        <v>30</v>
      </c>
      <c r="W2606" t="n">
        <v>4</v>
      </c>
      <c r="X2606" t="n">
        <v>71.301247771836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10825</v>
      </c>
      <c r="AG2606" t="n">
        <v>2132</v>
      </c>
      <c r="AH2606" t="inlineStr">
        <is>
          <t>PT. MENSA BINA SUKSES - PPN (JMB)</t>
        </is>
      </c>
      <c r="AI2606" t="n">
        <v>98</v>
      </c>
      <c r="AJ2606" t="inlineStr">
        <is>
          <t>MAYBELLINE</t>
        </is>
      </c>
      <c r="AK2606" t="n">
        <v>9</v>
      </c>
      <c r="AL2606" t="inlineStr">
        <is>
          <t>Miss Glam Jambi</t>
        </is>
      </c>
      <c r="AM2606" t="n">
        <v>3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MAYBELLINE</t>
        </is>
      </c>
      <c r="B2607" s="2">
        <f>"6902395832720"</f>
        <v/>
      </c>
      <c r="C2607" t="inlineStr">
        <is>
          <t>MAYBELLINE Super Stay Vinyl Ink 30</t>
        </is>
      </c>
      <c r="D2607" t="inlineStr">
        <is>
          <t>Miss Glam Jambi</t>
        </is>
      </c>
      <c r="E2607" t="n">
        <v>5</v>
      </c>
      <c r="F2607" t="n">
        <v>0.0264</v>
      </c>
      <c r="G2607" t="n">
        <v>0.33</v>
      </c>
      <c r="H2607" t="n">
        <v>4</v>
      </c>
      <c r="I2607" t="n">
        <v>15</v>
      </c>
      <c r="J2607" t="n">
        <v>3</v>
      </c>
      <c r="K2607" t="n">
        <v>0</v>
      </c>
      <c r="L2607" t="n">
        <v>97212</v>
      </c>
      <c r="M2607" t="n">
        <v>119000</v>
      </c>
      <c r="N2607" t="n">
        <v>33</v>
      </c>
      <c r="O2607" t="n">
        <v>0.33</v>
      </c>
      <c r="P2607" t="n">
        <v>1</v>
      </c>
      <c r="Q2607" t="n">
        <v>0.05</v>
      </c>
      <c r="R2607" t="n">
        <v>1</v>
      </c>
      <c r="S2607" t="n">
        <v>3141.6</v>
      </c>
      <c r="T2607" t="n">
        <v>5</v>
      </c>
      <c r="U2607" t="n">
        <v>6</v>
      </c>
      <c r="V2607" t="n">
        <v>30</v>
      </c>
      <c r="W2607" t="n">
        <v>1</v>
      </c>
      <c r="X2607" t="n">
        <v>189.3939393939394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10825</v>
      </c>
      <c r="AG2607" t="n">
        <v>2132</v>
      </c>
      <c r="AH2607" t="inlineStr">
        <is>
          <t>PT. MENSA BINA SUKSES - PPN (JMB)</t>
        </is>
      </c>
      <c r="AI2607" t="n">
        <v>98</v>
      </c>
      <c r="AJ2607" t="inlineStr">
        <is>
          <t>MAYBELLINE</t>
        </is>
      </c>
      <c r="AK2607" t="n">
        <v>9</v>
      </c>
      <c r="AL2607" t="inlineStr">
        <is>
          <t>Miss Glam Jambi</t>
        </is>
      </c>
      <c r="AM2607" t="n">
        <v>3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MAYBELLINE</t>
        </is>
      </c>
      <c r="B2608" s="2">
        <f>"6902395832652"</f>
        <v/>
      </c>
      <c r="C2608" t="inlineStr">
        <is>
          <t>MAYBELLINE Super Stay Vinyl Ink 35 Cheeky</t>
        </is>
      </c>
      <c r="D2608" t="inlineStr">
        <is>
          <t>Miss Glam Jambi</t>
        </is>
      </c>
      <c r="E2608" t="n">
        <v>7</v>
      </c>
      <c r="F2608" t="n">
        <v>0.07000000000000001</v>
      </c>
      <c r="G2608" t="n">
        <v>1</v>
      </c>
      <c r="H2608" t="n">
        <v>4</v>
      </c>
      <c r="I2608" t="n">
        <v>15</v>
      </c>
      <c r="J2608" t="n">
        <v>3</v>
      </c>
      <c r="K2608" t="n">
        <v>0</v>
      </c>
      <c r="L2608" t="n">
        <v>103500</v>
      </c>
      <c r="M2608" t="n">
        <v>119000</v>
      </c>
      <c r="N2608" t="n">
        <v>33</v>
      </c>
      <c r="O2608" t="n">
        <v>0.33</v>
      </c>
      <c r="P2608" t="n">
        <v>0</v>
      </c>
      <c r="Q2608" t="n">
        <v>0.07000000000000001</v>
      </c>
      <c r="R2608" t="n">
        <v>1</v>
      </c>
      <c r="S2608" t="n">
        <v>8330</v>
      </c>
      <c r="T2608" t="n">
        <v>15</v>
      </c>
      <c r="U2608" t="n">
        <v>16</v>
      </c>
      <c r="V2608" t="n">
        <v>30</v>
      </c>
      <c r="W2608" t="n">
        <v>3</v>
      </c>
      <c r="X2608" t="n">
        <v>99.99999999999999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10825</v>
      </c>
      <c r="AG2608" t="n">
        <v>2132</v>
      </c>
      <c r="AH2608" t="inlineStr">
        <is>
          <t>PT. MENSA BINA SUKSES - PPN (JMB)</t>
        </is>
      </c>
      <c r="AI2608" t="n">
        <v>98</v>
      </c>
      <c r="AJ2608" t="inlineStr">
        <is>
          <t>MAYBELLINE</t>
        </is>
      </c>
      <c r="AK2608" t="n">
        <v>9</v>
      </c>
      <c r="AL2608" t="inlineStr">
        <is>
          <t>Miss Glam Jambi</t>
        </is>
      </c>
      <c r="AM2608" t="n">
        <v>3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MAYBELLINE</t>
        </is>
      </c>
      <c r="B2609" s="2">
        <f>"6902395832737"</f>
        <v/>
      </c>
      <c r="C2609" t="inlineStr">
        <is>
          <t>MAYBELLINE Super Stay Vinyl Ink 50</t>
        </is>
      </c>
      <c r="D2609" t="inlineStr">
        <is>
          <t>Miss Glam Jambi</t>
        </is>
      </c>
      <c r="E2609" t="n">
        <v>5</v>
      </c>
      <c r="F2609" t="n">
        <v>0.0462</v>
      </c>
      <c r="G2609" t="n">
        <v>0.66</v>
      </c>
      <c r="H2609" t="n">
        <v>4</v>
      </c>
      <c r="I2609" t="n">
        <v>15</v>
      </c>
      <c r="J2609" t="n">
        <v>3</v>
      </c>
      <c r="K2609" t="n">
        <v>0</v>
      </c>
      <c r="L2609" t="n">
        <v>101869</v>
      </c>
      <c r="M2609" t="n">
        <v>119000</v>
      </c>
      <c r="N2609" t="n">
        <v>33</v>
      </c>
      <c r="O2609" t="n">
        <v>0.33</v>
      </c>
      <c r="P2609" t="n">
        <v>1</v>
      </c>
      <c r="Q2609" t="n">
        <v>0.17</v>
      </c>
      <c r="R2609" t="n">
        <v>2</v>
      </c>
      <c r="S2609" t="n">
        <v>5497.8</v>
      </c>
      <c r="T2609" t="n">
        <v>10</v>
      </c>
      <c r="U2609" t="n">
        <v>11</v>
      </c>
      <c r="V2609" t="n">
        <v>30</v>
      </c>
      <c r="W2609" t="n">
        <v>2</v>
      </c>
      <c r="X2609" t="n">
        <v>108.2251082251082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10825</v>
      </c>
      <c r="AG2609" t="n">
        <v>2132</v>
      </c>
      <c r="AH2609" t="inlineStr">
        <is>
          <t>PT. MENSA BINA SUKSES - PPN (JMB)</t>
        </is>
      </c>
      <c r="AI2609" t="n">
        <v>98</v>
      </c>
      <c r="AJ2609" t="inlineStr">
        <is>
          <t>MAYBELLINE</t>
        </is>
      </c>
      <c r="AK2609" t="n">
        <v>9</v>
      </c>
      <c r="AL2609" t="inlineStr">
        <is>
          <t>Miss Glam Jambi</t>
        </is>
      </c>
      <c r="AM2609" t="n">
        <v>3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MAYBELLINE</t>
        </is>
      </c>
      <c r="B2610" s="2">
        <f>"6902395832683"</f>
        <v/>
      </c>
      <c r="C2610" t="inlineStr">
        <is>
          <t>MAYBELLINE Super Stay Vinyl Ink 60 Michievous</t>
        </is>
      </c>
      <c r="D2610" t="inlineStr">
        <is>
          <t>Miss Glam Jambi</t>
        </is>
      </c>
      <c r="E2610" t="n">
        <v>9</v>
      </c>
      <c r="F2610" t="n">
        <v>0.1023</v>
      </c>
      <c r="G2610" t="n">
        <v>0.66</v>
      </c>
      <c r="H2610" t="n">
        <v>4</v>
      </c>
      <c r="I2610" t="n">
        <v>15</v>
      </c>
      <c r="J2610" t="n">
        <v>3</v>
      </c>
      <c r="K2610" t="n">
        <v>0</v>
      </c>
      <c r="L2610" t="n">
        <v>101001</v>
      </c>
      <c r="M2610" t="n">
        <v>119000</v>
      </c>
      <c r="N2610" t="n">
        <v>33</v>
      </c>
      <c r="O2610" t="n">
        <v>0.33</v>
      </c>
      <c r="P2610" t="n">
        <v>1</v>
      </c>
      <c r="Q2610" t="n">
        <v>0.17</v>
      </c>
      <c r="R2610" t="n">
        <v>1</v>
      </c>
      <c r="S2610" t="n">
        <v>12173.7</v>
      </c>
      <c r="T2610" t="n">
        <v>10</v>
      </c>
      <c r="U2610" t="n">
        <v>11</v>
      </c>
      <c r="V2610" t="n">
        <v>30</v>
      </c>
      <c r="W2610" t="n">
        <v>4</v>
      </c>
      <c r="X2610" t="n">
        <v>87.97653958944281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10825</v>
      </c>
      <c r="AG2610" t="n">
        <v>2132</v>
      </c>
      <c r="AH2610" t="inlineStr">
        <is>
          <t>PT. MENSA BINA SUKSES - PPN (JMB)</t>
        </is>
      </c>
      <c r="AI2610" t="n">
        <v>98</v>
      </c>
      <c r="AJ2610" t="inlineStr">
        <is>
          <t>MAYBELLINE</t>
        </is>
      </c>
      <c r="AK2610" t="n">
        <v>9</v>
      </c>
      <c r="AL2610" t="inlineStr">
        <is>
          <t>Miss Glam Jambi</t>
        </is>
      </c>
      <c r="AM2610" t="n">
        <v>3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MAYBELLINE</t>
        </is>
      </c>
      <c r="B2611" s="2">
        <f>"6902395841241"</f>
        <v/>
      </c>
      <c r="C2611" t="inlineStr">
        <is>
          <t>MAYBELLINE Super Stay Vinyl Ink 61 Risky</t>
        </is>
      </c>
      <c r="D2611" t="inlineStr">
        <is>
          <t>Miss Glam Jambi</t>
        </is>
      </c>
      <c r="E2611" t="n">
        <v>6</v>
      </c>
      <c r="F2611" t="n">
        <v>0.1188</v>
      </c>
      <c r="G2611" t="n">
        <v>0.66</v>
      </c>
      <c r="H2611" t="n">
        <v>4</v>
      </c>
      <c r="I2611" t="n">
        <v>15</v>
      </c>
      <c r="J2611" t="n">
        <v>3</v>
      </c>
      <c r="K2611" t="n">
        <v>0</v>
      </c>
      <c r="L2611" t="n">
        <v>91601</v>
      </c>
      <c r="M2611" t="n">
        <v>119000</v>
      </c>
      <c r="N2611" t="n">
        <v>33</v>
      </c>
      <c r="O2611" t="n">
        <v>0.33</v>
      </c>
      <c r="P2611" t="n">
        <v>1</v>
      </c>
      <c r="Q2611" t="n">
        <v>0.07000000000000001</v>
      </c>
      <c r="R2611" t="n">
        <v>1</v>
      </c>
      <c r="S2611" t="n">
        <v>14137.2</v>
      </c>
      <c r="T2611" t="n">
        <v>10</v>
      </c>
      <c r="U2611" t="n">
        <v>11</v>
      </c>
      <c r="V2611" t="n">
        <v>30</v>
      </c>
      <c r="W2611" t="n">
        <v>4</v>
      </c>
      <c r="X2611" t="n">
        <v>50.50505050505051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10825</v>
      </c>
      <c r="AG2611" t="n">
        <v>2132</v>
      </c>
      <c r="AH2611" t="inlineStr">
        <is>
          <t>PT. MENSA BINA SUKSES - PPN (JMB)</t>
        </is>
      </c>
      <c r="AI2611" t="n">
        <v>98</v>
      </c>
      <c r="AJ2611" t="inlineStr">
        <is>
          <t>MAYBELLINE</t>
        </is>
      </c>
      <c r="AK2611" t="n">
        <v>9</v>
      </c>
      <c r="AL2611" t="inlineStr">
        <is>
          <t>Miss Glam Jambi</t>
        </is>
      </c>
      <c r="AM2611" t="n">
        <v>3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MAYBELLINE</t>
        </is>
      </c>
      <c r="B2612" s="2">
        <f>"6902395841258"</f>
        <v/>
      </c>
      <c r="C2612" t="inlineStr">
        <is>
          <t>MAYBELLINE Super Stay Vinyl Ink 62 Irresistible</t>
        </is>
      </c>
      <c r="D2612" t="inlineStr">
        <is>
          <t>Miss Glam Jambi</t>
        </is>
      </c>
      <c r="E2612" t="n">
        <v>4</v>
      </c>
      <c r="F2612" t="n">
        <v>0.006600000000000001</v>
      </c>
      <c r="G2612" t="n">
        <v>0</v>
      </c>
      <c r="H2612" t="n">
        <v>4</v>
      </c>
      <c r="I2612" t="n">
        <v>15</v>
      </c>
      <c r="J2612" t="n">
        <v>3</v>
      </c>
      <c r="K2612" t="n">
        <v>0</v>
      </c>
      <c r="L2612" t="n">
        <v>96195</v>
      </c>
      <c r="M2612" t="n">
        <v>119000</v>
      </c>
      <c r="N2612" t="n">
        <v>33</v>
      </c>
      <c r="O2612" t="n">
        <v>0.33</v>
      </c>
      <c r="P2612" t="n">
        <v>1</v>
      </c>
      <c r="Q2612" t="n">
        <v>0.03</v>
      </c>
      <c r="R2612" t="n">
        <v>1</v>
      </c>
      <c r="S2612" t="n">
        <v>785.4000000000001</v>
      </c>
      <c r="T2612" t="n">
        <v>0</v>
      </c>
      <c r="U2612" t="n">
        <v>1</v>
      </c>
      <c r="V2612" t="n">
        <v>30</v>
      </c>
      <c r="W2612" t="n">
        <v>1</v>
      </c>
      <c r="X2612" t="n">
        <v>606.060606060606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10825</v>
      </c>
      <c r="AG2612" t="n">
        <v>2132</v>
      </c>
      <c r="AH2612" t="inlineStr">
        <is>
          <t>PT. MENSA BINA SUKSES - PPN (JMB)</t>
        </is>
      </c>
      <c r="AI2612" t="n">
        <v>98</v>
      </c>
      <c r="AJ2612" t="inlineStr">
        <is>
          <t>MAYBELLINE</t>
        </is>
      </c>
      <c r="AK2612" t="n">
        <v>9</v>
      </c>
      <c r="AL2612" t="inlineStr">
        <is>
          <t>Miss Glam Jambi</t>
        </is>
      </c>
      <c r="AM2612" t="n">
        <v>3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MAYBELLINE</t>
        </is>
      </c>
      <c r="B2613" s="2">
        <f>"6902395832713"</f>
        <v/>
      </c>
      <c r="C2613" t="inlineStr">
        <is>
          <t>MAYBELLINE Super Stay Vinyl Ink 65</t>
        </is>
      </c>
      <c r="D2613" t="inlineStr">
        <is>
          <t>Miss Glam Jambi</t>
        </is>
      </c>
      <c r="E2613" t="n">
        <v>6</v>
      </c>
      <c r="F2613" t="n">
        <v>0.1023</v>
      </c>
      <c r="G2613" t="n">
        <v>0.66</v>
      </c>
      <c r="H2613" t="n">
        <v>4</v>
      </c>
      <c r="I2613" t="n">
        <v>15</v>
      </c>
      <c r="J2613" t="n">
        <v>3</v>
      </c>
      <c r="K2613" t="n">
        <v>0</v>
      </c>
      <c r="L2613" t="n">
        <v>93046</v>
      </c>
      <c r="M2613" t="n">
        <v>119000</v>
      </c>
      <c r="N2613" t="n">
        <v>33</v>
      </c>
      <c r="O2613" t="n">
        <v>0.33</v>
      </c>
      <c r="P2613" t="n">
        <v>1</v>
      </c>
      <c r="Q2613" t="n">
        <v>0.1</v>
      </c>
      <c r="R2613" t="n">
        <v>1</v>
      </c>
      <c r="S2613" t="n">
        <v>12173.7</v>
      </c>
      <c r="T2613" t="n">
        <v>10</v>
      </c>
      <c r="U2613" t="n">
        <v>11</v>
      </c>
      <c r="V2613" t="n">
        <v>30</v>
      </c>
      <c r="W2613" t="n">
        <v>4</v>
      </c>
      <c r="X2613" t="n">
        <v>58.65102639296187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10825</v>
      </c>
      <c r="AG2613" t="n">
        <v>2132</v>
      </c>
      <c r="AH2613" t="inlineStr">
        <is>
          <t>PT. MENSA BINA SUKSES - PPN (JMB)</t>
        </is>
      </c>
      <c r="AI2613" t="n">
        <v>98</v>
      </c>
      <c r="AJ2613" t="inlineStr">
        <is>
          <t>MAYBELLINE</t>
        </is>
      </c>
      <c r="AK2613" t="n">
        <v>9</v>
      </c>
      <c r="AL2613" t="inlineStr">
        <is>
          <t>Miss Glam Jambi</t>
        </is>
      </c>
      <c r="AM2613" t="n">
        <v>3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MAYBELLINE</t>
        </is>
      </c>
      <c r="B2614" s="2">
        <f>"041554080421"</f>
        <v/>
      </c>
      <c r="C2614" t="inlineStr">
        <is>
          <t>MAYBELLINE Super Stay Vinyl Ink 95 Captivated 4.2ml</t>
        </is>
      </c>
      <c r="D2614" t="inlineStr">
        <is>
          <t>Miss Glam Jambi</t>
        </is>
      </c>
      <c r="E2614" t="n">
        <v>3</v>
      </c>
      <c r="F2614" t="n">
        <v>0.05</v>
      </c>
      <c r="G2614" t="n">
        <v>1</v>
      </c>
      <c r="H2614" t="n">
        <v>4</v>
      </c>
      <c r="I2614" t="n">
        <v>15</v>
      </c>
      <c r="J2614" t="n">
        <v>3</v>
      </c>
      <c r="K2614" t="n">
        <v>0</v>
      </c>
      <c r="L2614" t="n">
        <v>82932</v>
      </c>
      <c r="M2614" t="n">
        <v>119000</v>
      </c>
      <c r="N2614" t="n">
        <v>33</v>
      </c>
      <c r="O2614" t="n">
        <v>0.33</v>
      </c>
      <c r="P2614" t="n">
        <v>0</v>
      </c>
      <c r="Q2614" t="n">
        <v>0.05</v>
      </c>
      <c r="R2614" t="n">
        <v>1</v>
      </c>
      <c r="S2614" t="n">
        <v>5950</v>
      </c>
      <c r="T2614" t="n">
        <v>15</v>
      </c>
      <c r="U2614" t="n">
        <v>16</v>
      </c>
      <c r="V2614" t="n">
        <v>30</v>
      </c>
      <c r="W2614" t="n">
        <v>2</v>
      </c>
      <c r="X2614" t="n">
        <v>60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10825</v>
      </c>
      <c r="AG2614" t="n">
        <v>2132</v>
      </c>
      <c r="AH2614" t="inlineStr">
        <is>
          <t>PT. MENSA BINA SUKSES - PPN (JMB)</t>
        </is>
      </c>
      <c r="AI2614" t="n">
        <v>98</v>
      </c>
      <c r="AJ2614" t="inlineStr">
        <is>
          <t>MAYBELLINE</t>
        </is>
      </c>
      <c r="AK2614" t="n">
        <v>9</v>
      </c>
      <c r="AL2614" t="inlineStr">
        <is>
          <t>Miss Glam Jambi</t>
        </is>
      </c>
      <c r="AM2614" t="n">
        <v>3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MAYBELLINE</t>
        </is>
      </c>
      <c r="B2615" s="2">
        <f>"6902395706311"</f>
        <v/>
      </c>
      <c r="C2615" t="inlineStr">
        <is>
          <t>MAYBELLINE Superstay Matte Ink 115 Founder 5ml</t>
        </is>
      </c>
      <c r="D2615" t="inlineStr">
        <is>
          <t>Miss Glam Jambi</t>
        </is>
      </c>
      <c r="E2615" t="n">
        <v>11</v>
      </c>
      <c r="F2615" t="n">
        <v>0.0396</v>
      </c>
      <c r="G2615" t="n">
        <v>0.33</v>
      </c>
      <c r="H2615" t="n">
        <v>4</v>
      </c>
      <c r="I2615" t="n">
        <v>15</v>
      </c>
      <c r="J2615" t="n">
        <v>3</v>
      </c>
      <c r="K2615" t="n">
        <v>0</v>
      </c>
      <c r="L2615" t="n">
        <v>79927</v>
      </c>
      <c r="M2615" t="n">
        <v>129000</v>
      </c>
      <c r="N2615" t="n">
        <v>33</v>
      </c>
      <c r="O2615" t="n">
        <v>0.33</v>
      </c>
      <c r="P2615" t="n">
        <v>1</v>
      </c>
      <c r="Q2615" t="n">
        <v>0.03</v>
      </c>
      <c r="R2615" t="n">
        <v>2</v>
      </c>
      <c r="S2615" t="n">
        <v>5108.400000000001</v>
      </c>
      <c r="T2615" t="n">
        <v>5</v>
      </c>
      <c r="U2615" t="n">
        <v>6</v>
      </c>
      <c r="V2615" t="n">
        <v>30</v>
      </c>
      <c r="W2615" t="n">
        <v>2</v>
      </c>
      <c r="X2615" t="n">
        <v>277.7777777777778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10825</v>
      </c>
      <c r="AG2615" t="n">
        <v>2132</v>
      </c>
      <c r="AH2615" t="inlineStr">
        <is>
          <t>PT. MENSA BINA SUKSES - PPN (JMB)</t>
        </is>
      </c>
      <c r="AI2615" t="n">
        <v>98</v>
      </c>
      <c r="AJ2615" t="inlineStr">
        <is>
          <t>MAYBELLINE</t>
        </is>
      </c>
      <c r="AK2615" t="n">
        <v>9</v>
      </c>
      <c r="AL2615" t="inlineStr">
        <is>
          <t>Miss Glam Jambi</t>
        </is>
      </c>
      <c r="AM2615" t="n">
        <v>3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MAYBELLINE</t>
        </is>
      </c>
      <c r="B2616" s="2">
        <f>"6902395706410"</f>
        <v/>
      </c>
      <c r="C2616" t="inlineStr">
        <is>
          <t>MAYBELLINE Superstay Matte Ink 117 Groundbreaker 5ml</t>
        </is>
      </c>
      <c r="D2616" t="inlineStr">
        <is>
          <t>Miss Glam Jambi</t>
        </is>
      </c>
      <c r="E2616" t="n">
        <v>12</v>
      </c>
      <c r="F2616" t="n">
        <v>0.07920000000000001</v>
      </c>
      <c r="G2616" t="n">
        <v>0.66</v>
      </c>
      <c r="H2616" t="n">
        <v>4</v>
      </c>
      <c r="I2616" t="n">
        <v>15</v>
      </c>
      <c r="J2616" t="n">
        <v>3</v>
      </c>
      <c r="K2616" t="n">
        <v>0</v>
      </c>
      <c r="L2616" t="n">
        <v>80913</v>
      </c>
      <c r="M2616" t="n">
        <v>129000</v>
      </c>
      <c r="N2616" t="n">
        <v>33</v>
      </c>
      <c r="O2616" t="n">
        <v>0.33</v>
      </c>
      <c r="P2616" t="n">
        <v>1</v>
      </c>
      <c r="Q2616" t="n">
        <v>0.15</v>
      </c>
      <c r="R2616" t="n">
        <v>3</v>
      </c>
      <c r="S2616" t="n">
        <v>10216.8</v>
      </c>
      <c r="T2616" t="n">
        <v>10</v>
      </c>
      <c r="U2616" t="n">
        <v>11</v>
      </c>
      <c r="V2616" t="n">
        <v>30</v>
      </c>
      <c r="W2616" t="n">
        <v>3</v>
      </c>
      <c r="X2616" t="n">
        <v>151.5151515151515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10825</v>
      </c>
      <c r="AG2616" t="n">
        <v>2132</v>
      </c>
      <c r="AH2616" t="inlineStr">
        <is>
          <t>PT. MENSA BINA SUKSES - PPN (JMB)</t>
        </is>
      </c>
      <c r="AI2616" t="n">
        <v>98</v>
      </c>
      <c r="AJ2616" t="inlineStr">
        <is>
          <t>MAYBELLINE</t>
        </is>
      </c>
      <c r="AK2616" t="n">
        <v>9</v>
      </c>
      <c r="AL2616" t="inlineStr">
        <is>
          <t>Miss Glam Jambi</t>
        </is>
      </c>
      <c r="AM2616" t="n">
        <v>3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MAYBELLINE</t>
        </is>
      </c>
      <c r="B2617" s="2">
        <f>"6902395706212"</f>
        <v/>
      </c>
      <c r="C2617" t="inlineStr">
        <is>
          <t>MAYBELLINE Superstay Matte Ink 118 Dancer 5ml</t>
        </is>
      </c>
      <c r="D2617" t="inlineStr">
        <is>
          <t>Miss Glam Jambi</t>
        </is>
      </c>
      <c r="E2617" t="n">
        <v>12</v>
      </c>
      <c r="F2617" t="n">
        <v>0.033</v>
      </c>
      <c r="G2617" t="n">
        <v>0.33</v>
      </c>
      <c r="H2617" t="n">
        <v>4</v>
      </c>
      <c r="I2617" t="n">
        <v>15</v>
      </c>
      <c r="J2617" t="n">
        <v>3</v>
      </c>
      <c r="K2617" t="n">
        <v>0</v>
      </c>
      <c r="L2617" t="n">
        <v>79265</v>
      </c>
      <c r="M2617" t="n">
        <v>129000</v>
      </c>
      <c r="N2617" t="n">
        <v>33</v>
      </c>
      <c r="O2617" t="n">
        <v>0.33</v>
      </c>
      <c r="P2617" t="n">
        <v>1</v>
      </c>
      <c r="Q2617" t="n">
        <v>0.08</v>
      </c>
      <c r="R2617" t="n">
        <v>1</v>
      </c>
      <c r="S2617" t="n">
        <v>4257</v>
      </c>
      <c r="T2617" t="n">
        <v>5</v>
      </c>
      <c r="U2617" t="n">
        <v>6</v>
      </c>
      <c r="V2617" t="n">
        <v>30</v>
      </c>
      <c r="W2617" t="n">
        <v>1</v>
      </c>
      <c r="X2617" t="n">
        <v>363.6363636363636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10825</v>
      </c>
      <c r="AG2617" t="n">
        <v>2132</v>
      </c>
      <c r="AH2617" t="inlineStr">
        <is>
          <t>PT. MENSA BINA SUKSES - PPN (JMB)</t>
        </is>
      </c>
      <c r="AI2617" t="n">
        <v>98</v>
      </c>
      <c r="AJ2617" t="inlineStr">
        <is>
          <t>MAYBELLINE</t>
        </is>
      </c>
      <c r="AK2617" t="n">
        <v>9</v>
      </c>
      <c r="AL2617" t="inlineStr">
        <is>
          <t>Miss Glam Jambi</t>
        </is>
      </c>
      <c r="AM2617" t="n">
        <v>3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MAYBELLINE</t>
        </is>
      </c>
      <c r="B2618" s="2">
        <f>"6902395706113"</f>
        <v/>
      </c>
      <c r="C2618" t="inlineStr">
        <is>
          <t>MAYBELLINE Superstay Matte Ink 120 Artist 5ml</t>
        </is>
      </c>
      <c r="D2618" t="inlineStr">
        <is>
          <t>Miss Glam Jambi</t>
        </is>
      </c>
      <c r="E2618" t="n">
        <v>5</v>
      </c>
      <c r="F2618" t="n">
        <v>0.07920000000000001</v>
      </c>
      <c r="G2618" t="n">
        <v>0.66</v>
      </c>
      <c r="H2618" t="n">
        <v>4</v>
      </c>
      <c r="I2618" t="n">
        <v>15</v>
      </c>
      <c r="J2618" t="n">
        <v>3</v>
      </c>
      <c r="K2618" t="n">
        <v>0</v>
      </c>
      <c r="L2618" t="n">
        <v>84061</v>
      </c>
      <c r="M2618" t="n">
        <v>129000</v>
      </c>
      <c r="N2618" t="n">
        <v>33</v>
      </c>
      <c r="O2618" t="n">
        <v>0.33</v>
      </c>
      <c r="P2618" t="n">
        <v>1</v>
      </c>
      <c r="Q2618" t="n">
        <v>0.12</v>
      </c>
      <c r="R2618" t="n">
        <v>1</v>
      </c>
      <c r="S2618" t="n">
        <v>10216.8</v>
      </c>
      <c r="T2618" t="n">
        <v>10</v>
      </c>
      <c r="U2618" t="n">
        <v>11</v>
      </c>
      <c r="V2618" t="n">
        <v>30</v>
      </c>
      <c r="W2618" t="n">
        <v>3</v>
      </c>
      <c r="X2618" t="n">
        <v>63.13131313131313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10825</v>
      </c>
      <c r="AG2618" t="n">
        <v>2132</v>
      </c>
      <c r="AH2618" t="inlineStr">
        <is>
          <t>PT. MENSA BINA SUKSES - PPN (JMB)</t>
        </is>
      </c>
      <c r="AI2618" t="n">
        <v>98</v>
      </c>
      <c r="AJ2618" t="inlineStr">
        <is>
          <t>MAYBELLINE</t>
        </is>
      </c>
      <c r="AK2618" t="n">
        <v>9</v>
      </c>
      <c r="AL2618" t="inlineStr">
        <is>
          <t>Miss Glam Jambi</t>
        </is>
      </c>
      <c r="AM2618" t="n">
        <v>3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MAYBELLINE</t>
        </is>
      </c>
      <c r="B2619" s="2">
        <f>"6902395706564"</f>
        <v/>
      </c>
      <c r="C2619" t="inlineStr">
        <is>
          <t>MAYBELLINE Superstay Matte Ink 130 Self Starter 5ml</t>
        </is>
      </c>
      <c r="D2619" t="inlineStr">
        <is>
          <t>Miss Glam Jambi</t>
        </is>
      </c>
      <c r="E2619" t="n">
        <v>8</v>
      </c>
      <c r="F2619" t="n">
        <v>0.1452</v>
      </c>
      <c r="G2619" t="n">
        <v>0.66</v>
      </c>
      <c r="H2619" t="n">
        <v>4</v>
      </c>
      <c r="I2619" t="n">
        <v>15</v>
      </c>
      <c r="J2619" t="n">
        <v>3</v>
      </c>
      <c r="K2619" t="n">
        <v>0</v>
      </c>
      <c r="L2619" t="n">
        <v>84343</v>
      </c>
      <c r="M2619" t="n">
        <v>129000</v>
      </c>
      <c r="N2619" t="n">
        <v>33</v>
      </c>
      <c r="O2619" t="n">
        <v>0.33</v>
      </c>
      <c r="P2619" t="n">
        <v>1</v>
      </c>
      <c r="Q2619" t="n">
        <v>0.12</v>
      </c>
      <c r="R2619" t="n">
        <v>3</v>
      </c>
      <c r="S2619" t="n">
        <v>18730.8</v>
      </c>
      <c r="T2619" t="n">
        <v>10</v>
      </c>
      <c r="U2619" t="n">
        <v>11</v>
      </c>
      <c r="V2619" t="n">
        <v>30</v>
      </c>
      <c r="W2619" t="n">
        <v>5</v>
      </c>
      <c r="X2619" t="n">
        <v>55.09641873278237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10825</v>
      </c>
      <c r="AG2619" t="n">
        <v>2132</v>
      </c>
      <c r="AH2619" t="inlineStr">
        <is>
          <t>PT. MENSA BINA SUKSES - PPN (JMB)</t>
        </is>
      </c>
      <c r="AI2619" t="n">
        <v>98</v>
      </c>
      <c r="AJ2619" t="inlineStr">
        <is>
          <t>MAYBELLINE</t>
        </is>
      </c>
      <c r="AK2619" t="n">
        <v>9</v>
      </c>
      <c r="AL2619" t="inlineStr">
        <is>
          <t>Miss Glam Jambi</t>
        </is>
      </c>
      <c r="AM2619" t="n">
        <v>3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MAYBELLINE</t>
        </is>
      </c>
      <c r="B2620" s="2">
        <f>"6902395706366"</f>
        <v/>
      </c>
      <c r="C2620" t="inlineStr">
        <is>
          <t>MAYBELLINE Superstay Matte Ink 135 Globetrotter 5ml</t>
        </is>
      </c>
      <c r="D2620" t="inlineStr">
        <is>
          <t>Miss Glam Jambi</t>
        </is>
      </c>
      <c r="E2620" t="n">
        <v>10</v>
      </c>
      <c r="F2620" t="n">
        <v>0.0396</v>
      </c>
      <c r="G2620" t="n">
        <v>0.33</v>
      </c>
      <c r="H2620" t="n">
        <v>4</v>
      </c>
      <c r="I2620" t="n">
        <v>15</v>
      </c>
      <c r="J2620" t="n">
        <v>3</v>
      </c>
      <c r="K2620" t="n">
        <v>0</v>
      </c>
      <c r="L2620" t="n">
        <v>81023</v>
      </c>
      <c r="M2620" t="n">
        <v>129000</v>
      </c>
      <c r="N2620" t="n">
        <v>33</v>
      </c>
      <c r="O2620" t="n">
        <v>0.33</v>
      </c>
      <c r="P2620" t="n">
        <v>1</v>
      </c>
      <c r="Q2620" t="n">
        <v>0.27</v>
      </c>
      <c r="R2620" t="n">
        <v>2</v>
      </c>
      <c r="S2620" t="n">
        <v>5108.400000000001</v>
      </c>
      <c r="T2620" t="n">
        <v>5</v>
      </c>
      <c r="U2620" t="n">
        <v>6</v>
      </c>
      <c r="V2620" t="n">
        <v>30</v>
      </c>
      <c r="W2620" t="n">
        <v>2</v>
      </c>
      <c r="X2620" t="n">
        <v>252.5252525252525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10825</v>
      </c>
      <c r="AG2620" t="n">
        <v>2132</v>
      </c>
      <c r="AH2620" t="inlineStr">
        <is>
          <t>PT. MENSA BINA SUKSES - PPN (JMB)</t>
        </is>
      </c>
      <c r="AI2620" t="n">
        <v>98</v>
      </c>
      <c r="AJ2620" t="inlineStr">
        <is>
          <t>MAYBELLINE</t>
        </is>
      </c>
      <c r="AK2620" t="n">
        <v>9</v>
      </c>
      <c r="AL2620" t="inlineStr">
        <is>
          <t>Miss Glam Jambi</t>
        </is>
      </c>
      <c r="AM2620" t="n">
        <v>3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MAYBELLINE</t>
        </is>
      </c>
      <c r="B2621" s="2">
        <f>"6902395771685"</f>
        <v/>
      </c>
      <c r="C2621" t="inlineStr">
        <is>
          <t>MAYBELLINE Superstay Matte Ink 150 Savant 5ml</t>
        </is>
      </c>
      <c r="D2621" t="inlineStr">
        <is>
          <t>Miss Glam Jambi</t>
        </is>
      </c>
      <c r="E2621" t="n">
        <v>13</v>
      </c>
      <c r="F2621" t="n">
        <v>0.0726</v>
      </c>
      <c r="G2621" t="n">
        <v>0.99</v>
      </c>
      <c r="H2621" t="n">
        <v>4</v>
      </c>
      <c r="I2621" t="n">
        <v>15</v>
      </c>
      <c r="J2621" t="n">
        <v>3</v>
      </c>
      <c r="K2621" t="n">
        <v>0</v>
      </c>
      <c r="L2621" t="n">
        <v>82046</v>
      </c>
      <c r="M2621" t="n">
        <v>129000</v>
      </c>
      <c r="N2621" t="n">
        <v>33</v>
      </c>
      <c r="O2621" t="n">
        <v>0.33</v>
      </c>
      <c r="P2621" t="n">
        <v>1</v>
      </c>
      <c r="Q2621" t="n">
        <v>0.14</v>
      </c>
      <c r="R2621" t="n">
        <v>1</v>
      </c>
      <c r="S2621" t="n">
        <v>9365.4</v>
      </c>
      <c r="T2621" t="n">
        <v>15</v>
      </c>
      <c r="U2621" t="n">
        <v>16</v>
      </c>
      <c r="V2621" t="n">
        <v>30</v>
      </c>
      <c r="W2621" t="n">
        <v>3</v>
      </c>
      <c r="X2621" t="n">
        <v>179.0633608815427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10825</v>
      </c>
      <c r="AG2621" t="n">
        <v>2132</v>
      </c>
      <c r="AH2621" t="inlineStr">
        <is>
          <t>PT. MENSA BINA SUKSES - PPN (JMB)</t>
        </is>
      </c>
      <c r="AI2621" t="n">
        <v>98</v>
      </c>
      <c r="AJ2621" t="inlineStr">
        <is>
          <t>MAYBELLINE</t>
        </is>
      </c>
      <c r="AK2621" t="n">
        <v>9</v>
      </c>
      <c r="AL2621" t="inlineStr">
        <is>
          <t>Miss Glam Jambi</t>
        </is>
      </c>
      <c r="AM2621" t="n">
        <v>3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MAYBELLINE</t>
        </is>
      </c>
      <c r="B2622" s="2">
        <f>"41554577822"</f>
        <v/>
      </c>
      <c r="C2622" t="inlineStr">
        <is>
          <t>MAYBELLINE Superstay Matte Ink 160 Mover 5ml</t>
        </is>
      </c>
      <c r="D2622" t="inlineStr">
        <is>
          <t>Miss Glam Jambi</t>
        </is>
      </c>
      <c r="E2622" t="n">
        <v>3</v>
      </c>
      <c r="F2622" t="n">
        <v>0.0231</v>
      </c>
      <c r="G2622" t="n">
        <v>0.33</v>
      </c>
      <c r="H2622" t="n">
        <v>4</v>
      </c>
      <c r="I2622" t="n">
        <v>15</v>
      </c>
      <c r="J2622" t="n">
        <v>3</v>
      </c>
      <c r="K2622" t="n">
        <v>0</v>
      </c>
      <c r="L2622" t="n">
        <v>82242</v>
      </c>
      <c r="M2622" t="n">
        <v>129000</v>
      </c>
      <c r="N2622" t="n">
        <v>33</v>
      </c>
      <c r="O2622" t="n">
        <v>0.33</v>
      </c>
      <c r="P2622" t="n">
        <v>1</v>
      </c>
      <c r="Q2622" t="n">
        <v>0.02</v>
      </c>
      <c r="R2622" t="n">
        <v>1</v>
      </c>
      <c r="S2622" t="n">
        <v>2979.900000000001</v>
      </c>
      <c r="T2622" t="n">
        <v>5</v>
      </c>
      <c r="U2622" t="n">
        <v>6</v>
      </c>
      <c r="V2622" t="n">
        <v>30</v>
      </c>
      <c r="W2622" t="n">
        <v>1</v>
      </c>
      <c r="X2622" t="n">
        <v>129.8701298701299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10825</v>
      </c>
      <c r="AG2622" t="n">
        <v>2132</v>
      </c>
      <c r="AH2622" t="inlineStr">
        <is>
          <t>PT. MENSA BINA SUKSES - PPN (JMB)</t>
        </is>
      </c>
      <c r="AI2622" t="n">
        <v>98</v>
      </c>
      <c r="AJ2622" t="inlineStr">
        <is>
          <t>MAYBELLINE</t>
        </is>
      </c>
      <c r="AK2622" t="n">
        <v>9</v>
      </c>
      <c r="AL2622" t="inlineStr">
        <is>
          <t>Miss Glam Jambi</t>
        </is>
      </c>
      <c r="AM2622" t="n">
        <v>3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MAYBELLINE</t>
        </is>
      </c>
      <c r="B2623" s="2">
        <f>"6902395771722"</f>
        <v/>
      </c>
      <c r="C2623" t="inlineStr">
        <is>
          <t>MAYBELLINE Superstay Matte Ink 170 Intiator 5ml</t>
        </is>
      </c>
      <c r="D2623" t="inlineStr">
        <is>
          <t>Miss Glam Jambi</t>
        </is>
      </c>
      <c r="E2623" t="n">
        <v>6</v>
      </c>
      <c r="F2623" t="n">
        <v>0.1353</v>
      </c>
      <c r="G2623" t="n">
        <v>0.99</v>
      </c>
      <c r="H2623" t="n">
        <v>4</v>
      </c>
      <c r="I2623" t="n">
        <v>15</v>
      </c>
      <c r="J2623" t="n">
        <v>3</v>
      </c>
      <c r="K2623" t="n">
        <v>0</v>
      </c>
      <c r="L2623" t="n">
        <v>76893</v>
      </c>
      <c r="M2623" t="n">
        <v>129000</v>
      </c>
      <c r="N2623" t="n">
        <v>33</v>
      </c>
      <c r="O2623" t="n">
        <v>0.33</v>
      </c>
      <c r="P2623" t="n">
        <v>1</v>
      </c>
      <c r="Q2623" t="n">
        <v>0.08</v>
      </c>
      <c r="R2623" t="n">
        <v>1</v>
      </c>
      <c r="S2623" t="n">
        <v>17453.7</v>
      </c>
      <c r="T2623" t="n">
        <v>15</v>
      </c>
      <c r="U2623" t="n">
        <v>16</v>
      </c>
      <c r="V2623" t="n">
        <v>30</v>
      </c>
      <c r="W2623" t="n">
        <v>5</v>
      </c>
      <c r="X2623" t="n">
        <v>44.34589800443459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10825</v>
      </c>
      <c r="AG2623" t="n">
        <v>2132</v>
      </c>
      <c r="AH2623" t="inlineStr">
        <is>
          <t>PT. MENSA BINA SUKSES - PPN (JMB)</t>
        </is>
      </c>
      <c r="AI2623" t="n">
        <v>98</v>
      </c>
      <c r="AJ2623" t="inlineStr">
        <is>
          <t>MAYBELLINE</t>
        </is>
      </c>
      <c r="AK2623" t="n">
        <v>9</v>
      </c>
      <c r="AL2623" t="inlineStr">
        <is>
          <t>Miss Glam Jambi</t>
        </is>
      </c>
      <c r="AM2623" t="n">
        <v>3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MAYBELLINE</t>
        </is>
      </c>
      <c r="B2624" s="2">
        <f>"6902395771739"</f>
        <v/>
      </c>
      <c r="C2624" t="inlineStr">
        <is>
          <t>MAYBELLINE Superstay Matte Ink 175 Ringleader 5ml</t>
        </is>
      </c>
      <c r="D2624" t="inlineStr">
        <is>
          <t>Miss Glam Jambi</t>
        </is>
      </c>
      <c r="E2624" t="n">
        <v>12</v>
      </c>
      <c r="F2624" t="n">
        <v>0.1122</v>
      </c>
      <c r="G2624" t="n">
        <v>0.99</v>
      </c>
      <c r="H2624" t="n">
        <v>4</v>
      </c>
      <c r="I2624" t="n">
        <v>15</v>
      </c>
      <c r="J2624" t="n">
        <v>3</v>
      </c>
      <c r="K2624" t="n">
        <v>0</v>
      </c>
      <c r="L2624" t="n">
        <v>77427</v>
      </c>
      <c r="M2624" t="n">
        <v>129000</v>
      </c>
      <c r="N2624" t="n">
        <v>33</v>
      </c>
      <c r="O2624" t="n">
        <v>0.33</v>
      </c>
      <c r="P2624" t="n">
        <v>1</v>
      </c>
      <c r="Q2624" t="n">
        <v>0.03</v>
      </c>
      <c r="R2624" t="n">
        <v>1</v>
      </c>
      <c r="S2624" t="n">
        <v>14473.8</v>
      </c>
      <c r="T2624" t="n">
        <v>15</v>
      </c>
      <c r="U2624" t="n">
        <v>16</v>
      </c>
      <c r="V2624" t="n">
        <v>30</v>
      </c>
      <c r="W2624" t="n">
        <v>4</v>
      </c>
      <c r="X2624" t="n">
        <v>106.951871657754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10825</v>
      </c>
      <c r="AG2624" t="n">
        <v>2132</v>
      </c>
      <c r="AH2624" t="inlineStr">
        <is>
          <t>PT. MENSA BINA SUKSES - PPN (JMB)</t>
        </is>
      </c>
      <c r="AI2624" t="n">
        <v>98</v>
      </c>
      <c r="AJ2624" t="inlineStr">
        <is>
          <t>MAYBELLINE</t>
        </is>
      </c>
      <c r="AK2624" t="n">
        <v>9</v>
      </c>
      <c r="AL2624" t="inlineStr">
        <is>
          <t>Miss Glam Jambi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MAYBELLINE</t>
        </is>
      </c>
      <c r="B2625" s="2">
        <f>"41554577846"</f>
        <v/>
      </c>
      <c r="C2625" t="inlineStr">
        <is>
          <t>MAYBELLINE Superstay Matte Ink 180 Revolutionary 5ml</t>
        </is>
      </c>
      <c r="D2625" t="inlineStr">
        <is>
          <t>Miss Glam Jambi</t>
        </is>
      </c>
      <c r="E2625" t="n">
        <v>6</v>
      </c>
      <c r="F2625" t="n">
        <v>0.02</v>
      </c>
      <c r="G2625" t="n">
        <v>1</v>
      </c>
      <c r="H2625" t="n">
        <v>4</v>
      </c>
      <c r="I2625" t="n">
        <v>15</v>
      </c>
      <c r="J2625" t="n">
        <v>3</v>
      </c>
      <c r="K2625" t="n">
        <v>0</v>
      </c>
      <c r="L2625" t="n">
        <v>84984</v>
      </c>
      <c r="M2625" t="n">
        <v>129000</v>
      </c>
      <c r="N2625" t="n">
        <v>33</v>
      </c>
      <c r="O2625" t="n">
        <v>0.33</v>
      </c>
      <c r="P2625" t="n">
        <v>0</v>
      </c>
      <c r="Q2625" t="n">
        <v>0.02</v>
      </c>
      <c r="R2625" t="n">
        <v>1</v>
      </c>
      <c r="S2625" t="n">
        <v>2580</v>
      </c>
      <c r="T2625" t="n">
        <v>15</v>
      </c>
      <c r="U2625" t="n">
        <v>16</v>
      </c>
      <c r="V2625" t="n">
        <v>30</v>
      </c>
      <c r="W2625" t="n">
        <v>1</v>
      </c>
      <c r="X2625" t="n">
        <v>300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10825</v>
      </c>
      <c r="AG2625" t="n">
        <v>2132</v>
      </c>
      <c r="AH2625" t="inlineStr">
        <is>
          <t>PT. MENSA BINA SUKSES - PPN (JMB)</t>
        </is>
      </c>
      <c r="AI2625" t="n">
        <v>98</v>
      </c>
      <c r="AJ2625" t="inlineStr">
        <is>
          <t>MAYBELLINE</t>
        </is>
      </c>
      <c r="AK2625" t="n">
        <v>9</v>
      </c>
      <c r="AL2625" t="inlineStr">
        <is>
          <t>Miss Glam Jambi</t>
        </is>
      </c>
      <c r="AM2625" t="n">
        <v>3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MAYBELLINE</t>
        </is>
      </c>
      <c r="B2626" s="2">
        <f>"6902395682974"</f>
        <v/>
      </c>
      <c r="C2626" t="inlineStr">
        <is>
          <t>MAYBELLINE Superstay Matte Ink 20 Pioner 5ml</t>
        </is>
      </c>
      <c r="D2626" t="inlineStr">
        <is>
          <t>Miss Glam Jambi</t>
        </is>
      </c>
      <c r="E2626" t="n">
        <v>17</v>
      </c>
      <c r="F2626" t="n">
        <v>0.1023</v>
      </c>
      <c r="G2626" t="n">
        <v>0.66</v>
      </c>
      <c r="H2626" t="n">
        <v>4</v>
      </c>
      <c r="I2626" t="n">
        <v>15</v>
      </c>
      <c r="J2626" t="n">
        <v>3</v>
      </c>
      <c r="K2626" t="n">
        <v>0</v>
      </c>
      <c r="L2626" t="n">
        <v>76949</v>
      </c>
      <c r="M2626" t="n">
        <v>129000</v>
      </c>
      <c r="N2626" t="n">
        <v>33</v>
      </c>
      <c r="O2626" t="n">
        <v>0.33</v>
      </c>
      <c r="P2626" t="n">
        <v>1</v>
      </c>
      <c r="Q2626" t="n">
        <v>0.14</v>
      </c>
      <c r="R2626" t="n">
        <v>1</v>
      </c>
      <c r="S2626" t="n">
        <v>13196.7</v>
      </c>
      <c r="T2626" t="n">
        <v>10</v>
      </c>
      <c r="U2626" t="n">
        <v>11</v>
      </c>
      <c r="V2626" t="n">
        <v>30</v>
      </c>
      <c r="W2626" t="n">
        <v>4</v>
      </c>
      <c r="X2626" t="n">
        <v>166.177908113392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10825</v>
      </c>
      <c r="AG2626" t="n">
        <v>2132</v>
      </c>
      <c r="AH2626" t="inlineStr">
        <is>
          <t>PT. MENSA BINA SUKSES - PPN (JMB)</t>
        </is>
      </c>
      <c r="AI2626" t="n">
        <v>98</v>
      </c>
      <c r="AJ2626" t="inlineStr">
        <is>
          <t>MAYBELLINE</t>
        </is>
      </c>
      <c r="AK2626" t="n">
        <v>9</v>
      </c>
      <c r="AL2626" t="inlineStr">
        <is>
          <t>Miss Glam Jambi</t>
        </is>
      </c>
      <c r="AM2626" t="n">
        <v>3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MAYBELLINE</t>
        </is>
      </c>
      <c r="B2627" s="2">
        <f>"6902395706663"</f>
        <v/>
      </c>
      <c r="C2627" t="inlineStr">
        <is>
          <t>MAYBELLINE Superstay Matte Ink 205 Assertive 5ml</t>
        </is>
      </c>
      <c r="D2627" t="inlineStr">
        <is>
          <t>Miss Glam Jambi</t>
        </is>
      </c>
      <c r="E2627" t="n">
        <v>6</v>
      </c>
      <c r="F2627" t="n">
        <v>0.06270000000000001</v>
      </c>
      <c r="G2627" t="n">
        <v>0.33</v>
      </c>
      <c r="H2627" t="n">
        <v>4</v>
      </c>
      <c r="I2627" t="n">
        <v>15</v>
      </c>
      <c r="J2627" t="n">
        <v>3</v>
      </c>
      <c r="K2627" t="n">
        <v>0</v>
      </c>
      <c r="L2627" t="n">
        <v>79849</v>
      </c>
      <c r="M2627" t="n">
        <v>129000</v>
      </c>
      <c r="N2627" t="n">
        <v>33</v>
      </c>
      <c r="O2627" t="n">
        <v>0.33</v>
      </c>
      <c r="P2627" t="n">
        <v>1</v>
      </c>
      <c r="Q2627" t="n">
        <v>0.08</v>
      </c>
      <c r="R2627" t="n">
        <v>1</v>
      </c>
      <c r="S2627" t="n">
        <v>8088.300000000001</v>
      </c>
      <c r="T2627" t="n">
        <v>5</v>
      </c>
      <c r="U2627" t="n">
        <v>6</v>
      </c>
      <c r="V2627" t="n">
        <v>30</v>
      </c>
      <c r="W2627" t="n">
        <v>2</v>
      </c>
      <c r="X2627" t="n">
        <v>95.69377990430621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10825</v>
      </c>
      <c r="AG2627" t="n">
        <v>2132</v>
      </c>
      <c r="AH2627" t="inlineStr">
        <is>
          <t>PT. MENSA BINA SUKSES - PPN (JMB)</t>
        </is>
      </c>
      <c r="AI2627" t="n">
        <v>98</v>
      </c>
      <c r="AJ2627" t="inlineStr">
        <is>
          <t>MAYBELLINE</t>
        </is>
      </c>
      <c r="AK2627" t="n">
        <v>9</v>
      </c>
      <c r="AL2627" t="inlineStr">
        <is>
          <t>Miss Glam Jambi</t>
        </is>
      </c>
      <c r="AM2627" t="n">
        <v>3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MAYBELLINE</t>
        </is>
      </c>
      <c r="B2628" s="2">
        <f>"6902395707066"</f>
        <v/>
      </c>
      <c r="C2628" t="inlineStr">
        <is>
          <t>MAYBELLINE Superstay Matte Ink 210 Versatile 5ml</t>
        </is>
      </c>
      <c r="D2628" t="inlineStr">
        <is>
          <t>Miss Glam Jambi</t>
        </is>
      </c>
      <c r="E2628" t="n">
        <v>17</v>
      </c>
      <c r="F2628" t="n">
        <v>0.2178</v>
      </c>
      <c r="G2628" t="n">
        <v>1.65</v>
      </c>
      <c r="H2628" t="n">
        <v>4</v>
      </c>
      <c r="I2628" t="n">
        <v>15</v>
      </c>
      <c r="J2628" t="n">
        <v>3</v>
      </c>
      <c r="K2628" t="n">
        <v>0</v>
      </c>
      <c r="L2628" t="n">
        <v>81209</v>
      </c>
      <c r="M2628" t="n">
        <v>129000</v>
      </c>
      <c r="N2628" t="n">
        <v>33</v>
      </c>
      <c r="O2628" t="n">
        <v>0.33</v>
      </c>
      <c r="P2628" t="n">
        <v>1</v>
      </c>
      <c r="Q2628" t="n">
        <v>0.51</v>
      </c>
      <c r="R2628" t="n">
        <v>3</v>
      </c>
      <c r="S2628" t="n">
        <v>28096.2</v>
      </c>
      <c r="T2628" t="n">
        <v>24</v>
      </c>
      <c r="U2628" t="n">
        <v>25</v>
      </c>
      <c r="V2628" t="n">
        <v>30</v>
      </c>
      <c r="W2628" t="n">
        <v>7</v>
      </c>
      <c r="X2628" t="n">
        <v>78.05325987144168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10825</v>
      </c>
      <c r="AG2628" t="n">
        <v>2132</v>
      </c>
      <c r="AH2628" t="inlineStr">
        <is>
          <t>PT. MENSA BINA SUKSES - PPN (JMB)</t>
        </is>
      </c>
      <c r="AI2628" t="n">
        <v>98</v>
      </c>
      <c r="AJ2628" t="inlineStr">
        <is>
          <t>MAYBELLINE</t>
        </is>
      </c>
      <c r="AK2628" t="n">
        <v>9</v>
      </c>
      <c r="AL2628" t="inlineStr">
        <is>
          <t>Miss Glam Jambi</t>
        </is>
      </c>
      <c r="AM2628" t="n">
        <v>3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MAYBELLINE</t>
        </is>
      </c>
      <c r="B2629" s="2">
        <f>"6902395706465"</f>
        <v/>
      </c>
      <c r="C2629" t="inlineStr">
        <is>
          <t>MAYBELLINE Superstay Matte Ink 225 Inspirer 5ml</t>
        </is>
      </c>
      <c r="D2629" t="inlineStr">
        <is>
          <t>Miss Glam Jambi</t>
        </is>
      </c>
      <c r="E2629" t="n">
        <v>9</v>
      </c>
      <c r="F2629" t="n">
        <v>0.0726</v>
      </c>
      <c r="G2629" t="n">
        <v>0.33</v>
      </c>
      <c r="H2629" t="n">
        <v>4</v>
      </c>
      <c r="I2629" t="n">
        <v>15</v>
      </c>
      <c r="J2629" t="n">
        <v>3</v>
      </c>
      <c r="K2629" t="n">
        <v>0</v>
      </c>
      <c r="L2629" t="n">
        <v>81167</v>
      </c>
      <c r="M2629" t="n">
        <v>129000</v>
      </c>
      <c r="N2629" t="n">
        <v>33</v>
      </c>
      <c r="O2629" t="n">
        <v>0.33</v>
      </c>
      <c r="P2629" t="n">
        <v>1</v>
      </c>
      <c r="Q2629" t="n">
        <v>0.14</v>
      </c>
      <c r="R2629" t="n">
        <v>1</v>
      </c>
      <c r="S2629" t="n">
        <v>9365.4</v>
      </c>
      <c r="T2629" t="n">
        <v>5</v>
      </c>
      <c r="U2629" t="n">
        <v>6</v>
      </c>
      <c r="V2629" t="n">
        <v>30</v>
      </c>
      <c r="W2629" t="n">
        <v>3</v>
      </c>
      <c r="X2629" t="n">
        <v>123.9669421487603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10825</v>
      </c>
      <c r="AG2629" t="n">
        <v>2132</v>
      </c>
      <c r="AH2629" t="inlineStr">
        <is>
          <t>PT. MENSA BINA SUKSES - PPN (JMB)</t>
        </is>
      </c>
      <c r="AI2629" t="n">
        <v>98</v>
      </c>
      <c r="AJ2629" t="inlineStr">
        <is>
          <t>MAYBELLINE</t>
        </is>
      </c>
      <c r="AK2629" t="n">
        <v>9</v>
      </c>
      <c r="AL2629" t="inlineStr">
        <is>
          <t>Miss Glam Jambi</t>
        </is>
      </c>
      <c r="AM2629" t="n">
        <v>3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MAYBELLINE</t>
        </is>
      </c>
      <c r="B2630" s="2">
        <f>"6902395707011"</f>
        <v/>
      </c>
      <c r="C2630" t="inlineStr">
        <is>
          <t>MAYBELLINE Superstay Matte Ink 230 Transformer 5ml</t>
        </is>
      </c>
      <c r="D2630" t="inlineStr">
        <is>
          <t>Miss Glam Jambi</t>
        </is>
      </c>
      <c r="E2630" t="n">
        <v>14</v>
      </c>
      <c r="F2630" t="n">
        <v>0.0462</v>
      </c>
      <c r="G2630" t="n">
        <v>0.66</v>
      </c>
      <c r="H2630" t="n">
        <v>4</v>
      </c>
      <c r="I2630" t="n">
        <v>15</v>
      </c>
      <c r="J2630" t="n">
        <v>3</v>
      </c>
      <c r="K2630" t="n">
        <v>0</v>
      </c>
      <c r="L2630" t="n">
        <v>103994</v>
      </c>
      <c r="M2630" t="n">
        <v>129000</v>
      </c>
      <c r="N2630" t="n">
        <v>33</v>
      </c>
      <c r="O2630" t="n">
        <v>0.33</v>
      </c>
      <c r="P2630" t="n">
        <v>1</v>
      </c>
      <c r="Q2630" t="n">
        <v>0.03</v>
      </c>
      <c r="R2630" t="n">
        <v>1</v>
      </c>
      <c r="S2630" t="n">
        <v>5959.800000000001</v>
      </c>
      <c r="T2630" t="n">
        <v>10</v>
      </c>
      <c r="U2630" t="n">
        <v>11</v>
      </c>
      <c r="V2630" t="n">
        <v>30</v>
      </c>
      <c r="W2630" t="n">
        <v>2</v>
      </c>
      <c r="X2630" t="n">
        <v>303.030303030303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10825</v>
      </c>
      <c r="AG2630" t="n">
        <v>2132</v>
      </c>
      <c r="AH2630" t="inlineStr">
        <is>
          <t>PT. MENSA BINA SUKSES - PPN (JMB)</t>
        </is>
      </c>
      <c r="AI2630" t="n">
        <v>98</v>
      </c>
      <c r="AJ2630" t="inlineStr">
        <is>
          <t>MAYBELLINE</t>
        </is>
      </c>
      <c r="AK2630" t="n">
        <v>9</v>
      </c>
      <c r="AL2630" t="inlineStr">
        <is>
          <t>Miss Glam Jambi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MAYBELLINE</t>
        </is>
      </c>
      <c r="B2631" s="2">
        <f>"6902395706861"</f>
        <v/>
      </c>
      <c r="C2631" t="inlineStr">
        <is>
          <t>MAYBELLINE Superstay Matte Ink 245 Seeker 5ml</t>
        </is>
      </c>
      <c r="D2631" t="inlineStr">
        <is>
          <t>Miss Glam Jambi</t>
        </is>
      </c>
      <c r="E2631" t="n">
        <v>6</v>
      </c>
      <c r="F2631" t="n">
        <v>0.1353</v>
      </c>
      <c r="G2631" t="n">
        <v>0.99</v>
      </c>
      <c r="H2631" t="n">
        <v>4</v>
      </c>
      <c r="I2631" t="n">
        <v>15</v>
      </c>
      <c r="J2631" t="n">
        <v>3</v>
      </c>
      <c r="K2631" t="n">
        <v>0</v>
      </c>
      <c r="L2631" t="n">
        <v>75155</v>
      </c>
      <c r="M2631" t="n">
        <v>129000</v>
      </c>
      <c r="N2631" t="n">
        <v>33</v>
      </c>
      <c r="O2631" t="n">
        <v>0.33</v>
      </c>
      <c r="P2631" t="n">
        <v>1</v>
      </c>
      <c r="Q2631" t="n">
        <v>0.1</v>
      </c>
      <c r="R2631" t="n">
        <v>1</v>
      </c>
      <c r="S2631" t="n">
        <v>17453.7</v>
      </c>
      <c r="T2631" t="n">
        <v>15</v>
      </c>
      <c r="U2631" t="n">
        <v>16</v>
      </c>
      <c r="V2631" t="n">
        <v>30</v>
      </c>
      <c r="W2631" t="n">
        <v>5</v>
      </c>
      <c r="X2631" t="n">
        <v>44.34589800443459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10825</v>
      </c>
      <c r="AG2631" t="n">
        <v>2132</v>
      </c>
      <c r="AH2631" t="inlineStr">
        <is>
          <t>PT. MENSA BINA SUKSES - PPN (JMB)</t>
        </is>
      </c>
      <c r="AI2631" t="n">
        <v>98</v>
      </c>
      <c r="AJ2631" t="inlineStr">
        <is>
          <t>MAYBELLINE</t>
        </is>
      </c>
      <c r="AK2631" t="n">
        <v>9</v>
      </c>
      <c r="AL2631" t="inlineStr">
        <is>
          <t>Miss Glam Jambi</t>
        </is>
      </c>
      <c r="AM2631" t="n">
        <v>3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MAYBELLINE</t>
        </is>
      </c>
      <c r="B2632" s="2">
        <f>"6902395682943"</f>
        <v/>
      </c>
      <c r="C2632" t="inlineStr">
        <is>
          <t>MAYBELLINE Superstay Matte Ink 25 Heroine 5ml</t>
        </is>
      </c>
      <c r="D2632" t="inlineStr">
        <is>
          <t>Miss Glam Jambi</t>
        </is>
      </c>
      <c r="E2632" t="n">
        <v>6</v>
      </c>
      <c r="F2632" t="n">
        <v>0.033</v>
      </c>
      <c r="G2632" t="n">
        <v>0.66</v>
      </c>
      <c r="H2632" t="n">
        <v>4</v>
      </c>
      <c r="I2632" t="n">
        <v>15</v>
      </c>
      <c r="J2632" t="n">
        <v>3</v>
      </c>
      <c r="K2632" t="n">
        <v>0</v>
      </c>
      <c r="L2632" t="n">
        <v>81604</v>
      </c>
      <c r="M2632" t="n">
        <v>129000</v>
      </c>
      <c r="N2632" t="n">
        <v>33</v>
      </c>
      <c r="O2632" t="n">
        <v>0.33</v>
      </c>
      <c r="P2632" t="n">
        <v>1</v>
      </c>
      <c r="Q2632" t="n">
        <v>0.07000000000000001</v>
      </c>
      <c r="R2632" t="n">
        <v>1</v>
      </c>
      <c r="S2632" t="n">
        <v>4257</v>
      </c>
      <c r="T2632" t="n">
        <v>10</v>
      </c>
      <c r="U2632" t="n">
        <v>11</v>
      </c>
      <c r="V2632" t="n">
        <v>30</v>
      </c>
      <c r="W2632" t="n">
        <v>1</v>
      </c>
      <c r="X2632" t="n">
        <v>181.8181818181818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10825</v>
      </c>
      <c r="AG2632" t="n">
        <v>2132</v>
      </c>
      <c r="AH2632" t="inlineStr">
        <is>
          <t>PT. MENSA BINA SUKSES - PPN (JMB)</t>
        </is>
      </c>
      <c r="AI2632" t="n">
        <v>98</v>
      </c>
      <c r="AJ2632" t="inlineStr">
        <is>
          <t>MAYBELLINE</t>
        </is>
      </c>
      <c r="AK2632" t="n">
        <v>9</v>
      </c>
      <c r="AL2632" t="inlineStr">
        <is>
          <t>Miss Glam Jambi</t>
        </is>
      </c>
      <c r="AM2632" t="n">
        <v>3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MAYBELLINE</t>
        </is>
      </c>
      <c r="B2633" s="2">
        <f>"6902395788751"</f>
        <v/>
      </c>
      <c r="C2633" t="inlineStr">
        <is>
          <t>MAYBELLINE Superstay Matte Ink 285 Gritty 5ml</t>
        </is>
      </c>
      <c r="D2633" t="inlineStr">
        <is>
          <t>Miss Glam Jambi</t>
        </is>
      </c>
      <c r="E2633" t="n">
        <v>15</v>
      </c>
      <c r="F2633" t="n">
        <v>0.06270000000000001</v>
      </c>
      <c r="G2633" t="n">
        <v>0.66</v>
      </c>
      <c r="H2633" t="n">
        <v>4</v>
      </c>
      <c r="I2633" t="n">
        <v>15</v>
      </c>
      <c r="J2633" t="n">
        <v>3</v>
      </c>
      <c r="K2633" t="n">
        <v>0</v>
      </c>
      <c r="L2633" t="n">
        <v>76955</v>
      </c>
      <c r="M2633" t="n">
        <v>129000</v>
      </c>
      <c r="N2633" t="n">
        <v>33</v>
      </c>
      <c r="O2633" t="n">
        <v>0.33</v>
      </c>
      <c r="P2633" t="n">
        <v>1</v>
      </c>
      <c r="Q2633" t="n">
        <v>0.07000000000000001</v>
      </c>
      <c r="R2633" t="n">
        <v>1</v>
      </c>
      <c r="S2633" t="n">
        <v>8088.300000000001</v>
      </c>
      <c r="T2633" t="n">
        <v>10</v>
      </c>
      <c r="U2633" t="n">
        <v>11</v>
      </c>
      <c r="V2633" t="n">
        <v>30</v>
      </c>
      <c r="W2633" t="n">
        <v>2</v>
      </c>
      <c r="X2633" t="n">
        <v>239.2344497607655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10825</v>
      </c>
      <c r="AG2633" t="n">
        <v>2132</v>
      </c>
      <c r="AH2633" t="inlineStr">
        <is>
          <t>PT. MENSA BINA SUKSES - PPN (JMB)</t>
        </is>
      </c>
      <c r="AI2633" t="n">
        <v>98</v>
      </c>
      <c r="AJ2633" t="inlineStr">
        <is>
          <t>MAYBELLINE</t>
        </is>
      </c>
      <c r="AK2633" t="n">
        <v>9</v>
      </c>
      <c r="AL2633" t="inlineStr">
        <is>
          <t>Miss Glam Jambi</t>
        </is>
      </c>
      <c r="AM2633" t="n">
        <v>3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MAYBELLINE</t>
        </is>
      </c>
      <c r="B2634" s="2">
        <f>"6902395788799"</f>
        <v/>
      </c>
      <c r="C2634" t="inlineStr">
        <is>
          <t>MAYBELLINE Superstay Matte Ink 305 Unconventional 5ml</t>
        </is>
      </c>
      <c r="D2634" t="inlineStr">
        <is>
          <t>Miss Glam Jambi</t>
        </is>
      </c>
      <c r="E2634" t="n">
        <v>5</v>
      </c>
      <c r="F2634" t="n">
        <v>0.0561</v>
      </c>
      <c r="G2634" t="n">
        <v>0.66</v>
      </c>
      <c r="H2634" t="n">
        <v>4</v>
      </c>
      <c r="I2634" t="n">
        <v>15</v>
      </c>
      <c r="J2634" t="n">
        <v>3</v>
      </c>
      <c r="K2634" t="n">
        <v>0</v>
      </c>
      <c r="L2634" t="n">
        <v>82728</v>
      </c>
      <c r="M2634" t="n">
        <v>129000</v>
      </c>
      <c r="N2634" t="n">
        <v>33</v>
      </c>
      <c r="O2634" t="n">
        <v>0.33</v>
      </c>
      <c r="P2634" t="n">
        <v>1</v>
      </c>
      <c r="Q2634" t="n">
        <v>0.12</v>
      </c>
      <c r="R2634" t="n">
        <v>1</v>
      </c>
      <c r="S2634" t="n">
        <v>7236.900000000001</v>
      </c>
      <c r="T2634" t="n">
        <v>10</v>
      </c>
      <c r="U2634" t="n">
        <v>11</v>
      </c>
      <c r="V2634" t="n">
        <v>30</v>
      </c>
      <c r="W2634" t="n">
        <v>2</v>
      </c>
      <c r="X2634" t="n">
        <v>89.12655971479501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10825</v>
      </c>
      <c r="AG2634" t="n">
        <v>2132</v>
      </c>
      <c r="AH2634" t="inlineStr">
        <is>
          <t>PT. MENSA BINA SUKSES - PPN (JMB)</t>
        </is>
      </c>
      <c r="AI2634" t="n">
        <v>98</v>
      </c>
      <c r="AJ2634" t="inlineStr">
        <is>
          <t>MAYBELLINE</t>
        </is>
      </c>
      <c r="AK2634" t="n">
        <v>9</v>
      </c>
      <c r="AL2634" t="inlineStr">
        <is>
          <t>Miss Glam Jambi</t>
        </is>
      </c>
      <c r="AM2634" t="n">
        <v>3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MAYBELLINE</t>
        </is>
      </c>
      <c r="B2635" s="2">
        <f>"6902395788812"</f>
        <v/>
      </c>
      <c r="C2635" t="inlineStr">
        <is>
          <t>MAYBELLINE Superstay Matte Ink 315 Extraordinary 5ml</t>
        </is>
      </c>
      <c r="D2635" t="inlineStr">
        <is>
          <t>Miss Glam Jambi</t>
        </is>
      </c>
      <c r="E2635" t="n">
        <v>7</v>
      </c>
      <c r="F2635" t="n">
        <v>0.0231</v>
      </c>
      <c r="G2635" t="n">
        <v>0.33</v>
      </c>
      <c r="H2635" t="n">
        <v>4</v>
      </c>
      <c r="I2635" t="n">
        <v>15</v>
      </c>
      <c r="J2635" t="n">
        <v>3</v>
      </c>
      <c r="K2635" t="n">
        <v>0</v>
      </c>
      <c r="L2635" t="n">
        <v>75155</v>
      </c>
      <c r="M2635" t="n">
        <v>129000</v>
      </c>
      <c r="N2635" t="n">
        <v>33</v>
      </c>
      <c r="O2635" t="n">
        <v>0.33</v>
      </c>
      <c r="P2635" t="n">
        <v>1</v>
      </c>
      <c r="Q2635" t="n">
        <v>0.02</v>
      </c>
      <c r="R2635" t="n">
        <v>1</v>
      </c>
      <c r="S2635" t="n">
        <v>2979.900000000001</v>
      </c>
      <c r="T2635" t="n">
        <v>5</v>
      </c>
      <c r="U2635" t="n">
        <v>6</v>
      </c>
      <c r="V2635" t="n">
        <v>30</v>
      </c>
      <c r="W2635" t="n">
        <v>1</v>
      </c>
      <c r="X2635" t="n">
        <v>303.030303030303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10825</v>
      </c>
      <c r="AG2635" t="n">
        <v>2132</v>
      </c>
      <c r="AH2635" t="inlineStr">
        <is>
          <t>PT. MENSA BINA SUKSES - PPN (JMB)</t>
        </is>
      </c>
      <c r="AI2635" t="n">
        <v>98</v>
      </c>
      <c r="AJ2635" t="inlineStr">
        <is>
          <t>MAYBELLINE</t>
        </is>
      </c>
      <c r="AK2635" t="n">
        <v>9</v>
      </c>
      <c r="AL2635" t="inlineStr">
        <is>
          <t>Miss Glam Jambi</t>
        </is>
      </c>
      <c r="AM2635" t="n">
        <v>3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MAYBELLINE</t>
        </is>
      </c>
      <c r="B2636" s="2">
        <f>"41554589498"</f>
        <v/>
      </c>
      <c r="C2636" t="inlineStr">
        <is>
          <t>MAYBELLINE Superstay Matte Ink 325 Shot Caller 5ml</t>
        </is>
      </c>
      <c r="D2636" t="inlineStr">
        <is>
          <t>Miss Glam Jambi</t>
        </is>
      </c>
      <c r="E2636" t="n">
        <v>5</v>
      </c>
      <c r="F2636" t="n">
        <v>0.03</v>
      </c>
      <c r="G2636" t="n">
        <v>2</v>
      </c>
      <c r="H2636" t="n">
        <v>4</v>
      </c>
      <c r="I2636" t="n">
        <v>15</v>
      </c>
      <c r="J2636" t="n">
        <v>3</v>
      </c>
      <c r="K2636" t="n">
        <v>0</v>
      </c>
      <c r="L2636" t="n">
        <v>77475</v>
      </c>
      <c r="M2636" t="n">
        <v>129000</v>
      </c>
      <c r="N2636" t="n">
        <v>33</v>
      </c>
      <c r="O2636" t="n">
        <v>0.33</v>
      </c>
      <c r="P2636" t="n">
        <v>0</v>
      </c>
      <c r="Q2636" t="n">
        <v>0.03</v>
      </c>
      <c r="R2636" t="n">
        <v>2</v>
      </c>
      <c r="S2636" t="n">
        <v>3870</v>
      </c>
      <c r="T2636" t="n">
        <v>30</v>
      </c>
      <c r="U2636" t="n">
        <v>31</v>
      </c>
      <c r="V2636" t="n">
        <v>30</v>
      </c>
      <c r="W2636" t="n">
        <v>1</v>
      </c>
      <c r="X2636" t="n">
        <v>166.6666666666667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10825</v>
      </c>
      <c r="AG2636" t="n">
        <v>2132</v>
      </c>
      <c r="AH2636" t="inlineStr">
        <is>
          <t>PT. MENSA BINA SUKSES - PPN (JMB)</t>
        </is>
      </c>
      <c r="AI2636" t="n">
        <v>98</v>
      </c>
      <c r="AJ2636" t="inlineStr">
        <is>
          <t>MAYBELLINE</t>
        </is>
      </c>
      <c r="AK2636" t="n">
        <v>9</v>
      </c>
      <c r="AL2636" t="inlineStr">
        <is>
          <t>Miss Glam Jambi</t>
        </is>
      </c>
      <c r="AM2636" t="n">
        <v>3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MAYBELLINE</t>
        </is>
      </c>
      <c r="B2637" s="2">
        <f>"6902395800552"</f>
        <v/>
      </c>
      <c r="C2637" t="inlineStr">
        <is>
          <t>MAYBELLINE Superstay Matte Ink 335 Hustler 5ml</t>
        </is>
      </c>
      <c r="D2637" t="inlineStr">
        <is>
          <t>Miss Glam Jambi</t>
        </is>
      </c>
      <c r="E2637" t="n">
        <v>11</v>
      </c>
      <c r="F2637" t="n">
        <v>0.1353</v>
      </c>
      <c r="G2637" t="n">
        <v>0.99</v>
      </c>
      <c r="H2637" t="n">
        <v>4</v>
      </c>
      <c r="I2637" t="n">
        <v>15</v>
      </c>
      <c r="J2637" t="n">
        <v>3</v>
      </c>
      <c r="K2637" t="n">
        <v>0</v>
      </c>
      <c r="L2637" t="n">
        <v>76949</v>
      </c>
      <c r="M2637" t="n">
        <v>129000</v>
      </c>
      <c r="N2637" t="n">
        <v>33</v>
      </c>
      <c r="O2637" t="n">
        <v>0.33</v>
      </c>
      <c r="P2637" t="n">
        <v>1</v>
      </c>
      <c r="Q2637" t="n">
        <v>0.15</v>
      </c>
      <c r="R2637" t="n">
        <v>2</v>
      </c>
      <c r="S2637" t="n">
        <v>17453.7</v>
      </c>
      <c r="T2637" t="n">
        <v>15</v>
      </c>
      <c r="U2637" t="n">
        <v>16</v>
      </c>
      <c r="V2637" t="n">
        <v>30</v>
      </c>
      <c r="W2637" t="n">
        <v>5</v>
      </c>
      <c r="X2637" t="n">
        <v>81.30081300813008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10825</v>
      </c>
      <c r="AG2637" t="n">
        <v>2132</v>
      </c>
      <c r="AH2637" t="inlineStr">
        <is>
          <t>PT. MENSA BINA SUKSES - PPN (JMB)</t>
        </is>
      </c>
      <c r="AI2637" t="n">
        <v>98</v>
      </c>
      <c r="AJ2637" t="inlineStr">
        <is>
          <t>MAYBELLINE</t>
        </is>
      </c>
      <c r="AK2637" t="n">
        <v>9</v>
      </c>
      <c r="AL2637" t="inlineStr">
        <is>
          <t>Miss Glam Jambi</t>
        </is>
      </c>
      <c r="AM2637" t="n">
        <v>3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MAYBELLINE</t>
        </is>
      </c>
      <c r="B2638" s="2">
        <f>"41554589528"</f>
        <v/>
      </c>
      <c r="C2638" t="inlineStr">
        <is>
          <t>MAYBELLINE Superstay Matte Ink 340 Exhilarator 5ml</t>
        </is>
      </c>
      <c r="D2638" t="inlineStr">
        <is>
          <t>Miss Glam Jambi</t>
        </is>
      </c>
      <c r="E2638" t="n">
        <v>3</v>
      </c>
      <c r="F2638" t="n">
        <v>0.05</v>
      </c>
      <c r="G2638" t="n">
        <v>1</v>
      </c>
      <c r="H2638" t="n">
        <v>4</v>
      </c>
      <c r="I2638" t="n">
        <v>15</v>
      </c>
      <c r="J2638" t="n">
        <v>3</v>
      </c>
      <c r="K2638" t="n">
        <v>0</v>
      </c>
      <c r="L2638" t="n">
        <v>75725</v>
      </c>
      <c r="M2638" t="n">
        <v>129000</v>
      </c>
      <c r="N2638" t="n">
        <v>33</v>
      </c>
      <c r="O2638" t="n">
        <v>0.33</v>
      </c>
      <c r="P2638" t="n">
        <v>0</v>
      </c>
      <c r="Q2638" t="n">
        <v>0.05</v>
      </c>
      <c r="R2638" t="n">
        <v>1</v>
      </c>
      <c r="S2638" t="n">
        <v>6450</v>
      </c>
      <c r="T2638" t="n">
        <v>15</v>
      </c>
      <c r="U2638" t="n">
        <v>16</v>
      </c>
      <c r="V2638" t="n">
        <v>30</v>
      </c>
      <c r="W2638" t="n">
        <v>2</v>
      </c>
      <c r="X2638" t="n">
        <v>60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10825</v>
      </c>
      <c r="AG2638" t="n">
        <v>2132</v>
      </c>
      <c r="AH2638" t="inlineStr">
        <is>
          <t>PT. MENSA BINA SUKSES - PPN (JMB)</t>
        </is>
      </c>
      <c r="AI2638" t="n">
        <v>98</v>
      </c>
      <c r="AJ2638" t="inlineStr">
        <is>
          <t>MAYBELLINE</t>
        </is>
      </c>
      <c r="AK2638" t="n">
        <v>9</v>
      </c>
      <c r="AL2638" t="inlineStr">
        <is>
          <t>Miss Glam Jambi</t>
        </is>
      </c>
      <c r="AM2638" t="n">
        <v>3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MAYBELLINE</t>
        </is>
      </c>
      <c r="B2639" s="2">
        <f>"6902395800569"</f>
        <v/>
      </c>
      <c r="C2639" t="inlineStr">
        <is>
          <t>MAYBELLINE Superstay Matte Ink 350 Freethinker 5ml</t>
        </is>
      </c>
      <c r="D2639" t="inlineStr">
        <is>
          <t>Miss Glam Jambi</t>
        </is>
      </c>
      <c r="E2639" t="n">
        <v>8</v>
      </c>
      <c r="F2639" t="n">
        <v>0.0726</v>
      </c>
      <c r="G2639" t="n">
        <v>0.66</v>
      </c>
      <c r="H2639" t="n">
        <v>4</v>
      </c>
      <c r="I2639" t="n">
        <v>15</v>
      </c>
      <c r="J2639" t="n">
        <v>3</v>
      </c>
      <c r="K2639" t="n">
        <v>0</v>
      </c>
      <c r="L2639" t="n">
        <v>77050</v>
      </c>
      <c r="M2639" t="n">
        <v>129000</v>
      </c>
      <c r="N2639" t="n">
        <v>33</v>
      </c>
      <c r="O2639" t="n">
        <v>0.33</v>
      </c>
      <c r="P2639" t="n">
        <v>1</v>
      </c>
      <c r="Q2639" t="n">
        <v>0.07000000000000001</v>
      </c>
      <c r="R2639" t="n">
        <v>1</v>
      </c>
      <c r="S2639" t="n">
        <v>9365.4</v>
      </c>
      <c r="T2639" t="n">
        <v>10</v>
      </c>
      <c r="U2639" t="n">
        <v>11</v>
      </c>
      <c r="V2639" t="n">
        <v>30</v>
      </c>
      <c r="W2639" t="n">
        <v>3</v>
      </c>
      <c r="X2639" t="n">
        <v>110.1928374655647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10825</v>
      </c>
      <c r="AG2639" t="n">
        <v>2132</v>
      </c>
      <c r="AH2639" t="inlineStr">
        <is>
          <t>PT. MENSA BINA SUKSES - PPN (JMB)</t>
        </is>
      </c>
      <c r="AI2639" t="n">
        <v>98</v>
      </c>
      <c r="AJ2639" t="inlineStr">
        <is>
          <t>MAYBELLINE</t>
        </is>
      </c>
      <c r="AK2639" t="n">
        <v>9</v>
      </c>
      <c r="AL2639" t="inlineStr">
        <is>
          <t>Miss Glam Jambi</t>
        </is>
      </c>
      <c r="AM2639" t="n">
        <v>3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MAYBELLINE</t>
        </is>
      </c>
      <c r="B2640" s="2">
        <f>"6902395800576"</f>
        <v/>
      </c>
      <c r="C2640" t="inlineStr">
        <is>
          <t>MAYBELLINE Superstay Matte Ink 355 Shaker 5ml</t>
        </is>
      </c>
      <c r="D2640" t="inlineStr">
        <is>
          <t>Miss Glam Jambi</t>
        </is>
      </c>
      <c r="E2640" t="n">
        <v>12</v>
      </c>
      <c r="F2640" t="n">
        <v>0.0495</v>
      </c>
      <c r="G2640" t="n">
        <v>0.66</v>
      </c>
      <c r="H2640" t="n">
        <v>4</v>
      </c>
      <c r="I2640" t="n">
        <v>15</v>
      </c>
      <c r="J2640" t="n">
        <v>3</v>
      </c>
      <c r="K2640" t="n">
        <v>0</v>
      </c>
      <c r="L2640" t="n">
        <v>77049</v>
      </c>
      <c r="M2640" t="n">
        <v>129000</v>
      </c>
      <c r="N2640" t="n">
        <v>33</v>
      </c>
      <c r="O2640" t="n">
        <v>0.33</v>
      </c>
      <c r="P2640" t="n">
        <v>1</v>
      </c>
      <c r="Q2640" t="n">
        <v>0.05</v>
      </c>
      <c r="R2640" t="n">
        <v>1</v>
      </c>
      <c r="S2640" t="n">
        <v>6385.5</v>
      </c>
      <c r="T2640" t="n">
        <v>10</v>
      </c>
      <c r="U2640" t="n">
        <v>11</v>
      </c>
      <c r="V2640" t="n">
        <v>30</v>
      </c>
      <c r="W2640" t="n">
        <v>2</v>
      </c>
      <c r="X2640" t="n">
        <v>242.4242424242424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10825</v>
      </c>
      <c r="AG2640" t="n">
        <v>2132</v>
      </c>
      <c r="AH2640" t="inlineStr">
        <is>
          <t>PT. MENSA BINA SUKSES - PPN (JMB)</t>
        </is>
      </c>
      <c r="AI2640" t="n">
        <v>98</v>
      </c>
      <c r="AJ2640" t="inlineStr">
        <is>
          <t>MAYBELLINE</t>
        </is>
      </c>
      <c r="AK2640" t="n">
        <v>9</v>
      </c>
      <c r="AL2640" t="inlineStr">
        <is>
          <t>Miss Glam Jambi</t>
        </is>
      </c>
      <c r="AM2640" t="n">
        <v>3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MAYBELLINE</t>
        </is>
      </c>
      <c r="B2641" s="2">
        <f>"6902395800583"</f>
        <v/>
      </c>
      <c r="C2641" t="inlineStr">
        <is>
          <t>MAYBELLINE Superstay Matte Ink 360 Discoverer 5ml</t>
        </is>
      </c>
      <c r="D2641" t="inlineStr">
        <is>
          <t>Miss Glam Jambi</t>
        </is>
      </c>
      <c r="E2641" t="n">
        <v>5</v>
      </c>
      <c r="F2641" t="n">
        <v>0.0825</v>
      </c>
      <c r="G2641" t="n">
        <v>1.65</v>
      </c>
      <c r="H2641" t="n">
        <v>4</v>
      </c>
      <c r="I2641" t="n">
        <v>15</v>
      </c>
      <c r="J2641" t="n">
        <v>3</v>
      </c>
      <c r="K2641" t="n">
        <v>0</v>
      </c>
      <c r="L2641" t="n">
        <v>83888</v>
      </c>
      <c r="M2641" t="n">
        <v>129000</v>
      </c>
      <c r="N2641" t="n">
        <v>33</v>
      </c>
      <c r="O2641" t="n">
        <v>0.33</v>
      </c>
      <c r="P2641" t="n">
        <v>1</v>
      </c>
      <c r="Q2641" t="n">
        <v>0.14</v>
      </c>
      <c r="R2641" t="n">
        <v>2</v>
      </c>
      <c r="S2641" t="n">
        <v>10642.5</v>
      </c>
      <c r="T2641" t="n">
        <v>25</v>
      </c>
      <c r="U2641" t="n">
        <v>26</v>
      </c>
      <c r="V2641" t="n">
        <v>30</v>
      </c>
      <c r="W2641" t="n">
        <v>3</v>
      </c>
      <c r="X2641" t="n">
        <v>60.6060606060606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10825</v>
      </c>
      <c r="AG2641" t="n">
        <v>2132</v>
      </c>
      <c r="AH2641" t="inlineStr">
        <is>
          <t>PT. MENSA BINA SUKSES - PPN (JMB)</t>
        </is>
      </c>
      <c r="AI2641" t="n">
        <v>98</v>
      </c>
      <c r="AJ2641" t="inlineStr">
        <is>
          <t>MAYBELLINE</t>
        </is>
      </c>
      <c r="AK2641" t="n">
        <v>9</v>
      </c>
      <c r="AL2641" t="inlineStr">
        <is>
          <t>Miss Glam Jambi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MAYBELLINE</t>
        </is>
      </c>
      <c r="B2642" s="2">
        <f>"6902395808862"</f>
        <v/>
      </c>
      <c r="C2642" t="inlineStr">
        <is>
          <t>MAYBELLINE Superstay Matte Ink 365 Enthusiast 5ml</t>
        </is>
      </c>
      <c r="D2642" t="inlineStr">
        <is>
          <t>Miss Glam Jambi</t>
        </is>
      </c>
      <c r="E2642" t="n">
        <v>5</v>
      </c>
      <c r="F2642" t="n">
        <v>0.1056</v>
      </c>
      <c r="G2642" t="n">
        <v>0.99</v>
      </c>
      <c r="H2642" t="n">
        <v>4</v>
      </c>
      <c r="I2642" t="n">
        <v>15</v>
      </c>
      <c r="J2642" t="n">
        <v>3</v>
      </c>
      <c r="K2642" t="n">
        <v>0</v>
      </c>
      <c r="L2642" t="n">
        <v>84580</v>
      </c>
      <c r="M2642" t="n">
        <v>129000</v>
      </c>
      <c r="N2642" t="n">
        <v>33</v>
      </c>
      <c r="O2642" t="n">
        <v>0.33</v>
      </c>
      <c r="P2642" t="n">
        <v>1</v>
      </c>
      <c r="Q2642" t="n">
        <v>0.14</v>
      </c>
      <c r="R2642" t="n">
        <v>1</v>
      </c>
      <c r="S2642" t="n">
        <v>13622.4</v>
      </c>
      <c r="T2642" t="n">
        <v>15</v>
      </c>
      <c r="U2642" t="n">
        <v>16</v>
      </c>
      <c r="V2642" t="n">
        <v>30</v>
      </c>
      <c r="W2642" t="n">
        <v>4</v>
      </c>
      <c r="X2642" t="n">
        <v>47.34848484848484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10825</v>
      </c>
      <c r="AG2642" t="n">
        <v>2132</v>
      </c>
      <c r="AH2642" t="inlineStr">
        <is>
          <t>PT. MENSA BINA SUKSES - PPN (JMB)</t>
        </is>
      </c>
      <c r="AI2642" t="n">
        <v>98</v>
      </c>
      <c r="AJ2642" t="inlineStr">
        <is>
          <t>MAYBELLINE</t>
        </is>
      </c>
      <c r="AK2642" t="n">
        <v>9</v>
      </c>
      <c r="AL2642" t="inlineStr">
        <is>
          <t>Miss Glam Jambi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MAYBELLINE</t>
        </is>
      </c>
      <c r="B2643" s="2">
        <f>"6902395808879"</f>
        <v/>
      </c>
      <c r="C2643" t="inlineStr">
        <is>
          <t>MAYBELLINE Superstay Matte Ink 370 Overseer 5ml</t>
        </is>
      </c>
      <c r="D2643" t="inlineStr">
        <is>
          <t>Miss Glam Jambi</t>
        </is>
      </c>
      <c r="E2643" t="n">
        <v>11</v>
      </c>
      <c r="F2643" t="n">
        <v>0.1056</v>
      </c>
      <c r="G2643" t="n">
        <v>1.65</v>
      </c>
      <c r="H2643" t="n">
        <v>4</v>
      </c>
      <c r="I2643" t="n">
        <v>15</v>
      </c>
      <c r="J2643" t="n">
        <v>3</v>
      </c>
      <c r="K2643" t="n">
        <v>0</v>
      </c>
      <c r="L2643" t="n">
        <v>75372</v>
      </c>
      <c r="M2643" t="n">
        <v>129000</v>
      </c>
      <c r="N2643" t="n">
        <v>33</v>
      </c>
      <c r="O2643" t="n">
        <v>0.33</v>
      </c>
      <c r="P2643" t="n">
        <v>1</v>
      </c>
      <c r="Q2643" t="n">
        <v>0.1</v>
      </c>
      <c r="R2643" t="n">
        <v>2</v>
      </c>
      <c r="S2643" t="n">
        <v>13622.4</v>
      </c>
      <c r="T2643" t="n">
        <v>25</v>
      </c>
      <c r="U2643" t="n">
        <v>26</v>
      </c>
      <c r="V2643" t="n">
        <v>30</v>
      </c>
      <c r="W2643" t="n">
        <v>4</v>
      </c>
      <c r="X2643" t="n">
        <v>104.1666666666667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10825</v>
      </c>
      <c r="AG2643" t="n">
        <v>2132</v>
      </c>
      <c r="AH2643" t="inlineStr">
        <is>
          <t>PT. MENSA BINA SUKSES - PPN (JMB)</t>
        </is>
      </c>
      <c r="AI2643" t="n">
        <v>98</v>
      </c>
      <c r="AJ2643" t="inlineStr">
        <is>
          <t>MAYBELLINE</t>
        </is>
      </c>
      <c r="AK2643" t="n">
        <v>9</v>
      </c>
      <c r="AL2643" t="inlineStr">
        <is>
          <t>Miss Glam Jambi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MAYBELLINE</t>
        </is>
      </c>
      <c r="B2644" s="2">
        <f>"6902395808886"</f>
        <v/>
      </c>
      <c r="C2644" t="inlineStr">
        <is>
          <t>MAYBELLINE Superstay Matte Ink 375 Peacekeeper 5ml</t>
        </is>
      </c>
      <c r="D2644" t="inlineStr">
        <is>
          <t>Miss Glam Jambi</t>
        </is>
      </c>
      <c r="E2644" t="n">
        <v>6</v>
      </c>
      <c r="F2644" t="n">
        <v>0.2013</v>
      </c>
      <c r="G2644" t="n">
        <v>0.99</v>
      </c>
      <c r="H2644" t="n">
        <v>4</v>
      </c>
      <c r="I2644" t="n">
        <v>15</v>
      </c>
      <c r="J2644" t="n">
        <v>3</v>
      </c>
      <c r="K2644" t="n">
        <v>0</v>
      </c>
      <c r="L2644" t="n">
        <v>80776</v>
      </c>
      <c r="M2644" t="n">
        <v>129000</v>
      </c>
      <c r="N2644" t="n">
        <v>33</v>
      </c>
      <c r="O2644" t="n">
        <v>0.33</v>
      </c>
      <c r="P2644" t="n">
        <v>1</v>
      </c>
      <c r="Q2644" t="n">
        <v>0.14</v>
      </c>
      <c r="R2644" t="n">
        <v>1</v>
      </c>
      <c r="S2644" t="n">
        <v>25967.7</v>
      </c>
      <c r="T2644" t="n">
        <v>15</v>
      </c>
      <c r="U2644" t="n">
        <v>16</v>
      </c>
      <c r="V2644" t="n">
        <v>30</v>
      </c>
      <c r="W2644" t="n">
        <v>7</v>
      </c>
      <c r="X2644" t="n">
        <v>29.80625931445604</v>
      </c>
      <c r="Y2644" t="n">
        <v>1</v>
      </c>
      <c r="Z2644" t="n">
        <v>1</v>
      </c>
      <c r="AA2644" t="n">
        <v>0</v>
      </c>
      <c r="AB2644" t="n">
        <v>1</v>
      </c>
      <c r="AC2644" t="n">
        <v>3</v>
      </c>
      <c r="AD2644" t="n">
        <v>0</v>
      </c>
      <c r="AE2644" t="n">
        <v>242328</v>
      </c>
      <c r="AF2644" t="n">
        <v>10825</v>
      </c>
      <c r="AG2644" t="n">
        <v>2132</v>
      </c>
      <c r="AH2644" t="inlineStr">
        <is>
          <t>PT. MENSA BINA SUKSES - PPN (JMB)</t>
        </is>
      </c>
      <c r="AI2644" t="n">
        <v>98</v>
      </c>
      <c r="AJ2644" t="inlineStr">
        <is>
          <t>MAYBELLINE</t>
        </is>
      </c>
      <c r="AK2644" t="n">
        <v>9</v>
      </c>
      <c r="AL2644" t="inlineStr">
        <is>
          <t>Miss Glam Jambi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MAYBELLINE</t>
        </is>
      </c>
      <c r="B2645" s="2">
        <f>"6902395808893"</f>
        <v/>
      </c>
      <c r="C2645" t="inlineStr">
        <is>
          <t>MAYBELLINE Superstay Matte Ink 380 Enchanter 5ml</t>
        </is>
      </c>
      <c r="D2645" t="inlineStr">
        <is>
          <t>Miss Glam Jambi</t>
        </is>
      </c>
      <c r="E2645" t="n">
        <v>17</v>
      </c>
      <c r="F2645" t="n">
        <v>0.1122</v>
      </c>
      <c r="G2645" t="n">
        <v>0.66</v>
      </c>
      <c r="H2645" t="n">
        <v>4</v>
      </c>
      <c r="I2645" t="n">
        <v>15</v>
      </c>
      <c r="J2645" t="n">
        <v>3</v>
      </c>
      <c r="K2645" t="n">
        <v>0</v>
      </c>
      <c r="L2645" t="n">
        <v>78148</v>
      </c>
      <c r="M2645" t="n">
        <v>129000</v>
      </c>
      <c r="N2645" t="n">
        <v>33</v>
      </c>
      <c r="O2645" t="n">
        <v>0.33</v>
      </c>
      <c r="P2645" t="n">
        <v>1</v>
      </c>
      <c r="Q2645" t="n">
        <v>0.31</v>
      </c>
      <c r="R2645" t="n">
        <v>2</v>
      </c>
      <c r="S2645" t="n">
        <v>14473.8</v>
      </c>
      <c r="T2645" t="n">
        <v>10</v>
      </c>
      <c r="U2645" t="n">
        <v>11</v>
      </c>
      <c r="V2645" t="n">
        <v>30</v>
      </c>
      <c r="W2645" t="n">
        <v>4</v>
      </c>
      <c r="X2645" t="n">
        <v>151.5151515151515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10825</v>
      </c>
      <c r="AG2645" t="n">
        <v>2132</v>
      </c>
      <c r="AH2645" t="inlineStr">
        <is>
          <t>PT. MENSA BINA SUKSES - PPN (JMB)</t>
        </is>
      </c>
      <c r="AI2645" t="n">
        <v>98</v>
      </c>
      <c r="AJ2645" t="inlineStr">
        <is>
          <t>MAYBELLINE</t>
        </is>
      </c>
      <c r="AK2645" t="n">
        <v>9</v>
      </c>
      <c r="AL2645" t="inlineStr">
        <is>
          <t>Miss Glam Jambi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MAYBELLINE</t>
        </is>
      </c>
      <c r="B2646" s="2">
        <f>"6902395808909"</f>
        <v/>
      </c>
      <c r="C2646" t="inlineStr">
        <is>
          <t>MAYBELLINE Superstay Matte Ink 385 Validator 5ml</t>
        </is>
      </c>
      <c r="D2646" t="inlineStr">
        <is>
          <t>Miss Glam Jambi</t>
        </is>
      </c>
      <c r="E2646" t="n">
        <v>3</v>
      </c>
      <c r="F2646" t="n">
        <v>0.0231</v>
      </c>
      <c r="G2646" t="n">
        <v>0.33</v>
      </c>
      <c r="H2646" t="n">
        <v>4</v>
      </c>
      <c r="I2646" t="n">
        <v>15</v>
      </c>
      <c r="J2646" t="n">
        <v>3</v>
      </c>
      <c r="K2646" t="n">
        <v>0</v>
      </c>
      <c r="L2646" t="n">
        <v>75916</v>
      </c>
      <c r="M2646" t="n">
        <v>129000</v>
      </c>
      <c r="N2646" t="n">
        <v>33</v>
      </c>
      <c r="O2646" t="n">
        <v>0.33</v>
      </c>
      <c r="P2646" t="n">
        <v>1</v>
      </c>
      <c r="Q2646" t="n">
        <v>0.08</v>
      </c>
      <c r="R2646" t="n">
        <v>1</v>
      </c>
      <c r="S2646" t="n">
        <v>2979.900000000001</v>
      </c>
      <c r="T2646" t="n">
        <v>5</v>
      </c>
      <c r="U2646" t="n">
        <v>6</v>
      </c>
      <c r="V2646" t="n">
        <v>30</v>
      </c>
      <c r="W2646" t="n">
        <v>1</v>
      </c>
      <c r="X2646" t="n">
        <v>129.8701298701299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10825</v>
      </c>
      <c r="AG2646" t="n">
        <v>2132</v>
      </c>
      <c r="AH2646" t="inlineStr">
        <is>
          <t>PT. MENSA BINA SUKSES - PPN (JMB)</t>
        </is>
      </c>
      <c r="AI2646" t="n">
        <v>98</v>
      </c>
      <c r="AJ2646" t="inlineStr">
        <is>
          <t>MAYBELLINE</t>
        </is>
      </c>
      <c r="AK2646" t="n">
        <v>9</v>
      </c>
      <c r="AL2646" t="inlineStr">
        <is>
          <t>Miss Glam Jambi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MAYBELLINE</t>
        </is>
      </c>
      <c r="B2647" s="2">
        <f>"6902395682998"</f>
        <v/>
      </c>
      <c r="C2647" t="inlineStr">
        <is>
          <t>MAYBELLINE Superstay Matte Ink 50 Voyager 5ml</t>
        </is>
      </c>
      <c r="D2647" t="inlineStr">
        <is>
          <t>Miss Glam Jambi</t>
        </is>
      </c>
      <c r="E2647" t="n">
        <v>13</v>
      </c>
      <c r="F2647" t="n">
        <v>0.0231</v>
      </c>
      <c r="G2647" t="n">
        <v>0.66</v>
      </c>
      <c r="H2647" t="n">
        <v>4</v>
      </c>
      <c r="I2647" t="n">
        <v>15</v>
      </c>
      <c r="J2647" t="n">
        <v>3</v>
      </c>
      <c r="K2647" t="n">
        <v>0</v>
      </c>
      <c r="L2647" t="n">
        <v>76372</v>
      </c>
      <c r="M2647" t="n">
        <v>129000</v>
      </c>
      <c r="N2647" t="n">
        <v>33</v>
      </c>
      <c r="O2647" t="n">
        <v>0.33</v>
      </c>
      <c r="P2647" t="n">
        <v>1</v>
      </c>
      <c r="Q2647" t="n">
        <v>0.02</v>
      </c>
      <c r="R2647" t="n">
        <v>1</v>
      </c>
      <c r="S2647" t="n">
        <v>2979.900000000001</v>
      </c>
      <c r="T2647" t="n">
        <v>10</v>
      </c>
      <c r="U2647" t="n">
        <v>11</v>
      </c>
      <c r="V2647" t="n">
        <v>30</v>
      </c>
      <c r="W2647" t="n">
        <v>1</v>
      </c>
      <c r="X2647" t="n">
        <v>562.7705627705627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10825</v>
      </c>
      <c r="AG2647" t="n">
        <v>2132</v>
      </c>
      <c r="AH2647" t="inlineStr">
        <is>
          <t>PT. MENSA BINA SUKSES - PPN (JMB)</t>
        </is>
      </c>
      <c r="AI2647" t="n">
        <v>98</v>
      </c>
      <c r="AJ2647" t="inlineStr">
        <is>
          <t>MAYBELLINE</t>
        </is>
      </c>
      <c r="AK2647" t="n">
        <v>9</v>
      </c>
      <c r="AL2647" t="inlineStr">
        <is>
          <t>Miss Glam Jambi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MAYBELLINE</t>
        </is>
      </c>
      <c r="B2648" s="2">
        <f>"41554543681"</f>
        <v/>
      </c>
      <c r="C2648" t="inlineStr">
        <is>
          <t>MAYBELLINE Superstay Matte Ink 60 Poet 5ml</t>
        </is>
      </c>
      <c r="D2648" t="inlineStr">
        <is>
          <t>Miss Glam Jambi</t>
        </is>
      </c>
      <c r="E2648" t="n">
        <v>3</v>
      </c>
      <c r="F2648" t="n">
        <v>0.25</v>
      </c>
      <c r="G2648" t="n">
        <v>2</v>
      </c>
      <c r="H2648" t="n">
        <v>4</v>
      </c>
      <c r="I2648" t="n">
        <v>15</v>
      </c>
      <c r="J2648" t="n">
        <v>3</v>
      </c>
      <c r="K2648" t="n">
        <v>4</v>
      </c>
      <c r="L2648" t="n">
        <v>80337</v>
      </c>
      <c r="M2648" t="n">
        <v>129000</v>
      </c>
      <c r="N2648" t="n">
        <v>33</v>
      </c>
      <c r="O2648" t="n">
        <v>0.33</v>
      </c>
      <c r="P2648" t="n">
        <v>0</v>
      </c>
      <c r="Q2648" t="n">
        <v>0.25</v>
      </c>
      <c r="R2648" t="n">
        <v>2</v>
      </c>
      <c r="S2648" t="n">
        <v>32250</v>
      </c>
      <c r="T2648" t="n">
        <v>29</v>
      </c>
      <c r="U2648" t="n">
        <v>30</v>
      </c>
      <c r="V2648" t="n">
        <v>30</v>
      </c>
      <c r="W2648" t="n">
        <v>8</v>
      </c>
      <c r="X2648" t="n">
        <v>12</v>
      </c>
      <c r="Y2648" t="n">
        <v>1</v>
      </c>
      <c r="Z2648" t="n">
        <v>1</v>
      </c>
      <c r="AA2648" t="n">
        <v>0</v>
      </c>
      <c r="AB2648" t="n">
        <v>1</v>
      </c>
      <c r="AC2648" t="n">
        <v>3</v>
      </c>
      <c r="AD2648" t="n">
        <v>0</v>
      </c>
      <c r="AE2648" t="n">
        <v>241011</v>
      </c>
      <c r="AF2648" t="n">
        <v>10825</v>
      </c>
      <c r="AG2648" t="n">
        <v>2132</v>
      </c>
      <c r="AH2648" t="inlineStr">
        <is>
          <t>PT. MENSA BINA SUKSES - PPN (JMB)</t>
        </is>
      </c>
      <c r="AI2648" t="n">
        <v>98</v>
      </c>
      <c r="AJ2648" t="inlineStr">
        <is>
          <t>MAYBELLINE</t>
        </is>
      </c>
      <c r="AK2648" t="n">
        <v>9</v>
      </c>
      <c r="AL2648" t="inlineStr">
        <is>
          <t>Miss Glam Jambi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MAYBELLINE</t>
        </is>
      </c>
      <c r="B2649" s="2">
        <f>"6902395682882"</f>
        <v/>
      </c>
      <c r="C2649" t="inlineStr">
        <is>
          <t>MAYBELLINE Superstay Matte Ink 65 Seductress 5ml</t>
        </is>
      </c>
      <c r="D2649" t="inlineStr">
        <is>
          <t>Miss Glam Jambi</t>
        </is>
      </c>
      <c r="E2649" t="n">
        <v>8</v>
      </c>
      <c r="F2649" t="n">
        <v>0.1914</v>
      </c>
      <c r="G2649" t="n">
        <v>1.32</v>
      </c>
      <c r="H2649" t="n">
        <v>4</v>
      </c>
      <c r="I2649" t="n">
        <v>15</v>
      </c>
      <c r="J2649" t="n">
        <v>3</v>
      </c>
      <c r="K2649" t="n">
        <v>0</v>
      </c>
      <c r="L2649" t="n">
        <v>78631</v>
      </c>
      <c r="M2649" t="n">
        <v>129000</v>
      </c>
      <c r="N2649" t="n">
        <v>33</v>
      </c>
      <c r="O2649" t="n">
        <v>0.33</v>
      </c>
      <c r="P2649" t="n">
        <v>1</v>
      </c>
      <c r="Q2649" t="n">
        <v>0.25</v>
      </c>
      <c r="R2649" t="n">
        <v>3</v>
      </c>
      <c r="S2649" t="n">
        <v>24690.6</v>
      </c>
      <c r="T2649" t="n">
        <v>20</v>
      </c>
      <c r="U2649" t="n">
        <v>21</v>
      </c>
      <c r="V2649" t="n">
        <v>30</v>
      </c>
      <c r="W2649" t="n">
        <v>6</v>
      </c>
      <c r="X2649" t="n">
        <v>41.79728317659352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10825</v>
      </c>
      <c r="AG2649" t="n">
        <v>2132</v>
      </c>
      <c r="AH2649" t="inlineStr">
        <is>
          <t>PT. MENSA BINA SUKSES - PPN (JMB)</t>
        </is>
      </c>
      <c r="AI2649" t="n">
        <v>98</v>
      </c>
      <c r="AJ2649" t="inlineStr">
        <is>
          <t>MAYBELLINE</t>
        </is>
      </c>
      <c r="AK2649" t="n">
        <v>9</v>
      </c>
      <c r="AL2649" t="inlineStr">
        <is>
          <t>Miss Glam Jambi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MAYBELLINE</t>
        </is>
      </c>
      <c r="B2650" s="2">
        <f>"6902395682820"</f>
        <v/>
      </c>
      <c r="C2650" t="inlineStr">
        <is>
          <t>MAYBELLINE Superstay Matte Ink 75 Fighter 5ml</t>
        </is>
      </c>
      <c r="D2650" t="inlineStr">
        <is>
          <t>Miss Glam Jambi</t>
        </is>
      </c>
      <c r="E2650" t="n">
        <v>4</v>
      </c>
      <c r="F2650" t="n">
        <v>0.0462</v>
      </c>
      <c r="G2650" t="n">
        <v>0.33</v>
      </c>
      <c r="H2650" t="n">
        <v>4</v>
      </c>
      <c r="I2650" t="n">
        <v>15</v>
      </c>
      <c r="J2650" t="n">
        <v>3</v>
      </c>
      <c r="K2650" t="n">
        <v>0</v>
      </c>
      <c r="L2650" t="n">
        <v>79197</v>
      </c>
      <c r="M2650" t="n">
        <v>129000</v>
      </c>
      <c r="N2650" t="n">
        <v>33</v>
      </c>
      <c r="O2650" t="n">
        <v>0.33</v>
      </c>
      <c r="P2650" t="n">
        <v>1</v>
      </c>
      <c r="Q2650" t="n">
        <v>0.14</v>
      </c>
      <c r="R2650" t="n">
        <v>2</v>
      </c>
      <c r="S2650" t="n">
        <v>5959.800000000001</v>
      </c>
      <c r="T2650" t="n">
        <v>5</v>
      </c>
      <c r="U2650" t="n">
        <v>6</v>
      </c>
      <c r="V2650" t="n">
        <v>30</v>
      </c>
      <c r="W2650" t="n">
        <v>2</v>
      </c>
      <c r="X2650" t="n">
        <v>86.58008658008657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10825</v>
      </c>
      <c r="AG2650" t="n">
        <v>2132</v>
      </c>
      <c r="AH2650" t="inlineStr">
        <is>
          <t>PT. MENSA BINA SUKSES - PPN (JMB)</t>
        </is>
      </c>
      <c r="AI2650" t="n">
        <v>98</v>
      </c>
      <c r="AJ2650" t="inlineStr">
        <is>
          <t>MAYBELLINE</t>
        </is>
      </c>
      <c r="AK2650" t="n">
        <v>9</v>
      </c>
      <c r="AL2650" t="inlineStr">
        <is>
          <t>Miss Glam Jambi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"6902395682875"</f>
        <v/>
      </c>
      <c r="C2651" t="inlineStr">
        <is>
          <t>MAYBELLINE Superstay Matte Ink 80 Ruler 5ml</t>
        </is>
      </c>
      <c r="D2651" t="inlineStr">
        <is>
          <t>Miss Glam Jambi</t>
        </is>
      </c>
      <c r="E2651" t="n">
        <v>22</v>
      </c>
      <c r="F2651" t="n">
        <v>0.1683</v>
      </c>
      <c r="G2651" t="n">
        <v>0.99</v>
      </c>
      <c r="H2651" t="n">
        <v>4</v>
      </c>
      <c r="I2651" t="n">
        <v>15</v>
      </c>
      <c r="J2651" t="n">
        <v>3</v>
      </c>
      <c r="K2651" t="n">
        <v>0</v>
      </c>
      <c r="L2651" t="n">
        <v>76572</v>
      </c>
      <c r="M2651" t="n">
        <v>129000</v>
      </c>
      <c r="N2651" t="n">
        <v>33</v>
      </c>
      <c r="O2651" t="n">
        <v>0.33</v>
      </c>
      <c r="P2651" t="n">
        <v>1</v>
      </c>
      <c r="Q2651" t="n">
        <v>0.22</v>
      </c>
      <c r="R2651" t="n">
        <v>2</v>
      </c>
      <c r="S2651" t="n">
        <v>21710.7</v>
      </c>
      <c r="T2651" t="n">
        <v>15</v>
      </c>
      <c r="U2651" t="n">
        <v>16</v>
      </c>
      <c r="V2651" t="n">
        <v>30</v>
      </c>
      <c r="W2651" t="n">
        <v>6</v>
      </c>
      <c r="X2651" t="n">
        <v>130.718954248366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10825</v>
      </c>
      <c r="AG2651" t="n">
        <v>2132</v>
      </c>
      <c r="AH2651" t="inlineStr">
        <is>
          <t>PT. MENSA BINA SUKSES - PPN (JMB)</t>
        </is>
      </c>
      <c r="AI2651" t="n">
        <v>98</v>
      </c>
      <c r="AJ2651" t="inlineStr">
        <is>
          <t>MAYBELLINE</t>
        </is>
      </c>
      <c r="AK2651" t="n">
        <v>9</v>
      </c>
      <c r="AL2651" t="inlineStr">
        <is>
          <t>Miss Glam Jambi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"6902395972150"</f>
        <v/>
      </c>
      <c r="C2652" t="inlineStr">
        <is>
          <t>MAYBELLINE Superstay Teddy Tint 25 Baby Tee 5ml</t>
        </is>
      </c>
      <c r="D2652" t="inlineStr">
        <is>
          <t>Miss Glam Jambi</t>
        </is>
      </c>
      <c r="E2652" t="n">
        <v>8</v>
      </c>
      <c r="F2652" t="n">
        <v>0.006600000000000001</v>
      </c>
      <c r="G2652" t="n">
        <v>0.33</v>
      </c>
      <c r="H2652" t="n">
        <v>4</v>
      </c>
      <c r="I2652" t="n">
        <v>15</v>
      </c>
      <c r="J2652" t="n">
        <v>3</v>
      </c>
      <c r="K2652" t="n">
        <v>0</v>
      </c>
      <c r="L2652" t="n">
        <v>105537</v>
      </c>
      <c r="M2652" t="n">
        <v>139000</v>
      </c>
      <c r="N2652" t="n">
        <v>33</v>
      </c>
      <c r="O2652" t="n">
        <v>0.33</v>
      </c>
      <c r="P2652" t="n">
        <v>1</v>
      </c>
      <c r="Q2652" t="n">
        <v>0.02</v>
      </c>
      <c r="R2652" t="n">
        <v>1</v>
      </c>
      <c r="S2652" t="n">
        <v>917.4000000000001</v>
      </c>
      <c r="T2652" t="n">
        <v>5</v>
      </c>
      <c r="U2652" t="n">
        <v>6</v>
      </c>
      <c r="V2652" t="n">
        <v>30</v>
      </c>
      <c r="W2652" t="n">
        <v>1</v>
      </c>
      <c r="X2652" t="n">
        <v>1212.121212121212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10825</v>
      </c>
      <c r="AG2652" t="n">
        <v>2132</v>
      </c>
      <c r="AH2652" t="inlineStr">
        <is>
          <t>PT. MENSA BINA SUKSES - PPN (JMB)</t>
        </is>
      </c>
      <c r="AI2652" t="n">
        <v>98</v>
      </c>
      <c r="AJ2652" t="inlineStr">
        <is>
          <t>MAYBELLINE</t>
        </is>
      </c>
      <c r="AK2652" t="n">
        <v>9</v>
      </c>
      <c r="AL2652" t="inlineStr">
        <is>
          <t>Miss Glam Jambi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"6902395972181"</f>
        <v/>
      </c>
      <c r="C2653" t="inlineStr">
        <is>
          <t>MAYBELLINE Superstay Teddy Tint 30 Coquettish 5ml</t>
        </is>
      </c>
      <c r="D2653" t="inlineStr">
        <is>
          <t>Miss Glam Jambi</t>
        </is>
      </c>
      <c r="E2653" t="n">
        <v>2</v>
      </c>
      <c r="F2653" t="n">
        <v>0.009900000000000001</v>
      </c>
      <c r="G2653" t="n">
        <v>0.33</v>
      </c>
      <c r="H2653" t="n">
        <v>4</v>
      </c>
      <c r="I2653" t="n">
        <v>15</v>
      </c>
      <c r="J2653" t="n">
        <v>3</v>
      </c>
      <c r="K2653" t="n">
        <v>0</v>
      </c>
      <c r="L2653" t="n">
        <v>105537</v>
      </c>
      <c r="M2653" t="n">
        <v>139000</v>
      </c>
      <c r="N2653" t="n">
        <v>33</v>
      </c>
      <c r="O2653" t="n">
        <v>0.33</v>
      </c>
      <c r="P2653" t="n">
        <v>1</v>
      </c>
      <c r="Q2653" t="n">
        <v>0.03</v>
      </c>
      <c r="R2653" t="n">
        <v>1</v>
      </c>
      <c r="S2653" t="n">
        <v>1376.1</v>
      </c>
      <c r="T2653" t="n">
        <v>5</v>
      </c>
      <c r="U2653" t="n">
        <v>6</v>
      </c>
      <c r="V2653" t="n">
        <v>30</v>
      </c>
      <c r="W2653" t="n">
        <v>1</v>
      </c>
      <c r="X2653" t="n">
        <v>202.020202020202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10825</v>
      </c>
      <c r="AG2653" t="n">
        <v>2132</v>
      </c>
      <c r="AH2653" t="inlineStr">
        <is>
          <t>PT. MENSA BINA SUKSES - PPN (JMB)</t>
        </is>
      </c>
      <c r="AI2653" t="n">
        <v>98</v>
      </c>
      <c r="AJ2653" t="inlineStr">
        <is>
          <t>MAYBELLINE</t>
        </is>
      </c>
      <c r="AK2653" t="n">
        <v>9</v>
      </c>
      <c r="AL2653" t="inlineStr">
        <is>
          <t>Miss Glam Jambi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"6902395972198"</f>
        <v/>
      </c>
      <c r="C2654" t="inlineStr">
        <is>
          <t>MAYBELLINE Superstay Teddy Tint 35 July Forever 5ml</t>
        </is>
      </c>
      <c r="D2654" t="inlineStr">
        <is>
          <t>Miss Glam Jambi</t>
        </is>
      </c>
      <c r="E2654" t="n">
        <v>3</v>
      </c>
      <c r="F2654" t="n">
        <v>0.006600000000000001</v>
      </c>
      <c r="G2654" t="n">
        <v>0.33</v>
      </c>
      <c r="H2654" t="n">
        <v>4</v>
      </c>
      <c r="I2654" t="n">
        <v>15</v>
      </c>
      <c r="J2654" t="n">
        <v>3</v>
      </c>
      <c r="K2654" t="n">
        <v>0</v>
      </c>
      <c r="L2654" t="n">
        <v>100260</v>
      </c>
      <c r="M2654" t="n">
        <v>139000</v>
      </c>
      <c r="N2654" t="n">
        <v>33</v>
      </c>
      <c r="O2654" t="n">
        <v>0.33</v>
      </c>
      <c r="P2654" t="n">
        <v>1</v>
      </c>
      <c r="Q2654" t="n">
        <v>0.02</v>
      </c>
      <c r="R2654" t="n">
        <v>1</v>
      </c>
      <c r="S2654" t="n">
        <v>917.4000000000001</v>
      </c>
      <c r="T2654" t="n">
        <v>5</v>
      </c>
      <c r="U2654" t="n">
        <v>6</v>
      </c>
      <c r="V2654" t="n">
        <v>30</v>
      </c>
      <c r="W2654" t="n">
        <v>1</v>
      </c>
      <c r="X2654" t="n">
        <v>454.5454545454545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10825</v>
      </c>
      <c r="AG2654" t="n">
        <v>2132</v>
      </c>
      <c r="AH2654" t="inlineStr">
        <is>
          <t>PT. MENSA BINA SUKSES - PPN (JMB)</t>
        </is>
      </c>
      <c r="AI2654" t="n">
        <v>98</v>
      </c>
      <c r="AJ2654" t="inlineStr">
        <is>
          <t>MAYBELLINE</t>
        </is>
      </c>
      <c r="AK2654" t="n">
        <v>9</v>
      </c>
      <c r="AL2654" t="inlineStr">
        <is>
          <t>Miss Glam Jambi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"6902395972174"</f>
        <v/>
      </c>
      <c r="C2655" t="inlineStr">
        <is>
          <t>MAYBELLINE Superstay Teddy Tint 60 Cool Grunge 5ml</t>
        </is>
      </c>
      <c r="D2655" t="inlineStr">
        <is>
          <t>Miss Glam Jambi</t>
        </is>
      </c>
      <c r="E2655" t="n">
        <v>3</v>
      </c>
      <c r="F2655" t="n">
        <v>0.009900000000000001</v>
      </c>
      <c r="G2655" t="n">
        <v>0.33</v>
      </c>
      <c r="H2655" t="n">
        <v>4</v>
      </c>
      <c r="I2655" t="n">
        <v>15</v>
      </c>
      <c r="J2655" t="n">
        <v>3</v>
      </c>
      <c r="K2655" t="n">
        <v>0</v>
      </c>
      <c r="L2655" t="n">
        <v>105083</v>
      </c>
      <c r="M2655" t="n">
        <v>139000</v>
      </c>
      <c r="N2655" t="n">
        <v>33</v>
      </c>
      <c r="O2655" t="n">
        <v>0.33</v>
      </c>
      <c r="P2655" t="n">
        <v>1</v>
      </c>
      <c r="Q2655" t="n">
        <v>0.02</v>
      </c>
      <c r="R2655" t="n">
        <v>1</v>
      </c>
      <c r="S2655" t="n">
        <v>1376.1</v>
      </c>
      <c r="T2655" t="n">
        <v>5</v>
      </c>
      <c r="U2655" t="n">
        <v>6</v>
      </c>
      <c r="V2655" t="n">
        <v>30</v>
      </c>
      <c r="W2655" t="n">
        <v>1</v>
      </c>
      <c r="X2655" t="n">
        <v>303.030303030303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10825</v>
      </c>
      <c r="AG2655" t="n">
        <v>2132</v>
      </c>
      <c r="AH2655" t="inlineStr">
        <is>
          <t>PT. MENSA BINA SUKSES - PPN (JMB)</t>
        </is>
      </c>
      <c r="AI2655" t="n">
        <v>98</v>
      </c>
      <c r="AJ2655" t="inlineStr">
        <is>
          <t>MAYBELLINE</t>
        </is>
      </c>
      <c r="AK2655" t="n">
        <v>9</v>
      </c>
      <c r="AL2655" t="inlineStr">
        <is>
          <t>Miss Glam Jambi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"6902395972204"</f>
        <v/>
      </c>
      <c r="C2656" t="inlineStr">
        <is>
          <t>MAYBELLINE Superstay Teddy Tint 65 Pinkie Bestie 5ml</t>
        </is>
      </c>
      <c r="D2656" t="inlineStr">
        <is>
          <t>Miss Glam Jambi</t>
        </is>
      </c>
      <c r="E2656" t="n">
        <v>3</v>
      </c>
      <c r="F2656" t="n">
        <v>0.02</v>
      </c>
      <c r="G2656" t="n">
        <v>1</v>
      </c>
      <c r="H2656" t="n">
        <v>4</v>
      </c>
      <c r="I2656" t="n">
        <v>15</v>
      </c>
      <c r="J2656" t="n">
        <v>3</v>
      </c>
      <c r="K2656" t="n">
        <v>0</v>
      </c>
      <c r="L2656" t="n">
        <v>104402</v>
      </c>
      <c r="M2656" t="n">
        <v>139000</v>
      </c>
      <c r="N2656" t="n">
        <v>33</v>
      </c>
      <c r="O2656" t="n">
        <v>0.33</v>
      </c>
      <c r="P2656" t="n">
        <v>0</v>
      </c>
      <c r="Q2656" t="n">
        <v>0.02</v>
      </c>
      <c r="R2656" t="n">
        <v>1</v>
      </c>
      <c r="S2656" t="n">
        <v>2780</v>
      </c>
      <c r="T2656" t="n">
        <v>15</v>
      </c>
      <c r="U2656" t="n">
        <v>16</v>
      </c>
      <c r="V2656" t="n">
        <v>30</v>
      </c>
      <c r="W2656" t="n">
        <v>1</v>
      </c>
      <c r="X2656" t="n">
        <v>150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10825</v>
      </c>
      <c r="AG2656" t="n">
        <v>2132</v>
      </c>
      <c r="AH2656" t="inlineStr">
        <is>
          <t>PT. MENSA BINA SUKSES - PPN (JMB)</t>
        </is>
      </c>
      <c r="AI2656" t="n">
        <v>98</v>
      </c>
      <c r="AJ2656" t="inlineStr">
        <is>
          <t>MAYBELLINE</t>
        </is>
      </c>
      <c r="AK2656" t="n">
        <v>9</v>
      </c>
      <c r="AL2656" t="inlineStr">
        <is>
          <t>Miss Glam Jambi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"6902395972211"</f>
        <v/>
      </c>
      <c r="C2657" t="inlineStr">
        <is>
          <t>MAYBELLINE Superstay Teddy Tint 70 The A+ 5ml</t>
        </is>
      </c>
      <c r="D2657" t="inlineStr">
        <is>
          <t>Miss Glam Jambi</t>
        </is>
      </c>
      <c r="E2657" t="n">
        <v>5</v>
      </c>
      <c r="F2657" t="n">
        <v>0.02</v>
      </c>
      <c r="G2657" t="n">
        <v>1</v>
      </c>
      <c r="H2657" t="n">
        <v>4</v>
      </c>
      <c r="I2657" t="n">
        <v>15</v>
      </c>
      <c r="J2657" t="n">
        <v>3</v>
      </c>
      <c r="K2657" t="n">
        <v>0</v>
      </c>
      <c r="L2657" t="n">
        <v>104402</v>
      </c>
      <c r="M2657" t="n">
        <v>139000</v>
      </c>
      <c r="N2657" t="n">
        <v>33</v>
      </c>
      <c r="O2657" t="n">
        <v>0.33</v>
      </c>
      <c r="P2657" t="n">
        <v>0</v>
      </c>
      <c r="Q2657" t="n">
        <v>0.02</v>
      </c>
      <c r="R2657" t="n">
        <v>1</v>
      </c>
      <c r="S2657" t="n">
        <v>2780</v>
      </c>
      <c r="T2657" t="n">
        <v>15</v>
      </c>
      <c r="U2657" t="n">
        <v>16</v>
      </c>
      <c r="V2657" t="n">
        <v>30</v>
      </c>
      <c r="W2657" t="n">
        <v>1</v>
      </c>
      <c r="X2657" t="n">
        <v>250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10825</v>
      </c>
      <c r="AG2657" t="n">
        <v>2132</v>
      </c>
      <c r="AH2657" t="inlineStr">
        <is>
          <t>PT. MENSA BINA SUKSES - PPN (JMB)</t>
        </is>
      </c>
      <c r="AI2657" t="n">
        <v>98</v>
      </c>
      <c r="AJ2657" t="inlineStr">
        <is>
          <t>MAYBELLINE</t>
        </is>
      </c>
      <c r="AK2657" t="n">
        <v>9</v>
      </c>
      <c r="AL2657" t="inlineStr">
        <is>
          <t>Miss Glam Jambi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"6902395972228"</f>
        <v/>
      </c>
      <c r="C2658" t="inlineStr">
        <is>
          <t>MAYBELLINE Superstay Teddy Tint 75 Latte To Go 5ml</t>
        </is>
      </c>
      <c r="D2658" t="inlineStr">
        <is>
          <t>Miss Glam Jambi</t>
        </is>
      </c>
      <c r="E2658" t="n">
        <v>5</v>
      </c>
      <c r="F2658" t="n">
        <v>0.006600000000000001</v>
      </c>
      <c r="G2658" t="n">
        <v>0.33</v>
      </c>
      <c r="H2658" t="n">
        <v>4</v>
      </c>
      <c r="I2658" t="n">
        <v>15</v>
      </c>
      <c r="J2658" t="n">
        <v>3</v>
      </c>
      <c r="K2658" t="n">
        <v>0</v>
      </c>
      <c r="L2658" t="n">
        <v>97641</v>
      </c>
      <c r="M2658" t="n">
        <v>139000</v>
      </c>
      <c r="N2658" t="n">
        <v>33</v>
      </c>
      <c r="O2658" t="n">
        <v>0.33</v>
      </c>
      <c r="P2658" t="n">
        <v>1</v>
      </c>
      <c r="Q2658" t="n">
        <v>0.03</v>
      </c>
      <c r="R2658" t="n">
        <v>1</v>
      </c>
      <c r="S2658" t="n">
        <v>917.4000000000001</v>
      </c>
      <c r="T2658" t="n">
        <v>5</v>
      </c>
      <c r="U2658" t="n">
        <v>6</v>
      </c>
      <c r="V2658" t="n">
        <v>30</v>
      </c>
      <c r="W2658" t="n">
        <v>1</v>
      </c>
      <c r="X2658" t="n">
        <v>757.5757575757575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10825</v>
      </c>
      <c r="AG2658" t="n">
        <v>2132</v>
      </c>
      <c r="AH2658" t="inlineStr">
        <is>
          <t>PT. MENSA BINA SUKSES - PPN (JMB)</t>
        </is>
      </c>
      <c r="AI2658" t="n">
        <v>98</v>
      </c>
      <c r="AJ2658" t="inlineStr">
        <is>
          <t>MAYBELLINE</t>
        </is>
      </c>
      <c r="AK2658" t="n">
        <v>9</v>
      </c>
      <c r="AL2658" t="inlineStr">
        <is>
          <t>Miss Glam Jambi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"6902395972235"</f>
        <v/>
      </c>
      <c r="C2659" t="inlineStr">
        <is>
          <t>MAYBELLINE Superstay Teddy Tint 80 Keep It Cozy 5ml</t>
        </is>
      </c>
      <c r="D2659" t="inlineStr">
        <is>
          <t>Miss Glam Jambi</t>
        </is>
      </c>
      <c r="E2659" t="n">
        <v>4</v>
      </c>
      <c r="F2659" t="n">
        <v>0.006600000000000001</v>
      </c>
      <c r="G2659" t="n">
        <v>0.33</v>
      </c>
      <c r="H2659" t="n">
        <v>4</v>
      </c>
      <c r="I2659" t="n">
        <v>15</v>
      </c>
      <c r="J2659" t="n">
        <v>3</v>
      </c>
      <c r="K2659" t="n">
        <v>0</v>
      </c>
      <c r="L2659" t="n">
        <v>105537</v>
      </c>
      <c r="M2659" t="n">
        <v>139000</v>
      </c>
      <c r="N2659" t="n">
        <v>33</v>
      </c>
      <c r="O2659" t="n">
        <v>0.33</v>
      </c>
      <c r="P2659" t="n">
        <v>1</v>
      </c>
      <c r="Q2659" t="n">
        <v>0.05</v>
      </c>
      <c r="R2659" t="n">
        <v>1</v>
      </c>
      <c r="S2659" t="n">
        <v>917.4000000000001</v>
      </c>
      <c r="T2659" t="n">
        <v>5</v>
      </c>
      <c r="U2659" t="n">
        <v>6</v>
      </c>
      <c r="V2659" t="n">
        <v>30</v>
      </c>
      <c r="W2659" t="n">
        <v>1</v>
      </c>
      <c r="X2659" t="n">
        <v>606.060606060606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10825</v>
      </c>
      <c r="AG2659" t="n">
        <v>2132</v>
      </c>
      <c r="AH2659" t="inlineStr">
        <is>
          <t>PT. MENSA BINA SUKSES - PPN (JMB)</t>
        </is>
      </c>
      <c r="AI2659" t="n">
        <v>98</v>
      </c>
      <c r="AJ2659" t="inlineStr">
        <is>
          <t>MAYBELLINE</t>
        </is>
      </c>
      <c r="AK2659" t="n">
        <v>9</v>
      </c>
      <c r="AL2659" t="inlineStr">
        <is>
          <t>Miss Glam Jambi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"6902395970095"</f>
        <v/>
      </c>
      <c r="C2660" t="inlineStr">
        <is>
          <t>MAYBELLINE Superstay Up To 30H Lumi-Matte Foundation 123 35ml</t>
        </is>
      </c>
      <c r="D2660" t="inlineStr">
        <is>
          <t>Miss Glam Jambi</t>
        </is>
      </c>
      <c r="E2660" t="n">
        <v>0</v>
      </c>
      <c r="F2660" t="n">
        <v>0.02</v>
      </c>
      <c r="G2660" t="n">
        <v>1</v>
      </c>
      <c r="H2660" t="n">
        <v>4</v>
      </c>
      <c r="I2660" t="n">
        <v>15</v>
      </c>
      <c r="J2660" t="n">
        <v>3</v>
      </c>
      <c r="K2660" t="n">
        <v>0</v>
      </c>
      <c r="L2660" t="n">
        <v>105899</v>
      </c>
      <c r="M2660" t="n">
        <v>139000</v>
      </c>
      <c r="N2660" t="n">
        <v>33</v>
      </c>
      <c r="O2660" t="n">
        <v>0.33</v>
      </c>
      <c r="P2660" t="n">
        <v>0</v>
      </c>
      <c r="Q2660" t="n">
        <v>0.02</v>
      </c>
      <c r="R2660" t="n">
        <v>1</v>
      </c>
      <c r="S2660" t="n">
        <v>2780</v>
      </c>
      <c r="T2660" t="n">
        <v>15</v>
      </c>
      <c r="U2660" t="n">
        <v>16</v>
      </c>
      <c r="V2660" t="n">
        <v>30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n">
        <v>0</v>
      </c>
      <c r="AC2660" t="n">
        <v>0</v>
      </c>
      <c r="AD2660" t="n">
        <v>105899</v>
      </c>
      <c r="AE2660" t="n">
        <v>0</v>
      </c>
      <c r="AF2660" t="n">
        <v>10825</v>
      </c>
      <c r="AG2660" t="n">
        <v>2132</v>
      </c>
      <c r="AH2660" t="inlineStr">
        <is>
          <t>PT. MENSA BINA SUKSES - PPN (JMB)</t>
        </is>
      </c>
      <c r="AI2660" t="n">
        <v>98</v>
      </c>
      <c r="AJ2660" t="inlineStr">
        <is>
          <t>MAYBELLINE</t>
        </is>
      </c>
      <c r="AK2660" t="n">
        <v>9</v>
      </c>
      <c r="AL2660" t="inlineStr">
        <is>
          <t>Miss Glam Jambi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"203002176642"</f>
        <v/>
      </c>
      <c r="C2661" t="inlineStr">
        <is>
          <t>MAYBELLINE Superstay Vinyl Ink Limited Edition Sauce 185 Caramel 4.2 ml</t>
        </is>
      </c>
      <c r="D2661" t="inlineStr">
        <is>
          <t>Miss Glam Jambi</t>
        </is>
      </c>
      <c r="E2661" t="n">
        <v>3</v>
      </c>
      <c r="F2661" t="n">
        <v>0.02</v>
      </c>
      <c r="G2661" t="n">
        <v>1</v>
      </c>
      <c r="H2661" t="n">
        <v>4</v>
      </c>
      <c r="I2661" t="n">
        <v>15</v>
      </c>
      <c r="J2661" t="n">
        <v>3</v>
      </c>
      <c r="K2661" t="n">
        <v>0</v>
      </c>
      <c r="L2661" t="n">
        <v>103659</v>
      </c>
      <c r="M2661" t="n">
        <v>119000</v>
      </c>
      <c r="N2661" t="n">
        <v>33</v>
      </c>
      <c r="O2661" t="n">
        <v>0.33</v>
      </c>
      <c r="P2661" t="n">
        <v>0</v>
      </c>
      <c r="Q2661" t="n">
        <v>0.02</v>
      </c>
      <c r="R2661" t="n">
        <v>1</v>
      </c>
      <c r="S2661" t="n">
        <v>2380</v>
      </c>
      <c r="T2661" t="n">
        <v>15</v>
      </c>
      <c r="U2661" t="n">
        <v>16</v>
      </c>
      <c r="V2661" t="n">
        <v>30</v>
      </c>
      <c r="W2661" t="n">
        <v>1</v>
      </c>
      <c r="X2661" t="n">
        <v>150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10825</v>
      </c>
      <c r="AG2661" t="n">
        <v>2132</v>
      </c>
      <c r="AH2661" t="inlineStr">
        <is>
          <t>PT. MENSA BINA SUKSES - PPN (JMB)</t>
        </is>
      </c>
      <c r="AI2661" t="n">
        <v>98</v>
      </c>
      <c r="AJ2661" t="inlineStr">
        <is>
          <t>MAYBELLINE</t>
        </is>
      </c>
      <c r="AK2661" t="n">
        <v>9</v>
      </c>
      <c r="AL2661" t="inlineStr">
        <is>
          <t>Miss Glam Jambi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"203002176852"</f>
        <v/>
      </c>
      <c r="C2662" t="inlineStr">
        <is>
          <t>MAYBELLINE Superstay Vinyl Ink Limited Edition Sauce 200 Salsa 4.2 ml</t>
        </is>
      </c>
      <c r="D2662" t="inlineStr">
        <is>
          <t>Miss Glam Jambi</t>
        </is>
      </c>
      <c r="E2662" t="n">
        <v>1</v>
      </c>
      <c r="F2662" t="n">
        <v>0.006600000000000001</v>
      </c>
      <c r="G2662" t="n">
        <v>0.33</v>
      </c>
      <c r="H2662" t="n">
        <v>4</v>
      </c>
      <c r="I2662" t="n">
        <v>15</v>
      </c>
      <c r="J2662" t="n">
        <v>3</v>
      </c>
      <c r="K2662" t="n">
        <v>0</v>
      </c>
      <c r="L2662" t="n">
        <v>103659</v>
      </c>
      <c r="M2662" t="n">
        <v>119000</v>
      </c>
      <c r="N2662" t="n">
        <v>33</v>
      </c>
      <c r="O2662" t="n">
        <v>0.33</v>
      </c>
      <c r="P2662" t="n">
        <v>1</v>
      </c>
      <c r="Q2662" t="n">
        <v>0.05</v>
      </c>
      <c r="R2662" t="n">
        <v>2</v>
      </c>
      <c r="S2662" t="n">
        <v>785.4000000000001</v>
      </c>
      <c r="T2662" t="n">
        <v>5</v>
      </c>
      <c r="U2662" t="n">
        <v>6</v>
      </c>
      <c r="V2662" t="n">
        <v>30</v>
      </c>
      <c r="W2662" t="n">
        <v>1</v>
      </c>
      <c r="X2662" t="n">
        <v>151.5151515151515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10825</v>
      </c>
      <c r="AG2662" t="n">
        <v>2132</v>
      </c>
      <c r="AH2662" t="inlineStr">
        <is>
          <t>PT. MENSA BINA SUKSES - PPN (JMB)</t>
        </is>
      </c>
      <c r="AI2662" t="n">
        <v>98</v>
      </c>
      <c r="AJ2662" t="inlineStr">
        <is>
          <t>MAYBELLINE</t>
        </is>
      </c>
      <c r="AK2662" t="n">
        <v>9</v>
      </c>
      <c r="AL2662" t="inlineStr">
        <is>
          <t>Miss Glam Jambi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"6902395844914"</f>
        <v/>
      </c>
      <c r="C2663" t="inlineStr">
        <is>
          <t>MAYBELLINE Tatto Liner 48H Liquid pen</t>
        </is>
      </c>
      <c r="D2663" t="inlineStr">
        <is>
          <t>Miss Glam Jambi</t>
        </is>
      </c>
      <c r="E2663" t="n">
        <v>8</v>
      </c>
      <c r="F2663" t="n">
        <v>0.06270000000000001</v>
      </c>
      <c r="G2663" t="n">
        <v>0.66</v>
      </c>
      <c r="H2663" t="n">
        <v>4</v>
      </c>
      <c r="I2663" t="n">
        <v>15</v>
      </c>
      <c r="J2663" t="n">
        <v>3</v>
      </c>
      <c r="K2663" t="n">
        <v>0</v>
      </c>
      <c r="L2663" t="n">
        <v>67577</v>
      </c>
      <c r="M2663" t="n">
        <v>93500</v>
      </c>
      <c r="N2663" t="n">
        <v>33</v>
      </c>
      <c r="O2663" t="n">
        <v>0.33</v>
      </c>
      <c r="P2663" t="n">
        <v>1</v>
      </c>
      <c r="Q2663" t="n">
        <v>0.19</v>
      </c>
      <c r="R2663" t="n">
        <v>2</v>
      </c>
      <c r="S2663" t="n">
        <v>5862.450000000001</v>
      </c>
      <c r="T2663" t="n">
        <v>10</v>
      </c>
      <c r="U2663" t="n">
        <v>11</v>
      </c>
      <c r="V2663" t="n">
        <v>30</v>
      </c>
      <c r="W2663" t="n">
        <v>2</v>
      </c>
      <c r="X2663" t="n">
        <v>127.5917065390749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10825</v>
      </c>
      <c r="AG2663" t="n">
        <v>2132</v>
      </c>
      <c r="AH2663" t="inlineStr">
        <is>
          <t>PT. MENSA BINA SUKSES - PPN (JMB)</t>
        </is>
      </c>
      <c r="AI2663" t="n">
        <v>98</v>
      </c>
      <c r="AJ2663" t="inlineStr">
        <is>
          <t>MAYBELLINE</t>
        </is>
      </c>
      <c r="AK2663" t="n">
        <v>9</v>
      </c>
      <c r="AL2663" t="inlineStr">
        <is>
          <t>Miss Glam Jambi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"6902395743750"</f>
        <v/>
      </c>
      <c r="C2664" t="inlineStr">
        <is>
          <t>MAYBELLINE The Colossal Waterproof Mascara 9.2ml</t>
        </is>
      </c>
      <c r="D2664" t="inlineStr">
        <is>
          <t>Miss Glam Jambi</t>
        </is>
      </c>
      <c r="E2664" t="n">
        <v>32</v>
      </c>
      <c r="F2664" t="n">
        <v>0.2277</v>
      </c>
      <c r="G2664" t="n">
        <v>0.99</v>
      </c>
      <c r="H2664" t="n">
        <v>4</v>
      </c>
      <c r="I2664" t="n">
        <v>15</v>
      </c>
      <c r="J2664" t="n">
        <v>3</v>
      </c>
      <c r="K2664" t="n">
        <v>0</v>
      </c>
      <c r="L2664" t="n">
        <v>63086</v>
      </c>
      <c r="M2664" t="n">
        <v>94500</v>
      </c>
      <c r="N2664" t="n">
        <v>33</v>
      </c>
      <c r="O2664" t="n">
        <v>0.33</v>
      </c>
      <c r="P2664" t="n">
        <v>1</v>
      </c>
      <c r="Q2664" t="n">
        <v>0.37</v>
      </c>
      <c r="R2664" t="n">
        <v>3</v>
      </c>
      <c r="S2664" t="n">
        <v>21517.65</v>
      </c>
      <c r="T2664" t="n">
        <v>14</v>
      </c>
      <c r="U2664" t="n">
        <v>15</v>
      </c>
      <c r="V2664" t="n">
        <v>30</v>
      </c>
      <c r="W2664" t="n">
        <v>7</v>
      </c>
      <c r="X2664" t="n">
        <v>140.5357927097058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10825</v>
      </c>
      <c r="AG2664" t="n">
        <v>2132</v>
      </c>
      <c r="AH2664" t="inlineStr">
        <is>
          <t>PT. MENSA BINA SUKSES - PPN (JMB)</t>
        </is>
      </c>
      <c r="AI2664" t="n">
        <v>98</v>
      </c>
      <c r="AJ2664" t="inlineStr">
        <is>
          <t>MAYBELLINE</t>
        </is>
      </c>
      <c r="AK2664" t="n">
        <v>9</v>
      </c>
      <c r="AL2664" t="inlineStr">
        <is>
          <t>Miss Glam Jambi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"6902395781660"</f>
        <v/>
      </c>
      <c r="C2665" t="inlineStr">
        <is>
          <t>MAYBELLINE The Falsies Lash Lift 8.6ml</t>
        </is>
      </c>
      <c r="D2665" t="inlineStr">
        <is>
          <t>Miss Glam Jambi</t>
        </is>
      </c>
      <c r="E2665" t="n">
        <v>9</v>
      </c>
      <c r="F2665" t="n">
        <v>0.1023</v>
      </c>
      <c r="G2665" t="n">
        <v>0.66</v>
      </c>
      <c r="H2665" t="n">
        <v>4</v>
      </c>
      <c r="I2665" t="n">
        <v>15</v>
      </c>
      <c r="J2665" t="n">
        <v>3</v>
      </c>
      <c r="K2665" t="n">
        <v>0</v>
      </c>
      <c r="L2665" t="n">
        <v>125125</v>
      </c>
      <c r="M2665" t="n">
        <v>139900</v>
      </c>
      <c r="N2665" t="n">
        <v>33</v>
      </c>
      <c r="O2665" t="n">
        <v>0.33</v>
      </c>
      <c r="P2665" t="n">
        <v>1</v>
      </c>
      <c r="Q2665" t="n">
        <v>0.22</v>
      </c>
      <c r="R2665" t="n">
        <v>2</v>
      </c>
      <c r="S2665" t="n">
        <v>14311.77</v>
      </c>
      <c r="T2665" t="n">
        <v>10</v>
      </c>
      <c r="U2665" t="n">
        <v>11</v>
      </c>
      <c r="V2665" t="n">
        <v>30</v>
      </c>
      <c r="W2665" t="n">
        <v>4</v>
      </c>
      <c r="X2665" t="n">
        <v>87.97653958944281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10825</v>
      </c>
      <c r="AG2665" t="n">
        <v>2132</v>
      </c>
      <c r="AH2665" t="inlineStr">
        <is>
          <t>PT. MENSA BINA SUKSES - PPN (JMB)</t>
        </is>
      </c>
      <c r="AI2665" t="n">
        <v>98</v>
      </c>
      <c r="AJ2665" t="inlineStr">
        <is>
          <t>MAYBELLINE</t>
        </is>
      </c>
      <c r="AK2665" t="n">
        <v>9</v>
      </c>
      <c r="AL2665" t="inlineStr">
        <is>
          <t>Miss Glam Jambi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"6923492584206"</f>
        <v/>
      </c>
      <c r="C2666" t="inlineStr">
        <is>
          <t>MAYBELLINE Volum Express Hypercurl Waterproof Mascara Make Up Black 9.2ml New</t>
        </is>
      </c>
      <c r="D2666" t="inlineStr">
        <is>
          <t>Miss Glam Jambi</t>
        </is>
      </c>
      <c r="E2666" t="n">
        <v>28</v>
      </c>
      <c r="F2666" t="n">
        <v>0.5973000000000001</v>
      </c>
      <c r="G2666" t="n">
        <v>2.64</v>
      </c>
      <c r="H2666" t="n">
        <v>4</v>
      </c>
      <c r="I2666" t="n">
        <v>15</v>
      </c>
      <c r="J2666" t="n">
        <v>3</v>
      </c>
      <c r="K2666" t="n">
        <v>0</v>
      </c>
      <c r="L2666" t="n">
        <v>66821</v>
      </c>
      <c r="M2666" t="n">
        <v>89900</v>
      </c>
      <c r="N2666" t="n">
        <v>33</v>
      </c>
      <c r="O2666" t="n">
        <v>0.33</v>
      </c>
      <c r="P2666" t="n">
        <v>1</v>
      </c>
      <c r="Q2666" t="n">
        <v>0.66</v>
      </c>
      <c r="R2666" t="n">
        <v>4</v>
      </c>
      <c r="S2666" t="n">
        <v>53697.27</v>
      </c>
      <c r="T2666" t="n">
        <v>38</v>
      </c>
      <c r="U2666" t="n">
        <v>41</v>
      </c>
      <c r="V2666" t="n">
        <v>30</v>
      </c>
      <c r="W2666" t="n">
        <v>18</v>
      </c>
      <c r="X2666" t="n">
        <v>46.87761593838942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10825</v>
      </c>
      <c r="AG2666" t="n">
        <v>2132</v>
      </c>
      <c r="AH2666" t="inlineStr">
        <is>
          <t>PT. MENSA BINA SUKSES - PPN (JMB)</t>
        </is>
      </c>
      <c r="AI2666" t="n">
        <v>98</v>
      </c>
      <c r="AJ2666" t="inlineStr">
        <is>
          <t>MAYBELLINE</t>
        </is>
      </c>
      <c r="AK2666" t="n">
        <v>9</v>
      </c>
      <c r="AL2666" t="inlineStr">
        <is>
          <t>Miss Glam Jambi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MBK</t>
        </is>
      </c>
      <c r="B2667" s="2">
        <f>"8991977659815"</f>
        <v/>
      </c>
      <c r="C2667" t="inlineStr">
        <is>
          <t>MBK Deodorant Black 40ml</t>
        </is>
      </c>
      <c r="D2667" t="inlineStr">
        <is>
          <t>Miss Glam Jambi</t>
        </is>
      </c>
      <c r="E2667" t="n">
        <v>24</v>
      </c>
      <c r="F2667" t="n">
        <v>0.1848</v>
      </c>
      <c r="G2667" t="n">
        <v>0.99</v>
      </c>
      <c r="H2667" t="n">
        <v>4</v>
      </c>
      <c r="I2667" t="n">
        <v>20</v>
      </c>
      <c r="J2667" t="n">
        <v>3</v>
      </c>
      <c r="K2667" t="n">
        <v>0</v>
      </c>
      <c r="L2667" t="n">
        <v>11288</v>
      </c>
      <c r="M2667" t="n">
        <v>15000</v>
      </c>
      <c r="N2667" t="n">
        <v>33</v>
      </c>
      <c r="O2667" t="n">
        <v>0.33</v>
      </c>
      <c r="P2667" t="n">
        <v>1</v>
      </c>
      <c r="Q2667" t="n">
        <v>0.36</v>
      </c>
      <c r="R2667" t="n">
        <v>3</v>
      </c>
      <c r="S2667" t="n">
        <v>2772</v>
      </c>
      <c r="T2667" t="n">
        <v>20</v>
      </c>
      <c r="U2667" t="n">
        <v>21</v>
      </c>
      <c r="V2667" t="n">
        <v>30</v>
      </c>
      <c r="W2667" t="n">
        <v>6</v>
      </c>
      <c r="X2667" t="n">
        <v>129.8701298701299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6611</v>
      </c>
      <c r="AG2667" t="n">
        <v>1</v>
      </c>
      <c r="AH2667" t="inlineStr">
        <is>
          <t>PT. BERSAMA DISTRIVERSA INDONESIA (DC CIPUTAT)</t>
        </is>
      </c>
      <c r="AI2667" t="n">
        <v>384</v>
      </c>
      <c r="AJ2667" t="inlineStr">
        <is>
          <t>MBK</t>
        </is>
      </c>
      <c r="AK2667" t="n">
        <v>9</v>
      </c>
      <c r="AL2667" t="inlineStr">
        <is>
          <t>Miss Glam Jambi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MBK</t>
        </is>
      </c>
      <c r="B2668" s="2">
        <f>"8991977659808"</f>
        <v/>
      </c>
      <c r="C2668" t="inlineStr">
        <is>
          <t>MBK Deodorant Blue 40ml</t>
        </is>
      </c>
      <c r="D2668" t="inlineStr">
        <is>
          <t>Miss Glam Jambi</t>
        </is>
      </c>
      <c r="E2668" t="n">
        <v>25</v>
      </c>
      <c r="F2668" t="n">
        <v>0.4455000000000001</v>
      </c>
      <c r="G2668" t="n">
        <v>1.98</v>
      </c>
      <c r="H2668" t="n">
        <v>4</v>
      </c>
      <c r="I2668" t="n">
        <v>20</v>
      </c>
      <c r="J2668" t="n">
        <v>3</v>
      </c>
      <c r="K2668" t="n">
        <v>0</v>
      </c>
      <c r="L2668" t="n">
        <v>11301</v>
      </c>
      <c r="M2668" t="n">
        <v>15000</v>
      </c>
      <c r="N2668" t="n">
        <v>33</v>
      </c>
      <c r="O2668" t="n">
        <v>0.33</v>
      </c>
      <c r="P2668" t="n">
        <v>1</v>
      </c>
      <c r="Q2668" t="n">
        <v>0.32</v>
      </c>
      <c r="R2668" t="n">
        <v>3</v>
      </c>
      <c r="S2668" t="n">
        <v>6682.500000000001</v>
      </c>
      <c r="T2668" t="n">
        <v>38</v>
      </c>
      <c r="U2668" t="n">
        <v>40</v>
      </c>
      <c r="V2668" t="n">
        <v>30</v>
      </c>
      <c r="W2668" t="n">
        <v>14</v>
      </c>
      <c r="X2668" t="n">
        <v>56.11672278338944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6611</v>
      </c>
      <c r="AG2668" t="n">
        <v>1</v>
      </c>
      <c r="AH2668" t="inlineStr">
        <is>
          <t>PT. BERSAMA DISTRIVERSA INDONESIA (DC CIPUTAT)</t>
        </is>
      </c>
      <c r="AI2668" t="n">
        <v>384</v>
      </c>
      <c r="AJ2668" t="inlineStr">
        <is>
          <t>MBK</t>
        </is>
      </c>
      <c r="AK2668" t="n">
        <v>9</v>
      </c>
      <c r="AL2668" t="inlineStr">
        <is>
          <t>Miss Glam Jambi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MBK</t>
        </is>
      </c>
      <c r="B2669" s="2">
        <f>"8991977659785"</f>
        <v/>
      </c>
      <c r="C2669" t="inlineStr">
        <is>
          <t>MBK Deodorant Roll On Pink 40ml</t>
        </is>
      </c>
      <c r="D2669" t="inlineStr">
        <is>
          <t>Miss Glam Jambi</t>
        </is>
      </c>
      <c r="E2669" t="n">
        <v>41</v>
      </c>
      <c r="F2669" t="n">
        <v>1.2012</v>
      </c>
      <c r="G2669" t="n">
        <v>4.62</v>
      </c>
      <c r="H2669" t="n">
        <v>4</v>
      </c>
      <c r="I2669" t="n">
        <v>20</v>
      </c>
      <c r="J2669" t="n">
        <v>3</v>
      </c>
      <c r="K2669" t="n">
        <v>0</v>
      </c>
      <c r="L2669" t="n">
        <v>10970</v>
      </c>
      <c r="M2669" t="n">
        <v>18500</v>
      </c>
      <c r="N2669" t="n">
        <v>33</v>
      </c>
      <c r="O2669" t="n">
        <v>0.33</v>
      </c>
      <c r="P2669" t="n">
        <v>1</v>
      </c>
      <c r="Q2669" t="n">
        <v>1.27</v>
      </c>
      <c r="R2669" t="n">
        <v>6</v>
      </c>
      <c r="S2669" t="n">
        <v>22222.2</v>
      </c>
      <c r="T2669" t="n">
        <v>88</v>
      </c>
      <c r="U2669" t="n">
        <v>93</v>
      </c>
      <c r="V2669" t="n">
        <v>30</v>
      </c>
      <c r="W2669" t="n">
        <v>37</v>
      </c>
      <c r="X2669" t="n">
        <v>34.13253413253413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6611</v>
      </c>
      <c r="AG2669" t="n">
        <v>1</v>
      </c>
      <c r="AH2669" t="inlineStr">
        <is>
          <t>PT. BERSAMA DISTRIVERSA INDONESIA (DC CIPUTAT)</t>
        </is>
      </c>
      <c r="AI2669" t="n">
        <v>384</v>
      </c>
      <c r="AJ2669" t="inlineStr">
        <is>
          <t>MBK</t>
        </is>
      </c>
      <c r="AK2669" t="n">
        <v>9</v>
      </c>
      <c r="AL2669" t="inlineStr">
        <is>
          <t>Miss Glam Jambi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MBK</t>
        </is>
      </c>
      <c r="B2670" s="2">
        <f>"8991977659792"</f>
        <v/>
      </c>
      <c r="C2670" t="inlineStr">
        <is>
          <t>MBK Deodorant Roll On Ungu 40ml</t>
        </is>
      </c>
      <c r="D2670" t="inlineStr">
        <is>
          <t>Miss Glam Jambi</t>
        </is>
      </c>
      <c r="E2670" t="n">
        <v>3</v>
      </c>
      <c r="F2670" t="n">
        <v>0.9504</v>
      </c>
      <c r="G2670" t="n">
        <v>3.63</v>
      </c>
      <c r="H2670" t="n">
        <v>4</v>
      </c>
      <c r="I2670" t="n">
        <v>20</v>
      </c>
      <c r="J2670" t="n">
        <v>3</v>
      </c>
      <c r="K2670" t="n">
        <v>27</v>
      </c>
      <c r="L2670" t="n">
        <v>10970</v>
      </c>
      <c r="M2670" t="n">
        <v>18500</v>
      </c>
      <c r="N2670" t="n">
        <v>33</v>
      </c>
      <c r="O2670" t="n">
        <v>0.33</v>
      </c>
      <c r="P2670" t="n">
        <v>1</v>
      </c>
      <c r="Q2670" t="n">
        <v>0.6899999999999999</v>
      </c>
      <c r="R2670" t="n">
        <v>4</v>
      </c>
      <c r="S2670" t="n">
        <v>17582.4</v>
      </c>
      <c r="T2670" t="n">
        <v>69</v>
      </c>
      <c r="U2670" t="n">
        <v>73</v>
      </c>
      <c r="V2670" t="n">
        <v>30</v>
      </c>
      <c r="W2670" t="n">
        <v>29</v>
      </c>
      <c r="X2670" t="n">
        <v>3.156565656565657</v>
      </c>
      <c r="Y2670" t="n">
        <v>1</v>
      </c>
      <c r="Z2670" t="n">
        <v>0</v>
      </c>
      <c r="AA2670" t="n">
        <v>16</v>
      </c>
      <c r="AB2670" t="n">
        <v>0</v>
      </c>
      <c r="AC2670" t="n">
        <v>0</v>
      </c>
      <c r="AD2670" t="n">
        <v>175520</v>
      </c>
      <c r="AE2670" t="n">
        <v>0</v>
      </c>
      <c r="AF2670" t="n">
        <v>6611</v>
      </c>
      <c r="AG2670" t="n">
        <v>1</v>
      </c>
      <c r="AH2670" t="inlineStr">
        <is>
          <t>PT. BERSAMA DISTRIVERSA INDONESIA (DC CIPUTAT)</t>
        </is>
      </c>
      <c r="AI2670" t="n">
        <v>384</v>
      </c>
      <c r="AJ2670" t="inlineStr">
        <is>
          <t>MBK</t>
        </is>
      </c>
      <c r="AK2670" t="n">
        <v>9</v>
      </c>
      <c r="AL2670" t="inlineStr">
        <is>
          <t>Miss Glam Jambi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MEDIHEAL</t>
        </is>
      </c>
      <c r="B2671" s="2">
        <f>"8809261557092"</f>
        <v/>
      </c>
      <c r="C2671" t="inlineStr">
        <is>
          <t>MEDIHEAL Aloe Vera  Hydrogel 92% 300ml</t>
        </is>
      </c>
      <c r="D2671" t="inlineStr">
        <is>
          <t>Miss Glam Jambi</t>
        </is>
      </c>
      <c r="E2671" t="n">
        <v>5</v>
      </c>
      <c r="F2671" t="n">
        <v>0.1023</v>
      </c>
      <c r="G2671" t="n">
        <v>0.99</v>
      </c>
      <c r="H2671" t="n">
        <v>7</v>
      </c>
      <c r="I2671" t="n">
        <v>19</v>
      </c>
      <c r="J2671" t="n">
        <v>3</v>
      </c>
      <c r="K2671" t="n">
        <v>0</v>
      </c>
      <c r="L2671" t="n">
        <v>53720</v>
      </c>
      <c r="M2671" t="n">
        <v>79000</v>
      </c>
      <c r="N2671" t="n">
        <v>33</v>
      </c>
      <c r="O2671" t="n">
        <v>0.33</v>
      </c>
      <c r="P2671" t="n">
        <v>1</v>
      </c>
      <c r="Q2671" t="n">
        <v>0.05</v>
      </c>
      <c r="R2671" t="n">
        <v>1</v>
      </c>
      <c r="S2671" t="n">
        <v>8081.7</v>
      </c>
      <c r="T2671" t="n">
        <v>19</v>
      </c>
      <c r="U2671" t="n">
        <v>20</v>
      </c>
      <c r="V2671" t="n">
        <v>30</v>
      </c>
      <c r="W2671" t="n">
        <v>4</v>
      </c>
      <c r="X2671" t="n">
        <v>48.87585532746823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11298</v>
      </c>
      <c r="AG2671" t="n">
        <v>2173</v>
      </c>
      <c r="AH2671" t="inlineStr">
        <is>
          <t>PT. OGAN SAKTI PRATAMA - PPN (JMB)</t>
        </is>
      </c>
      <c r="AI2671" t="n">
        <v>375</v>
      </c>
      <c r="AJ2671" t="inlineStr">
        <is>
          <t>MEDIHEAL</t>
        </is>
      </c>
      <c r="AK2671" t="n">
        <v>9</v>
      </c>
      <c r="AL2671" t="inlineStr">
        <is>
          <t>Miss Glam Jambi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MEDIHEAL</t>
        </is>
      </c>
      <c r="B2672" s="2">
        <f>"8809335481063"</f>
        <v/>
      </c>
      <c r="C2672" t="inlineStr">
        <is>
          <t>MEDIHEAL Labocare Pantenolips Healessence 10ml</t>
        </is>
      </c>
      <c r="D2672" t="inlineStr">
        <is>
          <t>Miss Glam Jambi</t>
        </is>
      </c>
      <c r="E2672" t="n">
        <v>3</v>
      </c>
      <c r="F2672" t="n">
        <v>0.1221</v>
      </c>
      <c r="G2672" t="n">
        <v>0.66</v>
      </c>
      <c r="H2672" t="n">
        <v>7</v>
      </c>
      <c r="I2672" t="n">
        <v>19</v>
      </c>
      <c r="J2672" t="n">
        <v>3</v>
      </c>
      <c r="K2672" t="n">
        <v>3</v>
      </c>
      <c r="L2672" t="n">
        <v>43920</v>
      </c>
      <c r="M2672" t="n">
        <v>55000</v>
      </c>
      <c r="N2672" t="n">
        <v>33</v>
      </c>
      <c r="O2672" t="n">
        <v>0.33</v>
      </c>
      <c r="P2672" t="n">
        <v>1</v>
      </c>
      <c r="Q2672" t="n">
        <v>0.05</v>
      </c>
      <c r="R2672" t="n">
        <v>2</v>
      </c>
      <c r="S2672" t="n">
        <v>6715.5</v>
      </c>
      <c r="T2672" t="n">
        <v>12</v>
      </c>
      <c r="U2672" t="n">
        <v>13</v>
      </c>
      <c r="V2672" t="n">
        <v>30</v>
      </c>
      <c r="W2672" t="n">
        <v>4</v>
      </c>
      <c r="X2672" t="n">
        <v>24.57002457002457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11298</v>
      </c>
      <c r="AG2672" t="n">
        <v>2173</v>
      </c>
      <c r="AH2672" t="inlineStr">
        <is>
          <t>PT. OGAN SAKTI PRATAMA - PPN (JMB)</t>
        </is>
      </c>
      <c r="AI2672" t="n">
        <v>375</v>
      </c>
      <c r="AJ2672" t="inlineStr">
        <is>
          <t>MEDIHEAL</t>
        </is>
      </c>
      <c r="AK2672" t="n">
        <v>9</v>
      </c>
      <c r="AL2672" t="inlineStr">
        <is>
          <t>Miss Glam Jambi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MEDIHEAL</t>
        </is>
      </c>
      <c r="B2673" s="2">
        <f>"10700325223"</f>
        <v/>
      </c>
      <c r="C2673" t="inlineStr">
        <is>
          <t>MEDIHEAL Labore Pantenolips Healssence Coral 10ml</t>
        </is>
      </c>
      <c r="D2673" t="inlineStr">
        <is>
          <t>Miss Glam Jambi</t>
        </is>
      </c>
      <c r="E2673" t="n">
        <v>0</v>
      </c>
      <c r="F2673" t="n">
        <v>0.17</v>
      </c>
      <c r="G2673" t="n">
        <v>2</v>
      </c>
      <c r="H2673" t="n">
        <v>7</v>
      </c>
      <c r="I2673" t="n">
        <v>19</v>
      </c>
      <c r="J2673" t="n">
        <v>3</v>
      </c>
      <c r="K2673" t="n">
        <v>3</v>
      </c>
      <c r="L2673" t="n">
        <v>40381</v>
      </c>
      <c r="M2673" t="n">
        <v>55000</v>
      </c>
      <c r="N2673" t="n">
        <v>33</v>
      </c>
      <c r="O2673" t="n">
        <v>0.33</v>
      </c>
      <c r="P2673" t="n">
        <v>0</v>
      </c>
      <c r="Q2673" t="n">
        <v>0.17</v>
      </c>
      <c r="R2673" t="n">
        <v>2</v>
      </c>
      <c r="S2673" t="n">
        <v>9350</v>
      </c>
      <c r="T2673" t="n">
        <v>37</v>
      </c>
      <c r="U2673" t="n">
        <v>39</v>
      </c>
      <c r="V2673" t="n">
        <v>30</v>
      </c>
      <c r="W2673" t="n">
        <v>6</v>
      </c>
      <c r="X2673" t="n">
        <v>0</v>
      </c>
      <c r="Y2673" t="n">
        <v>1</v>
      </c>
      <c r="Z2673" t="n">
        <v>3</v>
      </c>
      <c r="AA2673" t="n">
        <v>3</v>
      </c>
      <c r="AB2673" t="n">
        <v>0</v>
      </c>
      <c r="AC2673" t="n">
        <v>0</v>
      </c>
      <c r="AD2673" t="n">
        <v>121143</v>
      </c>
      <c r="AE2673" t="n">
        <v>0</v>
      </c>
      <c r="AF2673" t="n">
        <v>11298</v>
      </c>
      <c r="AG2673" t="n">
        <v>2173</v>
      </c>
      <c r="AH2673" t="inlineStr">
        <is>
          <t>PT. OGAN SAKTI PRATAMA - PPN (JMB)</t>
        </is>
      </c>
      <c r="AI2673" t="n">
        <v>375</v>
      </c>
      <c r="AJ2673" t="inlineStr">
        <is>
          <t>MEDIHEAL</t>
        </is>
      </c>
      <c r="AK2673" t="n">
        <v>9</v>
      </c>
      <c r="AL2673" t="inlineStr">
        <is>
          <t>Miss Glam Jambi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METOO</t>
        </is>
      </c>
      <c r="B2674" s="2">
        <f>"8992220650177"</f>
        <v/>
      </c>
      <c r="C2674" t="inlineStr">
        <is>
          <t>METOO Lemon Whitening Mouthwash 100ml</t>
        </is>
      </c>
      <c r="D2674" t="inlineStr">
        <is>
          <t>Miss Glam Jambi</t>
        </is>
      </c>
      <c r="E2674" t="n">
        <v>1</v>
      </c>
      <c r="F2674" t="n">
        <v>0.009900000000000001</v>
      </c>
      <c r="G2674" t="n">
        <v>0.33</v>
      </c>
      <c r="H2674" t="n">
        <v>4</v>
      </c>
      <c r="I2674" t="n">
        <v>20</v>
      </c>
      <c r="J2674" t="n">
        <v>3</v>
      </c>
      <c r="K2674" t="n">
        <v>0</v>
      </c>
      <c r="L2674" t="n">
        <v>13676</v>
      </c>
      <c r="M2674" t="n">
        <v>17000</v>
      </c>
      <c r="N2674" t="n">
        <v>33</v>
      </c>
      <c r="O2674" t="n">
        <v>0.33</v>
      </c>
      <c r="P2674" t="n">
        <v>1</v>
      </c>
      <c r="Q2674" t="n">
        <v>0.08</v>
      </c>
      <c r="R2674" t="n">
        <v>1</v>
      </c>
      <c r="S2674" t="n">
        <v>168.3</v>
      </c>
      <c r="T2674" t="n">
        <v>7</v>
      </c>
      <c r="U2674" t="n">
        <v>8</v>
      </c>
      <c r="V2674" t="n">
        <v>30</v>
      </c>
      <c r="W2674" t="n">
        <v>1</v>
      </c>
      <c r="X2674" t="n">
        <v>101.010101010101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6644</v>
      </c>
      <c r="AG2674" t="n">
        <v>1</v>
      </c>
      <c r="AH2674" t="inlineStr">
        <is>
          <t>PT. BERSAMA DISTRIVERSA INDONESIA (DC CIPUTAT)</t>
        </is>
      </c>
      <c r="AI2674" t="n">
        <v>1376</v>
      </c>
      <c r="AJ2674" t="inlineStr">
        <is>
          <t>METOO</t>
        </is>
      </c>
      <c r="AK2674" t="n">
        <v>9</v>
      </c>
      <c r="AL2674" t="inlineStr">
        <is>
          <t>Miss Glam Jambi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METOO</t>
        </is>
      </c>
      <c r="B2675" s="2">
        <f>"8992220650122"</f>
        <v/>
      </c>
      <c r="C2675" t="inlineStr">
        <is>
          <t>METOO Lemon Whitening Mouthwash 250ml</t>
        </is>
      </c>
      <c r="D2675" t="inlineStr">
        <is>
          <t>Miss Glam Jambi</t>
        </is>
      </c>
      <c r="E2675" t="n">
        <v>9</v>
      </c>
      <c r="F2675" t="n">
        <v>0.0396</v>
      </c>
      <c r="G2675" t="n">
        <v>0.33</v>
      </c>
      <c r="H2675" t="n">
        <v>4</v>
      </c>
      <c r="I2675" t="n">
        <v>20</v>
      </c>
      <c r="J2675" t="n">
        <v>3</v>
      </c>
      <c r="K2675" t="n">
        <v>0</v>
      </c>
      <c r="L2675" t="n">
        <v>26672</v>
      </c>
      <c r="M2675" t="n">
        <v>31000</v>
      </c>
      <c r="N2675" t="n">
        <v>33</v>
      </c>
      <c r="O2675" t="n">
        <v>0.33</v>
      </c>
      <c r="P2675" t="n">
        <v>1</v>
      </c>
      <c r="Q2675" t="n">
        <v>0.08</v>
      </c>
      <c r="R2675" t="n">
        <v>1</v>
      </c>
      <c r="S2675" t="n">
        <v>1227.6</v>
      </c>
      <c r="T2675" t="n">
        <v>7</v>
      </c>
      <c r="U2675" t="n">
        <v>8</v>
      </c>
      <c r="V2675" t="n">
        <v>30</v>
      </c>
      <c r="W2675" t="n">
        <v>2</v>
      </c>
      <c r="X2675" t="n">
        <v>227.2727272727273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6644</v>
      </c>
      <c r="AG2675" t="n">
        <v>1</v>
      </c>
      <c r="AH2675" t="inlineStr">
        <is>
          <t>PT. BERSAMA DISTRIVERSA INDONESIA (DC CIPUTAT)</t>
        </is>
      </c>
      <c r="AI2675" t="n">
        <v>1376</v>
      </c>
      <c r="AJ2675" t="inlineStr">
        <is>
          <t>METOO</t>
        </is>
      </c>
      <c r="AK2675" t="n">
        <v>9</v>
      </c>
      <c r="AL2675" t="inlineStr">
        <is>
          <t>Miss Glam Jambi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METOO</t>
        </is>
      </c>
      <c r="B2676" s="2">
        <f>"6974241283208"</f>
        <v/>
      </c>
      <c r="C2676" t="inlineStr">
        <is>
          <t>METOO Mouth Wash Probiotic Cool Mint Plus 250ml</t>
        </is>
      </c>
      <c r="D2676" t="inlineStr">
        <is>
          <t>Miss Glam Jambi</t>
        </is>
      </c>
      <c r="E2676" t="n">
        <v>1</v>
      </c>
      <c r="F2676" t="n">
        <v>0.12</v>
      </c>
      <c r="G2676" t="n">
        <v>1</v>
      </c>
      <c r="H2676" t="n">
        <v>4</v>
      </c>
      <c r="I2676" t="n">
        <v>20</v>
      </c>
      <c r="J2676" t="n">
        <v>3</v>
      </c>
      <c r="K2676" t="n">
        <v>3</v>
      </c>
      <c r="L2676" t="n">
        <v>26492</v>
      </c>
      <c r="M2676" t="n">
        <v>35000</v>
      </c>
      <c r="N2676" t="n">
        <v>33</v>
      </c>
      <c r="O2676" t="n">
        <v>0.33</v>
      </c>
      <c r="P2676" t="n">
        <v>0</v>
      </c>
      <c r="Q2676" t="n">
        <v>0.12</v>
      </c>
      <c r="R2676" t="n">
        <v>1</v>
      </c>
      <c r="S2676" t="n">
        <v>4200</v>
      </c>
      <c r="T2676" t="n">
        <v>20</v>
      </c>
      <c r="U2676" t="n">
        <v>21</v>
      </c>
      <c r="V2676" t="n">
        <v>30</v>
      </c>
      <c r="W2676" t="n">
        <v>4</v>
      </c>
      <c r="X2676" t="n">
        <v>8.333333333333334</v>
      </c>
      <c r="Y2676" t="n">
        <v>1</v>
      </c>
      <c r="Z2676" t="n">
        <v>0</v>
      </c>
      <c r="AA2676" t="n">
        <v>1</v>
      </c>
      <c r="AB2676" t="n">
        <v>0</v>
      </c>
      <c r="AC2676" t="n">
        <v>0</v>
      </c>
      <c r="AD2676" t="n">
        <v>26492</v>
      </c>
      <c r="AE2676" t="n">
        <v>0</v>
      </c>
      <c r="AF2676" t="n">
        <v>6644</v>
      </c>
      <c r="AG2676" t="n">
        <v>1</v>
      </c>
      <c r="AH2676" t="inlineStr">
        <is>
          <t>PT. BERSAMA DISTRIVERSA INDONESIA (DC CIPUTAT)</t>
        </is>
      </c>
      <c r="AI2676" t="n">
        <v>1376</v>
      </c>
      <c r="AJ2676" t="inlineStr">
        <is>
          <t>METOO</t>
        </is>
      </c>
      <c r="AK2676" t="n">
        <v>9</v>
      </c>
      <c r="AL2676" t="inlineStr">
        <is>
          <t>Miss Glam Jambi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METOO</t>
        </is>
      </c>
      <c r="B2677" s="2">
        <f>"8992220650030"</f>
        <v/>
      </c>
      <c r="C2677" t="inlineStr">
        <is>
          <t>METOO Mouth Wash Probiotik Fresh Mint Plus 100ml</t>
        </is>
      </c>
      <c r="D2677" t="inlineStr">
        <is>
          <t>Miss Glam Jambi</t>
        </is>
      </c>
      <c r="E2677" t="n">
        <v>0</v>
      </c>
      <c r="F2677" t="n">
        <v>0.15</v>
      </c>
      <c r="G2677" t="n">
        <v>2</v>
      </c>
      <c r="H2677" t="n">
        <v>4</v>
      </c>
      <c r="I2677" t="n">
        <v>20</v>
      </c>
      <c r="J2677" t="n">
        <v>3</v>
      </c>
      <c r="K2677" t="n">
        <v>3</v>
      </c>
      <c r="L2677" t="n">
        <v>13865</v>
      </c>
      <c r="M2677" t="n">
        <v>17200</v>
      </c>
      <c r="N2677" t="n">
        <v>33</v>
      </c>
      <c r="O2677" t="n">
        <v>0.33</v>
      </c>
      <c r="P2677" t="n">
        <v>0</v>
      </c>
      <c r="Q2677" t="n">
        <v>0.15</v>
      </c>
      <c r="R2677" t="n">
        <v>2</v>
      </c>
      <c r="S2677" t="n">
        <v>2580</v>
      </c>
      <c r="T2677" t="n">
        <v>40</v>
      </c>
      <c r="U2677" t="n">
        <v>41</v>
      </c>
      <c r="V2677" t="n">
        <v>30</v>
      </c>
      <c r="W2677" t="n">
        <v>5</v>
      </c>
      <c r="X2677" t="n">
        <v>0</v>
      </c>
      <c r="Y2677" t="n">
        <v>1</v>
      </c>
      <c r="Z2677" t="n">
        <v>2</v>
      </c>
      <c r="AA2677" t="n">
        <v>3</v>
      </c>
      <c r="AB2677" t="n">
        <v>0</v>
      </c>
      <c r="AC2677" t="n">
        <v>0</v>
      </c>
      <c r="AD2677" t="n">
        <v>41595</v>
      </c>
      <c r="AE2677" t="n">
        <v>0</v>
      </c>
      <c r="AF2677" t="n">
        <v>6644</v>
      </c>
      <c r="AG2677" t="n">
        <v>1</v>
      </c>
      <c r="AH2677" t="inlineStr">
        <is>
          <t>PT. BERSAMA DISTRIVERSA INDONESIA (DC CIPUTAT)</t>
        </is>
      </c>
      <c r="AI2677" t="n">
        <v>1376</v>
      </c>
      <c r="AJ2677" t="inlineStr">
        <is>
          <t>METOO</t>
        </is>
      </c>
      <c r="AK2677" t="n">
        <v>9</v>
      </c>
      <c r="AL2677" t="inlineStr">
        <is>
          <t>Miss Glam Jambi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METOO</t>
        </is>
      </c>
      <c r="B2678" s="2">
        <f>"6922655754395"</f>
        <v/>
      </c>
      <c r="C2678" t="inlineStr">
        <is>
          <t>METOO Probiotic Pearl Whitening Tooth Powder 50gr</t>
        </is>
      </c>
      <c r="D2678" t="inlineStr">
        <is>
          <t>Miss Glam Jambi</t>
        </is>
      </c>
      <c r="E2678" t="n">
        <v>2</v>
      </c>
      <c r="F2678" t="n">
        <v>0.02</v>
      </c>
      <c r="G2678" t="n">
        <v>1</v>
      </c>
      <c r="H2678" t="n">
        <v>4</v>
      </c>
      <c r="I2678" t="n">
        <v>20</v>
      </c>
      <c r="J2678" t="n">
        <v>3</v>
      </c>
      <c r="K2678" t="n">
        <v>0</v>
      </c>
      <c r="L2678" t="n">
        <v>45069</v>
      </c>
      <c r="M2678" t="n">
        <v>55000</v>
      </c>
      <c r="N2678" t="n">
        <v>33</v>
      </c>
      <c r="O2678" t="n">
        <v>0.33</v>
      </c>
      <c r="P2678" t="n">
        <v>0</v>
      </c>
      <c r="Q2678" t="n">
        <v>0.02</v>
      </c>
      <c r="R2678" t="n">
        <v>1</v>
      </c>
      <c r="S2678" t="n">
        <v>1100</v>
      </c>
      <c r="T2678" t="n">
        <v>20</v>
      </c>
      <c r="U2678" t="n">
        <v>21</v>
      </c>
      <c r="V2678" t="n">
        <v>30</v>
      </c>
      <c r="W2678" t="n">
        <v>1</v>
      </c>
      <c r="X2678" t="n">
        <v>100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6644</v>
      </c>
      <c r="AG2678" t="n">
        <v>1</v>
      </c>
      <c r="AH2678" t="inlineStr">
        <is>
          <t>PT. BERSAMA DISTRIVERSA INDONESIA (DC CIPUTAT)</t>
        </is>
      </c>
      <c r="AI2678" t="n">
        <v>1376</v>
      </c>
      <c r="AJ2678" t="inlineStr">
        <is>
          <t>METOO</t>
        </is>
      </c>
      <c r="AK2678" t="n">
        <v>9</v>
      </c>
      <c r="AL2678" t="inlineStr">
        <is>
          <t>Miss Glam Jambi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MIMI WHITE</t>
        </is>
      </c>
      <c r="B2679" s="2">
        <f>"8993926880226"</f>
        <v/>
      </c>
      <c r="C2679" t="inlineStr">
        <is>
          <t>MIMI WHITE Aha White Body Serum 100ml</t>
        </is>
      </c>
      <c r="D2679" t="inlineStr">
        <is>
          <t>Miss Glam Jambi</t>
        </is>
      </c>
      <c r="E2679" t="n">
        <v>0</v>
      </c>
      <c r="F2679" t="n">
        <v>0.02</v>
      </c>
      <c r="G2679" t="n">
        <v>0</v>
      </c>
      <c r="H2679" t="n">
        <v>4</v>
      </c>
      <c r="I2679" t="n">
        <v>20</v>
      </c>
      <c r="J2679" t="n">
        <v>3</v>
      </c>
      <c r="K2679" t="n">
        <v>0</v>
      </c>
      <c r="L2679" t="n">
        <v>43219</v>
      </c>
      <c r="M2679" t="n">
        <v>56000</v>
      </c>
      <c r="N2679" t="n">
        <v>33</v>
      </c>
      <c r="O2679" t="n">
        <v>0.33</v>
      </c>
      <c r="P2679" t="n">
        <v>0</v>
      </c>
      <c r="Q2679" t="n">
        <v>0.02</v>
      </c>
      <c r="R2679" t="n">
        <v>0</v>
      </c>
      <c r="S2679" t="n">
        <v>1120</v>
      </c>
      <c r="T2679" t="n">
        <v>0</v>
      </c>
      <c r="U2679" t="n">
        <v>1</v>
      </c>
      <c r="V2679" t="n">
        <v>30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n">
        <v>0</v>
      </c>
      <c r="AC2679" t="n">
        <v>0</v>
      </c>
      <c r="AD2679" t="n">
        <v>43219</v>
      </c>
      <c r="AE2679" t="n">
        <v>0</v>
      </c>
      <c r="AF2679" t="n">
        <v>6677</v>
      </c>
      <c r="AG2679" t="n">
        <v>1</v>
      </c>
      <c r="AH2679" t="inlineStr">
        <is>
          <t>PT. BERSAMA DISTRIVERSA INDONESIA (DC CIPUTAT)</t>
        </is>
      </c>
      <c r="AI2679" t="n">
        <v>882</v>
      </c>
      <c r="AJ2679" t="inlineStr">
        <is>
          <t>MIMI WHITE</t>
        </is>
      </c>
      <c r="AK2679" t="n">
        <v>9</v>
      </c>
      <c r="AL2679" t="inlineStr">
        <is>
          <t>Miss Glam Jambi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MIMI WHITE</t>
        </is>
      </c>
      <c r="B2680" s="2">
        <f>"30200403653"</f>
        <v/>
      </c>
      <c r="C2680" t="inlineStr">
        <is>
          <t>MIMI WHITE Aha White Body Serum Intensive aha 30ml</t>
        </is>
      </c>
      <c r="D2680" t="inlineStr">
        <is>
          <t>Miss Glam Jambi</t>
        </is>
      </c>
      <c r="E2680" t="n">
        <v>0</v>
      </c>
      <c r="F2680" t="n">
        <v>0.0594</v>
      </c>
      <c r="G2680" t="n">
        <v>0.66</v>
      </c>
      <c r="H2680" t="n">
        <v>4</v>
      </c>
      <c r="I2680" t="n">
        <v>20</v>
      </c>
      <c r="J2680" t="n">
        <v>3</v>
      </c>
      <c r="K2680" t="n">
        <v>0</v>
      </c>
      <c r="L2680" t="n">
        <v>23172</v>
      </c>
      <c r="M2680" t="n">
        <v>35000</v>
      </c>
      <c r="N2680" t="n">
        <v>33</v>
      </c>
      <c r="O2680" t="n">
        <v>0.33</v>
      </c>
      <c r="P2680" t="n">
        <v>1</v>
      </c>
      <c r="Q2680" t="n">
        <v>0.03</v>
      </c>
      <c r="R2680" t="n">
        <v>2</v>
      </c>
      <c r="S2680" t="n">
        <v>2079</v>
      </c>
      <c r="T2680" t="n">
        <v>13</v>
      </c>
      <c r="U2680" t="n">
        <v>14</v>
      </c>
      <c r="V2680" t="n">
        <v>30</v>
      </c>
      <c r="W2680" t="n">
        <v>2</v>
      </c>
      <c r="X2680" t="n">
        <v>0</v>
      </c>
      <c r="Y2680" t="n">
        <v>1</v>
      </c>
      <c r="Z2680" t="n">
        <v>2</v>
      </c>
      <c r="AA2680" t="n">
        <v>2</v>
      </c>
      <c r="AB2680" t="n">
        <v>0</v>
      </c>
      <c r="AC2680" t="n">
        <v>0</v>
      </c>
      <c r="AD2680" t="n">
        <v>46344</v>
      </c>
      <c r="AE2680" t="n">
        <v>0</v>
      </c>
      <c r="AF2680" t="n">
        <v>6677</v>
      </c>
      <c r="AG2680" t="n">
        <v>1</v>
      </c>
      <c r="AH2680" t="inlineStr">
        <is>
          <t>PT. BERSAMA DISTRIVERSA INDONESIA (DC CIPUTAT)</t>
        </is>
      </c>
      <c r="AI2680" t="n">
        <v>882</v>
      </c>
      <c r="AJ2680" t="inlineStr">
        <is>
          <t>MIMI WHITE</t>
        </is>
      </c>
      <c r="AK2680" t="n">
        <v>9</v>
      </c>
      <c r="AL2680" t="inlineStr">
        <is>
          <t>Miss Glam Jambi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MINERAL BOTANICA</t>
        </is>
      </c>
      <c r="B2681" s="2">
        <f>"8997204820294"</f>
        <v/>
      </c>
      <c r="C2681" t="inlineStr">
        <is>
          <t>MINERAL BOTANICA Brightening First Defense Facial Foam 100gr</t>
        </is>
      </c>
      <c r="D2681" t="inlineStr">
        <is>
          <t>Miss Glam Jambi</t>
        </is>
      </c>
      <c r="E2681" t="n">
        <v>16</v>
      </c>
      <c r="F2681" t="n">
        <v>0.2574</v>
      </c>
      <c r="G2681" t="n">
        <v>1.65</v>
      </c>
      <c r="H2681" t="n">
        <v>4</v>
      </c>
      <c r="I2681" t="n">
        <v>20</v>
      </c>
      <c r="J2681" t="n">
        <v>3</v>
      </c>
      <c r="K2681" t="n">
        <v>0</v>
      </c>
      <c r="L2681" t="n">
        <v>21577</v>
      </c>
      <c r="M2681" t="n">
        <v>25000</v>
      </c>
      <c r="N2681" t="n">
        <v>33</v>
      </c>
      <c r="O2681" t="n">
        <v>0.33</v>
      </c>
      <c r="P2681" t="n">
        <v>1</v>
      </c>
      <c r="Q2681" t="n">
        <v>0.14</v>
      </c>
      <c r="R2681" t="n">
        <v>2</v>
      </c>
      <c r="S2681" t="n">
        <v>6435</v>
      </c>
      <c r="T2681" t="n">
        <v>32</v>
      </c>
      <c r="U2681" t="n">
        <v>34</v>
      </c>
      <c r="V2681" t="n">
        <v>30</v>
      </c>
      <c r="W2681" t="n">
        <v>8</v>
      </c>
      <c r="X2681" t="n">
        <v>62.16006216006215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6710</v>
      </c>
      <c r="AG2681" t="n">
        <v>1</v>
      </c>
      <c r="AH2681" t="inlineStr">
        <is>
          <t>PT. BERSAMA DISTRIVERSA INDONESIA (DC CIPUTAT)</t>
        </is>
      </c>
      <c r="AI2681" t="n">
        <v>48</v>
      </c>
      <c r="AJ2681" t="inlineStr">
        <is>
          <t>MINERAL BOTANICA</t>
        </is>
      </c>
      <c r="AK2681" t="n">
        <v>9</v>
      </c>
      <c r="AL2681" t="inlineStr">
        <is>
          <t>Miss Glam Jambi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MINERAL BOTANICA</t>
        </is>
      </c>
      <c r="B2682" s="2">
        <f>"8997204820355"</f>
        <v/>
      </c>
      <c r="C2682" t="inlineStr">
        <is>
          <t>MINERAL BOTANICA Perfect Purifying Facial Foam Acne 100ml</t>
        </is>
      </c>
      <c r="D2682" t="inlineStr">
        <is>
          <t>Miss Glam Jambi</t>
        </is>
      </c>
      <c r="E2682" t="n">
        <v>18</v>
      </c>
      <c r="F2682" t="n">
        <v>0.2277</v>
      </c>
      <c r="G2682" t="n">
        <v>1.32</v>
      </c>
      <c r="H2682" t="n">
        <v>4</v>
      </c>
      <c r="I2682" t="n">
        <v>20</v>
      </c>
      <c r="J2682" t="n">
        <v>3</v>
      </c>
      <c r="K2682" t="n">
        <v>0</v>
      </c>
      <c r="L2682" t="n">
        <v>21577</v>
      </c>
      <c r="M2682" t="n">
        <v>26500</v>
      </c>
      <c r="N2682" t="n">
        <v>33</v>
      </c>
      <c r="O2682" t="n">
        <v>0.33</v>
      </c>
      <c r="P2682" t="n">
        <v>1</v>
      </c>
      <c r="Q2682" t="n">
        <v>0.12</v>
      </c>
      <c r="R2682" t="n">
        <v>1</v>
      </c>
      <c r="S2682" t="n">
        <v>6034.049999999999</v>
      </c>
      <c r="T2682" t="n">
        <v>26</v>
      </c>
      <c r="U2682" t="n">
        <v>27</v>
      </c>
      <c r="V2682" t="n">
        <v>30</v>
      </c>
      <c r="W2682" t="n">
        <v>7</v>
      </c>
      <c r="X2682" t="n">
        <v>79.05138339920948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6710</v>
      </c>
      <c r="AG2682" t="n">
        <v>1</v>
      </c>
      <c r="AH2682" t="inlineStr">
        <is>
          <t>PT. BERSAMA DISTRIVERSA INDONESIA (DC CIPUTAT)</t>
        </is>
      </c>
      <c r="AI2682" t="n">
        <v>48</v>
      </c>
      <c r="AJ2682" t="inlineStr">
        <is>
          <t>MINERAL BOTANICA</t>
        </is>
      </c>
      <c r="AK2682" t="n">
        <v>9</v>
      </c>
      <c r="AL2682" t="inlineStr">
        <is>
          <t>Miss Glam Jambi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MIRAEL</t>
        </is>
      </c>
      <c r="B2683" s="2">
        <f>"30300111140"</f>
        <v/>
      </c>
      <c r="C2683" t="inlineStr">
        <is>
          <t>MIRAEL Belgian Chocolate Sugar Wax 88gr</t>
        </is>
      </c>
      <c r="D2683" t="inlineStr">
        <is>
          <t>Miss Glam Jambi</t>
        </is>
      </c>
      <c r="E2683" t="n">
        <v>9</v>
      </c>
      <c r="F2683" t="n">
        <v>0.0462</v>
      </c>
      <c r="G2683" t="n">
        <v>0.33</v>
      </c>
      <c r="H2683" t="n">
        <v>4</v>
      </c>
      <c r="I2683" t="n">
        <v>20</v>
      </c>
      <c r="J2683" t="n">
        <v>1</v>
      </c>
      <c r="K2683" t="n">
        <v>0</v>
      </c>
      <c r="L2683" t="n">
        <v>45652</v>
      </c>
      <c r="M2683" t="n">
        <v>59000</v>
      </c>
      <c r="N2683" t="n">
        <v>33</v>
      </c>
      <c r="O2683" t="n">
        <v>0.33</v>
      </c>
      <c r="P2683" t="n">
        <v>1</v>
      </c>
      <c r="Q2683" t="n">
        <v>0.07000000000000001</v>
      </c>
      <c r="R2683" t="n">
        <v>1</v>
      </c>
      <c r="S2683" t="n">
        <v>2725.8</v>
      </c>
      <c r="T2683" t="n">
        <v>7</v>
      </c>
      <c r="U2683" t="n">
        <v>8</v>
      </c>
      <c r="V2683" t="n">
        <v>30</v>
      </c>
      <c r="W2683" t="n">
        <v>2</v>
      </c>
      <c r="X2683" t="n">
        <v>194.8051948051948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6743</v>
      </c>
      <c r="AG2683" t="n">
        <v>1</v>
      </c>
      <c r="AH2683" t="inlineStr">
        <is>
          <t>PT. BERSAMA DISTRIVERSA INDONESIA (DC CIPUTAT)</t>
        </is>
      </c>
      <c r="AI2683" t="n">
        <v>110</v>
      </c>
      <c r="AJ2683" t="inlineStr">
        <is>
          <t>MIRAEL</t>
        </is>
      </c>
      <c r="AK2683" t="n">
        <v>9</v>
      </c>
      <c r="AL2683" t="inlineStr">
        <is>
          <t>Miss Glam Jambi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MIRAEL</t>
        </is>
      </c>
      <c r="B2684" s="2">
        <f>"30300111015"</f>
        <v/>
      </c>
      <c r="C2684" t="inlineStr">
        <is>
          <t>MIRAEL Brightening Strawberry Sugar Wax 88gr</t>
        </is>
      </c>
      <c r="D2684" t="inlineStr">
        <is>
          <t>Miss Glam Jambi</t>
        </is>
      </c>
      <c r="E2684" t="n">
        <v>0</v>
      </c>
      <c r="F2684" t="n">
        <v>0.165</v>
      </c>
      <c r="G2684" t="n">
        <v>0.99</v>
      </c>
      <c r="H2684" t="n">
        <v>4</v>
      </c>
      <c r="I2684" t="n">
        <v>20</v>
      </c>
      <c r="J2684" t="n">
        <v>1</v>
      </c>
      <c r="K2684" t="n">
        <v>0</v>
      </c>
      <c r="L2684" t="n">
        <v>46065</v>
      </c>
      <c r="M2684" t="n">
        <v>59000</v>
      </c>
      <c r="N2684" t="n">
        <v>33</v>
      </c>
      <c r="O2684" t="n">
        <v>0.33</v>
      </c>
      <c r="P2684" t="n">
        <v>1</v>
      </c>
      <c r="Q2684" t="n">
        <v>0.2</v>
      </c>
      <c r="R2684" t="n">
        <v>3</v>
      </c>
      <c r="S2684" t="n">
        <v>9735</v>
      </c>
      <c r="T2684" t="n">
        <v>20</v>
      </c>
      <c r="U2684" t="n">
        <v>21</v>
      </c>
      <c r="V2684" t="n">
        <v>30</v>
      </c>
      <c r="W2684" t="n">
        <v>5</v>
      </c>
      <c r="X2684" t="n">
        <v>0</v>
      </c>
      <c r="Y2684" t="n">
        <v>1</v>
      </c>
      <c r="Z2684" t="n">
        <v>5</v>
      </c>
      <c r="AA2684" t="n">
        <v>4</v>
      </c>
      <c r="AB2684" t="n">
        <v>1</v>
      </c>
      <c r="AC2684" t="n">
        <v>1</v>
      </c>
      <c r="AD2684" t="n">
        <v>184260</v>
      </c>
      <c r="AE2684" t="n">
        <v>46065</v>
      </c>
      <c r="AF2684" t="n">
        <v>6743</v>
      </c>
      <c r="AG2684" t="n">
        <v>1</v>
      </c>
      <c r="AH2684" t="inlineStr">
        <is>
          <t>PT. BERSAMA DISTRIVERSA INDONESIA (DC CIPUTAT)</t>
        </is>
      </c>
      <c r="AI2684" t="n">
        <v>110</v>
      </c>
      <c r="AJ2684" t="inlineStr">
        <is>
          <t>MIRAEL</t>
        </is>
      </c>
      <c r="AK2684" t="n">
        <v>9</v>
      </c>
      <c r="AL2684" t="inlineStr">
        <is>
          <t>Miss Glam Jambi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MIRAEL</t>
        </is>
      </c>
      <c r="B2685" s="2">
        <f>"30300111207"</f>
        <v/>
      </c>
      <c r="C2685" t="inlineStr">
        <is>
          <t>MIRAEL Moisturizing Honey Sugar Wax 88gr</t>
        </is>
      </c>
      <c r="D2685" t="inlineStr">
        <is>
          <t>Miss Glam Jambi</t>
        </is>
      </c>
      <c r="E2685" t="n">
        <v>1</v>
      </c>
      <c r="F2685" t="n">
        <v>0.0726</v>
      </c>
      <c r="G2685" t="n">
        <v>0.66</v>
      </c>
      <c r="H2685" t="n">
        <v>4</v>
      </c>
      <c r="I2685" t="n">
        <v>20</v>
      </c>
      <c r="J2685" t="n">
        <v>1</v>
      </c>
      <c r="K2685" t="n">
        <v>0</v>
      </c>
      <c r="L2685" t="n">
        <v>44767</v>
      </c>
      <c r="M2685" t="n">
        <v>59000</v>
      </c>
      <c r="N2685" t="n">
        <v>33</v>
      </c>
      <c r="O2685" t="n">
        <v>0.33</v>
      </c>
      <c r="P2685" t="n">
        <v>1</v>
      </c>
      <c r="Q2685" t="n">
        <v>0.12</v>
      </c>
      <c r="R2685" t="n">
        <v>2</v>
      </c>
      <c r="S2685" t="n">
        <v>4283.4</v>
      </c>
      <c r="T2685" t="n">
        <v>13</v>
      </c>
      <c r="U2685" t="n">
        <v>14</v>
      </c>
      <c r="V2685" t="n">
        <v>30</v>
      </c>
      <c r="W2685" t="n">
        <v>3</v>
      </c>
      <c r="X2685" t="n">
        <v>13.77410468319559</v>
      </c>
      <c r="Y2685" t="n">
        <v>1</v>
      </c>
      <c r="Z2685" t="n">
        <v>2</v>
      </c>
      <c r="AA2685" t="n">
        <v>1</v>
      </c>
      <c r="AB2685" t="n">
        <v>1</v>
      </c>
      <c r="AC2685" t="n">
        <v>1</v>
      </c>
      <c r="AD2685" t="n">
        <v>44767</v>
      </c>
      <c r="AE2685" t="n">
        <v>44767</v>
      </c>
      <c r="AF2685" t="n">
        <v>6743</v>
      </c>
      <c r="AG2685" t="n">
        <v>1</v>
      </c>
      <c r="AH2685" t="inlineStr">
        <is>
          <t>PT. BERSAMA DISTRIVERSA INDONESIA (DC CIPUTAT)</t>
        </is>
      </c>
      <c r="AI2685" t="n">
        <v>110</v>
      </c>
      <c r="AJ2685" t="inlineStr">
        <is>
          <t>MIRAEL</t>
        </is>
      </c>
      <c r="AK2685" t="n">
        <v>9</v>
      </c>
      <c r="AL2685" t="inlineStr">
        <is>
          <t>Miss Glam Jambi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MIRAEL</t>
        </is>
      </c>
      <c r="B2686" s="2">
        <f>"661706058346"</f>
        <v/>
      </c>
      <c r="C2686" t="inlineStr">
        <is>
          <t>MIRAEL Powder Cooling Peppermint 50 gr</t>
        </is>
      </c>
      <c r="D2686" t="inlineStr">
        <is>
          <t>Miss Glam Jambi</t>
        </is>
      </c>
      <c r="E2686" t="n">
        <v>4</v>
      </c>
      <c r="F2686" t="n">
        <v>0.02</v>
      </c>
      <c r="G2686" t="n">
        <v>1</v>
      </c>
      <c r="H2686" t="n">
        <v>4</v>
      </c>
      <c r="I2686" t="n">
        <v>20</v>
      </c>
      <c r="J2686" t="n">
        <v>3</v>
      </c>
      <c r="K2686" t="n">
        <v>0</v>
      </c>
      <c r="L2686" t="n">
        <v>21170</v>
      </c>
      <c r="M2686" t="n">
        <v>39000</v>
      </c>
      <c r="N2686" t="n">
        <v>33</v>
      </c>
      <c r="O2686" t="n">
        <v>0.33</v>
      </c>
      <c r="P2686" t="n">
        <v>0</v>
      </c>
      <c r="Q2686" t="n">
        <v>0.02</v>
      </c>
      <c r="R2686" t="n">
        <v>1</v>
      </c>
      <c r="S2686" t="n">
        <v>780</v>
      </c>
      <c r="T2686" t="n">
        <v>20</v>
      </c>
      <c r="U2686" t="n">
        <v>21</v>
      </c>
      <c r="V2686" t="n">
        <v>30</v>
      </c>
      <c r="W2686" t="n">
        <v>1</v>
      </c>
      <c r="X2686" t="n">
        <v>200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6743</v>
      </c>
      <c r="AG2686" t="n">
        <v>1</v>
      </c>
      <c r="AH2686" t="inlineStr">
        <is>
          <t>PT. BERSAMA DISTRIVERSA INDONESIA (DC CIPUTAT)</t>
        </is>
      </c>
      <c r="AI2686" t="n">
        <v>110</v>
      </c>
      <c r="AJ2686" t="inlineStr">
        <is>
          <t>MIRAEL</t>
        </is>
      </c>
      <c r="AK2686" t="n">
        <v>9</v>
      </c>
      <c r="AL2686" t="inlineStr">
        <is>
          <t>Miss Glam Jambi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MIRAEL</t>
        </is>
      </c>
      <c r="B2687" s="2">
        <f>"661706054133"</f>
        <v/>
      </c>
      <c r="C2687" t="inlineStr">
        <is>
          <t>MIRAEL Premium Waxing Strips 10pcs/Pack</t>
        </is>
      </c>
      <c r="D2687" t="inlineStr">
        <is>
          <t>Miss Glam Jambi</t>
        </is>
      </c>
      <c r="E2687" t="n">
        <v>11</v>
      </c>
      <c r="F2687" t="n">
        <v>0.0561</v>
      </c>
      <c r="G2687" t="n">
        <v>0.66</v>
      </c>
      <c r="H2687" t="n">
        <v>4</v>
      </c>
      <c r="I2687" t="n">
        <v>20</v>
      </c>
      <c r="J2687" t="n">
        <v>3</v>
      </c>
      <c r="K2687" t="n">
        <v>0</v>
      </c>
      <c r="L2687" t="n">
        <v>11772</v>
      </c>
      <c r="M2687" t="n">
        <v>15000</v>
      </c>
      <c r="N2687" t="n">
        <v>33</v>
      </c>
      <c r="O2687" t="n">
        <v>0.33</v>
      </c>
      <c r="P2687" t="n">
        <v>1</v>
      </c>
      <c r="Q2687" t="n">
        <v>0.27</v>
      </c>
      <c r="R2687" t="n">
        <v>3</v>
      </c>
      <c r="S2687" t="n">
        <v>841.5000000000001</v>
      </c>
      <c r="T2687" t="n">
        <v>13</v>
      </c>
      <c r="U2687" t="n">
        <v>14</v>
      </c>
      <c r="V2687" t="n">
        <v>30</v>
      </c>
      <c r="W2687" t="n">
        <v>2</v>
      </c>
      <c r="X2687" t="n">
        <v>196.078431372549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6743</v>
      </c>
      <c r="AG2687" t="n">
        <v>1</v>
      </c>
      <c r="AH2687" t="inlineStr">
        <is>
          <t>PT. BERSAMA DISTRIVERSA INDONESIA (DC CIPUTAT)</t>
        </is>
      </c>
      <c r="AI2687" t="n">
        <v>110</v>
      </c>
      <c r="AJ2687" t="inlineStr">
        <is>
          <t>MIRAEL</t>
        </is>
      </c>
      <c r="AK2687" t="n">
        <v>9</v>
      </c>
      <c r="AL2687" t="inlineStr">
        <is>
          <t>Miss Glam Jambi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MIRAEL</t>
        </is>
      </c>
      <c r="B2688" s="2">
        <f>"30300111302"</f>
        <v/>
      </c>
      <c r="C2688" t="inlineStr">
        <is>
          <t>MIRAEL Relaxing Greentea Sugar Wax 88gr</t>
        </is>
      </c>
      <c r="D2688" t="inlineStr">
        <is>
          <t>Miss Glam Jambi</t>
        </is>
      </c>
      <c r="E2688" t="n">
        <v>7</v>
      </c>
      <c r="F2688" t="n">
        <v>0.0165</v>
      </c>
      <c r="G2688" t="n">
        <v>0.33</v>
      </c>
      <c r="H2688" t="n">
        <v>4</v>
      </c>
      <c r="I2688" t="n">
        <v>20</v>
      </c>
      <c r="J2688" t="n">
        <v>1</v>
      </c>
      <c r="K2688" t="n">
        <v>0</v>
      </c>
      <c r="L2688" t="n">
        <v>45984</v>
      </c>
      <c r="M2688" t="n">
        <v>59000</v>
      </c>
      <c r="N2688" t="n">
        <v>33</v>
      </c>
      <c r="O2688" t="n">
        <v>0.33</v>
      </c>
      <c r="P2688" t="n">
        <v>1</v>
      </c>
      <c r="Q2688" t="n">
        <v>0.15</v>
      </c>
      <c r="R2688" t="n">
        <v>2</v>
      </c>
      <c r="S2688" t="n">
        <v>973.5</v>
      </c>
      <c r="T2688" t="n">
        <v>7</v>
      </c>
      <c r="U2688" t="n">
        <v>8</v>
      </c>
      <c r="V2688" t="n">
        <v>30</v>
      </c>
      <c r="W2688" t="n">
        <v>1</v>
      </c>
      <c r="X2688" t="n">
        <v>424.2424242424242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6743</v>
      </c>
      <c r="AG2688" t="n">
        <v>1</v>
      </c>
      <c r="AH2688" t="inlineStr">
        <is>
          <t>PT. BERSAMA DISTRIVERSA INDONESIA (DC CIPUTAT)</t>
        </is>
      </c>
      <c r="AI2688" t="n">
        <v>110</v>
      </c>
      <c r="AJ2688" t="inlineStr">
        <is>
          <t>MIRAEL</t>
        </is>
      </c>
      <c r="AK2688" t="n">
        <v>9</v>
      </c>
      <c r="AL2688" t="inlineStr">
        <is>
          <t>Miss Glam Jambi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MIRAEL</t>
        </is>
      </c>
      <c r="B2689" s="2">
        <f>"661706053839"</f>
        <v/>
      </c>
      <c r="C2689" t="inlineStr">
        <is>
          <t>MIRAEL Rice Milk Soothing Powder 50gr</t>
        </is>
      </c>
      <c r="D2689" t="inlineStr">
        <is>
          <t>Miss Glam Jambi</t>
        </is>
      </c>
      <c r="E2689" t="n">
        <v>11</v>
      </c>
      <c r="F2689" t="n">
        <v>0.009900000000000001</v>
      </c>
      <c r="G2689" t="n">
        <v>0.33</v>
      </c>
      <c r="H2689" t="n">
        <v>4</v>
      </c>
      <c r="I2689" t="n">
        <v>20</v>
      </c>
      <c r="J2689" t="n">
        <v>3</v>
      </c>
      <c r="K2689" t="n">
        <v>0</v>
      </c>
      <c r="L2689" t="n">
        <v>25600</v>
      </c>
      <c r="M2689" t="n">
        <v>29000</v>
      </c>
      <c r="N2689" t="n">
        <v>33</v>
      </c>
      <c r="O2689" t="n">
        <v>0.33</v>
      </c>
      <c r="P2689" t="n">
        <v>1</v>
      </c>
      <c r="Q2689" t="n">
        <v>0.02</v>
      </c>
      <c r="R2689" t="n">
        <v>1</v>
      </c>
      <c r="S2689" t="n">
        <v>287.1</v>
      </c>
      <c r="T2689" t="n">
        <v>7</v>
      </c>
      <c r="U2689" t="n">
        <v>8</v>
      </c>
      <c r="V2689" t="n">
        <v>30</v>
      </c>
      <c r="W2689" t="n">
        <v>1</v>
      </c>
      <c r="X2689" t="n">
        <v>1111.111111111111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6743</v>
      </c>
      <c r="AG2689" t="n">
        <v>1</v>
      </c>
      <c r="AH2689" t="inlineStr">
        <is>
          <t>PT. BERSAMA DISTRIVERSA INDONESIA (DC CIPUTAT)</t>
        </is>
      </c>
      <c r="AI2689" t="n">
        <v>110</v>
      </c>
      <c r="AJ2689" t="inlineStr">
        <is>
          <t>MIRAEL</t>
        </is>
      </c>
      <c r="AK2689" t="n">
        <v>9</v>
      </c>
      <c r="AL2689" t="inlineStr">
        <is>
          <t>Miss Glam Jambi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MIRAEL</t>
        </is>
      </c>
      <c r="B2690" s="2">
        <f>"697478752984"</f>
        <v/>
      </c>
      <c r="C2690" t="inlineStr">
        <is>
          <t>MIRAEL Sugar Wax Brightening Strawberry 2% Niacinamide 250gr</t>
        </is>
      </c>
      <c r="D2690" t="inlineStr">
        <is>
          <t>Miss Glam Jambi</t>
        </is>
      </c>
      <c r="E2690" t="n">
        <v>4</v>
      </c>
      <c r="F2690" t="n">
        <v>0.0462</v>
      </c>
      <c r="G2690" t="n">
        <v>0.66</v>
      </c>
      <c r="H2690" t="n">
        <v>4</v>
      </c>
      <c r="I2690" t="n">
        <v>20</v>
      </c>
      <c r="J2690" t="n">
        <v>3</v>
      </c>
      <c r="K2690" t="n">
        <v>0</v>
      </c>
      <c r="L2690" t="n">
        <v>72573</v>
      </c>
      <c r="M2690" t="n">
        <v>94000</v>
      </c>
      <c r="N2690" t="n">
        <v>33</v>
      </c>
      <c r="O2690" t="n">
        <v>0.33</v>
      </c>
      <c r="P2690" t="n">
        <v>1</v>
      </c>
      <c r="Q2690" t="n">
        <v>0.12</v>
      </c>
      <c r="R2690" t="n">
        <v>2</v>
      </c>
      <c r="S2690" t="n">
        <v>4342.8</v>
      </c>
      <c r="T2690" t="n">
        <v>14</v>
      </c>
      <c r="U2690" t="n">
        <v>15</v>
      </c>
      <c r="V2690" t="n">
        <v>30</v>
      </c>
      <c r="W2690" t="n">
        <v>2</v>
      </c>
      <c r="X2690" t="n">
        <v>86.58008658008657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6743</v>
      </c>
      <c r="AG2690" t="n">
        <v>1</v>
      </c>
      <c r="AH2690" t="inlineStr">
        <is>
          <t>PT. BERSAMA DISTRIVERSA INDONESIA (DC CIPUTAT)</t>
        </is>
      </c>
      <c r="AI2690" t="n">
        <v>110</v>
      </c>
      <c r="AJ2690" t="inlineStr">
        <is>
          <t>MIRAEL</t>
        </is>
      </c>
      <c r="AK2690" t="n">
        <v>9</v>
      </c>
      <c r="AL2690" t="inlineStr">
        <is>
          <t>Miss Glam Jambi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MIRAEL</t>
        </is>
      </c>
      <c r="B2691" s="2">
        <f>"697478753028"</f>
        <v/>
      </c>
      <c r="C2691" t="inlineStr">
        <is>
          <t>MIRAEL Sugar Wax Mouisturizing Honey 250gr</t>
        </is>
      </c>
      <c r="D2691" t="inlineStr">
        <is>
          <t>Miss Glam Jambi</t>
        </is>
      </c>
      <c r="E2691" t="n">
        <v>2</v>
      </c>
      <c r="F2691" t="n">
        <v>0.0264</v>
      </c>
      <c r="G2691" t="n">
        <v>0.33</v>
      </c>
      <c r="H2691" t="n">
        <v>4</v>
      </c>
      <c r="I2691" t="n">
        <v>20</v>
      </c>
      <c r="J2691" t="n">
        <v>3</v>
      </c>
      <c r="K2691" t="n">
        <v>0</v>
      </c>
      <c r="L2691" t="n">
        <v>71431</v>
      </c>
      <c r="M2691" t="n">
        <v>94000</v>
      </c>
      <c r="N2691" t="n">
        <v>33</v>
      </c>
      <c r="O2691" t="n">
        <v>0.33</v>
      </c>
      <c r="P2691" t="n">
        <v>1</v>
      </c>
      <c r="Q2691" t="n">
        <v>0.07000000000000001</v>
      </c>
      <c r="R2691" t="n">
        <v>2</v>
      </c>
      <c r="S2691" t="n">
        <v>2481.6</v>
      </c>
      <c r="T2691" t="n">
        <v>7</v>
      </c>
      <c r="U2691" t="n">
        <v>8</v>
      </c>
      <c r="V2691" t="n">
        <v>30</v>
      </c>
      <c r="W2691" t="n">
        <v>1</v>
      </c>
      <c r="X2691" t="n">
        <v>75.75757575757575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6743</v>
      </c>
      <c r="AG2691" t="n">
        <v>1</v>
      </c>
      <c r="AH2691" t="inlineStr">
        <is>
          <t>PT. BERSAMA DISTRIVERSA INDONESIA (DC CIPUTAT)</t>
        </is>
      </c>
      <c r="AI2691" t="n">
        <v>110</v>
      </c>
      <c r="AJ2691" t="inlineStr">
        <is>
          <t>MIRAEL</t>
        </is>
      </c>
      <c r="AK2691" t="n">
        <v>9</v>
      </c>
      <c r="AL2691" t="inlineStr">
        <is>
          <t>Miss Glam Jambi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MIRANDA</t>
        </is>
      </c>
      <c r="B2692" s="2">
        <f>"8997016379102"</f>
        <v/>
      </c>
      <c r="C2692" t="inlineStr">
        <is>
          <t>MIRANDA 3x Vitamin E Shine Booster Hair Serum 6 capsule x 1ml</t>
        </is>
      </c>
      <c r="D2692" t="inlineStr">
        <is>
          <t>Miss Glam Jambi</t>
        </is>
      </c>
      <c r="E2692" t="n">
        <v>2</v>
      </c>
      <c r="F2692" t="n">
        <v>0.1221</v>
      </c>
      <c r="G2692" t="n">
        <v>0.66</v>
      </c>
      <c r="H2692" t="n">
        <v>2</v>
      </c>
      <c r="I2692" t="n">
        <v>6</v>
      </c>
      <c r="J2692" t="n">
        <v>3</v>
      </c>
      <c r="K2692" t="n">
        <v>0</v>
      </c>
      <c r="L2692" t="n">
        <v>9920</v>
      </c>
      <c r="M2692" t="n">
        <v>12000</v>
      </c>
      <c r="N2692" t="n">
        <v>33</v>
      </c>
      <c r="O2692" t="n">
        <v>0.33</v>
      </c>
      <c r="P2692" t="n">
        <v>1</v>
      </c>
      <c r="Q2692" t="n">
        <v>0.05</v>
      </c>
      <c r="R2692" t="n">
        <v>1</v>
      </c>
      <c r="S2692" t="n">
        <v>1465.2</v>
      </c>
      <c r="T2692" t="n">
        <v>4</v>
      </c>
      <c r="U2692" t="n">
        <v>5</v>
      </c>
      <c r="V2692" t="n">
        <v>30</v>
      </c>
      <c r="W2692" t="n">
        <v>4</v>
      </c>
      <c r="X2692" t="n">
        <v>16.38001638001638</v>
      </c>
      <c r="Y2692" t="n">
        <v>1</v>
      </c>
      <c r="Z2692" t="n">
        <v>2</v>
      </c>
      <c r="AA2692" t="n">
        <v>0</v>
      </c>
      <c r="AB2692" t="n">
        <v>2</v>
      </c>
      <c r="AC2692" t="n">
        <v>3</v>
      </c>
      <c r="AD2692" t="n">
        <v>0</v>
      </c>
      <c r="AE2692" t="n">
        <v>29760</v>
      </c>
      <c r="AF2692" t="n">
        <v>1389</v>
      </c>
      <c r="AG2692" t="n">
        <v>2136</v>
      </c>
      <c r="AH2692" t="inlineStr">
        <is>
          <t>CV. SAMUDRA JAYA ABADI - PPN (JMB)</t>
        </is>
      </c>
      <c r="AI2692" t="n">
        <v>377</v>
      </c>
      <c r="AJ2692" t="inlineStr">
        <is>
          <t>MIRANDA</t>
        </is>
      </c>
      <c r="AK2692" t="n">
        <v>9</v>
      </c>
      <c r="AL2692" t="inlineStr">
        <is>
          <t>Miss Glam Jambi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MIRANDA</t>
        </is>
      </c>
      <c r="B2693" s="2">
        <f>"8997016370192"</f>
        <v/>
      </c>
      <c r="C2693" t="inlineStr">
        <is>
          <t>MIRANDA 3x Vitamin E Strong &amp; Energizing Hair Serum 6 capsule x 1ml</t>
        </is>
      </c>
      <c r="D2693" t="inlineStr">
        <is>
          <t>Miss Glam Jambi</t>
        </is>
      </c>
      <c r="E2693" t="n">
        <v>12</v>
      </c>
      <c r="F2693" t="n">
        <v>0.1188</v>
      </c>
      <c r="G2693" t="n">
        <v>0.99</v>
      </c>
      <c r="H2693" t="n">
        <v>2</v>
      </c>
      <c r="I2693" t="n">
        <v>6</v>
      </c>
      <c r="J2693" t="n">
        <v>3</v>
      </c>
      <c r="K2693" t="n">
        <v>0</v>
      </c>
      <c r="L2693" t="n">
        <v>9920</v>
      </c>
      <c r="M2693" t="n">
        <v>12000</v>
      </c>
      <c r="N2693" t="n">
        <v>33</v>
      </c>
      <c r="O2693" t="n">
        <v>0.33</v>
      </c>
      <c r="P2693" t="n">
        <v>1</v>
      </c>
      <c r="Q2693" t="n">
        <v>0.02</v>
      </c>
      <c r="R2693" t="n">
        <v>0</v>
      </c>
      <c r="S2693" t="n">
        <v>1425.6</v>
      </c>
      <c r="T2693" t="n">
        <v>6</v>
      </c>
      <c r="U2693" t="n">
        <v>7</v>
      </c>
      <c r="V2693" t="n">
        <v>30</v>
      </c>
      <c r="W2693" t="n">
        <v>4</v>
      </c>
      <c r="X2693" t="n">
        <v>101.010101010101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1389</v>
      </c>
      <c r="AG2693" t="n">
        <v>2136</v>
      </c>
      <c r="AH2693" t="inlineStr">
        <is>
          <t>CV. SAMUDRA JAYA ABADI - PPN (JMB)</t>
        </is>
      </c>
      <c r="AI2693" t="n">
        <v>377</v>
      </c>
      <c r="AJ2693" t="inlineStr">
        <is>
          <t>MIRANDA</t>
        </is>
      </c>
      <c r="AK2693" t="n">
        <v>9</v>
      </c>
      <c r="AL2693" t="inlineStr">
        <is>
          <t>Miss Glam Jambi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MIRANDA</t>
        </is>
      </c>
      <c r="B2694" s="2">
        <f>"8997016373810"</f>
        <v/>
      </c>
      <c r="C2694" t="inlineStr">
        <is>
          <t>MIRANDA Hair Color Mc 15</t>
        </is>
      </c>
      <c r="D2694" t="inlineStr">
        <is>
          <t>Miss Glam Jambi</t>
        </is>
      </c>
      <c r="E2694" t="n">
        <v>6</v>
      </c>
      <c r="F2694" t="n">
        <v>0.033</v>
      </c>
      <c r="G2694" t="n">
        <v>0.66</v>
      </c>
      <c r="H2694" t="n">
        <v>2</v>
      </c>
      <c r="I2694" t="n">
        <v>6</v>
      </c>
      <c r="J2694" t="n">
        <v>3</v>
      </c>
      <c r="K2694" t="n">
        <v>0</v>
      </c>
      <c r="L2694" t="n">
        <v>12187</v>
      </c>
      <c r="M2694" t="n">
        <v>15000</v>
      </c>
      <c r="N2694" t="n">
        <v>33</v>
      </c>
      <c r="O2694" t="n">
        <v>0.33</v>
      </c>
      <c r="P2694" t="n">
        <v>1</v>
      </c>
      <c r="Q2694" t="n">
        <v>0.05</v>
      </c>
      <c r="R2694" t="n">
        <v>2</v>
      </c>
      <c r="S2694" t="n">
        <v>495</v>
      </c>
      <c r="T2694" t="n">
        <v>4</v>
      </c>
      <c r="U2694" t="n">
        <v>5</v>
      </c>
      <c r="V2694" t="n">
        <v>30</v>
      </c>
      <c r="W2694" t="n">
        <v>1</v>
      </c>
      <c r="X2694" t="n">
        <v>181.8181818181818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1389</v>
      </c>
      <c r="AG2694" t="n">
        <v>2136</v>
      </c>
      <c r="AH2694" t="inlineStr">
        <is>
          <t>CV. SAMUDRA JAYA ABADI - PPN (JMB)</t>
        </is>
      </c>
      <c r="AI2694" t="n">
        <v>377</v>
      </c>
      <c r="AJ2694" t="inlineStr">
        <is>
          <t>MIRANDA</t>
        </is>
      </c>
      <c r="AK2694" t="n">
        <v>9</v>
      </c>
      <c r="AL2694" t="inlineStr">
        <is>
          <t>Miss Glam Jambi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MIRANDA</t>
        </is>
      </c>
      <c r="B2695" s="2">
        <f>"8997016379362"</f>
        <v/>
      </c>
      <c r="C2695" t="inlineStr">
        <is>
          <t>MIRANDA Hair Color Mc 17</t>
        </is>
      </c>
      <c r="D2695" t="inlineStr">
        <is>
          <t>Miss Glam Jambi</t>
        </is>
      </c>
      <c r="E2695" t="n">
        <v>3</v>
      </c>
      <c r="F2695" t="n">
        <v>0.07000000000000001</v>
      </c>
      <c r="G2695" t="n">
        <v>1</v>
      </c>
      <c r="H2695" t="n">
        <v>2</v>
      </c>
      <c r="I2695" t="n">
        <v>6</v>
      </c>
      <c r="J2695" t="n">
        <v>3</v>
      </c>
      <c r="K2695" t="n">
        <v>0</v>
      </c>
      <c r="L2695" t="n">
        <v>12187</v>
      </c>
      <c r="M2695" t="n">
        <v>14000</v>
      </c>
      <c r="N2695" t="n">
        <v>33</v>
      </c>
      <c r="O2695" t="n">
        <v>0.33</v>
      </c>
      <c r="P2695" t="n">
        <v>0</v>
      </c>
      <c r="Q2695" t="n">
        <v>0.07000000000000001</v>
      </c>
      <c r="R2695" t="n">
        <v>1</v>
      </c>
      <c r="S2695" t="n">
        <v>980.0000000000001</v>
      </c>
      <c r="T2695" t="n">
        <v>6</v>
      </c>
      <c r="U2695" t="n">
        <v>7</v>
      </c>
      <c r="V2695" t="n">
        <v>30</v>
      </c>
      <c r="W2695" t="n">
        <v>3</v>
      </c>
      <c r="X2695" t="n">
        <v>42.85714285714285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1389</v>
      </c>
      <c r="AG2695" t="n">
        <v>2136</v>
      </c>
      <c r="AH2695" t="inlineStr">
        <is>
          <t>CV. SAMUDRA JAYA ABADI - PPN (JMB)</t>
        </is>
      </c>
      <c r="AI2695" t="n">
        <v>377</v>
      </c>
      <c r="AJ2695" t="inlineStr">
        <is>
          <t>MIRANDA</t>
        </is>
      </c>
      <c r="AK2695" t="n">
        <v>9</v>
      </c>
      <c r="AL2695" t="inlineStr">
        <is>
          <t>Miss Glam Jambi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MIRANDA</t>
        </is>
      </c>
      <c r="B2696" s="2">
        <f>"8997016379379"</f>
        <v/>
      </c>
      <c r="C2696" t="inlineStr">
        <is>
          <t>MIRANDA Hair Color Mc 18</t>
        </is>
      </c>
      <c r="D2696" t="inlineStr">
        <is>
          <t>Miss Glam Jambi</t>
        </is>
      </c>
      <c r="E2696" t="n">
        <v>11</v>
      </c>
      <c r="F2696" t="n">
        <v>0.1353</v>
      </c>
      <c r="G2696" t="n">
        <v>0.99</v>
      </c>
      <c r="H2696" t="n">
        <v>2</v>
      </c>
      <c r="I2696" t="n">
        <v>6</v>
      </c>
      <c r="J2696" t="n">
        <v>3</v>
      </c>
      <c r="K2696" t="n">
        <v>0</v>
      </c>
      <c r="L2696" t="n">
        <v>12187</v>
      </c>
      <c r="M2696" t="n">
        <v>15000</v>
      </c>
      <c r="N2696" t="n">
        <v>33</v>
      </c>
      <c r="O2696" t="n">
        <v>0.33</v>
      </c>
      <c r="P2696" t="n">
        <v>1</v>
      </c>
      <c r="Q2696" t="n">
        <v>0.1</v>
      </c>
      <c r="R2696" t="n">
        <v>3</v>
      </c>
      <c r="S2696" t="n">
        <v>2029.5</v>
      </c>
      <c r="T2696" t="n">
        <v>6</v>
      </c>
      <c r="U2696" t="n">
        <v>7</v>
      </c>
      <c r="V2696" t="n">
        <v>30</v>
      </c>
      <c r="W2696" t="n">
        <v>5</v>
      </c>
      <c r="X2696" t="n">
        <v>81.30081300813008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1389</v>
      </c>
      <c r="AG2696" t="n">
        <v>2136</v>
      </c>
      <c r="AH2696" t="inlineStr">
        <is>
          <t>CV. SAMUDRA JAYA ABADI - PPN (JMB)</t>
        </is>
      </c>
      <c r="AI2696" t="n">
        <v>377</v>
      </c>
      <c r="AJ2696" t="inlineStr">
        <is>
          <t>MIRANDA</t>
        </is>
      </c>
      <c r="AK2696" t="n">
        <v>9</v>
      </c>
      <c r="AL2696" t="inlineStr">
        <is>
          <t>Miss Glam Jambi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MIRANDA</t>
        </is>
      </c>
      <c r="B2697" s="2">
        <f>"8997016370321"</f>
        <v/>
      </c>
      <c r="C2697" t="inlineStr">
        <is>
          <t>MIRANDA Hair Color Mc 2</t>
        </is>
      </c>
      <c r="D2697" t="inlineStr">
        <is>
          <t>Miss Glam Jambi</t>
        </is>
      </c>
      <c r="E2697" t="n">
        <v>6</v>
      </c>
      <c r="F2697" t="n">
        <v>0.1518</v>
      </c>
      <c r="G2697" t="n">
        <v>1.32</v>
      </c>
      <c r="H2697" t="n">
        <v>2</v>
      </c>
      <c r="I2697" t="n">
        <v>6</v>
      </c>
      <c r="J2697" t="n">
        <v>3</v>
      </c>
      <c r="K2697" t="n">
        <v>0</v>
      </c>
      <c r="L2697" t="n">
        <v>12187</v>
      </c>
      <c r="M2697" t="n">
        <v>15000</v>
      </c>
      <c r="N2697" t="n">
        <v>33</v>
      </c>
      <c r="O2697" t="n">
        <v>0.33</v>
      </c>
      <c r="P2697" t="n">
        <v>1</v>
      </c>
      <c r="Q2697" t="n">
        <v>0.05</v>
      </c>
      <c r="R2697" t="n">
        <v>2</v>
      </c>
      <c r="S2697" t="n">
        <v>2277</v>
      </c>
      <c r="T2697" t="n">
        <v>8</v>
      </c>
      <c r="U2697" t="n">
        <v>9</v>
      </c>
      <c r="V2697" t="n">
        <v>30</v>
      </c>
      <c r="W2697" t="n">
        <v>5</v>
      </c>
      <c r="X2697" t="n">
        <v>39.52569169960474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1389</v>
      </c>
      <c r="AG2697" t="n">
        <v>2136</v>
      </c>
      <c r="AH2697" t="inlineStr">
        <is>
          <t>CV. SAMUDRA JAYA ABADI - PPN (JMB)</t>
        </is>
      </c>
      <c r="AI2697" t="n">
        <v>377</v>
      </c>
      <c r="AJ2697" t="inlineStr">
        <is>
          <t>MIRANDA</t>
        </is>
      </c>
      <c r="AK2697" t="n">
        <v>9</v>
      </c>
      <c r="AL2697" t="inlineStr">
        <is>
          <t>Miss Glam Jambi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MIRANDA</t>
        </is>
      </c>
      <c r="B2698" s="2">
        <f>"8997016370390"</f>
        <v/>
      </c>
      <c r="C2698" t="inlineStr">
        <is>
          <t>MIRANDA Hair Color Mc 9</t>
        </is>
      </c>
      <c r="D2698" t="inlineStr">
        <is>
          <t>Miss Glam Jambi</t>
        </is>
      </c>
      <c r="E2698" t="n">
        <v>7</v>
      </c>
      <c r="F2698" t="n">
        <v>0.1452</v>
      </c>
      <c r="G2698" t="n">
        <v>1.65</v>
      </c>
      <c r="H2698" t="n">
        <v>2</v>
      </c>
      <c r="I2698" t="n">
        <v>6</v>
      </c>
      <c r="J2698" t="n">
        <v>3</v>
      </c>
      <c r="K2698" t="n">
        <v>0</v>
      </c>
      <c r="L2698" t="n">
        <v>12187</v>
      </c>
      <c r="M2698" t="n">
        <v>15000</v>
      </c>
      <c r="N2698" t="n">
        <v>33</v>
      </c>
      <c r="O2698" t="n">
        <v>0.33</v>
      </c>
      <c r="P2698" t="n">
        <v>1</v>
      </c>
      <c r="Q2698" t="n">
        <v>0.07000000000000001</v>
      </c>
      <c r="R2698" t="n">
        <v>2</v>
      </c>
      <c r="S2698" t="n">
        <v>2178</v>
      </c>
      <c r="T2698" t="n">
        <v>10</v>
      </c>
      <c r="U2698" t="n">
        <v>11</v>
      </c>
      <c r="V2698" t="n">
        <v>30</v>
      </c>
      <c r="W2698" t="n">
        <v>5</v>
      </c>
      <c r="X2698" t="n">
        <v>48.20936639118457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1389</v>
      </c>
      <c r="AG2698" t="n">
        <v>2136</v>
      </c>
      <c r="AH2698" t="inlineStr">
        <is>
          <t>CV. SAMUDRA JAYA ABADI - PPN (JMB)</t>
        </is>
      </c>
      <c r="AI2698" t="n">
        <v>377</v>
      </c>
      <c r="AJ2698" t="inlineStr">
        <is>
          <t>MIRANDA</t>
        </is>
      </c>
      <c r="AK2698" t="n">
        <v>9</v>
      </c>
      <c r="AL2698" t="inlineStr">
        <is>
          <t>Miss Glam Jambi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MIRANDA</t>
        </is>
      </c>
      <c r="B2699" s="2">
        <f>"8997016374817"</f>
        <v/>
      </c>
      <c r="C2699" t="inlineStr">
        <is>
          <t>MIRANDA Hair Color Mc 9 60ml</t>
        </is>
      </c>
      <c r="D2699" t="inlineStr">
        <is>
          <t>Miss Glam Jambi</t>
        </is>
      </c>
      <c r="E2699" t="n">
        <v>5</v>
      </c>
      <c r="F2699" t="n">
        <v>0.0462</v>
      </c>
      <c r="G2699" t="n">
        <v>0.66</v>
      </c>
      <c r="H2699" t="n">
        <v>2</v>
      </c>
      <c r="I2699" t="n">
        <v>6</v>
      </c>
      <c r="J2699" t="n">
        <v>3</v>
      </c>
      <c r="K2699" t="n">
        <v>0</v>
      </c>
      <c r="L2699" t="n">
        <v>23201</v>
      </c>
      <c r="M2699" t="n">
        <v>27000</v>
      </c>
      <c r="N2699" t="n">
        <v>33</v>
      </c>
      <c r="O2699" t="n">
        <v>0.33</v>
      </c>
      <c r="P2699" t="n">
        <v>1</v>
      </c>
      <c r="Q2699" t="n">
        <v>0.05</v>
      </c>
      <c r="R2699" t="n">
        <v>2</v>
      </c>
      <c r="S2699" t="n">
        <v>1247.4</v>
      </c>
      <c r="T2699" t="n">
        <v>4</v>
      </c>
      <c r="U2699" t="n">
        <v>5</v>
      </c>
      <c r="V2699" t="n">
        <v>30</v>
      </c>
      <c r="W2699" t="n">
        <v>2</v>
      </c>
      <c r="X2699" t="n">
        <v>108.2251082251082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1389</v>
      </c>
      <c r="AG2699" t="n">
        <v>2136</v>
      </c>
      <c r="AH2699" t="inlineStr">
        <is>
          <t>CV. SAMUDRA JAYA ABADI - PPN (JMB)</t>
        </is>
      </c>
      <c r="AI2699" t="n">
        <v>377</v>
      </c>
      <c r="AJ2699" t="inlineStr">
        <is>
          <t>MIRANDA</t>
        </is>
      </c>
      <c r="AK2699" t="n">
        <v>9</v>
      </c>
      <c r="AL2699" t="inlineStr">
        <is>
          <t>Miss Glam Jambi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MIRANDA</t>
        </is>
      </c>
      <c r="B2700" s="2">
        <f>"8997016370314"</f>
        <v/>
      </c>
      <c r="C2700" t="inlineStr">
        <is>
          <t>MIRANDA Hair Color MC-1 Natural Black 30ml</t>
        </is>
      </c>
      <c r="D2700" t="inlineStr">
        <is>
          <t>Miss Glam Jambi</t>
        </is>
      </c>
      <c r="E2700" t="n">
        <v>8</v>
      </c>
      <c r="F2700" t="n">
        <v>0.1122</v>
      </c>
      <c r="G2700" t="n">
        <v>0.99</v>
      </c>
      <c r="H2700" t="n">
        <v>2</v>
      </c>
      <c r="I2700" t="n">
        <v>6</v>
      </c>
      <c r="J2700" t="n">
        <v>3</v>
      </c>
      <c r="K2700" t="n">
        <v>0</v>
      </c>
      <c r="L2700" t="n">
        <v>12187</v>
      </c>
      <c r="M2700" t="n">
        <v>15000</v>
      </c>
      <c r="N2700" t="n">
        <v>33</v>
      </c>
      <c r="O2700" t="n">
        <v>0.33</v>
      </c>
      <c r="P2700" t="n">
        <v>1</v>
      </c>
      <c r="Q2700" t="n">
        <v>0.1</v>
      </c>
      <c r="R2700" t="n">
        <v>2</v>
      </c>
      <c r="S2700" t="n">
        <v>1683</v>
      </c>
      <c r="T2700" t="n">
        <v>6</v>
      </c>
      <c r="U2700" t="n">
        <v>7</v>
      </c>
      <c r="V2700" t="n">
        <v>30</v>
      </c>
      <c r="W2700" t="n">
        <v>4</v>
      </c>
      <c r="X2700" t="n">
        <v>71.301247771836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1389</v>
      </c>
      <c r="AG2700" t="n">
        <v>2136</v>
      </c>
      <c r="AH2700" t="inlineStr">
        <is>
          <t>CV. SAMUDRA JAYA ABADI - PPN (JMB)</t>
        </is>
      </c>
      <c r="AI2700" t="n">
        <v>377</v>
      </c>
      <c r="AJ2700" t="inlineStr">
        <is>
          <t>MIRANDA</t>
        </is>
      </c>
      <c r="AK2700" t="n">
        <v>9</v>
      </c>
      <c r="AL2700" t="inlineStr">
        <is>
          <t>Miss Glam Jambi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MIRANDA</t>
        </is>
      </c>
      <c r="B2701" s="2">
        <f>"8997016370161"</f>
        <v/>
      </c>
      <c r="C2701" t="inlineStr">
        <is>
          <t>MIRANDA Hair Color MC-14 Golden Brown 30ml</t>
        </is>
      </c>
      <c r="D2701" t="inlineStr">
        <is>
          <t>Miss Glam Jambi</t>
        </is>
      </c>
      <c r="E2701" t="n">
        <v>11</v>
      </c>
      <c r="F2701" t="n">
        <v>0.2079</v>
      </c>
      <c r="G2701" t="n">
        <v>2.64</v>
      </c>
      <c r="H2701" t="n">
        <v>2</v>
      </c>
      <c r="I2701" t="n">
        <v>6</v>
      </c>
      <c r="J2701" t="n">
        <v>3</v>
      </c>
      <c r="K2701" t="n">
        <v>0</v>
      </c>
      <c r="L2701" t="n">
        <v>12187</v>
      </c>
      <c r="M2701" t="n">
        <v>15000</v>
      </c>
      <c r="N2701" t="n">
        <v>33</v>
      </c>
      <c r="O2701" t="n">
        <v>0.33</v>
      </c>
      <c r="P2701" t="n">
        <v>1</v>
      </c>
      <c r="Q2701" t="n">
        <v>0.15</v>
      </c>
      <c r="R2701" t="n">
        <v>7</v>
      </c>
      <c r="S2701" t="n">
        <v>3118.5</v>
      </c>
      <c r="T2701" t="n">
        <v>16</v>
      </c>
      <c r="U2701" t="n">
        <v>17</v>
      </c>
      <c r="V2701" t="n">
        <v>30</v>
      </c>
      <c r="W2701" t="n">
        <v>7</v>
      </c>
      <c r="X2701" t="n">
        <v>52.91005291005291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1389</v>
      </c>
      <c r="AG2701" t="n">
        <v>2136</v>
      </c>
      <c r="AH2701" t="inlineStr">
        <is>
          <t>CV. SAMUDRA JAYA ABADI - PPN (JMB)</t>
        </is>
      </c>
      <c r="AI2701" t="n">
        <v>377</v>
      </c>
      <c r="AJ2701" t="inlineStr">
        <is>
          <t>MIRANDA</t>
        </is>
      </c>
      <c r="AK2701" t="n">
        <v>9</v>
      </c>
      <c r="AL2701" t="inlineStr">
        <is>
          <t>Miss Glam Jambi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MIRANDA</t>
        </is>
      </c>
      <c r="B2702" s="2">
        <f>"8997016377757"</f>
        <v/>
      </c>
      <c r="C2702" t="inlineStr">
        <is>
          <t>MIRANDA Hair Color MC-16 Ash Blonde 30ml</t>
        </is>
      </c>
      <c r="D2702" t="inlineStr">
        <is>
          <t>Miss Glam Jambi</t>
        </is>
      </c>
      <c r="E2702" t="n">
        <v>3</v>
      </c>
      <c r="F2702" t="n">
        <v>0.3696</v>
      </c>
      <c r="G2702" t="n">
        <v>2.97</v>
      </c>
      <c r="H2702" t="n">
        <v>2</v>
      </c>
      <c r="I2702" t="n">
        <v>6</v>
      </c>
      <c r="J2702" t="n">
        <v>3</v>
      </c>
      <c r="K2702" t="n">
        <v>0</v>
      </c>
      <c r="L2702" t="n">
        <v>12187</v>
      </c>
      <c r="M2702" t="n">
        <v>15000</v>
      </c>
      <c r="N2702" t="n">
        <v>33</v>
      </c>
      <c r="O2702" t="n">
        <v>0.33</v>
      </c>
      <c r="P2702" t="n">
        <v>1</v>
      </c>
      <c r="Q2702" t="n">
        <v>0.07000000000000001</v>
      </c>
      <c r="R2702" t="n">
        <v>1</v>
      </c>
      <c r="S2702" t="n">
        <v>5544.000000000001</v>
      </c>
      <c r="T2702" t="n">
        <v>18</v>
      </c>
      <c r="U2702" t="n">
        <v>19</v>
      </c>
      <c r="V2702" t="n">
        <v>30</v>
      </c>
      <c r="W2702" t="n">
        <v>12</v>
      </c>
      <c r="X2702" t="n">
        <v>8.116883116883116</v>
      </c>
      <c r="Y2702" t="n">
        <v>1</v>
      </c>
      <c r="Z2702" t="n">
        <v>9</v>
      </c>
      <c r="AA2702" t="n">
        <v>0</v>
      </c>
      <c r="AB2702" t="n">
        <v>9</v>
      </c>
      <c r="AC2702" t="n">
        <v>9</v>
      </c>
      <c r="AD2702" t="n">
        <v>0</v>
      </c>
      <c r="AE2702" t="n">
        <v>109683</v>
      </c>
      <c r="AF2702" t="n">
        <v>1389</v>
      </c>
      <c r="AG2702" t="n">
        <v>2136</v>
      </c>
      <c r="AH2702" t="inlineStr">
        <is>
          <t>CV. SAMUDRA JAYA ABADI - PPN (JMB)</t>
        </is>
      </c>
      <c r="AI2702" t="n">
        <v>377</v>
      </c>
      <c r="AJ2702" t="inlineStr">
        <is>
          <t>MIRANDA</t>
        </is>
      </c>
      <c r="AK2702" t="n">
        <v>9</v>
      </c>
      <c r="AL2702" t="inlineStr">
        <is>
          <t>Miss Glam Jambi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MIRANDA</t>
        </is>
      </c>
      <c r="B2703" s="2">
        <f>"8997226227965"</f>
        <v/>
      </c>
      <c r="C2703" t="inlineStr">
        <is>
          <t>MIRANDA Hair Color MC-20 Milk Tea 30ml</t>
        </is>
      </c>
      <c r="D2703" t="inlineStr">
        <is>
          <t>Miss Glam Jambi</t>
        </is>
      </c>
      <c r="E2703" t="n">
        <v>6</v>
      </c>
      <c r="F2703" t="n">
        <v>0.3696</v>
      </c>
      <c r="G2703" t="n">
        <v>2.64</v>
      </c>
      <c r="H2703" t="n">
        <v>2</v>
      </c>
      <c r="I2703" t="n">
        <v>6</v>
      </c>
      <c r="J2703" t="n">
        <v>6</v>
      </c>
      <c r="K2703" t="n">
        <v>0</v>
      </c>
      <c r="L2703" t="n">
        <v>12187</v>
      </c>
      <c r="M2703" t="n">
        <v>15000</v>
      </c>
      <c r="N2703" t="n">
        <v>33</v>
      </c>
      <c r="O2703" t="n">
        <v>0.33</v>
      </c>
      <c r="P2703" t="n">
        <v>1</v>
      </c>
      <c r="Q2703" t="n">
        <v>0.17</v>
      </c>
      <c r="R2703" t="n">
        <v>2</v>
      </c>
      <c r="S2703" t="n">
        <v>5544.000000000001</v>
      </c>
      <c r="T2703" t="n">
        <v>16</v>
      </c>
      <c r="U2703" t="n">
        <v>17</v>
      </c>
      <c r="V2703" t="n">
        <v>30</v>
      </c>
      <c r="W2703" t="n">
        <v>12</v>
      </c>
      <c r="X2703" t="n">
        <v>16.23376623376623</v>
      </c>
      <c r="Y2703" t="n">
        <v>1</v>
      </c>
      <c r="Z2703" t="n">
        <v>6</v>
      </c>
      <c r="AA2703" t="n">
        <v>0</v>
      </c>
      <c r="AB2703" t="n">
        <v>6</v>
      </c>
      <c r="AC2703" t="n">
        <v>6</v>
      </c>
      <c r="AD2703" t="n">
        <v>0</v>
      </c>
      <c r="AE2703" t="n">
        <v>73122</v>
      </c>
      <c r="AF2703" t="n">
        <v>1389</v>
      </c>
      <c r="AG2703" t="n">
        <v>2136</v>
      </c>
      <c r="AH2703" t="inlineStr">
        <is>
          <t>CV. SAMUDRA JAYA ABADI - PPN (JMB)</t>
        </is>
      </c>
      <c r="AI2703" t="n">
        <v>377</v>
      </c>
      <c r="AJ2703" t="inlineStr">
        <is>
          <t>MIRANDA</t>
        </is>
      </c>
      <c r="AK2703" t="n">
        <v>9</v>
      </c>
      <c r="AL2703" t="inlineStr">
        <is>
          <t>Miss Glam Jambi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MIRANDA</t>
        </is>
      </c>
      <c r="B2704" s="2">
        <f>"8997016374800"</f>
        <v/>
      </c>
      <c r="C2704" t="inlineStr">
        <is>
          <t>MIRANDA Hair Color MC-6 60ml</t>
        </is>
      </c>
      <c r="D2704" t="inlineStr">
        <is>
          <t>Miss Glam Jambi</t>
        </is>
      </c>
      <c r="E2704" t="n">
        <v>5</v>
      </c>
      <c r="F2704" t="n">
        <v>0.0495</v>
      </c>
      <c r="G2704" t="n">
        <v>0.99</v>
      </c>
      <c r="H2704" t="n">
        <v>2</v>
      </c>
      <c r="I2704" t="n">
        <v>6</v>
      </c>
      <c r="J2704" t="n">
        <v>3</v>
      </c>
      <c r="K2704" t="n">
        <v>0</v>
      </c>
      <c r="L2704" t="n">
        <v>23200</v>
      </c>
      <c r="M2704" t="n">
        <v>29000</v>
      </c>
      <c r="N2704" t="n">
        <v>33</v>
      </c>
      <c r="O2704" t="n">
        <v>0.33</v>
      </c>
      <c r="P2704" t="n">
        <v>1</v>
      </c>
      <c r="Q2704" t="n">
        <v>0.03</v>
      </c>
      <c r="R2704" t="n">
        <v>2</v>
      </c>
      <c r="S2704" t="n">
        <v>1435.5</v>
      </c>
      <c r="T2704" t="n">
        <v>6</v>
      </c>
      <c r="U2704" t="n">
        <v>7</v>
      </c>
      <c r="V2704" t="n">
        <v>30</v>
      </c>
      <c r="W2704" t="n">
        <v>2</v>
      </c>
      <c r="X2704" t="n">
        <v>101.010101010101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1389</v>
      </c>
      <c r="AG2704" t="n">
        <v>2136</v>
      </c>
      <c r="AH2704" t="inlineStr">
        <is>
          <t>CV. SAMUDRA JAYA ABADI - PPN (JMB)</t>
        </is>
      </c>
      <c r="AI2704" t="n">
        <v>377</v>
      </c>
      <c r="AJ2704" t="inlineStr">
        <is>
          <t>MIRANDA</t>
        </is>
      </c>
      <c r="AK2704" t="n">
        <v>9</v>
      </c>
      <c r="AL2704" t="inlineStr">
        <is>
          <t>Miss Glam Jambi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MIRANDA</t>
        </is>
      </c>
      <c r="B2705" s="2">
        <f>"8997016370369"</f>
        <v/>
      </c>
      <c r="C2705" t="inlineStr">
        <is>
          <t>MIRANDA Hair Color MC-6 Bleaching 30ml</t>
        </is>
      </c>
      <c r="D2705" t="inlineStr">
        <is>
          <t>Miss Glam Jambi</t>
        </is>
      </c>
      <c r="E2705" t="n">
        <v>7</v>
      </c>
      <c r="F2705" t="n">
        <v>0.2574</v>
      </c>
      <c r="G2705" t="n">
        <v>1.98</v>
      </c>
      <c r="H2705" t="n">
        <v>2</v>
      </c>
      <c r="I2705" t="n">
        <v>6</v>
      </c>
      <c r="J2705" t="n">
        <v>3</v>
      </c>
      <c r="K2705" t="n">
        <v>0</v>
      </c>
      <c r="L2705" t="n">
        <v>12187</v>
      </c>
      <c r="M2705" t="n">
        <v>15000</v>
      </c>
      <c r="N2705" t="n">
        <v>33</v>
      </c>
      <c r="O2705" t="n">
        <v>0.33</v>
      </c>
      <c r="P2705" t="n">
        <v>1</v>
      </c>
      <c r="Q2705" t="n">
        <v>0.1</v>
      </c>
      <c r="R2705" t="n">
        <v>4</v>
      </c>
      <c r="S2705" t="n">
        <v>3861</v>
      </c>
      <c r="T2705" t="n">
        <v>12</v>
      </c>
      <c r="U2705" t="n">
        <v>13</v>
      </c>
      <c r="V2705" t="n">
        <v>30</v>
      </c>
      <c r="W2705" t="n">
        <v>8</v>
      </c>
      <c r="X2705" t="n">
        <v>27.19502719502719</v>
      </c>
      <c r="Y2705" t="n">
        <v>1</v>
      </c>
      <c r="Z2705" t="n">
        <v>1</v>
      </c>
      <c r="AA2705" t="n">
        <v>0</v>
      </c>
      <c r="AB2705" t="n">
        <v>1</v>
      </c>
      <c r="AC2705" t="n">
        <v>3</v>
      </c>
      <c r="AD2705" t="n">
        <v>0</v>
      </c>
      <c r="AE2705" t="n">
        <v>36561</v>
      </c>
      <c r="AF2705" t="n">
        <v>1389</v>
      </c>
      <c r="AG2705" t="n">
        <v>2136</v>
      </c>
      <c r="AH2705" t="inlineStr">
        <is>
          <t>CV. SAMUDRA JAYA ABADI - PPN (JMB)</t>
        </is>
      </c>
      <c r="AI2705" t="n">
        <v>377</v>
      </c>
      <c r="AJ2705" t="inlineStr">
        <is>
          <t>MIRANDA</t>
        </is>
      </c>
      <c r="AK2705" t="n">
        <v>9</v>
      </c>
      <c r="AL2705" t="inlineStr">
        <is>
          <t>Miss Glam Jambi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MIRANDA</t>
        </is>
      </c>
      <c r="B2706" s="2">
        <f>"8997016370383"</f>
        <v/>
      </c>
      <c r="C2706" t="inlineStr">
        <is>
          <t>MIRANDA Hair Color MC-8 Violet Red 30ml</t>
        </is>
      </c>
      <c r="D2706" t="inlineStr">
        <is>
          <t>Miss Glam Jambi</t>
        </is>
      </c>
      <c r="E2706" t="n">
        <v>6</v>
      </c>
      <c r="F2706" t="n">
        <v>0.1782</v>
      </c>
      <c r="G2706" t="n">
        <v>0.99</v>
      </c>
      <c r="H2706" t="n">
        <v>2</v>
      </c>
      <c r="I2706" t="n">
        <v>6</v>
      </c>
      <c r="J2706" t="n">
        <v>3</v>
      </c>
      <c r="K2706" t="n">
        <v>0</v>
      </c>
      <c r="L2706" t="n">
        <v>12187</v>
      </c>
      <c r="M2706" t="n">
        <v>15000</v>
      </c>
      <c r="N2706" t="n">
        <v>33</v>
      </c>
      <c r="O2706" t="n">
        <v>0.33</v>
      </c>
      <c r="P2706" t="n">
        <v>1</v>
      </c>
      <c r="Q2706" t="n">
        <v>0.12</v>
      </c>
      <c r="R2706" t="n">
        <v>2</v>
      </c>
      <c r="S2706" t="n">
        <v>2673</v>
      </c>
      <c r="T2706" t="n">
        <v>6</v>
      </c>
      <c r="U2706" t="n">
        <v>7</v>
      </c>
      <c r="V2706" t="n">
        <v>30</v>
      </c>
      <c r="W2706" t="n">
        <v>6</v>
      </c>
      <c r="X2706" t="n">
        <v>33.67003367003367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1389</v>
      </c>
      <c r="AG2706" t="n">
        <v>2136</v>
      </c>
      <c r="AH2706" t="inlineStr">
        <is>
          <t>CV. SAMUDRA JAYA ABADI - PPN (JMB)</t>
        </is>
      </c>
      <c r="AI2706" t="n">
        <v>377</v>
      </c>
      <c r="AJ2706" t="inlineStr">
        <is>
          <t>MIRANDA</t>
        </is>
      </c>
      <c r="AK2706" t="n">
        <v>9</v>
      </c>
      <c r="AL2706" t="inlineStr">
        <is>
          <t>Miss Glam Jambi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MIRANDA</t>
        </is>
      </c>
      <c r="B2707" s="2">
        <f>"8997016370406"</f>
        <v/>
      </c>
      <c r="C2707" t="inlineStr">
        <is>
          <t>MIRANDA Hair Color Mc10</t>
        </is>
      </c>
      <c r="D2707" t="inlineStr">
        <is>
          <t>Miss Glam Jambi</t>
        </is>
      </c>
      <c r="E2707" t="n">
        <v>6</v>
      </c>
      <c r="F2707" t="n">
        <v>0.1782</v>
      </c>
      <c r="G2707" t="n">
        <v>0.99</v>
      </c>
      <c r="H2707" t="n">
        <v>2</v>
      </c>
      <c r="I2707" t="n">
        <v>6</v>
      </c>
      <c r="J2707" t="n">
        <v>3</v>
      </c>
      <c r="K2707" t="n">
        <v>0</v>
      </c>
      <c r="L2707" t="n">
        <v>12187</v>
      </c>
      <c r="M2707" t="n">
        <v>15000</v>
      </c>
      <c r="N2707" t="n">
        <v>33</v>
      </c>
      <c r="O2707" t="n">
        <v>0.33</v>
      </c>
      <c r="P2707" t="n">
        <v>1</v>
      </c>
      <c r="Q2707" t="n">
        <v>0.03</v>
      </c>
      <c r="R2707" t="n">
        <v>1</v>
      </c>
      <c r="S2707" t="n">
        <v>2673</v>
      </c>
      <c r="T2707" t="n">
        <v>6</v>
      </c>
      <c r="U2707" t="n">
        <v>7</v>
      </c>
      <c r="V2707" t="n">
        <v>30</v>
      </c>
      <c r="W2707" t="n">
        <v>6</v>
      </c>
      <c r="X2707" t="n">
        <v>33.67003367003367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1389</v>
      </c>
      <c r="AG2707" t="n">
        <v>2136</v>
      </c>
      <c r="AH2707" t="inlineStr">
        <is>
          <t>CV. SAMUDRA JAYA ABADI - PPN (JMB)</t>
        </is>
      </c>
      <c r="AI2707" t="n">
        <v>377</v>
      </c>
      <c r="AJ2707" t="inlineStr">
        <is>
          <t>MIRANDA</t>
        </is>
      </c>
      <c r="AK2707" t="n">
        <v>9</v>
      </c>
      <c r="AL2707" t="inlineStr">
        <is>
          <t>Miss Glam Jambi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MIRANDA</t>
        </is>
      </c>
      <c r="B2708" s="2">
        <f>"8997016374831"</f>
        <v/>
      </c>
      <c r="C2708" t="inlineStr">
        <is>
          <t>MIRANDA Hair Color Mc14 60 ml</t>
        </is>
      </c>
      <c r="D2708" t="inlineStr">
        <is>
          <t>Miss Glam Jambi</t>
        </is>
      </c>
      <c r="E2708" t="n">
        <v>3</v>
      </c>
      <c r="F2708" t="n">
        <v>0.0561</v>
      </c>
      <c r="G2708" t="n">
        <v>0.66</v>
      </c>
      <c r="H2708" t="n">
        <v>2</v>
      </c>
      <c r="I2708" t="n">
        <v>6</v>
      </c>
      <c r="J2708" t="n">
        <v>3</v>
      </c>
      <c r="K2708" t="n">
        <v>0</v>
      </c>
      <c r="L2708" t="n">
        <v>23201</v>
      </c>
      <c r="M2708" t="n">
        <v>26500</v>
      </c>
      <c r="N2708" t="n">
        <v>33</v>
      </c>
      <c r="O2708" t="n">
        <v>0.33</v>
      </c>
      <c r="P2708" t="n">
        <v>1</v>
      </c>
      <c r="Q2708" t="n">
        <v>0.07000000000000001</v>
      </c>
      <c r="R2708" t="n">
        <v>2</v>
      </c>
      <c r="S2708" t="n">
        <v>1486.65</v>
      </c>
      <c r="T2708" t="n">
        <v>4</v>
      </c>
      <c r="U2708" t="n">
        <v>5</v>
      </c>
      <c r="V2708" t="n">
        <v>30</v>
      </c>
      <c r="W2708" t="n">
        <v>2</v>
      </c>
      <c r="X2708" t="n">
        <v>53.475935828877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1389</v>
      </c>
      <c r="AG2708" t="n">
        <v>2136</v>
      </c>
      <c r="AH2708" t="inlineStr">
        <is>
          <t>CV. SAMUDRA JAYA ABADI - PPN (JMB)</t>
        </is>
      </c>
      <c r="AI2708" t="n">
        <v>377</v>
      </c>
      <c r="AJ2708" t="inlineStr">
        <is>
          <t>MIRANDA</t>
        </is>
      </c>
      <c r="AK2708" t="n">
        <v>9</v>
      </c>
      <c r="AL2708" t="inlineStr">
        <is>
          <t>Miss Glam Jambi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MIRANDA</t>
        </is>
      </c>
      <c r="B2709" s="2">
        <f>"8997226221826"</f>
        <v/>
      </c>
      <c r="C2709" t="inlineStr">
        <is>
          <t>MIRANDA Hair Color Pastel MC-P3</t>
        </is>
      </c>
      <c r="D2709" t="inlineStr">
        <is>
          <t>Miss Glam Jambi</t>
        </is>
      </c>
      <c r="E2709" t="n">
        <v>2</v>
      </c>
      <c r="F2709" t="n">
        <v>0.02</v>
      </c>
      <c r="G2709" t="n">
        <v>1</v>
      </c>
      <c r="H2709" t="n">
        <v>2</v>
      </c>
      <c r="I2709" t="n">
        <v>6</v>
      </c>
      <c r="J2709" t="n">
        <v>3</v>
      </c>
      <c r="K2709" t="n">
        <v>0</v>
      </c>
      <c r="L2709" t="n">
        <v>11720</v>
      </c>
      <c r="M2709" t="n">
        <v>15000</v>
      </c>
      <c r="N2709" t="n">
        <v>33</v>
      </c>
      <c r="O2709" t="n">
        <v>0.33</v>
      </c>
      <c r="P2709" t="n">
        <v>0</v>
      </c>
      <c r="Q2709" t="n">
        <v>0.02</v>
      </c>
      <c r="R2709" t="n">
        <v>1</v>
      </c>
      <c r="S2709" t="n">
        <v>300</v>
      </c>
      <c r="T2709" t="n">
        <v>6</v>
      </c>
      <c r="U2709" t="n">
        <v>7</v>
      </c>
      <c r="V2709" t="n">
        <v>30</v>
      </c>
      <c r="W2709" t="n">
        <v>1</v>
      </c>
      <c r="X2709" t="n">
        <v>100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1389</v>
      </c>
      <c r="AG2709" t="n">
        <v>2136</v>
      </c>
      <c r="AH2709" t="inlineStr">
        <is>
          <t>CV. SAMUDRA JAYA ABADI - PPN (JMB)</t>
        </is>
      </c>
      <c r="AI2709" t="n">
        <v>377</v>
      </c>
      <c r="AJ2709" t="inlineStr">
        <is>
          <t>MIRANDA</t>
        </is>
      </c>
      <c r="AK2709" t="n">
        <v>9</v>
      </c>
      <c r="AL2709" t="inlineStr">
        <is>
          <t>Miss Glam Jambi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MIRANDA</t>
        </is>
      </c>
      <c r="B2710" s="2">
        <f>"8997016375067"</f>
        <v/>
      </c>
      <c r="C2710" t="inlineStr">
        <is>
          <t>MIRANDA Hair Serum Jojoba Oil</t>
        </is>
      </c>
      <c r="D2710" t="inlineStr">
        <is>
          <t>Miss Glam Jambi</t>
        </is>
      </c>
      <c r="E2710" t="n">
        <v>6</v>
      </c>
      <c r="F2710" t="n">
        <v>0.009900000000000001</v>
      </c>
      <c r="G2710" t="n">
        <v>0.33</v>
      </c>
      <c r="H2710" t="n">
        <v>2</v>
      </c>
      <c r="I2710" t="n">
        <v>6</v>
      </c>
      <c r="J2710" t="n">
        <v>3</v>
      </c>
      <c r="K2710" t="n">
        <v>0</v>
      </c>
      <c r="L2710" t="n">
        <v>53120</v>
      </c>
      <c r="M2710" t="n">
        <v>61500</v>
      </c>
      <c r="N2710" t="n">
        <v>33</v>
      </c>
      <c r="O2710" t="n">
        <v>0.33</v>
      </c>
      <c r="P2710" t="n">
        <v>1</v>
      </c>
      <c r="Q2710" t="n">
        <v>0.02</v>
      </c>
      <c r="R2710" t="n">
        <v>1</v>
      </c>
      <c r="S2710" t="n">
        <v>608.85</v>
      </c>
      <c r="T2710" t="n">
        <v>2</v>
      </c>
      <c r="U2710" t="n">
        <v>3</v>
      </c>
      <c r="V2710" t="n">
        <v>30</v>
      </c>
      <c r="W2710" t="n">
        <v>1</v>
      </c>
      <c r="X2710" t="n">
        <v>606.060606060606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1389</v>
      </c>
      <c r="AG2710" t="n">
        <v>2136</v>
      </c>
      <c r="AH2710" t="inlineStr">
        <is>
          <t>CV. SAMUDRA JAYA ABADI - PPN (JMB)</t>
        </is>
      </c>
      <c r="AI2710" t="n">
        <v>377</v>
      </c>
      <c r="AJ2710" t="inlineStr">
        <is>
          <t>MIRANDA</t>
        </is>
      </c>
      <c r="AK2710" t="n">
        <v>9</v>
      </c>
      <c r="AL2710" t="inlineStr">
        <is>
          <t>Miss Glam Jambi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MIRANDA</t>
        </is>
      </c>
      <c r="B2711" s="2">
        <f>"8997226221789"</f>
        <v/>
      </c>
      <c r="C2711" t="inlineStr">
        <is>
          <t>MIRANDA Hc Super Blue Bleacing 30ml</t>
        </is>
      </c>
      <c r="D2711" t="inlineStr">
        <is>
          <t>Miss Glam Jambi</t>
        </is>
      </c>
      <c r="E2711" t="n">
        <v>1</v>
      </c>
      <c r="F2711" t="n">
        <v>0.2838</v>
      </c>
      <c r="G2711" t="n">
        <v>1.32</v>
      </c>
      <c r="H2711" t="n">
        <v>2</v>
      </c>
      <c r="I2711" t="n">
        <v>6</v>
      </c>
      <c r="J2711" t="n">
        <v>3</v>
      </c>
      <c r="K2711" t="n">
        <v>0</v>
      </c>
      <c r="L2711" t="n">
        <v>12187</v>
      </c>
      <c r="M2711" t="n">
        <v>15000</v>
      </c>
      <c r="N2711" t="n">
        <v>33</v>
      </c>
      <c r="O2711" t="n">
        <v>0.33</v>
      </c>
      <c r="P2711" t="n">
        <v>1</v>
      </c>
      <c r="Q2711" t="n">
        <v>0.19</v>
      </c>
      <c r="R2711" t="n">
        <v>5</v>
      </c>
      <c r="S2711" t="n">
        <v>4257</v>
      </c>
      <c r="T2711" t="n">
        <v>8</v>
      </c>
      <c r="U2711" t="n">
        <v>9</v>
      </c>
      <c r="V2711" t="n">
        <v>30</v>
      </c>
      <c r="W2711" t="n">
        <v>9</v>
      </c>
      <c r="X2711" t="n">
        <v>3.523608174770966</v>
      </c>
      <c r="Y2711" t="n">
        <v>1</v>
      </c>
      <c r="Z2711" t="n">
        <v>8</v>
      </c>
      <c r="AA2711" t="n">
        <v>1</v>
      </c>
      <c r="AB2711" t="n">
        <v>7</v>
      </c>
      <c r="AC2711" t="n">
        <v>7</v>
      </c>
      <c r="AD2711" t="n">
        <v>12187</v>
      </c>
      <c r="AE2711" t="n">
        <v>85309</v>
      </c>
      <c r="AF2711" t="n">
        <v>1389</v>
      </c>
      <c r="AG2711" t="n">
        <v>2136</v>
      </c>
      <c r="AH2711" t="inlineStr">
        <is>
          <t>CV. SAMUDRA JAYA ABADI - PPN (JMB)</t>
        </is>
      </c>
      <c r="AI2711" t="n">
        <v>377</v>
      </c>
      <c r="AJ2711" t="inlineStr">
        <is>
          <t>MIRANDA</t>
        </is>
      </c>
      <c r="AK2711" t="n">
        <v>9</v>
      </c>
      <c r="AL2711" t="inlineStr">
        <is>
          <t>Miss Glam Jambi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MIRANDA</t>
        </is>
      </c>
      <c r="B2712" s="2">
        <f>"8997226226456"</f>
        <v/>
      </c>
      <c r="C2712" t="inlineStr">
        <is>
          <t>MIRANDA Keratin Protein Hair Smoothing Spray Smoothing &amp; Anti Frizz 100ml</t>
        </is>
      </c>
      <c r="D2712" t="inlineStr">
        <is>
          <t>Miss Glam Jambi</t>
        </is>
      </c>
      <c r="E2712" t="n">
        <v>6</v>
      </c>
      <c r="F2712" t="n">
        <v>0.1122</v>
      </c>
      <c r="G2712" t="n">
        <v>0.66</v>
      </c>
      <c r="H2712" t="n">
        <v>2</v>
      </c>
      <c r="I2712" t="n">
        <v>6</v>
      </c>
      <c r="J2712" t="n">
        <v>3</v>
      </c>
      <c r="K2712" t="n">
        <v>0</v>
      </c>
      <c r="L2712" t="n">
        <v>22320</v>
      </c>
      <c r="M2712" t="n">
        <v>35000</v>
      </c>
      <c r="N2712" t="n">
        <v>33</v>
      </c>
      <c r="O2712" t="n">
        <v>0.33</v>
      </c>
      <c r="P2712" t="n">
        <v>1</v>
      </c>
      <c r="Q2712" t="n">
        <v>0.02</v>
      </c>
      <c r="R2712" t="n">
        <v>1</v>
      </c>
      <c r="S2712" t="n">
        <v>3927</v>
      </c>
      <c r="T2712" t="n">
        <v>4</v>
      </c>
      <c r="U2712" t="n">
        <v>5</v>
      </c>
      <c r="V2712" t="n">
        <v>30</v>
      </c>
      <c r="W2712" t="n">
        <v>4</v>
      </c>
      <c r="X2712" t="n">
        <v>53.475935828877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1389</v>
      </c>
      <c r="AG2712" t="n">
        <v>2136</v>
      </c>
      <c r="AH2712" t="inlineStr">
        <is>
          <t>CV. SAMUDRA JAYA ABADI - PPN (JMB)</t>
        </is>
      </c>
      <c r="AI2712" t="n">
        <v>377</v>
      </c>
      <c r="AJ2712" t="inlineStr">
        <is>
          <t>MIRANDA</t>
        </is>
      </c>
      <c r="AK2712" t="n">
        <v>9</v>
      </c>
      <c r="AL2712" t="inlineStr">
        <is>
          <t>Miss Glam Jambi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MISSDAISY</t>
        </is>
      </c>
      <c r="B2713" s="2">
        <f>"4713157835833"</f>
        <v/>
      </c>
      <c r="C2713" t="inlineStr">
        <is>
          <t>MISSDAISY Perfume Blackcurrant &amp; Vanilla Sugar 50ml</t>
        </is>
      </c>
      <c r="D2713" t="inlineStr">
        <is>
          <t>Miss Glam Jambi</t>
        </is>
      </c>
      <c r="E2713" t="n">
        <v>1</v>
      </c>
      <c r="F2713" t="n">
        <v>0.02</v>
      </c>
      <c r="G2713" t="n">
        <v>1</v>
      </c>
      <c r="H2713" t="n">
        <v>4</v>
      </c>
      <c r="I2713" t="n">
        <v>20</v>
      </c>
      <c r="J2713" t="n">
        <v>3</v>
      </c>
      <c r="K2713" t="n">
        <v>0</v>
      </c>
      <c r="L2713" t="n">
        <v>115516</v>
      </c>
      <c r="M2713" t="n">
        <v>145500</v>
      </c>
      <c r="N2713" t="n">
        <v>33</v>
      </c>
      <c r="O2713" t="n">
        <v>0.33</v>
      </c>
      <c r="P2713" t="n">
        <v>0</v>
      </c>
      <c r="Q2713" t="n">
        <v>0.02</v>
      </c>
      <c r="R2713" t="n">
        <v>1</v>
      </c>
      <c r="S2713" t="n">
        <v>2910</v>
      </c>
      <c r="T2713" t="n">
        <v>20</v>
      </c>
      <c r="U2713" t="n">
        <v>21</v>
      </c>
      <c r="V2713" t="n">
        <v>30</v>
      </c>
      <c r="W2713" t="n">
        <v>1</v>
      </c>
      <c r="X2713" t="n">
        <v>50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6778</v>
      </c>
      <c r="AG2713" t="n">
        <v>1</v>
      </c>
      <c r="AH2713" t="inlineStr">
        <is>
          <t>PT. BERSAMA DISTRIVERSA INDONESIA (DC CIPUTAT)</t>
        </is>
      </c>
      <c r="AI2713" t="n">
        <v>1444</v>
      </c>
      <c r="AJ2713" t="inlineStr">
        <is>
          <t>MISSDAISY</t>
        </is>
      </c>
      <c r="AK2713" t="n">
        <v>9</v>
      </c>
      <c r="AL2713" t="inlineStr">
        <is>
          <t>Miss Glam Jambi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MISSDAISY</t>
        </is>
      </c>
      <c r="B2714" s="2">
        <f>"4713157835772"</f>
        <v/>
      </c>
      <c r="C2714" t="inlineStr">
        <is>
          <t>MISSDAISY Perfume Blackcurrant &amp; Vanilla Sugar Shampoo 500ml</t>
        </is>
      </c>
      <c r="D2714" t="inlineStr">
        <is>
          <t>Miss Glam Jambi</t>
        </is>
      </c>
      <c r="E2714" t="n">
        <v>5</v>
      </c>
      <c r="F2714" t="n">
        <v>0.03</v>
      </c>
      <c r="G2714" t="n">
        <v>1</v>
      </c>
      <c r="H2714" t="n">
        <v>4</v>
      </c>
      <c r="I2714" t="n">
        <v>20</v>
      </c>
      <c r="J2714" t="n">
        <v>3</v>
      </c>
      <c r="K2714" t="n">
        <v>0</v>
      </c>
      <c r="L2714" t="n">
        <v>294806</v>
      </c>
      <c r="M2714" t="n">
        <v>322000</v>
      </c>
      <c r="N2714" t="n">
        <v>33</v>
      </c>
      <c r="O2714" t="n">
        <v>0.33</v>
      </c>
      <c r="P2714" t="n">
        <v>0</v>
      </c>
      <c r="Q2714" t="n">
        <v>0.03</v>
      </c>
      <c r="R2714" t="n">
        <v>1</v>
      </c>
      <c r="S2714" t="n">
        <v>9660</v>
      </c>
      <c r="T2714" t="n">
        <v>20</v>
      </c>
      <c r="U2714" t="n">
        <v>21</v>
      </c>
      <c r="V2714" t="n">
        <v>30</v>
      </c>
      <c r="W2714" t="n">
        <v>1</v>
      </c>
      <c r="X2714" t="n">
        <v>166.6666666666667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6778</v>
      </c>
      <c r="AG2714" t="n">
        <v>1</v>
      </c>
      <c r="AH2714" t="inlineStr">
        <is>
          <t>PT. BERSAMA DISTRIVERSA INDONESIA (DC CIPUTAT)</t>
        </is>
      </c>
      <c r="AI2714" t="n">
        <v>1444</v>
      </c>
      <c r="AJ2714" t="inlineStr">
        <is>
          <t>MISSDAISY</t>
        </is>
      </c>
      <c r="AK2714" t="n">
        <v>9</v>
      </c>
      <c r="AL2714" t="inlineStr">
        <is>
          <t>Miss Glam Jambi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MOICARE</t>
        </is>
      </c>
      <c r="B2715" s="2">
        <f>"40200119254"</f>
        <v/>
      </c>
      <c r="C2715" t="inlineStr">
        <is>
          <t>MOICARE Hair Serum 20ml</t>
        </is>
      </c>
      <c r="D2715" t="inlineStr">
        <is>
          <t>Miss Glam Jambi</t>
        </is>
      </c>
      <c r="E2715" t="n">
        <v>5</v>
      </c>
      <c r="F2715" t="n">
        <v>0.0231</v>
      </c>
      <c r="G2715" t="n">
        <v>0.33</v>
      </c>
      <c r="H2715" t="n">
        <v>4</v>
      </c>
      <c r="I2715" t="n">
        <v>20</v>
      </c>
      <c r="J2715" t="n">
        <v>1</v>
      </c>
      <c r="K2715" t="n">
        <v>0</v>
      </c>
      <c r="L2715" t="n">
        <v>27426</v>
      </c>
      <c r="M2715" t="n">
        <v>36000</v>
      </c>
      <c r="N2715" t="n">
        <v>33</v>
      </c>
      <c r="O2715" t="n">
        <v>0.33</v>
      </c>
      <c r="P2715" t="n">
        <v>1</v>
      </c>
      <c r="Q2715" t="n">
        <v>0.03</v>
      </c>
      <c r="R2715" t="n">
        <v>2</v>
      </c>
      <c r="S2715" t="n">
        <v>831.6000000000001</v>
      </c>
      <c r="T2715" t="n">
        <v>7</v>
      </c>
      <c r="U2715" t="n">
        <v>8</v>
      </c>
      <c r="V2715" t="n">
        <v>30</v>
      </c>
      <c r="W2715" t="n">
        <v>1</v>
      </c>
      <c r="X2715" t="n">
        <v>216.4502164502164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6811</v>
      </c>
      <c r="AG2715" t="n">
        <v>1</v>
      </c>
      <c r="AH2715" t="inlineStr">
        <is>
          <t>PT. BERSAMA DISTRIVERSA INDONESIA (DC CIPUTAT)</t>
        </is>
      </c>
      <c r="AI2715" t="n">
        <v>2314</v>
      </c>
      <c r="AJ2715" t="inlineStr">
        <is>
          <t>MOICARE</t>
        </is>
      </c>
      <c r="AK2715" t="n">
        <v>9</v>
      </c>
      <c r="AL2715" t="inlineStr">
        <is>
          <t>Miss Glam Jambi</t>
        </is>
      </c>
      <c r="AM2715" t="n">
        <v>4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MOICARE</t>
        </is>
      </c>
      <c r="B2716" s="2">
        <f>"10800505626"</f>
        <v/>
      </c>
      <c r="C2716" t="inlineStr">
        <is>
          <t>MOICARE Lash &amp; Brow Growth Serum 5ml</t>
        </is>
      </c>
      <c r="D2716" t="inlineStr">
        <is>
          <t>Miss Glam Jambi</t>
        </is>
      </c>
      <c r="E2716" t="n">
        <v>2</v>
      </c>
      <c r="F2716" t="n">
        <v>0.0264</v>
      </c>
      <c r="G2716" t="n">
        <v>0.33</v>
      </c>
      <c r="H2716" t="n">
        <v>4</v>
      </c>
      <c r="I2716" t="n">
        <v>20</v>
      </c>
      <c r="J2716" t="n">
        <v>1</v>
      </c>
      <c r="K2716" t="n">
        <v>0</v>
      </c>
      <c r="L2716" t="n">
        <v>23926</v>
      </c>
      <c r="M2716" t="n">
        <v>35000</v>
      </c>
      <c r="N2716" t="n">
        <v>33</v>
      </c>
      <c r="O2716" t="n">
        <v>0.33</v>
      </c>
      <c r="P2716" t="n">
        <v>1</v>
      </c>
      <c r="Q2716" t="n">
        <v>0.03</v>
      </c>
      <c r="R2716" t="n">
        <v>1</v>
      </c>
      <c r="S2716" t="n">
        <v>924.0000000000001</v>
      </c>
      <c r="T2716" t="n">
        <v>7</v>
      </c>
      <c r="U2716" t="n">
        <v>8</v>
      </c>
      <c r="V2716" t="n">
        <v>30</v>
      </c>
      <c r="W2716" t="n">
        <v>1</v>
      </c>
      <c r="X2716" t="n">
        <v>75.75757575757575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6811</v>
      </c>
      <c r="AG2716" t="n">
        <v>1</v>
      </c>
      <c r="AH2716" t="inlineStr">
        <is>
          <t>PT. BERSAMA DISTRIVERSA INDONESIA (DC CIPUTAT)</t>
        </is>
      </c>
      <c r="AI2716" t="n">
        <v>2314</v>
      </c>
      <c r="AJ2716" t="inlineStr">
        <is>
          <t>MOICARE</t>
        </is>
      </c>
      <c r="AK2716" t="n">
        <v>9</v>
      </c>
      <c r="AL2716" t="inlineStr">
        <is>
          <t>Miss Glam Jambi</t>
        </is>
      </c>
      <c r="AM2716" t="n">
        <v>4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MOIST DIANE</t>
        </is>
      </c>
      <c r="B2717" s="2">
        <f>"4560119224903"</f>
        <v/>
      </c>
      <c r="C2717" t="inlineStr">
        <is>
          <t>MOIST DIANE Damage Repair Organic Argan Oil &amp; Amino Keratin Shampoo 450ml</t>
        </is>
      </c>
      <c r="D2717" t="inlineStr">
        <is>
          <t>Miss Glam Jambi</t>
        </is>
      </c>
      <c r="E2717" t="n">
        <v>4</v>
      </c>
      <c r="F2717" t="n">
        <v>0.02</v>
      </c>
      <c r="G2717" t="n">
        <v>1</v>
      </c>
      <c r="H2717" t="n">
        <v>4</v>
      </c>
      <c r="I2717" t="n">
        <v>28</v>
      </c>
      <c r="J2717" t="n">
        <v>3</v>
      </c>
      <c r="K2717" t="n">
        <v>0</v>
      </c>
      <c r="L2717" t="n">
        <v>102000</v>
      </c>
      <c r="M2717" t="n">
        <v>140000</v>
      </c>
      <c r="N2717" t="n">
        <v>33</v>
      </c>
      <c r="O2717" t="n">
        <v>0.33</v>
      </c>
      <c r="P2717" t="n">
        <v>0</v>
      </c>
      <c r="Q2717" t="n">
        <v>0.02</v>
      </c>
      <c r="R2717" t="n">
        <v>1</v>
      </c>
      <c r="S2717" t="n">
        <v>2800</v>
      </c>
      <c r="T2717" t="n">
        <v>28</v>
      </c>
      <c r="U2717" t="n">
        <v>29</v>
      </c>
      <c r="V2717" t="n">
        <v>30</v>
      </c>
      <c r="W2717" t="n">
        <v>1</v>
      </c>
      <c r="X2717" t="n">
        <v>200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10517</v>
      </c>
      <c r="AG2717" t="n">
        <v>2148</v>
      </c>
      <c r="AH2717" t="inlineStr">
        <is>
          <t>PT. JAYA PALEMBANG SUKSES - PPN (JMB)</t>
        </is>
      </c>
      <c r="AI2717" t="n">
        <v>318</v>
      </c>
      <c r="AJ2717" t="inlineStr">
        <is>
          <t>MOIST DIANE</t>
        </is>
      </c>
      <c r="AK2717" t="n">
        <v>9</v>
      </c>
      <c r="AL2717" t="inlineStr">
        <is>
          <t>Miss Glam Jambi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MOIST DIANE</t>
        </is>
      </c>
      <c r="B2718" s="2">
        <f>"4580632114703"</f>
        <v/>
      </c>
      <c r="C2718" t="inlineStr">
        <is>
          <t>MOIST DIANE Perfect Beauty Extra Hair Control Shampoo 450ml</t>
        </is>
      </c>
      <c r="D2718" t="inlineStr">
        <is>
          <t>Miss Glam Jambi</t>
        </is>
      </c>
      <c r="E2718" t="n">
        <v>4</v>
      </c>
      <c r="F2718" t="n">
        <v>0.07000000000000001</v>
      </c>
      <c r="G2718" t="n">
        <v>2</v>
      </c>
      <c r="H2718" t="n">
        <v>4</v>
      </c>
      <c r="I2718" t="n">
        <v>28</v>
      </c>
      <c r="J2718" t="n">
        <v>3</v>
      </c>
      <c r="K2718" t="n">
        <v>0</v>
      </c>
      <c r="L2718" t="n">
        <v>102000</v>
      </c>
      <c r="M2718" t="n">
        <v>162500</v>
      </c>
      <c r="N2718" t="n">
        <v>33</v>
      </c>
      <c r="O2718" t="n">
        <v>0.33</v>
      </c>
      <c r="P2718" t="n">
        <v>0</v>
      </c>
      <c r="Q2718" t="n">
        <v>0.07000000000000001</v>
      </c>
      <c r="R2718" t="n">
        <v>2</v>
      </c>
      <c r="S2718" t="n">
        <v>11375</v>
      </c>
      <c r="T2718" t="n">
        <v>56</v>
      </c>
      <c r="U2718" t="n">
        <v>57</v>
      </c>
      <c r="V2718" t="n">
        <v>30</v>
      </c>
      <c r="W2718" t="n">
        <v>3</v>
      </c>
      <c r="X2718" t="n">
        <v>57.14285714285714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10517</v>
      </c>
      <c r="AG2718" t="n">
        <v>2148</v>
      </c>
      <c r="AH2718" t="inlineStr">
        <is>
          <t>PT. JAYA PALEMBANG SUKSES - PPN (JMB)</t>
        </is>
      </c>
      <c r="AI2718" t="n">
        <v>318</v>
      </c>
      <c r="AJ2718" t="inlineStr">
        <is>
          <t>MOIST DIANE</t>
        </is>
      </c>
      <c r="AK2718" t="n">
        <v>9</v>
      </c>
      <c r="AL2718" t="inlineStr">
        <is>
          <t>Miss Glam Jambi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MOIST DIANE</t>
        </is>
      </c>
      <c r="B2719" s="2">
        <f>"4560119224811"</f>
        <v/>
      </c>
      <c r="C2719" t="inlineStr">
        <is>
          <t>MOIST DIANE Shampoo Extra Volume &amp; Scalp 450ml</t>
        </is>
      </c>
      <c r="D2719" t="inlineStr">
        <is>
          <t>Miss Glam Jambi</t>
        </is>
      </c>
      <c r="E2719" t="n">
        <v>3</v>
      </c>
      <c r="F2719" t="n">
        <v>0.0165</v>
      </c>
      <c r="G2719" t="n">
        <v>0.33</v>
      </c>
      <c r="H2719" t="n">
        <v>4</v>
      </c>
      <c r="I2719" t="n">
        <v>28</v>
      </c>
      <c r="J2719" t="n">
        <v>3</v>
      </c>
      <c r="K2719" t="n">
        <v>0</v>
      </c>
      <c r="L2719" t="n">
        <v>102000</v>
      </c>
      <c r="M2719" t="n">
        <v>158000</v>
      </c>
      <c r="N2719" t="n">
        <v>33</v>
      </c>
      <c r="O2719" t="n">
        <v>0.33</v>
      </c>
      <c r="P2719" t="n">
        <v>1</v>
      </c>
      <c r="Q2719" t="n">
        <v>0.02</v>
      </c>
      <c r="R2719" t="n">
        <v>1</v>
      </c>
      <c r="S2719" t="n">
        <v>2607</v>
      </c>
      <c r="T2719" t="n">
        <v>10</v>
      </c>
      <c r="U2719" t="n">
        <v>11</v>
      </c>
      <c r="V2719" t="n">
        <v>30</v>
      </c>
      <c r="W2719" t="n">
        <v>1</v>
      </c>
      <c r="X2719" t="n">
        <v>181.8181818181818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10517</v>
      </c>
      <c r="AG2719" t="n">
        <v>2148</v>
      </c>
      <c r="AH2719" t="inlineStr">
        <is>
          <t>PT. JAYA PALEMBANG SUKSES - PPN (JMB)</t>
        </is>
      </c>
      <c r="AI2719" t="n">
        <v>318</v>
      </c>
      <c r="AJ2719" t="inlineStr">
        <is>
          <t>MOIST DIANE</t>
        </is>
      </c>
      <c r="AK2719" t="n">
        <v>9</v>
      </c>
      <c r="AL2719" t="inlineStr">
        <is>
          <t>Miss Glam Jambi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MOOI</t>
        </is>
      </c>
      <c r="B2720" s="2">
        <f>"30200179040"</f>
        <v/>
      </c>
      <c r="C2720" t="inlineStr">
        <is>
          <t>MOOI Pure Glow Tone Up Booster 120gr</t>
        </is>
      </c>
      <c r="D2720" t="inlineStr">
        <is>
          <t>Miss Glam Jambi</t>
        </is>
      </c>
      <c r="E2720" t="n">
        <v>11</v>
      </c>
      <c r="F2720" t="n">
        <v>0.0396</v>
      </c>
      <c r="G2720" t="n">
        <v>0.99</v>
      </c>
      <c r="H2720" t="n">
        <v>4</v>
      </c>
      <c r="I2720" t="n">
        <v>20</v>
      </c>
      <c r="J2720" t="n">
        <v>3</v>
      </c>
      <c r="K2720" t="n">
        <v>0</v>
      </c>
      <c r="L2720" t="n">
        <v>52550</v>
      </c>
      <c r="M2720" t="n">
        <v>65000</v>
      </c>
      <c r="N2720" t="n">
        <v>33</v>
      </c>
      <c r="O2720" t="n">
        <v>0.33</v>
      </c>
      <c r="P2720" t="n">
        <v>1</v>
      </c>
      <c r="Q2720" t="n">
        <v>0.07000000000000001</v>
      </c>
      <c r="R2720" t="n">
        <v>1</v>
      </c>
      <c r="S2720" t="n">
        <v>2574</v>
      </c>
      <c r="T2720" t="n">
        <v>20</v>
      </c>
      <c r="U2720" t="n">
        <v>21</v>
      </c>
      <c r="V2720" t="n">
        <v>30</v>
      </c>
      <c r="W2720" t="n">
        <v>2</v>
      </c>
      <c r="X2720" t="n">
        <v>277.7777777777778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6844</v>
      </c>
      <c r="AG2720" t="n">
        <v>1</v>
      </c>
      <c r="AH2720" t="inlineStr">
        <is>
          <t>PT. BERSAMA DISTRIVERSA INDONESIA (DC CIPUTAT)</t>
        </is>
      </c>
      <c r="AI2720" t="n">
        <v>922</v>
      </c>
      <c r="AJ2720" t="inlineStr">
        <is>
          <t>MOOI</t>
        </is>
      </c>
      <c r="AK2720" t="n">
        <v>9</v>
      </c>
      <c r="AL2720" t="inlineStr">
        <is>
          <t>Miss Glam Jambi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MORLAB</t>
        </is>
      </c>
      <c r="B2721" s="2">
        <f>"10300721859"</f>
        <v/>
      </c>
      <c r="C2721" t="inlineStr">
        <is>
          <t>MORLAB V10 Vitamin Tone Up Cream With Idebenone 50ml</t>
        </is>
      </c>
      <c r="D2721" t="inlineStr">
        <is>
          <t>Miss Glam Jambi</t>
        </is>
      </c>
      <c r="E2721" t="n">
        <v>9</v>
      </c>
      <c r="F2721" t="n">
        <v>0.0165</v>
      </c>
      <c r="G2721" t="n">
        <v>0.66</v>
      </c>
      <c r="H2721" t="n">
        <v>4</v>
      </c>
      <c r="I2721" t="n">
        <v>20</v>
      </c>
      <c r="J2721" t="n">
        <v>1</v>
      </c>
      <c r="K2721" t="n">
        <v>0</v>
      </c>
      <c r="L2721" t="n">
        <v>131552</v>
      </c>
      <c r="M2721" t="n">
        <v>159000</v>
      </c>
      <c r="N2721" t="n">
        <v>33</v>
      </c>
      <c r="O2721" t="n">
        <v>0.33</v>
      </c>
      <c r="P2721" t="n">
        <v>1</v>
      </c>
      <c r="Q2721" t="n">
        <v>0.02</v>
      </c>
      <c r="R2721" t="n">
        <v>1</v>
      </c>
      <c r="S2721" t="n">
        <v>2623.5</v>
      </c>
      <c r="T2721" t="n">
        <v>14</v>
      </c>
      <c r="U2721" t="n">
        <v>15</v>
      </c>
      <c r="V2721" t="n">
        <v>30</v>
      </c>
      <c r="W2721" t="n">
        <v>1</v>
      </c>
      <c r="X2721" t="n">
        <v>545.4545454545454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6877</v>
      </c>
      <c r="AG2721" t="n">
        <v>1</v>
      </c>
      <c r="AH2721" t="inlineStr">
        <is>
          <t>PT. BERSAMA DISTRIVERSA INDONESIA (DC CIPUTAT)</t>
        </is>
      </c>
      <c r="AI2721" t="n">
        <v>2275</v>
      </c>
      <c r="AJ2721" t="inlineStr">
        <is>
          <t>MORLAB</t>
        </is>
      </c>
      <c r="AK2721" t="n">
        <v>9</v>
      </c>
      <c r="AL2721" t="inlineStr">
        <is>
          <t>Miss Glam Jambi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MORRIS</t>
        </is>
      </c>
      <c r="B2722" s="2">
        <f>"8997016221517"</f>
        <v/>
      </c>
      <c r="C2722" t="inlineStr">
        <is>
          <t>MORRIS  Eau De Parfum Tropical Floral 110ml</t>
        </is>
      </c>
      <c r="D2722" t="inlineStr">
        <is>
          <t>Miss Glam Jambi</t>
        </is>
      </c>
      <c r="E2722" t="n">
        <v>9</v>
      </c>
      <c r="F2722" t="n">
        <v>0.0561</v>
      </c>
      <c r="G2722" t="n">
        <v>0.66</v>
      </c>
      <c r="H2722" t="n">
        <v>2</v>
      </c>
      <c r="I2722" t="n">
        <v>3</v>
      </c>
      <c r="J2722" t="n">
        <v>3</v>
      </c>
      <c r="K2722" t="n">
        <v>0</v>
      </c>
      <c r="L2722" t="n">
        <v>28305</v>
      </c>
      <c r="M2722" t="n">
        <v>38500</v>
      </c>
      <c r="N2722" t="n">
        <v>33</v>
      </c>
      <c r="O2722" t="n">
        <v>0.33</v>
      </c>
      <c r="P2722" t="n">
        <v>1</v>
      </c>
      <c r="Q2722" t="n">
        <v>0.1</v>
      </c>
      <c r="R2722" t="n">
        <v>1</v>
      </c>
      <c r="S2722" t="n">
        <v>2159.85</v>
      </c>
      <c r="T2722" t="n">
        <v>2</v>
      </c>
      <c r="U2722" t="n">
        <v>3</v>
      </c>
      <c r="V2722" t="n">
        <v>30</v>
      </c>
      <c r="W2722" t="n">
        <v>2</v>
      </c>
      <c r="X2722" t="n">
        <v>160.427807486631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1754</v>
      </c>
      <c r="AG2722" t="n">
        <v>2624</v>
      </c>
      <c r="AH2722" t="inlineStr">
        <is>
          <t>CV. USAHA MANDIRI - PPN (JMB)</t>
        </is>
      </c>
      <c r="AI2722" t="n">
        <v>834</v>
      </c>
      <c r="AJ2722" t="inlineStr">
        <is>
          <t>MORRIS</t>
        </is>
      </c>
      <c r="AK2722" t="n">
        <v>9</v>
      </c>
      <c r="AL2722" t="inlineStr">
        <is>
          <t>Miss Glam Jambi</t>
        </is>
      </c>
      <c r="AM2722" t="n">
        <v>3</v>
      </c>
      <c r="AN2722" t="n">
        <v>350000</v>
      </c>
      <c r="AO2722" t="n">
        <v>0</v>
      </c>
      <c r="AP2722" t="inlineStr"/>
      <c r="AQ2722" t="inlineStr"/>
    </row>
    <row r="2723">
      <c r="A2723" t="inlineStr">
        <is>
          <t>MORRIS</t>
        </is>
      </c>
      <c r="B2723" s="2">
        <f>"8997016221548"</f>
        <v/>
      </c>
      <c r="C2723" t="inlineStr">
        <is>
          <t>MORRIS  Eau De Parfum Tropical Marine 110ml</t>
        </is>
      </c>
      <c r="D2723" t="inlineStr">
        <is>
          <t>Miss Glam Jambi</t>
        </is>
      </c>
      <c r="E2723" t="n">
        <v>3</v>
      </c>
      <c r="F2723" t="n">
        <v>0.0231</v>
      </c>
      <c r="G2723" t="n">
        <v>0.33</v>
      </c>
      <c r="H2723" t="n">
        <v>2</v>
      </c>
      <c r="I2723" t="n">
        <v>3</v>
      </c>
      <c r="J2723" t="n">
        <v>3</v>
      </c>
      <c r="K2723" t="n">
        <v>0</v>
      </c>
      <c r="L2723" t="n">
        <v>28305</v>
      </c>
      <c r="M2723" t="n">
        <v>38500</v>
      </c>
      <c r="N2723" t="n">
        <v>33</v>
      </c>
      <c r="O2723" t="n">
        <v>0.33</v>
      </c>
      <c r="P2723" t="n">
        <v>1</v>
      </c>
      <c r="Q2723" t="n">
        <v>0.02</v>
      </c>
      <c r="R2723" t="n">
        <v>1</v>
      </c>
      <c r="S2723" t="n">
        <v>889.3500000000001</v>
      </c>
      <c r="T2723" t="n">
        <v>1</v>
      </c>
      <c r="U2723" t="n">
        <v>2</v>
      </c>
      <c r="V2723" t="n">
        <v>30</v>
      </c>
      <c r="W2723" t="n">
        <v>1</v>
      </c>
      <c r="X2723" t="n">
        <v>129.8701298701299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1754</v>
      </c>
      <c r="AG2723" t="n">
        <v>2624</v>
      </c>
      <c r="AH2723" t="inlineStr">
        <is>
          <t>CV. USAHA MANDIRI - PPN (JMB)</t>
        </is>
      </c>
      <c r="AI2723" t="n">
        <v>834</v>
      </c>
      <c r="AJ2723" t="inlineStr">
        <is>
          <t>MORRIS</t>
        </is>
      </c>
      <c r="AK2723" t="n">
        <v>9</v>
      </c>
      <c r="AL2723" t="inlineStr">
        <is>
          <t>Miss Glam Jambi</t>
        </is>
      </c>
      <c r="AM2723" t="n">
        <v>3</v>
      </c>
      <c r="AN2723" t="n">
        <v>350000</v>
      </c>
      <c r="AO2723" t="n">
        <v>0</v>
      </c>
      <c r="AP2723" t="inlineStr"/>
      <c r="AQ2723" t="inlineStr"/>
    </row>
    <row r="2724">
      <c r="A2724" t="inlineStr">
        <is>
          <t>MORRIS</t>
        </is>
      </c>
      <c r="B2724" s="2">
        <f>"8997016221562"</f>
        <v/>
      </c>
      <c r="C2724" t="inlineStr">
        <is>
          <t>MORRIS  Eau De Parfum Tropical Paradise 110ml</t>
        </is>
      </c>
      <c r="D2724" t="inlineStr">
        <is>
          <t>Miss Glam Jambi</t>
        </is>
      </c>
      <c r="E2724" t="n">
        <v>2</v>
      </c>
      <c r="F2724" t="n">
        <v>0.009900000000000001</v>
      </c>
      <c r="G2724" t="n">
        <v>0.33</v>
      </c>
      <c r="H2724" t="n">
        <v>2</v>
      </c>
      <c r="I2724" t="n">
        <v>3</v>
      </c>
      <c r="J2724" t="n">
        <v>3</v>
      </c>
      <c r="K2724" t="n">
        <v>0</v>
      </c>
      <c r="L2724" t="n">
        <v>28305</v>
      </c>
      <c r="M2724" t="n">
        <v>38500</v>
      </c>
      <c r="N2724" t="n">
        <v>33</v>
      </c>
      <c r="O2724" t="n">
        <v>0.33</v>
      </c>
      <c r="P2724" t="n">
        <v>1</v>
      </c>
      <c r="Q2724" t="n">
        <v>0.02</v>
      </c>
      <c r="R2724" t="n">
        <v>1</v>
      </c>
      <c r="S2724" t="n">
        <v>381.15</v>
      </c>
      <c r="T2724" t="n">
        <v>1</v>
      </c>
      <c r="U2724" t="n">
        <v>2</v>
      </c>
      <c r="V2724" t="n">
        <v>30</v>
      </c>
      <c r="W2724" t="n">
        <v>1</v>
      </c>
      <c r="X2724" t="n">
        <v>202.020202020202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1754</v>
      </c>
      <c r="AG2724" t="n">
        <v>2624</v>
      </c>
      <c r="AH2724" t="inlineStr">
        <is>
          <t>CV. USAHA MANDIRI - PPN (JMB)</t>
        </is>
      </c>
      <c r="AI2724" t="n">
        <v>834</v>
      </c>
      <c r="AJ2724" t="inlineStr">
        <is>
          <t>MORRIS</t>
        </is>
      </c>
      <c r="AK2724" t="n">
        <v>9</v>
      </c>
      <c r="AL2724" t="inlineStr">
        <is>
          <t>Miss Glam Jambi</t>
        </is>
      </c>
      <c r="AM2724" t="n">
        <v>3</v>
      </c>
      <c r="AN2724" t="n">
        <v>350000</v>
      </c>
      <c r="AO2724" t="n">
        <v>0</v>
      </c>
      <c r="AP2724" t="inlineStr"/>
      <c r="AQ2724" t="inlineStr"/>
    </row>
    <row r="2725">
      <c r="A2725" t="inlineStr">
        <is>
          <t>MORRIS</t>
        </is>
      </c>
      <c r="B2725" s="2">
        <f>"8997016221555"</f>
        <v/>
      </c>
      <c r="C2725" t="inlineStr">
        <is>
          <t>MORRIS  Eau De Parfum Tropical Romance 110ml</t>
        </is>
      </c>
      <c r="D2725" t="inlineStr">
        <is>
          <t>Miss Glam Jambi</t>
        </is>
      </c>
      <c r="E2725" t="n">
        <v>5</v>
      </c>
      <c r="F2725" t="n">
        <v>0.0825</v>
      </c>
      <c r="G2725" t="n">
        <v>0.99</v>
      </c>
      <c r="H2725" t="n">
        <v>2</v>
      </c>
      <c r="I2725" t="n">
        <v>3</v>
      </c>
      <c r="J2725" t="n">
        <v>3</v>
      </c>
      <c r="K2725" t="n">
        <v>0</v>
      </c>
      <c r="L2725" t="n">
        <v>28305</v>
      </c>
      <c r="M2725" t="n">
        <v>38500</v>
      </c>
      <c r="N2725" t="n">
        <v>33</v>
      </c>
      <c r="O2725" t="n">
        <v>0.33</v>
      </c>
      <c r="P2725" t="n">
        <v>1</v>
      </c>
      <c r="Q2725" t="n">
        <v>0.03</v>
      </c>
      <c r="R2725" t="n">
        <v>1</v>
      </c>
      <c r="S2725" t="n">
        <v>3176.25</v>
      </c>
      <c r="T2725" t="n">
        <v>3</v>
      </c>
      <c r="U2725" t="n">
        <v>4</v>
      </c>
      <c r="V2725" t="n">
        <v>30</v>
      </c>
      <c r="W2725" t="n">
        <v>3</v>
      </c>
      <c r="X2725" t="n">
        <v>60.6060606060606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1754</v>
      </c>
      <c r="AG2725" t="n">
        <v>2624</v>
      </c>
      <c r="AH2725" t="inlineStr">
        <is>
          <t>CV. USAHA MANDIRI - PPN (JMB)</t>
        </is>
      </c>
      <c r="AI2725" t="n">
        <v>834</v>
      </c>
      <c r="AJ2725" t="inlineStr">
        <is>
          <t>MORRIS</t>
        </is>
      </c>
      <c r="AK2725" t="n">
        <v>9</v>
      </c>
      <c r="AL2725" t="inlineStr">
        <is>
          <t>Miss Glam Jambi</t>
        </is>
      </c>
      <c r="AM2725" t="n">
        <v>3</v>
      </c>
      <c r="AN2725" t="n">
        <v>350000</v>
      </c>
      <c r="AO2725" t="n">
        <v>0</v>
      </c>
      <c r="AP2725" t="inlineStr"/>
      <c r="AQ2725" t="inlineStr"/>
    </row>
    <row r="2726">
      <c r="A2726" t="inlineStr">
        <is>
          <t>MORRIS</t>
        </is>
      </c>
      <c r="B2726" s="2">
        <f>"8997016223306"</f>
        <v/>
      </c>
      <c r="C2726" t="inlineStr">
        <is>
          <t>MORRIS Eau De Parfum Be Yourself 110ml</t>
        </is>
      </c>
      <c r="D2726" t="inlineStr">
        <is>
          <t>Miss Glam Jambi</t>
        </is>
      </c>
      <c r="E2726" t="n">
        <v>4</v>
      </c>
      <c r="F2726" t="n">
        <v>0.0264</v>
      </c>
      <c r="G2726" t="n">
        <v>0.99</v>
      </c>
      <c r="H2726" t="n">
        <v>2</v>
      </c>
      <c r="I2726" t="n">
        <v>3</v>
      </c>
      <c r="J2726" t="n">
        <v>3</v>
      </c>
      <c r="K2726" t="n">
        <v>0</v>
      </c>
      <c r="L2726" t="n">
        <v>28305</v>
      </c>
      <c r="M2726" t="n">
        <v>38500</v>
      </c>
      <c r="N2726" t="n">
        <v>33</v>
      </c>
      <c r="O2726" t="n">
        <v>0.33</v>
      </c>
      <c r="P2726" t="n">
        <v>1</v>
      </c>
      <c r="Q2726" t="n">
        <v>0.02</v>
      </c>
      <c r="R2726" t="n">
        <v>1</v>
      </c>
      <c r="S2726" t="n">
        <v>1016.4</v>
      </c>
      <c r="T2726" t="n">
        <v>3</v>
      </c>
      <c r="U2726" t="n">
        <v>4</v>
      </c>
      <c r="V2726" t="n">
        <v>30</v>
      </c>
      <c r="W2726" t="n">
        <v>1</v>
      </c>
      <c r="X2726" t="n">
        <v>151.5151515151515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1754</v>
      </c>
      <c r="AG2726" t="n">
        <v>2624</v>
      </c>
      <c r="AH2726" t="inlineStr">
        <is>
          <t>CV. USAHA MANDIRI - PPN (JMB)</t>
        </is>
      </c>
      <c r="AI2726" t="n">
        <v>834</v>
      </c>
      <c r="AJ2726" t="inlineStr">
        <is>
          <t>MORRIS</t>
        </is>
      </c>
      <c r="AK2726" t="n">
        <v>9</v>
      </c>
      <c r="AL2726" t="inlineStr">
        <is>
          <t>Miss Glam Jambi</t>
        </is>
      </c>
      <c r="AM2726" t="n">
        <v>3</v>
      </c>
      <c r="AN2726" t="n">
        <v>350000</v>
      </c>
      <c r="AO2726" t="n">
        <v>0</v>
      </c>
      <c r="AP2726" t="inlineStr"/>
      <c r="AQ2726" t="inlineStr"/>
    </row>
    <row r="2727">
      <c r="A2727" t="inlineStr">
        <is>
          <t>MORRIS</t>
        </is>
      </c>
      <c r="B2727" s="2">
        <f>"8997016223702"</f>
        <v/>
      </c>
      <c r="C2727" t="inlineStr">
        <is>
          <t>MORRIS Eau De Parfum Black Edition Aquatic 100ml</t>
        </is>
      </c>
      <c r="D2727" t="inlineStr">
        <is>
          <t>Miss Glam Jambi</t>
        </is>
      </c>
      <c r="E2727" t="n">
        <v>7</v>
      </c>
      <c r="F2727" t="n">
        <v>0.0396</v>
      </c>
      <c r="G2727" t="n">
        <v>0.66</v>
      </c>
      <c r="H2727" t="n">
        <v>2</v>
      </c>
      <c r="I2727" t="n">
        <v>3</v>
      </c>
      <c r="J2727" t="n">
        <v>3</v>
      </c>
      <c r="K2727" t="n">
        <v>0</v>
      </c>
      <c r="L2727" t="n">
        <v>32079</v>
      </c>
      <c r="M2727" t="n">
        <v>37500</v>
      </c>
      <c r="N2727" t="n">
        <v>33</v>
      </c>
      <c r="O2727" t="n">
        <v>0.33</v>
      </c>
      <c r="P2727" t="n">
        <v>1</v>
      </c>
      <c r="Q2727" t="n">
        <v>0.08</v>
      </c>
      <c r="R2727" t="n">
        <v>1</v>
      </c>
      <c r="S2727" t="n">
        <v>1485</v>
      </c>
      <c r="T2727" t="n">
        <v>2</v>
      </c>
      <c r="U2727" t="n">
        <v>3</v>
      </c>
      <c r="V2727" t="n">
        <v>30</v>
      </c>
      <c r="W2727" t="n">
        <v>2</v>
      </c>
      <c r="X2727" t="n">
        <v>176.7676767676768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1754</v>
      </c>
      <c r="AG2727" t="n">
        <v>2624</v>
      </c>
      <c r="AH2727" t="inlineStr">
        <is>
          <t>CV. USAHA MANDIRI - PPN (JMB)</t>
        </is>
      </c>
      <c r="AI2727" t="n">
        <v>834</v>
      </c>
      <c r="AJ2727" t="inlineStr">
        <is>
          <t>MORRIS</t>
        </is>
      </c>
      <c r="AK2727" t="n">
        <v>9</v>
      </c>
      <c r="AL2727" t="inlineStr">
        <is>
          <t>Miss Glam Jambi</t>
        </is>
      </c>
      <c r="AM2727" t="n">
        <v>3</v>
      </c>
      <c r="AN2727" t="n">
        <v>350000</v>
      </c>
      <c r="AO2727" t="n">
        <v>0</v>
      </c>
      <c r="AP2727" t="inlineStr"/>
      <c r="AQ2727" t="inlineStr"/>
    </row>
    <row r="2728">
      <c r="A2728" t="inlineStr">
        <is>
          <t>MORRIS</t>
        </is>
      </c>
      <c r="B2728" s="2">
        <f>"8997016223863"</f>
        <v/>
      </c>
      <c r="C2728" t="inlineStr">
        <is>
          <t>MORRIS Eau De Parfum Black Edition Aromatic 100 ml</t>
        </is>
      </c>
      <c r="D2728" t="inlineStr">
        <is>
          <t>Miss Glam Jambi</t>
        </is>
      </c>
      <c r="E2728" t="n">
        <v>1</v>
      </c>
      <c r="F2728" t="n">
        <v>0.033</v>
      </c>
      <c r="G2728" t="n">
        <v>0.33</v>
      </c>
      <c r="H2728" t="n">
        <v>2</v>
      </c>
      <c r="I2728" t="n">
        <v>3</v>
      </c>
      <c r="J2728" t="n">
        <v>3</v>
      </c>
      <c r="K2728" t="n">
        <v>0</v>
      </c>
      <c r="L2728" t="n">
        <v>32079</v>
      </c>
      <c r="M2728" t="n">
        <v>37500</v>
      </c>
      <c r="N2728" t="n">
        <v>33</v>
      </c>
      <c r="O2728" t="n">
        <v>0.33</v>
      </c>
      <c r="P2728" t="n">
        <v>1</v>
      </c>
      <c r="Q2728" t="n">
        <v>0.02</v>
      </c>
      <c r="R2728" t="n">
        <v>1</v>
      </c>
      <c r="S2728" t="n">
        <v>1237.5</v>
      </c>
      <c r="T2728" t="n">
        <v>1</v>
      </c>
      <c r="U2728" t="n">
        <v>2</v>
      </c>
      <c r="V2728" t="n">
        <v>30</v>
      </c>
      <c r="W2728" t="n">
        <v>1</v>
      </c>
      <c r="X2728" t="n">
        <v>30.3030303030303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1754</v>
      </c>
      <c r="AG2728" t="n">
        <v>2624</v>
      </c>
      <c r="AH2728" t="inlineStr">
        <is>
          <t>CV. USAHA MANDIRI - PPN (JMB)</t>
        </is>
      </c>
      <c r="AI2728" t="n">
        <v>834</v>
      </c>
      <c r="AJ2728" t="inlineStr">
        <is>
          <t>MORRIS</t>
        </is>
      </c>
      <c r="AK2728" t="n">
        <v>9</v>
      </c>
      <c r="AL2728" t="inlineStr">
        <is>
          <t>Miss Glam Jambi</t>
        </is>
      </c>
      <c r="AM2728" t="n">
        <v>3</v>
      </c>
      <c r="AN2728" t="n">
        <v>350000</v>
      </c>
      <c r="AO2728" t="n">
        <v>0</v>
      </c>
      <c r="AP2728" t="inlineStr"/>
      <c r="AQ2728" t="inlineStr"/>
    </row>
    <row r="2729">
      <c r="A2729" t="inlineStr">
        <is>
          <t>MORRIS</t>
        </is>
      </c>
      <c r="B2729" s="2">
        <f>"8997016223856"</f>
        <v/>
      </c>
      <c r="C2729" t="inlineStr">
        <is>
          <t>MORRIS Eau De Parfum Black Edition Musky 100ml</t>
        </is>
      </c>
      <c r="D2729" t="inlineStr">
        <is>
          <t>Miss Glam Jambi</t>
        </is>
      </c>
      <c r="E2729" t="n">
        <v>2</v>
      </c>
      <c r="F2729" t="n">
        <v>0.06270000000000001</v>
      </c>
      <c r="G2729" t="n">
        <v>0.66</v>
      </c>
      <c r="H2729" t="n">
        <v>2</v>
      </c>
      <c r="I2729" t="n">
        <v>3</v>
      </c>
      <c r="J2729" t="n">
        <v>3</v>
      </c>
      <c r="K2729" t="n">
        <v>0</v>
      </c>
      <c r="L2729" t="n">
        <v>32079</v>
      </c>
      <c r="M2729" t="n">
        <v>37500</v>
      </c>
      <c r="N2729" t="n">
        <v>33</v>
      </c>
      <c r="O2729" t="n">
        <v>0.33</v>
      </c>
      <c r="P2729" t="n">
        <v>1</v>
      </c>
      <c r="Q2729" t="n">
        <v>0.02</v>
      </c>
      <c r="R2729" t="n">
        <v>1</v>
      </c>
      <c r="S2729" t="n">
        <v>2351.25</v>
      </c>
      <c r="T2729" t="n">
        <v>2</v>
      </c>
      <c r="U2729" t="n">
        <v>3</v>
      </c>
      <c r="V2729" t="n">
        <v>30</v>
      </c>
      <c r="W2729" t="n">
        <v>2</v>
      </c>
      <c r="X2729" t="n">
        <v>31.89792663476874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1754</v>
      </c>
      <c r="AG2729" t="n">
        <v>2624</v>
      </c>
      <c r="AH2729" t="inlineStr">
        <is>
          <t>CV. USAHA MANDIRI - PPN (JMB)</t>
        </is>
      </c>
      <c r="AI2729" t="n">
        <v>834</v>
      </c>
      <c r="AJ2729" t="inlineStr">
        <is>
          <t>MORRIS</t>
        </is>
      </c>
      <c r="AK2729" t="n">
        <v>9</v>
      </c>
      <c r="AL2729" t="inlineStr">
        <is>
          <t>Miss Glam Jambi</t>
        </is>
      </c>
      <c r="AM2729" t="n">
        <v>3</v>
      </c>
      <c r="AN2729" t="n">
        <v>350000</v>
      </c>
      <c r="AO2729" t="n">
        <v>0</v>
      </c>
      <c r="AP2729" t="inlineStr"/>
      <c r="AQ2729" t="inlineStr"/>
    </row>
    <row r="2730">
      <c r="A2730" t="inlineStr">
        <is>
          <t>MORRIS</t>
        </is>
      </c>
      <c r="B2730" s="2">
        <f>"8997016223689"</f>
        <v/>
      </c>
      <c r="C2730" t="inlineStr">
        <is>
          <t>MORRIS Eau De Parfum Black Edition Oud 100ml</t>
        </is>
      </c>
      <c r="D2730" t="inlineStr">
        <is>
          <t>Miss Glam Jambi</t>
        </is>
      </c>
      <c r="E2730" t="n">
        <v>4</v>
      </c>
      <c r="F2730" t="n">
        <v>0.0264</v>
      </c>
      <c r="G2730" t="n">
        <v>0.33</v>
      </c>
      <c r="H2730" t="n">
        <v>2</v>
      </c>
      <c r="I2730" t="n">
        <v>3</v>
      </c>
      <c r="J2730" t="n">
        <v>3</v>
      </c>
      <c r="K2730" t="n">
        <v>0</v>
      </c>
      <c r="L2730" t="n">
        <v>32079</v>
      </c>
      <c r="M2730" t="n">
        <v>37500</v>
      </c>
      <c r="N2730" t="n">
        <v>33</v>
      </c>
      <c r="O2730" t="n">
        <v>0.33</v>
      </c>
      <c r="P2730" t="n">
        <v>1</v>
      </c>
      <c r="Q2730" t="n">
        <v>0.03</v>
      </c>
      <c r="R2730" t="n">
        <v>1</v>
      </c>
      <c r="S2730" t="n">
        <v>990.0000000000001</v>
      </c>
      <c r="T2730" t="n">
        <v>1</v>
      </c>
      <c r="U2730" t="n">
        <v>2</v>
      </c>
      <c r="V2730" t="n">
        <v>30</v>
      </c>
      <c r="W2730" t="n">
        <v>1</v>
      </c>
      <c r="X2730" t="n">
        <v>151.5151515151515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1754</v>
      </c>
      <c r="AG2730" t="n">
        <v>2624</v>
      </c>
      <c r="AH2730" t="inlineStr">
        <is>
          <t>CV. USAHA MANDIRI - PPN (JMB)</t>
        </is>
      </c>
      <c r="AI2730" t="n">
        <v>834</v>
      </c>
      <c r="AJ2730" t="inlineStr">
        <is>
          <t>MORRIS</t>
        </is>
      </c>
      <c r="AK2730" t="n">
        <v>9</v>
      </c>
      <c r="AL2730" t="inlineStr">
        <is>
          <t>Miss Glam Jambi</t>
        </is>
      </c>
      <c r="AM2730" t="n">
        <v>3</v>
      </c>
      <c r="AN2730" t="n">
        <v>350000</v>
      </c>
      <c r="AO2730" t="n">
        <v>0</v>
      </c>
      <c r="AP2730" t="inlineStr"/>
      <c r="AQ2730" t="inlineStr"/>
    </row>
    <row r="2731">
      <c r="A2731" t="inlineStr">
        <is>
          <t>MORRIS</t>
        </is>
      </c>
      <c r="B2731" s="2">
        <f>"8997016223719"</f>
        <v/>
      </c>
      <c r="C2731" t="inlineStr">
        <is>
          <t>MORRIS Eau De Parfum Black Edition Woody 100ml</t>
        </is>
      </c>
      <c r="D2731" t="inlineStr">
        <is>
          <t>Miss Glam Jambi</t>
        </is>
      </c>
      <c r="E2731" t="n">
        <v>9</v>
      </c>
      <c r="F2731" t="n">
        <v>0.06270000000000001</v>
      </c>
      <c r="G2731" t="n">
        <v>0.66</v>
      </c>
      <c r="H2731" t="n">
        <v>2</v>
      </c>
      <c r="I2731" t="n">
        <v>3</v>
      </c>
      <c r="J2731" t="n">
        <v>3</v>
      </c>
      <c r="K2731" t="n">
        <v>0</v>
      </c>
      <c r="L2731" t="n">
        <v>32079</v>
      </c>
      <c r="M2731" t="n">
        <v>37500</v>
      </c>
      <c r="N2731" t="n">
        <v>33</v>
      </c>
      <c r="O2731" t="n">
        <v>0.33</v>
      </c>
      <c r="P2731" t="n">
        <v>1</v>
      </c>
      <c r="Q2731" t="n">
        <v>0.02</v>
      </c>
      <c r="R2731" t="n">
        <v>1</v>
      </c>
      <c r="S2731" t="n">
        <v>2351.25</v>
      </c>
      <c r="T2731" t="n">
        <v>2</v>
      </c>
      <c r="U2731" t="n">
        <v>3</v>
      </c>
      <c r="V2731" t="n">
        <v>30</v>
      </c>
      <c r="W2731" t="n">
        <v>2</v>
      </c>
      <c r="X2731" t="n">
        <v>143.5406698564593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1754</v>
      </c>
      <c r="AG2731" t="n">
        <v>2624</v>
      </c>
      <c r="AH2731" t="inlineStr">
        <is>
          <t>CV. USAHA MANDIRI - PPN (JMB)</t>
        </is>
      </c>
      <c r="AI2731" t="n">
        <v>834</v>
      </c>
      <c r="AJ2731" t="inlineStr">
        <is>
          <t>MORRIS</t>
        </is>
      </c>
      <c r="AK2731" t="n">
        <v>9</v>
      </c>
      <c r="AL2731" t="inlineStr">
        <is>
          <t>Miss Glam Jambi</t>
        </is>
      </c>
      <c r="AM2731" t="n">
        <v>3</v>
      </c>
      <c r="AN2731" t="n">
        <v>350000</v>
      </c>
      <c r="AO2731" t="n">
        <v>0</v>
      </c>
      <c r="AP2731" t="inlineStr"/>
      <c r="AQ2731" t="inlineStr"/>
    </row>
    <row r="2732">
      <c r="A2732" t="inlineStr">
        <is>
          <t>MORRIS</t>
        </is>
      </c>
      <c r="B2732" s="2">
        <f>"8997016223368"</f>
        <v/>
      </c>
      <c r="C2732" t="inlineStr">
        <is>
          <t>MORRIS Eau De Parfum Famous Glam Edition 100ml</t>
        </is>
      </c>
      <c r="D2732" t="inlineStr">
        <is>
          <t>Miss Glam Jambi</t>
        </is>
      </c>
      <c r="E2732" t="n">
        <v>5</v>
      </c>
      <c r="F2732" t="n">
        <v>0.0396</v>
      </c>
      <c r="G2732" t="n">
        <v>0.66</v>
      </c>
      <c r="H2732" t="n">
        <v>2</v>
      </c>
      <c r="I2732" t="n">
        <v>3</v>
      </c>
      <c r="J2732" t="n">
        <v>3</v>
      </c>
      <c r="K2732" t="n">
        <v>0</v>
      </c>
      <c r="L2732" t="n">
        <v>30192</v>
      </c>
      <c r="M2732" t="n">
        <v>35500</v>
      </c>
      <c r="N2732" t="n">
        <v>33</v>
      </c>
      <c r="O2732" t="n">
        <v>0.33</v>
      </c>
      <c r="P2732" t="n">
        <v>1</v>
      </c>
      <c r="Q2732" t="n">
        <v>0.08</v>
      </c>
      <c r="R2732" t="n">
        <v>1</v>
      </c>
      <c r="S2732" t="n">
        <v>1405.8</v>
      </c>
      <c r="T2732" t="n">
        <v>2</v>
      </c>
      <c r="U2732" t="n">
        <v>3</v>
      </c>
      <c r="V2732" t="n">
        <v>30</v>
      </c>
      <c r="W2732" t="n">
        <v>2</v>
      </c>
      <c r="X2732" t="n">
        <v>126.2626262626263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1754</v>
      </c>
      <c r="AG2732" t="n">
        <v>2624</v>
      </c>
      <c r="AH2732" t="inlineStr">
        <is>
          <t>CV. USAHA MANDIRI - PPN (JMB)</t>
        </is>
      </c>
      <c r="AI2732" t="n">
        <v>834</v>
      </c>
      <c r="AJ2732" t="inlineStr">
        <is>
          <t>MORRIS</t>
        </is>
      </c>
      <c r="AK2732" t="n">
        <v>9</v>
      </c>
      <c r="AL2732" t="inlineStr">
        <is>
          <t>Miss Glam Jambi</t>
        </is>
      </c>
      <c r="AM2732" t="n">
        <v>3</v>
      </c>
      <c r="AN2732" t="n">
        <v>350000</v>
      </c>
      <c r="AO2732" t="n">
        <v>0</v>
      </c>
      <c r="AP2732" t="inlineStr"/>
      <c r="AQ2732" t="inlineStr"/>
    </row>
    <row r="2733">
      <c r="A2733" t="inlineStr">
        <is>
          <t>MORRIS</t>
        </is>
      </c>
      <c r="B2733" s="2">
        <f>"8997016223337"</f>
        <v/>
      </c>
      <c r="C2733" t="inlineStr">
        <is>
          <t>MORRIS Eau De Parfum Feel Free 110ml</t>
        </is>
      </c>
      <c r="D2733" t="inlineStr">
        <is>
          <t>Miss Glam Jambi</t>
        </is>
      </c>
      <c r="E2733" t="n">
        <v>1</v>
      </c>
      <c r="F2733" t="n">
        <v>0.0165</v>
      </c>
      <c r="G2733" t="n">
        <v>0.33</v>
      </c>
      <c r="H2733" t="n">
        <v>2</v>
      </c>
      <c r="I2733" t="n">
        <v>3</v>
      </c>
      <c r="J2733" t="n">
        <v>3</v>
      </c>
      <c r="K2733" t="n">
        <v>0</v>
      </c>
      <c r="L2733" t="n">
        <v>28305</v>
      </c>
      <c r="M2733" t="n">
        <v>38500</v>
      </c>
      <c r="N2733" t="n">
        <v>33</v>
      </c>
      <c r="O2733" t="n">
        <v>0.33</v>
      </c>
      <c r="P2733" t="n">
        <v>1</v>
      </c>
      <c r="Q2733" t="n">
        <v>0.05</v>
      </c>
      <c r="R2733" t="n">
        <v>1</v>
      </c>
      <c r="S2733" t="n">
        <v>635.25</v>
      </c>
      <c r="T2733" t="n">
        <v>1</v>
      </c>
      <c r="U2733" t="n">
        <v>2</v>
      </c>
      <c r="V2733" t="n">
        <v>30</v>
      </c>
      <c r="W2733" t="n">
        <v>1</v>
      </c>
      <c r="X2733" t="n">
        <v>60.6060606060606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1754</v>
      </c>
      <c r="AG2733" t="n">
        <v>2624</v>
      </c>
      <c r="AH2733" t="inlineStr">
        <is>
          <t>CV. USAHA MANDIRI - PPN (JMB)</t>
        </is>
      </c>
      <c r="AI2733" t="n">
        <v>834</v>
      </c>
      <c r="AJ2733" t="inlineStr">
        <is>
          <t>MORRIS</t>
        </is>
      </c>
      <c r="AK2733" t="n">
        <v>9</v>
      </c>
      <c r="AL2733" t="inlineStr">
        <is>
          <t>Miss Glam Jambi</t>
        </is>
      </c>
      <c r="AM2733" t="n">
        <v>3</v>
      </c>
      <c r="AN2733" t="n">
        <v>350000</v>
      </c>
      <c r="AO2733" t="n">
        <v>0</v>
      </c>
      <c r="AP2733" t="inlineStr"/>
      <c r="AQ2733" t="inlineStr"/>
    </row>
    <row r="2734">
      <c r="A2734" t="inlineStr">
        <is>
          <t>MORRIS</t>
        </is>
      </c>
      <c r="B2734" s="2">
        <f>"8997016222699"</f>
        <v/>
      </c>
      <c r="C2734" t="inlineStr">
        <is>
          <t>MORRIS Eau De Parfum Floral 50ml</t>
        </is>
      </c>
      <c r="D2734" t="inlineStr">
        <is>
          <t>Miss Glam Jambi</t>
        </is>
      </c>
      <c r="E2734" t="n">
        <v>4</v>
      </c>
      <c r="F2734" t="n">
        <v>0.0726</v>
      </c>
      <c r="G2734" t="n">
        <v>0.66</v>
      </c>
      <c r="H2734" t="n">
        <v>2</v>
      </c>
      <c r="I2734" t="n">
        <v>3</v>
      </c>
      <c r="J2734" t="n">
        <v>3</v>
      </c>
      <c r="K2734" t="n">
        <v>0</v>
      </c>
      <c r="L2734" t="n">
        <v>19625</v>
      </c>
      <c r="M2734" t="n">
        <v>25000</v>
      </c>
      <c r="N2734" t="n">
        <v>33</v>
      </c>
      <c r="O2734" t="n">
        <v>0.33</v>
      </c>
      <c r="P2734" t="n">
        <v>1</v>
      </c>
      <c r="Q2734" t="n">
        <v>0.02</v>
      </c>
      <c r="R2734" t="n">
        <v>1</v>
      </c>
      <c r="S2734" t="n">
        <v>1815</v>
      </c>
      <c r="T2734" t="n">
        <v>2</v>
      </c>
      <c r="U2734" t="n">
        <v>3</v>
      </c>
      <c r="V2734" t="n">
        <v>30</v>
      </c>
      <c r="W2734" t="n">
        <v>3</v>
      </c>
      <c r="X2734" t="n">
        <v>55.09641873278237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1754</v>
      </c>
      <c r="AG2734" t="n">
        <v>2624</v>
      </c>
      <c r="AH2734" t="inlineStr">
        <is>
          <t>CV. USAHA MANDIRI - PPN (JMB)</t>
        </is>
      </c>
      <c r="AI2734" t="n">
        <v>834</v>
      </c>
      <c r="AJ2734" t="inlineStr">
        <is>
          <t>MORRIS</t>
        </is>
      </c>
      <c r="AK2734" t="n">
        <v>9</v>
      </c>
      <c r="AL2734" t="inlineStr">
        <is>
          <t>Miss Glam Jambi</t>
        </is>
      </c>
      <c r="AM2734" t="n">
        <v>3</v>
      </c>
      <c r="AN2734" t="n">
        <v>350000</v>
      </c>
      <c r="AO2734" t="n">
        <v>0</v>
      </c>
      <c r="AP2734" t="inlineStr"/>
      <c r="AQ2734" t="inlineStr"/>
    </row>
    <row r="2735">
      <c r="A2735" t="inlineStr">
        <is>
          <t>MORRIS</t>
        </is>
      </c>
      <c r="B2735" s="2">
        <f>"8997016223399"</f>
        <v/>
      </c>
      <c r="C2735" t="inlineStr">
        <is>
          <t>MORRIS Eau De Parfum Gorgeous Glam Edition 100ml</t>
        </is>
      </c>
      <c r="D2735" t="inlineStr">
        <is>
          <t>Miss Glam Jambi</t>
        </is>
      </c>
      <c r="E2735" t="n">
        <v>10</v>
      </c>
      <c r="F2735" t="n">
        <v>0.066</v>
      </c>
      <c r="G2735" t="n">
        <v>0.66</v>
      </c>
      <c r="H2735" t="n">
        <v>2</v>
      </c>
      <c r="I2735" t="n">
        <v>3</v>
      </c>
      <c r="J2735" t="n">
        <v>3</v>
      </c>
      <c r="K2735" t="n">
        <v>0</v>
      </c>
      <c r="L2735" t="n">
        <v>30090</v>
      </c>
      <c r="M2735" t="n">
        <v>35500</v>
      </c>
      <c r="N2735" t="n">
        <v>33</v>
      </c>
      <c r="O2735" t="n">
        <v>0.33</v>
      </c>
      <c r="P2735" t="n">
        <v>1</v>
      </c>
      <c r="Q2735" t="n">
        <v>0.05</v>
      </c>
      <c r="R2735" t="n">
        <v>1</v>
      </c>
      <c r="S2735" t="n">
        <v>2343</v>
      </c>
      <c r="T2735" t="n">
        <v>2</v>
      </c>
      <c r="U2735" t="n">
        <v>3</v>
      </c>
      <c r="V2735" t="n">
        <v>30</v>
      </c>
      <c r="W2735" t="n">
        <v>2</v>
      </c>
      <c r="X2735" t="n">
        <v>151.5151515151515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1754</v>
      </c>
      <c r="AG2735" t="n">
        <v>2624</v>
      </c>
      <c r="AH2735" t="inlineStr">
        <is>
          <t>CV. USAHA MANDIRI - PPN (JMB)</t>
        </is>
      </c>
      <c r="AI2735" t="n">
        <v>834</v>
      </c>
      <c r="AJ2735" t="inlineStr">
        <is>
          <t>MORRIS</t>
        </is>
      </c>
      <c r="AK2735" t="n">
        <v>9</v>
      </c>
      <c r="AL2735" t="inlineStr">
        <is>
          <t>Miss Glam Jambi</t>
        </is>
      </c>
      <c r="AM2735" t="n">
        <v>3</v>
      </c>
      <c r="AN2735" t="n">
        <v>350000</v>
      </c>
      <c r="AO2735" t="n">
        <v>0</v>
      </c>
      <c r="AP2735" t="inlineStr"/>
      <c r="AQ2735" t="inlineStr"/>
    </row>
    <row r="2736">
      <c r="A2736" t="inlineStr">
        <is>
          <t>MORRIS</t>
        </is>
      </c>
      <c r="B2736" s="2">
        <f>"8997016222651"</f>
        <v/>
      </c>
      <c r="C2736" t="inlineStr">
        <is>
          <t>MORRIS Eau De Parfum Hijab Edition Marwa 110ml</t>
        </is>
      </c>
      <c r="D2736" t="inlineStr">
        <is>
          <t>Miss Glam Jambi</t>
        </is>
      </c>
      <c r="E2736" t="n">
        <v>10</v>
      </c>
      <c r="F2736" t="n">
        <v>0.006600000000000001</v>
      </c>
      <c r="G2736" t="n">
        <v>0.33</v>
      </c>
      <c r="H2736" t="n">
        <v>2</v>
      </c>
      <c r="I2736" t="n">
        <v>3</v>
      </c>
      <c r="J2736" t="n">
        <v>3</v>
      </c>
      <c r="K2736" t="n">
        <v>0</v>
      </c>
      <c r="L2736" t="n">
        <v>28305</v>
      </c>
      <c r="M2736" t="n">
        <v>33500</v>
      </c>
      <c r="N2736" t="n">
        <v>33</v>
      </c>
      <c r="O2736" t="n">
        <v>0.33</v>
      </c>
      <c r="P2736" t="n">
        <v>1</v>
      </c>
      <c r="Q2736" t="n">
        <v>0.02</v>
      </c>
      <c r="R2736" t="n">
        <v>1</v>
      </c>
      <c r="S2736" t="n">
        <v>221.1</v>
      </c>
      <c r="T2736" t="n">
        <v>1</v>
      </c>
      <c r="U2736" t="n">
        <v>2</v>
      </c>
      <c r="V2736" t="n">
        <v>30</v>
      </c>
      <c r="W2736" t="n">
        <v>1</v>
      </c>
      <c r="X2736" t="n">
        <v>1515.151515151515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1754</v>
      </c>
      <c r="AG2736" t="n">
        <v>2624</v>
      </c>
      <c r="AH2736" t="inlineStr">
        <is>
          <t>CV. USAHA MANDIRI - PPN (JMB)</t>
        </is>
      </c>
      <c r="AI2736" t="n">
        <v>834</v>
      </c>
      <c r="AJ2736" t="inlineStr">
        <is>
          <t>MORRIS</t>
        </is>
      </c>
      <c r="AK2736" t="n">
        <v>9</v>
      </c>
      <c r="AL2736" t="inlineStr">
        <is>
          <t>Miss Glam Jambi</t>
        </is>
      </c>
      <c r="AM2736" t="n">
        <v>3</v>
      </c>
      <c r="AN2736" t="n">
        <v>350000</v>
      </c>
      <c r="AO2736" t="n">
        <v>0</v>
      </c>
      <c r="AP2736" t="inlineStr"/>
      <c r="AQ2736" t="inlineStr"/>
    </row>
    <row r="2737">
      <c r="A2737" t="inlineStr">
        <is>
          <t>MORRIS</t>
        </is>
      </c>
      <c r="B2737" s="2">
        <f>"8997016222972"</f>
        <v/>
      </c>
      <c r="C2737" t="inlineStr">
        <is>
          <t>MORRIS Eau De Parfum Hijab Edition Sahara 110ml</t>
        </is>
      </c>
      <c r="D2737" t="inlineStr">
        <is>
          <t>Miss Glam Jambi</t>
        </is>
      </c>
      <c r="E2737" t="n">
        <v>4</v>
      </c>
      <c r="F2737" t="n">
        <v>0.02</v>
      </c>
      <c r="G2737" t="n">
        <v>1</v>
      </c>
      <c r="H2737" t="n">
        <v>2</v>
      </c>
      <c r="I2737" t="n">
        <v>3</v>
      </c>
      <c r="J2737" t="n">
        <v>3</v>
      </c>
      <c r="K2737" t="n">
        <v>0</v>
      </c>
      <c r="L2737" t="n">
        <v>28305</v>
      </c>
      <c r="M2737" t="n">
        <v>33500</v>
      </c>
      <c r="N2737" t="n">
        <v>33</v>
      </c>
      <c r="O2737" t="n">
        <v>0.33</v>
      </c>
      <c r="P2737" t="n">
        <v>0</v>
      </c>
      <c r="Q2737" t="n">
        <v>0.02</v>
      </c>
      <c r="R2737" t="n">
        <v>1</v>
      </c>
      <c r="S2737" t="n">
        <v>670</v>
      </c>
      <c r="T2737" t="n">
        <v>3</v>
      </c>
      <c r="U2737" t="n">
        <v>4</v>
      </c>
      <c r="V2737" t="n">
        <v>30</v>
      </c>
      <c r="W2737" t="n">
        <v>1</v>
      </c>
      <c r="X2737" t="n">
        <v>200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1754</v>
      </c>
      <c r="AG2737" t="n">
        <v>2624</v>
      </c>
      <c r="AH2737" t="inlineStr">
        <is>
          <t>CV. USAHA MANDIRI - PPN (JMB)</t>
        </is>
      </c>
      <c r="AI2737" t="n">
        <v>834</v>
      </c>
      <c r="AJ2737" t="inlineStr">
        <is>
          <t>MORRIS</t>
        </is>
      </c>
      <c r="AK2737" t="n">
        <v>9</v>
      </c>
      <c r="AL2737" t="inlineStr">
        <is>
          <t>Miss Glam Jambi</t>
        </is>
      </c>
      <c r="AM2737" t="n">
        <v>3</v>
      </c>
      <c r="AN2737" t="n">
        <v>350000</v>
      </c>
      <c r="AO2737" t="n">
        <v>0</v>
      </c>
      <c r="AP2737" t="inlineStr"/>
      <c r="AQ2737" t="inlineStr"/>
    </row>
    <row r="2738">
      <c r="A2738" t="inlineStr">
        <is>
          <t>MORRIS</t>
        </is>
      </c>
      <c r="B2738" s="2">
        <f>"8997016223344"</f>
        <v/>
      </c>
      <c r="C2738" t="inlineStr">
        <is>
          <t>MORRIS Eau De Parfum I Can Do It 110ml</t>
        </is>
      </c>
      <c r="D2738" t="inlineStr">
        <is>
          <t>Miss Glam Jambi</t>
        </is>
      </c>
      <c r="E2738" t="n">
        <v>2</v>
      </c>
      <c r="F2738" t="n">
        <v>0.0165</v>
      </c>
      <c r="G2738" t="n">
        <v>0.66</v>
      </c>
      <c r="H2738" t="n">
        <v>2</v>
      </c>
      <c r="I2738" t="n">
        <v>3</v>
      </c>
      <c r="J2738" t="n">
        <v>3</v>
      </c>
      <c r="K2738" t="n">
        <v>0</v>
      </c>
      <c r="L2738" t="n">
        <v>28305</v>
      </c>
      <c r="M2738" t="n">
        <v>38500</v>
      </c>
      <c r="N2738" t="n">
        <v>33</v>
      </c>
      <c r="O2738" t="n">
        <v>0.33</v>
      </c>
      <c r="P2738" t="n">
        <v>1</v>
      </c>
      <c r="Q2738" t="n">
        <v>0.03</v>
      </c>
      <c r="R2738" t="n">
        <v>1</v>
      </c>
      <c r="S2738" t="n">
        <v>635.25</v>
      </c>
      <c r="T2738" t="n">
        <v>2</v>
      </c>
      <c r="U2738" t="n">
        <v>3</v>
      </c>
      <c r="V2738" t="n">
        <v>30</v>
      </c>
      <c r="W2738" t="n">
        <v>1</v>
      </c>
      <c r="X2738" t="n">
        <v>121.2121212121212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1754</v>
      </c>
      <c r="AG2738" t="n">
        <v>2624</v>
      </c>
      <c r="AH2738" t="inlineStr">
        <is>
          <t>CV. USAHA MANDIRI - PPN (JMB)</t>
        </is>
      </c>
      <c r="AI2738" t="n">
        <v>834</v>
      </c>
      <c r="AJ2738" t="inlineStr">
        <is>
          <t>MORRIS</t>
        </is>
      </c>
      <c r="AK2738" t="n">
        <v>9</v>
      </c>
      <c r="AL2738" t="inlineStr">
        <is>
          <t>Miss Glam Jambi</t>
        </is>
      </c>
      <c r="AM2738" t="n">
        <v>3</v>
      </c>
      <c r="AN2738" t="n">
        <v>350000</v>
      </c>
      <c r="AO2738" t="n">
        <v>0</v>
      </c>
      <c r="AP2738" t="inlineStr"/>
      <c r="AQ2738" t="inlineStr"/>
    </row>
    <row r="2739">
      <c r="A2739" t="inlineStr">
        <is>
          <t>MORRIS</t>
        </is>
      </c>
      <c r="B2739" s="2">
        <f>"8997016223870"</f>
        <v/>
      </c>
      <c r="C2739" t="inlineStr">
        <is>
          <t>MORRIS Eau De Parfum Love Elixir Frosted Edition 100ml</t>
        </is>
      </c>
      <c r="D2739" t="inlineStr">
        <is>
          <t>Miss Glam Jambi</t>
        </is>
      </c>
      <c r="E2739" t="n">
        <v>7</v>
      </c>
      <c r="F2739" t="n">
        <v>0.0165</v>
      </c>
      <c r="G2739" t="n">
        <v>0.33</v>
      </c>
      <c r="H2739" t="n">
        <v>2</v>
      </c>
      <c r="I2739" t="n">
        <v>3</v>
      </c>
      <c r="J2739" t="n">
        <v>3</v>
      </c>
      <c r="K2739" t="n">
        <v>0</v>
      </c>
      <c r="L2739" t="n">
        <v>32079</v>
      </c>
      <c r="M2739" t="n">
        <v>37500</v>
      </c>
      <c r="N2739" t="n">
        <v>33</v>
      </c>
      <c r="O2739" t="n">
        <v>0.33</v>
      </c>
      <c r="P2739" t="n">
        <v>1</v>
      </c>
      <c r="Q2739" t="n">
        <v>0.07000000000000001</v>
      </c>
      <c r="R2739" t="n">
        <v>2</v>
      </c>
      <c r="S2739" t="n">
        <v>618.75</v>
      </c>
      <c r="T2739" t="n">
        <v>1</v>
      </c>
      <c r="U2739" t="n">
        <v>2</v>
      </c>
      <c r="V2739" t="n">
        <v>30</v>
      </c>
      <c r="W2739" t="n">
        <v>1</v>
      </c>
      <c r="X2739" t="n">
        <v>424.2424242424242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1754</v>
      </c>
      <c r="AG2739" t="n">
        <v>2624</v>
      </c>
      <c r="AH2739" t="inlineStr">
        <is>
          <t>CV. USAHA MANDIRI - PPN (JMB)</t>
        </is>
      </c>
      <c r="AI2739" t="n">
        <v>834</v>
      </c>
      <c r="AJ2739" t="inlineStr">
        <is>
          <t>MORRIS</t>
        </is>
      </c>
      <c r="AK2739" t="n">
        <v>9</v>
      </c>
      <c r="AL2739" t="inlineStr">
        <is>
          <t>Miss Glam Jambi</t>
        </is>
      </c>
      <c r="AM2739" t="n">
        <v>3</v>
      </c>
      <c r="AN2739" t="n">
        <v>350000</v>
      </c>
      <c r="AO2739" t="n">
        <v>0</v>
      </c>
      <c r="AP2739" t="inlineStr"/>
      <c r="AQ2739" t="inlineStr"/>
    </row>
    <row r="2740">
      <c r="A2740" t="inlineStr">
        <is>
          <t>MORRIS</t>
        </is>
      </c>
      <c r="B2740" s="2">
        <f>"8997016222729"</f>
        <v/>
      </c>
      <c r="C2740" t="inlineStr">
        <is>
          <t>MORRIS Eau De Parfum Marine 50ml</t>
        </is>
      </c>
      <c r="D2740" t="inlineStr">
        <is>
          <t>Miss Glam Jambi</t>
        </is>
      </c>
      <c r="E2740" t="n">
        <v>2</v>
      </c>
      <c r="F2740" t="n">
        <v>0.0561</v>
      </c>
      <c r="G2740" t="n">
        <v>0.99</v>
      </c>
      <c r="H2740" t="n">
        <v>2</v>
      </c>
      <c r="I2740" t="n">
        <v>3</v>
      </c>
      <c r="J2740" t="n">
        <v>3</v>
      </c>
      <c r="K2740" t="n">
        <v>0</v>
      </c>
      <c r="L2740" t="n">
        <v>19625</v>
      </c>
      <c r="M2740" t="n">
        <v>25000</v>
      </c>
      <c r="N2740" t="n">
        <v>33</v>
      </c>
      <c r="O2740" t="n">
        <v>0.33</v>
      </c>
      <c r="P2740" t="n">
        <v>1</v>
      </c>
      <c r="Q2740" t="n">
        <v>0.02</v>
      </c>
      <c r="R2740" t="n">
        <v>1</v>
      </c>
      <c r="S2740" t="n">
        <v>1402.5</v>
      </c>
      <c r="T2740" t="n">
        <v>3</v>
      </c>
      <c r="U2740" t="n">
        <v>4</v>
      </c>
      <c r="V2740" t="n">
        <v>30</v>
      </c>
      <c r="W2740" t="n">
        <v>2</v>
      </c>
      <c r="X2740" t="n">
        <v>35.650623885918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1754</v>
      </c>
      <c r="AG2740" t="n">
        <v>2624</v>
      </c>
      <c r="AH2740" t="inlineStr">
        <is>
          <t>CV. USAHA MANDIRI - PPN (JMB)</t>
        </is>
      </c>
      <c r="AI2740" t="n">
        <v>834</v>
      </c>
      <c r="AJ2740" t="inlineStr">
        <is>
          <t>MORRIS</t>
        </is>
      </c>
      <c r="AK2740" t="n">
        <v>9</v>
      </c>
      <c r="AL2740" t="inlineStr">
        <is>
          <t>Miss Glam Jambi</t>
        </is>
      </c>
      <c r="AM2740" t="n">
        <v>3</v>
      </c>
      <c r="AN2740" t="n">
        <v>350000</v>
      </c>
      <c r="AO2740" t="n">
        <v>0</v>
      </c>
      <c r="AP2740" t="inlineStr"/>
      <c r="AQ2740" t="inlineStr"/>
    </row>
    <row r="2741">
      <c r="A2741" t="inlineStr">
        <is>
          <t>MORRIS</t>
        </is>
      </c>
      <c r="B2741" s="2">
        <f>"8997016223405"</f>
        <v/>
      </c>
      <c r="C2741" t="inlineStr">
        <is>
          <t>MORRIS Eau De Parfum Midnight Love Glam Edition 100ml</t>
        </is>
      </c>
      <c r="D2741" t="inlineStr">
        <is>
          <t>Miss Glam Jambi</t>
        </is>
      </c>
      <c r="E2741" t="n">
        <v>7</v>
      </c>
      <c r="F2741" t="n">
        <v>0.0825</v>
      </c>
      <c r="G2741" t="n">
        <v>0.66</v>
      </c>
      <c r="H2741" t="n">
        <v>2</v>
      </c>
      <c r="I2741" t="n">
        <v>3</v>
      </c>
      <c r="J2741" t="n">
        <v>3</v>
      </c>
      <c r="K2741" t="n">
        <v>0</v>
      </c>
      <c r="L2741" t="n">
        <v>30192</v>
      </c>
      <c r="M2741" t="n">
        <v>35500</v>
      </c>
      <c r="N2741" t="n">
        <v>33</v>
      </c>
      <c r="O2741" t="n">
        <v>0.33</v>
      </c>
      <c r="P2741" t="n">
        <v>1</v>
      </c>
      <c r="Q2741" t="n">
        <v>0.2</v>
      </c>
      <c r="R2741" t="n">
        <v>2</v>
      </c>
      <c r="S2741" t="n">
        <v>2928.75</v>
      </c>
      <c r="T2741" t="n">
        <v>2</v>
      </c>
      <c r="U2741" t="n">
        <v>3</v>
      </c>
      <c r="V2741" t="n">
        <v>30</v>
      </c>
      <c r="W2741" t="n">
        <v>3</v>
      </c>
      <c r="X2741" t="n">
        <v>84.84848484848484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1754</v>
      </c>
      <c r="AG2741" t="n">
        <v>2624</v>
      </c>
      <c r="AH2741" t="inlineStr">
        <is>
          <t>CV. USAHA MANDIRI - PPN (JMB)</t>
        </is>
      </c>
      <c r="AI2741" t="n">
        <v>834</v>
      </c>
      <c r="AJ2741" t="inlineStr">
        <is>
          <t>MORRIS</t>
        </is>
      </c>
      <c r="AK2741" t="n">
        <v>9</v>
      </c>
      <c r="AL2741" t="inlineStr">
        <is>
          <t>Miss Glam Jambi</t>
        </is>
      </c>
      <c r="AM2741" t="n">
        <v>3</v>
      </c>
      <c r="AN2741" t="n">
        <v>350000</v>
      </c>
      <c r="AO2741" t="n">
        <v>0</v>
      </c>
      <c r="AP2741" t="inlineStr"/>
      <c r="AQ2741" t="inlineStr"/>
    </row>
    <row r="2742">
      <c r="A2742" t="inlineStr">
        <is>
          <t>MORRIS</t>
        </is>
      </c>
      <c r="B2742" s="2">
        <f>"8997016222743"</f>
        <v/>
      </c>
      <c r="C2742" t="inlineStr">
        <is>
          <t>MORRIS Eau De Parfum Paradise 50ml</t>
        </is>
      </c>
      <c r="D2742" t="inlineStr">
        <is>
          <t>Miss Glam Jambi</t>
        </is>
      </c>
      <c r="E2742" t="n">
        <v>4</v>
      </c>
      <c r="F2742" t="n">
        <v>0.0462</v>
      </c>
      <c r="G2742" t="n">
        <v>0.66</v>
      </c>
      <c r="H2742" t="n">
        <v>2</v>
      </c>
      <c r="I2742" t="n">
        <v>3</v>
      </c>
      <c r="J2742" t="n">
        <v>3</v>
      </c>
      <c r="K2742" t="n">
        <v>0</v>
      </c>
      <c r="L2742" t="n">
        <v>19625</v>
      </c>
      <c r="M2742" t="n">
        <v>25000</v>
      </c>
      <c r="N2742" t="n">
        <v>33</v>
      </c>
      <c r="O2742" t="n">
        <v>0.33</v>
      </c>
      <c r="P2742" t="n">
        <v>1</v>
      </c>
      <c r="Q2742" t="n">
        <v>0.02</v>
      </c>
      <c r="R2742" t="n">
        <v>0</v>
      </c>
      <c r="S2742" t="n">
        <v>1155</v>
      </c>
      <c r="T2742" t="n">
        <v>2</v>
      </c>
      <c r="U2742" t="n">
        <v>3</v>
      </c>
      <c r="V2742" t="n">
        <v>30</v>
      </c>
      <c r="W2742" t="n">
        <v>2</v>
      </c>
      <c r="X2742" t="n">
        <v>86.58008658008657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1754</v>
      </c>
      <c r="AG2742" t="n">
        <v>2624</v>
      </c>
      <c r="AH2742" t="inlineStr">
        <is>
          <t>CV. USAHA MANDIRI - PPN (JMB)</t>
        </is>
      </c>
      <c r="AI2742" t="n">
        <v>834</v>
      </c>
      <c r="AJ2742" t="inlineStr">
        <is>
          <t>MORRIS</t>
        </is>
      </c>
      <c r="AK2742" t="n">
        <v>9</v>
      </c>
      <c r="AL2742" t="inlineStr">
        <is>
          <t>Miss Glam Jambi</t>
        </is>
      </c>
      <c r="AM2742" t="n">
        <v>3</v>
      </c>
      <c r="AN2742" t="n">
        <v>350000</v>
      </c>
      <c r="AO2742" t="n">
        <v>0</v>
      </c>
      <c r="AP2742" t="inlineStr"/>
      <c r="AQ2742" t="inlineStr"/>
    </row>
    <row r="2743">
      <c r="A2743" t="inlineStr">
        <is>
          <t>MORRIS</t>
        </is>
      </c>
      <c r="B2743" s="2">
        <f>"8997016223351"</f>
        <v/>
      </c>
      <c r="C2743" t="inlineStr">
        <is>
          <t>MORRIS Eau De Parfum Pure Romantic Glam Edition 100ml</t>
        </is>
      </c>
      <c r="D2743" t="inlineStr">
        <is>
          <t>Miss Glam Jambi</t>
        </is>
      </c>
      <c r="E2743" t="n">
        <v>12</v>
      </c>
      <c r="F2743" t="n">
        <v>0.1452</v>
      </c>
      <c r="G2743" t="n">
        <v>0.66</v>
      </c>
      <c r="H2743" t="n">
        <v>2</v>
      </c>
      <c r="I2743" t="n">
        <v>3</v>
      </c>
      <c r="J2743" t="n">
        <v>3</v>
      </c>
      <c r="K2743" t="n">
        <v>0</v>
      </c>
      <c r="L2743" t="n">
        <v>30192</v>
      </c>
      <c r="M2743" t="n">
        <v>35500</v>
      </c>
      <c r="N2743" t="n">
        <v>33</v>
      </c>
      <c r="O2743" t="n">
        <v>0.33</v>
      </c>
      <c r="P2743" t="n">
        <v>1</v>
      </c>
      <c r="Q2743" t="n">
        <v>0.19</v>
      </c>
      <c r="R2743" t="n">
        <v>2</v>
      </c>
      <c r="S2743" t="n">
        <v>5154.599999999999</v>
      </c>
      <c r="T2743" t="n">
        <v>2</v>
      </c>
      <c r="U2743" t="n">
        <v>3</v>
      </c>
      <c r="V2743" t="n">
        <v>30</v>
      </c>
      <c r="W2743" t="n">
        <v>5</v>
      </c>
      <c r="X2743" t="n">
        <v>82.64462809917356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1754</v>
      </c>
      <c r="AG2743" t="n">
        <v>2624</v>
      </c>
      <c r="AH2743" t="inlineStr">
        <is>
          <t>CV. USAHA MANDIRI - PPN (JMB)</t>
        </is>
      </c>
      <c r="AI2743" t="n">
        <v>834</v>
      </c>
      <c r="AJ2743" t="inlineStr">
        <is>
          <t>MORRIS</t>
        </is>
      </c>
      <c r="AK2743" t="n">
        <v>9</v>
      </c>
      <c r="AL2743" t="inlineStr">
        <is>
          <t>Miss Glam Jambi</t>
        </is>
      </c>
      <c r="AM2743" t="n">
        <v>3</v>
      </c>
      <c r="AN2743" t="n">
        <v>350000</v>
      </c>
      <c r="AO2743" t="n">
        <v>0</v>
      </c>
      <c r="AP2743" t="inlineStr"/>
      <c r="AQ2743" t="inlineStr"/>
    </row>
    <row r="2744">
      <c r="A2744" t="inlineStr">
        <is>
          <t>MORRIS</t>
        </is>
      </c>
      <c r="B2744" s="2">
        <f>"8997016222736"</f>
        <v/>
      </c>
      <c r="C2744" t="inlineStr">
        <is>
          <t>MORRIS Eau De Parfum Romance 50ml</t>
        </is>
      </c>
      <c r="D2744" t="inlineStr">
        <is>
          <t>Miss Glam Jambi</t>
        </is>
      </c>
      <c r="E2744" t="n">
        <v>5</v>
      </c>
      <c r="F2744" t="n">
        <v>0.33</v>
      </c>
      <c r="G2744" t="n">
        <v>1.98</v>
      </c>
      <c r="H2744" t="n">
        <v>2</v>
      </c>
      <c r="I2744" t="n">
        <v>3</v>
      </c>
      <c r="J2744" t="n">
        <v>3</v>
      </c>
      <c r="K2744" t="n">
        <v>0</v>
      </c>
      <c r="L2744" t="n">
        <v>19624</v>
      </c>
      <c r="M2744" t="n">
        <v>25000</v>
      </c>
      <c r="N2744" t="n">
        <v>33</v>
      </c>
      <c r="O2744" t="n">
        <v>0.33</v>
      </c>
      <c r="P2744" t="n">
        <v>1</v>
      </c>
      <c r="Q2744" t="n">
        <v>0.12</v>
      </c>
      <c r="R2744" t="n">
        <v>2</v>
      </c>
      <c r="S2744" t="n">
        <v>8250</v>
      </c>
      <c r="T2744" t="n">
        <v>6</v>
      </c>
      <c r="U2744" t="n">
        <v>7</v>
      </c>
      <c r="V2744" t="n">
        <v>30</v>
      </c>
      <c r="W2744" t="n">
        <v>10</v>
      </c>
      <c r="X2744" t="n">
        <v>15.15151515151515</v>
      </c>
      <c r="Y2744" t="n">
        <v>1</v>
      </c>
      <c r="Z2744" t="n">
        <v>5</v>
      </c>
      <c r="AA2744" t="n">
        <v>0</v>
      </c>
      <c r="AB2744" t="n">
        <v>5</v>
      </c>
      <c r="AC2744" t="n">
        <v>5</v>
      </c>
      <c r="AD2744" t="n">
        <v>0</v>
      </c>
      <c r="AE2744" t="n">
        <v>98120</v>
      </c>
      <c r="AF2744" t="n">
        <v>1754</v>
      </c>
      <c r="AG2744" t="n">
        <v>2624</v>
      </c>
      <c r="AH2744" t="inlineStr">
        <is>
          <t>CV. USAHA MANDIRI - PPN (JMB)</t>
        </is>
      </c>
      <c r="AI2744" t="n">
        <v>834</v>
      </c>
      <c r="AJ2744" t="inlineStr">
        <is>
          <t>MORRIS</t>
        </is>
      </c>
      <c r="AK2744" t="n">
        <v>9</v>
      </c>
      <c r="AL2744" t="inlineStr">
        <is>
          <t>Miss Glam Jambi</t>
        </is>
      </c>
      <c r="AM2744" t="n">
        <v>3</v>
      </c>
      <c r="AN2744" t="n">
        <v>350000</v>
      </c>
      <c r="AO2744" t="n">
        <v>0</v>
      </c>
      <c r="AP2744" t="inlineStr"/>
      <c r="AQ2744" t="inlineStr"/>
    </row>
    <row r="2745">
      <c r="A2745" t="inlineStr">
        <is>
          <t>MORRIS</t>
        </is>
      </c>
      <c r="B2745" s="2">
        <f>"8997016223894"</f>
        <v/>
      </c>
      <c r="C2745" t="inlineStr">
        <is>
          <t>MORRIS Eau De Parfum Sky Garden Frosted Edition 100ml</t>
        </is>
      </c>
      <c r="D2745" t="inlineStr">
        <is>
          <t>Miss Glam Jambi</t>
        </is>
      </c>
      <c r="E2745" t="n">
        <v>2</v>
      </c>
      <c r="F2745" t="n">
        <v>0.033</v>
      </c>
      <c r="G2745" t="n">
        <v>0.33</v>
      </c>
      <c r="H2745" t="n">
        <v>2</v>
      </c>
      <c r="I2745" t="n">
        <v>3</v>
      </c>
      <c r="J2745" t="n">
        <v>3</v>
      </c>
      <c r="K2745" t="n">
        <v>0</v>
      </c>
      <c r="L2745" t="n">
        <v>32079</v>
      </c>
      <c r="M2745" t="n">
        <v>37500</v>
      </c>
      <c r="N2745" t="n">
        <v>33</v>
      </c>
      <c r="O2745" t="n">
        <v>0.33</v>
      </c>
      <c r="P2745" t="n">
        <v>1</v>
      </c>
      <c r="Q2745" t="n">
        <v>0.07000000000000001</v>
      </c>
      <c r="R2745" t="n">
        <v>1</v>
      </c>
      <c r="S2745" t="n">
        <v>1237.5</v>
      </c>
      <c r="T2745" t="n">
        <v>1</v>
      </c>
      <c r="U2745" t="n">
        <v>2</v>
      </c>
      <c r="V2745" t="n">
        <v>30</v>
      </c>
      <c r="W2745" t="n">
        <v>1</v>
      </c>
      <c r="X2745" t="n">
        <v>60.6060606060606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1754</v>
      </c>
      <c r="AG2745" t="n">
        <v>2624</v>
      </c>
      <c r="AH2745" t="inlineStr">
        <is>
          <t>CV. USAHA MANDIRI - PPN (JMB)</t>
        </is>
      </c>
      <c r="AI2745" t="n">
        <v>834</v>
      </c>
      <c r="AJ2745" t="inlineStr">
        <is>
          <t>MORRIS</t>
        </is>
      </c>
      <c r="AK2745" t="n">
        <v>9</v>
      </c>
      <c r="AL2745" t="inlineStr">
        <is>
          <t>Miss Glam Jambi</t>
        </is>
      </c>
      <c r="AM2745" t="n">
        <v>3</v>
      </c>
      <c r="AN2745" t="n">
        <v>350000</v>
      </c>
      <c r="AO2745" t="n">
        <v>0</v>
      </c>
      <c r="AP2745" t="inlineStr"/>
      <c r="AQ2745" t="inlineStr"/>
    </row>
    <row r="2746">
      <c r="A2746" t="inlineStr">
        <is>
          <t>MORRIS</t>
        </is>
      </c>
      <c r="B2746" s="2">
        <f>"8997016223382"</f>
        <v/>
      </c>
      <c r="C2746" t="inlineStr">
        <is>
          <t>MORRIS Eau De Parfum So Pretty Glam Edition 100ml</t>
        </is>
      </c>
      <c r="D2746" t="inlineStr">
        <is>
          <t>Miss Glam Jambi</t>
        </is>
      </c>
      <c r="E2746" t="n">
        <v>2</v>
      </c>
      <c r="F2746" t="n">
        <v>0.066</v>
      </c>
      <c r="G2746" t="n">
        <v>0.66</v>
      </c>
      <c r="H2746" t="n">
        <v>2</v>
      </c>
      <c r="I2746" t="n">
        <v>3</v>
      </c>
      <c r="J2746" t="n">
        <v>3</v>
      </c>
      <c r="K2746" t="n">
        <v>0</v>
      </c>
      <c r="L2746" t="n">
        <v>30192</v>
      </c>
      <c r="M2746" t="n">
        <v>35500</v>
      </c>
      <c r="N2746" t="n">
        <v>33</v>
      </c>
      <c r="O2746" t="n">
        <v>0.33</v>
      </c>
      <c r="P2746" t="n">
        <v>1</v>
      </c>
      <c r="Q2746" t="n">
        <v>0.02</v>
      </c>
      <c r="R2746" t="n">
        <v>1</v>
      </c>
      <c r="S2746" t="n">
        <v>2343</v>
      </c>
      <c r="T2746" t="n">
        <v>2</v>
      </c>
      <c r="U2746" t="n">
        <v>3</v>
      </c>
      <c r="V2746" t="n">
        <v>30</v>
      </c>
      <c r="W2746" t="n">
        <v>2</v>
      </c>
      <c r="X2746" t="n">
        <v>30.3030303030303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1754</v>
      </c>
      <c r="AG2746" t="n">
        <v>2624</v>
      </c>
      <c r="AH2746" t="inlineStr">
        <is>
          <t>CV. USAHA MANDIRI - PPN (JMB)</t>
        </is>
      </c>
      <c r="AI2746" t="n">
        <v>834</v>
      </c>
      <c r="AJ2746" t="inlineStr">
        <is>
          <t>MORRIS</t>
        </is>
      </c>
      <c r="AK2746" t="n">
        <v>9</v>
      </c>
      <c r="AL2746" t="inlineStr">
        <is>
          <t>Miss Glam Jambi</t>
        </is>
      </c>
      <c r="AM2746" t="n">
        <v>3</v>
      </c>
      <c r="AN2746" t="n">
        <v>350000</v>
      </c>
      <c r="AO2746" t="n">
        <v>0</v>
      </c>
      <c r="AP2746" t="inlineStr"/>
      <c r="AQ2746" t="inlineStr"/>
    </row>
    <row r="2747">
      <c r="A2747" t="inlineStr">
        <is>
          <t>MORRIS</t>
        </is>
      </c>
      <c r="B2747" s="2">
        <f>"8997016223153"</f>
        <v/>
      </c>
      <c r="C2747" t="inlineStr">
        <is>
          <t>MORRIS Eau De Parfum Special Iron Man 100ml</t>
        </is>
      </c>
      <c r="D2747" t="inlineStr">
        <is>
          <t>Miss Glam Jambi</t>
        </is>
      </c>
      <c r="E2747" t="n">
        <v>6</v>
      </c>
      <c r="F2747" t="n">
        <v>0.009900000000000001</v>
      </c>
      <c r="G2747" t="n">
        <v>0.33</v>
      </c>
      <c r="H2747" t="n">
        <v>2</v>
      </c>
      <c r="I2747" t="n">
        <v>3</v>
      </c>
      <c r="J2747" t="n">
        <v>3</v>
      </c>
      <c r="K2747" t="n">
        <v>0</v>
      </c>
      <c r="L2747" t="n">
        <v>28305</v>
      </c>
      <c r="M2747" t="n">
        <v>36000</v>
      </c>
      <c r="N2747" t="n">
        <v>33</v>
      </c>
      <c r="O2747" t="n">
        <v>0.33</v>
      </c>
      <c r="P2747" t="n">
        <v>1</v>
      </c>
      <c r="Q2747" t="n">
        <v>0.02</v>
      </c>
      <c r="R2747" t="n">
        <v>1</v>
      </c>
      <c r="S2747" t="n">
        <v>356.4</v>
      </c>
      <c r="T2747" t="n">
        <v>1</v>
      </c>
      <c r="U2747" t="n">
        <v>2</v>
      </c>
      <c r="V2747" t="n">
        <v>30</v>
      </c>
      <c r="W2747" t="n">
        <v>1</v>
      </c>
      <c r="X2747" t="n">
        <v>606.060606060606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1754</v>
      </c>
      <c r="AG2747" t="n">
        <v>2624</v>
      </c>
      <c r="AH2747" t="inlineStr">
        <is>
          <t>CV. USAHA MANDIRI - PPN (JMB)</t>
        </is>
      </c>
      <c r="AI2747" t="n">
        <v>834</v>
      </c>
      <c r="AJ2747" t="inlineStr">
        <is>
          <t>MORRIS</t>
        </is>
      </c>
      <c r="AK2747" t="n">
        <v>9</v>
      </c>
      <c r="AL2747" t="inlineStr">
        <is>
          <t>Miss Glam Jambi</t>
        </is>
      </c>
      <c r="AM2747" t="n">
        <v>3</v>
      </c>
      <c r="AN2747" t="n">
        <v>350000</v>
      </c>
      <c r="AO2747" t="n">
        <v>0</v>
      </c>
      <c r="AP2747" t="inlineStr"/>
      <c r="AQ2747" t="inlineStr"/>
    </row>
    <row r="2748">
      <c r="A2748" t="inlineStr">
        <is>
          <t>MORRIS</t>
        </is>
      </c>
      <c r="B2748" s="2">
        <f>"8997016223313"</f>
        <v/>
      </c>
      <c r="C2748" t="inlineStr">
        <is>
          <t>MORRIS Eau De Parfum Surprise Me 110ml</t>
        </is>
      </c>
      <c r="D2748" t="inlineStr">
        <is>
          <t>Miss Glam Jambi</t>
        </is>
      </c>
      <c r="E2748" t="n">
        <v>9</v>
      </c>
      <c r="F2748" t="n">
        <v>0.0264</v>
      </c>
      <c r="G2748" t="n">
        <v>0.66</v>
      </c>
      <c r="H2748" t="n">
        <v>2</v>
      </c>
      <c r="I2748" t="n">
        <v>3</v>
      </c>
      <c r="J2748" t="n">
        <v>3</v>
      </c>
      <c r="K2748" t="n">
        <v>0</v>
      </c>
      <c r="L2748" t="n">
        <v>28305</v>
      </c>
      <c r="M2748" t="n">
        <v>38500</v>
      </c>
      <c r="N2748" t="n">
        <v>33</v>
      </c>
      <c r="O2748" t="n">
        <v>0.33</v>
      </c>
      <c r="P2748" t="n">
        <v>1</v>
      </c>
      <c r="Q2748" t="n">
        <v>0.05</v>
      </c>
      <c r="R2748" t="n">
        <v>1</v>
      </c>
      <c r="S2748" t="n">
        <v>1016.4</v>
      </c>
      <c r="T2748" t="n">
        <v>2</v>
      </c>
      <c r="U2748" t="n">
        <v>3</v>
      </c>
      <c r="V2748" t="n">
        <v>30</v>
      </c>
      <c r="W2748" t="n">
        <v>1</v>
      </c>
      <c r="X2748" t="n">
        <v>340.9090909090909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1754</v>
      </c>
      <c r="AG2748" t="n">
        <v>2624</v>
      </c>
      <c r="AH2748" t="inlineStr">
        <is>
          <t>CV. USAHA MANDIRI - PPN (JMB)</t>
        </is>
      </c>
      <c r="AI2748" t="n">
        <v>834</v>
      </c>
      <c r="AJ2748" t="inlineStr">
        <is>
          <t>MORRIS</t>
        </is>
      </c>
      <c r="AK2748" t="n">
        <v>9</v>
      </c>
      <c r="AL2748" t="inlineStr">
        <is>
          <t>Miss Glam Jambi</t>
        </is>
      </c>
      <c r="AM2748" t="n">
        <v>3</v>
      </c>
      <c r="AN2748" t="n">
        <v>350000</v>
      </c>
      <c r="AO2748" t="n">
        <v>0</v>
      </c>
      <c r="AP2748" t="inlineStr"/>
      <c r="AQ2748" t="inlineStr"/>
    </row>
    <row r="2749">
      <c r="A2749" t="inlineStr">
        <is>
          <t>MORRIS</t>
        </is>
      </c>
      <c r="B2749" s="2">
        <f>"8997016222750"</f>
        <v/>
      </c>
      <c r="C2749" t="inlineStr">
        <is>
          <t>MORRIS Eau De Parfum Travel Edition Cappadocia 100ml</t>
        </is>
      </c>
      <c r="D2749" t="inlineStr">
        <is>
          <t>Miss Glam Jambi</t>
        </is>
      </c>
      <c r="E2749" t="n">
        <v>5</v>
      </c>
      <c r="F2749" t="n">
        <v>0.0264</v>
      </c>
      <c r="G2749" t="n">
        <v>0.33</v>
      </c>
      <c r="H2749" t="n">
        <v>2</v>
      </c>
      <c r="I2749" t="n">
        <v>3</v>
      </c>
      <c r="J2749" t="n">
        <v>3</v>
      </c>
      <c r="K2749" t="n">
        <v>0</v>
      </c>
      <c r="L2749" t="n">
        <v>28305</v>
      </c>
      <c r="M2749" t="n">
        <v>36000</v>
      </c>
      <c r="N2749" t="n">
        <v>33</v>
      </c>
      <c r="O2749" t="n">
        <v>0.33</v>
      </c>
      <c r="P2749" t="n">
        <v>1</v>
      </c>
      <c r="Q2749" t="n">
        <v>0.02</v>
      </c>
      <c r="R2749" t="n">
        <v>1</v>
      </c>
      <c r="S2749" t="n">
        <v>950.4000000000001</v>
      </c>
      <c r="T2749" t="n">
        <v>1</v>
      </c>
      <c r="U2749" t="n">
        <v>2</v>
      </c>
      <c r="V2749" t="n">
        <v>30</v>
      </c>
      <c r="W2749" t="n">
        <v>1</v>
      </c>
      <c r="X2749" t="n">
        <v>189.3939393939394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1754</v>
      </c>
      <c r="AG2749" t="n">
        <v>2624</v>
      </c>
      <c r="AH2749" t="inlineStr">
        <is>
          <t>CV. USAHA MANDIRI - PPN (JMB)</t>
        </is>
      </c>
      <c r="AI2749" t="n">
        <v>834</v>
      </c>
      <c r="AJ2749" t="inlineStr">
        <is>
          <t>MORRIS</t>
        </is>
      </c>
      <c r="AK2749" t="n">
        <v>9</v>
      </c>
      <c r="AL2749" t="inlineStr">
        <is>
          <t>Miss Glam Jambi</t>
        </is>
      </c>
      <c r="AM2749" t="n">
        <v>3</v>
      </c>
      <c r="AN2749" t="n">
        <v>350000</v>
      </c>
      <c r="AO2749" t="n">
        <v>0</v>
      </c>
      <c r="AP2749" t="inlineStr"/>
      <c r="AQ2749" t="inlineStr"/>
    </row>
    <row r="2750">
      <c r="A2750" t="inlineStr">
        <is>
          <t>MORRIS</t>
        </is>
      </c>
      <c r="B2750" s="2">
        <f>"8997016222804"</f>
        <v/>
      </c>
      <c r="C2750" t="inlineStr">
        <is>
          <t>MORRIS Eau De Parfum Travel Edition Hokkaido 100ml</t>
        </is>
      </c>
      <c r="D2750" t="inlineStr">
        <is>
          <t>Miss Glam Jambi</t>
        </is>
      </c>
      <c r="E2750" t="n">
        <v>7</v>
      </c>
      <c r="F2750" t="n">
        <v>0.06270000000000001</v>
      </c>
      <c r="G2750" t="n">
        <v>0.33</v>
      </c>
      <c r="H2750" t="n">
        <v>2</v>
      </c>
      <c r="I2750" t="n">
        <v>3</v>
      </c>
      <c r="J2750" t="n">
        <v>3</v>
      </c>
      <c r="K2750" t="n">
        <v>0</v>
      </c>
      <c r="L2750" t="n">
        <v>28305</v>
      </c>
      <c r="M2750" t="n">
        <v>36000</v>
      </c>
      <c r="N2750" t="n">
        <v>33</v>
      </c>
      <c r="O2750" t="n">
        <v>0.33</v>
      </c>
      <c r="P2750" t="n">
        <v>1</v>
      </c>
      <c r="Q2750" t="n">
        <v>0.05</v>
      </c>
      <c r="R2750" t="n">
        <v>1</v>
      </c>
      <c r="S2750" t="n">
        <v>2257.2</v>
      </c>
      <c r="T2750" t="n">
        <v>1</v>
      </c>
      <c r="U2750" t="n">
        <v>2</v>
      </c>
      <c r="V2750" t="n">
        <v>30</v>
      </c>
      <c r="W2750" t="n">
        <v>2</v>
      </c>
      <c r="X2750" t="n">
        <v>111.6427432216906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1754</v>
      </c>
      <c r="AG2750" t="n">
        <v>2624</v>
      </c>
      <c r="AH2750" t="inlineStr">
        <is>
          <t>CV. USAHA MANDIRI - PPN (JMB)</t>
        </is>
      </c>
      <c r="AI2750" t="n">
        <v>834</v>
      </c>
      <c r="AJ2750" t="inlineStr">
        <is>
          <t>MORRIS</t>
        </is>
      </c>
      <c r="AK2750" t="n">
        <v>9</v>
      </c>
      <c r="AL2750" t="inlineStr">
        <is>
          <t>Miss Glam Jambi</t>
        </is>
      </c>
      <c r="AM2750" t="n">
        <v>3</v>
      </c>
      <c r="AN2750" t="n">
        <v>350000</v>
      </c>
      <c r="AO2750" t="n">
        <v>0</v>
      </c>
      <c r="AP2750" t="inlineStr"/>
      <c r="AQ2750" t="inlineStr"/>
    </row>
    <row r="2751">
      <c r="A2751" t="inlineStr">
        <is>
          <t>MORRIS</t>
        </is>
      </c>
      <c r="B2751" s="2">
        <f>"8997016222767"</f>
        <v/>
      </c>
      <c r="C2751" t="inlineStr">
        <is>
          <t>MORRIS Eau De Parfum Travel Edition Paris 100ml</t>
        </is>
      </c>
      <c r="D2751" t="inlineStr">
        <is>
          <t>Miss Glam Jambi</t>
        </is>
      </c>
      <c r="E2751" t="n">
        <v>1</v>
      </c>
      <c r="F2751" t="n">
        <v>0.0264</v>
      </c>
      <c r="G2751" t="n">
        <v>0.33</v>
      </c>
      <c r="H2751" t="n">
        <v>2</v>
      </c>
      <c r="I2751" t="n">
        <v>3</v>
      </c>
      <c r="J2751" t="n">
        <v>3</v>
      </c>
      <c r="K2751" t="n">
        <v>0</v>
      </c>
      <c r="L2751" t="n">
        <v>28305</v>
      </c>
      <c r="M2751" t="n">
        <v>36000</v>
      </c>
      <c r="N2751" t="n">
        <v>33</v>
      </c>
      <c r="O2751" t="n">
        <v>0.33</v>
      </c>
      <c r="P2751" t="n">
        <v>1</v>
      </c>
      <c r="Q2751" t="n">
        <v>0.05</v>
      </c>
      <c r="R2751" t="n">
        <v>1</v>
      </c>
      <c r="S2751" t="n">
        <v>950.4000000000001</v>
      </c>
      <c r="T2751" t="n">
        <v>1</v>
      </c>
      <c r="U2751" t="n">
        <v>2</v>
      </c>
      <c r="V2751" t="n">
        <v>30</v>
      </c>
      <c r="W2751" t="n">
        <v>1</v>
      </c>
      <c r="X2751" t="n">
        <v>37.87878787878788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1754</v>
      </c>
      <c r="AG2751" t="n">
        <v>2624</v>
      </c>
      <c r="AH2751" t="inlineStr">
        <is>
          <t>CV. USAHA MANDIRI - PPN (JMB)</t>
        </is>
      </c>
      <c r="AI2751" t="n">
        <v>834</v>
      </c>
      <c r="AJ2751" t="inlineStr">
        <is>
          <t>MORRIS</t>
        </is>
      </c>
      <c r="AK2751" t="n">
        <v>9</v>
      </c>
      <c r="AL2751" t="inlineStr">
        <is>
          <t>Miss Glam Jambi</t>
        </is>
      </c>
      <c r="AM2751" t="n">
        <v>3</v>
      </c>
      <c r="AN2751" t="n">
        <v>350000</v>
      </c>
      <c r="AO2751" t="n">
        <v>0</v>
      </c>
      <c r="AP2751" t="inlineStr"/>
      <c r="AQ2751" t="inlineStr"/>
    </row>
    <row r="2752">
      <c r="A2752" t="inlineStr">
        <is>
          <t>MORRIS</t>
        </is>
      </c>
      <c r="B2752" s="2">
        <f>"8997016222798"</f>
        <v/>
      </c>
      <c r="C2752" t="inlineStr">
        <is>
          <t>MORRIS Eau De Parfum Travel Edition Santorini 100ml</t>
        </is>
      </c>
      <c r="D2752" t="inlineStr">
        <is>
          <t>Miss Glam Jambi</t>
        </is>
      </c>
      <c r="E2752" t="n">
        <v>2</v>
      </c>
      <c r="F2752" t="n">
        <v>0.02</v>
      </c>
      <c r="G2752" t="n">
        <v>1</v>
      </c>
      <c r="H2752" t="n">
        <v>2</v>
      </c>
      <c r="I2752" t="n">
        <v>3</v>
      </c>
      <c r="J2752" t="n">
        <v>3</v>
      </c>
      <c r="K2752" t="n">
        <v>0</v>
      </c>
      <c r="L2752" t="n">
        <v>28305</v>
      </c>
      <c r="M2752" t="n">
        <v>36000</v>
      </c>
      <c r="N2752" t="n">
        <v>33</v>
      </c>
      <c r="O2752" t="n">
        <v>0.33</v>
      </c>
      <c r="P2752" t="n">
        <v>0</v>
      </c>
      <c r="Q2752" t="n">
        <v>0.02</v>
      </c>
      <c r="R2752" t="n">
        <v>1</v>
      </c>
      <c r="S2752" t="n">
        <v>720</v>
      </c>
      <c r="T2752" t="n">
        <v>3</v>
      </c>
      <c r="U2752" t="n">
        <v>4</v>
      </c>
      <c r="V2752" t="n">
        <v>30</v>
      </c>
      <c r="W2752" t="n">
        <v>1</v>
      </c>
      <c r="X2752" t="n">
        <v>100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1754</v>
      </c>
      <c r="AG2752" t="n">
        <v>2624</v>
      </c>
      <c r="AH2752" t="inlineStr">
        <is>
          <t>CV. USAHA MANDIRI - PPN (JMB)</t>
        </is>
      </c>
      <c r="AI2752" t="n">
        <v>834</v>
      </c>
      <c r="AJ2752" t="inlineStr">
        <is>
          <t>MORRIS</t>
        </is>
      </c>
      <c r="AK2752" t="n">
        <v>9</v>
      </c>
      <c r="AL2752" t="inlineStr">
        <is>
          <t>Miss Glam Jambi</t>
        </is>
      </c>
      <c r="AM2752" t="n">
        <v>3</v>
      </c>
      <c r="AN2752" t="n">
        <v>350000</v>
      </c>
      <c r="AO2752" t="n">
        <v>0</v>
      </c>
      <c r="AP2752" t="inlineStr"/>
      <c r="AQ2752" t="inlineStr"/>
    </row>
    <row r="2753">
      <c r="A2753" t="inlineStr">
        <is>
          <t>MORRIS</t>
        </is>
      </c>
      <c r="B2753" s="2">
        <f>"8997016222774"</f>
        <v/>
      </c>
      <c r="C2753" t="inlineStr">
        <is>
          <t>MORRIS Eau De Parfum Travel Edition Venice 100ml</t>
        </is>
      </c>
      <c r="D2753" t="inlineStr">
        <is>
          <t>Miss Glam Jambi</t>
        </is>
      </c>
      <c r="E2753" t="n">
        <v>1</v>
      </c>
      <c r="F2753" t="n">
        <v>0.0264</v>
      </c>
      <c r="G2753" t="n">
        <v>0.33</v>
      </c>
      <c r="H2753" t="n">
        <v>2</v>
      </c>
      <c r="I2753" t="n">
        <v>3</v>
      </c>
      <c r="J2753" t="n">
        <v>3</v>
      </c>
      <c r="K2753" t="n">
        <v>0</v>
      </c>
      <c r="L2753" t="n">
        <v>28305</v>
      </c>
      <c r="M2753" t="n">
        <v>36000</v>
      </c>
      <c r="N2753" t="n">
        <v>33</v>
      </c>
      <c r="O2753" t="n">
        <v>0.33</v>
      </c>
      <c r="P2753" t="n">
        <v>1</v>
      </c>
      <c r="Q2753" t="n">
        <v>0.03</v>
      </c>
      <c r="R2753" t="n">
        <v>1</v>
      </c>
      <c r="S2753" t="n">
        <v>950.4000000000001</v>
      </c>
      <c r="T2753" t="n">
        <v>1</v>
      </c>
      <c r="U2753" t="n">
        <v>2</v>
      </c>
      <c r="V2753" t="n">
        <v>30</v>
      </c>
      <c r="W2753" t="n">
        <v>1</v>
      </c>
      <c r="X2753" t="n">
        <v>37.87878787878788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1754</v>
      </c>
      <c r="AG2753" t="n">
        <v>2624</v>
      </c>
      <c r="AH2753" t="inlineStr">
        <is>
          <t>CV. USAHA MANDIRI - PPN (JMB)</t>
        </is>
      </c>
      <c r="AI2753" t="n">
        <v>834</v>
      </c>
      <c r="AJ2753" t="inlineStr">
        <is>
          <t>MORRIS</t>
        </is>
      </c>
      <c r="AK2753" t="n">
        <v>9</v>
      </c>
      <c r="AL2753" t="inlineStr">
        <is>
          <t>Miss Glam Jambi</t>
        </is>
      </c>
      <c r="AM2753" t="n">
        <v>3</v>
      </c>
      <c r="AN2753" t="n">
        <v>350000</v>
      </c>
      <c r="AO2753" t="n">
        <v>0</v>
      </c>
      <c r="AP2753" t="inlineStr"/>
      <c r="AQ2753" t="inlineStr"/>
    </row>
    <row r="2754">
      <c r="A2754" t="inlineStr">
        <is>
          <t>MORRIS</t>
        </is>
      </c>
      <c r="B2754" s="2">
        <f>"8997016222682"</f>
        <v/>
      </c>
      <c r="C2754" t="inlineStr">
        <is>
          <t>MORRIS Eau De Parfume Hijab Edition Madinah 110ml</t>
        </is>
      </c>
      <c r="D2754" t="inlineStr">
        <is>
          <t>Miss Glam Jambi</t>
        </is>
      </c>
      <c r="E2754" t="n">
        <v>4</v>
      </c>
      <c r="F2754" t="n">
        <v>0.06270000000000001</v>
      </c>
      <c r="G2754" t="n">
        <v>0.99</v>
      </c>
      <c r="H2754" t="n">
        <v>2</v>
      </c>
      <c r="I2754" t="n">
        <v>3</v>
      </c>
      <c r="J2754" t="n">
        <v>3</v>
      </c>
      <c r="K2754" t="n">
        <v>0</v>
      </c>
      <c r="L2754" t="n">
        <v>28305</v>
      </c>
      <c r="M2754" t="n">
        <v>33500</v>
      </c>
      <c r="N2754" t="n">
        <v>33</v>
      </c>
      <c r="O2754" t="n">
        <v>0.33</v>
      </c>
      <c r="P2754" t="n">
        <v>1</v>
      </c>
      <c r="Q2754" t="n">
        <v>0.02</v>
      </c>
      <c r="R2754" t="n">
        <v>1</v>
      </c>
      <c r="S2754" t="n">
        <v>2100.45</v>
      </c>
      <c r="T2754" t="n">
        <v>3</v>
      </c>
      <c r="U2754" t="n">
        <v>4</v>
      </c>
      <c r="V2754" t="n">
        <v>30</v>
      </c>
      <c r="W2754" t="n">
        <v>2</v>
      </c>
      <c r="X2754" t="n">
        <v>63.79585326953747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1754</v>
      </c>
      <c r="AG2754" t="n">
        <v>2624</v>
      </c>
      <c r="AH2754" t="inlineStr">
        <is>
          <t>CV. USAHA MANDIRI - PPN (JMB)</t>
        </is>
      </c>
      <c r="AI2754" t="n">
        <v>834</v>
      </c>
      <c r="AJ2754" t="inlineStr">
        <is>
          <t>MORRIS</t>
        </is>
      </c>
      <c r="AK2754" t="n">
        <v>9</v>
      </c>
      <c r="AL2754" t="inlineStr">
        <is>
          <t>Miss Glam Jambi</t>
        </is>
      </c>
      <c r="AM2754" t="n">
        <v>3</v>
      </c>
      <c r="AN2754" t="n">
        <v>350000</v>
      </c>
      <c r="AO2754" t="n">
        <v>0</v>
      </c>
      <c r="AP2754" t="inlineStr"/>
      <c r="AQ2754" t="inlineStr"/>
    </row>
    <row r="2755">
      <c r="A2755" t="inlineStr">
        <is>
          <t>MORRIS</t>
        </is>
      </c>
      <c r="B2755" s="2">
        <f>"8997016221807"</f>
        <v/>
      </c>
      <c r="C2755" t="inlineStr">
        <is>
          <t>MORRIS Life Style Edition Perfume Adventure</t>
        </is>
      </c>
      <c r="D2755" t="inlineStr">
        <is>
          <t>Miss Glam Jambi</t>
        </is>
      </c>
      <c r="E2755" t="n">
        <v>2</v>
      </c>
      <c r="F2755" t="n">
        <v>0.006600000000000001</v>
      </c>
      <c r="G2755" t="n">
        <v>0.33</v>
      </c>
      <c r="H2755" t="n">
        <v>2</v>
      </c>
      <c r="I2755" t="n">
        <v>3</v>
      </c>
      <c r="J2755" t="n">
        <v>3</v>
      </c>
      <c r="K2755" t="n">
        <v>0</v>
      </c>
      <c r="L2755" t="n">
        <v>28305</v>
      </c>
      <c r="M2755" t="n">
        <v>30800</v>
      </c>
      <c r="N2755" t="n">
        <v>33</v>
      </c>
      <c r="O2755" t="n">
        <v>0.33</v>
      </c>
      <c r="P2755" t="n">
        <v>1</v>
      </c>
      <c r="Q2755" t="n">
        <v>0.02</v>
      </c>
      <c r="R2755" t="n">
        <v>1</v>
      </c>
      <c r="S2755" t="n">
        <v>203.28</v>
      </c>
      <c r="T2755" t="n">
        <v>1</v>
      </c>
      <c r="U2755" t="n">
        <v>2</v>
      </c>
      <c r="V2755" t="n">
        <v>30</v>
      </c>
      <c r="W2755" t="n">
        <v>1</v>
      </c>
      <c r="X2755" t="n">
        <v>303.030303030303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1754</v>
      </c>
      <c r="AG2755" t="n">
        <v>2624</v>
      </c>
      <c r="AH2755" t="inlineStr">
        <is>
          <t>CV. USAHA MANDIRI - PPN (JMB)</t>
        </is>
      </c>
      <c r="AI2755" t="n">
        <v>834</v>
      </c>
      <c r="AJ2755" t="inlineStr">
        <is>
          <t>MORRIS</t>
        </is>
      </c>
      <c r="AK2755" t="n">
        <v>9</v>
      </c>
      <c r="AL2755" t="inlineStr">
        <is>
          <t>Miss Glam Jambi</t>
        </is>
      </c>
      <c r="AM2755" t="n">
        <v>3</v>
      </c>
      <c r="AN2755" t="n">
        <v>350000</v>
      </c>
      <c r="AO2755" t="n">
        <v>0</v>
      </c>
      <c r="AP2755" t="inlineStr"/>
      <c r="AQ2755" t="inlineStr"/>
    </row>
    <row r="2756">
      <c r="A2756" t="inlineStr">
        <is>
          <t>MORRIS</t>
        </is>
      </c>
      <c r="B2756" s="2">
        <f>"8997016221777"</f>
        <v/>
      </c>
      <c r="C2756" t="inlineStr">
        <is>
          <t>MORRIS Life Style Edition Perfume Creative</t>
        </is>
      </c>
      <c r="D2756" t="inlineStr">
        <is>
          <t>Miss Glam Jambi</t>
        </is>
      </c>
      <c r="E2756" t="n">
        <v>4</v>
      </c>
      <c r="F2756" t="n">
        <v>0.009900000000000001</v>
      </c>
      <c r="G2756" t="n">
        <v>0.33</v>
      </c>
      <c r="H2756" t="n">
        <v>2</v>
      </c>
      <c r="I2756" t="n">
        <v>3</v>
      </c>
      <c r="J2756" t="n">
        <v>3</v>
      </c>
      <c r="K2756" t="n">
        <v>0</v>
      </c>
      <c r="L2756" t="n">
        <v>28305</v>
      </c>
      <c r="M2756" t="n">
        <v>30800</v>
      </c>
      <c r="N2756" t="n">
        <v>33</v>
      </c>
      <c r="O2756" t="n">
        <v>0.33</v>
      </c>
      <c r="P2756" t="n">
        <v>1</v>
      </c>
      <c r="Q2756" t="n">
        <v>0.03</v>
      </c>
      <c r="R2756" t="n">
        <v>1</v>
      </c>
      <c r="S2756" t="n">
        <v>304.92</v>
      </c>
      <c r="T2756" t="n">
        <v>1</v>
      </c>
      <c r="U2756" t="n">
        <v>2</v>
      </c>
      <c r="V2756" t="n">
        <v>30</v>
      </c>
      <c r="W2756" t="n">
        <v>1</v>
      </c>
      <c r="X2756" t="n">
        <v>404.040404040404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1754</v>
      </c>
      <c r="AG2756" t="n">
        <v>2624</v>
      </c>
      <c r="AH2756" t="inlineStr">
        <is>
          <t>CV. USAHA MANDIRI - PPN (JMB)</t>
        </is>
      </c>
      <c r="AI2756" t="n">
        <v>834</v>
      </c>
      <c r="AJ2756" t="inlineStr">
        <is>
          <t>MORRIS</t>
        </is>
      </c>
      <c r="AK2756" t="n">
        <v>9</v>
      </c>
      <c r="AL2756" t="inlineStr">
        <is>
          <t>Miss Glam Jambi</t>
        </is>
      </c>
      <c r="AM2756" t="n">
        <v>3</v>
      </c>
      <c r="AN2756" t="n">
        <v>350000</v>
      </c>
      <c r="AO2756" t="n">
        <v>0</v>
      </c>
      <c r="AP2756" t="inlineStr"/>
      <c r="AQ2756" t="inlineStr"/>
    </row>
    <row r="2757">
      <c r="A2757" t="inlineStr">
        <is>
          <t>MORRIS</t>
        </is>
      </c>
      <c r="B2757" s="2">
        <f>"30400255112"</f>
        <v/>
      </c>
      <c r="C2757" t="inlineStr">
        <is>
          <t>MORRIS Life Style Edition Perfume Independent 100ml</t>
        </is>
      </c>
      <c r="D2757" t="inlineStr">
        <is>
          <t>Miss Glam Jambi</t>
        </is>
      </c>
      <c r="E2757" t="n">
        <v>7</v>
      </c>
      <c r="F2757" t="n">
        <v>0.0165</v>
      </c>
      <c r="G2757" t="n">
        <v>0.33</v>
      </c>
      <c r="H2757" t="n">
        <v>2</v>
      </c>
      <c r="I2757" t="n">
        <v>3</v>
      </c>
      <c r="J2757" t="n">
        <v>1</v>
      </c>
      <c r="K2757" t="n">
        <v>0</v>
      </c>
      <c r="L2757" t="n">
        <v>28305</v>
      </c>
      <c r="M2757" t="n">
        <v>35500</v>
      </c>
      <c r="N2757" t="n">
        <v>33</v>
      </c>
      <c r="O2757" t="n">
        <v>0.33</v>
      </c>
      <c r="P2757" t="n">
        <v>1</v>
      </c>
      <c r="Q2757" t="n">
        <v>0.03</v>
      </c>
      <c r="R2757" t="n">
        <v>1</v>
      </c>
      <c r="S2757" t="n">
        <v>585.75</v>
      </c>
      <c r="T2757" t="n">
        <v>1</v>
      </c>
      <c r="U2757" t="n">
        <v>2</v>
      </c>
      <c r="V2757" t="n">
        <v>30</v>
      </c>
      <c r="W2757" t="n">
        <v>1</v>
      </c>
      <c r="X2757" t="n">
        <v>424.2424242424242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1754</v>
      </c>
      <c r="AG2757" t="n">
        <v>2624</v>
      </c>
      <c r="AH2757" t="inlineStr">
        <is>
          <t>CV. USAHA MANDIRI - PPN (JMB)</t>
        </is>
      </c>
      <c r="AI2757" t="n">
        <v>834</v>
      </c>
      <c r="AJ2757" t="inlineStr">
        <is>
          <t>MORRIS</t>
        </is>
      </c>
      <c r="AK2757" t="n">
        <v>9</v>
      </c>
      <c r="AL2757" t="inlineStr">
        <is>
          <t>Miss Glam Jambi</t>
        </is>
      </c>
      <c r="AM2757" t="n">
        <v>3</v>
      </c>
      <c r="AN2757" t="n">
        <v>350000</v>
      </c>
      <c r="AO2757" t="n">
        <v>0</v>
      </c>
      <c r="AP2757" t="inlineStr"/>
      <c r="AQ2757" t="inlineStr"/>
    </row>
    <row r="2758">
      <c r="A2758" t="inlineStr">
        <is>
          <t>MORRIS</t>
        </is>
      </c>
      <c r="B2758" s="2">
        <f>"8997016221784"</f>
        <v/>
      </c>
      <c r="C2758" t="inlineStr">
        <is>
          <t>MORRIS Life Style Edition Perfume Metropolis</t>
        </is>
      </c>
      <c r="D2758" t="inlineStr">
        <is>
          <t>Miss Glam Jambi</t>
        </is>
      </c>
      <c r="E2758" t="n">
        <v>3</v>
      </c>
      <c r="F2758" t="n">
        <v>0.05</v>
      </c>
      <c r="G2758" t="n">
        <v>1</v>
      </c>
      <c r="H2758" t="n">
        <v>2</v>
      </c>
      <c r="I2758" t="n">
        <v>3</v>
      </c>
      <c r="J2758" t="n">
        <v>3</v>
      </c>
      <c r="K2758" t="n">
        <v>0</v>
      </c>
      <c r="L2758" t="n">
        <v>28305</v>
      </c>
      <c r="M2758" t="n">
        <v>30800</v>
      </c>
      <c r="N2758" t="n">
        <v>33</v>
      </c>
      <c r="O2758" t="n">
        <v>0.33</v>
      </c>
      <c r="P2758" t="n">
        <v>0</v>
      </c>
      <c r="Q2758" t="n">
        <v>0.05</v>
      </c>
      <c r="R2758" t="n">
        <v>1</v>
      </c>
      <c r="S2758" t="n">
        <v>1540</v>
      </c>
      <c r="T2758" t="n">
        <v>3</v>
      </c>
      <c r="U2758" t="n">
        <v>4</v>
      </c>
      <c r="V2758" t="n">
        <v>30</v>
      </c>
      <c r="W2758" t="n">
        <v>2</v>
      </c>
      <c r="X2758" t="n">
        <v>60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1754</v>
      </c>
      <c r="AG2758" t="n">
        <v>2624</v>
      </c>
      <c r="AH2758" t="inlineStr">
        <is>
          <t>CV. USAHA MANDIRI - PPN (JMB)</t>
        </is>
      </c>
      <c r="AI2758" t="n">
        <v>834</v>
      </c>
      <c r="AJ2758" t="inlineStr">
        <is>
          <t>MORRIS</t>
        </is>
      </c>
      <c r="AK2758" t="n">
        <v>9</v>
      </c>
      <c r="AL2758" t="inlineStr">
        <is>
          <t>Miss Glam Jambi</t>
        </is>
      </c>
      <c r="AM2758" t="n">
        <v>3</v>
      </c>
      <c r="AN2758" t="n">
        <v>350000</v>
      </c>
      <c r="AO2758" t="n">
        <v>0</v>
      </c>
      <c r="AP2758" t="inlineStr"/>
      <c r="AQ2758" t="inlineStr"/>
    </row>
    <row r="2759">
      <c r="A2759" t="inlineStr">
        <is>
          <t>MORRIS</t>
        </is>
      </c>
      <c r="B2759" s="2">
        <f>"30400255206"</f>
        <v/>
      </c>
      <c r="C2759" t="inlineStr">
        <is>
          <t>MORRIS Life Style Edition Perfume Vintage 100ml</t>
        </is>
      </c>
      <c r="D2759" t="inlineStr">
        <is>
          <t>Miss Glam Jambi</t>
        </is>
      </c>
      <c r="E2759" t="n">
        <v>3</v>
      </c>
      <c r="F2759" t="n">
        <v>0.009900000000000001</v>
      </c>
      <c r="G2759" t="n">
        <v>0.33</v>
      </c>
      <c r="H2759" t="n">
        <v>2</v>
      </c>
      <c r="I2759" t="n">
        <v>3</v>
      </c>
      <c r="J2759" t="n">
        <v>1</v>
      </c>
      <c r="K2759" t="n">
        <v>0</v>
      </c>
      <c r="L2759" t="n">
        <v>28305</v>
      </c>
      <c r="M2759" t="n">
        <v>35500</v>
      </c>
      <c r="N2759" t="n">
        <v>33</v>
      </c>
      <c r="O2759" t="n">
        <v>0.33</v>
      </c>
      <c r="P2759" t="n">
        <v>1</v>
      </c>
      <c r="Q2759" t="n">
        <v>0.02</v>
      </c>
      <c r="R2759" t="n">
        <v>1</v>
      </c>
      <c r="S2759" t="n">
        <v>351.45</v>
      </c>
      <c r="T2759" t="n">
        <v>1</v>
      </c>
      <c r="U2759" t="n">
        <v>2</v>
      </c>
      <c r="V2759" t="n">
        <v>30</v>
      </c>
      <c r="W2759" t="n">
        <v>1</v>
      </c>
      <c r="X2759" t="n">
        <v>303.030303030303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1754</v>
      </c>
      <c r="AG2759" t="n">
        <v>2624</v>
      </c>
      <c r="AH2759" t="inlineStr">
        <is>
          <t>CV. USAHA MANDIRI - PPN (JMB)</t>
        </is>
      </c>
      <c r="AI2759" t="n">
        <v>834</v>
      </c>
      <c r="AJ2759" t="inlineStr">
        <is>
          <t>MORRIS</t>
        </is>
      </c>
      <c r="AK2759" t="n">
        <v>9</v>
      </c>
      <c r="AL2759" t="inlineStr">
        <is>
          <t>Miss Glam Jambi</t>
        </is>
      </c>
      <c r="AM2759" t="n">
        <v>3</v>
      </c>
      <c r="AN2759" t="n">
        <v>350000</v>
      </c>
      <c r="AO2759" t="n">
        <v>0</v>
      </c>
      <c r="AP2759" t="inlineStr"/>
      <c r="AQ2759" t="inlineStr"/>
    </row>
    <row r="2760">
      <c r="A2760" t="inlineStr">
        <is>
          <t>MOTHER OF PEARL</t>
        </is>
      </c>
      <c r="B2760" s="2">
        <f>"8993883900258"</f>
        <v/>
      </c>
      <c r="C2760" t="inlineStr">
        <is>
          <t>MOTHER OF PEARL AMTOPM Colorfast Hypertint 01 Date Night 6ml</t>
        </is>
      </c>
      <c r="D2760" t="inlineStr">
        <is>
          <t>Miss Glam Jambi</t>
        </is>
      </c>
      <c r="E2760" t="n">
        <v>4</v>
      </c>
      <c r="F2760" t="n">
        <v>0.006600000000000001</v>
      </c>
      <c r="G2760" t="n">
        <v>0.33</v>
      </c>
      <c r="H2760" t="n">
        <v>4</v>
      </c>
      <c r="I2760" t="n">
        <v>20</v>
      </c>
      <c r="J2760" t="n">
        <v>3</v>
      </c>
      <c r="K2760" t="n">
        <v>0</v>
      </c>
      <c r="L2760" t="n">
        <v>83676</v>
      </c>
      <c r="M2760" t="n">
        <v>99000</v>
      </c>
      <c r="N2760" t="n">
        <v>33</v>
      </c>
      <c r="O2760" t="n">
        <v>0.33</v>
      </c>
      <c r="P2760" t="n">
        <v>1</v>
      </c>
      <c r="Q2760" t="n">
        <v>0.02</v>
      </c>
      <c r="R2760" t="n">
        <v>0</v>
      </c>
      <c r="S2760" t="n">
        <v>653.4000000000001</v>
      </c>
      <c r="T2760" t="n">
        <v>7</v>
      </c>
      <c r="U2760" t="n">
        <v>8</v>
      </c>
      <c r="V2760" t="n">
        <v>30</v>
      </c>
      <c r="W2760" t="n">
        <v>1</v>
      </c>
      <c r="X2760" t="n">
        <v>606.060606060606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6943</v>
      </c>
      <c r="AG2760" t="n">
        <v>1</v>
      </c>
      <c r="AH2760" t="inlineStr">
        <is>
          <t>PT. BERSAMA DISTRIVERSA INDONESIA (DC CIPUTAT)</t>
        </is>
      </c>
      <c r="AI2760" t="n">
        <v>1469</v>
      </c>
      <c r="AJ2760" t="inlineStr">
        <is>
          <t>MOTHER OF PEARL</t>
        </is>
      </c>
      <c r="AK2760" t="n">
        <v>9</v>
      </c>
      <c r="AL2760" t="inlineStr">
        <is>
          <t>Miss Glam Jambi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MOTHER OF PEARL</t>
        </is>
      </c>
      <c r="B2761" s="2">
        <f>"8993883900326"</f>
        <v/>
      </c>
      <c r="C2761" t="inlineStr">
        <is>
          <t>MOTHER OF PEARL AMTOPM Colorfast Hypertint 05 Coffee Break 6ml</t>
        </is>
      </c>
      <c r="D2761" t="inlineStr">
        <is>
          <t>Miss Glam Jambi</t>
        </is>
      </c>
      <c r="E2761" t="n">
        <v>1</v>
      </c>
      <c r="F2761" t="n">
        <v>0.03</v>
      </c>
      <c r="G2761" t="n">
        <v>1</v>
      </c>
      <c r="H2761" t="n">
        <v>4</v>
      </c>
      <c r="I2761" t="n">
        <v>20</v>
      </c>
      <c r="J2761" t="n">
        <v>3</v>
      </c>
      <c r="K2761" t="n">
        <v>3</v>
      </c>
      <c r="L2761" t="n">
        <v>82170</v>
      </c>
      <c r="M2761" t="n">
        <v>99000</v>
      </c>
      <c r="N2761" t="n">
        <v>33</v>
      </c>
      <c r="O2761" t="n">
        <v>0.33</v>
      </c>
      <c r="P2761" t="n">
        <v>0</v>
      </c>
      <c r="Q2761" t="n">
        <v>0.03</v>
      </c>
      <c r="R2761" t="n">
        <v>1</v>
      </c>
      <c r="S2761" t="n">
        <v>2970</v>
      </c>
      <c r="T2761" t="n">
        <v>20</v>
      </c>
      <c r="U2761" t="n">
        <v>21</v>
      </c>
      <c r="V2761" t="n">
        <v>30</v>
      </c>
      <c r="W2761" t="n">
        <v>1</v>
      </c>
      <c r="X2761" t="n">
        <v>33.33333333333334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6943</v>
      </c>
      <c r="AG2761" t="n">
        <v>1</v>
      </c>
      <c r="AH2761" t="inlineStr">
        <is>
          <t>PT. BERSAMA DISTRIVERSA INDONESIA (DC CIPUTAT)</t>
        </is>
      </c>
      <c r="AI2761" t="n">
        <v>1469</v>
      </c>
      <c r="AJ2761" t="inlineStr">
        <is>
          <t>MOTHER OF PEARL</t>
        </is>
      </c>
      <c r="AK2761" t="n">
        <v>9</v>
      </c>
      <c r="AL2761" t="inlineStr">
        <is>
          <t>Miss Glam Jambi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MOTHER OF PEARL</t>
        </is>
      </c>
      <c r="B2762" s="2">
        <f>"8993883900982"</f>
        <v/>
      </c>
      <c r="C2762" t="inlineStr">
        <is>
          <t>MOTHER OF PEARL Bulletproof Matte 50ml</t>
        </is>
      </c>
      <c r="D2762" t="inlineStr">
        <is>
          <t>Miss Glam Jambi</t>
        </is>
      </c>
      <c r="E2762" t="n">
        <v>1</v>
      </c>
      <c r="F2762" t="n">
        <v>0.006600000000000001</v>
      </c>
      <c r="G2762" t="n">
        <v>0.33</v>
      </c>
      <c r="H2762" t="n">
        <v>4</v>
      </c>
      <c r="I2762" t="n">
        <v>20</v>
      </c>
      <c r="J2762" t="n">
        <v>3</v>
      </c>
      <c r="K2762" t="n">
        <v>0</v>
      </c>
      <c r="L2762" t="n">
        <v>62887</v>
      </c>
      <c r="M2762" t="n">
        <v>129000</v>
      </c>
      <c r="N2762" t="n">
        <v>33</v>
      </c>
      <c r="O2762" t="n">
        <v>0.33</v>
      </c>
      <c r="P2762" t="n">
        <v>1</v>
      </c>
      <c r="Q2762" t="n">
        <v>0.05</v>
      </c>
      <c r="R2762" t="n">
        <v>1</v>
      </c>
      <c r="S2762" t="n">
        <v>851.4000000000001</v>
      </c>
      <c r="T2762" t="n">
        <v>7</v>
      </c>
      <c r="U2762" t="n">
        <v>8</v>
      </c>
      <c r="V2762" t="n">
        <v>30</v>
      </c>
      <c r="W2762" t="n">
        <v>1</v>
      </c>
      <c r="X2762" t="n">
        <v>151.5151515151515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6943</v>
      </c>
      <c r="AG2762" t="n">
        <v>1</v>
      </c>
      <c r="AH2762" t="inlineStr">
        <is>
          <t>PT. BERSAMA DISTRIVERSA INDONESIA (DC CIPUTAT)</t>
        </is>
      </c>
      <c r="AI2762" t="n">
        <v>1469</v>
      </c>
      <c r="AJ2762" t="inlineStr">
        <is>
          <t>MOTHER OF PEARL</t>
        </is>
      </c>
      <c r="AK2762" t="n">
        <v>9</v>
      </c>
      <c r="AL2762" t="inlineStr">
        <is>
          <t>Miss Glam Jambi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MOTHER OF PEARL</t>
        </is>
      </c>
      <c r="B2763" s="2">
        <f>"8993883900975"</f>
        <v/>
      </c>
      <c r="C2763" t="inlineStr">
        <is>
          <t>MOTHER OF PEARL Bulletproof Satin 50ml</t>
        </is>
      </c>
      <c r="D2763" t="inlineStr">
        <is>
          <t>Miss Glam Jambi</t>
        </is>
      </c>
      <c r="E2763" t="n">
        <v>7</v>
      </c>
      <c r="F2763" t="n">
        <v>0.0264</v>
      </c>
      <c r="G2763" t="n">
        <v>0.33</v>
      </c>
      <c r="H2763" t="n">
        <v>4</v>
      </c>
      <c r="I2763" t="n">
        <v>20</v>
      </c>
      <c r="J2763" t="n">
        <v>3</v>
      </c>
      <c r="K2763" t="n">
        <v>3</v>
      </c>
      <c r="L2763" t="n">
        <v>91231</v>
      </c>
      <c r="M2763" t="n">
        <v>129000</v>
      </c>
      <c r="N2763" t="n">
        <v>33</v>
      </c>
      <c r="O2763" t="n">
        <v>0.33</v>
      </c>
      <c r="P2763" t="n">
        <v>1</v>
      </c>
      <c r="Q2763" t="n">
        <v>0.08</v>
      </c>
      <c r="R2763" t="n">
        <v>1</v>
      </c>
      <c r="S2763" t="n">
        <v>3405.6</v>
      </c>
      <c r="T2763" t="n">
        <v>7</v>
      </c>
      <c r="U2763" t="n">
        <v>8</v>
      </c>
      <c r="V2763" t="n">
        <v>30</v>
      </c>
      <c r="W2763" t="n">
        <v>1</v>
      </c>
      <c r="X2763" t="n">
        <v>265.1515151515151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6943</v>
      </c>
      <c r="AG2763" t="n">
        <v>1</v>
      </c>
      <c r="AH2763" t="inlineStr">
        <is>
          <t>PT. BERSAMA DISTRIVERSA INDONESIA (DC CIPUTAT)</t>
        </is>
      </c>
      <c r="AI2763" t="n">
        <v>1469</v>
      </c>
      <c r="AJ2763" t="inlineStr">
        <is>
          <t>MOTHER OF PEARL</t>
        </is>
      </c>
      <c r="AK2763" t="n">
        <v>9</v>
      </c>
      <c r="AL2763" t="inlineStr">
        <is>
          <t>Miss Glam Jambi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MOTHER OF PEARL</t>
        </is>
      </c>
      <c r="B2764" s="2">
        <f>"8993883901200"</f>
        <v/>
      </c>
      <c r="C2764" t="inlineStr">
        <is>
          <t>MOTHER OF PEARL Bulletproof Satin Set and Protect Continuous Mist 150ml</t>
        </is>
      </c>
      <c r="D2764" t="inlineStr">
        <is>
          <t>Miss Glam Jambi</t>
        </is>
      </c>
      <c r="E2764" t="n">
        <v>2</v>
      </c>
      <c r="F2764" t="n">
        <v>0.02</v>
      </c>
      <c r="G2764" t="n">
        <v>1</v>
      </c>
      <c r="H2764" t="n">
        <v>4</v>
      </c>
      <c r="I2764" t="n">
        <v>20</v>
      </c>
      <c r="J2764" t="n">
        <v>1</v>
      </c>
      <c r="K2764" t="n">
        <v>0</v>
      </c>
      <c r="L2764" t="n">
        <v>167894</v>
      </c>
      <c r="M2764" t="n">
        <v>269000</v>
      </c>
      <c r="N2764" t="n">
        <v>33</v>
      </c>
      <c r="O2764" t="n">
        <v>0.33</v>
      </c>
      <c r="P2764" t="n">
        <v>0</v>
      </c>
      <c r="Q2764" t="n">
        <v>0.02</v>
      </c>
      <c r="R2764" t="n">
        <v>1</v>
      </c>
      <c r="S2764" t="n">
        <v>5380</v>
      </c>
      <c r="T2764" t="n">
        <v>20</v>
      </c>
      <c r="U2764" t="n">
        <v>21</v>
      </c>
      <c r="V2764" t="n">
        <v>30</v>
      </c>
      <c r="W2764" t="n">
        <v>1</v>
      </c>
      <c r="X2764" t="n">
        <v>100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6943</v>
      </c>
      <c r="AG2764" t="n">
        <v>1</v>
      </c>
      <c r="AH2764" t="inlineStr">
        <is>
          <t>PT. BERSAMA DISTRIVERSA INDONESIA (DC CIPUTAT)</t>
        </is>
      </c>
      <c r="AI2764" t="n">
        <v>1469</v>
      </c>
      <c r="AJ2764" t="inlineStr">
        <is>
          <t>MOTHER OF PEARL</t>
        </is>
      </c>
      <c r="AK2764" t="n">
        <v>9</v>
      </c>
      <c r="AL2764" t="inlineStr">
        <is>
          <t>Miss Glam Jambi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MOTHER OF PEARL</t>
        </is>
      </c>
      <c r="B2765" s="2">
        <f>"8993883900265"</f>
        <v/>
      </c>
      <c r="C2765" t="inlineStr">
        <is>
          <t>MOTHER OF PEARL G.W.S Plump Gloss 01 MLBB 4ml</t>
        </is>
      </c>
      <c r="D2765" t="inlineStr">
        <is>
          <t>Miss Glam Jambi</t>
        </is>
      </c>
      <c r="E2765" t="n">
        <v>4</v>
      </c>
      <c r="F2765" t="n">
        <v>0.006600000000000001</v>
      </c>
      <c r="G2765" t="n">
        <v>0.33</v>
      </c>
      <c r="H2765" t="n">
        <v>4</v>
      </c>
      <c r="I2765" t="n">
        <v>20</v>
      </c>
      <c r="J2765" t="n">
        <v>3</v>
      </c>
      <c r="K2765" t="n">
        <v>0</v>
      </c>
      <c r="L2765" t="n">
        <v>62809</v>
      </c>
      <c r="M2765" t="n">
        <v>99000</v>
      </c>
      <c r="N2765" t="n">
        <v>33</v>
      </c>
      <c r="O2765" t="n">
        <v>0.33</v>
      </c>
      <c r="P2765" t="n">
        <v>1</v>
      </c>
      <c r="Q2765" t="n">
        <v>0.02</v>
      </c>
      <c r="R2765" t="n">
        <v>1</v>
      </c>
      <c r="S2765" t="n">
        <v>653.4000000000001</v>
      </c>
      <c r="T2765" t="n">
        <v>7</v>
      </c>
      <c r="U2765" t="n">
        <v>8</v>
      </c>
      <c r="V2765" t="n">
        <v>30</v>
      </c>
      <c r="W2765" t="n">
        <v>1</v>
      </c>
      <c r="X2765" t="n">
        <v>606.060606060606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6943</v>
      </c>
      <c r="AG2765" t="n">
        <v>1</v>
      </c>
      <c r="AH2765" t="inlineStr">
        <is>
          <t>PT. BERSAMA DISTRIVERSA INDONESIA (DC CIPUTAT)</t>
        </is>
      </c>
      <c r="AI2765" t="n">
        <v>1469</v>
      </c>
      <c r="AJ2765" t="inlineStr">
        <is>
          <t>MOTHER OF PEARL</t>
        </is>
      </c>
      <c r="AK2765" t="n">
        <v>9</v>
      </c>
      <c r="AL2765" t="inlineStr">
        <is>
          <t>Miss Glam Jambi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MOTHER OF PEARL</t>
        </is>
      </c>
      <c r="B2766" s="2">
        <f>"8993883900272"</f>
        <v/>
      </c>
      <c r="C2766" t="inlineStr">
        <is>
          <t>MOTHER OF PEARL G.W.S Plump Gloss 02 Nudieversal 4ml</t>
        </is>
      </c>
      <c r="D2766" t="inlineStr">
        <is>
          <t>Miss Glam Jambi</t>
        </is>
      </c>
      <c r="E2766" t="n">
        <v>2</v>
      </c>
      <c r="F2766" t="n">
        <v>0.009900000000000001</v>
      </c>
      <c r="G2766" t="n">
        <v>0.33</v>
      </c>
      <c r="H2766" t="n">
        <v>4</v>
      </c>
      <c r="I2766" t="n">
        <v>20</v>
      </c>
      <c r="J2766" t="n">
        <v>3</v>
      </c>
      <c r="K2766" t="n">
        <v>0</v>
      </c>
      <c r="L2766" t="n">
        <v>80392</v>
      </c>
      <c r="M2766" t="n">
        <v>99000</v>
      </c>
      <c r="N2766" t="n">
        <v>33</v>
      </c>
      <c r="O2766" t="n">
        <v>0.33</v>
      </c>
      <c r="P2766" t="n">
        <v>1</v>
      </c>
      <c r="Q2766" t="n">
        <v>0.03</v>
      </c>
      <c r="R2766" t="n">
        <v>1</v>
      </c>
      <c r="S2766" t="n">
        <v>980.1000000000001</v>
      </c>
      <c r="T2766" t="n">
        <v>7</v>
      </c>
      <c r="U2766" t="n">
        <v>8</v>
      </c>
      <c r="V2766" t="n">
        <v>30</v>
      </c>
      <c r="W2766" t="n">
        <v>1</v>
      </c>
      <c r="X2766" t="n">
        <v>202.020202020202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6943</v>
      </c>
      <c r="AG2766" t="n">
        <v>1</v>
      </c>
      <c r="AH2766" t="inlineStr">
        <is>
          <t>PT. BERSAMA DISTRIVERSA INDONESIA (DC CIPUTAT)</t>
        </is>
      </c>
      <c r="AI2766" t="n">
        <v>1469</v>
      </c>
      <c r="AJ2766" t="inlineStr">
        <is>
          <t>MOTHER OF PEARL</t>
        </is>
      </c>
      <c r="AK2766" t="n">
        <v>9</v>
      </c>
      <c r="AL2766" t="inlineStr">
        <is>
          <t>Miss Glam Jambi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MOTHER OF PEARL</t>
        </is>
      </c>
      <c r="B2767" s="2">
        <f>"8993883900654"</f>
        <v/>
      </c>
      <c r="C2767" t="inlineStr">
        <is>
          <t>MOTHER OF PEARL G.W.S Plump Gloss 04 Mauversal 4ml</t>
        </is>
      </c>
      <c r="D2767" t="inlineStr">
        <is>
          <t>Miss Glam Jambi</t>
        </is>
      </c>
      <c r="E2767" t="n">
        <v>2</v>
      </c>
      <c r="F2767" t="n">
        <v>0.0264</v>
      </c>
      <c r="G2767" t="n">
        <v>0.66</v>
      </c>
      <c r="H2767" t="n">
        <v>4</v>
      </c>
      <c r="I2767" t="n">
        <v>20</v>
      </c>
      <c r="J2767" t="n">
        <v>3</v>
      </c>
      <c r="K2767" t="n">
        <v>0</v>
      </c>
      <c r="L2767" t="n">
        <v>85656</v>
      </c>
      <c r="M2767" t="n">
        <v>99000</v>
      </c>
      <c r="N2767" t="n">
        <v>33</v>
      </c>
      <c r="O2767" t="n">
        <v>0.33</v>
      </c>
      <c r="P2767" t="n">
        <v>1</v>
      </c>
      <c r="Q2767" t="n">
        <v>0.02</v>
      </c>
      <c r="R2767" t="n">
        <v>1</v>
      </c>
      <c r="S2767" t="n">
        <v>2613.6</v>
      </c>
      <c r="T2767" t="n">
        <v>14</v>
      </c>
      <c r="U2767" t="n">
        <v>15</v>
      </c>
      <c r="V2767" t="n">
        <v>30</v>
      </c>
      <c r="W2767" t="n">
        <v>1</v>
      </c>
      <c r="X2767" t="n">
        <v>75.75757575757575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6943</v>
      </c>
      <c r="AG2767" t="n">
        <v>1</v>
      </c>
      <c r="AH2767" t="inlineStr">
        <is>
          <t>PT. BERSAMA DISTRIVERSA INDONESIA (DC CIPUTAT)</t>
        </is>
      </c>
      <c r="AI2767" t="n">
        <v>1469</v>
      </c>
      <c r="AJ2767" t="inlineStr">
        <is>
          <t>MOTHER OF PEARL</t>
        </is>
      </c>
      <c r="AK2767" t="n">
        <v>9</v>
      </c>
      <c r="AL2767" t="inlineStr">
        <is>
          <t>Miss Glam Jambi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MOTHER OF PEARL</t>
        </is>
      </c>
      <c r="B2768" s="2">
        <f>"8993883901163"</f>
        <v/>
      </c>
      <c r="C2768" t="inlineStr">
        <is>
          <t>MOTHER OF PEARL G.W.S Plump Gloss 05 Choco Loco 4ml</t>
        </is>
      </c>
      <c r="D2768" t="inlineStr">
        <is>
          <t>Miss Glam Jambi</t>
        </is>
      </c>
      <c r="E2768" t="n">
        <v>2</v>
      </c>
      <c r="F2768" t="n">
        <v>0.03</v>
      </c>
      <c r="G2768" t="n">
        <v>1</v>
      </c>
      <c r="H2768" t="n">
        <v>4</v>
      </c>
      <c r="I2768" t="n">
        <v>20</v>
      </c>
      <c r="J2768" t="n">
        <v>1</v>
      </c>
      <c r="K2768" t="n">
        <v>0</v>
      </c>
      <c r="L2768" t="n">
        <v>70419</v>
      </c>
      <c r="M2768" t="n">
        <v>99000</v>
      </c>
      <c r="N2768" t="n">
        <v>33</v>
      </c>
      <c r="O2768" t="n">
        <v>0.33</v>
      </c>
      <c r="P2768" t="n">
        <v>0</v>
      </c>
      <c r="Q2768" t="n">
        <v>0.03</v>
      </c>
      <c r="R2768" t="n">
        <v>1</v>
      </c>
      <c r="S2768" t="n">
        <v>2970</v>
      </c>
      <c r="T2768" t="n">
        <v>20</v>
      </c>
      <c r="U2768" t="n">
        <v>21</v>
      </c>
      <c r="V2768" t="n">
        <v>30</v>
      </c>
      <c r="W2768" t="n">
        <v>1</v>
      </c>
      <c r="X2768" t="n">
        <v>66.66666666666667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6943</v>
      </c>
      <c r="AG2768" t="n">
        <v>1</v>
      </c>
      <c r="AH2768" t="inlineStr">
        <is>
          <t>PT. BERSAMA DISTRIVERSA INDONESIA (DC CIPUTAT)</t>
        </is>
      </c>
      <c r="AI2768" t="n">
        <v>1469</v>
      </c>
      <c r="AJ2768" t="inlineStr">
        <is>
          <t>MOTHER OF PEARL</t>
        </is>
      </c>
      <c r="AK2768" t="n">
        <v>9</v>
      </c>
      <c r="AL2768" t="inlineStr">
        <is>
          <t>Miss Glam Jambi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MOTHER OF PEARL</t>
        </is>
      </c>
      <c r="B2769" s="2">
        <f>"8993883901170"</f>
        <v/>
      </c>
      <c r="C2769" t="inlineStr">
        <is>
          <t>MOTHER OF PEARL G.W.S Plump Gloss 06 Rosy Posy 4ml</t>
        </is>
      </c>
      <c r="D2769" t="inlineStr">
        <is>
          <t>Miss Glam Jambi</t>
        </is>
      </c>
      <c r="E2769" t="n">
        <v>4</v>
      </c>
      <c r="F2769" t="n">
        <v>0.0264</v>
      </c>
      <c r="G2769" t="n">
        <v>0.66</v>
      </c>
      <c r="H2769" t="n">
        <v>4</v>
      </c>
      <c r="I2769" t="n">
        <v>20</v>
      </c>
      <c r="J2769" t="n">
        <v>1</v>
      </c>
      <c r="K2769" t="n">
        <v>6</v>
      </c>
      <c r="L2769" t="n">
        <v>69430</v>
      </c>
      <c r="M2769" t="n">
        <v>99000</v>
      </c>
      <c r="N2769" t="n">
        <v>33</v>
      </c>
      <c r="O2769" t="n">
        <v>0.33</v>
      </c>
      <c r="P2769" t="n">
        <v>1</v>
      </c>
      <c r="Q2769" t="n">
        <v>0.15</v>
      </c>
      <c r="R2769" t="n">
        <v>1</v>
      </c>
      <c r="S2769" t="n">
        <v>2613.6</v>
      </c>
      <c r="T2769" t="n">
        <v>14</v>
      </c>
      <c r="U2769" t="n">
        <v>15</v>
      </c>
      <c r="V2769" t="n">
        <v>30</v>
      </c>
      <c r="W2769" t="n">
        <v>1</v>
      </c>
      <c r="X2769" t="n">
        <v>151.5151515151515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6943</v>
      </c>
      <c r="AG2769" t="n">
        <v>1</v>
      </c>
      <c r="AH2769" t="inlineStr">
        <is>
          <t>PT. BERSAMA DISTRIVERSA INDONESIA (DC CIPUTAT)</t>
        </is>
      </c>
      <c r="AI2769" t="n">
        <v>1469</v>
      </c>
      <c r="AJ2769" t="inlineStr">
        <is>
          <t>MOTHER OF PEARL</t>
        </is>
      </c>
      <c r="AK2769" t="n">
        <v>9</v>
      </c>
      <c r="AL2769" t="inlineStr">
        <is>
          <t>Miss Glam Jambi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MOTHER OF PEARL</t>
        </is>
      </c>
      <c r="B2770" s="2">
        <f>"20300447652"</f>
        <v/>
      </c>
      <c r="C2770" t="inlineStr">
        <is>
          <t>MOTHER OF PEARL G.W.S X-TRA! Plump Gloss Fiery Peach 4ml</t>
        </is>
      </c>
      <c r="D2770" t="inlineStr">
        <is>
          <t>Miss Glam Jambi</t>
        </is>
      </c>
      <c r="E2770" t="n">
        <v>3</v>
      </c>
      <c r="F2770" t="n">
        <v>0.02</v>
      </c>
      <c r="G2770" t="n">
        <v>0</v>
      </c>
      <c r="H2770" t="n">
        <v>4</v>
      </c>
      <c r="I2770" t="n">
        <v>20</v>
      </c>
      <c r="J2770" t="n">
        <v>1</v>
      </c>
      <c r="K2770" t="n">
        <v>0</v>
      </c>
      <c r="L2770" t="n">
        <v>65340</v>
      </c>
      <c r="M2770" t="n">
        <v>99000</v>
      </c>
      <c r="N2770" t="n">
        <v>33</v>
      </c>
      <c r="O2770" t="n">
        <v>0.33</v>
      </c>
      <c r="P2770" t="n">
        <v>0</v>
      </c>
      <c r="Q2770" t="n">
        <v>0.02</v>
      </c>
      <c r="R2770" t="n">
        <v>0</v>
      </c>
      <c r="S2770" t="n">
        <v>1980</v>
      </c>
      <c r="T2770" t="n">
        <v>0</v>
      </c>
      <c r="U2770" t="n">
        <v>1</v>
      </c>
      <c r="V2770" t="n">
        <v>30</v>
      </c>
      <c r="W2770" t="n">
        <v>1</v>
      </c>
      <c r="X2770" t="n">
        <v>150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6943</v>
      </c>
      <c r="AG2770" t="n">
        <v>1</v>
      </c>
      <c r="AH2770" t="inlineStr">
        <is>
          <t>PT. BERSAMA DISTRIVERSA INDONESIA (DC CIPUTAT)</t>
        </is>
      </c>
      <c r="AI2770" t="n">
        <v>1469</v>
      </c>
      <c r="AJ2770" t="inlineStr">
        <is>
          <t>MOTHER OF PEARL</t>
        </is>
      </c>
      <c r="AK2770" t="n">
        <v>9</v>
      </c>
      <c r="AL2770" t="inlineStr">
        <is>
          <t>Miss Glam Jambi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MOTHER OF PEARL</t>
        </is>
      </c>
      <c r="B2771" s="2">
        <f>"8997228730326"</f>
        <v/>
      </c>
      <c r="C2771" t="inlineStr">
        <is>
          <t>MOTHER OF PEARL Lock &amp; Smooth Gripping Primer 30ml</t>
        </is>
      </c>
      <c r="D2771" t="inlineStr">
        <is>
          <t>Miss Glam Jambi</t>
        </is>
      </c>
      <c r="E2771" t="n">
        <v>2</v>
      </c>
      <c r="F2771" t="n">
        <v>0.08</v>
      </c>
      <c r="G2771" t="n">
        <v>1</v>
      </c>
      <c r="H2771" t="n">
        <v>4</v>
      </c>
      <c r="I2771" t="n">
        <v>20</v>
      </c>
      <c r="J2771" t="n">
        <v>3</v>
      </c>
      <c r="K2771" t="n">
        <v>3</v>
      </c>
      <c r="L2771" t="n">
        <v>123808</v>
      </c>
      <c r="M2771" t="n">
        <v>179000</v>
      </c>
      <c r="N2771" t="n">
        <v>33</v>
      </c>
      <c r="O2771" t="n">
        <v>0.33</v>
      </c>
      <c r="P2771" t="n">
        <v>0</v>
      </c>
      <c r="Q2771" t="n">
        <v>0.08</v>
      </c>
      <c r="R2771" t="n">
        <v>1</v>
      </c>
      <c r="S2771" t="n">
        <v>14320</v>
      </c>
      <c r="T2771" t="n">
        <v>20</v>
      </c>
      <c r="U2771" t="n">
        <v>21</v>
      </c>
      <c r="V2771" t="n">
        <v>30</v>
      </c>
      <c r="W2771" t="n">
        <v>3</v>
      </c>
      <c r="X2771" t="n">
        <v>25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6943</v>
      </c>
      <c r="AG2771" t="n">
        <v>1</v>
      </c>
      <c r="AH2771" t="inlineStr">
        <is>
          <t>PT. BERSAMA DISTRIVERSA INDONESIA (DC CIPUTAT)</t>
        </is>
      </c>
      <c r="AI2771" t="n">
        <v>1469</v>
      </c>
      <c r="AJ2771" t="inlineStr">
        <is>
          <t>MOTHER OF PEARL</t>
        </is>
      </c>
      <c r="AK2771" t="n">
        <v>9</v>
      </c>
      <c r="AL2771" t="inlineStr">
        <is>
          <t>Miss Glam Jambi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MOTHER OF PEARL</t>
        </is>
      </c>
      <c r="B2772" s="2">
        <f>"20200220605"</f>
        <v/>
      </c>
      <c r="C2772" t="inlineStr">
        <is>
          <t>MOTHER OF PEARL Maxcara Volumizing and Lengthening Mascara 7gr</t>
        </is>
      </c>
      <c r="D2772" t="inlineStr">
        <is>
          <t>Miss Glam Jambi</t>
        </is>
      </c>
      <c r="E2772" t="n">
        <v>3</v>
      </c>
      <c r="F2772" t="n">
        <v>0.08</v>
      </c>
      <c r="G2772" t="n">
        <v>1</v>
      </c>
      <c r="H2772" t="n">
        <v>4</v>
      </c>
      <c r="I2772" t="n">
        <v>20</v>
      </c>
      <c r="J2772" t="n">
        <v>1</v>
      </c>
      <c r="K2772" t="n">
        <v>0</v>
      </c>
      <c r="L2772" t="n">
        <v>81577</v>
      </c>
      <c r="M2772" t="n">
        <v>149000</v>
      </c>
      <c r="N2772" t="n">
        <v>33</v>
      </c>
      <c r="O2772" t="n">
        <v>0.33</v>
      </c>
      <c r="P2772" t="n">
        <v>0</v>
      </c>
      <c r="Q2772" t="n">
        <v>0.08</v>
      </c>
      <c r="R2772" t="n">
        <v>1</v>
      </c>
      <c r="S2772" t="n">
        <v>11920</v>
      </c>
      <c r="T2772" t="n">
        <v>20</v>
      </c>
      <c r="U2772" t="n">
        <v>21</v>
      </c>
      <c r="V2772" t="n">
        <v>30</v>
      </c>
      <c r="W2772" t="n">
        <v>3</v>
      </c>
      <c r="X2772" t="n">
        <v>37.5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6943</v>
      </c>
      <c r="AG2772" t="n">
        <v>1</v>
      </c>
      <c r="AH2772" t="inlineStr">
        <is>
          <t>PT. BERSAMA DISTRIVERSA INDONESIA (DC CIPUTAT)</t>
        </is>
      </c>
      <c r="AI2772" t="n">
        <v>1469</v>
      </c>
      <c r="AJ2772" t="inlineStr">
        <is>
          <t>MOTHER OF PEARL</t>
        </is>
      </c>
      <c r="AK2772" t="n">
        <v>9</v>
      </c>
      <c r="AL2772" t="inlineStr">
        <is>
          <t>Miss Glam Jambi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MOTHER OF PEARL</t>
        </is>
      </c>
      <c r="B2773" s="2">
        <f>"8993883900760"</f>
        <v/>
      </c>
      <c r="C2773" t="inlineStr">
        <is>
          <t>MOTHER OF PEARL My Perfect Nude Lip Cream 11 Honey Comb 6ml</t>
        </is>
      </c>
      <c r="D2773" t="inlineStr">
        <is>
          <t>Miss Glam Jambi</t>
        </is>
      </c>
      <c r="E2773" t="n">
        <v>2</v>
      </c>
      <c r="F2773" t="n">
        <v>0.02</v>
      </c>
      <c r="G2773" t="n">
        <v>1</v>
      </c>
      <c r="H2773" t="n">
        <v>4</v>
      </c>
      <c r="I2773" t="n">
        <v>20</v>
      </c>
      <c r="J2773" t="n">
        <v>3</v>
      </c>
      <c r="K2773" t="n">
        <v>0</v>
      </c>
      <c r="L2773" t="n">
        <v>93136</v>
      </c>
      <c r="M2773" t="n">
        <v>107500</v>
      </c>
      <c r="N2773" t="n">
        <v>33</v>
      </c>
      <c r="O2773" t="n">
        <v>0.33</v>
      </c>
      <c r="P2773" t="n">
        <v>0</v>
      </c>
      <c r="Q2773" t="n">
        <v>0.02</v>
      </c>
      <c r="R2773" t="n">
        <v>1</v>
      </c>
      <c r="S2773" t="n">
        <v>2150</v>
      </c>
      <c r="T2773" t="n">
        <v>20</v>
      </c>
      <c r="U2773" t="n">
        <v>21</v>
      </c>
      <c r="V2773" t="n">
        <v>30</v>
      </c>
      <c r="W2773" t="n">
        <v>1</v>
      </c>
      <c r="X2773" t="n">
        <v>100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6943</v>
      </c>
      <c r="AG2773" t="n">
        <v>1</v>
      </c>
      <c r="AH2773" t="inlineStr">
        <is>
          <t>PT. BERSAMA DISTRIVERSA INDONESIA (DC CIPUTAT)</t>
        </is>
      </c>
      <c r="AI2773" t="n">
        <v>1469</v>
      </c>
      <c r="AJ2773" t="inlineStr">
        <is>
          <t>MOTHER OF PEARL</t>
        </is>
      </c>
      <c r="AK2773" t="n">
        <v>9</v>
      </c>
      <c r="AL2773" t="inlineStr">
        <is>
          <t>Miss Glam Jambi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MOTHER OF PEARL</t>
        </is>
      </c>
      <c r="B2774" s="2">
        <f>"8997228730333"</f>
        <v/>
      </c>
      <c r="C2774" t="inlineStr">
        <is>
          <t>MOTHER OF PEARL Translucent Loose Powder 8.5gr</t>
        </is>
      </c>
      <c r="D2774" t="inlineStr">
        <is>
          <t>Miss Glam Jambi</t>
        </is>
      </c>
      <c r="E2774" t="n">
        <v>3</v>
      </c>
      <c r="F2774" t="n">
        <v>0.006600000000000001</v>
      </c>
      <c r="G2774" t="n">
        <v>0.33</v>
      </c>
      <c r="H2774" t="n">
        <v>4</v>
      </c>
      <c r="I2774" t="n">
        <v>20</v>
      </c>
      <c r="J2774" t="n">
        <v>3</v>
      </c>
      <c r="K2774" t="n">
        <v>3</v>
      </c>
      <c r="L2774" t="n">
        <v>112447</v>
      </c>
      <c r="M2774" t="n">
        <v>159000</v>
      </c>
      <c r="N2774" t="n">
        <v>33</v>
      </c>
      <c r="O2774" t="n">
        <v>0.33</v>
      </c>
      <c r="P2774" t="n">
        <v>1</v>
      </c>
      <c r="Q2774" t="n">
        <v>0.08</v>
      </c>
      <c r="R2774" t="n">
        <v>2</v>
      </c>
      <c r="S2774" t="n">
        <v>1049.4</v>
      </c>
      <c r="T2774" t="n">
        <v>7</v>
      </c>
      <c r="U2774" t="n">
        <v>8</v>
      </c>
      <c r="V2774" t="n">
        <v>30</v>
      </c>
      <c r="W2774" t="n">
        <v>1</v>
      </c>
      <c r="X2774" t="n">
        <v>454.5454545454545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6943</v>
      </c>
      <c r="AG2774" t="n">
        <v>1</v>
      </c>
      <c r="AH2774" t="inlineStr">
        <is>
          <t>PT. BERSAMA DISTRIVERSA INDONESIA (DC CIPUTAT)</t>
        </is>
      </c>
      <c r="AI2774" t="n">
        <v>1469</v>
      </c>
      <c r="AJ2774" t="inlineStr">
        <is>
          <t>MOTHER OF PEARL</t>
        </is>
      </c>
      <c r="AK2774" t="n">
        <v>9</v>
      </c>
      <c r="AL2774" t="inlineStr">
        <is>
          <t>Miss Glam Jambi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MOTHER OF PEARL</t>
        </is>
      </c>
      <c r="B2775" s="2">
        <f>"8993883900005"</f>
        <v/>
      </c>
      <c r="C2775" t="inlineStr">
        <is>
          <t>MOTHER OF PEARL Vantablack Waterproof Precision Liner-Black Chromatic 1,3ml</t>
        </is>
      </c>
      <c r="D2775" t="inlineStr">
        <is>
          <t>Miss Glam Jambi</t>
        </is>
      </c>
      <c r="E2775" t="n">
        <v>2</v>
      </c>
      <c r="F2775" t="n">
        <v>0.006600000000000001</v>
      </c>
      <c r="G2775" t="n">
        <v>0.33</v>
      </c>
      <c r="H2775" t="n">
        <v>4</v>
      </c>
      <c r="I2775" t="n">
        <v>20</v>
      </c>
      <c r="J2775" t="n">
        <v>3</v>
      </c>
      <c r="K2775" t="n">
        <v>0</v>
      </c>
      <c r="L2775" t="n">
        <v>65469</v>
      </c>
      <c r="M2775" t="n">
        <v>99000</v>
      </c>
      <c r="N2775" t="n">
        <v>33</v>
      </c>
      <c r="O2775" t="n">
        <v>0.33</v>
      </c>
      <c r="P2775" t="n">
        <v>1</v>
      </c>
      <c r="Q2775" t="n">
        <v>0.03</v>
      </c>
      <c r="R2775" t="n">
        <v>1</v>
      </c>
      <c r="S2775" t="n">
        <v>653.4000000000001</v>
      </c>
      <c r="T2775" t="n">
        <v>7</v>
      </c>
      <c r="U2775" t="n">
        <v>8</v>
      </c>
      <c r="V2775" t="n">
        <v>30</v>
      </c>
      <c r="W2775" t="n">
        <v>1</v>
      </c>
      <c r="X2775" t="n">
        <v>303.030303030303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6943</v>
      </c>
      <c r="AG2775" t="n">
        <v>1</v>
      </c>
      <c r="AH2775" t="inlineStr">
        <is>
          <t>PT. BERSAMA DISTRIVERSA INDONESIA (DC CIPUTAT)</t>
        </is>
      </c>
      <c r="AI2775" t="n">
        <v>1469</v>
      </c>
      <c r="AJ2775" t="inlineStr">
        <is>
          <t>MOTHER OF PEARL</t>
        </is>
      </c>
      <c r="AK2775" t="n">
        <v>9</v>
      </c>
      <c r="AL2775" t="inlineStr">
        <is>
          <t>Miss Glam Jambi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MS GLOW</t>
        </is>
      </c>
      <c r="B2776" s="2">
        <f>"10300211223"</f>
        <v/>
      </c>
      <c r="C2776" t="inlineStr">
        <is>
          <t>MS GLOW Acne Night Cream 12gr</t>
        </is>
      </c>
      <c r="D2776" t="inlineStr">
        <is>
          <t>Miss Glam Jambi</t>
        </is>
      </c>
      <c r="E2776" t="n">
        <v>11</v>
      </c>
      <c r="F2776" t="n">
        <v>0.0396</v>
      </c>
      <c r="G2776" t="n">
        <v>0.33</v>
      </c>
      <c r="H2776" t="n">
        <v>4</v>
      </c>
      <c r="I2776" t="n">
        <v>20</v>
      </c>
      <c r="J2776" t="n">
        <v>3</v>
      </c>
      <c r="K2776" t="n">
        <v>0</v>
      </c>
      <c r="L2776" t="n">
        <v>55155</v>
      </c>
      <c r="M2776" t="n">
        <v>85000</v>
      </c>
      <c r="N2776" t="n">
        <v>33</v>
      </c>
      <c r="O2776" t="n">
        <v>0.33</v>
      </c>
      <c r="P2776" t="n">
        <v>1</v>
      </c>
      <c r="Q2776" t="n">
        <v>0.17</v>
      </c>
      <c r="R2776" t="n">
        <v>2</v>
      </c>
      <c r="S2776" t="n">
        <v>3366</v>
      </c>
      <c r="T2776" t="n">
        <v>7</v>
      </c>
      <c r="U2776" t="n">
        <v>8</v>
      </c>
      <c r="V2776" t="n">
        <v>30</v>
      </c>
      <c r="W2776" t="n">
        <v>2</v>
      </c>
      <c r="X2776" t="n">
        <v>277.7777777777778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6976</v>
      </c>
      <c r="AG2776" t="n">
        <v>1</v>
      </c>
      <c r="AH2776" t="inlineStr">
        <is>
          <t>PT. BERSAMA DISTRIVERSA INDONESIA (DC CIPUTAT)</t>
        </is>
      </c>
      <c r="AI2776" t="n">
        <v>951</v>
      </c>
      <c r="AJ2776" t="inlineStr">
        <is>
          <t>MS GLOW</t>
        </is>
      </c>
      <c r="AK2776" t="n">
        <v>9</v>
      </c>
      <c r="AL2776" t="inlineStr">
        <is>
          <t>Miss Glam Jambi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MS GLOW</t>
        </is>
      </c>
      <c r="B2777" s="2">
        <f>"101001107531"</f>
        <v/>
      </c>
      <c r="C2777" t="inlineStr">
        <is>
          <t>MS GLOW Blemishes Calm Cleanser 100ml</t>
        </is>
      </c>
      <c r="D2777" t="inlineStr">
        <is>
          <t>Miss Glam Jambi</t>
        </is>
      </c>
      <c r="E2777" t="n">
        <v>25</v>
      </c>
      <c r="F2777" t="n">
        <v>0.1683</v>
      </c>
      <c r="G2777" t="n">
        <v>1.32</v>
      </c>
      <c r="H2777" t="n">
        <v>4</v>
      </c>
      <c r="I2777" t="n">
        <v>20</v>
      </c>
      <c r="J2777" t="n">
        <v>1</v>
      </c>
      <c r="K2777" t="n">
        <v>0</v>
      </c>
      <c r="L2777" t="n">
        <v>51000</v>
      </c>
      <c r="M2777" t="n">
        <v>60000</v>
      </c>
      <c r="N2777" t="n">
        <v>33</v>
      </c>
      <c r="O2777" t="n">
        <v>0.33</v>
      </c>
      <c r="P2777" t="n">
        <v>1</v>
      </c>
      <c r="Q2777" t="n">
        <v>0.07000000000000001</v>
      </c>
      <c r="R2777" t="n">
        <v>1</v>
      </c>
      <c r="S2777" t="n">
        <v>10098</v>
      </c>
      <c r="T2777" t="n">
        <v>26</v>
      </c>
      <c r="U2777" t="n">
        <v>27</v>
      </c>
      <c r="V2777" t="n">
        <v>30</v>
      </c>
      <c r="W2777" t="n">
        <v>6</v>
      </c>
      <c r="X2777" t="n">
        <v>148.544266191325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6976</v>
      </c>
      <c r="AG2777" t="n">
        <v>1</v>
      </c>
      <c r="AH2777" t="inlineStr">
        <is>
          <t>PT. BERSAMA DISTRIVERSA INDONESIA (DC CIPUTAT)</t>
        </is>
      </c>
      <c r="AI2777" t="n">
        <v>951</v>
      </c>
      <c r="AJ2777" t="inlineStr">
        <is>
          <t>MS GLOW</t>
        </is>
      </c>
      <c r="AK2777" t="n">
        <v>9</v>
      </c>
      <c r="AL2777" t="inlineStr">
        <is>
          <t>Miss Glam Jambi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MS GLOW</t>
        </is>
      </c>
      <c r="B2778" s="2">
        <f>"101001107634"</f>
        <v/>
      </c>
      <c r="C2778" t="inlineStr">
        <is>
          <t>MS GLOW Cell DNA Cleanser 100ml</t>
        </is>
      </c>
      <c r="D2778" t="inlineStr">
        <is>
          <t>Miss Glam Jambi</t>
        </is>
      </c>
      <c r="E2778" t="n">
        <v>0</v>
      </c>
      <c r="F2778" t="n">
        <v>0.0726</v>
      </c>
      <c r="G2778" t="n">
        <v>0.66</v>
      </c>
      <c r="H2778" t="n">
        <v>4</v>
      </c>
      <c r="I2778" t="n">
        <v>20</v>
      </c>
      <c r="J2778" t="n">
        <v>1</v>
      </c>
      <c r="K2778" t="n">
        <v>0</v>
      </c>
      <c r="L2778" t="n">
        <v>52209</v>
      </c>
      <c r="M2778" t="n">
        <v>70000</v>
      </c>
      <c r="N2778" t="n">
        <v>33</v>
      </c>
      <c r="O2778" t="n">
        <v>0.33</v>
      </c>
      <c r="P2778" t="n">
        <v>1</v>
      </c>
      <c r="Q2778" t="n">
        <v>0.16</v>
      </c>
      <c r="R2778" t="n">
        <v>2</v>
      </c>
      <c r="S2778" t="n">
        <v>5082</v>
      </c>
      <c r="T2778" t="n">
        <v>13</v>
      </c>
      <c r="U2778" t="n">
        <v>14</v>
      </c>
      <c r="V2778" t="n">
        <v>30</v>
      </c>
      <c r="W2778" t="n">
        <v>3</v>
      </c>
      <c r="X2778" t="n">
        <v>0</v>
      </c>
      <c r="Y2778" t="n">
        <v>1</v>
      </c>
      <c r="Z2778" t="n">
        <v>3</v>
      </c>
      <c r="AA2778" t="n">
        <v>2</v>
      </c>
      <c r="AB2778" t="n">
        <v>1</v>
      </c>
      <c r="AC2778" t="n">
        <v>1</v>
      </c>
      <c r="AD2778" t="n">
        <v>104418</v>
      </c>
      <c r="AE2778" t="n">
        <v>52209</v>
      </c>
      <c r="AF2778" t="n">
        <v>6976</v>
      </c>
      <c r="AG2778" t="n">
        <v>1</v>
      </c>
      <c r="AH2778" t="inlineStr">
        <is>
          <t>PT. BERSAMA DISTRIVERSA INDONESIA (DC CIPUTAT)</t>
        </is>
      </c>
      <c r="AI2778" t="n">
        <v>951</v>
      </c>
      <c r="AJ2778" t="inlineStr">
        <is>
          <t>MS GLOW</t>
        </is>
      </c>
      <c r="AK2778" t="n">
        <v>9</v>
      </c>
      <c r="AL2778" t="inlineStr">
        <is>
          <t>Miss Glam Jambi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MS GLOW</t>
        </is>
      </c>
      <c r="B2779" s="2">
        <f>"10200317433"</f>
        <v/>
      </c>
      <c r="C2779" t="inlineStr">
        <is>
          <t>MS GLOW Deep Treatment Essence Salmon DNA 100ml</t>
        </is>
      </c>
      <c r="D2779" t="inlineStr">
        <is>
          <t>Miss Glam Jambi</t>
        </is>
      </c>
      <c r="E2779" t="n">
        <v>1</v>
      </c>
      <c r="F2779" t="n">
        <v>0.009900000000000001</v>
      </c>
      <c r="G2779" t="n">
        <v>0.66</v>
      </c>
      <c r="H2779" t="n">
        <v>4</v>
      </c>
      <c r="I2779" t="n">
        <v>20</v>
      </c>
      <c r="J2779" t="n">
        <v>3</v>
      </c>
      <c r="K2779" t="n">
        <v>0</v>
      </c>
      <c r="L2779" t="n">
        <v>109272</v>
      </c>
      <c r="M2779" t="n">
        <v>175000</v>
      </c>
      <c r="N2779" t="n">
        <v>33</v>
      </c>
      <c r="O2779" t="n">
        <v>0.33</v>
      </c>
      <c r="P2779" t="n">
        <v>1</v>
      </c>
      <c r="Q2779" t="n">
        <v>0.02</v>
      </c>
      <c r="R2779" t="n">
        <v>1</v>
      </c>
      <c r="S2779" t="n">
        <v>1732.5</v>
      </c>
      <c r="T2779" t="n">
        <v>14</v>
      </c>
      <c r="U2779" t="n">
        <v>15</v>
      </c>
      <c r="V2779" t="n">
        <v>30</v>
      </c>
      <c r="W2779" t="n">
        <v>1</v>
      </c>
      <c r="X2779" t="n">
        <v>101.010101010101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6976</v>
      </c>
      <c r="AG2779" t="n">
        <v>1</v>
      </c>
      <c r="AH2779" t="inlineStr">
        <is>
          <t>PT. BERSAMA DISTRIVERSA INDONESIA (DC CIPUTAT)</t>
        </is>
      </c>
      <c r="AI2779" t="n">
        <v>951</v>
      </c>
      <c r="AJ2779" t="inlineStr">
        <is>
          <t>MS GLOW</t>
        </is>
      </c>
      <c r="AK2779" t="n">
        <v>9</v>
      </c>
      <c r="AL2779" t="inlineStr">
        <is>
          <t>Miss Glam Jambi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MS GLOW</t>
        </is>
      </c>
      <c r="B2780" s="2">
        <f>"35087126"</f>
        <v/>
      </c>
      <c r="C2780" t="inlineStr">
        <is>
          <t>MS GLOW Facial Wash Super Clean 100ml</t>
        </is>
      </c>
      <c r="D2780" t="inlineStr">
        <is>
          <t>Miss Glam Jambi</t>
        </is>
      </c>
      <c r="E2780" t="n">
        <v>32</v>
      </c>
      <c r="F2780" t="n">
        <v>0.2277</v>
      </c>
      <c r="G2780" t="n">
        <v>1.32</v>
      </c>
      <c r="H2780" t="n">
        <v>4</v>
      </c>
      <c r="I2780" t="n">
        <v>20</v>
      </c>
      <c r="J2780" t="n">
        <v>3</v>
      </c>
      <c r="K2780" t="n">
        <v>0</v>
      </c>
      <c r="L2780" t="n">
        <v>44330</v>
      </c>
      <c r="M2780" t="n">
        <v>60000</v>
      </c>
      <c r="N2780" t="n">
        <v>33</v>
      </c>
      <c r="O2780" t="n">
        <v>0.33</v>
      </c>
      <c r="P2780" t="n">
        <v>1</v>
      </c>
      <c r="Q2780" t="n">
        <v>0.17</v>
      </c>
      <c r="R2780" t="n">
        <v>3</v>
      </c>
      <c r="S2780" t="n">
        <v>13662</v>
      </c>
      <c r="T2780" t="n">
        <v>26</v>
      </c>
      <c r="U2780" t="n">
        <v>27</v>
      </c>
      <c r="V2780" t="n">
        <v>30</v>
      </c>
      <c r="W2780" t="n">
        <v>7</v>
      </c>
      <c r="X2780" t="n">
        <v>140.5357927097058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6976</v>
      </c>
      <c r="AG2780" t="n">
        <v>1</v>
      </c>
      <c r="AH2780" t="inlineStr">
        <is>
          <t>PT. BERSAMA DISTRIVERSA INDONESIA (DC CIPUTAT)</t>
        </is>
      </c>
      <c r="AI2780" t="n">
        <v>951</v>
      </c>
      <c r="AJ2780" t="inlineStr">
        <is>
          <t>MS GLOW</t>
        </is>
      </c>
      <c r="AK2780" t="n">
        <v>9</v>
      </c>
      <c r="AL2780" t="inlineStr">
        <is>
          <t>Miss Glam Jambi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MS GLOW</t>
        </is>
      </c>
      <c r="B2781" s="2">
        <f>"10200159619"</f>
        <v/>
      </c>
      <c r="C2781" t="inlineStr">
        <is>
          <t>MS GLOW Hydra Milk Toner 50ml</t>
        </is>
      </c>
      <c r="D2781" t="inlineStr">
        <is>
          <t>Miss Glam Jambi</t>
        </is>
      </c>
      <c r="E2781" t="n">
        <v>3</v>
      </c>
      <c r="F2781" t="n">
        <v>0.02</v>
      </c>
      <c r="G2781" t="n">
        <v>1</v>
      </c>
      <c r="H2781" t="n">
        <v>4</v>
      </c>
      <c r="I2781" t="n">
        <v>20</v>
      </c>
      <c r="J2781" t="n">
        <v>1</v>
      </c>
      <c r="K2781" t="n">
        <v>0</v>
      </c>
      <c r="L2781" t="n">
        <v>46000</v>
      </c>
      <c r="M2781" t="n">
        <v>70000</v>
      </c>
      <c r="N2781" t="n">
        <v>33</v>
      </c>
      <c r="O2781" t="n">
        <v>0.33</v>
      </c>
      <c r="P2781" t="n">
        <v>0</v>
      </c>
      <c r="Q2781" t="n">
        <v>0.02</v>
      </c>
      <c r="R2781" t="n">
        <v>1</v>
      </c>
      <c r="S2781" t="n">
        <v>1400</v>
      </c>
      <c r="T2781" t="n">
        <v>20</v>
      </c>
      <c r="U2781" t="n">
        <v>21</v>
      </c>
      <c r="V2781" t="n">
        <v>30</v>
      </c>
      <c r="W2781" t="n">
        <v>1</v>
      </c>
      <c r="X2781" t="n">
        <v>150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6976</v>
      </c>
      <c r="AG2781" t="n">
        <v>1</v>
      </c>
      <c r="AH2781" t="inlineStr">
        <is>
          <t>PT. BERSAMA DISTRIVERSA INDONESIA (DC CIPUTAT)</t>
        </is>
      </c>
      <c r="AI2781" t="n">
        <v>951</v>
      </c>
      <c r="AJ2781" t="inlineStr">
        <is>
          <t>MS GLOW</t>
        </is>
      </c>
      <c r="AK2781" t="n">
        <v>9</v>
      </c>
      <c r="AL2781" t="inlineStr">
        <is>
          <t>Miss Glam Jambi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MS GLOW</t>
        </is>
      </c>
      <c r="B2782" s="2">
        <f>"10300211307"</f>
        <v/>
      </c>
      <c r="C2782" t="inlineStr">
        <is>
          <t>MS GLOW Luminous Whitening Night Cream 12gr</t>
        </is>
      </c>
      <c r="D2782" t="inlineStr">
        <is>
          <t>Miss Glam Jambi</t>
        </is>
      </c>
      <c r="E2782" t="n">
        <v>8</v>
      </c>
      <c r="F2782" t="n">
        <v>0.066</v>
      </c>
      <c r="G2782" t="n">
        <v>0.66</v>
      </c>
      <c r="H2782" t="n">
        <v>4</v>
      </c>
      <c r="I2782" t="n">
        <v>20</v>
      </c>
      <c r="J2782" t="n">
        <v>3</v>
      </c>
      <c r="K2782" t="n">
        <v>0</v>
      </c>
      <c r="L2782" t="n">
        <v>54169</v>
      </c>
      <c r="M2782" t="n">
        <v>85000</v>
      </c>
      <c r="N2782" t="n">
        <v>33</v>
      </c>
      <c r="O2782" t="n">
        <v>0.33</v>
      </c>
      <c r="P2782" t="n">
        <v>1</v>
      </c>
      <c r="Q2782" t="n">
        <v>0.05</v>
      </c>
      <c r="R2782" t="n">
        <v>1</v>
      </c>
      <c r="S2782" t="n">
        <v>5610</v>
      </c>
      <c r="T2782" t="n">
        <v>13</v>
      </c>
      <c r="U2782" t="n">
        <v>14</v>
      </c>
      <c r="V2782" t="n">
        <v>30</v>
      </c>
      <c r="W2782" t="n">
        <v>2</v>
      </c>
      <c r="X2782" t="n">
        <v>121.2121212121212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6976</v>
      </c>
      <c r="AG2782" t="n">
        <v>1</v>
      </c>
      <c r="AH2782" t="inlineStr">
        <is>
          <t>PT. BERSAMA DISTRIVERSA INDONESIA (DC CIPUTAT)</t>
        </is>
      </c>
      <c r="AI2782" t="n">
        <v>951</v>
      </c>
      <c r="AJ2782" t="inlineStr">
        <is>
          <t>MS GLOW</t>
        </is>
      </c>
      <c r="AK2782" t="n">
        <v>9</v>
      </c>
      <c r="AL2782" t="inlineStr">
        <is>
          <t>Miss Glam Jambi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MS GLOW</t>
        </is>
      </c>
      <c r="B2783" s="2">
        <f>"10400611020"</f>
        <v/>
      </c>
      <c r="C2783" t="inlineStr">
        <is>
          <t>MS GLOW Sun White SPF 50 PA+ 13.8gr</t>
        </is>
      </c>
      <c r="D2783" t="inlineStr">
        <is>
          <t>Miss Glam Jambi</t>
        </is>
      </c>
      <c r="E2783" t="n">
        <v>1</v>
      </c>
      <c r="F2783" t="n">
        <v>0.0594</v>
      </c>
      <c r="G2783" t="n">
        <v>0.66</v>
      </c>
      <c r="H2783" t="n">
        <v>4</v>
      </c>
      <c r="I2783" t="n">
        <v>20</v>
      </c>
      <c r="J2783" t="n">
        <v>3</v>
      </c>
      <c r="K2783" t="n">
        <v>0</v>
      </c>
      <c r="L2783" t="n">
        <v>54252</v>
      </c>
      <c r="M2783" t="n">
        <v>70000</v>
      </c>
      <c r="N2783" t="n">
        <v>33</v>
      </c>
      <c r="O2783" t="n">
        <v>0.33</v>
      </c>
      <c r="P2783" t="n">
        <v>1</v>
      </c>
      <c r="Q2783" t="n">
        <v>0.12</v>
      </c>
      <c r="R2783" t="n">
        <v>1</v>
      </c>
      <c r="S2783" t="n">
        <v>4158</v>
      </c>
      <c r="T2783" t="n">
        <v>13</v>
      </c>
      <c r="U2783" t="n">
        <v>14</v>
      </c>
      <c r="V2783" t="n">
        <v>30</v>
      </c>
      <c r="W2783" t="n">
        <v>2</v>
      </c>
      <c r="X2783" t="n">
        <v>16.83501683501683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n">
        <v>54252</v>
      </c>
      <c r="AE2783" t="n">
        <v>0</v>
      </c>
      <c r="AF2783" t="n">
        <v>6976</v>
      </c>
      <c r="AG2783" t="n">
        <v>1</v>
      </c>
      <c r="AH2783" t="inlineStr">
        <is>
          <t>PT. BERSAMA DISTRIVERSA INDONESIA (DC CIPUTAT)</t>
        </is>
      </c>
      <c r="AI2783" t="n">
        <v>951</v>
      </c>
      <c r="AJ2783" t="inlineStr">
        <is>
          <t>MS GLOW</t>
        </is>
      </c>
      <c r="AK2783" t="n">
        <v>9</v>
      </c>
      <c r="AL2783" t="inlineStr">
        <is>
          <t>Miss Glam Jambi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MS GLOW</t>
        </is>
      </c>
      <c r="B2784" s="2">
        <f>"10300211451"</f>
        <v/>
      </c>
      <c r="C2784" t="inlineStr">
        <is>
          <t>MS GLOW Ultimate Night Cream 13.8gr</t>
        </is>
      </c>
      <c r="D2784" t="inlineStr">
        <is>
          <t>Miss Glam Jambi</t>
        </is>
      </c>
      <c r="E2784" t="n">
        <v>14</v>
      </c>
      <c r="F2784" t="n">
        <v>0.033</v>
      </c>
      <c r="G2784" t="n">
        <v>0.66</v>
      </c>
      <c r="H2784" t="n">
        <v>4</v>
      </c>
      <c r="I2784" t="n">
        <v>20</v>
      </c>
      <c r="J2784" t="n">
        <v>3</v>
      </c>
      <c r="K2784" t="n">
        <v>0</v>
      </c>
      <c r="L2784" t="n">
        <v>63034</v>
      </c>
      <c r="M2784" t="n">
        <v>85000</v>
      </c>
      <c r="N2784" t="n">
        <v>33</v>
      </c>
      <c r="O2784" t="n">
        <v>0.33</v>
      </c>
      <c r="P2784" t="n">
        <v>1</v>
      </c>
      <c r="Q2784" t="n">
        <v>0.02</v>
      </c>
      <c r="R2784" t="n">
        <v>1</v>
      </c>
      <c r="S2784" t="n">
        <v>2805</v>
      </c>
      <c r="T2784" t="n">
        <v>14</v>
      </c>
      <c r="U2784" t="n">
        <v>15</v>
      </c>
      <c r="V2784" t="n">
        <v>30</v>
      </c>
      <c r="W2784" t="n">
        <v>1</v>
      </c>
      <c r="X2784" t="n">
        <v>424.2424242424242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6976</v>
      </c>
      <c r="AG2784" t="n">
        <v>1</v>
      </c>
      <c r="AH2784" t="inlineStr">
        <is>
          <t>PT. BERSAMA DISTRIVERSA INDONESIA (DC CIPUTAT)</t>
        </is>
      </c>
      <c r="AI2784" t="n">
        <v>951</v>
      </c>
      <c r="AJ2784" t="inlineStr">
        <is>
          <t>MS GLOW</t>
        </is>
      </c>
      <c r="AK2784" t="n">
        <v>9</v>
      </c>
      <c r="AL2784" t="inlineStr">
        <is>
          <t>Miss Glam Jambi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MS GLOW</t>
        </is>
      </c>
      <c r="B2785" s="2">
        <f>"10200159406"</f>
        <v/>
      </c>
      <c r="C2785" t="inlineStr">
        <is>
          <t>MS GLOW White Caviar Toner 50ml</t>
        </is>
      </c>
      <c r="D2785" t="inlineStr">
        <is>
          <t>Miss Glam Jambi</t>
        </is>
      </c>
      <c r="E2785" t="n">
        <v>3</v>
      </c>
      <c r="F2785" t="n">
        <v>0.033</v>
      </c>
      <c r="G2785" t="n">
        <v>0.33</v>
      </c>
      <c r="H2785" t="n">
        <v>4</v>
      </c>
      <c r="I2785" t="n">
        <v>20</v>
      </c>
      <c r="J2785" t="n">
        <v>1</v>
      </c>
      <c r="K2785" t="n">
        <v>0</v>
      </c>
      <c r="L2785" t="n">
        <v>47250</v>
      </c>
      <c r="M2785" t="n">
        <v>70000</v>
      </c>
      <c r="N2785" t="n">
        <v>33</v>
      </c>
      <c r="O2785" t="n">
        <v>0.33</v>
      </c>
      <c r="P2785" t="n">
        <v>1</v>
      </c>
      <c r="Q2785" t="n">
        <v>0.02</v>
      </c>
      <c r="R2785" t="n">
        <v>1</v>
      </c>
      <c r="S2785" t="n">
        <v>2310</v>
      </c>
      <c r="T2785" t="n">
        <v>7</v>
      </c>
      <c r="U2785" t="n">
        <v>8</v>
      </c>
      <c r="V2785" t="n">
        <v>30</v>
      </c>
      <c r="W2785" t="n">
        <v>1</v>
      </c>
      <c r="X2785" t="n">
        <v>90.90909090909091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6976</v>
      </c>
      <c r="AG2785" t="n">
        <v>1</v>
      </c>
      <c r="AH2785" t="inlineStr">
        <is>
          <t>PT. BERSAMA DISTRIVERSA INDONESIA (DC CIPUTAT)</t>
        </is>
      </c>
      <c r="AI2785" t="n">
        <v>951</v>
      </c>
      <c r="AJ2785" t="inlineStr">
        <is>
          <t>MS GLOW</t>
        </is>
      </c>
      <c r="AK2785" t="n">
        <v>9</v>
      </c>
      <c r="AL2785" t="inlineStr">
        <is>
          <t>Miss Glam Jambi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MS GLOW</t>
        </is>
      </c>
      <c r="B2786" s="2">
        <f>"10300213124"</f>
        <v/>
      </c>
      <c r="C2786" t="inlineStr">
        <is>
          <t>MS GLOW White Cell Dna Night Cream 12g</t>
        </is>
      </c>
      <c r="D2786" t="inlineStr">
        <is>
          <t>Miss Glam Jambi</t>
        </is>
      </c>
      <c r="E2786" t="n">
        <v>2</v>
      </c>
      <c r="F2786" t="n">
        <v>0.0165</v>
      </c>
      <c r="G2786" t="n">
        <v>0.33</v>
      </c>
      <c r="H2786" t="n">
        <v>4</v>
      </c>
      <c r="I2786" t="n">
        <v>20</v>
      </c>
      <c r="J2786" t="n">
        <v>3</v>
      </c>
      <c r="K2786" t="n">
        <v>0</v>
      </c>
      <c r="L2786" t="n">
        <v>54424</v>
      </c>
      <c r="M2786" t="n">
        <v>85000</v>
      </c>
      <c r="N2786" t="n">
        <v>33</v>
      </c>
      <c r="O2786" t="n">
        <v>0.33</v>
      </c>
      <c r="P2786" t="n">
        <v>1</v>
      </c>
      <c r="Q2786" t="n">
        <v>0.05</v>
      </c>
      <c r="R2786" t="n">
        <v>1</v>
      </c>
      <c r="S2786" t="n">
        <v>1402.5</v>
      </c>
      <c r="T2786" t="n">
        <v>7</v>
      </c>
      <c r="U2786" t="n">
        <v>8</v>
      </c>
      <c r="V2786" t="n">
        <v>30</v>
      </c>
      <c r="W2786" t="n">
        <v>1</v>
      </c>
      <c r="X2786" t="n">
        <v>121.2121212121212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6976</v>
      </c>
      <c r="AG2786" t="n">
        <v>1</v>
      </c>
      <c r="AH2786" t="inlineStr">
        <is>
          <t>PT. BERSAMA DISTRIVERSA INDONESIA (DC CIPUTAT)</t>
        </is>
      </c>
      <c r="AI2786" t="n">
        <v>951</v>
      </c>
      <c r="AJ2786" t="inlineStr">
        <is>
          <t>MS GLOW</t>
        </is>
      </c>
      <c r="AK2786" t="n">
        <v>9</v>
      </c>
      <c r="AL2786" t="inlineStr">
        <is>
          <t>Miss Glam Jambi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MS GLOW</t>
        </is>
      </c>
      <c r="B2787" s="2">
        <f>"10200270154"</f>
        <v/>
      </c>
      <c r="C2787" t="inlineStr">
        <is>
          <t>MS GLOW White Cell DNA Serum 15ml</t>
        </is>
      </c>
      <c r="D2787" t="inlineStr">
        <is>
          <t>Miss Glam Jambi</t>
        </is>
      </c>
      <c r="E2787" t="n">
        <v>3</v>
      </c>
      <c r="F2787" t="n">
        <v>0.02</v>
      </c>
      <c r="G2787" t="n">
        <v>1</v>
      </c>
      <c r="H2787" t="n">
        <v>4</v>
      </c>
      <c r="I2787" t="n">
        <v>20</v>
      </c>
      <c r="J2787" t="n">
        <v>3</v>
      </c>
      <c r="K2787" t="n">
        <v>0</v>
      </c>
      <c r="L2787" t="n">
        <v>109000</v>
      </c>
      <c r="M2787" t="n">
        <v>175000</v>
      </c>
      <c r="N2787" t="n">
        <v>33</v>
      </c>
      <c r="O2787" t="n">
        <v>0.33</v>
      </c>
      <c r="P2787" t="n">
        <v>0</v>
      </c>
      <c r="Q2787" t="n">
        <v>0.02</v>
      </c>
      <c r="R2787" t="n">
        <v>1</v>
      </c>
      <c r="S2787" t="n">
        <v>3500</v>
      </c>
      <c r="T2787" t="n">
        <v>20</v>
      </c>
      <c r="U2787" t="n">
        <v>21</v>
      </c>
      <c r="V2787" t="n">
        <v>30</v>
      </c>
      <c r="W2787" t="n">
        <v>1</v>
      </c>
      <c r="X2787" t="n">
        <v>150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6976</v>
      </c>
      <c r="AG2787" t="n">
        <v>1</v>
      </c>
      <c r="AH2787" t="inlineStr">
        <is>
          <t>PT. BERSAMA DISTRIVERSA INDONESIA (DC CIPUTAT)</t>
        </is>
      </c>
      <c r="AI2787" t="n">
        <v>951</v>
      </c>
      <c r="AJ2787" t="inlineStr">
        <is>
          <t>MS GLOW</t>
        </is>
      </c>
      <c r="AK2787" t="n">
        <v>9</v>
      </c>
      <c r="AL2787" t="inlineStr">
        <is>
          <t>Miss Glam Jambi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MS GLOW</t>
        </is>
      </c>
      <c r="B2788" s="2">
        <f>"10200159551"</f>
        <v/>
      </c>
      <c r="C2788" t="inlineStr">
        <is>
          <t>MS GLOW White Cell DNA Toner 50ml</t>
        </is>
      </c>
      <c r="D2788" t="inlineStr">
        <is>
          <t>Miss Glam Jambi</t>
        </is>
      </c>
      <c r="E2788" t="n">
        <v>5</v>
      </c>
      <c r="F2788" t="n">
        <v>0.0231</v>
      </c>
      <c r="G2788" t="n">
        <v>0.33</v>
      </c>
      <c r="H2788" t="n">
        <v>4</v>
      </c>
      <c r="I2788" t="n">
        <v>20</v>
      </c>
      <c r="J2788" t="n">
        <v>1</v>
      </c>
      <c r="K2788" t="n">
        <v>0</v>
      </c>
      <c r="L2788" t="n">
        <v>55302</v>
      </c>
      <c r="M2788" t="n">
        <v>70000</v>
      </c>
      <c r="N2788" t="n">
        <v>33</v>
      </c>
      <c r="O2788" t="n">
        <v>0.33</v>
      </c>
      <c r="P2788" t="n">
        <v>1</v>
      </c>
      <c r="Q2788" t="n">
        <v>0.03</v>
      </c>
      <c r="R2788" t="n">
        <v>1</v>
      </c>
      <c r="S2788" t="n">
        <v>1617</v>
      </c>
      <c r="T2788" t="n">
        <v>7</v>
      </c>
      <c r="U2788" t="n">
        <v>8</v>
      </c>
      <c r="V2788" t="n">
        <v>30</v>
      </c>
      <c r="W2788" t="n">
        <v>1</v>
      </c>
      <c r="X2788" t="n">
        <v>216.4502164502164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6976</v>
      </c>
      <c r="AG2788" t="n">
        <v>1</v>
      </c>
      <c r="AH2788" t="inlineStr">
        <is>
          <t>PT. BERSAMA DISTRIVERSA INDONESIA (DC CIPUTAT)</t>
        </is>
      </c>
      <c r="AI2788" t="n">
        <v>951</v>
      </c>
      <c r="AJ2788" t="inlineStr">
        <is>
          <t>MS GLOW</t>
        </is>
      </c>
      <c r="AK2788" t="n">
        <v>9</v>
      </c>
      <c r="AL2788" t="inlineStr">
        <is>
          <t>Miss Glam Jambi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MS GLOW</t>
        </is>
      </c>
      <c r="B2789" s="2">
        <f>"50504900630"</f>
        <v/>
      </c>
      <c r="C2789" t="inlineStr">
        <is>
          <t>MS GLOW Whitening Day Cream 12g</t>
        </is>
      </c>
      <c r="D2789" t="inlineStr">
        <is>
          <t>Miss Glam Jambi</t>
        </is>
      </c>
      <c r="E2789" t="n">
        <v>7</v>
      </c>
      <c r="F2789" t="n">
        <v>0.12</v>
      </c>
      <c r="G2789" t="n">
        <v>1</v>
      </c>
      <c r="H2789" t="n">
        <v>4</v>
      </c>
      <c r="I2789" t="n">
        <v>20</v>
      </c>
      <c r="J2789" t="n">
        <v>3</v>
      </c>
      <c r="K2789" t="n">
        <v>0</v>
      </c>
      <c r="L2789" t="n">
        <v>63034</v>
      </c>
      <c r="M2789" t="n">
        <v>85000</v>
      </c>
      <c r="N2789" t="n">
        <v>33</v>
      </c>
      <c r="O2789" t="n">
        <v>0.33</v>
      </c>
      <c r="P2789" t="n">
        <v>0</v>
      </c>
      <c r="Q2789" t="n">
        <v>0.12</v>
      </c>
      <c r="R2789" t="n">
        <v>1</v>
      </c>
      <c r="S2789" t="n">
        <v>10200</v>
      </c>
      <c r="T2789" t="n">
        <v>20</v>
      </c>
      <c r="U2789" t="n">
        <v>21</v>
      </c>
      <c r="V2789" t="n">
        <v>30</v>
      </c>
      <c r="W2789" t="n">
        <v>4</v>
      </c>
      <c r="X2789" t="n">
        <v>58.33333333333334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6976</v>
      </c>
      <c r="AG2789" t="n">
        <v>1</v>
      </c>
      <c r="AH2789" t="inlineStr">
        <is>
          <t>PT. BERSAMA DISTRIVERSA INDONESIA (DC CIPUTAT)</t>
        </is>
      </c>
      <c r="AI2789" t="n">
        <v>951</v>
      </c>
      <c r="AJ2789" t="inlineStr">
        <is>
          <t>MS GLOW</t>
        </is>
      </c>
      <c r="AK2789" t="n">
        <v>9</v>
      </c>
      <c r="AL2789" t="inlineStr">
        <is>
          <t>Miss Glam Jambi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MS GLOW</t>
        </is>
      </c>
      <c r="B2790" s="2">
        <f>"10200242149"</f>
        <v/>
      </c>
      <c r="C2790" t="inlineStr">
        <is>
          <t>MS GLOW Whitening Gold Serum 15ml</t>
        </is>
      </c>
      <c r="D2790" t="inlineStr">
        <is>
          <t>Miss Glam Jambi</t>
        </is>
      </c>
      <c r="E2790" t="n">
        <v>2</v>
      </c>
      <c r="F2790" t="n">
        <v>0.009900000000000001</v>
      </c>
      <c r="G2790" t="n">
        <v>0.33</v>
      </c>
      <c r="H2790" t="n">
        <v>4</v>
      </c>
      <c r="I2790" t="n">
        <v>20</v>
      </c>
      <c r="J2790" t="n">
        <v>3</v>
      </c>
      <c r="K2790" t="n">
        <v>0</v>
      </c>
      <c r="L2790" t="n">
        <v>112371</v>
      </c>
      <c r="M2790" t="n">
        <v>175000</v>
      </c>
      <c r="N2790" t="n">
        <v>33</v>
      </c>
      <c r="O2790" t="n">
        <v>0.33</v>
      </c>
      <c r="P2790" t="n">
        <v>1</v>
      </c>
      <c r="Q2790" t="n">
        <v>0.1</v>
      </c>
      <c r="R2790" t="n">
        <v>1</v>
      </c>
      <c r="S2790" t="n">
        <v>1732.5</v>
      </c>
      <c r="T2790" t="n">
        <v>7</v>
      </c>
      <c r="U2790" t="n">
        <v>8</v>
      </c>
      <c r="V2790" t="n">
        <v>30</v>
      </c>
      <c r="W2790" t="n">
        <v>1</v>
      </c>
      <c r="X2790" t="n">
        <v>202.020202020202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6976</v>
      </c>
      <c r="AG2790" t="n">
        <v>1</v>
      </c>
      <c r="AH2790" t="inlineStr">
        <is>
          <t>PT. BERSAMA DISTRIVERSA INDONESIA (DC CIPUTAT)</t>
        </is>
      </c>
      <c r="AI2790" t="n">
        <v>951</v>
      </c>
      <c r="AJ2790" t="inlineStr">
        <is>
          <t>MS GLOW</t>
        </is>
      </c>
      <c r="AK2790" t="n">
        <v>9</v>
      </c>
      <c r="AL2790" t="inlineStr">
        <is>
          <t>Miss Glam Jambi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MS GLOW</t>
        </is>
      </c>
      <c r="B2791" s="2">
        <f>"10300211539"</f>
        <v/>
      </c>
      <c r="C2791" t="inlineStr">
        <is>
          <t>MS GLOW Whitening Night Cream 12gr</t>
        </is>
      </c>
      <c r="D2791" t="inlineStr">
        <is>
          <t>Miss Glam Jambi</t>
        </is>
      </c>
      <c r="E2791" t="n">
        <v>9</v>
      </c>
      <c r="F2791" t="n">
        <v>0.0231</v>
      </c>
      <c r="G2791" t="n">
        <v>0.33</v>
      </c>
      <c r="H2791" t="n">
        <v>4</v>
      </c>
      <c r="I2791" t="n">
        <v>20</v>
      </c>
      <c r="J2791" t="n">
        <v>3</v>
      </c>
      <c r="K2791" t="n">
        <v>0</v>
      </c>
      <c r="L2791" t="n">
        <v>63034</v>
      </c>
      <c r="M2791" t="n">
        <v>85000</v>
      </c>
      <c r="N2791" t="n">
        <v>33</v>
      </c>
      <c r="O2791" t="n">
        <v>0.33</v>
      </c>
      <c r="P2791" t="n">
        <v>1</v>
      </c>
      <c r="Q2791" t="n">
        <v>0.08</v>
      </c>
      <c r="R2791" t="n">
        <v>1</v>
      </c>
      <c r="S2791" t="n">
        <v>1963.5</v>
      </c>
      <c r="T2791" t="n">
        <v>7</v>
      </c>
      <c r="U2791" t="n">
        <v>8</v>
      </c>
      <c r="V2791" t="n">
        <v>30</v>
      </c>
      <c r="W2791" t="n">
        <v>1</v>
      </c>
      <c r="X2791" t="n">
        <v>389.6103896103896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6976</v>
      </c>
      <c r="AG2791" t="n">
        <v>1</v>
      </c>
      <c r="AH2791" t="inlineStr">
        <is>
          <t>PT. BERSAMA DISTRIVERSA INDONESIA (DC CIPUTAT)</t>
        </is>
      </c>
      <c r="AI2791" t="n">
        <v>951</v>
      </c>
      <c r="AJ2791" t="inlineStr">
        <is>
          <t>MS GLOW</t>
        </is>
      </c>
      <c r="AK2791" t="n">
        <v>9</v>
      </c>
      <c r="AL2791" t="inlineStr">
        <is>
          <t>Miss Glam Jambi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MS GLOW MEN</t>
        </is>
      </c>
      <c r="B2792" s="2">
        <f>"101001107738"</f>
        <v/>
      </c>
      <c r="C2792" t="inlineStr">
        <is>
          <t>MS GLOW Men Acnotion Facial Wash 100ml</t>
        </is>
      </c>
      <c r="D2792" t="inlineStr">
        <is>
          <t>Miss Glam Jambi</t>
        </is>
      </c>
      <c r="E2792" t="n">
        <v>16</v>
      </c>
      <c r="F2792" t="n">
        <v>0.0264</v>
      </c>
      <c r="G2792" t="n">
        <v>0.66</v>
      </c>
      <c r="H2792" t="n">
        <v>4</v>
      </c>
      <c r="I2792" t="n">
        <v>20</v>
      </c>
      <c r="J2792" t="n">
        <v>1</v>
      </c>
      <c r="K2792" t="n">
        <v>0</v>
      </c>
      <c r="L2792" t="n">
        <v>43466</v>
      </c>
      <c r="M2792" t="n">
        <v>60000</v>
      </c>
      <c r="N2792" t="n">
        <v>33</v>
      </c>
      <c r="O2792" t="n">
        <v>0.33</v>
      </c>
      <c r="P2792" t="n">
        <v>1</v>
      </c>
      <c r="Q2792" t="n">
        <v>0.02</v>
      </c>
      <c r="R2792" t="n">
        <v>1</v>
      </c>
      <c r="S2792" t="n">
        <v>1584</v>
      </c>
      <c r="T2792" t="n">
        <v>14</v>
      </c>
      <c r="U2792" t="n">
        <v>15</v>
      </c>
      <c r="V2792" t="n">
        <v>30</v>
      </c>
      <c r="W2792" t="n">
        <v>1</v>
      </c>
      <c r="X2792" t="n">
        <v>606.060606060606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7009</v>
      </c>
      <c r="AG2792" t="n">
        <v>1</v>
      </c>
      <c r="AH2792" t="inlineStr">
        <is>
          <t>PT. BERSAMA DISTRIVERSA INDONESIA (DC CIPUTAT)</t>
        </is>
      </c>
      <c r="AI2792" t="n">
        <v>2280</v>
      </c>
      <c r="AJ2792" t="inlineStr">
        <is>
          <t>MS GLOW MEN</t>
        </is>
      </c>
      <c r="AK2792" t="n">
        <v>9</v>
      </c>
      <c r="AL2792" t="inlineStr">
        <is>
          <t>Miss Glam Jambi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MS GLOW MEN</t>
        </is>
      </c>
      <c r="B2793" s="2">
        <f>"101001106744"</f>
        <v/>
      </c>
      <c r="C2793" t="inlineStr">
        <is>
          <t>MS GLOW Men Facial Wash With Black Oat 100ml</t>
        </is>
      </c>
      <c r="D2793" t="inlineStr">
        <is>
          <t>Miss Glam Jambi</t>
        </is>
      </c>
      <c r="E2793" t="n">
        <v>0</v>
      </c>
      <c r="F2793" t="n">
        <v>0.15</v>
      </c>
      <c r="G2793" t="n">
        <v>3</v>
      </c>
      <c r="H2793" t="n">
        <v>4</v>
      </c>
      <c r="I2793" t="n">
        <v>20</v>
      </c>
      <c r="J2793" t="n">
        <v>3</v>
      </c>
      <c r="K2793" t="n">
        <v>0</v>
      </c>
      <c r="L2793" t="n">
        <v>43605</v>
      </c>
      <c r="M2793" t="n">
        <v>65000</v>
      </c>
      <c r="N2793" t="n">
        <v>33</v>
      </c>
      <c r="O2793" t="n">
        <v>0.33</v>
      </c>
      <c r="P2793" t="n">
        <v>0</v>
      </c>
      <c r="Q2793" t="n">
        <v>0.15</v>
      </c>
      <c r="R2793" t="n">
        <v>3</v>
      </c>
      <c r="S2793" t="n">
        <v>9750</v>
      </c>
      <c r="T2793" t="n">
        <v>60</v>
      </c>
      <c r="U2793" t="n">
        <v>61</v>
      </c>
      <c r="V2793" t="n">
        <v>30</v>
      </c>
      <c r="W2793" t="n">
        <v>5</v>
      </c>
      <c r="X2793" t="n">
        <v>0</v>
      </c>
      <c r="Y2793" t="n">
        <v>1</v>
      </c>
      <c r="Z2793" t="n">
        <v>5</v>
      </c>
      <c r="AA2793" t="n">
        <v>3</v>
      </c>
      <c r="AB2793" t="n">
        <v>2</v>
      </c>
      <c r="AC2793" t="n">
        <v>3</v>
      </c>
      <c r="AD2793" t="n">
        <v>130815</v>
      </c>
      <c r="AE2793" t="n">
        <v>130815</v>
      </c>
      <c r="AF2793" t="n">
        <v>7009</v>
      </c>
      <c r="AG2793" t="n">
        <v>1</v>
      </c>
      <c r="AH2793" t="inlineStr">
        <is>
          <t>PT. BERSAMA DISTRIVERSA INDONESIA (DC CIPUTAT)</t>
        </is>
      </c>
      <c r="AI2793" t="n">
        <v>2280</v>
      </c>
      <c r="AJ2793" t="inlineStr">
        <is>
          <t>MS GLOW MEN</t>
        </is>
      </c>
      <c r="AK2793" t="n">
        <v>9</v>
      </c>
      <c r="AL2793" t="inlineStr">
        <is>
          <t>Miss Glam Jambi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MS GLOW MEN</t>
        </is>
      </c>
      <c r="B2794" s="2">
        <f>"101001107911"</f>
        <v/>
      </c>
      <c r="C2794" t="inlineStr">
        <is>
          <t>MS GLOW Men Hydra Boost Facial Wash 100ml</t>
        </is>
      </c>
      <c r="D2794" t="inlineStr">
        <is>
          <t>Miss Glam Jambi</t>
        </is>
      </c>
      <c r="E2794" t="n">
        <v>1</v>
      </c>
      <c r="F2794" t="n">
        <v>0.0264</v>
      </c>
      <c r="G2794" t="n">
        <v>0.33</v>
      </c>
      <c r="H2794" t="n">
        <v>4</v>
      </c>
      <c r="I2794" t="n">
        <v>20</v>
      </c>
      <c r="J2794" t="n">
        <v>1</v>
      </c>
      <c r="K2794" t="n">
        <v>0</v>
      </c>
      <c r="L2794" t="n">
        <v>38250</v>
      </c>
      <c r="M2794" t="n">
        <v>60000</v>
      </c>
      <c r="N2794" t="n">
        <v>33</v>
      </c>
      <c r="O2794" t="n">
        <v>0.33</v>
      </c>
      <c r="P2794" t="n">
        <v>1</v>
      </c>
      <c r="Q2794" t="n">
        <v>0.02</v>
      </c>
      <c r="R2794" t="n">
        <v>1</v>
      </c>
      <c r="S2794" t="n">
        <v>1584</v>
      </c>
      <c r="T2794" t="n">
        <v>7</v>
      </c>
      <c r="U2794" t="n">
        <v>8</v>
      </c>
      <c r="V2794" t="n">
        <v>30</v>
      </c>
      <c r="W2794" t="n">
        <v>1</v>
      </c>
      <c r="X2794" t="n">
        <v>37.87878787878788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7009</v>
      </c>
      <c r="AG2794" t="n">
        <v>1</v>
      </c>
      <c r="AH2794" t="inlineStr">
        <is>
          <t>PT. BERSAMA DISTRIVERSA INDONESIA (DC CIPUTAT)</t>
        </is>
      </c>
      <c r="AI2794" t="n">
        <v>2280</v>
      </c>
      <c r="AJ2794" t="inlineStr">
        <is>
          <t>MS GLOW MEN</t>
        </is>
      </c>
      <c r="AK2794" t="n">
        <v>9</v>
      </c>
      <c r="AL2794" t="inlineStr">
        <is>
          <t>Miss Glam Jambi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MU TOUCH</t>
        </is>
      </c>
      <c r="B2795" s="2">
        <f>"8885012970181"</f>
        <v/>
      </c>
      <c r="C2795" t="inlineStr">
        <is>
          <t>MU TOUCH Sc Honey Pouch 450ml</t>
        </is>
      </c>
      <c r="D2795" t="inlineStr">
        <is>
          <t>Miss Glam Jambi</t>
        </is>
      </c>
      <c r="E2795" t="n">
        <v>0</v>
      </c>
      <c r="F2795" t="n">
        <v>0.06270000000000001</v>
      </c>
      <c r="G2795" t="n">
        <v>0.99</v>
      </c>
      <c r="H2795" t="n">
        <v>4</v>
      </c>
      <c r="I2795" t="n">
        <v>28</v>
      </c>
      <c r="J2795" t="n">
        <v>3</v>
      </c>
      <c r="K2795" t="n">
        <v>0</v>
      </c>
      <c r="L2795" t="n">
        <v>28733</v>
      </c>
      <c r="M2795" t="n">
        <v>34000</v>
      </c>
      <c r="N2795" t="n">
        <v>33</v>
      </c>
      <c r="O2795" t="n">
        <v>0.33</v>
      </c>
      <c r="P2795" t="n">
        <v>1</v>
      </c>
      <c r="Q2795" t="n">
        <v>0.1</v>
      </c>
      <c r="R2795" t="n">
        <v>1</v>
      </c>
      <c r="S2795" t="n">
        <v>2131.8</v>
      </c>
      <c r="T2795" t="n">
        <v>28</v>
      </c>
      <c r="U2795" t="n">
        <v>29</v>
      </c>
      <c r="V2795" t="n">
        <v>30</v>
      </c>
      <c r="W2795" t="n">
        <v>2</v>
      </c>
      <c r="X2795" t="n">
        <v>0</v>
      </c>
      <c r="Y2795" t="n">
        <v>1</v>
      </c>
      <c r="Z2795" t="n">
        <v>2</v>
      </c>
      <c r="AA2795" t="n">
        <v>2</v>
      </c>
      <c r="AB2795" t="n">
        <v>0</v>
      </c>
      <c r="AC2795" t="n">
        <v>0</v>
      </c>
      <c r="AD2795" t="n">
        <v>57466</v>
      </c>
      <c r="AE2795" t="n">
        <v>0</v>
      </c>
      <c r="AF2795" t="n">
        <v>10519</v>
      </c>
      <c r="AG2795" t="n">
        <v>2148</v>
      </c>
      <c r="AH2795" t="inlineStr">
        <is>
          <t>PT. JAYA PALEMBANG SUKSES - PPN (JMB)</t>
        </is>
      </c>
      <c r="AI2795" t="n">
        <v>400</v>
      </c>
      <c r="AJ2795" t="inlineStr">
        <is>
          <t>MU TOUCH</t>
        </is>
      </c>
      <c r="AK2795" t="n">
        <v>9</v>
      </c>
      <c r="AL2795" t="inlineStr">
        <is>
          <t>Miss Glam Jambi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MU TOUCH</t>
        </is>
      </c>
      <c r="B2796" s="2">
        <f>"8885012970297"</f>
        <v/>
      </c>
      <c r="C2796" t="inlineStr">
        <is>
          <t>MU TOUCH Shower Cream Habbatussauda 450ml</t>
        </is>
      </c>
      <c r="D2796" t="inlineStr">
        <is>
          <t>Miss Glam Jambi</t>
        </is>
      </c>
      <c r="E2796" t="n">
        <v>5</v>
      </c>
      <c r="F2796" t="n">
        <v>0.02</v>
      </c>
      <c r="G2796" t="n">
        <v>1</v>
      </c>
      <c r="H2796" t="n">
        <v>4</v>
      </c>
      <c r="I2796" t="n">
        <v>28</v>
      </c>
      <c r="J2796" t="n">
        <v>3</v>
      </c>
      <c r="K2796" t="n">
        <v>0</v>
      </c>
      <c r="L2796" t="n">
        <v>28733</v>
      </c>
      <c r="M2796" t="n">
        <v>36000</v>
      </c>
      <c r="N2796" t="n">
        <v>33</v>
      </c>
      <c r="O2796" t="n">
        <v>0.33</v>
      </c>
      <c r="P2796" t="n">
        <v>0</v>
      </c>
      <c r="Q2796" t="n">
        <v>0.02</v>
      </c>
      <c r="R2796" t="n">
        <v>1</v>
      </c>
      <c r="S2796" t="n">
        <v>720</v>
      </c>
      <c r="T2796" t="n">
        <v>28</v>
      </c>
      <c r="U2796" t="n">
        <v>29</v>
      </c>
      <c r="V2796" t="n">
        <v>30</v>
      </c>
      <c r="W2796" t="n">
        <v>1</v>
      </c>
      <c r="X2796" t="n">
        <v>250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10519</v>
      </c>
      <c r="AG2796" t="n">
        <v>2148</v>
      </c>
      <c r="AH2796" t="inlineStr">
        <is>
          <t>PT. JAYA PALEMBANG SUKSES - PPN (JMB)</t>
        </is>
      </c>
      <c r="AI2796" t="n">
        <v>400</v>
      </c>
      <c r="AJ2796" t="inlineStr">
        <is>
          <t>MU TOUCH</t>
        </is>
      </c>
      <c r="AK2796" t="n">
        <v>9</v>
      </c>
      <c r="AL2796" t="inlineStr">
        <is>
          <t>Miss Glam Jambi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MU TOUCH</t>
        </is>
      </c>
      <c r="B2797" s="2">
        <f>"9555436903827"</f>
        <v/>
      </c>
      <c r="C2797" t="inlineStr">
        <is>
          <t>MU TOUCH Touch Body Lotion Pearl &amp; Mulberry Pump 400ml</t>
        </is>
      </c>
      <c r="D2797" t="inlineStr">
        <is>
          <t>Miss Glam Jambi</t>
        </is>
      </c>
      <c r="E2797" t="n">
        <v>5</v>
      </c>
      <c r="F2797" t="n">
        <v>0.02</v>
      </c>
      <c r="G2797" t="n">
        <v>1</v>
      </c>
      <c r="H2797" t="n">
        <v>4</v>
      </c>
      <c r="I2797" t="n">
        <v>28</v>
      </c>
      <c r="J2797" t="n">
        <v>3</v>
      </c>
      <c r="K2797" t="n">
        <v>0</v>
      </c>
      <c r="L2797" t="n">
        <v>45748</v>
      </c>
      <c r="M2797" t="n">
        <v>57500</v>
      </c>
      <c r="N2797" t="n">
        <v>33</v>
      </c>
      <c r="O2797" t="n">
        <v>0.33</v>
      </c>
      <c r="P2797" t="n">
        <v>0</v>
      </c>
      <c r="Q2797" t="n">
        <v>0.02</v>
      </c>
      <c r="R2797" t="n">
        <v>1</v>
      </c>
      <c r="S2797" t="n">
        <v>1150</v>
      </c>
      <c r="T2797" t="n">
        <v>28</v>
      </c>
      <c r="U2797" t="n">
        <v>29</v>
      </c>
      <c r="V2797" t="n">
        <v>30</v>
      </c>
      <c r="W2797" t="n">
        <v>1</v>
      </c>
      <c r="X2797" t="n">
        <v>250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10519</v>
      </c>
      <c r="AG2797" t="n">
        <v>2148</v>
      </c>
      <c r="AH2797" t="inlineStr">
        <is>
          <t>PT. JAYA PALEMBANG SUKSES - PPN (JMB)</t>
        </is>
      </c>
      <c r="AI2797" t="n">
        <v>400</v>
      </c>
      <c r="AJ2797" t="inlineStr">
        <is>
          <t>MU TOUCH</t>
        </is>
      </c>
      <c r="AK2797" t="n">
        <v>9</v>
      </c>
      <c r="AL2797" t="inlineStr">
        <is>
          <t>Miss Glam Jambi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MU TOUCH</t>
        </is>
      </c>
      <c r="B2798" s="2">
        <f>"9555436903711"</f>
        <v/>
      </c>
      <c r="C2798" t="inlineStr">
        <is>
          <t>MUTOUCH Shower Cream With  Mulberry and Pearl 1000ml</t>
        </is>
      </c>
      <c r="D2798" t="inlineStr">
        <is>
          <t>Miss Glam Jambi</t>
        </is>
      </c>
      <c r="E2798" t="n">
        <v>2</v>
      </c>
      <c r="F2798" t="n">
        <v>0.0231</v>
      </c>
      <c r="G2798" t="n">
        <v>0.33</v>
      </c>
      <c r="H2798" t="n">
        <v>4</v>
      </c>
      <c r="I2798" t="n">
        <v>28</v>
      </c>
      <c r="J2798" t="n">
        <v>3</v>
      </c>
      <c r="K2798" t="n">
        <v>0</v>
      </c>
      <c r="L2798" t="n">
        <v>59505</v>
      </c>
      <c r="M2798" t="n">
        <v>70000</v>
      </c>
      <c r="N2798" t="n">
        <v>33</v>
      </c>
      <c r="O2798" t="n">
        <v>0.33</v>
      </c>
      <c r="P2798" t="n">
        <v>1</v>
      </c>
      <c r="Q2798" t="n">
        <v>0.03</v>
      </c>
      <c r="R2798" t="n">
        <v>1</v>
      </c>
      <c r="S2798" t="n">
        <v>1617</v>
      </c>
      <c r="T2798" t="n">
        <v>10</v>
      </c>
      <c r="U2798" t="n">
        <v>11</v>
      </c>
      <c r="V2798" t="n">
        <v>30</v>
      </c>
      <c r="W2798" t="n">
        <v>1</v>
      </c>
      <c r="X2798" t="n">
        <v>86.58008658008657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10519</v>
      </c>
      <c r="AG2798" t="n">
        <v>2148</v>
      </c>
      <c r="AH2798" t="inlineStr">
        <is>
          <t>PT. JAYA PALEMBANG SUKSES - PPN (JMB)</t>
        </is>
      </c>
      <c r="AI2798" t="n">
        <v>400</v>
      </c>
      <c r="AJ2798" t="inlineStr">
        <is>
          <t>MU TOUCH</t>
        </is>
      </c>
      <c r="AK2798" t="n">
        <v>9</v>
      </c>
      <c r="AL2798" t="inlineStr">
        <is>
          <t>Miss Glam Jambi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MU TOUCH</t>
        </is>
      </c>
      <c r="B2799" s="2">
        <f>"9555436903469"</f>
        <v/>
      </c>
      <c r="C2799" t="inlineStr">
        <is>
          <t>MUTOUCH Shower Cream With English Lavender and Rosemary 1000ml</t>
        </is>
      </c>
      <c r="D2799" t="inlineStr">
        <is>
          <t>Miss Glam Jambi</t>
        </is>
      </c>
      <c r="E2799" t="n">
        <v>2</v>
      </c>
      <c r="F2799" t="n">
        <v>0.05</v>
      </c>
      <c r="G2799" t="n">
        <v>2</v>
      </c>
      <c r="H2799" t="n">
        <v>4</v>
      </c>
      <c r="I2799" t="n">
        <v>28</v>
      </c>
      <c r="J2799" t="n">
        <v>3</v>
      </c>
      <c r="K2799" t="n">
        <v>0</v>
      </c>
      <c r="L2799" t="n">
        <v>57569</v>
      </c>
      <c r="M2799" t="n">
        <v>70000</v>
      </c>
      <c r="N2799" t="n">
        <v>33</v>
      </c>
      <c r="O2799" t="n">
        <v>0.33</v>
      </c>
      <c r="P2799" t="n">
        <v>0</v>
      </c>
      <c r="Q2799" t="n">
        <v>0.05</v>
      </c>
      <c r="R2799" t="n">
        <v>2</v>
      </c>
      <c r="S2799" t="n">
        <v>3500</v>
      </c>
      <c r="T2799" t="n">
        <v>56</v>
      </c>
      <c r="U2799" t="n">
        <v>57</v>
      </c>
      <c r="V2799" t="n">
        <v>30</v>
      </c>
      <c r="W2799" t="n">
        <v>2</v>
      </c>
      <c r="X2799" t="n">
        <v>40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10519</v>
      </c>
      <c r="AG2799" t="n">
        <v>2148</v>
      </c>
      <c r="AH2799" t="inlineStr">
        <is>
          <t>PT. JAYA PALEMBANG SUKSES - PPN (JMB)</t>
        </is>
      </c>
      <c r="AI2799" t="n">
        <v>400</v>
      </c>
      <c r="AJ2799" t="inlineStr">
        <is>
          <t>MU TOUCH</t>
        </is>
      </c>
      <c r="AK2799" t="n">
        <v>9</v>
      </c>
      <c r="AL2799" t="inlineStr">
        <is>
          <t>Miss Glam Jambi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MU TOUCH</t>
        </is>
      </c>
      <c r="B2800" s="2">
        <f>"9555436903728"</f>
        <v/>
      </c>
      <c r="C2800" t="inlineStr">
        <is>
          <t>MUTOUCH Shower Cream With Honey &amp; Royal Jelly 1000ml</t>
        </is>
      </c>
      <c r="D2800" t="inlineStr">
        <is>
          <t>Miss Glam Jambi</t>
        </is>
      </c>
      <c r="E2800" t="n">
        <v>1</v>
      </c>
      <c r="F2800" t="n">
        <v>0.0462</v>
      </c>
      <c r="G2800" t="n">
        <v>0.33</v>
      </c>
      <c r="H2800" t="n">
        <v>4</v>
      </c>
      <c r="I2800" t="n">
        <v>28</v>
      </c>
      <c r="J2800" t="n">
        <v>3</v>
      </c>
      <c r="K2800" t="n">
        <v>0</v>
      </c>
      <c r="L2800" t="n">
        <v>61538</v>
      </c>
      <c r="M2800" t="n">
        <v>70000</v>
      </c>
      <c r="N2800" t="n">
        <v>33</v>
      </c>
      <c r="O2800" t="n">
        <v>0.33</v>
      </c>
      <c r="P2800" t="n">
        <v>1</v>
      </c>
      <c r="Q2800" t="n">
        <v>0.03</v>
      </c>
      <c r="R2800" t="n">
        <v>1</v>
      </c>
      <c r="S2800" t="n">
        <v>3234</v>
      </c>
      <c r="T2800" t="n">
        <v>10</v>
      </c>
      <c r="U2800" t="n">
        <v>11</v>
      </c>
      <c r="V2800" t="n">
        <v>30</v>
      </c>
      <c r="W2800" t="n">
        <v>2</v>
      </c>
      <c r="X2800" t="n">
        <v>21.64502164502164</v>
      </c>
      <c r="Y2800" t="n">
        <v>1</v>
      </c>
      <c r="Z2800" t="n">
        <v>1</v>
      </c>
      <c r="AA2800" t="n">
        <v>1</v>
      </c>
      <c r="AB2800" t="n">
        <v>0</v>
      </c>
      <c r="AC2800" t="n">
        <v>0</v>
      </c>
      <c r="AD2800" t="n">
        <v>61538</v>
      </c>
      <c r="AE2800" t="n">
        <v>0</v>
      </c>
      <c r="AF2800" t="n">
        <v>10519</v>
      </c>
      <c r="AG2800" t="n">
        <v>2148</v>
      </c>
      <c r="AH2800" t="inlineStr">
        <is>
          <t>PT. JAYA PALEMBANG SUKSES - PPN (JMB)</t>
        </is>
      </c>
      <c r="AI2800" t="n">
        <v>400</v>
      </c>
      <c r="AJ2800" t="inlineStr">
        <is>
          <t>MU TOUCH</t>
        </is>
      </c>
      <c r="AK2800" t="n">
        <v>9</v>
      </c>
      <c r="AL2800" t="inlineStr">
        <is>
          <t>Miss Glam Jambi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MUSTIKA RATU</t>
        </is>
      </c>
      <c r="B2801" s="2">
        <f>"8995151130121"</f>
        <v/>
      </c>
      <c r="C2801" t="inlineStr">
        <is>
          <t>MUSTIKA RATU Hair Oil Cem Ceman 175ml</t>
        </is>
      </c>
      <c r="D2801" t="inlineStr">
        <is>
          <t>Miss Glam Jambi</t>
        </is>
      </c>
      <c r="E2801" t="n">
        <v>7</v>
      </c>
      <c r="F2801" t="n">
        <v>0.1452</v>
      </c>
      <c r="G2801" t="n">
        <v>1.32</v>
      </c>
      <c r="H2801" t="n">
        <v>4</v>
      </c>
      <c r="I2801" t="n">
        <v>28</v>
      </c>
      <c r="J2801" t="n">
        <v>3</v>
      </c>
      <c r="K2801" t="n">
        <v>0</v>
      </c>
      <c r="L2801" t="n">
        <v>40036</v>
      </c>
      <c r="M2801" t="n">
        <v>47500</v>
      </c>
      <c r="N2801" t="n">
        <v>33</v>
      </c>
      <c r="O2801" t="n">
        <v>0.33</v>
      </c>
      <c r="P2801" t="n">
        <v>1</v>
      </c>
      <c r="Q2801" t="n">
        <v>0.08</v>
      </c>
      <c r="R2801" t="n">
        <v>1</v>
      </c>
      <c r="S2801" t="n">
        <v>6897</v>
      </c>
      <c r="T2801" t="n">
        <v>37</v>
      </c>
      <c r="U2801" t="n">
        <v>38</v>
      </c>
      <c r="V2801" t="n">
        <v>30</v>
      </c>
      <c r="W2801" t="n">
        <v>5</v>
      </c>
      <c r="X2801" t="n">
        <v>48.20936639118457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10520</v>
      </c>
      <c r="AG2801" t="n">
        <v>2148</v>
      </c>
      <c r="AH2801" t="inlineStr">
        <is>
          <t>PT. JAYA PALEMBANG SUKSES - PPN (JMB)</t>
        </is>
      </c>
      <c r="AI2801" t="n">
        <v>111</v>
      </c>
      <c r="AJ2801" t="inlineStr">
        <is>
          <t>MUSTIKA RATU</t>
        </is>
      </c>
      <c r="AK2801" t="n">
        <v>9</v>
      </c>
      <c r="AL2801" t="inlineStr">
        <is>
          <t>Miss Glam Jambi</t>
        </is>
      </c>
      <c r="AM2801" t="n">
        <v>4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MUSTIKA RATU</t>
        </is>
      </c>
      <c r="B2802" s="2">
        <f>"8995151130138"</f>
        <v/>
      </c>
      <c r="C2802" t="inlineStr">
        <is>
          <t>MUSTIKA RATU Hair Tonic Penyubur Rambut 175ml</t>
        </is>
      </c>
      <c r="D2802" t="inlineStr">
        <is>
          <t>Miss Glam Jambi</t>
        </is>
      </c>
      <c r="E2802" t="n">
        <v>1</v>
      </c>
      <c r="F2802" t="n">
        <v>0.0825</v>
      </c>
      <c r="G2802" t="n">
        <v>0.66</v>
      </c>
      <c r="H2802" t="n">
        <v>4</v>
      </c>
      <c r="I2802" t="n">
        <v>28</v>
      </c>
      <c r="J2802" t="n">
        <v>3</v>
      </c>
      <c r="K2802" t="n">
        <v>0</v>
      </c>
      <c r="L2802" t="n">
        <v>29476</v>
      </c>
      <c r="M2802" t="n">
        <v>32500</v>
      </c>
      <c r="N2802" t="n">
        <v>33</v>
      </c>
      <c r="O2802" t="n">
        <v>0.33</v>
      </c>
      <c r="P2802" t="n">
        <v>1</v>
      </c>
      <c r="Q2802" t="n">
        <v>0.03</v>
      </c>
      <c r="R2802" t="n">
        <v>2</v>
      </c>
      <c r="S2802" t="n">
        <v>2681.25</v>
      </c>
      <c r="T2802" t="n">
        <v>19</v>
      </c>
      <c r="U2802" t="n">
        <v>20</v>
      </c>
      <c r="V2802" t="n">
        <v>30</v>
      </c>
      <c r="W2802" t="n">
        <v>3</v>
      </c>
      <c r="X2802" t="n">
        <v>12.12121212121212</v>
      </c>
      <c r="Y2802" t="n">
        <v>1</v>
      </c>
      <c r="Z2802" t="n">
        <v>2</v>
      </c>
      <c r="AA2802" t="n">
        <v>2</v>
      </c>
      <c r="AB2802" t="n">
        <v>0</v>
      </c>
      <c r="AC2802" t="n">
        <v>0</v>
      </c>
      <c r="AD2802" t="n">
        <v>58952</v>
      </c>
      <c r="AE2802" t="n">
        <v>0</v>
      </c>
      <c r="AF2802" t="n">
        <v>10520</v>
      </c>
      <c r="AG2802" t="n">
        <v>2148</v>
      </c>
      <c r="AH2802" t="inlineStr">
        <is>
          <t>PT. JAYA PALEMBANG SUKSES - PPN (JMB)</t>
        </is>
      </c>
      <c r="AI2802" t="n">
        <v>111</v>
      </c>
      <c r="AJ2802" t="inlineStr">
        <is>
          <t>MUSTIKA RATU</t>
        </is>
      </c>
      <c r="AK2802" t="n">
        <v>9</v>
      </c>
      <c r="AL2802" t="inlineStr">
        <is>
          <t>Miss Glam Jambi</t>
        </is>
      </c>
      <c r="AM2802" t="n">
        <v>4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MUSTIKA RATU</t>
        </is>
      </c>
      <c r="B2803" s="2">
        <f>"8995151120115"</f>
        <v/>
      </c>
      <c r="C2803" t="inlineStr">
        <is>
          <t>MUSTIKA RATU Minyak Zaitun 175ml</t>
        </is>
      </c>
      <c r="D2803" t="inlineStr">
        <is>
          <t>Miss Glam Jambi</t>
        </is>
      </c>
      <c r="E2803" t="n">
        <v>4</v>
      </c>
      <c r="F2803" t="n">
        <v>0.066</v>
      </c>
      <c r="G2803" t="n">
        <v>0.66</v>
      </c>
      <c r="H2803" t="n">
        <v>4</v>
      </c>
      <c r="I2803" t="n">
        <v>28</v>
      </c>
      <c r="J2803" t="n">
        <v>3</v>
      </c>
      <c r="K2803" t="n">
        <v>0</v>
      </c>
      <c r="L2803" t="n">
        <v>32975</v>
      </c>
      <c r="M2803" t="n">
        <v>38000</v>
      </c>
      <c r="N2803" t="n">
        <v>33</v>
      </c>
      <c r="O2803" t="n">
        <v>0.33</v>
      </c>
      <c r="P2803" t="n">
        <v>1</v>
      </c>
      <c r="Q2803" t="n">
        <v>0.15</v>
      </c>
      <c r="R2803" t="n">
        <v>2</v>
      </c>
      <c r="S2803" t="n">
        <v>2508</v>
      </c>
      <c r="T2803" t="n">
        <v>19</v>
      </c>
      <c r="U2803" t="n">
        <v>20</v>
      </c>
      <c r="V2803" t="n">
        <v>30</v>
      </c>
      <c r="W2803" t="n">
        <v>2</v>
      </c>
      <c r="X2803" t="n">
        <v>60.6060606060606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10520</v>
      </c>
      <c r="AG2803" t="n">
        <v>2148</v>
      </c>
      <c r="AH2803" t="inlineStr">
        <is>
          <t>PT. JAYA PALEMBANG SUKSES - PPN (JMB)</t>
        </is>
      </c>
      <c r="AI2803" t="n">
        <v>111</v>
      </c>
      <c r="AJ2803" t="inlineStr">
        <is>
          <t>MUSTIKA RATU</t>
        </is>
      </c>
      <c r="AK2803" t="n">
        <v>9</v>
      </c>
      <c r="AL2803" t="inlineStr">
        <is>
          <t>Miss Glam Jambi</t>
        </is>
      </c>
      <c r="AM2803" t="n">
        <v>4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MUSTIKA RATU</t>
        </is>
      </c>
      <c r="B2804" s="2">
        <f>"8995151120917"</f>
        <v/>
      </c>
      <c r="C2804" t="inlineStr">
        <is>
          <t>MUSTIKA RATU Minyak Zaitun 75ml</t>
        </is>
      </c>
      <c r="D2804" t="inlineStr">
        <is>
          <t>Miss Glam Jambi</t>
        </is>
      </c>
      <c r="E2804" t="n">
        <v>5</v>
      </c>
      <c r="F2804" t="n">
        <v>0.0825</v>
      </c>
      <c r="G2804" t="n">
        <v>0.99</v>
      </c>
      <c r="H2804" t="n">
        <v>4</v>
      </c>
      <c r="I2804" t="n">
        <v>28</v>
      </c>
      <c r="J2804" t="n">
        <v>3</v>
      </c>
      <c r="K2804" t="n">
        <v>0</v>
      </c>
      <c r="L2804" t="n">
        <v>19818</v>
      </c>
      <c r="M2804" t="n">
        <v>23500</v>
      </c>
      <c r="N2804" t="n">
        <v>33</v>
      </c>
      <c r="O2804" t="n">
        <v>0.33</v>
      </c>
      <c r="P2804" t="n">
        <v>1</v>
      </c>
      <c r="Q2804" t="n">
        <v>0.15</v>
      </c>
      <c r="R2804" t="n">
        <v>2</v>
      </c>
      <c r="S2804" t="n">
        <v>1938.75</v>
      </c>
      <c r="T2804" t="n">
        <v>28</v>
      </c>
      <c r="U2804" t="n">
        <v>29</v>
      </c>
      <c r="V2804" t="n">
        <v>30</v>
      </c>
      <c r="W2804" t="n">
        <v>3</v>
      </c>
      <c r="X2804" t="n">
        <v>60.6060606060606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10520</v>
      </c>
      <c r="AG2804" t="n">
        <v>2148</v>
      </c>
      <c r="AH2804" t="inlineStr">
        <is>
          <t>PT. JAYA PALEMBANG SUKSES - PPN (JMB)</t>
        </is>
      </c>
      <c r="AI2804" t="n">
        <v>111</v>
      </c>
      <c r="AJ2804" t="inlineStr">
        <is>
          <t>MUSTIKA RATU</t>
        </is>
      </c>
      <c r="AK2804" t="n">
        <v>9</v>
      </c>
      <c r="AL2804" t="inlineStr">
        <is>
          <t>Miss Glam Jambi</t>
        </is>
      </c>
      <c r="AM2804" t="n">
        <v>4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MUSTIKA RATU</t>
        </is>
      </c>
      <c r="B2805" s="2">
        <f>"30200205209"</f>
        <v/>
      </c>
      <c r="C2805" t="inlineStr">
        <is>
          <t>MUSTIKA RATU Minyak Zaitun Calming &amp; Soothing 75ml</t>
        </is>
      </c>
      <c r="D2805" t="inlineStr">
        <is>
          <t>Miss Glam Jambi</t>
        </is>
      </c>
      <c r="E2805" t="n">
        <v>8</v>
      </c>
      <c r="F2805" t="n">
        <v>0.0264</v>
      </c>
      <c r="G2805" t="n">
        <v>0.33</v>
      </c>
      <c r="H2805" t="n">
        <v>4</v>
      </c>
      <c r="I2805" t="n">
        <v>28</v>
      </c>
      <c r="J2805" t="n">
        <v>1</v>
      </c>
      <c r="K2805" t="n">
        <v>0</v>
      </c>
      <c r="L2805" t="n">
        <v>16150</v>
      </c>
      <c r="M2805" t="n">
        <v>20500</v>
      </c>
      <c r="N2805" t="n">
        <v>33</v>
      </c>
      <c r="O2805" t="n">
        <v>0.33</v>
      </c>
      <c r="P2805" t="n">
        <v>1</v>
      </c>
      <c r="Q2805" t="n">
        <v>0.03</v>
      </c>
      <c r="R2805" t="n">
        <v>1</v>
      </c>
      <c r="S2805" t="n">
        <v>541.2</v>
      </c>
      <c r="T2805" t="n">
        <v>10</v>
      </c>
      <c r="U2805" t="n">
        <v>11</v>
      </c>
      <c r="V2805" t="n">
        <v>30</v>
      </c>
      <c r="W2805" t="n">
        <v>1</v>
      </c>
      <c r="X2805" t="n">
        <v>303.030303030303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10520</v>
      </c>
      <c r="AG2805" t="n">
        <v>2148</v>
      </c>
      <c r="AH2805" t="inlineStr">
        <is>
          <t>PT. JAYA PALEMBANG SUKSES - PPN (JMB)</t>
        </is>
      </c>
      <c r="AI2805" t="n">
        <v>111</v>
      </c>
      <c r="AJ2805" t="inlineStr">
        <is>
          <t>MUSTIKA RATU</t>
        </is>
      </c>
      <c r="AK2805" t="n">
        <v>9</v>
      </c>
      <c r="AL2805" t="inlineStr">
        <is>
          <t>Miss Glam Jambi</t>
        </is>
      </c>
      <c r="AM2805" t="n">
        <v>4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MUSTIKA RATU</t>
        </is>
      </c>
      <c r="B2806" s="2">
        <f>"30200205356"</f>
        <v/>
      </c>
      <c r="C2806" t="inlineStr">
        <is>
          <t>MUSTIKA RATU Minyak Zaitun Restful Night 75ml</t>
        </is>
      </c>
      <c r="D2806" t="inlineStr">
        <is>
          <t>Miss Glam Jambi</t>
        </is>
      </c>
      <c r="E2806" t="n">
        <v>10</v>
      </c>
      <c r="F2806" t="n">
        <v>0.0231</v>
      </c>
      <c r="G2806" t="n">
        <v>0.33</v>
      </c>
      <c r="H2806" t="n">
        <v>4</v>
      </c>
      <c r="I2806" t="n">
        <v>28</v>
      </c>
      <c r="J2806" t="n">
        <v>1</v>
      </c>
      <c r="K2806" t="n">
        <v>0</v>
      </c>
      <c r="L2806" t="n">
        <v>16149</v>
      </c>
      <c r="M2806" t="n">
        <v>20500</v>
      </c>
      <c r="N2806" t="n">
        <v>33</v>
      </c>
      <c r="O2806" t="n">
        <v>0.33</v>
      </c>
      <c r="P2806" t="n">
        <v>1</v>
      </c>
      <c r="Q2806" t="n">
        <v>0.03</v>
      </c>
      <c r="R2806" t="n">
        <v>1</v>
      </c>
      <c r="S2806" t="n">
        <v>473.5500000000001</v>
      </c>
      <c r="T2806" t="n">
        <v>10</v>
      </c>
      <c r="U2806" t="n">
        <v>11</v>
      </c>
      <c r="V2806" t="n">
        <v>30</v>
      </c>
      <c r="W2806" t="n">
        <v>1</v>
      </c>
      <c r="X2806" t="n">
        <v>432.9004329004329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10520</v>
      </c>
      <c r="AG2806" t="n">
        <v>2148</v>
      </c>
      <c r="AH2806" t="inlineStr">
        <is>
          <t>PT. JAYA PALEMBANG SUKSES - PPN (JMB)</t>
        </is>
      </c>
      <c r="AI2806" t="n">
        <v>111</v>
      </c>
      <c r="AJ2806" t="inlineStr">
        <is>
          <t>MUSTIKA RATU</t>
        </is>
      </c>
      <c r="AK2806" t="n">
        <v>9</v>
      </c>
      <c r="AL2806" t="inlineStr">
        <is>
          <t>Miss Glam Jambi</t>
        </is>
      </c>
      <c r="AM2806" t="n">
        <v>4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MUSTIKA RATU</t>
        </is>
      </c>
      <c r="B2807" s="2">
        <f>"30200205405"</f>
        <v/>
      </c>
      <c r="C2807" t="inlineStr">
        <is>
          <t>MUSTIKA RATU Minyak Zaitun Skin F. Nutrition 75ml</t>
        </is>
      </c>
      <c r="D2807" t="inlineStr">
        <is>
          <t>Miss Glam Jambi</t>
        </is>
      </c>
      <c r="E2807" t="n">
        <v>13</v>
      </c>
      <c r="F2807" t="n">
        <v>0.0462</v>
      </c>
      <c r="G2807" t="n">
        <v>0.33</v>
      </c>
      <c r="H2807" t="n">
        <v>4</v>
      </c>
      <c r="I2807" t="n">
        <v>28</v>
      </c>
      <c r="J2807" t="n">
        <v>1</v>
      </c>
      <c r="K2807" t="n">
        <v>0</v>
      </c>
      <c r="L2807" t="n">
        <v>16150</v>
      </c>
      <c r="M2807" t="n">
        <v>20500</v>
      </c>
      <c r="N2807" t="n">
        <v>33</v>
      </c>
      <c r="O2807" t="n">
        <v>0.33</v>
      </c>
      <c r="P2807" t="n">
        <v>1</v>
      </c>
      <c r="Q2807" t="n">
        <v>0.07000000000000001</v>
      </c>
      <c r="R2807" t="n">
        <v>1</v>
      </c>
      <c r="S2807" t="n">
        <v>947.1000000000001</v>
      </c>
      <c r="T2807" t="n">
        <v>10</v>
      </c>
      <c r="U2807" t="n">
        <v>11</v>
      </c>
      <c r="V2807" t="n">
        <v>30</v>
      </c>
      <c r="W2807" t="n">
        <v>2</v>
      </c>
      <c r="X2807" t="n">
        <v>281.3852813852814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10520</v>
      </c>
      <c r="AG2807" t="n">
        <v>2148</v>
      </c>
      <c r="AH2807" t="inlineStr">
        <is>
          <t>PT. JAYA PALEMBANG SUKSES - PPN (JMB)</t>
        </is>
      </c>
      <c r="AI2807" t="n">
        <v>111</v>
      </c>
      <c r="AJ2807" t="inlineStr">
        <is>
          <t>MUSTIKA RATU</t>
        </is>
      </c>
      <c r="AK2807" t="n">
        <v>9</v>
      </c>
      <c r="AL2807" t="inlineStr">
        <is>
          <t>Miss Glam Jambi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MUSTIKA RATU</t>
        </is>
      </c>
      <c r="B2808" s="2">
        <f>"8995151130046"</f>
        <v/>
      </c>
      <c r="C2808" t="inlineStr">
        <is>
          <t>MUSTIKA RATU Shampoo Merang 175ml</t>
        </is>
      </c>
      <c r="D2808" t="inlineStr">
        <is>
          <t>Miss Glam Jambi</t>
        </is>
      </c>
      <c r="E2808" t="n">
        <v>0</v>
      </c>
      <c r="F2808" t="n">
        <v>0.009900000000000001</v>
      </c>
      <c r="G2808" t="n">
        <v>0.33</v>
      </c>
      <c r="H2808" t="n">
        <v>4</v>
      </c>
      <c r="I2808" t="n">
        <v>28</v>
      </c>
      <c r="J2808" t="n">
        <v>3</v>
      </c>
      <c r="K2808" t="n">
        <v>0</v>
      </c>
      <c r="L2808" t="n">
        <v>22727</v>
      </c>
      <c r="M2808" t="n">
        <v>29500</v>
      </c>
      <c r="N2808" t="n">
        <v>33</v>
      </c>
      <c r="O2808" t="n">
        <v>0.33</v>
      </c>
      <c r="P2808" t="n">
        <v>1</v>
      </c>
      <c r="Q2808" t="n">
        <v>0.03</v>
      </c>
      <c r="R2808" t="n">
        <v>1</v>
      </c>
      <c r="S2808" t="n">
        <v>292.05</v>
      </c>
      <c r="T2808" t="n">
        <v>10</v>
      </c>
      <c r="U2808" t="n">
        <v>11</v>
      </c>
      <c r="V2808" t="n">
        <v>30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n">
        <v>0</v>
      </c>
      <c r="AC2808" t="n">
        <v>0</v>
      </c>
      <c r="AD2808" t="n">
        <v>22727</v>
      </c>
      <c r="AE2808" t="n">
        <v>0</v>
      </c>
      <c r="AF2808" t="n">
        <v>10520</v>
      </c>
      <c r="AG2808" t="n">
        <v>2148</v>
      </c>
      <c r="AH2808" t="inlineStr">
        <is>
          <t>PT. JAYA PALEMBANG SUKSES - PPN (JMB)</t>
        </is>
      </c>
      <c r="AI2808" t="n">
        <v>111</v>
      </c>
      <c r="AJ2808" t="inlineStr">
        <is>
          <t>MUSTIKA RATU</t>
        </is>
      </c>
      <c r="AK2808" t="n">
        <v>9</v>
      </c>
      <c r="AL2808" t="inlineStr">
        <is>
          <t>Miss Glam Jambi</t>
        </is>
      </c>
      <c r="AM2808" t="n">
        <v>4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MYSTIC EYES</t>
        </is>
      </c>
      <c r="B2809" s="2">
        <f>"50900202529"</f>
        <v/>
      </c>
      <c r="C2809" t="inlineStr">
        <is>
          <t>MYSTIC EYES Eye Drops Dry Eye 10ml</t>
        </is>
      </c>
      <c r="D2809" t="inlineStr">
        <is>
          <t>Miss Glam Jambi</t>
        </is>
      </c>
      <c r="E2809" t="n">
        <v>0</v>
      </c>
      <c r="F2809" t="n">
        <v>2.7852</v>
      </c>
      <c r="G2809" t="n">
        <v>11.22</v>
      </c>
      <c r="H2809" t="n">
        <v>2</v>
      </c>
      <c r="I2809" t="n">
        <v>4</v>
      </c>
      <c r="J2809" t="n">
        <v>3</v>
      </c>
      <c r="K2809" t="n">
        <v>72</v>
      </c>
      <c r="L2809" t="n">
        <v>9719</v>
      </c>
      <c r="M2809" t="n">
        <v>12000</v>
      </c>
      <c r="N2809" t="n">
        <v>33</v>
      </c>
      <c r="O2809" t="n">
        <v>0.33</v>
      </c>
      <c r="P2809" t="n">
        <v>1</v>
      </c>
      <c r="Q2809" t="n">
        <v>0.32</v>
      </c>
      <c r="R2809" t="n">
        <v>2</v>
      </c>
      <c r="S2809" t="n">
        <v>33422.4</v>
      </c>
      <c r="T2809" t="n">
        <v>40</v>
      </c>
      <c r="U2809" t="n">
        <v>46</v>
      </c>
      <c r="V2809" t="n">
        <v>30</v>
      </c>
      <c r="W2809" t="n">
        <v>84</v>
      </c>
      <c r="X2809" t="n">
        <v>0</v>
      </c>
      <c r="Y2809" t="n">
        <v>1</v>
      </c>
      <c r="Z2809" t="n">
        <v>12</v>
      </c>
      <c r="AA2809" t="n">
        <v>11</v>
      </c>
      <c r="AB2809" t="n">
        <v>1</v>
      </c>
      <c r="AC2809" t="n">
        <v>3</v>
      </c>
      <c r="AD2809" t="n">
        <v>106909</v>
      </c>
      <c r="AE2809" t="n">
        <v>29157</v>
      </c>
      <c r="AF2809" t="n">
        <v>9738</v>
      </c>
      <c r="AG2809" t="n">
        <v>2867</v>
      </c>
      <c r="AH2809" t="inlineStr">
        <is>
          <t>PT. ELANG MUSI UTAMA - PPN (JMB)</t>
        </is>
      </c>
      <c r="AI2809" t="n">
        <v>1726</v>
      </c>
      <c r="AJ2809" t="inlineStr">
        <is>
          <t>MYSTIC EYES</t>
        </is>
      </c>
      <c r="AK2809" t="n">
        <v>9</v>
      </c>
      <c r="AL2809" t="inlineStr">
        <is>
          <t>Miss Glam Jambi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MYSTIC EYES</t>
        </is>
      </c>
      <c r="B2810" s="2">
        <f>"6921054680014"</f>
        <v/>
      </c>
      <c r="C2810" t="inlineStr">
        <is>
          <t>MYSTIC EYES Multi Purpose Solution 120ml</t>
        </is>
      </c>
      <c r="D2810" t="inlineStr">
        <is>
          <t>Miss Glam Jambi</t>
        </is>
      </c>
      <c r="E2810" t="n">
        <v>15</v>
      </c>
      <c r="F2810" t="n">
        <v>1.1121</v>
      </c>
      <c r="G2810" t="n">
        <v>3.63</v>
      </c>
      <c r="H2810" t="n">
        <v>2</v>
      </c>
      <c r="I2810" t="n">
        <v>4</v>
      </c>
      <c r="J2810" t="n">
        <v>3</v>
      </c>
      <c r="K2810" t="n">
        <v>18</v>
      </c>
      <c r="L2810" t="n">
        <v>14580</v>
      </c>
      <c r="M2810" t="n">
        <v>18000</v>
      </c>
      <c r="N2810" t="n">
        <v>33</v>
      </c>
      <c r="O2810" t="n">
        <v>0.33</v>
      </c>
      <c r="P2810" t="n">
        <v>1</v>
      </c>
      <c r="Q2810" t="n">
        <v>0.54</v>
      </c>
      <c r="R2810" t="n">
        <v>3</v>
      </c>
      <c r="S2810" t="n">
        <v>20017.8</v>
      </c>
      <c r="T2810" t="n">
        <v>13</v>
      </c>
      <c r="U2810" t="n">
        <v>16</v>
      </c>
      <c r="V2810" t="n">
        <v>30</v>
      </c>
      <c r="W2810" t="n">
        <v>34</v>
      </c>
      <c r="X2810" t="n">
        <v>13.48799568384138</v>
      </c>
      <c r="Y2810" t="n">
        <v>1</v>
      </c>
      <c r="Z2810" t="n">
        <v>1</v>
      </c>
      <c r="AA2810" t="n">
        <v>0</v>
      </c>
      <c r="AB2810" t="n">
        <v>1</v>
      </c>
      <c r="AC2810" t="n">
        <v>3</v>
      </c>
      <c r="AD2810" t="n">
        <v>0</v>
      </c>
      <c r="AE2810" t="n">
        <v>43740</v>
      </c>
      <c r="AF2810" t="n">
        <v>9738</v>
      </c>
      <c r="AG2810" t="n">
        <v>2867</v>
      </c>
      <c r="AH2810" t="inlineStr">
        <is>
          <t>PT. ELANG MUSI UTAMA - PPN (JMB)</t>
        </is>
      </c>
      <c r="AI2810" t="n">
        <v>1726</v>
      </c>
      <c r="AJ2810" t="inlineStr">
        <is>
          <t>MYSTIC EYES</t>
        </is>
      </c>
      <c r="AK2810" t="n">
        <v>9</v>
      </c>
      <c r="AL2810" t="inlineStr">
        <is>
          <t>Miss Glam Jambi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MYSTIC EYES</t>
        </is>
      </c>
      <c r="B2811" s="2">
        <f>"6921054680021"</f>
        <v/>
      </c>
      <c r="C2811" t="inlineStr">
        <is>
          <t>MYSTIC EYES Multi Purpose Solution 60ml</t>
        </is>
      </c>
      <c r="D2811" t="inlineStr">
        <is>
          <t>Miss Glam Jambi</t>
        </is>
      </c>
      <c r="E2811" t="n">
        <v>11</v>
      </c>
      <c r="F2811" t="n">
        <v>2.0988</v>
      </c>
      <c r="G2811" t="n">
        <v>6.600000000000001</v>
      </c>
      <c r="H2811" t="n">
        <v>2</v>
      </c>
      <c r="I2811" t="n">
        <v>4</v>
      </c>
      <c r="J2811" t="n">
        <v>3</v>
      </c>
      <c r="K2811" t="n">
        <v>52</v>
      </c>
      <c r="L2811" t="n">
        <v>8100</v>
      </c>
      <c r="M2811" t="n">
        <v>10000</v>
      </c>
      <c r="N2811" t="n">
        <v>33</v>
      </c>
      <c r="O2811" t="n">
        <v>0.33</v>
      </c>
      <c r="P2811" t="n">
        <v>1</v>
      </c>
      <c r="Q2811" t="n">
        <v>0.5600000000000001</v>
      </c>
      <c r="R2811" t="n">
        <v>3</v>
      </c>
      <c r="S2811" t="n">
        <v>20988</v>
      </c>
      <c r="T2811" t="n">
        <v>23</v>
      </c>
      <c r="U2811" t="n">
        <v>28</v>
      </c>
      <c r="V2811" t="n">
        <v>30</v>
      </c>
      <c r="W2811" t="n">
        <v>63</v>
      </c>
      <c r="X2811" t="n">
        <v>5.241090146750524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9738</v>
      </c>
      <c r="AG2811" t="n">
        <v>2867</v>
      </c>
      <c r="AH2811" t="inlineStr">
        <is>
          <t>PT. ELANG MUSI UTAMA - PPN (JMB)</t>
        </is>
      </c>
      <c r="AI2811" t="n">
        <v>1726</v>
      </c>
      <c r="AJ2811" t="inlineStr">
        <is>
          <t>MYSTIC EYES</t>
        </is>
      </c>
      <c r="AK2811" t="n">
        <v>9</v>
      </c>
      <c r="AL2811" t="inlineStr">
        <is>
          <t>Miss Glam Jambi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MYSTIC EYES</t>
        </is>
      </c>
      <c r="B2812" s="2">
        <f>"50900191555"</f>
        <v/>
      </c>
      <c r="C2812" t="inlineStr">
        <is>
          <t>MYSTIC EYES Softlens BL-1 Polar Lights Brown</t>
        </is>
      </c>
      <c r="D2812" t="inlineStr">
        <is>
          <t>Miss Glam Jambi</t>
        </is>
      </c>
      <c r="E2812" t="n">
        <v>5</v>
      </c>
      <c r="F2812" t="n">
        <v>0.08</v>
      </c>
      <c r="G2812" t="n">
        <v>2</v>
      </c>
      <c r="H2812" t="n">
        <v>2</v>
      </c>
      <c r="I2812" t="n">
        <v>4</v>
      </c>
      <c r="J2812" t="n">
        <v>3</v>
      </c>
      <c r="K2812" t="n">
        <v>0</v>
      </c>
      <c r="L2812" t="n">
        <v>20250</v>
      </c>
      <c r="M2812" t="n">
        <v>29000</v>
      </c>
      <c r="N2812" t="n">
        <v>33</v>
      </c>
      <c r="O2812" t="n">
        <v>0.33</v>
      </c>
      <c r="P2812" t="n">
        <v>0</v>
      </c>
      <c r="Q2812" t="n">
        <v>0.08</v>
      </c>
      <c r="R2812" t="n">
        <v>2</v>
      </c>
      <c r="S2812" t="n">
        <v>2320</v>
      </c>
      <c r="T2812" t="n">
        <v>8</v>
      </c>
      <c r="U2812" t="n">
        <v>9</v>
      </c>
      <c r="V2812" t="n">
        <v>30</v>
      </c>
      <c r="W2812" t="n">
        <v>3</v>
      </c>
      <c r="X2812" t="n">
        <v>62.5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9738</v>
      </c>
      <c r="AG2812" t="n">
        <v>2867</v>
      </c>
      <c r="AH2812" t="inlineStr">
        <is>
          <t>PT. ELANG MUSI UTAMA - PPN (JMB)</t>
        </is>
      </c>
      <c r="AI2812" t="n">
        <v>1726</v>
      </c>
      <c r="AJ2812" t="inlineStr">
        <is>
          <t>MYSTIC EYES</t>
        </is>
      </c>
      <c r="AK2812" t="n">
        <v>9</v>
      </c>
      <c r="AL2812" t="inlineStr">
        <is>
          <t>Miss Glam Jambi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MYSTIC EYES</t>
        </is>
      </c>
      <c r="B2813" s="2">
        <f>"50900171547"</f>
        <v/>
      </c>
      <c r="C2813" t="inlineStr">
        <is>
          <t>MYSTIC EYES Softlens BL-3 Polar Lights Blue Grey</t>
        </is>
      </c>
      <c r="D2813" t="inlineStr">
        <is>
          <t>Miss Glam Jambi</t>
        </is>
      </c>
      <c r="E2813" t="n">
        <v>2</v>
      </c>
      <c r="F2813" t="n">
        <v>0.02</v>
      </c>
      <c r="G2813" t="n">
        <v>1</v>
      </c>
      <c r="H2813" t="n">
        <v>2</v>
      </c>
      <c r="I2813" t="n">
        <v>4</v>
      </c>
      <c r="J2813" t="n">
        <v>3</v>
      </c>
      <c r="K2813" t="n">
        <v>0</v>
      </c>
      <c r="L2813" t="n">
        <v>20250</v>
      </c>
      <c r="M2813" t="n">
        <v>29000</v>
      </c>
      <c r="N2813" t="n">
        <v>33</v>
      </c>
      <c r="O2813" t="n">
        <v>0.33</v>
      </c>
      <c r="P2813" t="n">
        <v>0</v>
      </c>
      <c r="Q2813" t="n">
        <v>0.02</v>
      </c>
      <c r="R2813" t="n">
        <v>1</v>
      </c>
      <c r="S2813" t="n">
        <v>580</v>
      </c>
      <c r="T2813" t="n">
        <v>4</v>
      </c>
      <c r="U2813" t="n">
        <v>5</v>
      </c>
      <c r="V2813" t="n">
        <v>30</v>
      </c>
      <c r="W2813" t="n">
        <v>1</v>
      </c>
      <c r="X2813" t="n">
        <v>100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9738</v>
      </c>
      <c r="AG2813" t="n">
        <v>2867</v>
      </c>
      <c r="AH2813" t="inlineStr">
        <is>
          <t>PT. ELANG MUSI UTAMA - PPN (JMB)</t>
        </is>
      </c>
      <c r="AI2813" t="n">
        <v>1726</v>
      </c>
      <c r="AJ2813" t="inlineStr">
        <is>
          <t>MYSTIC EYES</t>
        </is>
      </c>
      <c r="AK2813" t="n">
        <v>9</v>
      </c>
      <c r="AL2813" t="inlineStr">
        <is>
          <t>Miss Glam Jambi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MYSTIC EYES</t>
        </is>
      </c>
      <c r="B2814" s="2">
        <f>"50900171615"</f>
        <v/>
      </c>
      <c r="C2814" t="inlineStr">
        <is>
          <t>MYSTIC EYES Softlens BL-4 Polar Lights Grey</t>
        </is>
      </c>
      <c r="D2814" t="inlineStr">
        <is>
          <t>Miss Glam Jambi</t>
        </is>
      </c>
      <c r="E2814" t="n">
        <v>2</v>
      </c>
      <c r="F2814" t="n">
        <v>0.2343</v>
      </c>
      <c r="G2814" t="n">
        <v>2.97</v>
      </c>
      <c r="H2814" t="n">
        <v>2</v>
      </c>
      <c r="I2814" t="n">
        <v>4</v>
      </c>
      <c r="J2814" t="n">
        <v>3</v>
      </c>
      <c r="K2814" t="n">
        <v>6</v>
      </c>
      <c r="L2814" t="n">
        <v>20250</v>
      </c>
      <c r="M2814" t="n">
        <v>29000</v>
      </c>
      <c r="N2814" t="n">
        <v>33</v>
      </c>
      <c r="O2814" t="n">
        <v>0.33</v>
      </c>
      <c r="P2814" t="n">
        <v>1</v>
      </c>
      <c r="Q2814" t="n">
        <v>0.02</v>
      </c>
      <c r="R2814" t="n">
        <v>1</v>
      </c>
      <c r="S2814" t="n">
        <v>6794.7</v>
      </c>
      <c r="T2814" t="n">
        <v>12</v>
      </c>
      <c r="U2814" t="n">
        <v>13</v>
      </c>
      <c r="V2814" t="n">
        <v>30</v>
      </c>
      <c r="W2814" t="n">
        <v>8</v>
      </c>
      <c r="X2814" t="n">
        <v>8.536064874093043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9738</v>
      </c>
      <c r="AG2814" t="n">
        <v>2867</v>
      </c>
      <c r="AH2814" t="inlineStr">
        <is>
          <t>PT. ELANG MUSI UTAMA - PPN (JMB)</t>
        </is>
      </c>
      <c r="AI2814" t="n">
        <v>1726</v>
      </c>
      <c r="AJ2814" t="inlineStr">
        <is>
          <t>MYSTIC EYES</t>
        </is>
      </c>
      <c r="AK2814" t="n">
        <v>9</v>
      </c>
      <c r="AL2814" t="inlineStr">
        <is>
          <t>Miss Glam Jambi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MYSTIC EYES</t>
        </is>
      </c>
      <c r="B2815" s="2">
        <f>"50900191747"</f>
        <v/>
      </c>
      <c r="C2815" t="inlineStr">
        <is>
          <t>MYSTIC EYES Softlens C10 Twilight Wolf Grey</t>
        </is>
      </c>
      <c r="D2815" t="inlineStr">
        <is>
          <t>Miss Glam Jambi</t>
        </is>
      </c>
      <c r="E2815" t="n">
        <v>2</v>
      </c>
      <c r="F2815" t="n">
        <v>0.02</v>
      </c>
      <c r="G2815" t="n">
        <v>1</v>
      </c>
      <c r="H2815" t="n">
        <v>2</v>
      </c>
      <c r="I2815" t="n">
        <v>4</v>
      </c>
      <c r="J2815" t="n">
        <v>3</v>
      </c>
      <c r="K2815" t="n">
        <v>0</v>
      </c>
      <c r="L2815" t="n">
        <v>20250</v>
      </c>
      <c r="M2815" t="n">
        <v>29000</v>
      </c>
      <c r="N2815" t="n">
        <v>33</v>
      </c>
      <c r="O2815" t="n">
        <v>0.33</v>
      </c>
      <c r="P2815" t="n">
        <v>0</v>
      </c>
      <c r="Q2815" t="n">
        <v>0.02</v>
      </c>
      <c r="R2815" t="n">
        <v>1</v>
      </c>
      <c r="S2815" t="n">
        <v>580</v>
      </c>
      <c r="T2815" t="n">
        <v>4</v>
      </c>
      <c r="U2815" t="n">
        <v>5</v>
      </c>
      <c r="V2815" t="n">
        <v>30</v>
      </c>
      <c r="W2815" t="n">
        <v>1</v>
      </c>
      <c r="X2815" t="n">
        <v>100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9738</v>
      </c>
      <c r="AG2815" t="n">
        <v>2867</v>
      </c>
      <c r="AH2815" t="inlineStr">
        <is>
          <t>PT. ELANG MUSI UTAMA - PPN (JMB)</t>
        </is>
      </c>
      <c r="AI2815" t="n">
        <v>1726</v>
      </c>
      <c r="AJ2815" t="inlineStr">
        <is>
          <t>MYSTIC EYES</t>
        </is>
      </c>
      <c r="AK2815" t="n">
        <v>9</v>
      </c>
      <c r="AL2815" t="inlineStr">
        <is>
          <t>Miss Glam Jambi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MYSTIC EYES</t>
        </is>
      </c>
      <c r="B2816" s="2">
        <f>"50900166534"</f>
        <v/>
      </c>
      <c r="C2816" t="inlineStr">
        <is>
          <t>MYSTIC EYES Softlens FA08-01 Dawn Brown</t>
        </is>
      </c>
      <c r="D2816" t="inlineStr">
        <is>
          <t>Miss Glam Jambi</t>
        </is>
      </c>
      <c r="E2816" t="n">
        <v>2</v>
      </c>
      <c r="F2816" t="n">
        <v>0.25</v>
      </c>
      <c r="G2816" t="n">
        <v>2</v>
      </c>
      <c r="H2816" t="n">
        <v>2</v>
      </c>
      <c r="I2816" t="n">
        <v>4</v>
      </c>
      <c r="J2816" t="n">
        <v>3</v>
      </c>
      <c r="K2816" t="n">
        <v>6</v>
      </c>
      <c r="L2816" t="n">
        <v>20250</v>
      </c>
      <c r="M2816" t="n">
        <v>29000</v>
      </c>
      <c r="N2816" t="n">
        <v>33</v>
      </c>
      <c r="O2816" t="n">
        <v>0.33</v>
      </c>
      <c r="P2816" t="n">
        <v>0</v>
      </c>
      <c r="Q2816" t="n">
        <v>0.25</v>
      </c>
      <c r="R2816" t="n">
        <v>2</v>
      </c>
      <c r="S2816" t="n">
        <v>7250</v>
      </c>
      <c r="T2816" t="n">
        <v>8</v>
      </c>
      <c r="U2816" t="n">
        <v>9</v>
      </c>
      <c r="V2816" t="n">
        <v>30</v>
      </c>
      <c r="W2816" t="n">
        <v>8</v>
      </c>
      <c r="X2816" t="n">
        <v>8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9738</v>
      </c>
      <c r="AG2816" t="n">
        <v>2867</v>
      </c>
      <c r="AH2816" t="inlineStr">
        <is>
          <t>PT. ELANG MUSI UTAMA - PPN (JMB)</t>
        </is>
      </c>
      <c r="AI2816" t="n">
        <v>1726</v>
      </c>
      <c r="AJ2816" t="inlineStr">
        <is>
          <t>MYSTIC EYES</t>
        </is>
      </c>
      <c r="AK2816" t="n">
        <v>9</v>
      </c>
      <c r="AL2816" t="inlineStr">
        <is>
          <t>Miss Glam Jambi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MYSTIC EYES</t>
        </is>
      </c>
      <c r="B2817" s="2">
        <f>"50900166458"</f>
        <v/>
      </c>
      <c r="C2817" t="inlineStr">
        <is>
          <t>MYSTIC EYES Softlens FA08-05 Dawn Grey</t>
        </is>
      </c>
      <c r="D2817" t="inlineStr">
        <is>
          <t>Miss Glam Jambi</t>
        </is>
      </c>
      <c r="E2817" t="n">
        <v>3</v>
      </c>
      <c r="F2817" t="n">
        <v>0.15</v>
      </c>
      <c r="G2817" t="n">
        <v>2</v>
      </c>
      <c r="H2817" t="n">
        <v>2</v>
      </c>
      <c r="I2817" t="n">
        <v>4</v>
      </c>
      <c r="J2817" t="n">
        <v>3</v>
      </c>
      <c r="K2817" t="n">
        <v>3</v>
      </c>
      <c r="L2817" t="n">
        <v>20250</v>
      </c>
      <c r="M2817" t="n">
        <v>29000</v>
      </c>
      <c r="N2817" t="n">
        <v>33</v>
      </c>
      <c r="O2817" t="n">
        <v>0.33</v>
      </c>
      <c r="P2817" t="n">
        <v>0</v>
      </c>
      <c r="Q2817" t="n">
        <v>0.15</v>
      </c>
      <c r="R2817" t="n">
        <v>2</v>
      </c>
      <c r="S2817" t="n">
        <v>4350</v>
      </c>
      <c r="T2817" t="n">
        <v>8</v>
      </c>
      <c r="U2817" t="n">
        <v>9</v>
      </c>
      <c r="V2817" t="n">
        <v>30</v>
      </c>
      <c r="W2817" t="n">
        <v>5</v>
      </c>
      <c r="X2817" t="n">
        <v>20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9738</v>
      </c>
      <c r="AG2817" t="n">
        <v>2867</v>
      </c>
      <c r="AH2817" t="inlineStr">
        <is>
          <t>PT. ELANG MUSI UTAMA - PPN (JMB)</t>
        </is>
      </c>
      <c r="AI2817" t="n">
        <v>1726</v>
      </c>
      <c r="AJ2817" t="inlineStr">
        <is>
          <t>MYSTIC EYES</t>
        </is>
      </c>
      <c r="AK2817" t="n">
        <v>9</v>
      </c>
      <c r="AL2817" t="inlineStr">
        <is>
          <t>Miss Glam Jambi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MYSTIC EYES</t>
        </is>
      </c>
      <c r="B2818" s="2">
        <f>"50900166612"</f>
        <v/>
      </c>
      <c r="C2818" t="inlineStr">
        <is>
          <t>MYSTIC EYES Softlens FA10-1 FOG Pearl Brown</t>
        </is>
      </c>
      <c r="D2818" t="inlineStr">
        <is>
          <t>Miss Glam Jambi</t>
        </is>
      </c>
      <c r="E2818" t="n">
        <v>7</v>
      </c>
      <c r="F2818" t="n">
        <v>0.14</v>
      </c>
      <c r="G2818" t="n">
        <v>1</v>
      </c>
      <c r="H2818" t="n">
        <v>2</v>
      </c>
      <c r="I2818" t="n">
        <v>4</v>
      </c>
      <c r="J2818" t="n">
        <v>3</v>
      </c>
      <c r="K2818" t="n">
        <v>0</v>
      </c>
      <c r="L2818" t="n">
        <v>20250</v>
      </c>
      <c r="M2818" t="n">
        <v>29000</v>
      </c>
      <c r="N2818" t="n">
        <v>33</v>
      </c>
      <c r="O2818" t="n">
        <v>0.33</v>
      </c>
      <c r="P2818" t="n">
        <v>0</v>
      </c>
      <c r="Q2818" t="n">
        <v>0.14</v>
      </c>
      <c r="R2818" t="n">
        <v>1</v>
      </c>
      <c r="S2818" t="n">
        <v>4060</v>
      </c>
      <c r="T2818" t="n">
        <v>4</v>
      </c>
      <c r="U2818" t="n">
        <v>5</v>
      </c>
      <c r="V2818" t="n">
        <v>30</v>
      </c>
      <c r="W2818" t="n">
        <v>5</v>
      </c>
      <c r="X2818" t="n">
        <v>49.99999999999999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9738</v>
      </c>
      <c r="AG2818" t="n">
        <v>2867</v>
      </c>
      <c r="AH2818" t="inlineStr">
        <is>
          <t>PT. ELANG MUSI UTAMA - PPN (JMB)</t>
        </is>
      </c>
      <c r="AI2818" t="n">
        <v>1726</v>
      </c>
      <c r="AJ2818" t="inlineStr">
        <is>
          <t>MYSTIC EYES</t>
        </is>
      </c>
      <c r="AK2818" t="n">
        <v>9</v>
      </c>
      <c r="AL2818" t="inlineStr">
        <is>
          <t>Miss Glam Jambi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MYSTIC EYES</t>
        </is>
      </c>
      <c r="B2819" s="2">
        <f>"50900191211"</f>
        <v/>
      </c>
      <c r="C2819" t="inlineStr">
        <is>
          <t>MYSTIC EYES Softlens H Big Eyes Black</t>
        </is>
      </c>
      <c r="D2819" t="inlineStr">
        <is>
          <t>Miss Glam Jambi</t>
        </is>
      </c>
      <c r="E2819" t="n">
        <v>4</v>
      </c>
      <c r="F2819" t="n">
        <v>0.0825</v>
      </c>
      <c r="G2819" t="n">
        <v>0.66</v>
      </c>
      <c r="H2819" t="n">
        <v>2</v>
      </c>
      <c r="I2819" t="n">
        <v>4</v>
      </c>
      <c r="J2819" t="n">
        <v>3</v>
      </c>
      <c r="K2819" t="n">
        <v>0</v>
      </c>
      <c r="L2819" t="n">
        <v>20250</v>
      </c>
      <c r="M2819" t="n">
        <v>29000</v>
      </c>
      <c r="N2819" t="n">
        <v>33</v>
      </c>
      <c r="O2819" t="n">
        <v>0.33</v>
      </c>
      <c r="P2819" t="n">
        <v>1</v>
      </c>
      <c r="Q2819" t="n">
        <v>0.02</v>
      </c>
      <c r="R2819" t="n">
        <v>1</v>
      </c>
      <c r="S2819" t="n">
        <v>2392.5</v>
      </c>
      <c r="T2819" t="n">
        <v>3</v>
      </c>
      <c r="U2819" t="n">
        <v>4</v>
      </c>
      <c r="V2819" t="n">
        <v>30</v>
      </c>
      <c r="W2819" t="n">
        <v>3</v>
      </c>
      <c r="X2819" t="n">
        <v>48.48484848484848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9738</v>
      </c>
      <c r="AG2819" t="n">
        <v>2867</v>
      </c>
      <c r="AH2819" t="inlineStr">
        <is>
          <t>PT. ELANG MUSI UTAMA - PPN (JMB)</t>
        </is>
      </c>
      <c r="AI2819" t="n">
        <v>1726</v>
      </c>
      <c r="AJ2819" t="inlineStr">
        <is>
          <t>MYSTIC EYES</t>
        </is>
      </c>
      <c r="AK2819" t="n">
        <v>9</v>
      </c>
      <c r="AL2819" t="inlineStr">
        <is>
          <t>Miss Glam Jambi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MYSTIC EYES</t>
        </is>
      </c>
      <c r="B2820" s="2">
        <f>"50900191352"</f>
        <v/>
      </c>
      <c r="C2820" t="inlineStr">
        <is>
          <t>MYSTIC EYES Softlens K20 Magic Gray</t>
        </is>
      </c>
      <c r="D2820" t="inlineStr">
        <is>
          <t>Miss Glam Jambi</t>
        </is>
      </c>
      <c r="E2820" t="n">
        <v>1</v>
      </c>
      <c r="F2820" t="n">
        <v>0.1353</v>
      </c>
      <c r="G2820" t="n">
        <v>1.32</v>
      </c>
      <c r="H2820" t="n">
        <v>2</v>
      </c>
      <c r="I2820" t="n">
        <v>4</v>
      </c>
      <c r="J2820" t="n">
        <v>3</v>
      </c>
      <c r="K2820" t="n">
        <v>4</v>
      </c>
      <c r="L2820" t="n">
        <v>20250</v>
      </c>
      <c r="M2820" t="n">
        <v>29000</v>
      </c>
      <c r="N2820" t="n">
        <v>33</v>
      </c>
      <c r="O2820" t="n">
        <v>0.33</v>
      </c>
      <c r="P2820" t="n">
        <v>1</v>
      </c>
      <c r="Q2820" t="n">
        <v>0.02</v>
      </c>
      <c r="R2820" t="n">
        <v>1</v>
      </c>
      <c r="S2820" t="n">
        <v>3923.7</v>
      </c>
      <c r="T2820" t="n">
        <v>6</v>
      </c>
      <c r="U2820" t="n">
        <v>7</v>
      </c>
      <c r="V2820" t="n">
        <v>30</v>
      </c>
      <c r="W2820" t="n">
        <v>5</v>
      </c>
      <c r="X2820" t="n">
        <v>7.390983000739098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9738</v>
      </c>
      <c r="AG2820" t="n">
        <v>2867</v>
      </c>
      <c r="AH2820" t="inlineStr">
        <is>
          <t>PT. ELANG MUSI UTAMA - PPN (JMB)</t>
        </is>
      </c>
      <c r="AI2820" t="n">
        <v>1726</v>
      </c>
      <c r="AJ2820" t="inlineStr">
        <is>
          <t>MYSTIC EYES</t>
        </is>
      </c>
      <c r="AK2820" t="n">
        <v>9</v>
      </c>
      <c r="AL2820" t="inlineStr">
        <is>
          <t>Miss Glam Jambi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MYSTIC EYES</t>
        </is>
      </c>
      <c r="B2821" s="2">
        <f>"50900166944"</f>
        <v/>
      </c>
      <c r="C2821" t="inlineStr">
        <is>
          <t>MYSTIC EYES Softlens K31 Magic Jewellery</t>
        </is>
      </c>
      <c r="D2821" t="inlineStr">
        <is>
          <t>Miss Glam Jambi</t>
        </is>
      </c>
      <c r="E2821" t="n">
        <v>2</v>
      </c>
      <c r="F2821" t="n">
        <v>0.0825</v>
      </c>
      <c r="G2821" t="n">
        <v>0.66</v>
      </c>
      <c r="H2821" t="n">
        <v>2</v>
      </c>
      <c r="I2821" t="n">
        <v>4</v>
      </c>
      <c r="J2821" t="n">
        <v>3</v>
      </c>
      <c r="K2821" t="n">
        <v>3</v>
      </c>
      <c r="L2821" t="n">
        <v>20250</v>
      </c>
      <c r="M2821" t="n">
        <v>29000</v>
      </c>
      <c r="N2821" t="n">
        <v>33</v>
      </c>
      <c r="O2821" t="n">
        <v>0.33</v>
      </c>
      <c r="P2821" t="n">
        <v>1</v>
      </c>
      <c r="Q2821" t="n">
        <v>0.02</v>
      </c>
      <c r="R2821" t="n">
        <v>1</v>
      </c>
      <c r="S2821" t="n">
        <v>2392.5</v>
      </c>
      <c r="T2821" t="n">
        <v>3</v>
      </c>
      <c r="U2821" t="n">
        <v>4</v>
      </c>
      <c r="V2821" t="n">
        <v>30</v>
      </c>
      <c r="W2821" t="n">
        <v>3</v>
      </c>
      <c r="X2821" t="n">
        <v>24.24242424242424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9738</v>
      </c>
      <c r="AG2821" t="n">
        <v>2867</v>
      </c>
      <c r="AH2821" t="inlineStr">
        <is>
          <t>PT. ELANG MUSI UTAMA - PPN (JMB)</t>
        </is>
      </c>
      <c r="AI2821" t="n">
        <v>1726</v>
      </c>
      <c r="AJ2821" t="inlineStr">
        <is>
          <t>MYSTIC EYES</t>
        </is>
      </c>
      <c r="AK2821" t="n">
        <v>9</v>
      </c>
      <c r="AL2821" t="inlineStr">
        <is>
          <t>Miss Glam Jambi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MYSTIC EYES</t>
        </is>
      </c>
      <c r="B2822" s="2">
        <f>"50900167011"</f>
        <v/>
      </c>
      <c r="C2822" t="inlineStr">
        <is>
          <t>MYSTIC EYES Softlens K46 Magic Walnut</t>
        </is>
      </c>
      <c r="D2822" t="inlineStr">
        <is>
          <t>Miss Glam Jambi</t>
        </is>
      </c>
      <c r="E2822" t="n">
        <v>3</v>
      </c>
      <c r="F2822" t="n">
        <v>0.1452</v>
      </c>
      <c r="G2822" t="n">
        <v>0.66</v>
      </c>
      <c r="H2822" t="n">
        <v>2</v>
      </c>
      <c r="I2822" t="n">
        <v>4</v>
      </c>
      <c r="J2822" t="n">
        <v>3</v>
      </c>
      <c r="K2822" t="n">
        <v>3</v>
      </c>
      <c r="L2822" t="n">
        <v>20250</v>
      </c>
      <c r="M2822" t="n">
        <v>29000</v>
      </c>
      <c r="N2822" t="n">
        <v>33</v>
      </c>
      <c r="O2822" t="n">
        <v>0.33</v>
      </c>
      <c r="P2822" t="n">
        <v>1</v>
      </c>
      <c r="Q2822" t="n">
        <v>0.15</v>
      </c>
      <c r="R2822" t="n">
        <v>2</v>
      </c>
      <c r="S2822" t="n">
        <v>4210.8</v>
      </c>
      <c r="T2822" t="n">
        <v>3</v>
      </c>
      <c r="U2822" t="n">
        <v>4</v>
      </c>
      <c r="V2822" t="n">
        <v>30</v>
      </c>
      <c r="W2822" t="n">
        <v>5</v>
      </c>
      <c r="X2822" t="n">
        <v>20.66115702479339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9738</v>
      </c>
      <c r="AG2822" t="n">
        <v>2867</v>
      </c>
      <c r="AH2822" t="inlineStr">
        <is>
          <t>PT. ELANG MUSI UTAMA - PPN (JMB)</t>
        </is>
      </c>
      <c r="AI2822" t="n">
        <v>1726</v>
      </c>
      <c r="AJ2822" t="inlineStr">
        <is>
          <t>MYSTIC EYES</t>
        </is>
      </c>
      <c r="AK2822" t="n">
        <v>9</v>
      </c>
      <c r="AL2822" t="inlineStr">
        <is>
          <t>Miss Glam Jambi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MYSTIC EYES</t>
        </is>
      </c>
      <c r="B2823" s="2">
        <f>"50900167144"</f>
        <v/>
      </c>
      <c r="C2823" t="inlineStr">
        <is>
          <t>MYSTIC EYES Softlens K48 Magic Dream Moonlight</t>
        </is>
      </c>
      <c r="D2823" t="inlineStr">
        <is>
          <t>Miss Glam Jambi</t>
        </is>
      </c>
      <c r="E2823" t="n">
        <v>6</v>
      </c>
      <c r="F2823" t="n">
        <v>0.03</v>
      </c>
      <c r="G2823" t="n">
        <v>1</v>
      </c>
      <c r="H2823" t="n">
        <v>2</v>
      </c>
      <c r="I2823" t="n">
        <v>4</v>
      </c>
      <c r="J2823" t="n">
        <v>3</v>
      </c>
      <c r="K2823" t="n">
        <v>0</v>
      </c>
      <c r="L2823" t="n">
        <v>20250</v>
      </c>
      <c r="M2823" t="n">
        <v>29000</v>
      </c>
      <c r="N2823" t="n">
        <v>33</v>
      </c>
      <c r="O2823" t="n">
        <v>0.33</v>
      </c>
      <c r="P2823" t="n">
        <v>0</v>
      </c>
      <c r="Q2823" t="n">
        <v>0.03</v>
      </c>
      <c r="R2823" t="n">
        <v>1</v>
      </c>
      <c r="S2823" t="n">
        <v>870</v>
      </c>
      <c r="T2823" t="n">
        <v>4</v>
      </c>
      <c r="U2823" t="n">
        <v>5</v>
      </c>
      <c r="V2823" t="n">
        <v>30</v>
      </c>
      <c r="W2823" t="n">
        <v>1</v>
      </c>
      <c r="X2823" t="n">
        <v>200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9738</v>
      </c>
      <c r="AG2823" t="n">
        <v>2867</v>
      </c>
      <c r="AH2823" t="inlineStr">
        <is>
          <t>PT. ELANG MUSI UTAMA - PPN (JMB)</t>
        </is>
      </c>
      <c r="AI2823" t="n">
        <v>1726</v>
      </c>
      <c r="AJ2823" t="inlineStr">
        <is>
          <t>MYSTIC EYES</t>
        </is>
      </c>
      <c r="AK2823" t="n">
        <v>9</v>
      </c>
      <c r="AL2823" t="inlineStr">
        <is>
          <t>Miss Glam Jambi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MYSTIC EYES</t>
        </is>
      </c>
      <c r="B2824" s="2">
        <f>"50900191621"</f>
        <v/>
      </c>
      <c r="C2824" t="inlineStr">
        <is>
          <t>MYSTIC EYES Softlens ME15 Russian Brown</t>
        </is>
      </c>
      <c r="D2824" t="inlineStr">
        <is>
          <t>Miss Glam Jambi</t>
        </is>
      </c>
      <c r="E2824" t="n">
        <v>0</v>
      </c>
      <c r="F2824" t="n">
        <v>0.05</v>
      </c>
      <c r="G2824" t="n">
        <v>1</v>
      </c>
      <c r="H2824" t="n">
        <v>2</v>
      </c>
      <c r="I2824" t="n">
        <v>4</v>
      </c>
      <c r="J2824" t="n">
        <v>3</v>
      </c>
      <c r="K2824" t="n">
        <v>3</v>
      </c>
      <c r="L2824" t="n">
        <v>20250</v>
      </c>
      <c r="M2824" t="n">
        <v>29000</v>
      </c>
      <c r="N2824" t="n">
        <v>33</v>
      </c>
      <c r="O2824" t="n">
        <v>0.33</v>
      </c>
      <c r="P2824" t="n">
        <v>0</v>
      </c>
      <c r="Q2824" t="n">
        <v>0.05</v>
      </c>
      <c r="R2824" t="n">
        <v>1</v>
      </c>
      <c r="S2824" t="n">
        <v>1450</v>
      </c>
      <c r="T2824" t="n">
        <v>4</v>
      </c>
      <c r="U2824" t="n">
        <v>5</v>
      </c>
      <c r="V2824" t="n">
        <v>30</v>
      </c>
      <c r="W2824" t="n">
        <v>2</v>
      </c>
      <c r="X2824" t="n">
        <v>0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9738</v>
      </c>
      <c r="AG2824" t="n">
        <v>2867</v>
      </c>
      <c r="AH2824" t="inlineStr">
        <is>
          <t>PT. ELANG MUSI UTAMA - PPN (JMB)</t>
        </is>
      </c>
      <c r="AI2824" t="n">
        <v>1726</v>
      </c>
      <c r="AJ2824" t="inlineStr">
        <is>
          <t>MYSTIC EYES</t>
        </is>
      </c>
      <c r="AK2824" t="n">
        <v>9</v>
      </c>
      <c r="AL2824" t="inlineStr">
        <is>
          <t>Miss Glam Jambi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MYSTIC EYES</t>
        </is>
      </c>
      <c r="B2825" s="2">
        <f>"50900171711"</f>
        <v/>
      </c>
      <c r="C2825" t="inlineStr">
        <is>
          <t>MYSTIC EYES Softlens ME63 Sorayama Brown</t>
        </is>
      </c>
      <c r="D2825" t="inlineStr">
        <is>
          <t>Miss Glam Jambi</t>
        </is>
      </c>
      <c r="E2825" t="n">
        <v>3</v>
      </c>
      <c r="F2825" t="n">
        <v>0.1</v>
      </c>
      <c r="G2825" t="n">
        <v>1</v>
      </c>
      <c r="H2825" t="n">
        <v>2</v>
      </c>
      <c r="I2825" t="n">
        <v>4</v>
      </c>
      <c r="J2825" t="n">
        <v>3</v>
      </c>
      <c r="K2825" t="n">
        <v>0</v>
      </c>
      <c r="L2825" t="n">
        <v>20250</v>
      </c>
      <c r="M2825" t="n">
        <v>29000</v>
      </c>
      <c r="N2825" t="n">
        <v>33</v>
      </c>
      <c r="O2825" t="n">
        <v>0.33</v>
      </c>
      <c r="P2825" t="n">
        <v>0</v>
      </c>
      <c r="Q2825" t="n">
        <v>0.1</v>
      </c>
      <c r="R2825" t="n">
        <v>1</v>
      </c>
      <c r="S2825" t="n">
        <v>2900</v>
      </c>
      <c r="T2825" t="n">
        <v>4</v>
      </c>
      <c r="U2825" t="n">
        <v>5</v>
      </c>
      <c r="V2825" t="n">
        <v>30</v>
      </c>
      <c r="W2825" t="n">
        <v>3</v>
      </c>
      <c r="X2825" t="n">
        <v>30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9738</v>
      </c>
      <c r="AG2825" t="n">
        <v>2867</v>
      </c>
      <c r="AH2825" t="inlineStr">
        <is>
          <t>PT. ELANG MUSI UTAMA - PPN (JMB)</t>
        </is>
      </c>
      <c r="AI2825" t="n">
        <v>1726</v>
      </c>
      <c r="AJ2825" t="inlineStr">
        <is>
          <t>MYSTIC EYES</t>
        </is>
      </c>
      <c r="AK2825" t="n">
        <v>9</v>
      </c>
      <c r="AL2825" t="inlineStr">
        <is>
          <t>Miss Glam Jambi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MYSTIC EYES</t>
        </is>
      </c>
      <c r="B2826" s="2">
        <f>"50900191012"</f>
        <v/>
      </c>
      <c r="C2826" t="inlineStr">
        <is>
          <t>MYSTIC EYES Softlens NS8 Beeswax Sky Gray</t>
        </is>
      </c>
      <c r="D2826" t="inlineStr">
        <is>
          <t>Miss Glam Jambi</t>
        </is>
      </c>
      <c r="E2826" t="n">
        <v>5</v>
      </c>
      <c r="F2826" t="n">
        <v>0.0396</v>
      </c>
      <c r="G2826" t="n">
        <v>0.66</v>
      </c>
      <c r="H2826" t="n">
        <v>2</v>
      </c>
      <c r="I2826" t="n">
        <v>4</v>
      </c>
      <c r="J2826" t="n">
        <v>3</v>
      </c>
      <c r="K2826" t="n">
        <v>0</v>
      </c>
      <c r="L2826" t="n">
        <v>20250</v>
      </c>
      <c r="M2826" t="n">
        <v>29000</v>
      </c>
      <c r="N2826" t="n">
        <v>33</v>
      </c>
      <c r="O2826" t="n">
        <v>0.33</v>
      </c>
      <c r="P2826" t="n">
        <v>1</v>
      </c>
      <c r="Q2826" t="n">
        <v>0.1</v>
      </c>
      <c r="R2826" t="n">
        <v>2</v>
      </c>
      <c r="S2826" t="n">
        <v>1148.4</v>
      </c>
      <c r="T2826" t="n">
        <v>3</v>
      </c>
      <c r="U2826" t="n">
        <v>4</v>
      </c>
      <c r="V2826" t="n">
        <v>30</v>
      </c>
      <c r="W2826" t="n">
        <v>2</v>
      </c>
      <c r="X2826" t="n">
        <v>126.2626262626263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9738</v>
      </c>
      <c r="AG2826" t="n">
        <v>2867</v>
      </c>
      <c r="AH2826" t="inlineStr">
        <is>
          <t>PT. ELANG MUSI UTAMA - PPN (JMB)</t>
        </is>
      </c>
      <c r="AI2826" t="n">
        <v>1726</v>
      </c>
      <c r="AJ2826" t="inlineStr">
        <is>
          <t>MYSTIC EYES</t>
        </is>
      </c>
      <c r="AK2826" t="n">
        <v>9</v>
      </c>
      <c r="AL2826" t="inlineStr">
        <is>
          <t>Miss Glam Jambi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MYSTIC EYES</t>
        </is>
      </c>
      <c r="B2827" s="2">
        <f>"509001103915"</f>
        <v/>
      </c>
      <c r="C2827" t="inlineStr">
        <is>
          <t>MYSTIC EYES Softlens Premium MA09 Essence Brown</t>
        </is>
      </c>
      <c r="D2827" t="inlineStr">
        <is>
          <t>Miss Glam Jambi</t>
        </is>
      </c>
      <c r="E2827" t="n">
        <v>3</v>
      </c>
      <c r="F2827" t="n">
        <v>0.3927</v>
      </c>
      <c r="G2827" t="n">
        <v>1.65</v>
      </c>
      <c r="H2827" t="n">
        <v>2</v>
      </c>
      <c r="I2827" t="n">
        <v>4</v>
      </c>
      <c r="J2827" t="n">
        <v>3</v>
      </c>
      <c r="K2827" t="n">
        <v>9</v>
      </c>
      <c r="L2827" t="n">
        <v>22275</v>
      </c>
      <c r="M2827" t="n">
        <v>31500</v>
      </c>
      <c r="N2827" t="n">
        <v>33</v>
      </c>
      <c r="O2827" t="n">
        <v>0.33</v>
      </c>
      <c r="P2827" t="n">
        <v>1</v>
      </c>
      <c r="Q2827" t="n">
        <v>0.12</v>
      </c>
      <c r="R2827" t="n">
        <v>2</v>
      </c>
      <c r="S2827" t="n">
        <v>12370.05</v>
      </c>
      <c r="T2827" t="n">
        <v>6</v>
      </c>
      <c r="U2827" t="n">
        <v>7</v>
      </c>
      <c r="V2827" t="n">
        <v>30</v>
      </c>
      <c r="W2827" t="n">
        <v>12</v>
      </c>
      <c r="X2827" t="n">
        <v>7.639419404125286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9738</v>
      </c>
      <c r="AG2827" t="n">
        <v>2867</v>
      </c>
      <c r="AH2827" t="inlineStr">
        <is>
          <t>PT. ELANG MUSI UTAMA - PPN (JMB)</t>
        </is>
      </c>
      <c r="AI2827" t="n">
        <v>1726</v>
      </c>
      <c r="AJ2827" t="inlineStr">
        <is>
          <t>MYSTIC EYES</t>
        </is>
      </c>
      <c r="AK2827" t="n">
        <v>9</v>
      </c>
      <c r="AL2827" t="inlineStr">
        <is>
          <t>Miss Glam Jambi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MYSTIC EYES</t>
        </is>
      </c>
      <c r="B2828" s="2">
        <f>"509001104523"</f>
        <v/>
      </c>
      <c r="C2828" t="inlineStr">
        <is>
          <t>MYSTIC EYES Softlens Premium MB09 Big Eyes Black</t>
        </is>
      </c>
      <c r="D2828" t="inlineStr">
        <is>
          <t>Miss Glam Jambi</t>
        </is>
      </c>
      <c r="E2828" t="n">
        <v>4</v>
      </c>
      <c r="F2828" t="n">
        <v>0.1221</v>
      </c>
      <c r="G2828" t="n">
        <v>0.66</v>
      </c>
      <c r="H2828" t="n">
        <v>2</v>
      </c>
      <c r="I2828" t="n">
        <v>4</v>
      </c>
      <c r="J2828" t="n">
        <v>3</v>
      </c>
      <c r="K2828" t="n">
        <v>0</v>
      </c>
      <c r="L2828" t="n">
        <v>22275</v>
      </c>
      <c r="M2828" t="n">
        <v>31500</v>
      </c>
      <c r="N2828" t="n">
        <v>33</v>
      </c>
      <c r="O2828" t="n">
        <v>0.33</v>
      </c>
      <c r="P2828" t="n">
        <v>1</v>
      </c>
      <c r="Q2828" t="n">
        <v>0.03</v>
      </c>
      <c r="R2828" t="n">
        <v>1</v>
      </c>
      <c r="S2828" t="n">
        <v>3846.15</v>
      </c>
      <c r="T2828" t="n">
        <v>3</v>
      </c>
      <c r="U2828" t="n">
        <v>4</v>
      </c>
      <c r="V2828" t="n">
        <v>30</v>
      </c>
      <c r="W2828" t="n">
        <v>4</v>
      </c>
      <c r="X2828" t="n">
        <v>32.76003276003276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9738</v>
      </c>
      <c r="AG2828" t="n">
        <v>2867</v>
      </c>
      <c r="AH2828" t="inlineStr">
        <is>
          <t>PT. ELANG MUSI UTAMA - PPN (JMB)</t>
        </is>
      </c>
      <c r="AI2828" t="n">
        <v>1726</v>
      </c>
      <c r="AJ2828" t="inlineStr">
        <is>
          <t>MYSTIC EYES</t>
        </is>
      </c>
      <c r="AK2828" t="n">
        <v>9</v>
      </c>
      <c r="AL2828" t="inlineStr">
        <is>
          <t>Miss Glam Jambi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MYSTIC EYES</t>
        </is>
      </c>
      <c r="B2829" s="2">
        <f>"509001104433"</f>
        <v/>
      </c>
      <c r="C2829" t="inlineStr">
        <is>
          <t>MYSTIC EYES Softlens Premium MB10 Big Eyes Coffee</t>
        </is>
      </c>
      <c r="D2829" t="inlineStr">
        <is>
          <t>Miss Glam Jambi</t>
        </is>
      </c>
      <c r="E2829" t="n">
        <v>5</v>
      </c>
      <c r="F2829" t="n">
        <v>0.1188</v>
      </c>
      <c r="G2829" t="n">
        <v>1.32</v>
      </c>
      <c r="H2829" t="n">
        <v>2</v>
      </c>
      <c r="I2829" t="n">
        <v>4</v>
      </c>
      <c r="J2829" t="n">
        <v>3</v>
      </c>
      <c r="K2829" t="n">
        <v>0</v>
      </c>
      <c r="L2829" t="n">
        <v>22275</v>
      </c>
      <c r="M2829" t="n">
        <v>31500</v>
      </c>
      <c r="N2829" t="n">
        <v>33</v>
      </c>
      <c r="O2829" t="n">
        <v>0.33</v>
      </c>
      <c r="P2829" t="n">
        <v>1</v>
      </c>
      <c r="Q2829" t="n">
        <v>0.08</v>
      </c>
      <c r="R2829" t="n">
        <v>3</v>
      </c>
      <c r="S2829" t="n">
        <v>3742.2</v>
      </c>
      <c r="T2829" t="n">
        <v>6</v>
      </c>
      <c r="U2829" t="n">
        <v>7</v>
      </c>
      <c r="V2829" t="n">
        <v>30</v>
      </c>
      <c r="W2829" t="n">
        <v>4</v>
      </c>
      <c r="X2829" t="n">
        <v>42.08754208754209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9738</v>
      </c>
      <c r="AG2829" t="n">
        <v>2867</v>
      </c>
      <c r="AH2829" t="inlineStr">
        <is>
          <t>PT. ELANG MUSI UTAMA - PPN (JMB)</t>
        </is>
      </c>
      <c r="AI2829" t="n">
        <v>1726</v>
      </c>
      <c r="AJ2829" t="inlineStr">
        <is>
          <t>MYSTIC EYES</t>
        </is>
      </c>
      <c r="AK2829" t="n">
        <v>9</v>
      </c>
      <c r="AL2829" t="inlineStr">
        <is>
          <t>Miss Glam Jambi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MYSTIC EYES</t>
        </is>
      </c>
      <c r="B2830" s="2">
        <f>"509001104647"</f>
        <v/>
      </c>
      <c r="C2830" t="inlineStr">
        <is>
          <t>MYSTIC EYES Softlens Premium MC05 Dewy Brown</t>
        </is>
      </c>
      <c r="D2830" t="inlineStr">
        <is>
          <t>Miss Glam Jambi</t>
        </is>
      </c>
      <c r="E2830" t="n">
        <v>6</v>
      </c>
      <c r="F2830" t="n">
        <v>0.396</v>
      </c>
      <c r="G2830" t="n">
        <v>1.65</v>
      </c>
      <c r="H2830" t="n">
        <v>2</v>
      </c>
      <c r="I2830" t="n">
        <v>4</v>
      </c>
      <c r="J2830" t="n">
        <v>3</v>
      </c>
      <c r="K2830" t="n">
        <v>7</v>
      </c>
      <c r="L2830" t="n">
        <v>22275</v>
      </c>
      <c r="M2830" t="n">
        <v>31500</v>
      </c>
      <c r="N2830" t="n">
        <v>33</v>
      </c>
      <c r="O2830" t="n">
        <v>0.33</v>
      </c>
      <c r="P2830" t="n">
        <v>1</v>
      </c>
      <c r="Q2830" t="n">
        <v>0.1</v>
      </c>
      <c r="R2830" t="n">
        <v>2</v>
      </c>
      <c r="S2830" t="n">
        <v>12474</v>
      </c>
      <c r="T2830" t="n">
        <v>6</v>
      </c>
      <c r="U2830" t="n">
        <v>7</v>
      </c>
      <c r="V2830" t="n">
        <v>30</v>
      </c>
      <c r="W2830" t="n">
        <v>12</v>
      </c>
      <c r="X2830" t="n">
        <v>15.15151515151515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9738</v>
      </c>
      <c r="AG2830" t="n">
        <v>2867</v>
      </c>
      <c r="AH2830" t="inlineStr">
        <is>
          <t>PT. ELANG MUSI UTAMA - PPN (JMB)</t>
        </is>
      </c>
      <c r="AI2830" t="n">
        <v>1726</v>
      </c>
      <c r="AJ2830" t="inlineStr">
        <is>
          <t>MYSTIC EYES</t>
        </is>
      </c>
      <c r="AK2830" t="n">
        <v>9</v>
      </c>
      <c r="AL2830" t="inlineStr">
        <is>
          <t>Miss Glam Jambi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MYSTIC EYES</t>
        </is>
      </c>
      <c r="B2831" s="2">
        <f>"509001104715"</f>
        <v/>
      </c>
      <c r="C2831" t="inlineStr">
        <is>
          <t>MYSTIC EYES Softlens Premium MC06 Dewy Grey</t>
        </is>
      </c>
      <c r="D2831" t="inlineStr">
        <is>
          <t>Miss Glam Jambi</t>
        </is>
      </c>
      <c r="E2831" t="n">
        <v>0</v>
      </c>
      <c r="F2831" t="n">
        <v>0.1353</v>
      </c>
      <c r="G2831" t="n">
        <v>0.99</v>
      </c>
      <c r="H2831" t="n">
        <v>2</v>
      </c>
      <c r="I2831" t="n">
        <v>4</v>
      </c>
      <c r="J2831" t="n">
        <v>3</v>
      </c>
      <c r="K2831" t="n">
        <v>18</v>
      </c>
      <c r="L2831" t="n">
        <v>22275</v>
      </c>
      <c r="M2831" t="n">
        <v>31500</v>
      </c>
      <c r="N2831" t="n">
        <v>33</v>
      </c>
      <c r="O2831" t="n">
        <v>0.33</v>
      </c>
      <c r="P2831" t="n">
        <v>1</v>
      </c>
      <c r="Q2831" t="n">
        <v>0.09</v>
      </c>
      <c r="R2831" t="n">
        <v>4</v>
      </c>
      <c r="S2831" t="n">
        <v>4261.95</v>
      </c>
      <c r="T2831" t="n">
        <v>4</v>
      </c>
      <c r="U2831" t="n">
        <v>5</v>
      </c>
      <c r="V2831" t="n">
        <v>30</v>
      </c>
      <c r="W2831" t="n">
        <v>5</v>
      </c>
      <c r="X2831" t="n">
        <v>0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9738</v>
      </c>
      <c r="AG2831" t="n">
        <v>2867</v>
      </c>
      <c r="AH2831" t="inlineStr">
        <is>
          <t>PT. ELANG MUSI UTAMA - PPN (JMB)</t>
        </is>
      </c>
      <c r="AI2831" t="n">
        <v>1726</v>
      </c>
      <c r="AJ2831" t="inlineStr">
        <is>
          <t>MYSTIC EYES</t>
        </is>
      </c>
      <c r="AK2831" t="n">
        <v>9</v>
      </c>
      <c r="AL2831" t="inlineStr">
        <is>
          <t>Miss Glam Jambi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MYSTIC EYES</t>
        </is>
      </c>
      <c r="B2832" s="2">
        <f>"509001104104"</f>
        <v/>
      </c>
      <c r="C2832" t="inlineStr">
        <is>
          <t>MYSTIC EYES Softlens Premium MC07 Lumina Brown</t>
        </is>
      </c>
      <c r="D2832" t="inlineStr">
        <is>
          <t>Miss Glam Jambi</t>
        </is>
      </c>
      <c r="E2832" t="n">
        <v>3</v>
      </c>
      <c r="F2832" t="n">
        <v>0.4653</v>
      </c>
      <c r="G2832" t="n">
        <v>1.98</v>
      </c>
      <c r="H2832" t="n">
        <v>2</v>
      </c>
      <c r="I2832" t="n">
        <v>4</v>
      </c>
      <c r="J2832" t="n">
        <v>3</v>
      </c>
      <c r="K2832" t="n">
        <v>11</v>
      </c>
      <c r="L2832" t="n">
        <v>22275</v>
      </c>
      <c r="M2832" t="n">
        <v>31500</v>
      </c>
      <c r="N2832" t="n">
        <v>33</v>
      </c>
      <c r="O2832" t="n">
        <v>0.33</v>
      </c>
      <c r="P2832" t="n">
        <v>1</v>
      </c>
      <c r="Q2832" t="n">
        <v>0.12</v>
      </c>
      <c r="R2832" t="n">
        <v>1</v>
      </c>
      <c r="S2832" t="n">
        <v>14656.95</v>
      </c>
      <c r="T2832" t="n">
        <v>7</v>
      </c>
      <c r="U2832" t="n">
        <v>8</v>
      </c>
      <c r="V2832" t="n">
        <v>30</v>
      </c>
      <c r="W2832" t="n">
        <v>14</v>
      </c>
      <c r="X2832" t="n">
        <v>6.447453255963894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9738</v>
      </c>
      <c r="AG2832" t="n">
        <v>2867</v>
      </c>
      <c r="AH2832" t="inlineStr">
        <is>
          <t>PT. ELANG MUSI UTAMA - PPN (JMB)</t>
        </is>
      </c>
      <c r="AI2832" t="n">
        <v>1726</v>
      </c>
      <c r="AJ2832" t="inlineStr">
        <is>
          <t>MYSTIC EYES</t>
        </is>
      </c>
      <c r="AK2832" t="n">
        <v>9</v>
      </c>
      <c r="AL2832" t="inlineStr">
        <is>
          <t>Miss Glam Jambi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MYSTIC EYES</t>
        </is>
      </c>
      <c r="B2833" s="2">
        <f>"509001104227"</f>
        <v/>
      </c>
      <c r="C2833" t="inlineStr">
        <is>
          <t>MYSTIC EYES Softlens Premium MC08 Lumina Beige</t>
        </is>
      </c>
      <c r="D2833" t="inlineStr">
        <is>
          <t>Miss Glam Jambi</t>
        </is>
      </c>
      <c r="E2833" t="n">
        <v>0</v>
      </c>
      <c r="F2833" t="n">
        <v>0.1122</v>
      </c>
      <c r="G2833" t="n">
        <v>0.99</v>
      </c>
      <c r="H2833" t="n">
        <v>2</v>
      </c>
      <c r="I2833" t="n">
        <v>4</v>
      </c>
      <c r="J2833" t="n">
        <v>3</v>
      </c>
      <c r="K2833" t="n">
        <v>6</v>
      </c>
      <c r="L2833" t="n">
        <v>22275</v>
      </c>
      <c r="M2833" t="n">
        <v>31500</v>
      </c>
      <c r="N2833" t="n">
        <v>33</v>
      </c>
      <c r="O2833" t="n">
        <v>0.33</v>
      </c>
      <c r="P2833" t="n">
        <v>1</v>
      </c>
      <c r="Q2833" t="n">
        <v>0.1</v>
      </c>
      <c r="R2833" t="n">
        <v>1</v>
      </c>
      <c r="S2833" t="n">
        <v>3534.3</v>
      </c>
      <c r="T2833" t="n">
        <v>4</v>
      </c>
      <c r="U2833" t="n">
        <v>5</v>
      </c>
      <c r="V2833" t="n">
        <v>30</v>
      </c>
      <c r="W2833" t="n">
        <v>4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9738</v>
      </c>
      <c r="AG2833" t="n">
        <v>2867</v>
      </c>
      <c r="AH2833" t="inlineStr">
        <is>
          <t>PT. ELANG MUSI UTAMA - PPN (JMB)</t>
        </is>
      </c>
      <c r="AI2833" t="n">
        <v>1726</v>
      </c>
      <c r="AJ2833" t="inlineStr">
        <is>
          <t>MYSTIC EYES</t>
        </is>
      </c>
      <c r="AK2833" t="n">
        <v>9</v>
      </c>
      <c r="AL2833" t="inlineStr">
        <is>
          <t>Miss Glam Jambi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MYSTIC EYES</t>
        </is>
      </c>
      <c r="B2834" s="2">
        <f>"509001104305"</f>
        <v/>
      </c>
      <c r="C2834" t="inlineStr">
        <is>
          <t>MYSTIC EYES Softlens Premium MC10 Lumina Grey</t>
        </is>
      </c>
      <c r="D2834" t="inlineStr">
        <is>
          <t>Miss Glam Jambi</t>
        </is>
      </c>
      <c r="E2834" t="n">
        <v>1</v>
      </c>
      <c r="F2834" t="n">
        <v>0.6336000000000001</v>
      </c>
      <c r="G2834" t="n">
        <v>2.97</v>
      </c>
      <c r="H2834" t="n">
        <v>2</v>
      </c>
      <c r="I2834" t="n">
        <v>4</v>
      </c>
      <c r="J2834" t="n">
        <v>3</v>
      </c>
      <c r="K2834" t="n">
        <v>17</v>
      </c>
      <c r="L2834" t="n">
        <v>22275</v>
      </c>
      <c r="M2834" t="n">
        <v>31500</v>
      </c>
      <c r="N2834" t="n">
        <v>33</v>
      </c>
      <c r="O2834" t="n">
        <v>0.33</v>
      </c>
      <c r="P2834" t="n">
        <v>1</v>
      </c>
      <c r="Q2834" t="n">
        <v>0.02</v>
      </c>
      <c r="R2834" t="n">
        <v>1</v>
      </c>
      <c r="S2834" t="n">
        <v>19958.4</v>
      </c>
      <c r="T2834" t="n">
        <v>11</v>
      </c>
      <c r="U2834" t="n">
        <v>13</v>
      </c>
      <c r="V2834" t="n">
        <v>30</v>
      </c>
      <c r="W2834" t="n">
        <v>20</v>
      </c>
      <c r="X2834" t="n">
        <v>1.578282828282828</v>
      </c>
      <c r="Y2834" t="n">
        <v>1</v>
      </c>
      <c r="Z2834" t="n">
        <v>2</v>
      </c>
      <c r="AA2834" t="n">
        <v>1</v>
      </c>
      <c r="AB2834" t="n">
        <v>1</v>
      </c>
      <c r="AC2834" t="n">
        <v>3</v>
      </c>
      <c r="AD2834" t="n">
        <v>22275</v>
      </c>
      <c r="AE2834" t="n">
        <v>66825</v>
      </c>
      <c r="AF2834" t="n">
        <v>9738</v>
      </c>
      <c r="AG2834" t="n">
        <v>2867</v>
      </c>
      <c r="AH2834" t="inlineStr">
        <is>
          <t>PT. ELANG MUSI UTAMA - PPN (JMB)</t>
        </is>
      </c>
      <c r="AI2834" t="n">
        <v>1726</v>
      </c>
      <c r="AJ2834" t="inlineStr">
        <is>
          <t>MYSTIC EYES</t>
        </is>
      </c>
      <c r="AK2834" t="n">
        <v>9</v>
      </c>
      <c r="AL2834" t="inlineStr">
        <is>
          <t>Miss Glam Jambi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MYSTIC EYES</t>
        </is>
      </c>
      <c r="B2835" s="2">
        <f>"509001105023"</f>
        <v/>
      </c>
      <c r="C2835" t="inlineStr">
        <is>
          <t>MYSTIC EYES Softlens Premium MD03 Vogue Golden Hazel</t>
        </is>
      </c>
      <c r="D2835" t="inlineStr">
        <is>
          <t>Miss Glam Jambi</t>
        </is>
      </c>
      <c r="E2835" t="n">
        <v>2</v>
      </c>
      <c r="F2835" t="n">
        <v>0.17</v>
      </c>
      <c r="G2835" t="n">
        <v>1</v>
      </c>
      <c r="H2835" t="n">
        <v>2</v>
      </c>
      <c r="I2835" t="n">
        <v>4</v>
      </c>
      <c r="J2835" t="n">
        <v>3</v>
      </c>
      <c r="K2835" t="n">
        <v>4</v>
      </c>
      <c r="L2835" t="n">
        <v>22275</v>
      </c>
      <c r="M2835" t="n">
        <v>31500</v>
      </c>
      <c r="N2835" t="n">
        <v>33</v>
      </c>
      <c r="O2835" t="n">
        <v>0.33</v>
      </c>
      <c r="P2835" t="n">
        <v>0</v>
      </c>
      <c r="Q2835" t="n">
        <v>0.17</v>
      </c>
      <c r="R2835" t="n">
        <v>1</v>
      </c>
      <c r="S2835" t="n">
        <v>5355</v>
      </c>
      <c r="T2835" t="n">
        <v>4</v>
      </c>
      <c r="U2835" t="n">
        <v>5</v>
      </c>
      <c r="V2835" t="n">
        <v>30</v>
      </c>
      <c r="W2835" t="n">
        <v>6</v>
      </c>
      <c r="X2835" t="n">
        <v>11.76470588235294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9738</v>
      </c>
      <c r="AG2835" t="n">
        <v>2867</v>
      </c>
      <c r="AH2835" t="inlineStr">
        <is>
          <t>PT. ELANG MUSI UTAMA - PPN (JMB)</t>
        </is>
      </c>
      <c r="AI2835" t="n">
        <v>1726</v>
      </c>
      <c r="AJ2835" t="inlineStr">
        <is>
          <t>MYSTIC EYES</t>
        </is>
      </c>
      <c r="AK2835" t="n">
        <v>9</v>
      </c>
      <c r="AL2835" t="inlineStr">
        <is>
          <t>Miss Glam Jambi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MYSTIC EYES</t>
        </is>
      </c>
      <c r="B2836" s="2">
        <f>"509001105146"</f>
        <v/>
      </c>
      <c r="C2836" t="inlineStr">
        <is>
          <t>MYSTIC EYES Softlens Premium MD04 Wolf Grey</t>
        </is>
      </c>
      <c r="D2836" t="inlineStr">
        <is>
          <t>Miss Glam Jambi</t>
        </is>
      </c>
      <c r="E2836" t="n">
        <v>0</v>
      </c>
      <c r="F2836" t="n">
        <v>0.6666000000000001</v>
      </c>
      <c r="G2836" t="n">
        <v>2.97</v>
      </c>
      <c r="H2836" t="n">
        <v>2</v>
      </c>
      <c r="I2836" t="n">
        <v>4</v>
      </c>
      <c r="J2836" t="n">
        <v>3</v>
      </c>
      <c r="K2836" t="n">
        <v>21</v>
      </c>
      <c r="L2836" t="n">
        <v>22275</v>
      </c>
      <c r="M2836" t="n">
        <v>31500</v>
      </c>
      <c r="N2836" t="n">
        <v>33</v>
      </c>
      <c r="O2836" t="n">
        <v>0.33</v>
      </c>
      <c r="P2836" t="n">
        <v>1</v>
      </c>
      <c r="Q2836" t="n">
        <v>0.1</v>
      </c>
      <c r="R2836" t="n">
        <v>2</v>
      </c>
      <c r="S2836" t="n">
        <v>20997.9</v>
      </c>
      <c r="T2836" t="n">
        <v>11</v>
      </c>
      <c r="U2836" t="n">
        <v>13</v>
      </c>
      <c r="V2836" t="n">
        <v>30</v>
      </c>
      <c r="W2836" t="n">
        <v>20</v>
      </c>
      <c r="X2836" t="n">
        <v>0</v>
      </c>
      <c r="Y2836" t="n">
        <v>1</v>
      </c>
      <c r="Z2836" t="n">
        <v>0</v>
      </c>
      <c r="AA2836" t="n">
        <v>2</v>
      </c>
      <c r="AB2836" t="n">
        <v>0</v>
      </c>
      <c r="AC2836" t="n">
        <v>0</v>
      </c>
      <c r="AD2836" t="n">
        <v>44550</v>
      </c>
      <c r="AE2836" t="n">
        <v>0</v>
      </c>
      <c r="AF2836" t="n">
        <v>9738</v>
      </c>
      <c r="AG2836" t="n">
        <v>2867</v>
      </c>
      <c r="AH2836" t="inlineStr">
        <is>
          <t>PT. ELANG MUSI UTAMA - PPN (JMB)</t>
        </is>
      </c>
      <c r="AI2836" t="n">
        <v>1726</v>
      </c>
      <c r="AJ2836" t="inlineStr">
        <is>
          <t>MYSTIC EYES</t>
        </is>
      </c>
      <c r="AK2836" t="n">
        <v>9</v>
      </c>
      <c r="AL2836" t="inlineStr">
        <is>
          <t>Miss Glam Jambi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MYSTIC EYES</t>
        </is>
      </c>
      <c r="B2837" s="2">
        <f>"509001105329"</f>
        <v/>
      </c>
      <c r="C2837" t="inlineStr">
        <is>
          <t>MYSTIC EYES Softlens Premium MD06 Vivi Grey</t>
        </is>
      </c>
      <c r="D2837" t="inlineStr">
        <is>
          <t>Miss Glam Jambi</t>
        </is>
      </c>
      <c r="E2837" t="n">
        <v>2</v>
      </c>
      <c r="F2837" t="n">
        <v>0.08</v>
      </c>
      <c r="G2837" t="n">
        <v>1</v>
      </c>
      <c r="H2837" t="n">
        <v>2</v>
      </c>
      <c r="I2837" t="n">
        <v>4</v>
      </c>
      <c r="J2837" t="n">
        <v>3</v>
      </c>
      <c r="K2837" t="n">
        <v>3</v>
      </c>
      <c r="L2837" t="n">
        <v>22275</v>
      </c>
      <c r="M2837" t="n">
        <v>31500</v>
      </c>
      <c r="N2837" t="n">
        <v>33</v>
      </c>
      <c r="O2837" t="n">
        <v>0.33</v>
      </c>
      <c r="P2837" t="n">
        <v>0</v>
      </c>
      <c r="Q2837" t="n">
        <v>0.08</v>
      </c>
      <c r="R2837" t="n">
        <v>1</v>
      </c>
      <c r="S2837" t="n">
        <v>2520</v>
      </c>
      <c r="T2837" t="n">
        <v>4</v>
      </c>
      <c r="U2837" t="n">
        <v>5</v>
      </c>
      <c r="V2837" t="n">
        <v>30</v>
      </c>
      <c r="W2837" t="n">
        <v>3</v>
      </c>
      <c r="X2837" t="n">
        <v>25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9738</v>
      </c>
      <c r="AG2837" t="n">
        <v>2867</v>
      </c>
      <c r="AH2837" t="inlineStr">
        <is>
          <t>PT. ELANG MUSI UTAMA - PPN (JMB)</t>
        </is>
      </c>
      <c r="AI2837" t="n">
        <v>1726</v>
      </c>
      <c r="AJ2837" t="inlineStr">
        <is>
          <t>MYSTIC EYES</t>
        </is>
      </c>
      <c r="AK2837" t="n">
        <v>9</v>
      </c>
      <c r="AL2837" t="inlineStr">
        <is>
          <t>Miss Glam Jambi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MYSTIC EYES</t>
        </is>
      </c>
      <c r="B2838" s="2">
        <f>"509001104836"</f>
        <v/>
      </c>
      <c r="C2838" t="inlineStr">
        <is>
          <t>MYSTIC EYES Softlens Premium MD07 Dazzle Brown</t>
        </is>
      </c>
      <c r="D2838" t="inlineStr">
        <is>
          <t>Miss Glam Jambi</t>
        </is>
      </c>
      <c r="E2838" t="n">
        <v>2</v>
      </c>
      <c r="F2838" t="n">
        <v>0.5544</v>
      </c>
      <c r="G2838" t="n">
        <v>2.31</v>
      </c>
      <c r="H2838" t="n">
        <v>2</v>
      </c>
      <c r="I2838" t="n">
        <v>4</v>
      </c>
      <c r="J2838" t="n">
        <v>3</v>
      </c>
      <c r="K2838" t="n">
        <v>15</v>
      </c>
      <c r="L2838" t="n">
        <v>22275</v>
      </c>
      <c r="M2838" t="n">
        <v>31500</v>
      </c>
      <c r="N2838" t="n">
        <v>33</v>
      </c>
      <c r="O2838" t="n">
        <v>0.33</v>
      </c>
      <c r="P2838" t="n">
        <v>1</v>
      </c>
      <c r="Q2838" t="n">
        <v>0.07000000000000001</v>
      </c>
      <c r="R2838" t="n">
        <v>1</v>
      </c>
      <c r="S2838" t="n">
        <v>17463.6</v>
      </c>
      <c r="T2838" t="n">
        <v>9</v>
      </c>
      <c r="U2838" t="n">
        <v>11</v>
      </c>
      <c r="V2838" t="n">
        <v>30</v>
      </c>
      <c r="W2838" t="n">
        <v>17</v>
      </c>
      <c r="X2838" t="n">
        <v>3.607503607503607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9738</v>
      </c>
      <c r="AG2838" t="n">
        <v>2867</v>
      </c>
      <c r="AH2838" t="inlineStr">
        <is>
          <t>PT. ELANG MUSI UTAMA - PPN (JMB)</t>
        </is>
      </c>
      <c r="AI2838" t="n">
        <v>1726</v>
      </c>
      <c r="AJ2838" t="inlineStr">
        <is>
          <t>MYSTIC EYES</t>
        </is>
      </c>
      <c r="AK2838" t="n">
        <v>9</v>
      </c>
      <c r="AL2838" t="inlineStr">
        <is>
          <t>Miss Glam Jambi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MYSTIC EYES</t>
        </is>
      </c>
      <c r="B2839" s="2">
        <f>"509001104960"</f>
        <v/>
      </c>
      <c r="C2839" t="inlineStr">
        <is>
          <t>MYSTIC EYES Softlens Premium MD08 Dazzle Grey</t>
        </is>
      </c>
      <c r="D2839" t="inlineStr">
        <is>
          <t>Miss Glam Jambi</t>
        </is>
      </c>
      <c r="E2839" t="n">
        <v>2</v>
      </c>
      <c r="F2839" t="n">
        <v>0.4488</v>
      </c>
      <c r="G2839" t="n">
        <v>1.32</v>
      </c>
      <c r="H2839" t="n">
        <v>2</v>
      </c>
      <c r="I2839" t="n">
        <v>4</v>
      </c>
      <c r="J2839" t="n">
        <v>3</v>
      </c>
      <c r="K2839" t="n">
        <v>12</v>
      </c>
      <c r="L2839" t="n">
        <v>22275</v>
      </c>
      <c r="M2839" t="n">
        <v>31500</v>
      </c>
      <c r="N2839" t="n">
        <v>33</v>
      </c>
      <c r="O2839" t="n">
        <v>0.33</v>
      </c>
      <c r="P2839" t="n">
        <v>1</v>
      </c>
      <c r="Q2839" t="n">
        <v>0.07000000000000001</v>
      </c>
      <c r="R2839" t="n">
        <v>1</v>
      </c>
      <c r="S2839" t="n">
        <v>14137.2</v>
      </c>
      <c r="T2839" t="n">
        <v>5</v>
      </c>
      <c r="U2839" t="n">
        <v>6</v>
      </c>
      <c r="V2839" t="n">
        <v>30</v>
      </c>
      <c r="W2839" t="n">
        <v>14</v>
      </c>
      <c r="X2839" t="n">
        <v>4.45632798573975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9738</v>
      </c>
      <c r="AG2839" t="n">
        <v>2867</v>
      </c>
      <c r="AH2839" t="inlineStr">
        <is>
          <t>PT. ELANG MUSI UTAMA - PPN (JMB)</t>
        </is>
      </c>
      <c r="AI2839" t="n">
        <v>1726</v>
      </c>
      <c r="AJ2839" t="inlineStr">
        <is>
          <t>MYSTIC EYES</t>
        </is>
      </c>
      <c r="AK2839" t="n">
        <v>9</v>
      </c>
      <c r="AL2839" t="inlineStr">
        <is>
          <t>Miss Glam Jambi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N.CO</t>
        </is>
      </c>
      <c r="B2840" s="2">
        <f>"8998824555153"</f>
        <v/>
      </c>
      <c r="C2840" t="inlineStr">
        <is>
          <t>N.CO Parfume Amethyst 100ml</t>
        </is>
      </c>
      <c r="D2840" t="inlineStr">
        <is>
          <t>Miss Glam Jambi</t>
        </is>
      </c>
      <c r="E2840" t="n">
        <v>11</v>
      </c>
      <c r="F2840" t="n">
        <v>0.2739</v>
      </c>
      <c r="G2840" t="n">
        <v>1.98</v>
      </c>
      <c r="H2840" t="n">
        <v>4</v>
      </c>
      <c r="I2840" t="n">
        <v>28</v>
      </c>
      <c r="J2840" t="n">
        <v>3</v>
      </c>
      <c r="K2840" t="n">
        <v>0</v>
      </c>
      <c r="L2840" t="n">
        <v>26400</v>
      </c>
      <c r="M2840" t="n">
        <v>33000</v>
      </c>
      <c r="N2840" t="n">
        <v>33</v>
      </c>
      <c r="O2840" t="n">
        <v>0.33</v>
      </c>
      <c r="P2840" t="n">
        <v>1</v>
      </c>
      <c r="Q2840" t="n">
        <v>0.15</v>
      </c>
      <c r="R2840" t="n">
        <v>2</v>
      </c>
      <c r="S2840" t="n">
        <v>9038.699999999999</v>
      </c>
      <c r="T2840" t="n">
        <v>55</v>
      </c>
      <c r="U2840" t="n">
        <v>57</v>
      </c>
      <c r="V2840" t="n">
        <v>30</v>
      </c>
      <c r="W2840" t="n">
        <v>9</v>
      </c>
      <c r="X2840" t="n">
        <v>40.16064257028113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10524</v>
      </c>
      <c r="AG2840" t="n">
        <v>2148</v>
      </c>
      <c r="AH2840" t="inlineStr">
        <is>
          <t>PT. JAYA PALEMBANG SUKSES - PPN (JMB)</t>
        </is>
      </c>
      <c r="AI2840" t="n">
        <v>2397</v>
      </c>
      <c r="AJ2840" t="inlineStr">
        <is>
          <t>N.CO</t>
        </is>
      </c>
      <c r="AK2840" t="n">
        <v>9</v>
      </c>
      <c r="AL2840" t="inlineStr">
        <is>
          <t>Miss Glam Jambi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N.CO</t>
        </is>
      </c>
      <c r="B2841" s="2">
        <f>"8998824554989"</f>
        <v/>
      </c>
      <c r="C2841" t="inlineStr">
        <is>
          <t>N.CO Parfume Bloomique 100ml</t>
        </is>
      </c>
      <c r="D2841" t="inlineStr">
        <is>
          <t>Miss Glam Jambi</t>
        </is>
      </c>
      <c r="E2841" t="n">
        <v>3</v>
      </c>
      <c r="F2841" t="n">
        <v>0.3564000000000001</v>
      </c>
      <c r="G2841" t="n">
        <v>1.98</v>
      </c>
      <c r="H2841" t="n">
        <v>4</v>
      </c>
      <c r="I2841" t="n">
        <v>28</v>
      </c>
      <c r="J2841" t="n">
        <v>3</v>
      </c>
      <c r="K2841" t="n">
        <v>0</v>
      </c>
      <c r="L2841" t="n">
        <v>26400</v>
      </c>
      <c r="M2841" t="n">
        <v>33000</v>
      </c>
      <c r="N2841" t="n">
        <v>33</v>
      </c>
      <c r="O2841" t="n">
        <v>0.33</v>
      </c>
      <c r="P2841" t="n">
        <v>1</v>
      </c>
      <c r="Q2841" t="n">
        <v>0.17</v>
      </c>
      <c r="R2841" t="n">
        <v>1</v>
      </c>
      <c r="S2841" t="n">
        <v>11761.2</v>
      </c>
      <c r="T2841" t="n">
        <v>55</v>
      </c>
      <c r="U2841" t="n">
        <v>57</v>
      </c>
      <c r="V2841" t="n">
        <v>30</v>
      </c>
      <c r="W2841" t="n">
        <v>11</v>
      </c>
      <c r="X2841" t="n">
        <v>8.417508417508417</v>
      </c>
      <c r="Y2841" t="n">
        <v>1</v>
      </c>
      <c r="Z2841" t="n">
        <v>8</v>
      </c>
      <c r="AA2841" t="n">
        <v>7</v>
      </c>
      <c r="AB2841" t="n">
        <v>1</v>
      </c>
      <c r="AC2841" t="n">
        <v>3</v>
      </c>
      <c r="AD2841" t="n">
        <v>184800</v>
      </c>
      <c r="AE2841" t="n">
        <v>79200</v>
      </c>
      <c r="AF2841" t="n">
        <v>10524</v>
      </c>
      <c r="AG2841" t="n">
        <v>2148</v>
      </c>
      <c r="AH2841" t="inlineStr">
        <is>
          <t>PT. JAYA PALEMBANG SUKSES - PPN (JMB)</t>
        </is>
      </c>
      <c r="AI2841" t="n">
        <v>2397</v>
      </c>
      <c r="AJ2841" t="inlineStr">
        <is>
          <t>N.CO</t>
        </is>
      </c>
      <c r="AK2841" t="n">
        <v>9</v>
      </c>
      <c r="AL2841" t="inlineStr">
        <is>
          <t>Miss Glam Jambi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N.CO</t>
        </is>
      </c>
      <c r="B2842" s="2">
        <f>"8998824555184"</f>
        <v/>
      </c>
      <c r="C2842" t="inlineStr">
        <is>
          <t>N.CO Parfume Glacier 100ml</t>
        </is>
      </c>
      <c r="D2842" t="inlineStr">
        <is>
          <t>Miss Glam Jambi</t>
        </is>
      </c>
      <c r="E2842" t="n">
        <v>8</v>
      </c>
      <c r="F2842" t="n">
        <v>0.2277</v>
      </c>
      <c r="G2842" t="n">
        <v>1.65</v>
      </c>
      <c r="H2842" t="n">
        <v>4</v>
      </c>
      <c r="I2842" t="n">
        <v>28</v>
      </c>
      <c r="J2842" t="n">
        <v>3</v>
      </c>
      <c r="K2842" t="n">
        <v>0</v>
      </c>
      <c r="L2842" t="n">
        <v>26400</v>
      </c>
      <c r="M2842" t="n">
        <v>33000</v>
      </c>
      <c r="N2842" t="n">
        <v>33</v>
      </c>
      <c r="O2842" t="n">
        <v>0.33</v>
      </c>
      <c r="P2842" t="n">
        <v>1</v>
      </c>
      <c r="Q2842" t="n">
        <v>0.07000000000000001</v>
      </c>
      <c r="R2842" t="n">
        <v>1</v>
      </c>
      <c r="S2842" t="n">
        <v>7514.099999999999</v>
      </c>
      <c r="T2842" t="n">
        <v>46</v>
      </c>
      <c r="U2842" t="n">
        <v>47</v>
      </c>
      <c r="V2842" t="n">
        <v>30</v>
      </c>
      <c r="W2842" t="n">
        <v>7</v>
      </c>
      <c r="X2842" t="n">
        <v>35.13394817742644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10524</v>
      </c>
      <c r="AG2842" t="n">
        <v>2148</v>
      </c>
      <c r="AH2842" t="inlineStr">
        <is>
          <t>PT. JAYA PALEMBANG SUKSES - PPN (JMB)</t>
        </is>
      </c>
      <c r="AI2842" t="n">
        <v>2397</v>
      </c>
      <c r="AJ2842" t="inlineStr">
        <is>
          <t>N.CO</t>
        </is>
      </c>
      <c r="AK2842" t="n">
        <v>9</v>
      </c>
      <c r="AL2842" t="inlineStr">
        <is>
          <t>Miss Glam Jambi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N.CO</t>
        </is>
      </c>
      <c r="B2843" s="2">
        <f>"8998824555177"</f>
        <v/>
      </c>
      <c r="C2843" t="inlineStr">
        <is>
          <t>N.CO Parfume Onyx 100ml</t>
        </is>
      </c>
      <c r="D2843" t="inlineStr">
        <is>
          <t>Miss Glam Jambi</t>
        </is>
      </c>
      <c r="E2843" t="n">
        <v>7</v>
      </c>
      <c r="F2843" t="n">
        <v>0.1386</v>
      </c>
      <c r="G2843" t="n">
        <v>0.99</v>
      </c>
      <c r="H2843" t="n">
        <v>4</v>
      </c>
      <c r="I2843" t="n">
        <v>28</v>
      </c>
      <c r="J2843" t="n">
        <v>3</v>
      </c>
      <c r="K2843" t="n">
        <v>0</v>
      </c>
      <c r="L2843" t="n">
        <v>26400</v>
      </c>
      <c r="M2843" t="n">
        <v>33000</v>
      </c>
      <c r="N2843" t="n">
        <v>33</v>
      </c>
      <c r="O2843" t="n">
        <v>0.33</v>
      </c>
      <c r="P2843" t="n">
        <v>1</v>
      </c>
      <c r="Q2843" t="n">
        <v>0.07000000000000001</v>
      </c>
      <c r="R2843" t="n">
        <v>1</v>
      </c>
      <c r="S2843" t="n">
        <v>4573.8</v>
      </c>
      <c r="T2843" t="n">
        <v>28</v>
      </c>
      <c r="U2843" t="n">
        <v>29</v>
      </c>
      <c r="V2843" t="n">
        <v>30</v>
      </c>
      <c r="W2843" t="n">
        <v>5</v>
      </c>
      <c r="X2843" t="n">
        <v>50.50505050505051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10524</v>
      </c>
      <c r="AG2843" t="n">
        <v>2148</v>
      </c>
      <c r="AH2843" t="inlineStr">
        <is>
          <t>PT. JAYA PALEMBANG SUKSES - PPN (JMB)</t>
        </is>
      </c>
      <c r="AI2843" t="n">
        <v>2397</v>
      </c>
      <c r="AJ2843" t="inlineStr">
        <is>
          <t>N.CO</t>
        </is>
      </c>
      <c r="AK2843" t="n">
        <v>9</v>
      </c>
      <c r="AL2843" t="inlineStr">
        <is>
          <t>Miss Glam Jambi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N.CO</t>
        </is>
      </c>
      <c r="B2844" s="2">
        <f>"8998824555160"</f>
        <v/>
      </c>
      <c r="C2844" t="inlineStr">
        <is>
          <t>N.CO Parfume Snowflake 100ml</t>
        </is>
      </c>
      <c r="D2844" t="inlineStr">
        <is>
          <t>Miss Glam Jambi</t>
        </is>
      </c>
      <c r="E2844" t="n">
        <v>23</v>
      </c>
      <c r="F2844" t="n">
        <v>0.1617</v>
      </c>
      <c r="G2844" t="n">
        <v>1.32</v>
      </c>
      <c r="H2844" t="n">
        <v>4</v>
      </c>
      <c r="I2844" t="n">
        <v>28</v>
      </c>
      <c r="J2844" t="n">
        <v>3</v>
      </c>
      <c r="K2844" t="n">
        <v>0</v>
      </c>
      <c r="L2844" t="n">
        <v>26400</v>
      </c>
      <c r="M2844" t="n">
        <v>33000</v>
      </c>
      <c r="N2844" t="n">
        <v>33</v>
      </c>
      <c r="O2844" t="n">
        <v>0.33</v>
      </c>
      <c r="P2844" t="n">
        <v>1</v>
      </c>
      <c r="Q2844" t="n">
        <v>0.05</v>
      </c>
      <c r="R2844" t="n">
        <v>1</v>
      </c>
      <c r="S2844" t="n">
        <v>5336.1</v>
      </c>
      <c r="T2844" t="n">
        <v>37</v>
      </c>
      <c r="U2844" t="n">
        <v>38</v>
      </c>
      <c r="V2844" t="n">
        <v>30</v>
      </c>
      <c r="W2844" t="n">
        <v>5</v>
      </c>
      <c r="X2844" t="n">
        <v>142.2387136672851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10524</v>
      </c>
      <c r="AG2844" t="n">
        <v>2148</v>
      </c>
      <c r="AH2844" t="inlineStr">
        <is>
          <t>PT. JAYA PALEMBANG SUKSES - PPN (JMB)</t>
        </is>
      </c>
      <c r="AI2844" t="n">
        <v>2397</v>
      </c>
      <c r="AJ2844" t="inlineStr">
        <is>
          <t>N.CO</t>
        </is>
      </c>
      <c r="AK2844" t="n">
        <v>9</v>
      </c>
      <c r="AL2844" t="inlineStr">
        <is>
          <t>Miss Glam Jambi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N.CO</t>
        </is>
      </c>
      <c r="B2845" s="2">
        <f>"8998824555146"</f>
        <v/>
      </c>
      <c r="C2845" t="inlineStr">
        <is>
          <t>N.CO Parfume Sun Kissed 100ml</t>
        </is>
      </c>
      <c r="D2845" t="inlineStr">
        <is>
          <t>Miss Glam Jambi</t>
        </is>
      </c>
      <c r="E2845" t="n">
        <v>10</v>
      </c>
      <c r="F2845" t="n">
        <v>0.0726</v>
      </c>
      <c r="G2845" t="n">
        <v>0.66</v>
      </c>
      <c r="H2845" t="n">
        <v>4</v>
      </c>
      <c r="I2845" t="n">
        <v>28</v>
      </c>
      <c r="J2845" t="n">
        <v>3</v>
      </c>
      <c r="K2845" t="n">
        <v>0</v>
      </c>
      <c r="L2845" t="n">
        <v>26400</v>
      </c>
      <c r="M2845" t="n">
        <v>33000</v>
      </c>
      <c r="N2845" t="n">
        <v>33</v>
      </c>
      <c r="O2845" t="n">
        <v>0.33</v>
      </c>
      <c r="P2845" t="n">
        <v>1</v>
      </c>
      <c r="Q2845" t="n">
        <v>0.03</v>
      </c>
      <c r="R2845" t="n">
        <v>1</v>
      </c>
      <c r="S2845" t="n">
        <v>2395.8</v>
      </c>
      <c r="T2845" t="n">
        <v>19</v>
      </c>
      <c r="U2845" t="n">
        <v>20</v>
      </c>
      <c r="V2845" t="n">
        <v>30</v>
      </c>
      <c r="W2845" t="n">
        <v>3</v>
      </c>
      <c r="X2845" t="n">
        <v>137.7410468319559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10524</v>
      </c>
      <c r="AG2845" t="n">
        <v>2148</v>
      </c>
      <c r="AH2845" t="inlineStr">
        <is>
          <t>PT. JAYA PALEMBANG SUKSES - PPN (JMB)</t>
        </is>
      </c>
      <c r="AI2845" t="n">
        <v>2397</v>
      </c>
      <c r="AJ2845" t="inlineStr">
        <is>
          <t>N.CO</t>
        </is>
      </c>
      <c r="AK2845" t="n">
        <v>9</v>
      </c>
      <c r="AL2845" t="inlineStr">
        <is>
          <t>Miss Glam Jambi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NAISDAY</t>
        </is>
      </c>
      <c r="B2846" s="2">
        <f>"30400260444"</f>
        <v/>
      </c>
      <c r="C2846" t="inlineStr">
        <is>
          <t>NAISDAY Dance Floor Extrait De Parfum 30ml</t>
        </is>
      </c>
      <c r="D2846" t="inlineStr">
        <is>
          <t>Miss Glam Jambi</t>
        </is>
      </c>
      <c r="E2846" t="n">
        <v>7</v>
      </c>
      <c r="F2846" t="n">
        <v>0.0462</v>
      </c>
      <c r="G2846" t="n">
        <v>0.99</v>
      </c>
      <c r="H2846" t="n">
        <v>6</v>
      </c>
      <c r="I2846" t="n">
        <v>12</v>
      </c>
      <c r="J2846" t="n">
        <v>1</v>
      </c>
      <c r="K2846" t="n">
        <v>0</v>
      </c>
      <c r="L2846" t="n">
        <v>83250</v>
      </c>
      <c r="M2846" t="n">
        <v>99000</v>
      </c>
      <c r="N2846" t="n">
        <v>33</v>
      </c>
      <c r="O2846" t="n">
        <v>0.33</v>
      </c>
      <c r="P2846" t="n">
        <v>1</v>
      </c>
      <c r="Q2846" t="n">
        <v>0.1</v>
      </c>
      <c r="R2846" t="n">
        <v>1</v>
      </c>
      <c r="S2846" t="n">
        <v>4573.8</v>
      </c>
      <c r="T2846" t="n">
        <v>12</v>
      </c>
      <c r="U2846" t="n">
        <v>13</v>
      </c>
      <c r="V2846" t="n">
        <v>30</v>
      </c>
      <c r="W2846" t="n">
        <v>2</v>
      </c>
      <c r="X2846" t="n">
        <v>151.5151515151515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604</v>
      </c>
      <c r="AG2846" t="n">
        <v>107</v>
      </c>
      <c r="AH2846" t="inlineStr">
        <is>
          <t xml:space="preserve">CV. DAHLIA - PPN (PDG) </t>
        </is>
      </c>
      <c r="AI2846" t="n">
        <v>2361</v>
      </c>
      <c r="AJ2846" t="inlineStr">
        <is>
          <t>NAISDAY</t>
        </is>
      </c>
      <c r="AK2846" t="n">
        <v>9</v>
      </c>
      <c r="AL2846" t="inlineStr">
        <is>
          <t>Miss Glam Jambi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NAISDAY</t>
        </is>
      </c>
      <c r="B2847" s="2">
        <f>"30400260030"</f>
        <v/>
      </c>
      <c r="C2847" t="inlineStr">
        <is>
          <t>NAISDAY One Night Stand O.N.S Extrait De Parfum 30ml</t>
        </is>
      </c>
      <c r="D2847" t="inlineStr">
        <is>
          <t>Miss Glam Jambi</t>
        </is>
      </c>
      <c r="E2847" t="n">
        <v>14</v>
      </c>
      <c r="F2847" t="n">
        <v>0.2739</v>
      </c>
      <c r="G2847" t="n">
        <v>1.32</v>
      </c>
      <c r="H2847" t="n">
        <v>6</v>
      </c>
      <c r="I2847" t="n">
        <v>12</v>
      </c>
      <c r="J2847" t="n">
        <v>1</v>
      </c>
      <c r="K2847" t="n">
        <v>0</v>
      </c>
      <c r="L2847" t="n">
        <v>83250</v>
      </c>
      <c r="M2847" t="n">
        <v>99000</v>
      </c>
      <c r="N2847" t="n">
        <v>33</v>
      </c>
      <c r="O2847" t="n">
        <v>0.33</v>
      </c>
      <c r="P2847" t="n">
        <v>1</v>
      </c>
      <c r="Q2847" t="n">
        <v>0.25</v>
      </c>
      <c r="R2847" t="n">
        <v>2</v>
      </c>
      <c r="S2847" t="n">
        <v>27116.1</v>
      </c>
      <c r="T2847" t="n">
        <v>15</v>
      </c>
      <c r="U2847" t="n">
        <v>17</v>
      </c>
      <c r="V2847" t="n">
        <v>30</v>
      </c>
      <c r="W2847" t="n">
        <v>9</v>
      </c>
      <c r="X2847" t="n">
        <v>51.11354508944871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604</v>
      </c>
      <c r="AG2847" t="n">
        <v>107</v>
      </c>
      <c r="AH2847" t="inlineStr">
        <is>
          <t xml:space="preserve">CV. DAHLIA - PPN (PDG) </t>
        </is>
      </c>
      <c r="AI2847" t="n">
        <v>2361</v>
      </c>
      <c r="AJ2847" t="inlineStr">
        <is>
          <t>NAISDAY</t>
        </is>
      </c>
      <c r="AK2847" t="n">
        <v>9</v>
      </c>
      <c r="AL2847" t="inlineStr">
        <is>
          <t>Miss Glam Jambi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NAISDAY</t>
        </is>
      </c>
      <c r="B2848" s="2">
        <f>"30400260227"</f>
        <v/>
      </c>
      <c r="C2848" t="inlineStr">
        <is>
          <t>NAISDAY Santorini Extrait De Parfum 30ml</t>
        </is>
      </c>
      <c r="D2848" t="inlineStr">
        <is>
          <t>Miss Glam Jambi</t>
        </is>
      </c>
      <c r="E2848" t="n">
        <v>6</v>
      </c>
      <c r="F2848" t="n">
        <v>0.3201</v>
      </c>
      <c r="G2848" t="n">
        <v>1.98</v>
      </c>
      <c r="H2848" t="n">
        <v>6</v>
      </c>
      <c r="I2848" t="n">
        <v>12</v>
      </c>
      <c r="J2848" t="n">
        <v>1</v>
      </c>
      <c r="K2848" t="n">
        <v>0</v>
      </c>
      <c r="L2848" t="n">
        <v>83250</v>
      </c>
      <c r="M2848" t="n">
        <v>99000</v>
      </c>
      <c r="N2848" t="n">
        <v>33</v>
      </c>
      <c r="O2848" t="n">
        <v>0.33</v>
      </c>
      <c r="P2848" t="n">
        <v>1</v>
      </c>
      <c r="Q2848" t="n">
        <v>0.19</v>
      </c>
      <c r="R2848" t="n">
        <v>2</v>
      </c>
      <c r="S2848" t="n">
        <v>31689.9</v>
      </c>
      <c r="T2848" t="n">
        <v>22</v>
      </c>
      <c r="U2848" t="n">
        <v>24</v>
      </c>
      <c r="V2848" t="n">
        <v>30</v>
      </c>
      <c r="W2848" t="n">
        <v>10</v>
      </c>
      <c r="X2848" t="n">
        <v>18.74414245548266</v>
      </c>
      <c r="Y2848" t="n">
        <v>1</v>
      </c>
      <c r="Z2848" t="n">
        <v>4</v>
      </c>
      <c r="AA2848" t="n">
        <v>0</v>
      </c>
      <c r="AB2848" t="n">
        <v>4</v>
      </c>
      <c r="AC2848" t="n">
        <v>4</v>
      </c>
      <c r="AD2848" t="n">
        <v>0</v>
      </c>
      <c r="AE2848" t="n">
        <v>333000</v>
      </c>
      <c r="AF2848" t="n">
        <v>604</v>
      </c>
      <c r="AG2848" t="n">
        <v>107</v>
      </c>
      <c r="AH2848" t="inlineStr">
        <is>
          <t xml:space="preserve">CV. DAHLIA - PPN (PDG) </t>
        </is>
      </c>
      <c r="AI2848" t="n">
        <v>2361</v>
      </c>
      <c r="AJ2848" t="inlineStr">
        <is>
          <t>NAISDAY</t>
        </is>
      </c>
      <c r="AK2848" t="n">
        <v>9</v>
      </c>
      <c r="AL2848" t="inlineStr">
        <is>
          <t>Miss Glam Jambi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NAISDAY</t>
        </is>
      </c>
      <c r="B2849" s="2">
        <f>"30400260320"</f>
        <v/>
      </c>
      <c r="C2849" t="inlineStr">
        <is>
          <t>NAISDAY Scandalicious Extrait De Parfum 30ml</t>
        </is>
      </c>
      <c r="D2849" t="inlineStr">
        <is>
          <t>Miss Glam Jambi</t>
        </is>
      </c>
      <c r="E2849" t="n">
        <v>3</v>
      </c>
      <c r="F2849" t="n">
        <v>0.07920000000000001</v>
      </c>
      <c r="G2849" t="n">
        <v>0.33</v>
      </c>
      <c r="H2849" t="n">
        <v>6</v>
      </c>
      <c r="I2849" t="n">
        <v>12</v>
      </c>
      <c r="J2849" t="n">
        <v>1</v>
      </c>
      <c r="K2849" t="n">
        <v>0</v>
      </c>
      <c r="L2849" t="n">
        <v>83250</v>
      </c>
      <c r="M2849" t="n">
        <v>99000</v>
      </c>
      <c r="N2849" t="n">
        <v>33</v>
      </c>
      <c r="O2849" t="n">
        <v>0.33</v>
      </c>
      <c r="P2849" t="n">
        <v>1</v>
      </c>
      <c r="Q2849" t="n">
        <v>0.1</v>
      </c>
      <c r="R2849" t="n">
        <v>1</v>
      </c>
      <c r="S2849" t="n">
        <v>7840.800000000001</v>
      </c>
      <c r="T2849" t="n">
        <v>4</v>
      </c>
      <c r="U2849" t="n">
        <v>5</v>
      </c>
      <c r="V2849" t="n">
        <v>30</v>
      </c>
      <c r="W2849" t="n">
        <v>3</v>
      </c>
      <c r="X2849" t="n">
        <v>37.87878787878788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604</v>
      </c>
      <c r="AG2849" t="n">
        <v>107</v>
      </c>
      <c r="AH2849" t="inlineStr">
        <is>
          <t xml:space="preserve">CV. DAHLIA - PPN (PDG) </t>
        </is>
      </c>
      <c r="AI2849" t="n">
        <v>2361</v>
      </c>
      <c r="AJ2849" t="inlineStr">
        <is>
          <t>NAISDAY</t>
        </is>
      </c>
      <c r="AK2849" t="n">
        <v>9</v>
      </c>
      <c r="AL2849" t="inlineStr">
        <is>
          <t>Miss Glam Jambi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NAISDAY</t>
        </is>
      </c>
      <c r="B2850" s="2">
        <f>"30400259932"</f>
        <v/>
      </c>
      <c r="C2850" t="inlineStr">
        <is>
          <t>NAISDAY Thousand Kisses Extrait De Parfum 30ml</t>
        </is>
      </c>
      <c r="D2850" t="inlineStr">
        <is>
          <t>Miss Glam Jambi</t>
        </is>
      </c>
      <c r="E2850" t="n">
        <v>4</v>
      </c>
      <c r="F2850" t="n">
        <v>0.2112</v>
      </c>
      <c r="G2850" t="n">
        <v>0.99</v>
      </c>
      <c r="H2850" t="n">
        <v>6</v>
      </c>
      <c r="I2850" t="n">
        <v>12</v>
      </c>
      <c r="J2850" t="n">
        <v>1</v>
      </c>
      <c r="K2850" t="n">
        <v>0</v>
      </c>
      <c r="L2850" t="n">
        <v>83250</v>
      </c>
      <c r="M2850" t="n">
        <v>99000</v>
      </c>
      <c r="N2850" t="n">
        <v>33</v>
      </c>
      <c r="O2850" t="n">
        <v>0.33</v>
      </c>
      <c r="P2850" t="n">
        <v>1</v>
      </c>
      <c r="Q2850" t="n">
        <v>0.08</v>
      </c>
      <c r="R2850" t="n">
        <v>1</v>
      </c>
      <c r="S2850" t="n">
        <v>20908.8</v>
      </c>
      <c r="T2850" t="n">
        <v>11</v>
      </c>
      <c r="U2850" t="n">
        <v>13</v>
      </c>
      <c r="V2850" t="n">
        <v>30</v>
      </c>
      <c r="W2850" t="n">
        <v>7</v>
      </c>
      <c r="X2850" t="n">
        <v>18.93939393939394</v>
      </c>
      <c r="Y2850" t="n">
        <v>1</v>
      </c>
      <c r="Z2850" t="n">
        <v>3</v>
      </c>
      <c r="AA2850" t="n">
        <v>0</v>
      </c>
      <c r="AB2850" t="n">
        <v>3</v>
      </c>
      <c r="AC2850" t="n">
        <v>3</v>
      </c>
      <c r="AD2850" t="n">
        <v>0</v>
      </c>
      <c r="AE2850" t="n">
        <v>249750</v>
      </c>
      <c r="AF2850" t="n">
        <v>604</v>
      </c>
      <c r="AG2850" t="n">
        <v>107</v>
      </c>
      <c r="AH2850" t="inlineStr">
        <is>
          <t xml:space="preserve">CV. DAHLIA - PPN (PDG) </t>
        </is>
      </c>
      <c r="AI2850" t="n">
        <v>2361</v>
      </c>
      <c r="AJ2850" t="inlineStr">
        <is>
          <t>NAISDAY</t>
        </is>
      </c>
      <c r="AK2850" t="n">
        <v>9</v>
      </c>
      <c r="AL2850" t="inlineStr">
        <is>
          <t>Miss Glam Jambi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NAISDAY</t>
        </is>
      </c>
      <c r="B2851" s="2">
        <f>"30400260105"</f>
        <v/>
      </c>
      <c r="C2851" t="inlineStr">
        <is>
          <t>NAISDAY Wonka Extrait De Parfum 30ml</t>
        </is>
      </c>
      <c r="D2851" t="inlineStr">
        <is>
          <t>Miss Glam Jambi</t>
        </is>
      </c>
      <c r="E2851" t="n">
        <v>3</v>
      </c>
      <c r="F2851" t="n">
        <v>0.1287</v>
      </c>
      <c r="G2851" t="n">
        <v>0.66</v>
      </c>
      <c r="H2851" t="n">
        <v>6</v>
      </c>
      <c r="I2851" t="n">
        <v>12</v>
      </c>
      <c r="J2851" t="n">
        <v>1</v>
      </c>
      <c r="K2851" t="n">
        <v>0</v>
      </c>
      <c r="L2851" t="n">
        <v>83250</v>
      </c>
      <c r="M2851" t="n">
        <v>99000</v>
      </c>
      <c r="N2851" t="n">
        <v>33</v>
      </c>
      <c r="O2851" t="n">
        <v>0.33</v>
      </c>
      <c r="P2851" t="n">
        <v>1</v>
      </c>
      <c r="Q2851" t="n">
        <v>0.07000000000000001</v>
      </c>
      <c r="R2851" t="n">
        <v>2</v>
      </c>
      <c r="S2851" t="n">
        <v>12741.3</v>
      </c>
      <c r="T2851" t="n">
        <v>8</v>
      </c>
      <c r="U2851" t="n">
        <v>9</v>
      </c>
      <c r="V2851" t="n">
        <v>30</v>
      </c>
      <c r="W2851" t="n">
        <v>4</v>
      </c>
      <c r="X2851" t="n">
        <v>23.31002331002331</v>
      </c>
      <c r="Y2851" t="n">
        <v>1</v>
      </c>
      <c r="Z2851" t="n">
        <v>1</v>
      </c>
      <c r="AA2851" t="n">
        <v>0</v>
      </c>
      <c r="AB2851" t="n">
        <v>1</v>
      </c>
      <c r="AC2851" t="n">
        <v>1</v>
      </c>
      <c r="AD2851" t="n">
        <v>0</v>
      </c>
      <c r="AE2851" t="n">
        <v>83250</v>
      </c>
      <c r="AF2851" t="n">
        <v>604</v>
      </c>
      <c r="AG2851" t="n">
        <v>107</v>
      </c>
      <c r="AH2851" t="inlineStr">
        <is>
          <t xml:space="preserve">CV. DAHLIA - PPN (PDG) </t>
        </is>
      </c>
      <c r="AI2851" t="n">
        <v>2361</v>
      </c>
      <c r="AJ2851" t="inlineStr">
        <is>
          <t>NAISDAY</t>
        </is>
      </c>
      <c r="AK2851" t="n">
        <v>9</v>
      </c>
      <c r="AL2851" t="inlineStr">
        <is>
          <t>Miss Glam Jambi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NATUR</t>
        </is>
      </c>
      <c r="B2852" s="2">
        <f>"8992928060247"</f>
        <v/>
      </c>
      <c r="C2852" t="inlineStr">
        <is>
          <t>NATUR Conditioner Ginseng &amp; Olive Oil Moisturize 165ml</t>
        </is>
      </c>
      <c r="D2852" t="inlineStr">
        <is>
          <t>Miss Glam Jambi</t>
        </is>
      </c>
      <c r="E2852" t="n">
        <v>6</v>
      </c>
      <c r="F2852" t="n">
        <v>0.1221</v>
      </c>
      <c r="G2852" t="n">
        <v>0.66</v>
      </c>
      <c r="H2852" t="n">
        <v>7</v>
      </c>
      <c r="I2852" t="n">
        <v>19</v>
      </c>
      <c r="J2852" t="n">
        <v>3</v>
      </c>
      <c r="K2852" t="n">
        <v>0</v>
      </c>
      <c r="L2852" t="n">
        <v>28777</v>
      </c>
      <c r="M2852" t="n">
        <v>33500</v>
      </c>
      <c r="N2852" t="n">
        <v>33</v>
      </c>
      <c r="O2852" t="n">
        <v>0.33</v>
      </c>
      <c r="P2852" t="n">
        <v>1</v>
      </c>
      <c r="Q2852" t="n">
        <v>0.05</v>
      </c>
      <c r="R2852" t="n">
        <v>1</v>
      </c>
      <c r="S2852" t="n">
        <v>4090.35</v>
      </c>
      <c r="T2852" t="n">
        <v>12</v>
      </c>
      <c r="U2852" t="n">
        <v>13</v>
      </c>
      <c r="V2852" t="n">
        <v>30</v>
      </c>
      <c r="W2852" t="n">
        <v>4</v>
      </c>
      <c r="X2852" t="n">
        <v>49.14004914004914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11301</v>
      </c>
      <c r="AG2852" t="n">
        <v>2173</v>
      </c>
      <c r="AH2852" t="inlineStr">
        <is>
          <t>PT. OGAN SAKTI PRATAMA - PPN (JMB)</t>
        </is>
      </c>
      <c r="AI2852" t="n">
        <v>112</v>
      </c>
      <c r="AJ2852" t="inlineStr">
        <is>
          <t>NATUR</t>
        </is>
      </c>
      <c r="AK2852" t="n">
        <v>9</v>
      </c>
      <c r="AL2852" t="inlineStr">
        <is>
          <t>Miss Glam Jambi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NATUR</t>
        </is>
      </c>
      <c r="B2853" s="2">
        <f>"8992928061329"</f>
        <v/>
      </c>
      <c r="C2853" t="inlineStr">
        <is>
          <t>NATUR Hair Mask Hair Nutritive Treatment Aloevera Extract 15gr</t>
        </is>
      </c>
      <c r="D2853" t="inlineStr">
        <is>
          <t>Miss Glam Jambi</t>
        </is>
      </c>
      <c r="E2853" t="n">
        <v>10</v>
      </c>
      <c r="F2853" t="n">
        <v>0.066</v>
      </c>
      <c r="G2853" t="n">
        <v>0.66</v>
      </c>
      <c r="H2853" t="n">
        <v>7</v>
      </c>
      <c r="I2853" t="n">
        <v>19</v>
      </c>
      <c r="J2853" t="n">
        <v>3</v>
      </c>
      <c r="K2853" t="n">
        <v>0</v>
      </c>
      <c r="L2853" t="n">
        <v>6782</v>
      </c>
      <c r="M2853" t="n">
        <v>8500</v>
      </c>
      <c r="N2853" t="n">
        <v>33</v>
      </c>
      <c r="O2853" t="n">
        <v>0.33</v>
      </c>
      <c r="P2853" t="n">
        <v>1</v>
      </c>
      <c r="Q2853" t="n">
        <v>0.03</v>
      </c>
      <c r="R2853" t="n">
        <v>2</v>
      </c>
      <c r="S2853" t="n">
        <v>561</v>
      </c>
      <c r="T2853" t="n">
        <v>13</v>
      </c>
      <c r="U2853" t="n">
        <v>14</v>
      </c>
      <c r="V2853" t="n">
        <v>30</v>
      </c>
      <c r="W2853" t="n">
        <v>2</v>
      </c>
      <c r="X2853" t="n">
        <v>151.5151515151515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11301</v>
      </c>
      <c r="AG2853" t="n">
        <v>2173</v>
      </c>
      <c r="AH2853" t="inlineStr">
        <is>
          <t>PT. OGAN SAKTI PRATAMA - PPN (JMB)</t>
        </is>
      </c>
      <c r="AI2853" t="n">
        <v>112</v>
      </c>
      <c r="AJ2853" t="inlineStr">
        <is>
          <t>NATUR</t>
        </is>
      </c>
      <c r="AK2853" t="n">
        <v>9</v>
      </c>
      <c r="AL2853" t="inlineStr">
        <is>
          <t>Miss Glam Jambi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NATUR</t>
        </is>
      </c>
      <c r="B2854" s="2">
        <f>"8992928061336"</f>
        <v/>
      </c>
      <c r="C2854" t="inlineStr">
        <is>
          <t>NATUR Hair Mask Nutritive Strength Ginseng Extract 15gr</t>
        </is>
      </c>
      <c r="D2854" t="inlineStr">
        <is>
          <t>Miss Glam Jambi</t>
        </is>
      </c>
      <c r="E2854" t="n">
        <v>12</v>
      </c>
      <c r="F2854" t="n">
        <v>0.2178</v>
      </c>
      <c r="G2854" t="n">
        <v>0.99</v>
      </c>
      <c r="H2854" t="n">
        <v>7</v>
      </c>
      <c r="I2854" t="n">
        <v>19</v>
      </c>
      <c r="J2854" t="n">
        <v>3</v>
      </c>
      <c r="K2854" t="n">
        <v>0</v>
      </c>
      <c r="L2854" t="n">
        <v>6782</v>
      </c>
      <c r="M2854" t="n">
        <v>9000</v>
      </c>
      <c r="N2854" t="n">
        <v>33</v>
      </c>
      <c r="O2854" t="n">
        <v>0.33</v>
      </c>
      <c r="P2854" t="n">
        <v>1</v>
      </c>
      <c r="Q2854" t="n">
        <v>0.03</v>
      </c>
      <c r="R2854" t="n">
        <v>1</v>
      </c>
      <c r="S2854" t="n">
        <v>1960.2</v>
      </c>
      <c r="T2854" t="n">
        <v>18</v>
      </c>
      <c r="U2854" t="n">
        <v>20</v>
      </c>
      <c r="V2854" t="n">
        <v>30</v>
      </c>
      <c r="W2854" t="n">
        <v>7</v>
      </c>
      <c r="X2854" t="n">
        <v>55.09641873278236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11301</v>
      </c>
      <c r="AG2854" t="n">
        <v>2173</v>
      </c>
      <c r="AH2854" t="inlineStr">
        <is>
          <t>PT. OGAN SAKTI PRATAMA - PPN (JMB)</t>
        </is>
      </c>
      <c r="AI2854" t="n">
        <v>112</v>
      </c>
      <c r="AJ2854" t="inlineStr">
        <is>
          <t>NATUR</t>
        </is>
      </c>
      <c r="AK2854" t="n">
        <v>9</v>
      </c>
      <c r="AL2854" t="inlineStr">
        <is>
          <t>Miss Glam Jambi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NATUR</t>
        </is>
      </c>
      <c r="B2855" s="2">
        <f>"8992928061633"</f>
        <v/>
      </c>
      <c r="C2855" t="inlineStr">
        <is>
          <t>NATUR Hair Mask Treatment Olive Oil &amp; Vitamin E15gr</t>
        </is>
      </c>
      <c r="D2855" t="inlineStr">
        <is>
          <t>Miss Glam Jambi</t>
        </is>
      </c>
      <c r="E2855" t="n">
        <v>7</v>
      </c>
      <c r="F2855" t="n">
        <v>0.1353</v>
      </c>
      <c r="G2855" t="n">
        <v>0.66</v>
      </c>
      <c r="H2855" t="n">
        <v>7</v>
      </c>
      <c r="I2855" t="n">
        <v>19</v>
      </c>
      <c r="J2855" t="n">
        <v>3</v>
      </c>
      <c r="K2855" t="n">
        <v>0</v>
      </c>
      <c r="L2855" t="n">
        <v>6782</v>
      </c>
      <c r="M2855" t="n">
        <v>8000</v>
      </c>
      <c r="N2855" t="n">
        <v>33</v>
      </c>
      <c r="O2855" t="n">
        <v>0.33</v>
      </c>
      <c r="P2855" t="n">
        <v>1</v>
      </c>
      <c r="Q2855" t="n">
        <v>0.02</v>
      </c>
      <c r="R2855" t="n">
        <v>1</v>
      </c>
      <c r="S2855" t="n">
        <v>1082.4</v>
      </c>
      <c r="T2855" t="n">
        <v>12</v>
      </c>
      <c r="U2855" t="n">
        <v>13</v>
      </c>
      <c r="V2855" t="n">
        <v>30</v>
      </c>
      <c r="W2855" t="n">
        <v>5</v>
      </c>
      <c r="X2855" t="n">
        <v>51.73688100517369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11301</v>
      </c>
      <c r="AG2855" t="n">
        <v>2173</v>
      </c>
      <c r="AH2855" t="inlineStr">
        <is>
          <t>PT. OGAN SAKTI PRATAMA - PPN (JMB)</t>
        </is>
      </c>
      <c r="AI2855" t="n">
        <v>112</v>
      </c>
      <c r="AJ2855" t="inlineStr">
        <is>
          <t>NATUR</t>
        </is>
      </c>
      <c r="AK2855" t="n">
        <v>9</v>
      </c>
      <c r="AL2855" t="inlineStr">
        <is>
          <t>Miss Glam Jambi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NATUR</t>
        </is>
      </c>
      <c r="B2856" s="2">
        <f>"8992928062081"</f>
        <v/>
      </c>
      <c r="C2856" t="inlineStr">
        <is>
          <t>NATUR Hair Recovery Serum Aloevera 60ml</t>
        </is>
      </c>
      <c r="D2856" t="inlineStr">
        <is>
          <t>Miss Glam Jambi</t>
        </is>
      </c>
      <c r="E2856" t="n">
        <v>7</v>
      </c>
      <c r="F2856" t="n">
        <v>0.006600000000000001</v>
      </c>
      <c r="G2856" t="n">
        <v>0.33</v>
      </c>
      <c r="H2856" t="n">
        <v>7</v>
      </c>
      <c r="I2856" t="n">
        <v>19</v>
      </c>
      <c r="J2856" t="n">
        <v>3</v>
      </c>
      <c r="K2856" t="n">
        <v>0</v>
      </c>
      <c r="L2856" t="n">
        <v>51492</v>
      </c>
      <c r="M2856" t="n">
        <v>61300</v>
      </c>
      <c r="N2856" t="n">
        <v>33</v>
      </c>
      <c r="O2856" t="n">
        <v>0.33</v>
      </c>
      <c r="P2856" t="n">
        <v>1</v>
      </c>
      <c r="Q2856" t="n">
        <v>0.02</v>
      </c>
      <c r="R2856" t="n">
        <v>1</v>
      </c>
      <c r="S2856" t="n">
        <v>404.58</v>
      </c>
      <c r="T2856" t="n">
        <v>7</v>
      </c>
      <c r="U2856" t="n">
        <v>8</v>
      </c>
      <c r="V2856" t="n">
        <v>30</v>
      </c>
      <c r="W2856" t="n">
        <v>1</v>
      </c>
      <c r="X2856" t="n">
        <v>1060.606060606061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11301</v>
      </c>
      <c r="AG2856" t="n">
        <v>2173</v>
      </c>
      <c r="AH2856" t="inlineStr">
        <is>
          <t>PT. OGAN SAKTI PRATAMA - PPN (JMB)</t>
        </is>
      </c>
      <c r="AI2856" t="n">
        <v>112</v>
      </c>
      <c r="AJ2856" t="inlineStr">
        <is>
          <t>NATUR</t>
        </is>
      </c>
      <c r="AK2856" t="n">
        <v>9</v>
      </c>
      <c r="AL2856" t="inlineStr">
        <is>
          <t>Miss Glam Jambi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NATUR</t>
        </is>
      </c>
      <c r="B2857" s="2">
        <f>"8992928062098"</f>
        <v/>
      </c>
      <c r="C2857" t="inlineStr">
        <is>
          <t>NATUR Hair Recovery Serum Olive Oil 60ml</t>
        </is>
      </c>
      <c r="D2857" t="inlineStr">
        <is>
          <t>Miss Glam Jambi</t>
        </is>
      </c>
      <c r="E2857" t="n">
        <v>3</v>
      </c>
      <c r="F2857" t="n">
        <v>0.009900000000000001</v>
      </c>
      <c r="G2857" t="n">
        <v>0.33</v>
      </c>
      <c r="H2857" t="n">
        <v>7</v>
      </c>
      <c r="I2857" t="n">
        <v>19</v>
      </c>
      <c r="J2857" t="n">
        <v>3</v>
      </c>
      <c r="K2857" t="n">
        <v>0</v>
      </c>
      <c r="L2857" t="n">
        <v>51492</v>
      </c>
      <c r="M2857" t="n">
        <v>61300</v>
      </c>
      <c r="N2857" t="n">
        <v>33</v>
      </c>
      <c r="O2857" t="n">
        <v>0.33</v>
      </c>
      <c r="P2857" t="n">
        <v>1</v>
      </c>
      <c r="Q2857" t="n">
        <v>0.02</v>
      </c>
      <c r="R2857" t="n">
        <v>1</v>
      </c>
      <c r="S2857" t="n">
        <v>606.87</v>
      </c>
      <c r="T2857" t="n">
        <v>7</v>
      </c>
      <c r="U2857" t="n">
        <v>8</v>
      </c>
      <c r="V2857" t="n">
        <v>30</v>
      </c>
      <c r="W2857" t="n">
        <v>1</v>
      </c>
      <c r="X2857" t="n">
        <v>303.030303030303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11301</v>
      </c>
      <c r="AG2857" t="n">
        <v>2173</v>
      </c>
      <c r="AH2857" t="inlineStr">
        <is>
          <t>PT. OGAN SAKTI PRATAMA - PPN (JMB)</t>
        </is>
      </c>
      <c r="AI2857" t="n">
        <v>112</v>
      </c>
      <c r="AJ2857" t="inlineStr">
        <is>
          <t>NATUR</t>
        </is>
      </c>
      <c r="AK2857" t="n">
        <v>9</v>
      </c>
      <c r="AL2857" t="inlineStr">
        <is>
          <t>Miss Glam Jambi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NATUR</t>
        </is>
      </c>
      <c r="B2858" s="2">
        <f>"8992928061008"</f>
        <v/>
      </c>
      <c r="C2858" t="inlineStr">
        <is>
          <t>NATUR Hair Tonic Aloevera Extrach 90ml</t>
        </is>
      </c>
      <c r="D2858" t="inlineStr">
        <is>
          <t>Miss Glam Jambi</t>
        </is>
      </c>
      <c r="E2858" t="n">
        <v>5</v>
      </c>
      <c r="F2858" t="n">
        <v>0.0231</v>
      </c>
      <c r="G2858" t="n">
        <v>0.33</v>
      </c>
      <c r="H2858" t="n">
        <v>7</v>
      </c>
      <c r="I2858" t="n">
        <v>19</v>
      </c>
      <c r="J2858" t="n">
        <v>3</v>
      </c>
      <c r="K2858" t="n">
        <v>0</v>
      </c>
      <c r="L2858" t="n">
        <v>32331</v>
      </c>
      <c r="M2858" t="n">
        <v>40500</v>
      </c>
      <c r="N2858" t="n">
        <v>33</v>
      </c>
      <c r="O2858" t="n">
        <v>0.33</v>
      </c>
      <c r="P2858" t="n">
        <v>1</v>
      </c>
      <c r="Q2858" t="n">
        <v>0.03</v>
      </c>
      <c r="R2858" t="n">
        <v>1</v>
      </c>
      <c r="S2858" t="n">
        <v>935.5500000000001</v>
      </c>
      <c r="T2858" t="n">
        <v>7</v>
      </c>
      <c r="U2858" t="n">
        <v>8</v>
      </c>
      <c r="V2858" t="n">
        <v>30</v>
      </c>
      <c r="W2858" t="n">
        <v>1</v>
      </c>
      <c r="X2858" t="n">
        <v>216.4502164502164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11301</v>
      </c>
      <c r="AG2858" t="n">
        <v>2173</v>
      </c>
      <c r="AH2858" t="inlineStr">
        <is>
          <t>PT. OGAN SAKTI PRATAMA - PPN (JMB)</t>
        </is>
      </c>
      <c r="AI2858" t="n">
        <v>112</v>
      </c>
      <c r="AJ2858" t="inlineStr">
        <is>
          <t>NATUR</t>
        </is>
      </c>
      <c r="AK2858" t="n">
        <v>9</v>
      </c>
      <c r="AL2858" t="inlineStr">
        <is>
          <t>Miss Glam Jambi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NATUR</t>
        </is>
      </c>
      <c r="B2859" s="2">
        <f>"8992928811252"</f>
        <v/>
      </c>
      <c r="C2859" t="inlineStr">
        <is>
          <t>NATUR Hair Tonic Ginseng Extract 90ml</t>
        </is>
      </c>
      <c r="D2859" t="inlineStr">
        <is>
          <t>Miss Glam Jambi</t>
        </is>
      </c>
      <c r="E2859" t="n">
        <v>4</v>
      </c>
      <c r="F2859" t="n">
        <v>0.09569999999999999</v>
      </c>
      <c r="G2859" t="n">
        <v>0.99</v>
      </c>
      <c r="H2859" t="n">
        <v>7</v>
      </c>
      <c r="I2859" t="n">
        <v>19</v>
      </c>
      <c r="J2859" t="n">
        <v>3</v>
      </c>
      <c r="K2859" t="n">
        <v>0</v>
      </c>
      <c r="L2859" t="n">
        <v>32332</v>
      </c>
      <c r="M2859" t="n">
        <v>40500</v>
      </c>
      <c r="N2859" t="n">
        <v>33</v>
      </c>
      <c r="O2859" t="n">
        <v>0.33</v>
      </c>
      <c r="P2859" t="n">
        <v>1</v>
      </c>
      <c r="Q2859" t="n">
        <v>0.03</v>
      </c>
      <c r="R2859" t="n">
        <v>1</v>
      </c>
      <c r="S2859" t="n">
        <v>3875.85</v>
      </c>
      <c r="T2859" t="n">
        <v>19</v>
      </c>
      <c r="U2859" t="n">
        <v>20</v>
      </c>
      <c r="V2859" t="n">
        <v>30</v>
      </c>
      <c r="W2859" t="n">
        <v>3</v>
      </c>
      <c r="X2859" t="n">
        <v>41.79728317659352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11301</v>
      </c>
      <c r="AG2859" t="n">
        <v>2173</v>
      </c>
      <c r="AH2859" t="inlineStr">
        <is>
          <t>PT. OGAN SAKTI PRATAMA - PPN (JMB)</t>
        </is>
      </c>
      <c r="AI2859" t="n">
        <v>112</v>
      </c>
      <c r="AJ2859" t="inlineStr">
        <is>
          <t>NATUR</t>
        </is>
      </c>
      <c r="AK2859" t="n">
        <v>9</v>
      </c>
      <c r="AL2859" t="inlineStr">
        <is>
          <t>Miss Glam Jambi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NATUR</t>
        </is>
      </c>
      <c r="B2860" s="2">
        <f>"8992928061350"</f>
        <v/>
      </c>
      <c r="C2860" t="inlineStr">
        <is>
          <t>NATUR Hair Vitamin Aloe Vera Extract &amp;provitamin B5 for hair &amp;scalp 80ml</t>
        </is>
      </c>
      <c r="D2860" t="inlineStr">
        <is>
          <t>Miss Glam Jambi</t>
        </is>
      </c>
      <c r="E2860" t="n">
        <v>6</v>
      </c>
      <c r="F2860" t="n">
        <v>0.0165</v>
      </c>
      <c r="G2860" t="n">
        <v>0.33</v>
      </c>
      <c r="H2860" t="n">
        <v>7</v>
      </c>
      <c r="I2860" t="n">
        <v>19</v>
      </c>
      <c r="J2860" t="n">
        <v>3</v>
      </c>
      <c r="K2860" t="n">
        <v>0</v>
      </c>
      <c r="L2860" t="n">
        <v>22433</v>
      </c>
      <c r="M2860" t="n">
        <v>28500</v>
      </c>
      <c r="N2860" t="n">
        <v>33</v>
      </c>
      <c r="O2860" t="n">
        <v>0.33</v>
      </c>
      <c r="P2860" t="n">
        <v>1</v>
      </c>
      <c r="Q2860" t="n">
        <v>0.05</v>
      </c>
      <c r="R2860" t="n">
        <v>1</v>
      </c>
      <c r="S2860" t="n">
        <v>470.25</v>
      </c>
      <c r="T2860" t="n">
        <v>7</v>
      </c>
      <c r="U2860" t="n">
        <v>8</v>
      </c>
      <c r="V2860" t="n">
        <v>30</v>
      </c>
      <c r="W2860" t="n">
        <v>1</v>
      </c>
      <c r="X2860" t="n">
        <v>363.6363636363636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11301</v>
      </c>
      <c r="AG2860" t="n">
        <v>2173</v>
      </c>
      <c r="AH2860" t="inlineStr">
        <is>
          <t>PT. OGAN SAKTI PRATAMA - PPN (JMB)</t>
        </is>
      </c>
      <c r="AI2860" t="n">
        <v>112</v>
      </c>
      <c r="AJ2860" t="inlineStr">
        <is>
          <t>NATUR</t>
        </is>
      </c>
      <c r="AK2860" t="n">
        <v>9</v>
      </c>
      <c r="AL2860" t="inlineStr">
        <is>
          <t>Miss Glam Jambi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NATUR</t>
        </is>
      </c>
      <c r="B2861" s="2">
        <f>"8992928061435"</f>
        <v/>
      </c>
      <c r="C2861" t="inlineStr">
        <is>
          <t>NATUR Natural Ginseng Extract Shampoo 270ml</t>
        </is>
      </c>
      <c r="D2861" t="inlineStr">
        <is>
          <t>Miss Glam Jambi</t>
        </is>
      </c>
      <c r="E2861" t="n">
        <v>4</v>
      </c>
      <c r="F2861" t="n">
        <v>0.0396</v>
      </c>
      <c r="G2861" t="n">
        <v>0.66</v>
      </c>
      <c r="H2861" t="n">
        <v>7</v>
      </c>
      <c r="I2861" t="n">
        <v>19</v>
      </c>
      <c r="J2861" t="n">
        <v>3</v>
      </c>
      <c r="K2861" t="n">
        <v>0</v>
      </c>
      <c r="L2861" t="n">
        <v>42493</v>
      </c>
      <c r="M2861" t="n">
        <v>51500</v>
      </c>
      <c r="N2861" t="n">
        <v>33</v>
      </c>
      <c r="O2861" t="n">
        <v>0.33</v>
      </c>
      <c r="P2861" t="n">
        <v>1</v>
      </c>
      <c r="Q2861" t="n">
        <v>0.03</v>
      </c>
      <c r="R2861" t="n">
        <v>1</v>
      </c>
      <c r="S2861" t="n">
        <v>2039.4</v>
      </c>
      <c r="T2861" t="n">
        <v>13</v>
      </c>
      <c r="U2861" t="n">
        <v>14</v>
      </c>
      <c r="V2861" t="n">
        <v>30</v>
      </c>
      <c r="W2861" t="n">
        <v>2</v>
      </c>
      <c r="X2861" t="n">
        <v>101.010101010101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11301</v>
      </c>
      <c r="AG2861" t="n">
        <v>2173</v>
      </c>
      <c r="AH2861" t="inlineStr">
        <is>
          <t>PT. OGAN SAKTI PRATAMA - PPN (JMB)</t>
        </is>
      </c>
      <c r="AI2861" t="n">
        <v>112</v>
      </c>
      <c r="AJ2861" t="inlineStr">
        <is>
          <t>NATUR</t>
        </is>
      </c>
      <c r="AK2861" t="n">
        <v>9</v>
      </c>
      <c r="AL2861" t="inlineStr">
        <is>
          <t>Miss Glam Jambi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NATUR</t>
        </is>
      </c>
      <c r="B2862" s="2">
        <f>"8992928060179"</f>
        <v/>
      </c>
      <c r="C2862" t="inlineStr">
        <is>
          <t>NATUR Shampo Aloe Vera 80ml</t>
        </is>
      </c>
      <c r="D2862" t="inlineStr">
        <is>
          <t>Miss Glam Jambi</t>
        </is>
      </c>
      <c r="E2862" t="n">
        <v>4</v>
      </c>
      <c r="F2862" t="n">
        <v>0.0396</v>
      </c>
      <c r="G2862" t="n">
        <v>0.99</v>
      </c>
      <c r="H2862" t="n">
        <v>7</v>
      </c>
      <c r="I2862" t="n">
        <v>19</v>
      </c>
      <c r="J2862" t="n">
        <v>3</v>
      </c>
      <c r="K2862" t="n">
        <v>0</v>
      </c>
      <c r="L2862" t="n">
        <v>13756</v>
      </c>
      <c r="M2862" t="n">
        <v>17000</v>
      </c>
      <c r="N2862" t="n">
        <v>33</v>
      </c>
      <c r="O2862" t="n">
        <v>0.33</v>
      </c>
      <c r="P2862" t="n">
        <v>1</v>
      </c>
      <c r="Q2862" t="n">
        <v>0.07000000000000001</v>
      </c>
      <c r="R2862" t="n">
        <v>1</v>
      </c>
      <c r="S2862" t="n">
        <v>673.2</v>
      </c>
      <c r="T2862" t="n">
        <v>19</v>
      </c>
      <c r="U2862" t="n">
        <v>20</v>
      </c>
      <c r="V2862" t="n">
        <v>30</v>
      </c>
      <c r="W2862" t="n">
        <v>2</v>
      </c>
      <c r="X2862" t="n">
        <v>101.010101010101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11301</v>
      </c>
      <c r="AG2862" t="n">
        <v>2173</v>
      </c>
      <c r="AH2862" t="inlineStr">
        <is>
          <t>PT. OGAN SAKTI PRATAMA - PPN (JMB)</t>
        </is>
      </c>
      <c r="AI2862" t="n">
        <v>112</v>
      </c>
      <c r="AJ2862" t="inlineStr">
        <is>
          <t>NATUR</t>
        </is>
      </c>
      <c r="AK2862" t="n">
        <v>9</v>
      </c>
      <c r="AL2862" t="inlineStr">
        <is>
          <t>Miss Glam Jambi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NATUR</t>
        </is>
      </c>
      <c r="B2863" s="2">
        <f>"8992928201404"</f>
        <v/>
      </c>
      <c r="C2863" t="inlineStr">
        <is>
          <t>NATUR Shampo Tea Tree Oil 140ml</t>
        </is>
      </c>
      <c r="D2863" t="inlineStr">
        <is>
          <t>Miss Glam Jambi</t>
        </is>
      </c>
      <c r="E2863" t="n">
        <v>2</v>
      </c>
      <c r="F2863" t="n">
        <v>0.08910000000000001</v>
      </c>
      <c r="G2863" t="n">
        <v>0.66</v>
      </c>
      <c r="H2863" t="n">
        <v>7</v>
      </c>
      <c r="I2863" t="n">
        <v>19</v>
      </c>
      <c r="J2863" t="n">
        <v>3</v>
      </c>
      <c r="K2863" t="n">
        <v>0</v>
      </c>
      <c r="L2863" t="n">
        <v>26105</v>
      </c>
      <c r="M2863" t="n">
        <v>31000</v>
      </c>
      <c r="N2863" t="n">
        <v>33</v>
      </c>
      <c r="O2863" t="n">
        <v>0.33</v>
      </c>
      <c r="P2863" t="n">
        <v>1</v>
      </c>
      <c r="Q2863" t="n">
        <v>0.03</v>
      </c>
      <c r="R2863" t="n">
        <v>1</v>
      </c>
      <c r="S2863" t="n">
        <v>2762.1</v>
      </c>
      <c r="T2863" t="n">
        <v>12</v>
      </c>
      <c r="U2863" t="n">
        <v>13</v>
      </c>
      <c r="V2863" t="n">
        <v>30</v>
      </c>
      <c r="W2863" t="n">
        <v>3</v>
      </c>
      <c r="X2863" t="n">
        <v>22.44668911335578</v>
      </c>
      <c r="Y2863" t="n">
        <v>1</v>
      </c>
      <c r="Z2863" t="n">
        <v>1</v>
      </c>
      <c r="AA2863" t="n">
        <v>0</v>
      </c>
      <c r="AB2863" t="n">
        <v>1</v>
      </c>
      <c r="AC2863" t="n">
        <v>3</v>
      </c>
      <c r="AD2863" t="n">
        <v>0</v>
      </c>
      <c r="AE2863" t="n">
        <v>78315</v>
      </c>
      <c r="AF2863" t="n">
        <v>11301</v>
      </c>
      <c r="AG2863" t="n">
        <v>2173</v>
      </c>
      <c r="AH2863" t="inlineStr">
        <is>
          <t>PT. OGAN SAKTI PRATAMA - PPN (JMB)</t>
        </is>
      </c>
      <c r="AI2863" t="n">
        <v>112</v>
      </c>
      <c r="AJ2863" t="inlineStr">
        <is>
          <t>NATUR</t>
        </is>
      </c>
      <c r="AK2863" t="n">
        <v>9</v>
      </c>
      <c r="AL2863" t="inlineStr">
        <is>
          <t>Miss Glam Jambi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NATUR</t>
        </is>
      </c>
      <c r="B2864" s="2">
        <f>"8992928200803"</f>
        <v/>
      </c>
      <c r="C2864" t="inlineStr">
        <is>
          <t>NATUR Shampo Tea Tree Oil 80ml</t>
        </is>
      </c>
      <c r="D2864" t="inlineStr">
        <is>
          <t>Miss Glam Jambi</t>
        </is>
      </c>
      <c r="E2864" t="n">
        <v>8</v>
      </c>
      <c r="F2864" t="n">
        <v>0.1188</v>
      </c>
      <c r="G2864" t="n">
        <v>0.99</v>
      </c>
      <c r="H2864" t="n">
        <v>7</v>
      </c>
      <c r="I2864" t="n">
        <v>19</v>
      </c>
      <c r="J2864" t="n">
        <v>3</v>
      </c>
      <c r="K2864" t="n">
        <v>0</v>
      </c>
      <c r="L2864" t="n">
        <v>13756</v>
      </c>
      <c r="M2864" t="n">
        <v>17000</v>
      </c>
      <c r="N2864" t="n">
        <v>33</v>
      </c>
      <c r="O2864" t="n">
        <v>0.33</v>
      </c>
      <c r="P2864" t="n">
        <v>1</v>
      </c>
      <c r="Q2864" t="n">
        <v>0.05</v>
      </c>
      <c r="R2864" t="n">
        <v>2</v>
      </c>
      <c r="S2864" t="n">
        <v>2019.6</v>
      </c>
      <c r="T2864" t="n">
        <v>18</v>
      </c>
      <c r="U2864" t="n">
        <v>19</v>
      </c>
      <c r="V2864" t="n">
        <v>30</v>
      </c>
      <c r="W2864" t="n">
        <v>4</v>
      </c>
      <c r="X2864" t="n">
        <v>67.34006734006734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11301</v>
      </c>
      <c r="AG2864" t="n">
        <v>2173</v>
      </c>
      <c r="AH2864" t="inlineStr">
        <is>
          <t>PT. OGAN SAKTI PRATAMA - PPN (JMB)</t>
        </is>
      </c>
      <c r="AI2864" t="n">
        <v>112</v>
      </c>
      <c r="AJ2864" t="inlineStr">
        <is>
          <t>NATUR</t>
        </is>
      </c>
      <c r="AK2864" t="n">
        <v>9</v>
      </c>
      <c r="AL2864" t="inlineStr">
        <is>
          <t>Miss Glam Jambi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NATUR</t>
        </is>
      </c>
      <c r="B2865" s="2">
        <f>"8992928201060"</f>
        <v/>
      </c>
      <c r="C2865" t="inlineStr">
        <is>
          <t>NATUR Shampoo &amp; Hair Tonic Ginseng 140ml &amp; 90ml</t>
        </is>
      </c>
      <c r="D2865" t="inlineStr">
        <is>
          <t>Miss Glam Jambi</t>
        </is>
      </c>
      <c r="E2865" t="n">
        <v>2</v>
      </c>
      <c r="F2865" t="n">
        <v>0.0462</v>
      </c>
      <c r="G2865" t="n">
        <v>0.33</v>
      </c>
      <c r="H2865" t="n">
        <v>7</v>
      </c>
      <c r="I2865" t="n">
        <v>19</v>
      </c>
      <c r="J2865" t="n">
        <v>3</v>
      </c>
      <c r="K2865" t="n">
        <v>0</v>
      </c>
      <c r="L2865" t="n">
        <v>50370</v>
      </c>
      <c r="M2865" t="n">
        <v>60000</v>
      </c>
      <c r="N2865" t="n">
        <v>33</v>
      </c>
      <c r="O2865" t="n">
        <v>0.33</v>
      </c>
      <c r="P2865" t="n">
        <v>1</v>
      </c>
      <c r="Q2865" t="n">
        <v>0.03</v>
      </c>
      <c r="R2865" t="n">
        <v>1</v>
      </c>
      <c r="S2865" t="n">
        <v>2772</v>
      </c>
      <c r="T2865" t="n">
        <v>6</v>
      </c>
      <c r="U2865" t="n">
        <v>7</v>
      </c>
      <c r="V2865" t="n">
        <v>30</v>
      </c>
      <c r="W2865" t="n">
        <v>2</v>
      </c>
      <c r="X2865" t="n">
        <v>43.29004329004329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11301</v>
      </c>
      <c r="AG2865" t="n">
        <v>2173</v>
      </c>
      <c r="AH2865" t="inlineStr">
        <is>
          <t>PT. OGAN SAKTI PRATAMA - PPN (JMB)</t>
        </is>
      </c>
      <c r="AI2865" t="n">
        <v>112</v>
      </c>
      <c r="AJ2865" t="inlineStr">
        <is>
          <t>NATUR</t>
        </is>
      </c>
      <c r="AK2865" t="n">
        <v>9</v>
      </c>
      <c r="AL2865" t="inlineStr">
        <is>
          <t>Miss Glam Jambi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NATUR</t>
        </is>
      </c>
      <c r="B2866" s="2">
        <f>"8992928060186"</f>
        <v/>
      </c>
      <c r="C2866" t="inlineStr">
        <is>
          <t>NATUR Shampoo Aloe Vera 140ml</t>
        </is>
      </c>
      <c r="D2866" t="inlineStr">
        <is>
          <t>Miss Glam Jambi</t>
        </is>
      </c>
      <c r="E2866" t="n">
        <v>5</v>
      </c>
      <c r="F2866" t="n">
        <v>0.0495</v>
      </c>
      <c r="G2866" t="n">
        <v>0.66</v>
      </c>
      <c r="H2866" t="n">
        <v>7</v>
      </c>
      <c r="I2866" t="n">
        <v>19</v>
      </c>
      <c r="J2866" t="n">
        <v>3</v>
      </c>
      <c r="K2866" t="n">
        <v>0</v>
      </c>
      <c r="L2866" t="n">
        <v>26182</v>
      </c>
      <c r="M2866" t="n">
        <v>31000</v>
      </c>
      <c r="N2866" t="n">
        <v>33</v>
      </c>
      <c r="O2866" t="n">
        <v>0.33</v>
      </c>
      <c r="P2866" t="n">
        <v>1</v>
      </c>
      <c r="Q2866" t="n">
        <v>0.05</v>
      </c>
      <c r="R2866" t="n">
        <v>1</v>
      </c>
      <c r="S2866" t="n">
        <v>1534.5</v>
      </c>
      <c r="T2866" t="n">
        <v>13</v>
      </c>
      <c r="U2866" t="n">
        <v>14</v>
      </c>
      <c r="V2866" t="n">
        <v>30</v>
      </c>
      <c r="W2866" t="n">
        <v>2</v>
      </c>
      <c r="X2866" t="n">
        <v>101.010101010101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11301</v>
      </c>
      <c r="AG2866" t="n">
        <v>2173</v>
      </c>
      <c r="AH2866" t="inlineStr">
        <is>
          <t>PT. OGAN SAKTI PRATAMA - PPN (JMB)</t>
        </is>
      </c>
      <c r="AI2866" t="n">
        <v>112</v>
      </c>
      <c r="AJ2866" t="inlineStr">
        <is>
          <t>NATUR</t>
        </is>
      </c>
      <c r="AK2866" t="n">
        <v>9</v>
      </c>
      <c r="AL2866" t="inlineStr">
        <is>
          <t>Miss Glam Jambi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NATUR</t>
        </is>
      </c>
      <c r="B2867" s="2">
        <f>"8992928810804"</f>
        <v/>
      </c>
      <c r="C2867" t="inlineStr">
        <is>
          <t>NATUR Shampoo Natur Ginseng Extract 80ml</t>
        </is>
      </c>
      <c r="D2867" t="inlineStr">
        <is>
          <t>Miss Glam Jambi</t>
        </is>
      </c>
      <c r="E2867" t="n">
        <v>8</v>
      </c>
      <c r="F2867" t="n">
        <v>0.1518</v>
      </c>
      <c r="G2867" t="n">
        <v>0.99</v>
      </c>
      <c r="H2867" t="n">
        <v>7</v>
      </c>
      <c r="I2867" t="n">
        <v>19</v>
      </c>
      <c r="J2867" t="n">
        <v>3</v>
      </c>
      <c r="K2867" t="n">
        <v>0</v>
      </c>
      <c r="L2867" t="n">
        <v>13756</v>
      </c>
      <c r="M2867" t="n">
        <v>17000</v>
      </c>
      <c r="N2867" t="n">
        <v>33</v>
      </c>
      <c r="O2867" t="n">
        <v>0.33</v>
      </c>
      <c r="P2867" t="n">
        <v>1</v>
      </c>
      <c r="Q2867" t="n">
        <v>0.07000000000000001</v>
      </c>
      <c r="R2867" t="n">
        <v>1</v>
      </c>
      <c r="S2867" t="n">
        <v>2580.6</v>
      </c>
      <c r="T2867" t="n">
        <v>18</v>
      </c>
      <c r="U2867" t="n">
        <v>20</v>
      </c>
      <c r="V2867" t="n">
        <v>30</v>
      </c>
      <c r="W2867" t="n">
        <v>5</v>
      </c>
      <c r="X2867" t="n">
        <v>52.70092226613965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11301</v>
      </c>
      <c r="AG2867" t="n">
        <v>2173</v>
      </c>
      <c r="AH2867" t="inlineStr">
        <is>
          <t>PT. OGAN SAKTI PRATAMA - PPN (JMB)</t>
        </is>
      </c>
      <c r="AI2867" t="n">
        <v>112</v>
      </c>
      <c r="AJ2867" t="inlineStr">
        <is>
          <t>NATUR</t>
        </is>
      </c>
      <c r="AK2867" t="n">
        <v>9</v>
      </c>
      <c r="AL2867" t="inlineStr">
        <is>
          <t>Miss Glam Jambi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NATUR-E</t>
        </is>
      </c>
      <c r="B2868" s="2">
        <f>"8999809102805"</f>
        <v/>
      </c>
      <c r="C2868" t="inlineStr">
        <is>
          <t>NATUR E Advanced Soft Capsule 16</t>
        </is>
      </c>
      <c r="D2868" t="inlineStr">
        <is>
          <t>Miss Glam Jambi</t>
        </is>
      </c>
      <c r="E2868" t="n">
        <v>2</v>
      </c>
      <c r="F2868" t="n">
        <v>0.1188</v>
      </c>
      <c r="G2868" t="n">
        <v>0.66</v>
      </c>
      <c r="H2868" t="n">
        <v>2</v>
      </c>
      <c r="I2868" t="n">
        <v>4</v>
      </c>
      <c r="J2868" t="n">
        <v>3</v>
      </c>
      <c r="K2868" t="n">
        <v>3</v>
      </c>
      <c r="L2868" t="n">
        <v>39556</v>
      </c>
      <c r="M2868" t="n">
        <v>50000</v>
      </c>
      <c r="N2868" t="n">
        <v>33</v>
      </c>
      <c r="O2868" t="n">
        <v>0.33</v>
      </c>
      <c r="P2868" t="n">
        <v>1</v>
      </c>
      <c r="Q2868" t="n">
        <v>0.12</v>
      </c>
      <c r="R2868" t="n">
        <v>2</v>
      </c>
      <c r="S2868" t="n">
        <v>5940</v>
      </c>
      <c r="T2868" t="n">
        <v>3</v>
      </c>
      <c r="U2868" t="n">
        <v>4</v>
      </c>
      <c r="V2868" t="n">
        <v>30</v>
      </c>
      <c r="W2868" t="n">
        <v>4</v>
      </c>
      <c r="X2868" t="n">
        <v>16.83501683501683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1061</v>
      </c>
      <c r="AG2868" t="n">
        <v>3706</v>
      </c>
      <c r="AH2868" t="inlineStr">
        <is>
          <t>CV. KENCANA INTI NIAGA - PPN (JMB)</t>
        </is>
      </c>
      <c r="AI2868" t="n">
        <v>113</v>
      </c>
      <c r="AJ2868" t="inlineStr">
        <is>
          <t>NATUR-E</t>
        </is>
      </c>
      <c r="AK2868" t="n">
        <v>9</v>
      </c>
      <c r="AL2868" t="inlineStr">
        <is>
          <t>Miss Glam Jambi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NATUR-E</t>
        </is>
      </c>
      <c r="B2869" s="2">
        <f>"60100406660"</f>
        <v/>
      </c>
      <c r="C2869" t="inlineStr">
        <is>
          <t>NATUR-E Actbeauty Natural Vitamin E 300 8 Kapsul</t>
        </is>
      </c>
      <c r="D2869" t="inlineStr">
        <is>
          <t>Miss Glam Jambi</t>
        </is>
      </c>
      <c r="E2869" t="n">
        <v>4</v>
      </c>
      <c r="F2869" t="n">
        <v>0.0264</v>
      </c>
      <c r="G2869" t="n">
        <v>0.66</v>
      </c>
      <c r="H2869" t="n">
        <v>2</v>
      </c>
      <c r="I2869" t="n">
        <v>4</v>
      </c>
      <c r="J2869" t="n">
        <v>1</v>
      </c>
      <c r="K2869" t="n">
        <v>0</v>
      </c>
      <c r="L2869" t="n">
        <v>20230</v>
      </c>
      <c r="M2869" t="n">
        <v>25000</v>
      </c>
      <c r="N2869" t="n">
        <v>33</v>
      </c>
      <c r="O2869" t="n">
        <v>0.33</v>
      </c>
      <c r="P2869" t="n">
        <v>1</v>
      </c>
      <c r="Q2869" t="n">
        <v>0.08</v>
      </c>
      <c r="R2869" t="n">
        <v>2</v>
      </c>
      <c r="S2869" t="n">
        <v>660.0000000000001</v>
      </c>
      <c r="T2869" t="n">
        <v>3</v>
      </c>
      <c r="U2869" t="n">
        <v>4</v>
      </c>
      <c r="V2869" t="n">
        <v>30</v>
      </c>
      <c r="W2869" t="n">
        <v>1</v>
      </c>
      <c r="X2869" t="n">
        <v>151.5151515151515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1061</v>
      </c>
      <c r="AG2869" t="n">
        <v>3706</v>
      </c>
      <c r="AH2869" t="inlineStr">
        <is>
          <t>CV. KENCANA INTI NIAGA - PPN (JMB)</t>
        </is>
      </c>
      <c r="AI2869" t="n">
        <v>113</v>
      </c>
      <c r="AJ2869" t="inlineStr">
        <is>
          <t>NATUR-E</t>
        </is>
      </c>
      <c r="AK2869" t="n">
        <v>9</v>
      </c>
      <c r="AL2869" t="inlineStr">
        <is>
          <t>Miss Glam Jambi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NATUR-E</t>
        </is>
      </c>
      <c r="B2870" s="2">
        <f>"30200424637"</f>
        <v/>
      </c>
      <c r="C2870" t="inlineStr">
        <is>
          <t>NATUR-E Advanced Hand &amp; Body Serum 100ml</t>
        </is>
      </c>
      <c r="D2870" t="inlineStr">
        <is>
          <t>Miss Glam Jambi</t>
        </is>
      </c>
      <c r="E2870" t="n">
        <v>7</v>
      </c>
      <c r="F2870" t="n">
        <v>0.0825</v>
      </c>
      <c r="G2870" t="n">
        <v>0.66</v>
      </c>
      <c r="H2870" t="n">
        <v>2</v>
      </c>
      <c r="I2870" t="n">
        <v>4</v>
      </c>
      <c r="J2870" t="n">
        <v>1</v>
      </c>
      <c r="K2870" t="n">
        <v>0</v>
      </c>
      <c r="L2870" t="n">
        <v>17372</v>
      </c>
      <c r="M2870" t="n">
        <v>22500</v>
      </c>
      <c r="N2870" t="n">
        <v>33</v>
      </c>
      <c r="O2870" t="n">
        <v>0.33</v>
      </c>
      <c r="P2870" t="n">
        <v>1</v>
      </c>
      <c r="Q2870" t="n">
        <v>0.07000000000000001</v>
      </c>
      <c r="R2870" t="n">
        <v>1</v>
      </c>
      <c r="S2870" t="n">
        <v>1856.25</v>
      </c>
      <c r="T2870" t="n">
        <v>3</v>
      </c>
      <c r="U2870" t="n">
        <v>4</v>
      </c>
      <c r="V2870" t="n">
        <v>30</v>
      </c>
      <c r="W2870" t="n">
        <v>3</v>
      </c>
      <c r="X2870" t="n">
        <v>84.84848484848484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1061</v>
      </c>
      <c r="AG2870" t="n">
        <v>3706</v>
      </c>
      <c r="AH2870" t="inlineStr">
        <is>
          <t>CV. KENCANA INTI NIAGA - PPN (JMB)</t>
        </is>
      </c>
      <c r="AI2870" t="n">
        <v>113</v>
      </c>
      <c r="AJ2870" t="inlineStr">
        <is>
          <t>NATUR-E</t>
        </is>
      </c>
      <c r="AK2870" t="n">
        <v>9</v>
      </c>
      <c r="AL2870" t="inlineStr">
        <is>
          <t>Miss Glam Jambi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NATUR-E</t>
        </is>
      </c>
      <c r="B2871" s="2">
        <f>"30200424360"</f>
        <v/>
      </c>
      <c r="C2871" t="inlineStr">
        <is>
          <t>NATUR-E Advanced Hand &amp; Body Serum 180ml</t>
        </is>
      </c>
      <c r="D2871" t="inlineStr">
        <is>
          <t>Miss Glam Jambi</t>
        </is>
      </c>
      <c r="E2871" t="n">
        <v>3</v>
      </c>
      <c r="F2871" t="n">
        <v>0.1023</v>
      </c>
      <c r="G2871" t="n">
        <v>0.66</v>
      </c>
      <c r="H2871" t="n">
        <v>2</v>
      </c>
      <c r="I2871" t="n">
        <v>4</v>
      </c>
      <c r="J2871" t="n">
        <v>3</v>
      </c>
      <c r="K2871" t="n">
        <v>3</v>
      </c>
      <c r="L2871" t="n">
        <v>31587</v>
      </c>
      <c r="M2871" t="n">
        <v>44000</v>
      </c>
      <c r="N2871" t="n">
        <v>33</v>
      </c>
      <c r="O2871" t="n">
        <v>0.33</v>
      </c>
      <c r="P2871" t="n">
        <v>1</v>
      </c>
      <c r="Q2871" t="n">
        <v>0.14</v>
      </c>
      <c r="R2871" t="n">
        <v>1</v>
      </c>
      <c r="S2871" t="n">
        <v>4501.2</v>
      </c>
      <c r="T2871" t="n">
        <v>3</v>
      </c>
      <c r="U2871" t="n">
        <v>4</v>
      </c>
      <c r="V2871" t="n">
        <v>30</v>
      </c>
      <c r="W2871" t="n">
        <v>4</v>
      </c>
      <c r="X2871" t="n">
        <v>29.32551319648094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1061</v>
      </c>
      <c r="AG2871" t="n">
        <v>3706</v>
      </c>
      <c r="AH2871" t="inlineStr">
        <is>
          <t>CV. KENCANA INTI NIAGA - PPN (JMB)</t>
        </is>
      </c>
      <c r="AI2871" t="n">
        <v>113</v>
      </c>
      <c r="AJ2871" t="inlineStr">
        <is>
          <t>NATUR-E</t>
        </is>
      </c>
      <c r="AK2871" t="n">
        <v>9</v>
      </c>
      <c r="AL2871" t="inlineStr">
        <is>
          <t>Miss Glam Jambi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NATUR-E</t>
        </is>
      </c>
      <c r="B2872" s="2">
        <f>"10200160145"</f>
        <v/>
      </c>
      <c r="C2872" t="inlineStr">
        <is>
          <t>NATUR-E Advanced Intensive Boosting Essence Toner 100ml</t>
        </is>
      </c>
      <c r="D2872" t="inlineStr">
        <is>
          <t>Miss Glam Jambi</t>
        </is>
      </c>
      <c r="E2872" t="n">
        <v>8</v>
      </c>
      <c r="F2872" t="n">
        <v>0.006600000000000001</v>
      </c>
      <c r="G2872" t="n">
        <v>0.33</v>
      </c>
      <c r="H2872" t="n">
        <v>2</v>
      </c>
      <c r="I2872" t="n">
        <v>4</v>
      </c>
      <c r="J2872" t="n">
        <v>1</v>
      </c>
      <c r="K2872" t="n">
        <v>0</v>
      </c>
      <c r="L2872" t="n">
        <v>64380</v>
      </c>
      <c r="M2872" t="n">
        <v>76000</v>
      </c>
      <c r="N2872" t="n">
        <v>33</v>
      </c>
      <c r="O2872" t="n">
        <v>0.33</v>
      </c>
      <c r="P2872" t="n">
        <v>1</v>
      </c>
      <c r="Q2872" t="n">
        <v>0.05</v>
      </c>
      <c r="R2872" t="n">
        <v>1</v>
      </c>
      <c r="S2872" t="n">
        <v>501.6000000000001</v>
      </c>
      <c r="T2872" t="n">
        <v>2</v>
      </c>
      <c r="U2872" t="n">
        <v>3</v>
      </c>
      <c r="V2872" t="n">
        <v>30</v>
      </c>
      <c r="W2872" t="n">
        <v>1</v>
      </c>
      <c r="X2872" t="n">
        <v>1212.121212121212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1061</v>
      </c>
      <c r="AG2872" t="n">
        <v>3706</v>
      </c>
      <c r="AH2872" t="inlineStr">
        <is>
          <t>CV. KENCANA INTI NIAGA - PPN (JMB)</t>
        </is>
      </c>
      <c r="AI2872" t="n">
        <v>113</v>
      </c>
      <c r="AJ2872" t="inlineStr">
        <is>
          <t>NATUR-E</t>
        </is>
      </c>
      <c r="AK2872" t="n">
        <v>9</v>
      </c>
      <c r="AL2872" t="inlineStr">
        <is>
          <t>Miss Glam Jambi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NATUR-E</t>
        </is>
      </c>
      <c r="B2873" s="2">
        <f>"101001107912"</f>
        <v/>
      </c>
      <c r="C2873" t="inlineStr">
        <is>
          <t>NATUR-E Advanced intensive Deep Cleanse Facial Wash 50ml</t>
        </is>
      </c>
      <c r="D2873" t="inlineStr">
        <is>
          <t>Miss Glam Jambi</t>
        </is>
      </c>
      <c r="E2873" t="n">
        <v>7</v>
      </c>
      <c r="F2873" t="n">
        <v>0.006600000000000001</v>
      </c>
      <c r="G2873" t="n">
        <v>0.33</v>
      </c>
      <c r="H2873" t="n">
        <v>2</v>
      </c>
      <c r="I2873" t="n">
        <v>4</v>
      </c>
      <c r="J2873" t="n">
        <v>1</v>
      </c>
      <c r="K2873" t="n">
        <v>0</v>
      </c>
      <c r="L2873" t="n">
        <v>41070</v>
      </c>
      <c r="M2873" t="n">
        <v>46500</v>
      </c>
      <c r="N2873" t="n">
        <v>33</v>
      </c>
      <c r="O2873" t="n">
        <v>0.33</v>
      </c>
      <c r="P2873" t="n">
        <v>1</v>
      </c>
      <c r="Q2873" t="n">
        <v>0.07000000000000001</v>
      </c>
      <c r="R2873" t="n">
        <v>1</v>
      </c>
      <c r="S2873" t="n">
        <v>306.9</v>
      </c>
      <c r="T2873" t="n">
        <v>2</v>
      </c>
      <c r="U2873" t="n">
        <v>3</v>
      </c>
      <c r="V2873" t="n">
        <v>30</v>
      </c>
      <c r="W2873" t="n">
        <v>1</v>
      </c>
      <c r="X2873" t="n">
        <v>1060.606060606061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1061</v>
      </c>
      <c r="AG2873" t="n">
        <v>3706</v>
      </c>
      <c r="AH2873" t="inlineStr">
        <is>
          <t>CV. KENCANA INTI NIAGA - PPN (JMB)</t>
        </is>
      </c>
      <c r="AI2873" t="n">
        <v>113</v>
      </c>
      <c r="AJ2873" t="inlineStr">
        <is>
          <t>NATUR-E</t>
        </is>
      </c>
      <c r="AK2873" t="n">
        <v>9</v>
      </c>
      <c r="AL2873" t="inlineStr">
        <is>
          <t>Miss Glam Jambi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NATUR-E</t>
        </is>
      </c>
      <c r="B2874" s="2">
        <f>"10300721942"</f>
        <v/>
      </c>
      <c r="C2874" t="inlineStr">
        <is>
          <t>NATUR-E Advanced Intensive Firming Moisture Gel 30ml</t>
        </is>
      </c>
      <c r="D2874" t="inlineStr">
        <is>
          <t>Miss Glam Jambi</t>
        </is>
      </c>
      <c r="E2874" t="n">
        <v>6</v>
      </c>
      <c r="F2874" t="n">
        <v>0.0165</v>
      </c>
      <c r="G2874" t="n">
        <v>0.66</v>
      </c>
      <c r="H2874" t="n">
        <v>2</v>
      </c>
      <c r="I2874" t="n">
        <v>4</v>
      </c>
      <c r="J2874" t="n">
        <v>1</v>
      </c>
      <c r="K2874" t="n">
        <v>0</v>
      </c>
      <c r="L2874" t="n">
        <v>72150</v>
      </c>
      <c r="M2874" t="n">
        <v>83500</v>
      </c>
      <c r="N2874" t="n">
        <v>33</v>
      </c>
      <c r="O2874" t="n">
        <v>0.33</v>
      </c>
      <c r="P2874" t="n">
        <v>1</v>
      </c>
      <c r="Q2874" t="n">
        <v>0.05</v>
      </c>
      <c r="R2874" t="n">
        <v>2</v>
      </c>
      <c r="S2874" t="n">
        <v>1377.75</v>
      </c>
      <c r="T2874" t="n">
        <v>3</v>
      </c>
      <c r="U2874" t="n">
        <v>4</v>
      </c>
      <c r="V2874" t="n">
        <v>30</v>
      </c>
      <c r="W2874" t="n">
        <v>1</v>
      </c>
      <c r="X2874" t="n">
        <v>363.6363636363636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1061</v>
      </c>
      <c r="AG2874" t="n">
        <v>3706</v>
      </c>
      <c r="AH2874" t="inlineStr">
        <is>
          <t>CV. KENCANA INTI NIAGA - PPN (JMB)</t>
        </is>
      </c>
      <c r="AI2874" t="n">
        <v>113</v>
      </c>
      <c r="AJ2874" t="inlineStr">
        <is>
          <t>NATUR-E</t>
        </is>
      </c>
      <c r="AK2874" t="n">
        <v>9</v>
      </c>
      <c r="AL2874" t="inlineStr">
        <is>
          <t>Miss Glam Jambi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NATUR-E</t>
        </is>
      </c>
      <c r="B2875" s="2">
        <f>"11200431733"</f>
        <v/>
      </c>
      <c r="C2875" t="inlineStr">
        <is>
          <t>NATUR-E Advanced intensive Firming Serum 20ml</t>
        </is>
      </c>
      <c r="D2875" t="inlineStr">
        <is>
          <t>Miss Glam Jambi</t>
        </is>
      </c>
      <c r="E2875" t="n">
        <v>9</v>
      </c>
      <c r="F2875" t="n">
        <v>0.0165</v>
      </c>
      <c r="G2875" t="n">
        <v>0.33</v>
      </c>
      <c r="H2875" t="n">
        <v>2</v>
      </c>
      <c r="I2875" t="n">
        <v>4</v>
      </c>
      <c r="J2875" t="n">
        <v>1</v>
      </c>
      <c r="K2875" t="n">
        <v>0</v>
      </c>
      <c r="L2875" t="n">
        <v>75480</v>
      </c>
      <c r="M2875" t="n">
        <v>89000</v>
      </c>
      <c r="N2875" t="n">
        <v>33</v>
      </c>
      <c r="O2875" t="n">
        <v>0.33</v>
      </c>
      <c r="P2875" t="n">
        <v>1</v>
      </c>
      <c r="Q2875" t="n">
        <v>0.05</v>
      </c>
      <c r="R2875" t="n">
        <v>1</v>
      </c>
      <c r="S2875" t="n">
        <v>1468.5</v>
      </c>
      <c r="T2875" t="n">
        <v>2</v>
      </c>
      <c r="U2875" t="n">
        <v>3</v>
      </c>
      <c r="V2875" t="n">
        <v>30</v>
      </c>
      <c r="W2875" t="n">
        <v>1</v>
      </c>
      <c r="X2875" t="n">
        <v>545.4545454545454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1061</v>
      </c>
      <c r="AG2875" t="n">
        <v>3706</v>
      </c>
      <c r="AH2875" t="inlineStr">
        <is>
          <t>CV. KENCANA INTI NIAGA - PPN (JMB)</t>
        </is>
      </c>
      <c r="AI2875" t="n">
        <v>113</v>
      </c>
      <c r="AJ2875" t="inlineStr">
        <is>
          <t>NATUR-E</t>
        </is>
      </c>
      <c r="AK2875" t="n">
        <v>9</v>
      </c>
      <c r="AL2875" t="inlineStr">
        <is>
          <t>Miss Glam Jambi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NATUR-E</t>
        </is>
      </c>
      <c r="B2876" s="2">
        <f>"8999809104557"</f>
        <v/>
      </c>
      <c r="C2876" t="inlineStr">
        <is>
          <t>NATUR-E Brightening Hand Body Serum 180ml</t>
        </is>
      </c>
      <c r="D2876" t="inlineStr">
        <is>
          <t>Miss Glam Jambi</t>
        </is>
      </c>
      <c r="E2876" t="n">
        <v>6</v>
      </c>
      <c r="F2876" t="n">
        <v>1.0857</v>
      </c>
      <c r="G2876" t="n">
        <v>4.95</v>
      </c>
      <c r="H2876" t="n">
        <v>2</v>
      </c>
      <c r="I2876" t="n">
        <v>4</v>
      </c>
      <c r="J2876" t="n">
        <v>3</v>
      </c>
      <c r="K2876" t="n">
        <v>28</v>
      </c>
      <c r="L2876" t="n">
        <v>32927</v>
      </c>
      <c r="M2876" t="n">
        <v>44000</v>
      </c>
      <c r="N2876" t="n">
        <v>33</v>
      </c>
      <c r="O2876" t="n">
        <v>0.33</v>
      </c>
      <c r="P2876" t="n">
        <v>1</v>
      </c>
      <c r="Q2876" t="n">
        <v>0.31</v>
      </c>
      <c r="R2876" t="n">
        <v>2</v>
      </c>
      <c r="S2876" t="n">
        <v>47770.8</v>
      </c>
      <c r="T2876" t="n">
        <v>18</v>
      </c>
      <c r="U2876" t="n">
        <v>21</v>
      </c>
      <c r="V2876" t="n">
        <v>30</v>
      </c>
      <c r="W2876" t="n">
        <v>33</v>
      </c>
      <c r="X2876" t="n">
        <v>5.526388505111909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1061</v>
      </c>
      <c r="AG2876" t="n">
        <v>3706</v>
      </c>
      <c r="AH2876" t="inlineStr">
        <is>
          <t>CV. KENCANA INTI NIAGA - PPN (JMB)</t>
        </is>
      </c>
      <c r="AI2876" t="n">
        <v>113</v>
      </c>
      <c r="AJ2876" t="inlineStr">
        <is>
          <t>NATUR-E</t>
        </is>
      </c>
      <c r="AK2876" t="n">
        <v>9</v>
      </c>
      <c r="AL2876" t="inlineStr">
        <is>
          <t>Miss Glam Jambi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NATUR-E</t>
        </is>
      </c>
      <c r="B2877" s="2">
        <f>"8999809350497"</f>
        <v/>
      </c>
      <c r="C2877" t="inlineStr">
        <is>
          <t>NATUR-E Ceraglow Skin Barrier Calming Moisture Gel 30ml</t>
        </is>
      </c>
      <c r="D2877" t="inlineStr">
        <is>
          <t>Miss Glam Jambi</t>
        </is>
      </c>
      <c r="E2877" t="n">
        <v>5</v>
      </c>
      <c r="F2877" t="n">
        <v>0.009900000000000001</v>
      </c>
      <c r="G2877" t="n">
        <v>0.33</v>
      </c>
      <c r="H2877" t="n">
        <v>2</v>
      </c>
      <c r="I2877" t="n">
        <v>4</v>
      </c>
      <c r="J2877" t="n">
        <v>3</v>
      </c>
      <c r="K2877" t="n">
        <v>0</v>
      </c>
      <c r="L2877" t="n">
        <v>67932</v>
      </c>
      <c r="M2877" t="n">
        <v>90000</v>
      </c>
      <c r="N2877" t="n">
        <v>33</v>
      </c>
      <c r="O2877" t="n">
        <v>0.33</v>
      </c>
      <c r="P2877" t="n">
        <v>1</v>
      </c>
      <c r="Q2877" t="n">
        <v>0.02</v>
      </c>
      <c r="R2877" t="n">
        <v>1</v>
      </c>
      <c r="S2877" t="n">
        <v>891.0000000000001</v>
      </c>
      <c r="T2877" t="n">
        <v>2</v>
      </c>
      <c r="U2877" t="n">
        <v>3</v>
      </c>
      <c r="V2877" t="n">
        <v>30</v>
      </c>
      <c r="W2877" t="n">
        <v>1</v>
      </c>
      <c r="X2877" t="n">
        <v>505.050505050505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1061</v>
      </c>
      <c r="AG2877" t="n">
        <v>3706</v>
      </c>
      <c r="AH2877" t="inlineStr">
        <is>
          <t>CV. KENCANA INTI NIAGA - PPN (JMB)</t>
        </is>
      </c>
      <c r="AI2877" t="n">
        <v>113</v>
      </c>
      <c r="AJ2877" t="inlineStr">
        <is>
          <t>NATUR-E</t>
        </is>
      </c>
      <c r="AK2877" t="n">
        <v>9</v>
      </c>
      <c r="AL2877" t="inlineStr">
        <is>
          <t>Miss Glam Jambi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NATUR-E</t>
        </is>
      </c>
      <c r="B2878" s="2">
        <f>"60100406546"</f>
        <v/>
      </c>
      <c r="C2878" t="inlineStr">
        <is>
          <t>NATUR-E CollaBites Pouch Gummy Collagen With Vitamin E &amp; Biotin 1 Sachet</t>
        </is>
      </c>
      <c r="D2878" t="inlineStr">
        <is>
          <t>Miss Glam Jambi</t>
        </is>
      </c>
      <c r="E2878" t="n">
        <v>7</v>
      </c>
      <c r="F2878" t="n">
        <v>0.2409</v>
      </c>
      <c r="G2878" t="n">
        <v>1.32</v>
      </c>
      <c r="H2878" t="n">
        <v>2</v>
      </c>
      <c r="I2878" t="n">
        <v>4</v>
      </c>
      <c r="J2878" t="n">
        <v>8</v>
      </c>
      <c r="K2878" t="n">
        <v>0</v>
      </c>
      <c r="L2878" t="n">
        <v>25530</v>
      </c>
      <c r="M2878" t="n">
        <v>32000</v>
      </c>
      <c r="N2878" t="n">
        <v>33</v>
      </c>
      <c r="O2878" t="n">
        <v>0.33</v>
      </c>
      <c r="P2878" t="n">
        <v>1</v>
      </c>
      <c r="Q2878" t="n">
        <v>0.42</v>
      </c>
      <c r="R2878" t="n">
        <v>3</v>
      </c>
      <c r="S2878" t="n">
        <v>7708.8</v>
      </c>
      <c r="T2878" t="n">
        <v>5</v>
      </c>
      <c r="U2878" t="n">
        <v>6</v>
      </c>
      <c r="V2878" t="n">
        <v>30</v>
      </c>
      <c r="W2878" t="n">
        <v>8</v>
      </c>
      <c r="X2878" t="n">
        <v>29.057700290577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1061</v>
      </c>
      <c r="AG2878" t="n">
        <v>3706</v>
      </c>
      <c r="AH2878" t="inlineStr">
        <is>
          <t>CV. KENCANA INTI NIAGA - PPN (JMB)</t>
        </is>
      </c>
      <c r="AI2878" t="n">
        <v>113</v>
      </c>
      <c r="AJ2878" t="inlineStr">
        <is>
          <t>NATUR-E</t>
        </is>
      </c>
      <c r="AK2878" t="n">
        <v>9</v>
      </c>
      <c r="AL2878" t="inlineStr">
        <is>
          <t>Miss Glam Jambi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NATUR-E</t>
        </is>
      </c>
      <c r="B2879" s="2">
        <f>"60100219522"</f>
        <v/>
      </c>
      <c r="C2879" t="inlineStr">
        <is>
          <t>NATUR-E CollaFibe Minuman Serbuk Rasa Strawberry Peach 90g (6 Sachet @15g)</t>
        </is>
      </c>
      <c r="D2879" t="inlineStr">
        <is>
          <t>Miss Glam Jambi</t>
        </is>
      </c>
      <c r="E2879" t="n">
        <v>7</v>
      </c>
      <c r="F2879" t="n">
        <v>0.0396</v>
      </c>
      <c r="G2879" t="n">
        <v>0.66</v>
      </c>
      <c r="H2879" t="n">
        <v>2</v>
      </c>
      <c r="I2879" t="n">
        <v>4</v>
      </c>
      <c r="J2879" t="n">
        <v>1</v>
      </c>
      <c r="K2879" t="n">
        <v>0</v>
      </c>
      <c r="L2879" t="n">
        <v>76590</v>
      </c>
      <c r="M2879" t="n">
        <v>95000</v>
      </c>
      <c r="N2879" t="n">
        <v>33</v>
      </c>
      <c r="O2879" t="n">
        <v>0.33</v>
      </c>
      <c r="P2879" t="n">
        <v>1</v>
      </c>
      <c r="Q2879" t="n">
        <v>0.14</v>
      </c>
      <c r="R2879" t="n">
        <v>1</v>
      </c>
      <c r="S2879" t="n">
        <v>3762</v>
      </c>
      <c r="T2879" t="n">
        <v>3</v>
      </c>
      <c r="U2879" t="n">
        <v>4</v>
      </c>
      <c r="V2879" t="n">
        <v>30</v>
      </c>
      <c r="W2879" t="n">
        <v>2</v>
      </c>
      <c r="X2879" t="n">
        <v>176.7676767676768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1061</v>
      </c>
      <c r="AG2879" t="n">
        <v>3706</v>
      </c>
      <c r="AH2879" t="inlineStr">
        <is>
          <t>CV. KENCANA INTI NIAGA - PPN (JMB)</t>
        </is>
      </c>
      <c r="AI2879" t="n">
        <v>113</v>
      </c>
      <c r="AJ2879" t="inlineStr">
        <is>
          <t>NATUR-E</t>
        </is>
      </c>
      <c r="AK2879" t="n">
        <v>9</v>
      </c>
      <c r="AL2879" t="inlineStr">
        <is>
          <t>Miss Glam Jambi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NATUR-E</t>
        </is>
      </c>
      <c r="B2880" s="2">
        <f>"60100219603"</f>
        <v/>
      </c>
      <c r="C2880" t="inlineStr">
        <is>
          <t>NATUR-E CollaFibe Minuman Serbuk Rasa Strawberry Peach Sachet 15gr</t>
        </is>
      </c>
      <c r="D2880" t="inlineStr">
        <is>
          <t>Miss Glam Jambi</t>
        </is>
      </c>
      <c r="E2880" t="n">
        <v>10</v>
      </c>
      <c r="F2880" t="n">
        <v>0.0264</v>
      </c>
      <c r="G2880" t="n">
        <v>0.66</v>
      </c>
      <c r="H2880" t="n">
        <v>2</v>
      </c>
      <c r="I2880" t="n">
        <v>4</v>
      </c>
      <c r="J2880" t="n">
        <v>8</v>
      </c>
      <c r="K2880" t="n">
        <v>0</v>
      </c>
      <c r="L2880" t="n">
        <v>12765</v>
      </c>
      <c r="M2880" t="n">
        <v>15500</v>
      </c>
      <c r="N2880" t="n">
        <v>33</v>
      </c>
      <c r="O2880" t="n">
        <v>0.33</v>
      </c>
      <c r="P2880" t="n">
        <v>1</v>
      </c>
      <c r="Q2880" t="n">
        <v>0.03</v>
      </c>
      <c r="R2880" t="n">
        <v>0</v>
      </c>
      <c r="S2880" t="n">
        <v>409.2</v>
      </c>
      <c r="T2880" t="n">
        <v>3</v>
      </c>
      <c r="U2880" t="n">
        <v>4</v>
      </c>
      <c r="V2880" t="n">
        <v>30</v>
      </c>
      <c r="W2880" t="n">
        <v>1</v>
      </c>
      <c r="X2880" t="n">
        <v>378.7878787878788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1061</v>
      </c>
      <c r="AG2880" t="n">
        <v>3706</v>
      </c>
      <c r="AH2880" t="inlineStr">
        <is>
          <t>CV. KENCANA INTI NIAGA - PPN (JMB)</t>
        </is>
      </c>
      <c r="AI2880" t="n">
        <v>113</v>
      </c>
      <c r="AJ2880" t="inlineStr">
        <is>
          <t>NATUR-E</t>
        </is>
      </c>
      <c r="AK2880" t="n">
        <v>9</v>
      </c>
      <c r="AL2880" t="inlineStr">
        <is>
          <t>Miss Glam Jambi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NATUR-E</t>
        </is>
      </c>
      <c r="B2881" s="2">
        <f>"8999809350503"</f>
        <v/>
      </c>
      <c r="C2881" t="inlineStr">
        <is>
          <t>NATUR-E Hyaluglow Deep Rich Hydrating Serum 20ml</t>
        </is>
      </c>
      <c r="D2881" t="inlineStr">
        <is>
          <t>Miss Glam Jambi</t>
        </is>
      </c>
      <c r="E2881" t="n">
        <v>0</v>
      </c>
      <c r="F2881" t="n">
        <v>0.02</v>
      </c>
      <c r="G2881" t="n">
        <v>1</v>
      </c>
      <c r="H2881" t="n">
        <v>2</v>
      </c>
      <c r="I2881" t="n">
        <v>4</v>
      </c>
      <c r="J2881" t="n">
        <v>3</v>
      </c>
      <c r="K2881" t="n">
        <v>0</v>
      </c>
      <c r="L2881" t="n">
        <v>84360</v>
      </c>
      <c r="M2881" t="n">
        <v>100000</v>
      </c>
      <c r="N2881" t="n">
        <v>33</v>
      </c>
      <c r="O2881" t="n">
        <v>0.33</v>
      </c>
      <c r="P2881" t="n">
        <v>0</v>
      </c>
      <c r="Q2881" t="n">
        <v>0.02</v>
      </c>
      <c r="R2881" t="n">
        <v>1</v>
      </c>
      <c r="S2881" t="n">
        <v>2000</v>
      </c>
      <c r="T2881" t="n">
        <v>4</v>
      </c>
      <c r="U2881" t="n">
        <v>5</v>
      </c>
      <c r="V2881" t="n">
        <v>30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n">
        <v>0</v>
      </c>
      <c r="AC2881" t="n">
        <v>0</v>
      </c>
      <c r="AD2881" t="n">
        <v>84360</v>
      </c>
      <c r="AE2881" t="n">
        <v>0</v>
      </c>
      <c r="AF2881" t="n">
        <v>1061</v>
      </c>
      <c r="AG2881" t="n">
        <v>3706</v>
      </c>
      <c r="AH2881" t="inlineStr">
        <is>
          <t>CV. KENCANA INTI NIAGA - PPN (JMB)</t>
        </is>
      </c>
      <c r="AI2881" t="n">
        <v>113</v>
      </c>
      <c r="AJ2881" t="inlineStr">
        <is>
          <t>NATUR-E</t>
        </is>
      </c>
      <c r="AK2881" t="n">
        <v>9</v>
      </c>
      <c r="AL2881" t="inlineStr">
        <is>
          <t>Miss Glam Jambi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NATUR-E</t>
        </is>
      </c>
      <c r="B2882" s="2">
        <f>"60100219502"</f>
        <v/>
      </c>
      <c r="C2882" t="inlineStr">
        <is>
          <t>NATUR-E Skin Start Natural Vitamin E 100 IU 8 Kapsul</t>
        </is>
      </c>
      <c r="D2882" t="inlineStr">
        <is>
          <t>Miss Glam Jambi</t>
        </is>
      </c>
      <c r="E2882" t="n">
        <v>11</v>
      </c>
      <c r="F2882" t="n">
        <v>0.1023</v>
      </c>
      <c r="G2882" t="n">
        <v>0.66</v>
      </c>
      <c r="H2882" t="n">
        <v>2</v>
      </c>
      <c r="I2882" t="n">
        <v>4</v>
      </c>
      <c r="J2882" t="n">
        <v>1</v>
      </c>
      <c r="K2882" t="n">
        <v>0</v>
      </c>
      <c r="L2882" t="n">
        <v>10254</v>
      </c>
      <c r="M2882" t="n">
        <v>13000</v>
      </c>
      <c r="N2882" t="n">
        <v>33</v>
      </c>
      <c r="O2882" t="n">
        <v>0.33</v>
      </c>
      <c r="P2882" t="n">
        <v>1</v>
      </c>
      <c r="Q2882" t="n">
        <v>0.02</v>
      </c>
      <c r="R2882" t="n">
        <v>1</v>
      </c>
      <c r="S2882" t="n">
        <v>1329.9</v>
      </c>
      <c r="T2882" t="n">
        <v>3</v>
      </c>
      <c r="U2882" t="n">
        <v>4</v>
      </c>
      <c r="V2882" t="n">
        <v>30</v>
      </c>
      <c r="W2882" t="n">
        <v>4</v>
      </c>
      <c r="X2882" t="n">
        <v>107.5268817204301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1061</v>
      </c>
      <c r="AG2882" t="n">
        <v>3706</v>
      </c>
      <c r="AH2882" t="inlineStr">
        <is>
          <t>CV. KENCANA INTI NIAGA - PPN (JMB)</t>
        </is>
      </c>
      <c r="AI2882" t="n">
        <v>113</v>
      </c>
      <c r="AJ2882" t="inlineStr">
        <is>
          <t>NATUR-E</t>
        </is>
      </c>
      <c r="AK2882" t="n">
        <v>9</v>
      </c>
      <c r="AL2882" t="inlineStr">
        <is>
          <t>Miss Glam Jambi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NATUR-E</t>
        </is>
      </c>
      <c r="B2883" s="2">
        <f>"10300722050"</f>
        <v/>
      </c>
      <c r="C2883" t="inlineStr">
        <is>
          <t>NATUR-E White Bright &amp; Glow Radiant Miracle Moisture Gel 30ml</t>
        </is>
      </c>
      <c r="D2883" t="inlineStr">
        <is>
          <t>Miss Glam Jambi</t>
        </is>
      </c>
      <c r="E2883" t="n">
        <v>5</v>
      </c>
      <c r="F2883" t="n">
        <v>0.0264</v>
      </c>
      <c r="G2883" t="n">
        <v>0.33</v>
      </c>
      <c r="H2883" t="n">
        <v>2</v>
      </c>
      <c r="I2883" t="n">
        <v>4</v>
      </c>
      <c r="J2883" t="n">
        <v>1</v>
      </c>
      <c r="K2883" t="n">
        <v>0</v>
      </c>
      <c r="L2883" t="n">
        <v>72150</v>
      </c>
      <c r="M2883" t="n">
        <v>85000</v>
      </c>
      <c r="N2883" t="n">
        <v>33</v>
      </c>
      <c r="O2883" t="n">
        <v>0.33</v>
      </c>
      <c r="P2883" t="n">
        <v>1</v>
      </c>
      <c r="Q2883" t="n">
        <v>0.02</v>
      </c>
      <c r="R2883" t="n">
        <v>1</v>
      </c>
      <c r="S2883" t="n">
        <v>2244</v>
      </c>
      <c r="T2883" t="n">
        <v>2</v>
      </c>
      <c r="U2883" t="n">
        <v>3</v>
      </c>
      <c r="V2883" t="n">
        <v>30</v>
      </c>
      <c r="W2883" t="n">
        <v>1</v>
      </c>
      <c r="X2883" t="n">
        <v>189.3939393939394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1061</v>
      </c>
      <c r="AG2883" t="n">
        <v>3706</v>
      </c>
      <c r="AH2883" t="inlineStr">
        <is>
          <t>CV. KENCANA INTI NIAGA - PPN (JMB)</t>
        </is>
      </c>
      <c r="AI2883" t="n">
        <v>113</v>
      </c>
      <c r="AJ2883" t="inlineStr">
        <is>
          <t>NATUR-E</t>
        </is>
      </c>
      <c r="AK2883" t="n">
        <v>9</v>
      </c>
      <c r="AL2883" t="inlineStr">
        <is>
          <t>Miss Glam Jambi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NATUR-E</t>
        </is>
      </c>
      <c r="B2884" s="2">
        <f>"101001108010"</f>
        <v/>
      </c>
      <c r="C2884" t="inlineStr">
        <is>
          <t>NATUR-E White Bright &amp; Glow Radiant Purifying Facial Wash 50ml</t>
        </is>
      </c>
      <c r="D2884" t="inlineStr">
        <is>
          <t>Miss Glam Jambi</t>
        </is>
      </c>
      <c r="E2884" t="n">
        <v>9</v>
      </c>
      <c r="F2884" t="n">
        <v>0.06270000000000001</v>
      </c>
      <c r="G2884" t="n">
        <v>0.66</v>
      </c>
      <c r="H2884" t="n">
        <v>2</v>
      </c>
      <c r="I2884" t="n">
        <v>4</v>
      </c>
      <c r="J2884" t="n">
        <v>1</v>
      </c>
      <c r="K2884" t="n">
        <v>0</v>
      </c>
      <c r="L2884" t="n">
        <v>41070</v>
      </c>
      <c r="M2884" t="n">
        <v>46500</v>
      </c>
      <c r="N2884" t="n">
        <v>33</v>
      </c>
      <c r="O2884" t="n">
        <v>0.33</v>
      </c>
      <c r="P2884" t="n">
        <v>1</v>
      </c>
      <c r="Q2884" t="n">
        <v>0.02</v>
      </c>
      <c r="R2884" t="n">
        <v>0</v>
      </c>
      <c r="S2884" t="n">
        <v>2915.55</v>
      </c>
      <c r="T2884" t="n">
        <v>3</v>
      </c>
      <c r="U2884" t="n">
        <v>4</v>
      </c>
      <c r="V2884" t="n">
        <v>30</v>
      </c>
      <c r="W2884" t="n">
        <v>2</v>
      </c>
      <c r="X2884" t="n">
        <v>143.5406698564593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1061</v>
      </c>
      <c r="AG2884" t="n">
        <v>3706</v>
      </c>
      <c r="AH2884" t="inlineStr">
        <is>
          <t>CV. KENCANA INTI NIAGA - PPN (JMB)</t>
        </is>
      </c>
      <c r="AI2884" t="n">
        <v>113</v>
      </c>
      <c r="AJ2884" t="inlineStr">
        <is>
          <t>NATUR-E</t>
        </is>
      </c>
      <c r="AK2884" t="n">
        <v>9</v>
      </c>
      <c r="AL2884" t="inlineStr">
        <is>
          <t>Miss Glam Jambi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NATUR-E</t>
        </is>
      </c>
      <c r="B2885" s="2">
        <f>"8999809102812"</f>
        <v/>
      </c>
      <c r="C2885" t="inlineStr">
        <is>
          <t>NATURE Advance Soft Capsule 32</t>
        </is>
      </c>
      <c r="D2885" t="inlineStr">
        <is>
          <t>Miss Glam Jambi</t>
        </is>
      </c>
      <c r="E2885" t="n">
        <v>4</v>
      </c>
      <c r="F2885" t="n">
        <v>0.0264</v>
      </c>
      <c r="G2885" t="n">
        <v>0.33</v>
      </c>
      <c r="H2885" t="n">
        <v>2</v>
      </c>
      <c r="I2885" t="n">
        <v>4</v>
      </c>
      <c r="J2885" t="n">
        <v>3</v>
      </c>
      <c r="K2885" t="n">
        <v>0</v>
      </c>
      <c r="L2885" t="n">
        <v>74435</v>
      </c>
      <c r="M2885" t="n">
        <v>85500</v>
      </c>
      <c r="N2885" t="n">
        <v>33</v>
      </c>
      <c r="O2885" t="n">
        <v>0.33</v>
      </c>
      <c r="P2885" t="n">
        <v>1</v>
      </c>
      <c r="Q2885" t="n">
        <v>0.14</v>
      </c>
      <c r="R2885" t="n">
        <v>1</v>
      </c>
      <c r="S2885" t="n">
        <v>2257.2</v>
      </c>
      <c r="T2885" t="n">
        <v>2</v>
      </c>
      <c r="U2885" t="n">
        <v>3</v>
      </c>
      <c r="V2885" t="n">
        <v>30</v>
      </c>
      <c r="W2885" t="n">
        <v>1</v>
      </c>
      <c r="X2885" t="n">
        <v>151.5151515151515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1061</v>
      </c>
      <c r="AG2885" t="n">
        <v>3706</v>
      </c>
      <c r="AH2885" t="inlineStr">
        <is>
          <t>CV. KENCANA INTI NIAGA - PPN (JMB)</t>
        </is>
      </c>
      <c r="AI2885" t="n">
        <v>113</v>
      </c>
      <c r="AJ2885" t="inlineStr">
        <is>
          <t>NATUR-E</t>
        </is>
      </c>
      <c r="AK2885" t="n">
        <v>9</v>
      </c>
      <c r="AL2885" t="inlineStr">
        <is>
          <t>Miss Glam Jambi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NATUR-E</t>
        </is>
      </c>
      <c r="B2886" s="2">
        <f>"8999809102768"</f>
        <v/>
      </c>
      <c r="C2886" t="inlineStr">
        <is>
          <t>NATURE Daily Nourishing Moisturizing 100ml</t>
        </is>
      </c>
      <c r="D2886" t="inlineStr">
        <is>
          <t>Miss Glam Jambi</t>
        </is>
      </c>
      <c r="E2886" t="n">
        <v>3</v>
      </c>
      <c r="F2886" t="n">
        <v>0.1551</v>
      </c>
      <c r="G2886" t="n">
        <v>0.66</v>
      </c>
      <c r="H2886" t="n">
        <v>2</v>
      </c>
      <c r="I2886" t="n">
        <v>4</v>
      </c>
      <c r="J2886" t="n">
        <v>6</v>
      </c>
      <c r="K2886" t="n">
        <v>6</v>
      </c>
      <c r="L2886" t="n">
        <v>11536</v>
      </c>
      <c r="M2886" t="n">
        <v>14500</v>
      </c>
      <c r="N2886" t="n">
        <v>33</v>
      </c>
      <c r="O2886" t="n">
        <v>0.33</v>
      </c>
      <c r="P2886" t="n">
        <v>1</v>
      </c>
      <c r="Q2886" t="n">
        <v>0.08</v>
      </c>
      <c r="R2886" t="n">
        <v>1</v>
      </c>
      <c r="S2886" t="n">
        <v>2248.95</v>
      </c>
      <c r="T2886" t="n">
        <v>3</v>
      </c>
      <c r="U2886" t="n">
        <v>4</v>
      </c>
      <c r="V2886" t="n">
        <v>30</v>
      </c>
      <c r="W2886" t="n">
        <v>5</v>
      </c>
      <c r="X2886" t="n">
        <v>19.34235976789168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1061</v>
      </c>
      <c r="AG2886" t="n">
        <v>3706</v>
      </c>
      <c r="AH2886" t="inlineStr">
        <is>
          <t>CV. KENCANA INTI NIAGA - PPN (JMB)</t>
        </is>
      </c>
      <c r="AI2886" t="n">
        <v>113</v>
      </c>
      <c r="AJ2886" t="inlineStr">
        <is>
          <t>NATUR-E</t>
        </is>
      </c>
      <c r="AK2886" t="n">
        <v>9</v>
      </c>
      <c r="AL2886" t="inlineStr">
        <is>
          <t>Miss Glam Jambi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NATUR-E</t>
        </is>
      </c>
      <c r="B2887" s="2">
        <f>"8999809102775"</f>
        <v/>
      </c>
      <c r="C2887" t="inlineStr">
        <is>
          <t>NATURE Daily Nourishing Moisturizing 245ml</t>
        </is>
      </c>
      <c r="D2887" t="inlineStr">
        <is>
          <t>Miss Glam Jambi</t>
        </is>
      </c>
      <c r="E2887" t="n">
        <v>5</v>
      </c>
      <c r="F2887" t="n">
        <v>0.2079</v>
      </c>
      <c r="G2887" t="n">
        <v>0.99</v>
      </c>
      <c r="H2887" t="n">
        <v>2</v>
      </c>
      <c r="I2887" t="n">
        <v>4</v>
      </c>
      <c r="J2887" t="n">
        <v>3</v>
      </c>
      <c r="K2887" t="n">
        <v>3</v>
      </c>
      <c r="L2887" t="n">
        <v>21519</v>
      </c>
      <c r="M2887" t="n">
        <v>28500</v>
      </c>
      <c r="N2887" t="n">
        <v>33</v>
      </c>
      <c r="O2887" t="n">
        <v>0.33</v>
      </c>
      <c r="P2887" t="n">
        <v>1</v>
      </c>
      <c r="Q2887" t="n">
        <v>0.22</v>
      </c>
      <c r="R2887" t="n">
        <v>2</v>
      </c>
      <c r="S2887" t="n">
        <v>5925.15</v>
      </c>
      <c r="T2887" t="n">
        <v>4</v>
      </c>
      <c r="U2887" t="n">
        <v>5</v>
      </c>
      <c r="V2887" t="n">
        <v>30</v>
      </c>
      <c r="W2887" t="n">
        <v>7</v>
      </c>
      <c r="X2887" t="n">
        <v>24.05002405002405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1061</v>
      </c>
      <c r="AG2887" t="n">
        <v>3706</v>
      </c>
      <c r="AH2887" t="inlineStr">
        <is>
          <t>CV. KENCANA INTI NIAGA - PPN (JMB)</t>
        </is>
      </c>
      <c r="AI2887" t="n">
        <v>113</v>
      </c>
      <c r="AJ2887" t="inlineStr">
        <is>
          <t>NATUR-E</t>
        </is>
      </c>
      <c r="AK2887" t="n">
        <v>9</v>
      </c>
      <c r="AL2887" t="inlineStr">
        <is>
          <t>Miss Glam Jambi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NATUR-E</t>
        </is>
      </c>
      <c r="B2888" s="2">
        <f>"8999809400017"</f>
        <v/>
      </c>
      <c r="C2888" t="inlineStr">
        <is>
          <t>NATURE Daily Nourishing Natural Vitamin E 100 IU 16 Capsule</t>
        </is>
      </c>
      <c r="D2888" t="inlineStr">
        <is>
          <t>Miss Glam Jambi</t>
        </is>
      </c>
      <c r="E2888" t="n">
        <v>3</v>
      </c>
      <c r="F2888" t="n">
        <v>0.3531</v>
      </c>
      <c r="G2888" t="n">
        <v>1.32</v>
      </c>
      <c r="H2888" t="n">
        <v>2</v>
      </c>
      <c r="I2888" t="n">
        <v>4</v>
      </c>
      <c r="J2888" t="n">
        <v>3</v>
      </c>
      <c r="K2888" t="n">
        <v>7</v>
      </c>
      <c r="L2888" t="n">
        <v>18260</v>
      </c>
      <c r="M2888" t="n">
        <v>22000</v>
      </c>
      <c r="N2888" t="n">
        <v>33</v>
      </c>
      <c r="O2888" t="n">
        <v>0.33</v>
      </c>
      <c r="P2888" t="n">
        <v>1</v>
      </c>
      <c r="Q2888" t="n">
        <v>0.19</v>
      </c>
      <c r="R2888" t="n">
        <v>2</v>
      </c>
      <c r="S2888" t="n">
        <v>7768.200000000001</v>
      </c>
      <c r="T2888" t="n">
        <v>5</v>
      </c>
      <c r="U2888" t="n">
        <v>6</v>
      </c>
      <c r="V2888" t="n">
        <v>30</v>
      </c>
      <c r="W2888" t="n">
        <v>11</v>
      </c>
      <c r="X2888" t="n">
        <v>8.496176720475786</v>
      </c>
      <c r="Y2888" t="n">
        <v>1</v>
      </c>
      <c r="Z2888" t="n">
        <v>1</v>
      </c>
      <c r="AA2888" t="n">
        <v>0</v>
      </c>
      <c r="AB2888" t="n">
        <v>1</v>
      </c>
      <c r="AC2888" t="n">
        <v>3</v>
      </c>
      <c r="AD2888" t="n">
        <v>0</v>
      </c>
      <c r="AE2888" t="n">
        <v>54780</v>
      </c>
      <c r="AF2888" t="n">
        <v>1061</v>
      </c>
      <c r="AG2888" t="n">
        <v>3706</v>
      </c>
      <c r="AH2888" t="inlineStr">
        <is>
          <t>CV. KENCANA INTI NIAGA - PPN (JMB)</t>
        </is>
      </c>
      <c r="AI2888" t="n">
        <v>113</v>
      </c>
      <c r="AJ2888" t="inlineStr">
        <is>
          <t>NATUR-E</t>
        </is>
      </c>
      <c r="AK2888" t="n">
        <v>9</v>
      </c>
      <c r="AL2888" t="inlineStr">
        <is>
          <t>Miss Glam Jambi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NATUR-E</t>
        </is>
      </c>
      <c r="B2889" s="2">
        <f>"8999809102577"</f>
        <v/>
      </c>
      <c r="C2889" t="inlineStr">
        <is>
          <t>NATURE Daily Nourishing Natural Vitamin E 100 IU 32 Capsule</t>
        </is>
      </c>
      <c r="D2889" t="inlineStr">
        <is>
          <t>Miss Glam Jambi</t>
        </is>
      </c>
      <c r="E2889" t="n">
        <v>3</v>
      </c>
      <c r="F2889" t="n">
        <v>0.1617</v>
      </c>
      <c r="G2889" t="n">
        <v>0.66</v>
      </c>
      <c r="H2889" t="n">
        <v>2</v>
      </c>
      <c r="I2889" t="n">
        <v>4</v>
      </c>
      <c r="J2889" t="n">
        <v>3</v>
      </c>
      <c r="K2889" t="n">
        <v>3</v>
      </c>
      <c r="L2889" t="n">
        <v>31721</v>
      </c>
      <c r="M2889" t="n">
        <v>38000</v>
      </c>
      <c r="N2889" t="n">
        <v>33</v>
      </c>
      <c r="O2889" t="n">
        <v>0.33</v>
      </c>
      <c r="P2889" t="n">
        <v>1</v>
      </c>
      <c r="Q2889" t="n">
        <v>0.15</v>
      </c>
      <c r="R2889" t="n">
        <v>2</v>
      </c>
      <c r="S2889" t="n">
        <v>6144.6</v>
      </c>
      <c r="T2889" t="n">
        <v>3</v>
      </c>
      <c r="U2889" t="n">
        <v>4</v>
      </c>
      <c r="V2889" t="n">
        <v>30</v>
      </c>
      <c r="W2889" t="n">
        <v>5</v>
      </c>
      <c r="X2889" t="n">
        <v>18.55287569573284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1061</v>
      </c>
      <c r="AG2889" t="n">
        <v>3706</v>
      </c>
      <c r="AH2889" t="inlineStr">
        <is>
          <t>CV. KENCANA INTI NIAGA - PPN (JMB)</t>
        </is>
      </c>
      <c r="AI2889" t="n">
        <v>113</v>
      </c>
      <c r="AJ2889" t="inlineStr">
        <is>
          <t>NATUR-E</t>
        </is>
      </c>
      <c r="AK2889" t="n">
        <v>9</v>
      </c>
      <c r="AL2889" t="inlineStr">
        <is>
          <t>Miss Glam Jambi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NATUR-E</t>
        </is>
      </c>
      <c r="B2890" s="2">
        <f>"8999809103598"</f>
        <v/>
      </c>
      <c r="C2890" t="inlineStr">
        <is>
          <t>NATURE Daily Nourishing Natural Vitamin E 300 IU 16 Capsule</t>
        </is>
      </c>
      <c r="D2890" t="inlineStr">
        <is>
          <t>Miss Glam Jambi</t>
        </is>
      </c>
      <c r="E2890" t="n">
        <v>0</v>
      </c>
      <c r="F2890" t="n">
        <v>0.0396</v>
      </c>
      <c r="G2890" t="n">
        <v>0.33</v>
      </c>
      <c r="H2890" t="n">
        <v>2</v>
      </c>
      <c r="I2890" t="n">
        <v>4</v>
      </c>
      <c r="J2890" t="n">
        <v>3</v>
      </c>
      <c r="K2890" t="n">
        <v>3</v>
      </c>
      <c r="L2890" t="n">
        <v>34191</v>
      </c>
      <c r="M2890" t="n">
        <v>41000</v>
      </c>
      <c r="N2890" t="n">
        <v>33</v>
      </c>
      <c r="O2890" t="n">
        <v>0.33</v>
      </c>
      <c r="P2890" t="n">
        <v>1</v>
      </c>
      <c r="Q2890" t="n">
        <v>0.12</v>
      </c>
      <c r="R2890" t="n">
        <v>1</v>
      </c>
      <c r="S2890" t="n">
        <v>1623.6</v>
      </c>
      <c r="T2890" t="n">
        <v>2</v>
      </c>
      <c r="U2890" t="n">
        <v>3</v>
      </c>
      <c r="V2890" t="n">
        <v>30</v>
      </c>
      <c r="W2890" t="n">
        <v>2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1061</v>
      </c>
      <c r="AG2890" t="n">
        <v>3706</v>
      </c>
      <c r="AH2890" t="inlineStr">
        <is>
          <t>CV. KENCANA INTI NIAGA - PPN (JMB)</t>
        </is>
      </c>
      <c r="AI2890" t="n">
        <v>113</v>
      </c>
      <c r="AJ2890" t="inlineStr">
        <is>
          <t>NATUR-E</t>
        </is>
      </c>
      <c r="AK2890" t="n">
        <v>9</v>
      </c>
      <c r="AL2890" t="inlineStr">
        <is>
          <t>Miss Glam Jambi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NATUR-E</t>
        </is>
      </c>
      <c r="B2891" s="2">
        <f>"8999809103628"</f>
        <v/>
      </c>
      <c r="C2891" t="inlineStr">
        <is>
          <t>NATURE Daily Nourishing Natural Vitamin E 300 IU 32 Capsule</t>
        </is>
      </c>
      <c r="D2891" t="inlineStr">
        <is>
          <t>Miss Glam Jambi</t>
        </is>
      </c>
      <c r="E2891" t="n">
        <v>2</v>
      </c>
      <c r="F2891" t="n">
        <v>0.0231</v>
      </c>
      <c r="G2891" t="n">
        <v>0.33</v>
      </c>
      <c r="H2891" t="n">
        <v>2</v>
      </c>
      <c r="I2891" t="n">
        <v>4</v>
      </c>
      <c r="J2891" t="n">
        <v>3</v>
      </c>
      <c r="K2891" t="n">
        <v>0</v>
      </c>
      <c r="L2891" t="n">
        <v>65426</v>
      </c>
      <c r="M2891" t="n">
        <v>78500</v>
      </c>
      <c r="N2891" t="n">
        <v>33</v>
      </c>
      <c r="O2891" t="n">
        <v>0.33</v>
      </c>
      <c r="P2891" t="n">
        <v>1</v>
      </c>
      <c r="Q2891" t="n">
        <v>0.12</v>
      </c>
      <c r="R2891" t="n">
        <v>2</v>
      </c>
      <c r="S2891" t="n">
        <v>1813.35</v>
      </c>
      <c r="T2891" t="n">
        <v>2</v>
      </c>
      <c r="U2891" t="n">
        <v>3</v>
      </c>
      <c r="V2891" t="n">
        <v>30</v>
      </c>
      <c r="W2891" t="n">
        <v>1</v>
      </c>
      <c r="X2891" t="n">
        <v>86.58008658008657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1061</v>
      </c>
      <c r="AG2891" t="n">
        <v>3706</v>
      </c>
      <c r="AH2891" t="inlineStr">
        <is>
          <t>CV. KENCANA INTI NIAGA - PPN (JMB)</t>
        </is>
      </c>
      <c r="AI2891" t="n">
        <v>113</v>
      </c>
      <c r="AJ2891" t="inlineStr">
        <is>
          <t>NATUR-E</t>
        </is>
      </c>
      <c r="AK2891" t="n">
        <v>9</v>
      </c>
      <c r="AL2891" t="inlineStr">
        <is>
          <t>Miss Glam Jambi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NATUR-E</t>
        </is>
      </c>
      <c r="B2892" s="2">
        <f>"8999809103659"</f>
        <v/>
      </c>
      <c r="C2892" t="inlineStr">
        <is>
          <t>NATURE Daily Nourishing Protect &amp; Glow 100ml</t>
        </is>
      </c>
      <c r="D2892" t="inlineStr">
        <is>
          <t>Miss Glam Jambi</t>
        </is>
      </c>
      <c r="E2892" t="n">
        <v>1</v>
      </c>
      <c r="F2892" t="n">
        <v>0.3366</v>
      </c>
      <c r="G2892" t="n">
        <v>0.99</v>
      </c>
      <c r="H2892" t="n">
        <v>2</v>
      </c>
      <c r="I2892" t="n">
        <v>4</v>
      </c>
      <c r="J2892" t="n">
        <v>3</v>
      </c>
      <c r="K2892" t="n">
        <v>8</v>
      </c>
      <c r="L2892" t="n">
        <v>13481</v>
      </c>
      <c r="M2892" t="n">
        <v>17100</v>
      </c>
      <c r="N2892" t="n">
        <v>33</v>
      </c>
      <c r="O2892" t="n">
        <v>0.33</v>
      </c>
      <c r="P2892" t="n">
        <v>1</v>
      </c>
      <c r="Q2892" t="n">
        <v>0.14</v>
      </c>
      <c r="R2892" t="n">
        <v>1</v>
      </c>
      <c r="S2892" t="n">
        <v>5755.860000000001</v>
      </c>
      <c r="T2892" t="n">
        <v>4</v>
      </c>
      <c r="U2892" t="n">
        <v>5</v>
      </c>
      <c r="V2892" t="n">
        <v>30</v>
      </c>
      <c r="W2892" t="n">
        <v>11</v>
      </c>
      <c r="X2892" t="n">
        <v>2.9708853238265</v>
      </c>
      <c r="Y2892" t="n">
        <v>1</v>
      </c>
      <c r="Z2892" t="n">
        <v>2</v>
      </c>
      <c r="AA2892" t="n">
        <v>0</v>
      </c>
      <c r="AB2892" t="n">
        <v>2</v>
      </c>
      <c r="AC2892" t="n">
        <v>3</v>
      </c>
      <c r="AD2892" t="n">
        <v>0</v>
      </c>
      <c r="AE2892" t="n">
        <v>40443</v>
      </c>
      <c r="AF2892" t="n">
        <v>1061</v>
      </c>
      <c r="AG2892" t="n">
        <v>3706</v>
      </c>
      <c r="AH2892" t="inlineStr">
        <is>
          <t>CV. KENCANA INTI NIAGA - PPN (JMB)</t>
        </is>
      </c>
      <c r="AI2892" t="n">
        <v>113</v>
      </c>
      <c r="AJ2892" t="inlineStr">
        <is>
          <t>NATUR-E</t>
        </is>
      </c>
      <c r="AK2892" t="n">
        <v>9</v>
      </c>
      <c r="AL2892" t="inlineStr">
        <is>
          <t>Miss Glam Jambi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NATUR-E</t>
        </is>
      </c>
      <c r="B2893" s="2">
        <f>"8999809103796"</f>
        <v/>
      </c>
      <c r="C2893" t="inlineStr">
        <is>
          <t>NATURE Daily Nourishing Protect &amp; Glow 245ml</t>
        </is>
      </c>
      <c r="D2893" t="inlineStr">
        <is>
          <t>Miss Glam Jambi</t>
        </is>
      </c>
      <c r="E2893" t="n">
        <v>11</v>
      </c>
      <c r="F2893" t="n">
        <v>0.3135</v>
      </c>
      <c r="G2893" t="n">
        <v>1.32</v>
      </c>
      <c r="H2893" t="n">
        <v>2</v>
      </c>
      <c r="I2893" t="n">
        <v>4</v>
      </c>
      <c r="J2893" t="n">
        <v>3</v>
      </c>
      <c r="K2893" t="n">
        <v>0</v>
      </c>
      <c r="L2893" t="n">
        <v>27459</v>
      </c>
      <c r="M2893" t="n">
        <v>33800</v>
      </c>
      <c r="N2893" t="n">
        <v>33</v>
      </c>
      <c r="O2893" t="n">
        <v>0.33</v>
      </c>
      <c r="P2893" t="n">
        <v>1</v>
      </c>
      <c r="Q2893" t="n">
        <v>0.22</v>
      </c>
      <c r="R2893" t="n">
        <v>3</v>
      </c>
      <c r="S2893" t="n">
        <v>10596.3</v>
      </c>
      <c r="T2893" t="n">
        <v>5</v>
      </c>
      <c r="U2893" t="n">
        <v>6</v>
      </c>
      <c r="V2893" t="n">
        <v>30</v>
      </c>
      <c r="W2893" t="n">
        <v>10</v>
      </c>
      <c r="X2893" t="n">
        <v>35.08771929824562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1061</v>
      </c>
      <c r="AG2893" t="n">
        <v>3706</v>
      </c>
      <c r="AH2893" t="inlineStr">
        <is>
          <t>CV. KENCANA INTI NIAGA - PPN (JMB)</t>
        </is>
      </c>
      <c r="AI2893" t="n">
        <v>113</v>
      </c>
      <c r="AJ2893" t="inlineStr">
        <is>
          <t>NATUR-E</t>
        </is>
      </c>
      <c r="AK2893" t="n">
        <v>9</v>
      </c>
      <c r="AL2893" t="inlineStr">
        <is>
          <t>Miss Glam Jambi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NATUR-E</t>
        </is>
      </c>
      <c r="B2894" s="2">
        <f>"8999809104489"</f>
        <v/>
      </c>
      <c r="C2894" t="inlineStr">
        <is>
          <t>NATURE White Glutathione Vitamin E And Olive Fruit Extract 16 Kapsul</t>
        </is>
      </c>
      <c r="D2894" t="inlineStr">
        <is>
          <t>Miss Glam Jambi</t>
        </is>
      </c>
      <c r="E2894" t="n">
        <v>0</v>
      </c>
      <c r="F2894" t="n">
        <v>0.6534</v>
      </c>
      <c r="G2894" t="n">
        <v>2.31</v>
      </c>
      <c r="H2894" t="n">
        <v>2</v>
      </c>
      <c r="I2894" t="n">
        <v>4</v>
      </c>
      <c r="J2894" t="n">
        <v>3</v>
      </c>
      <c r="K2894" t="n">
        <v>17</v>
      </c>
      <c r="L2894" t="n">
        <v>48282</v>
      </c>
      <c r="M2894" t="n">
        <v>55000</v>
      </c>
      <c r="N2894" t="n">
        <v>33</v>
      </c>
      <c r="O2894" t="n">
        <v>0.33</v>
      </c>
      <c r="P2894" t="n">
        <v>1</v>
      </c>
      <c r="Q2894" t="n">
        <v>0.92</v>
      </c>
      <c r="R2894" t="n">
        <v>5</v>
      </c>
      <c r="S2894" t="n">
        <v>35937</v>
      </c>
      <c r="T2894" t="n">
        <v>8</v>
      </c>
      <c r="U2894" t="n">
        <v>10</v>
      </c>
      <c r="V2894" t="n">
        <v>30</v>
      </c>
      <c r="W2894" t="n">
        <v>20</v>
      </c>
      <c r="X2894" t="n">
        <v>0</v>
      </c>
      <c r="Y2894" t="n">
        <v>1</v>
      </c>
      <c r="Z2894" t="n">
        <v>3</v>
      </c>
      <c r="AA2894" t="n">
        <v>2</v>
      </c>
      <c r="AB2894" t="n">
        <v>1</v>
      </c>
      <c r="AC2894" t="n">
        <v>3</v>
      </c>
      <c r="AD2894" t="n">
        <v>96564</v>
      </c>
      <c r="AE2894" t="n">
        <v>144846</v>
      </c>
      <c r="AF2894" t="n">
        <v>1061</v>
      </c>
      <c r="AG2894" t="n">
        <v>3706</v>
      </c>
      <c r="AH2894" t="inlineStr">
        <is>
          <t>CV. KENCANA INTI NIAGA - PPN (JMB)</t>
        </is>
      </c>
      <c r="AI2894" t="n">
        <v>113</v>
      </c>
      <c r="AJ2894" t="inlineStr">
        <is>
          <t>NATUR-E</t>
        </is>
      </c>
      <c r="AK2894" t="n">
        <v>9</v>
      </c>
      <c r="AL2894" t="inlineStr">
        <is>
          <t>Miss Glam Jambi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NATUR-E</t>
        </is>
      </c>
      <c r="B2895" s="2">
        <f>"8999809104496"</f>
        <v/>
      </c>
      <c r="C2895" t="inlineStr">
        <is>
          <t>NATURE White Glutathione Vitamin E And Olive Fruit Extract 32 Kapsul</t>
        </is>
      </c>
      <c r="D2895" t="inlineStr">
        <is>
          <t>Miss Glam Jambi</t>
        </is>
      </c>
      <c r="E2895" t="n">
        <v>5</v>
      </c>
      <c r="F2895" t="n">
        <v>0.2574</v>
      </c>
      <c r="G2895" t="n">
        <v>1.65</v>
      </c>
      <c r="H2895" t="n">
        <v>2</v>
      </c>
      <c r="I2895" t="n">
        <v>4</v>
      </c>
      <c r="J2895" t="n">
        <v>3</v>
      </c>
      <c r="K2895" t="n">
        <v>4</v>
      </c>
      <c r="L2895" t="n">
        <v>87721</v>
      </c>
      <c r="M2895" t="n">
        <v>108500</v>
      </c>
      <c r="N2895" t="n">
        <v>33</v>
      </c>
      <c r="O2895" t="n">
        <v>0.33</v>
      </c>
      <c r="P2895" t="n">
        <v>1</v>
      </c>
      <c r="Q2895" t="n">
        <v>0.22</v>
      </c>
      <c r="R2895" t="n">
        <v>2</v>
      </c>
      <c r="S2895" t="n">
        <v>27927.9</v>
      </c>
      <c r="T2895" t="n">
        <v>7</v>
      </c>
      <c r="U2895" t="n">
        <v>8</v>
      </c>
      <c r="V2895" t="n">
        <v>30</v>
      </c>
      <c r="W2895" t="n">
        <v>8</v>
      </c>
      <c r="X2895" t="n">
        <v>19.42501942501942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1061</v>
      </c>
      <c r="AG2895" t="n">
        <v>3706</v>
      </c>
      <c r="AH2895" t="inlineStr">
        <is>
          <t>CV. KENCANA INTI NIAGA - PPN (JMB)</t>
        </is>
      </c>
      <c r="AI2895" t="n">
        <v>113</v>
      </c>
      <c r="AJ2895" t="inlineStr">
        <is>
          <t>NATUR-E</t>
        </is>
      </c>
      <c r="AK2895" t="n">
        <v>9</v>
      </c>
      <c r="AL2895" t="inlineStr">
        <is>
          <t>Miss Glam Jambi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NATURALE</t>
        </is>
      </c>
      <c r="B2896" s="2">
        <f>"8993041561215"</f>
        <v/>
      </c>
      <c r="C2896" t="inlineStr">
        <is>
          <t>NATURALE Brightening Cream Whiten Dark Facial &amp; Body Skin 500gr</t>
        </is>
      </c>
      <c r="D2896" t="inlineStr">
        <is>
          <t>Miss Glam Jambi</t>
        </is>
      </c>
      <c r="E2896" t="n">
        <v>1</v>
      </c>
      <c r="F2896" t="n">
        <v>0.0264</v>
      </c>
      <c r="G2896" t="n">
        <v>0.33</v>
      </c>
      <c r="H2896" t="n">
        <v>4</v>
      </c>
      <c r="I2896" t="n">
        <v>20</v>
      </c>
      <c r="J2896" t="n">
        <v>3</v>
      </c>
      <c r="K2896" t="n">
        <v>0</v>
      </c>
      <c r="L2896" t="n">
        <v>27099</v>
      </c>
      <c r="M2896" t="n">
        <v>39000</v>
      </c>
      <c r="N2896" t="n">
        <v>33</v>
      </c>
      <c r="O2896" t="n">
        <v>0.33</v>
      </c>
      <c r="P2896" t="n">
        <v>1</v>
      </c>
      <c r="Q2896" t="n">
        <v>0.08</v>
      </c>
      <c r="R2896" t="n">
        <v>1</v>
      </c>
      <c r="S2896" t="n">
        <v>1029.6</v>
      </c>
      <c r="T2896" t="n">
        <v>7</v>
      </c>
      <c r="U2896" t="n">
        <v>8</v>
      </c>
      <c r="V2896" t="n">
        <v>30</v>
      </c>
      <c r="W2896" t="n">
        <v>1</v>
      </c>
      <c r="X2896" t="n">
        <v>37.87878787878788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7075</v>
      </c>
      <c r="AG2896" t="n">
        <v>1</v>
      </c>
      <c r="AH2896" t="inlineStr">
        <is>
          <t>PT. BERSAMA DISTRIVERSA INDONESIA (DC CIPUTAT)</t>
        </is>
      </c>
      <c r="AI2896" t="n">
        <v>1128</v>
      </c>
      <c r="AJ2896" t="inlineStr">
        <is>
          <t>NATURALE</t>
        </is>
      </c>
      <c r="AK2896" t="n">
        <v>9</v>
      </c>
      <c r="AL2896" t="inlineStr">
        <is>
          <t>Miss Glam Jambi</t>
        </is>
      </c>
      <c r="AM2896" t="n">
        <v>3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NATURE REPUBLIC</t>
        </is>
      </c>
      <c r="B2897" s="2">
        <f>"8806173420377"</f>
        <v/>
      </c>
      <c r="C2897" t="inlineStr">
        <is>
          <t>NATURE REPUBLIC Aloevera 92% Sooting Gel 300ml</t>
        </is>
      </c>
      <c r="D2897" t="inlineStr">
        <is>
          <t>Miss Glam Jambi</t>
        </is>
      </c>
      <c r="E2897" t="n">
        <v>4</v>
      </c>
      <c r="F2897" t="n">
        <v>0.1287</v>
      </c>
      <c r="G2897" t="n">
        <v>0.99</v>
      </c>
      <c r="H2897" t="n">
        <v>4</v>
      </c>
      <c r="I2897" t="n">
        <v>20</v>
      </c>
      <c r="J2897" t="n">
        <v>3</v>
      </c>
      <c r="K2897" t="n">
        <v>0</v>
      </c>
      <c r="L2897" t="n">
        <v>72512</v>
      </c>
      <c r="M2897" t="n">
        <v>86500</v>
      </c>
      <c r="N2897" t="n">
        <v>33</v>
      </c>
      <c r="O2897" t="n">
        <v>0.33</v>
      </c>
      <c r="P2897" t="n">
        <v>1</v>
      </c>
      <c r="Q2897" t="n">
        <v>0.08</v>
      </c>
      <c r="R2897" t="n">
        <v>1</v>
      </c>
      <c r="S2897" t="n">
        <v>11132.55</v>
      </c>
      <c r="T2897" t="n">
        <v>20</v>
      </c>
      <c r="U2897" t="n">
        <v>21</v>
      </c>
      <c r="V2897" t="n">
        <v>30</v>
      </c>
      <c r="W2897" t="n">
        <v>4</v>
      </c>
      <c r="X2897" t="n">
        <v>31.08003108003108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7108</v>
      </c>
      <c r="AG2897" t="n">
        <v>1</v>
      </c>
      <c r="AH2897" t="inlineStr">
        <is>
          <t>PT. BERSAMA DISTRIVERSA INDONESIA (DC CIPUTAT)</t>
        </is>
      </c>
      <c r="AI2897" t="n">
        <v>114</v>
      </c>
      <c r="AJ2897" t="inlineStr">
        <is>
          <t>NATURE REPUBLIC</t>
        </is>
      </c>
      <c r="AK2897" t="n">
        <v>9</v>
      </c>
      <c r="AL2897" t="inlineStr">
        <is>
          <t>Miss Glam Jambi</t>
        </is>
      </c>
      <c r="AM2897" t="n">
        <v>5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NATURE REPUBLIC</t>
        </is>
      </c>
      <c r="B2898" s="2">
        <f>"8806173449361"</f>
        <v/>
      </c>
      <c r="C2898" t="inlineStr">
        <is>
          <t>NATURE REPUBLIC Sheet Mask Acai Berry 23ml</t>
        </is>
      </c>
      <c r="D2898" t="inlineStr">
        <is>
          <t>Miss Glam Jambi</t>
        </is>
      </c>
      <c r="E2898" t="n">
        <v>5</v>
      </c>
      <c r="F2898" t="n">
        <v>0.0165</v>
      </c>
      <c r="G2898" t="n">
        <v>0.66</v>
      </c>
      <c r="H2898" t="n">
        <v>4</v>
      </c>
      <c r="I2898" t="n">
        <v>20</v>
      </c>
      <c r="J2898" t="n">
        <v>3</v>
      </c>
      <c r="K2898" t="n">
        <v>0</v>
      </c>
      <c r="L2898" t="n">
        <v>14845</v>
      </c>
      <c r="M2898" t="n">
        <v>18500</v>
      </c>
      <c r="N2898" t="n">
        <v>33</v>
      </c>
      <c r="O2898" t="n">
        <v>0.33</v>
      </c>
      <c r="P2898" t="n">
        <v>1</v>
      </c>
      <c r="Q2898" t="n">
        <v>0.02</v>
      </c>
      <c r="R2898" t="n">
        <v>1</v>
      </c>
      <c r="S2898" t="n">
        <v>305.25</v>
      </c>
      <c r="T2898" t="n">
        <v>14</v>
      </c>
      <c r="U2898" t="n">
        <v>15</v>
      </c>
      <c r="V2898" t="n">
        <v>30</v>
      </c>
      <c r="W2898" t="n">
        <v>1</v>
      </c>
      <c r="X2898" t="n">
        <v>303.030303030303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7108</v>
      </c>
      <c r="AG2898" t="n">
        <v>1</v>
      </c>
      <c r="AH2898" t="inlineStr">
        <is>
          <t>PT. BERSAMA DISTRIVERSA INDONESIA (DC CIPUTAT)</t>
        </is>
      </c>
      <c r="AI2898" t="n">
        <v>114</v>
      </c>
      <c r="AJ2898" t="inlineStr">
        <is>
          <t>NATURE REPUBLIC</t>
        </is>
      </c>
      <c r="AK2898" t="n">
        <v>9</v>
      </c>
      <c r="AL2898" t="inlineStr">
        <is>
          <t>Miss Glam Jambi</t>
        </is>
      </c>
      <c r="AM2898" t="n">
        <v>5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NATURE REPUBLIC</t>
        </is>
      </c>
      <c r="B2899" s="2">
        <f>"8806173449408"</f>
        <v/>
      </c>
      <c r="C2899" t="inlineStr">
        <is>
          <t>NATURE REPUBLIC Sheet Mask Aloe 23ml</t>
        </is>
      </c>
      <c r="D2899" t="inlineStr">
        <is>
          <t>Miss Glam Jambi</t>
        </is>
      </c>
      <c r="E2899" t="n">
        <v>3</v>
      </c>
      <c r="F2899" t="n">
        <v>0.009900000000000001</v>
      </c>
      <c r="G2899" t="n">
        <v>0</v>
      </c>
      <c r="H2899" t="n">
        <v>4</v>
      </c>
      <c r="I2899" t="n">
        <v>20</v>
      </c>
      <c r="J2899" t="n">
        <v>3</v>
      </c>
      <c r="K2899" t="n">
        <v>0</v>
      </c>
      <c r="L2899" t="n">
        <v>14845</v>
      </c>
      <c r="M2899" t="n">
        <v>18500</v>
      </c>
      <c r="N2899" t="n">
        <v>33</v>
      </c>
      <c r="O2899" t="n">
        <v>0.33</v>
      </c>
      <c r="P2899" t="n">
        <v>1</v>
      </c>
      <c r="Q2899" t="n">
        <v>0.05</v>
      </c>
      <c r="R2899" t="n">
        <v>1</v>
      </c>
      <c r="S2899" t="n">
        <v>183.15</v>
      </c>
      <c r="T2899" t="n">
        <v>0</v>
      </c>
      <c r="U2899" t="n">
        <v>1</v>
      </c>
      <c r="V2899" t="n">
        <v>30</v>
      </c>
      <c r="W2899" t="n">
        <v>1</v>
      </c>
      <c r="X2899" t="n">
        <v>303.030303030303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7108</v>
      </c>
      <c r="AG2899" t="n">
        <v>1</v>
      </c>
      <c r="AH2899" t="inlineStr">
        <is>
          <t>PT. BERSAMA DISTRIVERSA INDONESIA (DC CIPUTAT)</t>
        </is>
      </c>
      <c r="AI2899" t="n">
        <v>114</v>
      </c>
      <c r="AJ2899" t="inlineStr">
        <is>
          <t>NATURE REPUBLIC</t>
        </is>
      </c>
      <c r="AK2899" t="n">
        <v>9</v>
      </c>
      <c r="AL2899" t="inlineStr">
        <is>
          <t>Miss Glam Jambi</t>
        </is>
      </c>
      <c r="AM2899" t="n">
        <v>5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NATURE REPUBLIC</t>
        </is>
      </c>
      <c r="B2900" s="2">
        <f>"8806173449453"</f>
        <v/>
      </c>
      <c r="C2900" t="inlineStr">
        <is>
          <t>NATURE REPUBLIC Sheet Mask Orange 23 ml</t>
        </is>
      </c>
      <c r="D2900" t="inlineStr">
        <is>
          <t>Miss Glam Jambi</t>
        </is>
      </c>
      <c r="E2900" t="n">
        <v>5</v>
      </c>
      <c r="F2900" t="n">
        <v>0.02</v>
      </c>
      <c r="G2900" t="n">
        <v>1</v>
      </c>
      <c r="H2900" t="n">
        <v>4</v>
      </c>
      <c r="I2900" t="n">
        <v>20</v>
      </c>
      <c r="J2900" t="n">
        <v>3</v>
      </c>
      <c r="K2900" t="n">
        <v>0</v>
      </c>
      <c r="L2900" t="n">
        <v>14845</v>
      </c>
      <c r="M2900" t="n">
        <v>18500</v>
      </c>
      <c r="N2900" t="n">
        <v>33</v>
      </c>
      <c r="O2900" t="n">
        <v>0.33</v>
      </c>
      <c r="P2900" t="n">
        <v>0</v>
      </c>
      <c r="Q2900" t="n">
        <v>0.02</v>
      </c>
      <c r="R2900" t="n">
        <v>1</v>
      </c>
      <c r="S2900" t="n">
        <v>370</v>
      </c>
      <c r="T2900" t="n">
        <v>20</v>
      </c>
      <c r="U2900" t="n">
        <v>21</v>
      </c>
      <c r="V2900" t="n">
        <v>30</v>
      </c>
      <c r="W2900" t="n">
        <v>1</v>
      </c>
      <c r="X2900" t="n">
        <v>250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7108</v>
      </c>
      <c r="AG2900" t="n">
        <v>1</v>
      </c>
      <c r="AH2900" t="inlineStr">
        <is>
          <t>PT. BERSAMA DISTRIVERSA INDONESIA (DC CIPUTAT)</t>
        </is>
      </c>
      <c r="AI2900" t="n">
        <v>114</v>
      </c>
      <c r="AJ2900" t="inlineStr">
        <is>
          <t>NATURE REPUBLIC</t>
        </is>
      </c>
      <c r="AK2900" t="n">
        <v>9</v>
      </c>
      <c r="AL2900" t="inlineStr">
        <is>
          <t>Miss Glam Jambi</t>
        </is>
      </c>
      <c r="AM2900" t="n">
        <v>5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NEOGEN</t>
        </is>
      </c>
      <c r="B2901" s="2">
        <f>"10100505033"</f>
        <v/>
      </c>
      <c r="C2901" t="inlineStr">
        <is>
          <t>NEOGEN Bio Peel Gauze Peeling Lemon 10 Pads</t>
        </is>
      </c>
      <c r="D2901" t="inlineStr">
        <is>
          <t>Miss Glam Jambi</t>
        </is>
      </c>
      <c r="E2901" t="n">
        <v>0</v>
      </c>
      <c r="F2901" t="n">
        <v>0.1</v>
      </c>
      <c r="G2901" t="n">
        <v>2</v>
      </c>
      <c r="H2901" t="n">
        <v>4</v>
      </c>
      <c r="I2901" t="n">
        <v>20</v>
      </c>
      <c r="J2901" t="n">
        <v>3</v>
      </c>
      <c r="K2901" t="n">
        <v>3</v>
      </c>
      <c r="L2901" t="n">
        <v>96000</v>
      </c>
      <c r="M2901" t="n">
        <v>121500</v>
      </c>
      <c r="N2901" t="n">
        <v>33</v>
      </c>
      <c r="O2901" t="n">
        <v>0.33</v>
      </c>
      <c r="P2901" t="n">
        <v>0</v>
      </c>
      <c r="Q2901" t="n">
        <v>0.1</v>
      </c>
      <c r="R2901" t="n">
        <v>2</v>
      </c>
      <c r="S2901" t="n">
        <v>12150</v>
      </c>
      <c r="T2901" t="n">
        <v>40</v>
      </c>
      <c r="U2901" t="n">
        <v>41</v>
      </c>
      <c r="V2901" t="n">
        <v>30</v>
      </c>
      <c r="W2901" t="n">
        <v>3</v>
      </c>
      <c r="X2901" t="n">
        <v>0</v>
      </c>
      <c r="Y2901" t="n">
        <v>1</v>
      </c>
      <c r="Z2901" t="n">
        <v>0</v>
      </c>
      <c r="AA2901" t="n">
        <v>2</v>
      </c>
      <c r="AB2901" t="n">
        <v>0</v>
      </c>
      <c r="AC2901" t="n">
        <v>0</v>
      </c>
      <c r="AD2901" t="n">
        <v>192000</v>
      </c>
      <c r="AE2901" t="n">
        <v>0</v>
      </c>
      <c r="AF2901" t="n">
        <v>7139</v>
      </c>
      <c r="AG2901" t="n">
        <v>1</v>
      </c>
      <c r="AH2901" t="inlineStr">
        <is>
          <t>PT. BERSAMA DISTRIVERSA INDONESIA (DC CIPUTAT)</t>
        </is>
      </c>
      <c r="AI2901" t="n">
        <v>507</v>
      </c>
      <c r="AJ2901" t="inlineStr">
        <is>
          <t>NEOGEN</t>
        </is>
      </c>
      <c r="AK2901" t="n">
        <v>9</v>
      </c>
      <c r="AL2901" t="inlineStr">
        <is>
          <t>Miss Glam Jambi</t>
        </is>
      </c>
      <c r="AM2901" t="n">
        <v>3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NEOGEN</t>
        </is>
      </c>
      <c r="B2902" s="2">
        <f>"8809381444876"</f>
        <v/>
      </c>
      <c r="C2902" t="inlineStr">
        <is>
          <t>NEOGEN Bio Peel Gauze Peeling Wine 1 Pads</t>
        </is>
      </c>
      <c r="D2902" t="inlineStr">
        <is>
          <t>Miss Glam Jambi</t>
        </is>
      </c>
      <c r="E2902" t="n">
        <v>0</v>
      </c>
      <c r="F2902" t="n">
        <v>0.0396</v>
      </c>
      <c r="G2902" t="n">
        <v>0.66</v>
      </c>
      <c r="H2902" t="n">
        <v>4</v>
      </c>
      <c r="I2902" t="n">
        <v>20</v>
      </c>
      <c r="J2902" t="n">
        <v>8</v>
      </c>
      <c r="K2902" t="n">
        <v>8</v>
      </c>
      <c r="L2902" t="n">
        <v>15000</v>
      </c>
      <c r="M2902" t="n">
        <v>21500</v>
      </c>
      <c r="N2902" t="n">
        <v>33</v>
      </c>
      <c r="O2902" t="n">
        <v>0.33</v>
      </c>
      <c r="P2902" t="n">
        <v>1</v>
      </c>
      <c r="Q2902" t="n">
        <v>0.15</v>
      </c>
      <c r="R2902" t="n">
        <v>2</v>
      </c>
      <c r="S2902" t="n">
        <v>851.4000000000001</v>
      </c>
      <c r="T2902" t="n">
        <v>14</v>
      </c>
      <c r="U2902" t="n">
        <v>15</v>
      </c>
      <c r="V2902" t="n">
        <v>30</v>
      </c>
      <c r="W2902" t="n">
        <v>2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7139</v>
      </c>
      <c r="AG2902" t="n">
        <v>1</v>
      </c>
      <c r="AH2902" t="inlineStr">
        <is>
          <t>PT. BERSAMA DISTRIVERSA INDONESIA (DC CIPUTAT)</t>
        </is>
      </c>
      <c r="AI2902" t="n">
        <v>507</v>
      </c>
      <c r="AJ2902" t="inlineStr">
        <is>
          <t>NEOGEN</t>
        </is>
      </c>
      <c r="AK2902" t="n">
        <v>9</v>
      </c>
      <c r="AL2902" t="inlineStr">
        <is>
          <t>Miss Glam Jambi</t>
        </is>
      </c>
      <c r="AM2902" t="n">
        <v>3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NEOGEN</t>
        </is>
      </c>
      <c r="B2903" s="2">
        <f>"10100504928"</f>
        <v/>
      </c>
      <c r="C2903" t="inlineStr">
        <is>
          <t>NEOGEN Bio Peel Gauze Peeling Wine 10 Pads</t>
        </is>
      </c>
      <c r="D2903" t="inlineStr">
        <is>
          <t>Miss Glam Jambi</t>
        </is>
      </c>
      <c r="E2903" t="n">
        <v>0</v>
      </c>
      <c r="F2903" t="n">
        <v>0.006600000000000001</v>
      </c>
      <c r="G2903" t="n">
        <v>0.33</v>
      </c>
      <c r="H2903" t="n">
        <v>4</v>
      </c>
      <c r="I2903" t="n">
        <v>20</v>
      </c>
      <c r="J2903" t="n">
        <v>3</v>
      </c>
      <c r="K2903" t="n">
        <v>0</v>
      </c>
      <c r="L2903" t="n">
        <v>96000</v>
      </c>
      <c r="M2903" t="n">
        <v>113000</v>
      </c>
      <c r="N2903" t="n">
        <v>33</v>
      </c>
      <c r="O2903" t="n">
        <v>0.33</v>
      </c>
      <c r="P2903" t="n">
        <v>1</v>
      </c>
      <c r="Q2903" t="n">
        <v>0.07000000000000001</v>
      </c>
      <c r="R2903" t="n">
        <v>1</v>
      </c>
      <c r="S2903" t="n">
        <v>745.8000000000001</v>
      </c>
      <c r="T2903" t="n">
        <v>7</v>
      </c>
      <c r="U2903" t="n">
        <v>8</v>
      </c>
      <c r="V2903" t="n">
        <v>30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n">
        <v>0</v>
      </c>
      <c r="AC2903" t="n">
        <v>0</v>
      </c>
      <c r="AD2903" t="n">
        <v>96000</v>
      </c>
      <c r="AE2903" t="n">
        <v>0</v>
      </c>
      <c r="AF2903" t="n">
        <v>7139</v>
      </c>
      <c r="AG2903" t="n">
        <v>1</v>
      </c>
      <c r="AH2903" t="inlineStr">
        <is>
          <t>PT. BERSAMA DISTRIVERSA INDONESIA (DC CIPUTAT)</t>
        </is>
      </c>
      <c r="AI2903" t="n">
        <v>507</v>
      </c>
      <c r="AJ2903" t="inlineStr">
        <is>
          <t>NEOGEN</t>
        </is>
      </c>
      <c r="AK2903" t="n">
        <v>9</v>
      </c>
      <c r="AL2903" t="inlineStr">
        <is>
          <t>Miss Glam Jambi</t>
        </is>
      </c>
      <c r="AM2903" t="n">
        <v>3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NEOGEN</t>
        </is>
      </c>
      <c r="B2904" s="2">
        <f>"8809381444234"</f>
        <v/>
      </c>
      <c r="C2904" t="inlineStr">
        <is>
          <t>NEOGEN Bio Peel Gauze Peeling Wine 30 Pads</t>
        </is>
      </c>
      <c r="D2904" t="inlineStr">
        <is>
          <t>Miss Glam Jambi</t>
        </is>
      </c>
      <c r="E2904" t="n">
        <v>1</v>
      </c>
      <c r="F2904" t="n">
        <v>0.03</v>
      </c>
      <c r="G2904" t="n">
        <v>1</v>
      </c>
      <c r="H2904" t="n">
        <v>4</v>
      </c>
      <c r="I2904" t="n">
        <v>20</v>
      </c>
      <c r="J2904" t="n">
        <v>3</v>
      </c>
      <c r="K2904" t="n">
        <v>0</v>
      </c>
      <c r="L2904" t="n">
        <v>200000</v>
      </c>
      <c r="M2904" t="n">
        <v>316500</v>
      </c>
      <c r="N2904" t="n">
        <v>33</v>
      </c>
      <c r="O2904" t="n">
        <v>0.33</v>
      </c>
      <c r="P2904" t="n">
        <v>0</v>
      </c>
      <c r="Q2904" t="n">
        <v>0.03</v>
      </c>
      <c r="R2904" t="n">
        <v>1</v>
      </c>
      <c r="S2904" t="n">
        <v>9495</v>
      </c>
      <c r="T2904" t="n">
        <v>20</v>
      </c>
      <c r="U2904" t="n">
        <v>21</v>
      </c>
      <c r="V2904" t="n">
        <v>30</v>
      </c>
      <c r="W2904" t="n">
        <v>1</v>
      </c>
      <c r="X2904" t="n">
        <v>33.33333333333334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7139</v>
      </c>
      <c r="AG2904" t="n">
        <v>1</v>
      </c>
      <c r="AH2904" t="inlineStr">
        <is>
          <t>PT. BERSAMA DISTRIVERSA INDONESIA (DC CIPUTAT)</t>
        </is>
      </c>
      <c r="AI2904" t="n">
        <v>507</v>
      </c>
      <c r="AJ2904" t="inlineStr">
        <is>
          <t>NEOGEN</t>
        </is>
      </c>
      <c r="AK2904" t="n">
        <v>9</v>
      </c>
      <c r="AL2904" t="inlineStr">
        <is>
          <t>Miss Glam Jambi</t>
        </is>
      </c>
      <c r="AM2904" t="n">
        <v>3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NEOGEN</t>
        </is>
      </c>
      <c r="B2905" s="2">
        <f>"8809381444883"</f>
        <v/>
      </c>
      <c r="C2905" t="inlineStr">
        <is>
          <t>NEOGEN Bio-Peel Gauze Pelling Lemon 1 Pads</t>
        </is>
      </c>
      <c r="D2905" t="inlineStr">
        <is>
          <t>Miss Glam Jambi</t>
        </is>
      </c>
      <c r="E2905" t="n">
        <v>4</v>
      </c>
      <c r="F2905" t="n">
        <v>0.07000000000000001</v>
      </c>
      <c r="G2905" t="n">
        <v>4</v>
      </c>
      <c r="H2905" t="n">
        <v>4</v>
      </c>
      <c r="I2905" t="n">
        <v>20</v>
      </c>
      <c r="J2905" t="n">
        <v>8</v>
      </c>
      <c r="K2905" t="n">
        <v>0</v>
      </c>
      <c r="L2905" t="n">
        <v>15000</v>
      </c>
      <c r="M2905" t="n">
        <v>22000</v>
      </c>
      <c r="N2905" t="n">
        <v>33</v>
      </c>
      <c r="O2905" t="n">
        <v>0.33</v>
      </c>
      <c r="P2905" t="n">
        <v>0</v>
      </c>
      <c r="Q2905" t="n">
        <v>0.07000000000000001</v>
      </c>
      <c r="R2905" t="n">
        <v>4</v>
      </c>
      <c r="S2905" t="n">
        <v>1540</v>
      </c>
      <c r="T2905" t="n">
        <v>80</v>
      </c>
      <c r="U2905" t="n">
        <v>81</v>
      </c>
      <c r="V2905" t="n">
        <v>30</v>
      </c>
      <c r="W2905" t="n">
        <v>3</v>
      </c>
      <c r="X2905" t="n">
        <v>57.14285714285714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7139</v>
      </c>
      <c r="AG2905" t="n">
        <v>1</v>
      </c>
      <c r="AH2905" t="inlineStr">
        <is>
          <t>PT. BERSAMA DISTRIVERSA INDONESIA (DC CIPUTAT)</t>
        </is>
      </c>
      <c r="AI2905" t="n">
        <v>507</v>
      </c>
      <c r="AJ2905" t="inlineStr">
        <is>
          <t>NEOGEN</t>
        </is>
      </c>
      <c r="AK2905" t="n">
        <v>9</v>
      </c>
      <c r="AL2905" t="inlineStr">
        <is>
          <t>Miss Glam Jambi</t>
        </is>
      </c>
      <c r="AM2905" t="n">
        <v>3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NEWLAB</t>
        </is>
      </c>
      <c r="B2906" s="2">
        <f>"10700512614"</f>
        <v/>
      </c>
      <c r="C2906" t="inlineStr">
        <is>
          <t>NEWLAB 7d Pink Lip Serum</t>
        </is>
      </c>
      <c r="D2906" t="inlineStr">
        <is>
          <t>Miss Glam Jambi</t>
        </is>
      </c>
      <c r="E2906" t="n">
        <v>1</v>
      </c>
      <c r="F2906" t="n">
        <v>0.066</v>
      </c>
      <c r="G2906" t="n">
        <v>0.99</v>
      </c>
      <c r="H2906" t="n">
        <v>6</v>
      </c>
      <c r="I2906" t="n">
        <v>12</v>
      </c>
      <c r="J2906" t="n">
        <v>1</v>
      </c>
      <c r="K2906" t="n">
        <v>6</v>
      </c>
      <c r="L2906" t="n">
        <v>37730</v>
      </c>
      <c r="M2906" t="n">
        <v>49000</v>
      </c>
      <c r="N2906" t="n">
        <v>33</v>
      </c>
      <c r="O2906" t="n">
        <v>0.33</v>
      </c>
      <c r="P2906" t="n">
        <v>1</v>
      </c>
      <c r="Q2906" t="n">
        <v>0.1</v>
      </c>
      <c r="R2906" t="n">
        <v>1</v>
      </c>
      <c r="S2906" t="n">
        <v>3234</v>
      </c>
      <c r="T2906" t="n">
        <v>12</v>
      </c>
      <c r="U2906" t="n">
        <v>13</v>
      </c>
      <c r="V2906" t="n">
        <v>30</v>
      </c>
      <c r="W2906" t="n">
        <v>2</v>
      </c>
      <c r="X2906" t="n">
        <v>15.15151515151515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623</v>
      </c>
      <c r="AG2906" t="n">
        <v>107</v>
      </c>
      <c r="AH2906" t="inlineStr">
        <is>
          <t xml:space="preserve">CV. DAHLIA - PPN (PDG) </t>
        </is>
      </c>
      <c r="AI2906" t="n">
        <v>1634</v>
      </c>
      <c r="AJ2906" t="inlineStr">
        <is>
          <t>NEWLAB</t>
        </is>
      </c>
      <c r="AK2906" t="n">
        <v>9</v>
      </c>
      <c r="AL2906" t="inlineStr">
        <is>
          <t>Miss Glam Jambi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NEWLAB</t>
        </is>
      </c>
      <c r="B2907" s="2">
        <f>"60100106208"</f>
        <v/>
      </c>
      <c r="C2907" t="inlineStr">
        <is>
          <t>NEWLAB Brightlogy C-Gluta 360 Boost 50gr</t>
        </is>
      </c>
      <c r="D2907" t="inlineStr">
        <is>
          <t>Miss Glam Jambi</t>
        </is>
      </c>
      <c r="E2907" t="n">
        <v>0</v>
      </c>
      <c r="F2907" t="n">
        <v>0.0462</v>
      </c>
      <c r="G2907" t="n">
        <v>0.33</v>
      </c>
      <c r="H2907" t="n">
        <v>6</v>
      </c>
      <c r="I2907" t="n">
        <v>12</v>
      </c>
      <c r="J2907" t="n">
        <v>3</v>
      </c>
      <c r="K2907" t="n">
        <v>0</v>
      </c>
      <c r="L2907" t="n">
        <v>73150</v>
      </c>
      <c r="M2907" t="n">
        <v>75000</v>
      </c>
      <c r="N2907" t="n">
        <v>33</v>
      </c>
      <c r="O2907" t="n">
        <v>0.33</v>
      </c>
      <c r="P2907" t="n">
        <v>1</v>
      </c>
      <c r="Q2907" t="n">
        <v>0.12</v>
      </c>
      <c r="R2907" t="n">
        <v>1</v>
      </c>
      <c r="S2907" t="n">
        <v>3465</v>
      </c>
      <c r="T2907" t="n">
        <v>4</v>
      </c>
      <c r="U2907" t="n">
        <v>5</v>
      </c>
      <c r="V2907" t="n">
        <v>30</v>
      </c>
      <c r="W2907" t="n">
        <v>2</v>
      </c>
      <c r="X2907" t="n">
        <v>0</v>
      </c>
      <c r="Y2907" t="n">
        <v>1</v>
      </c>
      <c r="Z2907" t="n">
        <v>2</v>
      </c>
      <c r="AA2907" t="n">
        <v>1</v>
      </c>
      <c r="AB2907" t="n">
        <v>1</v>
      </c>
      <c r="AC2907" t="n">
        <v>3</v>
      </c>
      <c r="AD2907" t="n">
        <v>73150</v>
      </c>
      <c r="AE2907" t="n">
        <v>219450</v>
      </c>
      <c r="AF2907" t="n">
        <v>623</v>
      </c>
      <c r="AG2907" t="n">
        <v>107</v>
      </c>
      <c r="AH2907" t="inlineStr">
        <is>
          <t xml:space="preserve">CV. DAHLIA - PPN (PDG) </t>
        </is>
      </c>
      <c r="AI2907" t="n">
        <v>1634</v>
      </c>
      <c r="AJ2907" t="inlineStr">
        <is>
          <t>NEWLAB</t>
        </is>
      </c>
      <c r="AK2907" t="n">
        <v>9</v>
      </c>
      <c r="AL2907" t="inlineStr">
        <is>
          <t>Miss Glam Jambi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NEWLAB</t>
        </is>
      </c>
      <c r="B2908" s="2">
        <f>"8993883184177"</f>
        <v/>
      </c>
      <c r="C2908" t="inlineStr">
        <is>
          <t>NEWLAB Brightlogy Glutacoll-5500 255gr</t>
        </is>
      </c>
      <c r="D2908" t="inlineStr">
        <is>
          <t>Miss Glam Jambi</t>
        </is>
      </c>
      <c r="E2908" t="n">
        <v>14</v>
      </c>
      <c r="F2908" t="n">
        <v>0.0726</v>
      </c>
      <c r="G2908" t="n">
        <v>0.66</v>
      </c>
      <c r="H2908" t="n">
        <v>6</v>
      </c>
      <c r="I2908" t="n">
        <v>12</v>
      </c>
      <c r="J2908" t="n">
        <v>3</v>
      </c>
      <c r="K2908" t="n">
        <v>0</v>
      </c>
      <c r="L2908" t="n">
        <v>130130</v>
      </c>
      <c r="M2908" t="n">
        <v>160000</v>
      </c>
      <c r="N2908" t="n">
        <v>33</v>
      </c>
      <c r="O2908" t="n">
        <v>0.33</v>
      </c>
      <c r="P2908" t="n">
        <v>1</v>
      </c>
      <c r="Q2908" t="n">
        <v>0.07000000000000001</v>
      </c>
      <c r="R2908" t="n">
        <v>1</v>
      </c>
      <c r="S2908" t="n">
        <v>11616</v>
      </c>
      <c r="T2908" t="n">
        <v>8</v>
      </c>
      <c r="U2908" t="n">
        <v>9</v>
      </c>
      <c r="V2908" t="n">
        <v>30</v>
      </c>
      <c r="W2908" t="n">
        <v>3</v>
      </c>
      <c r="X2908" t="n">
        <v>192.8374655647383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623</v>
      </c>
      <c r="AG2908" t="n">
        <v>107</v>
      </c>
      <c r="AH2908" t="inlineStr">
        <is>
          <t xml:space="preserve">CV. DAHLIA - PPN (PDG) </t>
        </is>
      </c>
      <c r="AI2908" t="n">
        <v>1634</v>
      </c>
      <c r="AJ2908" t="inlineStr">
        <is>
          <t>NEWLAB</t>
        </is>
      </c>
      <c r="AK2908" t="n">
        <v>9</v>
      </c>
      <c r="AL2908" t="inlineStr">
        <is>
          <t>Miss Glam Jambi</t>
        </is>
      </c>
      <c r="AM2908" t="n">
        <v>3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NEWLAB</t>
        </is>
      </c>
      <c r="B2909" s="2">
        <f>"8993883184184"</f>
        <v/>
      </c>
      <c r="C2909" t="inlineStr">
        <is>
          <t>NEWLAB Brightlogy Glutacoll-5500 Mini 119gr</t>
        </is>
      </c>
      <c r="D2909" t="inlineStr">
        <is>
          <t>Miss Glam Jambi</t>
        </is>
      </c>
      <c r="E2909" t="n">
        <v>0</v>
      </c>
      <c r="F2909" t="n">
        <v>0.0561</v>
      </c>
      <c r="G2909" t="n">
        <v>0.99</v>
      </c>
      <c r="H2909" t="n">
        <v>6</v>
      </c>
      <c r="I2909" t="n">
        <v>12</v>
      </c>
      <c r="J2909" t="n">
        <v>3</v>
      </c>
      <c r="K2909" t="n">
        <v>6</v>
      </c>
      <c r="L2909" t="n">
        <v>68530</v>
      </c>
      <c r="M2909" t="n">
        <v>89000</v>
      </c>
      <c r="N2909" t="n">
        <v>33</v>
      </c>
      <c r="O2909" t="n">
        <v>0.33</v>
      </c>
      <c r="P2909" t="n">
        <v>1</v>
      </c>
      <c r="Q2909" t="n">
        <v>0.11</v>
      </c>
      <c r="R2909" t="n">
        <v>2</v>
      </c>
      <c r="S2909" t="n">
        <v>4992.900000000001</v>
      </c>
      <c r="T2909" t="n">
        <v>12</v>
      </c>
      <c r="U2909" t="n">
        <v>13</v>
      </c>
      <c r="V2909" t="n">
        <v>30</v>
      </c>
      <c r="W2909" t="n">
        <v>2</v>
      </c>
      <c r="X2909" t="n">
        <v>0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623</v>
      </c>
      <c r="AG2909" t="n">
        <v>107</v>
      </c>
      <c r="AH2909" t="inlineStr">
        <is>
          <t xml:space="preserve">CV. DAHLIA - PPN (PDG) </t>
        </is>
      </c>
      <c r="AI2909" t="n">
        <v>1634</v>
      </c>
      <c r="AJ2909" t="inlineStr">
        <is>
          <t>NEWLAB</t>
        </is>
      </c>
      <c r="AK2909" t="n">
        <v>9</v>
      </c>
      <c r="AL2909" t="inlineStr">
        <is>
          <t>Miss Glam Jambi</t>
        </is>
      </c>
      <c r="AM2909" t="n">
        <v>3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NEWLAB</t>
        </is>
      </c>
      <c r="B2910" s="2">
        <f>"60100215849"</f>
        <v/>
      </c>
      <c r="C2910" t="inlineStr">
        <is>
          <t>NEWLAB Fitlogy Tea Drink Mini 84gr</t>
        </is>
      </c>
      <c r="D2910" t="inlineStr">
        <is>
          <t>Miss Glam Jambi</t>
        </is>
      </c>
      <c r="E2910" t="n">
        <v>6</v>
      </c>
      <c r="F2910" t="n">
        <v>0.1023</v>
      </c>
      <c r="G2910" t="n">
        <v>0.66</v>
      </c>
      <c r="H2910" t="n">
        <v>6</v>
      </c>
      <c r="I2910" t="n">
        <v>12</v>
      </c>
      <c r="J2910" t="n">
        <v>3</v>
      </c>
      <c r="K2910" t="n">
        <v>0</v>
      </c>
      <c r="L2910" t="n">
        <v>34650</v>
      </c>
      <c r="M2910" t="n">
        <v>45000</v>
      </c>
      <c r="N2910" t="n">
        <v>33</v>
      </c>
      <c r="O2910" t="n">
        <v>0.33</v>
      </c>
      <c r="P2910" t="n">
        <v>1</v>
      </c>
      <c r="Q2910" t="n">
        <v>0.08</v>
      </c>
      <c r="R2910" t="n">
        <v>1</v>
      </c>
      <c r="S2910" t="n">
        <v>4603.5</v>
      </c>
      <c r="T2910" t="n">
        <v>8</v>
      </c>
      <c r="U2910" t="n">
        <v>9</v>
      </c>
      <c r="V2910" t="n">
        <v>30</v>
      </c>
      <c r="W2910" t="n">
        <v>4</v>
      </c>
      <c r="X2910" t="n">
        <v>58.65102639296187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623</v>
      </c>
      <c r="AG2910" t="n">
        <v>107</v>
      </c>
      <c r="AH2910" t="inlineStr">
        <is>
          <t xml:space="preserve">CV. DAHLIA - PPN (PDG) </t>
        </is>
      </c>
      <c r="AI2910" t="n">
        <v>1634</v>
      </c>
      <c r="AJ2910" t="inlineStr">
        <is>
          <t>NEWLAB</t>
        </is>
      </c>
      <c r="AK2910" t="n">
        <v>9</v>
      </c>
      <c r="AL2910" t="inlineStr">
        <is>
          <t>Miss Glam Jambi</t>
        </is>
      </c>
      <c r="AM2910" t="n">
        <v>3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NEWLAB</t>
        </is>
      </c>
      <c r="B2911" s="2">
        <f>"30300400742"</f>
        <v/>
      </c>
      <c r="C2911" t="inlineStr">
        <is>
          <t>NEWLAB Fitology Boost 50gr</t>
        </is>
      </c>
      <c r="D2911" t="inlineStr">
        <is>
          <t>Miss Glam Jambi</t>
        </is>
      </c>
      <c r="E2911" t="n">
        <v>3</v>
      </c>
      <c r="F2911" t="n">
        <v>0.006600000000000001</v>
      </c>
      <c r="G2911" t="n">
        <v>0.33</v>
      </c>
      <c r="H2911" t="n">
        <v>6</v>
      </c>
      <c r="I2911" t="n">
        <v>12</v>
      </c>
      <c r="J2911" t="n">
        <v>1</v>
      </c>
      <c r="K2911" t="n">
        <v>0</v>
      </c>
      <c r="L2911" t="n">
        <v>57750</v>
      </c>
      <c r="M2911" t="n">
        <v>75000</v>
      </c>
      <c r="N2911" t="n">
        <v>33</v>
      </c>
      <c r="O2911" t="n">
        <v>0.33</v>
      </c>
      <c r="P2911" t="n">
        <v>1</v>
      </c>
      <c r="Q2911" t="n">
        <v>0.02</v>
      </c>
      <c r="R2911" t="n">
        <v>1</v>
      </c>
      <c r="S2911" t="n">
        <v>495.0000000000001</v>
      </c>
      <c r="T2911" t="n">
        <v>4</v>
      </c>
      <c r="U2911" t="n">
        <v>5</v>
      </c>
      <c r="V2911" t="n">
        <v>30</v>
      </c>
      <c r="W2911" t="n">
        <v>1</v>
      </c>
      <c r="X2911" t="n">
        <v>454.5454545454545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623</v>
      </c>
      <c r="AG2911" t="n">
        <v>107</v>
      </c>
      <c r="AH2911" t="inlineStr">
        <is>
          <t xml:space="preserve">CV. DAHLIA - PPN (PDG) </t>
        </is>
      </c>
      <c r="AI2911" t="n">
        <v>1634</v>
      </c>
      <c r="AJ2911" t="inlineStr">
        <is>
          <t>NEWLAB</t>
        </is>
      </c>
      <c r="AK2911" t="n">
        <v>9</v>
      </c>
      <c r="AL2911" t="inlineStr">
        <is>
          <t>Miss Glam Jambi</t>
        </is>
      </c>
      <c r="AM2911" t="n">
        <v>3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NIVEA</t>
        </is>
      </c>
      <c r="B2912" s="2">
        <f>"8999777010522"</f>
        <v/>
      </c>
      <c r="C2912" t="inlineStr">
        <is>
          <t>NIVEA  Pearl White Micellar Water 200ml</t>
        </is>
      </c>
      <c r="D2912" t="inlineStr">
        <is>
          <t>Miss Glam Jambi</t>
        </is>
      </c>
      <c r="E2912" t="n">
        <v>12</v>
      </c>
      <c r="F2912" t="n">
        <v>0.0396</v>
      </c>
      <c r="G2912" t="n">
        <v>0.33</v>
      </c>
      <c r="H2912" t="n">
        <v>6</v>
      </c>
      <c r="I2912" t="n">
        <v>26</v>
      </c>
      <c r="J2912" t="n">
        <v>3</v>
      </c>
      <c r="K2912" t="n">
        <v>0</v>
      </c>
      <c r="L2912" t="n">
        <v>49043</v>
      </c>
      <c r="M2912" t="n">
        <v>58000</v>
      </c>
      <c r="N2912" t="n">
        <v>33</v>
      </c>
      <c r="O2912" t="n">
        <v>0.33</v>
      </c>
      <c r="P2912" t="n">
        <v>1</v>
      </c>
      <c r="Q2912" t="n">
        <v>0.07000000000000001</v>
      </c>
      <c r="R2912" t="n">
        <v>1</v>
      </c>
      <c r="S2912" t="n">
        <v>2296.8</v>
      </c>
      <c r="T2912" t="n">
        <v>9</v>
      </c>
      <c r="U2912" t="n">
        <v>10</v>
      </c>
      <c r="V2912" t="n">
        <v>30</v>
      </c>
      <c r="W2912" t="n">
        <v>2</v>
      </c>
      <c r="X2912" t="n">
        <v>303.030303030303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9830</v>
      </c>
      <c r="AG2912" t="n">
        <v>2133</v>
      </c>
      <c r="AH2912" t="inlineStr">
        <is>
          <t>PT. ENSEVAL PUTERA MEGATRADING - PPN (JMB)</t>
        </is>
      </c>
      <c r="AI2912" t="n">
        <v>116</v>
      </c>
      <c r="AJ2912" t="inlineStr">
        <is>
          <t>NIVEA</t>
        </is>
      </c>
      <c r="AK2912" t="n">
        <v>9</v>
      </c>
      <c r="AL2912" t="inlineStr">
        <is>
          <t>Miss Glam Jambi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NIVEA</t>
        </is>
      </c>
      <c r="B2913" s="2">
        <f>"8999777004293"</f>
        <v/>
      </c>
      <c r="C2913" t="inlineStr">
        <is>
          <t>NIVEA Black &amp; White Invisible Clear 25ml</t>
        </is>
      </c>
      <c r="D2913" t="inlineStr">
        <is>
          <t>Miss Glam Jambi</t>
        </is>
      </c>
      <c r="E2913" t="n">
        <v>7</v>
      </c>
      <c r="F2913" t="n">
        <v>0.3927</v>
      </c>
      <c r="G2913" t="n">
        <v>1.65</v>
      </c>
      <c r="H2913" t="n">
        <v>6</v>
      </c>
      <c r="I2913" t="n">
        <v>26</v>
      </c>
      <c r="J2913" t="n">
        <v>3</v>
      </c>
      <c r="K2913" t="n">
        <v>3</v>
      </c>
      <c r="L2913" t="n">
        <v>12286</v>
      </c>
      <c r="M2913" t="n">
        <v>14000</v>
      </c>
      <c r="N2913" t="n">
        <v>33</v>
      </c>
      <c r="O2913" t="n">
        <v>0.33</v>
      </c>
      <c r="P2913" t="n">
        <v>1</v>
      </c>
      <c r="Q2913" t="n">
        <v>0.17</v>
      </c>
      <c r="R2913" t="n">
        <v>1</v>
      </c>
      <c r="S2913" t="n">
        <v>5497.8</v>
      </c>
      <c r="T2913" t="n">
        <v>41</v>
      </c>
      <c r="U2913" t="n">
        <v>44</v>
      </c>
      <c r="V2913" t="n">
        <v>30</v>
      </c>
      <c r="W2913" t="n">
        <v>12</v>
      </c>
      <c r="X2913" t="n">
        <v>17.825311942959</v>
      </c>
      <c r="Y2913" t="n">
        <v>1</v>
      </c>
      <c r="Z2913" t="n">
        <v>2</v>
      </c>
      <c r="AA2913" t="n">
        <v>3</v>
      </c>
      <c r="AB2913" t="n">
        <v>0</v>
      </c>
      <c r="AC2913" t="n">
        <v>0</v>
      </c>
      <c r="AD2913" t="n">
        <v>36858</v>
      </c>
      <c r="AE2913" t="n">
        <v>0</v>
      </c>
      <c r="AF2913" t="n">
        <v>9830</v>
      </c>
      <c r="AG2913" t="n">
        <v>2133</v>
      </c>
      <c r="AH2913" t="inlineStr">
        <is>
          <t>PT. ENSEVAL PUTERA MEGATRADING - PPN (JMB)</t>
        </is>
      </c>
      <c r="AI2913" t="n">
        <v>116</v>
      </c>
      <c r="AJ2913" t="inlineStr">
        <is>
          <t>NIVEA</t>
        </is>
      </c>
      <c r="AK2913" t="n">
        <v>9</v>
      </c>
      <c r="AL2913" t="inlineStr">
        <is>
          <t>Miss Glam Jambi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NIVEA</t>
        </is>
      </c>
      <c r="B2914" s="2">
        <f>"8999777004354"</f>
        <v/>
      </c>
      <c r="C2914" t="inlineStr">
        <is>
          <t>NIVEA Black &amp; White Invisible Clear 50ml</t>
        </is>
      </c>
      <c r="D2914" t="inlineStr">
        <is>
          <t>Miss Glam Jambi</t>
        </is>
      </c>
      <c r="E2914" t="n">
        <v>5</v>
      </c>
      <c r="F2914" t="n">
        <v>0.3135</v>
      </c>
      <c r="G2914" t="n">
        <v>1.32</v>
      </c>
      <c r="H2914" t="n">
        <v>6</v>
      </c>
      <c r="I2914" t="n">
        <v>26</v>
      </c>
      <c r="J2914" t="n">
        <v>3</v>
      </c>
      <c r="K2914" t="n">
        <v>3</v>
      </c>
      <c r="L2914" t="n">
        <v>20523</v>
      </c>
      <c r="M2914" t="n">
        <v>23000</v>
      </c>
      <c r="N2914" t="n">
        <v>33</v>
      </c>
      <c r="O2914" t="n">
        <v>0.33</v>
      </c>
      <c r="P2914" t="n">
        <v>1</v>
      </c>
      <c r="Q2914" t="n">
        <v>0.24</v>
      </c>
      <c r="R2914" t="n">
        <v>2</v>
      </c>
      <c r="S2914" t="n">
        <v>7210.5</v>
      </c>
      <c r="T2914" t="n">
        <v>33</v>
      </c>
      <c r="U2914" t="n">
        <v>35</v>
      </c>
      <c r="V2914" t="n">
        <v>30</v>
      </c>
      <c r="W2914" t="n">
        <v>10</v>
      </c>
      <c r="X2914" t="n">
        <v>15.94896331738437</v>
      </c>
      <c r="Y2914" t="n">
        <v>1</v>
      </c>
      <c r="Z2914" t="n">
        <v>2</v>
      </c>
      <c r="AA2914" t="n">
        <v>3</v>
      </c>
      <c r="AB2914" t="n">
        <v>0</v>
      </c>
      <c r="AC2914" t="n">
        <v>0</v>
      </c>
      <c r="AD2914" t="n">
        <v>61569</v>
      </c>
      <c r="AE2914" t="n">
        <v>0</v>
      </c>
      <c r="AF2914" t="n">
        <v>9830</v>
      </c>
      <c r="AG2914" t="n">
        <v>2133</v>
      </c>
      <c r="AH2914" t="inlineStr">
        <is>
          <t>PT. ENSEVAL PUTERA MEGATRADING - PPN (JMB)</t>
        </is>
      </c>
      <c r="AI2914" t="n">
        <v>116</v>
      </c>
      <c r="AJ2914" t="inlineStr">
        <is>
          <t>NIVEA</t>
        </is>
      </c>
      <c r="AK2914" t="n">
        <v>9</v>
      </c>
      <c r="AL2914" t="inlineStr">
        <is>
          <t>Miss Glam Jambi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NIVEA</t>
        </is>
      </c>
      <c r="B2915" s="2">
        <f>"8999777000059"</f>
        <v/>
      </c>
      <c r="C2915" t="inlineStr">
        <is>
          <t>NIVEA Body Care Extra White Radiant &amp; Smooth Lotion 200ml</t>
        </is>
      </c>
      <c r="D2915" t="inlineStr">
        <is>
          <t>Miss Glam Jambi</t>
        </is>
      </c>
      <c r="E2915" t="n">
        <v>3</v>
      </c>
      <c r="F2915" t="n">
        <v>0.09569999999999999</v>
      </c>
      <c r="G2915" t="n">
        <v>0.66</v>
      </c>
      <c r="H2915" t="n">
        <v>6</v>
      </c>
      <c r="I2915" t="n">
        <v>26</v>
      </c>
      <c r="J2915" t="n">
        <v>3</v>
      </c>
      <c r="K2915" t="n">
        <v>0</v>
      </c>
      <c r="L2915" t="n">
        <v>29970</v>
      </c>
      <c r="M2915" t="n">
        <v>33000</v>
      </c>
      <c r="N2915" t="n">
        <v>33</v>
      </c>
      <c r="O2915" t="n">
        <v>0.33</v>
      </c>
      <c r="P2915" t="n">
        <v>1</v>
      </c>
      <c r="Q2915" t="n">
        <v>0.08</v>
      </c>
      <c r="R2915" t="n">
        <v>1</v>
      </c>
      <c r="S2915" t="n">
        <v>3158.1</v>
      </c>
      <c r="T2915" t="n">
        <v>17</v>
      </c>
      <c r="U2915" t="n">
        <v>18</v>
      </c>
      <c r="V2915" t="n">
        <v>30</v>
      </c>
      <c r="W2915" t="n">
        <v>3</v>
      </c>
      <c r="X2915" t="n">
        <v>31.34796238244514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9830</v>
      </c>
      <c r="AG2915" t="n">
        <v>2133</v>
      </c>
      <c r="AH2915" t="inlineStr">
        <is>
          <t>PT. ENSEVAL PUTERA MEGATRADING - PPN (JMB)</t>
        </is>
      </c>
      <c r="AI2915" t="n">
        <v>116</v>
      </c>
      <c r="AJ2915" t="inlineStr">
        <is>
          <t>NIVEA</t>
        </is>
      </c>
      <c r="AK2915" t="n">
        <v>9</v>
      </c>
      <c r="AL2915" t="inlineStr">
        <is>
          <t>Miss Glam Jambi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NIVEA</t>
        </is>
      </c>
      <c r="B2916" s="2">
        <f>"8999777000271"</f>
        <v/>
      </c>
      <c r="C2916" t="inlineStr">
        <is>
          <t>NIVEA Body Lotion Radiant &amp; Smooth 400ml</t>
        </is>
      </c>
      <c r="D2916" t="inlineStr">
        <is>
          <t>Miss Glam Jambi</t>
        </is>
      </c>
      <c r="E2916" t="n">
        <v>1</v>
      </c>
      <c r="F2916" t="n">
        <v>0.033</v>
      </c>
      <c r="G2916" t="n">
        <v>0.33</v>
      </c>
      <c r="H2916" t="n">
        <v>6</v>
      </c>
      <c r="I2916" t="n">
        <v>26</v>
      </c>
      <c r="J2916" t="n">
        <v>3</v>
      </c>
      <c r="K2916" t="n">
        <v>0</v>
      </c>
      <c r="L2916" t="n">
        <v>59219</v>
      </c>
      <c r="M2916" t="n">
        <v>68500</v>
      </c>
      <c r="N2916" t="n">
        <v>33</v>
      </c>
      <c r="O2916" t="n">
        <v>0.33</v>
      </c>
      <c r="P2916" t="n">
        <v>1</v>
      </c>
      <c r="Q2916" t="n">
        <v>0.14</v>
      </c>
      <c r="R2916" t="n">
        <v>4</v>
      </c>
      <c r="S2916" t="n">
        <v>2260.5</v>
      </c>
      <c r="T2916" t="n">
        <v>9</v>
      </c>
      <c r="U2916" t="n">
        <v>10</v>
      </c>
      <c r="V2916" t="n">
        <v>30</v>
      </c>
      <c r="W2916" t="n">
        <v>1</v>
      </c>
      <c r="X2916" t="n">
        <v>30.3030303030303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9830</v>
      </c>
      <c r="AG2916" t="n">
        <v>2133</v>
      </c>
      <c r="AH2916" t="inlineStr">
        <is>
          <t>PT. ENSEVAL PUTERA MEGATRADING - PPN (JMB)</t>
        </is>
      </c>
      <c r="AI2916" t="n">
        <v>116</v>
      </c>
      <c r="AJ2916" t="inlineStr">
        <is>
          <t>NIVEA</t>
        </is>
      </c>
      <c r="AK2916" t="n">
        <v>9</v>
      </c>
      <c r="AL2916" t="inlineStr">
        <is>
          <t>Miss Glam Jambi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NIVEA</t>
        </is>
      </c>
      <c r="B2917" s="2">
        <f>"8999777005320"</f>
        <v/>
      </c>
      <c r="C2917" t="inlineStr">
        <is>
          <t>NIVEA Body Serum Night Whitening Tube 180ml</t>
        </is>
      </c>
      <c r="D2917" t="inlineStr">
        <is>
          <t>Miss Glam Jambi</t>
        </is>
      </c>
      <c r="E2917" t="n">
        <v>3</v>
      </c>
      <c r="F2917" t="n">
        <v>0.2079</v>
      </c>
      <c r="G2917" t="n">
        <v>0.99</v>
      </c>
      <c r="H2917" t="n">
        <v>6</v>
      </c>
      <c r="I2917" t="n">
        <v>26</v>
      </c>
      <c r="J2917" t="n">
        <v>3</v>
      </c>
      <c r="K2917" t="n">
        <v>3</v>
      </c>
      <c r="L2917" t="n">
        <v>28166</v>
      </c>
      <c r="M2917" t="n">
        <v>48500</v>
      </c>
      <c r="N2917" t="n">
        <v>33</v>
      </c>
      <c r="O2917" t="n">
        <v>0.33</v>
      </c>
      <c r="P2917" t="n">
        <v>1</v>
      </c>
      <c r="Q2917" t="n">
        <v>0.1</v>
      </c>
      <c r="R2917" t="n">
        <v>2</v>
      </c>
      <c r="S2917" t="n">
        <v>10083.15</v>
      </c>
      <c r="T2917" t="n">
        <v>25</v>
      </c>
      <c r="U2917" t="n">
        <v>27</v>
      </c>
      <c r="V2917" t="n">
        <v>30</v>
      </c>
      <c r="W2917" t="n">
        <v>7</v>
      </c>
      <c r="X2917" t="n">
        <v>14.43001443001443</v>
      </c>
      <c r="Y2917" t="n">
        <v>1</v>
      </c>
      <c r="Z2917" t="n">
        <v>1</v>
      </c>
      <c r="AA2917" t="n">
        <v>2</v>
      </c>
      <c r="AB2917" t="n">
        <v>0</v>
      </c>
      <c r="AC2917" t="n">
        <v>0</v>
      </c>
      <c r="AD2917" t="n">
        <v>56332</v>
      </c>
      <c r="AE2917" t="n">
        <v>0</v>
      </c>
      <c r="AF2917" t="n">
        <v>9830</v>
      </c>
      <c r="AG2917" t="n">
        <v>2133</v>
      </c>
      <c r="AH2917" t="inlineStr">
        <is>
          <t>PT. ENSEVAL PUTERA MEGATRADING - PPN (JMB)</t>
        </is>
      </c>
      <c r="AI2917" t="n">
        <v>116</v>
      </c>
      <c r="AJ2917" t="inlineStr">
        <is>
          <t>NIVEA</t>
        </is>
      </c>
      <c r="AK2917" t="n">
        <v>9</v>
      </c>
      <c r="AL2917" t="inlineStr">
        <is>
          <t>Miss Glam Jambi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NIVEA</t>
        </is>
      </c>
      <c r="B2918" s="2">
        <f>"8999777009588"</f>
        <v/>
      </c>
      <c r="C2918" t="inlineStr">
        <is>
          <t>NIVEA Body Serum Radiant &amp; Smooth 180ml</t>
        </is>
      </c>
      <c r="D2918" t="inlineStr">
        <is>
          <t>Miss Glam Jambi</t>
        </is>
      </c>
      <c r="E2918" t="n">
        <v>13</v>
      </c>
      <c r="F2918" t="n">
        <v>0.0825</v>
      </c>
      <c r="G2918" t="n">
        <v>0.99</v>
      </c>
      <c r="H2918" t="n">
        <v>6</v>
      </c>
      <c r="I2918" t="n">
        <v>26</v>
      </c>
      <c r="J2918" t="n">
        <v>3</v>
      </c>
      <c r="K2918" t="n">
        <v>0</v>
      </c>
      <c r="L2918" t="n">
        <v>27618</v>
      </c>
      <c r="M2918" t="n">
        <v>36500</v>
      </c>
      <c r="N2918" t="n">
        <v>33</v>
      </c>
      <c r="O2918" t="n">
        <v>0.33</v>
      </c>
      <c r="P2918" t="n">
        <v>1</v>
      </c>
      <c r="Q2918" t="n">
        <v>0.14</v>
      </c>
      <c r="R2918" t="n">
        <v>3</v>
      </c>
      <c r="S2918" t="n">
        <v>3011.25</v>
      </c>
      <c r="T2918" t="n">
        <v>26</v>
      </c>
      <c r="U2918" t="n">
        <v>27</v>
      </c>
      <c r="V2918" t="n">
        <v>30</v>
      </c>
      <c r="W2918" t="n">
        <v>3</v>
      </c>
      <c r="X2918" t="n">
        <v>157.5757575757576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9830</v>
      </c>
      <c r="AG2918" t="n">
        <v>2133</v>
      </c>
      <c r="AH2918" t="inlineStr">
        <is>
          <t>PT. ENSEVAL PUTERA MEGATRADING - PPN (JMB)</t>
        </is>
      </c>
      <c r="AI2918" t="n">
        <v>116</v>
      </c>
      <c r="AJ2918" t="inlineStr">
        <is>
          <t>NIVEA</t>
        </is>
      </c>
      <c r="AK2918" t="n">
        <v>9</v>
      </c>
      <c r="AL2918" t="inlineStr">
        <is>
          <t>Miss Glam Jambi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NIVEA</t>
        </is>
      </c>
      <c r="B2919" s="2">
        <f>"8999777005351"</f>
        <v/>
      </c>
      <c r="C2919" t="inlineStr">
        <is>
          <t>NIVEA Daily Protection Sun Lotion SPF 33 PA+++ 100ml</t>
        </is>
      </c>
      <c r="D2919" t="inlineStr">
        <is>
          <t>Miss Glam Jambi</t>
        </is>
      </c>
      <c r="E2919" t="n">
        <v>29</v>
      </c>
      <c r="F2919" t="n">
        <v>0.5808</v>
      </c>
      <c r="G2919" t="n">
        <v>1.65</v>
      </c>
      <c r="H2919" t="n">
        <v>6</v>
      </c>
      <c r="I2919" t="n">
        <v>26</v>
      </c>
      <c r="J2919" t="n">
        <v>3</v>
      </c>
      <c r="K2919" t="n">
        <v>0</v>
      </c>
      <c r="L2919" t="n">
        <v>37164</v>
      </c>
      <c r="M2919" t="n">
        <v>43500</v>
      </c>
      <c r="N2919" t="n">
        <v>33</v>
      </c>
      <c r="O2919" t="n">
        <v>0.33</v>
      </c>
      <c r="P2919" t="n">
        <v>1</v>
      </c>
      <c r="Q2919" t="n">
        <v>0.59</v>
      </c>
      <c r="R2919" t="n">
        <v>4</v>
      </c>
      <c r="S2919" t="n">
        <v>25264.8</v>
      </c>
      <c r="T2919" t="n">
        <v>40</v>
      </c>
      <c r="U2919" t="n">
        <v>44</v>
      </c>
      <c r="V2919" t="n">
        <v>30</v>
      </c>
      <c r="W2919" t="n">
        <v>18</v>
      </c>
      <c r="X2919" t="n">
        <v>49.93112947658403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9830</v>
      </c>
      <c r="AG2919" t="n">
        <v>2133</v>
      </c>
      <c r="AH2919" t="inlineStr">
        <is>
          <t>PT. ENSEVAL PUTERA MEGATRADING - PPN (JMB)</t>
        </is>
      </c>
      <c r="AI2919" t="n">
        <v>116</v>
      </c>
      <c r="AJ2919" t="inlineStr">
        <is>
          <t>NIVEA</t>
        </is>
      </c>
      <c r="AK2919" t="n">
        <v>9</v>
      </c>
      <c r="AL2919" t="inlineStr">
        <is>
          <t>Miss Glam Jambi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NIVEA</t>
        </is>
      </c>
      <c r="B2920" s="2">
        <f>"8999777007430"</f>
        <v/>
      </c>
      <c r="C2920" t="inlineStr">
        <is>
          <t>NIVEA Dedorant Whitening Happy Shave 50ml</t>
        </is>
      </c>
      <c r="D2920" t="inlineStr">
        <is>
          <t>Miss Glam Jambi</t>
        </is>
      </c>
      <c r="E2920" t="n">
        <v>4</v>
      </c>
      <c r="F2920" t="n">
        <v>0.2508</v>
      </c>
      <c r="G2920" t="n">
        <v>0.99</v>
      </c>
      <c r="H2920" t="n">
        <v>6</v>
      </c>
      <c r="I2920" t="n">
        <v>26</v>
      </c>
      <c r="J2920" t="n">
        <v>3</v>
      </c>
      <c r="K2920" t="n">
        <v>3</v>
      </c>
      <c r="L2920" t="n">
        <v>20880</v>
      </c>
      <c r="M2920" t="n">
        <v>23500</v>
      </c>
      <c r="N2920" t="n">
        <v>33</v>
      </c>
      <c r="O2920" t="n">
        <v>0.33</v>
      </c>
      <c r="P2920" t="n">
        <v>1</v>
      </c>
      <c r="Q2920" t="n">
        <v>0.1</v>
      </c>
      <c r="R2920" t="n">
        <v>1</v>
      </c>
      <c r="S2920" t="n">
        <v>5893.8</v>
      </c>
      <c r="T2920" t="n">
        <v>25</v>
      </c>
      <c r="U2920" t="n">
        <v>27</v>
      </c>
      <c r="V2920" t="n">
        <v>30</v>
      </c>
      <c r="W2920" t="n">
        <v>8</v>
      </c>
      <c r="X2920" t="n">
        <v>15.94896331738437</v>
      </c>
      <c r="Y2920" t="n">
        <v>1</v>
      </c>
      <c r="Z2920" t="n">
        <v>1</v>
      </c>
      <c r="AA2920" t="n">
        <v>2</v>
      </c>
      <c r="AB2920" t="n">
        <v>0</v>
      </c>
      <c r="AC2920" t="n">
        <v>0</v>
      </c>
      <c r="AD2920" t="n">
        <v>41760</v>
      </c>
      <c r="AE2920" t="n">
        <v>0</v>
      </c>
      <c r="AF2920" t="n">
        <v>9830</v>
      </c>
      <c r="AG2920" t="n">
        <v>2133</v>
      </c>
      <c r="AH2920" t="inlineStr">
        <is>
          <t>PT. ENSEVAL PUTERA MEGATRADING - PPN (JMB)</t>
        </is>
      </c>
      <c r="AI2920" t="n">
        <v>116</v>
      </c>
      <c r="AJ2920" t="inlineStr">
        <is>
          <t>NIVEA</t>
        </is>
      </c>
      <c r="AK2920" t="n">
        <v>9</v>
      </c>
      <c r="AL2920" t="inlineStr">
        <is>
          <t>Miss Glam Jambi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NIVEA</t>
        </is>
      </c>
      <c r="B2921" s="2">
        <f>"8999777004163"</f>
        <v/>
      </c>
      <c r="C2921" t="inlineStr">
        <is>
          <t>NIVEA Deo Extra Brightening 50ml</t>
        </is>
      </c>
      <c r="D2921" t="inlineStr">
        <is>
          <t>Miss Glam Jambi</t>
        </is>
      </c>
      <c r="E2921" t="n">
        <v>9</v>
      </c>
      <c r="F2921" t="n">
        <v>0.8514</v>
      </c>
      <c r="G2921" t="n">
        <v>3.63</v>
      </c>
      <c r="H2921" t="n">
        <v>6</v>
      </c>
      <c r="I2921" t="n">
        <v>26</v>
      </c>
      <c r="J2921" t="n">
        <v>3</v>
      </c>
      <c r="K2921" t="n">
        <v>4</v>
      </c>
      <c r="L2921" t="n">
        <v>21088</v>
      </c>
      <c r="M2921" t="n">
        <v>24500</v>
      </c>
      <c r="N2921" t="n">
        <v>33</v>
      </c>
      <c r="O2921" t="n">
        <v>0.33</v>
      </c>
      <c r="P2921" t="n">
        <v>1</v>
      </c>
      <c r="Q2921" t="n">
        <v>0.42</v>
      </c>
      <c r="R2921" t="n">
        <v>3</v>
      </c>
      <c r="S2921" t="n">
        <v>20859.3</v>
      </c>
      <c r="T2921" t="n">
        <v>90</v>
      </c>
      <c r="U2921" t="n">
        <v>96</v>
      </c>
      <c r="V2921" t="n">
        <v>30</v>
      </c>
      <c r="W2921" t="n">
        <v>26</v>
      </c>
      <c r="X2921" t="n">
        <v>10.5708245243129</v>
      </c>
      <c r="Y2921" t="n">
        <v>1</v>
      </c>
      <c r="Z2921" t="n">
        <v>13</v>
      </c>
      <c r="AA2921" t="n">
        <v>13</v>
      </c>
      <c r="AB2921" t="n">
        <v>0</v>
      </c>
      <c r="AC2921" t="n">
        <v>0</v>
      </c>
      <c r="AD2921" t="n">
        <v>274144</v>
      </c>
      <c r="AE2921" t="n">
        <v>0</v>
      </c>
      <c r="AF2921" t="n">
        <v>9830</v>
      </c>
      <c r="AG2921" t="n">
        <v>2133</v>
      </c>
      <c r="AH2921" t="inlineStr">
        <is>
          <t>PT. ENSEVAL PUTERA MEGATRADING - PPN (JMB)</t>
        </is>
      </c>
      <c r="AI2921" t="n">
        <v>116</v>
      </c>
      <c r="AJ2921" t="inlineStr">
        <is>
          <t>NIVEA</t>
        </is>
      </c>
      <c r="AK2921" t="n">
        <v>9</v>
      </c>
      <c r="AL2921" t="inlineStr">
        <is>
          <t>Miss Glam Jambi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NIVEA</t>
        </is>
      </c>
      <c r="B2922" s="2">
        <f>"42397625"</f>
        <v/>
      </c>
      <c r="C2922" t="inlineStr">
        <is>
          <t>NIVEA Deodoran Whitening Hijab Fersh  25 ml</t>
        </is>
      </c>
      <c r="D2922" t="inlineStr">
        <is>
          <t>Miss Glam Jambi</t>
        </is>
      </c>
      <c r="E2922" t="n">
        <v>28</v>
      </c>
      <c r="F2922" t="n">
        <v>1.1847</v>
      </c>
      <c r="G2922" t="n">
        <v>3.3</v>
      </c>
      <c r="H2922" t="n">
        <v>6</v>
      </c>
      <c r="I2922" t="n">
        <v>26</v>
      </c>
      <c r="J2922" t="n">
        <v>3</v>
      </c>
      <c r="K2922" t="n">
        <v>9</v>
      </c>
      <c r="L2922" t="n">
        <v>12287</v>
      </c>
      <c r="M2922" t="n">
        <v>13000</v>
      </c>
      <c r="N2922" t="n">
        <v>33</v>
      </c>
      <c r="O2922" t="n">
        <v>0.33</v>
      </c>
      <c r="P2922" t="n">
        <v>1</v>
      </c>
      <c r="Q2922" t="n">
        <v>0.61</v>
      </c>
      <c r="R2922" t="n">
        <v>3</v>
      </c>
      <c r="S2922" t="n">
        <v>15401.1</v>
      </c>
      <c r="T2922" t="n">
        <v>79</v>
      </c>
      <c r="U2922" t="n">
        <v>87</v>
      </c>
      <c r="V2922" t="n">
        <v>30</v>
      </c>
      <c r="W2922" t="n">
        <v>36</v>
      </c>
      <c r="X2922" t="n">
        <v>23.6346754452604</v>
      </c>
      <c r="Y2922" t="n">
        <v>1</v>
      </c>
      <c r="Z2922" t="n">
        <v>0</v>
      </c>
      <c r="AA2922" t="n">
        <v>2</v>
      </c>
      <c r="AB2922" t="n">
        <v>0</v>
      </c>
      <c r="AC2922" t="n">
        <v>0</v>
      </c>
      <c r="AD2922" t="n">
        <v>24574</v>
      </c>
      <c r="AE2922" t="n">
        <v>0</v>
      </c>
      <c r="AF2922" t="n">
        <v>9830</v>
      </c>
      <c r="AG2922" t="n">
        <v>2133</v>
      </c>
      <c r="AH2922" t="inlineStr">
        <is>
          <t>PT. ENSEVAL PUTERA MEGATRADING - PPN (JMB)</t>
        </is>
      </c>
      <c r="AI2922" t="n">
        <v>116</v>
      </c>
      <c r="AJ2922" t="inlineStr">
        <is>
          <t>NIVEA</t>
        </is>
      </c>
      <c r="AK2922" t="n">
        <v>9</v>
      </c>
      <c r="AL2922" t="inlineStr">
        <is>
          <t>Miss Glam Jambi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NIVEA</t>
        </is>
      </c>
      <c r="B2923" s="2">
        <f>"8999777014209"</f>
        <v/>
      </c>
      <c r="C2923" t="inlineStr">
        <is>
          <t>NIVEA Deodorant Anti Bacteri 50ml</t>
        </is>
      </c>
      <c r="D2923" t="inlineStr">
        <is>
          <t>Miss Glam Jambi</t>
        </is>
      </c>
      <c r="E2923" t="n">
        <v>6</v>
      </c>
      <c r="F2923" t="n">
        <v>0.1353</v>
      </c>
      <c r="G2923" t="n">
        <v>0.66</v>
      </c>
      <c r="H2923" t="n">
        <v>6</v>
      </c>
      <c r="I2923" t="n">
        <v>26</v>
      </c>
      <c r="J2923" t="n">
        <v>3</v>
      </c>
      <c r="K2923" t="n">
        <v>0</v>
      </c>
      <c r="L2923" t="n">
        <v>21479</v>
      </c>
      <c r="M2923" t="n">
        <v>25000</v>
      </c>
      <c r="N2923" t="n">
        <v>33</v>
      </c>
      <c r="O2923" t="n">
        <v>0.33</v>
      </c>
      <c r="P2923" t="n">
        <v>1</v>
      </c>
      <c r="Q2923" t="n">
        <v>0.22</v>
      </c>
      <c r="R2923" t="n">
        <v>2</v>
      </c>
      <c r="S2923" t="n">
        <v>3382.5</v>
      </c>
      <c r="T2923" t="n">
        <v>17</v>
      </c>
      <c r="U2923" t="n">
        <v>18</v>
      </c>
      <c r="V2923" t="n">
        <v>30</v>
      </c>
      <c r="W2923" t="n">
        <v>5</v>
      </c>
      <c r="X2923" t="n">
        <v>44.34589800443459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9830</v>
      </c>
      <c r="AG2923" t="n">
        <v>2133</v>
      </c>
      <c r="AH2923" t="inlineStr">
        <is>
          <t>PT. ENSEVAL PUTERA MEGATRADING - PPN (JMB)</t>
        </is>
      </c>
      <c r="AI2923" t="n">
        <v>116</v>
      </c>
      <c r="AJ2923" t="inlineStr">
        <is>
          <t>NIVEA</t>
        </is>
      </c>
      <c r="AK2923" t="n">
        <v>9</v>
      </c>
      <c r="AL2923" t="inlineStr">
        <is>
          <t>Miss Glam Jambi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NIVEA</t>
        </is>
      </c>
      <c r="B2924" s="2">
        <f>"8999777017873"</f>
        <v/>
      </c>
      <c r="C2924" t="inlineStr">
        <is>
          <t>NIVEA Deodorant Brightening Hijab Cool 50ml</t>
        </is>
      </c>
      <c r="D2924" t="inlineStr">
        <is>
          <t>Miss Glam Jambi</t>
        </is>
      </c>
      <c r="E2924" t="n">
        <v>20</v>
      </c>
      <c r="F2924" t="n">
        <v>0.1122</v>
      </c>
      <c r="G2924" t="n">
        <v>0.66</v>
      </c>
      <c r="H2924" t="n">
        <v>6</v>
      </c>
      <c r="I2924" t="n">
        <v>26</v>
      </c>
      <c r="J2924" t="n">
        <v>3</v>
      </c>
      <c r="K2924" t="n">
        <v>0</v>
      </c>
      <c r="L2924" t="n">
        <v>21059</v>
      </c>
      <c r="M2924" t="n">
        <v>24000</v>
      </c>
      <c r="N2924" t="n">
        <v>33</v>
      </c>
      <c r="O2924" t="n">
        <v>0.33</v>
      </c>
      <c r="P2924" t="n">
        <v>1</v>
      </c>
      <c r="Q2924" t="n">
        <v>0.14</v>
      </c>
      <c r="R2924" t="n">
        <v>1</v>
      </c>
      <c r="S2924" t="n">
        <v>2692.8</v>
      </c>
      <c r="T2924" t="n">
        <v>17</v>
      </c>
      <c r="U2924" t="n">
        <v>18</v>
      </c>
      <c r="V2924" t="n">
        <v>30</v>
      </c>
      <c r="W2924" t="n">
        <v>4</v>
      </c>
      <c r="X2924" t="n">
        <v>178.25311942959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9830</v>
      </c>
      <c r="AG2924" t="n">
        <v>2133</v>
      </c>
      <c r="AH2924" t="inlineStr">
        <is>
          <t>PT. ENSEVAL PUTERA MEGATRADING - PPN (JMB)</t>
        </is>
      </c>
      <c r="AI2924" t="n">
        <v>116</v>
      </c>
      <c r="AJ2924" t="inlineStr">
        <is>
          <t>NIVEA</t>
        </is>
      </c>
      <c r="AK2924" t="n">
        <v>9</v>
      </c>
      <c r="AL2924" t="inlineStr">
        <is>
          <t>Miss Glam Jambi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NIVEA</t>
        </is>
      </c>
      <c r="B2925" s="2">
        <f>"8999777009281"</f>
        <v/>
      </c>
      <c r="C2925" t="inlineStr">
        <is>
          <t>NIVEA Deodorant Brightening Silk Touch 8 Super food  50 ml</t>
        </is>
      </c>
      <c r="D2925" t="inlineStr">
        <is>
          <t>Miss Glam Jambi</t>
        </is>
      </c>
      <c r="E2925" t="n">
        <v>1</v>
      </c>
      <c r="F2925" t="n">
        <v>0.2277</v>
      </c>
      <c r="G2925" t="n">
        <v>1.32</v>
      </c>
      <c r="H2925" t="n">
        <v>6</v>
      </c>
      <c r="I2925" t="n">
        <v>26</v>
      </c>
      <c r="J2925" t="n">
        <v>3</v>
      </c>
      <c r="K2925" t="n">
        <v>3</v>
      </c>
      <c r="L2925" t="n">
        <v>20434</v>
      </c>
      <c r="M2925" t="n">
        <v>23500</v>
      </c>
      <c r="N2925" t="n">
        <v>33</v>
      </c>
      <c r="O2925" t="n">
        <v>0.33</v>
      </c>
      <c r="P2925" t="n">
        <v>1</v>
      </c>
      <c r="Q2925" t="n">
        <v>0.1</v>
      </c>
      <c r="R2925" t="n">
        <v>2</v>
      </c>
      <c r="S2925" t="n">
        <v>5350.95</v>
      </c>
      <c r="T2925" t="n">
        <v>33</v>
      </c>
      <c r="U2925" t="n">
        <v>35</v>
      </c>
      <c r="V2925" t="n">
        <v>30</v>
      </c>
      <c r="W2925" t="n">
        <v>7</v>
      </c>
      <c r="X2925" t="n">
        <v>4.391743522178305</v>
      </c>
      <c r="Y2925" t="n">
        <v>1</v>
      </c>
      <c r="Z2925" t="n">
        <v>3</v>
      </c>
      <c r="AA2925" t="n">
        <v>4</v>
      </c>
      <c r="AB2925" t="n">
        <v>0</v>
      </c>
      <c r="AC2925" t="n">
        <v>0</v>
      </c>
      <c r="AD2925" t="n">
        <v>81736</v>
      </c>
      <c r="AE2925" t="n">
        <v>0</v>
      </c>
      <c r="AF2925" t="n">
        <v>9830</v>
      </c>
      <c r="AG2925" t="n">
        <v>2133</v>
      </c>
      <c r="AH2925" t="inlineStr">
        <is>
          <t>PT. ENSEVAL PUTERA MEGATRADING - PPN (JMB)</t>
        </is>
      </c>
      <c r="AI2925" t="n">
        <v>116</v>
      </c>
      <c r="AJ2925" t="inlineStr">
        <is>
          <t>NIVEA</t>
        </is>
      </c>
      <c r="AK2925" t="n">
        <v>9</v>
      </c>
      <c r="AL2925" t="inlineStr">
        <is>
          <t>Miss Glam Jambi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NIVEA</t>
        </is>
      </c>
      <c r="B2926" s="2">
        <f>"8999777004828"</f>
        <v/>
      </c>
      <c r="C2926" t="inlineStr">
        <is>
          <t>NIVEA Deodorant Extra Brightening Spray 150ml</t>
        </is>
      </c>
      <c r="D2926" t="inlineStr">
        <is>
          <t>Miss Glam Jambi</t>
        </is>
      </c>
      <c r="E2926" t="n">
        <v>7</v>
      </c>
      <c r="F2926" t="n">
        <v>0.06270000000000001</v>
      </c>
      <c r="G2926" t="n">
        <v>0.66</v>
      </c>
      <c r="H2926" t="n">
        <v>6</v>
      </c>
      <c r="I2926" t="n">
        <v>26</v>
      </c>
      <c r="J2926" t="n">
        <v>3</v>
      </c>
      <c r="K2926" t="n">
        <v>0</v>
      </c>
      <c r="L2926" t="n">
        <v>52303</v>
      </c>
      <c r="M2926" t="n">
        <v>57500</v>
      </c>
      <c r="N2926" t="n">
        <v>33</v>
      </c>
      <c r="O2926" t="n">
        <v>0.33</v>
      </c>
      <c r="P2926" t="n">
        <v>1</v>
      </c>
      <c r="Q2926" t="n">
        <v>0.31</v>
      </c>
      <c r="R2926" t="n">
        <v>3</v>
      </c>
      <c r="S2926" t="n">
        <v>3605.25</v>
      </c>
      <c r="T2926" t="n">
        <v>17</v>
      </c>
      <c r="U2926" t="n">
        <v>18</v>
      </c>
      <c r="V2926" t="n">
        <v>30</v>
      </c>
      <c r="W2926" t="n">
        <v>2</v>
      </c>
      <c r="X2926" t="n">
        <v>111.6427432216906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9830</v>
      </c>
      <c r="AG2926" t="n">
        <v>2133</v>
      </c>
      <c r="AH2926" t="inlineStr">
        <is>
          <t>PT. ENSEVAL PUTERA MEGATRADING - PPN (JMB)</t>
        </is>
      </c>
      <c r="AI2926" t="n">
        <v>116</v>
      </c>
      <c r="AJ2926" t="inlineStr">
        <is>
          <t>NIVEA</t>
        </is>
      </c>
      <c r="AK2926" t="n">
        <v>9</v>
      </c>
      <c r="AL2926" t="inlineStr">
        <is>
          <t>Miss Glam Jambi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NIVEA</t>
        </is>
      </c>
      <c r="B2927" s="2">
        <f>"8999777017620"</f>
        <v/>
      </c>
      <c r="C2927" t="inlineStr">
        <is>
          <t>NIVEA Deodorant Hijab Soft Shave Less 50ml</t>
        </is>
      </c>
      <c r="D2927" t="inlineStr">
        <is>
          <t>Miss Glam Jambi</t>
        </is>
      </c>
      <c r="E2927" t="n">
        <v>30</v>
      </c>
      <c r="F2927" t="n">
        <v>0.5148</v>
      </c>
      <c r="G2927" t="n">
        <v>2.31</v>
      </c>
      <c r="H2927" t="n">
        <v>6</v>
      </c>
      <c r="I2927" t="n">
        <v>26</v>
      </c>
      <c r="J2927" t="n">
        <v>3</v>
      </c>
      <c r="K2927" t="n">
        <v>0</v>
      </c>
      <c r="L2927" t="n">
        <v>21477</v>
      </c>
      <c r="M2927" t="n">
        <v>24000</v>
      </c>
      <c r="N2927" t="n">
        <v>33</v>
      </c>
      <c r="O2927" t="n">
        <v>0.33</v>
      </c>
      <c r="P2927" t="n">
        <v>1</v>
      </c>
      <c r="Q2927" t="n">
        <v>0.25</v>
      </c>
      <c r="R2927" t="n">
        <v>2</v>
      </c>
      <c r="S2927" t="n">
        <v>12355.2</v>
      </c>
      <c r="T2927" t="n">
        <v>57</v>
      </c>
      <c r="U2927" t="n">
        <v>61</v>
      </c>
      <c r="V2927" t="n">
        <v>30</v>
      </c>
      <c r="W2927" t="n">
        <v>16</v>
      </c>
      <c r="X2927" t="n">
        <v>58.27505827505827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9830</v>
      </c>
      <c r="AG2927" t="n">
        <v>2133</v>
      </c>
      <c r="AH2927" t="inlineStr">
        <is>
          <t>PT. ENSEVAL PUTERA MEGATRADING - PPN (JMB)</t>
        </is>
      </c>
      <c r="AI2927" t="n">
        <v>116</v>
      </c>
      <c r="AJ2927" t="inlineStr">
        <is>
          <t>NIVEA</t>
        </is>
      </c>
      <c r="AK2927" t="n">
        <v>9</v>
      </c>
      <c r="AL2927" t="inlineStr">
        <is>
          <t>Miss Glam Jambi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NIVEA</t>
        </is>
      </c>
      <c r="B2928" s="2">
        <f>"8999777011000"</f>
        <v/>
      </c>
      <c r="C2928" t="inlineStr">
        <is>
          <t>NIVEA Deodorant Pearl &amp; Beauty 25ml</t>
        </is>
      </c>
      <c r="D2928" t="inlineStr">
        <is>
          <t>Miss Glam Jambi</t>
        </is>
      </c>
      <c r="E2928" t="n">
        <v>8</v>
      </c>
      <c r="F2928" t="n">
        <v>0.8877</v>
      </c>
      <c r="G2928" t="n">
        <v>1.98</v>
      </c>
      <c r="H2928" t="n">
        <v>6</v>
      </c>
      <c r="I2928" t="n">
        <v>26</v>
      </c>
      <c r="J2928" t="n">
        <v>3</v>
      </c>
      <c r="K2928" t="n">
        <v>3</v>
      </c>
      <c r="L2928" t="n">
        <v>12075</v>
      </c>
      <c r="M2928" t="n">
        <v>14500</v>
      </c>
      <c r="N2928" t="n">
        <v>33</v>
      </c>
      <c r="O2928" t="n">
        <v>0.33</v>
      </c>
      <c r="P2928" t="n">
        <v>1</v>
      </c>
      <c r="Q2928" t="n">
        <v>0.42</v>
      </c>
      <c r="R2928" t="n">
        <v>2</v>
      </c>
      <c r="S2928" t="n">
        <v>12871.65</v>
      </c>
      <c r="T2928" t="n">
        <v>47</v>
      </c>
      <c r="U2928" t="n">
        <v>53</v>
      </c>
      <c r="V2928" t="n">
        <v>30</v>
      </c>
      <c r="W2928" t="n">
        <v>27</v>
      </c>
      <c r="X2928" t="n">
        <v>9.012053621719049</v>
      </c>
      <c r="Y2928" t="n">
        <v>1</v>
      </c>
      <c r="Z2928" t="n">
        <v>16</v>
      </c>
      <c r="AA2928" t="n">
        <v>15</v>
      </c>
      <c r="AB2928" t="n">
        <v>1</v>
      </c>
      <c r="AC2928" t="n">
        <v>3</v>
      </c>
      <c r="AD2928" t="n">
        <v>181125</v>
      </c>
      <c r="AE2928" t="n">
        <v>36225</v>
      </c>
      <c r="AF2928" t="n">
        <v>9830</v>
      </c>
      <c r="AG2928" t="n">
        <v>2133</v>
      </c>
      <c r="AH2928" t="inlineStr">
        <is>
          <t>PT. ENSEVAL PUTERA MEGATRADING - PPN (JMB)</t>
        </is>
      </c>
      <c r="AI2928" t="n">
        <v>116</v>
      </c>
      <c r="AJ2928" t="inlineStr">
        <is>
          <t>NIVEA</t>
        </is>
      </c>
      <c r="AK2928" t="n">
        <v>9</v>
      </c>
      <c r="AL2928" t="inlineStr">
        <is>
          <t>Miss Glam Jambi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NIVEA</t>
        </is>
      </c>
      <c r="B2929" s="2">
        <f>"8999777004224"</f>
        <v/>
      </c>
      <c r="C2929" t="inlineStr">
        <is>
          <t>NIVEA Deodorant Roll On Extra Whitening 25ml</t>
        </is>
      </c>
      <c r="D2929" t="inlineStr">
        <is>
          <t>Miss Glam Jambi</t>
        </is>
      </c>
      <c r="E2929" t="n">
        <v>10</v>
      </c>
      <c r="F2929" t="n">
        <v>1.3695</v>
      </c>
      <c r="G2929" t="n">
        <v>4.29</v>
      </c>
      <c r="H2929" t="n">
        <v>6</v>
      </c>
      <c r="I2929" t="n">
        <v>26</v>
      </c>
      <c r="J2929" t="n">
        <v>3</v>
      </c>
      <c r="K2929" t="n">
        <v>5</v>
      </c>
      <c r="L2929" t="n">
        <v>12321</v>
      </c>
      <c r="M2929" t="n">
        <v>14000</v>
      </c>
      <c r="N2929" t="n">
        <v>33</v>
      </c>
      <c r="O2929" t="n">
        <v>0.33</v>
      </c>
      <c r="P2929" t="n">
        <v>1</v>
      </c>
      <c r="Q2929" t="n">
        <v>0.36</v>
      </c>
      <c r="R2929" t="n">
        <v>2</v>
      </c>
      <c r="S2929" t="n">
        <v>19173</v>
      </c>
      <c r="T2929" t="n">
        <v>104</v>
      </c>
      <c r="U2929" t="n">
        <v>113</v>
      </c>
      <c r="V2929" t="n">
        <v>30</v>
      </c>
      <c r="W2929" t="n">
        <v>42</v>
      </c>
      <c r="X2929" t="n">
        <v>7.301935012778386</v>
      </c>
      <c r="Y2929" t="n">
        <v>1</v>
      </c>
      <c r="Z2929" t="n">
        <v>27</v>
      </c>
      <c r="AA2929" t="n">
        <v>25</v>
      </c>
      <c r="AB2929" t="n">
        <v>2</v>
      </c>
      <c r="AC2929" t="n">
        <v>3</v>
      </c>
      <c r="AD2929" t="n">
        <v>308025</v>
      </c>
      <c r="AE2929" t="n">
        <v>36963</v>
      </c>
      <c r="AF2929" t="n">
        <v>9830</v>
      </c>
      <c r="AG2929" t="n">
        <v>2133</v>
      </c>
      <c r="AH2929" t="inlineStr">
        <is>
          <t>PT. ENSEVAL PUTERA MEGATRADING - PPN (JMB)</t>
        </is>
      </c>
      <c r="AI2929" t="n">
        <v>116</v>
      </c>
      <c r="AJ2929" t="inlineStr">
        <is>
          <t>NIVEA</t>
        </is>
      </c>
      <c r="AK2929" t="n">
        <v>9</v>
      </c>
      <c r="AL2929" t="inlineStr">
        <is>
          <t>Miss Glam Jambi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NIVEA</t>
        </is>
      </c>
      <c r="B2930" s="2">
        <f>"8999777009267"</f>
        <v/>
      </c>
      <c r="C2930" t="inlineStr">
        <is>
          <t>NIVEA Deodorant Whitenig Silk Touch 25ml</t>
        </is>
      </c>
      <c r="D2930" t="inlineStr">
        <is>
          <t>Miss Glam Jambi</t>
        </is>
      </c>
      <c r="E2930" t="n">
        <v>6</v>
      </c>
      <c r="F2930" t="n">
        <v>0.2805</v>
      </c>
      <c r="G2930" t="n">
        <v>1.32</v>
      </c>
      <c r="H2930" t="n">
        <v>6</v>
      </c>
      <c r="I2930" t="n">
        <v>26</v>
      </c>
      <c r="J2930" t="n">
        <v>3</v>
      </c>
      <c r="K2930" t="n">
        <v>3</v>
      </c>
      <c r="L2930" t="n">
        <v>12321</v>
      </c>
      <c r="M2930" t="n">
        <v>14000</v>
      </c>
      <c r="N2930" t="n">
        <v>33</v>
      </c>
      <c r="O2930" t="n">
        <v>0.33</v>
      </c>
      <c r="P2930" t="n">
        <v>1</v>
      </c>
      <c r="Q2930" t="n">
        <v>0.19</v>
      </c>
      <c r="R2930" t="n">
        <v>2</v>
      </c>
      <c r="S2930" t="n">
        <v>3927</v>
      </c>
      <c r="T2930" t="n">
        <v>33</v>
      </c>
      <c r="U2930" t="n">
        <v>35</v>
      </c>
      <c r="V2930" t="n">
        <v>30</v>
      </c>
      <c r="W2930" t="n">
        <v>9</v>
      </c>
      <c r="X2930" t="n">
        <v>21.3903743315508</v>
      </c>
      <c r="Y2930" t="n">
        <v>1</v>
      </c>
      <c r="Z2930" t="n">
        <v>0</v>
      </c>
      <c r="AA2930" t="n">
        <v>1</v>
      </c>
      <c r="AB2930" t="n">
        <v>0</v>
      </c>
      <c r="AC2930" t="n">
        <v>0</v>
      </c>
      <c r="AD2930" t="n">
        <v>12321</v>
      </c>
      <c r="AE2930" t="n">
        <v>0</v>
      </c>
      <c r="AF2930" t="n">
        <v>9830</v>
      </c>
      <c r="AG2930" t="n">
        <v>2133</v>
      </c>
      <c r="AH2930" t="inlineStr">
        <is>
          <t>PT. ENSEVAL PUTERA MEGATRADING - PPN (JMB)</t>
        </is>
      </c>
      <c r="AI2930" t="n">
        <v>116</v>
      </c>
      <c r="AJ2930" t="inlineStr">
        <is>
          <t>NIVEA</t>
        </is>
      </c>
      <c r="AK2930" t="n">
        <v>9</v>
      </c>
      <c r="AL2930" t="inlineStr">
        <is>
          <t>Miss Glam Jambi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NIVEA</t>
        </is>
      </c>
      <c r="B2931" s="2">
        <f>"8999777015893"</f>
        <v/>
      </c>
      <c r="C2931" t="inlineStr">
        <is>
          <t>NIVEA Deodorant Whitening Hijab Fresh 50ml</t>
        </is>
      </c>
      <c r="D2931" t="inlineStr">
        <is>
          <t>Miss Glam Jambi</t>
        </is>
      </c>
      <c r="E2931" t="n">
        <v>8</v>
      </c>
      <c r="F2931" t="n">
        <v>0.3036</v>
      </c>
      <c r="G2931" t="n">
        <v>1.65</v>
      </c>
      <c r="H2931" t="n">
        <v>6</v>
      </c>
      <c r="I2931" t="n">
        <v>26</v>
      </c>
      <c r="J2931" t="n">
        <v>3</v>
      </c>
      <c r="K2931" t="n">
        <v>0</v>
      </c>
      <c r="L2931" t="n">
        <v>21479</v>
      </c>
      <c r="M2931" t="n">
        <v>26000</v>
      </c>
      <c r="N2931" t="n">
        <v>33</v>
      </c>
      <c r="O2931" t="n">
        <v>0.33</v>
      </c>
      <c r="P2931" t="n">
        <v>1</v>
      </c>
      <c r="Q2931" t="n">
        <v>0.34</v>
      </c>
      <c r="R2931" t="n">
        <v>2</v>
      </c>
      <c r="S2931" t="n">
        <v>7893.600000000001</v>
      </c>
      <c r="T2931" t="n">
        <v>42</v>
      </c>
      <c r="U2931" t="n">
        <v>44</v>
      </c>
      <c r="V2931" t="n">
        <v>30</v>
      </c>
      <c r="W2931" t="n">
        <v>10</v>
      </c>
      <c r="X2931" t="n">
        <v>26.35046113306982</v>
      </c>
      <c r="Y2931" t="n">
        <v>1</v>
      </c>
      <c r="Z2931" t="n">
        <v>2</v>
      </c>
      <c r="AA2931" t="n">
        <v>0</v>
      </c>
      <c r="AB2931" t="n">
        <v>2</v>
      </c>
      <c r="AC2931" t="n">
        <v>3</v>
      </c>
      <c r="AD2931" t="n">
        <v>0</v>
      </c>
      <c r="AE2931" t="n">
        <v>64437</v>
      </c>
      <c r="AF2931" t="n">
        <v>9830</v>
      </c>
      <c r="AG2931" t="n">
        <v>2133</v>
      </c>
      <c r="AH2931" t="inlineStr">
        <is>
          <t>PT. ENSEVAL PUTERA MEGATRADING - PPN (JMB)</t>
        </is>
      </c>
      <c r="AI2931" t="n">
        <v>116</v>
      </c>
      <c r="AJ2931" t="inlineStr">
        <is>
          <t>NIVEA</t>
        </is>
      </c>
      <c r="AK2931" t="n">
        <v>9</v>
      </c>
      <c r="AL2931" t="inlineStr">
        <is>
          <t>Miss Glam Jambi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NIVEA</t>
        </is>
      </c>
      <c r="B2932" s="2">
        <f>"30400519552"</f>
        <v/>
      </c>
      <c r="C2932" t="inlineStr">
        <is>
          <t>NIVEA Derma Control Defend Anti-Perspirant Roll On 50ml</t>
        </is>
      </c>
      <c r="D2932" t="inlineStr">
        <is>
          <t>Miss Glam Jambi</t>
        </is>
      </c>
      <c r="E2932" t="n">
        <v>7</v>
      </c>
      <c r="F2932" t="n">
        <v>0.09569999999999999</v>
      </c>
      <c r="G2932" t="n">
        <v>0.66</v>
      </c>
      <c r="H2932" t="n">
        <v>6</v>
      </c>
      <c r="I2932" t="n">
        <v>26</v>
      </c>
      <c r="J2932" t="n">
        <v>1</v>
      </c>
      <c r="K2932" t="n">
        <v>0</v>
      </c>
      <c r="L2932" t="n">
        <v>21479</v>
      </c>
      <c r="M2932" t="n">
        <v>25500</v>
      </c>
      <c r="N2932" t="n">
        <v>33</v>
      </c>
      <c r="O2932" t="n">
        <v>0.33</v>
      </c>
      <c r="P2932" t="n">
        <v>1</v>
      </c>
      <c r="Q2932" t="n">
        <v>0.02</v>
      </c>
      <c r="R2932" t="n">
        <v>1</v>
      </c>
      <c r="S2932" t="n">
        <v>2440.35</v>
      </c>
      <c r="T2932" t="n">
        <v>17</v>
      </c>
      <c r="U2932" t="n">
        <v>18</v>
      </c>
      <c r="V2932" t="n">
        <v>30</v>
      </c>
      <c r="W2932" t="n">
        <v>3</v>
      </c>
      <c r="X2932" t="n">
        <v>73.14524555903867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9830</v>
      </c>
      <c r="AG2932" t="n">
        <v>2133</v>
      </c>
      <c r="AH2932" t="inlineStr">
        <is>
          <t>PT. ENSEVAL PUTERA MEGATRADING - PPN (JMB)</t>
        </is>
      </c>
      <c r="AI2932" t="n">
        <v>116</v>
      </c>
      <c r="AJ2932" t="inlineStr">
        <is>
          <t>NIVEA</t>
        </is>
      </c>
      <c r="AK2932" t="n">
        <v>9</v>
      </c>
      <c r="AL2932" t="inlineStr">
        <is>
          <t>Miss Glam Jambi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NIVEA</t>
        </is>
      </c>
      <c r="B2933" s="2">
        <f>"8999777004194"</f>
        <v/>
      </c>
      <c r="C2933" t="inlineStr">
        <is>
          <t>NIVEA Dry Comfort  50ml</t>
        </is>
      </c>
      <c r="D2933" t="inlineStr">
        <is>
          <t>Miss Glam Jambi</t>
        </is>
      </c>
      <c r="E2933" t="n">
        <v>1</v>
      </c>
      <c r="F2933" t="n">
        <v>0.1353</v>
      </c>
      <c r="G2933" t="n">
        <v>0.66</v>
      </c>
      <c r="H2933" t="n">
        <v>6</v>
      </c>
      <c r="I2933" t="n">
        <v>26</v>
      </c>
      <c r="J2933" t="n">
        <v>3</v>
      </c>
      <c r="K2933" t="n">
        <v>3</v>
      </c>
      <c r="L2933" t="n">
        <v>20176</v>
      </c>
      <c r="M2933" t="n">
        <v>24000</v>
      </c>
      <c r="N2933" t="n">
        <v>33</v>
      </c>
      <c r="O2933" t="n">
        <v>0.33</v>
      </c>
      <c r="P2933" t="n">
        <v>1</v>
      </c>
      <c r="Q2933" t="n">
        <v>0.1</v>
      </c>
      <c r="R2933" t="n">
        <v>1</v>
      </c>
      <c r="S2933" t="n">
        <v>3247.2</v>
      </c>
      <c r="T2933" t="n">
        <v>17</v>
      </c>
      <c r="U2933" t="n">
        <v>18</v>
      </c>
      <c r="V2933" t="n">
        <v>30</v>
      </c>
      <c r="W2933" t="n">
        <v>5</v>
      </c>
      <c r="X2933" t="n">
        <v>7.390983000739098</v>
      </c>
      <c r="Y2933" t="n">
        <v>1</v>
      </c>
      <c r="Z2933" t="n">
        <v>1</v>
      </c>
      <c r="AA2933" t="n">
        <v>2</v>
      </c>
      <c r="AB2933" t="n">
        <v>0</v>
      </c>
      <c r="AC2933" t="n">
        <v>0</v>
      </c>
      <c r="AD2933" t="n">
        <v>40352</v>
      </c>
      <c r="AE2933" t="n">
        <v>0</v>
      </c>
      <c r="AF2933" t="n">
        <v>9830</v>
      </c>
      <c r="AG2933" t="n">
        <v>2133</v>
      </c>
      <c r="AH2933" t="inlineStr">
        <is>
          <t>PT. ENSEVAL PUTERA MEGATRADING - PPN (JMB)</t>
        </is>
      </c>
      <c r="AI2933" t="n">
        <v>116</v>
      </c>
      <c r="AJ2933" t="inlineStr">
        <is>
          <t>NIVEA</t>
        </is>
      </c>
      <c r="AK2933" t="n">
        <v>9</v>
      </c>
      <c r="AL2933" t="inlineStr">
        <is>
          <t>Miss Glam Jambi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NIVEA</t>
        </is>
      </c>
      <c r="B2934" s="2">
        <f>"8999777017859"</f>
        <v/>
      </c>
      <c r="C2934" t="inlineStr">
        <is>
          <t>NIVEA Extra Bright 10 Super Vitamins &amp; Skin Foods Serum In Lotion 180ml</t>
        </is>
      </c>
      <c r="D2934" t="inlineStr">
        <is>
          <t>Miss Glam Jambi</t>
        </is>
      </c>
      <c r="E2934" t="n">
        <v>7</v>
      </c>
      <c r="F2934" t="n">
        <v>0.5643</v>
      </c>
      <c r="G2934" t="n">
        <v>1.98</v>
      </c>
      <c r="H2934" t="n">
        <v>6</v>
      </c>
      <c r="I2934" t="n">
        <v>26</v>
      </c>
      <c r="J2934" t="n">
        <v>3</v>
      </c>
      <c r="K2934" t="n">
        <v>3</v>
      </c>
      <c r="L2934" t="n">
        <v>37855</v>
      </c>
      <c r="M2934" t="n">
        <v>43500</v>
      </c>
      <c r="N2934" t="n">
        <v>33</v>
      </c>
      <c r="O2934" t="n">
        <v>0.33</v>
      </c>
      <c r="P2934" t="n">
        <v>1</v>
      </c>
      <c r="Q2934" t="n">
        <v>0.25</v>
      </c>
      <c r="R2934" t="n">
        <v>2</v>
      </c>
      <c r="S2934" t="n">
        <v>24547.05</v>
      </c>
      <c r="T2934" t="n">
        <v>49</v>
      </c>
      <c r="U2934" t="n">
        <v>53</v>
      </c>
      <c r="V2934" t="n">
        <v>30</v>
      </c>
      <c r="W2934" t="n">
        <v>17</v>
      </c>
      <c r="X2934" t="n">
        <v>12.40474924685451</v>
      </c>
      <c r="Y2934" t="n">
        <v>1</v>
      </c>
      <c r="Z2934" t="n">
        <v>7</v>
      </c>
      <c r="AA2934" t="n">
        <v>7</v>
      </c>
      <c r="AB2934" t="n">
        <v>0</v>
      </c>
      <c r="AC2934" t="n">
        <v>0</v>
      </c>
      <c r="AD2934" t="n">
        <v>264985</v>
      </c>
      <c r="AE2934" t="n">
        <v>0</v>
      </c>
      <c r="AF2934" t="n">
        <v>9830</v>
      </c>
      <c r="AG2934" t="n">
        <v>2133</v>
      </c>
      <c r="AH2934" t="inlineStr">
        <is>
          <t>PT. ENSEVAL PUTERA MEGATRADING - PPN (JMB)</t>
        </is>
      </c>
      <c r="AI2934" t="n">
        <v>116</v>
      </c>
      <c r="AJ2934" t="inlineStr">
        <is>
          <t>NIVEA</t>
        </is>
      </c>
      <c r="AK2934" t="n">
        <v>9</v>
      </c>
      <c r="AL2934" t="inlineStr">
        <is>
          <t>Miss Glam Jambi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NIVEA</t>
        </is>
      </c>
      <c r="B2935" s="2">
        <f>"8999777001292"</f>
        <v/>
      </c>
      <c r="C2935" t="inlineStr">
        <is>
          <t>NIVEA Extra Bright C&amp;E Vitamin Lotion New 180ml</t>
        </is>
      </c>
      <c r="D2935" t="inlineStr">
        <is>
          <t>Miss Glam Jambi</t>
        </is>
      </c>
      <c r="E2935" t="n">
        <v>12</v>
      </c>
      <c r="F2935" t="n">
        <v>0.1023</v>
      </c>
      <c r="G2935" t="n">
        <v>0.66</v>
      </c>
      <c r="H2935" t="n">
        <v>6</v>
      </c>
      <c r="I2935" t="n">
        <v>26</v>
      </c>
      <c r="J2935" t="n">
        <v>3</v>
      </c>
      <c r="K2935" t="n">
        <v>0</v>
      </c>
      <c r="L2935" t="n">
        <v>37043</v>
      </c>
      <c r="M2935" t="n">
        <v>44000</v>
      </c>
      <c r="N2935" t="n">
        <v>33</v>
      </c>
      <c r="O2935" t="n">
        <v>0.33</v>
      </c>
      <c r="P2935" t="n">
        <v>1</v>
      </c>
      <c r="Q2935" t="n">
        <v>0.05</v>
      </c>
      <c r="R2935" t="n">
        <v>1</v>
      </c>
      <c r="S2935" t="n">
        <v>4501.2</v>
      </c>
      <c r="T2935" t="n">
        <v>17</v>
      </c>
      <c r="U2935" t="n">
        <v>18</v>
      </c>
      <c r="V2935" t="n">
        <v>30</v>
      </c>
      <c r="W2935" t="n">
        <v>4</v>
      </c>
      <c r="X2935" t="n">
        <v>117.3020527859237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9830</v>
      </c>
      <c r="AG2935" t="n">
        <v>2133</v>
      </c>
      <c r="AH2935" t="inlineStr">
        <is>
          <t>PT. ENSEVAL PUTERA MEGATRADING - PPN (JMB)</t>
        </is>
      </c>
      <c r="AI2935" t="n">
        <v>116</v>
      </c>
      <c r="AJ2935" t="inlineStr">
        <is>
          <t>NIVEA</t>
        </is>
      </c>
      <c r="AK2935" t="n">
        <v>9</v>
      </c>
      <c r="AL2935" t="inlineStr">
        <is>
          <t>Miss Glam Jambi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NIVEA</t>
        </is>
      </c>
      <c r="B2936" s="2">
        <f>"8999777007058"</f>
        <v/>
      </c>
      <c r="C2936" t="inlineStr">
        <is>
          <t>NIVEA Extra White Body Serum Anti Age 180ml</t>
        </is>
      </c>
      <c r="D2936" t="inlineStr">
        <is>
          <t>Miss Glam Jambi</t>
        </is>
      </c>
      <c r="E2936" t="n">
        <v>7</v>
      </c>
      <c r="F2936" t="n">
        <v>0.006600000000000001</v>
      </c>
      <c r="G2936" t="n">
        <v>0.33</v>
      </c>
      <c r="H2936" t="n">
        <v>6</v>
      </c>
      <c r="I2936" t="n">
        <v>26</v>
      </c>
      <c r="J2936" t="n">
        <v>3</v>
      </c>
      <c r="K2936" t="n">
        <v>0</v>
      </c>
      <c r="L2936" t="n">
        <v>47678</v>
      </c>
      <c r="M2936" t="n">
        <v>57000</v>
      </c>
      <c r="N2936" t="n">
        <v>33</v>
      </c>
      <c r="O2936" t="n">
        <v>0.33</v>
      </c>
      <c r="P2936" t="n">
        <v>1</v>
      </c>
      <c r="Q2936" t="n">
        <v>0.03</v>
      </c>
      <c r="R2936" t="n">
        <v>1</v>
      </c>
      <c r="S2936" t="n">
        <v>376.2</v>
      </c>
      <c r="T2936" t="n">
        <v>9</v>
      </c>
      <c r="U2936" t="n">
        <v>10</v>
      </c>
      <c r="V2936" t="n">
        <v>30</v>
      </c>
      <c r="W2936" t="n">
        <v>1</v>
      </c>
      <c r="X2936" t="n">
        <v>1060.606060606061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9830</v>
      </c>
      <c r="AG2936" t="n">
        <v>2133</v>
      </c>
      <c r="AH2936" t="inlineStr">
        <is>
          <t>PT. ENSEVAL PUTERA MEGATRADING - PPN (JMB)</t>
        </is>
      </c>
      <c r="AI2936" t="n">
        <v>116</v>
      </c>
      <c r="AJ2936" t="inlineStr">
        <is>
          <t>NIVEA</t>
        </is>
      </c>
      <c r="AK2936" t="n">
        <v>9</v>
      </c>
      <c r="AL2936" t="inlineStr">
        <is>
          <t>Miss Glam Jambi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NIVEA</t>
        </is>
      </c>
      <c r="B2937" s="2">
        <f>"8999777006990"</f>
        <v/>
      </c>
      <c r="C2937" t="inlineStr">
        <is>
          <t>NIVEA Extra White Body Serum Instant Glow Deep White Essence 180ml</t>
        </is>
      </c>
      <c r="D2937" t="inlineStr">
        <is>
          <t>Miss Glam Jambi</t>
        </is>
      </c>
      <c r="E2937" t="n">
        <v>12</v>
      </c>
      <c r="F2937" t="n">
        <v>0.07920000000000001</v>
      </c>
      <c r="G2937" t="n">
        <v>0.33</v>
      </c>
      <c r="H2937" t="n">
        <v>6</v>
      </c>
      <c r="I2937" t="n">
        <v>26</v>
      </c>
      <c r="J2937" t="n">
        <v>3</v>
      </c>
      <c r="K2937" t="n">
        <v>0</v>
      </c>
      <c r="L2937" t="n">
        <v>28515</v>
      </c>
      <c r="M2937" t="n">
        <v>53000</v>
      </c>
      <c r="N2937" t="n">
        <v>33</v>
      </c>
      <c r="O2937" t="n">
        <v>0.33</v>
      </c>
      <c r="P2937" t="n">
        <v>1</v>
      </c>
      <c r="Q2937" t="n">
        <v>0.12</v>
      </c>
      <c r="R2937" t="n">
        <v>2</v>
      </c>
      <c r="S2937" t="n">
        <v>4197.6</v>
      </c>
      <c r="T2937" t="n">
        <v>9</v>
      </c>
      <c r="U2937" t="n">
        <v>10</v>
      </c>
      <c r="V2937" t="n">
        <v>30</v>
      </c>
      <c r="W2937" t="n">
        <v>3</v>
      </c>
      <c r="X2937" t="n">
        <v>151.5151515151515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9830</v>
      </c>
      <c r="AG2937" t="n">
        <v>2133</v>
      </c>
      <c r="AH2937" t="inlineStr">
        <is>
          <t>PT. ENSEVAL PUTERA MEGATRADING - PPN (JMB)</t>
        </is>
      </c>
      <c r="AI2937" t="n">
        <v>116</v>
      </c>
      <c r="AJ2937" t="inlineStr">
        <is>
          <t>NIVEA</t>
        </is>
      </c>
      <c r="AK2937" t="n">
        <v>9</v>
      </c>
      <c r="AL2937" t="inlineStr">
        <is>
          <t>Miss Glam Jambi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NIVEA</t>
        </is>
      </c>
      <c r="B2938" s="2">
        <f>"4005808713257"</f>
        <v/>
      </c>
      <c r="C2938" t="inlineStr">
        <is>
          <t>NIVEA Extra White Care &amp; Protect Body Serum 180ml</t>
        </is>
      </c>
      <c r="D2938" t="inlineStr">
        <is>
          <t>Miss Glam Jambi</t>
        </is>
      </c>
      <c r="E2938" t="n">
        <v>2</v>
      </c>
      <c r="F2938" t="n">
        <v>0.2838</v>
      </c>
      <c r="G2938" t="n">
        <v>1.32</v>
      </c>
      <c r="H2938" t="n">
        <v>6</v>
      </c>
      <c r="I2938" t="n">
        <v>26</v>
      </c>
      <c r="J2938" t="n">
        <v>3</v>
      </c>
      <c r="K2938" t="n">
        <v>3</v>
      </c>
      <c r="L2938" t="n">
        <v>27286</v>
      </c>
      <c r="M2938" t="n">
        <v>36500</v>
      </c>
      <c r="N2938" t="n">
        <v>33</v>
      </c>
      <c r="O2938" t="n">
        <v>0.33</v>
      </c>
      <c r="P2938" t="n">
        <v>1</v>
      </c>
      <c r="Q2938" t="n">
        <v>0.15</v>
      </c>
      <c r="R2938" t="n">
        <v>1</v>
      </c>
      <c r="S2938" t="n">
        <v>10358.7</v>
      </c>
      <c r="T2938" t="n">
        <v>33</v>
      </c>
      <c r="U2938" t="n">
        <v>35</v>
      </c>
      <c r="V2938" t="n">
        <v>30</v>
      </c>
      <c r="W2938" t="n">
        <v>9</v>
      </c>
      <c r="X2938" t="n">
        <v>7.047216349541931</v>
      </c>
      <c r="Y2938" t="n">
        <v>1</v>
      </c>
      <c r="Z2938" t="n">
        <v>4</v>
      </c>
      <c r="AA2938" t="n">
        <v>5</v>
      </c>
      <c r="AB2938" t="n">
        <v>0</v>
      </c>
      <c r="AC2938" t="n">
        <v>0</v>
      </c>
      <c r="AD2938" t="n">
        <v>136430</v>
      </c>
      <c r="AE2938" t="n">
        <v>0</v>
      </c>
      <c r="AF2938" t="n">
        <v>9830</v>
      </c>
      <c r="AG2938" t="n">
        <v>2133</v>
      </c>
      <c r="AH2938" t="inlineStr">
        <is>
          <t>PT. ENSEVAL PUTERA MEGATRADING - PPN (JMB)</t>
        </is>
      </c>
      <c r="AI2938" t="n">
        <v>116</v>
      </c>
      <c r="AJ2938" t="inlineStr">
        <is>
          <t>NIVEA</t>
        </is>
      </c>
      <c r="AK2938" t="n">
        <v>9</v>
      </c>
      <c r="AL2938" t="inlineStr">
        <is>
          <t>Miss Glam Jambi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NIVEA</t>
        </is>
      </c>
      <c r="B2939" s="2">
        <f>"4005808713226"</f>
        <v/>
      </c>
      <c r="C2939" t="inlineStr">
        <is>
          <t>NIVEA Extra White Care &amp; Protect Body Serum 70ml</t>
        </is>
      </c>
      <c r="D2939" t="inlineStr">
        <is>
          <t>Miss Glam Jambi</t>
        </is>
      </c>
      <c r="E2939" t="n">
        <v>8</v>
      </c>
      <c r="F2939" t="n">
        <v>0.1683</v>
      </c>
      <c r="G2939" t="n">
        <v>0.99</v>
      </c>
      <c r="H2939" t="n">
        <v>6</v>
      </c>
      <c r="I2939" t="n">
        <v>26</v>
      </c>
      <c r="J2939" t="n">
        <v>3</v>
      </c>
      <c r="K2939" t="n">
        <v>0</v>
      </c>
      <c r="L2939" t="n">
        <v>13450</v>
      </c>
      <c r="M2939" t="n">
        <v>23000</v>
      </c>
      <c r="N2939" t="n">
        <v>33</v>
      </c>
      <c r="O2939" t="n">
        <v>0.33</v>
      </c>
      <c r="P2939" t="n">
        <v>1</v>
      </c>
      <c r="Q2939" t="n">
        <v>0.15</v>
      </c>
      <c r="R2939" t="n">
        <v>2</v>
      </c>
      <c r="S2939" t="n">
        <v>3870.9</v>
      </c>
      <c r="T2939" t="n">
        <v>25</v>
      </c>
      <c r="U2939" t="n">
        <v>27</v>
      </c>
      <c r="V2939" t="n">
        <v>30</v>
      </c>
      <c r="W2939" t="n">
        <v>6</v>
      </c>
      <c r="X2939" t="n">
        <v>47.534165181224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9830</v>
      </c>
      <c r="AG2939" t="n">
        <v>2133</v>
      </c>
      <c r="AH2939" t="inlineStr">
        <is>
          <t>PT. ENSEVAL PUTERA MEGATRADING - PPN (JMB)</t>
        </is>
      </c>
      <c r="AI2939" t="n">
        <v>116</v>
      </c>
      <c r="AJ2939" t="inlineStr">
        <is>
          <t>NIVEA</t>
        </is>
      </c>
      <c r="AK2939" t="n">
        <v>9</v>
      </c>
      <c r="AL2939" t="inlineStr">
        <is>
          <t>Miss Glam Jambi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NIVEA</t>
        </is>
      </c>
      <c r="B2940" s="2">
        <f>"8999777009564"</f>
        <v/>
      </c>
      <c r="C2940" t="inlineStr">
        <is>
          <t>NIVEA Extra White Firm &amp; Smooth 200ml</t>
        </is>
      </c>
      <c r="D2940" t="inlineStr">
        <is>
          <t>Miss Glam Jambi</t>
        </is>
      </c>
      <c r="E2940" t="n">
        <v>3</v>
      </c>
      <c r="F2940" t="n">
        <v>0.0165</v>
      </c>
      <c r="G2940" t="n">
        <v>0.33</v>
      </c>
      <c r="H2940" t="n">
        <v>6</v>
      </c>
      <c r="I2940" t="n">
        <v>26</v>
      </c>
      <c r="J2940" t="n">
        <v>3</v>
      </c>
      <c r="K2940" t="n">
        <v>0</v>
      </c>
      <c r="L2940" t="n">
        <v>27380</v>
      </c>
      <c r="M2940" t="n">
        <v>32500</v>
      </c>
      <c r="N2940" t="n">
        <v>33</v>
      </c>
      <c r="O2940" t="n">
        <v>0.33</v>
      </c>
      <c r="P2940" t="n">
        <v>1</v>
      </c>
      <c r="Q2940" t="n">
        <v>0.02</v>
      </c>
      <c r="R2940" t="n">
        <v>1</v>
      </c>
      <c r="S2940" t="n">
        <v>536.25</v>
      </c>
      <c r="T2940" t="n">
        <v>9</v>
      </c>
      <c r="U2940" t="n">
        <v>10</v>
      </c>
      <c r="V2940" t="n">
        <v>30</v>
      </c>
      <c r="W2940" t="n">
        <v>1</v>
      </c>
      <c r="X2940" t="n">
        <v>181.8181818181818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9830</v>
      </c>
      <c r="AG2940" t="n">
        <v>2133</v>
      </c>
      <c r="AH2940" t="inlineStr">
        <is>
          <t>PT. ENSEVAL PUTERA MEGATRADING - PPN (JMB)</t>
        </is>
      </c>
      <c r="AI2940" t="n">
        <v>116</v>
      </c>
      <c r="AJ2940" t="inlineStr">
        <is>
          <t>NIVEA</t>
        </is>
      </c>
      <c r="AK2940" t="n">
        <v>9</v>
      </c>
      <c r="AL2940" t="inlineStr">
        <is>
          <t>Miss Glam Jambi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NIVEA</t>
        </is>
      </c>
      <c r="B2941" s="2">
        <f>"8999777008543"</f>
        <v/>
      </c>
      <c r="C2941" t="inlineStr">
        <is>
          <t>NIVEA Extra White Instant Glow 200ml</t>
        </is>
      </c>
      <c r="D2941" t="inlineStr">
        <is>
          <t>Miss Glam Jambi</t>
        </is>
      </c>
      <c r="E2941" t="n">
        <v>3</v>
      </c>
      <c r="F2941" t="n">
        <v>0.1122</v>
      </c>
      <c r="G2941" t="n">
        <v>0.99</v>
      </c>
      <c r="H2941" t="n">
        <v>6</v>
      </c>
      <c r="I2941" t="n">
        <v>26</v>
      </c>
      <c r="J2941" t="n">
        <v>3</v>
      </c>
      <c r="K2941" t="n">
        <v>0</v>
      </c>
      <c r="L2941" t="n">
        <v>29708</v>
      </c>
      <c r="M2941" t="n">
        <v>33000</v>
      </c>
      <c r="N2941" t="n">
        <v>33</v>
      </c>
      <c r="O2941" t="n">
        <v>0.33</v>
      </c>
      <c r="P2941" t="n">
        <v>1</v>
      </c>
      <c r="Q2941" t="n">
        <v>0.14</v>
      </c>
      <c r="R2941" t="n">
        <v>1</v>
      </c>
      <c r="S2941" t="n">
        <v>3702.6</v>
      </c>
      <c r="T2941" t="n">
        <v>26</v>
      </c>
      <c r="U2941" t="n">
        <v>27</v>
      </c>
      <c r="V2941" t="n">
        <v>30</v>
      </c>
      <c r="W2941" t="n">
        <v>4</v>
      </c>
      <c r="X2941" t="n">
        <v>26.7379679144385</v>
      </c>
      <c r="Y2941" t="n">
        <v>1</v>
      </c>
      <c r="Z2941" t="n">
        <v>1</v>
      </c>
      <c r="AA2941" t="n">
        <v>0</v>
      </c>
      <c r="AB2941" t="n">
        <v>1</v>
      </c>
      <c r="AC2941" t="n">
        <v>3</v>
      </c>
      <c r="AD2941" t="n">
        <v>0</v>
      </c>
      <c r="AE2941" t="n">
        <v>89124</v>
      </c>
      <c r="AF2941" t="n">
        <v>9830</v>
      </c>
      <c r="AG2941" t="n">
        <v>2133</v>
      </c>
      <c r="AH2941" t="inlineStr">
        <is>
          <t>PT. ENSEVAL PUTERA MEGATRADING - PPN (JMB)</t>
        </is>
      </c>
      <c r="AI2941" t="n">
        <v>116</v>
      </c>
      <c r="AJ2941" t="inlineStr">
        <is>
          <t>NIVEA</t>
        </is>
      </c>
      <c r="AK2941" t="n">
        <v>9</v>
      </c>
      <c r="AL2941" t="inlineStr">
        <is>
          <t>Miss Glam Jambi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NIVEA</t>
        </is>
      </c>
      <c r="B2942" s="2">
        <f>"8999777000110"</f>
        <v/>
      </c>
      <c r="C2942" t="inlineStr">
        <is>
          <t>NIVEA Extra White Night Nourish 200ml</t>
        </is>
      </c>
      <c r="D2942" t="inlineStr">
        <is>
          <t>Miss Glam Jambi</t>
        </is>
      </c>
      <c r="E2942" t="n">
        <v>5</v>
      </c>
      <c r="F2942" t="n">
        <v>0.0396</v>
      </c>
      <c r="G2942" t="n">
        <v>0.33</v>
      </c>
      <c r="H2942" t="n">
        <v>6</v>
      </c>
      <c r="I2942" t="n">
        <v>26</v>
      </c>
      <c r="J2942" t="n">
        <v>3</v>
      </c>
      <c r="K2942" t="n">
        <v>0</v>
      </c>
      <c r="L2942" t="n">
        <v>37185</v>
      </c>
      <c r="M2942" t="n">
        <v>43000</v>
      </c>
      <c r="N2942" t="n">
        <v>33</v>
      </c>
      <c r="O2942" t="n">
        <v>0.33</v>
      </c>
      <c r="P2942" t="n">
        <v>1</v>
      </c>
      <c r="Q2942" t="n">
        <v>0.12</v>
      </c>
      <c r="R2942" t="n">
        <v>1</v>
      </c>
      <c r="S2942" t="n">
        <v>1702.8</v>
      </c>
      <c r="T2942" t="n">
        <v>9</v>
      </c>
      <c r="U2942" t="n">
        <v>10</v>
      </c>
      <c r="V2942" t="n">
        <v>30</v>
      </c>
      <c r="W2942" t="n">
        <v>2</v>
      </c>
      <c r="X2942" t="n">
        <v>126.2626262626263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9830</v>
      </c>
      <c r="AG2942" t="n">
        <v>2133</v>
      </c>
      <c r="AH2942" t="inlineStr">
        <is>
          <t>PT. ENSEVAL PUTERA MEGATRADING - PPN (JMB)</t>
        </is>
      </c>
      <c r="AI2942" t="n">
        <v>116</v>
      </c>
      <c r="AJ2942" t="inlineStr">
        <is>
          <t>NIVEA</t>
        </is>
      </c>
      <c r="AK2942" t="n">
        <v>9</v>
      </c>
      <c r="AL2942" t="inlineStr">
        <is>
          <t>Miss Glam Jambi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NIVEA</t>
        </is>
      </c>
      <c r="B2943" s="2">
        <f>"8999777000042"</f>
        <v/>
      </c>
      <c r="C2943" t="inlineStr">
        <is>
          <t>NIVEA Extra White Radiant &amp; Smooth 100ml</t>
        </is>
      </c>
      <c r="D2943" t="inlineStr">
        <is>
          <t>Miss Glam Jambi</t>
        </is>
      </c>
      <c r="E2943" t="n">
        <v>20</v>
      </c>
      <c r="F2943" t="n">
        <v>0.1023</v>
      </c>
      <c r="G2943" t="n">
        <v>0.66</v>
      </c>
      <c r="H2943" t="n">
        <v>6</v>
      </c>
      <c r="I2943" t="n">
        <v>26</v>
      </c>
      <c r="J2943" t="n">
        <v>3</v>
      </c>
      <c r="K2943" t="n">
        <v>0</v>
      </c>
      <c r="L2943" t="n">
        <v>18493</v>
      </c>
      <c r="M2943" t="n">
        <v>20000</v>
      </c>
      <c r="N2943" t="n">
        <v>33</v>
      </c>
      <c r="O2943" t="n">
        <v>0.33</v>
      </c>
      <c r="P2943" t="n">
        <v>1</v>
      </c>
      <c r="Q2943" t="n">
        <v>0.1</v>
      </c>
      <c r="R2943" t="n">
        <v>1</v>
      </c>
      <c r="S2943" t="n">
        <v>2046</v>
      </c>
      <c r="T2943" t="n">
        <v>17</v>
      </c>
      <c r="U2943" t="n">
        <v>18</v>
      </c>
      <c r="V2943" t="n">
        <v>30</v>
      </c>
      <c r="W2943" t="n">
        <v>4</v>
      </c>
      <c r="X2943" t="n">
        <v>195.5034213098729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9830</v>
      </c>
      <c r="AG2943" t="n">
        <v>2133</v>
      </c>
      <c r="AH2943" t="inlineStr">
        <is>
          <t>PT. ENSEVAL PUTERA MEGATRADING - PPN (JMB)</t>
        </is>
      </c>
      <c r="AI2943" t="n">
        <v>116</v>
      </c>
      <c r="AJ2943" t="inlineStr">
        <is>
          <t>NIVEA</t>
        </is>
      </c>
      <c r="AK2943" t="n">
        <v>9</v>
      </c>
      <c r="AL2943" t="inlineStr">
        <is>
          <t>Miss Glam Jambi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NIVEA</t>
        </is>
      </c>
      <c r="B2944" s="2">
        <f>"8999777818586"</f>
        <v/>
      </c>
      <c r="C2944" t="inlineStr">
        <is>
          <t>NIVEA Extra White Radiant &amp; Smooth Cream 100ml</t>
        </is>
      </c>
      <c r="D2944" t="inlineStr">
        <is>
          <t>Miss Glam Jambi</t>
        </is>
      </c>
      <c r="E2944" t="n">
        <v>3</v>
      </c>
      <c r="F2944" t="n">
        <v>0.033</v>
      </c>
      <c r="G2944" t="n">
        <v>0.33</v>
      </c>
      <c r="H2944" t="n">
        <v>6</v>
      </c>
      <c r="I2944" t="n">
        <v>26</v>
      </c>
      <c r="J2944" t="n">
        <v>3</v>
      </c>
      <c r="K2944" t="n">
        <v>0</v>
      </c>
      <c r="L2944" t="n">
        <v>32190</v>
      </c>
      <c r="M2944" t="n">
        <v>37000</v>
      </c>
      <c r="N2944" t="n">
        <v>33</v>
      </c>
      <c r="O2944" t="n">
        <v>0.33</v>
      </c>
      <c r="P2944" t="n">
        <v>1</v>
      </c>
      <c r="Q2944" t="n">
        <v>0.05</v>
      </c>
      <c r="R2944" t="n">
        <v>1</v>
      </c>
      <c r="S2944" t="n">
        <v>1221</v>
      </c>
      <c r="T2944" t="n">
        <v>9</v>
      </c>
      <c r="U2944" t="n">
        <v>10</v>
      </c>
      <c r="V2944" t="n">
        <v>30</v>
      </c>
      <c r="W2944" t="n">
        <v>1</v>
      </c>
      <c r="X2944" t="n">
        <v>90.90909090909091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9830</v>
      </c>
      <c r="AG2944" t="n">
        <v>2133</v>
      </c>
      <c r="AH2944" t="inlineStr">
        <is>
          <t>PT. ENSEVAL PUTERA MEGATRADING - PPN (JMB)</t>
        </is>
      </c>
      <c r="AI2944" t="n">
        <v>116</v>
      </c>
      <c r="AJ2944" t="inlineStr">
        <is>
          <t>NIVEA</t>
        </is>
      </c>
      <c r="AK2944" t="n">
        <v>9</v>
      </c>
      <c r="AL2944" t="inlineStr">
        <is>
          <t>Miss Glam Jambi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NIVEA</t>
        </is>
      </c>
      <c r="B2945" s="2">
        <f>"8999777000318"</f>
        <v/>
      </c>
      <c r="C2945" t="inlineStr">
        <is>
          <t>NIVEA Extra white Repair &amp; Protec Serum 200ml</t>
        </is>
      </c>
      <c r="D2945" t="inlineStr">
        <is>
          <t>Miss Glam Jambi</t>
        </is>
      </c>
      <c r="E2945" t="n">
        <v>13</v>
      </c>
      <c r="F2945" t="n">
        <v>0.1683</v>
      </c>
      <c r="G2945" t="n">
        <v>1.32</v>
      </c>
      <c r="H2945" t="n">
        <v>6</v>
      </c>
      <c r="I2945" t="n">
        <v>26</v>
      </c>
      <c r="J2945" t="n">
        <v>3</v>
      </c>
      <c r="K2945" t="n">
        <v>0</v>
      </c>
      <c r="L2945" t="n">
        <v>29296</v>
      </c>
      <c r="M2945" t="n">
        <v>34500</v>
      </c>
      <c r="N2945" t="n">
        <v>33</v>
      </c>
      <c r="O2945" t="n">
        <v>0.33</v>
      </c>
      <c r="P2945" t="n">
        <v>1</v>
      </c>
      <c r="Q2945" t="n">
        <v>0.12</v>
      </c>
      <c r="R2945" t="n">
        <v>2</v>
      </c>
      <c r="S2945" t="n">
        <v>5806.35</v>
      </c>
      <c r="T2945" t="n">
        <v>34</v>
      </c>
      <c r="U2945" t="n">
        <v>36</v>
      </c>
      <c r="V2945" t="n">
        <v>30</v>
      </c>
      <c r="W2945" t="n">
        <v>6</v>
      </c>
      <c r="X2945" t="n">
        <v>77.243018419489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9830</v>
      </c>
      <c r="AG2945" t="n">
        <v>2133</v>
      </c>
      <c r="AH2945" t="inlineStr">
        <is>
          <t>PT. ENSEVAL PUTERA MEGATRADING - PPN (JMB)</t>
        </is>
      </c>
      <c r="AI2945" t="n">
        <v>116</v>
      </c>
      <c r="AJ2945" t="inlineStr">
        <is>
          <t>NIVEA</t>
        </is>
      </c>
      <c r="AK2945" t="n">
        <v>9</v>
      </c>
      <c r="AL2945" t="inlineStr">
        <is>
          <t>Miss Glam Jambi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NIVEA</t>
        </is>
      </c>
      <c r="B2946" s="2">
        <f>"8999777000165"</f>
        <v/>
      </c>
      <c r="C2946" t="inlineStr">
        <is>
          <t>NIVEA Extra White Repair &amp; Protect Lotion 100ml</t>
        </is>
      </c>
      <c r="D2946" t="inlineStr">
        <is>
          <t>Miss Glam Jambi</t>
        </is>
      </c>
      <c r="E2946" t="n">
        <v>3</v>
      </c>
      <c r="F2946" t="n">
        <v>0.1386</v>
      </c>
      <c r="G2946" t="n">
        <v>0.66</v>
      </c>
      <c r="H2946" t="n">
        <v>6</v>
      </c>
      <c r="I2946" t="n">
        <v>26</v>
      </c>
      <c r="J2946" t="n">
        <v>3</v>
      </c>
      <c r="K2946" t="n">
        <v>3</v>
      </c>
      <c r="L2946" t="n">
        <v>18540</v>
      </c>
      <c r="M2946" t="n">
        <v>21000</v>
      </c>
      <c r="N2946" t="n">
        <v>33</v>
      </c>
      <c r="O2946" t="n">
        <v>0.33</v>
      </c>
      <c r="P2946" t="n">
        <v>1</v>
      </c>
      <c r="Q2946" t="n">
        <v>0.05</v>
      </c>
      <c r="R2946" t="n">
        <v>1</v>
      </c>
      <c r="S2946" t="n">
        <v>2910.6</v>
      </c>
      <c r="T2946" t="n">
        <v>17</v>
      </c>
      <c r="U2946" t="n">
        <v>18</v>
      </c>
      <c r="V2946" t="n">
        <v>30</v>
      </c>
      <c r="W2946" t="n">
        <v>5</v>
      </c>
      <c r="X2946" t="n">
        <v>21.64502164502165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9830</v>
      </c>
      <c r="AG2946" t="n">
        <v>2133</v>
      </c>
      <c r="AH2946" t="inlineStr">
        <is>
          <t>PT. ENSEVAL PUTERA MEGATRADING - PPN (JMB)</t>
        </is>
      </c>
      <c r="AI2946" t="n">
        <v>116</v>
      </c>
      <c r="AJ2946" t="inlineStr">
        <is>
          <t>NIVEA</t>
        </is>
      </c>
      <c r="AK2946" t="n">
        <v>9</v>
      </c>
      <c r="AL2946" t="inlineStr">
        <is>
          <t>Miss Glam Jambi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NIVEA</t>
        </is>
      </c>
      <c r="B2947" s="2">
        <f>"8999777015923"</f>
        <v/>
      </c>
      <c r="C2947" t="inlineStr">
        <is>
          <t>NIVEA Hijab Fresh Deodorant Spray 150ml</t>
        </is>
      </c>
      <c r="D2947" t="inlineStr">
        <is>
          <t>Miss Glam Jambi</t>
        </is>
      </c>
      <c r="E2947" t="n">
        <v>6</v>
      </c>
      <c r="F2947" t="n">
        <v>0.1122</v>
      </c>
      <c r="G2947" t="n">
        <v>0.66</v>
      </c>
      <c r="H2947" t="n">
        <v>6</v>
      </c>
      <c r="I2947" t="n">
        <v>26</v>
      </c>
      <c r="J2947" t="n">
        <v>3</v>
      </c>
      <c r="K2947" t="n">
        <v>0</v>
      </c>
      <c r="L2947" t="n">
        <v>52725</v>
      </c>
      <c r="M2947" t="n">
        <v>57500</v>
      </c>
      <c r="N2947" t="n">
        <v>33</v>
      </c>
      <c r="O2947" t="n">
        <v>0.33</v>
      </c>
      <c r="P2947" t="n">
        <v>1</v>
      </c>
      <c r="Q2947" t="n">
        <v>0.12</v>
      </c>
      <c r="R2947" t="n">
        <v>1</v>
      </c>
      <c r="S2947" t="n">
        <v>6451.500000000001</v>
      </c>
      <c r="T2947" t="n">
        <v>17</v>
      </c>
      <c r="U2947" t="n">
        <v>18</v>
      </c>
      <c r="V2947" t="n">
        <v>30</v>
      </c>
      <c r="W2947" t="n">
        <v>4</v>
      </c>
      <c r="X2947" t="n">
        <v>53.475935828877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9830</v>
      </c>
      <c r="AG2947" t="n">
        <v>2133</v>
      </c>
      <c r="AH2947" t="inlineStr">
        <is>
          <t>PT. ENSEVAL PUTERA MEGATRADING - PPN (JMB)</t>
        </is>
      </c>
      <c r="AI2947" t="n">
        <v>116</v>
      </c>
      <c r="AJ2947" t="inlineStr">
        <is>
          <t>NIVEA</t>
        </is>
      </c>
      <c r="AK2947" t="n">
        <v>9</v>
      </c>
      <c r="AL2947" t="inlineStr">
        <is>
          <t>Miss Glam Jambi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NIVEA</t>
        </is>
      </c>
      <c r="B2948" s="2">
        <f>"8999777000004"</f>
        <v/>
      </c>
      <c r="C2948" t="inlineStr">
        <is>
          <t>NIVEA Intensive Moisture Body Lotion 100ml</t>
        </is>
      </c>
      <c r="D2948" t="inlineStr">
        <is>
          <t>Miss Glam Jambi</t>
        </is>
      </c>
      <c r="E2948" t="n">
        <v>3</v>
      </c>
      <c r="F2948" t="n">
        <v>0.1386</v>
      </c>
      <c r="G2948" t="n">
        <v>0.66</v>
      </c>
      <c r="H2948" t="n">
        <v>6</v>
      </c>
      <c r="I2948" t="n">
        <v>26</v>
      </c>
      <c r="J2948" t="n">
        <v>3</v>
      </c>
      <c r="K2948" t="n">
        <v>3</v>
      </c>
      <c r="L2948" t="n">
        <v>18870</v>
      </c>
      <c r="M2948" t="n">
        <v>21100</v>
      </c>
      <c r="N2948" t="n">
        <v>33</v>
      </c>
      <c r="O2948" t="n">
        <v>0.33</v>
      </c>
      <c r="P2948" t="n">
        <v>1</v>
      </c>
      <c r="Q2948" t="n">
        <v>0.07000000000000001</v>
      </c>
      <c r="R2948" t="n">
        <v>1</v>
      </c>
      <c r="S2948" t="n">
        <v>2924.46</v>
      </c>
      <c r="T2948" t="n">
        <v>17</v>
      </c>
      <c r="U2948" t="n">
        <v>18</v>
      </c>
      <c r="V2948" t="n">
        <v>30</v>
      </c>
      <c r="W2948" t="n">
        <v>5</v>
      </c>
      <c r="X2948" t="n">
        <v>21.64502164502165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9830</v>
      </c>
      <c r="AG2948" t="n">
        <v>2133</v>
      </c>
      <c r="AH2948" t="inlineStr">
        <is>
          <t>PT. ENSEVAL PUTERA MEGATRADING - PPN (JMB)</t>
        </is>
      </c>
      <c r="AI2948" t="n">
        <v>116</v>
      </c>
      <c r="AJ2948" t="inlineStr">
        <is>
          <t>NIVEA</t>
        </is>
      </c>
      <c r="AK2948" t="n">
        <v>9</v>
      </c>
      <c r="AL2948" t="inlineStr">
        <is>
          <t>Miss Glam Jambi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NIVEA</t>
        </is>
      </c>
      <c r="B2949" s="2">
        <f>"8999777000011"</f>
        <v/>
      </c>
      <c r="C2949" t="inlineStr">
        <is>
          <t>NIVEA Intensive Moisture Body Lotion 200ml</t>
        </is>
      </c>
      <c r="D2949" t="inlineStr">
        <is>
          <t>Miss Glam Jambi</t>
        </is>
      </c>
      <c r="E2949" t="n">
        <v>5</v>
      </c>
      <c r="F2949" t="n">
        <v>0.0495</v>
      </c>
      <c r="G2949" t="n">
        <v>0.33</v>
      </c>
      <c r="H2949" t="n">
        <v>6</v>
      </c>
      <c r="I2949" t="n">
        <v>26</v>
      </c>
      <c r="J2949" t="n">
        <v>3</v>
      </c>
      <c r="K2949" t="n">
        <v>0</v>
      </c>
      <c r="L2949" t="n">
        <v>37074</v>
      </c>
      <c r="M2949" t="n">
        <v>39000</v>
      </c>
      <c r="N2949" t="n">
        <v>33</v>
      </c>
      <c r="O2949" t="n">
        <v>0.33</v>
      </c>
      <c r="P2949" t="n">
        <v>1</v>
      </c>
      <c r="Q2949" t="n">
        <v>0.15</v>
      </c>
      <c r="R2949" t="n">
        <v>1</v>
      </c>
      <c r="S2949" t="n">
        <v>1930.5</v>
      </c>
      <c r="T2949" t="n">
        <v>9</v>
      </c>
      <c r="U2949" t="n">
        <v>10</v>
      </c>
      <c r="V2949" t="n">
        <v>30</v>
      </c>
      <c r="W2949" t="n">
        <v>2</v>
      </c>
      <c r="X2949" t="n">
        <v>101.010101010101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9830</v>
      </c>
      <c r="AG2949" t="n">
        <v>2133</v>
      </c>
      <c r="AH2949" t="inlineStr">
        <is>
          <t>PT. ENSEVAL PUTERA MEGATRADING - PPN (JMB)</t>
        </is>
      </c>
      <c r="AI2949" t="n">
        <v>116</v>
      </c>
      <c r="AJ2949" t="inlineStr">
        <is>
          <t>NIVEA</t>
        </is>
      </c>
      <c r="AK2949" t="n">
        <v>9</v>
      </c>
      <c r="AL2949" t="inlineStr">
        <is>
          <t>Miss Glam Jambi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NIVEA</t>
        </is>
      </c>
      <c r="B2950" s="2">
        <f>"4005808232512"</f>
        <v/>
      </c>
      <c r="C2950" t="inlineStr">
        <is>
          <t>NIVEA Intensive Moisture Body Lotion 400ml</t>
        </is>
      </c>
      <c r="D2950" t="inlineStr">
        <is>
          <t>Miss Glam Jambi</t>
        </is>
      </c>
      <c r="E2950" t="n">
        <v>4</v>
      </c>
      <c r="F2950" t="n">
        <v>0.0561</v>
      </c>
      <c r="G2950" t="n">
        <v>0.66</v>
      </c>
      <c r="H2950" t="n">
        <v>6</v>
      </c>
      <c r="I2950" t="n">
        <v>26</v>
      </c>
      <c r="J2950" t="n">
        <v>3</v>
      </c>
      <c r="K2950" t="n">
        <v>0</v>
      </c>
      <c r="L2950" t="n">
        <v>65268</v>
      </c>
      <c r="M2950" t="n">
        <v>77000</v>
      </c>
      <c r="N2950" t="n">
        <v>33</v>
      </c>
      <c r="O2950" t="n">
        <v>0.33</v>
      </c>
      <c r="P2950" t="n">
        <v>1</v>
      </c>
      <c r="Q2950" t="n">
        <v>0.03</v>
      </c>
      <c r="R2950" t="n">
        <v>1</v>
      </c>
      <c r="S2950" t="n">
        <v>4319.700000000001</v>
      </c>
      <c r="T2950" t="n">
        <v>17</v>
      </c>
      <c r="U2950" t="n">
        <v>18</v>
      </c>
      <c r="V2950" t="n">
        <v>30</v>
      </c>
      <c r="W2950" t="n">
        <v>2</v>
      </c>
      <c r="X2950" t="n">
        <v>71.301247771836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9830</v>
      </c>
      <c r="AG2950" t="n">
        <v>2133</v>
      </c>
      <c r="AH2950" t="inlineStr">
        <is>
          <t>PT. ENSEVAL PUTERA MEGATRADING - PPN (JMB)</t>
        </is>
      </c>
      <c r="AI2950" t="n">
        <v>116</v>
      </c>
      <c r="AJ2950" t="inlineStr">
        <is>
          <t>NIVEA</t>
        </is>
      </c>
      <c r="AK2950" t="n">
        <v>9</v>
      </c>
      <c r="AL2950" t="inlineStr">
        <is>
          <t>Miss Glam Jambi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NIVEA</t>
        </is>
      </c>
      <c r="B2951" s="2">
        <f>"8999777000448"</f>
        <v/>
      </c>
      <c r="C2951" t="inlineStr">
        <is>
          <t>NIVEA Intensive Moisture Body Serum 180ml</t>
        </is>
      </c>
      <c r="D2951" t="inlineStr">
        <is>
          <t>Miss Glam Jambi</t>
        </is>
      </c>
      <c r="E2951" t="n">
        <v>2</v>
      </c>
      <c r="F2951" t="n">
        <v>0.1122</v>
      </c>
      <c r="G2951" t="n">
        <v>0.66</v>
      </c>
      <c r="H2951" t="n">
        <v>6</v>
      </c>
      <c r="I2951" t="n">
        <v>26</v>
      </c>
      <c r="J2951" t="n">
        <v>3</v>
      </c>
      <c r="K2951" t="n">
        <v>3</v>
      </c>
      <c r="L2951" t="n">
        <v>41064</v>
      </c>
      <c r="M2951" t="n">
        <v>46800</v>
      </c>
      <c r="N2951" t="n">
        <v>33</v>
      </c>
      <c r="O2951" t="n">
        <v>0.33</v>
      </c>
      <c r="P2951" t="n">
        <v>1</v>
      </c>
      <c r="Q2951" t="n">
        <v>0.17</v>
      </c>
      <c r="R2951" t="n">
        <v>2</v>
      </c>
      <c r="S2951" t="n">
        <v>5250.96</v>
      </c>
      <c r="T2951" t="n">
        <v>17</v>
      </c>
      <c r="U2951" t="n">
        <v>18</v>
      </c>
      <c r="V2951" t="n">
        <v>30</v>
      </c>
      <c r="W2951" t="n">
        <v>4</v>
      </c>
      <c r="X2951" t="n">
        <v>17.825311942959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9830</v>
      </c>
      <c r="AG2951" t="n">
        <v>2133</v>
      </c>
      <c r="AH2951" t="inlineStr">
        <is>
          <t>PT. ENSEVAL PUTERA MEGATRADING - PPN (JMB)</t>
        </is>
      </c>
      <c r="AI2951" t="n">
        <v>116</v>
      </c>
      <c r="AJ2951" t="inlineStr">
        <is>
          <t>NIVEA</t>
        </is>
      </c>
      <c r="AK2951" t="n">
        <v>9</v>
      </c>
      <c r="AL2951" t="inlineStr">
        <is>
          <t>Miss Glam Jambi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NIVEA</t>
        </is>
      </c>
      <c r="B2952" s="2">
        <f>"8999777850616"</f>
        <v/>
      </c>
      <c r="C2952" t="inlineStr">
        <is>
          <t>NIVEA Lip Balm Original Essential Care 4.8gr</t>
        </is>
      </c>
      <c r="D2952" t="inlineStr">
        <is>
          <t>Miss Glam Jambi</t>
        </is>
      </c>
      <c r="E2952" t="n">
        <v>9</v>
      </c>
      <c r="F2952" t="n">
        <v>0.1848</v>
      </c>
      <c r="G2952" t="n">
        <v>0.99</v>
      </c>
      <c r="H2952" t="n">
        <v>6</v>
      </c>
      <c r="I2952" t="n">
        <v>26</v>
      </c>
      <c r="J2952" t="n">
        <v>3</v>
      </c>
      <c r="K2952" t="n">
        <v>0</v>
      </c>
      <c r="L2952" t="n">
        <v>28647</v>
      </c>
      <c r="M2952" t="n">
        <v>33000</v>
      </c>
      <c r="N2952" t="n">
        <v>33</v>
      </c>
      <c r="O2952" t="n">
        <v>0.33</v>
      </c>
      <c r="P2952" t="n">
        <v>1</v>
      </c>
      <c r="Q2952" t="n">
        <v>0.19</v>
      </c>
      <c r="R2952" t="n">
        <v>2</v>
      </c>
      <c r="S2952" t="n">
        <v>6098.400000000001</v>
      </c>
      <c r="T2952" t="n">
        <v>25</v>
      </c>
      <c r="U2952" t="n">
        <v>27</v>
      </c>
      <c r="V2952" t="n">
        <v>30</v>
      </c>
      <c r="W2952" t="n">
        <v>6</v>
      </c>
      <c r="X2952" t="n">
        <v>48.7012987012987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9830</v>
      </c>
      <c r="AG2952" t="n">
        <v>2133</v>
      </c>
      <c r="AH2952" t="inlineStr">
        <is>
          <t>PT. ENSEVAL PUTERA MEGATRADING - PPN (JMB)</t>
        </is>
      </c>
      <c r="AI2952" t="n">
        <v>116</v>
      </c>
      <c r="AJ2952" t="inlineStr">
        <is>
          <t>NIVEA</t>
        </is>
      </c>
      <c r="AK2952" t="n">
        <v>9</v>
      </c>
      <c r="AL2952" t="inlineStr">
        <is>
          <t>Miss Glam Jambi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NIVEA</t>
        </is>
      </c>
      <c r="B2953" s="2">
        <f>"8999777850838"</f>
        <v/>
      </c>
      <c r="C2953" t="inlineStr">
        <is>
          <t>NIVEA Lip Care Fruity Shine Beauty Stick Strawberry 4.8gr</t>
        </is>
      </c>
      <c r="D2953" t="inlineStr">
        <is>
          <t>Miss Glam Jambi</t>
        </is>
      </c>
      <c r="E2953" t="n">
        <v>25</v>
      </c>
      <c r="F2953" t="n">
        <v>0.7821</v>
      </c>
      <c r="G2953" t="n">
        <v>2.31</v>
      </c>
      <c r="H2953" t="n">
        <v>6</v>
      </c>
      <c r="I2953" t="n">
        <v>26</v>
      </c>
      <c r="J2953" t="n">
        <v>3</v>
      </c>
      <c r="K2953" t="n">
        <v>0</v>
      </c>
      <c r="L2953" t="n">
        <v>29331</v>
      </c>
      <c r="M2953" t="n">
        <v>34000</v>
      </c>
      <c r="N2953" t="n">
        <v>33</v>
      </c>
      <c r="O2953" t="n">
        <v>0.33</v>
      </c>
      <c r="P2953" t="n">
        <v>1</v>
      </c>
      <c r="Q2953" t="n">
        <v>0.53</v>
      </c>
      <c r="R2953" t="n">
        <v>4</v>
      </c>
      <c r="S2953" t="n">
        <v>26591.4</v>
      </c>
      <c r="T2953" t="n">
        <v>56</v>
      </c>
      <c r="U2953" t="n">
        <v>61</v>
      </c>
      <c r="V2953" t="n">
        <v>30</v>
      </c>
      <c r="W2953" t="n">
        <v>24</v>
      </c>
      <c r="X2953" t="n">
        <v>31.96522183863956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9830</v>
      </c>
      <c r="AG2953" t="n">
        <v>2133</v>
      </c>
      <c r="AH2953" t="inlineStr">
        <is>
          <t>PT. ENSEVAL PUTERA MEGATRADING - PPN (JMB)</t>
        </is>
      </c>
      <c r="AI2953" t="n">
        <v>116</v>
      </c>
      <c r="AJ2953" t="inlineStr">
        <is>
          <t>NIVEA</t>
        </is>
      </c>
      <c r="AK2953" t="n">
        <v>9</v>
      </c>
      <c r="AL2953" t="inlineStr">
        <is>
          <t>Miss Glam Jambi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NIVEA</t>
        </is>
      </c>
      <c r="B2954" s="2">
        <f>"8999777017507"</f>
        <v/>
      </c>
      <c r="C2954" t="inlineStr">
        <is>
          <t>NIVEA Oil &amp; Acne Care Micellair 125ml</t>
        </is>
      </c>
      <c r="D2954" t="inlineStr">
        <is>
          <t>Miss Glam Jambi</t>
        </is>
      </c>
      <c r="E2954" t="n">
        <v>3</v>
      </c>
      <c r="F2954" t="n">
        <v>0.1551</v>
      </c>
      <c r="G2954" t="n">
        <v>0.99</v>
      </c>
      <c r="H2954" t="n">
        <v>6</v>
      </c>
      <c r="I2954" t="n">
        <v>26</v>
      </c>
      <c r="J2954" t="n">
        <v>3</v>
      </c>
      <c r="K2954" t="n">
        <v>0</v>
      </c>
      <c r="L2954" t="n">
        <v>29910</v>
      </c>
      <c r="M2954" t="n">
        <v>34000</v>
      </c>
      <c r="N2954" t="n">
        <v>33</v>
      </c>
      <c r="O2954" t="n">
        <v>0.33</v>
      </c>
      <c r="P2954" t="n">
        <v>1</v>
      </c>
      <c r="Q2954" t="n">
        <v>0.24</v>
      </c>
      <c r="R2954" t="n">
        <v>1</v>
      </c>
      <c r="S2954" t="n">
        <v>5273.4</v>
      </c>
      <c r="T2954" t="n">
        <v>25</v>
      </c>
      <c r="U2954" t="n">
        <v>26</v>
      </c>
      <c r="V2954" t="n">
        <v>30</v>
      </c>
      <c r="W2954" t="n">
        <v>5</v>
      </c>
      <c r="X2954" t="n">
        <v>19.34235976789168</v>
      </c>
      <c r="Y2954" t="n">
        <v>1</v>
      </c>
      <c r="Z2954" t="n">
        <v>2</v>
      </c>
      <c r="AA2954" t="n">
        <v>2</v>
      </c>
      <c r="AB2954" t="n">
        <v>0</v>
      </c>
      <c r="AC2954" t="n">
        <v>0</v>
      </c>
      <c r="AD2954" t="n">
        <v>59820</v>
      </c>
      <c r="AE2954" t="n">
        <v>0</v>
      </c>
      <c r="AF2954" t="n">
        <v>9830</v>
      </c>
      <c r="AG2954" t="n">
        <v>2133</v>
      </c>
      <c r="AH2954" t="inlineStr">
        <is>
          <t>PT. ENSEVAL PUTERA MEGATRADING - PPN (JMB)</t>
        </is>
      </c>
      <c r="AI2954" t="n">
        <v>116</v>
      </c>
      <c r="AJ2954" t="inlineStr">
        <is>
          <t>NIVEA</t>
        </is>
      </c>
      <c r="AK2954" t="n">
        <v>9</v>
      </c>
      <c r="AL2954" t="inlineStr">
        <is>
          <t>Miss Glam Jambi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NIVEA</t>
        </is>
      </c>
      <c r="B2955" s="2">
        <f>"8999777010973"</f>
        <v/>
      </c>
      <c r="C2955" t="inlineStr">
        <is>
          <t>NIVEA Pearl &amp; Beauty Roll On 50ml</t>
        </is>
      </c>
      <c r="D2955" t="inlineStr">
        <is>
          <t>Miss Glam Jambi</t>
        </is>
      </c>
      <c r="E2955" t="n">
        <v>6</v>
      </c>
      <c r="F2955" t="n">
        <v>0.4818</v>
      </c>
      <c r="G2955" t="n">
        <v>1.98</v>
      </c>
      <c r="H2955" t="n">
        <v>6</v>
      </c>
      <c r="I2955" t="n">
        <v>26</v>
      </c>
      <c r="J2955" t="n">
        <v>3</v>
      </c>
      <c r="K2955" t="n">
        <v>3</v>
      </c>
      <c r="L2955" t="n">
        <v>21070</v>
      </c>
      <c r="M2955" t="n">
        <v>24500</v>
      </c>
      <c r="N2955" t="n">
        <v>33</v>
      </c>
      <c r="O2955" t="n">
        <v>0.33</v>
      </c>
      <c r="P2955" t="n">
        <v>1</v>
      </c>
      <c r="Q2955" t="n">
        <v>0.22</v>
      </c>
      <c r="R2955" t="n">
        <v>3</v>
      </c>
      <c r="S2955" t="n">
        <v>11804.1</v>
      </c>
      <c r="T2955" t="n">
        <v>49</v>
      </c>
      <c r="U2955" t="n">
        <v>52</v>
      </c>
      <c r="V2955" t="n">
        <v>30</v>
      </c>
      <c r="W2955" t="n">
        <v>15</v>
      </c>
      <c r="X2955" t="n">
        <v>12.453300124533</v>
      </c>
      <c r="Y2955" t="n">
        <v>1</v>
      </c>
      <c r="Z2955" t="n">
        <v>6</v>
      </c>
      <c r="AA2955" t="n">
        <v>6</v>
      </c>
      <c r="AB2955" t="n">
        <v>0</v>
      </c>
      <c r="AC2955" t="n">
        <v>0</v>
      </c>
      <c r="AD2955" t="n">
        <v>126420</v>
      </c>
      <c r="AE2955" t="n">
        <v>0</v>
      </c>
      <c r="AF2955" t="n">
        <v>9830</v>
      </c>
      <c r="AG2955" t="n">
        <v>2133</v>
      </c>
      <c r="AH2955" t="inlineStr">
        <is>
          <t>PT. ENSEVAL PUTERA MEGATRADING - PPN (JMB)</t>
        </is>
      </c>
      <c r="AI2955" t="n">
        <v>116</v>
      </c>
      <c r="AJ2955" t="inlineStr">
        <is>
          <t>NIVEA</t>
        </is>
      </c>
      <c r="AK2955" t="n">
        <v>9</v>
      </c>
      <c r="AL2955" t="inlineStr">
        <is>
          <t>Miss Glam Jambi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NIVEA</t>
        </is>
      </c>
      <c r="B2956" s="2">
        <f>"8999777017910"</f>
        <v/>
      </c>
      <c r="C2956" t="inlineStr">
        <is>
          <t>NIVEA Pearl Bright Micellar Oxygen Boost 400ml</t>
        </is>
      </c>
      <c r="D2956" t="inlineStr">
        <is>
          <t>Miss Glam Jambi</t>
        </is>
      </c>
      <c r="E2956" t="n">
        <v>5</v>
      </c>
      <c r="F2956" t="n">
        <v>0.006600000000000001</v>
      </c>
      <c r="G2956" t="n">
        <v>0.33</v>
      </c>
      <c r="H2956" t="n">
        <v>6</v>
      </c>
      <c r="I2956" t="n">
        <v>26</v>
      </c>
      <c r="J2956" t="n">
        <v>3</v>
      </c>
      <c r="K2956" t="n">
        <v>0</v>
      </c>
      <c r="L2956" t="n">
        <v>81585</v>
      </c>
      <c r="M2956" t="n">
        <v>96000</v>
      </c>
      <c r="N2956" t="n">
        <v>33</v>
      </c>
      <c r="O2956" t="n">
        <v>0.33</v>
      </c>
      <c r="P2956" t="n">
        <v>1</v>
      </c>
      <c r="Q2956" t="n">
        <v>0.02</v>
      </c>
      <c r="R2956" t="n">
        <v>1</v>
      </c>
      <c r="S2956" t="n">
        <v>633.6000000000001</v>
      </c>
      <c r="T2956" t="n">
        <v>9</v>
      </c>
      <c r="U2956" t="n">
        <v>10</v>
      </c>
      <c r="V2956" t="n">
        <v>30</v>
      </c>
      <c r="W2956" t="n">
        <v>1</v>
      </c>
      <c r="X2956" t="n">
        <v>757.5757575757575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9830</v>
      </c>
      <c r="AG2956" t="n">
        <v>2133</v>
      </c>
      <c r="AH2956" t="inlineStr">
        <is>
          <t>PT. ENSEVAL PUTERA MEGATRADING - PPN (JMB)</t>
        </is>
      </c>
      <c r="AI2956" t="n">
        <v>116</v>
      </c>
      <c r="AJ2956" t="inlineStr">
        <is>
          <t>NIVEA</t>
        </is>
      </c>
      <c r="AK2956" t="n">
        <v>9</v>
      </c>
      <c r="AL2956" t="inlineStr">
        <is>
          <t>Miss Glam Jambi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NIVEA</t>
        </is>
      </c>
      <c r="B2957" s="2">
        <f>"8999777011826"</f>
        <v/>
      </c>
      <c r="C2957" t="inlineStr">
        <is>
          <t>NIVEA Pearl White Micellar Water 125ml</t>
        </is>
      </c>
      <c r="D2957" t="inlineStr">
        <is>
          <t>Miss Glam Jambi</t>
        </is>
      </c>
      <c r="E2957" t="n">
        <v>2</v>
      </c>
      <c r="F2957" t="n">
        <v>0.09569999999999999</v>
      </c>
      <c r="G2957" t="n">
        <v>0.66</v>
      </c>
      <c r="H2957" t="n">
        <v>6</v>
      </c>
      <c r="I2957" t="n">
        <v>26</v>
      </c>
      <c r="J2957" t="n">
        <v>3</v>
      </c>
      <c r="K2957" t="n">
        <v>0</v>
      </c>
      <c r="L2957" t="n">
        <v>29970</v>
      </c>
      <c r="M2957" t="n">
        <v>33500</v>
      </c>
      <c r="N2957" t="n">
        <v>33</v>
      </c>
      <c r="O2957" t="n">
        <v>0.33</v>
      </c>
      <c r="P2957" t="n">
        <v>1</v>
      </c>
      <c r="Q2957" t="n">
        <v>0.15</v>
      </c>
      <c r="R2957" t="n">
        <v>1</v>
      </c>
      <c r="S2957" t="n">
        <v>3205.95</v>
      </c>
      <c r="T2957" t="n">
        <v>17</v>
      </c>
      <c r="U2957" t="n">
        <v>18</v>
      </c>
      <c r="V2957" t="n">
        <v>30</v>
      </c>
      <c r="W2957" t="n">
        <v>3</v>
      </c>
      <c r="X2957" t="n">
        <v>20.89864158829676</v>
      </c>
      <c r="Y2957" t="n">
        <v>1</v>
      </c>
      <c r="Z2957" t="n">
        <v>1</v>
      </c>
      <c r="AA2957" t="n">
        <v>1</v>
      </c>
      <c r="AB2957" t="n">
        <v>0</v>
      </c>
      <c r="AC2957" t="n">
        <v>0</v>
      </c>
      <c r="AD2957" t="n">
        <v>29970</v>
      </c>
      <c r="AE2957" t="n">
        <v>0</v>
      </c>
      <c r="AF2957" t="n">
        <v>9830</v>
      </c>
      <c r="AG2957" t="n">
        <v>2133</v>
      </c>
      <c r="AH2957" t="inlineStr">
        <is>
          <t>PT. ENSEVAL PUTERA MEGATRADING - PPN (JMB)</t>
        </is>
      </c>
      <c r="AI2957" t="n">
        <v>116</v>
      </c>
      <c r="AJ2957" t="inlineStr">
        <is>
          <t>NIVEA</t>
        </is>
      </c>
      <c r="AK2957" t="n">
        <v>9</v>
      </c>
      <c r="AL2957" t="inlineStr">
        <is>
          <t>Miss Glam Jambi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NIVEA</t>
        </is>
      </c>
      <c r="B2958" s="2">
        <f>"8999777004255"</f>
        <v/>
      </c>
      <c r="C2958" t="inlineStr">
        <is>
          <t>NIVEA Personal Care Deodorant Dry Comfort Roll On 25ml</t>
        </is>
      </c>
      <c r="D2958" t="inlineStr">
        <is>
          <t>Miss Glam Jambi</t>
        </is>
      </c>
      <c r="E2958" t="n">
        <v>6</v>
      </c>
      <c r="F2958" t="n">
        <v>0.2409</v>
      </c>
      <c r="G2958" t="n">
        <v>1.32</v>
      </c>
      <c r="H2958" t="n">
        <v>6</v>
      </c>
      <c r="I2958" t="n">
        <v>26</v>
      </c>
      <c r="J2958" t="n">
        <v>3</v>
      </c>
      <c r="K2958" t="n">
        <v>3</v>
      </c>
      <c r="L2958" t="n">
        <v>12321</v>
      </c>
      <c r="M2958" t="n">
        <v>14000</v>
      </c>
      <c r="N2958" t="n">
        <v>33</v>
      </c>
      <c r="O2958" t="n">
        <v>0.33</v>
      </c>
      <c r="P2958" t="n">
        <v>1</v>
      </c>
      <c r="Q2958" t="n">
        <v>0.05</v>
      </c>
      <c r="R2958" t="n">
        <v>1</v>
      </c>
      <c r="S2958" t="n">
        <v>3372.6</v>
      </c>
      <c r="T2958" t="n">
        <v>33</v>
      </c>
      <c r="U2958" t="n">
        <v>35</v>
      </c>
      <c r="V2958" t="n">
        <v>30</v>
      </c>
      <c r="W2958" t="n">
        <v>8</v>
      </c>
      <c r="X2958" t="n">
        <v>24.906600249066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9830</v>
      </c>
      <c r="AG2958" t="n">
        <v>2133</v>
      </c>
      <c r="AH2958" t="inlineStr">
        <is>
          <t>PT. ENSEVAL PUTERA MEGATRADING - PPN (JMB)</t>
        </is>
      </c>
      <c r="AI2958" t="n">
        <v>116</v>
      </c>
      <c r="AJ2958" t="inlineStr">
        <is>
          <t>NIVEA</t>
        </is>
      </c>
      <c r="AK2958" t="n">
        <v>9</v>
      </c>
      <c r="AL2958" t="inlineStr">
        <is>
          <t>Miss Glam Jambi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NIVEA</t>
        </is>
      </c>
      <c r="B2959" s="2">
        <f>"8999777015268"</f>
        <v/>
      </c>
      <c r="C2959" t="inlineStr">
        <is>
          <t>NIVEA Protect &amp; White Sun Serum Spf 50 30ml</t>
        </is>
      </c>
      <c r="D2959" t="inlineStr">
        <is>
          <t>Miss Glam Jambi</t>
        </is>
      </c>
      <c r="E2959" t="n">
        <v>7</v>
      </c>
      <c r="F2959" t="n">
        <v>0.033</v>
      </c>
      <c r="G2959" t="n">
        <v>0.33</v>
      </c>
      <c r="H2959" t="n">
        <v>6</v>
      </c>
      <c r="I2959" t="n">
        <v>26</v>
      </c>
      <c r="J2959" t="n">
        <v>3</v>
      </c>
      <c r="K2959" t="n">
        <v>0</v>
      </c>
      <c r="L2959" t="n">
        <v>56566</v>
      </c>
      <c r="M2959" t="n">
        <v>65000</v>
      </c>
      <c r="N2959" t="n">
        <v>33</v>
      </c>
      <c r="O2959" t="n">
        <v>0.33</v>
      </c>
      <c r="P2959" t="n">
        <v>1</v>
      </c>
      <c r="Q2959" t="n">
        <v>0.02</v>
      </c>
      <c r="R2959" t="n">
        <v>1</v>
      </c>
      <c r="S2959" t="n">
        <v>2145</v>
      </c>
      <c r="T2959" t="n">
        <v>9</v>
      </c>
      <c r="U2959" t="n">
        <v>10</v>
      </c>
      <c r="V2959" t="n">
        <v>30</v>
      </c>
      <c r="W2959" t="n">
        <v>1</v>
      </c>
      <c r="X2959" t="n">
        <v>212.1212121212121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9830</v>
      </c>
      <c r="AG2959" t="n">
        <v>2133</v>
      </c>
      <c r="AH2959" t="inlineStr">
        <is>
          <t>PT. ENSEVAL PUTERA MEGATRADING - PPN (JMB)</t>
        </is>
      </c>
      <c r="AI2959" t="n">
        <v>116</v>
      </c>
      <c r="AJ2959" t="inlineStr">
        <is>
          <t>NIVEA</t>
        </is>
      </c>
      <c r="AK2959" t="n">
        <v>9</v>
      </c>
      <c r="AL2959" t="inlineStr">
        <is>
          <t>Miss Glam Jambi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NIVEA</t>
        </is>
      </c>
      <c r="B2960" s="2">
        <f>"8999777007478"</f>
        <v/>
      </c>
      <c r="C2960" t="inlineStr">
        <is>
          <t>NIVEA Shave Care Deodorant Mini Whitening Happy Shave Roll On 25ml</t>
        </is>
      </c>
      <c r="D2960" t="inlineStr">
        <is>
          <t>Miss Glam Jambi</t>
        </is>
      </c>
      <c r="E2960" t="n">
        <v>5</v>
      </c>
      <c r="F2960" t="n">
        <v>0.4092</v>
      </c>
      <c r="G2960" t="n">
        <v>1.32</v>
      </c>
      <c r="H2960" t="n">
        <v>6</v>
      </c>
      <c r="I2960" t="n">
        <v>26</v>
      </c>
      <c r="J2960" t="n">
        <v>3</v>
      </c>
      <c r="K2960" t="n">
        <v>3</v>
      </c>
      <c r="L2960" t="n">
        <v>12316</v>
      </c>
      <c r="M2960" t="n">
        <v>14000</v>
      </c>
      <c r="N2960" t="n">
        <v>33</v>
      </c>
      <c r="O2960" t="n">
        <v>0.33</v>
      </c>
      <c r="P2960" t="n">
        <v>1</v>
      </c>
      <c r="Q2960" t="n">
        <v>0.17</v>
      </c>
      <c r="R2960" t="n">
        <v>2</v>
      </c>
      <c r="S2960" t="n">
        <v>5728.8</v>
      </c>
      <c r="T2960" t="n">
        <v>32</v>
      </c>
      <c r="U2960" t="n">
        <v>35</v>
      </c>
      <c r="V2960" t="n">
        <v>30</v>
      </c>
      <c r="W2960" t="n">
        <v>13</v>
      </c>
      <c r="X2960" t="n">
        <v>12.21896383186706</v>
      </c>
      <c r="Y2960" t="n">
        <v>1</v>
      </c>
      <c r="Z2960" t="n">
        <v>5</v>
      </c>
      <c r="AA2960" t="n">
        <v>5</v>
      </c>
      <c r="AB2960" t="n">
        <v>0</v>
      </c>
      <c r="AC2960" t="n">
        <v>0</v>
      </c>
      <c r="AD2960" t="n">
        <v>61580</v>
      </c>
      <c r="AE2960" t="n">
        <v>0</v>
      </c>
      <c r="AF2960" t="n">
        <v>9830</v>
      </c>
      <c r="AG2960" t="n">
        <v>2133</v>
      </c>
      <c r="AH2960" t="inlineStr">
        <is>
          <t>PT. ENSEVAL PUTERA MEGATRADING - PPN (JMB)</t>
        </is>
      </c>
      <c r="AI2960" t="n">
        <v>116</v>
      </c>
      <c r="AJ2960" t="inlineStr">
        <is>
          <t>NIVEA</t>
        </is>
      </c>
      <c r="AK2960" t="n">
        <v>9</v>
      </c>
      <c r="AL2960" t="inlineStr">
        <is>
          <t>Miss Glam Jambi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NIVEA</t>
        </is>
      </c>
      <c r="B2961" s="2">
        <f>"8999777890551"</f>
        <v/>
      </c>
      <c r="C2961" t="inlineStr">
        <is>
          <t>NIVEA Soft 100ml</t>
        </is>
      </c>
      <c r="D2961" t="inlineStr">
        <is>
          <t>Miss Glam Jambi</t>
        </is>
      </c>
      <c r="E2961" t="n">
        <v>3</v>
      </c>
      <c r="F2961" t="n">
        <v>0.02</v>
      </c>
      <c r="G2961" t="n">
        <v>1</v>
      </c>
      <c r="H2961" t="n">
        <v>6</v>
      </c>
      <c r="I2961" t="n">
        <v>26</v>
      </c>
      <c r="J2961" t="n">
        <v>3</v>
      </c>
      <c r="K2961" t="n">
        <v>0</v>
      </c>
      <c r="L2961" t="n">
        <v>26033</v>
      </c>
      <c r="M2961" t="n">
        <v>29500</v>
      </c>
      <c r="N2961" t="n">
        <v>33</v>
      </c>
      <c r="O2961" t="n">
        <v>0.33</v>
      </c>
      <c r="P2961" t="n">
        <v>0</v>
      </c>
      <c r="Q2961" t="n">
        <v>0.02</v>
      </c>
      <c r="R2961" t="n">
        <v>1</v>
      </c>
      <c r="S2961" t="n">
        <v>590</v>
      </c>
      <c r="T2961" t="n">
        <v>26</v>
      </c>
      <c r="U2961" t="n">
        <v>27</v>
      </c>
      <c r="V2961" t="n">
        <v>30</v>
      </c>
      <c r="W2961" t="n">
        <v>1</v>
      </c>
      <c r="X2961" t="n">
        <v>150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9830</v>
      </c>
      <c r="AG2961" t="n">
        <v>2133</v>
      </c>
      <c r="AH2961" t="inlineStr">
        <is>
          <t>PT. ENSEVAL PUTERA MEGATRADING - PPN (JMB)</t>
        </is>
      </c>
      <c r="AI2961" t="n">
        <v>116</v>
      </c>
      <c r="AJ2961" t="inlineStr">
        <is>
          <t>NIVEA</t>
        </is>
      </c>
      <c r="AK2961" t="n">
        <v>9</v>
      </c>
      <c r="AL2961" t="inlineStr">
        <is>
          <t>Miss Glam Jambi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NIVEA</t>
        </is>
      </c>
      <c r="B2962" s="2">
        <f>"8999777890544"</f>
        <v/>
      </c>
      <c r="C2962" t="inlineStr">
        <is>
          <t>NIVEA Soft 50ml</t>
        </is>
      </c>
      <c r="D2962" t="inlineStr">
        <is>
          <t>Miss Glam Jambi</t>
        </is>
      </c>
      <c r="E2962" t="n">
        <v>6</v>
      </c>
      <c r="F2962" t="n">
        <v>0.1353</v>
      </c>
      <c r="G2962" t="n">
        <v>0.99</v>
      </c>
      <c r="H2962" t="n">
        <v>6</v>
      </c>
      <c r="I2962" t="n">
        <v>26</v>
      </c>
      <c r="J2962" t="n">
        <v>3</v>
      </c>
      <c r="K2962" t="n">
        <v>0</v>
      </c>
      <c r="L2962" t="n">
        <v>16099</v>
      </c>
      <c r="M2962" t="n">
        <v>18500</v>
      </c>
      <c r="N2962" t="n">
        <v>33</v>
      </c>
      <c r="O2962" t="n">
        <v>0.33</v>
      </c>
      <c r="P2962" t="n">
        <v>1</v>
      </c>
      <c r="Q2962" t="n">
        <v>0.1</v>
      </c>
      <c r="R2962" t="n">
        <v>1</v>
      </c>
      <c r="S2962" t="n">
        <v>2503.05</v>
      </c>
      <c r="T2962" t="n">
        <v>25</v>
      </c>
      <c r="U2962" t="n">
        <v>26</v>
      </c>
      <c r="V2962" t="n">
        <v>30</v>
      </c>
      <c r="W2962" t="n">
        <v>5</v>
      </c>
      <c r="X2962" t="n">
        <v>44.34589800443459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9830</v>
      </c>
      <c r="AG2962" t="n">
        <v>2133</v>
      </c>
      <c r="AH2962" t="inlineStr">
        <is>
          <t>PT. ENSEVAL PUTERA MEGATRADING - PPN (JMB)</t>
        </is>
      </c>
      <c r="AI2962" t="n">
        <v>116</v>
      </c>
      <c r="AJ2962" t="inlineStr">
        <is>
          <t>NIVEA</t>
        </is>
      </c>
      <c r="AK2962" t="n">
        <v>9</v>
      </c>
      <c r="AL2962" t="inlineStr">
        <is>
          <t>Miss Glam Jambi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NIVEA</t>
        </is>
      </c>
      <c r="B2963" s="2">
        <f>"8999777867249"</f>
        <v/>
      </c>
      <c r="C2963" t="inlineStr">
        <is>
          <t>NIVEA Sparkling Bright Facial Foam 100ml</t>
        </is>
      </c>
      <c r="D2963" t="inlineStr">
        <is>
          <t>Miss Glam Jambi</t>
        </is>
      </c>
      <c r="E2963" t="n">
        <v>10</v>
      </c>
      <c r="F2963" t="n">
        <v>0.1353</v>
      </c>
      <c r="G2963" t="n">
        <v>0.66</v>
      </c>
      <c r="H2963" t="n">
        <v>6</v>
      </c>
      <c r="I2963" t="n">
        <v>26</v>
      </c>
      <c r="J2963" t="n">
        <v>3</v>
      </c>
      <c r="K2963" t="n">
        <v>0</v>
      </c>
      <c r="L2963" t="n">
        <v>28283</v>
      </c>
      <c r="M2963" t="n">
        <v>32000</v>
      </c>
      <c r="N2963" t="n">
        <v>33</v>
      </c>
      <c r="O2963" t="n">
        <v>0.33</v>
      </c>
      <c r="P2963" t="n">
        <v>1</v>
      </c>
      <c r="Q2963" t="n">
        <v>0.02</v>
      </c>
      <c r="R2963" t="n">
        <v>1</v>
      </c>
      <c r="S2963" t="n">
        <v>4329.6</v>
      </c>
      <c r="T2963" t="n">
        <v>17</v>
      </c>
      <c r="U2963" t="n">
        <v>18</v>
      </c>
      <c r="V2963" t="n">
        <v>30</v>
      </c>
      <c r="W2963" t="n">
        <v>5</v>
      </c>
      <c r="X2963" t="n">
        <v>73.90983000739098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9830</v>
      </c>
      <c r="AG2963" t="n">
        <v>2133</v>
      </c>
      <c r="AH2963" t="inlineStr">
        <is>
          <t>PT. ENSEVAL PUTERA MEGATRADING - PPN (JMB)</t>
        </is>
      </c>
      <c r="AI2963" t="n">
        <v>116</v>
      </c>
      <c r="AJ2963" t="inlineStr">
        <is>
          <t>NIVEA</t>
        </is>
      </c>
      <c r="AK2963" t="n">
        <v>9</v>
      </c>
      <c r="AL2963" t="inlineStr">
        <is>
          <t>Miss Glam Jambi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NIVEA</t>
        </is>
      </c>
      <c r="B2964" s="2">
        <f>"8999777014230"</f>
        <v/>
      </c>
      <c r="C2964" t="inlineStr">
        <is>
          <t>NIVEA Sun Face Serum Oil Control 30ml</t>
        </is>
      </c>
      <c r="D2964" t="inlineStr">
        <is>
          <t>Miss Glam Jambi</t>
        </is>
      </c>
      <c r="E2964" t="n">
        <v>4</v>
      </c>
      <c r="F2964" t="n">
        <v>0.009900000000000001</v>
      </c>
      <c r="G2964" t="n">
        <v>0.33</v>
      </c>
      <c r="H2964" t="n">
        <v>6</v>
      </c>
      <c r="I2964" t="n">
        <v>26</v>
      </c>
      <c r="J2964" t="n">
        <v>3</v>
      </c>
      <c r="K2964" t="n">
        <v>0</v>
      </c>
      <c r="L2964" t="n">
        <v>56277</v>
      </c>
      <c r="M2964" t="n">
        <v>65000</v>
      </c>
      <c r="N2964" t="n">
        <v>33</v>
      </c>
      <c r="O2964" t="n">
        <v>0.33</v>
      </c>
      <c r="P2964" t="n">
        <v>1</v>
      </c>
      <c r="Q2964" t="n">
        <v>0.03</v>
      </c>
      <c r="R2964" t="n">
        <v>1</v>
      </c>
      <c r="S2964" t="n">
        <v>643.5</v>
      </c>
      <c r="T2964" t="n">
        <v>9</v>
      </c>
      <c r="U2964" t="n">
        <v>10</v>
      </c>
      <c r="V2964" t="n">
        <v>30</v>
      </c>
      <c r="W2964" t="n">
        <v>1</v>
      </c>
      <c r="X2964" t="n">
        <v>404.040404040404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9830</v>
      </c>
      <c r="AG2964" t="n">
        <v>2133</v>
      </c>
      <c r="AH2964" t="inlineStr">
        <is>
          <t>PT. ENSEVAL PUTERA MEGATRADING - PPN (JMB)</t>
        </is>
      </c>
      <c r="AI2964" t="n">
        <v>116</v>
      </c>
      <c r="AJ2964" t="inlineStr">
        <is>
          <t>NIVEA</t>
        </is>
      </c>
      <c r="AK2964" t="n">
        <v>9</v>
      </c>
      <c r="AL2964" t="inlineStr">
        <is>
          <t>Miss Glam Jambi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NIVEA</t>
        </is>
      </c>
      <c r="B2965" s="2">
        <f>"30200429151"</f>
        <v/>
      </c>
      <c r="C2965" t="inlineStr">
        <is>
          <t>NIVEA Super 10 Vitamins Youth Perfect Body Serum 170ml</t>
        </is>
      </c>
      <c r="D2965" t="inlineStr">
        <is>
          <t>Miss Glam Jambi</t>
        </is>
      </c>
      <c r="E2965" t="n">
        <v>7</v>
      </c>
      <c r="F2965" t="n">
        <v>0.1518</v>
      </c>
      <c r="G2965" t="n">
        <v>0.99</v>
      </c>
      <c r="H2965" t="n">
        <v>6</v>
      </c>
      <c r="I2965" t="n">
        <v>26</v>
      </c>
      <c r="J2965" t="n">
        <v>1</v>
      </c>
      <c r="K2965" t="n">
        <v>0</v>
      </c>
      <c r="L2965" t="n">
        <v>37855</v>
      </c>
      <c r="M2965" t="n">
        <v>45000</v>
      </c>
      <c r="N2965" t="n">
        <v>33</v>
      </c>
      <c r="O2965" t="n">
        <v>0.33</v>
      </c>
      <c r="P2965" t="n">
        <v>1</v>
      </c>
      <c r="Q2965" t="n">
        <v>0.03</v>
      </c>
      <c r="R2965" t="n">
        <v>1</v>
      </c>
      <c r="S2965" t="n">
        <v>6831.000000000001</v>
      </c>
      <c r="T2965" t="n">
        <v>25</v>
      </c>
      <c r="U2965" t="n">
        <v>26</v>
      </c>
      <c r="V2965" t="n">
        <v>30</v>
      </c>
      <c r="W2965" t="n">
        <v>5</v>
      </c>
      <c r="X2965" t="n">
        <v>46.1133069828722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9830</v>
      </c>
      <c r="AG2965" t="n">
        <v>2133</v>
      </c>
      <c r="AH2965" t="inlineStr">
        <is>
          <t>PT. ENSEVAL PUTERA MEGATRADING - PPN (JMB)</t>
        </is>
      </c>
      <c r="AI2965" t="n">
        <v>116</v>
      </c>
      <c r="AJ2965" t="inlineStr">
        <is>
          <t>NIVEA</t>
        </is>
      </c>
      <c r="AK2965" t="n">
        <v>9</v>
      </c>
      <c r="AL2965" t="inlineStr">
        <is>
          <t>Miss Glam Jambi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NIVEA</t>
        </is>
      </c>
      <c r="B2966" s="2">
        <f>"8999777006259"</f>
        <v/>
      </c>
      <c r="C2966" t="inlineStr">
        <is>
          <t>NIVEA-Black &amp; White Invisible Fresh Deodorant Roll On 50ml</t>
        </is>
      </c>
      <c r="D2966" t="inlineStr">
        <is>
          <t>Miss Glam Jambi</t>
        </is>
      </c>
      <c r="E2966" t="n">
        <v>7</v>
      </c>
      <c r="F2966" t="n">
        <v>0.1122</v>
      </c>
      <c r="G2966" t="n">
        <v>0.99</v>
      </c>
      <c r="H2966" t="n">
        <v>6</v>
      </c>
      <c r="I2966" t="n">
        <v>26</v>
      </c>
      <c r="J2966" t="n">
        <v>3</v>
      </c>
      <c r="K2966" t="n">
        <v>0</v>
      </c>
      <c r="L2966" t="n">
        <v>20124</v>
      </c>
      <c r="M2966" t="n">
        <v>23000</v>
      </c>
      <c r="N2966" t="n">
        <v>33</v>
      </c>
      <c r="O2966" t="n">
        <v>0.33</v>
      </c>
      <c r="P2966" t="n">
        <v>1</v>
      </c>
      <c r="Q2966" t="n">
        <v>0.08</v>
      </c>
      <c r="R2966" t="n">
        <v>1</v>
      </c>
      <c r="S2966" t="n">
        <v>2580.6</v>
      </c>
      <c r="T2966" t="n">
        <v>26</v>
      </c>
      <c r="U2966" t="n">
        <v>27</v>
      </c>
      <c r="V2966" t="n">
        <v>30</v>
      </c>
      <c r="W2966" t="n">
        <v>4</v>
      </c>
      <c r="X2966" t="n">
        <v>62.3885918003565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9830</v>
      </c>
      <c r="AG2966" t="n">
        <v>2133</v>
      </c>
      <c r="AH2966" t="inlineStr">
        <is>
          <t>PT. ENSEVAL PUTERA MEGATRADING - PPN (JMB)</t>
        </is>
      </c>
      <c r="AI2966" t="n">
        <v>116</v>
      </c>
      <c r="AJ2966" t="inlineStr">
        <is>
          <t>NIVEA</t>
        </is>
      </c>
      <c r="AK2966" t="n">
        <v>9</v>
      </c>
      <c r="AL2966" t="inlineStr">
        <is>
          <t>Miss Glam Jambi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NIVEA MEN</t>
        </is>
      </c>
      <c r="B2967" s="2">
        <f>"8999777888381"</f>
        <v/>
      </c>
      <c r="C2967" t="inlineStr">
        <is>
          <t>NIVEA MEN Acne Oil Clear Acne Defense Foam 100ml</t>
        </is>
      </c>
      <c r="D2967" t="inlineStr">
        <is>
          <t>Miss Glam Jambi</t>
        </is>
      </c>
      <c r="E2967" t="n">
        <v>1</v>
      </c>
      <c r="F2967" t="n">
        <v>0.0396</v>
      </c>
      <c r="G2967" t="n">
        <v>0.66</v>
      </c>
      <c r="H2967" t="n">
        <v>6</v>
      </c>
      <c r="I2967" t="n">
        <v>26</v>
      </c>
      <c r="J2967" t="n">
        <v>3</v>
      </c>
      <c r="K2967" t="n">
        <v>0</v>
      </c>
      <c r="L2967" t="n">
        <v>33287</v>
      </c>
      <c r="M2967" t="n">
        <v>38500</v>
      </c>
      <c r="N2967" t="n">
        <v>33</v>
      </c>
      <c r="O2967" t="n">
        <v>0.33</v>
      </c>
      <c r="P2967" t="n">
        <v>1</v>
      </c>
      <c r="Q2967" t="n">
        <v>0.05</v>
      </c>
      <c r="R2967" t="n">
        <v>1</v>
      </c>
      <c r="S2967" t="n">
        <v>1524.6</v>
      </c>
      <c r="T2967" t="n">
        <v>17</v>
      </c>
      <c r="U2967" t="n">
        <v>18</v>
      </c>
      <c r="V2967" t="n">
        <v>30</v>
      </c>
      <c r="W2967" t="n">
        <v>2</v>
      </c>
      <c r="X2967" t="n">
        <v>25.25252525252525</v>
      </c>
      <c r="Y2967" t="n">
        <v>1</v>
      </c>
      <c r="Z2967" t="n">
        <v>1</v>
      </c>
      <c r="AA2967" t="n">
        <v>1</v>
      </c>
      <c r="AB2967" t="n">
        <v>0</v>
      </c>
      <c r="AC2967" t="n">
        <v>0</v>
      </c>
      <c r="AD2967" t="n">
        <v>33287</v>
      </c>
      <c r="AE2967" t="n">
        <v>0</v>
      </c>
      <c r="AF2967" t="n">
        <v>9832</v>
      </c>
      <c r="AG2967" t="n">
        <v>2133</v>
      </c>
      <c r="AH2967" t="inlineStr">
        <is>
          <t>PT. ENSEVAL PUTERA MEGATRADING - PPN (JMB)</t>
        </is>
      </c>
      <c r="AI2967" t="n">
        <v>1226</v>
      </c>
      <c r="AJ2967" t="inlineStr">
        <is>
          <t>NIVEA MEN</t>
        </is>
      </c>
      <c r="AK2967" t="n">
        <v>9</v>
      </c>
      <c r="AL2967" t="inlineStr">
        <is>
          <t>Miss Glam Jambi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NIVEA MEN</t>
        </is>
      </c>
      <c r="B2968" s="2">
        <f>"8999777000189"</f>
        <v/>
      </c>
      <c r="C2968" t="inlineStr">
        <is>
          <t>NIVEA MEN Anti Shine Foam 100ml</t>
        </is>
      </c>
      <c r="D2968" t="inlineStr">
        <is>
          <t>Miss Glam Jambi</t>
        </is>
      </c>
      <c r="E2968" t="n">
        <v>6</v>
      </c>
      <c r="F2968" t="n">
        <v>0.0231</v>
      </c>
      <c r="G2968" t="n">
        <v>0.33</v>
      </c>
      <c r="H2968" t="n">
        <v>6</v>
      </c>
      <c r="I2968" t="n">
        <v>26</v>
      </c>
      <c r="J2968" t="n">
        <v>3</v>
      </c>
      <c r="K2968" t="n">
        <v>0</v>
      </c>
      <c r="L2968" t="n">
        <v>33740</v>
      </c>
      <c r="M2968" t="n">
        <v>38500</v>
      </c>
      <c r="N2968" t="n">
        <v>33</v>
      </c>
      <c r="O2968" t="n">
        <v>0.33</v>
      </c>
      <c r="P2968" t="n">
        <v>1</v>
      </c>
      <c r="Q2968" t="n">
        <v>0.03</v>
      </c>
      <c r="R2968" t="n">
        <v>1</v>
      </c>
      <c r="S2968" t="n">
        <v>889.3500000000001</v>
      </c>
      <c r="T2968" t="n">
        <v>9</v>
      </c>
      <c r="U2968" t="n">
        <v>10</v>
      </c>
      <c r="V2968" t="n">
        <v>30</v>
      </c>
      <c r="W2968" t="n">
        <v>1</v>
      </c>
      <c r="X2968" t="n">
        <v>259.7402597402597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9832</v>
      </c>
      <c r="AG2968" t="n">
        <v>2133</v>
      </c>
      <c r="AH2968" t="inlineStr">
        <is>
          <t>PT. ENSEVAL PUTERA MEGATRADING - PPN (JMB)</t>
        </is>
      </c>
      <c r="AI2968" t="n">
        <v>1226</v>
      </c>
      <c r="AJ2968" t="inlineStr">
        <is>
          <t>NIVEA MEN</t>
        </is>
      </c>
      <c r="AK2968" t="n">
        <v>9</v>
      </c>
      <c r="AL2968" t="inlineStr">
        <is>
          <t>Miss Glam Jambi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NIVEA MEN</t>
        </is>
      </c>
      <c r="B2969" s="2">
        <f>"8999777000172"</f>
        <v/>
      </c>
      <c r="C2969" t="inlineStr">
        <is>
          <t>NIVEA MEN Anti Shine Foam 50ml</t>
        </is>
      </c>
      <c r="D2969" t="inlineStr">
        <is>
          <t>Miss Glam Jambi</t>
        </is>
      </c>
      <c r="E2969" t="n">
        <v>5</v>
      </c>
      <c r="F2969" t="n">
        <v>0.006600000000000001</v>
      </c>
      <c r="G2969" t="n">
        <v>0.33</v>
      </c>
      <c r="H2969" t="n">
        <v>6</v>
      </c>
      <c r="I2969" t="n">
        <v>26</v>
      </c>
      <c r="J2969" t="n">
        <v>3</v>
      </c>
      <c r="K2969" t="n">
        <v>0</v>
      </c>
      <c r="L2969" t="n">
        <v>22681</v>
      </c>
      <c r="M2969" t="n">
        <v>27000</v>
      </c>
      <c r="N2969" t="n">
        <v>33</v>
      </c>
      <c r="O2969" t="n">
        <v>0.33</v>
      </c>
      <c r="P2969" t="n">
        <v>1</v>
      </c>
      <c r="Q2969" t="n">
        <v>0.02</v>
      </c>
      <c r="R2969" t="n">
        <v>1</v>
      </c>
      <c r="S2969" t="n">
        <v>178.2</v>
      </c>
      <c r="T2969" t="n">
        <v>9</v>
      </c>
      <c r="U2969" t="n">
        <v>10</v>
      </c>
      <c r="V2969" t="n">
        <v>30</v>
      </c>
      <c r="W2969" t="n">
        <v>1</v>
      </c>
      <c r="X2969" t="n">
        <v>757.5757575757575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9832</v>
      </c>
      <c r="AG2969" t="n">
        <v>2133</v>
      </c>
      <c r="AH2969" t="inlineStr">
        <is>
          <t>PT. ENSEVAL PUTERA MEGATRADING - PPN (JMB)</t>
        </is>
      </c>
      <c r="AI2969" t="n">
        <v>1226</v>
      </c>
      <c r="AJ2969" t="inlineStr">
        <is>
          <t>NIVEA MEN</t>
        </is>
      </c>
      <c r="AK2969" t="n">
        <v>9</v>
      </c>
      <c r="AL2969" t="inlineStr">
        <is>
          <t>Miss Glam Jambi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NIVEA MEN</t>
        </is>
      </c>
      <c r="B2970" s="2">
        <f>"8999777004583"</f>
        <v/>
      </c>
      <c r="C2970" t="inlineStr">
        <is>
          <t>NIVEA Men Black &amp; White Invisible 25ml</t>
        </is>
      </c>
      <c r="D2970" t="inlineStr">
        <is>
          <t>Miss Glam Jambi</t>
        </is>
      </c>
      <c r="E2970" t="n">
        <v>13</v>
      </c>
      <c r="F2970" t="n">
        <v>0.1848</v>
      </c>
      <c r="G2970" t="n">
        <v>0.66</v>
      </c>
      <c r="H2970" t="n">
        <v>6</v>
      </c>
      <c r="I2970" t="n">
        <v>26</v>
      </c>
      <c r="J2970" t="n">
        <v>3</v>
      </c>
      <c r="K2970" t="n">
        <v>0</v>
      </c>
      <c r="L2970" t="n">
        <v>12090</v>
      </c>
      <c r="M2970" t="n">
        <v>14000</v>
      </c>
      <c r="N2970" t="n">
        <v>33</v>
      </c>
      <c r="O2970" t="n">
        <v>0.33</v>
      </c>
      <c r="P2970" t="n">
        <v>1</v>
      </c>
      <c r="Q2970" t="n">
        <v>0.14</v>
      </c>
      <c r="R2970" t="n">
        <v>2</v>
      </c>
      <c r="S2970" t="n">
        <v>2587.2</v>
      </c>
      <c r="T2970" t="n">
        <v>17</v>
      </c>
      <c r="U2970" t="n">
        <v>19</v>
      </c>
      <c r="V2970" t="n">
        <v>30</v>
      </c>
      <c r="W2970" t="n">
        <v>6</v>
      </c>
      <c r="X2970" t="n">
        <v>70.34632034632034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9832</v>
      </c>
      <c r="AG2970" t="n">
        <v>2133</v>
      </c>
      <c r="AH2970" t="inlineStr">
        <is>
          <t>PT. ENSEVAL PUTERA MEGATRADING - PPN (JMB)</t>
        </is>
      </c>
      <c r="AI2970" t="n">
        <v>1226</v>
      </c>
      <c r="AJ2970" t="inlineStr">
        <is>
          <t>NIVEA MEN</t>
        </is>
      </c>
      <c r="AK2970" t="n">
        <v>9</v>
      </c>
      <c r="AL2970" t="inlineStr">
        <is>
          <t>Miss Glam Jambi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NIVEA MEN</t>
        </is>
      </c>
      <c r="B2971" s="2">
        <f>"8999777888350"</f>
        <v/>
      </c>
      <c r="C2971" t="inlineStr">
        <is>
          <t>NIVEA MEN Dark Spot Minimizer Foam 50ml</t>
        </is>
      </c>
      <c r="D2971" t="inlineStr">
        <is>
          <t>Miss Glam Jambi</t>
        </is>
      </c>
      <c r="E2971" t="n">
        <v>2</v>
      </c>
      <c r="F2971" t="n">
        <v>0.0825</v>
      </c>
      <c r="G2971" t="n">
        <v>1.32</v>
      </c>
      <c r="H2971" t="n">
        <v>6</v>
      </c>
      <c r="I2971" t="n">
        <v>26</v>
      </c>
      <c r="J2971" t="n">
        <v>3</v>
      </c>
      <c r="K2971" t="n">
        <v>0</v>
      </c>
      <c r="L2971" t="n">
        <v>23083</v>
      </c>
      <c r="M2971" t="n">
        <v>26000</v>
      </c>
      <c r="N2971" t="n">
        <v>33</v>
      </c>
      <c r="O2971" t="n">
        <v>0.33</v>
      </c>
      <c r="P2971" t="n">
        <v>1</v>
      </c>
      <c r="Q2971" t="n">
        <v>0.03</v>
      </c>
      <c r="R2971" t="n">
        <v>1</v>
      </c>
      <c r="S2971" t="n">
        <v>2145</v>
      </c>
      <c r="T2971" t="n">
        <v>34</v>
      </c>
      <c r="U2971" t="n">
        <v>35</v>
      </c>
      <c r="V2971" t="n">
        <v>30</v>
      </c>
      <c r="W2971" t="n">
        <v>3</v>
      </c>
      <c r="X2971" t="n">
        <v>24.24242424242424</v>
      </c>
      <c r="Y2971" t="n">
        <v>1</v>
      </c>
      <c r="Z2971" t="n">
        <v>1</v>
      </c>
      <c r="AA2971" t="n">
        <v>1</v>
      </c>
      <c r="AB2971" t="n">
        <v>0</v>
      </c>
      <c r="AC2971" t="n">
        <v>0</v>
      </c>
      <c r="AD2971" t="n">
        <v>23083</v>
      </c>
      <c r="AE2971" t="n">
        <v>0</v>
      </c>
      <c r="AF2971" t="n">
        <v>9832</v>
      </c>
      <c r="AG2971" t="n">
        <v>2133</v>
      </c>
      <c r="AH2971" t="inlineStr">
        <is>
          <t>PT. ENSEVAL PUTERA MEGATRADING - PPN (JMB)</t>
        </is>
      </c>
      <c r="AI2971" t="n">
        <v>1226</v>
      </c>
      <c r="AJ2971" t="inlineStr">
        <is>
          <t>NIVEA MEN</t>
        </is>
      </c>
      <c r="AK2971" t="n">
        <v>9</v>
      </c>
      <c r="AL2971" t="inlineStr">
        <is>
          <t>Miss Glam Jambi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NIVEA MEN</t>
        </is>
      </c>
      <c r="B2972" s="2">
        <f>"8999777010591"</f>
        <v/>
      </c>
      <c r="C2972" t="inlineStr">
        <is>
          <t>NIVEA MEN Deodorant Deep Roll On 25ml</t>
        </is>
      </c>
      <c r="D2972" t="inlineStr">
        <is>
          <t>Miss Glam Jambi</t>
        </is>
      </c>
      <c r="E2972" t="n">
        <v>3</v>
      </c>
      <c r="F2972" t="n">
        <v>0.09569999999999999</v>
      </c>
      <c r="G2972" t="n">
        <v>1.32</v>
      </c>
      <c r="H2972" t="n">
        <v>6</v>
      </c>
      <c r="I2972" t="n">
        <v>26</v>
      </c>
      <c r="J2972" t="n">
        <v>3</v>
      </c>
      <c r="K2972" t="n">
        <v>0</v>
      </c>
      <c r="L2972" t="n">
        <v>12075</v>
      </c>
      <c r="M2972" t="n">
        <v>14000</v>
      </c>
      <c r="N2972" t="n">
        <v>33</v>
      </c>
      <c r="O2972" t="n">
        <v>0.33</v>
      </c>
      <c r="P2972" t="n">
        <v>1</v>
      </c>
      <c r="Q2972" t="n">
        <v>0.03</v>
      </c>
      <c r="R2972" t="n">
        <v>2</v>
      </c>
      <c r="S2972" t="n">
        <v>1339.8</v>
      </c>
      <c r="T2972" t="n">
        <v>34</v>
      </c>
      <c r="U2972" t="n">
        <v>35</v>
      </c>
      <c r="V2972" t="n">
        <v>30</v>
      </c>
      <c r="W2972" t="n">
        <v>3</v>
      </c>
      <c r="X2972" t="n">
        <v>31.34796238244514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9832</v>
      </c>
      <c r="AG2972" t="n">
        <v>2133</v>
      </c>
      <c r="AH2972" t="inlineStr">
        <is>
          <t>PT. ENSEVAL PUTERA MEGATRADING - PPN (JMB)</t>
        </is>
      </c>
      <c r="AI2972" t="n">
        <v>1226</v>
      </c>
      <c r="AJ2972" t="inlineStr">
        <is>
          <t>NIVEA MEN</t>
        </is>
      </c>
      <c r="AK2972" t="n">
        <v>9</v>
      </c>
      <c r="AL2972" t="inlineStr">
        <is>
          <t>Miss Glam Jambi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NIVEA MEN</t>
        </is>
      </c>
      <c r="B2973" s="2">
        <f>"11000703157"</f>
        <v/>
      </c>
      <c r="C2973" t="inlineStr">
        <is>
          <t>NIVEA MEN Derma Control Defend Anti-Perspirant Roll On 50ml</t>
        </is>
      </c>
      <c r="D2973" t="inlineStr">
        <is>
          <t>Miss Glam Jambi</t>
        </is>
      </c>
      <c r="E2973" t="n">
        <v>11</v>
      </c>
      <c r="F2973" t="n">
        <v>0.066</v>
      </c>
      <c r="G2973" t="n">
        <v>0.66</v>
      </c>
      <c r="H2973" t="n">
        <v>6</v>
      </c>
      <c r="I2973" t="n">
        <v>26</v>
      </c>
      <c r="J2973" t="n">
        <v>1</v>
      </c>
      <c r="K2973" t="n">
        <v>0</v>
      </c>
      <c r="L2973" t="n">
        <v>19980</v>
      </c>
      <c r="M2973" t="n">
        <v>24000</v>
      </c>
      <c r="N2973" t="n">
        <v>33</v>
      </c>
      <c r="O2973" t="n">
        <v>0.33</v>
      </c>
      <c r="P2973" t="n">
        <v>1</v>
      </c>
      <c r="Q2973" t="n">
        <v>0.02</v>
      </c>
      <c r="R2973" t="n">
        <v>1</v>
      </c>
      <c r="S2973" t="n">
        <v>1584</v>
      </c>
      <c r="T2973" t="n">
        <v>17</v>
      </c>
      <c r="U2973" t="n">
        <v>18</v>
      </c>
      <c r="V2973" t="n">
        <v>30</v>
      </c>
      <c r="W2973" t="n">
        <v>2</v>
      </c>
      <c r="X2973" t="n">
        <v>166.6666666666667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9832</v>
      </c>
      <c r="AG2973" t="n">
        <v>2133</v>
      </c>
      <c r="AH2973" t="inlineStr">
        <is>
          <t>PT. ENSEVAL PUTERA MEGATRADING - PPN (JMB)</t>
        </is>
      </c>
      <c r="AI2973" t="n">
        <v>1226</v>
      </c>
      <c r="AJ2973" t="inlineStr">
        <is>
          <t>NIVEA MEN</t>
        </is>
      </c>
      <c r="AK2973" t="n">
        <v>9</v>
      </c>
      <c r="AL2973" t="inlineStr">
        <is>
          <t>Miss Glam Jambi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NIVEA MEN</t>
        </is>
      </c>
      <c r="B2974" s="2">
        <f>"8999777007270"</f>
        <v/>
      </c>
      <c r="C2974" t="inlineStr">
        <is>
          <t>NIVEA MEN Dry Impact Deodorant 50ml</t>
        </is>
      </c>
      <c r="D2974" t="inlineStr">
        <is>
          <t>Miss Glam Jambi</t>
        </is>
      </c>
      <c r="E2974" t="n">
        <v>2</v>
      </c>
      <c r="F2974" t="n">
        <v>0.0264</v>
      </c>
      <c r="G2974" t="n">
        <v>0.33</v>
      </c>
      <c r="H2974" t="n">
        <v>6</v>
      </c>
      <c r="I2974" t="n">
        <v>26</v>
      </c>
      <c r="J2974" t="n">
        <v>3</v>
      </c>
      <c r="K2974" t="n">
        <v>0</v>
      </c>
      <c r="L2974" t="n">
        <v>17859</v>
      </c>
      <c r="M2974" t="n">
        <v>22000</v>
      </c>
      <c r="N2974" t="n">
        <v>33</v>
      </c>
      <c r="O2974" t="n">
        <v>0.33</v>
      </c>
      <c r="P2974" t="n">
        <v>1</v>
      </c>
      <c r="Q2974" t="n">
        <v>0.02</v>
      </c>
      <c r="R2974" t="n">
        <v>1</v>
      </c>
      <c r="S2974" t="n">
        <v>580.8000000000001</v>
      </c>
      <c r="T2974" t="n">
        <v>9</v>
      </c>
      <c r="U2974" t="n">
        <v>10</v>
      </c>
      <c r="V2974" t="n">
        <v>30</v>
      </c>
      <c r="W2974" t="n">
        <v>1</v>
      </c>
      <c r="X2974" t="n">
        <v>75.75757575757575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9832</v>
      </c>
      <c r="AG2974" t="n">
        <v>2133</v>
      </c>
      <c r="AH2974" t="inlineStr">
        <is>
          <t>PT. ENSEVAL PUTERA MEGATRADING - PPN (JMB)</t>
        </is>
      </c>
      <c r="AI2974" t="n">
        <v>1226</v>
      </c>
      <c r="AJ2974" t="inlineStr">
        <is>
          <t>NIVEA MEN</t>
        </is>
      </c>
      <c r="AK2974" t="n">
        <v>9</v>
      </c>
      <c r="AL2974" t="inlineStr">
        <is>
          <t>Miss Glam Jambi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NIVEA MEN</t>
        </is>
      </c>
      <c r="B2975" s="2">
        <f>"11000109723"</f>
        <v/>
      </c>
      <c r="C2975" t="inlineStr">
        <is>
          <t>NIVEA MEN Extra Bright Mud Foam 100ml</t>
        </is>
      </c>
      <c r="D2975" t="inlineStr">
        <is>
          <t>Miss Glam Jambi</t>
        </is>
      </c>
      <c r="E2975" t="n">
        <v>5</v>
      </c>
      <c r="F2975" t="n">
        <v>0.0495</v>
      </c>
      <c r="G2975" t="n">
        <v>0.66</v>
      </c>
      <c r="H2975" t="n">
        <v>6</v>
      </c>
      <c r="I2975" t="n">
        <v>26</v>
      </c>
      <c r="J2975" t="n">
        <v>1</v>
      </c>
      <c r="K2975" t="n">
        <v>0</v>
      </c>
      <c r="L2975" t="n">
        <v>34632</v>
      </c>
      <c r="M2975" t="n">
        <v>41000</v>
      </c>
      <c r="N2975" t="n">
        <v>33</v>
      </c>
      <c r="O2975" t="n">
        <v>0.33</v>
      </c>
      <c r="P2975" t="n">
        <v>1</v>
      </c>
      <c r="Q2975" t="n">
        <v>0.02</v>
      </c>
      <c r="R2975" t="n">
        <v>1</v>
      </c>
      <c r="S2975" t="n">
        <v>2029.5</v>
      </c>
      <c r="T2975" t="n">
        <v>17</v>
      </c>
      <c r="U2975" t="n">
        <v>18</v>
      </c>
      <c r="V2975" t="n">
        <v>30</v>
      </c>
      <c r="W2975" t="n">
        <v>2</v>
      </c>
      <c r="X2975" t="n">
        <v>101.010101010101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9832</v>
      </c>
      <c r="AG2975" t="n">
        <v>2133</v>
      </c>
      <c r="AH2975" t="inlineStr">
        <is>
          <t>PT. ENSEVAL PUTERA MEGATRADING - PPN (JMB)</t>
        </is>
      </c>
      <c r="AI2975" t="n">
        <v>1226</v>
      </c>
      <c r="AJ2975" t="inlineStr">
        <is>
          <t>NIVEA MEN</t>
        </is>
      </c>
      <c r="AK2975" t="n">
        <v>9</v>
      </c>
      <c r="AL2975" t="inlineStr">
        <is>
          <t>Miss Glam Jambi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NIVEA MEN</t>
        </is>
      </c>
      <c r="B2976" s="2">
        <f>"8999777007355"</f>
        <v/>
      </c>
      <c r="C2976" t="inlineStr">
        <is>
          <t>NIVEA MEN Fresh Active Deodorant Roll On 50ml</t>
        </is>
      </c>
      <c r="D2976" t="inlineStr">
        <is>
          <t>Miss Glam Jambi</t>
        </is>
      </c>
      <c r="E2976" t="n">
        <v>5</v>
      </c>
      <c r="F2976" t="n">
        <v>0.1287</v>
      </c>
      <c r="G2976" t="n">
        <v>0.66</v>
      </c>
      <c r="H2976" t="n">
        <v>6</v>
      </c>
      <c r="I2976" t="n">
        <v>26</v>
      </c>
      <c r="J2976" t="n">
        <v>3</v>
      </c>
      <c r="K2976" t="n">
        <v>0</v>
      </c>
      <c r="L2976" t="n">
        <v>18654</v>
      </c>
      <c r="M2976" t="n">
        <v>22500</v>
      </c>
      <c r="N2976" t="n">
        <v>33</v>
      </c>
      <c r="O2976" t="n">
        <v>0.33</v>
      </c>
      <c r="P2976" t="n">
        <v>1</v>
      </c>
      <c r="Q2976" t="n">
        <v>0.02</v>
      </c>
      <c r="R2976" t="n">
        <v>1</v>
      </c>
      <c r="S2976" t="n">
        <v>2895.75</v>
      </c>
      <c r="T2976" t="n">
        <v>17</v>
      </c>
      <c r="U2976" t="n">
        <v>18</v>
      </c>
      <c r="V2976" t="n">
        <v>30</v>
      </c>
      <c r="W2976" t="n">
        <v>4</v>
      </c>
      <c r="X2976" t="n">
        <v>38.85003885003885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9832</v>
      </c>
      <c r="AG2976" t="n">
        <v>2133</v>
      </c>
      <c r="AH2976" t="inlineStr">
        <is>
          <t>PT. ENSEVAL PUTERA MEGATRADING - PPN (JMB)</t>
        </is>
      </c>
      <c r="AI2976" t="n">
        <v>1226</v>
      </c>
      <c r="AJ2976" t="inlineStr">
        <is>
          <t>NIVEA MEN</t>
        </is>
      </c>
      <c r="AK2976" t="n">
        <v>9</v>
      </c>
      <c r="AL2976" t="inlineStr">
        <is>
          <t>Miss Glam Jambi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NIVEA MEN</t>
        </is>
      </c>
      <c r="B2977" s="2">
        <f>"8999777004552"</f>
        <v/>
      </c>
      <c r="C2977" t="inlineStr">
        <is>
          <t>NIVEA MEN Roll On Black &amp; White Invisible Original 50ml</t>
        </is>
      </c>
      <c r="D2977" t="inlineStr">
        <is>
          <t>Miss Glam Jambi</t>
        </is>
      </c>
      <c r="E2977" t="n">
        <v>3</v>
      </c>
      <c r="F2977" t="n">
        <v>0.1617</v>
      </c>
      <c r="G2977" t="n">
        <v>0.66</v>
      </c>
      <c r="H2977" t="n">
        <v>6</v>
      </c>
      <c r="I2977" t="n">
        <v>26</v>
      </c>
      <c r="J2977" t="n">
        <v>3</v>
      </c>
      <c r="K2977" t="n">
        <v>3</v>
      </c>
      <c r="L2977" t="n">
        <v>19203</v>
      </c>
      <c r="M2977" t="n">
        <v>29500</v>
      </c>
      <c r="N2977" t="n">
        <v>33</v>
      </c>
      <c r="O2977" t="n">
        <v>0.33</v>
      </c>
      <c r="P2977" t="n">
        <v>1</v>
      </c>
      <c r="Q2977" t="n">
        <v>0.07000000000000001</v>
      </c>
      <c r="R2977" t="n">
        <v>2</v>
      </c>
      <c r="S2977" t="n">
        <v>4770.150000000001</v>
      </c>
      <c r="T2977" t="n">
        <v>17</v>
      </c>
      <c r="U2977" t="n">
        <v>18</v>
      </c>
      <c r="V2977" t="n">
        <v>30</v>
      </c>
      <c r="W2977" t="n">
        <v>5</v>
      </c>
      <c r="X2977" t="n">
        <v>18.55287569573284</v>
      </c>
      <c r="Y2977" t="n">
        <v>1</v>
      </c>
      <c r="Z2977" t="n">
        <v>0</v>
      </c>
      <c r="AA2977" t="n">
        <v>1</v>
      </c>
      <c r="AB2977" t="n">
        <v>0</v>
      </c>
      <c r="AC2977" t="n">
        <v>0</v>
      </c>
      <c r="AD2977" t="n">
        <v>19203</v>
      </c>
      <c r="AE2977" t="n">
        <v>0</v>
      </c>
      <c r="AF2977" t="n">
        <v>9832</v>
      </c>
      <c r="AG2977" t="n">
        <v>2133</v>
      </c>
      <c r="AH2977" t="inlineStr">
        <is>
          <t>PT. ENSEVAL PUTERA MEGATRADING - PPN (JMB)</t>
        </is>
      </c>
      <c r="AI2977" t="n">
        <v>1226</v>
      </c>
      <c r="AJ2977" t="inlineStr">
        <is>
          <t>NIVEA MEN</t>
        </is>
      </c>
      <c r="AK2977" t="n">
        <v>9</v>
      </c>
      <c r="AL2977" t="inlineStr">
        <is>
          <t>Miss Glam Jambi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NIVEA MEN</t>
        </is>
      </c>
      <c r="B2978" s="2">
        <f>"8999777004484"</f>
        <v/>
      </c>
      <c r="C2978" t="inlineStr">
        <is>
          <t>NIVEA MEN Roll On Cool Kick Cool Blue 50ml</t>
        </is>
      </c>
      <c r="D2978" t="inlineStr">
        <is>
          <t>Miss Glam Jambi</t>
        </is>
      </c>
      <c r="E2978" t="n">
        <v>1</v>
      </c>
      <c r="F2978" t="n">
        <v>0.08</v>
      </c>
      <c r="G2978" t="n">
        <v>1</v>
      </c>
      <c r="H2978" t="n">
        <v>6</v>
      </c>
      <c r="I2978" t="n">
        <v>26</v>
      </c>
      <c r="J2978" t="n">
        <v>3</v>
      </c>
      <c r="K2978" t="n">
        <v>3</v>
      </c>
      <c r="L2978" t="n">
        <v>18896</v>
      </c>
      <c r="M2978" t="n">
        <v>22500</v>
      </c>
      <c r="N2978" t="n">
        <v>33</v>
      </c>
      <c r="O2978" t="n">
        <v>0.33</v>
      </c>
      <c r="P2978" t="n">
        <v>0</v>
      </c>
      <c r="Q2978" t="n">
        <v>0.08</v>
      </c>
      <c r="R2978" t="n">
        <v>1</v>
      </c>
      <c r="S2978" t="n">
        <v>1800</v>
      </c>
      <c r="T2978" t="n">
        <v>26</v>
      </c>
      <c r="U2978" t="n">
        <v>27</v>
      </c>
      <c r="V2978" t="n">
        <v>30</v>
      </c>
      <c r="W2978" t="n">
        <v>3</v>
      </c>
      <c r="X2978" t="n">
        <v>12.5</v>
      </c>
      <c r="Y2978" t="n">
        <v>1</v>
      </c>
      <c r="Z2978" t="n">
        <v>0</v>
      </c>
      <c r="AA2978" t="n">
        <v>1</v>
      </c>
      <c r="AB2978" t="n">
        <v>0</v>
      </c>
      <c r="AC2978" t="n">
        <v>0</v>
      </c>
      <c r="AD2978" t="n">
        <v>18896</v>
      </c>
      <c r="AE2978" t="n">
        <v>0</v>
      </c>
      <c r="AF2978" t="n">
        <v>9832</v>
      </c>
      <c r="AG2978" t="n">
        <v>2133</v>
      </c>
      <c r="AH2978" t="inlineStr">
        <is>
          <t>PT. ENSEVAL PUTERA MEGATRADING - PPN (JMB)</t>
        </is>
      </c>
      <c r="AI2978" t="n">
        <v>1226</v>
      </c>
      <c r="AJ2978" t="inlineStr">
        <is>
          <t>NIVEA MEN</t>
        </is>
      </c>
      <c r="AK2978" t="n">
        <v>9</v>
      </c>
      <c r="AL2978" t="inlineStr">
        <is>
          <t>Miss Glam Jambi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NIVEA MEN</t>
        </is>
      </c>
      <c r="B2979" s="2">
        <f>"8999777010881"</f>
        <v/>
      </c>
      <c r="C2979" t="inlineStr">
        <is>
          <t>NIVEA MEN-Black &amp; White Invisible Fresh Deodorant Roll On 50ml</t>
        </is>
      </c>
      <c r="D2979" t="inlineStr">
        <is>
          <t>Miss Glam Jambi</t>
        </is>
      </c>
      <c r="E2979" t="n">
        <v>7</v>
      </c>
      <c r="F2979" t="n">
        <v>0.1386</v>
      </c>
      <c r="G2979" t="n">
        <v>0.66</v>
      </c>
      <c r="H2979" t="n">
        <v>6</v>
      </c>
      <c r="I2979" t="n">
        <v>26</v>
      </c>
      <c r="J2979" t="n">
        <v>3</v>
      </c>
      <c r="K2979" t="n">
        <v>0</v>
      </c>
      <c r="L2979" t="n">
        <v>18819</v>
      </c>
      <c r="M2979" t="n">
        <v>22000</v>
      </c>
      <c r="N2979" t="n">
        <v>33</v>
      </c>
      <c r="O2979" t="n">
        <v>0.33</v>
      </c>
      <c r="P2979" t="n">
        <v>1</v>
      </c>
      <c r="Q2979" t="n">
        <v>0.05</v>
      </c>
      <c r="R2979" t="n">
        <v>1</v>
      </c>
      <c r="S2979" t="n">
        <v>3049.2</v>
      </c>
      <c r="T2979" t="n">
        <v>17</v>
      </c>
      <c r="U2979" t="n">
        <v>18</v>
      </c>
      <c r="V2979" t="n">
        <v>30</v>
      </c>
      <c r="W2979" t="n">
        <v>5</v>
      </c>
      <c r="X2979" t="n">
        <v>50.50505050505051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9832</v>
      </c>
      <c r="AG2979" t="n">
        <v>2133</v>
      </c>
      <c r="AH2979" t="inlineStr">
        <is>
          <t>PT. ENSEVAL PUTERA MEGATRADING - PPN (JMB)</t>
        </is>
      </c>
      <c r="AI2979" t="n">
        <v>1226</v>
      </c>
      <c r="AJ2979" t="inlineStr">
        <is>
          <t>NIVEA MEN</t>
        </is>
      </c>
      <c r="AK2979" t="n">
        <v>9</v>
      </c>
      <c r="AL2979" t="inlineStr">
        <is>
          <t>Miss Glam Jambi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NOERA</t>
        </is>
      </c>
      <c r="B2980" s="2">
        <f>"30700101939"</f>
        <v/>
      </c>
      <c r="C2980" t="inlineStr">
        <is>
          <t>NOERA Exfoliating Foot Mask 40gr</t>
        </is>
      </c>
      <c r="D2980" t="inlineStr">
        <is>
          <t>Miss Glam Jambi</t>
        </is>
      </c>
      <c r="E2980" t="n">
        <v>5</v>
      </c>
      <c r="F2980" t="n">
        <v>0.0264</v>
      </c>
      <c r="G2980" t="n">
        <v>0.33</v>
      </c>
      <c r="H2980" t="n">
        <v>4</v>
      </c>
      <c r="I2980" t="n">
        <v>20</v>
      </c>
      <c r="J2980" t="n">
        <v>3</v>
      </c>
      <c r="K2980" t="n">
        <v>0</v>
      </c>
      <c r="L2980" t="n">
        <v>39143</v>
      </c>
      <c r="M2980" t="n">
        <v>75000</v>
      </c>
      <c r="N2980" t="n">
        <v>33</v>
      </c>
      <c r="O2980" t="n">
        <v>0.33</v>
      </c>
      <c r="P2980" t="n">
        <v>1</v>
      </c>
      <c r="Q2980" t="n">
        <v>0.12</v>
      </c>
      <c r="R2980" t="n">
        <v>2</v>
      </c>
      <c r="S2980" t="n">
        <v>1980</v>
      </c>
      <c r="T2980" t="n">
        <v>7</v>
      </c>
      <c r="U2980" t="n">
        <v>8</v>
      </c>
      <c r="V2980" t="n">
        <v>30</v>
      </c>
      <c r="W2980" t="n">
        <v>1</v>
      </c>
      <c r="X2980" t="n">
        <v>189.3939393939394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7172</v>
      </c>
      <c r="AG2980" t="n">
        <v>1</v>
      </c>
      <c r="AH2980" t="inlineStr">
        <is>
          <t>PT. BERSAMA DISTRIVERSA INDONESIA (DC CIPUTAT)</t>
        </is>
      </c>
      <c r="AI2980" t="n">
        <v>686</v>
      </c>
      <c r="AJ2980" t="inlineStr">
        <is>
          <t>NOERA</t>
        </is>
      </c>
      <c r="AK2980" t="n">
        <v>9</v>
      </c>
      <c r="AL2980" t="inlineStr">
        <is>
          <t>Miss Glam Jambi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NOERA</t>
        </is>
      </c>
      <c r="B2981" s="2">
        <f>"60100212224"</f>
        <v/>
      </c>
      <c r="C2981" t="inlineStr">
        <is>
          <t>NOERA Minuman Serbuk Rasa Persik dengan Kolagen 105gr</t>
        </is>
      </c>
      <c r="D2981" t="inlineStr">
        <is>
          <t>Miss Glam Jambi</t>
        </is>
      </c>
      <c r="E2981" t="n">
        <v>0</v>
      </c>
      <c r="F2981" t="n">
        <v>0.02</v>
      </c>
      <c r="G2981" t="n">
        <v>1</v>
      </c>
      <c r="H2981" t="n">
        <v>4</v>
      </c>
      <c r="I2981" t="n">
        <v>20</v>
      </c>
      <c r="J2981" t="n">
        <v>3</v>
      </c>
      <c r="K2981" t="n">
        <v>0</v>
      </c>
      <c r="L2981" t="n">
        <v>95188</v>
      </c>
      <c r="M2981" t="n">
        <v>125000</v>
      </c>
      <c r="N2981" t="n">
        <v>33</v>
      </c>
      <c r="O2981" t="n">
        <v>0.33</v>
      </c>
      <c r="P2981" t="n">
        <v>0</v>
      </c>
      <c r="Q2981" t="n">
        <v>0.02</v>
      </c>
      <c r="R2981" t="n">
        <v>1</v>
      </c>
      <c r="S2981" t="n">
        <v>2500</v>
      </c>
      <c r="T2981" t="n">
        <v>20</v>
      </c>
      <c r="U2981" t="n">
        <v>21</v>
      </c>
      <c r="V2981" t="n">
        <v>30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n">
        <v>0</v>
      </c>
      <c r="AC2981" t="n">
        <v>0</v>
      </c>
      <c r="AD2981" t="n">
        <v>95188</v>
      </c>
      <c r="AE2981" t="n">
        <v>0</v>
      </c>
      <c r="AF2981" t="n">
        <v>7172</v>
      </c>
      <c r="AG2981" t="n">
        <v>1</v>
      </c>
      <c r="AH2981" t="inlineStr">
        <is>
          <t>PT. BERSAMA DISTRIVERSA INDONESIA (DC CIPUTAT)</t>
        </is>
      </c>
      <c r="AI2981" t="n">
        <v>686</v>
      </c>
      <c r="AJ2981" t="inlineStr">
        <is>
          <t>NOERA</t>
        </is>
      </c>
      <c r="AK2981" t="n">
        <v>9</v>
      </c>
      <c r="AL2981" t="inlineStr">
        <is>
          <t>Miss Glam Jambi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NOERA</t>
        </is>
      </c>
      <c r="B2982" s="2">
        <f>"60100211825"</f>
        <v/>
      </c>
      <c r="C2982" t="inlineStr">
        <is>
          <t>NOERA Minuman Serbuk Rasa Stroberi dengan Kolagen 105gr</t>
        </is>
      </c>
      <c r="D2982" t="inlineStr">
        <is>
          <t>Miss Glam Jambi</t>
        </is>
      </c>
      <c r="E2982" t="n">
        <v>6</v>
      </c>
      <c r="F2982" t="n">
        <v>0.009900000000000001</v>
      </c>
      <c r="G2982" t="n">
        <v>0.33</v>
      </c>
      <c r="H2982" t="n">
        <v>4</v>
      </c>
      <c r="I2982" t="n">
        <v>20</v>
      </c>
      <c r="J2982" t="n">
        <v>3</v>
      </c>
      <c r="K2982" t="n">
        <v>0</v>
      </c>
      <c r="L2982" t="n">
        <v>96519</v>
      </c>
      <c r="M2982" t="n">
        <v>125000</v>
      </c>
      <c r="N2982" t="n">
        <v>33</v>
      </c>
      <c r="O2982" t="n">
        <v>0.33</v>
      </c>
      <c r="P2982" t="n">
        <v>1</v>
      </c>
      <c r="Q2982" t="n">
        <v>0.02</v>
      </c>
      <c r="R2982" t="n">
        <v>1</v>
      </c>
      <c r="S2982" t="n">
        <v>1237.5</v>
      </c>
      <c r="T2982" t="n">
        <v>7</v>
      </c>
      <c r="U2982" t="n">
        <v>8</v>
      </c>
      <c r="V2982" t="n">
        <v>30</v>
      </c>
      <c r="W2982" t="n">
        <v>1</v>
      </c>
      <c r="X2982" t="n">
        <v>606.060606060606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7172</v>
      </c>
      <c r="AG2982" t="n">
        <v>1</v>
      </c>
      <c r="AH2982" t="inlineStr">
        <is>
          <t>PT. BERSAMA DISTRIVERSA INDONESIA (DC CIPUTAT)</t>
        </is>
      </c>
      <c r="AI2982" t="n">
        <v>686</v>
      </c>
      <c r="AJ2982" t="inlineStr">
        <is>
          <t>NOERA</t>
        </is>
      </c>
      <c r="AK2982" t="n">
        <v>9</v>
      </c>
      <c r="AL2982" t="inlineStr">
        <is>
          <t>Miss Glam Jambi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NOERA</t>
        </is>
      </c>
      <c r="B2983" s="2">
        <f>"8997027257482"</f>
        <v/>
      </c>
      <c r="C2983" t="inlineStr">
        <is>
          <t>NOERA Watermelon Lip Scrub 5gr</t>
        </is>
      </c>
      <c r="D2983" t="inlineStr">
        <is>
          <t>Miss Glam Jambi</t>
        </is>
      </c>
      <c r="E2983" t="n">
        <v>4</v>
      </c>
      <c r="F2983" t="n">
        <v>0.0396</v>
      </c>
      <c r="G2983" t="n">
        <v>0.33</v>
      </c>
      <c r="H2983" t="n">
        <v>4</v>
      </c>
      <c r="I2983" t="n">
        <v>20</v>
      </c>
      <c r="J2983" t="n">
        <v>3</v>
      </c>
      <c r="K2983" t="n">
        <v>0</v>
      </c>
      <c r="L2983" t="n">
        <v>45223</v>
      </c>
      <c r="M2983" t="n">
        <v>58000</v>
      </c>
      <c r="N2983" t="n">
        <v>33</v>
      </c>
      <c r="O2983" t="n">
        <v>0.33</v>
      </c>
      <c r="P2983" t="n">
        <v>1</v>
      </c>
      <c r="Q2983" t="n">
        <v>0.03</v>
      </c>
      <c r="R2983" t="n">
        <v>1</v>
      </c>
      <c r="S2983" t="n">
        <v>2296.8</v>
      </c>
      <c r="T2983" t="n">
        <v>7</v>
      </c>
      <c r="U2983" t="n">
        <v>8</v>
      </c>
      <c r="V2983" t="n">
        <v>30</v>
      </c>
      <c r="W2983" t="n">
        <v>2</v>
      </c>
      <c r="X2983" t="n">
        <v>101.010101010101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7172</v>
      </c>
      <c r="AG2983" t="n">
        <v>1</v>
      </c>
      <c r="AH2983" t="inlineStr">
        <is>
          <t>PT. BERSAMA DISTRIVERSA INDONESIA (DC CIPUTAT)</t>
        </is>
      </c>
      <c r="AI2983" t="n">
        <v>686</v>
      </c>
      <c r="AJ2983" t="inlineStr">
        <is>
          <t>NOERA</t>
        </is>
      </c>
      <c r="AK2983" t="n">
        <v>9</v>
      </c>
      <c r="AL2983" t="inlineStr">
        <is>
          <t>Miss Glam Jambi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NOERA</t>
        </is>
      </c>
      <c r="B2984" s="2">
        <f>"8997027257475"</f>
        <v/>
      </c>
      <c r="C2984" t="inlineStr">
        <is>
          <t>NOERA Watermelon Moisturizing Lip Balm 5gr</t>
        </is>
      </c>
      <c r="D2984" t="inlineStr">
        <is>
          <t>Miss Glam Jambi</t>
        </is>
      </c>
      <c r="E2984" t="n">
        <v>8</v>
      </c>
      <c r="F2984" t="n">
        <v>0.0396</v>
      </c>
      <c r="G2984" t="n">
        <v>0.33</v>
      </c>
      <c r="H2984" t="n">
        <v>4</v>
      </c>
      <c r="I2984" t="n">
        <v>20</v>
      </c>
      <c r="J2984" t="n">
        <v>3</v>
      </c>
      <c r="K2984" t="n">
        <v>0</v>
      </c>
      <c r="L2984" t="n">
        <v>45165</v>
      </c>
      <c r="M2984" t="n">
        <v>58000</v>
      </c>
      <c r="N2984" t="n">
        <v>33</v>
      </c>
      <c r="O2984" t="n">
        <v>0.33</v>
      </c>
      <c r="P2984" t="n">
        <v>1</v>
      </c>
      <c r="Q2984" t="n">
        <v>0.07000000000000001</v>
      </c>
      <c r="R2984" t="n">
        <v>1</v>
      </c>
      <c r="S2984" t="n">
        <v>2296.8</v>
      </c>
      <c r="T2984" t="n">
        <v>7</v>
      </c>
      <c r="U2984" t="n">
        <v>8</v>
      </c>
      <c r="V2984" t="n">
        <v>30</v>
      </c>
      <c r="W2984" t="n">
        <v>2</v>
      </c>
      <c r="X2984" t="n">
        <v>202.020202020202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7172</v>
      </c>
      <c r="AG2984" t="n">
        <v>1</v>
      </c>
      <c r="AH2984" t="inlineStr">
        <is>
          <t>PT. BERSAMA DISTRIVERSA INDONESIA (DC CIPUTAT)</t>
        </is>
      </c>
      <c r="AI2984" t="n">
        <v>686</v>
      </c>
      <c r="AJ2984" t="inlineStr">
        <is>
          <t>NOERA</t>
        </is>
      </c>
      <c r="AK2984" t="n">
        <v>9</v>
      </c>
      <c r="AL2984" t="inlineStr">
        <is>
          <t>Miss Glam Jambi</t>
        </is>
      </c>
      <c r="AM2984" t="n">
        <v>3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NOSUKU</t>
        </is>
      </c>
      <c r="B2985" s="2">
        <f>"30700301238"</f>
        <v/>
      </c>
      <c r="C2985" t="inlineStr">
        <is>
          <t>NOSUKU Refreshing Foot Spray 60ml</t>
        </is>
      </c>
      <c r="D2985" t="inlineStr">
        <is>
          <t>Miss Glam Jambi</t>
        </is>
      </c>
      <c r="E2985" t="n">
        <v>14</v>
      </c>
      <c r="F2985" t="n">
        <v>0.006600000000000001</v>
      </c>
      <c r="G2985" t="n">
        <v>0.33</v>
      </c>
      <c r="H2985" t="n">
        <v>4</v>
      </c>
      <c r="I2985" t="n">
        <v>20</v>
      </c>
      <c r="J2985" t="n">
        <v>3</v>
      </c>
      <c r="K2985" t="n">
        <v>0</v>
      </c>
      <c r="L2985" t="n">
        <v>44250</v>
      </c>
      <c r="M2985" t="n">
        <v>59000</v>
      </c>
      <c r="N2985" t="n">
        <v>33</v>
      </c>
      <c r="O2985" t="n">
        <v>0.33</v>
      </c>
      <c r="P2985" t="n">
        <v>1</v>
      </c>
      <c r="Q2985" t="n">
        <v>0.02</v>
      </c>
      <c r="R2985" t="n">
        <v>1</v>
      </c>
      <c r="S2985" t="n">
        <v>389.4</v>
      </c>
      <c r="T2985" t="n">
        <v>7</v>
      </c>
      <c r="U2985" t="n">
        <v>8</v>
      </c>
      <c r="V2985" t="n">
        <v>30</v>
      </c>
      <c r="W2985" t="n">
        <v>1</v>
      </c>
      <c r="X2985" t="n">
        <v>2121.212121212121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7205</v>
      </c>
      <c r="AG2985" t="n">
        <v>1</v>
      </c>
      <c r="AH2985" t="inlineStr">
        <is>
          <t>PT. BERSAMA DISTRIVERSA INDONESIA (DC CIPUTAT)</t>
        </is>
      </c>
      <c r="AI2985" t="n">
        <v>2192</v>
      </c>
      <c r="AJ2985" t="inlineStr">
        <is>
          <t>NOSUKU</t>
        </is>
      </c>
      <c r="AK2985" t="n">
        <v>9</v>
      </c>
      <c r="AL2985" t="inlineStr">
        <is>
          <t>Miss Glam Jambi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NOSUKU</t>
        </is>
      </c>
      <c r="B2986" s="2">
        <f>"8999999120214"</f>
        <v/>
      </c>
      <c r="C2986" t="inlineStr">
        <is>
          <t>NOSUKU Stay Fresh Deodorant Spray 60ml</t>
        </is>
      </c>
      <c r="D2986" t="inlineStr">
        <is>
          <t>Miss Glam Jambi</t>
        </is>
      </c>
      <c r="E2986" t="n">
        <v>8</v>
      </c>
      <c r="F2986" t="n">
        <v>0.009900000000000001</v>
      </c>
      <c r="G2986" t="n">
        <v>0.66</v>
      </c>
      <c r="H2986" t="n">
        <v>4</v>
      </c>
      <c r="I2986" t="n">
        <v>20</v>
      </c>
      <c r="J2986" t="n">
        <v>3</v>
      </c>
      <c r="K2986" t="n">
        <v>0</v>
      </c>
      <c r="L2986" t="n">
        <v>44250</v>
      </c>
      <c r="M2986" t="n">
        <v>59000</v>
      </c>
      <c r="N2986" t="n">
        <v>33</v>
      </c>
      <c r="O2986" t="n">
        <v>0.33</v>
      </c>
      <c r="P2986" t="n">
        <v>1</v>
      </c>
      <c r="Q2986" t="n">
        <v>0.03</v>
      </c>
      <c r="R2986" t="n">
        <v>1</v>
      </c>
      <c r="S2986" t="n">
        <v>584.1</v>
      </c>
      <c r="T2986" t="n">
        <v>14</v>
      </c>
      <c r="U2986" t="n">
        <v>15</v>
      </c>
      <c r="V2986" t="n">
        <v>30</v>
      </c>
      <c r="W2986" t="n">
        <v>1</v>
      </c>
      <c r="X2986" t="n">
        <v>808.080808080808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7205</v>
      </c>
      <c r="AG2986" t="n">
        <v>1</v>
      </c>
      <c r="AH2986" t="inlineStr">
        <is>
          <t>PT. BERSAMA DISTRIVERSA INDONESIA (DC CIPUTAT)</t>
        </is>
      </c>
      <c r="AI2986" t="n">
        <v>2192</v>
      </c>
      <c r="AJ2986" t="inlineStr">
        <is>
          <t>NOSUKU</t>
        </is>
      </c>
      <c r="AK2986" t="n">
        <v>9</v>
      </c>
      <c r="AL2986" t="inlineStr">
        <is>
          <t>Miss Glam Jambi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NPURE</t>
        </is>
      </c>
      <c r="B2987" s="2">
        <f>"10600214151"</f>
        <v/>
      </c>
      <c r="C2987" t="inlineStr">
        <is>
          <t>NPURE Acne Clear Patch Invisible 18 pcs</t>
        </is>
      </c>
      <c r="D2987" t="inlineStr">
        <is>
          <t>Miss Glam Jambi</t>
        </is>
      </c>
      <c r="E2987" t="n">
        <v>12</v>
      </c>
      <c r="F2987" t="n">
        <v>0.08910000000000001</v>
      </c>
      <c r="G2987" t="n">
        <v>1.65</v>
      </c>
      <c r="H2987" t="n">
        <v>6</v>
      </c>
      <c r="I2987" t="n">
        <v>12</v>
      </c>
      <c r="J2987" t="n">
        <v>1</v>
      </c>
      <c r="K2987" t="n">
        <v>0</v>
      </c>
      <c r="L2987" t="n">
        <v>24000</v>
      </c>
      <c r="M2987" t="n">
        <v>32000</v>
      </c>
      <c r="N2987" t="n">
        <v>33</v>
      </c>
      <c r="O2987" t="n">
        <v>0.33</v>
      </c>
      <c r="P2987" t="n">
        <v>1</v>
      </c>
      <c r="Q2987" t="n">
        <v>0.1</v>
      </c>
      <c r="R2987" t="n">
        <v>2</v>
      </c>
      <c r="S2987" t="n">
        <v>2851.2</v>
      </c>
      <c r="T2987" t="n">
        <v>20</v>
      </c>
      <c r="U2987" t="n">
        <v>21</v>
      </c>
      <c r="V2987" t="n">
        <v>30</v>
      </c>
      <c r="W2987" t="n">
        <v>3</v>
      </c>
      <c r="X2987" t="n">
        <v>134.6801346801347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649</v>
      </c>
      <c r="AG2987" t="n">
        <v>107</v>
      </c>
      <c r="AH2987" t="inlineStr">
        <is>
          <t xml:space="preserve">CV. DAHLIA - PPN (PDG) </t>
        </is>
      </c>
      <c r="AI2987" t="n">
        <v>25</v>
      </c>
      <c r="AJ2987" t="inlineStr">
        <is>
          <t>NPURE</t>
        </is>
      </c>
      <c r="AK2987" t="n">
        <v>9</v>
      </c>
      <c r="AL2987" t="inlineStr">
        <is>
          <t>Miss Glam Jambi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NPURE</t>
        </is>
      </c>
      <c r="B2988" s="2">
        <f>"10100721607"</f>
        <v/>
      </c>
      <c r="C2988" t="inlineStr">
        <is>
          <t>NPURE Acne Power Clear Micellar Water 100 ml</t>
        </is>
      </c>
      <c r="D2988" t="inlineStr">
        <is>
          <t>Miss Glam Jambi</t>
        </is>
      </c>
      <c r="E2988" t="n">
        <v>10</v>
      </c>
      <c r="F2988" t="n">
        <v>0.9636</v>
      </c>
      <c r="G2988" t="n">
        <v>2.64</v>
      </c>
      <c r="H2988" t="n">
        <v>6</v>
      </c>
      <c r="I2988" t="n">
        <v>12</v>
      </c>
      <c r="J2988" t="n">
        <v>1</v>
      </c>
      <c r="K2988" t="n">
        <v>17</v>
      </c>
      <c r="L2988" t="n">
        <v>22125</v>
      </c>
      <c r="M2988" t="n">
        <v>29500</v>
      </c>
      <c r="N2988" t="n">
        <v>33</v>
      </c>
      <c r="O2988" t="n">
        <v>0.33</v>
      </c>
      <c r="P2988" t="n">
        <v>1</v>
      </c>
      <c r="Q2988" t="n">
        <v>0.64</v>
      </c>
      <c r="R2988" t="n">
        <v>3</v>
      </c>
      <c r="S2988" t="n">
        <v>28426.2</v>
      </c>
      <c r="T2988" t="n">
        <v>26</v>
      </c>
      <c r="U2988" t="n">
        <v>32</v>
      </c>
      <c r="V2988" t="n">
        <v>30</v>
      </c>
      <c r="W2988" t="n">
        <v>29</v>
      </c>
      <c r="X2988" t="n">
        <v>10.3777501037775</v>
      </c>
      <c r="Y2988" t="n">
        <v>1</v>
      </c>
      <c r="Z2988" t="n">
        <v>2</v>
      </c>
      <c r="AA2988" t="n">
        <v>1</v>
      </c>
      <c r="AB2988" t="n">
        <v>1</v>
      </c>
      <c r="AC2988" t="n">
        <v>1</v>
      </c>
      <c r="AD2988" t="n">
        <v>22125</v>
      </c>
      <c r="AE2988" t="n">
        <v>22125</v>
      </c>
      <c r="AF2988" t="n">
        <v>649</v>
      </c>
      <c r="AG2988" t="n">
        <v>107</v>
      </c>
      <c r="AH2988" t="inlineStr">
        <is>
          <t xml:space="preserve">CV. DAHLIA - PPN (PDG) </t>
        </is>
      </c>
      <c r="AI2988" t="n">
        <v>25</v>
      </c>
      <c r="AJ2988" t="inlineStr">
        <is>
          <t>NPURE</t>
        </is>
      </c>
      <c r="AK2988" t="n">
        <v>9</v>
      </c>
      <c r="AL2988" t="inlineStr">
        <is>
          <t>Miss Glam Jambi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NPURE</t>
        </is>
      </c>
      <c r="B2989" s="2">
        <f>"10100720559"</f>
        <v/>
      </c>
      <c r="C2989" t="inlineStr">
        <is>
          <t>NPURE Acne Power Clear Micellar Water 300ml</t>
        </is>
      </c>
      <c r="D2989" t="inlineStr">
        <is>
          <t>Miss Glam Jambi</t>
        </is>
      </c>
      <c r="E2989" t="n">
        <v>28</v>
      </c>
      <c r="F2989" t="n">
        <v>1.7556</v>
      </c>
      <c r="G2989" t="n">
        <v>4.62</v>
      </c>
      <c r="H2989" t="n">
        <v>6</v>
      </c>
      <c r="I2989" t="n">
        <v>12</v>
      </c>
      <c r="J2989" t="n">
        <v>3</v>
      </c>
      <c r="K2989" t="n">
        <v>25</v>
      </c>
      <c r="L2989" t="n">
        <v>36750</v>
      </c>
      <c r="M2989" t="n">
        <v>49000</v>
      </c>
      <c r="N2989" t="n">
        <v>33</v>
      </c>
      <c r="O2989" t="n">
        <v>0.33</v>
      </c>
      <c r="P2989" t="n">
        <v>1</v>
      </c>
      <c r="Q2989" t="n">
        <v>0.39</v>
      </c>
      <c r="R2989" t="n">
        <v>2</v>
      </c>
      <c r="S2989" t="n">
        <v>86024.40000000001</v>
      </c>
      <c r="T2989" t="n">
        <v>45</v>
      </c>
      <c r="U2989" t="n">
        <v>56</v>
      </c>
      <c r="V2989" t="n">
        <v>30</v>
      </c>
      <c r="W2989" t="n">
        <v>53</v>
      </c>
      <c r="X2989" t="n">
        <v>15.94896331738437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649</v>
      </c>
      <c r="AG2989" t="n">
        <v>107</v>
      </c>
      <c r="AH2989" t="inlineStr">
        <is>
          <t xml:space="preserve">CV. DAHLIA - PPN (PDG) </t>
        </is>
      </c>
      <c r="AI2989" t="n">
        <v>25</v>
      </c>
      <c r="AJ2989" t="inlineStr">
        <is>
          <t>NPURE</t>
        </is>
      </c>
      <c r="AK2989" t="n">
        <v>9</v>
      </c>
      <c r="AL2989" t="inlineStr">
        <is>
          <t>Miss Glam Jambi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NPURE</t>
        </is>
      </c>
      <c r="B2990" s="2">
        <f>"10200222256"</f>
        <v/>
      </c>
      <c r="C2990" t="inlineStr">
        <is>
          <t>NPURE Bundling Cica Beat The Sun Matte + Cica Beat The Sun Spray</t>
        </is>
      </c>
      <c r="D2990" t="inlineStr">
        <is>
          <t>Miss Glam Jambi</t>
        </is>
      </c>
      <c r="E2990" t="n">
        <v>3</v>
      </c>
      <c r="F2990" t="n">
        <v>0.06270000000000001</v>
      </c>
      <c r="G2990" t="n">
        <v>0.66</v>
      </c>
      <c r="H2990" t="n">
        <v>6</v>
      </c>
      <c r="I2990" t="n">
        <v>12</v>
      </c>
      <c r="J2990" t="n">
        <v>1</v>
      </c>
      <c r="K2990" t="n">
        <v>0</v>
      </c>
      <c r="L2990" t="n">
        <v>86250</v>
      </c>
      <c r="M2990" t="n">
        <v>115000</v>
      </c>
      <c r="N2990" t="n">
        <v>33</v>
      </c>
      <c r="O2990" t="n">
        <v>0.33</v>
      </c>
      <c r="P2990" t="n">
        <v>1</v>
      </c>
      <c r="Q2990" t="n">
        <v>0.07000000000000001</v>
      </c>
      <c r="R2990" t="n">
        <v>1</v>
      </c>
      <c r="S2990" t="n">
        <v>7210.500000000001</v>
      </c>
      <c r="T2990" t="n">
        <v>8</v>
      </c>
      <c r="U2990" t="n">
        <v>9</v>
      </c>
      <c r="V2990" t="n">
        <v>30</v>
      </c>
      <c r="W2990" t="n">
        <v>2</v>
      </c>
      <c r="X2990" t="n">
        <v>47.84688995215311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649</v>
      </c>
      <c r="AG2990" t="n">
        <v>107</v>
      </c>
      <c r="AH2990" t="inlineStr">
        <is>
          <t xml:space="preserve">CV. DAHLIA - PPN (PDG) </t>
        </is>
      </c>
      <c r="AI2990" t="n">
        <v>25</v>
      </c>
      <c r="AJ2990" t="inlineStr">
        <is>
          <t>NPURE</t>
        </is>
      </c>
      <c r="AK2990" t="n">
        <v>9</v>
      </c>
      <c r="AL2990" t="inlineStr">
        <is>
          <t>Miss Glam Jambi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NPURE</t>
        </is>
      </c>
      <c r="B2991" s="2">
        <f>"8997240891272"</f>
        <v/>
      </c>
      <c r="C2991" t="inlineStr">
        <is>
          <t>NPURE Centella Asiatica Acne Clear Barrier Moisturizer 30 gr</t>
        </is>
      </c>
      <c r="D2991" t="inlineStr">
        <is>
          <t>Miss Glam Jambi</t>
        </is>
      </c>
      <c r="E2991" t="n">
        <v>3</v>
      </c>
      <c r="F2991" t="n">
        <v>0.06270000000000001</v>
      </c>
      <c r="G2991" t="n">
        <v>0.33</v>
      </c>
      <c r="H2991" t="n">
        <v>6</v>
      </c>
      <c r="I2991" t="n">
        <v>12</v>
      </c>
      <c r="J2991" t="n">
        <v>3</v>
      </c>
      <c r="K2991" t="n">
        <v>0</v>
      </c>
      <c r="L2991" t="n">
        <v>75000</v>
      </c>
      <c r="M2991" t="n">
        <v>100000</v>
      </c>
      <c r="N2991" t="n">
        <v>33</v>
      </c>
      <c r="O2991" t="n">
        <v>0.33</v>
      </c>
      <c r="P2991" t="n">
        <v>1</v>
      </c>
      <c r="Q2991" t="n">
        <v>0.08</v>
      </c>
      <c r="R2991" t="n">
        <v>2</v>
      </c>
      <c r="S2991" t="n">
        <v>6270.000000000001</v>
      </c>
      <c r="T2991" t="n">
        <v>4</v>
      </c>
      <c r="U2991" t="n">
        <v>5</v>
      </c>
      <c r="V2991" t="n">
        <v>30</v>
      </c>
      <c r="W2991" t="n">
        <v>2</v>
      </c>
      <c r="X2991" t="n">
        <v>47.84688995215311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649</v>
      </c>
      <c r="AG2991" t="n">
        <v>107</v>
      </c>
      <c r="AH2991" t="inlineStr">
        <is>
          <t xml:space="preserve">CV. DAHLIA - PPN (PDG) </t>
        </is>
      </c>
      <c r="AI2991" t="n">
        <v>25</v>
      </c>
      <c r="AJ2991" t="inlineStr">
        <is>
          <t>NPURE</t>
        </is>
      </c>
      <c r="AK2991" t="n">
        <v>9</v>
      </c>
      <c r="AL2991" t="inlineStr">
        <is>
          <t>Miss Glam Jambi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NPURE</t>
        </is>
      </c>
      <c r="B2992" s="2">
        <f>"8997240891203"</f>
        <v/>
      </c>
      <c r="C2992" t="inlineStr">
        <is>
          <t>NPURE Centella Asiatica Acne Clear Foam Facewash 100ml</t>
        </is>
      </c>
      <c r="D2992" t="inlineStr">
        <is>
          <t>Miss Glam Jambi</t>
        </is>
      </c>
      <c r="E2992" t="n">
        <v>3</v>
      </c>
      <c r="F2992" t="n">
        <v>0.2079</v>
      </c>
      <c r="G2992" t="n">
        <v>0.66</v>
      </c>
      <c r="H2992" t="n">
        <v>6</v>
      </c>
      <c r="I2992" t="n">
        <v>12</v>
      </c>
      <c r="J2992" t="n">
        <v>3</v>
      </c>
      <c r="K2992" t="n">
        <v>4</v>
      </c>
      <c r="L2992" t="n">
        <v>67500</v>
      </c>
      <c r="M2992" t="n">
        <v>90000</v>
      </c>
      <c r="N2992" t="n">
        <v>33</v>
      </c>
      <c r="O2992" t="n">
        <v>0.33</v>
      </c>
      <c r="P2992" t="n">
        <v>1</v>
      </c>
      <c r="Q2992" t="n">
        <v>0.12</v>
      </c>
      <c r="R2992" t="n">
        <v>1</v>
      </c>
      <c r="S2992" t="n">
        <v>18711</v>
      </c>
      <c r="T2992" t="n">
        <v>7</v>
      </c>
      <c r="U2992" t="n">
        <v>9</v>
      </c>
      <c r="V2992" t="n">
        <v>30</v>
      </c>
      <c r="W2992" t="n">
        <v>7</v>
      </c>
      <c r="X2992" t="n">
        <v>14.43001443001443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649</v>
      </c>
      <c r="AG2992" t="n">
        <v>107</v>
      </c>
      <c r="AH2992" t="inlineStr">
        <is>
          <t xml:space="preserve">CV. DAHLIA - PPN (PDG) </t>
        </is>
      </c>
      <c r="AI2992" t="n">
        <v>25</v>
      </c>
      <c r="AJ2992" t="inlineStr">
        <is>
          <t>NPURE</t>
        </is>
      </c>
      <c r="AK2992" t="n">
        <v>9</v>
      </c>
      <c r="AL2992" t="inlineStr">
        <is>
          <t>Miss Glam Jambi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NPURE</t>
        </is>
      </c>
      <c r="B2993" s="2">
        <f>"8997240891159"</f>
        <v/>
      </c>
      <c r="C2993" t="inlineStr">
        <is>
          <t>NPURE Centella Asiatica Acne Toner Hydrating &amp; Calming 150ml</t>
        </is>
      </c>
      <c r="D2993" t="inlineStr">
        <is>
          <t>Miss Glam Jambi</t>
        </is>
      </c>
      <c r="E2993" t="n">
        <v>45</v>
      </c>
      <c r="F2993" t="n">
        <v>0.66</v>
      </c>
      <c r="G2993" t="n">
        <v>1.65</v>
      </c>
      <c r="H2993" t="n">
        <v>6</v>
      </c>
      <c r="I2993" t="n">
        <v>12</v>
      </c>
      <c r="J2993" t="n">
        <v>3</v>
      </c>
      <c r="K2993" t="n">
        <v>0</v>
      </c>
      <c r="L2993" t="n">
        <v>75000</v>
      </c>
      <c r="M2993" t="n">
        <v>100000</v>
      </c>
      <c r="N2993" t="n">
        <v>33</v>
      </c>
      <c r="O2993" t="n">
        <v>0.33</v>
      </c>
      <c r="P2993" t="n">
        <v>1</v>
      </c>
      <c r="Q2993" t="n">
        <v>0.64</v>
      </c>
      <c r="R2993" t="n">
        <v>4</v>
      </c>
      <c r="S2993" t="n">
        <v>66000</v>
      </c>
      <c r="T2993" t="n">
        <v>16</v>
      </c>
      <c r="U2993" t="n">
        <v>20</v>
      </c>
      <c r="V2993" t="n">
        <v>30</v>
      </c>
      <c r="W2993" t="n">
        <v>20</v>
      </c>
      <c r="X2993" t="n">
        <v>68.18181818181817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649</v>
      </c>
      <c r="AG2993" t="n">
        <v>107</v>
      </c>
      <c r="AH2993" t="inlineStr">
        <is>
          <t xml:space="preserve">CV. DAHLIA - PPN (PDG) </t>
        </is>
      </c>
      <c r="AI2993" t="n">
        <v>25</v>
      </c>
      <c r="AJ2993" t="inlineStr">
        <is>
          <t>NPURE</t>
        </is>
      </c>
      <c r="AK2993" t="n">
        <v>9</v>
      </c>
      <c r="AL2993" t="inlineStr">
        <is>
          <t>Miss Glam Jambi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NPURE</t>
        </is>
      </c>
      <c r="B2994" s="2">
        <f>"8997240890381"</f>
        <v/>
      </c>
      <c r="C2994" t="inlineStr">
        <is>
          <t>NPURE Centella ASiatica Natural Daily Hydrating Face Toner 30ml</t>
        </is>
      </c>
      <c r="D2994" t="inlineStr">
        <is>
          <t>Miss Glam Jambi</t>
        </is>
      </c>
      <c r="E2994" t="n">
        <v>9</v>
      </c>
      <c r="F2994" t="n">
        <v>0.7062</v>
      </c>
      <c r="G2994" t="n">
        <v>2.64</v>
      </c>
      <c r="H2994" t="n">
        <v>6</v>
      </c>
      <c r="I2994" t="n">
        <v>12</v>
      </c>
      <c r="J2994" t="n">
        <v>3</v>
      </c>
      <c r="K2994" t="n">
        <v>12</v>
      </c>
      <c r="L2994" t="n">
        <v>18750</v>
      </c>
      <c r="M2994" t="n">
        <v>25000</v>
      </c>
      <c r="N2994" t="n">
        <v>33</v>
      </c>
      <c r="O2994" t="n">
        <v>0.33</v>
      </c>
      <c r="P2994" t="n">
        <v>1</v>
      </c>
      <c r="Q2994" t="n">
        <v>0.58</v>
      </c>
      <c r="R2994" t="n">
        <v>3</v>
      </c>
      <c r="S2994" t="n">
        <v>17655</v>
      </c>
      <c r="T2994" t="n">
        <v>28</v>
      </c>
      <c r="U2994" t="n">
        <v>33</v>
      </c>
      <c r="V2994" t="n">
        <v>30</v>
      </c>
      <c r="W2994" t="n">
        <v>22</v>
      </c>
      <c r="X2994" t="n">
        <v>12.74426508071368</v>
      </c>
      <c r="Y2994" t="n">
        <v>1</v>
      </c>
      <c r="Z2994" t="n">
        <v>1</v>
      </c>
      <c r="AA2994" t="n">
        <v>0</v>
      </c>
      <c r="AB2994" t="n">
        <v>1</v>
      </c>
      <c r="AC2994" t="n">
        <v>3</v>
      </c>
      <c r="AD2994" t="n">
        <v>0</v>
      </c>
      <c r="AE2994" t="n">
        <v>56250</v>
      </c>
      <c r="AF2994" t="n">
        <v>649</v>
      </c>
      <c r="AG2994" t="n">
        <v>107</v>
      </c>
      <c r="AH2994" t="inlineStr">
        <is>
          <t xml:space="preserve">CV. DAHLIA - PPN (PDG) </t>
        </is>
      </c>
      <c r="AI2994" t="n">
        <v>25</v>
      </c>
      <c r="AJ2994" t="inlineStr">
        <is>
          <t>NPURE</t>
        </is>
      </c>
      <c r="AK2994" t="n">
        <v>9</v>
      </c>
      <c r="AL2994" t="inlineStr">
        <is>
          <t>Miss Glam Jambi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NPURE</t>
        </is>
      </c>
      <c r="B2995" s="2">
        <f>"8997219891753"</f>
        <v/>
      </c>
      <c r="C2995" t="inlineStr">
        <is>
          <t>NPURE Centella Asiatica Primer Power 15ml</t>
        </is>
      </c>
      <c r="D2995" t="inlineStr">
        <is>
          <t>Miss Glam Jambi</t>
        </is>
      </c>
      <c r="E2995" t="n">
        <v>2</v>
      </c>
      <c r="F2995" t="n">
        <v>0.009900000000000001</v>
      </c>
      <c r="G2995" t="n">
        <v>0.33</v>
      </c>
      <c r="H2995" t="n">
        <v>6</v>
      </c>
      <c r="I2995" t="n">
        <v>12</v>
      </c>
      <c r="J2995" t="n">
        <v>3</v>
      </c>
      <c r="K2995" t="n">
        <v>0</v>
      </c>
      <c r="L2995" t="n">
        <v>66750</v>
      </c>
      <c r="M2995" t="n">
        <v>89000</v>
      </c>
      <c r="N2995" t="n">
        <v>33</v>
      </c>
      <c r="O2995" t="n">
        <v>0.33</v>
      </c>
      <c r="P2995" t="n">
        <v>1</v>
      </c>
      <c r="Q2995" t="n">
        <v>0.02</v>
      </c>
      <c r="R2995" t="n">
        <v>1</v>
      </c>
      <c r="S2995" t="n">
        <v>881.1</v>
      </c>
      <c r="T2995" t="n">
        <v>4</v>
      </c>
      <c r="U2995" t="n">
        <v>5</v>
      </c>
      <c r="V2995" t="n">
        <v>30</v>
      </c>
      <c r="W2995" t="n">
        <v>1</v>
      </c>
      <c r="X2995" t="n">
        <v>202.020202020202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649</v>
      </c>
      <c r="AG2995" t="n">
        <v>107</v>
      </c>
      <c r="AH2995" t="inlineStr">
        <is>
          <t xml:space="preserve">CV. DAHLIA - PPN (PDG) </t>
        </is>
      </c>
      <c r="AI2995" t="n">
        <v>25</v>
      </c>
      <c r="AJ2995" t="inlineStr">
        <is>
          <t>NPURE</t>
        </is>
      </c>
      <c r="AK2995" t="n">
        <v>9</v>
      </c>
      <c r="AL2995" t="inlineStr">
        <is>
          <t>Miss Glam Jambi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NPURE</t>
        </is>
      </c>
      <c r="B2996" s="2">
        <f>"8997240891302"</f>
        <v/>
      </c>
      <c r="C2996" t="inlineStr">
        <is>
          <t>NPURE Centella Asiatica Setter Power 100ml</t>
        </is>
      </c>
      <c r="D2996" t="inlineStr">
        <is>
          <t>Miss Glam Jambi</t>
        </is>
      </c>
      <c r="E2996" t="n">
        <v>3</v>
      </c>
      <c r="F2996" t="n">
        <v>0.0231</v>
      </c>
      <c r="G2996" t="n">
        <v>0.33</v>
      </c>
      <c r="H2996" t="n">
        <v>6</v>
      </c>
      <c r="I2996" t="n">
        <v>12</v>
      </c>
      <c r="J2996" t="n">
        <v>3</v>
      </c>
      <c r="K2996" t="n">
        <v>0</v>
      </c>
      <c r="L2996" t="n">
        <v>74250</v>
      </c>
      <c r="M2996" t="n">
        <v>99000</v>
      </c>
      <c r="N2996" t="n">
        <v>33</v>
      </c>
      <c r="O2996" t="n">
        <v>0.33</v>
      </c>
      <c r="P2996" t="n">
        <v>1</v>
      </c>
      <c r="Q2996" t="n">
        <v>0.03</v>
      </c>
      <c r="R2996" t="n">
        <v>1</v>
      </c>
      <c r="S2996" t="n">
        <v>2286.9</v>
      </c>
      <c r="T2996" t="n">
        <v>4</v>
      </c>
      <c r="U2996" t="n">
        <v>5</v>
      </c>
      <c r="V2996" t="n">
        <v>30</v>
      </c>
      <c r="W2996" t="n">
        <v>1</v>
      </c>
      <c r="X2996" t="n">
        <v>129.8701298701299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649</v>
      </c>
      <c r="AG2996" t="n">
        <v>107</v>
      </c>
      <c r="AH2996" t="inlineStr">
        <is>
          <t xml:space="preserve">CV. DAHLIA - PPN (PDG) </t>
        </is>
      </c>
      <c r="AI2996" t="n">
        <v>25</v>
      </c>
      <c r="AJ2996" t="inlineStr">
        <is>
          <t>NPURE</t>
        </is>
      </c>
      <c r="AK2996" t="n">
        <v>9</v>
      </c>
      <c r="AL2996" t="inlineStr">
        <is>
          <t>Miss Glam Jambi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NPURE</t>
        </is>
      </c>
      <c r="B2997" s="2">
        <f>"8997240890671"</f>
        <v/>
      </c>
      <c r="C2997" t="inlineStr">
        <is>
          <t>NPURE Cica Acne Clear Body Spray 50ml</t>
        </is>
      </c>
      <c r="D2997" t="inlineStr">
        <is>
          <t>Miss Glam Jambi</t>
        </is>
      </c>
      <c r="E2997" t="n">
        <v>5</v>
      </c>
      <c r="F2997" t="n">
        <v>0.02</v>
      </c>
      <c r="G2997" t="n">
        <v>1</v>
      </c>
      <c r="H2997" t="n">
        <v>6</v>
      </c>
      <c r="I2997" t="n">
        <v>12</v>
      </c>
      <c r="J2997" t="n">
        <v>3</v>
      </c>
      <c r="K2997" t="n">
        <v>0</v>
      </c>
      <c r="L2997" t="n">
        <v>52500</v>
      </c>
      <c r="M2997" t="n">
        <v>70000</v>
      </c>
      <c r="N2997" t="n">
        <v>33</v>
      </c>
      <c r="O2997" t="n">
        <v>0.33</v>
      </c>
      <c r="P2997" t="n">
        <v>0</v>
      </c>
      <c r="Q2997" t="n">
        <v>0.02</v>
      </c>
      <c r="R2997" t="n">
        <v>1</v>
      </c>
      <c r="S2997" t="n">
        <v>1400</v>
      </c>
      <c r="T2997" t="n">
        <v>12</v>
      </c>
      <c r="U2997" t="n">
        <v>13</v>
      </c>
      <c r="V2997" t="n">
        <v>30</v>
      </c>
      <c r="W2997" t="n">
        <v>1</v>
      </c>
      <c r="X2997" t="n">
        <v>250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649</v>
      </c>
      <c r="AG2997" t="n">
        <v>107</v>
      </c>
      <c r="AH2997" t="inlineStr">
        <is>
          <t xml:space="preserve">CV. DAHLIA - PPN (PDG) </t>
        </is>
      </c>
      <c r="AI2997" t="n">
        <v>25</v>
      </c>
      <c r="AJ2997" t="inlineStr">
        <is>
          <t>NPURE</t>
        </is>
      </c>
      <c r="AK2997" t="n">
        <v>9</v>
      </c>
      <c r="AL2997" t="inlineStr">
        <is>
          <t>Miss Glam Jambi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NPURE</t>
        </is>
      </c>
      <c r="B2998" s="2">
        <f>"8997240891128"</f>
        <v/>
      </c>
      <c r="C2998" t="inlineStr">
        <is>
          <t>NPURE Cica Acne Clear Pad Gentle Exfoliation Travel Pack 5+2 Pads 17.5gr</t>
        </is>
      </c>
      <c r="D2998" t="inlineStr">
        <is>
          <t>Miss Glam Jambi</t>
        </is>
      </c>
      <c r="E2998" t="n">
        <v>38</v>
      </c>
      <c r="F2998" t="n">
        <v>1.1748</v>
      </c>
      <c r="G2998" t="n">
        <v>3.3</v>
      </c>
      <c r="H2998" t="n">
        <v>6</v>
      </c>
      <c r="I2998" t="n">
        <v>12</v>
      </c>
      <c r="J2998" t="n">
        <v>12</v>
      </c>
      <c r="K2998" t="n">
        <v>0</v>
      </c>
      <c r="L2998" t="n">
        <v>15000</v>
      </c>
      <c r="M2998" t="n">
        <v>20000</v>
      </c>
      <c r="N2998" t="n">
        <v>33</v>
      </c>
      <c r="O2998" t="n">
        <v>0.33</v>
      </c>
      <c r="P2998" t="n">
        <v>1</v>
      </c>
      <c r="Q2998" t="n">
        <v>0.6899999999999999</v>
      </c>
      <c r="R2998" t="n">
        <v>4</v>
      </c>
      <c r="S2998" t="n">
        <v>23496</v>
      </c>
      <c r="T2998" t="n">
        <v>33</v>
      </c>
      <c r="U2998" t="n">
        <v>41</v>
      </c>
      <c r="V2998" t="n">
        <v>30</v>
      </c>
      <c r="W2998" t="n">
        <v>36</v>
      </c>
      <c r="X2998" t="n">
        <v>32.34593122233571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649</v>
      </c>
      <c r="AG2998" t="n">
        <v>107</v>
      </c>
      <c r="AH2998" t="inlineStr">
        <is>
          <t xml:space="preserve">CV. DAHLIA - PPN (PDG) </t>
        </is>
      </c>
      <c r="AI2998" t="n">
        <v>25</v>
      </c>
      <c r="AJ2998" t="inlineStr">
        <is>
          <t>NPURE</t>
        </is>
      </c>
      <c r="AK2998" t="n">
        <v>9</v>
      </c>
      <c r="AL2998" t="inlineStr">
        <is>
          <t>Miss Glam Jambi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NPURE</t>
        </is>
      </c>
      <c r="B2999" s="2">
        <f>"8997240890091"</f>
        <v/>
      </c>
      <c r="C2999" t="inlineStr">
        <is>
          <t>NPURE Cica Acne Spot 20g</t>
        </is>
      </c>
      <c r="D2999" t="inlineStr">
        <is>
          <t>Miss Glam Jambi</t>
        </is>
      </c>
      <c r="E2999" t="n">
        <v>11</v>
      </c>
      <c r="F2999" t="n">
        <v>0.1023</v>
      </c>
      <c r="G2999" t="n">
        <v>0.99</v>
      </c>
      <c r="H2999" t="n">
        <v>6</v>
      </c>
      <c r="I2999" t="n">
        <v>12</v>
      </c>
      <c r="J2999" t="n">
        <v>3</v>
      </c>
      <c r="K2999" t="n">
        <v>0</v>
      </c>
      <c r="L2999" t="n">
        <v>51750</v>
      </c>
      <c r="M2999" t="n">
        <v>69000</v>
      </c>
      <c r="N2999" t="n">
        <v>33</v>
      </c>
      <c r="O2999" t="n">
        <v>0.33</v>
      </c>
      <c r="P2999" t="n">
        <v>1</v>
      </c>
      <c r="Q2999" t="n">
        <v>0.02</v>
      </c>
      <c r="R2999" t="n">
        <v>1</v>
      </c>
      <c r="S2999" t="n">
        <v>7058.7</v>
      </c>
      <c r="T2999" t="n">
        <v>12</v>
      </c>
      <c r="U2999" t="n">
        <v>13</v>
      </c>
      <c r="V2999" t="n">
        <v>30</v>
      </c>
      <c r="W2999" t="n">
        <v>4</v>
      </c>
      <c r="X2999" t="n">
        <v>107.5268817204301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649</v>
      </c>
      <c r="AG2999" t="n">
        <v>107</v>
      </c>
      <c r="AH2999" t="inlineStr">
        <is>
          <t xml:space="preserve">CV. DAHLIA - PPN (PDG) </t>
        </is>
      </c>
      <c r="AI2999" t="n">
        <v>25</v>
      </c>
      <c r="AJ2999" t="inlineStr">
        <is>
          <t>NPURE</t>
        </is>
      </c>
      <c r="AK2999" t="n">
        <v>9</v>
      </c>
      <c r="AL2999" t="inlineStr">
        <is>
          <t>Miss Glam Jambi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NPURE</t>
        </is>
      </c>
      <c r="B3000" s="2">
        <f>"8997240891180"</f>
        <v/>
      </c>
      <c r="C3000" t="inlineStr">
        <is>
          <t>NPURE Cica Beat The Sun Glow Spf 50+++ 35ml</t>
        </is>
      </c>
      <c r="D3000" t="inlineStr">
        <is>
          <t>Miss Glam Jambi</t>
        </is>
      </c>
      <c r="E3000" t="n">
        <v>12</v>
      </c>
      <c r="F3000" t="n">
        <v>0.2079</v>
      </c>
      <c r="G3000" t="n">
        <v>1.32</v>
      </c>
      <c r="H3000" t="n">
        <v>6</v>
      </c>
      <c r="I3000" t="n">
        <v>12</v>
      </c>
      <c r="J3000" t="n">
        <v>3</v>
      </c>
      <c r="K3000" t="n">
        <v>0</v>
      </c>
      <c r="L3000" t="n">
        <v>59250</v>
      </c>
      <c r="M3000" t="n">
        <v>79000</v>
      </c>
      <c r="N3000" t="n">
        <v>33</v>
      </c>
      <c r="O3000" t="n">
        <v>0.33</v>
      </c>
      <c r="P3000" t="n">
        <v>1</v>
      </c>
      <c r="Q3000" t="n">
        <v>0.1</v>
      </c>
      <c r="R3000" t="n">
        <v>1</v>
      </c>
      <c r="S3000" t="n">
        <v>16424.1</v>
      </c>
      <c r="T3000" t="n">
        <v>15</v>
      </c>
      <c r="U3000" t="n">
        <v>17</v>
      </c>
      <c r="V3000" t="n">
        <v>30</v>
      </c>
      <c r="W3000" t="n">
        <v>7</v>
      </c>
      <c r="X3000" t="n">
        <v>57.72005772005772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649</v>
      </c>
      <c r="AG3000" t="n">
        <v>107</v>
      </c>
      <c r="AH3000" t="inlineStr">
        <is>
          <t xml:space="preserve">CV. DAHLIA - PPN (PDG) </t>
        </is>
      </c>
      <c r="AI3000" t="n">
        <v>25</v>
      </c>
      <c r="AJ3000" t="inlineStr">
        <is>
          <t>NPURE</t>
        </is>
      </c>
      <c r="AK3000" t="n">
        <v>9</v>
      </c>
      <c r="AL3000" t="inlineStr">
        <is>
          <t>Miss Glam Jambi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NPURE</t>
        </is>
      </c>
      <c r="B3001" s="2">
        <f>"8997240891166"</f>
        <v/>
      </c>
      <c r="C3001" t="inlineStr">
        <is>
          <t>NPURE Cica Beat The Sun Matte 35ml</t>
        </is>
      </c>
      <c r="D3001" t="inlineStr">
        <is>
          <t>Miss Glam Jambi</t>
        </is>
      </c>
      <c r="E3001" t="n">
        <v>5</v>
      </c>
      <c r="F3001" t="n">
        <v>0.1848</v>
      </c>
      <c r="G3001" t="n">
        <v>0.99</v>
      </c>
      <c r="H3001" t="n">
        <v>6</v>
      </c>
      <c r="I3001" t="n">
        <v>12</v>
      </c>
      <c r="J3001" t="n">
        <v>3</v>
      </c>
      <c r="K3001" t="n">
        <v>0</v>
      </c>
      <c r="L3001" t="n">
        <v>59250</v>
      </c>
      <c r="M3001" t="n">
        <v>79000</v>
      </c>
      <c r="N3001" t="n">
        <v>33</v>
      </c>
      <c r="O3001" t="n">
        <v>0.33</v>
      </c>
      <c r="P3001" t="n">
        <v>1</v>
      </c>
      <c r="Q3001" t="n">
        <v>0.19</v>
      </c>
      <c r="R3001" t="n">
        <v>1</v>
      </c>
      <c r="S3001" t="n">
        <v>14599.2</v>
      </c>
      <c r="T3001" t="n">
        <v>11</v>
      </c>
      <c r="U3001" t="n">
        <v>13</v>
      </c>
      <c r="V3001" t="n">
        <v>30</v>
      </c>
      <c r="W3001" t="n">
        <v>6</v>
      </c>
      <c r="X3001" t="n">
        <v>27.05627705627705</v>
      </c>
      <c r="Y3001" t="n">
        <v>1</v>
      </c>
      <c r="Z3001" t="n">
        <v>1</v>
      </c>
      <c r="AA3001" t="n">
        <v>0</v>
      </c>
      <c r="AB3001" t="n">
        <v>1</v>
      </c>
      <c r="AC3001" t="n">
        <v>3</v>
      </c>
      <c r="AD3001" t="n">
        <v>0</v>
      </c>
      <c r="AE3001" t="n">
        <v>177750</v>
      </c>
      <c r="AF3001" t="n">
        <v>649</v>
      </c>
      <c r="AG3001" t="n">
        <v>107</v>
      </c>
      <c r="AH3001" t="inlineStr">
        <is>
          <t xml:space="preserve">CV. DAHLIA - PPN (PDG) </t>
        </is>
      </c>
      <c r="AI3001" t="n">
        <v>25</v>
      </c>
      <c r="AJ3001" t="inlineStr">
        <is>
          <t>NPURE</t>
        </is>
      </c>
      <c r="AK3001" t="n">
        <v>9</v>
      </c>
      <c r="AL3001" t="inlineStr">
        <is>
          <t>Miss Glam Jambi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NPURE</t>
        </is>
      </c>
      <c r="B3002" s="2">
        <f>"8997240890053"</f>
        <v/>
      </c>
      <c r="C3002" t="inlineStr">
        <is>
          <t>NPURE Cica Beat The Sun Powder Spf30 5g</t>
        </is>
      </c>
      <c r="D3002" t="inlineStr">
        <is>
          <t>Miss Glam Jambi</t>
        </is>
      </c>
      <c r="E3002" t="n">
        <v>0</v>
      </c>
      <c r="F3002" t="n">
        <v>0.033</v>
      </c>
      <c r="G3002" t="n">
        <v>0.33</v>
      </c>
      <c r="H3002" t="n">
        <v>6</v>
      </c>
      <c r="I3002" t="n">
        <v>12</v>
      </c>
      <c r="J3002" t="n">
        <v>3</v>
      </c>
      <c r="K3002" t="n">
        <v>0</v>
      </c>
      <c r="L3002" t="n">
        <v>89250</v>
      </c>
      <c r="M3002" t="n">
        <v>119000</v>
      </c>
      <c r="N3002" t="n">
        <v>33</v>
      </c>
      <c r="O3002" t="n">
        <v>0.33</v>
      </c>
      <c r="P3002" t="n">
        <v>1</v>
      </c>
      <c r="Q3002" t="n">
        <v>0.06</v>
      </c>
      <c r="R3002" t="n">
        <v>1</v>
      </c>
      <c r="S3002" t="n">
        <v>3927</v>
      </c>
      <c r="T3002" t="n">
        <v>4</v>
      </c>
      <c r="U3002" t="n">
        <v>5</v>
      </c>
      <c r="V3002" t="n">
        <v>30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n">
        <v>0</v>
      </c>
      <c r="AC3002" t="n">
        <v>0</v>
      </c>
      <c r="AD3002" t="n">
        <v>89250</v>
      </c>
      <c r="AE3002" t="n">
        <v>0</v>
      </c>
      <c r="AF3002" t="n">
        <v>649</v>
      </c>
      <c r="AG3002" t="n">
        <v>107</v>
      </c>
      <c r="AH3002" t="inlineStr">
        <is>
          <t xml:space="preserve">CV. DAHLIA - PPN (PDG) </t>
        </is>
      </c>
      <c r="AI3002" t="n">
        <v>25</v>
      </c>
      <c r="AJ3002" t="inlineStr">
        <is>
          <t>NPURE</t>
        </is>
      </c>
      <c r="AK3002" t="n">
        <v>9</v>
      </c>
      <c r="AL3002" t="inlineStr">
        <is>
          <t>Miss Glam Jambi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NPURE</t>
        </is>
      </c>
      <c r="B3003" s="2">
        <f>"8997240891494"</f>
        <v/>
      </c>
      <c r="C3003" t="inlineStr">
        <is>
          <t>NPURE Cica Beat The Sun Spray SPF 50+ 50ml</t>
        </is>
      </c>
      <c r="D3003" t="inlineStr">
        <is>
          <t>Miss Glam Jambi</t>
        </is>
      </c>
      <c r="E3003" t="n">
        <v>4</v>
      </c>
      <c r="F3003" t="n">
        <v>0.0264</v>
      </c>
      <c r="G3003" t="n">
        <v>0.33</v>
      </c>
      <c r="H3003" t="n">
        <v>6</v>
      </c>
      <c r="I3003" t="n">
        <v>12</v>
      </c>
      <c r="J3003" t="n">
        <v>3</v>
      </c>
      <c r="K3003" t="n">
        <v>0</v>
      </c>
      <c r="L3003" t="n">
        <v>59250</v>
      </c>
      <c r="M3003" t="n">
        <v>79000</v>
      </c>
      <c r="N3003" t="n">
        <v>33</v>
      </c>
      <c r="O3003" t="n">
        <v>0.33</v>
      </c>
      <c r="P3003" t="n">
        <v>1</v>
      </c>
      <c r="Q3003" t="n">
        <v>0.1</v>
      </c>
      <c r="R3003" t="n">
        <v>2</v>
      </c>
      <c r="S3003" t="n">
        <v>2085.6</v>
      </c>
      <c r="T3003" t="n">
        <v>4</v>
      </c>
      <c r="U3003" t="n">
        <v>5</v>
      </c>
      <c r="V3003" t="n">
        <v>30</v>
      </c>
      <c r="W3003" t="n">
        <v>1</v>
      </c>
      <c r="X3003" t="n">
        <v>151.5151515151515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649</v>
      </c>
      <c r="AG3003" t="n">
        <v>107</v>
      </c>
      <c r="AH3003" t="inlineStr">
        <is>
          <t xml:space="preserve">CV. DAHLIA - PPN (PDG) </t>
        </is>
      </c>
      <c r="AI3003" t="n">
        <v>25</v>
      </c>
      <c r="AJ3003" t="inlineStr">
        <is>
          <t>NPURE</t>
        </is>
      </c>
      <c r="AK3003" t="n">
        <v>9</v>
      </c>
      <c r="AL3003" t="inlineStr">
        <is>
          <t>Miss Glam Jambi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NPURE</t>
        </is>
      </c>
      <c r="B3004" s="2">
        <f>"8997240890374"</f>
        <v/>
      </c>
      <c r="C3004" t="inlineStr">
        <is>
          <t>NPURE Cica Biome Acne Serum Essence 20 ml</t>
        </is>
      </c>
      <c r="D3004" t="inlineStr">
        <is>
          <t>Miss Glam Jambi</t>
        </is>
      </c>
      <c r="E3004" t="n">
        <v>6</v>
      </c>
      <c r="F3004" t="n">
        <v>0.0165</v>
      </c>
      <c r="G3004" t="n">
        <v>0.33</v>
      </c>
      <c r="H3004" t="n">
        <v>6</v>
      </c>
      <c r="I3004" t="n">
        <v>12</v>
      </c>
      <c r="J3004" t="n">
        <v>3</v>
      </c>
      <c r="K3004" t="n">
        <v>0</v>
      </c>
      <c r="L3004" t="n">
        <v>75000</v>
      </c>
      <c r="M3004" t="n">
        <v>100000</v>
      </c>
      <c r="N3004" t="n">
        <v>33</v>
      </c>
      <c r="O3004" t="n">
        <v>0.33</v>
      </c>
      <c r="P3004" t="n">
        <v>1</v>
      </c>
      <c r="Q3004" t="n">
        <v>0.03</v>
      </c>
      <c r="R3004" t="n">
        <v>1</v>
      </c>
      <c r="S3004" t="n">
        <v>1650</v>
      </c>
      <c r="T3004" t="n">
        <v>4</v>
      </c>
      <c r="U3004" t="n">
        <v>5</v>
      </c>
      <c r="V3004" t="n">
        <v>30</v>
      </c>
      <c r="W3004" t="n">
        <v>1</v>
      </c>
      <c r="X3004" t="n">
        <v>363.6363636363636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649</v>
      </c>
      <c r="AG3004" t="n">
        <v>107</v>
      </c>
      <c r="AH3004" t="inlineStr">
        <is>
          <t xml:space="preserve">CV. DAHLIA - PPN (PDG) </t>
        </is>
      </c>
      <c r="AI3004" t="n">
        <v>25</v>
      </c>
      <c r="AJ3004" t="inlineStr">
        <is>
          <t>NPURE</t>
        </is>
      </c>
      <c r="AK3004" t="n">
        <v>9</v>
      </c>
      <c r="AL3004" t="inlineStr">
        <is>
          <t>Miss Glam Jambi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NPURE</t>
        </is>
      </c>
      <c r="B3005" s="2">
        <f>"8997219892989"</f>
        <v/>
      </c>
      <c r="C3005" t="inlineStr">
        <is>
          <t>NPURE Cica Clear Pad 100gr (40 pads)</t>
        </is>
      </c>
      <c r="D3005" t="inlineStr">
        <is>
          <t>Miss Glam Jambi</t>
        </is>
      </c>
      <c r="E3005" t="n">
        <v>4</v>
      </c>
      <c r="F3005" t="n">
        <v>0.1023</v>
      </c>
      <c r="G3005" t="n">
        <v>0.66</v>
      </c>
      <c r="H3005" t="n">
        <v>6</v>
      </c>
      <c r="I3005" t="n">
        <v>12</v>
      </c>
      <c r="J3005" t="n">
        <v>3</v>
      </c>
      <c r="K3005" t="n">
        <v>0</v>
      </c>
      <c r="L3005" t="n">
        <v>74250</v>
      </c>
      <c r="M3005" t="n">
        <v>99000</v>
      </c>
      <c r="N3005" t="n">
        <v>33</v>
      </c>
      <c r="O3005" t="n">
        <v>0.33</v>
      </c>
      <c r="P3005" t="n">
        <v>1</v>
      </c>
      <c r="Q3005" t="n">
        <v>0.15</v>
      </c>
      <c r="R3005" t="n">
        <v>2</v>
      </c>
      <c r="S3005" t="n">
        <v>10127.7</v>
      </c>
      <c r="T3005" t="n">
        <v>8</v>
      </c>
      <c r="U3005" t="n">
        <v>9</v>
      </c>
      <c r="V3005" t="n">
        <v>30</v>
      </c>
      <c r="W3005" t="n">
        <v>4</v>
      </c>
      <c r="X3005" t="n">
        <v>39.10068426197459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649</v>
      </c>
      <c r="AG3005" t="n">
        <v>107</v>
      </c>
      <c r="AH3005" t="inlineStr">
        <is>
          <t xml:space="preserve">CV. DAHLIA - PPN (PDG) </t>
        </is>
      </c>
      <c r="AI3005" t="n">
        <v>25</v>
      </c>
      <c r="AJ3005" t="inlineStr">
        <is>
          <t>NPURE</t>
        </is>
      </c>
      <c r="AK3005" t="n">
        <v>9</v>
      </c>
      <c r="AL3005" t="inlineStr">
        <is>
          <t>Miss Glam Jambi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NPURE</t>
        </is>
      </c>
      <c r="B3006" s="2">
        <f>"8997240890046"</f>
        <v/>
      </c>
      <c r="C3006" t="inlineStr">
        <is>
          <t>NPURE Cica Dark Spot 5ml</t>
        </is>
      </c>
      <c r="D3006" t="inlineStr">
        <is>
          <t>Miss Glam Jambi</t>
        </is>
      </c>
      <c r="E3006" t="n">
        <v>4</v>
      </c>
      <c r="F3006" t="n">
        <v>0.09569999999999999</v>
      </c>
      <c r="G3006" t="n">
        <v>0.99</v>
      </c>
      <c r="H3006" t="n">
        <v>6</v>
      </c>
      <c r="I3006" t="n">
        <v>12</v>
      </c>
      <c r="J3006" t="n">
        <v>3</v>
      </c>
      <c r="K3006" t="n">
        <v>0</v>
      </c>
      <c r="L3006" t="n">
        <v>59250</v>
      </c>
      <c r="M3006" t="n">
        <v>79000</v>
      </c>
      <c r="N3006" t="n">
        <v>33</v>
      </c>
      <c r="O3006" t="n">
        <v>0.33</v>
      </c>
      <c r="P3006" t="n">
        <v>1</v>
      </c>
      <c r="Q3006" t="n">
        <v>0.07000000000000001</v>
      </c>
      <c r="R3006" t="n">
        <v>3</v>
      </c>
      <c r="S3006" t="n">
        <v>7560.299999999999</v>
      </c>
      <c r="T3006" t="n">
        <v>12</v>
      </c>
      <c r="U3006" t="n">
        <v>13</v>
      </c>
      <c r="V3006" t="n">
        <v>30</v>
      </c>
      <c r="W3006" t="n">
        <v>3</v>
      </c>
      <c r="X3006" t="n">
        <v>41.79728317659352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649</v>
      </c>
      <c r="AG3006" t="n">
        <v>107</v>
      </c>
      <c r="AH3006" t="inlineStr">
        <is>
          <t xml:space="preserve">CV. DAHLIA - PPN (PDG) </t>
        </is>
      </c>
      <c r="AI3006" t="n">
        <v>25</v>
      </c>
      <c r="AJ3006" t="inlineStr">
        <is>
          <t>NPURE</t>
        </is>
      </c>
      <c r="AK3006" t="n">
        <v>9</v>
      </c>
      <c r="AL3006" t="inlineStr">
        <is>
          <t>Miss Glam Jambi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NPURE</t>
        </is>
      </c>
      <c r="B3007" s="2">
        <f>"8997240890886"</f>
        <v/>
      </c>
      <c r="C3007" t="inlineStr">
        <is>
          <t>NPURE Cica Face Sheet Mask 20gr New</t>
        </is>
      </c>
      <c r="D3007" t="inlineStr">
        <is>
          <t>Miss Glam Jambi</t>
        </is>
      </c>
      <c r="E3007" t="n">
        <v>42</v>
      </c>
      <c r="F3007" t="n">
        <v>1.4982</v>
      </c>
      <c r="G3007" t="n">
        <v>2.97</v>
      </c>
      <c r="H3007" t="n">
        <v>6</v>
      </c>
      <c r="I3007" t="n">
        <v>12</v>
      </c>
      <c r="J3007" t="n">
        <v>24</v>
      </c>
      <c r="K3007" t="n">
        <v>0</v>
      </c>
      <c r="L3007" t="n">
        <v>12675</v>
      </c>
      <c r="M3007" t="n">
        <v>16900</v>
      </c>
      <c r="N3007" t="n">
        <v>33</v>
      </c>
      <c r="O3007" t="n">
        <v>0.33</v>
      </c>
      <c r="P3007" t="n">
        <v>1</v>
      </c>
      <c r="Q3007" t="n">
        <v>1.75</v>
      </c>
      <c r="R3007" t="n">
        <v>5</v>
      </c>
      <c r="S3007" t="n">
        <v>25319.58</v>
      </c>
      <c r="T3007" t="n">
        <v>27</v>
      </c>
      <c r="U3007" t="n">
        <v>36</v>
      </c>
      <c r="V3007" t="n">
        <v>30</v>
      </c>
      <c r="W3007" t="n">
        <v>45</v>
      </c>
      <c r="X3007" t="n">
        <v>28.03364036844213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649</v>
      </c>
      <c r="AG3007" t="n">
        <v>107</v>
      </c>
      <c r="AH3007" t="inlineStr">
        <is>
          <t xml:space="preserve">CV. DAHLIA - PPN (PDG) </t>
        </is>
      </c>
      <c r="AI3007" t="n">
        <v>25</v>
      </c>
      <c r="AJ3007" t="inlineStr">
        <is>
          <t>NPURE</t>
        </is>
      </c>
      <c r="AK3007" t="n">
        <v>9</v>
      </c>
      <c r="AL3007" t="inlineStr">
        <is>
          <t>Miss Glam Jambi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NPURE</t>
        </is>
      </c>
      <c r="B3008" s="2">
        <f>"8997240891364"</f>
        <v/>
      </c>
      <c r="C3008" t="inlineStr">
        <is>
          <t>NPURE Cica Powder Almond 10gr</t>
        </is>
      </c>
      <c r="D3008" t="inlineStr">
        <is>
          <t>Miss Glam Jambi</t>
        </is>
      </c>
      <c r="E3008" t="n">
        <v>1</v>
      </c>
      <c r="F3008" t="n">
        <v>0.0165</v>
      </c>
      <c r="G3008" t="n">
        <v>0.33</v>
      </c>
      <c r="H3008" t="n">
        <v>6</v>
      </c>
      <c r="I3008" t="n">
        <v>12</v>
      </c>
      <c r="J3008" t="n">
        <v>3</v>
      </c>
      <c r="K3008" t="n">
        <v>0</v>
      </c>
      <c r="L3008" t="n">
        <v>74250</v>
      </c>
      <c r="M3008" t="n">
        <v>99000</v>
      </c>
      <c r="N3008" t="n">
        <v>33</v>
      </c>
      <c r="O3008" t="n">
        <v>0.33</v>
      </c>
      <c r="P3008" t="n">
        <v>1</v>
      </c>
      <c r="Q3008" t="n">
        <v>0.02</v>
      </c>
      <c r="R3008" t="n">
        <v>1</v>
      </c>
      <c r="S3008" t="n">
        <v>1633.5</v>
      </c>
      <c r="T3008" t="n">
        <v>4</v>
      </c>
      <c r="U3008" t="n">
        <v>5</v>
      </c>
      <c r="V3008" t="n">
        <v>30</v>
      </c>
      <c r="W3008" t="n">
        <v>1</v>
      </c>
      <c r="X3008" t="n">
        <v>60.6060606060606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649</v>
      </c>
      <c r="AG3008" t="n">
        <v>107</v>
      </c>
      <c r="AH3008" t="inlineStr">
        <is>
          <t xml:space="preserve">CV. DAHLIA - PPN (PDG) </t>
        </is>
      </c>
      <c r="AI3008" t="n">
        <v>25</v>
      </c>
      <c r="AJ3008" t="inlineStr">
        <is>
          <t>NPURE</t>
        </is>
      </c>
      <c r="AK3008" t="n">
        <v>9</v>
      </c>
      <c r="AL3008" t="inlineStr">
        <is>
          <t>Miss Glam Jambi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NPURE</t>
        </is>
      </c>
      <c r="B3009" s="2">
        <f>"8997240891340"</f>
        <v/>
      </c>
      <c r="C3009" t="inlineStr">
        <is>
          <t>NPURE Cica Powder Apricot 10gr</t>
        </is>
      </c>
      <c r="D3009" t="inlineStr">
        <is>
          <t>Miss Glam Jambi</t>
        </is>
      </c>
      <c r="E3009" t="n">
        <v>5</v>
      </c>
      <c r="F3009" t="n">
        <v>0.033</v>
      </c>
      <c r="G3009" t="n">
        <v>0.33</v>
      </c>
      <c r="H3009" t="n">
        <v>6</v>
      </c>
      <c r="I3009" t="n">
        <v>12</v>
      </c>
      <c r="J3009" t="n">
        <v>3</v>
      </c>
      <c r="K3009" t="n">
        <v>0</v>
      </c>
      <c r="L3009" t="n">
        <v>74250</v>
      </c>
      <c r="M3009" t="n">
        <v>99000</v>
      </c>
      <c r="N3009" t="n">
        <v>33</v>
      </c>
      <c r="O3009" t="n">
        <v>0.33</v>
      </c>
      <c r="P3009" t="n">
        <v>1</v>
      </c>
      <c r="Q3009" t="n">
        <v>0.03</v>
      </c>
      <c r="R3009" t="n">
        <v>1</v>
      </c>
      <c r="S3009" t="n">
        <v>3267</v>
      </c>
      <c r="T3009" t="n">
        <v>4</v>
      </c>
      <c r="U3009" t="n">
        <v>5</v>
      </c>
      <c r="V3009" t="n">
        <v>30</v>
      </c>
      <c r="W3009" t="n">
        <v>1</v>
      </c>
      <c r="X3009" t="n">
        <v>151.5151515151515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649</v>
      </c>
      <c r="AG3009" t="n">
        <v>107</v>
      </c>
      <c r="AH3009" t="inlineStr">
        <is>
          <t xml:space="preserve">CV. DAHLIA - PPN (PDG) </t>
        </is>
      </c>
      <c r="AI3009" t="n">
        <v>25</v>
      </c>
      <c r="AJ3009" t="inlineStr">
        <is>
          <t>NPURE</t>
        </is>
      </c>
      <c r="AK3009" t="n">
        <v>9</v>
      </c>
      <c r="AL3009" t="inlineStr">
        <is>
          <t>Miss Glam Jambi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NPURE</t>
        </is>
      </c>
      <c r="B3010" s="2">
        <f>"8997240891357"</f>
        <v/>
      </c>
      <c r="C3010" t="inlineStr">
        <is>
          <t>NPURE Cica Powder Banana 10gr</t>
        </is>
      </c>
      <c r="D3010" t="inlineStr">
        <is>
          <t>Miss Glam Jambi</t>
        </is>
      </c>
      <c r="E3010" t="n">
        <v>3</v>
      </c>
      <c r="F3010" t="n">
        <v>0.0231</v>
      </c>
      <c r="G3010" t="n">
        <v>0.33</v>
      </c>
      <c r="H3010" t="n">
        <v>6</v>
      </c>
      <c r="I3010" t="n">
        <v>12</v>
      </c>
      <c r="J3010" t="n">
        <v>3</v>
      </c>
      <c r="K3010" t="n">
        <v>0</v>
      </c>
      <c r="L3010" t="n">
        <v>74250</v>
      </c>
      <c r="M3010" t="n">
        <v>99000</v>
      </c>
      <c r="N3010" t="n">
        <v>33</v>
      </c>
      <c r="O3010" t="n">
        <v>0.33</v>
      </c>
      <c r="P3010" t="n">
        <v>1</v>
      </c>
      <c r="Q3010" t="n">
        <v>0.02</v>
      </c>
      <c r="R3010" t="n">
        <v>1</v>
      </c>
      <c r="S3010" t="n">
        <v>2286.9</v>
      </c>
      <c r="T3010" t="n">
        <v>4</v>
      </c>
      <c r="U3010" t="n">
        <v>5</v>
      </c>
      <c r="V3010" t="n">
        <v>30</v>
      </c>
      <c r="W3010" t="n">
        <v>1</v>
      </c>
      <c r="X3010" t="n">
        <v>129.8701298701299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649</v>
      </c>
      <c r="AG3010" t="n">
        <v>107</v>
      </c>
      <c r="AH3010" t="inlineStr">
        <is>
          <t xml:space="preserve">CV. DAHLIA - PPN (PDG) </t>
        </is>
      </c>
      <c r="AI3010" t="n">
        <v>25</v>
      </c>
      <c r="AJ3010" t="inlineStr">
        <is>
          <t>NPURE</t>
        </is>
      </c>
      <c r="AK3010" t="n">
        <v>9</v>
      </c>
      <c r="AL3010" t="inlineStr">
        <is>
          <t>Miss Glam Jambi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NPURE</t>
        </is>
      </c>
      <c r="B3011" s="2">
        <f>"8997240891371"</f>
        <v/>
      </c>
      <c r="C3011" t="inlineStr">
        <is>
          <t>NPURE Cica Powder Cocoa 10gr</t>
        </is>
      </c>
      <c r="D3011" t="inlineStr">
        <is>
          <t>Miss Glam Jambi</t>
        </is>
      </c>
      <c r="E3011" t="n">
        <v>5</v>
      </c>
      <c r="F3011" t="n">
        <v>0.006600000000000001</v>
      </c>
      <c r="G3011" t="n">
        <v>0.33</v>
      </c>
      <c r="H3011" t="n">
        <v>6</v>
      </c>
      <c r="I3011" t="n">
        <v>12</v>
      </c>
      <c r="J3011" t="n">
        <v>3</v>
      </c>
      <c r="K3011" t="n">
        <v>0</v>
      </c>
      <c r="L3011" t="n">
        <v>74250</v>
      </c>
      <c r="M3011" t="n">
        <v>99000</v>
      </c>
      <c r="N3011" t="n">
        <v>33</v>
      </c>
      <c r="O3011" t="n">
        <v>0.33</v>
      </c>
      <c r="P3011" t="n">
        <v>1</v>
      </c>
      <c r="Q3011" t="n">
        <v>0.02</v>
      </c>
      <c r="R3011" t="n">
        <v>1</v>
      </c>
      <c r="S3011" t="n">
        <v>653.4000000000001</v>
      </c>
      <c r="T3011" t="n">
        <v>4</v>
      </c>
      <c r="U3011" t="n">
        <v>5</v>
      </c>
      <c r="V3011" t="n">
        <v>30</v>
      </c>
      <c r="W3011" t="n">
        <v>1</v>
      </c>
      <c r="X3011" t="n">
        <v>757.5757575757575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649</v>
      </c>
      <c r="AG3011" t="n">
        <v>107</v>
      </c>
      <c r="AH3011" t="inlineStr">
        <is>
          <t xml:space="preserve">CV. DAHLIA - PPN (PDG) </t>
        </is>
      </c>
      <c r="AI3011" t="n">
        <v>25</v>
      </c>
      <c r="AJ3011" t="inlineStr">
        <is>
          <t>NPURE</t>
        </is>
      </c>
      <c r="AK3011" t="n">
        <v>9</v>
      </c>
      <c r="AL3011" t="inlineStr">
        <is>
          <t>Miss Glam Jambi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NPURE</t>
        </is>
      </c>
      <c r="B3012" s="2">
        <f>"10200416444"</f>
        <v/>
      </c>
      <c r="C3012" t="inlineStr">
        <is>
          <t>NPURE Exfoliating Bundling (Cica Pad + Licorice Pad)</t>
        </is>
      </c>
      <c r="D3012" t="inlineStr">
        <is>
          <t>Miss Glam Jambi</t>
        </is>
      </c>
      <c r="E3012" t="n">
        <v>3</v>
      </c>
      <c r="F3012" t="n">
        <v>0.2739</v>
      </c>
      <c r="G3012" t="n">
        <v>0.99</v>
      </c>
      <c r="H3012" t="n">
        <v>6</v>
      </c>
      <c r="I3012" t="n">
        <v>12</v>
      </c>
      <c r="J3012" t="n">
        <v>3</v>
      </c>
      <c r="K3012" t="n">
        <v>5</v>
      </c>
      <c r="L3012" t="n">
        <v>96750</v>
      </c>
      <c r="M3012" t="n">
        <v>129000</v>
      </c>
      <c r="N3012" t="n">
        <v>33</v>
      </c>
      <c r="O3012" t="n">
        <v>0.33</v>
      </c>
      <c r="P3012" t="n">
        <v>1</v>
      </c>
      <c r="Q3012" t="n">
        <v>0.03</v>
      </c>
      <c r="R3012" t="n">
        <v>1</v>
      </c>
      <c r="S3012" t="n">
        <v>35333.1</v>
      </c>
      <c r="T3012" t="n">
        <v>11</v>
      </c>
      <c r="U3012" t="n">
        <v>13</v>
      </c>
      <c r="V3012" t="n">
        <v>30</v>
      </c>
      <c r="W3012" t="n">
        <v>9</v>
      </c>
      <c r="X3012" t="n">
        <v>10.95290251916758</v>
      </c>
      <c r="Y3012" t="n">
        <v>1</v>
      </c>
      <c r="Z3012" t="n">
        <v>1</v>
      </c>
      <c r="AA3012" t="n">
        <v>0</v>
      </c>
      <c r="AB3012" t="n">
        <v>1</v>
      </c>
      <c r="AC3012" t="n">
        <v>3</v>
      </c>
      <c r="AD3012" t="n">
        <v>0</v>
      </c>
      <c r="AE3012" t="n">
        <v>290250</v>
      </c>
      <c r="AF3012" t="n">
        <v>649</v>
      </c>
      <c r="AG3012" t="n">
        <v>107</v>
      </c>
      <c r="AH3012" t="inlineStr">
        <is>
          <t xml:space="preserve">CV. DAHLIA - PPN (PDG) </t>
        </is>
      </c>
      <c r="AI3012" t="n">
        <v>25</v>
      </c>
      <c r="AJ3012" t="inlineStr">
        <is>
          <t>NPURE</t>
        </is>
      </c>
      <c r="AK3012" t="n">
        <v>9</v>
      </c>
      <c r="AL3012" t="inlineStr">
        <is>
          <t>Miss Glam Jambi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NPURE</t>
        </is>
      </c>
      <c r="B3013" s="2">
        <f>"10100726242"</f>
        <v/>
      </c>
      <c r="C3013" t="inlineStr">
        <is>
          <t>NPURE Gentle &amp; Hydrate Power Clear Micellar Water 100ml</t>
        </is>
      </c>
      <c r="D3013" t="inlineStr">
        <is>
          <t>Miss Glam Jambi</t>
        </is>
      </c>
      <c r="E3013" t="n">
        <v>7</v>
      </c>
      <c r="F3013" t="n">
        <v>0.06270000000000001</v>
      </c>
      <c r="G3013" t="n">
        <v>0.66</v>
      </c>
      <c r="H3013" t="n">
        <v>6</v>
      </c>
      <c r="I3013" t="n">
        <v>12</v>
      </c>
      <c r="J3013" t="n">
        <v>1</v>
      </c>
      <c r="K3013" t="n">
        <v>0</v>
      </c>
      <c r="L3013" t="n">
        <v>22125</v>
      </c>
      <c r="M3013" t="n">
        <v>29500</v>
      </c>
      <c r="N3013" t="n">
        <v>33</v>
      </c>
      <c r="O3013" t="n">
        <v>0.33</v>
      </c>
      <c r="P3013" t="n">
        <v>1</v>
      </c>
      <c r="Q3013" t="n">
        <v>0.08</v>
      </c>
      <c r="R3013" t="n">
        <v>2</v>
      </c>
      <c r="S3013" t="n">
        <v>1849.65</v>
      </c>
      <c r="T3013" t="n">
        <v>8</v>
      </c>
      <c r="U3013" t="n">
        <v>9</v>
      </c>
      <c r="V3013" t="n">
        <v>30</v>
      </c>
      <c r="W3013" t="n">
        <v>2</v>
      </c>
      <c r="X3013" t="n">
        <v>111.6427432216906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649</v>
      </c>
      <c r="AG3013" t="n">
        <v>107</v>
      </c>
      <c r="AH3013" t="inlineStr">
        <is>
          <t xml:space="preserve">CV. DAHLIA - PPN (PDG) </t>
        </is>
      </c>
      <c r="AI3013" t="n">
        <v>25</v>
      </c>
      <c r="AJ3013" t="inlineStr">
        <is>
          <t>NPURE</t>
        </is>
      </c>
      <c r="AK3013" t="n">
        <v>9</v>
      </c>
      <c r="AL3013" t="inlineStr">
        <is>
          <t>Miss Glam Jambi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NPURE</t>
        </is>
      </c>
      <c r="B3014" s="2">
        <f>"10100726101"</f>
        <v/>
      </c>
      <c r="C3014" t="inlineStr">
        <is>
          <t>NPURE Gentle &amp; Hydrate Power Clear Micellar Water 300ml</t>
        </is>
      </c>
      <c r="D3014" t="inlineStr">
        <is>
          <t>Miss Glam Jambi</t>
        </is>
      </c>
      <c r="E3014" t="n">
        <v>8</v>
      </c>
      <c r="F3014" t="n">
        <v>0.1353</v>
      </c>
      <c r="G3014" t="n">
        <v>0.99</v>
      </c>
      <c r="H3014" t="n">
        <v>6</v>
      </c>
      <c r="I3014" t="n">
        <v>12</v>
      </c>
      <c r="J3014" t="n">
        <v>1</v>
      </c>
      <c r="K3014" t="n">
        <v>0</v>
      </c>
      <c r="L3014" t="n">
        <v>36750</v>
      </c>
      <c r="M3014" t="n">
        <v>49000</v>
      </c>
      <c r="N3014" t="n">
        <v>33</v>
      </c>
      <c r="O3014" t="n">
        <v>0.33</v>
      </c>
      <c r="P3014" t="n">
        <v>1</v>
      </c>
      <c r="Q3014" t="n">
        <v>0.07000000000000001</v>
      </c>
      <c r="R3014" t="n">
        <v>1</v>
      </c>
      <c r="S3014" t="n">
        <v>6629.7</v>
      </c>
      <c r="T3014" t="n">
        <v>12</v>
      </c>
      <c r="U3014" t="n">
        <v>13</v>
      </c>
      <c r="V3014" t="n">
        <v>30</v>
      </c>
      <c r="W3014" t="n">
        <v>5</v>
      </c>
      <c r="X3014" t="n">
        <v>59.12786400591278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649</v>
      </c>
      <c r="AG3014" t="n">
        <v>107</v>
      </c>
      <c r="AH3014" t="inlineStr">
        <is>
          <t xml:space="preserve">CV. DAHLIA - PPN (PDG) </t>
        </is>
      </c>
      <c r="AI3014" t="n">
        <v>25</v>
      </c>
      <c r="AJ3014" t="inlineStr">
        <is>
          <t>NPURE</t>
        </is>
      </c>
      <c r="AK3014" t="n">
        <v>9</v>
      </c>
      <c r="AL3014" t="inlineStr">
        <is>
          <t>Miss Glam Jambi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NPURE</t>
        </is>
      </c>
      <c r="B3015" s="2">
        <f>"8997240890954"</f>
        <v/>
      </c>
      <c r="C3015" t="inlineStr">
        <is>
          <t>NPURE Licorice Advanced Peeling Gel 50ml</t>
        </is>
      </c>
      <c r="D3015" t="inlineStr">
        <is>
          <t>Miss Glam Jambi</t>
        </is>
      </c>
      <c r="E3015" t="n">
        <v>10</v>
      </c>
      <c r="F3015" t="n">
        <v>0.0561</v>
      </c>
      <c r="G3015" t="n">
        <v>0.66</v>
      </c>
      <c r="H3015" t="n">
        <v>6</v>
      </c>
      <c r="I3015" t="n">
        <v>12</v>
      </c>
      <c r="J3015" t="n">
        <v>3</v>
      </c>
      <c r="K3015" t="n">
        <v>0</v>
      </c>
      <c r="L3015" t="n">
        <v>48750</v>
      </c>
      <c r="M3015" t="n">
        <v>65000</v>
      </c>
      <c r="N3015" t="n">
        <v>33</v>
      </c>
      <c r="O3015" t="n">
        <v>0.33</v>
      </c>
      <c r="P3015" t="n">
        <v>1</v>
      </c>
      <c r="Q3015" t="n">
        <v>0.05</v>
      </c>
      <c r="R3015" t="n">
        <v>1</v>
      </c>
      <c r="S3015" t="n">
        <v>3646.5</v>
      </c>
      <c r="T3015" t="n">
        <v>8</v>
      </c>
      <c r="U3015" t="n">
        <v>9</v>
      </c>
      <c r="V3015" t="n">
        <v>30</v>
      </c>
      <c r="W3015" t="n">
        <v>2</v>
      </c>
      <c r="X3015" t="n">
        <v>178.25311942959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649</v>
      </c>
      <c r="AG3015" t="n">
        <v>107</v>
      </c>
      <c r="AH3015" t="inlineStr">
        <is>
          <t xml:space="preserve">CV. DAHLIA - PPN (PDG) </t>
        </is>
      </c>
      <c r="AI3015" t="n">
        <v>25</v>
      </c>
      <c r="AJ3015" t="inlineStr">
        <is>
          <t>NPURE</t>
        </is>
      </c>
      <c r="AK3015" t="n">
        <v>9</v>
      </c>
      <c r="AL3015" t="inlineStr">
        <is>
          <t>Miss Glam Jambi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NPURE</t>
        </is>
      </c>
      <c r="B3016" s="2">
        <f>"8997240890534"</f>
        <v/>
      </c>
      <c r="C3016" t="inlineStr">
        <is>
          <t>NPURE Licorice Brightening Pad 100gr</t>
        </is>
      </c>
      <c r="D3016" t="inlineStr">
        <is>
          <t>Miss Glam Jambi</t>
        </is>
      </c>
      <c r="E3016" t="n">
        <v>3</v>
      </c>
      <c r="F3016" t="n">
        <v>0.0462</v>
      </c>
      <c r="G3016" t="n">
        <v>0.33</v>
      </c>
      <c r="H3016" t="n">
        <v>6</v>
      </c>
      <c r="I3016" t="n">
        <v>12</v>
      </c>
      <c r="J3016" t="n">
        <v>3</v>
      </c>
      <c r="K3016" t="n">
        <v>0</v>
      </c>
      <c r="L3016" t="n">
        <v>74250</v>
      </c>
      <c r="M3016" t="n">
        <v>99000</v>
      </c>
      <c r="N3016" t="n">
        <v>33</v>
      </c>
      <c r="O3016" t="n">
        <v>0.33</v>
      </c>
      <c r="P3016" t="n">
        <v>1</v>
      </c>
      <c r="Q3016" t="n">
        <v>0.17</v>
      </c>
      <c r="R3016" t="n">
        <v>2</v>
      </c>
      <c r="S3016" t="n">
        <v>4573.8</v>
      </c>
      <c r="T3016" t="n">
        <v>4</v>
      </c>
      <c r="U3016" t="n">
        <v>5</v>
      </c>
      <c r="V3016" t="n">
        <v>30</v>
      </c>
      <c r="W3016" t="n">
        <v>2</v>
      </c>
      <c r="X3016" t="n">
        <v>64.93506493506493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649</v>
      </c>
      <c r="AG3016" t="n">
        <v>107</v>
      </c>
      <c r="AH3016" t="inlineStr">
        <is>
          <t xml:space="preserve">CV. DAHLIA - PPN (PDG) </t>
        </is>
      </c>
      <c r="AI3016" t="n">
        <v>25</v>
      </c>
      <c r="AJ3016" t="inlineStr">
        <is>
          <t>NPURE</t>
        </is>
      </c>
      <c r="AK3016" t="n">
        <v>9</v>
      </c>
      <c r="AL3016" t="inlineStr">
        <is>
          <t>Miss Glam Jambi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NPURE</t>
        </is>
      </c>
      <c r="B3017" s="2">
        <f>"8997240890268"</f>
        <v/>
      </c>
      <c r="C3017" t="inlineStr">
        <is>
          <t>NPURE Licorice Bring The Light Cleanser 80gr</t>
        </is>
      </c>
      <c r="D3017" t="inlineStr">
        <is>
          <t>Miss Glam Jambi</t>
        </is>
      </c>
      <c r="E3017" t="n">
        <v>4</v>
      </c>
      <c r="F3017" t="n">
        <v>0.0396</v>
      </c>
      <c r="G3017" t="n">
        <v>0.33</v>
      </c>
      <c r="H3017" t="n">
        <v>6</v>
      </c>
      <c r="I3017" t="n">
        <v>12</v>
      </c>
      <c r="J3017" t="n">
        <v>3</v>
      </c>
      <c r="K3017" t="n">
        <v>0</v>
      </c>
      <c r="L3017" t="n">
        <v>51750</v>
      </c>
      <c r="M3017" t="n">
        <v>69000</v>
      </c>
      <c r="N3017" t="n">
        <v>33</v>
      </c>
      <c r="O3017" t="n">
        <v>0.33</v>
      </c>
      <c r="P3017" t="n">
        <v>1</v>
      </c>
      <c r="Q3017" t="n">
        <v>0.05</v>
      </c>
      <c r="R3017" t="n">
        <v>1</v>
      </c>
      <c r="S3017" t="n">
        <v>2732.4</v>
      </c>
      <c r="T3017" t="n">
        <v>4</v>
      </c>
      <c r="U3017" t="n">
        <v>5</v>
      </c>
      <c r="V3017" t="n">
        <v>30</v>
      </c>
      <c r="W3017" t="n">
        <v>2</v>
      </c>
      <c r="X3017" t="n">
        <v>101.010101010101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649</v>
      </c>
      <c r="AG3017" t="n">
        <v>107</v>
      </c>
      <c r="AH3017" t="inlineStr">
        <is>
          <t xml:space="preserve">CV. DAHLIA - PPN (PDG) </t>
        </is>
      </c>
      <c r="AI3017" t="n">
        <v>25</v>
      </c>
      <c r="AJ3017" t="inlineStr">
        <is>
          <t>NPURE</t>
        </is>
      </c>
      <c r="AK3017" t="n">
        <v>9</v>
      </c>
      <c r="AL3017" t="inlineStr">
        <is>
          <t>Miss Glam Jambi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NPURE</t>
        </is>
      </c>
      <c r="B3018" s="2">
        <f>"8997240890466"</f>
        <v/>
      </c>
      <c r="C3018" t="inlineStr">
        <is>
          <t>NPURE Licorice Creamy Light Moisturizer 25gr</t>
        </is>
      </c>
      <c r="D3018" t="inlineStr">
        <is>
          <t>Miss Glam Jambi</t>
        </is>
      </c>
      <c r="E3018" t="n">
        <v>3</v>
      </c>
      <c r="F3018" t="n">
        <v>0.07920000000000001</v>
      </c>
      <c r="G3018" t="n">
        <v>0.99</v>
      </c>
      <c r="H3018" t="n">
        <v>6</v>
      </c>
      <c r="I3018" t="n">
        <v>12</v>
      </c>
      <c r="J3018" t="n">
        <v>3</v>
      </c>
      <c r="K3018" t="n">
        <v>0</v>
      </c>
      <c r="L3018" t="n">
        <v>75000</v>
      </c>
      <c r="M3018" t="n">
        <v>100000</v>
      </c>
      <c r="N3018" t="n">
        <v>33</v>
      </c>
      <c r="O3018" t="n">
        <v>0.33</v>
      </c>
      <c r="P3018" t="n">
        <v>1</v>
      </c>
      <c r="Q3018" t="n">
        <v>0.12</v>
      </c>
      <c r="R3018" t="n">
        <v>2</v>
      </c>
      <c r="S3018" t="n">
        <v>7920.000000000001</v>
      </c>
      <c r="T3018" t="n">
        <v>12</v>
      </c>
      <c r="U3018" t="n">
        <v>13</v>
      </c>
      <c r="V3018" t="n">
        <v>30</v>
      </c>
      <c r="W3018" t="n">
        <v>3</v>
      </c>
      <c r="X3018" t="n">
        <v>37.87878787878788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649</v>
      </c>
      <c r="AG3018" t="n">
        <v>107</v>
      </c>
      <c r="AH3018" t="inlineStr">
        <is>
          <t xml:space="preserve">CV. DAHLIA - PPN (PDG) </t>
        </is>
      </c>
      <c r="AI3018" t="n">
        <v>25</v>
      </c>
      <c r="AJ3018" t="inlineStr">
        <is>
          <t>NPURE</t>
        </is>
      </c>
      <c r="AK3018" t="n">
        <v>9</v>
      </c>
      <c r="AL3018" t="inlineStr">
        <is>
          <t>Miss Glam Jambi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NPURE</t>
        </is>
      </c>
      <c r="B3019" s="2">
        <f>"8997240891098"</f>
        <v/>
      </c>
      <c r="C3019" t="inlineStr">
        <is>
          <t>NPURE Licorice Light Up Brightening Pad 17.5gr</t>
        </is>
      </c>
      <c r="D3019" t="inlineStr">
        <is>
          <t>Miss Glam Jambi</t>
        </is>
      </c>
      <c r="E3019" t="n">
        <v>17</v>
      </c>
      <c r="F3019" t="n">
        <v>0.6864</v>
      </c>
      <c r="G3019" t="n">
        <v>2.97</v>
      </c>
      <c r="H3019" t="n">
        <v>6</v>
      </c>
      <c r="I3019" t="n">
        <v>12</v>
      </c>
      <c r="J3019" t="n">
        <v>3</v>
      </c>
      <c r="K3019" t="n">
        <v>4</v>
      </c>
      <c r="L3019" t="n">
        <v>15000</v>
      </c>
      <c r="M3019" t="n">
        <v>20000</v>
      </c>
      <c r="N3019" t="n">
        <v>33</v>
      </c>
      <c r="O3019" t="n">
        <v>0.33</v>
      </c>
      <c r="P3019" t="n">
        <v>1</v>
      </c>
      <c r="Q3019" t="n">
        <v>0.27</v>
      </c>
      <c r="R3019" t="n">
        <v>2</v>
      </c>
      <c r="S3019" t="n">
        <v>13728</v>
      </c>
      <c r="T3019" t="n">
        <v>32</v>
      </c>
      <c r="U3019" t="n">
        <v>37</v>
      </c>
      <c r="V3019" t="n">
        <v>30</v>
      </c>
      <c r="W3019" t="n">
        <v>21</v>
      </c>
      <c r="X3019" t="n">
        <v>24.76689976689977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649</v>
      </c>
      <c r="AG3019" t="n">
        <v>107</v>
      </c>
      <c r="AH3019" t="inlineStr">
        <is>
          <t xml:space="preserve">CV. DAHLIA - PPN (PDG) </t>
        </is>
      </c>
      <c r="AI3019" t="n">
        <v>25</v>
      </c>
      <c r="AJ3019" t="inlineStr">
        <is>
          <t>NPURE</t>
        </is>
      </c>
      <c r="AK3019" t="n">
        <v>9</v>
      </c>
      <c r="AL3019" t="inlineStr">
        <is>
          <t>Miss Glam Jambi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NPURE</t>
        </is>
      </c>
      <c r="B3020" s="2">
        <f>"8997240890961"</f>
        <v/>
      </c>
      <c r="C3020" t="inlineStr">
        <is>
          <t>NPURE Licorice Moonlight Axillary Treatment 15ml</t>
        </is>
      </c>
      <c r="D3020" t="inlineStr">
        <is>
          <t>Miss Glam Jambi</t>
        </is>
      </c>
      <c r="E3020" t="n">
        <v>5</v>
      </c>
      <c r="F3020" t="n">
        <v>0.02</v>
      </c>
      <c r="G3020" t="n">
        <v>1</v>
      </c>
      <c r="H3020" t="n">
        <v>6</v>
      </c>
      <c r="I3020" t="n">
        <v>12</v>
      </c>
      <c r="J3020" t="n">
        <v>3</v>
      </c>
      <c r="K3020" t="n">
        <v>0</v>
      </c>
      <c r="L3020" t="n">
        <v>44250</v>
      </c>
      <c r="M3020" t="n">
        <v>59000</v>
      </c>
      <c r="N3020" t="n">
        <v>33</v>
      </c>
      <c r="O3020" t="n">
        <v>0.33</v>
      </c>
      <c r="P3020" t="n">
        <v>0</v>
      </c>
      <c r="Q3020" t="n">
        <v>0.02</v>
      </c>
      <c r="R3020" t="n">
        <v>1</v>
      </c>
      <c r="S3020" t="n">
        <v>1180</v>
      </c>
      <c r="T3020" t="n">
        <v>12</v>
      </c>
      <c r="U3020" t="n">
        <v>13</v>
      </c>
      <c r="V3020" t="n">
        <v>30</v>
      </c>
      <c r="W3020" t="n">
        <v>1</v>
      </c>
      <c r="X3020" t="n">
        <v>250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649</v>
      </c>
      <c r="AG3020" t="n">
        <v>107</v>
      </c>
      <c r="AH3020" t="inlineStr">
        <is>
          <t xml:space="preserve">CV. DAHLIA - PPN (PDG) </t>
        </is>
      </c>
      <c r="AI3020" t="n">
        <v>25</v>
      </c>
      <c r="AJ3020" t="inlineStr">
        <is>
          <t>NPURE</t>
        </is>
      </c>
      <c r="AK3020" t="n">
        <v>9</v>
      </c>
      <c r="AL3020" t="inlineStr">
        <is>
          <t>Miss Glam Jambi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NPURE</t>
        </is>
      </c>
      <c r="B3021" s="2">
        <f>"8997240890657"</f>
        <v/>
      </c>
      <c r="C3021" t="inlineStr">
        <is>
          <t>NPURE Licorice Potion Of Light Serum 20ml</t>
        </is>
      </c>
      <c r="D3021" t="inlineStr">
        <is>
          <t>Miss Glam Jambi</t>
        </is>
      </c>
      <c r="E3021" t="n">
        <v>12</v>
      </c>
      <c r="F3021" t="n">
        <v>0.0561</v>
      </c>
      <c r="G3021" t="n">
        <v>0.33</v>
      </c>
      <c r="H3021" t="n">
        <v>6</v>
      </c>
      <c r="I3021" t="n">
        <v>12</v>
      </c>
      <c r="J3021" t="n">
        <v>3</v>
      </c>
      <c r="K3021" t="n">
        <v>0</v>
      </c>
      <c r="L3021" t="n">
        <v>75000</v>
      </c>
      <c r="M3021" t="n">
        <v>100000</v>
      </c>
      <c r="N3021" t="n">
        <v>33</v>
      </c>
      <c r="O3021" t="n">
        <v>0.33</v>
      </c>
      <c r="P3021" t="n">
        <v>1</v>
      </c>
      <c r="Q3021" t="n">
        <v>0.05</v>
      </c>
      <c r="R3021" t="n">
        <v>1</v>
      </c>
      <c r="S3021" t="n">
        <v>5610</v>
      </c>
      <c r="T3021" t="n">
        <v>4</v>
      </c>
      <c r="U3021" t="n">
        <v>5</v>
      </c>
      <c r="V3021" t="n">
        <v>30</v>
      </c>
      <c r="W3021" t="n">
        <v>2</v>
      </c>
      <c r="X3021" t="n">
        <v>213.903743315508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649</v>
      </c>
      <c r="AG3021" t="n">
        <v>107</v>
      </c>
      <c r="AH3021" t="inlineStr">
        <is>
          <t xml:space="preserve">CV. DAHLIA - PPN (PDG) </t>
        </is>
      </c>
      <c r="AI3021" t="n">
        <v>25</v>
      </c>
      <c r="AJ3021" t="inlineStr">
        <is>
          <t>NPURE</t>
        </is>
      </c>
      <c r="AK3021" t="n">
        <v>9</v>
      </c>
      <c r="AL3021" t="inlineStr">
        <is>
          <t>Miss Glam Jambi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NPURE</t>
        </is>
      </c>
      <c r="B3022" s="2">
        <f>"8997240890725"</f>
        <v/>
      </c>
      <c r="C3022" t="inlineStr">
        <is>
          <t>NPURE Licorice Ultra Light Complete Face Essence Sheet Mask 30gr</t>
        </is>
      </c>
      <c r="D3022" t="inlineStr">
        <is>
          <t>Miss Glam Jambi</t>
        </is>
      </c>
      <c r="E3022" t="n">
        <v>10</v>
      </c>
      <c r="F3022" t="n">
        <v>1.4322</v>
      </c>
      <c r="G3022" t="n">
        <v>4.95</v>
      </c>
      <c r="H3022" t="n">
        <v>6</v>
      </c>
      <c r="I3022" t="n">
        <v>12</v>
      </c>
      <c r="J3022" t="n">
        <v>3</v>
      </c>
      <c r="K3022" t="n">
        <v>25</v>
      </c>
      <c r="L3022" t="n">
        <v>12675</v>
      </c>
      <c r="M3022" t="n">
        <v>16900</v>
      </c>
      <c r="N3022" t="n">
        <v>33</v>
      </c>
      <c r="O3022" t="n">
        <v>0.33</v>
      </c>
      <c r="P3022" t="n">
        <v>1</v>
      </c>
      <c r="Q3022" t="n">
        <v>0.46</v>
      </c>
      <c r="R3022" t="n">
        <v>4</v>
      </c>
      <c r="S3022" t="n">
        <v>24204.18</v>
      </c>
      <c r="T3022" t="n">
        <v>51</v>
      </c>
      <c r="U3022" t="n">
        <v>60</v>
      </c>
      <c r="V3022" t="n">
        <v>30</v>
      </c>
      <c r="W3022" t="n">
        <v>43</v>
      </c>
      <c r="X3022" t="n">
        <v>6.982265046781176</v>
      </c>
      <c r="Y3022" t="n">
        <v>1</v>
      </c>
      <c r="Z3022" t="n">
        <v>8</v>
      </c>
      <c r="AA3022" t="n">
        <v>7</v>
      </c>
      <c r="AB3022" t="n">
        <v>1</v>
      </c>
      <c r="AC3022" t="n">
        <v>3</v>
      </c>
      <c r="AD3022" t="n">
        <v>88725</v>
      </c>
      <c r="AE3022" t="n">
        <v>38025</v>
      </c>
      <c r="AF3022" t="n">
        <v>649</v>
      </c>
      <c r="AG3022" t="n">
        <v>107</v>
      </c>
      <c r="AH3022" t="inlineStr">
        <is>
          <t xml:space="preserve">CV. DAHLIA - PPN (PDG) </t>
        </is>
      </c>
      <c r="AI3022" t="n">
        <v>25</v>
      </c>
      <c r="AJ3022" t="inlineStr">
        <is>
          <t>NPURE</t>
        </is>
      </c>
      <c r="AK3022" t="n">
        <v>9</v>
      </c>
      <c r="AL3022" t="inlineStr">
        <is>
          <t>Miss Glam Jambi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NPURE</t>
        </is>
      </c>
      <c r="B3023" s="2">
        <f>"8997240891319"</f>
        <v/>
      </c>
      <c r="C3023" t="inlineStr">
        <is>
          <t>NPURE Marigold Anti-Aging Youth Defense Face Serum 20ml</t>
        </is>
      </c>
      <c r="D3023" t="inlineStr">
        <is>
          <t>Miss Glam Jambi</t>
        </is>
      </c>
      <c r="E3023" t="n">
        <v>4</v>
      </c>
      <c r="F3023" t="n">
        <v>0.0231</v>
      </c>
      <c r="G3023" t="n">
        <v>0.33</v>
      </c>
      <c r="H3023" t="n">
        <v>6</v>
      </c>
      <c r="I3023" t="n">
        <v>12</v>
      </c>
      <c r="J3023" t="n">
        <v>3</v>
      </c>
      <c r="K3023" t="n">
        <v>0</v>
      </c>
      <c r="L3023" t="n">
        <v>75000</v>
      </c>
      <c r="M3023" t="n">
        <v>100000</v>
      </c>
      <c r="N3023" t="n">
        <v>33</v>
      </c>
      <c r="O3023" t="n">
        <v>0.33</v>
      </c>
      <c r="P3023" t="n">
        <v>1</v>
      </c>
      <c r="Q3023" t="n">
        <v>0.03</v>
      </c>
      <c r="R3023" t="n">
        <v>1</v>
      </c>
      <c r="S3023" t="n">
        <v>2310</v>
      </c>
      <c r="T3023" t="n">
        <v>4</v>
      </c>
      <c r="U3023" t="n">
        <v>5</v>
      </c>
      <c r="V3023" t="n">
        <v>30</v>
      </c>
      <c r="W3023" t="n">
        <v>1</v>
      </c>
      <c r="X3023" t="n">
        <v>173.1601731601731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649</v>
      </c>
      <c r="AG3023" t="n">
        <v>107</v>
      </c>
      <c r="AH3023" t="inlineStr">
        <is>
          <t xml:space="preserve">CV. DAHLIA - PPN (PDG) </t>
        </is>
      </c>
      <c r="AI3023" t="n">
        <v>25</v>
      </c>
      <c r="AJ3023" t="inlineStr">
        <is>
          <t>NPURE</t>
        </is>
      </c>
      <c r="AK3023" t="n">
        <v>9</v>
      </c>
      <c r="AL3023" t="inlineStr">
        <is>
          <t>Miss Glam Jambi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NPURE</t>
        </is>
      </c>
      <c r="B3024" s="2">
        <f>"8997240891326"</f>
        <v/>
      </c>
      <c r="C3024" t="inlineStr">
        <is>
          <t>NPURE Marigold Anti-Aging Youth Defense Hydrating Toner 150ml</t>
        </is>
      </c>
      <c r="D3024" t="inlineStr">
        <is>
          <t>Miss Glam Jambi</t>
        </is>
      </c>
      <c r="E3024" t="n">
        <v>6</v>
      </c>
      <c r="F3024" t="n">
        <v>0.07000000000000001</v>
      </c>
      <c r="G3024" t="n">
        <v>2</v>
      </c>
      <c r="H3024" t="n">
        <v>6</v>
      </c>
      <c r="I3024" t="n">
        <v>12</v>
      </c>
      <c r="J3024" t="n">
        <v>3</v>
      </c>
      <c r="K3024" t="n">
        <v>0</v>
      </c>
      <c r="L3024" t="n">
        <v>75000</v>
      </c>
      <c r="M3024" t="n">
        <v>100000</v>
      </c>
      <c r="N3024" t="n">
        <v>33</v>
      </c>
      <c r="O3024" t="n">
        <v>0.33</v>
      </c>
      <c r="P3024" t="n">
        <v>0</v>
      </c>
      <c r="Q3024" t="n">
        <v>0.07000000000000001</v>
      </c>
      <c r="R3024" t="n">
        <v>2</v>
      </c>
      <c r="S3024" t="n">
        <v>7000.000000000001</v>
      </c>
      <c r="T3024" t="n">
        <v>24</v>
      </c>
      <c r="U3024" t="n">
        <v>25</v>
      </c>
      <c r="V3024" t="n">
        <v>30</v>
      </c>
      <c r="W3024" t="n">
        <v>3</v>
      </c>
      <c r="X3024" t="n">
        <v>85.71428571428571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649</v>
      </c>
      <c r="AG3024" t="n">
        <v>107</v>
      </c>
      <c r="AH3024" t="inlineStr">
        <is>
          <t xml:space="preserve">CV. DAHLIA - PPN (PDG) </t>
        </is>
      </c>
      <c r="AI3024" t="n">
        <v>25</v>
      </c>
      <c r="AJ3024" t="inlineStr">
        <is>
          <t>NPURE</t>
        </is>
      </c>
      <c r="AK3024" t="n">
        <v>9</v>
      </c>
      <c r="AL3024" t="inlineStr">
        <is>
          <t>Miss Glam Jambi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NPURE</t>
        </is>
      </c>
      <c r="B3025" s="2">
        <f>"8997240890138"</f>
        <v/>
      </c>
      <c r="C3025" t="inlineStr">
        <is>
          <t>NPURE Marigold Deep Cleanse Facial Wash 100ml</t>
        </is>
      </c>
      <c r="D3025" t="inlineStr">
        <is>
          <t>Miss Glam Jambi</t>
        </is>
      </c>
      <c r="E3025" t="n">
        <v>5</v>
      </c>
      <c r="F3025" t="n">
        <v>0.0462</v>
      </c>
      <c r="G3025" t="n">
        <v>0.66</v>
      </c>
      <c r="H3025" t="n">
        <v>6</v>
      </c>
      <c r="I3025" t="n">
        <v>12</v>
      </c>
      <c r="J3025" t="n">
        <v>3</v>
      </c>
      <c r="K3025" t="n">
        <v>0</v>
      </c>
      <c r="L3025" t="n">
        <v>60000</v>
      </c>
      <c r="M3025" t="n">
        <v>100000</v>
      </c>
      <c r="N3025" t="n">
        <v>33</v>
      </c>
      <c r="O3025" t="n">
        <v>0.33</v>
      </c>
      <c r="P3025" t="n">
        <v>1</v>
      </c>
      <c r="Q3025" t="n">
        <v>0.02</v>
      </c>
      <c r="R3025" t="n">
        <v>1</v>
      </c>
      <c r="S3025" t="n">
        <v>4620.000000000001</v>
      </c>
      <c r="T3025" t="n">
        <v>8</v>
      </c>
      <c r="U3025" t="n">
        <v>9</v>
      </c>
      <c r="V3025" t="n">
        <v>30</v>
      </c>
      <c r="W3025" t="n">
        <v>2</v>
      </c>
      <c r="X3025" t="n">
        <v>108.2251082251082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649</v>
      </c>
      <c r="AG3025" t="n">
        <v>107</v>
      </c>
      <c r="AH3025" t="inlineStr">
        <is>
          <t xml:space="preserve">CV. DAHLIA - PPN (PDG) </t>
        </is>
      </c>
      <c r="AI3025" t="n">
        <v>25</v>
      </c>
      <c r="AJ3025" t="inlineStr">
        <is>
          <t>NPURE</t>
        </is>
      </c>
      <c r="AK3025" t="n">
        <v>9</v>
      </c>
      <c r="AL3025" t="inlineStr">
        <is>
          <t>Miss Glam Jambi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NPURE</t>
        </is>
      </c>
      <c r="B3026" s="2">
        <f>"8997240890237"</f>
        <v/>
      </c>
      <c r="C3026" t="inlineStr">
        <is>
          <t>NPURE Marigold Eyemazing Power Serum Concentrate 20ml</t>
        </is>
      </c>
      <c r="D3026" t="inlineStr">
        <is>
          <t>Miss Glam Jambi</t>
        </is>
      </c>
      <c r="E3026" t="n">
        <v>4</v>
      </c>
      <c r="F3026" t="n">
        <v>0.0264</v>
      </c>
      <c r="G3026" t="n">
        <v>0.33</v>
      </c>
      <c r="H3026" t="n">
        <v>6</v>
      </c>
      <c r="I3026" t="n">
        <v>12</v>
      </c>
      <c r="J3026" t="n">
        <v>3</v>
      </c>
      <c r="K3026" t="n">
        <v>0</v>
      </c>
      <c r="L3026" t="n">
        <v>59250</v>
      </c>
      <c r="M3026" t="n">
        <v>79000</v>
      </c>
      <c r="N3026" t="n">
        <v>33</v>
      </c>
      <c r="O3026" t="n">
        <v>0.33</v>
      </c>
      <c r="P3026" t="n">
        <v>1</v>
      </c>
      <c r="Q3026" t="n">
        <v>0.03</v>
      </c>
      <c r="R3026" t="n">
        <v>1</v>
      </c>
      <c r="S3026" t="n">
        <v>2085.6</v>
      </c>
      <c r="T3026" t="n">
        <v>4</v>
      </c>
      <c r="U3026" t="n">
        <v>5</v>
      </c>
      <c r="V3026" t="n">
        <v>30</v>
      </c>
      <c r="W3026" t="n">
        <v>1</v>
      </c>
      <c r="X3026" t="n">
        <v>151.5151515151515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649</v>
      </c>
      <c r="AG3026" t="n">
        <v>107</v>
      </c>
      <c r="AH3026" t="inlineStr">
        <is>
          <t xml:space="preserve">CV. DAHLIA - PPN (PDG) </t>
        </is>
      </c>
      <c r="AI3026" t="n">
        <v>25</v>
      </c>
      <c r="AJ3026" t="inlineStr">
        <is>
          <t>NPURE</t>
        </is>
      </c>
      <c r="AK3026" t="n">
        <v>9</v>
      </c>
      <c r="AL3026" t="inlineStr">
        <is>
          <t>Miss Glam Jambi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NPURE</t>
        </is>
      </c>
      <c r="B3027" s="2">
        <f>"8997240890763"</f>
        <v/>
      </c>
      <c r="C3027" t="inlineStr">
        <is>
          <t>NPURE Marigold Face Essence Sheet Mask 20 gram</t>
        </is>
      </c>
      <c r="D3027" t="inlineStr">
        <is>
          <t>Miss Glam Jambi</t>
        </is>
      </c>
      <c r="E3027" t="n">
        <v>19</v>
      </c>
      <c r="F3027" t="n">
        <v>0.3366</v>
      </c>
      <c r="G3027" t="n">
        <v>1.65</v>
      </c>
      <c r="H3027" t="n">
        <v>6</v>
      </c>
      <c r="I3027" t="n">
        <v>12</v>
      </c>
      <c r="J3027" t="n">
        <v>3</v>
      </c>
      <c r="K3027" t="n">
        <v>0</v>
      </c>
      <c r="L3027" t="n">
        <v>12675</v>
      </c>
      <c r="M3027" t="n">
        <v>16900</v>
      </c>
      <c r="N3027" t="n">
        <v>33</v>
      </c>
      <c r="O3027" t="n">
        <v>0.33</v>
      </c>
      <c r="P3027" t="n">
        <v>1</v>
      </c>
      <c r="Q3027" t="n">
        <v>0.6899999999999999</v>
      </c>
      <c r="R3027" t="n">
        <v>5</v>
      </c>
      <c r="S3027" t="n">
        <v>5688.54</v>
      </c>
      <c r="T3027" t="n">
        <v>18</v>
      </c>
      <c r="U3027" t="n">
        <v>21</v>
      </c>
      <c r="V3027" t="n">
        <v>30</v>
      </c>
      <c r="W3027" t="n">
        <v>11</v>
      </c>
      <c r="X3027" t="n">
        <v>56.44682115270351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649</v>
      </c>
      <c r="AG3027" t="n">
        <v>107</v>
      </c>
      <c r="AH3027" t="inlineStr">
        <is>
          <t xml:space="preserve">CV. DAHLIA - PPN (PDG) </t>
        </is>
      </c>
      <c r="AI3027" t="n">
        <v>25</v>
      </c>
      <c r="AJ3027" t="inlineStr">
        <is>
          <t>NPURE</t>
        </is>
      </c>
      <c r="AK3027" t="n">
        <v>9</v>
      </c>
      <c r="AL3027" t="inlineStr">
        <is>
          <t>Miss Glam Jambi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NPURE</t>
        </is>
      </c>
      <c r="B3028" s="2">
        <f>"8997240890244"</f>
        <v/>
      </c>
      <c r="C3028" t="inlineStr">
        <is>
          <t>NPURE Noni Probiotic Sheet Mask 20gr</t>
        </is>
      </c>
      <c r="D3028" t="inlineStr">
        <is>
          <t>Miss Glam Jambi</t>
        </is>
      </c>
      <c r="E3028" t="n">
        <v>18</v>
      </c>
      <c r="F3028" t="n">
        <v>0.3564000000000001</v>
      </c>
      <c r="G3028" t="n">
        <v>2.31</v>
      </c>
      <c r="H3028" t="n">
        <v>6</v>
      </c>
      <c r="I3028" t="n">
        <v>12</v>
      </c>
      <c r="J3028" t="n">
        <v>3</v>
      </c>
      <c r="K3028" t="n">
        <v>0</v>
      </c>
      <c r="L3028" t="n">
        <v>12675</v>
      </c>
      <c r="M3028" t="n">
        <v>17000</v>
      </c>
      <c r="N3028" t="n">
        <v>33</v>
      </c>
      <c r="O3028" t="n">
        <v>0.33</v>
      </c>
      <c r="P3028" t="n">
        <v>1</v>
      </c>
      <c r="Q3028" t="n">
        <v>0.95</v>
      </c>
      <c r="R3028" t="n">
        <v>4</v>
      </c>
      <c r="S3028" t="n">
        <v>6058.800000000001</v>
      </c>
      <c r="T3028" t="n">
        <v>26</v>
      </c>
      <c r="U3028" t="n">
        <v>29</v>
      </c>
      <c r="V3028" t="n">
        <v>30</v>
      </c>
      <c r="W3028" t="n">
        <v>11</v>
      </c>
      <c r="X3028" t="n">
        <v>50.5050505050505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649</v>
      </c>
      <c r="AG3028" t="n">
        <v>107</v>
      </c>
      <c r="AH3028" t="inlineStr">
        <is>
          <t xml:space="preserve">CV. DAHLIA - PPN (PDG) </t>
        </is>
      </c>
      <c r="AI3028" t="n">
        <v>25</v>
      </c>
      <c r="AJ3028" t="inlineStr">
        <is>
          <t>NPURE</t>
        </is>
      </c>
      <c r="AK3028" t="n">
        <v>9</v>
      </c>
      <c r="AL3028" t="inlineStr">
        <is>
          <t>Miss Glam Jambi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NPURE</t>
        </is>
      </c>
      <c r="B3029" s="2">
        <f>"8997240890206"</f>
        <v/>
      </c>
      <c r="C3029" t="inlineStr">
        <is>
          <t>NPURE Noni Probiotics Cleanse Me Softly Gel Cleanser 50ml</t>
        </is>
      </c>
      <c r="D3029" t="inlineStr">
        <is>
          <t>Miss Glam Jambi</t>
        </is>
      </c>
      <c r="E3029" t="n">
        <v>4</v>
      </c>
      <c r="F3029" t="n">
        <v>0.4752</v>
      </c>
      <c r="G3029" t="n">
        <v>1.98</v>
      </c>
      <c r="H3029" t="n">
        <v>6</v>
      </c>
      <c r="I3029" t="n">
        <v>12</v>
      </c>
      <c r="J3029" t="n">
        <v>3</v>
      </c>
      <c r="K3029" t="n">
        <v>5</v>
      </c>
      <c r="L3029" t="n">
        <v>26250</v>
      </c>
      <c r="M3029" t="n">
        <v>35000</v>
      </c>
      <c r="N3029" t="n">
        <v>33</v>
      </c>
      <c r="O3029" t="n">
        <v>0.33</v>
      </c>
      <c r="P3029" t="n">
        <v>1</v>
      </c>
      <c r="Q3029" t="n">
        <v>0.2</v>
      </c>
      <c r="R3029" t="n">
        <v>2</v>
      </c>
      <c r="S3029" t="n">
        <v>16632</v>
      </c>
      <c r="T3029" t="n">
        <v>21</v>
      </c>
      <c r="U3029" t="n">
        <v>24</v>
      </c>
      <c r="V3029" t="n">
        <v>30</v>
      </c>
      <c r="W3029" t="n">
        <v>15</v>
      </c>
      <c r="X3029" t="n">
        <v>8.417508417508417</v>
      </c>
      <c r="Y3029" t="n">
        <v>1</v>
      </c>
      <c r="Z3029" t="n">
        <v>6</v>
      </c>
      <c r="AA3029" t="n">
        <v>1</v>
      </c>
      <c r="AB3029" t="n">
        <v>5</v>
      </c>
      <c r="AC3029" t="n">
        <v>5</v>
      </c>
      <c r="AD3029" t="n">
        <v>26250</v>
      </c>
      <c r="AE3029" t="n">
        <v>131250</v>
      </c>
      <c r="AF3029" t="n">
        <v>649</v>
      </c>
      <c r="AG3029" t="n">
        <v>107</v>
      </c>
      <c r="AH3029" t="inlineStr">
        <is>
          <t xml:space="preserve">CV. DAHLIA - PPN (PDG) </t>
        </is>
      </c>
      <c r="AI3029" t="n">
        <v>25</v>
      </c>
      <c r="AJ3029" t="inlineStr">
        <is>
          <t>NPURE</t>
        </is>
      </c>
      <c r="AK3029" t="n">
        <v>9</v>
      </c>
      <c r="AL3029" t="inlineStr">
        <is>
          <t>Miss Glam Jambi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NPURE</t>
        </is>
      </c>
      <c r="B3030" s="2">
        <f>"8997240890022"</f>
        <v/>
      </c>
      <c r="C3030" t="inlineStr">
        <is>
          <t>NPURE Noni Probiotics Cleanse Me Softly Gel Cleanser Sensitive Skin 100ml</t>
        </is>
      </c>
      <c r="D3030" t="inlineStr">
        <is>
          <t>Miss Glam Jambi</t>
        </is>
      </c>
      <c r="E3030" t="n">
        <v>7</v>
      </c>
      <c r="F3030" t="n">
        <v>0.3036</v>
      </c>
      <c r="G3030" t="n">
        <v>0.99</v>
      </c>
      <c r="H3030" t="n">
        <v>6</v>
      </c>
      <c r="I3030" t="n">
        <v>12</v>
      </c>
      <c r="J3030" t="n">
        <v>3</v>
      </c>
      <c r="K3030" t="n">
        <v>3</v>
      </c>
      <c r="L3030" t="n">
        <v>51750</v>
      </c>
      <c r="M3030" t="n">
        <v>69000</v>
      </c>
      <c r="N3030" t="n">
        <v>33</v>
      </c>
      <c r="O3030" t="n">
        <v>0.33</v>
      </c>
      <c r="P3030" t="n">
        <v>1</v>
      </c>
      <c r="Q3030" t="n">
        <v>0.29</v>
      </c>
      <c r="R3030" t="n">
        <v>2</v>
      </c>
      <c r="S3030" t="n">
        <v>20948.4</v>
      </c>
      <c r="T3030" t="n">
        <v>11</v>
      </c>
      <c r="U3030" t="n">
        <v>13</v>
      </c>
      <c r="V3030" t="n">
        <v>30</v>
      </c>
      <c r="W3030" t="n">
        <v>10</v>
      </c>
      <c r="X3030" t="n">
        <v>23.0566534914361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649</v>
      </c>
      <c r="AG3030" t="n">
        <v>107</v>
      </c>
      <c r="AH3030" t="inlineStr">
        <is>
          <t xml:space="preserve">CV. DAHLIA - PPN (PDG) </t>
        </is>
      </c>
      <c r="AI3030" t="n">
        <v>25</v>
      </c>
      <c r="AJ3030" t="inlineStr">
        <is>
          <t>NPURE</t>
        </is>
      </c>
      <c r="AK3030" t="n">
        <v>9</v>
      </c>
      <c r="AL3030" t="inlineStr">
        <is>
          <t>Miss Glam Jambi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NPURE</t>
        </is>
      </c>
      <c r="B3031" s="2">
        <f>"8997240890039"</f>
        <v/>
      </c>
      <c r="C3031" t="inlineStr">
        <is>
          <t>NPURE Noni Probiotics Comfort Me Moisturizer Sensitive Skin 30ml</t>
        </is>
      </c>
      <c r="D3031" t="inlineStr">
        <is>
          <t>Miss Glam Jambi</t>
        </is>
      </c>
      <c r="E3031" t="n">
        <v>5</v>
      </c>
      <c r="F3031" t="n">
        <v>0.0264</v>
      </c>
      <c r="G3031" t="n">
        <v>0.33</v>
      </c>
      <c r="H3031" t="n">
        <v>6</v>
      </c>
      <c r="I3031" t="n">
        <v>12</v>
      </c>
      <c r="J3031" t="n">
        <v>3</v>
      </c>
      <c r="K3031" t="n">
        <v>0</v>
      </c>
      <c r="L3031" t="n">
        <v>66750</v>
      </c>
      <c r="M3031" t="n">
        <v>89000</v>
      </c>
      <c r="N3031" t="n">
        <v>33</v>
      </c>
      <c r="O3031" t="n">
        <v>0.33</v>
      </c>
      <c r="P3031" t="n">
        <v>1</v>
      </c>
      <c r="Q3031" t="n">
        <v>0.1</v>
      </c>
      <c r="R3031" t="n">
        <v>2</v>
      </c>
      <c r="S3031" t="n">
        <v>2349.6</v>
      </c>
      <c r="T3031" t="n">
        <v>4</v>
      </c>
      <c r="U3031" t="n">
        <v>5</v>
      </c>
      <c r="V3031" t="n">
        <v>30</v>
      </c>
      <c r="W3031" t="n">
        <v>1</v>
      </c>
      <c r="X3031" t="n">
        <v>189.3939393939394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649</v>
      </c>
      <c r="AG3031" t="n">
        <v>107</v>
      </c>
      <c r="AH3031" t="inlineStr">
        <is>
          <t xml:space="preserve">CV. DAHLIA - PPN (PDG) </t>
        </is>
      </c>
      <c r="AI3031" t="n">
        <v>25</v>
      </c>
      <c r="AJ3031" t="inlineStr">
        <is>
          <t>NPURE</t>
        </is>
      </c>
      <c r="AK3031" t="n">
        <v>9</v>
      </c>
      <c r="AL3031" t="inlineStr">
        <is>
          <t>Miss Glam Jambi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NPURE</t>
        </is>
      </c>
      <c r="B3032" s="2">
        <f>"20100464928"</f>
        <v/>
      </c>
      <c r="C3032" t="inlineStr">
        <is>
          <t>NPURE Power Cushion Almond 13gr</t>
        </is>
      </c>
      <c r="D3032" t="inlineStr">
        <is>
          <t>Miss Glam Jambi</t>
        </is>
      </c>
      <c r="E3032" t="n">
        <v>3</v>
      </c>
      <c r="F3032" t="n">
        <v>0.02</v>
      </c>
      <c r="G3032" t="n">
        <v>1</v>
      </c>
      <c r="H3032" t="n">
        <v>6</v>
      </c>
      <c r="I3032" t="n">
        <v>12</v>
      </c>
      <c r="J3032" t="n">
        <v>3</v>
      </c>
      <c r="K3032" t="n">
        <v>0</v>
      </c>
      <c r="L3032" t="n">
        <v>111750</v>
      </c>
      <c r="M3032" t="n">
        <v>149000</v>
      </c>
      <c r="N3032" t="n">
        <v>33</v>
      </c>
      <c r="O3032" t="n">
        <v>0.33</v>
      </c>
      <c r="P3032" t="n">
        <v>0</v>
      </c>
      <c r="Q3032" t="n">
        <v>0.02</v>
      </c>
      <c r="R3032" t="n">
        <v>1</v>
      </c>
      <c r="S3032" t="n">
        <v>2980</v>
      </c>
      <c r="T3032" t="n">
        <v>12</v>
      </c>
      <c r="U3032" t="n">
        <v>13</v>
      </c>
      <c r="V3032" t="n">
        <v>30</v>
      </c>
      <c r="W3032" t="n">
        <v>1</v>
      </c>
      <c r="X3032" t="n">
        <v>150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649</v>
      </c>
      <c r="AG3032" t="n">
        <v>107</v>
      </c>
      <c r="AH3032" t="inlineStr">
        <is>
          <t xml:space="preserve">CV. DAHLIA - PPN (PDG) </t>
        </is>
      </c>
      <c r="AI3032" t="n">
        <v>25</v>
      </c>
      <c r="AJ3032" t="inlineStr">
        <is>
          <t>NPURE</t>
        </is>
      </c>
      <c r="AK3032" t="n">
        <v>9</v>
      </c>
      <c r="AL3032" t="inlineStr">
        <is>
          <t>Miss Glam Jambi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NPURE</t>
        </is>
      </c>
      <c r="B3033" s="2">
        <f>"20100465015"</f>
        <v/>
      </c>
      <c r="C3033" t="inlineStr">
        <is>
          <t>NPURE Power Cushion Apricot 13gr</t>
        </is>
      </c>
      <c r="D3033" t="inlineStr">
        <is>
          <t>Miss Glam Jambi</t>
        </is>
      </c>
      <c r="E3033" t="n">
        <v>2</v>
      </c>
      <c r="F3033" t="n">
        <v>0.009900000000000001</v>
      </c>
      <c r="G3033" t="n">
        <v>0.33</v>
      </c>
      <c r="H3033" t="n">
        <v>6</v>
      </c>
      <c r="I3033" t="n">
        <v>12</v>
      </c>
      <c r="J3033" t="n">
        <v>3</v>
      </c>
      <c r="K3033" t="n">
        <v>0</v>
      </c>
      <c r="L3033" t="n">
        <v>111750</v>
      </c>
      <c r="M3033" t="n">
        <v>149000</v>
      </c>
      <c r="N3033" t="n">
        <v>33</v>
      </c>
      <c r="O3033" t="n">
        <v>0.33</v>
      </c>
      <c r="P3033" t="n">
        <v>1</v>
      </c>
      <c r="Q3033" t="n">
        <v>0.03</v>
      </c>
      <c r="R3033" t="n">
        <v>1</v>
      </c>
      <c r="S3033" t="n">
        <v>1475.1</v>
      </c>
      <c r="T3033" t="n">
        <v>4</v>
      </c>
      <c r="U3033" t="n">
        <v>5</v>
      </c>
      <c r="V3033" t="n">
        <v>30</v>
      </c>
      <c r="W3033" t="n">
        <v>1</v>
      </c>
      <c r="X3033" t="n">
        <v>202.020202020202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649</v>
      </c>
      <c r="AG3033" t="n">
        <v>107</v>
      </c>
      <c r="AH3033" t="inlineStr">
        <is>
          <t xml:space="preserve">CV. DAHLIA - PPN (PDG) </t>
        </is>
      </c>
      <c r="AI3033" t="n">
        <v>25</v>
      </c>
      <c r="AJ3033" t="inlineStr">
        <is>
          <t>NPURE</t>
        </is>
      </c>
      <c r="AK3033" t="n">
        <v>9</v>
      </c>
      <c r="AL3033" t="inlineStr">
        <is>
          <t>Miss Glam Jambi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NPURE</t>
        </is>
      </c>
      <c r="B3034" s="2">
        <f>"20100465150"</f>
        <v/>
      </c>
      <c r="C3034" t="inlineStr">
        <is>
          <t>NPURE Power Cushion Banana 13gr</t>
        </is>
      </c>
      <c r="D3034" t="inlineStr">
        <is>
          <t>Miss Glam Jambi</t>
        </is>
      </c>
      <c r="E3034" t="n">
        <v>4</v>
      </c>
      <c r="F3034" t="n">
        <v>0.0198</v>
      </c>
      <c r="G3034" t="n">
        <v>0.33</v>
      </c>
      <c r="H3034" t="n">
        <v>6</v>
      </c>
      <c r="I3034" t="n">
        <v>12</v>
      </c>
      <c r="J3034" t="n">
        <v>3</v>
      </c>
      <c r="K3034" t="n">
        <v>0</v>
      </c>
      <c r="L3034" t="n">
        <v>111750</v>
      </c>
      <c r="M3034" t="n">
        <v>149000</v>
      </c>
      <c r="N3034" t="n">
        <v>33</v>
      </c>
      <c r="O3034" t="n">
        <v>0.33</v>
      </c>
      <c r="P3034" t="n">
        <v>1</v>
      </c>
      <c r="Q3034" t="n">
        <v>0.05</v>
      </c>
      <c r="R3034" t="n">
        <v>1</v>
      </c>
      <c r="S3034" t="n">
        <v>2950.2</v>
      </c>
      <c r="T3034" t="n">
        <v>4</v>
      </c>
      <c r="U3034" t="n">
        <v>5</v>
      </c>
      <c r="V3034" t="n">
        <v>30</v>
      </c>
      <c r="W3034" t="n">
        <v>1</v>
      </c>
      <c r="X3034" t="n">
        <v>202.020202020202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649</v>
      </c>
      <c r="AG3034" t="n">
        <v>107</v>
      </c>
      <c r="AH3034" t="inlineStr">
        <is>
          <t xml:space="preserve">CV. DAHLIA - PPN (PDG) </t>
        </is>
      </c>
      <c r="AI3034" t="n">
        <v>25</v>
      </c>
      <c r="AJ3034" t="inlineStr">
        <is>
          <t>NPURE</t>
        </is>
      </c>
      <c r="AK3034" t="n">
        <v>9</v>
      </c>
      <c r="AL3034" t="inlineStr">
        <is>
          <t>Miss Glam Jambi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NPURE</t>
        </is>
      </c>
      <c r="B3035" s="2">
        <f>"20100465304"</f>
        <v/>
      </c>
      <c r="C3035" t="inlineStr">
        <is>
          <t>NPURE Power Cushion Cocoa 13gr</t>
        </is>
      </c>
      <c r="D3035" t="inlineStr">
        <is>
          <t>Miss Glam Jambi</t>
        </is>
      </c>
      <c r="E3035" t="n">
        <v>5</v>
      </c>
      <c r="F3035" t="n">
        <v>0.02</v>
      </c>
      <c r="G3035" t="n">
        <v>1</v>
      </c>
      <c r="H3035" t="n">
        <v>6</v>
      </c>
      <c r="I3035" t="n">
        <v>12</v>
      </c>
      <c r="J3035" t="n">
        <v>3</v>
      </c>
      <c r="K3035" t="n">
        <v>0</v>
      </c>
      <c r="L3035" t="n">
        <v>111750</v>
      </c>
      <c r="M3035" t="n">
        <v>149000</v>
      </c>
      <c r="N3035" t="n">
        <v>33</v>
      </c>
      <c r="O3035" t="n">
        <v>0.33</v>
      </c>
      <c r="P3035" t="n">
        <v>0</v>
      </c>
      <c r="Q3035" t="n">
        <v>0.02</v>
      </c>
      <c r="R3035" t="n">
        <v>1</v>
      </c>
      <c r="S3035" t="n">
        <v>2980</v>
      </c>
      <c r="T3035" t="n">
        <v>12</v>
      </c>
      <c r="U3035" t="n">
        <v>13</v>
      </c>
      <c r="V3035" t="n">
        <v>30</v>
      </c>
      <c r="W3035" t="n">
        <v>1</v>
      </c>
      <c r="X3035" t="n">
        <v>250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649</v>
      </c>
      <c r="AG3035" t="n">
        <v>107</v>
      </c>
      <c r="AH3035" t="inlineStr">
        <is>
          <t xml:space="preserve">CV. DAHLIA - PPN (PDG) </t>
        </is>
      </c>
      <c r="AI3035" t="n">
        <v>25</v>
      </c>
      <c r="AJ3035" t="inlineStr">
        <is>
          <t>NPURE</t>
        </is>
      </c>
      <c r="AK3035" t="n">
        <v>9</v>
      </c>
      <c r="AL3035" t="inlineStr">
        <is>
          <t>Miss Glam Jambi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NPURE</t>
        </is>
      </c>
      <c r="B3036" s="2">
        <f>"20100465453"</f>
        <v/>
      </c>
      <c r="C3036" t="inlineStr">
        <is>
          <t>NPURE Power Cushion Cookie 13gr</t>
        </is>
      </c>
      <c r="D3036" t="inlineStr">
        <is>
          <t>Miss Glam Jambi</t>
        </is>
      </c>
      <c r="E3036" t="n">
        <v>1</v>
      </c>
      <c r="F3036" t="n">
        <v>0.02</v>
      </c>
      <c r="G3036" t="n">
        <v>1</v>
      </c>
      <c r="H3036" t="n">
        <v>6</v>
      </c>
      <c r="I3036" t="n">
        <v>12</v>
      </c>
      <c r="J3036" t="n">
        <v>3</v>
      </c>
      <c r="K3036" t="n">
        <v>0</v>
      </c>
      <c r="L3036" t="n">
        <v>111750</v>
      </c>
      <c r="M3036" t="n">
        <v>149000</v>
      </c>
      <c r="N3036" t="n">
        <v>33</v>
      </c>
      <c r="O3036" t="n">
        <v>0.33</v>
      </c>
      <c r="P3036" t="n">
        <v>0</v>
      </c>
      <c r="Q3036" t="n">
        <v>0.02</v>
      </c>
      <c r="R3036" t="n">
        <v>1</v>
      </c>
      <c r="S3036" t="n">
        <v>2980</v>
      </c>
      <c r="T3036" t="n">
        <v>12</v>
      </c>
      <c r="U3036" t="n">
        <v>13</v>
      </c>
      <c r="V3036" t="n">
        <v>30</v>
      </c>
      <c r="W3036" t="n">
        <v>1</v>
      </c>
      <c r="X3036" t="n">
        <v>50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649</v>
      </c>
      <c r="AG3036" t="n">
        <v>107</v>
      </c>
      <c r="AH3036" t="inlineStr">
        <is>
          <t xml:space="preserve">CV. DAHLIA - PPN (PDG) </t>
        </is>
      </c>
      <c r="AI3036" t="n">
        <v>25</v>
      </c>
      <c r="AJ3036" t="inlineStr">
        <is>
          <t>NPURE</t>
        </is>
      </c>
      <c r="AK3036" t="n">
        <v>9</v>
      </c>
      <c r="AL3036" t="inlineStr">
        <is>
          <t>Miss Glam Jambi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NPURE</t>
        </is>
      </c>
      <c r="B3037" s="2">
        <f>"20100465229"</f>
        <v/>
      </c>
      <c r="C3037" t="inlineStr">
        <is>
          <t>NPURE Power Cushion Pear 13gr</t>
        </is>
      </c>
      <c r="D3037" t="inlineStr">
        <is>
          <t>Miss Glam Jambi</t>
        </is>
      </c>
      <c r="E3037" t="n">
        <v>5</v>
      </c>
      <c r="F3037" t="n">
        <v>0.03</v>
      </c>
      <c r="G3037" t="n">
        <v>1</v>
      </c>
      <c r="H3037" t="n">
        <v>6</v>
      </c>
      <c r="I3037" t="n">
        <v>12</v>
      </c>
      <c r="J3037" t="n">
        <v>3</v>
      </c>
      <c r="K3037" t="n">
        <v>0</v>
      </c>
      <c r="L3037" t="n">
        <v>111750</v>
      </c>
      <c r="M3037" t="n">
        <v>149000</v>
      </c>
      <c r="N3037" t="n">
        <v>33</v>
      </c>
      <c r="O3037" t="n">
        <v>0.33</v>
      </c>
      <c r="P3037" t="n">
        <v>0</v>
      </c>
      <c r="Q3037" t="n">
        <v>0.03</v>
      </c>
      <c r="R3037" t="n">
        <v>1</v>
      </c>
      <c r="S3037" t="n">
        <v>4470</v>
      </c>
      <c r="T3037" t="n">
        <v>12</v>
      </c>
      <c r="U3037" t="n">
        <v>13</v>
      </c>
      <c r="V3037" t="n">
        <v>30</v>
      </c>
      <c r="W3037" t="n">
        <v>1</v>
      </c>
      <c r="X3037" t="n">
        <v>166.6666666666667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649</v>
      </c>
      <c r="AG3037" t="n">
        <v>107</v>
      </c>
      <c r="AH3037" t="inlineStr">
        <is>
          <t xml:space="preserve">CV. DAHLIA - PPN (PDG) </t>
        </is>
      </c>
      <c r="AI3037" t="n">
        <v>25</v>
      </c>
      <c r="AJ3037" t="inlineStr">
        <is>
          <t>NPURE</t>
        </is>
      </c>
      <c r="AK3037" t="n">
        <v>9</v>
      </c>
      <c r="AL3037" t="inlineStr">
        <is>
          <t>Miss Glam Jambi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NPURE</t>
        </is>
      </c>
      <c r="B3038" s="2">
        <f>"10700334123"</f>
        <v/>
      </c>
      <c r="C3038" t="inlineStr">
        <is>
          <t>NPURE Power Glow Lip Oil Rose Pink 3,5g</t>
        </is>
      </c>
      <c r="D3038" t="inlineStr">
        <is>
          <t>Miss Glam Jambi</t>
        </is>
      </c>
      <c r="E3038" t="n">
        <v>14</v>
      </c>
      <c r="F3038" t="n">
        <v>0.07920000000000001</v>
      </c>
      <c r="G3038" t="n">
        <v>0.66</v>
      </c>
      <c r="H3038" t="n">
        <v>6</v>
      </c>
      <c r="I3038" t="n">
        <v>12</v>
      </c>
      <c r="J3038" t="n">
        <v>1</v>
      </c>
      <c r="K3038" t="n">
        <v>0</v>
      </c>
      <c r="L3038" t="n">
        <v>44250</v>
      </c>
      <c r="M3038" t="n">
        <v>59000</v>
      </c>
      <c r="N3038" t="n">
        <v>33</v>
      </c>
      <c r="O3038" t="n">
        <v>0.33</v>
      </c>
      <c r="P3038" t="n">
        <v>1</v>
      </c>
      <c r="Q3038" t="n">
        <v>0.07000000000000001</v>
      </c>
      <c r="R3038" t="n">
        <v>1</v>
      </c>
      <c r="S3038" t="n">
        <v>4672.8</v>
      </c>
      <c r="T3038" t="n">
        <v>8</v>
      </c>
      <c r="U3038" t="n">
        <v>9</v>
      </c>
      <c r="V3038" t="n">
        <v>30</v>
      </c>
      <c r="W3038" t="n">
        <v>3</v>
      </c>
      <c r="X3038" t="n">
        <v>176.7676767676768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649</v>
      </c>
      <c r="AG3038" t="n">
        <v>107</v>
      </c>
      <c r="AH3038" t="inlineStr">
        <is>
          <t xml:space="preserve">CV. DAHLIA - PPN (PDG) </t>
        </is>
      </c>
      <c r="AI3038" t="n">
        <v>25</v>
      </c>
      <c r="AJ3038" t="inlineStr">
        <is>
          <t>NPURE</t>
        </is>
      </c>
      <c r="AK3038" t="n">
        <v>9</v>
      </c>
      <c r="AL3038" t="inlineStr">
        <is>
          <t>Miss Glam Jambi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NR</t>
        </is>
      </c>
      <c r="B3039" s="2">
        <f>"8997050801515"</f>
        <v/>
      </c>
      <c r="C3039" t="inlineStr">
        <is>
          <t>NR Hair Reactive Tonic 200ml</t>
        </is>
      </c>
      <c r="D3039" t="inlineStr">
        <is>
          <t>Miss Glam Jambi</t>
        </is>
      </c>
      <c r="E3039" t="n">
        <v>2</v>
      </c>
      <c r="F3039" t="n">
        <v>0.0726</v>
      </c>
      <c r="G3039" t="n">
        <v>0.33</v>
      </c>
      <c r="H3039" t="n">
        <v>4</v>
      </c>
      <c r="I3039" t="n">
        <v>11</v>
      </c>
      <c r="J3039" t="n">
        <v>3</v>
      </c>
      <c r="K3039" t="n">
        <v>0</v>
      </c>
      <c r="L3039" t="n">
        <v>72856</v>
      </c>
      <c r="M3039" t="n">
        <v>100000</v>
      </c>
      <c r="N3039" t="n">
        <v>33</v>
      </c>
      <c r="O3039" t="n">
        <v>0.33</v>
      </c>
      <c r="P3039" t="n">
        <v>1</v>
      </c>
      <c r="Q3039" t="n">
        <v>0.02</v>
      </c>
      <c r="R3039" t="n">
        <v>1</v>
      </c>
      <c r="S3039" t="n">
        <v>7260</v>
      </c>
      <c r="T3039" t="n">
        <v>4</v>
      </c>
      <c r="U3039" t="n">
        <v>5</v>
      </c>
      <c r="V3039" t="n">
        <v>30</v>
      </c>
      <c r="W3039" t="n">
        <v>3</v>
      </c>
      <c r="X3039" t="n">
        <v>27.54820936639118</v>
      </c>
      <c r="Y3039" t="n">
        <v>1</v>
      </c>
      <c r="Z3039" t="n">
        <v>1</v>
      </c>
      <c r="AA3039" t="n">
        <v>0</v>
      </c>
      <c r="AB3039" t="n">
        <v>1</v>
      </c>
      <c r="AC3039" t="n">
        <v>3</v>
      </c>
      <c r="AD3039" t="n">
        <v>0</v>
      </c>
      <c r="AE3039" t="n">
        <v>218568</v>
      </c>
      <c r="AF3039" t="n">
        <v>10141</v>
      </c>
      <c r="AG3039" t="n">
        <v>78</v>
      </c>
      <c r="AH3039" t="inlineStr">
        <is>
          <t>PT. GLORIENTA P.H - PPN (PDG)</t>
        </is>
      </c>
      <c r="AI3039" t="n">
        <v>119</v>
      </c>
      <c r="AJ3039" t="inlineStr">
        <is>
          <t>NR</t>
        </is>
      </c>
      <c r="AK3039" t="n">
        <v>9</v>
      </c>
      <c r="AL3039" t="inlineStr">
        <is>
          <t>Miss Glam Jambi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NR</t>
        </is>
      </c>
      <c r="B3040" s="2">
        <f>"8997050801508"</f>
        <v/>
      </c>
      <c r="C3040" t="inlineStr">
        <is>
          <t>NR Hair Tonic 200ml</t>
        </is>
      </c>
      <c r="D3040" t="inlineStr">
        <is>
          <t>Miss Glam Jambi</t>
        </is>
      </c>
      <c r="E3040" t="n">
        <v>7</v>
      </c>
      <c r="F3040" t="n">
        <v>0.0396</v>
      </c>
      <c r="G3040" t="n">
        <v>0.66</v>
      </c>
      <c r="H3040" t="n">
        <v>4</v>
      </c>
      <c r="I3040" t="n">
        <v>11</v>
      </c>
      <c r="J3040" t="n">
        <v>3</v>
      </c>
      <c r="K3040" t="n">
        <v>0</v>
      </c>
      <c r="L3040" t="n">
        <v>67104</v>
      </c>
      <c r="M3040" t="n">
        <v>92000</v>
      </c>
      <c r="N3040" t="n">
        <v>33</v>
      </c>
      <c r="O3040" t="n">
        <v>0.33</v>
      </c>
      <c r="P3040" t="n">
        <v>1</v>
      </c>
      <c r="Q3040" t="n">
        <v>0.02</v>
      </c>
      <c r="R3040" t="n">
        <v>1</v>
      </c>
      <c r="S3040" t="n">
        <v>3643.2</v>
      </c>
      <c r="T3040" t="n">
        <v>8</v>
      </c>
      <c r="U3040" t="n">
        <v>9</v>
      </c>
      <c r="V3040" t="n">
        <v>30</v>
      </c>
      <c r="W3040" t="n">
        <v>2</v>
      </c>
      <c r="X3040" t="n">
        <v>176.7676767676768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10141</v>
      </c>
      <c r="AG3040" t="n">
        <v>78</v>
      </c>
      <c r="AH3040" t="inlineStr">
        <is>
          <t>PT. GLORIENTA P.H - PPN (PDG)</t>
        </is>
      </c>
      <c r="AI3040" t="n">
        <v>119</v>
      </c>
      <c r="AJ3040" t="inlineStr">
        <is>
          <t>NR</t>
        </is>
      </c>
      <c r="AK3040" t="n">
        <v>9</v>
      </c>
      <c r="AL3040" t="inlineStr">
        <is>
          <t>Miss Glam Jambi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NR</t>
        </is>
      </c>
      <c r="B3041" s="2">
        <f>"8997050806039"</f>
        <v/>
      </c>
      <c r="C3041" t="inlineStr">
        <is>
          <t>NR Hair Tonic 50ml</t>
        </is>
      </c>
      <c r="D3041" t="inlineStr">
        <is>
          <t>Miss Glam Jambi</t>
        </is>
      </c>
      <c r="E3041" t="n">
        <v>6</v>
      </c>
      <c r="F3041" t="n">
        <v>0.0495</v>
      </c>
      <c r="G3041" t="n">
        <v>0.66</v>
      </c>
      <c r="H3041" t="n">
        <v>4</v>
      </c>
      <c r="I3041" t="n">
        <v>11</v>
      </c>
      <c r="J3041" t="n">
        <v>3</v>
      </c>
      <c r="K3041" t="n">
        <v>0</v>
      </c>
      <c r="L3041" t="n">
        <v>29970</v>
      </c>
      <c r="M3041" t="n">
        <v>34000</v>
      </c>
      <c r="N3041" t="n">
        <v>33</v>
      </c>
      <c r="O3041" t="n">
        <v>0.33</v>
      </c>
      <c r="P3041" t="n">
        <v>1</v>
      </c>
      <c r="Q3041" t="n">
        <v>0.03</v>
      </c>
      <c r="R3041" t="n">
        <v>1</v>
      </c>
      <c r="S3041" t="n">
        <v>1683</v>
      </c>
      <c r="T3041" t="n">
        <v>8</v>
      </c>
      <c r="U3041" t="n">
        <v>9</v>
      </c>
      <c r="V3041" t="n">
        <v>30</v>
      </c>
      <c r="W3041" t="n">
        <v>2</v>
      </c>
      <c r="X3041" t="n">
        <v>121.2121212121212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10141</v>
      </c>
      <c r="AG3041" t="n">
        <v>78</v>
      </c>
      <c r="AH3041" t="inlineStr">
        <is>
          <t>PT. GLORIENTA P.H - PPN (PDG)</t>
        </is>
      </c>
      <c r="AI3041" t="n">
        <v>119</v>
      </c>
      <c r="AJ3041" t="inlineStr">
        <is>
          <t>NR</t>
        </is>
      </c>
      <c r="AK3041" t="n">
        <v>9</v>
      </c>
      <c r="AL3041" t="inlineStr">
        <is>
          <t>Miss Glam Jambi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NR</t>
        </is>
      </c>
      <c r="B3042" s="2">
        <f>"8997050801522"</f>
        <v/>
      </c>
      <c r="C3042" t="inlineStr">
        <is>
          <t>NR Shampoo Arnika 200ml</t>
        </is>
      </c>
      <c r="D3042" t="inlineStr">
        <is>
          <t>Miss Glam Jambi</t>
        </is>
      </c>
      <c r="E3042" t="n">
        <v>5</v>
      </c>
      <c r="F3042" t="n">
        <v>0.0231</v>
      </c>
      <c r="G3042" t="n">
        <v>0.33</v>
      </c>
      <c r="H3042" t="n">
        <v>4</v>
      </c>
      <c r="I3042" t="n">
        <v>11</v>
      </c>
      <c r="J3042" t="n">
        <v>3</v>
      </c>
      <c r="K3042" t="n">
        <v>0</v>
      </c>
      <c r="L3042" t="n">
        <v>47931</v>
      </c>
      <c r="M3042" t="n">
        <v>65000</v>
      </c>
      <c r="N3042" t="n">
        <v>33</v>
      </c>
      <c r="O3042" t="n">
        <v>0.33</v>
      </c>
      <c r="P3042" t="n">
        <v>1</v>
      </c>
      <c r="Q3042" t="n">
        <v>0.02</v>
      </c>
      <c r="R3042" t="n">
        <v>0</v>
      </c>
      <c r="S3042" t="n">
        <v>1501.5</v>
      </c>
      <c r="T3042" t="n">
        <v>4</v>
      </c>
      <c r="U3042" t="n">
        <v>5</v>
      </c>
      <c r="V3042" t="n">
        <v>30</v>
      </c>
      <c r="W3042" t="n">
        <v>1</v>
      </c>
      <c r="X3042" t="n">
        <v>216.4502164502164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10141</v>
      </c>
      <c r="AG3042" t="n">
        <v>78</v>
      </c>
      <c r="AH3042" t="inlineStr">
        <is>
          <t>PT. GLORIENTA P.H - PPN (PDG)</t>
        </is>
      </c>
      <c r="AI3042" t="n">
        <v>119</v>
      </c>
      <c r="AJ3042" t="inlineStr">
        <is>
          <t>NR</t>
        </is>
      </c>
      <c r="AK3042" t="n">
        <v>9</v>
      </c>
      <c r="AL3042" t="inlineStr">
        <is>
          <t>Miss Glam Jambi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NR</t>
        </is>
      </c>
      <c r="B3043" s="2">
        <f>"8997050801553"</f>
        <v/>
      </c>
      <c r="C3043" t="inlineStr">
        <is>
          <t>NR Shampoo Protein 200ml</t>
        </is>
      </c>
      <c r="D3043" t="inlineStr">
        <is>
          <t>Miss Glam Jambi</t>
        </is>
      </c>
      <c r="E3043" t="n">
        <v>6</v>
      </c>
      <c r="F3043" t="n">
        <v>0.009900000000000001</v>
      </c>
      <c r="G3043" t="n">
        <v>0.33</v>
      </c>
      <c r="H3043" t="n">
        <v>4</v>
      </c>
      <c r="I3043" t="n">
        <v>11</v>
      </c>
      <c r="J3043" t="n">
        <v>3</v>
      </c>
      <c r="K3043" t="n">
        <v>0</v>
      </c>
      <c r="L3043" t="n">
        <v>48584</v>
      </c>
      <c r="M3043" t="n">
        <v>65000</v>
      </c>
      <c r="N3043" t="n">
        <v>33</v>
      </c>
      <c r="O3043" t="n">
        <v>0.33</v>
      </c>
      <c r="P3043" t="n">
        <v>1</v>
      </c>
      <c r="Q3043" t="n">
        <v>0.03</v>
      </c>
      <c r="R3043" t="n">
        <v>1</v>
      </c>
      <c r="S3043" t="n">
        <v>643.5</v>
      </c>
      <c r="T3043" t="n">
        <v>4</v>
      </c>
      <c r="U3043" t="n">
        <v>5</v>
      </c>
      <c r="V3043" t="n">
        <v>30</v>
      </c>
      <c r="W3043" t="n">
        <v>1</v>
      </c>
      <c r="X3043" t="n">
        <v>606.060606060606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10141</v>
      </c>
      <c r="AG3043" t="n">
        <v>78</v>
      </c>
      <c r="AH3043" t="inlineStr">
        <is>
          <t>PT. GLORIENTA P.H - PPN (PDG)</t>
        </is>
      </c>
      <c r="AI3043" t="n">
        <v>119</v>
      </c>
      <c r="AJ3043" t="inlineStr">
        <is>
          <t>NR</t>
        </is>
      </c>
      <c r="AK3043" t="n">
        <v>9</v>
      </c>
      <c r="AL3043" t="inlineStr">
        <is>
          <t>Miss Glam Jambi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NR</t>
        </is>
      </c>
      <c r="B3044" s="2">
        <f>"8997050801621"</f>
        <v/>
      </c>
      <c r="C3044" t="inlineStr">
        <is>
          <t>NR Treatment DamCare 500gr</t>
        </is>
      </c>
      <c r="D3044" t="inlineStr">
        <is>
          <t>Miss Glam Jambi</t>
        </is>
      </c>
      <c r="E3044" t="n">
        <v>1</v>
      </c>
      <c r="F3044" t="n">
        <v>0.006600000000000001</v>
      </c>
      <c r="G3044" t="n">
        <v>0.33</v>
      </c>
      <c r="H3044" t="n">
        <v>4</v>
      </c>
      <c r="I3044" t="n">
        <v>11</v>
      </c>
      <c r="J3044" t="n">
        <v>3</v>
      </c>
      <c r="K3044" t="n">
        <v>0</v>
      </c>
      <c r="L3044" t="n">
        <v>90981</v>
      </c>
      <c r="M3044" t="n">
        <v>111500</v>
      </c>
      <c r="N3044" t="n">
        <v>33</v>
      </c>
      <c r="O3044" t="n">
        <v>0.33</v>
      </c>
      <c r="P3044" t="n">
        <v>1</v>
      </c>
      <c r="Q3044" t="n">
        <v>0.02</v>
      </c>
      <c r="R3044" t="n">
        <v>1</v>
      </c>
      <c r="S3044" t="n">
        <v>735.9000000000001</v>
      </c>
      <c r="T3044" t="n">
        <v>4</v>
      </c>
      <c r="U3044" t="n">
        <v>5</v>
      </c>
      <c r="V3044" t="n">
        <v>30</v>
      </c>
      <c r="W3044" t="n">
        <v>1</v>
      </c>
      <c r="X3044" t="n">
        <v>151.5151515151515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10141</v>
      </c>
      <c r="AG3044" t="n">
        <v>78</v>
      </c>
      <c r="AH3044" t="inlineStr">
        <is>
          <t>PT. GLORIENTA P.H - PPN (PDG)</t>
        </is>
      </c>
      <c r="AI3044" t="n">
        <v>119</v>
      </c>
      <c r="AJ3044" t="inlineStr">
        <is>
          <t>NR</t>
        </is>
      </c>
      <c r="AK3044" t="n">
        <v>9</v>
      </c>
      <c r="AL3044" t="inlineStr">
        <is>
          <t>Miss Glam Jambi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NUFACE</t>
        </is>
      </c>
      <c r="B3045" s="2">
        <f>"8997226224360"</f>
        <v/>
      </c>
      <c r="C3045" t="inlineStr">
        <is>
          <t>NUFACE Acne Face Wash Gel</t>
        </is>
      </c>
      <c r="D3045" t="inlineStr">
        <is>
          <t>Miss Glam Jambi</t>
        </is>
      </c>
      <c r="E3045" t="n">
        <v>3</v>
      </c>
      <c r="F3045" t="n">
        <v>0.0363</v>
      </c>
      <c r="G3045" t="n">
        <v>0.33</v>
      </c>
      <c r="H3045" t="n">
        <v>2</v>
      </c>
      <c r="I3045" t="n">
        <v>6</v>
      </c>
      <c r="J3045" t="n">
        <v>3</v>
      </c>
      <c r="K3045" t="n">
        <v>0</v>
      </c>
      <c r="L3045" t="n">
        <v>20520</v>
      </c>
      <c r="M3045" t="n">
        <v>27500</v>
      </c>
      <c r="N3045" t="n">
        <v>33</v>
      </c>
      <c r="O3045" t="n">
        <v>0.33</v>
      </c>
      <c r="P3045" t="n">
        <v>1</v>
      </c>
      <c r="Q3045" t="n">
        <v>0.03</v>
      </c>
      <c r="R3045" t="n">
        <v>1</v>
      </c>
      <c r="S3045" t="n">
        <v>998.25</v>
      </c>
      <c r="T3045" t="n">
        <v>2</v>
      </c>
      <c r="U3045" t="n">
        <v>3</v>
      </c>
      <c r="V3045" t="n">
        <v>30</v>
      </c>
      <c r="W3045" t="n">
        <v>2</v>
      </c>
      <c r="X3045" t="n">
        <v>82.64462809917356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1393</v>
      </c>
      <c r="AG3045" t="n">
        <v>2136</v>
      </c>
      <c r="AH3045" t="inlineStr">
        <is>
          <t>CV. SAMUDRA JAYA ABADI - PPN (JMB)</t>
        </is>
      </c>
      <c r="AI3045" t="n">
        <v>1057</v>
      </c>
      <c r="AJ3045" t="inlineStr">
        <is>
          <t>NUFACE</t>
        </is>
      </c>
      <c r="AK3045" t="n">
        <v>9</v>
      </c>
      <c r="AL3045" t="inlineStr">
        <is>
          <t>Miss Glam Jambi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NUFACE</t>
        </is>
      </c>
      <c r="B3046" s="2">
        <f>"8997226225749"</f>
        <v/>
      </c>
      <c r="C3046" t="inlineStr">
        <is>
          <t>NUFACE Acne Night Gel 15gr</t>
        </is>
      </c>
      <c r="D3046" t="inlineStr">
        <is>
          <t>Miss Glam Jambi</t>
        </is>
      </c>
      <c r="E3046" t="n">
        <v>1</v>
      </c>
      <c r="F3046" t="n">
        <v>0.02</v>
      </c>
      <c r="G3046" t="n">
        <v>0</v>
      </c>
      <c r="H3046" t="n">
        <v>2</v>
      </c>
      <c r="I3046" t="n">
        <v>6</v>
      </c>
      <c r="J3046" t="n">
        <v>3</v>
      </c>
      <c r="K3046" t="n">
        <v>0</v>
      </c>
      <c r="L3046" t="n">
        <v>30320</v>
      </c>
      <c r="M3046" t="n">
        <v>40500</v>
      </c>
      <c r="N3046" t="n">
        <v>33</v>
      </c>
      <c r="O3046" t="n">
        <v>0.33</v>
      </c>
      <c r="P3046" t="n">
        <v>0</v>
      </c>
      <c r="Q3046" t="n">
        <v>0.02</v>
      </c>
      <c r="R3046" t="n">
        <v>0</v>
      </c>
      <c r="S3046" t="n">
        <v>810</v>
      </c>
      <c r="T3046" t="n">
        <v>0</v>
      </c>
      <c r="U3046" t="n">
        <v>1</v>
      </c>
      <c r="V3046" t="n">
        <v>30</v>
      </c>
      <c r="W3046" t="n">
        <v>1</v>
      </c>
      <c r="X3046" t="n">
        <v>50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1393</v>
      </c>
      <c r="AG3046" t="n">
        <v>2136</v>
      </c>
      <c r="AH3046" t="inlineStr">
        <is>
          <t>CV. SAMUDRA JAYA ABADI - PPN (JMB)</t>
        </is>
      </c>
      <c r="AI3046" t="n">
        <v>1057</v>
      </c>
      <c r="AJ3046" t="inlineStr">
        <is>
          <t>NUFACE</t>
        </is>
      </c>
      <c r="AK3046" t="n">
        <v>9</v>
      </c>
      <c r="AL3046" t="inlineStr">
        <is>
          <t>Miss Glam Jambi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NUFACE</t>
        </is>
      </c>
      <c r="B3047" s="2">
        <f>"8997226228238"</f>
        <v/>
      </c>
      <c r="C3047" t="inlineStr">
        <is>
          <t>NUFACE Calendula Essential Moisture Boost 20gr</t>
        </is>
      </c>
      <c r="D3047" t="inlineStr">
        <is>
          <t>Miss Glam Jambi</t>
        </is>
      </c>
      <c r="E3047" t="n">
        <v>3</v>
      </c>
      <c r="F3047" t="n">
        <v>0.0396</v>
      </c>
      <c r="G3047" t="n">
        <v>0.33</v>
      </c>
      <c r="H3047" t="n">
        <v>2</v>
      </c>
      <c r="I3047" t="n">
        <v>6</v>
      </c>
      <c r="J3047" t="n">
        <v>3</v>
      </c>
      <c r="K3047" t="n">
        <v>0</v>
      </c>
      <c r="L3047" t="n">
        <v>26120</v>
      </c>
      <c r="M3047" t="n">
        <v>32000</v>
      </c>
      <c r="N3047" t="n">
        <v>33</v>
      </c>
      <c r="O3047" t="n">
        <v>0.33</v>
      </c>
      <c r="P3047" t="n">
        <v>1</v>
      </c>
      <c r="Q3047" t="n">
        <v>0.02</v>
      </c>
      <c r="R3047" t="n">
        <v>1</v>
      </c>
      <c r="S3047" t="n">
        <v>1267.2</v>
      </c>
      <c r="T3047" t="n">
        <v>2</v>
      </c>
      <c r="U3047" t="n">
        <v>3</v>
      </c>
      <c r="V3047" t="n">
        <v>30</v>
      </c>
      <c r="W3047" t="n">
        <v>2</v>
      </c>
      <c r="X3047" t="n">
        <v>75.75757575757575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1393</v>
      </c>
      <c r="AG3047" t="n">
        <v>2136</v>
      </c>
      <c r="AH3047" t="inlineStr">
        <is>
          <t>CV. SAMUDRA JAYA ABADI - PPN (JMB)</t>
        </is>
      </c>
      <c r="AI3047" t="n">
        <v>1057</v>
      </c>
      <c r="AJ3047" t="inlineStr">
        <is>
          <t>NUFACE</t>
        </is>
      </c>
      <c r="AK3047" t="n">
        <v>9</v>
      </c>
      <c r="AL3047" t="inlineStr">
        <is>
          <t>Miss Glam Jambi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NUFACE</t>
        </is>
      </c>
      <c r="B3048" s="2">
        <f>"8997226225664"</f>
        <v/>
      </c>
      <c r="C3048" t="inlineStr">
        <is>
          <t>NUFACE Cover Me Sun Shield Watery Sun Protect SPF 30 PA+++ 50gr</t>
        </is>
      </c>
      <c r="D3048" t="inlineStr">
        <is>
          <t>Miss Glam Jambi</t>
        </is>
      </c>
      <c r="E3048" t="n">
        <v>3</v>
      </c>
      <c r="F3048" t="n">
        <v>0.0165</v>
      </c>
      <c r="G3048" t="n">
        <v>0.33</v>
      </c>
      <c r="H3048" t="n">
        <v>2</v>
      </c>
      <c r="I3048" t="n">
        <v>6</v>
      </c>
      <c r="J3048" t="n">
        <v>3</v>
      </c>
      <c r="K3048" t="n">
        <v>0</v>
      </c>
      <c r="L3048" t="n">
        <v>27920</v>
      </c>
      <c r="M3048" t="n">
        <v>42500</v>
      </c>
      <c r="N3048" t="n">
        <v>33</v>
      </c>
      <c r="O3048" t="n">
        <v>0.33</v>
      </c>
      <c r="P3048" t="n">
        <v>1</v>
      </c>
      <c r="Q3048" t="n">
        <v>0.03</v>
      </c>
      <c r="R3048" t="n">
        <v>1</v>
      </c>
      <c r="S3048" t="n">
        <v>701.25</v>
      </c>
      <c r="T3048" t="n">
        <v>2</v>
      </c>
      <c r="U3048" t="n">
        <v>3</v>
      </c>
      <c r="V3048" t="n">
        <v>30</v>
      </c>
      <c r="W3048" t="n">
        <v>1</v>
      </c>
      <c r="X3048" t="n">
        <v>181.8181818181818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1393</v>
      </c>
      <c r="AG3048" t="n">
        <v>2136</v>
      </c>
      <c r="AH3048" t="inlineStr">
        <is>
          <t>CV. SAMUDRA JAYA ABADI - PPN (JMB)</t>
        </is>
      </c>
      <c r="AI3048" t="n">
        <v>1057</v>
      </c>
      <c r="AJ3048" t="inlineStr">
        <is>
          <t>NUFACE</t>
        </is>
      </c>
      <c r="AK3048" t="n">
        <v>9</v>
      </c>
      <c r="AL3048" t="inlineStr">
        <is>
          <t>Miss Glam Jambi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NUFACE</t>
        </is>
      </c>
      <c r="B3049" s="2">
        <f>"8997226225657"</f>
        <v/>
      </c>
      <c r="C3049" t="inlineStr">
        <is>
          <t>NUFACE Cover Me Sun Shield Watery Sun Protection SPF 50 PA++++ 50gr</t>
        </is>
      </c>
      <c r="D3049" t="inlineStr">
        <is>
          <t>Miss Glam Jambi</t>
        </is>
      </c>
      <c r="E3049" t="n">
        <v>5</v>
      </c>
      <c r="F3049" t="n">
        <v>0.0264</v>
      </c>
      <c r="G3049" t="n">
        <v>0.33</v>
      </c>
      <c r="H3049" t="n">
        <v>2</v>
      </c>
      <c r="I3049" t="n">
        <v>6</v>
      </c>
      <c r="J3049" t="n">
        <v>3</v>
      </c>
      <c r="K3049" t="n">
        <v>0</v>
      </c>
      <c r="L3049" t="n">
        <v>56170</v>
      </c>
      <c r="M3049" t="n">
        <v>70500</v>
      </c>
      <c r="N3049" t="n">
        <v>33</v>
      </c>
      <c r="O3049" t="n">
        <v>0.33</v>
      </c>
      <c r="P3049" t="n">
        <v>1</v>
      </c>
      <c r="Q3049" t="n">
        <v>0.03</v>
      </c>
      <c r="R3049" t="n">
        <v>1</v>
      </c>
      <c r="S3049" t="n">
        <v>1861.2</v>
      </c>
      <c r="T3049" t="n">
        <v>2</v>
      </c>
      <c r="U3049" t="n">
        <v>3</v>
      </c>
      <c r="V3049" t="n">
        <v>30</v>
      </c>
      <c r="W3049" t="n">
        <v>1</v>
      </c>
      <c r="X3049" t="n">
        <v>189.3939393939394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1393</v>
      </c>
      <c r="AG3049" t="n">
        <v>2136</v>
      </c>
      <c r="AH3049" t="inlineStr">
        <is>
          <t>CV. SAMUDRA JAYA ABADI - PPN (JMB)</t>
        </is>
      </c>
      <c r="AI3049" t="n">
        <v>1057</v>
      </c>
      <c r="AJ3049" t="inlineStr">
        <is>
          <t>NUFACE</t>
        </is>
      </c>
      <c r="AK3049" t="n">
        <v>9</v>
      </c>
      <c r="AL3049" t="inlineStr">
        <is>
          <t>Miss Glam Jambi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NUFACE</t>
        </is>
      </c>
      <c r="B3050" s="2">
        <f>"8997016370116"</f>
        <v/>
      </c>
      <c r="C3050" t="inlineStr">
        <is>
          <t>NUFACE Face Cotton Korea 30gr</t>
        </is>
      </c>
      <c r="D3050" t="inlineStr">
        <is>
          <t>Miss Glam Jambi</t>
        </is>
      </c>
      <c r="E3050" t="n">
        <v>2</v>
      </c>
      <c r="F3050" t="n">
        <v>0.1023</v>
      </c>
      <c r="G3050" t="n">
        <v>0.66</v>
      </c>
      <c r="H3050" t="n">
        <v>2</v>
      </c>
      <c r="I3050" t="n">
        <v>6</v>
      </c>
      <c r="J3050" t="n">
        <v>3</v>
      </c>
      <c r="K3050" t="n">
        <v>0</v>
      </c>
      <c r="L3050" t="n">
        <v>7120</v>
      </c>
      <c r="M3050" t="n">
        <v>10000</v>
      </c>
      <c r="N3050" t="n">
        <v>33</v>
      </c>
      <c r="O3050" t="n">
        <v>0.33</v>
      </c>
      <c r="P3050" t="n">
        <v>1</v>
      </c>
      <c r="Q3050" t="n">
        <v>0.02</v>
      </c>
      <c r="R3050" t="n">
        <v>1</v>
      </c>
      <c r="S3050" t="n">
        <v>1023</v>
      </c>
      <c r="T3050" t="n">
        <v>4</v>
      </c>
      <c r="U3050" t="n">
        <v>5</v>
      </c>
      <c r="V3050" t="n">
        <v>30</v>
      </c>
      <c r="W3050" t="n">
        <v>4</v>
      </c>
      <c r="X3050" t="n">
        <v>19.55034213098729</v>
      </c>
      <c r="Y3050" t="n">
        <v>1</v>
      </c>
      <c r="Z3050" t="n">
        <v>2</v>
      </c>
      <c r="AA3050" t="n">
        <v>0</v>
      </c>
      <c r="AB3050" t="n">
        <v>2</v>
      </c>
      <c r="AC3050" t="n">
        <v>3</v>
      </c>
      <c r="AD3050" t="n">
        <v>0</v>
      </c>
      <c r="AE3050" t="n">
        <v>21360</v>
      </c>
      <c r="AF3050" t="n">
        <v>1393</v>
      </c>
      <c r="AG3050" t="n">
        <v>2136</v>
      </c>
      <c r="AH3050" t="inlineStr">
        <is>
          <t>CV. SAMUDRA JAYA ABADI - PPN (JMB)</t>
        </is>
      </c>
      <c r="AI3050" t="n">
        <v>1057</v>
      </c>
      <c r="AJ3050" t="inlineStr">
        <is>
          <t>NUFACE</t>
        </is>
      </c>
      <c r="AK3050" t="n">
        <v>9</v>
      </c>
      <c r="AL3050" t="inlineStr">
        <is>
          <t>Miss Glam Jambi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NUFACE</t>
        </is>
      </c>
      <c r="B3051" s="2">
        <f>"20100467717"</f>
        <v/>
      </c>
      <c r="C3051" t="inlineStr">
        <is>
          <t>NUFACE Flawles Serum Cushion 01 Light Beige 12gr</t>
        </is>
      </c>
      <c r="D3051" t="inlineStr">
        <is>
          <t>Miss Glam Jambi</t>
        </is>
      </c>
      <c r="E3051" t="n">
        <v>1</v>
      </c>
      <c r="F3051" t="n">
        <v>0.0726</v>
      </c>
      <c r="G3051" t="n">
        <v>0.99</v>
      </c>
      <c r="H3051" t="n">
        <v>2</v>
      </c>
      <c r="I3051" t="n">
        <v>6</v>
      </c>
      <c r="J3051" t="n">
        <v>1</v>
      </c>
      <c r="K3051" t="n">
        <v>0</v>
      </c>
      <c r="L3051" t="n">
        <v>58921</v>
      </c>
      <c r="M3051" t="n">
        <v>74000</v>
      </c>
      <c r="N3051" t="n">
        <v>33</v>
      </c>
      <c r="O3051" t="n">
        <v>0.33</v>
      </c>
      <c r="P3051" t="n">
        <v>1</v>
      </c>
      <c r="Q3051" t="n">
        <v>0.03</v>
      </c>
      <c r="R3051" t="n">
        <v>1</v>
      </c>
      <c r="S3051" t="n">
        <v>5372.4</v>
      </c>
      <c r="T3051" t="n">
        <v>6</v>
      </c>
      <c r="U3051" t="n">
        <v>7</v>
      </c>
      <c r="V3051" t="n">
        <v>30</v>
      </c>
      <c r="W3051" t="n">
        <v>3</v>
      </c>
      <c r="X3051" t="n">
        <v>13.77410468319559</v>
      </c>
      <c r="Y3051" t="n">
        <v>1</v>
      </c>
      <c r="Z3051" t="n">
        <v>2</v>
      </c>
      <c r="AA3051" t="n">
        <v>0</v>
      </c>
      <c r="AB3051" t="n">
        <v>2</v>
      </c>
      <c r="AC3051" t="n">
        <v>2</v>
      </c>
      <c r="AD3051" t="n">
        <v>0</v>
      </c>
      <c r="AE3051" t="n">
        <v>117842</v>
      </c>
      <c r="AF3051" t="n">
        <v>1393</v>
      </c>
      <c r="AG3051" t="n">
        <v>2136</v>
      </c>
      <c r="AH3051" t="inlineStr">
        <is>
          <t>CV. SAMUDRA JAYA ABADI - PPN (JMB)</t>
        </is>
      </c>
      <c r="AI3051" t="n">
        <v>1057</v>
      </c>
      <c r="AJ3051" t="inlineStr">
        <is>
          <t>NUFACE</t>
        </is>
      </c>
      <c r="AK3051" t="n">
        <v>9</v>
      </c>
      <c r="AL3051" t="inlineStr">
        <is>
          <t>Miss Glam Jambi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NUFACE</t>
        </is>
      </c>
      <c r="B3052" s="2">
        <f>"20100467704"</f>
        <v/>
      </c>
      <c r="C3052" t="inlineStr">
        <is>
          <t>NUFACE Flawles Serum Cushion 02 Medium Beige 12gr</t>
        </is>
      </c>
      <c r="D3052" t="inlineStr">
        <is>
          <t>Miss Glam Jambi</t>
        </is>
      </c>
      <c r="E3052" t="n">
        <v>2</v>
      </c>
      <c r="F3052" t="n">
        <v>0.1386</v>
      </c>
      <c r="G3052" t="n">
        <v>0.99</v>
      </c>
      <c r="H3052" t="n">
        <v>2</v>
      </c>
      <c r="I3052" t="n">
        <v>6</v>
      </c>
      <c r="J3052" t="n">
        <v>1</v>
      </c>
      <c r="K3052" t="n">
        <v>0</v>
      </c>
      <c r="L3052" t="n">
        <v>47920</v>
      </c>
      <c r="M3052" t="n">
        <v>74000</v>
      </c>
      <c r="N3052" t="n">
        <v>33</v>
      </c>
      <c r="O3052" t="n">
        <v>0.33</v>
      </c>
      <c r="P3052" t="n">
        <v>1</v>
      </c>
      <c r="Q3052" t="n">
        <v>0.03</v>
      </c>
      <c r="R3052" t="n">
        <v>1</v>
      </c>
      <c r="S3052" t="n">
        <v>10256.4</v>
      </c>
      <c r="T3052" t="n">
        <v>6</v>
      </c>
      <c r="U3052" t="n">
        <v>7</v>
      </c>
      <c r="V3052" t="n">
        <v>30</v>
      </c>
      <c r="W3052" t="n">
        <v>5</v>
      </c>
      <c r="X3052" t="n">
        <v>14.43001443001443</v>
      </c>
      <c r="Y3052" t="n">
        <v>1</v>
      </c>
      <c r="Z3052" t="n">
        <v>3</v>
      </c>
      <c r="AA3052" t="n">
        <v>0</v>
      </c>
      <c r="AB3052" t="n">
        <v>3</v>
      </c>
      <c r="AC3052" t="n">
        <v>3</v>
      </c>
      <c r="AD3052" t="n">
        <v>0</v>
      </c>
      <c r="AE3052" t="n">
        <v>143760</v>
      </c>
      <c r="AF3052" t="n">
        <v>1393</v>
      </c>
      <c r="AG3052" t="n">
        <v>2136</v>
      </c>
      <c r="AH3052" t="inlineStr">
        <is>
          <t>CV. SAMUDRA JAYA ABADI - PPN (JMB)</t>
        </is>
      </c>
      <c r="AI3052" t="n">
        <v>1057</v>
      </c>
      <c r="AJ3052" t="inlineStr">
        <is>
          <t>NUFACE</t>
        </is>
      </c>
      <c r="AK3052" t="n">
        <v>9</v>
      </c>
      <c r="AL3052" t="inlineStr">
        <is>
          <t>Miss Glam Jambi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NUFACE</t>
        </is>
      </c>
      <c r="B3053" s="2">
        <f>"20100467736"</f>
        <v/>
      </c>
      <c r="C3053" t="inlineStr">
        <is>
          <t>NUFACE Flawles Serum Cushion 03 Warm Beige 12gr</t>
        </is>
      </c>
      <c r="D3053" t="inlineStr">
        <is>
          <t>Miss Glam Jambi</t>
        </is>
      </c>
      <c r="E3053" t="n">
        <v>3</v>
      </c>
      <c r="F3053" t="n">
        <v>0.0264</v>
      </c>
      <c r="G3053" t="n">
        <v>0.33</v>
      </c>
      <c r="H3053" t="n">
        <v>2</v>
      </c>
      <c r="I3053" t="n">
        <v>6</v>
      </c>
      <c r="J3053" t="n">
        <v>1</v>
      </c>
      <c r="K3053" t="n">
        <v>0</v>
      </c>
      <c r="L3053" t="n">
        <v>58921</v>
      </c>
      <c r="M3053" t="n">
        <v>74000</v>
      </c>
      <c r="N3053" t="n">
        <v>33</v>
      </c>
      <c r="O3053" t="n">
        <v>0.33</v>
      </c>
      <c r="P3053" t="n">
        <v>1</v>
      </c>
      <c r="Q3053" t="n">
        <v>0.05</v>
      </c>
      <c r="R3053" t="n">
        <v>1</v>
      </c>
      <c r="S3053" t="n">
        <v>1953.6</v>
      </c>
      <c r="T3053" t="n">
        <v>2</v>
      </c>
      <c r="U3053" t="n">
        <v>3</v>
      </c>
      <c r="V3053" t="n">
        <v>30</v>
      </c>
      <c r="W3053" t="n">
        <v>1</v>
      </c>
      <c r="X3053" t="n">
        <v>113.6363636363636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1393</v>
      </c>
      <c r="AG3053" t="n">
        <v>2136</v>
      </c>
      <c r="AH3053" t="inlineStr">
        <is>
          <t>CV. SAMUDRA JAYA ABADI - PPN (JMB)</t>
        </is>
      </c>
      <c r="AI3053" t="n">
        <v>1057</v>
      </c>
      <c r="AJ3053" t="inlineStr">
        <is>
          <t>NUFACE</t>
        </is>
      </c>
      <c r="AK3053" t="n">
        <v>9</v>
      </c>
      <c r="AL3053" t="inlineStr">
        <is>
          <t>Miss Glam Jambi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NUFACE</t>
        </is>
      </c>
      <c r="B3054" s="2">
        <f>"8997016370284"</f>
        <v/>
      </c>
      <c r="C3054" t="inlineStr">
        <is>
          <t>NUFACE Kapas Facial Cotton 50gr</t>
        </is>
      </c>
      <c r="D3054" t="inlineStr">
        <is>
          <t>Miss Glam Jambi</t>
        </is>
      </c>
      <c r="E3054" t="n">
        <v>3</v>
      </c>
      <c r="F3054" t="n">
        <v>0.0231</v>
      </c>
      <c r="G3054" t="n">
        <v>0.33</v>
      </c>
      <c r="H3054" t="n">
        <v>2</v>
      </c>
      <c r="I3054" t="n">
        <v>6</v>
      </c>
      <c r="J3054" t="n">
        <v>3</v>
      </c>
      <c r="K3054" t="n">
        <v>0</v>
      </c>
      <c r="L3054" t="n">
        <v>9687</v>
      </c>
      <c r="M3054" t="n">
        <v>14500</v>
      </c>
      <c r="N3054" t="n">
        <v>33</v>
      </c>
      <c r="O3054" t="n">
        <v>0.33</v>
      </c>
      <c r="P3054" t="n">
        <v>1</v>
      </c>
      <c r="Q3054" t="n">
        <v>0.14</v>
      </c>
      <c r="R3054" t="n">
        <v>2</v>
      </c>
      <c r="S3054" t="n">
        <v>334.95</v>
      </c>
      <c r="T3054" t="n">
        <v>2</v>
      </c>
      <c r="U3054" t="n">
        <v>3</v>
      </c>
      <c r="V3054" t="n">
        <v>30</v>
      </c>
      <c r="W3054" t="n">
        <v>1</v>
      </c>
      <c r="X3054" t="n">
        <v>129.8701298701299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1393</v>
      </c>
      <c r="AG3054" t="n">
        <v>2136</v>
      </c>
      <c r="AH3054" t="inlineStr">
        <is>
          <t>CV. SAMUDRA JAYA ABADI - PPN (JMB)</t>
        </is>
      </c>
      <c r="AI3054" t="n">
        <v>1057</v>
      </c>
      <c r="AJ3054" t="inlineStr">
        <is>
          <t>NUFACE</t>
        </is>
      </c>
      <c r="AK3054" t="n">
        <v>9</v>
      </c>
      <c r="AL3054" t="inlineStr">
        <is>
          <t>Miss Glam Jambi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NUFACE</t>
        </is>
      </c>
      <c r="B3055" s="2">
        <f>"8997226224636"</f>
        <v/>
      </c>
      <c r="C3055" t="inlineStr">
        <is>
          <t>NUFACE Nu Glow Acne Prone Care Toner 100ml</t>
        </is>
      </c>
      <c r="D3055" t="inlineStr">
        <is>
          <t>Miss Glam Jambi</t>
        </is>
      </c>
      <c r="E3055" t="n">
        <v>1</v>
      </c>
      <c r="F3055" t="n">
        <v>0.006600000000000001</v>
      </c>
      <c r="G3055" t="n">
        <v>0.33</v>
      </c>
      <c r="H3055" t="n">
        <v>2</v>
      </c>
      <c r="I3055" t="n">
        <v>6</v>
      </c>
      <c r="J3055" t="n">
        <v>3</v>
      </c>
      <c r="K3055" t="n">
        <v>0</v>
      </c>
      <c r="L3055" t="n">
        <v>25884</v>
      </c>
      <c r="M3055" t="n">
        <v>30500</v>
      </c>
      <c r="N3055" t="n">
        <v>33</v>
      </c>
      <c r="O3055" t="n">
        <v>0.33</v>
      </c>
      <c r="P3055" t="n">
        <v>1</v>
      </c>
      <c r="Q3055" t="n">
        <v>0.02</v>
      </c>
      <c r="R3055" t="n">
        <v>0</v>
      </c>
      <c r="S3055" t="n">
        <v>201.3</v>
      </c>
      <c r="T3055" t="n">
        <v>2</v>
      </c>
      <c r="U3055" t="n">
        <v>3</v>
      </c>
      <c r="V3055" t="n">
        <v>30</v>
      </c>
      <c r="W3055" t="n">
        <v>1</v>
      </c>
      <c r="X3055" t="n">
        <v>151.5151515151515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1393</v>
      </c>
      <c r="AG3055" t="n">
        <v>2136</v>
      </c>
      <c r="AH3055" t="inlineStr">
        <is>
          <t>CV. SAMUDRA JAYA ABADI - PPN (JMB)</t>
        </is>
      </c>
      <c r="AI3055" t="n">
        <v>1057</v>
      </c>
      <c r="AJ3055" t="inlineStr">
        <is>
          <t>NUFACE</t>
        </is>
      </c>
      <c r="AK3055" t="n">
        <v>9</v>
      </c>
      <c r="AL3055" t="inlineStr">
        <is>
          <t>Miss Glam Jambi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NUFACE</t>
        </is>
      </c>
      <c r="B3056" s="2">
        <f>"8997226224353"</f>
        <v/>
      </c>
      <c r="C3056" t="inlineStr">
        <is>
          <t>NUFACE Nu Glow Brighten &amp; Supple Skin 80gr</t>
        </is>
      </c>
      <c r="D3056" t="inlineStr">
        <is>
          <t>Miss Glam Jambi</t>
        </is>
      </c>
      <c r="E3056" t="n">
        <v>4</v>
      </c>
      <c r="F3056" t="n">
        <v>0.0561</v>
      </c>
      <c r="G3056" t="n">
        <v>0.66</v>
      </c>
      <c r="H3056" t="n">
        <v>2</v>
      </c>
      <c r="I3056" t="n">
        <v>6</v>
      </c>
      <c r="J3056" t="n">
        <v>3</v>
      </c>
      <c r="K3056" t="n">
        <v>0</v>
      </c>
      <c r="L3056" t="n">
        <v>20520</v>
      </c>
      <c r="M3056" t="n">
        <v>25000</v>
      </c>
      <c r="N3056" t="n">
        <v>33</v>
      </c>
      <c r="O3056" t="n">
        <v>0.33</v>
      </c>
      <c r="P3056" t="n">
        <v>1</v>
      </c>
      <c r="Q3056" t="n">
        <v>0.03</v>
      </c>
      <c r="R3056" t="n">
        <v>1</v>
      </c>
      <c r="S3056" t="n">
        <v>1402.5</v>
      </c>
      <c r="T3056" t="n">
        <v>4</v>
      </c>
      <c r="U3056" t="n">
        <v>5</v>
      </c>
      <c r="V3056" t="n">
        <v>30</v>
      </c>
      <c r="W3056" t="n">
        <v>2</v>
      </c>
      <c r="X3056" t="n">
        <v>71.301247771836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1393</v>
      </c>
      <c r="AG3056" t="n">
        <v>2136</v>
      </c>
      <c r="AH3056" t="inlineStr">
        <is>
          <t>CV. SAMUDRA JAYA ABADI - PPN (JMB)</t>
        </is>
      </c>
      <c r="AI3056" t="n">
        <v>1057</v>
      </c>
      <c r="AJ3056" t="inlineStr">
        <is>
          <t>NUFACE</t>
        </is>
      </c>
      <c r="AK3056" t="n">
        <v>9</v>
      </c>
      <c r="AL3056" t="inlineStr">
        <is>
          <t>Miss Glam Jambi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NUFACE</t>
        </is>
      </c>
      <c r="B3057" s="2">
        <f>"8997226224377"</f>
        <v/>
      </c>
      <c r="C3057" t="inlineStr">
        <is>
          <t>NUFACE Nu Glow Hydra Lock &amp; Youthful Skin 80gr</t>
        </is>
      </c>
      <c r="D3057" t="inlineStr">
        <is>
          <t>Miss Glam Jambi</t>
        </is>
      </c>
      <c r="E3057" t="n">
        <v>6</v>
      </c>
      <c r="F3057" t="n">
        <v>0.0396</v>
      </c>
      <c r="G3057" t="n">
        <v>0.33</v>
      </c>
      <c r="H3057" t="n">
        <v>2</v>
      </c>
      <c r="I3057" t="n">
        <v>6</v>
      </c>
      <c r="J3057" t="n">
        <v>3</v>
      </c>
      <c r="K3057" t="n">
        <v>0</v>
      </c>
      <c r="L3057" t="n">
        <v>28900</v>
      </c>
      <c r="M3057" t="n">
        <v>34000</v>
      </c>
      <c r="N3057" t="n">
        <v>33</v>
      </c>
      <c r="O3057" t="n">
        <v>0.33</v>
      </c>
      <c r="P3057" t="n">
        <v>1</v>
      </c>
      <c r="Q3057" t="n">
        <v>0.05</v>
      </c>
      <c r="R3057" t="n">
        <v>1</v>
      </c>
      <c r="S3057" t="n">
        <v>1346.4</v>
      </c>
      <c r="T3057" t="n">
        <v>2</v>
      </c>
      <c r="U3057" t="n">
        <v>3</v>
      </c>
      <c r="V3057" t="n">
        <v>30</v>
      </c>
      <c r="W3057" t="n">
        <v>2</v>
      </c>
      <c r="X3057" t="n">
        <v>151.5151515151515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1393</v>
      </c>
      <c r="AG3057" t="n">
        <v>2136</v>
      </c>
      <c r="AH3057" t="inlineStr">
        <is>
          <t>CV. SAMUDRA JAYA ABADI - PPN (JMB)</t>
        </is>
      </c>
      <c r="AI3057" t="n">
        <v>1057</v>
      </c>
      <c r="AJ3057" t="inlineStr">
        <is>
          <t>NUFACE</t>
        </is>
      </c>
      <c r="AK3057" t="n">
        <v>9</v>
      </c>
      <c r="AL3057" t="inlineStr">
        <is>
          <t>Miss Glam Jambi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NUFACE</t>
        </is>
      </c>
      <c r="B3058" s="2">
        <f>"8997226225718"</f>
        <v/>
      </c>
      <c r="C3058" t="inlineStr">
        <is>
          <t>NUFACE Nuglow Acne Day Cream 48 x 15gr</t>
        </is>
      </c>
      <c r="D3058" t="inlineStr">
        <is>
          <t>Miss Glam Jambi</t>
        </is>
      </c>
      <c r="E3058" t="n">
        <v>6</v>
      </c>
      <c r="F3058" t="n">
        <v>0.006600000000000001</v>
      </c>
      <c r="G3058" t="n">
        <v>0.33</v>
      </c>
      <c r="H3058" t="n">
        <v>2</v>
      </c>
      <c r="I3058" t="n">
        <v>6</v>
      </c>
      <c r="J3058" t="n">
        <v>3</v>
      </c>
      <c r="K3058" t="n">
        <v>0</v>
      </c>
      <c r="L3058" t="n">
        <v>31720</v>
      </c>
      <c r="M3058" t="n">
        <v>42500</v>
      </c>
      <c r="N3058" t="n">
        <v>33</v>
      </c>
      <c r="O3058" t="n">
        <v>0.33</v>
      </c>
      <c r="P3058" t="n">
        <v>1</v>
      </c>
      <c r="Q3058" t="n">
        <v>0.03</v>
      </c>
      <c r="R3058" t="n">
        <v>1</v>
      </c>
      <c r="S3058" t="n">
        <v>280.5000000000001</v>
      </c>
      <c r="T3058" t="n">
        <v>2</v>
      </c>
      <c r="U3058" t="n">
        <v>3</v>
      </c>
      <c r="V3058" t="n">
        <v>30</v>
      </c>
      <c r="W3058" t="n">
        <v>1</v>
      </c>
      <c r="X3058" t="n">
        <v>909.090909090909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1393</v>
      </c>
      <c r="AG3058" t="n">
        <v>2136</v>
      </c>
      <c r="AH3058" t="inlineStr">
        <is>
          <t>CV. SAMUDRA JAYA ABADI - PPN (JMB)</t>
        </is>
      </c>
      <c r="AI3058" t="n">
        <v>1057</v>
      </c>
      <c r="AJ3058" t="inlineStr">
        <is>
          <t>NUFACE</t>
        </is>
      </c>
      <c r="AK3058" t="n">
        <v>9</v>
      </c>
      <c r="AL3058" t="inlineStr">
        <is>
          <t>Miss Glam Jambi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NUFACE</t>
        </is>
      </c>
      <c r="B3059" s="2">
        <f>"8997226224773"</f>
        <v/>
      </c>
      <c r="C3059" t="inlineStr">
        <is>
          <t>NUFACE NuGlow Brighten &amp; Supple Skin Serum 20ml</t>
        </is>
      </c>
      <c r="D3059" t="inlineStr">
        <is>
          <t>Miss Glam Jambi</t>
        </is>
      </c>
      <c r="E3059" t="n">
        <v>4</v>
      </c>
      <c r="F3059" t="n">
        <v>0.0264</v>
      </c>
      <c r="G3059" t="n">
        <v>0.66</v>
      </c>
      <c r="H3059" t="n">
        <v>2</v>
      </c>
      <c r="I3059" t="n">
        <v>6</v>
      </c>
      <c r="J3059" t="n">
        <v>3</v>
      </c>
      <c r="K3059" t="n">
        <v>0</v>
      </c>
      <c r="L3059" t="n">
        <v>20706</v>
      </c>
      <c r="M3059" t="n">
        <v>32500</v>
      </c>
      <c r="N3059" t="n">
        <v>33</v>
      </c>
      <c r="O3059" t="n">
        <v>0.33</v>
      </c>
      <c r="P3059" t="n">
        <v>1</v>
      </c>
      <c r="Q3059" t="n">
        <v>0.02</v>
      </c>
      <c r="R3059" t="n">
        <v>1</v>
      </c>
      <c r="S3059" t="n">
        <v>858.0000000000001</v>
      </c>
      <c r="T3059" t="n">
        <v>4</v>
      </c>
      <c r="U3059" t="n">
        <v>5</v>
      </c>
      <c r="V3059" t="n">
        <v>30</v>
      </c>
      <c r="W3059" t="n">
        <v>1</v>
      </c>
      <c r="X3059" t="n">
        <v>151.5151515151515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1393</v>
      </c>
      <c r="AG3059" t="n">
        <v>2136</v>
      </c>
      <c r="AH3059" t="inlineStr">
        <is>
          <t>CV. SAMUDRA JAYA ABADI - PPN (JMB)</t>
        </is>
      </c>
      <c r="AI3059" t="n">
        <v>1057</v>
      </c>
      <c r="AJ3059" t="inlineStr">
        <is>
          <t>NUFACE</t>
        </is>
      </c>
      <c r="AK3059" t="n">
        <v>9</v>
      </c>
      <c r="AL3059" t="inlineStr">
        <is>
          <t>Miss Glam Jambi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NUFACE</t>
        </is>
      </c>
      <c r="B3060" s="2">
        <f>"8997226225732"</f>
        <v/>
      </c>
      <c r="C3060" t="inlineStr">
        <is>
          <t>NUFACE Nuglow Touth Day Cream 48X15gr</t>
        </is>
      </c>
      <c r="D3060" t="inlineStr">
        <is>
          <t>Miss Glam Jambi</t>
        </is>
      </c>
      <c r="E3060" t="n">
        <v>2</v>
      </c>
      <c r="F3060" t="n">
        <v>0.006600000000000001</v>
      </c>
      <c r="G3060" t="n">
        <v>0.33</v>
      </c>
      <c r="H3060" t="n">
        <v>2</v>
      </c>
      <c r="I3060" t="n">
        <v>6</v>
      </c>
      <c r="J3060" t="n">
        <v>3</v>
      </c>
      <c r="K3060" t="n">
        <v>0</v>
      </c>
      <c r="L3060" t="n">
        <v>41126</v>
      </c>
      <c r="M3060" t="n">
        <v>49000</v>
      </c>
      <c r="N3060" t="n">
        <v>33</v>
      </c>
      <c r="O3060" t="n">
        <v>0.33</v>
      </c>
      <c r="P3060" t="n">
        <v>1</v>
      </c>
      <c r="Q3060" t="n">
        <v>0.03</v>
      </c>
      <c r="R3060" t="n">
        <v>1</v>
      </c>
      <c r="S3060" t="n">
        <v>323.4</v>
      </c>
      <c r="T3060" t="n">
        <v>2</v>
      </c>
      <c r="U3060" t="n">
        <v>3</v>
      </c>
      <c r="V3060" t="n">
        <v>30</v>
      </c>
      <c r="W3060" t="n">
        <v>1</v>
      </c>
      <c r="X3060" t="n">
        <v>303.030303030303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1393</v>
      </c>
      <c r="AG3060" t="n">
        <v>2136</v>
      </c>
      <c r="AH3060" t="inlineStr">
        <is>
          <t>CV. SAMUDRA JAYA ABADI - PPN (JMB)</t>
        </is>
      </c>
      <c r="AI3060" t="n">
        <v>1057</v>
      </c>
      <c r="AJ3060" t="inlineStr">
        <is>
          <t>NUFACE</t>
        </is>
      </c>
      <c r="AK3060" t="n">
        <v>9</v>
      </c>
      <c r="AL3060" t="inlineStr">
        <is>
          <t>Miss Glam Jambi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NUFACE</t>
        </is>
      </c>
      <c r="B3061" s="2">
        <f>"8997226225763"</f>
        <v/>
      </c>
      <c r="C3061" t="inlineStr">
        <is>
          <t>NUFACE Nuglow Touth Night Cream 48X15 gr</t>
        </is>
      </c>
      <c r="D3061" t="inlineStr">
        <is>
          <t>Miss Glam Jambi</t>
        </is>
      </c>
      <c r="E3061" t="n">
        <v>2</v>
      </c>
      <c r="F3061" t="n">
        <v>0.009900000000000001</v>
      </c>
      <c r="G3061" t="n">
        <v>0.33</v>
      </c>
      <c r="H3061" t="n">
        <v>2</v>
      </c>
      <c r="I3061" t="n">
        <v>6</v>
      </c>
      <c r="J3061" t="n">
        <v>3</v>
      </c>
      <c r="K3061" t="n">
        <v>0</v>
      </c>
      <c r="L3061" t="n">
        <v>35120</v>
      </c>
      <c r="M3061" t="n">
        <v>47000</v>
      </c>
      <c r="N3061" t="n">
        <v>33</v>
      </c>
      <c r="O3061" t="n">
        <v>0.33</v>
      </c>
      <c r="P3061" t="n">
        <v>1</v>
      </c>
      <c r="Q3061" t="n">
        <v>0.03</v>
      </c>
      <c r="R3061" t="n">
        <v>1</v>
      </c>
      <c r="S3061" t="n">
        <v>465.3</v>
      </c>
      <c r="T3061" t="n">
        <v>2</v>
      </c>
      <c r="U3061" t="n">
        <v>3</v>
      </c>
      <c r="V3061" t="n">
        <v>30</v>
      </c>
      <c r="W3061" t="n">
        <v>1</v>
      </c>
      <c r="X3061" t="n">
        <v>202.020202020202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1393</v>
      </c>
      <c r="AG3061" t="n">
        <v>2136</v>
      </c>
      <c r="AH3061" t="inlineStr">
        <is>
          <t>CV. SAMUDRA JAYA ABADI - PPN (JMB)</t>
        </is>
      </c>
      <c r="AI3061" t="n">
        <v>1057</v>
      </c>
      <c r="AJ3061" t="inlineStr">
        <is>
          <t>NUFACE</t>
        </is>
      </c>
      <c r="AK3061" t="n">
        <v>9</v>
      </c>
      <c r="AL3061" t="inlineStr">
        <is>
          <t>Miss Glam Jambi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NUFACE</t>
        </is>
      </c>
      <c r="B3062" s="2">
        <f>"10300722837"</f>
        <v/>
      </c>
      <c r="C3062" t="inlineStr">
        <is>
          <t>NUFACE Sat Zett Glowing Moisturizer Cream 30gr</t>
        </is>
      </c>
      <c r="D3062" t="inlineStr">
        <is>
          <t>Miss Glam Jambi</t>
        </is>
      </c>
      <c r="E3062" t="n">
        <v>6</v>
      </c>
      <c r="F3062" t="n">
        <v>0.0396</v>
      </c>
      <c r="G3062" t="n">
        <v>0.66</v>
      </c>
      <c r="H3062" t="n">
        <v>2</v>
      </c>
      <c r="I3062" t="n">
        <v>6</v>
      </c>
      <c r="J3062" t="n">
        <v>1</v>
      </c>
      <c r="K3062" t="n">
        <v>0</v>
      </c>
      <c r="L3062" t="n">
        <v>33320</v>
      </c>
      <c r="M3062" t="n">
        <v>42000</v>
      </c>
      <c r="N3062" t="n">
        <v>33</v>
      </c>
      <c r="O3062" t="n">
        <v>0.33</v>
      </c>
      <c r="P3062" t="n">
        <v>1</v>
      </c>
      <c r="Q3062" t="n">
        <v>0.03</v>
      </c>
      <c r="R3062" t="n">
        <v>1</v>
      </c>
      <c r="S3062" t="n">
        <v>1663.2</v>
      </c>
      <c r="T3062" t="n">
        <v>4</v>
      </c>
      <c r="U3062" t="n">
        <v>5</v>
      </c>
      <c r="V3062" t="n">
        <v>30</v>
      </c>
      <c r="W3062" t="n">
        <v>2</v>
      </c>
      <c r="X3062" t="n">
        <v>151.5151515151515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1393</v>
      </c>
      <c r="AG3062" t="n">
        <v>2136</v>
      </c>
      <c r="AH3062" t="inlineStr">
        <is>
          <t>CV. SAMUDRA JAYA ABADI - PPN (JMB)</t>
        </is>
      </c>
      <c r="AI3062" t="n">
        <v>1057</v>
      </c>
      <c r="AJ3062" t="inlineStr">
        <is>
          <t>NUFACE</t>
        </is>
      </c>
      <c r="AK3062" t="n">
        <v>9</v>
      </c>
      <c r="AL3062" t="inlineStr">
        <is>
          <t>Miss Glam Jambi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NURILAB</t>
        </is>
      </c>
      <c r="B3063" s="2">
        <f>"10600103147"</f>
        <v/>
      </c>
      <c r="C3063" t="inlineStr">
        <is>
          <t>NURILAB Acne Conclearing Spot Drying Lotion 08 Cool 2.5gr</t>
        </is>
      </c>
      <c r="D3063" t="inlineStr">
        <is>
          <t>Miss Glam Jambi</t>
        </is>
      </c>
      <c r="E3063" t="n">
        <v>4</v>
      </c>
      <c r="F3063" t="n">
        <v>0.08</v>
      </c>
      <c r="G3063" t="n">
        <v>2</v>
      </c>
      <c r="H3063" t="n">
        <v>4</v>
      </c>
      <c r="I3063" t="n">
        <v>20</v>
      </c>
      <c r="J3063" t="n">
        <v>1</v>
      </c>
      <c r="K3063" t="n">
        <v>0</v>
      </c>
      <c r="L3063" t="n">
        <v>50104</v>
      </c>
      <c r="M3063" t="n">
        <v>63000</v>
      </c>
      <c r="N3063" t="n">
        <v>33</v>
      </c>
      <c r="O3063" t="n">
        <v>0.33</v>
      </c>
      <c r="P3063" t="n">
        <v>0</v>
      </c>
      <c r="Q3063" t="n">
        <v>0.08</v>
      </c>
      <c r="R3063" t="n">
        <v>2</v>
      </c>
      <c r="S3063" t="n">
        <v>5040</v>
      </c>
      <c r="T3063" t="n">
        <v>40</v>
      </c>
      <c r="U3063" t="n">
        <v>41</v>
      </c>
      <c r="V3063" t="n">
        <v>30</v>
      </c>
      <c r="W3063" t="n">
        <v>3</v>
      </c>
      <c r="X3063" t="n">
        <v>50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7303</v>
      </c>
      <c r="AG3063" t="n">
        <v>1</v>
      </c>
      <c r="AH3063" t="inlineStr">
        <is>
          <t>PT. BERSAMA DISTRIVERSA INDONESIA (DC CIPUTAT)</t>
        </is>
      </c>
      <c r="AI3063" t="n">
        <v>2277</v>
      </c>
      <c r="AJ3063" t="inlineStr">
        <is>
          <t>NURILAB</t>
        </is>
      </c>
      <c r="AK3063" t="n">
        <v>9</v>
      </c>
      <c r="AL3063" t="inlineStr">
        <is>
          <t>Miss Glam Jambi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NURILAB</t>
        </is>
      </c>
      <c r="B3064" s="2">
        <f>"10600103243"</f>
        <v/>
      </c>
      <c r="C3064" t="inlineStr">
        <is>
          <t>NURILAB Acne Conclearing Spot Drying Lotion 16 Neutral 2.5gr</t>
        </is>
      </c>
      <c r="D3064" t="inlineStr">
        <is>
          <t>Miss Glam Jambi</t>
        </is>
      </c>
      <c r="E3064" t="n">
        <v>4</v>
      </c>
      <c r="F3064" t="n">
        <v>0.02</v>
      </c>
      <c r="G3064" t="n">
        <v>1</v>
      </c>
      <c r="H3064" t="n">
        <v>4</v>
      </c>
      <c r="I3064" t="n">
        <v>20</v>
      </c>
      <c r="J3064" t="n">
        <v>1</v>
      </c>
      <c r="K3064" t="n">
        <v>0</v>
      </c>
      <c r="L3064" t="n">
        <v>50104</v>
      </c>
      <c r="M3064" t="n">
        <v>63000</v>
      </c>
      <c r="N3064" t="n">
        <v>33</v>
      </c>
      <c r="O3064" t="n">
        <v>0.33</v>
      </c>
      <c r="P3064" t="n">
        <v>0</v>
      </c>
      <c r="Q3064" t="n">
        <v>0.02</v>
      </c>
      <c r="R3064" t="n">
        <v>1</v>
      </c>
      <c r="S3064" t="n">
        <v>1260</v>
      </c>
      <c r="T3064" t="n">
        <v>20</v>
      </c>
      <c r="U3064" t="n">
        <v>21</v>
      </c>
      <c r="V3064" t="n">
        <v>30</v>
      </c>
      <c r="W3064" t="n">
        <v>1</v>
      </c>
      <c r="X3064" t="n">
        <v>200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7303</v>
      </c>
      <c r="AG3064" t="n">
        <v>1</v>
      </c>
      <c r="AH3064" t="inlineStr">
        <is>
          <t>PT. BERSAMA DISTRIVERSA INDONESIA (DC CIPUTAT)</t>
        </is>
      </c>
      <c r="AI3064" t="n">
        <v>2277</v>
      </c>
      <c r="AJ3064" t="inlineStr">
        <is>
          <t>NURILAB</t>
        </is>
      </c>
      <c r="AK3064" t="n">
        <v>9</v>
      </c>
      <c r="AL3064" t="inlineStr">
        <is>
          <t>Miss Glam Jambi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NYU</t>
        </is>
      </c>
      <c r="B3065" s="2">
        <f>"8992745999775"</f>
        <v/>
      </c>
      <c r="C3065" t="inlineStr">
        <is>
          <t>NYU Hair Color Blue Black 30ml</t>
        </is>
      </c>
      <c r="D3065" t="inlineStr">
        <is>
          <t>Miss Glam Jambi</t>
        </is>
      </c>
      <c r="E3065" t="n">
        <v>5</v>
      </c>
      <c r="F3065" t="n">
        <v>0.0165</v>
      </c>
      <c r="G3065" t="n">
        <v>0.66</v>
      </c>
      <c r="H3065" t="n">
        <v>4</v>
      </c>
      <c r="I3065" t="n">
        <v>20</v>
      </c>
      <c r="J3065" t="n">
        <v>3</v>
      </c>
      <c r="K3065" t="n">
        <v>0</v>
      </c>
      <c r="L3065" t="n">
        <v>13161</v>
      </c>
      <c r="M3065" t="n">
        <v>15000</v>
      </c>
      <c r="N3065" t="n">
        <v>33</v>
      </c>
      <c r="O3065" t="n">
        <v>0.33</v>
      </c>
      <c r="P3065" t="n">
        <v>1</v>
      </c>
      <c r="Q3065" t="n">
        <v>0.03</v>
      </c>
      <c r="R3065" t="n">
        <v>2</v>
      </c>
      <c r="S3065" t="n">
        <v>247.5</v>
      </c>
      <c r="T3065" t="n">
        <v>14</v>
      </c>
      <c r="U3065" t="n">
        <v>15</v>
      </c>
      <c r="V3065" t="n">
        <v>30</v>
      </c>
      <c r="W3065" t="n">
        <v>1</v>
      </c>
      <c r="X3065" t="n">
        <v>303.030303030303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7400</v>
      </c>
      <c r="AG3065" t="n">
        <v>1</v>
      </c>
      <c r="AH3065" t="inlineStr">
        <is>
          <t>PT. BERSAMA DISTRIVERSA INDONESIA (DC CIPUTAT)</t>
        </is>
      </c>
      <c r="AI3065" t="n">
        <v>121</v>
      </c>
      <c r="AJ3065" t="inlineStr">
        <is>
          <t>NYU</t>
        </is>
      </c>
      <c r="AK3065" t="n">
        <v>9</v>
      </c>
      <c r="AL3065" t="inlineStr">
        <is>
          <t>Miss Glam Jambi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NYU</t>
        </is>
      </c>
      <c r="B3066" s="2">
        <f>"8992745999829"</f>
        <v/>
      </c>
      <c r="C3066" t="inlineStr">
        <is>
          <t>NYU Hair Color Burgundy 30m</t>
        </is>
      </c>
      <c r="D3066" t="inlineStr">
        <is>
          <t>Miss Glam Jambi</t>
        </is>
      </c>
      <c r="E3066" t="n">
        <v>8</v>
      </c>
      <c r="F3066" t="n">
        <v>0.0264</v>
      </c>
      <c r="G3066" t="n">
        <v>0.66</v>
      </c>
      <c r="H3066" t="n">
        <v>4</v>
      </c>
      <c r="I3066" t="n">
        <v>20</v>
      </c>
      <c r="J3066" t="n">
        <v>3</v>
      </c>
      <c r="K3066" t="n">
        <v>0</v>
      </c>
      <c r="L3066" t="n">
        <v>13647</v>
      </c>
      <c r="M3066" t="n">
        <v>15000</v>
      </c>
      <c r="N3066" t="n">
        <v>33</v>
      </c>
      <c r="O3066" t="n">
        <v>0.33</v>
      </c>
      <c r="P3066" t="n">
        <v>1</v>
      </c>
      <c r="Q3066" t="n">
        <v>0.03</v>
      </c>
      <c r="R3066" t="n">
        <v>1</v>
      </c>
      <c r="S3066" t="n">
        <v>396.0000000000001</v>
      </c>
      <c r="T3066" t="n">
        <v>14</v>
      </c>
      <c r="U3066" t="n">
        <v>15</v>
      </c>
      <c r="V3066" t="n">
        <v>30</v>
      </c>
      <c r="W3066" t="n">
        <v>1</v>
      </c>
      <c r="X3066" t="n">
        <v>303.030303030303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7400</v>
      </c>
      <c r="AG3066" t="n">
        <v>1</v>
      </c>
      <c r="AH3066" t="inlineStr">
        <is>
          <t>PT. BERSAMA DISTRIVERSA INDONESIA (DC CIPUTAT)</t>
        </is>
      </c>
      <c r="AI3066" t="n">
        <v>121</v>
      </c>
      <c r="AJ3066" t="inlineStr">
        <is>
          <t>NYU</t>
        </is>
      </c>
      <c r="AK3066" t="n">
        <v>9</v>
      </c>
      <c r="AL3066" t="inlineStr">
        <is>
          <t>Miss Glam Jambi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NYU</t>
        </is>
      </c>
      <c r="B3067" s="2">
        <f>"8992745999812"</f>
        <v/>
      </c>
      <c r="C3067" t="inlineStr">
        <is>
          <t>NYU Hair Color Caramel 30ml</t>
        </is>
      </c>
      <c r="D3067" t="inlineStr">
        <is>
          <t>Miss Glam Jambi</t>
        </is>
      </c>
      <c r="E3067" t="n">
        <v>1</v>
      </c>
      <c r="F3067" t="n">
        <v>0.0165</v>
      </c>
      <c r="G3067" t="n">
        <v>0.33</v>
      </c>
      <c r="H3067" t="n">
        <v>4</v>
      </c>
      <c r="I3067" t="n">
        <v>20</v>
      </c>
      <c r="J3067" t="n">
        <v>3</v>
      </c>
      <c r="K3067" t="n">
        <v>3</v>
      </c>
      <c r="L3067" t="n">
        <v>13161</v>
      </c>
      <c r="M3067" t="n">
        <v>15000</v>
      </c>
      <c r="N3067" t="n">
        <v>33</v>
      </c>
      <c r="O3067" t="n">
        <v>0.33</v>
      </c>
      <c r="P3067" t="n">
        <v>1</v>
      </c>
      <c r="Q3067" t="n">
        <v>0.07000000000000001</v>
      </c>
      <c r="R3067" t="n">
        <v>2</v>
      </c>
      <c r="S3067" t="n">
        <v>247.5</v>
      </c>
      <c r="T3067" t="n">
        <v>7</v>
      </c>
      <c r="U3067" t="n">
        <v>8</v>
      </c>
      <c r="V3067" t="n">
        <v>30</v>
      </c>
      <c r="W3067" t="n">
        <v>1</v>
      </c>
      <c r="X3067" t="n">
        <v>60.6060606060606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7400</v>
      </c>
      <c r="AG3067" t="n">
        <v>1</v>
      </c>
      <c r="AH3067" t="inlineStr">
        <is>
          <t>PT. BERSAMA DISTRIVERSA INDONESIA (DC CIPUTAT)</t>
        </is>
      </c>
      <c r="AI3067" t="n">
        <v>121</v>
      </c>
      <c r="AJ3067" t="inlineStr">
        <is>
          <t>NYU</t>
        </is>
      </c>
      <c r="AK3067" t="n">
        <v>9</v>
      </c>
      <c r="AL3067" t="inlineStr">
        <is>
          <t>Miss Glam Jambi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NYU</t>
        </is>
      </c>
      <c r="B3068" s="2">
        <f>"8992745999690"</f>
        <v/>
      </c>
      <c r="C3068" t="inlineStr">
        <is>
          <t>NYU Hair Color Cherry Red</t>
        </is>
      </c>
      <c r="D3068" t="inlineStr">
        <is>
          <t>Miss Glam Jambi</t>
        </is>
      </c>
      <c r="E3068" t="n">
        <v>0</v>
      </c>
      <c r="F3068" t="n">
        <v>0.04</v>
      </c>
      <c r="G3068" t="n">
        <v>2</v>
      </c>
      <c r="H3068" t="n">
        <v>4</v>
      </c>
      <c r="I3068" t="n">
        <v>20</v>
      </c>
      <c r="J3068" t="n">
        <v>3</v>
      </c>
      <c r="K3068" t="n">
        <v>6</v>
      </c>
      <c r="L3068" t="n">
        <v>13030</v>
      </c>
      <c r="M3068" t="n">
        <v>15000</v>
      </c>
      <c r="N3068" t="n">
        <v>33</v>
      </c>
      <c r="O3068" t="n">
        <v>0.33</v>
      </c>
      <c r="P3068" t="n">
        <v>0</v>
      </c>
      <c r="Q3068" t="n">
        <v>0.04</v>
      </c>
      <c r="R3068" t="n">
        <v>2</v>
      </c>
      <c r="S3068" t="n">
        <v>600</v>
      </c>
      <c r="T3068" t="n">
        <v>40</v>
      </c>
      <c r="U3068" t="n">
        <v>41</v>
      </c>
      <c r="V3068" t="n">
        <v>30</v>
      </c>
      <c r="W3068" t="n">
        <v>2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7400</v>
      </c>
      <c r="AG3068" t="n">
        <v>1</v>
      </c>
      <c r="AH3068" t="inlineStr">
        <is>
          <t>PT. BERSAMA DISTRIVERSA INDONESIA (DC CIPUTAT)</t>
        </is>
      </c>
      <c r="AI3068" t="n">
        <v>121</v>
      </c>
      <c r="AJ3068" t="inlineStr">
        <is>
          <t>NYU</t>
        </is>
      </c>
      <c r="AK3068" t="n">
        <v>9</v>
      </c>
      <c r="AL3068" t="inlineStr">
        <is>
          <t>Miss Glam Jambi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NYU</t>
        </is>
      </c>
      <c r="B3069" s="2">
        <f>"8992745999805"</f>
        <v/>
      </c>
      <c r="C3069" t="inlineStr">
        <is>
          <t>NYU Hair Color Coppery Brown 30ml</t>
        </is>
      </c>
      <c r="D3069" t="inlineStr">
        <is>
          <t>Miss Glam Jambi</t>
        </is>
      </c>
      <c r="E3069" t="n">
        <v>8</v>
      </c>
      <c r="F3069" t="n">
        <v>0.0165</v>
      </c>
      <c r="G3069" t="n">
        <v>0.33</v>
      </c>
      <c r="H3069" t="n">
        <v>4</v>
      </c>
      <c r="I3069" t="n">
        <v>20</v>
      </c>
      <c r="J3069" t="n">
        <v>3</v>
      </c>
      <c r="K3069" t="n">
        <v>0</v>
      </c>
      <c r="L3069" t="n">
        <v>13317</v>
      </c>
      <c r="M3069" t="n">
        <v>15000</v>
      </c>
      <c r="N3069" t="n">
        <v>33</v>
      </c>
      <c r="O3069" t="n">
        <v>0.33</v>
      </c>
      <c r="P3069" t="n">
        <v>1</v>
      </c>
      <c r="Q3069" t="n">
        <v>0.03</v>
      </c>
      <c r="R3069" t="n">
        <v>1</v>
      </c>
      <c r="S3069" t="n">
        <v>247.5</v>
      </c>
      <c r="T3069" t="n">
        <v>7</v>
      </c>
      <c r="U3069" t="n">
        <v>8</v>
      </c>
      <c r="V3069" t="n">
        <v>30</v>
      </c>
      <c r="W3069" t="n">
        <v>1</v>
      </c>
      <c r="X3069" t="n">
        <v>484.8484848484848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7400</v>
      </c>
      <c r="AG3069" t="n">
        <v>1</v>
      </c>
      <c r="AH3069" t="inlineStr">
        <is>
          <t>PT. BERSAMA DISTRIVERSA INDONESIA (DC CIPUTAT)</t>
        </is>
      </c>
      <c r="AI3069" t="n">
        <v>121</v>
      </c>
      <c r="AJ3069" t="inlineStr">
        <is>
          <t>NYU</t>
        </is>
      </c>
      <c r="AK3069" t="n">
        <v>9</v>
      </c>
      <c r="AL3069" t="inlineStr">
        <is>
          <t>Miss Glam Jambi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NYU</t>
        </is>
      </c>
      <c r="B3070" s="2">
        <f>"8992745999799"</f>
        <v/>
      </c>
      <c r="C3070" t="inlineStr">
        <is>
          <t>NYU Hair Color Natural Brown 30ml</t>
        </is>
      </c>
      <c r="D3070" t="inlineStr">
        <is>
          <t>Miss Glam Jambi</t>
        </is>
      </c>
      <c r="E3070" t="n">
        <v>2</v>
      </c>
      <c r="F3070" t="n">
        <v>0.12</v>
      </c>
      <c r="G3070" t="n">
        <v>2</v>
      </c>
      <c r="H3070" t="n">
        <v>4</v>
      </c>
      <c r="I3070" t="n">
        <v>20</v>
      </c>
      <c r="J3070" t="n">
        <v>3</v>
      </c>
      <c r="K3070" t="n">
        <v>3</v>
      </c>
      <c r="L3070" t="n">
        <v>13317</v>
      </c>
      <c r="M3070" t="n">
        <v>15000</v>
      </c>
      <c r="N3070" t="n">
        <v>33</v>
      </c>
      <c r="O3070" t="n">
        <v>0.33</v>
      </c>
      <c r="P3070" t="n">
        <v>0</v>
      </c>
      <c r="Q3070" t="n">
        <v>0.12</v>
      </c>
      <c r="R3070" t="n">
        <v>2</v>
      </c>
      <c r="S3070" t="n">
        <v>1800</v>
      </c>
      <c r="T3070" t="n">
        <v>40</v>
      </c>
      <c r="U3070" t="n">
        <v>41</v>
      </c>
      <c r="V3070" t="n">
        <v>30</v>
      </c>
      <c r="W3070" t="n">
        <v>4</v>
      </c>
      <c r="X3070" t="n">
        <v>16.66666666666667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7400</v>
      </c>
      <c r="AG3070" t="n">
        <v>1</v>
      </c>
      <c r="AH3070" t="inlineStr">
        <is>
          <t>PT. BERSAMA DISTRIVERSA INDONESIA (DC CIPUTAT)</t>
        </is>
      </c>
      <c r="AI3070" t="n">
        <v>121</v>
      </c>
      <c r="AJ3070" t="inlineStr">
        <is>
          <t>NYU</t>
        </is>
      </c>
      <c r="AK3070" t="n">
        <v>9</v>
      </c>
      <c r="AL3070" t="inlineStr">
        <is>
          <t>Miss Glam Jambi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NYU</t>
        </is>
      </c>
      <c r="B3071" s="2">
        <f>"40200633654"</f>
        <v/>
      </c>
      <c r="C3071" t="inlineStr">
        <is>
          <t>NYU Henna Shampoo Hair Color Burgundy 20ml</t>
        </is>
      </c>
      <c r="D3071" t="inlineStr">
        <is>
          <t>Miss Glam Jambi</t>
        </is>
      </c>
      <c r="E3071" t="n">
        <v>1</v>
      </c>
      <c r="F3071" t="n">
        <v>0.02</v>
      </c>
      <c r="G3071" t="n">
        <v>2</v>
      </c>
      <c r="H3071" t="n">
        <v>4</v>
      </c>
      <c r="I3071" t="n">
        <v>20</v>
      </c>
      <c r="J3071" t="n">
        <v>1</v>
      </c>
      <c r="K3071" t="n">
        <v>0</v>
      </c>
      <c r="L3071" t="n">
        <v>9009</v>
      </c>
      <c r="M3071" t="n">
        <v>11500</v>
      </c>
      <c r="N3071" t="n">
        <v>33</v>
      </c>
      <c r="O3071" t="n">
        <v>0.33</v>
      </c>
      <c r="P3071" t="n">
        <v>0</v>
      </c>
      <c r="Q3071" t="n">
        <v>0.02</v>
      </c>
      <c r="R3071" t="n">
        <v>2</v>
      </c>
      <c r="S3071" t="n">
        <v>230</v>
      </c>
      <c r="T3071" t="n">
        <v>40</v>
      </c>
      <c r="U3071" t="n">
        <v>41</v>
      </c>
      <c r="V3071" t="n">
        <v>30</v>
      </c>
      <c r="W3071" t="n">
        <v>1</v>
      </c>
      <c r="X3071" t="n">
        <v>50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7400</v>
      </c>
      <c r="AG3071" t="n">
        <v>1</v>
      </c>
      <c r="AH3071" t="inlineStr">
        <is>
          <t>PT. BERSAMA DISTRIVERSA INDONESIA (DC CIPUTAT)</t>
        </is>
      </c>
      <c r="AI3071" t="n">
        <v>121</v>
      </c>
      <c r="AJ3071" t="inlineStr">
        <is>
          <t>NYU</t>
        </is>
      </c>
      <c r="AK3071" t="n">
        <v>9</v>
      </c>
      <c r="AL3071" t="inlineStr">
        <is>
          <t>Miss Glam Jambi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NYU</t>
        </is>
      </c>
      <c r="B3072" s="2">
        <f>"40100150925"</f>
        <v/>
      </c>
      <c r="C3072" t="inlineStr">
        <is>
          <t>NYU Henna Shampoo Hair Color Natural Black 20ml</t>
        </is>
      </c>
      <c r="D3072" t="inlineStr">
        <is>
          <t>Miss Glam Jambi</t>
        </is>
      </c>
      <c r="E3072" t="n">
        <v>4</v>
      </c>
      <c r="F3072" t="n">
        <v>0.05</v>
      </c>
      <c r="G3072" t="n">
        <v>2</v>
      </c>
      <c r="H3072" t="n">
        <v>4</v>
      </c>
      <c r="I3072" t="n">
        <v>20</v>
      </c>
      <c r="J3072" t="n">
        <v>1</v>
      </c>
      <c r="K3072" t="n">
        <v>0</v>
      </c>
      <c r="L3072" t="n">
        <v>9009</v>
      </c>
      <c r="M3072" t="n">
        <v>11500</v>
      </c>
      <c r="N3072" t="n">
        <v>33</v>
      </c>
      <c r="O3072" t="n">
        <v>0.33</v>
      </c>
      <c r="P3072" t="n">
        <v>0</v>
      </c>
      <c r="Q3072" t="n">
        <v>0.05</v>
      </c>
      <c r="R3072" t="n">
        <v>2</v>
      </c>
      <c r="S3072" t="n">
        <v>575</v>
      </c>
      <c r="T3072" t="n">
        <v>40</v>
      </c>
      <c r="U3072" t="n">
        <v>41</v>
      </c>
      <c r="V3072" t="n">
        <v>30</v>
      </c>
      <c r="W3072" t="n">
        <v>2</v>
      </c>
      <c r="X3072" t="n">
        <v>80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7400</v>
      </c>
      <c r="AG3072" t="n">
        <v>1</v>
      </c>
      <c r="AH3072" t="inlineStr">
        <is>
          <t>PT. BERSAMA DISTRIVERSA INDONESIA (DC CIPUTAT)</t>
        </is>
      </c>
      <c r="AI3072" t="n">
        <v>121</v>
      </c>
      <c r="AJ3072" t="inlineStr">
        <is>
          <t>NYU</t>
        </is>
      </c>
      <c r="AK3072" t="n">
        <v>9</v>
      </c>
      <c r="AL3072" t="inlineStr">
        <is>
          <t>Miss Glam Jambi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O TWO O</t>
        </is>
      </c>
      <c r="B3073" s="2">
        <f>"6928495810239"</f>
        <v/>
      </c>
      <c r="C3073" t="inlineStr">
        <is>
          <t>O TWO O Le Culer Black</t>
        </is>
      </c>
      <c r="D3073" t="inlineStr">
        <is>
          <t>Miss Glam Jambi</t>
        </is>
      </c>
      <c r="E3073" t="n">
        <v>8</v>
      </c>
      <c r="F3073" t="n">
        <v>0.0495</v>
      </c>
      <c r="G3073" t="n">
        <v>0.66</v>
      </c>
      <c r="H3073" t="n">
        <v>4</v>
      </c>
      <c r="I3073" t="n">
        <v>20</v>
      </c>
      <c r="J3073" t="n">
        <v>3</v>
      </c>
      <c r="K3073" t="n">
        <v>0</v>
      </c>
      <c r="L3073" t="n">
        <v>24425</v>
      </c>
      <c r="M3073" t="n">
        <v>30000</v>
      </c>
      <c r="N3073" t="n">
        <v>33</v>
      </c>
      <c r="O3073" t="n">
        <v>0.33</v>
      </c>
      <c r="P3073" t="n">
        <v>1</v>
      </c>
      <c r="Q3073" t="n">
        <v>0.08</v>
      </c>
      <c r="R3073" t="n">
        <v>1</v>
      </c>
      <c r="S3073" t="n">
        <v>1485</v>
      </c>
      <c r="T3073" t="n">
        <v>14</v>
      </c>
      <c r="U3073" t="n">
        <v>15</v>
      </c>
      <c r="V3073" t="n">
        <v>30</v>
      </c>
      <c r="W3073" t="n">
        <v>2</v>
      </c>
      <c r="X3073" t="n">
        <v>161.6161616161616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7433</v>
      </c>
      <c r="AG3073" t="n">
        <v>1</v>
      </c>
      <c r="AH3073" t="inlineStr">
        <is>
          <t>PT. BERSAMA DISTRIVERSA INDONESIA (DC CIPUTAT)</t>
        </is>
      </c>
      <c r="AI3073" t="n">
        <v>122</v>
      </c>
      <c r="AJ3073" t="inlineStr">
        <is>
          <t>O TWO O</t>
        </is>
      </c>
      <c r="AK3073" t="n">
        <v>9</v>
      </c>
      <c r="AL3073" t="inlineStr">
        <is>
          <t>Miss Glam Jambi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O TWO O</t>
        </is>
      </c>
      <c r="B3074" s="2">
        <f>"6928495813544"</f>
        <v/>
      </c>
      <c r="C3074" t="inlineStr">
        <is>
          <t>O TWO O Miraculous Cat Eye Stamp Eyeliner Pen</t>
        </is>
      </c>
      <c r="D3074" t="inlineStr">
        <is>
          <t>Miss Glam Jambi</t>
        </is>
      </c>
      <c r="E3074" t="n">
        <v>7</v>
      </c>
      <c r="F3074" t="n">
        <v>0.0495</v>
      </c>
      <c r="G3074" t="n">
        <v>0.33</v>
      </c>
      <c r="H3074" t="n">
        <v>4</v>
      </c>
      <c r="I3074" t="n">
        <v>20</v>
      </c>
      <c r="J3074" t="n">
        <v>3</v>
      </c>
      <c r="K3074" t="n">
        <v>0</v>
      </c>
      <c r="L3074" t="n">
        <v>39827</v>
      </c>
      <c r="M3074" t="n">
        <v>50000</v>
      </c>
      <c r="N3074" t="n">
        <v>33</v>
      </c>
      <c r="O3074" t="n">
        <v>0.33</v>
      </c>
      <c r="P3074" t="n">
        <v>1</v>
      </c>
      <c r="Q3074" t="n">
        <v>0.02</v>
      </c>
      <c r="R3074" t="n">
        <v>1</v>
      </c>
      <c r="S3074" t="n">
        <v>2475</v>
      </c>
      <c r="T3074" t="n">
        <v>7</v>
      </c>
      <c r="U3074" t="n">
        <v>8</v>
      </c>
      <c r="V3074" t="n">
        <v>30</v>
      </c>
      <c r="W3074" t="n">
        <v>2</v>
      </c>
      <c r="X3074" t="n">
        <v>141.4141414141414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7433</v>
      </c>
      <c r="AG3074" t="n">
        <v>1</v>
      </c>
      <c r="AH3074" t="inlineStr">
        <is>
          <t>PT. BERSAMA DISTRIVERSA INDONESIA (DC CIPUTAT)</t>
        </is>
      </c>
      <c r="AI3074" t="n">
        <v>122</v>
      </c>
      <c r="AJ3074" t="inlineStr">
        <is>
          <t>O TWO O</t>
        </is>
      </c>
      <c r="AK3074" t="n">
        <v>9</v>
      </c>
      <c r="AL3074" t="inlineStr">
        <is>
          <t>Miss Glam Jambi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O TWO O</t>
        </is>
      </c>
      <c r="B3075" s="2">
        <f>"6973263791494"</f>
        <v/>
      </c>
      <c r="C3075" t="inlineStr">
        <is>
          <t>O TWO O Natural Shaping Eyebrow Dying Cream 01 5gr</t>
        </is>
      </c>
      <c r="D3075" t="inlineStr">
        <is>
          <t>Miss Glam Jambi</t>
        </is>
      </c>
      <c r="E3075" t="n">
        <v>9</v>
      </c>
      <c r="F3075" t="n">
        <v>0.006600000000000001</v>
      </c>
      <c r="G3075" t="n">
        <v>0.33</v>
      </c>
      <c r="H3075" t="n">
        <v>4</v>
      </c>
      <c r="I3075" t="n">
        <v>20</v>
      </c>
      <c r="J3075" t="n">
        <v>3</v>
      </c>
      <c r="K3075" t="n">
        <v>0</v>
      </c>
      <c r="L3075" t="n">
        <v>39579</v>
      </c>
      <c r="M3075" t="n">
        <v>49900</v>
      </c>
      <c r="N3075" t="n">
        <v>33</v>
      </c>
      <c r="O3075" t="n">
        <v>0.33</v>
      </c>
      <c r="P3075" t="n">
        <v>1</v>
      </c>
      <c r="Q3075" t="n">
        <v>0.02</v>
      </c>
      <c r="R3075" t="n">
        <v>1</v>
      </c>
      <c r="S3075" t="n">
        <v>329.34</v>
      </c>
      <c r="T3075" t="n">
        <v>7</v>
      </c>
      <c r="U3075" t="n">
        <v>8</v>
      </c>
      <c r="V3075" t="n">
        <v>30</v>
      </c>
      <c r="W3075" t="n">
        <v>1</v>
      </c>
      <c r="X3075" t="n">
        <v>1363.636363636364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7433</v>
      </c>
      <c r="AG3075" t="n">
        <v>1</v>
      </c>
      <c r="AH3075" t="inlineStr">
        <is>
          <t>PT. BERSAMA DISTRIVERSA INDONESIA (DC CIPUTAT)</t>
        </is>
      </c>
      <c r="AI3075" t="n">
        <v>122</v>
      </c>
      <c r="AJ3075" t="inlineStr">
        <is>
          <t>O TWO O</t>
        </is>
      </c>
      <c r="AK3075" t="n">
        <v>9</v>
      </c>
      <c r="AL3075" t="inlineStr">
        <is>
          <t>Miss Glam Jambi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O TWO O</t>
        </is>
      </c>
      <c r="B3076" s="2">
        <f>"6973263791500"</f>
        <v/>
      </c>
      <c r="C3076" t="inlineStr">
        <is>
          <t>O TWO O Natural Shaping Eyebrow Dying Cream 02 5gr</t>
        </is>
      </c>
      <c r="D3076" t="inlineStr">
        <is>
          <t>Miss Glam Jambi</t>
        </is>
      </c>
      <c r="E3076" t="n">
        <v>9</v>
      </c>
      <c r="F3076" t="n">
        <v>0.02</v>
      </c>
      <c r="G3076" t="n">
        <v>1</v>
      </c>
      <c r="H3076" t="n">
        <v>4</v>
      </c>
      <c r="I3076" t="n">
        <v>20</v>
      </c>
      <c r="J3076" t="n">
        <v>3</v>
      </c>
      <c r="K3076" t="n">
        <v>0</v>
      </c>
      <c r="L3076" t="n">
        <v>39579</v>
      </c>
      <c r="M3076" t="n">
        <v>49900</v>
      </c>
      <c r="N3076" t="n">
        <v>33</v>
      </c>
      <c r="O3076" t="n">
        <v>0.33</v>
      </c>
      <c r="P3076" t="n">
        <v>0</v>
      </c>
      <c r="Q3076" t="n">
        <v>0.02</v>
      </c>
      <c r="R3076" t="n">
        <v>1</v>
      </c>
      <c r="S3076" t="n">
        <v>998</v>
      </c>
      <c r="T3076" t="n">
        <v>20</v>
      </c>
      <c r="U3076" t="n">
        <v>21</v>
      </c>
      <c r="V3076" t="n">
        <v>30</v>
      </c>
      <c r="W3076" t="n">
        <v>1</v>
      </c>
      <c r="X3076" t="n">
        <v>450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7433</v>
      </c>
      <c r="AG3076" t="n">
        <v>1</v>
      </c>
      <c r="AH3076" t="inlineStr">
        <is>
          <t>PT. BERSAMA DISTRIVERSA INDONESIA (DC CIPUTAT)</t>
        </is>
      </c>
      <c r="AI3076" t="n">
        <v>122</v>
      </c>
      <c r="AJ3076" t="inlineStr">
        <is>
          <t>O TWO O</t>
        </is>
      </c>
      <c r="AK3076" t="n">
        <v>9</v>
      </c>
      <c r="AL3076" t="inlineStr">
        <is>
          <t>Miss Glam Jambi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O TWO O</t>
        </is>
      </c>
      <c r="B3077" s="2">
        <f>"6973263792637"</f>
        <v/>
      </c>
      <c r="C3077" t="inlineStr">
        <is>
          <t>O TWO O Warping Comb Eyelash Curler</t>
        </is>
      </c>
      <c r="D3077" t="inlineStr">
        <is>
          <t>Miss Glam Jambi</t>
        </is>
      </c>
      <c r="E3077" t="n">
        <v>11</v>
      </c>
      <c r="F3077" t="n">
        <v>0.06270000000000001</v>
      </c>
      <c r="G3077" t="n">
        <v>0.66</v>
      </c>
      <c r="H3077" t="n">
        <v>4</v>
      </c>
      <c r="I3077" t="n">
        <v>20</v>
      </c>
      <c r="J3077" t="n">
        <v>3</v>
      </c>
      <c r="K3077" t="n">
        <v>0</v>
      </c>
      <c r="L3077" t="n">
        <v>32033</v>
      </c>
      <c r="M3077" t="n">
        <v>40000</v>
      </c>
      <c r="N3077" t="n">
        <v>33</v>
      </c>
      <c r="O3077" t="n">
        <v>0.33</v>
      </c>
      <c r="P3077" t="n">
        <v>1</v>
      </c>
      <c r="Q3077" t="n">
        <v>0.07000000000000001</v>
      </c>
      <c r="R3077" t="n">
        <v>2</v>
      </c>
      <c r="S3077" t="n">
        <v>2508</v>
      </c>
      <c r="T3077" t="n">
        <v>13</v>
      </c>
      <c r="U3077" t="n">
        <v>14</v>
      </c>
      <c r="V3077" t="n">
        <v>30</v>
      </c>
      <c r="W3077" t="n">
        <v>2</v>
      </c>
      <c r="X3077" t="n">
        <v>175.4385964912281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7433</v>
      </c>
      <c r="AG3077" t="n">
        <v>1</v>
      </c>
      <c r="AH3077" t="inlineStr">
        <is>
          <t>PT. BERSAMA DISTRIVERSA INDONESIA (DC CIPUTAT)</t>
        </is>
      </c>
      <c r="AI3077" t="n">
        <v>122</v>
      </c>
      <c r="AJ3077" t="inlineStr">
        <is>
          <t>O TWO O</t>
        </is>
      </c>
      <c r="AK3077" t="n">
        <v>9</v>
      </c>
      <c r="AL3077" t="inlineStr">
        <is>
          <t>Miss Glam Jambi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O TWO O</t>
        </is>
      </c>
      <c r="B3078" s="2">
        <f>"6973263792989"</f>
        <v/>
      </c>
      <c r="C3078" t="inlineStr">
        <is>
          <t>O.TWO. O Lolepop Lipstick 01 Mist Pink 2,5gr</t>
        </is>
      </c>
      <c r="D3078" t="inlineStr">
        <is>
          <t>Miss Glam Jambi</t>
        </is>
      </c>
      <c r="E3078" t="n">
        <v>3</v>
      </c>
      <c r="F3078" t="n">
        <v>0.0165</v>
      </c>
      <c r="G3078" t="n">
        <v>0.33</v>
      </c>
      <c r="H3078" t="n">
        <v>4</v>
      </c>
      <c r="I3078" t="n">
        <v>20</v>
      </c>
      <c r="J3078" t="n">
        <v>3</v>
      </c>
      <c r="K3078" t="n">
        <v>0</v>
      </c>
      <c r="L3078" t="n">
        <v>44390</v>
      </c>
      <c r="M3078" t="n">
        <v>58000</v>
      </c>
      <c r="N3078" t="n">
        <v>33</v>
      </c>
      <c r="O3078" t="n">
        <v>0.33</v>
      </c>
      <c r="P3078" t="n">
        <v>1</v>
      </c>
      <c r="Q3078" t="n">
        <v>0.02</v>
      </c>
      <c r="R3078" t="n">
        <v>1</v>
      </c>
      <c r="S3078" t="n">
        <v>957</v>
      </c>
      <c r="T3078" t="n">
        <v>7</v>
      </c>
      <c r="U3078" t="n">
        <v>8</v>
      </c>
      <c r="V3078" t="n">
        <v>30</v>
      </c>
      <c r="W3078" t="n">
        <v>1</v>
      </c>
      <c r="X3078" t="n">
        <v>181.8181818181818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7433</v>
      </c>
      <c r="AG3078" t="n">
        <v>1</v>
      </c>
      <c r="AH3078" t="inlineStr">
        <is>
          <t>PT. BERSAMA DISTRIVERSA INDONESIA (DC CIPUTAT)</t>
        </is>
      </c>
      <c r="AI3078" t="n">
        <v>122</v>
      </c>
      <c r="AJ3078" t="inlineStr">
        <is>
          <t>O TWO O</t>
        </is>
      </c>
      <c r="AK3078" t="n">
        <v>9</v>
      </c>
      <c r="AL3078" t="inlineStr">
        <is>
          <t>Miss Glam Jambi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O TWO O</t>
        </is>
      </c>
      <c r="B3079" s="2">
        <f>"6973263792958"</f>
        <v/>
      </c>
      <c r="C3079" t="inlineStr">
        <is>
          <t>O.TWO. O Lolepop Lipstick 02 Milk Tea  2,5gr</t>
        </is>
      </c>
      <c r="D3079" t="inlineStr">
        <is>
          <t>Miss Glam Jambi</t>
        </is>
      </c>
      <c r="E3079" t="n">
        <v>4</v>
      </c>
      <c r="F3079" t="n">
        <v>0.006600000000000001</v>
      </c>
      <c r="G3079" t="n">
        <v>0.33</v>
      </c>
      <c r="H3079" t="n">
        <v>4</v>
      </c>
      <c r="I3079" t="n">
        <v>20</v>
      </c>
      <c r="J3079" t="n">
        <v>3</v>
      </c>
      <c r="K3079" t="n">
        <v>0</v>
      </c>
      <c r="L3079" t="n">
        <v>44205</v>
      </c>
      <c r="M3079" t="n">
        <v>58000</v>
      </c>
      <c r="N3079" t="n">
        <v>33</v>
      </c>
      <c r="O3079" t="n">
        <v>0.33</v>
      </c>
      <c r="P3079" t="n">
        <v>1</v>
      </c>
      <c r="Q3079" t="n">
        <v>0.03</v>
      </c>
      <c r="R3079" t="n">
        <v>1</v>
      </c>
      <c r="S3079" t="n">
        <v>382.8000000000001</v>
      </c>
      <c r="T3079" t="n">
        <v>7</v>
      </c>
      <c r="U3079" t="n">
        <v>8</v>
      </c>
      <c r="V3079" t="n">
        <v>30</v>
      </c>
      <c r="W3079" t="n">
        <v>1</v>
      </c>
      <c r="X3079" t="n">
        <v>606.060606060606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7433</v>
      </c>
      <c r="AG3079" t="n">
        <v>1</v>
      </c>
      <c r="AH3079" t="inlineStr">
        <is>
          <t>PT. BERSAMA DISTRIVERSA INDONESIA (DC CIPUTAT)</t>
        </is>
      </c>
      <c r="AI3079" t="n">
        <v>122</v>
      </c>
      <c r="AJ3079" t="inlineStr">
        <is>
          <t>O TWO O</t>
        </is>
      </c>
      <c r="AK3079" t="n">
        <v>9</v>
      </c>
      <c r="AL3079" t="inlineStr">
        <is>
          <t>Miss Glam Jambi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O TWO O</t>
        </is>
      </c>
      <c r="B3080" s="2">
        <f>"6973263792941"</f>
        <v/>
      </c>
      <c r="C3080" t="inlineStr">
        <is>
          <t>O.TWO. O Lolepop Lipstick 03 Cocoa Brown 2,5gr</t>
        </is>
      </c>
      <c r="D3080" t="inlineStr">
        <is>
          <t>Miss Glam Jambi</t>
        </is>
      </c>
      <c r="E3080" t="n">
        <v>7</v>
      </c>
      <c r="F3080" t="n">
        <v>0.006600000000000001</v>
      </c>
      <c r="G3080" t="n">
        <v>0.33</v>
      </c>
      <c r="H3080" t="n">
        <v>4</v>
      </c>
      <c r="I3080" t="n">
        <v>20</v>
      </c>
      <c r="J3080" t="n">
        <v>3</v>
      </c>
      <c r="K3080" t="n">
        <v>0</v>
      </c>
      <c r="L3080" t="n">
        <v>44390</v>
      </c>
      <c r="M3080" t="n">
        <v>58000</v>
      </c>
      <c r="N3080" t="n">
        <v>33</v>
      </c>
      <c r="O3080" t="n">
        <v>0.33</v>
      </c>
      <c r="P3080" t="n">
        <v>1</v>
      </c>
      <c r="Q3080" t="n">
        <v>0.02</v>
      </c>
      <c r="R3080" t="n">
        <v>1</v>
      </c>
      <c r="S3080" t="n">
        <v>382.8000000000001</v>
      </c>
      <c r="T3080" t="n">
        <v>7</v>
      </c>
      <c r="U3080" t="n">
        <v>8</v>
      </c>
      <c r="V3080" t="n">
        <v>30</v>
      </c>
      <c r="W3080" t="n">
        <v>1</v>
      </c>
      <c r="X3080" t="n">
        <v>1060.606060606061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7433</v>
      </c>
      <c r="AG3080" t="n">
        <v>1</v>
      </c>
      <c r="AH3080" t="inlineStr">
        <is>
          <t>PT. BERSAMA DISTRIVERSA INDONESIA (DC CIPUTAT)</t>
        </is>
      </c>
      <c r="AI3080" t="n">
        <v>122</v>
      </c>
      <c r="AJ3080" t="inlineStr">
        <is>
          <t>O TWO O</t>
        </is>
      </c>
      <c r="AK3080" t="n">
        <v>9</v>
      </c>
      <c r="AL3080" t="inlineStr">
        <is>
          <t>Miss Glam Jambi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O TWO O</t>
        </is>
      </c>
      <c r="B3081" s="2">
        <f>"6928495811236"</f>
        <v/>
      </c>
      <c r="C3081" t="inlineStr">
        <is>
          <t>O.TWO.O Gold Mascara Instant Oversize Volume 10gr</t>
        </is>
      </c>
      <c r="D3081" t="inlineStr">
        <is>
          <t>Miss Glam Jambi</t>
        </is>
      </c>
      <c r="E3081" t="n">
        <v>5</v>
      </c>
      <c r="F3081" t="n">
        <v>0.2574</v>
      </c>
      <c r="G3081" t="n">
        <v>1.32</v>
      </c>
      <c r="H3081" t="n">
        <v>4</v>
      </c>
      <c r="I3081" t="n">
        <v>20</v>
      </c>
      <c r="J3081" t="n">
        <v>3</v>
      </c>
      <c r="K3081" t="n">
        <v>3</v>
      </c>
      <c r="L3081" t="n">
        <v>39706</v>
      </c>
      <c r="M3081" t="n">
        <v>47000</v>
      </c>
      <c r="N3081" t="n">
        <v>33</v>
      </c>
      <c r="O3081" t="n">
        <v>0.33</v>
      </c>
      <c r="P3081" t="n">
        <v>1</v>
      </c>
      <c r="Q3081" t="n">
        <v>0.1</v>
      </c>
      <c r="R3081" t="n">
        <v>2</v>
      </c>
      <c r="S3081" t="n">
        <v>12097.8</v>
      </c>
      <c r="T3081" t="n">
        <v>26</v>
      </c>
      <c r="U3081" t="n">
        <v>28</v>
      </c>
      <c r="V3081" t="n">
        <v>30</v>
      </c>
      <c r="W3081" t="n">
        <v>8</v>
      </c>
      <c r="X3081" t="n">
        <v>19.42501942501942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7433</v>
      </c>
      <c r="AG3081" t="n">
        <v>1</v>
      </c>
      <c r="AH3081" t="inlineStr">
        <is>
          <t>PT. BERSAMA DISTRIVERSA INDONESIA (DC CIPUTAT)</t>
        </is>
      </c>
      <c r="AI3081" t="n">
        <v>122</v>
      </c>
      <c r="AJ3081" t="inlineStr">
        <is>
          <t>O TWO O</t>
        </is>
      </c>
      <c r="AK3081" t="n">
        <v>9</v>
      </c>
      <c r="AL3081" t="inlineStr">
        <is>
          <t>Miss Glam Jambi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O TWO O</t>
        </is>
      </c>
      <c r="B3082" s="2">
        <f>"6973263791623"</f>
        <v/>
      </c>
      <c r="C3082" t="inlineStr">
        <is>
          <t>O.TWO.O Invisible Pore Soft Focus Makeup Primer 20gr</t>
        </is>
      </c>
      <c r="D3082" t="inlineStr">
        <is>
          <t>Miss Glam Jambi</t>
        </is>
      </c>
      <c r="E3082" t="n">
        <v>5</v>
      </c>
      <c r="F3082" t="n">
        <v>0.3366</v>
      </c>
      <c r="G3082" t="n">
        <v>1.32</v>
      </c>
      <c r="H3082" t="n">
        <v>4</v>
      </c>
      <c r="I3082" t="n">
        <v>20</v>
      </c>
      <c r="J3082" t="n">
        <v>3</v>
      </c>
      <c r="K3082" t="n">
        <v>4</v>
      </c>
      <c r="L3082" t="n">
        <v>55719</v>
      </c>
      <c r="M3082" t="n">
        <v>69000</v>
      </c>
      <c r="N3082" t="n">
        <v>33</v>
      </c>
      <c r="O3082" t="n">
        <v>0.33</v>
      </c>
      <c r="P3082" t="n">
        <v>1</v>
      </c>
      <c r="Q3082" t="n">
        <v>0.02</v>
      </c>
      <c r="R3082" t="n">
        <v>1</v>
      </c>
      <c r="S3082" t="n">
        <v>23225.4</v>
      </c>
      <c r="T3082" t="n">
        <v>26</v>
      </c>
      <c r="U3082" t="n">
        <v>28</v>
      </c>
      <c r="V3082" t="n">
        <v>30</v>
      </c>
      <c r="W3082" t="n">
        <v>11</v>
      </c>
      <c r="X3082" t="n">
        <v>14.8544266191325</v>
      </c>
      <c r="Y3082" t="n">
        <v>1</v>
      </c>
      <c r="Z3082" t="n">
        <v>2</v>
      </c>
      <c r="AA3082" t="n">
        <v>1</v>
      </c>
      <c r="AB3082" t="n">
        <v>1</v>
      </c>
      <c r="AC3082" t="n">
        <v>3</v>
      </c>
      <c r="AD3082" t="n">
        <v>55719</v>
      </c>
      <c r="AE3082" t="n">
        <v>167157</v>
      </c>
      <c r="AF3082" t="n">
        <v>7433</v>
      </c>
      <c r="AG3082" t="n">
        <v>1</v>
      </c>
      <c r="AH3082" t="inlineStr">
        <is>
          <t>PT. BERSAMA DISTRIVERSA INDONESIA (DC CIPUTAT)</t>
        </is>
      </c>
      <c r="AI3082" t="n">
        <v>122</v>
      </c>
      <c r="AJ3082" t="inlineStr">
        <is>
          <t>O TWO O</t>
        </is>
      </c>
      <c r="AK3082" t="n">
        <v>9</v>
      </c>
      <c r="AL3082" t="inlineStr">
        <is>
          <t>Miss Glam Jambi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O TWO O</t>
        </is>
      </c>
      <c r="B3083" s="2">
        <f>"6973263793825"</f>
        <v/>
      </c>
      <c r="C3083" t="inlineStr">
        <is>
          <t>O.TWO.O Misty Kiss Lock Color Matte Lipstick M12 Cold 4gr</t>
        </is>
      </c>
      <c r="D3083" t="inlineStr">
        <is>
          <t>Miss Glam Jambi</t>
        </is>
      </c>
      <c r="E3083" t="n">
        <v>3</v>
      </c>
      <c r="F3083" t="n">
        <v>0.07000000000000001</v>
      </c>
      <c r="G3083" t="n">
        <v>1</v>
      </c>
      <c r="H3083" t="n">
        <v>4</v>
      </c>
      <c r="I3083" t="n">
        <v>20</v>
      </c>
      <c r="J3083" t="n">
        <v>3</v>
      </c>
      <c r="K3083" t="n">
        <v>0</v>
      </c>
      <c r="L3083" t="n">
        <v>69310</v>
      </c>
      <c r="M3083" t="n">
        <v>89000</v>
      </c>
      <c r="N3083" t="n">
        <v>33</v>
      </c>
      <c r="O3083" t="n">
        <v>0.33</v>
      </c>
      <c r="P3083" t="n">
        <v>0</v>
      </c>
      <c r="Q3083" t="n">
        <v>0.07000000000000001</v>
      </c>
      <c r="R3083" t="n">
        <v>1</v>
      </c>
      <c r="S3083" t="n">
        <v>6230.000000000001</v>
      </c>
      <c r="T3083" t="n">
        <v>20</v>
      </c>
      <c r="U3083" t="n">
        <v>21</v>
      </c>
      <c r="V3083" t="n">
        <v>30</v>
      </c>
      <c r="W3083" t="n">
        <v>3</v>
      </c>
      <c r="X3083" t="n">
        <v>42.85714285714285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7433</v>
      </c>
      <c r="AG3083" t="n">
        <v>1</v>
      </c>
      <c r="AH3083" t="inlineStr">
        <is>
          <t>PT. BERSAMA DISTRIVERSA INDONESIA (DC CIPUTAT)</t>
        </is>
      </c>
      <c r="AI3083" t="n">
        <v>122</v>
      </c>
      <c r="AJ3083" t="inlineStr">
        <is>
          <t>O TWO O</t>
        </is>
      </c>
      <c r="AK3083" t="n">
        <v>9</v>
      </c>
      <c r="AL3083" t="inlineStr">
        <is>
          <t>Miss Glam Jambi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O TWO O</t>
        </is>
      </c>
      <c r="B3084" s="2">
        <f>"6973263793856"</f>
        <v/>
      </c>
      <c r="C3084" t="inlineStr">
        <is>
          <t>O.TWO.O Misty Kiss Lock Color Matte Lipstick M15 Cherish 4gr</t>
        </is>
      </c>
      <c r="D3084" t="inlineStr">
        <is>
          <t>Miss Glam Jambi</t>
        </is>
      </c>
      <c r="E3084" t="n">
        <v>2</v>
      </c>
      <c r="F3084" t="n">
        <v>0.0165</v>
      </c>
      <c r="G3084" t="n">
        <v>0.33</v>
      </c>
      <c r="H3084" t="n">
        <v>4</v>
      </c>
      <c r="I3084" t="n">
        <v>20</v>
      </c>
      <c r="J3084" t="n">
        <v>3</v>
      </c>
      <c r="K3084" t="n">
        <v>0</v>
      </c>
      <c r="L3084" t="n">
        <v>71914</v>
      </c>
      <c r="M3084" t="n">
        <v>89000</v>
      </c>
      <c r="N3084" t="n">
        <v>33</v>
      </c>
      <c r="O3084" t="n">
        <v>0.33</v>
      </c>
      <c r="P3084" t="n">
        <v>1</v>
      </c>
      <c r="Q3084" t="n">
        <v>0.02</v>
      </c>
      <c r="R3084" t="n">
        <v>1</v>
      </c>
      <c r="S3084" t="n">
        <v>1468.5</v>
      </c>
      <c r="T3084" t="n">
        <v>7</v>
      </c>
      <c r="U3084" t="n">
        <v>8</v>
      </c>
      <c r="V3084" t="n">
        <v>30</v>
      </c>
      <c r="W3084" t="n">
        <v>1</v>
      </c>
      <c r="X3084" t="n">
        <v>121.2121212121212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7433</v>
      </c>
      <c r="AG3084" t="n">
        <v>1</v>
      </c>
      <c r="AH3084" t="inlineStr">
        <is>
          <t>PT. BERSAMA DISTRIVERSA INDONESIA (DC CIPUTAT)</t>
        </is>
      </c>
      <c r="AI3084" t="n">
        <v>122</v>
      </c>
      <c r="AJ3084" t="inlineStr">
        <is>
          <t>O TWO O</t>
        </is>
      </c>
      <c r="AK3084" t="n">
        <v>9</v>
      </c>
      <c r="AL3084" t="inlineStr">
        <is>
          <t>Miss Glam Jambi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O TWO O</t>
        </is>
      </c>
      <c r="B3085" s="2">
        <f>"6973263792859"</f>
        <v/>
      </c>
      <c r="C3085" t="inlineStr">
        <is>
          <t>O.TWO.O Ultra Bushy 5D Waterproof Mascara 7gr</t>
        </is>
      </c>
      <c r="D3085" t="inlineStr">
        <is>
          <t>Miss Glam Jambi</t>
        </is>
      </c>
      <c r="E3085" t="n">
        <v>10</v>
      </c>
      <c r="F3085" t="n">
        <v>0.1221</v>
      </c>
      <c r="G3085" t="n">
        <v>0.99</v>
      </c>
      <c r="H3085" t="n">
        <v>4</v>
      </c>
      <c r="I3085" t="n">
        <v>20</v>
      </c>
      <c r="J3085" t="n">
        <v>3</v>
      </c>
      <c r="K3085" t="n">
        <v>6</v>
      </c>
      <c r="L3085" t="n">
        <v>51432</v>
      </c>
      <c r="M3085" t="n">
        <v>60000</v>
      </c>
      <c r="N3085" t="n">
        <v>33</v>
      </c>
      <c r="O3085" t="n">
        <v>0.33</v>
      </c>
      <c r="P3085" t="n">
        <v>1</v>
      </c>
      <c r="Q3085" t="n">
        <v>0.1</v>
      </c>
      <c r="R3085" t="n">
        <v>2</v>
      </c>
      <c r="S3085" t="n">
        <v>7326</v>
      </c>
      <c r="T3085" t="n">
        <v>20</v>
      </c>
      <c r="U3085" t="n">
        <v>21</v>
      </c>
      <c r="V3085" t="n">
        <v>30</v>
      </c>
      <c r="W3085" t="n">
        <v>4</v>
      </c>
      <c r="X3085" t="n">
        <v>81.9000819000819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7433</v>
      </c>
      <c r="AG3085" t="n">
        <v>1</v>
      </c>
      <c r="AH3085" t="inlineStr">
        <is>
          <t>PT. BERSAMA DISTRIVERSA INDONESIA (DC CIPUTAT)</t>
        </is>
      </c>
      <c r="AI3085" t="n">
        <v>122</v>
      </c>
      <c r="AJ3085" t="inlineStr">
        <is>
          <t>O TWO O</t>
        </is>
      </c>
      <c r="AK3085" t="n">
        <v>9</v>
      </c>
      <c r="AL3085" t="inlineStr">
        <is>
          <t>Miss Glam Jambi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O TWO O</t>
        </is>
      </c>
      <c r="B3086" s="2">
        <f>"6973263792392"</f>
        <v/>
      </c>
      <c r="C3086" t="inlineStr">
        <is>
          <t>O.TWO.O Volume and Curling Waterproof Mascara 7gr</t>
        </is>
      </c>
      <c r="D3086" t="inlineStr">
        <is>
          <t>Miss Glam Jambi</t>
        </is>
      </c>
      <c r="E3086" t="n">
        <v>4</v>
      </c>
      <c r="F3086" t="n">
        <v>0.0264</v>
      </c>
      <c r="G3086" t="n">
        <v>0.99</v>
      </c>
      <c r="H3086" t="n">
        <v>4</v>
      </c>
      <c r="I3086" t="n">
        <v>20</v>
      </c>
      <c r="J3086" t="n">
        <v>3</v>
      </c>
      <c r="K3086" t="n">
        <v>0</v>
      </c>
      <c r="L3086" t="n">
        <v>52762</v>
      </c>
      <c r="M3086" t="n">
        <v>64000</v>
      </c>
      <c r="N3086" t="n">
        <v>33</v>
      </c>
      <c r="O3086" t="n">
        <v>0.33</v>
      </c>
      <c r="P3086" t="n">
        <v>1</v>
      </c>
      <c r="Q3086" t="n">
        <v>0.12</v>
      </c>
      <c r="R3086" t="n">
        <v>1</v>
      </c>
      <c r="S3086" t="n">
        <v>1689.6</v>
      </c>
      <c r="T3086" t="n">
        <v>20</v>
      </c>
      <c r="U3086" t="n">
        <v>21</v>
      </c>
      <c r="V3086" t="n">
        <v>30</v>
      </c>
      <c r="W3086" t="n">
        <v>1</v>
      </c>
      <c r="X3086" t="n">
        <v>151.5151515151515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7433</v>
      </c>
      <c r="AG3086" t="n">
        <v>1</v>
      </c>
      <c r="AH3086" t="inlineStr">
        <is>
          <t>PT. BERSAMA DISTRIVERSA INDONESIA (DC CIPUTAT)</t>
        </is>
      </c>
      <c r="AI3086" t="n">
        <v>122</v>
      </c>
      <c r="AJ3086" t="inlineStr">
        <is>
          <t>O TWO O</t>
        </is>
      </c>
      <c r="AK3086" t="n">
        <v>9</v>
      </c>
      <c r="AL3086" t="inlineStr">
        <is>
          <t>Miss Glam Jambi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O'SWEET</t>
        </is>
      </c>
      <c r="B3087" s="2">
        <f>"8997242550054"</f>
        <v/>
      </c>
      <c r="C3087" t="inlineStr">
        <is>
          <t>O'SWEET Singapore Ginger Daikin Conditioner 100ml</t>
        </is>
      </c>
      <c r="D3087" t="inlineStr">
        <is>
          <t>Miss Glam Jambi</t>
        </is>
      </c>
      <c r="E3087" t="n">
        <v>3</v>
      </c>
      <c r="F3087" t="n">
        <v>0.02</v>
      </c>
      <c r="G3087" t="n">
        <v>1</v>
      </c>
      <c r="H3087" t="n">
        <v>4</v>
      </c>
      <c r="I3087" t="n">
        <v>20</v>
      </c>
      <c r="J3087" t="n">
        <v>3</v>
      </c>
      <c r="K3087" t="n">
        <v>0</v>
      </c>
      <c r="L3087" t="n">
        <v>99230</v>
      </c>
      <c r="M3087" t="n">
        <v>128000</v>
      </c>
      <c r="N3087" t="n">
        <v>33</v>
      </c>
      <c r="O3087" t="n">
        <v>0.33</v>
      </c>
      <c r="P3087" t="n">
        <v>0</v>
      </c>
      <c r="Q3087" t="n">
        <v>0.02</v>
      </c>
      <c r="R3087" t="n">
        <v>1</v>
      </c>
      <c r="S3087" t="n">
        <v>2560</v>
      </c>
      <c r="T3087" t="n">
        <v>20</v>
      </c>
      <c r="U3087" t="n">
        <v>21</v>
      </c>
      <c r="V3087" t="n">
        <v>30</v>
      </c>
      <c r="W3087" t="n">
        <v>1</v>
      </c>
      <c r="X3087" t="n">
        <v>150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7466</v>
      </c>
      <c r="AG3087" t="n">
        <v>1</v>
      </c>
      <c r="AH3087" t="inlineStr">
        <is>
          <t>PT. BERSAMA DISTRIVERSA INDONESIA (DC CIPUTAT)</t>
        </is>
      </c>
      <c r="AI3087" t="n">
        <v>1217</v>
      </c>
      <c r="AJ3087" t="inlineStr">
        <is>
          <t>O'SWEET</t>
        </is>
      </c>
      <c r="AK3087" t="n">
        <v>9</v>
      </c>
      <c r="AL3087" t="inlineStr">
        <is>
          <t>Miss Glam Jambi</t>
        </is>
      </c>
      <c r="AM3087" t="n">
        <v>4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O'SWEET</t>
        </is>
      </c>
      <c r="B3088" s="2">
        <f>"8997242550023"</f>
        <v/>
      </c>
      <c r="C3088" t="inlineStr">
        <is>
          <t>O'SWEET Singapore Ginger Shampoo 100ml</t>
        </is>
      </c>
      <c r="D3088" t="inlineStr">
        <is>
          <t>Miss Glam Jambi</t>
        </is>
      </c>
      <c r="E3088" t="n">
        <v>0</v>
      </c>
      <c r="F3088" t="n">
        <v>0.02</v>
      </c>
      <c r="G3088" t="n">
        <v>1</v>
      </c>
      <c r="H3088" t="n">
        <v>4</v>
      </c>
      <c r="I3088" t="n">
        <v>20</v>
      </c>
      <c r="J3088" t="n">
        <v>3</v>
      </c>
      <c r="K3088" t="n">
        <v>0</v>
      </c>
      <c r="L3088" t="n">
        <v>99230</v>
      </c>
      <c r="M3088" t="n">
        <v>128000</v>
      </c>
      <c r="N3088" t="n">
        <v>33</v>
      </c>
      <c r="O3088" t="n">
        <v>0.33</v>
      </c>
      <c r="P3088" t="n">
        <v>0</v>
      </c>
      <c r="Q3088" t="n">
        <v>0.02</v>
      </c>
      <c r="R3088" t="n">
        <v>1</v>
      </c>
      <c r="S3088" t="n">
        <v>2560</v>
      </c>
      <c r="T3088" t="n">
        <v>20</v>
      </c>
      <c r="U3088" t="n">
        <v>21</v>
      </c>
      <c r="V3088" t="n">
        <v>30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n">
        <v>0</v>
      </c>
      <c r="AC3088" t="n">
        <v>0</v>
      </c>
      <c r="AD3088" t="n">
        <v>99230</v>
      </c>
      <c r="AE3088" t="n">
        <v>0</v>
      </c>
      <c r="AF3088" t="n">
        <v>7466</v>
      </c>
      <c r="AG3088" t="n">
        <v>1</v>
      </c>
      <c r="AH3088" t="inlineStr">
        <is>
          <t>PT. BERSAMA DISTRIVERSA INDONESIA (DC CIPUTAT)</t>
        </is>
      </c>
      <c r="AI3088" t="n">
        <v>1217</v>
      </c>
      <c r="AJ3088" t="inlineStr">
        <is>
          <t>O'SWEET</t>
        </is>
      </c>
      <c r="AK3088" t="n">
        <v>9</v>
      </c>
      <c r="AL3088" t="inlineStr">
        <is>
          <t>Miss Glam Jambi</t>
        </is>
      </c>
      <c r="AM3088" t="n">
        <v>4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OH MY SKIN</t>
        </is>
      </c>
      <c r="B3089" s="2">
        <f>"10500584743"</f>
        <v/>
      </c>
      <c r="C3089" t="inlineStr">
        <is>
          <t>OH MY SKIN Avocado Organic Mask 25gr</t>
        </is>
      </c>
      <c r="D3089" t="inlineStr">
        <is>
          <t>Miss Glam Jambi</t>
        </is>
      </c>
      <c r="E3089" t="n">
        <v>2</v>
      </c>
      <c r="F3089" t="n">
        <v>0.0462</v>
      </c>
      <c r="G3089" t="n">
        <v>0.99</v>
      </c>
      <c r="H3089" t="n">
        <v>4</v>
      </c>
      <c r="I3089" t="n">
        <v>20</v>
      </c>
      <c r="J3089" t="n">
        <v>3</v>
      </c>
      <c r="K3089" t="n">
        <v>0</v>
      </c>
      <c r="L3089" t="n">
        <v>14000</v>
      </c>
      <c r="M3089" t="n">
        <v>22000</v>
      </c>
      <c r="N3089" t="n">
        <v>33</v>
      </c>
      <c r="O3089" t="n">
        <v>0.33</v>
      </c>
      <c r="P3089" t="n">
        <v>1</v>
      </c>
      <c r="Q3089" t="n">
        <v>0.05</v>
      </c>
      <c r="R3089" t="n">
        <v>1</v>
      </c>
      <c r="S3089" t="n">
        <v>1016.4</v>
      </c>
      <c r="T3089" t="n">
        <v>20</v>
      </c>
      <c r="U3089" t="n">
        <v>21</v>
      </c>
      <c r="V3089" t="n">
        <v>30</v>
      </c>
      <c r="W3089" t="n">
        <v>2</v>
      </c>
      <c r="X3089" t="n">
        <v>43.29004329004329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7499</v>
      </c>
      <c r="AG3089" t="n">
        <v>1</v>
      </c>
      <c r="AH3089" t="inlineStr">
        <is>
          <t>PT. BERSAMA DISTRIVERSA INDONESIA (DC CIPUTAT)</t>
        </is>
      </c>
      <c r="AI3089" t="n">
        <v>289</v>
      </c>
      <c r="AJ3089" t="inlineStr">
        <is>
          <t>OH MY SKIN</t>
        </is>
      </c>
      <c r="AK3089" t="n">
        <v>9</v>
      </c>
      <c r="AL3089" t="inlineStr">
        <is>
          <t>Miss Glam Jambi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OH MY SKIN</t>
        </is>
      </c>
      <c r="B3090" s="2">
        <f>"30400128732"</f>
        <v/>
      </c>
      <c r="C3090" t="inlineStr">
        <is>
          <t>OH MY SKIN Body Mist  Blooming Garden 30ml</t>
        </is>
      </c>
      <c r="D3090" t="inlineStr">
        <is>
          <t>Miss Glam Jambi</t>
        </is>
      </c>
      <c r="E3090" t="n">
        <v>0</v>
      </c>
      <c r="F3090" t="n">
        <v>0.006600000000000001</v>
      </c>
      <c r="G3090" t="n">
        <v>0.33</v>
      </c>
      <c r="H3090" t="n">
        <v>4</v>
      </c>
      <c r="I3090" t="n">
        <v>20</v>
      </c>
      <c r="J3090" t="n">
        <v>3</v>
      </c>
      <c r="K3090" t="n">
        <v>0</v>
      </c>
      <c r="L3090" t="n">
        <v>6700</v>
      </c>
      <c r="M3090" t="n">
        <v>10000</v>
      </c>
      <c r="N3090" t="n">
        <v>33</v>
      </c>
      <c r="O3090" t="n">
        <v>0.33</v>
      </c>
      <c r="P3090" t="n">
        <v>1</v>
      </c>
      <c r="Q3090" t="n">
        <v>0.06</v>
      </c>
      <c r="R3090" t="n">
        <v>1</v>
      </c>
      <c r="S3090" t="n">
        <v>66.00000000000001</v>
      </c>
      <c r="T3090" t="n">
        <v>7</v>
      </c>
      <c r="U3090" t="n">
        <v>8</v>
      </c>
      <c r="V3090" t="n">
        <v>30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n">
        <v>0</v>
      </c>
      <c r="AC3090" t="n">
        <v>0</v>
      </c>
      <c r="AD3090" t="n">
        <v>6700</v>
      </c>
      <c r="AE3090" t="n">
        <v>0</v>
      </c>
      <c r="AF3090" t="n">
        <v>7499</v>
      </c>
      <c r="AG3090" t="n">
        <v>1</v>
      </c>
      <c r="AH3090" t="inlineStr">
        <is>
          <t>PT. BERSAMA DISTRIVERSA INDONESIA (DC CIPUTAT)</t>
        </is>
      </c>
      <c r="AI3090" t="n">
        <v>289</v>
      </c>
      <c r="AJ3090" t="inlineStr">
        <is>
          <t>OH MY SKIN</t>
        </is>
      </c>
      <c r="AK3090" t="n">
        <v>9</v>
      </c>
      <c r="AL3090" t="inlineStr">
        <is>
          <t>Miss Glam Jambi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OH MY SKIN</t>
        </is>
      </c>
      <c r="B3091" s="2">
        <f>"30400129458"</f>
        <v/>
      </c>
      <c r="C3091" t="inlineStr">
        <is>
          <t>OH MY SKIN Body Mist Sweet Dream 30ml</t>
        </is>
      </c>
      <c r="D3091" t="inlineStr">
        <is>
          <t>Miss Glam Jambi</t>
        </is>
      </c>
      <c r="E3091" t="n">
        <v>0</v>
      </c>
      <c r="F3091" t="n">
        <v>0.09</v>
      </c>
      <c r="G3091" t="n">
        <v>2</v>
      </c>
      <c r="H3091" t="n">
        <v>4</v>
      </c>
      <c r="I3091" t="n">
        <v>20</v>
      </c>
      <c r="J3091" t="n">
        <v>3</v>
      </c>
      <c r="K3091" t="n">
        <v>0</v>
      </c>
      <c r="L3091" t="n">
        <v>6700</v>
      </c>
      <c r="M3091" t="n">
        <v>10000</v>
      </c>
      <c r="N3091" t="n">
        <v>33</v>
      </c>
      <c r="O3091" t="n">
        <v>0.33</v>
      </c>
      <c r="P3091" t="n">
        <v>0</v>
      </c>
      <c r="Q3091" t="n">
        <v>0.09</v>
      </c>
      <c r="R3091" t="n">
        <v>2</v>
      </c>
      <c r="S3091" t="n">
        <v>900</v>
      </c>
      <c r="T3091" t="n">
        <v>40</v>
      </c>
      <c r="U3091" t="n">
        <v>41</v>
      </c>
      <c r="V3091" t="n">
        <v>30</v>
      </c>
      <c r="W3091" t="n">
        <v>3</v>
      </c>
      <c r="X3091" t="n">
        <v>0</v>
      </c>
      <c r="Y3091" t="n">
        <v>1</v>
      </c>
      <c r="Z3091" t="n">
        <v>3</v>
      </c>
      <c r="AA3091" t="n">
        <v>2</v>
      </c>
      <c r="AB3091" t="n">
        <v>1</v>
      </c>
      <c r="AC3091" t="n">
        <v>3</v>
      </c>
      <c r="AD3091" t="n">
        <v>13400</v>
      </c>
      <c r="AE3091" t="n">
        <v>20100</v>
      </c>
      <c r="AF3091" t="n">
        <v>7499</v>
      </c>
      <c r="AG3091" t="n">
        <v>1</v>
      </c>
      <c r="AH3091" t="inlineStr">
        <is>
          <t>PT. BERSAMA DISTRIVERSA INDONESIA (DC CIPUTAT)</t>
        </is>
      </c>
      <c r="AI3091" t="n">
        <v>289</v>
      </c>
      <c r="AJ3091" t="inlineStr">
        <is>
          <t>OH MY SKIN</t>
        </is>
      </c>
      <c r="AK3091" t="n">
        <v>9</v>
      </c>
      <c r="AL3091" t="inlineStr">
        <is>
          <t>Miss Glam Jambi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OH MY SKIN</t>
        </is>
      </c>
      <c r="B3092" s="2">
        <f>"30400251114"</f>
        <v/>
      </c>
      <c r="C3092" t="inlineStr">
        <is>
          <t>OH MY SKIN Eau De Parfume Hawaii 30ml</t>
        </is>
      </c>
      <c r="D3092" t="inlineStr">
        <is>
          <t>Miss Glam Jambi</t>
        </is>
      </c>
      <c r="E3092" t="n">
        <v>2</v>
      </c>
      <c r="F3092" t="n">
        <v>0.03</v>
      </c>
      <c r="G3092" t="n">
        <v>1</v>
      </c>
      <c r="H3092" t="n">
        <v>4</v>
      </c>
      <c r="I3092" t="n">
        <v>20</v>
      </c>
      <c r="J3092" t="n">
        <v>3</v>
      </c>
      <c r="K3092" t="n">
        <v>0</v>
      </c>
      <c r="L3092" t="n">
        <v>13000</v>
      </c>
      <c r="M3092" t="n">
        <v>17000</v>
      </c>
      <c r="N3092" t="n">
        <v>33</v>
      </c>
      <c r="O3092" t="n">
        <v>0.33</v>
      </c>
      <c r="P3092" t="n">
        <v>0</v>
      </c>
      <c r="Q3092" t="n">
        <v>0.03</v>
      </c>
      <c r="R3092" t="n">
        <v>1</v>
      </c>
      <c r="S3092" t="n">
        <v>510</v>
      </c>
      <c r="T3092" t="n">
        <v>20</v>
      </c>
      <c r="U3092" t="n">
        <v>21</v>
      </c>
      <c r="V3092" t="n">
        <v>30</v>
      </c>
      <c r="W3092" t="n">
        <v>1</v>
      </c>
      <c r="X3092" t="n">
        <v>66.66666666666667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7499</v>
      </c>
      <c r="AG3092" t="n">
        <v>1</v>
      </c>
      <c r="AH3092" t="inlineStr">
        <is>
          <t>PT. BERSAMA DISTRIVERSA INDONESIA (DC CIPUTAT)</t>
        </is>
      </c>
      <c r="AI3092" t="n">
        <v>289</v>
      </c>
      <c r="AJ3092" t="inlineStr">
        <is>
          <t>OH MY SKIN</t>
        </is>
      </c>
      <c r="AK3092" t="n">
        <v>9</v>
      </c>
      <c r="AL3092" t="inlineStr">
        <is>
          <t>Miss Glam Jambi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OH MY SKIN</t>
        </is>
      </c>
      <c r="B3093" s="2">
        <f>"30400251210"</f>
        <v/>
      </c>
      <c r="C3093" t="inlineStr">
        <is>
          <t>OH MY SKIN Eau De Parfume Seoul 30ml</t>
        </is>
      </c>
      <c r="D3093" t="inlineStr">
        <is>
          <t>Miss Glam Jambi</t>
        </is>
      </c>
      <c r="E3093" t="n">
        <v>2</v>
      </c>
      <c r="F3093" t="n">
        <v>0.03</v>
      </c>
      <c r="G3093" t="n">
        <v>1</v>
      </c>
      <c r="H3093" t="n">
        <v>4</v>
      </c>
      <c r="I3093" t="n">
        <v>20</v>
      </c>
      <c r="J3093" t="n">
        <v>3</v>
      </c>
      <c r="K3093" t="n">
        <v>0</v>
      </c>
      <c r="L3093" t="n">
        <v>13000</v>
      </c>
      <c r="M3093" t="n">
        <v>17000</v>
      </c>
      <c r="N3093" t="n">
        <v>33</v>
      </c>
      <c r="O3093" t="n">
        <v>0.33</v>
      </c>
      <c r="P3093" t="n">
        <v>0</v>
      </c>
      <c r="Q3093" t="n">
        <v>0.03</v>
      </c>
      <c r="R3093" t="n">
        <v>1</v>
      </c>
      <c r="S3093" t="n">
        <v>510</v>
      </c>
      <c r="T3093" t="n">
        <v>20</v>
      </c>
      <c r="U3093" t="n">
        <v>21</v>
      </c>
      <c r="V3093" t="n">
        <v>30</v>
      </c>
      <c r="W3093" t="n">
        <v>1</v>
      </c>
      <c r="X3093" t="n">
        <v>66.66666666666667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7499</v>
      </c>
      <c r="AG3093" t="n">
        <v>1</v>
      </c>
      <c r="AH3093" t="inlineStr">
        <is>
          <t>PT. BERSAMA DISTRIVERSA INDONESIA (DC CIPUTAT)</t>
        </is>
      </c>
      <c r="AI3093" t="n">
        <v>289</v>
      </c>
      <c r="AJ3093" t="inlineStr">
        <is>
          <t>OH MY SKIN</t>
        </is>
      </c>
      <c r="AK3093" t="n">
        <v>9</v>
      </c>
      <c r="AL3093" t="inlineStr">
        <is>
          <t>Miss Glam Jambi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OH MY SKIN</t>
        </is>
      </c>
      <c r="B3094" s="2">
        <f>"10100815826"</f>
        <v/>
      </c>
      <c r="C3094" t="inlineStr">
        <is>
          <t>OH MY SKIN Gluta Soap Pink Love 60gr</t>
        </is>
      </c>
      <c r="D3094" t="inlineStr">
        <is>
          <t>Miss Glam Jambi</t>
        </is>
      </c>
      <c r="E3094" t="n">
        <v>0</v>
      </c>
      <c r="F3094" t="n">
        <v>0.0231</v>
      </c>
      <c r="G3094" t="n">
        <v>0.33</v>
      </c>
      <c r="H3094" t="n">
        <v>4</v>
      </c>
      <c r="I3094" t="n">
        <v>20</v>
      </c>
      <c r="J3094" t="n">
        <v>3</v>
      </c>
      <c r="K3094" t="n">
        <v>0</v>
      </c>
      <c r="L3094" t="n">
        <v>22000</v>
      </c>
      <c r="M3094" t="n">
        <v>40000</v>
      </c>
      <c r="N3094" t="n">
        <v>33</v>
      </c>
      <c r="O3094" t="n">
        <v>0.33</v>
      </c>
      <c r="P3094" t="n">
        <v>1</v>
      </c>
      <c r="Q3094" t="n">
        <v>0.05</v>
      </c>
      <c r="R3094" t="n">
        <v>1</v>
      </c>
      <c r="S3094" t="n">
        <v>924.0000000000001</v>
      </c>
      <c r="T3094" t="n">
        <v>7</v>
      </c>
      <c r="U3094" t="n">
        <v>8</v>
      </c>
      <c r="V3094" t="n">
        <v>30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n">
        <v>0</v>
      </c>
      <c r="AC3094" t="n">
        <v>0</v>
      </c>
      <c r="AD3094" t="n">
        <v>22000</v>
      </c>
      <c r="AE3094" t="n">
        <v>0</v>
      </c>
      <c r="AF3094" t="n">
        <v>7499</v>
      </c>
      <c r="AG3094" t="n">
        <v>1</v>
      </c>
      <c r="AH3094" t="inlineStr">
        <is>
          <t>PT. BERSAMA DISTRIVERSA INDONESIA (DC CIPUTAT)</t>
        </is>
      </c>
      <c r="AI3094" t="n">
        <v>289</v>
      </c>
      <c r="AJ3094" t="inlineStr">
        <is>
          <t>OH MY SKIN</t>
        </is>
      </c>
      <c r="AK3094" t="n">
        <v>9</v>
      </c>
      <c r="AL3094" t="inlineStr">
        <is>
          <t>Miss Glam Jambi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OH MY SKIN</t>
        </is>
      </c>
      <c r="B3095" s="2">
        <f>"10500579855"</f>
        <v/>
      </c>
      <c r="C3095" t="inlineStr">
        <is>
          <t>OH MY SKIN Organic Face Mask 25gr Coffee</t>
        </is>
      </c>
      <c r="D3095" t="inlineStr">
        <is>
          <t>Miss Glam Jambi</t>
        </is>
      </c>
      <c r="E3095" t="n">
        <v>2</v>
      </c>
      <c r="F3095" t="n">
        <v>0.0165</v>
      </c>
      <c r="G3095" t="n">
        <v>0.33</v>
      </c>
      <c r="H3095" t="n">
        <v>4</v>
      </c>
      <c r="I3095" t="n">
        <v>20</v>
      </c>
      <c r="J3095" t="n">
        <v>3</v>
      </c>
      <c r="K3095" t="n">
        <v>0</v>
      </c>
      <c r="L3095" t="n">
        <v>13000</v>
      </c>
      <c r="M3095" t="n">
        <v>22000</v>
      </c>
      <c r="N3095" t="n">
        <v>33</v>
      </c>
      <c r="O3095" t="n">
        <v>0.33</v>
      </c>
      <c r="P3095" t="n">
        <v>1</v>
      </c>
      <c r="Q3095" t="n">
        <v>0.05</v>
      </c>
      <c r="R3095" t="n">
        <v>1</v>
      </c>
      <c r="S3095" t="n">
        <v>363</v>
      </c>
      <c r="T3095" t="n">
        <v>7</v>
      </c>
      <c r="U3095" t="n">
        <v>8</v>
      </c>
      <c r="V3095" t="n">
        <v>30</v>
      </c>
      <c r="W3095" t="n">
        <v>1</v>
      </c>
      <c r="X3095" t="n">
        <v>121.2121212121212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7499</v>
      </c>
      <c r="AG3095" t="n">
        <v>1</v>
      </c>
      <c r="AH3095" t="inlineStr">
        <is>
          <t>PT. BERSAMA DISTRIVERSA INDONESIA (DC CIPUTAT)</t>
        </is>
      </c>
      <c r="AI3095" t="n">
        <v>289</v>
      </c>
      <c r="AJ3095" t="inlineStr">
        <is>
          <t>OH MY SKIN</t>
        </is>
      </c>
      <c r="AK3095" t="n">
        <v>9</v>
      </c>
      <c r="AL3095" t="inlineStr">
        <is>
          <t>Miss Glam Jambi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OH MY SKIN</t>
        </is>
      </c>
      <c r="B3096" s="2">
        <f>"10500579705"</f>
        <v/>
      </c>
      <c r="C3096" t="inlineStr">
        <is>
          <t>OH MY SKIN Organic Face Mask 25gr Milk</t>
        </is>
      </c>
      <c r="D3096" t="inlineStr">
        <is>
          <t>Miss Glam Jambi</t>
        </is>
      </c>
      <c r="E3096" t="n">
        <v>2</v>
      </c>
      <c r="F3096" t="n">
        <v>0.0165</v>
      </c>
      <c r="G3096" t="n">
        <v>0.33</v>
      </c>
      <c r="H3096" t="n">
        <v>4</v>
      </c>
      <c r="I3096" t="n">
        <v>20</v>
      </c>
      <c r="J3096" t="n">
        <v>3</v>
      </c>
      <c r="K3096" t="n">
        <v>0</v>
      </c>
      <c r="L3096" t="n">
        <v>13000</v>
      </c>
      <c r="M3096" t="n">
        <v>22000</v>
      </c>
      <c r="N3096" t="n">
        <v>33</v>
      </c>
      <c r="O3096" t="n">
        <v>0.33</v>
      </c>
      <c r="P3096" t="n">
        <v>1</v>
      </c>
      <c r="Q3096" t="n">
        <v>0.02</v>
      </c>
      <c r="R3096" t="n">
        <v>0</v>
      </c>
      <c r="S3096" t="n">
        <v>363</v>
      </c>
      <c r="T3096" t="n">
        <v>7</v>
      </c>
      <c r="U3096" t="n">
        <v>8</v>
      </c>
      <c r="V3096" t="n">
        <v>30</v>
      </c>
      <c r="W3096" t="n">
        <v>1</v>
      </c>
      <c r="X3096" t="n">
        <v>121.2121212121212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7499</v>
      </c>
      <c r="AG3096" t="n">
        <v>1</v>
      </c>
      <c r="AH3096" t="inlineStr">
        <is>
          <t>PT. BERSAMA DISTRIVERSA INDONESIA (DC CIPUTAT)</t>
        </is>
      </c>
      <c r="AI3096" t="n">
        <v>289</v>
      </c>
      <c r="AJ3096" t="inlineStr">
        <is>
          <t>OH MY SKIN</t>
        </is>
      </c>
      <c r="AK3096" t="n">
        <v>9</v>
      </c>
      <c r="AL3096" t="inlineStr">
        <is>
          <t>Miss Glam Jambi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OH MY SKIN</t>
        </is>
      </c>
      <c r="B3097" s="2">
        <f>"10500583214"</f>
        <v/>
      </c>
      <c r="C3097" t="inlineStr">
        <is>
          <t>OH MY SKIN Organic Face Mask Avocado 65gr</t>
        </is>
      </c>
      <c r="D3097" t="inlineStr">
        <is>
          <t>Miss Glam Jambi</t>
        </is>
      </c>
      <c r="E3097" t="n">
        <v>2</v>
      </c>
      <c r="F3097" t="n">
        <v>0.1</v>
      </c>
      <c r="G3097" t="n">
        <v>1</v>
      </c>
      <c r="H3097" t="n">
        <v>4</v>
      </c>
      <c r="I3097" t="n">
        <v>20</v>
      </c>
      <c r="J3097" t="n">
        <v>3</v>
      </c>
      <c r="K3097" t="n">
        <v>0</v>
      </c>
      <c r="L3097" t="n">
        <v>24000</v>
      </c>
      <c r="M3097" t="n">
        <v>30000</v>
      </c>
      <c r="N3097" t="n">
        <v>33</v>
      </c>
      <c r="O3097" t="n">
        <v>0.33</v>
      </c>
      <c r="P3097" t="n">
        <v>0</v>
      </c>
      <c r="Q3097" t="n">
        <v>0.1</v>
      </c>
      <c r="R3097" t="n">
        <v>1</v>
      </c>
      <c r="S3097" t="n">
        <v>3000</v>
      </c>
      <c r="T3097" t="n">
        <v>20</v>
      </c>
      <c r="U3097" t="n">
        <v>21</v>
      </c>
      <c r="V3097" t="n">
        <v>30</v>
      </c>
      <c r="W3097" t="n">
        <v>3</v>
      </c>
      <c r="X3097" t="n">
        <v>20</v>
      </c>
      <c r="Y3097" t="n">
        <v>1</v>
      </c>
      <c r="Z3097" t="n">
        <v>1</v>
      </c>
      <c r="AA3097" t="n">
        <v>0</v>
      </c>
      <c r="AB3097" t="n">
        <v>1</v>
      </c>
      <c r="AC3097" t="n">
        <v>3</v>
      </c>
      <c r="AD3097" t="n">
        <v>0</v>
      </c>
      <c r="AE3097" t="n">
        <v>72000</v>
      </c>
      <c r="AF3097" t="n">
        <v>7499</v>
      </c>
      <c r="AG3097" t="n">
        <v>1</v>
      </c>
      <c r="AH3097" t="inlineStr">
        <is>
          <t>PT. BERSAMA DISTRIVERSA INDONESIA (DC CIPUTAT)</t>
        </is>
      </c>
      <c r="AI3097" t="n">
        <v>289</v>
      </c>
      <c r="AJ3097" t="inlineStr">
        <is>
          <t>OH MY SKIN</t>
        </is>
      </c>
      <c r="AK3097" t="n">
        <v>9</v>
      </c>
      <c r="AL3097" t="inlineStr">
        <is>
          <t>Miss Glam Jambi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OH MY SKIN</t>
        </is>
      </c>
      <c r="B3098" s="2">
        <f>"10500213147"</f>
        <v/>
      </c>
      <c r="C3098" t="inlineStr">
        <is>
          <t>OH MY SKIN Organic Face Mask Choco 25gr</t>
        </is>
      </c>
      <c r="D3098" t="inlineStr">
        <is>
          <t>Miss Glam Jambi</t>
        </is>
      </c>
      <c r="E3098" t="n">
        <v>0</v>
      </c>
      <c r="F3098" t="n">
        <v>0.006600000000000001</v>
      </c>
      <c r="G3098" t="n">
        <v>0</v>
      </c>
      <c r="H3098" t="n">
        <v>4</v>
      </c>
      <c r="I3098" t="n">
        <v>20</v>
      </c>
      <c r="J3098" t="n">
        <v>3</v>
      </c>
      <c r="K3098" t="n">
        <v>0</v>
      </c>
      <c r="L3098" t="n">
        <v>13000</v>
      </c>
      <c r="M3098" t="n">
        <v>22000</v>
      </c>
      <c r="N3098" t="n">
        <v>33</v>
      </c>
      <c r="O3098" t="n">
        <v>0.33</v>
      </c>
      <c r="P3098" t="n">
        <v>1</v>
      </c>
      <c r="Q3098" t="n">
        <v>0.11</v>
      </c>
      <c r="R3098" t="n">
        <v>1</v>
      </c>
      <c r="S3098" t="n">
        <v>145.2</v>
      </c>
      <c r="T3098" t="n">
        <v>0</v>
      </c>
      <c r="U3098" t="n">
        <v>1</v>
      </c>
      <c r="V3098" t="n">
        <v>30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n">
        <v>0</v>
      </c>
      <c r="AC3098" t="n">
        <v>0</v>
      </c>
      <c r="AD3098" t="n">
        <v>13000</v>
      </c>
      <c r="AE3098" t="n">
        <v>0</v>
      </c>
      <c r="AF3098" t="n">
        <v>7499</v>
      </c>
      <c r="AG3098" t="n">
        <v>1</v>
      </c>
      <c r="AH3098" t="inlineStr">
        <is>
          <t>PT. BERSAMA DISTRIVERSA INDONESIA (DC CIPUTAT)</t>
        </is>
      </c>
      <c r="AI3098" t="n">
        <v>289</v>
      </c>
      <c r="AJ3098" t="inlineStr">
        <is>
          <t>OH MY SKIN</t>
        </is>
      </c>
      <c r="AK3098" t="n">
        <v>9</v>
      </c>
      <c r="AL3098" t="inlineStr">
        <is>
          <t>Miss Glam Jambi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OH MY SKIN</t>
        </is>
      </c>
      <c r="B3099" s="2">
        <f>"10500580152"</f>
        <v/>
      </c>
      <c r="C3099" t="inlineStr">
        <is>
          <t>OH MY SKIN Organic Face Mask Choco 65gr</t>
        </is>
      </c>
      <c r="D3099" t="inlineStr">
        <is>
          <t>Miss Glam Jambi</t>
        </is>
      </c>
      <c r="E3099" t="n">
        <v>6</v>
      </c>
      <c r="F3099" t="n">
        <v>0.1</v>
      </c>
      <c r="G3099" t="n">
        <v>2</v>
      </c>
      <c r="H3099" t="n">
        <v>4</v>
      </c>
      <c r="I3099" t="n">
        <v>20</v>
      </c>
      <c r="J3099" t="n">
        <v>3</v>
      </c>
      <c r="K3099" t="n">
        <v>0</v>
      </c>
      <c r="L3099" t="n">
        <v>22000</v>
      </c>
      <c r="M3099" t="n">
        <v>30000</v>
      </c>
      <c r="N3099" t="n">
        <v>33</v>
      </c>
      <c r="O3099" t="n">
        <v>0.33</v>
      </c>
      <c r="P3099" t="n">
        <v>0</v>
      </c>
      <c r="Q3099" t="n">
        <v>0.1</v>
      </c>
      <c r="R3099" t="n">
        <v>2</v>
      </c>
      <c r="S3099" t="n">
        <v>3000</v>
      </c>
      <c r="T3099" t="n">
        <v>40</v>
      </c>
      <c r="U3099" t="n">
        <v>41</v>
      </c>
      <c r="V3099" t="n">
        <v>30</v>
      </c>
      <c r="W3099" t="n">
        <v>3</v>
      </c>
      <c r="X3099" t="n">
        <v>60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7499</v>
      </c>
      <c r="AG3099" t="n">
        <v>1</v>
      </c>
      <c r="AH3099" t="inlineStr">
        <is>
          <t>PT. BERSAMA DISTRIVERSA INDONESIA (DC CIPUTAT)</t>
        </is>
      </c>
      <c r="AI3099" t="n">
        <v>289</v>
      </c>
      <c r="AJ3099" t="inlineStr">
        <is>
          <t>OH MY SKIN</t>
        </is>
      </c>
      <c r="AK3099" t="n">
        <v>9</v>
      </c>
      <c r="AL3099" t="inlineStr">
        <is>
          <t>Miss Glam Jambi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OH MY SKIN</t>
        </is>
      </c>
      <c r="B3100" s="2">
        <f>"10500580051"</f>
        <v/>
      </c>
      <c r="C3100" t="inlineStr">
        <is>
          <t>OH MY SKIN Organic Face Mask Coffe 65gr</t>
        </is>
      </c>
      <c r="D3100" t="inlineStr">
        <is>
          <t>Miss Glam Jambi</t>
        </is>
      </c>
      <c r="E3100" t="n">
        <v>5</v>
      </c>
      <c r="F3100" t="n">
        <v>0.009900000000000001</v>
      </c>
      <c r="G3100" t="n">
        <v>0.66</v>
      </c>
      <c r="H3100" t="n">
        <v>4</v>
      </c>
      <c r="I3100" t="n">
        <v>20</v>
      </c>
      <c r="J3100" t="n">
        <v>3</v>
      </c>
      <c r="K3100" t="n">
        <v>0</v>
      </c>
      <c r="L3100" t="n">
        <v>22000</v>
      </c>
      <c r="M3100" t="n">
        <v>30000</v>
      </c>
      <c r="N3100" t="n">
        <v>33</v>
      </c>
      <c r="O3100" t="n">
        <v>0.33</v>
      </c>
      <c r="P3100" t="n">
        <v>1</v>
      </c>
      <c r="Q3100" t="n">
        <v>0.03</v>
      </c>
      <c r="R3100" t="n">
        <v>1</v>
      </c>
      <c r="S3100" t="n">
        <v>297</v>
      </c>
      <c r="T3100" t="n">
        <v>14</v>
      </c>
      <c r="U3100" t="n">
        <v>15</v>
      </c>
      <c r="V3100" t="n">
        <v>30</v>
      </c>
      <c r="W3100" t="n">
        <v>1</v>
      </c>
      <c r="X3100" t="n">
        <v>505.050505050505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7499</v>
      </c>
      <c r="AG3100" t="n">
        <v>1</v>
      </c>
      <c r="AH3100" t="inlineStr">
        <is>
          <t>PT. BERSAMA DISTRIVERSA INDONESIA (DC CIPUTAT)</t>
        </is>
      </c>
      <c r="AI3100" t="n">
        <v>289</v>
      </c>
      <c r="AJ3100" t="inlineStr">
        <is>
          <t>OH MY SKIN</t>
        </is>
      </c>
      <c r="AK3100" t="n">
        <v>9</v>
      </c>
      <c r="AL3100" t="inlineStr">
        <is>
          <t>Miss Glam Jambi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OH MY SKIN</t>
        </is>
      </c>
      <c r="B3101" s="2">
        <f>"10500580425"</f>
        <v/>
      </c>
      <c r="C3101" t="inlineStr">
        <is>
          <t>OH MY SKIN Organic Face Mask Matcha 25gr</t>
        </is>
      </c>
      <c r="D3101" t="inlineStr">
        <is>
          <t>Miss Glam Jambi</t>
        </is>
      </c>
      <c r="E3101" t="n">
        <v>2</v>
      </c>
      <c r="F3101" t="n">
        <v>0.033</v>
      </c>
      <c r="G3101" t="n">
        <v>0.66</v>
      </c>
      <c r="H3101" t="n">
        <v>4</v>
      </c>
      <c r="I3101" t="n">
        <v>20</v>
      </c>
      <c r="J3101" t="n">
        <v>3</v>
      </c>
      <c r="K3101" t="n">
        <v>0</v>
      </c>
      <c r="L3101" t="n">
        <v>13000</v>
      </c>
      <c r="M3101" t="n">
        <v>22000</v>
      </c>
      <c r="N3101" t="n">
        <v>33</v>
      </c>
      <c r="O3101" t="n">
        <v>0.33</v>
      </c>
      <c r="P3101" t="n">
        <v>1</v>
      </c>
      <c r="Q3101" t="n">
        <v>0.03</v>
      </c>
      <c r="R3101" t="n">
        <v>1</v>
      </c>
      <c r="S3101" t="n">
        <v>726</v>
      </c>
      <c r="T3101" t="n">
        <v>14</v>
      </c>
      <c r="U3101" t="n">
        <v>15</v>
      </c>
      <c r="V3101" t="n">
        <v>30</v>
      </c>
      <c r="W3101" t="n">
        <v>1</v>
      </c>
      <c r="X3101" t="n">
        <v>60.6060606060606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7499</v>
      </c>
      <c r="AG3101" t="n">
        <v>1</v>
      </c>
      <c r="AH3101" t="inlineStr">
        <is>
          <t>PT. BERSAMA DISTRIVERSA INDONESIA (DC CIPUTAT)</t>
        </is>
      </c>
      <c r="AI3101" t="n">
        <v>289</v>
      </c>
      <c r="AJ3101" t="inlineStr">
        <is>
          <t>OH MY SKIN</t>
        </is>
      </c>
      <c r="AK3101" t="n">
        <v>9</v>
      </c>
      <c r="AL3101" t="inlineStr">
        <is>
          <t>Miss Glam Jambi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OH MY SKIN</t>
        </is>
      </c>
      <c r="B3102" s="2">
        <f>"10500583305"</f>
        <v/>
      </c>
      <c r="C3102" t="inlineStr">
        <is>
          <t>OH MY SKIN Organic Face Mask Strawberry 65gr</t>
        </is>
      </c>
      <c r="D3102" t="inlineStr">
        <is>
          <t>Miss Glam Jambi</t>
        </is>
      </c>
      <c r="E3102" t="n">
        <v>0</v>
      </c>
      <c r="F3102" t="n">
        <v>0.09</v>
      </c>
      <c r="G3102" t="n">
        <v>1</v>
      </c>
      <c r="H3102" t="n">
        <v>4</v>
      </c>
      <c r="I3102" t="n">
        <v>20</v>
      </c>
      <c r="J3102" t="n">
        <v>3</v>
      </c>
      <c r="K3102" t="n">
        <v>0</v>
      </c>
      <c r="L3102" t="n">
        <v>24000</v>
      </c>
      <c r="M3102" t="n">
        <v>32500</v>
      </c>
      <c r="N3102" t="n">
        <v>33</v>
      </c>
      <c r="O3102" t="n">
        <v>0.33</v>
      </c>
      <c r="P3102" t="n">
        <v>0</v>
      </c>
      <c r="Q3102" t="n">
        <v>0.09</v>
      </c>
      <c r="R3102" t="n">
        <v>1</v>
      </c>
      <c r="S3102" t="n">
        <v>2925</v>
      </c>
      <c r="T3102" t="n">
        <v>20</v>
      </c>
      <c r="U3102" t="n">
        <v>21</v>
      </c>
      <c r="V3102" t="n">
        <v>30</v>
      </c>
      <c r="W3102" t="n">
        <v>3</v>
      </c>
      <c r="X3102" t="n">
        <v>0</v>
      </c>
      <c r="Y3102" t="n">
        <v>1</v>
      </c>
      <c r="Z3102" t="n">
        <v>3</v>
      </c>
      <c r="AA3102" t="n">
        <v>2</v>
      </c>
      <c r="AB3102" t="n">
        <v>1</v>
      </c>
      <c r="AC3102" t="n">
        <v>3</v>
      </c>
      <c r="AD3102" t="n">
        <v>48000</v>
      </c>
      <c r="AE3102" t="n">
        <v>72000</v>
      </c>
      <c r="AF3102" t="n">
        <v>7499</v>
      </c>
      <c r="AG3102" t="n">
        <v>1</v>
      </c>
      <c r="AH3102" t="inlineStr">
        <is>
          <t>PT. BERSAMA DISTRIVERSA INDONESIA (DC CIPUTAT)</t>
        </is>
      </c>
      <c r="AI3102" t="n">
        <v>289</v>
      </c>
      <c r="AJ3102" t="inlineStr">
        <is>
          <t>OH MY SKIN</t>
        </is>
      </c>
      <c r="AK3102" t="n">
        <v>9</v>
      </c>
      <c r="AL3102" t="inlineStr">
        <is>
          <t>Miss Glam Jambi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OH MY SKIN</t>
        </is>
      </c>
      <c r="B3103" s="2">
        <f>"10500583533"</f>
        <v/>
      </c>
      <c r="C3103" t="inlineStr">
        <is>
          <t>OH MY SKIN Organic Mask avocado Hydrating + Moisturizing Skin Barrier Mask 65gr</t>
        </is>
      </c>
      <c r="D3103" t="inlineStr">
        <is>
          <t>Miss Glam Jambi</t>
        </is>
      </c>
      <c r="E3103" t="n">
        <v>3</v>
      </c>
      <c r="F3103" t="n">
        <v>0.02</v>
      </c>
      <c r="G3103" t="n">
        <v>1</v>
      </c>
      <c r="H3103" t="n">
        <v>4</v>
      </c>
      <c r="I3103" t="n">
        <v>20</v>
      </c>
      <c r="J3103" t="n">
        <v>3</v>
      </c>
      <c r="K3103" t="n">
        <v>0</v>
      </c>
      <c r="L3103" t="n">
        <v>24000</v>
      </c>
      <c r="M3103" t="n">
        <v>30000</v>
      </c>
      <c r="N3103" t="n">
        <v>33</v>
      </c>
      <c r="O3103" t="n">
        <v>0.33</v>
      </c>
      <c r="P3103" t="n">
        <v>0</v>
      </c>
      <c r="Q3103" t="n">
        <v>0.02</v>
      </c>
      <c r="R3103" t="n">
        <v>1</v>
      </c>
      <c r="S3103" t="n">
        <v>600</v>
      </c>
      <c r="T3103" t="n">
        <v>20</v>
      </c>
      <c r="U3103" t="n">
        <v>21</v>
      </c>
      <c r="V3103" t="n">
        <v>30</v>
      </c>
      <c r="W3103" t="n">
        <v>1</v>
      </c>
      <c r="X3103" t="n">
        <v>150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7499</v>
      </c>
      <c r="AG3103" t="n">
        <v>1</v>
      </c>
      <c r="AH3103" t="inlineStr">
        <is>
          <t>PT. BERSAMA DISTRIVERSA INDONESIA (DC CIPUTAT)</t>
        </is>
      </c>
      <c r="AI3103" t="n">
        <v>289</v>
      </c>
      <c r="AJ3103" t="inlineStr">
        <is>
          <t>OH MY SKIN</t>
        </is>
      </c>
      <c r="AK3103" t="n">
        <v>9</v>
      </c>
      <c r="AL3103" t="inlineStr">
        <is>
          <t>Miss Glam Jambi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OH MY SKIN</t>
        </is>
      </c>
      <c r="B3104" s="2">
        <f>"10500584640"</f>
        <v/>
      </c>
      <c r="C3104" t="inlineStr">
        <is>
          <t>OH MY SKIN Organic Mask Strawberry Anti Aging Mask 25gr</t>
        </is>
      </c>
      <c r="D3104" t="inlineStr">
        <is>
          <t>Miss Glam Jambi</t>
        </is>
      </c>
      <c r="E3104" t="n">
        <v>4</v>
      </c>
      <c r="F3104" t="n">
        <v>0.0429</v>
      </c>
      <c r="G3104" t="n">
        <v>0.99</v>
      </c>
      <c r="H3104" t="n">
        <v>4</v>
      </c>
      <c r="I3104" t="n">
        <v>20</v>
      </c>
      <c r="J3104" t="n">
        <v>3</v>
      </c>
      <c r="K3104" t="n">
        <v>0</v>
      </c>
      <c r="L3104" t="n">
        <v>14000</v>
      </c>
      <c r="M3104" t="n">
        <v>22000</v>
      </c>
      <c r="N3104" t="n">
        <v>33</v>
      </c>
      <c r="O3104" t="n">
        <v>0.33</v>
      </c>
      <c r="P3104" t="n">
        <v>1</v>
      </c>
      <c r="Q3104" t="n">
        <v>0.05</v>
      </c>
      <c r="R3104" t="n">
        <v>2</v>
      </c>
      <c r="S3104" t="n">
        <v>943.8000000000001</v>
      </c>
      <c r="T3104" t="n">
        <v>20</v>
      </c>
      <c r="U3104" t="n">
        <v>21</v>
      </c>
      <c r="V3104" t="n">
        <v>30</v>
      </c>
      <c r="W3104" t="n">
        <v>2</v>
      </c>
      <c r="X3104" t="n">
        <v>93.24009324009324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7499</v>
      </c>
      <c r="AG3104" t="n">
        <v>1</v>
      </c>
      <c r="AH3104" t="inlineStr">
        <is>
          <t>PT. BERSAMA DISTRIVERSA INDONESIA (DC CIPUTAT)</t>
        </is>
      </c>
      <c r="AI3104" t="n">
        <v>289</v>
      </c>
      <c r="AJ3104" t="inlineStr">
        <is>
          <t>OH MY SKIN</t>
        </is>
      </c>
      <c r="AK3104" t="n">
        <v>9</v>
      </c>
      <c r="AL3104" t="inlineStr">
        <is>
          <t>Miss Glam Jambi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OH MY SKIN</t>
        </is>
      </c>
      <c r="B3105" s="2">
        <f>"30400250720"</f>
        <v/>
      </c>
      <c r="C3105" t="inlineStr">
        <is>
          <t>OHMY SKIN Eau De Parfume London 30ml</t>
        </is>
      </c>
      <c r="D3105" t="inlineStr">
        <is>
          <t>Miss Glam Jambi</t>
        </is>
      </c>
      <c r="E3105" t="n">
        <v>4</v>
      </c>
      <c r="F3105" t="n">
        <v>0.02</v>
      </c>
      <c r="G3105" t="n">
        <v>1</v>
      </c>
      <c r="H3105" t="n">
        <v>4</v>
      </c>
      <c r="I3105" t="n">
        <v>20</v>
      </c>
      <c r="J3105" t="n">
        <v>3</v>
      </c>
      <c r="K3105" t="n">
        <v>0</v>
      </c>
      <c r="L3105" t="n">
        <v>13000</v>
      </c>
      <c r="M3105" t="n">
        <v>17000</v>
      </c>
      <c r="N3105" t="n">
        <v>33</v>
      </c>
      <c r="O3105" t="n">
        <v>0.33</v>
      </c>
      <c r="P3105" t="n">
        <v>0</v>
      </c>
      <c r="Q3105" t="n">
        <v>0.02</v>
      </c>
      <c r="R3105" t="n">
        <v>1</v>
      </c>
      <c r="S3105" t="n">
        <v>340</v>
      </c>
      <c r="T3105" t="n">
        <v>20</v>
      </c>
      <c r="U3105" t="n">
        <v>21</v>
      </c>
      <c r="V3105" t="n">
        <v>30</v>
      </c>
      <c r="W3105" t="n">
        <v>1</v>
      </c>
      <c r="X3105" t="n">
        <v>200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7499</v>
      </c>
      <c r="AG3105" t="n">
        <v>1</v>
      </c>
      <c r="AH3105" t="inlineStr">
        <is>
          <t>PT. BERSAMA DISTRIVERSA INDONESIA (DC CIPUTAT)</t>
        </is>
      </c>
      <c r="AI3105" t="n">
        <v>289</v>
      </c>
      <c r="AJ3105" t="inlineStr">
        <is>
          <t>OH MY SKIN</t>
        </is>
      </c>
      <c r="AK3105" t="n">
        <v>9</v>
      </c>
      <c r="AL3105" t="inlineStr">
        <is>
          <t>Miss Glam Jambi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OH MY SKIN</t>
        </is>
      </c>
      <c r="B3106" s="2">
        <f>"30400250555"</f>
        <v/>
      </c>
      <c r="C3106" t="inlineStr">
        <is>
          <t>OHMY SKIN Eau De Parfume Mecca 30ml</t>
        </is>
      </c>
      <c r="D3106" t="inlineStr">
        <is>
          <t>Miss Glam Jambi</t>
        </is>
      </c>
      <c r="E3106" t="n">
        <v>5</v>
      </c>
      <c r="F3106" t="n">
        <v>0.02</v>
      </c>
      <c r="G3106" t="n">
        <v>1</v>
      </c>
      <c r="H3106" t="n">
        <v>4</v>
      </c>
      <c r="I3106" t="n">
        <v>20</v>
      </c>
      <c r="J3106" t="n">
        <v>3</v>
      </c>
      <c r="K3106" t="n">
        <v>0</v>
      </c>
      <c r="L3106" t="n">
        <v>13000</v>
      </c>
      <c r="M3106" t="n">
        <v>17000</v>
      </c>
      <c r="N3106" t="n">
        <v>33</v>
      </c>
      <c r="O3106" t="n">
        <v>0.33</v>
      </c>
      <c r="P3106" t="n">
        <v>0</v>
      </c>
      <c r="Q3106" t="n">
        <v>0.02</v>
      </c>
      <c r="R3106" t="n">
        <v>1</v>
      </c>
      <c r="S3106" t="n">
        <v>340</v>
      </c>
      <c r="T3106" t="n">
        <v>20</v>
      </c>
      <c r="U3106" t="n">
        <v>21</v>
      </c>
      <c r="V3106" t="n">
        <v>30</v>
      </c>
      <c r="W3106" t="n">
        <v>1</v>
      </c>
      <c r="X3106" t="n">
        <v>250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7499</v>
      </c>
      <c r="AG3106" t="n">
        <v>1</v>
      </c>
      <c r="AH3106" t="inlineStr">
        <is>
          <t>PT. BERSAMA DISTRIVERSA INDONESIA (DC CIPUTAT)</t>
        </is>
      </c>
      <c r="AI3106" t="n">
        <v>289</v>
      </c>
      <c r="AJ3106" t="inlineStr">
        <is>
          <t>OH MY SKIN</t>
        </is>
      </c>
      <c r="AK3106" t="n">
        <v>9</v>
      </c>
      <c r="AL3106" t="inlineStr">
        <is>
          <t>Miss Glam Jambi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OMG</t>
        </is>
      </c>
      <c r="B3107" s="2">
        <f>"10400617920"</f>
        <v/>
      </c>
      <c r="C3107" t="inlineStr">
        <is>
          <t>OMG Acne &amp; Oil  Control UV Barrier Sunscreen SPF 50 PA++++ 25ml</t>
        </is>
      </c>
      <c r="D3107" t="inlineStr">
        <is>
          <t>Miss Glam Jambi</t>
        </is>
      </c>
      <c r="E3107" t="n">
        <v>6</v>
      </c>
      <c r="F3107" t="n">
        <v>0.6534</v>
      </c>
      <c r="G3107" t="n">
        <v>2.31</v>
      </c>
      <c r="H3107" t="n">
        <v>2</v>
      </c>
      <c r="I3107" t="n">
        <v>7</v>
      </c>
      <c r="J3107" t="n">
        <v>1</v>
      </c>
      <c r="K3107" t="n">
        <v>14</v>
      </c>
      <c r="L3107" t="n">
        <v>20332</v>
      </c>
      <c r="M3107" t="n">
        <v>24000</v>
      </c>
      <c r="N3107" t="n">
        <v>33</v>
      </c>
      <c r="O3107" t="n">
        <v>0.33</v>
      </c>
      <c r="P3107" t="n">
        <v>1</v>
      </c>
      <c r="Q3107" t="n">
        <v>0.1</v>
      </c>
      <c r="R3107" t="n">
        <v>1</v>
      </c>
      <c r="S3107" t="n">
        <v>15681.6</v>
      </c>
      <c r="T3107" t="n">
        <v>15</v>
      </c>
      <c r="U3107" t="n">
        <v>17</v>
      </c>
      <c r="V3107" t="n">
        <v>30</v>
      </c>
      <c r="W3107" t="n">
        <v>20</v>
      </c>
      <c r="X3107" t="n">
        <v>9.182736455463729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11593</v>
      </c>
      <c r="AG3107" t="n">
        <v>2141</v>
      </c>
      <c r="AH3107" t="inlineStr">
        <is>
          <t>PT. PARAMA GLOBAL INSPIRA - PPN (JMB)</t>
        </is>
      </c>
      <c r="AI3107" t="n">
        <v>563</v>
      </c>
      <c r="AJ3107" t="inlineStr">
        <is>
          <t>OMG</t>
        </is>
      </c>
      <c r="AK3107" t="n">
        <v>9</v>
      </c>
      <c r="AL3107" t="inlineStr">
        <is>
          <t>Miss Glam Jambi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OMG</t>
        </is>
      </c>
      <c r="B3108" s="2">
        <f>"203002201220"</f>
        <v/>
      </c>
      <c r="C3108" t="inlineStr">
        <is>
          <t>OMG Colorlast Lip Vinyl 02 FYP Pink 2.5gr</t>
        </is>
      </c>
      <c r="D3108" t="inlineStr">
        <is>
          <t>Miss Glam Jambi</t>
        </is>
      </c>
      <c r="E3108" t="n">
        <v>3</v>
      </c>
      <c r="F3108" t="n">
        <v>0.33</v>
      </c>
      <c r="G3108" t="n">
        <v>1.65</v>
      </c>
      <c r="H3108" t="n">
        <v>2</v>
      </c>
      <c r="I3108" t="n">
        <v>7</v>
      </c>
      <c r="J3108" t="n">
        <v>1</v>
      </c>
      <c r="K3108" t="n">
        <v>7</v>
      </c>
      <c r="L3108" t="n">
        <v>28152</v>
      </c>
      <c r="M3108" t="n">
        <v>36000</v>
      </c>
      <c r="N3108" t="n">
        <v>33</v>
      </c>
      <c r="O3108" t="n">
        <v>0.33</v>
      </c>
      <c r="P3108" t="n">
        <v>1</v>
      </c>
      <c r="Q3108" t="n">
        <v>0.24</v>
      </c>
      <c r="R3108" t="n">
        <v>2</v>
      </c>
      <c r="S3108" t="n">
        <v>11880</v>
      </c>
      <c r="T3108" t="n">
        <v>11</v>
      </c>
      <c r="U3108" t="n">
        <v>12</v>
      </c>
      <c r="V3108" t="n">
        <v>30</v>
      </c>
      <c r="W3108" t="n">
        <v>10</v>
      </c>
      <c r="X3108" t="n">
        <v>9.09090909090909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11593</v>
      </c>
      <c r="AG3108" t="n">
        <v>2141</v>
      </c>
      <c r="AH3108" t="inlineStr">
        <is>
          <t>PT. PARAMA GLOBAL INSPIRA - PPN (JMB)</t>
        </is>
      </c>
      <c r="AI3108" t="n">
        <v>563</v>
      </c>
      <c r="AJ3108" t="inlineStr">
        <is>
          <t>OMG</t>
        </is>
      </c>
      <c r="AK3108" t="n">
        <v>9</v>
      </c>
      <c r="AL3108" t="inlineStr">
        <is>
          <t>Miss Glam Jambi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OMG</t>
        </is>
      </c>
      <c r="B3109" s="2">
        <f>"203002201327"</f>
        <v/>
      </c>
      <c r="C3109" t="inlineStr">
        <is>
          <t>OMG Colorlast Lip Vinyl 04 Gloss Boss 2.5gr</t>
        </is>
      </c>
      <c r="D3109" t="inlineStr">
        <is>
          <t>Miss Glam Jambi</t>
        </is>
      </c>
      <c r="E3109" t="n">
        <v>12</v>
      </c>
      <c r="F3109" t="n">
        <v>0.4851</v>
      </c>
      <c r="G3109" t="n">
        <v>1.98</v>
      </c>
      <c r="H3109" t="n">
        <v>2</v>
      </c>
      <c r="I3109" t="n">
        <v>7</v>
      </c>
      <c r="J3109" t="n">
        <v>1</v>
      </c>
      <c r="K3109" t="n">
        <v>2</v>
      </c>
      <c r="L3109" t="n">
        <v>28152</v>
      </c>
      <c r="M3109" t="n">
        <v>36000</v>
      </c>
      <c r="N3109" t="n">
        <v>33</v>
      </c>
      <c r="O3109" t="n">
        <v>0.33</v>
      </c>
      <c r="P3109" t="n">
        <v>1</v>
      </c>
      <c r="Q3109" t="n">
        <v>0.78</v>
      </c>
      <c r="R3109" t="n">
        <v>3</v>
      </c>
      <c r="S3109" t="n">
        <v>17463.6</v>
      </c>
      <c r="T3109" t="n">
        <v>13</v>
      </c>
      <c r="U3109" t="n">
        <v>14</v>
      </c>
      <c r="V3109" t="n">
        <v>30</v>
      </c>
      <c r="W3109" t="n">
        <v>15</v>
      </c>
      <c r="X3109" t="n">
        <v>24.73716759431045</v>
      </c>
      <c r="Y3109" t="n">
        <v>1</v>
      </c>
      <c r="Z3109" t="n">
        <v>1</v>
      </c>
      <c r="AA3109" t="n">
        <v>0</v>
      </c>
      <c r="AB3109" t="n">
        <v>1</v>
      </c>
      <c r="AC3109" t="n">
        <v>1</v>
      </c>
      <c r="AD3109" t="n">
        <v>0</v>
      </c>
      <c r="AE3109" t="n">
        <v>28152</v>
      </c>
      <c r="AF3109" t="n">
        <v>11593</v>
      </c>
      <c r="AG3109" t="n">
        <v>2141</v>
      </c>
      <c r="AH3109" t="inlineStr">
        <is>
          <t>PT. PARAMA GLOBAL INSPIRA - PPN (JMB)</t>
        </is>
      </c>
      <c r="AI3109" t="n">
        <v>563</v>
      </c>
      <c r="AJ3109" t="inlineStr">
        <is>
          <t>OMG</t>
        </is>
      </c>
      <c r="AK3109" t="n">
        <v>9</v>
      </c>
      <c r="AL3109" t="inlineStr">
        <is>
          <t>Miss Glam Jambi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OMG</t>
        </is>
      </c>
      <c r="B3110" s="2">
        <f>"203002201418"</f>
        <v/>
      </c>
      <c r="C3110" t="inlineStr">
        <is>
          <t>OMG Colorlast Lip Vinyl 05 Scarlet 2.5gr</t>
        </is>
      </c>
      <c r="D3110" t="inlineStr">
        <is>
          <t>Miss Glam Jambi</t>
        </is>
      </c>
      <c r="E3110" t="n">
        <v>11</v>
      </c>
      <c r="F3110" t="n">
        <v>1.8414</v>
      </c>
      <c r="G3110" t="n">
        <v>4.95</v>
      </c>
      <c r="H3110" t="n">
        <v>2</v>
      </c>
      <c r="I3110" t="n">
        <v>7</v>
      </c>
      <c r="J3110" t="n">
        <v>1</v>
      </c>
      <c r="K3110" t="n">
        <v>42</v>
      </c>
      <c r="L3110" t="n">
        <v>28152</v>
      </c>
      <c r="M3110" t="n">
        <v>36000</v>
      </c>
      <c r="N3110" t="n">
        <v>33</v>
      </c>
      <c r="O3110" t="n">
        <v>0.33</v>
      </c>
      <c r="P3110" t="n">
        <v>1</v>
      </c>
      <c r="Q3110" t="n">
        <v>1.02</v>
      </c>
      <c r="R3110" t="n">
        <v>4</v>
      </c>
      <c r="S3110" t="n">
        <v>66290.40000000001</v>
      </c>
      <c r="T3110" t="n">
        <v>31</v>
      </c>
      <c r="U3110" t="n">
        <v>35</v>
      </c>
      <c r="V3110" t="n">
        <v>30</v>
      </c>
      <c r="W3110" t="n">
        <v>56</v>
      </c>
      <c r="X3110" t="n">
        <v>5.973715651135006</v>
      </c>
      <c r="Y3110" t="n">
        <v>1</v>
      </c>
      <c r="Z3110" t="n">
        <v>3</v>
      </c>
      <c r="AA3110" t="n">
        <v>1</v>
      </c>
      <c r="AB3110" t="n">
        <v>2</v>
      </c>
      <c r="AC3110" t="n">
        <v>2</v>
      </c>
      <c r="AD3110" t="n">
        <v>28152</v>
      </c>
      <c r="AE3110" t="n">
        <v>56304</v>
      </c>
      <c r="AF3110" t="n">
        <v>11593</v>
      </c>
      <c r="AG3110" t="n">
        <v>2141</v>
      </c>
      <c r="AH3110" t="inlineStr">
        <is>
          <t>PT. PARAMA GLOBAL INSPIRA - PPN (JMB)</t>
        </is>
      </c>
      <c r="AI3110" t="n">
        <v>563</v>
      </c>
      <c r="AJ3110" t="inlineStr">
        <is>
          <t>OMG</t>
        </is>
      </c>
      <c r="AK3110" t="n">
        <v>9</v>
      </c>
      <c r="AL3110" t="inlineStr">
        <is>
          <t>Miss Glam Jambi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OMG</t>
        </is>
      </c>
      <c r="B3111" s="2">
        <f>"203002201505"</f>
        <v/>
      </c>
      <c r="C3111" t="inlineStr">
        <is>
          <t>OMG Colorlast Lip Vinyl 06 Trendsetter 2.5gr</t>
        </is>
      </c>
      <c r="D3111" t="inlineStr">
        <is>
          <t>Miss Glam Jambi</t>
        </is>
      </c>
      <c r="E3111" t="n">
        <v>13</v>
      </c>
      <c r="F3111" t="n">
        <v>0.5049</v>
      </c>
      <c r="G3111" t="n">
        <v>2.31</v>
      </c>
      <c r="H3111" t="n">
        <v>2</v>
      </c>
      <c r="I3111" t="n">
        <v>7</v>
      </c>
      <c r="J3111" t="n">
        <v>1</v>
      </c>
      <c r="K3111" t="n">
        <v>2</v>
      </c>
      <c r="L3111" t="n">
        <v>28152</v>
      </c>
      <c r="M3111" t="n">
        <v>36000</v>
      </c>
      <c r="N3111" t="n">
        <v>33</v>
      </c>
      <c r="O3111" t="n">
        <v>0.33</v>
      </c>
      <c r="P3111" t="n">
        <v>1</v>
      </c>
      <c r="Q3111" t="n">
        <v>0.37</v>
      </c>
      <c r="R3111" t="n">
        <v>2</v>
      </c>
      <c r="S3111" t="n">
        <v>18176.4</v>
      </c>
      <c r="T3111" t="n">
        <v>16</v>
      </c>
      <c r="U3111" t="n">
        <v>18</v>
      </c>
      <c r="V3111" t="n">
        <v>30</v>
      </c>
      <c r="W3111" t="n">
        <v>16</v>
      </c>
      <c r="X3111" t="n">
        <v>25.74767280649634</v>
      </c>
      <c r="Y3111" t="n">
        <v>1</v>
      </c>
      <c r="Z3111" t="n">
        <v>1</v>
      </c>
      <c r="AA3111" t="n">
        <v>0</v>
      </c>
      <c r="AB3111" t="n">
        <v>1</v>
      </c>
      <c r="AC3111" t="n">
        <v>1</v>
      </c>
      <c r="AD3111" t="n">
        <v>0</v>
      </c>
      <c r="AE3111" t="n">
        <v>28152</v>
      </c>
      <c r="AF3111" t="n">
        <v>11593</v>
      </c>
      <c r="AG3111" t="n">
        <v>2141</v>
      </c>
      <c r="AH3111" t="inlineStr">
        <is>
          <t>PT. PARAMA GLOBAL INSPIRA - PPN (JMB)</t>
        </is>
      </c>
      <c r="AI3111" t="n">
        <v>563</v>
      </c>
      <c r="AJ3111" t="inlineStr">
        <is>
          <t>OMG</t>
        </is>
      </c>
      <c r="AK3111" t="n">
        <v>9</v>
      </c>
      <c r="AL3111" t="inlineStr">
        <is>
          <t>Miss Glam Jambi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OMG</t>
        </is>
      </c>
      <c r="B3112" s="2">
        <f>"203002201608"</f>
        <v/>
      </c>
      <c r="C3112" t="inlineStr">
        <is>
          <t>OMG Colorlast Lip Vinyl 07 Latte Crush 2.5gr</t>
        </is>
      </c>
      <c r="D3112" t="inlineStr">
        <is>
          <t>Miss Glam Jambi</t>
        </is>
      </c>
      <c r="E3112" t="n">
        <v>6</v>
      </c>
      <c r="F3112" t="n">
        <v>0.6501</v>
      </c>
      <c r="G3112" t="n">
        <v>1.98</v>
      </c>
      <c r="H3112" t="n">
        <v>2</v>
      </c>
      <c r="I3112" t="n">
        <v>7</v>
      </c>
      <c r="J3112" t="n">
        <v>1</v>
      </c>
      <c r="K3112" t="n">
        <v>14</v>
      </c>
      <c r="L3112" t="n">
        <v>28152</v>
      </c>
      <c r="M3112" t="n">
        <v>36000</v>
      </c>
      <c r="N3112" t="n">
        <v>33</v>
      </c>
      <c r="O3112" t="n">
        <v>0.33</v>
      </c>
      <c r="P3112" t="n">
        <v>1</v>
      </c>
      <c r="Q3112" t="n">
        <v>0.49</v>
      </c>
      <c r="R3112" t="n">
        <v>3</v>
      </c>
      <c r="S3112" t="n">
        <v>23403.6</v>
      </c>
      <c r="T3112" t="n">
        <v>13</v>
      </c>
      <c r="U3112" t="n">
        <v>15</v>
      </c>
      <c r="V3112" t="n">
        <v>30</v>
      </c>
      <c r="W3112" t="n">
        <v>20</v>
      </c>
      <c r="X3112" t="n">
        <v>9.229349330872173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11593</v>
      </c>
      <c r="AG3112" t="n">
        <v>2141</v>
      </c>
      <c r="AH3112" t="inlineStr">
        <is>
          <t>PT. PARAMA GLOBAL INSPIRA - PPN (JMB)</t>
        </is>
      </c>
      <c r="AI3112" t="n">
        <v>563</v>
      </c>
      <c r="AJ3112" t="inlineStr">
        <is>
          <t>OMG</t>
        </is>
      </c>
      <c r="AK3112" t="n">
        <v>9</v>
      </c>
      <c r="AL3112" t="inlineStr">
        <is>
          <t>Miss Glam Jambi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OMG</t>
        </is>
      </c>
      <c r="B3113" s="2">
        <f>"203002201755"</f>
        <v/>
      </c>
      <c r="C3113" t="inlineStr">
        <is>
          <t>OMG Colorlast Lip Vinyl 08 Hazel Hype 2.5gr</t>
        </is>
      </c>
      <c r="D3113" t="inlineStr">
        <is>
          <t>Miss Glam Jambi</t>
        </is>
      </c>
      <c r="E3113" t="n">
        <v>3</v>
      </c>
      <c r="F3113" t="n">
        <v>0.1221</v>
      </c>
      <c r="G3113" t="n">
        <v>0.66</v>
      </c>
      <c r="H3113" t="n">
        <v>2</v>
      </c>
      <c r="I3113" t="n">
        <v>7</v>
      </c>
      <c r="J3113" t="n">
        <v>1</v>
      </c>
      <c r="K3113" t="n">
        <v>1</v>
      </c>
      <c r="L3113" t="n">
        <v>28152</v>
      </c>
      <c r="M3113" t="n">
        <v>36000</v>
      </c>
      <c r="N3113" t="n">
        <v>33</v>
      </c>
      <c r="O3113" t="n">
        <v>0.33</v>
      </c>
      <c r="P3113" t="n">
        <v>1</v>
      </c>
      <c r="Q3113" t="n">
        <v>0.08</v>
      </c>
      <c r="R3113" t="n">
        <v>1</v>
      </c>
      <c r="S3113" t="n">
        <v>4395.6</v>
      </c>
      <c r="T3113" t="n">
        <v>5</v>
      </c>
      <c r="U3113" t="n">
        <v>6</v>
      </c>
      <c r="V3113" t="n">
        <v>30</v>
      </c>
      <c r="W3113" t="n">
        <v>4</v>
      </c>
      <c r="X3113" t="n">
        <v>24.57002457002457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11593</v>
      </c>
      <c r="AG3113" t="n">
        <v>2141</v>
      </c>
      <c r="AH3113" t="inlineStr">
        <is>
          <t>PT. PARAMA GLOBAL INSPIRA - PPN (JMB)</t>
        </is>
      </c>
      <c r="AI3113" t="n">
        <v>563</v>
      </c>
      <c r="AJ3113" t="inlineStr">
        <is>
          <t>OMG</t>
        </is>
      </c>
      <c r="AK3113" t="n">
        <v>9</v>
      </c>
      <c r="AL3113" t="inlineStr">
        <is>
          <t>Miss Glam Jambi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OMG</t>
        </is>
      </c>
      <c r="B3114" s="2">
        <f>"20100184508"</f>
        <v/>
      </c>
      <c r="C3114" t="inlineStr">
        <is>
          <t>OMG Coverlast Liquid Foundation 10N Porcelain 25ml</t>
        </is>
      </c>
      <c r="D3114" t="inlineStr">
        <is>
          <t>Miss Glam Jambi</t>
        </is>
      </c>
      <c r="E3114" t="n">
        <v>5</v>
      </c>
      <c r="F3114" t="n">
        <v>0.0165</v>
      </c>
      <c r="G3114" t="n">
        <v>0.33</v>
      </c>
      <c r="H3114" t="n">
        <v>2</v>
      </c>
      <c r="I3114" t="n">
        <v>7</v>
      </c>
      <c r="J3114" t="n">
        <v>1</v>
      </c>
      <c r="K3114" t="n">
        <v>0</v>
      </c>
      <c r="L3114" t="n">
        <v>16813</v>
      </c>
      <c r="M3114" t="n">
        <v>17500</v>
      </c>
      <c r="N3114" t="n">
        <v>33</v>
      </c>
      <c r="O3114" t="n">
        <v>0.33</v>
      </c>
      <c r="P3114" t="n">
        <v>1</v>
      </c>
      <c r="Q3114" t="n">
        <v>0.02</v>
      </c>
      <c r="R3114" t="n">
        <v>1</v>
      </c>
      <c r="S3114" t="n">
        <v>288.75</v>
      </c>
      <c r="T3114" t="n">
        <v>3</v>
      </c>
      <c r="U3114" t="n">
        <v>4</v>
      </c>
      <c r="V3114" t="n">
        <v>30</v>
      </c>
      <c r="W3114" t="n">
        <v>1</v>
      </c>
      <c r="X3114" t="n">
        <v>303.030303030303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11593</v>
      </c>
      <c r="AG3114" t="n">
        <v>2141</v>
      </c>
      <c r="AH3114" t="inlineStr">
        <is>
          <t>PT. PARAMA GLOBAL INSPIRA - PPN (JMB)</t>
        </is>
      </c>
      <c r="AI3114" t="n">
        <v>563</v>
      </c>
      <c r="AJ3114" t="inlineStr">
        <is>
          <t>OMG</t>
        </is>
      </c>
      <c r="AK3114" t="n">
        <v>9</v>
      </c>
      <c r="AL3114" t="inlineStr">
        <is>
          <t>Miss Glam Jambi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OMG</t>
        </is>
      </c>
      <c r="B3115" s="2">
        <f>"20100184642"</f>
        <v/>
      </c>
      <c r="C3115" t="inlineStr">
        <is>
          <t>OMG Coverlast Liquid Foundation 20N Vanilla 25ml</t>
        </is>
      </c>
      <c r="D3115" t="inlineStr">
        <is>
          <t>Miss Glam Jambi</t>
        </is>
      </c>
      <c r="E3115" t="n">
        <v>3</v>
      </c>
      <c r="F3115" t="n">
        <v>0.09569999999999999</v>
      </c>
      <c r="G3115" t="n">
        <v>0.99</v>
      </c>
      <c r="H3115" t="n">
        <v>2</v>
      </c>
      <c r="I3115" t="n">
        <v>7</v>
      </c>
      <c r="J3115" t="n">
        <v>1</v>
      </c>
      <c r="K3115" t="n">
        <v>0</v>
      </c>
      <c r="L3115" t="n">
        <v>16813</v>
      </c>
      <c r="M3115" t="n">
        <v>17500</v>
      </c>
      <c r="N3115" t="n">
        <v>33</v>
      </c>
      <c r="O3115" t="n">
        <v>0.33</v>
      </c>
      <c r="P3115" t="n">
        <v>1</v>
      </c>
      <c r="Q3115" t="n">
        <v>0.05</v>
      </c>
      <c r="R3115" t="n">
        <v>1</v>
      </c>
      <c r="S3115" t="n">
        <v>1674.75</v>
      </c>
      <c r="T3115" t="n">
        <v>7</v>
      </c>
      <c r="U3115" t="n">
        <v>8</v>
      </c>
      <c r="V3115" t="n">
        <v>30</v>
      </c>
      <c r="W3115" t="n">
        <v>3</v>
      </c>
      <c r="X3115" t="n">
        <v>31.34796238244514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11593</v>
      </c>
      <c r="AG3115" t="n">
        <v>2141</v>
      </c>
      <c r="AH3115" t="inlineStr">
        <is>
          <t>PT. PARAMA GLOBAL INSPIRA - PPN (JMB)</t>
        </is>
      </c>
      <c r="AI3115" t="n">
        <v>563</v>
      </c>
      <c r="AJ3115" t="inlineStr">
        <is>
          <t>OMG</t>
        </is>
      </c>
      <c r="AK3115" t="n">
        <v>9</v>
      </c>
      <c r="AL3115" t="inlineStr">
        <is>
          <t>Miss Glam Jambi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OMG</t>
        </is>
      </c>
      <c r="B3116" s="2">
        <f>"20100184713"</f>
        <v/>
      </c>
      <c r="C3116" t="inlineStr">
        <is>
          <t>OMG Coverlast Liquid Foundation 50N Creme 25ml</t>
        </is>
      </c>
      <c r="D3116" t="inlineStr">
        <is>
          <t>Miss Glam Jambi</t>
        </is>
      </c>
      <c r="E3116" t="n">
        <v>5</v>
      </c>
      <c r="F3116" t="n">
        <v>0.0495</v>
      </c>
      <c r="G3116" t="n">
        <v>1.32</v>
      </c>
      <c r="H3116" t="n">
        <v>2</v>
      </c>
      <c r="I3116" t="n">
        <v>7</v>
      </c>
      <c r="J3116" t="n">
        <v>1</v>
      </c>
      <c r="K3116" t="n">
        <v>0</v>
      </c>
      <c r="L3116" t="n">
        <v>16813</v>
      </c>
      <c r="M3116" t="n">
        <v>17500</v>
      </c>
      <c r="N3116" t="n">
        <v>33</v>
      </c>
      <c r="O3116" t="n">
        <v>0.33</v>
      </c>
      <c r="P3116" t="n">
        <v>1</v>
      </c>
      <c r="Q3116" t="n">
        <v>0.02</v>
      </c>
      <c r="R3116" t="n">
        <v>1</v>
      </c>
      <c r="S3116" t="n">
        <v>866.25</v>
      </c>
      <c r="T3116" t="n">
        <v>10</v>
      </c>
      <c r="U3116" t="n">
        <v>11</v>
      </c>
      <c r="V3116" t="n">
        <v>30</v>
      </c>
      <c r="W3116" t="n">
        <v>2</v>
      </c>
      <c r="X3116" t="n">
        <v>101.010101010101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11593</v>
      </c>
      <c r="AG3116" t="n">
        <v>2141</v>
      </c>
      <c r="AH3116" t="inlineStr">
        <is>
          <t>PT. PARAMA GLOBAL INSPIRA - PPN (JMB)</t>
        </is>
      </c>
      <c r="AI3116" t="n">
        <v>563</v>
      </c>
      <c r="AJ3116" t="inlineStr">
        <is>
          <t>OMG</t>
        </is>
      </c>
      <c r="AK3116" t="n">
        <v>9</v>
      </c>
      <c r="AL3116" t="inlineStr">
        <is>
          <t>Miss Glam Jambi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OMG</t>
        </is>
      </c>
      <c r="B3117" s="2">
        <f>"20100579623"</f>
        <v/>
      </c>
      <c r="C3117" t="inlineStr">
        <is>
          <t>OMG Coverlast Two Way Cake 10N Porcelain 12gr</t>
        </is>
      </c>
      <c r="D3117" t="inlineStr">
        <is>
          <t>Miss Glam Jambi</t>
        </is>
      </c>
      <c r="E3117" t="n">
        <v>5</v>
      </c>
      <c r="F3117" t="n">
        <v>0.033</v>
      </c>
      <c r="G3117" t="n">
        <v>0.33</v>
      </c>
      <c r="H3117" t="n">
        <v>2</v>
      </c>
      <c r="I3117" t="n">
        <v>7</v>
      </c>
      <c r="J3117" t="n">
        <v>1</v>
      </c>
      <c r="K3117" t="n">
        <v>0</v>
      </c>
      <c r="L3117" t="n">
        <v>19941</v>
      </c>
      <c r="M3117" t="n">
        <v>22000</v>
      </c>
      <c r="N3117" t="n">
        <v>33</v>
      </c>
      <c r="O3117" t="n">
        <v>0.33</v>
      </c>
      <c r="P3117" t="n">
        <v>1</v>
      </c>
      <c r="Q3117" t="n">
        <v>0.02</v>
      </c>
      <c r="R3117" t="n">
        <v>1</v>
      </c>
      <c r="S3117" t="n">
        <v>726</v>
      </c>
      <c r="T3117" t="n">
        <v>3</v>
      </c>
      <c r="U3117" t="n">
        <v>4</v>
      </c>
      <c r="V3117" t="n">
        <v>30</v>
      </c>
      <c r="W3117" t="n">
        <v>1</v>
      </c>
      <c r="X3117" t="n">
        <v>151.5151515151515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11593</v>
      </c>
      <c r="AG3117" t="n">
        <v>2141</v>
      </c>
      <c r="AH3117" t="inlineStr">
        <is>
          <t>PT. PARAMA GLOBAL INSPIRA - PPN (JMB)</t>
        </is>
      </c>
      <c r="AI3117" t="n">
        <v>563</v>
      </c>
      <c r="AJ3117" t="inlineStr">
        <is>
          <t>OMG</t>
        </is>
      </c>
      <c r="AK3117" t="n">
        <v>9</v>
      </c>
      <c r="AL3117" t="inlineStr">
        <is>
          <t>Miss Glam Jambi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OMG</t>
        </is>
      </c>
      <c r="B3118" s="2">
        <f>"20100579708"</f>
        <v/>
      </c>
      <c r="C3118" t="inlineStr">
        <is>
          <t>OMG Coverlast Two Way Cake 20N Vanilla 12gr</t>
        </is>
      </c>
      <c r="D3118" t="inlineStr">
        <is>
          <t>Miss Glam Jambi</t>
        </is>
      </c>
      <c r="E3118" t="n">
        <v>3</v>
      </c>
      <c r="F3118" t="n">
        <v>0.1023</v>
      </c>
      <c r="G3118" t="n">
        <v>1.65</v>
      </c>
      <c r="H3118" t="n">
        <v>2</v>
      </c>
      <c r="I3118" t="n">
        <v>7</v>
      </c>
      <c r="J3118" t="n">
        <v>1</v>
      </c>
      <c r="K3118" t="n">
        <v>1</v>
      </c>
      <c r="L3118" t="n">
        <v>19941</v>
      </c>
      <c r="M3118" t="n">
        <v>22000</v>
      </c>
      <c r="N3118" t="n">
        <v>33</v>
      </c>
      <c r="O3118" t="n">
        <v>0.33</v>
      </c>
      <c r="P3118" t="n">
        <v>1</v>
      </c>
      <c r="Q3118" t="n">
        <v>0.05</v>
      </c>
      <c r="R3118" t="n">
        <v>1</v>
      </c>
      <c r="S3118" t="n">
        <v>2250.6</v>
      </c>
      <c r="T3118" t="n">
        <v>12</v>
      </c>
      <c r="U3118" t="n">
        <v>13</v>
      </c>
      <c r="V3118" t="n">
        <v>30</v>
      </c>
      <c r="W3118" t="n">
        <v>4</v>
      </c>
      <c r="X3118" t="n">
        <v>29.32551319648094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11593</v>
      </c>
      <c r="AG3118" t="n">
        <v>2141</v>
      </c>
      <c r="AH3118" t="inlineStr">
        <is>
          <t>PT. PARAMA GLOBAL INSPIRA - PPN (JMB)</t>
        </is>
      </c>
      <c r="AI3118" t="n">
        <v>563</v>
      </c>
      <c r="AJ3118" t="inlineStr">
        <is>
          <t>OMG</t>
        </is>
      </c>
      <c r="AK3118" t="n">
        <v>9</v>
      </c>
      <c r="AL3118" t="inlineStr">
        <is>
          <t>Miss Glam Jambi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OMG</t>
        </is>
      </c>
      <c r="B3119" s="2">
        <f>"20200570759"</f>
        <v/>
      </c>
      <c r="C3119" t="inlineStr">
        <is>
          <t>OMG Eye Studio Palette X Bubah Alfian</t>
        </is>
      </c>
      <c r="D3119" t="inlineStr">
        <is>
          <t>Miss Glam Jambi</t>
        </is>
      </c>
      <c r="E3119" t="n">
        <v>1</v>
      </c>
      <c r="F3119" t="n">
        <v>0.066</v>
      </c>
      <c r="G3119" t="n">
        <v>0.99</v>
      </c>
      <c r="H3119" t="n">
        <v>2</v>
      </c>
      <c r="I3119" t="n">
        <v>7</v>
      </c>
      <c r="J3119" t="n">
        <v>1</v>
      </c>
      <c r="K3119" t="n">
        <v>1</v>
      </c>
      <c r="L3119" t="n">
        <v>43010</v>
      </c>
      <c r="M3119" t="n">
        <v>55000</v>
      </c>
      <c r="N3119" t="n">
        <v>33</v>
      </c>
      <c r="O3119" t="n">
        <v>0.33</v>
      </c>
      <c r="P3119" t="n">
        <v>1</v>
      </c>
      <c r="Q3119" t="n">
        <v>0.25</v>
      </c>
      <c r="R3119" t="n">
        <v>2</v>
      </c>
      <c r="S3119" t="n">
        <v>3630</v>
      </c>
      <c r="T3119" t="n">
        <v>7</v>
      </c>
      <c r="U3119" t="n">
        <v>8</v>
      </c>
      <c r="V3119" t="n">
        <v>30</v>
      </c>
      <c r="W3119" t="n">
        <v>2</v>
      </c>
      <c r="X3119" t="n">
        <v>15.15151515151515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11593</v>
      </c>
      <c r="AG3119" t="n">
        <v>2141</v>
      </c>
      <c r="AH3119" t="inlineStr">
        <is>
          <t>PT. PARAMA GLOBAL INSPIRA - PPN (JMB)</t>
        </is>
      </c>
      <c r="AI3119" t="n">
        <v>563</v>
      </c>
      <c r="AJ3119" t="inlineStr">
        <is>
          <t>OMG</t>
        </is>
      </c>
      <c r="AK3119" t="n">
        <v>9</v>
      </c>
      <c r="AL3119" t="inlineStr">
        <is>
          <t>Miss Glam Jambi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OMG</t>
        </is>
      </c>
      <c r="B3120" s="2">
        <f>"8993137710282"</f>
        <v/>
      </c>
      <c r="C3120" t="inlineStr">
        <is>
          <t>OMG Matte Kiss Lip Cream 01 Dreamy 3,5 gr</t>
        </is>
      </c>
      <c r="D3120" t="inlineStr">
        <is>
          <t>Miss Glam Jambi</t>
        </is>
      </c>
      <c r="E3120" t="n">
        <v>17</v>
      </c>
      <c r="F3120" t="n">
        <v>0.9075000000000001</v>
      </c>
      <c r="G3120" t="n">
        <v>3.96</v>
      </c>
      <c r="H3120" t="n">
        <v>2</v>
      </c>
      <c r="I3120" t="n">
        <v>7</v>
      </c>
      <c r="J3120" t="n">
        <v>3</v>
      </c>
      <c r="K3120" t="n">
        <v>11</v>
      </c>
      <c r="L3120" t="n">
        <v>18377</v>
      </c>
      <c r="M3120" t="n">
        <v>21000</v>
      </c>
      <c r="N3120" t="n">
        <v>33</v>
      </c>
      <c r="O3120" t="n">
        <v>0.33</v>
      </c>
      <c r="P3120" t="n">
        <v>1</v>
      </c>
      <c r="Q3120" t="n">
        <v>0.61</v>
      </c>
      <c r="R3120" t="n">
        <v>3</v>
      </c>
      <c r="S3120" t="n">
        <v>19057.5</v>
      </c>
      <c r="T3120" t="n">
        <v>26</v>
      </c>
      <c r="U3120" t="n">
        <v>28</v>
      </c>
      <c r="V3120" t="n">
        <v>30</v>
      </c>
      <c r="W3120" t="n">
        <v>28</v>
      </c>
      <c r="X3120" t="n">
        <v>18.732782369146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11593</v>
      </c>
      <c r="AG3120" t="n">
        <v>2141</v>
      </c>
      <c r="AH3120" t="inlineStr">
        <is>
          <t>PT. PARAMA GLOBAL INSPIRA - PPN (JMB)</t>
        </is>
      </c>
      <c r="AI3120" t="n">
        <v>563</v>
      </c>
      <c r="AJ3120" t="inlineStr">
        <is>
          <t>OMG</t>
        </is>
      </c>
      <c r="AK3120" t="n">
        <v>9</v>
      </c>
      <c r="AL3120" t="inlineStr">
        <is>
          <t>Miss Glam Jambi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OMG</t>
        </is>
      </c>
      <c r="B3121" s="2">
        <f>"8993137710312"</f>
        <v/>
      </c>
      <c r="C3121" t="inlineStr">
        <is>
          <t>OMG Matte Kiss Lip Cream 04 Sunset 3,5 gr</t>
        </is>
      </c>
      <c r="D3121" t="inlineStr">
        <is>
          <t>Miss Glam Jambi</t>
        </is>
      </c>
      <c r="E3121" t="n">
        <v>2</v>
      </c>
      <c r="F3121" t="n">
        <v>0.3201</v>
      </c>
      <c r="G3121" t="n">
        <v>1.32</v>
      </c>
      <c r="H3121" t="n">
        <v>2</v>
      </c>
      <c r="I3121" t="n">
        <v>7</v>
      </c>
      <c r="J3121" t="n">
        <v>3</v>
      </c>
      <c r="K3121" t="n">
        <v>7</v>
      </c>
      <c r="L3121" t="n">
        <v>18371</v>
      </c>
      <c r="M3121" t="n">
        <v>21000</v>
      </c>
      <c r="N3121" t="n">
        <v>33</v>
      </c>
      <c r="O3121" t="n">
        <v>0.33</v>
      </c>
      <c r="P3121" t="n">
        <v>1</v>
      </c>
      <c r="Q3121" t="n">
        <v>0.27</v>
      </c>
      <c r="R3121" t="n">
        <v>3</v>
      </c>
      <c r="S3121" t="n">
        <v>6722.099999999999</v>
      </c>
      <c r="T3121" t="n">
        <v>9</v>
      </c>
      <c r="U3121" t="n">
        <v>10</v>
      </c>
      <c r="V3121" t="n">
        <v>30</v>
      </c>
      <c r="W3121" t="n">
        <v>10</v>
      </c>
      <c r="X3121" t="n">
        <v>6.248047485160887</v>
      </c>
      <c r="Y3121" t="n">
        <v>1</v>
      </c>
      <c r="Z3121" t="n">
        <v>1</v>
      </c>
      <c r="AA3121" t="n">
        <v>0</v>
      </c>
      <c r="AB3121" t="n">
        <v>1</v>
      </c>
      <c r="AC3121" t="n">
        <v>3</v>
      </c>
      <c r="AD3121" t="n">
        <v>0</v>
      </c>
      <c r="AE3121" t="n">
        <v>55113</v>
      </c>
      <c r="AF3121" t="n">
        <v>11593</v>
      </c>
      <c r="AG3121" t="n">
        <v>2141</v>
      </c>
      <c r="AH3121" t="inlineStr">
        <is>
          <t>PT. PARAMA GLOBAL INSPIRA - PPN (JMB)</t>
        </is>
      </c>
      <c r="AI3121" t="n">
        <v>563</v>
      </c>
      <c r="AJ3121" t="inlineStr">
        <is>
          <t>OMG</t>
        </is>
      </c>
      <c r="AK3121" t="n">
        <v>9</v>
      </c>
      <c r="AL3121" t="inlineStr">
        <is>
          <t>Miss Glam Jambi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OMG</t>
        </is>
      </c>
      <c r="B3122" s="2">
        <f>"8993137710374"</f>
        <v/>
      </c>
      <c r="C3122" t="inlineStr">
        <is>
          <t>OMG Matte Kiss Lip Cream 10 Shell 3,5 gr</t>
        </is>
      </c>
      <c r="D3122" t="inlineStr">
        <is>
          <t>Miss Glam Jambi</t>
        </is>
      </c>
      <c r="E3122" t="n">
        <v>56</v>
      </c>
      <c r="F3122" t="n">
        <v>1.1187</v>
      </c>
      <c r="G3122" t="n">
        <v>3.3</v>
      </c>
      <c r="H3122" t="n">
        <v>2</v>
      </c>
      <c r="I3122" t="n">
        <v>7</v>
      </c>
      <c r="J3122" t="n">
        <v>3</v>
      </c>
      <c r="K3122" t="n">
        <v>0</v>
      </c>
      <c r="L3122" t="n">
        <v>18377</v>
      </c>
      <c r="M3122" t="n">
        <v>21000</v>
      </c>
      <c r="N3122" t="n">
        <v>33</v>
      </c>
      <c r="O3122" t="n">
        <v>0.33</v>
      </c>
      <c r="P3122" t="n">
        <v>1</v>
      </c>
      <c r="Q3122" t="n">
        <v>0.27</v>
      </c>
      <c r="R3122" t="n">
        <v>3</v>
      </c>
      <c r="S3122" t="n">
        <v>23492.7</v>
      </c>
      <c r="T3122" t="n">
        <v>21</v>
      </c>
      <c r="U3122" t="n">
        <v>24</v>
      </c>
      <c r="V3122" t="n">
        <v>30</v>
      </c>
      <c r="W3122" t="n">
        <v>34</v>
      </c>
      <c r="X3122" t="n">
        <v>50.05810315544829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11593</v>
      </c>
      <c r="AG3122" t="n">
        <v>2141</v>
      </c>
      <c r="AH3122" t="inlineStr">
        <is>
          <t>PT. PARAMA GLOBAL INSPIRA - PPN (JMB)</t>
        </is>
      </c>
      <c r="AI3122" t="n">
        <v>563</v>
      </c>
      <c r="AJ3122" t="inlineStr">
        <is>
          <t>OMG</t>
        </is>
      </c>
      <c r="AK3122" t="n">
        <v>9</v>
      </c>
      <c r="AL3122" t="inlineStr">
        <is>
          <t>Miss Glam Jambi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OMG</t>
        </is>
      </c>
      <c r="B3123" s="2">
        <f>"8993137710381"</f>
        <v/>
      </c>
      <c r="C3123" t="inlineStr">
        <is>
          <t>OMG Matte Kiss Lip Cream 11 Bumble 3,5 gr</t>
        </is>
      </c>
      <c r="D3123" t="inlineStr">
        <is>
          <t>Miss Glam Jambi</t>
        </is>
      </c>
      <c r="E3123" t="n">
        <v>48</v>
      </c>
      <c r="F3123" t="n">
        <v>1.023</v>
      </c>
      <c r="G3123" t="n">
        <v>3.3</v>
      </c>
      <c r="H3123" t="n">
        <v>2</v>
      </c>
      <c r="I3123" t="n">
        <v>7</v>
      </c>
      <c r="J3123" t="n">
        <v>3</v>
      </c>
      <c r="K3123" t="n">
        <v>0</v>
      </c>
      <c r="L3123" t="n">
        <v>18377</v>
      </c>
      <c r="M3123" t="n">
        <v>21000</v>
      </c>
      <c r="N3123" t="n">
        <v>33</v>
      </c>
      <c r="O3123" t="n">
        <v>0.33</v>
      </c>
      <c r="P3123" t="n">
        <v>1</v>
      </c>
      <c r="Q3123" t="n">
        <v>0.41</v>
      </c>
      <c r="R3123" t="n">
        <v>3</v>
      </c>
      <c r="S3123" t="n">
        <v>21483</v>
      </c>
      <c r="T3123" t="n">
        <v>22</v>
      </c>
      <c r="U3123" t="n">
        <v>25</v>
      </c>
      <c r="V3123" t="n">
        <v>30</v>
      </c>
      <c r="W3123" t="n">
        <v>31</v>
      </c>
      <c r="X3123" t="n">
        <v>46.9208211143695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11593</v>
      </c>
      <c r="AG3123" t="n">
        <v>2141</v>
      </c>
      <c r="AH3123" t="inlineStr">
        <is>
          <t>PT. PARAMA GLOBAL INSPIRA - PPN (JMB)</t>
        </is>
      </c>
      <c r="AI3123" t="n">
        <v>563</v>
      </c>
      <c r="AJ3123" t="inlineStr">
        <is>
          <t>OMG</t>
        </is>
      </c>
      <c r="AK3123" t="n">
        <v>9</v>
      </c>
      <c r="AL3123" t="inlineStr">
        <is>
          <t>Miss Glam Jambi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OMG</t>
        </is>
      </c>
      <c r="B3124" s="2">
        <f>"8993137710398"</f>
        <v/>
      </c>
      <c r="C3124" t="inlineStr">
        <is>
          <t>OMG Matte Kiss Lip Cream 12 Scarlet 3,5 gr</t>
        </is>
      </c>
      <c r="D3124" t="inlineStr">
        <is>
          <t>Miss Glam Jambi</t>
        </is>
      </c>
      <c r="E3124" t="n">
        <v>85</v>
      </c>
      <c r="F3124" t="n">
        <v>5.296500000000001</v>
      </c>
      <c r="G3124" t="n">
        <v>10.56</v>
      </c>
      <c r="H3124" t="n">
        <v>2</v>
      </c>
      <c r="I3124" t="n">
        <v>7</v>
      </c>
      <c r="J3124" t="n">
        <v>12</v>
      </c>
      <c r="K3124" t="n">
        <v>0</v>
      </c>
      <c r="L3124" t="n">
        <v>18377</v>
      </c>
      <c r="M3124" t="n">
        <v>21000</v>
      </c>
      <c r="N3124" t="n">
        <v>33</v>
      </c>
      <c r="O3124" t="n">
        <v>0.33</v>
      </c>
      <c r="P3124" t="n">
        <v>1</v>
      </c>
      <c r="Q3124" t="n">
        <v>3.19</v>
      </c>
      <c r="R3124" t="n">
        <v>9</v>
      </c>
      <c r="S3124" t="n">
        <v>111226.5</v>
      </c>
      <c r="T3124" t="n">
        <v>64</v>
      </c>
      <c r="U3124" t="n">
        <v>75</v>
      </c>
      <c r="V3124" t="n">
        <v>30</v>
      </c>
      <c r="W3124" t="n">
        <v>159</v>
      </c>
      <c r="X3124" t="n">
        <v>16.04833380534315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11593</v>
      </c>
      <c r="AG3124" t="n">
        <v>2141</v>
      </c>
      <c r="AH3124" t="inlineStr">
        <is>
          <t>PT. PARAMA GLOBAL INSPIRA - PPN (JMB)</t>
        </is>
      </c>
      <c r="AI3124" t="n">
        <v>563</v>
      </c>
      <c r="AJ3124" t="inlineStr">
        <is>
          <t>OMG</t>
        </is>
      </c>
      <c r="AK3124" t="n">
        <v>9</v>
      </c>
      <c r="AL3124" t="inlineStr">
        <is>
          <t>Miss Glam Jambi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OMG</t>
        </is>
      </c>
      <c r="B3125" s="2">
        <f>"8993137718936"</f>
        <v/>
      </c>
      <c r="C3125" t="inlineStr">
        <is>
          <t>OMG Matte Kiss Lip Cream Coffee Edition 13 Latte 3,5gr</t>
        </is>
      </c>
      <c r="D3125" t="inlineStr">
        <is>
          <t>Miss Glam Jambi</t>
        </is>
      </c>
      <c r="E3125" t="n">
        <v>143</v>
      </c>
      <c r="F3125" t="n">
        <v>6.2535</v>
      </c>
      <c r="G3125" t="n">
        <v>10.56</v>
      </c>
      <c r="H3125" t="n">
        <v>2</v>
      </c>
      <c r="I3125" t="n">
        <v>7</v>
      </c>
      <c r="J3125" t="n">
        <v>12</v>
      </c>
      <c r="K3125" t="n">
        <v>0</v>
      </c>
      <c r="L3125" t="n">
        <v>18377</v>
      </c>
      <c r="M3125" t="n">
        <v>20200</v>
      </c>
      <c r="N3125" t="n">
        <v>33</v>
      </c>
      <c r="O3125" t="n">
        <v>0.33</v>
      </c>
      <c r="P3125" t="n">
        <v>1</v>
      </c>
      <c r="Q3125" t="n">
        <v>4.39</v>
      </c>
      <c r="R3125" t="n">
        <v>11</v>
      </c>
      <c r="S3125" t="n">
        <v>126320.7</v>
      </c>
      <c r="T3125" t="n">
        <v>62</v>
      </c>
      <c r="U3125" t="n">
        <v>75</v>
      </c>
      <c r="V3125" t="n">
        <v>30</v>
      </c>
      <c r="W3125" t="n">
        <v>188</v>
      </c>
      <c r="X3125" t="n">
        <v>22.86719437115216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11593</v>
      </c>
      <c r="AG3125" t="n">
        <v>2141</v>
      </c>
      <c r="AH3125" t="inlineStr">
        <is>
          <t>PT. PARAMA GLOBAL INSPIRA - PPN (JMB)</t>
        </is>
      </c>
      <c r="AI3125" t="n">
        <v>563</v>
      </c>
      <c r="AJ3125" t="inlineStr">
        <is>
          <t>OMG</t>
        </is>
      </c>
      <c r="AK3125" t="n">
        <v>9</v>
      </c>
      <c r="AL3125" t="inlineStr">
        <is>
          <t>Miss Glam Jambi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OMG</t>
        </is>
      </c>
      <c r="B3126" s="2">
        <f>"8993137718943"</f>
        <v/>
      </c>
      <c r="C3126" t="inlineStr">
        <is>
          <t>OMG Matte Kiss Lip Cream Coffee Edition 14 Cappuccino 3,5 gr</t>
        </is>
      </c>
      <c r="D3126" t="inlineStr">
        <is>
          <t>Miss Glam Jambi</t>
        </is>
      </c>
      <c r="E3126" t="n">
        <v>47</v>
      </c>
      <c r="F3126" t="n">
        <v>3.0195</v>
      </c>
      <c r="G3126" t="n">
        <v>5.61</v>
      </c>
      <c r="H3126" t="n">
        <v>2</v>
      </c>
      <c r="I3126" t="n">
        <v>7</v>
      </c>
      <c r="J3126" t="n">
        <v>3</v>
      </c>
      <c r="K3126" t="n">
        <v>0</v>
      </c>
      <c r="L3126" t="n">
        <v>18377</v>
      </c>
      <c r="M3126" t="n">
        <v>21000</v>
      </c>
      <c r="N3126" t="n">
        <v>33</v>
      </c>
      <c r="O3126" t="n">
        <v>0.33</v>
      </c>
      <c r="P3126" t="n">
        <v>1</v>
      </c>
      <c r="Q3126" t="n">
        <v>0.83</v>
      </c>
      <c r="R3126" t="n">
        <v>4</v>
      </c>
      <c r="S3126" t="n">
        <v>63409.50000000001</v>
      </c>
      <c r="T3126" t="n">
        <v>34</v>
      </c>
      <c r="U3126" t="n">
        <v>41</v>
      </c>
      <c r="V3126" t="n">
        <v>30</v>
      </c>
      <c r="W3126" t="n">
        <v>91</v>
      </c>
      <c r="X3126" t="n">
        <v>15.56549097532704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11593</v>
      </c>
      <c r="AG3126" t="n">
        <v>2141</v>
      </c>
      <c r="AH3126" t="inlineStr">
        <is>
          <t>PT. PARAMA GLOBAL INSPIRA - PPN (JMB)</t>
        </is>
      </c>
      <c r="AI3126" t="n">
        <v>563</v>
      </c>
      <c r="AJ3126" t="inlineStr">
        <is>
          <t>OMG</t>
        </is>
      </c>
      <c r="AK3126" t="n">
        <v>9</v>
      </c>
      <c r="AL3126" t="inlineStr">
        <is>
          <t>Miss Glam Jambi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OMG</t>
        </is>
      </c>
      <c r="B3127" s="2">
        <f>"8993137718950"</f>
        <v/>
      </c>
      <c r="C3127" t="inlineStr">
        <is>
          <t>OMG Matte Kiss Lip Cream Coffee Edition 15 Espresso 3,5gr</t>
        </is>
      </c>
      <c r="D3127" t="inlineStr">
        <is>
          <t>Miss Glam Jambi</t>
        </is>
      </c>
      <c r="E3127" t="n">
        <v>55</v>
      </c>
      <c r="F3127" t="n">
        <v>2.8149</v>
      </c>
      <c r="G3127" t="n">
        <v>7.590000000000001</v>
      </c>
      <c r="H3127" t="n">
        <v>2</v>
      </c>
      <c r="I3127" t="n">
        <v>7</v>
      </c>
      <c r="J3127" t="n">
        <v>3</v>
      </c>
      <c r="K3127" t="n">
        <v>0</v>
      </c>
      <c r="L3127" t="n">
        <v>18377</v>
      </c>
      <c r="M3127" t="n">
        <v>21000</v>
      </c>
      <c r="N3127" t="n">
        <v>33</v>
      </c>
      <c r="O3127" t="n">
        <v>0.33</v>
      </c>
      <c r="P3127" t="n">
        <v>1</v>
      </c>
      <c r="Q3127" t="n">
        <v>0.6899999999999999</v>
      </c>
      <c r="R3127" t="n">
        <v>4</v>
      </c>
      <c r="S3127" t="n">
        <v>59112.89999999999</v>
      </c>
      <c r="T3127" t="n">
        <v>48</v>
      </c>
      <c r="U3127" t="n">
        <v>54</v>
      </c>
      <c r="V3127" t="n">
        <v>30</v>
      </c>
      <c r="W3127" t="n">
        <v>85</v>
      </c>
      <c r="X3127" t="n">
        <v>19.5388823759281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11593</v>
      </c>
      <c r="AG3127" t="n">
        <v>2141</v>
      </c>
      <c r="AH3127" t="inlineStr">
        <is>
          <t>PT. PARAMA GLOBAL INSPIRA - PPN (JMB)</t>
        </is>
      </c>
      <c r="AI3127" t="n">
        <v>563</v>
      </c>
      <c r="AJ3127" t="inlineStr">
        <is>
          <t>OMG</t>
        </is>
      </c>
      <c r="AK3127" t="n">
        <v>9</v>
      </c>
      <c r="AL3127" t="inlineStr">
        <is>
          <t>Miss Glam Jambi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OMG</t>
        </is>
      </c>
      <c r="B3128" s="2">
        <f>"8997241850704"</f>
        <v/>
      </c>
      <c r="C3128" t="inlineStr">
        <is>
          <t>OMG Matte Kiss Lip Cream Socialite Edition 18 Luxe 3.5gr</t>
        </is>
      </c>
      <c r="D3128" t="inlineStr">
        <is>
          <t>Miss Glam Jambi</t>
        </is>
      </c>
      <c r="E3128" t="n">
        <v>0</v>
      </c>
      <c r="F3128" t="n">
        <v>0.6435</v>
      </c>
      <c r="G3128" t="n">
        <v>2.31</v>
      </c>
      <c r="H3128" t="n">
        <v>2</v>
      </c>
      <c r="I3128" t="n">
        <v>7</v>
      </c>
      <c r="J3128" t="n">
        <v>3</v>
      </c>
      <c r="K3128" t="n">
        <v>15</v>
      </c>
      <c r="L3128" t="n">
        <v>18290</v>
      </c>
      <c r="M3128" t="n">
        <v>21000</v>
      </c>
      <c r="N3128" t="n">
        <v>33</v>
      </c>
      <c r="O3128" t="n">
        <v>0.33</v>
      </c>
      <c r="P3128" t="n">
        <v>1</v>
      </c>
      <c r="Q3128" t="n">
        <v>0.21</v>
      </c>
      <c r="R3128" t="n">
        <v>2</v>
      </c>
      <c r="S3128" t="n">
        <v>13513.5</v>
      </c>
      <c r="T3128" t="n">
        <v>15</v>
      </c>
      <c r="U3128" t="n">
        <v>17</v>
      </c>
      <c r="V3128" t="n">
        <v>30</v>
      </c>
      <c r="W3128" t="n">
        <v>20</v>
      </c>
      <c r="X3128" t="n">
        <v>0</v>
      </c>
      <c r="Y3128" t="n">
        <v>1</v>
      </c>
      <c r="Z3128" t="n">
        <v>5</v>
      </c>
      <c r="AA3128" t="n">
        <v>4</v>
      </c>
      <c r="AB3128" t="n">
        <v>1</v>
      </c>
      <c r="AC3128" t="n">
        <v>3</v>
      </c>
      <c r="AD3128" t="n">
        <v>73160</v>
      </c>
      <c r="AE3128" t="n">
        <v>54870</v>
      </c>
      <c r="AF3128" t="n">
        <v>11593</v>
      </c>
      <c r="AG3128" t="n">
        <v>2141</v>
      </c>
      <c r="AH3128" t="inlineStr">
        <is>
          <t>PT. PARAMA GLOBAL INSPIRA - PPN (JMB)</t>
        </is>
      </c>
      <c r="AI3128" t="n">
        <v>563</v>
      </c>
      <c r="AJ3128" t="inlineStr">
        <is>
          <t>OMG</t>
        </is>
      </c>
      <c r="AK3128" t="n">
        <v>9</v>
      </c>
      <c r="AL3128" t="inlineStr">
        <is>
          <t>Miss Glam Jambi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OMG</t>
        </is>
      </c>
      <c r="B3129" s="2">
        <f>"8997241851121"</f>
        <v/>
      </c>
      <c r="C3129" t="inlineStr">
        <is>
          <t>OMG Matte Last Lip Cream 19 Spiced 2.9gr</t>
        </is>
      </c>
      <c r="D3129" t="inlineStr">
        <is>
          <t>Miss Glam Jambi</t>
        </is>
      </c>
      <c r="E3129" t="n">
        <v>12</v>
      </c>
      <c r="F3129" t="n">
        <v>0.3234</v>
      </c>
      <c r="G3129" t="n">
        <v>1.65</v>
      </c>
      <c r="H3129" t="n">
        <v>2</v>
      </c>
      <c r="I3129" t="n">
        <v>7</v>
      </c>
      <c r="J3129" t="n">
        <v>12</v>
      </c>
      <c r="K3129" t="n">
        <v>0</v>
      </c>
      <c r="L3129" t="n">
        <v>18376</v>
      </c>
      <c r="M3129" t="n">
        <v>22500</v>
      </c>
      <c r="N3129" t="n">
        <v>33</v>
      </c>
      <c r="O3129" t="n">
        <v>0.33</v>
      </c>
      <c r="P3129" t="n">
        <v>1</v>
      </c>
      <c r="Q3129" t="n">
        <v>0.49</v>
      </c>
      <c r="R3129" t="n">
        <v>3</v>
      </c>
      <c r="S3129" t="n">
        <v>7276.500000000001</v>
      </c>
      <c r="T3129" t="n">
        <v>11</v>
      </c>
      <c r="U3129" t="n">
        <v>12</v>
      </c>
      <c r="V3129" t="n">
        <v>30</v>
      </c>
      <c r="W3129" t="n">
        <v>10</v>
      </c>
      <c r="X3129" t="n">
        <v>37.10575139146567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11593</v>
      </c>
      <c r="AG3129" t="n">
        <v>2141</v>
      </c>
      <c r="AH3129" t="inlineStr">
        <is>
          <t>PT. PARAMA GLOBAL INSPIRA - PPN (JMB)</t>
        </is>
      </c>
      <c r="AI3129" t="n">
        <v>563</v>
      </c>
      <c r="AJ3129" t="inlineStr">
        <is>
          <t>OMG</t>
        </is>
      </c>
      <c r="AK3129" t="n">
        <v>9</v>
      </c>
      <c r="AL3129" t="inlineStr">
        <is>
          <t>Miss Glam Jambi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OMG</t>
        </is>
      </c>
      <c r="B3130" s="2">
        <f>"8997241851138"</f>
        <v/>
      </c>
      <c r="C3130" t="inlineStr">
        <is>
          <t>OMG Matte Last Lip Cream 20 Blossom 2.9gr</t>
        </is>
      </c>
      <c r="D3130" t="inlineStr">
        <is>
          <t>Miss Glam Jambi</t>
        </is>
      </c>
      <c r="E3130" t="n">
        <v>1</v>
      </c>
      <c r="F3130" t="n">
        <v>0.7095</v>
      </c>
      <c r="G3130" t="n">
        <v>1.65</v>
      </c>
      <c r="H3130" t="n">
        <v>2</v>
      </c>
      <c r="I3130" t="n">
        <v>7</v>
      </c>
      <c r="J3130" t="n">
        <v>3</v>
      </c>
      <c r="K3130" t="n">
        <v>17</v>
      </c>
      <c r="L3130" t="n">
        <v>18377</v>
      </c>
      <c r="M3130" t="n">
        <v>22500</v>
      </c>
      <c r="N3130" t="n">
        <v>33</v>
      </c>
      <c r="O3130" t="n">
        <v>0.33</v>
      </c>
      <c r="P3130" t="n">
        <v>1</v>
      </c>
      <c r="Q3130" t="n">
        <v>0.44</v>
      </c>
      <c r="R3130" t="n">
        <v>2</v>
      </c>
      <c r="S3130" t="n">
        <v>15963.75</v>
      </c>
      <c r="T3130" t="n">
        <v>11</v>
      </c>
      <c r="U3130" t="n">
        <v>13</v>
      </c>
      <c r="V3130" t="n">
        <v>30</v>
      </c>
      <c r="W3130" t="n">
        <v>22</v>
      </c>
      <c r="X3130" t="n">
        <v>1.409443269908386</v>
      </c>
      <c r="Y3130" t="n">
        <v>1</v>
      </c>
      <c r="Z3130" t="n">
        <v>4</v>
      </c>
      <c r="AA3130" t="n">
        <v>3</v>
      </c>
      <c r="AB3130" t="n">
        <v>1</v>
      </c>
      <c r="AC3130" t="n">
        <v>3</v>
      </c>
      <c r="AD3130" t="n">
        <v>55131</v>
      </c>
      <c r="AE3130" t="n">
        <v>55131</v>
      </c>
      <c r="AF3130" t="n">
        <v>11593</v>
      </c>
      <c r="AG3130" t="n">
        <v>2141</v>
      </c>
      <c r="AH3130" t="inlineStr">
        <is>
          <t>PT. PARAMA GLOBAL INSPIRA - PPN (JMB)</t>
        </is>
      </c>
      <c r="AI3130" t="n">
        <v>563</v>
      </c>
      <c r="AJ3130" t="inlineStr">
        <is>
          <t>OMG</t>
        </is>
      </c>
      <c r="AK3130" t="n">
        <v>9</v>
      </c>
      <c r="AL3130" t="inlineStr">
        <is>
          <t>Miss Glam Jambi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OMG</t>
        </is>
      </c>
      <c r="B3131" s="2">
        <f>"8997241851145"</f>
        <v/>
      </c>
      <c r="C3131" t="inlineStr">
        <is>
          <t>OMG Matte Last Lip Cream 21 Passion 2.9gr</t>
        </is>
      </c>
      <c r="D3131" t="inlineStr">
        <is>
          <t>Miss Glam Jambi</t>
        </is>
      </c>
      <c r="E3131" t="n">
        <v>7</v>
      </c>
      <c r="F3131" t="n">
        <v>0.627</v>
      </c>
      <c r="G3131" t="n">
        <v>1.65</v>
      </c>
      <c r="H3131" t="n">
        <v>2</v>
      </c>
      <c r="I3131" t="n">
        <v>7</v>
      </c>
      <c r="J3131" t="n">
        <v>3</v>
      </c>
      <c r="K3131" t="n">
        <v>11</v>
      </c>
      <c r="L3131" t="n">
        <v>18377</v>
      </c>
      <c r="M3131" t="n">
        <v>22500</v>
      </c>
      <c r="N3131" t="n">
        <v>33</v>
      </c>
      <c r="O3131" t="n">
        <v>0.33</v>
      </c>
      <c r="P3131" t="n">
        <v>1</v>
      </c>
      <c r="Q3131" t="n">
        <v>0.63</v>
      </c>
      <c r="R3131" t="n">
        <v>4</v>
      </c>
      <c r="S3131" t="n">
        <v>14107.5</v>
      </c>
      <c r="T3131" t="n">
        <v>11</v>
      </c>
      <c r="U3131" t="n">
        <v>13</v>
      </c>
      <c r="V3131" t="n">
        <v>30</v>
      </c>
      <c r="W3131" t="n">
        <v>19</v>
      </c>
      <c r="X3131" t="n">
        <v>11.16427432216906</v>
      </c>
      <c r="Y3131" t="n">
        <v>1</v>
      </c>
      <c r="Z3131" t="n">
        <v>1</v>
      </c>
      <c r="AA3131" t="n">
        <v>0</v>
      </c>
      <c r="AB3131" t="n">
        <v>1</v>
      </c>
      <c r="AC3131" t="n">
        <v>3</v>
      </c>
      <c r="AD3131" t="n">
        <v>0</v>
      </c>
      <c r="AE3131" t="n">
        <v>55131</v>
      </c>
      <c r="AF3131" t="n">
        <v>11593</v>
      </c>
      <c r="AG3131" t="n">
        <v>2141</v>
      </c>
      <c r="AH3131" t="inlineStr">
        <is>
          <t>PT. PARAMA GLOBAL INSPIRA - PPN (JMB)</t>
        </is>
      </c>
      <c r="AI3131" t="n">
        <v>563</v>
      </c>
      <c r="AJ3131" t="inlineStr">
        <is>
          <t>OMG</t>
        </is>
      </c>
      <c r="AK3131" t="n">
        <v>9</v>
      </c>
      <c r="AL3131" t="inlineStr">
        <is>
          <t>Miss Glam Jambi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OMG</t>
        </is>
      </c>
      <c r="B3132" s="2">
        <f>"8997241851152"</f>
        <v/>
      </c>
      <c r="C3132" t="inlineStr">
        <is>
          <t>OMG Matte Last Lip Cream 22 Crushed 2.9 gr</t>
        </is>
      </c>
      <c r="D3132" t="inlineStr">
        <is>
          <t>Miss Glam Jambi</t>
        </is>
      </c>
      <c r="E3132" t="n">
        <v>2</v>
      </c>
      <c r="F3132" t="n">
        <v>0.3234</v>
      </c>
      <c r="G3132" t="n">
        <v>1.32</v>
      </c>
      <c r="H3132" t="n">
        <v>2</v>
      </c>
      <c r="I3132" t="n">
        <v>7</v>
      </c>
      <c r="J3132" t="n">
        <v>3</v>
      </c>
      <c r="K3132" t="n">
        <v>7</v>
      </c>
      <c r="L3132" t="n">
        <v>18309</v>
      </c>
      <c r="M3132" t="n">
        <v>22500</v>
      </c>
      <c r="N3132" t="n">
        <v>33</v>
      </c>
      <c r="O3132" t="n">
        <v>0.33</v>
      </c>
      <c r="P3132" t="n">
        <v>1</v>
      </c>
      <c r="Q3132" t="n">
        <v>0.27</v>
      </c>
      <c r="R3132" t="n">
        <v>2</v>
      </c>
      <c r="S3132" t="n">
        <v>7276.500000000001</v>
      </c>
      <c r="T3132" t="n">
        <v>9</v>
      </c>
      <c r="U3132" t="n">
        <v>10</v>
      </c>
      <c r="V3132" t="n">
        <v>30</v>
      </c>
      <c r="W3132" t="n">
        <v>10</v>
      </c>
      <c r="X3132" t="n">
        <v>6.184291898577612</v>
      </c>
      <c r="Y3132" t="n">
        <v>1</v>
      </c>
      <c r="Z3132" t="n">
        <v>1</v>
      </c>
      <c r="AA3132" t="n">
        <v>0</v>
      </c>
      <c r="AB3132" t="n">
        <v>1</v>
      </c>
      <c r="AC3132" t="n">
        <v>3</v>
      </c>
      <c r="AD3132" t="n">
        <v>0</v>
      </c>
      <c r="AE3132" t="n">
        <v>54927</v>
      </c>
      <c r="AF3132" t="n">
        <v>11593</v>
      </c>
      <c r="AG3132" t="n">
        <v>2141</v>
      </c>
      <c r="AH3132" t="inlineStr">
        <is>
          <t>PT. PARAMA GLOBAL INSPIRA - PPN (JMB)</t>
        </is>
      </c>
      <c r="AI3132" t="n">
        <v>563</v>
      </c>
      <c r="AJ3132" t="inlineStr">
        <is>
          <t>OMG</t>
        </is>
      </c>
      <c r="AK3132" t="n">
        <v>9</v>
      </c>
      <c r="AL3132" t="inlineStr">
        <is>
          <t>Miss Glam Jambi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OMG</t>
        </is>
      </c>
      <c r="B3133" s="2">
        <f>"8997241851169"</f>
        <v/>
      </c>
      <c r="C3133" t="inlineStr">
        <is>
          <t>OMG Matte Last Lip Cream 23 Rose 2.9gr</t>
        </is>
      </c>
      <c r="D3133" t="inlineStr">
        <is>
          <t>Miss Glam Jambi</t>
        </is>
      </c>
      <c r="E3133" t="n">
        <v>9</v>
      </c>
      <c r="F3133" t="n">
        <v>0.5049</v>
      </c>
      <c r="G3133" t="n">
        <v>1.98</v>
      </c>
      <c r="H3133" t="n">
        <v>2</v>
      </c>
      <c r="I3133" t="n">
        <v>7</v>
      </c>
      <c r="J3133" t="n">
        <v>3</v>
      </c>
      <c r="K3133" t="n">
        <v>6</v>
      </c>
      <c r="L3133" t="n">
        <v>18374</v>
      </c>
      <c r="M3133" t="n">
        <v>22500</v>
      </c>
      <c r="N3133" t="n">
        <v>33</v>
      </c>
      <c r="O3133" t="n">
        <v>0.33</v>
      </c>
      <c r="P3133" t="n">
        <v>1</v>
      </c>
      <c r="Q3133" t="n">
        <v>0.46</v>
      </c>
      <c r="R3133" t="n">
        <v>5</v>
      </c>
      <c r="S3133" t="n">
        <v>11360.25</v>
      </c>
      <c r="T3133" t="n">
        <v>13</v>
      </c>
      <c r="U3133" t="n">
        <v>15</v>
      </c>
      <c r="V3133" t="n">
        <v>30</v>
      </c>
      <c r="W3133" t="n">
        <v>16</v>
      </c>
      <c r="X3133" t="n">
        <v>17.825311942959</v>
      </c>
      <c r="Y3133" t="n">
        <v>1</v>
      </c>
      <c r="Z3133" t="n">
        <v>1</v>
      </c>
      <c r="AA3133" t="n">
        <v>0</v>
      </c>
      <c r="AB3133" t="n">
        <v>1</v>
      </c>
      <c r="AC3133" t="n">
        <v>3</v>
      </c>
      <c r="AD3133" t="n">
        <v>0</v>
      </c>
      <c r="AE3133" t="n">
        <v>55122</v>
      </c>
      <c r="AF3133" t="n">
        <v>11593</v>
      </c>
      <c r="AG3133" t="n">
        <v>2141</v>
      </c>
      <c r="AH3133" t="inlineStr">
        <is>
          <t>PT. PARAMA GLOBAL INSPIRA - PPN (JMB)</t>
        </is>
      </c>
      <c r="AI3133" t="n">
        <v>563</v>
      </c>
      <c r="AJ3133" t="inlineStr">
        <is>
          <t>OMG</t>
        </is>
      </c>
      <c r="AK3133" t="n">
        <v>9</v>
      </c>
      <c r="AL3133" t="inlineStr">
        <is>
          <t>Miss Glam Jambi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OMG</t>
        </is>
      </c>
      <c r="B3134" s="2">
        <f>"8997241851176"</f>
        <v/>
      </c>
      <c r="C3134" t="inlineStr">
        <is>
          <t>OMG Matte Last Lip Cream 24 Berry 2.9gr</t>
        </is>
      </c>
      <c r="D3134" t="inlineStr">
        <is>
          <t>Miss Glam Jambi</t>
        </is>
      </c>
      <c r="E3134" t="n">
        <v>3</v>
      </c>
      <c r="F3134" t="n">
        <v>0.6930000000000001</v>
      </c>
      <c r="G3134" t="n">
        <v>2.97</v>
      </c>
      <c r="H3134" t="n">
        <v>2</v>
      </c>
      <c r="I3134" t="n">
        <v>7</v>
      </c>
      <c r="J3134" t="n">
        <v>3</v>
      </c>
      <c r="K3134" t="n">
        <v>16</v>
      </c>
      <c r="L3134" t="n">
        <v>17856</v>
      </c>
      <c r="M3134" t="n">
        <v>22500</v>
      </c>
      <c r="N3134" t="n">
        <v>33</v>
      </c>
      <c r="O3134" t="n">
        <v>0.33</v>
      </c>
      <c r="P3134" t="n">
        <v>1</v>
      </c>
      <c r="Q3134" t="n">
        <v>0.2</v>
      </c>
      <c r="R3134" t="n">
        <v>2</v>
      </c>
      <c r="S3134" t="n">
        <v>15592.5</v>
      </c>
      <c r="T3134" t="n">
        <v>20</v>
      </c>
      <c r="U3134" t="n">
        <v>22</v>
      </c>
      <c r="V3134" t="n">
        <v>30</v>
      </c>
      <c r="W3134" t="n">
        <v>21</v>
      </c>
      <c r="X3134" t="n">
        <v>4.329004329004329</v>
      </c>
      <c r="Y3134" t="n">
        <v>1</v>
      </c>
      <c r="Z3134" t="n">
        <v>2</v>
      </c>
      <c r="AA3134" t="n">
        <v>1</v>
      </c>
      <c r="AB3134" t="n">
        <v>1</v>
      </c>
      <c r="AC3134" t="n">
        <v>3</v>
      </c>
      <c r="AD3134" t="n">
        <v>17856</v>
      </c>
      <c r="AE3134" t="n">
        <v>53568</v>
      </c>
      <c r="AF3134" t="n">
        <v>11593</v>
      </c>
      <c r="AG3134" t="n">
        <v>2141</v>
      </c>
      <c r="AH3134" t="inlineStr">
        <is>
          <t>PT. PARAMA GLOBAL INSPIRA - PPN (JMB)</t>
        </is>
      </c>
      <c r="AI3134" t="n">
        <v>563</v>
      </c>
      <c r="AJ3134" t="inlineStr">
        <is>
          <t>OMG</t>
        </is>
      </c>
      <c r="AK3134" t="n">
        <v>9</v>
      </c>
      <c r="AL3134" t="inlineStr">
        <is>
          <t>Miss Glam Jambi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OMG</t>
        </is>
      </c>
      <c r="B3135" s="2">
        <f>"8997241851183"</f>
        <v/>
      </c>
      <c r="C3135" t="inlineStr">
        <is>
          <t>OMG Matte Last Lip Cream 25 Ruby 2.9gr</t>
        </is>
      </c>
      <c r="D3135" t="inlineStr">
        <is>
          <t>Miss Glam Jambi</t>
        </is>
      </c>
      <c r="E3135" t="n">
        <v>7</v>
      </c>
      <c r="F3135" t="n">
        <v>0.8679</v>
      </c>
      <c r="G3135" t="n">
        <v>2.31</v>
      </c>
      <c r="H3135" t="n">
        <v>2</v>
      </c>
      <c r="I3135" t="n">
        <v>7</v>
      </c>
      <c r="J3135" t="n">
        <v>3</v>
      </c>
      <c r="K3135" t="n">
        <v>19</v>
      </c>
      <c r="L3135" t="n">
        <v>18377</v>
      </c>
      <c r="M3135" t="n">
        <v>22500</v>
      </c>
      <c r="N3135" t="n">
        <v>33</v>
      </c>
      <c r="O3135" t="n">
        <v>0.33</v>
      </c>
      <c r="P3135" t="n">
        <v>1</v>
      </c>
      <c r="Q3135" t="n">
        <v>0.8</v>
      </c>
      <c r="R3135" t="n">
        <v>4</v>
      </c>
      <c r="S3135" t="n">
        <v>19527.75</v>
      </c>
      <c r="T3135" t="n">
        <v>15</v>
      </c>
      <c r="U3135" t="n">
        <v>17</v>
      </c>
      <c r="V3135" t="n">
        <v>30</v>
      </c>
      <c r="W3135" t="n">
        <v>27</v>
      </c>
      <c r="X3135" t="n">
        <v>8.065445327802742</v>
      </c>
      <c r="Y3135" t="n">
        <v>1</v>
      </c>
      <c r="Z3135" t="n">
        <v>1</v>
      </c>
      <c r="AA3135" t="n">
        <v>0</v>
      </c>
      <c r="AB3135" t="n">
        <v>1</v>
      </c>
      <c r="AC3135" t="n">
        <v>3</v>
      </c>
      <c r="AD3135" t="n">
        <v>0</v>
      </c>
      <c r="AE3135" t="n">
        <v>55131</v>
      </c>
      <c r="AF3135" t="n">
        <v>11593</v>
      </c>
      <c r="AG3135" t="n">
        <v>2141</v>
      </c>
      <c r="AH3135" t="inlineStr">
        <is>
          <t>PT. PARAMA GLOBAL INSPIRA - PPN (JMB)</t>
        </is>
      </c>
      <c r="AI3135" t="n">
        <v>563</v>
      </c>
      <c r="AJ3135" t="inlineStr">
        <is>
          <t>OMG</t>
        </is>
      </c>
      <c r="AK3135" t="n">
        <v>9</v>
      </c>
      <c r="AL3135" t="inlineStr">
        <is>
          <t>Miss Glam Jambi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OMG</t>
        </is>
      </c>
      <c r="B3136" s="2">
        <f>"8997241851190"</f>
        <v/>
      </c>
      <c r="C3136" t="inlineStr">
        <is>
          <t>OMG Matte Last Lip Cream 26 Extra 2.9gr</t>
        </is>
      </c>
      <c r="D3136" t="inlineStr">
        <is>
          <t>Miss Glam Jambi</t>
        </is>
      </c>
      <c r="E3136" t="n">
        <v>8</v>
      </c>
      <c r="F3136" t="n">
        <v>0.2409</v>
      </c>
      <c r="G3136" t="n">
        <v>0.99</v>
      </c>
      <c r="H3136" t="n">
        <v>2</v>
      </c>
      <c r="I3136" t="n">
        <v>7</v>
      </c>
      <c r="J3136" t="n">
        <v>3</v>
      </c>
      <c r="K3136" t="n">
        <v>0</v>
      </c>
      <c r="L3136" t="n">
        <v>18377</v>
      </c>
      <c r="M3136" t="n">
        <v>22500</v>
      </c>
      <c r="N3136" t="n">
        <v>33</v>
      </c>
      <c r="O3136" t="n">
        <v>0.33</v>
      </c>
      <c r="P3136" t="n">
        <v>1</v>
      </c>
      <c r="Q3136" t="n">
        <v>0.37</v>
      </c>
      <c r="R3136" t="n">
        <v>2</v>
      </c>
      <c r="S3136" t="n">
        <v>5420.25</v>
      </c>
      <c r="T3136" t="n">
        <v>7</v>
      </c>
      <c r="U3136" t="n">
        <v>8</v>
      </c>
      <c r="V3136" t="n">
        <v>30</v>
      </c>
      <c r="W3136" t="n">
        <v>8</v>
      </c>
      <c r="X3136" t="n">
        <v>33.208800332088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11593</v>
      </c>
      <c r="AG3136" t="n">
        <v>2141</v>
      </c>
      <c r="AH3136" t="inlineStr">
        <is>
          <t>PT. PARAMA GLOBAL INSPIRA - PPN (JMB)</t>
        </is>
      </c>
      <c r="AI3136" t="n">
        <v>563</v>
      </c>
      <c r="AJ3136" t="inlineStr">
        <is>
          <t>OMG</t>
        </is>
      </c>
      <c r="AK3136" t="n">
        <v>9</v>
      </c>
      <c r="AL3136" t="inlineStr">
        <is>
          <t>Miss Glam Jambi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OMG</t>
        </is>
      </c>
      <c r="B3137" s="2">
        <f>"8997241851206"</f>
        <v/>
      </c>
      <c r="C3137" t="inlineStr">
        <is>
          <t>OMG Matte Last Lip Cream 27 Strike 2.9gr</t>
        </is>
      </c>
      <c r="D3137" t="inlineStr">
        <is>
          <t>Miss Glam Jambi</t>
        </is>
      </c>
      <c r="E3137" t="n">
        <v>14</v>
      </c>
      <c r="F3137" t="n">
        <v>1.2375</v>
      </c>
      <c r="G3137" t="n">
        <v>2.97</v>
      </c>
      <c r="H3137" t="n">
        <v>2</v>
      </c>
      <c r="I3137" t="n">
        <v>7</v>
      </c>
      <c r="J3137" t="n">
        <v>3</v>
      </c>
      <c r="K3137" t="n">
        <v>24</v>
      </c>
      <c r="L3137" t="n">
        <v>18356</v>
      </c>
      <c r="M3137" t="n">
        <v>22500</v>
      </c>
      <c r="N3137" t="n">
        <v>33</v>
      </c>
      <c r="O3137" t="n">
        <v>0.33</v>
      </c>
      <c r="P3137" t="n">
        <v>1</v>
      </c>
      <c r="Q3137" t="n">
        <v>0.8100000000000001</v>
      </c>
      <c r="R3137" t="n">
        <v>5</v>
      </c>
      <c r="S3137" t="n">
        <v>27843.75</v>
      </c>
      <c r="T3137" t="n">
        <v>19</v>
      </c>
      <c r="U3137" t="n">
        <v>22</v>
      </c>
      <c r="V3137" t="n">
        <v>30</v>
      </c>
      <c r="W3137" t="n">
        <v>38</v>
      </c>
      <c r="X3137" t="n">
        <v>11.31313131313131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11593</v>
      </c>
      <c r="AG3137" t="n">
        <v>2141</v>
      </c>
      <c r="AH3137" t="inlineStr">
        <is>
          <t>PT. PARAMA GLOBAL INSPIRA - PPN (JMB)</t>
        </is>
      </c>
      <c r="AI3137" t="n">
        <v>563</v>
      </c>
      <c r="AJ3137" t="inlineStr">
        <is>
          <t>OMG</t>
        </is>
      </c>
      <c r="AK3137" t="n">
        <v>9</v>
      </c>
      <c r="AL3137" t="inlineStr">
        <is>
          <t>Miss Glam Jambi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OMG</t>
        </is>
      </c>
      <c r="B3138" s="2">
        <f>"8997241851428"</f>
        <v/>
      </c>
      <c r="C3138" t="inlineStr">
        <is>
          <t>OMG Moisture Gel Panthenol+Ceramide 30gr</t>
        </is>
      </c>
      <c r="D3138" t="inlineStr">
        <is>
          <t>Miss Glam Jambi</t>
        </is>
      </c>
      <c r="E3138" t="n">
        <v>4</v>
      </c>
      <c r="F3138" t="n">
        <v>0.2079</v>
      </c>
      <c r="G3138" t="n">
        <v>1.32</v>
      </c>
      <c r="H3138" t="n">
        <v>2</v>
      </c>
      <c r="I3138" t="n">
        <v>7</v>
      </c>
      <c r="J3138" t="n">
        <v>3</v>
      </c>
      <c r="K3138" t="n">
        <v>3</v>
      </c>
      <c r="L3138" t="n">
        <v>28152</v>
      </c>
      <c r="M3138" t="n">
        <v>34000</v>
      </c>
      <c r="N3138" t="n">
        <v>33</v>
      </c>
      <c r="O3138" t="n">
        <v>0.33</v>
      </c>
      <c r="P3138" t="n">
        <v>1</v>
      </c>
      <c r="Q3138" t="n">
        <v>0.07000000000000001</v>
      </c>
      <c r="R3138" t="n">
        <v>1</v>
      </c>
      <c r="S3138" t="n">
        <v>7068.6</v>
      </c>
      <c r="T3138" t="n">
        <v>9</v>
      </c>
      <c r="U3138" t="n">
        <v>10</v>
      </c>
      <c r="V3138" t="n">
        <v>30</v>
      </c>
      <c r="W3138" t="n">
        <v>7</v>
      </c>
      <c r="X3138" t="n">
        <v>19.24001924001924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11593</v>
      </c>
      <c r="AG3138" t="n">
        <v>2141</v>
      </c>
      <c r="AH3138" t="inlineStr">
        <is>
          <t>PT. PARAMA GLOBAL INSPIRA - PPN (JMB)</t>
        </is>
      </c>
      <c r="AI3138" t="n">
        <v>563</v>
      </c>
      <c r="AJ3138" t="inlineStr">
        <is>
          <t>OMG</t>
        </is>
      </c>
      <c r="AK3138" t="n">
        <v>9</v>
      </c>
      <c r="AL3138" t="inlineStr">
        <is>
          <t>Miss Glam Jambi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OMG</t>
        </is>
      </c>
      <c r="B3139" s="2">
        <f>"20300449539"</f>
        <v/>
      </c>
      <c r="C3139" t="inlineStr">
        <is>
          <t>OMG OH MY GLAM Colorlast Lip Vinyl 01 Perfect Match 2.5gr</t>
        </is>
      </c>
      <c r="D3139" t="inlineStr">
        <is>
          <t>Miss Glam Jambi</t>
        </is>
      </c>
      <c r="E3139" t="n">
        <v>23</v>
      </c>
      <c r="F3139" t="n">
        <v>0.3432</v>
      </c>
      <c r="G3139" t="n">
        <v>1.98</v>
      </c>
      <c r="H3139" t="n">
        <v>2</v>
      </c>
      <c r="I3139" t="n">
        <v>7</v>
      </c>
      <c r="J3139" t="n">
        <v>1</v>
      </c>
      <c r="K3139" t="n">
        <v>0</v>
      </c>
      <c r="L3139" t="n">
        <v>28152</v>
      </c>
      <c r="M3139" t="n">
        <v>36000</v>
      </c>
      <c r="N3139" t="n">
        <v>33</v>
      </c>
      <c r="O3139" t="n">
        <v>0.33</v>
      </c>
      <c r="P3139" t="n">
        <v>1</v>
      </c>
      <c r="Q3139" t="n">
        <v>0.6899999999999999</v>
      </c>
      <c r="R3139" t="n">
        <v>2</v>
      </c>
      <c r="S3139" t="n">
        <v>12355.2</v>
      </c>
      <c r="T3139" t="n">
        <v>14</v>
      </c>
      <c r="U3139" t="n">
        <v>15</v>
      </c>
      <c r="V3139" t="n">
        <v>30</v>
      </c>
      <c r="W3139" t="n">
        <v>11</v>
      </c>
      <c r="X3139" t="n">
        <v>67.01631701631702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11593</v>
      </c>
      <c r="AG3139" t="n">
        <v>2141</v>
      </c>
      <c r="AH3139" t="inlineStr">
        <is>
          <t>PT. PARAMA GLOBAL INSPIRA - PPN (JMB)</t>
        </is>
      </c>
      <c r="AI3139" t="n">
        <v>563</v>
      </c>
      <c r="AJ3139" t="inlineStr">
        <is>
          <t>OMG</t>
        </is>
      </c>
      <c r="AK3139" t="n">
        <v>9</v>
      </c>
      <c r="AL3139" t="inlineStr">
        <is>
          <t>Miss Glam Jambi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OMG</t>
        </is>
      </c>
      <c r="B3140" s="2">
        <f>"20300449616"</f>
        <v/>
      </c>
      <c r="C3140" t="inlineStr">
        <is>
          <t>OMG OH MY GLAM Colorlast Lip Vinyl 03 Diva 2.5gr</t>
        </is>
      </c>
      <c r="D3140" t="inlineStr">
        <is>
          <t>Miss Glam Jambi</t>
        </is>
      </c>
      <c r="E3140" t="n">
        <v>2</v>
      </c>
      <c r="F3140" t="n">
        <v>0.5478</v>
      </c>
      <c r="G3140" t="n">
        <v>2.31</v>
      </c>
      <c r="H3140" t="n">
        <v>2</v>
      </c>
      <c r="I3140" t="n">
        <v>7</v>
      </c>
      <c r="J3140" t="n">
        <v>1</v>
      </c>
      <c r="K3140" t="n">
        <v>13</v>
      </c>
      <c r="L3140" t="n">
        <v>28152</v>
      </c>
      <c r="M3140" t="n">
        <v>36000</v>
      </c>
      <c r="N3140" t="n">
        <v>33</v>
      </c>
      <c r="O3140" t="n">
        <v>0.33</v>
      </c>
      <c r="P3140" t="n">
        <v>1</v>
      </c>
      <c r="Q3140" t="n">
        <v>0.64</v>
      </c>
      <c r="R3140" t="n">
        <v>3</v>
      </c>
      <c r="S3140" t="n">
        <v>19720.8</v>
      </c>
      <c r="T3140" t="n">
        <v>16</v>
      </c>
      <c r="U3140" t="n">
        <v>18</v>
      </c>
      <c r="V3140" t="n">
        <v>30</v>
      </c>
      <c r="W3140" t="n">
        <v>17</v>
      </c>
      <c r="X3140" t="n">
        <v>3.650967506389193</v>
      </c>
      <c r="Y3140" t="n">
        <v>1</v>
      </c>
      <c r="Z3140" t="n">
        <v>2</v>
      </c>
      <c r="AA3140" t="n">
        <v>1</v>
      </c>
      <c r="AB3140" t="n">
        <v>1</v>
      </c>
      <c r="AC3140" t="n">
        <v>1</v>
      </c>
      <c r="AD3140" t="n">
        <v>28152</v>
      </c>
      <c r="AE3140" t="n">
        <v>28152</v>
      </c>
      <c r="AF3140" t="n">
        <v>11593</v>
      </c>
      <c r="AG3140" t="n">
        <v>2141</v>
      </c>
      <c r="AH3140" t="inlineStr">
        <is>
          <t>PT. PARAMA GLOBAL INSPIRA - PPN (JMB)</t>
        </is>
      </c>
      <c r="AI3140" t="n">
        <v>563</v>
      </c>
      <c r="AJ3140" t="inlineStr">
        <is>
          <t>OMG</t>
        </is>
      </c>
      <c r="AK3140" t="n">
        <v>9</v>
      </c>
      <c r="AL3140" t="inlineStr">
        <is>
          <t>Miss Glam Jambi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OMG</t>
        </is>
      </c>
      <c r="B3141" s="2">
        <f>"20100462554"</f>
        <v/>
      </c>
      <c r="C3141" t="inlineStr">
        <is>
          <t>OMG Oh My Glam Coverlast Cushion 13C Ivory 15gr</t>
        </is>
      </c>
      <c r="D3141" t="inlineStr">
        <is>
          <t>Miss Glam Jambi</t>
        </is>
      </c>
      <c r="E3141" t="n">
        <v>0</v>
      </c>
      <c r="F3141" t="n">
        <v>0.2013</v>
      </c>
      <c r="G3141" t="n">
        <v>0.99</v>
      </c>
      <c r="H3141" t="n">
        <v>2</v>
      </c>
      <c r="I3141" t="n">
        <v>7</v>
      </c>
      <c r="J3141" t="n">
        <v>3</v>
      </c>
      <c r="K3141" t="n">
        <v>4</v>
      </c>
      <c r="L3141" t="n">
        <v>52394</v>
      </c>
      <c r="M3141" t="n">
        <v>65000</v>
      </c>
      <c r="N3141" t="n">
        <v>33</v>
      </c>
      <c r="O3141" t="n">
        <v>0.33</v>
      </c>
      <c r="P3141" t="n">
        <v>1</v>
      </c>
      <c r="Q3141" t="n">
        <v>0.19</v>
      </c>
      <c r="R3141" t="n">
        <v>2</v>
      </c>
      <c r="S3141" t="n">
        <v>13084.5</v>
      </c>
      <c r="T3141" t="n">
        <v>7</v>
      </c>
      <c r="U3141" t="n">
        <v>8</v>
      </c>
      <c r="V3141" t="n">
        <v>30</v>
      </c>
      <c r="W3141" t="n">
        <v>7</v>
      </c>
      <c r="X3141" t="n">
        <v>0</v>
      </c>
      <c r="Y3141" t="n">
        <v>1</v>
      </c>
      <c r="Z3141" t="n">
        <v>3</v>
      </c>
      <c r="AA3141" t="n">
        <v>1</v>
      </c>
      <c r="AB3141" t="n">
        <v>2</v>
      </c>
      <c r="AC3141" t="n">
        <v>3</v>
      </c>
      <c r="AD3141" t="n">
        <v>52394</v>
      </c>
      <c r="AE3141" t="n">
        <v>157182</v>
      </c>
      <c r="AF3141" t="n">
        <v>11593</v>
      </c>
      <c r="AG3141" t="n">
        <v>2141</v>
      </c>
      <c r="AH3141" t="inlineStr">
        <is>
          <t>PT. PARAMA GLOBAL INSPIRA - PPN (JMB)</t>
        </is>
      </c>
      <c r="AI3141" t="n">
        <v>563</v>
      </c>
      <c r="AJ3141" t="inlineStr">
        <is>
          <t>OMG</t>
        </is>
      </c>
      <c r="AK3141" t="n">
        <v>9</v>
      </c>
      <c r="AL3141" t="inlineStr">
        <is>
          <t>Miss Glam Jambi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OMG</t>
        </is>
      </c>
      <c r="B3142" s="2">
        <f>"20100462654"</f>
        <v/>
      </c>
      <c r="C3142" t="inlineStr">
        <is>
          <t>OMG Oh My Glam Coverlast Cushion 21W Light 15gr</t>
        </is>
      </c>
      <c r="D3142" t="inlineStr">
        <is>
          <t>Miss Glam Jambi</t>
        </is>
      </c>
      <c r="E3142" t="n">
        <v>11</v>
      </c>
      <c r="F3142" t="n">
        <v>0.5577</v>
      </c>
      <c r="G3142" t="n">
        <v>1.65</v>
      </c>
      <c r="H3142" t="n">
        <v>2</v>
      </c>
      <c r="I3142" t="n">
        <v>7</v>
      </c>
      <c r="J3142" t="n">
        <v>3</v>
      </c>
      <c r="K3142" t="n">
        <v>6</v>
      </c>
      <c r="L3142" t="n">
        <v>52394</v>
      </c>
      <c r="M3142" t="n">
        <v>65000</v>
      </c>
      <c r="N3142" t="n">
        <v>33</v>
      </c>
      <c r="O3142" t="n">
        <v>0.33</v>
      </c>
      <c r="P3142" t="n">
        <v>1</v>
      </c>
      <c r="Q3142" t="n">
        <v>0.22</v>
      </c>
      <c r="R3142" t="n">
        <v>2</v>
      </c>
      <c r="S3142" t="n">
        <v>36250.5</v>
      </c>
      <c r="T3142" t="n">
        <v>11</v>
      </c>
      <c r="U3142" t="n">
        <v>13</v>
      </c>
      <c r="V3142" t="n">
        <v>30</v>
      </c>
      <c r="W3142" t="n">
        <v>17</v>
      </c>
      <c r="X3142" t="n">
        <v>19.72386587771203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11593</v>
      </c>
      <c r="AG3142" t="n">
        <v>2141</v>
      </c>
      <c r="AH3142" t="inlineStr">
        <is>
          <t>PT. PARAMA GLOBAL INSPIRA - PPN (JMB)</t>
        </is>
      </c>
      <c r="AI3142" t="n">
        <v>563</v>
      </c>
      <c r="AJ3142" t="inlineStr">
        <is>
          <t>OMG</t>
        </is>
      </c>
      <c r="AK3142" t="n">
        <v>9</v>
      </c>
      <c r="AL3142" t="inlineStr">
        <is>
          <t>Miss Glam Jambi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OMG</t>
        </is>
      </c>
      <c r="B3143" s="2">
        <f>"20100462723"</f>
        <v/>
      </c>
      <c r="C3143" t="inlineStr">
        <is>
          <t>OMG Oh My Glam Coverlast Cushion 31W Beige 15gr</t>
        </is>
      </c>
      <c r="D3143" t="inlineStr">
        <is>
          <t>Miss Glam Jambi</t>
        </is>
      </c>
      <c r="E3143" t="n">
        <v>11</v>
      </c>
      <c r="F3143" t="n">
        <v>0.4983</v>
      </c>
      <c r="G3143" t="n">
        <v>1.98</v>
      </c>
      <c r="H3143" t="n">
        <v>2</v>
      </c>
      <c r="I3143" t="n">
        <v>7</v>
      </c>
      <c r="J3143" t="n">
        <v>3</v>
      </c>
      <c r="K3143" t="n">
        <v>5</v>
      </c>
      <c r="L3143" t="n">
        <v>52394</v>
      </c>
      <c r="M3143" t="n">
        <v>65000</v>
      </c>
      <c r="N3143" t="n">
        <v>33</v>
      </c>
      <c r="O3143" t="n">
        <v>0.33</v>
      </c>
      <c r="P3143" t="n">
        <v>1</v>
      </c>
      <c r="Q3143" t="n">
        <v>0.39</v>
      </c>
      <c r="R3143" t="n">
        <v>4</v>
      </c>
      <c r="S3143" t="n">
        <v>32389.5</v>
      </c>
      <c r="T3143" t="n">
        <v>13</v>
      </c>
      <c r="U3143" t="n">
        <v>14</v>
      </c>
      <c r="V3143" t="n">
        <v>30</v>
      </c>
      <c r="W3143" t="n">
        <v>15</v>
      </c>
      <c r="X3143" t="n">
        <v>22.07505518763797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11593</v>
      </c>
      <c r="AG3143" t="n">
        <v>2141</v>
      </c>
      <c r="AH3143" t="inlineStr">
        <is>
          <t>PT. PARAMA GLOBAL INSPIRA - PPN (JMB)</t>
        </is>
      </c>
      <c r="AI3143" t="n">
        <v>563</v>
      </c>
      <c r="AJ3143" t="inlineStr">
        <is>
          <t>OMG</t>
        </is>
      </c>
      <c r="AK3143" t="n">
        <v>9</v>
      </c>
      <c r="AL3143" t="inlineStr">
        <is>
          <t>Miss Glam Jambi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OMG</t>
        </is>
      </c>
      <c r="B3144" s="2">
        <f>"20100462859"</f>
        <v/>
      </c>
      <c r="C3144" t="inlineStr">
        <is>
          <t>OMG Oh My Glam Coverlast Cushion 32N Natural 15gr</t>
        </is>
      </c>
      <c r="D3144" t="inlineStr">
        <is>
          <t>Miss Glam Jambi</t>
        </is>
      </c>
      <c r="E3144" t="n">
        <v>6</v>
      </c>
      <c r="F3144" t="n">
        <v>1.0065</v>
      </c>
      <c r="G3144" t="n">
        <v>2.97</v>
      </c>
      <c r="H3144" t="n">
        <v>2</v>
      </c>
      <c r="I3144" t="n">
        <v>7</v>
      </c>
      <c r="J3144" t="n">
        <v>3</v>
      </c>
      <c r="K3144" t="n">
        <v>23</v>
      </c>
      <c r="L3144" t="n">
        <v>52394</v>
      </c>
      <c r="M3144" t="n">
        <v>65000</v>
      </c>
      <c r="N3144" t="n">
        <v>33</v>
      </c>
      <c r="O3144" t="n">
        <v>0.33</v>
      </c>
      <c r="P3144" t="n">
        <v>1</v>
      </c>
      <c r="Q3144" t="n">
        <v>0.31</v>
      </c>
      <c r="R3144" t="n">
        <v>2</v>
      </c>
      <c r="S3144" t="n">
        <v>65422.5</v>
      </c>
      <c r="T3144" t="n">
        <v>19</v>
      </c>
      <c r="U3144" t="n">
        <v>22</v>
      </c>
      <c r="V3144" t="n">
        <v>30</v>
      </c>
      <c r="W3144" t="n">
        <v>31</v>
      </c>
      <c r="X3144" t="n">
        <v>5.961251862891207</v>
      </c>
      <c r="Y3144" t="n">
        <v>1</v>
      </c>
      <c r="Z3144" t="n">
        <v>2</v>
      </c>
      <c r="AA3144" t="n">
        <v>1</v>
      </c>
      <c r="AB3144" t="n">
        <v>1</v>
      </c>
      <c r="AC3144" t="n">
        <v>3</v>
      </c>
      <c r="AD3144" t="n">
        <v>52394</v>
      </c>
      <c r="AE3144" t="n">
        <v>157182</v>
      </c>
      <c r="AF3144" t="n">
        <v>11593</v>
      </c>
      <c r="AG3144" t="n">
        <v>2141</v>
      </c>
      <c r="AH3144" t="inlineStr">
        <is>
          <t>PT. PARAMA GLOBAL INSPIRA - PPN (JMB)</t>
        </is>
      </c>
      <c r="AI3144" t="n">
        <v>563</v>
      </c>
      <c r="AJ3144" t="inlineStr">
        <is>
          <t>OMG</t>
        </is>
      </c>
      <c r="AK3144" t="n">
        <v>9</v>
      </c>
      <c r="AL3144" t="inlineStr">
        <is>
          <t>Miss Glam Jambi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OMG</t>
        </is>
      </c>
      <c r="B3145" s="2">
        <f>"20100462915"</f>
        <v/>
      </c>
      <c r="C3145" t="inlineStr">
        <is>
          <t>OMG Oh My Glam Coverlast Cushion 41W Sand 15gr</t>
        </is>
      </c>
      <c r="D3145" t="inlineStr">
        <is>
          <t>Miss Glam Jambi</t>
        </is>
      </c>
      <c r="E3145" t="n">
        <v>11</v>
      </c>
      <c r="F3145" t="n">
        <v>0.4026</v>
      </c>
      <c r="G3145" t="n">
        <v>1.32</v>
      </c>
      <c r="H3145" t="n">
        <v>2</v>
      </c>
      <c r="I3145" t="n">
        <v>7</v>
      </c>
      <c r="J3145" t="n">
        <v>3</v>
      </c>
      <c r="K3145" t="n">
        <v>0</v>
      </c>
      <c r="L3145" t="n">
        <v>52380</v>
      </c>
      <c r="M3145" t="n">
        <v>65000</v>
      </c>
      <c r="N3145" t="n">
        <v>33</v>
      </c>
      <c r="O3145" t="n">
        <v>0.33</v>
      </c>
      <c r="P3145" t="n">
        <v>1</v>
      </c>
      <c r="Q3145" t="n">
        <v>0.12</v>
      </c>
      <c r="R3145" t="n">
        <v>1</v>
      </c>
      <c r="S3145" t="n">
        <v>26169</v>
      </c>
      <c r="T3145" t="n">
        <v>9</v>
      </c>
      <c r="U3145" t="n">
        <v>10</v>
      </c>
      <c r="V3145" t="n">
        <v>30</v>
      </c>
      <c r="W3145" t="n">
        <v>13</v>
      </c>
      <c r="X3145" t="n">
        <v>27.3224043715847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11593</v>
      </c>
      <c r="AG3145" t="n">
        <v>2141</v>
      </c>
      <c r="AH3145" t="inlineStr">
        <is>
          <t>PT. PARAMA GLOBAL INSPIRA - PPN (JMB)</t>
        </is>
      </c>
      <c r="AI3145" t="n">
        <v>563</v>
      </c>
      <c r="AJ3145" t="inlineStr">
        <is>
          <t>OMG</t>
        </is>
      </c>
      <c r="AK3145" t="n">
        <v>9</v>
      </c>
      <c r="AL3145" t="inlineStr">
        <is>
          <t>Miss Glam Jambi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OMG</t>
        </is>
      </c>
      <c r="B3146" s="2">
        <f>"20100463024"</f>
        <v/>
      </c>
      <c r="C3146" t="inlineStr">
        <is>
          <t>OMG Oh My Glam Coverlast Cushion 50N Creme 15gr</t>
        </is>
      </c>
      <c r="D3146" t="inlineStr">
        <is>
          <t>Miss Glam Jambi</t>
        </is>
      </c>
      <c r="E3146" t="n">
        <v>2</v>
      </c>
      <c r="F3146" t="n">
        <v>0.0495</v>
      </c>
      <c r="G3146" t="n">
        <v>0.33</v>
      </c>
      <c r="H3146" t="n">
        <v>2</v>
      </c>
      <c r="I3146" t="n">
        <v>7</v>
      </c>
      <c r="J3146" t="n">
        <v>3</v>
      </c>
      <c r="K3146" t="n">
        <v>0</v>
      </c>
      <c r="L3146" t="n">
        <v>51417</v>
      </c>
      <c r="M3146" t="n">
        <v>65000</v>
      </c>
      <c r="N3146" t="n">
        <v>33</v>
      </c>
      <c r="O3146" t="n">
        <v>0.33</v>
      </c>
      <c r="P3146" t="n">
        <v>1</v>
      </c>
      <c r="Q3146" t="n">
        <v>0.07000000000000001</v>
      </c>
      <c r="R3146" t="n">
        <v>1</v>
      </c>
      <c r="S3146" t="n">
        <v>3217.5</v>
      </c>
      <c r="T3146" t="n">
        <v>3</v>
      </c>
      <c r="U3146" t="n">
        <v>4</v>
      </c>
      <c r="V3146" t="n">
        <v>30</v>
      </c>
      <c r="W3146" t="n">
        <v>2</v>
      </c>
      <c r="X3146" t="n">
        <v>40.4040404040404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11593</v>
      </c>
      <c r="AG3146" t="n">
        <v>2141</v>
      </c>
      <c r="AH3146" t="inlineStr">
        <is>
          <t>PT. PARAMA GLOBAL INSPIRA - PPN (JMB)</t>
        </is>
      </c>
      <c r="AI3146" t="n">
        <v>563</v>
      </c>
      <c r="AJ3146" t="inlineStr">
        <is>
          <t>OMG</t>
        </is>
      </c>
      <c r="AK3146" t="n">
        <v>9</v>
      </c>
      <c r="AL3146" t="inlineStr">
        <is>
          <t>Miss Glam Jambi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OMG</t>
        </is>
      </c>
      <c r="B3147" s="2">
        <f>"8993137718998"</f>
        <v/>
      </c>
      <c r="C3147" t="inlineStr">
        <is>
          <t>OMG Oh My Glam Coverlast Liquid Foundation 13 C Ivory 25ml</t>
        </is>
      </c>
      <c r="D3147" t="inlineStr">
        <is>
          <t>Miss Glam Jambi</t>
        </is>
      </c>
      <c r="E3147" t="n">
        <v>0</v>
      </c>
      <c r="F3147" t="n">
        <v>0.4257</v>
      </c>
      <c r="G3147" t="n">
        <v>1.65</v>
      </c>
      <c r="H3147" t="n">
        <v>2</v>
      </c>
      <c r="I3147" t="n">
        <v>7</v>
      </c>
      <c r="J3147" t="n">
        <v>3</v>
      </c>
      <c r="K3147" t="n">
        <v>10</v>
      </c>
      <c r="L3147" t="n">
        <v>16813</v>
      </c>
      <c r="M3147" t="n">
        <v>17500</v>
      </c>
      <c r="N3147" t="n">
        <v>33</v>
      </c>
      <c r="O3147" t="n">
        <v>0.33</v>
      </c>
      <c r="P3147" t="n">
        <v>1</v>
      </c>
      <c r="Q3147" t="n">
        <v>0.22</v>
      </c>
      <c r="R3147" t="n">
        <v>2</v>
      </c>
      <c r="S3147" t="n">
        <v>7449.75</v>
      </c>
      <c r="T3147" t="n">
        <v>11</v>
      </c>
      <c r="U3147" t="n">
        <v>12</v>
      </c>
      <c r="V3147" t="n">
        <v>30</v>
      </c>
      <c r="W3147" t="n">
        <v>13</v>
      </c>
      <c r="X3147" t="n">
        <v>0</v>
      </c>
      <c r="Y3147" t="n">
        <v>1</v>
      </c>
      <c r="Z3147" t="n">
        <v>3</v>
      </c>
      <c r="AA3147" t="n">
        <v>2</v>
      </c>
      <c r="AB3147" t="n">
        <v>1</v>
      </c>
      <c r="AC3147" t="n">
        <v>3</v>
      </c>
      <c r="AD3147" t="n">
        <v>33626</v>
      </c>
      <c r="AE3147" t="n">
        <v>50439</v>
      </c>
      <c r="AF3147" t="n">
        <v>11593</v>
      </c>
      <c r="AG3147" t="n">
        <v>2141</v>
      </c>
      <c r="AH3147" t="inlineStr">
        <is>
          <t>PT. PARAMA GLOBAL INSPIRA - PPN (JMB)</t>
        </is>
      </c>
      <c r="AI3147" t="n">
        <v>563</v>
      </c>
      <c r="AJ3147" t="inlineStr">
        <is>
          <t>OMG</t>
        </is>
      </c>
      <c r="AK3147" t="n">
        <v>9</v>
      </c>
      <c r="AL3147" t="inlineStr">
        <is>
          <t>Miss Glam Jambi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OMG</t>
        </is>
      </c>
      <c r="B3148" s="2">
        <f>"8993137719001"</f>
        <v/>
      </c>
      <c r="C3148" t="inlineStr">
        <is>
          <t>OMG Oh My Glam Coverlast Liquid Foundation 21 W Light 25ml</t>
        </is>
      </c>
      <c r="D3148" t="inlineStr">
        <is>
          <t>Miss Glam Jambi</t>
        </is>
      </c>
      <c r="E3148" t="n">
        <v>0</v>
      </c>
      <c r="F3148" t="n">
        <v>0.6501</v>
      </c>
      <c r="G3148" t="n">
        <v>2.31</v>
      </c>
      <c r="H3148" t="n">
        <v>2</v>
      </c>
      <c r="I3148" t="n">
        <v>7</v>
      </c>
      <c r="J3148" t="n">
        <v>3</v>
      </c>
      <c r="K3148" t="n">
        <v>15</v>
      </c>
      <c r="L3148" t="n">
        <v>16813</v>
      </c>
      <c r="M3148" t="n">
        <v>17500</v>
      </c>
      <c r="N3148" t="n">
        <v>33</v>
      </c>
      <c r="O3148" t="n">
        <v>0.33</v>
      </c>
      <c r="P3148" t="n">
        <v>1</v>
      </c>
      <c r="Q3148" t="n">
        <v>0.27</v>
      </c>
      <c r="R3148" t="n">
        <v>2</v>
      </c>
      <c r="S3148" t="n">
        <v>11376.75</v>
      </c>
      <c r="T3148" t="n">
        <v>15</v>
      </c>
      <c r="U3148" t="n">
        <v>17</v>
      </c>
      <c r="V3148" t="n">
        <v>30</v>
      </c>
      <c r="W3148" t="n">
        <v>20</v>
      </c>
      <c r="X3148" t="n">
        <v>0</v>
      </c>
      <c r="Y3148" t="n">
        <v>1</v>
      </c>
      <c r="Z3148" t="n">
        <v>5</v>
      </c>
      <c r="AA3148" t="n">
        <v>4</v>
      </c>
      <c r="AB3148" t="n">
        <v>1</v>
      </c>
      <c r="AC3148" t="n">
        <v>3</v>
      </c>
      <c r="AD3148" t="n">
        <v>67252</v>
      </c>
      <c r="AE3148" t="n">
        <v>50439</v>
      </c>
      <c r="AF3148" t="n">
        <v>11593</v>
      </c>
      <c r="AG3148" t="n">
        <v>2141</v>
      </c>
      <c r="AH3148" t="inlineStr">
        <is>
          <t>PT. PARAMA GLOBAL INSPIRA - PPN (JMB)</t>
        </is>
      </c>
      <c r="AI3148" t="n">
        <v>563</v>
      </c>
      <c r="AJ3148" t="inlineStr">
        <is>
          <t>OMG</t>
        </is>
      </c>
      <c r="AK3148" t="n">
        <v>9</v>
      </c>
      <c r="AL3148" t="inlineStr">
        <is>
          <t>Miss Glam Jambi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OMG</t>
        </is>
      </c>
      <c r="B3149" s="2">
        <f>"8993137719018"</f>
        <v/>
      </c>
      <c r="C3149" t="inlineStr">
        <is>
          <t>OMG Oh My Glam Coverlast Liquid Foundation 31 W Beige 25ml</t>
        </is>
      </c>
      <c r="D3149" t="inlineStr">
        <is>
          <t>Miss Glam Jambi</t>
        </is>
      </c>
      <c r="E3149" t="n">
        <v>2</v>
      </c>
      <c r="F3149" t="n">
        <v>0.627</v>
      </c>
      <c r="G3149" t="n">
        <v>2.31</v>
      </c>
      <c r="H3149" t="n">
        <v>2</v>
      </c>
      <c r="I3149" t="n">
        <v>7</v>
      </c>
      <c r="J3149" t="n">
        <v>3</v>
      </c>
      <c r="K3149" t="n">
        <v>14</v>
      </c>
      <c r="L3149" t="n">
        <v>16813</v>
      </c>
      <c r="M3149" t="n">
        <v>17500</v>
      </c>
      <c r="N3149" t="n">
        <v>33</v>
      </c>
      <c r="O3149" t="n">
        <v>0.33</v>
      </c>
      <c r="P3149" t="n">
        <v>1</v>
      </c>
      <c r="Q3149" t="n">
        <v>0.14</v>
      </c>
      <c r="R3149" t="n">
        <v>1</v>
      </c>
      <c r="S3149" t="n">
        <v>10972.5</v>
      </c>
      <c r="T3149" t="n">
        <v>15</v>
      </c>
      <c r="U3149" t="n">
        <v>17</v>
      </c>
      <c r="V3149" t="n">
        <v>30</v>
      </c>
      <c r="W3149" t="n">
        <v>19</v>
      </c>
      <c r="X3149" t="n">
        <v>3.189792663476874</v>
      </c>
      <c r="Y3149" t="n">
        <v>1</v>
      </c>
      <c r="Z3149" t="n">
        <v>3</v>
      </c>
      <c r="AA3149" t="n">
        <v>2</v>
      </c>
      <c r="AB3149" t="n">
        <v>1</v>
      </c>
      <c r="AC3149" t="n">
        <v>3</v>
      </c>
      <c r="AD3149" t="n">
        <v>33626</v>
      </c>
      <c r="AE3149" t="n">
        <v>50439</v>
      </c>
      <c r="AF3149" t="n">
        <v>11593</v>
      </c>
      <c r="AG3149" t="n">
        <v>2141</v>
      </c>
      <c r="AH3149" t="inlineStr">
        <is>
          <t>PT. PARAMA GLOBAL INSPIRA - PPN (JMB)</t>
        </is>
      </c>
      <c r="AI3149" t="n">
        <v>563</v>
      </c>
      <c r="AJ3149" t="inlineStr">
        <is>
          <t>OMG</t>
        </is>
      </c>
      <c r="AK3149" t="n">
        <v>9</v>
      </c>
      <c r="AL3149" t="inlineStr">
        <is>
          <t>Miss Glam Jambi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OMG</t>
        </is>
      </c>
      <c r="B3150" s="2">
        <f>"8993137719025"</f>
        <v/>
      </c>
      <c r="C3150" t="inlineStr">
        <is>
          <t>OMG Oh My Glam Coverlast Liquid Foundation 32 N Natural 25ml</t>
        </is>
      </c>
      <c r="D3150" t="inlineStr">
        <is>
          <t>Miss Glam Jambi</t>
        </is>
      </c>
      <c r="E3150" t="n">
        <v>10</v>
      </c>
      <c r="F3150" t="n">
        <v>1.683</v>
      </c>
      <c r="G3150" t="n">
        <v>4.62</v>
      </c>
      <c r="H3150" t="n">
        <v>2</v>
      </c>
      <c r="I3150" t="n">
        <v>7</v>
      </c>
      <c r="J3150" t="n">
        <v>3</v>
      </c>
      <c r="K3150" t="n">
        <v>38</v>
      </c>
      <c r="L3150" t="n">
        <v>16813</v>
      </c>
      <c r="M3150" t="n">
        <v>17500</v>
      </c>
      <c r="N3150" t="n">
        <v>33</v>
      </c>
      <c r="O3150" t="n">
        <v>0.33</v>
      </c>
      <c r="P3150" t="n">
        <v>1</v>
      </c>
      <c r="Q3150" t="n">
        <v>0.44</v>
      </c>
      <c r="R3150" t="n">
        <v>4</v>
      </c>
      <c r="S3150" t="n">
        <v>29452.5</v>
      </c>
      <c r="T3150" t="n">
        <v>29</v>
      </c>
      <c r="U3150" t="n">
        <v>33</v>
      </c>
      <c r="V3150" t="n">
        <v>30</v>
      </c>
      <c r="W3150" t="n">
        <v>51</v>
      </c>
      <c r="X3150" t="n">
        <v>5.941770647653001</v>
      </c>
      <c r="Y3150" t="n">
        <v>1</v>
      </c>
      <c r="Z3150" t="n">
        <v>3</v>
      </c>
      <c r="AA3150" t="n">
        <v>1</v>
      </c>
      <c r="AB3150" t="n">
        <v>2</v>
      </c>
      <c r="AC3150" t="n">
        <v>3</v>
      </c>
      <c r="AD3150" t="n">
        <v>16813</v>
      </c>
      <c r="AE3150" t="n">
        <v>50439</v>
      </c>
      <c r="AF3150" t="n">
        <v>11593</v>
      </c>
      <c r="AG3150" t="n">
        <v>2141</v>
      </c>
      <c r="AH3150" t="inlineStr">
        <is>
          <t>PT. PARAMA GLOBAL INSPIRA - PPN (JMB)</t>
        </is>
      </c>
      <c r="AI3150" t="n">
        <v>563</v>
      </c>
      <c r="AJ3150" t="inlineStr">
        <is>
          <t>OMG</t>
        </is>
      </c>
      <c r="AK3150" t="n">
        <v>9</v>
      </c>
      <c r="AL3150" t="inlineStr">
        <is>
          <t>Miss Glam Jambi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OMG</t>
        </is>
      </c>
      <c r="B3151" s="2">
        <f>"8993137719032"</f>
        <v/>
      </c>
      <c r="C3151" t="inlineStr">
        <is>
          <t>OMG Oh My Glam Coverlast Liquid Foundation 41 W Sand 25ml</t>
        </is>
      </c>
      <c r="D3151" t="inlineStr">
        <is>
          <t>Miss Glam Jambi</t>
        </is>
      </c>
      <c r="E3151" t="n">
        <v>5</v>
      </c>
      <c r="F3151" t="n">
        <v>0.4818</v>
      </c>
      <c r="G3151" t="n">
        <v>1.65</v>
      </c>
      <c r="H3151" t="n">
        <v>2</v>
      </c>
      <c r="I3151" t="n">
        <v>7</v>
      </c>
      <c r="J3151" t="n">
        <v>3</v>
      </c>
      <c r="K3151" t="n">
        <v>10</v>
      </c>
      <c r="L3151" t="n">
        <v>16657</v>
      </c>
      <c r="M3151" t="n">
        <v>17500</v>
      </c>
      <c r="N3151" t="n">
        <v>33</v>
      </c>
      <c r="O3151" t="n">
        <v>0.33</v>
      </c>
      <c r="P3151" t="n">
        <v>1</v>
      </c>
      <c r="Q3151" t="n">
        <v>0.07000000000000001</v>
      </c>
      <c r="R3151" t="n">
        <v>1</v>
      </c>
      <c r="S3151" t="n">
        <v>8431.5</v>
      </c>
      <c r="T3151" t="n">
        <v>11</v>
      </c>
      <c r="U3151" t="n">
        <v>12</v>
      </c>
      <c r="V3151" t="n">
        <v>30</v>
      </c>
      <c r="W3151" t="n">
        <v>15</v>
      </c>
      <c r="X3151" t="n">
        <v>10.3777501037775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11593</v>
      </c>
      <c r="AG3151" t="n">
        <v>2141</v>
      </c>
      <c r="AH3151" t="inlineStr">
        <is>
          <t>PT. PARAMA GLOBAL INSPIRA - PPN (JMB)</t>
        </is>
      </c>
      <c r="AI3151" t="n">
        <v>563</v>
      </c>
      <c r="AJ3151" t="inlineStr">
        <is>
          <t>OMG</t>
        </is>
      </c>
      <c r="AK3151" t="n">
        <v>9</v>
      </c>
      <c r="AL3151" t="inlineStr">
        <is>
          <t>Miss Glam Jambi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OMG</t>
        </is>
      </c>
      <c r="B3152" s="2">
        <f>"8993137719049"</f>
        <v/>
      </c>
      <c r="C3152" t="inlineStr">
        <is>
          <t>OMG Oh My Glam Coverlast Liquid Foundation 52 N Caramel 25ml</t>
        </is>
      </c>
      <c r="D3152" t="inlineStr">
        <is>
          <t>Miss Glam Jambi</t>
        </is>
      </c>
      <c r="E3152" t="n">
        <v>2</v>
      </c>
      <c r="F3152" t="n">
        <v>0.1188</v>
      </c>
      <c r="G3152" t="n">
        <v>0.66</v>
      </c>
      <c r="H3152" t="n">
        <v>2</v>
      </c>
      <c r="I3152" t="n">
        <v>7</v>
      </c>
      <c r="J3152" t="n">
        <v>3</v>
      </c>
      <c r="K3152" t="n">
        <v>3</v>
      </c>
      <c r="L3152" t="n">
        <v>14486</v>
      </c>
      <c r="M3152" t="n">
        <v>17500</v>
      </c>
      <c r="N3152" t="n">
        <v>33</v>
      </c>
      <c r="O3152" t="n">
        <v>0.33</v>
      </c>
      <c r="P3152" t="n">
        <v>1</v>
      </c>
      <c r="Q3152" t="n">
        <v>0.03</v>
      </c>
      <c r="R3152" t="n">
        <v>1</v>
      </c>
      <c r="S3152" t="n">
        <v>2079</v>
      </c>
      <c r="T3152" t="n">
        <v>5</v>
      </c>
      <c r="U3152" t="n">
        <v>6</v>
      </c>
      <c r="V3152" t="n">
        <v>30</v>
      </c>
      <c r="W3152" t="n">
        <v>4</v>
      </c>
      <c r="X3152" t="n">
        <v>16.83501683501683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11593</v>
      </c>
      <c r="AG3152" t="n">
        <v>2141</v>
      </c>
      <c r="AH3152" t="inlineStr">
        <is>
          <t>PT. PARAMA GLOBAL INSPIRA - PPN (JMB)</t>
        </is>
      </c>
      <c r="AI3152" t="n">
        <v>563</v>
      </c>
      <c r="AJ3152" t="inlineStr">
        <is>
          <t>OMG</t>
        </is>
      </c>
      <c r="AK3152" t="n">
        <v>9</v>
      </c>
      <c r="AL3152" t="inlineStr">
        <is>
          <t>Miss Glam Jambi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OMG</t>
        </is>
      </c>
      <c r="B3153" s="2">
        <f>"20100570020"</f>
        <v/>
      </c>
      <c r="C3153" t="inlineStr">
        <is>
          <t>OMG Oh My Glam Coverlast Two Way Cake 32N Natural 12gr TK</t>
        </is>
      </c>
      <c r="D3153" t="inlineStr">
        <is>
          <t>Miss Glam Jambi</t>
        </is>
      </c>
      <c r="E3153" t="n">
        <v>3</v>
      </c>
      <c r="F3153" t="n">
        <v>3.2505</v>
      </c>
      <c r="G3153" t="n">
        <v>6.27</v>
      </c>
      <c r="H3153" t="n">
        <v>2</v>
      </c>
      <c r="I3153" t="n">
        <v>7</v>
      </c>
      <c r="J3153" t="n">
        <v>3</v>
      </c>
      <c r="K3153" t="n">
        <v>74</v>
      </c>
      <c r="L3153" t="n">
        <v>19941</v>
      </c>
      <c r="M3153" t="n">
        <v>22000</v>
      </c>
      <c r="N3153" t="n">
        <v>33</v>
      </c>
      <c r="O3153" t="n">
        <v>0.33</v>
      </c>
      <c r="P3153" t="n">
        <v>1</v>
      </c>
      <c r="Q3153" t="n">
        <v>1.34</v>
      </c>
      <c r="R3153" t="n">
        <v>5</v>
      </c>
      <c r="S3153" t="n">
        <v>71511</v>
      </c>
      <c r="T3153" t="n">
        <v>38</v>
      </c>
      <c r="U3153" t="n">
        <v>45</v>
      </c>
      <c r="V3153" t="n">
        <v>30</v>
      </c>
      <c r="W3153" t="n">
        <v>98</v>
      </c>
      <c r="X3153" t="n">
        <v>0.9229349330872173</v>
      </c>
      <c r="Y3153" t="n">
        <v>1</v>
      </c>
      <c r="Z3153" t="n">
        <v>21</v>
      </c>
      <c r="AA3153" t="n">
        <v>19</v>
      </c>
      <c r="AB3153" t="n">
        <v>2</v>
      </c>
      <c r="AC3153" t="n">
        <v>3</v>
      </c>
      <c r="AD3153" t="n">
        <v>378879</v>
      </c>
      <c r="AE3153" t="n">
        <v>59823</v>
      </c>
      <c r="AF3153" t="n">
        <v>11593</v>
      </c>
      <c r="AG3153" t="n">
        <v>2141</v>
      </c>
      <c r="AH3153" t="inlineStr">
        <is>
          <t>PT. PARAMA GLOBAL INSPIRA - PPN (JMB)</t>
        </is>
      </c>
      <c r="AI3153" t="n">
        <v>563</v>
      </c>
      <c r="AJ3153" t="inlineStr">
        <is>
          <t>OMG</t>
        </is>
      </c>
      <c r="AK3153" t="n">
        <v>9</v>
      </c>
      <c r="AL3153" t="inlineStr">
        <is>
          <t>Miss Glam Jambi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OMG</t>
        </is>
      </c>
      <c r="B3154" s="2">
        <f>"20101210429"</f>
        <v/>
      </c>
      <c r="C3154" t="inlineStr">
        <is>
          <t>OMG OH MY GLAM Fix &amp; Lock Matte Setting Spray 60ml</t>
        </is>
      </c>
      <c r="D3154" t="inlineStr">
        <is>
          <t>Miss Glam Jambi</t>
        </is>
      </c>
      <c r="E3154" t="n">
        <v>1</v>
      </c>
      <c r="F3154" t="n">
        <v>0.7062</v>
      </c>
      <c r="G3154" t="n">
        <v>2.31</v>
      </c>
      <c r="H3154" t="n">
        <v>2</v>
      </c>
      <c r="I3154" t="n">
        <v>7</v>
      </c>
      <c r="J3154" t="n">
        <v>1</v>
      </c>
      <c r="K3154" t="n">
        <v>17</v>
      </c>
      <c r="L3154" t="n">
        <v>28934</v>
      </c>
      <c r="M3154" t="n">
        <v>37000</v>
      </c>
      <c r="N3154" t="n">
        <v>33</v>
      </c>
      <c r="O3154" t="n">
        <v>0.33</v>
      </c>
      <c r="P3154" t="n">
        <v>1</v>
      </c>
      <c r="Q3154" t="n">
        <v>0.39</v>
      </c>
      <c r="R3154" t="n">
        <v>3</v>
      </c>
      <c r="S3154" t="n">
        <v>26129.4</v>
      </c>
      <c r="T3154" t="n">
        <v>15</v>
      </c>
      <c r="U3154" t="n">
        <v>17</v>
      </c>
      <c r="V3154" t="n">
        <v>30</v>
      </c>
      <c r="W3154" t="n">
        <v>22</v>
      </c>
      <c r="X3154" t="n">
        <v>1.416029453412631</v>
      </c>
      <c r="Y3154" t="n">
        <v>1</v>
      </c>
      <c r="Z3154" t="n">
        <v>4</v>
      </c>
      <c r="AA3154" t="n">
        <v>3</v>
      </c>
      <c r="AB3154" t="n">
        <v>1</v>
      </c>
      <c r="AC3154" t="n">
        <v>1</v>
      </c>
      <c r="AD3154" t="n">
        <v>86802</v>
      </c>
      <c r="AE3154" t="n">
        <v>28934</v>
      </c>
      <c r="AF3154" t="n">
        <v>11593</v>
      </c>
      <c r="AG3154" t="n">
        <v>2141</v>
      </c>
      <c r="AH3154" t="inlineStr">
        <is>
          <t>PT. PARAMA GLOBAL INSPIRA - PPN (JMB)</t>
        </is>
      </c>
      <c r="AI3154" t="n">
        <v>563</v>
      </c>
      <c r="AJ3154" t="inlineStr">
        <is>
          <t>OMG</t>
        </is>
      </c>
      <c r="AK3154" t="n">
        <v>9</v>
      </c>
      <c r="AL3154" t="inlineStr">
        <is>
          <t>Miss Glam Jambi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OMG</t>
        </is>
      </c>
      <c r="B3155" s="2">
        <f>"8997241850988"</f>
        <v/>
      </c>
      <c r="C3155" t="inlineStr">
        <is>
          <t>OMG Oh My Glam Glassy Lip Tin 01 Crepe 2gr</t>
        </is>
      </c>
      <c r="D3155" t="inlineStr">
        <is>
          <t>Miss Glam Jambi</t>
        </is>
      </c>
      <c r="E3155" t="n">
        <v>8</v>
      </c>
      <c r="F3155" t="n">
        <v>0.5808</v>
      </c>
      <c r="G3155" t="n">
        <v>1.65</v>
      </c>
      <c r="H3155" t="n">
        <v>2</v>
      </c>
      <c r="I3155" t="n">
        <v>7</v>
      </c>
      <c r="J3155" t="n">
        <v>3</v>
      </c>
      <c r="K3155" t="n">
        <v>8</v>
      </c>
      <c r="L3155" t="n">
        <v>17986</v>
      </c>
      <c r="M3155" t="n">
        <v>22000</v>
      </c>
      <c r="N3155" t="n">
        <v>33</v>
      </c>
      <c r="O3155" t="n">
        <v>0.33</v>
      </c>
      <c r="P3155" t="n">
        <v>1</v>
      </c>
      <c r="Q3155" t="n">
        <v>0.73</v>
      </c>
      <c r="R3155" t="n">
        <v>4</v>
      </c>
      <c r="S3155" t="n">
        <v>12777.6</v>
      </c>
      <c r="T3155" t="n">
        <v>11</v>
      </c>
      <c r="U3155" t="n">
        <v>13</v>
      </c>
      <c r="V3155" t="n">
        <v>30</v>
      </c>
      <c r="W3155" t="n">
        <v>18</v>
      </c>
      <c r="X3155" t="n">
        <v>13.77410468319559</v>
      </c>
      <c r="Y3155" t="n">
        <v>1</v>
      </c>
      <c r="Z3155" t="n">
        <v>2</v>
      </c>
      <c r="AA3155" t="n">
        <v>0</v>
      </c>
      <c r="AB3155" t="n">
        <v>2</v>
      </c>
      <c r="AC3155" t="n">
        <v>3</v>
      </c>
      <c r="AD3155" t="n">
        <v>0</v>
      </c>
      <c r="AE3155" t="n">
        <v>53958</v>
      </c>
      <c r="AF3155" t="n">
        <v>11593</v>
      </c>
      <c r="AG3155" t="n">
        <v>2141</v>
      </c>
      <c r="AH3155" t="inlineStr">
        <is>
          <t>PT. PARAMA GLOBAL INSPIRA - PPN (JMB)</t>
        </is>
      </c>
      <c r="AI3155" t="n">
        <v>563</v>
      </c>
      <c r="AJ3155" t="inlineStr">
        <is>
          <t>OMG</t>
        </is>
      </c>
      <c r="AK3155" t="n">
        <v>9</v>
      </c>
      <c r="AL3155" t="inlineStr">
        <is>
          <t>Miss Glam Jambi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OMG</t>
        </is>
      </c>
      <c r="B3156" s="2">
        <f>"8997241850995"</f>
        <v/>
      </c>
      <c r="C3156" t="inlineStr">
        <is>
          <t>OMG Oh My Glam Glassy Lip Tin 02 Siena 2gr</t>
        </is>
      </c>
      <c r="D3156" t="inlineStr">
        <is>
          <t>Miss Glam Jambi</t>
        </is>
      </c>
      <c r="E3156" t="n">
        <v>8</v>
      </c>
      <c r="F3156" t="n">
        <v>0.7821</v>
      </c>
      <c r="G3156" t="n">
        <v>2.64</v>
      </c>
      <c r="H3156" t="n">
        <v>2</v>
      </c>
      <c r="I3156" t="n">
        <v>7</v>
      </c>
      <c r="J3156" t="n">
        <v>3</v>
      </c>
      <c r="K3156" t="n">
        <v>17</v>
      </c>
      <c r="L3156" t="n">
        <v>17986</v>
      </c>
      <c r="M3156" t="n">
        <v>22000</v>
      </c>
      <c r="N3156" t="n">
        <v>33</v>
      </c>
      <c r="O3156" t="n">
        <v>0.33</v>
      </c>
      <c r="P3156" t="n">
        <v>1</v>
      </c>
      <c r="Q3156" t="n">
        <v>1.02</v>
      </c>
      <c r="R3156" t="n">
        <v>5</v>
      </c>
      <c r="S3156" t="n">
        <v>17206.2</v>
      </c>
      <c r="T3156" t="n">
        <v>17</v>
      </c>
      <c r="U3156" t="n">
        <v>19</v>
      </c>
      <c r="V3156" t="n">
        <v>30</v>
      </c>
      <c r="W3156" t="n">
        <v>24</v>
      </c>
      <c r="X3156" t="n">
        <v>10.22887098836466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11593</v>
      </c>
      <c r="AG3156" t="n">
        <v>2141</v>
      </c>
      <c r="AH3156" t="inlineStr">
        <is>
          <t>PT. PARAMA GLOBAL INSPIRA - PPN (JMB)</t>
        </is>
      </c>
      <c r="AI3156" t="n">
        <v>563</v>
      </c>
      <c r="AJ3156" t="inlineStr">
        <is>
          <t>OMG</t>
        </is>
      </c>
      <c r="AK3156" t="n">
        <v>9</v>
      </c>
      <c r="AL3156" t="inlineStr">
        <is>
          <t>Miss Glam Jambi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OMG</t>
        </is>
      </c>
      <c r="B3157" s="2">
        <f>"8997241851008"</f>
        <v/>
      </c>
      <c r="C3157" t="inlineStr">
        <is>
          <t>OMG Oh My Glam Glassy Lip Tin 03 Spring 2gr</t>
        </is>
      </c>
      <c r="D3157" t="inlineStr">
        <is>
          <t>Miss Glam Jambi</t>
        </is>
      </c>
      <c r="E3157" t="n">
        <v>4</v>
      </c>
      <c r="F3157" t="n">
        <v>0.1947</v>
      </c>
      <c r="G3157" t="n">
        <v>0.99</v>
      </c>
      <c r="H3157" t="n">
        <v>2</v>
      </c>
      <c r="I3157" t="n">
        <v>7</v>
      </c>
      <c r="J3157" t="n">
        <v>3</v>
      </c>
      <c r="K3157" t="n">
        <v>3</v>
      </c>
      <c r="L3157" t="n">
        <v>17986</v>
      </c>
      <c r="M3157" t="n">
        <v>22000</v>
      </c>
      <c r="N3157" t="n">
        <v>33</v>
      </c>
      <c r="O3157" t="n">
        <v>0.33</v>
      </c>
      <c r="P3157" t="n">
        <v>1</v>
      </c>
      <c r="Q3157" t="n">
        <v>0.19</v>
      </c>
      <c r="R3157" t="n">
        <v>2</v>
      </c>
      <c r="S3157" t="n">
        <v>4283.400000000001</v>
      </c>
      <c r="T3157" t="n">
        <v>7</v>
      </c>
      <c r="U3157" t="n">
        <v>8</v>
      </c>
      <c r="V3157" t="n">
        <v>30</v>
      </c>
      <c r="W3157" t="n">
        <v>6</v>
      </c>
      <c r="X3157" t="n">
        <v>20.54442732408834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11593</v>
      </c>
      <c r="AG3157" t="n">
        <v>2141</v>
      </c>
      <c r="AH3157" t="inlineStr">
        <is>
          <t>PT. PARAMA GLOBAL INSPIRA - PPN (JMB)</t>
        </is>
      </c>
      <c r="AI3157" t="n">
        <v>563</v>
      </c>
      <c r="AJ3157" t="inlineStr">
        <is>
          <t>OMG</t>
        </is>
      </c>
      <c r="AK3157" t="n">
        <v>9</v>
      </c>
      <c r="AL3157" t="inlineStr">
        <is>
          <t>Miss Glam Jambi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OMG</t>
        </is>
      </c>
      <c r="B3158" s="2">
        <f>"8997241851015"</f>
        <v/>
      </c>
      <c r="C3158" t="inlineStr">
        <is>
          <t>OMG Oh My Glam Glassy Lip Tin 04 Burgundy 2gr</t>
        </is>
      </c>
      <c r="D3158" t="inlineStr">
        <is>
          <t>Miss Glam Jambi</t>
        </is>
      </c>
      <c r="E3158" t="n">
        <v>10</v>
      </c>
      <c r="F3158" t="n">
        <v>0.3201</v>
      </c>
      <c r="G3158" t="n">
        <v>1.32</v>
      </c>
      <c r="H3158" t="n">
        <v>2</v>
      </c>
      <c r="I3158" t="n">
        <v>7</v>
      </c>
      <c r="J3158" t="n">
        <v>3</v>
      </c>
      <c r="K3158" t="n">
        <v>0</v>
      </c>
      <c r="L3158" t="n">
        <v>17986</v>
      </c>
      <c r="M3158" t="n">
        <v>22000</v>
      </c>
      <c r="N3158" t="n">
        <v>33</v>
      </c>
      <c r="O3158" t="n">
        <v>0.33</v>
      </c>
      <c r="P3158" t="n">
        <v>1</v>
      </c>
      <c r="Q3158" t="n">
        <v>0.24</v>
      </c>
      <c r="R3158" t="n">
        <v>3</v>
      </c>
      <c r="S3158" t="n">
        <v>7042.2</v>
      </c>
      <c r="T3158" t="n">
        <v>9</v>
      </c>
      <c r="U3158" t="n">
        <v>10</v>
      </c>
      <c r="V3158" t="n">
        <v>30</v>
      </c>
      <c r="W3158" t="n">
        <v>10</v>
      </c>
      <c r="X3158" t="n">
        <v>31.24023742580444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11593</v>
      </c>
      <c r="AG3158" t="n">
        <v>2141</v>
      </c>
      <c r="AH3158" t="inlineStr">
        <is>
          <t>PT. PARAMA GLOBAL INSPIRA - PPN (JMB)</t>
        </is>
      </c>
      <c r="AI3158" t="n">
        <v>563</v>
      </c>
      <c r="AJ3158" t="inlineStr">
        <is>
          <t>OMG</t>
        </is>
      </c>
      <c r="AK3158" t="n">
        <v>9</v>
      </c>
      <c r="AL3158" t="inlineStr">
        <is>
          <t>Miss Glam Jambi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OMG</t>
        </is>
      </c>
      <c r="B3159" s="2">
        <f>"8997241851022"</f>
        <v/>
      </c>
      <c r="C3159" t="inlineStr">
        <is>
          <t>OMG Oh My Glam Glassy Lip Tin 05 Caramel 2gr</t>
        </is>
      </c>
      <c r="D3159" t="inlineStr">
        <is>
          <t>Miss Glam Jambi</t>
        </is>
      </c>
      <c r="E3159" t="n">
        <v>4</v>
      </c>
      <c r="F3159" t="n">
        <v>0.1221</v>
      </c>
      <c r="G3159" t="n">
        <v>0.99</v>
      </c>
      <c r="H3159" t="n">
        <v>2</v>
      </c>
      <c r="I3159" t="n">
        <v>7</v>
      </c>
      <c r="J3159" t="n">
        <v>3</v>
      </c>
      <c r="K3159" t="n">
        <v>0</v>
      </c>
      <c r="L3159" t="n">
        <v>17986</v>
      </c>
      <c r="M3159" t="n">
        <v>22000</v>
      </c>
      <c r="N3159" t="n">
        <v>33</v>
      </c>
      <c r="O3159" t="n">
        <v>0.33</v>
      </c>
      <c r="P3159" t="n">
        <v>1</v>
      </c>
      <c r="Q3159" t="n">
        <v>0.12</v>
      </c>
      <c r="R3159" t="n">
        <v>1</v>
      </c>
      <c r="S3159" t="n">
        <v>2686.2</v>
      </c>
      <c r="T3159" t="n">
        <v>7</v>
      </c>
      <c r="U3159" t="n">
        <v>8</v>
      </c>
      <c r="V3159" t="n">
        <v>30</v>
      </c>
      <c r="W3159" t="n">
        <v>4</v>
      </c>
      <c r="X3159" t="n">
        <v>32.76003276003276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11593</v>
      </c>
      <c r="AG3159" t="n">
        <v>2141</v>
      </c>
      <c r="AH3159" t="inlineStr">
        <is>
          <t>PT. PARAMA GLOBAL INSPIRA - PPN (JMB)</t>
        </is>
      </c>
      <c r="AI3159" t="n">
        <v>563</v>
      </c>
      <c r="AJ3159" t="inlineStr">
        <is>
          <t>OMG</t>
        </is>
      </c>
      <c r="AK3159" t="n">
        <v>9</v>
      </c>
      <c r="AL3159" t="inlineStr">
        <is>
          <t>Miss Glam Jambi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OMG</t>
        </is>
      </c>
      <c r="B3160" s="2">
        <f>"203003101811"</f>
        <v/>
      </c>
      <c r="C3160" t="inlineStr">
        <is>
          <t>OMG OH MY GLAM Glassy Lip Tint 06 Latte Love 2gr</t>
        </is>
      </c>
      <c r="D3160" t="inlineStr">
        <is>
          <t>Miss Glam Jambi</t>
        </is>
      </c>
      <c r="E3160" t="n">
        <v>3</v>
      </c>
      <c r="F3160" t="n">
        <v>0.0231</v>
      </c>
      <c r="G3160" t="n">
        <v>0.33</v>
      </c>
      <c r="H3160" t="n">
        <v>2</v>
      </c>
      <c r="I3160" t="n">
        <v>7</v>
      </c>
      <c r="J3160" t="n">
        <v>1</v>
      </c>
      <c r="K3160" t="n">
        <v>0</v>
      </c>
      <c r="L3160" t="n">
        <v>17986</v>
      </c>
      <c r="M3160" t="n">
        <v>22000</v>
      </c>
      <c r="N3160" t="n">
        <v>33</v>
      </c>
      <c r="O3160" t="n">
        <v>0.33</v>
      </c>
      <c r="P3160" t="n">
        <v>1</v>
      </c>
      <c r="Q3160" t="n">
        <v>0.1</v>
      </c>
      <c r="R3160" t="n">
        <v>1</v>
      </c>
      <c r="S3160" t="n">
        <v>508.2</v>
      </c>
      <c r="T3160" t="n">
        <v>3</v>
      </c>
      <c r="U3160" t="n">
        <v>4</v>
      </c>
      <c r="V3160" t="n">
        <v>30</v>
      </c>
      <c r="W3160" t="n">
        <v>1</v>
      </c>
      <c r="X3160" t="n">
        <v>129.8701298701299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11593</v>
      </c>
      <c r="AG3160" t="n">
        <v>2141</v>
      </c>
      <c r="AH3160" t="inlineStr">
        <is>
          <t>PT. PARAMA GLOBAL INSPIRA - PPN (JMB)</t>
        </is>
      </c>
      <c r="AI3160" t="n">
        <v>563</v>
      </c>
      <c r="AJ3160" t="inlineStr">
        <is>
          <t>OMG</t>
        </is>
      </c>
      <c r="AK3160" t="n">
        <v>9</v>
      </c>
      <c r="AL3160" t="inlineStr">
        <is>
          <t>Miss Glam Jambi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OMG</t>
        </is>
      </c>
      <c r="B3161" s="2">
        <f>"203003101936"</f>
        <v/>
      </c>
      <c r="C3161" t="inlineStr">
        <is>
          <t>OMG OH MY GLAM Glassy Lip Tint 07 Secret Crush 2gr</t>
        </is>
      </c>
      <c r="D3161" t="inlineStr">
        <is>
          <t>Miss Glam Jambi</t>
        </is>
      </c>
      <c r="E3161" t="n">
        <v>7</v>
      </c>
      <c r="F3161" t="n">
        <v>0.0825</v>
      </c>
      <c r="G3161" t="n">
        <v>0.66</v>
      </c>
      <c r="H3161" t="n">
        <v>2</v>
      </c>
      <c r="I3161" t="n">
        <v>7</v>
      </c>
      <c r="J3161" t="n">
        <v>1</v>
      </c>
      <c r="K3161" t="n">
        <v>0</v>
      </c>
      <c r="L3161" t="n">
        <v>17986</v>
      </c>
      <c r="M3161" t="n">
        <v>22000</v>
      </c>
      <c r="N3161" t="n">
        <v>33</v>
      </c>
      <c r="O3161" t="n">
        <v>0.33</v>
      </c>
      <c r="P3161" t="n">
        <v>1</v>
      </c>
      <c r="Q3161" t="n">
        <v>0.05</v>
      </c>
      <c r="R3161" t="n">
        <v>1</v>
      </c>
      <c r="S3161" t="n">
        <v>1815</v>
      </c>
      <c r="T3161" t="n">
        <v>5</v>
      </c>
      <c r="U3161" t="n">
        <v>6</v>
      </c>
      <c r="V3161" t="n">
        <v>30</v>
      </c>
      <c r="W3161" t="n">
        <v>3</v>
      </c>
      <c r="X3161" t="n">
        <v>84.84848484848484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11593</v>
      </c>
      <c r="AG3161" t="n">
        <v>2141</v>
      </c>
      <c r="AH3161" t="inlineStr">
        <is>
          <t>PT. PARAMA GLOBAL INSPIRA - PPN (JMB)</t>
        </is>
      </c>
      <c r="AI3161" t="n">
        <v>563</v>
      </c>
      <c r="AJ3161" t="inlineStr">
        <is>
          <t>OMG</t>
        </is>
      </c>
      <c r="AK3161" t="n">
        <v>9</v>
      </c>
      <c r="AL3161" t="inlineStr">
        <is>
          <t>Miss Glam Jambi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OMG</t>
        </is>
      </c>
      <c r="B3162" s="2">
        <f>"203003102017"</f>
        <v/>
      </c>
      <c r="C3162" t="inlineStr">
        <is>
          <t>OMG OH MY GLAM Glassy Lip Tint 08 CEO Chic 2gr</t>
        </is>
      </c>
      <c r="D3162" t="inlineStr">
        <is>
          <t>Miss Glam Jambi</t>
        </is>
      </c>
      <c r="E3162" t="n">
        <v>4</v>
      </c>
      <c r="F3162" t="n">
        <v>0.0825</v>
      </c>
      <c r="G3162" t="n">
        <v>0.66</v>
      </c>
      <c r="H3162" t="n">
        <v>2</v>
      </c>
      <c r="I3162" t="n">
        <v>7</v>
      </c>
      <c r="J3162" t="n">
        <v>1</v>
      </c>
      <c r="K3162" t="n">
        <v>0</v>
      </c>
      <c r="L3162" t="n">
        <v>17986</v>
      </c>
      <c r="M3162" t="n">
        <v>22000</v>
      </c>
      <c r="N3162" t="n">
        <v>33</v>
      </c>
      <c r="O3162" t="n">
        <v>0.33</v>
      </c>
      <c r="P3162" t="n">
        <v>1</v>
      </c>
      <c r="Q3162" t="n">
        <v>0.14</v>
      </c>
      <c r="R3162" t="n">
        <v>1</v>
      </c>
      <c r="S3162" t="n">
        <v>1815</v>
      </c>
      <c r="T3162" t="n">
        <v>5</v>
      </c>
      <c r="U3162" t="n">
        <v>6</v>
      </c>
      <c r="V3162" t="n">
        <v>30</v>
      </c>
      <c r="W3162" t="n">
        <v>3</v>
      </c>
      <c r="X3162" t="n">
        <v>48.48484848484848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11593</v>
      </c>
      <c r="AG3162" t="n">
        <v>2141</v>
      </c>
      <c r="AH3162" t="inlineStr">
        <is>
          <t>PT. PARAMA GLOBAL INSPIRA - PPN (JMB)</t>
        </is>
      </c>
      <c r="AI3162" t="n">
        <v>563</v>
      </c>
      <c r="AJ3162" t="inlineStr">
        <is>
          <t>OMG</t>
        </is>
      </c>
      <c r="AK3162" t="n">
        <v>9</v>
      </c>
      <c r="AL3162" t="inlineStr">
        <is>
          <t>Miss Glam Jambi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OMG</t>
        </is>
      </c>
      <c r="B3163" s="2">
        <f>"203003102113"</f>
        <v/>
      </c>
      <c r="C3163" t="inlineStr">
        <is>
          <t>OMG OH MY GLAM Glassy Lip Tint 09 Boss Babe 2gr</t>
        </is>
      </c>
      <c r="D3163" t="inlineStr">
        <is>
          <t>Miss Glam Jambi</t>
        </is>
      </c>
      <c r="E3163" t="n">
        <v>4</v>
      </c>
      <c r="F3163" t="n">
        <v>0.07920000000000001</v>
      </c>
      <c r="G3163" t="n">
        <v>0.33</v>
      </c>
      <c r="H3163" t="n">
        <v>2</v>
      </c>
      <c r="I3163" t="n">
        <v>7</v>
      </c>
      <c r="J3163" t="n">
        <v>1</v>
      </c>
      <c r="K3163" t="n">
        <v>0</v>
      </c>
      <c r="L3163" t="n">
        <v>17986</v>
      </c>
      <c r="M3163" t="n">
        <v>22000</v>
      </c>
      <c r="N3163" t="n">
        <v>33</v>
      </c>
      <c r="O3163" t="n">
        <v>0.33</v>
      </c>
      <c r="P3163" t="n">
        <v>1</v>
      </c>
      <c r="Q3163" t="n">
        <v>0.03</v>
      </c>
      <c r="R3163" t="n">
        <v>1</v>
      </c>
      <c r="S3163" t="n">
        <v>1742.4</v>
      </c>
      <c r="T3163" t="n">
        <v>3</v>
      </c>
      <c r="U3163" t="n">
        <v>4</v>
      </c>
      <c r="V3163" t="n">
        <v>30</v>
      </c>
      <c r="W3163" t="n">
        <v>3</v>
      </c>
      <c r="X3163" t="n">
        <v>50.5050505050505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11593</v>
      </c>
      <c r="AG3163" t="n">
        <v>2141</v>
      </c>
      <c r="AH3163" t="inlineStr">
        <is>
          <t>PT. PARAMA GLOBAL INSPIRA - PPN (JMB)</t>
        </is>
      </c>
      <c r="AI3163" t="n">
        <v>563</v>
      </c>
      <c r="AJ3163" t="inlineStr">
        <is>
          <t>OMG</t>
        </is>
      </c>
      <c r="AK3163" t="n">
        <v>9</v>
      </c>
      <c r="AL3163" t="inlineStr">
        <is>
          <t>Miss Glam Jambi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OMG</t>
        </is>
      </c>
      <c r="B3164" s="2">
        <f>"8997241851435"</f>
        <v/>
      </c>
      <c r="C3164" t="inlineStr">
        <is>
          <t>OMG Oh My Glam Gloss Lip Finish Vinyl 2,7gr</t>
        </is>
      </c>
      <c r="D3164" t="inlineStr">
        <is>
          <t>Miss Glam Jambi</t>
        </is>
      </c>
      <c r="E3164" t="n">
        <v>31</v>
      </c>
      <c r="F3164" t="n">
        <v>1.7226</v>
      </c>
      <c r="G3164" t="n">
        <v>4.29</v>
      </c>
      <c r="H3164" t="n">
        <v>2</v>
      </c>
      <c r="I3164" t="n">
        <v>7</v>
      </c>
      <c r="J3164" t="n">
        <v>3</v>
      </c>
      <c r="K3164" t="n">
        <v>22</v>
      </c>
      <c r="L3164" t="n">
        <v>18377</v>
      </c>
      <c r="M3164" t="n">
        <v>22000</v>
      </c>
      <c r="N3164" t="n">
        <v>33</v>
      </c>
      <c r="O3164" t="n">
        <v>0.33</v>
      </c>
      <c r="P3164" t="n">
        <v>1</v>
      </c>
      <c r="Q3164" t="n">
        <v>1.27</v>
      </c>
      <c r="R3164" t="n">
        <v>4</v>
      </c>
      <c r="S3164" t="n">
        <v>37897.2</v>
      </c>
      <c r="T3164" t="n">
        <v>27</v>
      </c>
      <c r="U3164" t="n">
        <v>31</v>
      </c>
      <c r="V3164" t="n">
        <v>30</v>
      </c>
      <c r="W3164" t="n">
        <v>52</v>
      </c>
      <c r="X3164" t="n">
        <v>17.9960524788111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11593</v>
      </c>
      <c r="AG3164" t="n">
        <v>2141</v>
      </c>
      <c r="AH3164" t="inlineStr">
        <is>
          <t>PT. PARAMA GLOBAL INSPIRA - PPN (JMB)</t>
        </is>
      </c>
      <c r="AI3164" t="n">
        <v>563</v>
      </c>
      <c r="AJ3164" t="inlineStr">
        <is>
          <t>OMG</t>
        </is>
      </c>
      <c r="AK3164" t="n">
        <v>9</v>
      </c>
      <c r="AL3164" t="inlineStr">
        <is>
          <t>Miss Glam Jambi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OMG</t>
        </is>
      </c>
      <c r="B3165" s="2">
        <f>"203002184830"</f>
        <v/>
      </c>
      <c r="C3165" t="inlineStr">
        <is>
          <t>OMG OH MY GLAM Mattelast Lip Cream 28 Cromboloni 2.9gr</t>
        </is>
      </c>
      <c r="D3165" t="inlineStr">
        <is>
          <t>Miss Glam Jambi</t>
        </is>
      </c>
      <c r="E3165" t="n">
        <v>4</v>
      </c>
      <c r="F3165" t="n">
        <v>0.7491</v>
      </c>
      <c r="G3165" t="n">
        <v>3.96</v>
      </c>
      <c r="H3165" t="n">
        <v>2</v>
      </c>
      <c r="I3165" t="n">
        <v>7</v>
      </c>
      <c r="J3165" t="n">
        <v>1</v>
      </c>
      <c r="K3165" t="n">
        <v>16</v>
      </c>
      <c r="L3165" t="n">
        <v>18347</v>
      </c>
      <c r="M3165" t="n">
        <v>21500</v>
      </c>
      <c r="N3165" t="n">
        <v>33</v>
      </c>
      <c r="O3165" t="n">
        <v>0.33</v>
      </c>
      <c r="P3165" t="n">
        <v>1</v>
      </c>
      <c r="Q3165" t="n">
        <v>0.66</v>
      </c>
      <c r="R3165" t="n">
        <v>3</v>
      </c>
      <c r="S3165" t="n">
        <v>16105.65</v>
      </c>
      <c r="T3165" t="n">
        <v>27</v>
      </c>
      <c r="U3165" t="n">
        <v>29</v>
      </c>
      <c r="V3165" t="n">
        <v>30</v>
      </c>
      <c r="W3165" t="n">
        <v>23</v>
      </c>
      <c r="X3165" t="n">
        <v>5.339741022560406</v>
      </c>
      <c r="Y3165" t="n">
        <v>1</v>
      </c>
      <c r="Z3165" t="n">
        <v>3</v>
      </c>
      <c r="AA3165" t="n">
        <v>1</v>
      </c>
      <c r="AB3165" t="n">
        <v>2</v>
      </c>
      <c r="AC3165" t="n">
        <v>2</v>
      </c>
      <c r="AD3165" t="n">
        <v>18347</v>
      </c>
      <c r="AE3165" t="n">
        <v>36694</v>
      </c>
      <c r="AF3165" t="n">
        <v>11593</v>
      </c>
      <c r="AG3165" t="n">
        <v>2141</v>
      </c>
      <c r="AH3165" t="inlineStr">
        <is>
          <t>PT. PARAMA GLOBAL INSPIRA - PPN (JMB)</t>
        </is>
      </c>
      <c r="AI3165" t="n">
        <v>563</v>
      </c>
      <c r="AJ3165" t="inlineStr">
        <is>
          <t>OMG</t>
        </is>
      </c>
      <c r="AK3165" t="n">
        <v>9</v>
      </c>
      <c r="AL3165" t="inlineStr">
        <is>
          <t>Miss Glam Jambi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OMG</t>
        </is>
      </c>
      <c r="B3166" s="2">
        <f>"203002184934"</f>
        <v/>
      </c>
      <c r="C3166" t="inlineStr">
        <is>
          <t>OMG OH MY GLAM Mattelast Lip Cream 29 Berry Pancake 2.9gr</t>
        </is>
      </c>
      <c r="D3166" t="inlineStr">
        <is>
          <t>Miss Glam Jambi</t>
        </is>
      </c>
      <c r="E3166" t="n">
        <v>12</v>
      </c>
      <c r="F3166" t="n">
        <v>0.2508</v>
      </c>
      <c r="G3166" t="n">
        <v>0.66</v>
      </c>
      <c r="H3166" t="n">
        <v>2</v>
      </c>
      <c r="I3166" t="n">
        <v>7</v>
      </c>
      <c r="J3166" t="n">
        <v>1</v>
      </c>
      <c r="K3166" t="n">
        <v>0</v>
      </c>
      <c r="L3166" t="n">
        <v>18355</v>
      </c>
      <c r="M3166" t="n">
        <v>21500</v>
      </c>
      <c r="N3166" t="n">
        <v>33</v>
      </c>
      <c r="O3166" t="n">
        <v>0.33</v>
      </c>
      <c r="P3166" t="n">
        <v>1</v>
      </c>
      <c r="Q3166" t="n">
        <v>0.17</v>
      </c>
      <c r="R3166" t="n">
        <v>2</v>
      </c>
      <c r="S3166" t="n">
        <v>5392.200000000001</v>
      </c>
      <c r="T3166" t="n">
        <v>5</v>
      </c>
      <c r="U3166" t="n">
        <v>6</v>
      </c>
      <c r="V3166" t="n">
        <v>30</v>
      </c>
      <c r="W3166" t="n">
        <v>8</v>
      </c>
      <c r="X3166" t="n">
        <v>47.84688995215311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11593</v>
      </c>
      <c r="AG3166" t="n">
        <v>2141</v>
      </c>
      <c r="AH3166" t="inlineStr">
        <is>
          <t>PT. PARAMA GLOBAL INSPIRA - PPN (JMB)</t>
        </is>
      </c>
      <c r="AI3166" t="n">
        <v>563</v>
      </c>
      <c r="AJ3166" t="inlineStr">
        <is>
          <t>OMG</t>
        </is>
      </c>
      <c r="AK3166" t="n">
        <v>9</v>
      </c>
      <c r="AL3166" t="inlineStr">
        <is>
          <t>Miss Glam Jambi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OMG</t>
        </is>
      </c>
      <c r="B3167" s="2">
        <f>"203002185046"</f>
        <v/>
      </c>
      <c r="C3167" t="inlineStr">
        <is>
          <t>OMG OH MY GLAM Mattelast Lip Cream 30 Cookie Bomb 2.9gr</t>
        </is>
      </c>
      <c r="D3167" t="inlineStr">
        <is>
          <t>Miss Glam Jambi</t>
        </is>
      </c>
      <c r="E3167" t="n">
        <v>3</v>
      </c>
      <c r="F3167" t="n">
        <v>0.29</v>
      </c>
      <c r="G3167" t="n">
        <v>3</v>
      </c>
      <c r="H3167" t="n">
        <v>2</v>
      </c>
      <c r="I3167" t="n">
        <v>7</v>
      </c>
      <c r="J3167" t="n">
        <v>1</v>
      </c>
      <c r="K3167" t="n">
        <v>6</v>
      </c>
      <c r="L3167" t="n">
        <v>18356</v>
      </c>
      <c r="M3167" t="n">
        <v>21500</v>
      </c>
      <c r="N3167" t="n">
        <v>33</v>
      </c>
      <c r="O3167" t="n">
        <v>0.33</v>
      </c>
      <c r="P3167" t="n">
        <v>0</v>
      </c>
      <c r="Q3167" t="n">
        <v>0.29</v>
      </c>
      <c r="R3167" t="n">
        <v>3</v>
      </c>
      <c r="S3167" t="n">
        <v>6235</v>
      </c>
      <c r="T3167" t="n">
        <v>21</v>
      </c>
      <c r="U3167" t="n">
        <v>22</v>
      </c>
      <c r="V3167" t="n">
        <v>30</v>
      </c>
      <c r="W3167" t="n">
        <v>9</v>
      </c>
      <c r="X3167" t="n">
        <v>10.3448275862069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11593</v>
      </c>
      <c r="AG3167" t="n">
        <v>2141</v>
      </c>
      <c r="AH3167" t="inlineStr">
        <is>
          <t>PT. PARAMA GLOBAL INSPIRA - PPN (JMB)</t>
        </is>
      </c>
      <c r="AI3167" t="n">
        <v>563</v>
      </c>
      <c r="AJ3167" t="inlineStr">
        <is>
          <t>OMG</t>
        </is>
      </c>
      <c r="AK3167" t="n">
        <v>9</v>
      </c>
      <c r="AL3167" t="inlineStr">
        <is>
          <t>Miss Glam Jambi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OMG</t>
        </is>
      </c>
      <c r="B3168" s="2">
        <f>"10300514351"</f>
        <v/>
      </c>
      <c r="C3168" t="inlineStr">
        <is>
          <t>OMG Oh My Glow 2% Cica-B5 Calming Moisture Gel 45 g</t>
        </is>
      </c>
      <c r="D3168" t="inlineStr">
        <is>
          <t>Miss Glam Jambi</t>
        </is>
      </c>
      <c r="E3168" t="n">
        <v>4</v>
      </c>
      <c r="F3168" t="n">
        <v>0.033</v>
      </c>
      <c r="G3168" t="n">
        <v>0.33</v>
      </c>
      <c r="H3168" t="n">
        <v>2</v>
      </c>
      <c r="I3168" t="n">
        <v>7</v>
      </c>
      <c r="J3168" t="n">
        <v>1</v>
      </c>
      <c r="K3168" t="n">
        <v>0</v>
      </c>
      <c r="L3168" t="n">
        <v>28152</v>
      </c>
      <c r="M3168" t="n">
        <v>33500</v>
      </c>
      <c r="N3168" t="n">
        <v>33</v>
      </c>
      <c r="O3168" t="n">
        <v>0.33</v>
      </c>
      <c r="P3168" t="n">
        <v>1</v>
      </c>
      <c r="Q3168" t="n">
        <v>0.03</v>
      </c>
      <c r="R3168" t="n">
        <v>1</v>
      </c>
      <c r="S3168" t="n">
        <v>1105.5</v>
      </c>
      <c r="T3168" t="n">
        <v>3</v>
      </c>
      <c r="U3168" t="n">
        <v>4</v>
      </c>
      <c r="V3168" t="n">
        <v>30</v>
      </c>
      <c r="W3168" t="n">
        <v>1</v>
      </c>
      <c r="X3168" t="n">
        <v>121.2121212121212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11593</v>
      </c>
      <c r="AG3168" t="n">
        <v>2141</v>
      </c>
      <c r="AH3168" t="inlineStr">
        <is>
          <t>PT. PARAMA GLOBAL INSPIRA - PPN (JMB)</t>
        </is>
      </c>
      <c r="AI3168" t="n">
        <v>563</v>
      </c>
      <c r="AJ3168" t="inlineStr">
        <is>
          <t>OMG</t>
        </is>
      </c>
      <c r="AK3168" t="n">
        <v>9</v>
      </c>
      <c r="AL3168" t="inlineStr">
        <is>
          <t>Miss Glam Jambi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OMG</t>
        </is>
      </c>
      <c r="B3169" s="2">
        <f>"10300514420"</f>
        <v/>
      </c>
      <c r="C3169" t="inlineStr">
        <is>
          <t>OMG Oh My Glow 5% Niacinamide Bright Barrier Moisture Gel 45 g</t>
        </is>
      </c>
      <c r="D3169" t="inlineStr">
        <is>
          <t>Miss Glam Jambi</t>
        </is>
      </c>
      <c r="E3169" t="n">
        <v>5</v>
      </c>
      <c r="F3169" t="n">
        <v>0.1749</v>
      </c>
      <c r="G3169" t="n">
        <v>0.99</v>
      </c>
      <c r="H3169" t="n">
        <v>2</v>
      </c>
      <c r="I3169" t="n">
        <v>7</v>
      </c>
      <c r="J3169" t="n">
        <v>1</v>
      </c>
      <c r="K3169" t="n">
        <v>1</v>
      </c>
      <c r="L3169" t="n">
        <v>28152</v>
      </c>
      <c r="M3169" t="n">
        <v>33500</v>
      </c>
      <c r="N3169" t="n">
        <v>33</v>
      </c>
      <c r="O3169" t="n">
        <v>0.33</v>
      </c>
      <c r="P3169" t="n">
        <v>1</v>
      </c>
      <c r="Q3169" t="n">
        <v>0.15</v>
      </c>
      <c r="R3169" t="n">
        <v>1</v>
      </c>
      <c r="S3169" t="n">
        <v>5859.150000000001</v>
      </c>
      <c r="T3169" t="n">
        <v>7</v>
      </c>
      <c r="U3169" t="n">
        <v>8</v>
      </c>
      <c r="V3169" t="n">
        <v>30</v>
      </c>
      <c r="W3169" t="n">
        <v>6</v>
      </c>
      <c r="X3169" t="n">
        <v>28.58776443682104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11593</v>
      </c>
      <c r="AG3169" t="n">
        <v>2141</v>
      </c>
      <c r="AH3169" t="inlineStr">
        <is>
          <t>PT. PARAMA GLOBAL INSPIRA - PPN (JMB)</t>
        </is>
      </c>
      <c r="AI3169" t="n">
        <v>563</v>
      </c>
      <c r="AJ3169" t="inlineStr">
        <is>
          <t>OMG</t>
        </is>
      </c>
      <c r="AK3169" t="n">
        <v>9</v>
      </c>
      <c r="AL3169" t="inlineStr">
        <is>
          <t>Miss Glam Jambi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OMG</t>
        </is>
      </c>
      <c r="B3170" s="2">
        <f>"8997241851640"</f>
        <v/>
      </c>
      <c r="C3170" t="inlineStr">
        <is>
          <t>OMG Oh My Glow Bright Booster Face Wash 100ml</t>
        </is>
      </c>
      <c r="D3170" t="inlineStr">
        <is>
          <t>Miss Glam Jambi</t>
        </is>
      </c>
      <c r="E3170" t="n">
        <v>10</v>
      </c>
      <c r="F3170" t="n">
        <v>2.0064</v>
      </c>
      <c r="G3170" t="n">
        <v>4.29</v>
      </c>
      <c r="H3170" t="n">
        <v>2</v>
      </c>
      <c r="I3170" t="n">
        <v>7</v>
      </c>
      <c r="J3170" t="n">
        <v>6</v>
      </c>
      <c r="K3170" t="n">
        <v>46</v>
      </c>
      <c r="L3170" t="n">
        <v>17595</v>
      </c>
      <c r="M3170" t="n">
        <v>20000</v>
      </c>
      <c r="N3170" t="n">
        <v>33</v>
      </c>
      <c r="O3170" t="n">
        <v>0.33</v>
      </c>
      <c r="P3170" t="n">
        <v>1</v>
      </c>
      <c r="Q3170" t="n">
        <v>0.29</v>
      </c>
      <c r="R3170" t="n">
        <v>2</v>
      </c>
      <c r="S3170" t="n">
        <v>40128.00000000001</v>
      </c>
      <c r="T3170" t="n">
        <v>27</v>
      </c>
      <c r="U3170" t="n">
        <v>32</v>
      </c>
      <c r="V3170" t="n">
        <v>30</v>
      </c>
      <c r="W3170" t="n">
        <v>61</v>
      </c>
      <c r="X3170" t="n">
        <v>4.984051036682615</v>
      </c>
      <c r="Y3170" t="n">
        <v>1</v>
      </c>
      <c r="Z3170" t="n">
        <v>5</v>
      </c>
      <c r="AA3170" t="n">
        <v>4</v>
      </c>
      <c r="AB3170" t="n">
        <v>1</v>
      </c>
      <c r="AC3170" t="n">
        <v>6</v>
      </c>
      <c r="AD3170" t="n">
        <v>70380</v>
      </c>
      <c r="AE3170" t="n">
        <v>105570</v>
      </c>
      <c r="AF3170" t="n">
        <v>11593</v>
      </c>
      <c r="AG3170" t="n">
        <v>2141</v>
      </c>
      <c r="AH3170" t="inlineStr">
        <is>
          <t>PT. PARAMA GLOBAL INSPIRA - PPN (JMB)</t>
        </is>
      </c>
      <c r="AI3170" t="n">
        <v>563</v>
      </c>
      <c r="AJ3170" t="inlineStr">
        <is>
          <t>OMG</t>
        </is>
      </c>
      <c r="AK3170" t="n">
        <v>9</v>
      </c>
      <c r="AL3170" t="inlineStr">
        <is>
          <t>Miss Glam Jambi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"8997241850025"</f>
        <v/>
      </c>
      <c r="C3171" t="inlineStr">
        <is>
          <t>OMG Oh My Glow Bright Booster Face Wash 50ml</t>
        </is>
      </c>
      <c r="D3171" t="inlineStr">
        <is>
          <t>Miss Glam Jambi</t>
        </is>
      </c>
      <c r="E3171" t="n">
        <v>3</v>
      </c>
      <c r="F3171" t="n">
        <v>0.6864</v>
      </c>
      <c r="G3171" t="n">
        <v>2.31</v>
      </c>
      <c r="H3171" t="n">
        <v>2</v>
      </c>
      <c r="I3171" t="n">
        <v>7</v>
      </c>
      <c r="J3171" t="n">
        <v>3</v>
      </c>
      <c r="K3171" t="n">
        <v>16</v>
      </c>
      <c r="L3171" t="n">
        <v>11709</v>
      </c>
      <c r="M3171" t="n">
        <v>14300</v>
      </c>
      <c r="N3171" t="n">
        <v>33</v>
      </c>
      <c r="O3171" t="n">
        <v>0.33</v>
      </c>
      <c r="P3171" t="n">
        <v>1</v>
      </c>
      <c r="Q3171" t="n">
        <v>0.14</v>
      </c>
      <c r="R3171" t="n">
        <v>2</v>
      </c>
      <c r="S3171" t="n">
        <v>9815.52</v>
      </c>
      <c r="T3171" t="n">
        <v>15</v>
      </c>
      <c r="U3171" t="n">
        <v>17</v>
      </c>
      <c r="V3171" t="n">
        <v>30</v>
      </c>
      <c r="W3171" t="n">
        <v>21</v>
      </c>
      <c r="X3171" t="n">
        <v>4.370629370629371</v>
      </c>
      <c r="Y3171" t="n">
        <v>1</v>
      </c>
      <c r="Z3171" t="n">
        <v>2</v>
      </c>
      <c r="AA3171" t="n">
        <v>1</v>
      </c>
      <c r="AB3171" t="n">
        <v>1</v>
      </c>
      <c r="AC3171" t="n">
        <v>3</v>
      </c>
      <c r="AD3171" t="n">
        <v>11709</v>
      </c>
      <c r="AE3171" t="n">
        <v>35127</v>
      </c>
      <c r="AF3171" t="n">
        <v>11593</v>
      </c>
      <c r="AG3171" t="n">
        <v>2141</v>
      </c>
      <c r="AH3171" t="inlineStr">
        <is>
          <t>PT. PARAMA GLOBAL INSPIRA - PPN (JMB)</t>
        </is>
      </c>
      <c r="AI3171" t="n">
        <v>563</v>
      </c>
      <c r="AJ3171" t="inlineStr">
        <is>
          <t>OMG</t>
        </is>
      </c>
      <c r="AK3171" t="n">
        <v>9</v>
      </c>
      <c r="AL3171" t="inlineStr">
        <is>
          <t>Miss Glam Jambi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"10100723654"</f>
        <v/>
      </c>
      <c r="C3172" t="inlineStr">
        <is>
          <t>OMG Oh My Glow Hydrapower Micellar Water 300 ml</t>
        </is>
      </c>
      <c r="D3172" t="inlineStr">
        <is>
          <t>Miss Glam Jambi</t>
        </is>
      </c>
      <c r="E3172" t="n">
        <v>7</v>
      </c>
      <c r="F3172" t="n">
        <v>0.2112</v>
      </c>
      <c r="G3172" t="n">
        <v>0.99</v>
      </c>
      <c r="H3172" t="n">
        <v>2</v>
      </c>
      <c r="I3172" t="n">
        <v>7</v>
      </c>
      <c r="J3172" t="n">
        <v>1</v>
      </c>
      <c r="K3172" t="n">
        <v>0</v>
      </c>
      <c r="L3172" t="n">
        <v>35190</v>
      </c>
      <c r="M3172" t="n">
        <v>41500</v>
      </c>
      <c r="N3172" t="n">
        <v>33</v>
      </c>
      <c r="O3172" t="n">
        <v>0.33</v>
      </c>
      <c r="P3172" t="n">
        <v>1</v>
      </c>
      <c r="Q3172" t="n">
        <v>0.42</v>
      </c>
      <c r="R3172" t="n">
        <v>2</v>
      </c>
      <c r="S3172" t="n">
        <v>8764.800000000001</v>
      </c>
      <c r="T3172" t="n">
        <v>7</v>
      </c>
      <c r="U3172" t="n">
        <v>8</v>
      </c>
      <c r="V3172" t="n">
        <v>30</v>
      </c>
      <c r="W3172" t="n">
        <v>7</v>
      </c>
      <c r="X3172" t="n">
        <v>33.14393939393939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11593</v>
      </c>
      <c r="AG3172" t="n">
        <v>2141</v>
      </c>
      <c r="AH3172" t="inlineStr">
        <is>
          <t>PT. PARAMA GLOBAL INSPIRA - PPN (JMB)</t>
        </is>
      </c>
      <c r="AI3172" t="n">
        <v>563</v>
      </c>
      <c r="AJ3172" t="inlineStr">
        <is>
          <t>OMG</t>
        </is>
      </c>
      <c r="AK3172" t="n">
        <v>9</v>
      </c>
      <c r="AL3172" t="inlineStr">
        <is>
          <t>Miss Glam Jambi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"10100723147"</f>
        <v/>
      </c>
      <c r="C3173" t="inlineStr">
        <is>
          <t>OMG Oh My Glow HydraPower Micellar Water 65ml</t>
        </is>
      </c>
      <c r="D3173" t="inlineStr">
        <is>
          <t>Miss Glam Jambi</t>
        </is>
      </c>
      <c r="E3173" t="n">
        <v>7</v>
      </c>
      <c r="F3173" t="n">
        <v>0.9174</v>
      </c>
      <c r="G3173" t="n">
        <v>2.64</v>
      </c>
      <c r="H3173" t="n">
        <v>2</v>
      </c>
      <c r="I3173" t="n">
        <v>7</v>
      </c>
      <c r="J3173" t="n">
        <v>1</v>
      </c>
      <c r="K3173" t="n">
        <v>21</v>
      </c>
      <c r="L3173" t="n">
        <v>9775</v>
      </c>
      <c r="M3173" t="n">
        <v>12500</v>
      </c>
      <c r="N3173" t="n">
        <v>33</v>
      </c>
      <c r="O3173" t="n">
        <v>0.33</v>
      </c>
      <c r="P3173" t="n">
        <v>1</v>
      </c>
      <c r="Q3173" t="n">
        <v>0.27</v>
      </c>
      <c r="R3173" t="n">
        <v>3</v>
      </c>
      <c r="S3173" t="n">
        <v>11467.5</v>
      </c>
      <c r="T3173" t="n">
        <v>17</v>
      </c>
      <c r="U3173" t="n">
        <v>19</v>
      </c>
      <c r="V3173" t="n">
        <v>30</v>
      </c>
      <c r="W3173" t="n">
        <v>28</v>
      </c>
      <c r="X3173" t="n">
        <v>7.63025942882058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11593</v>
      </c>
      <c r="AG3173" t="n">
        <v>2141</v>
      </c>
      <c r="AH3173" t="inlineStr">
        <is>
          <t>PT. PARAMA GLOBAL INSPIRA - PPN (JMB)</t>
        </is>
      </c>
      <c r="AI3173" t="n">
        <v>563</v>
      </c>
      <c r="AJ3173" t="inlineStr">
        <is>
          <t>OMG</t>
        </is>
      </c>
      <c r="AK3173" t="n">
        <v>9</v>
      </c>
      <c r="AL3173" t="inlineStr">
        <is>
          <t>Miss Glam Jambi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"8997241850049"</f>
        <v/>
      </c>
      <c r="C3174" t="inlineStr">
        <is>
          <t>OMG Oh My Glow Peach Glowing Cream 25gr</t>
        </is>
      </c>
      <c r="D3174" t="inlineStr">
        <is>
          <t>Miss Glam Jambi</t>
        </is>
      </c>
      <c r="E3174" t="n">
        <v>0</v>
      </c>
      <c r="F3174" t="n">
        <v>0.6039000000000001</v>
      </c>
      <c r="G3174" t="n">
        <v>1.98</v>
      </c>
      <c r="H3174" t="n">
        <v>2</v>
      </c>
      <c r="I3174" t="n">
        <v>7</v>
      </c>
      <c r="J3174" t="n">
        <v>3</v>
      </c>
      <c r="K3174" t="n">
        <v>14</v>
      </c>
      <c r="L3174" t="n">
        <v>14467</v>
      </c>
      <c r="M3174" t="n">
        <v>17500</v>
      </c>
      <c r="N3174" t="n">
        <v>33</v>
      </c>
      <c r="O3174" t="n">
        <v>0.33</v>
      </c>
      <c r="P3174" t="n">
        <v>1</v>
      </c>
      <c r="Q3174" t="n">
        <v>0.14</v>
      </c>
      <c r="R3174" t="n">
        <v>1</v>
      </c>
      <c r="S3174" t="n">
        <v>10568.25</v>
      </c>
      <c r="T3174" t="n">
        <v>13</v>
      </c>
      <c r="U3174" t="n">
        <v>15</v>
      </c>
      <c r="V3174" t="n">
        <v>30</v>
      </c>
      <c r="W3174" t="n">
        <v>19</v>
      </c>
      <c r="X3174" t="n">
        <v>0</v>
      </c>
      <c r="Y3174" t="n">
        <v>1</v>
      </c>
      <c r="Z3174" t="n">
        <v>5</v>
      </c>
      <c r="AA3174" t="n">
        <v>4</v>
      </c>
      <c r="AB3174" t="n">
        <v>1</v>
      </c>
      <c r="AC3174" t="n">
        <v>3</v>
      </c>
      <c r="AD3174" t="n">
        <v>57868</v>
      </c>
      <c r="AE3174" t="n">
        <v>43401</v>
      </c>
      <c r="AF3174" t="n">
        <v>11593</v>
      </c>
      <c r="AG3174" t="n">
        <v>2141</v>
      </c>
      <c r="AH3174" t="inlineStr">
        <is>
          <t>PT. PARAMA GLOBAL INSPIRA - PPN (JMB)</t>
        </is>
      </c>
      <c r="AI3174" t="n">
        <v>563</v>
      </c>
      <c r="AJ3174" t="inlineStr">
        <is>
          <t>OMG</t>
        </is>
      </c>
      <c r="AK3174" t="n">
        <v>9</v>
      </c>
      <c r="AL3174" t="inlineStr">
        <is>
          <t>Miss Glam Jambi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"101001118738"</f>
        <v/>
      </c>
      <c r="C3175" t="inlineStr">
        <is>
          <t>OMG OH MY GLOW Salicylic Acid Cica Low pH Gel Cleanser 70ml</t>
        </is>
      </c>
      <c r="D3175" t="inlineStr">
        <is>
          <t>Miss Glam Jambi</t>
        </is>
      </c>
      <c r="E3175" t="n">
        <v>11</v>
      </c>
      <c r="F3175" t="n">
        <v>0.0231</v>
      </c>
      <c r="G3175" t="n">
        <v>0.33</v>
      </c>
      <c r="H3175" t="n">
        <v>2</v>
      </c>
      <c r="I3175" t="n">
        <v>7</v>
      </c>
      <c r="J3175" t="n">
        <v>1</v>
      </c>
      <c r="K3175" t="n">
        <v>0</v>
      </c>
      <c r="L3175" t="n">
        <v>19550</v>
      </c>
      <c r="M3175" t="n">
        <v>23000</v>
      </c>
      <c r="N3175" t="n">
        <v>33</v>
      </c>
      <c r="O3175" t="n">
        <v>0.33</v>
      </c>
      <c r="P3175" t="n">
        <v>1</v>
      </c>
      <c r="Q3175" t="n">
        <v>0.02</v>
      </c>
      <c r="R3175" t="n">
        <v>0</v>
      </c>
      <c r="S3175" t="n">
        <v>531.3000000000001</v>
      </c>
      <c r="T3175" t="n">
        <v>3</v>
      </c>
      <c r="U3175" t="n">
        <v>4</v>
      </c>
      <c r="V3175" t="n">
        <v>30</v>
      </c>
      <c r="W3175" t="n">
        <v>1</v>
      </c>
      <c r="X3175" t="n">
        <v>476.1904761904761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11593</v>
      </c>
      <c r="AG3175" t="n">
        <v>2141</v>
      </c>
      <c r="AH3175" t="inlineStr">
        <is>
          <t>PT. PARAMA GLOBAL INSPIRA - PPN (JMB)</t>
        </is>
      </c>
      <c r="AI3175" t="n">
        <v>563</v>
      </c>
      <c r="AJ3175" t="inlineStr">
        <is>
          <t>OMG</t>
        </is>
      </c>
      <c r="AK3175" t="n">
        <v>9</v>
      </c>
      <c r="AL3175" t="inlineStr">
        <is>
          <t>Miss Glam Jambi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"8997241850193"</f>
        <v/>
      </c>
      <c r="C3176" t="inlineStr">
        <is>
          <t>OMG Peach Glowing Serum 20ml</t>
        </is>
      </c>
      <c r="D3176" t="inlineStr">
        <is>
          <t>Miss Glam Jambi</t>
        </is>
      </c>
      <c r="E3176" t="n">
        <v>3</v>
      </c>
      <c r="F3176" t="n">
        <v>0.0495</v>
      </c>
      <c r="G3176" t="n">
        <v>0.33</v>
      </c>
      <c r="H3176" t="n">
        <v>2</v>
      </c>
      <c r="I3176" t="n">
        <v>7</v>
      </c>
      <c r="J3176" t="n">
        <v>3</v>
      </c>
      <c r="K3176" t="n">
        <v>0</v>
      </c>
      <c r="L3176" t="n">
        <v>19550</v>
      </c>
      <c r="M3176" t="n">
        <v>24000</v>
      </c>
      <c r="N3176" t="n">
        <v>33</v>
      </c>
      <c r="O3176" t="n">
        <v>0.33</v>
      </c>
      <c r="P3176" t="n">
        <v>1</v>
      </c>
      <c r="Q3176" t="n">
        <v>0.02</v>
      </c>
      <c r="R3176" t="n">
        <v>1</v>
      </c>
      <c r="S3176" t="n">
        <v>1188</v>
      </c>
      <c r="T3176" t="n">
        <v>3</v>
      </c>
      <c r="U3176" t="n">
        <v>4</v>
      </c>
      <c r="V3176" t="n">
        <v>30</v>
      </c>
      <c r="W3176" t="n">
        <v>2</v>
      </c>
      <c r="X3176" t="n">
        <v>60.6060606060606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11593</v>
      </c>
      <c r="AG3176" t="n">
        <v>2141</v>
      </c>
      <c r="AH3176" t="inlineStr">
        <is>
          <t>PT. PARAMA GLOBAL INSPIRA - PPN (JMB)</t>
        </is>
      </c>
      <c r="AI3176" t="n">
        <v>563</v>
      </c>
      <c r="AJ3176" t="inlineStr">
        <is>
          <t>OMG</t>
        </is>
      </c>
      <c r="AK3176" t="n">
        <v>9</v>
      </c>
      <c r="AL3176" t="inlineStr">
        <is>
          <t>Miss Glam Jambi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"20200465820"</f>
        <v/>
      </c>
      <c r="C3177" t="inlineStr">
        <is>
          <t>OMG Precise Matic Eyebrow 01 Dark Brown 0.07gr</t>
        </is>
      </c>
      <c r="D3177" t="inlineStr">
        <is>
          <t>Miss Glam Jambi</t>
        </is>
      </c>
      <c r="E3177" t="n">
        <v>2</v>
      </c>
      <c r="F3177" t="n">
        <v>0.2079</v>
      </c>
      <c r="G3177" t="n">
        <v>1.32</v>
      </c>
      <c r="H3177" t="n">
        <v>2</v>
      </c>
      <c r="I3177" t="n">
        <v>7</v>
      </c>
      <c r="J3177" t="n">
        <v>1</v>
      </c>
      <c r="K3177" t="n">
        <v>4</v>
      </c>
      <c r="L3177" t="n">
        <v>20331</v>
      </c>
      <c r="M3177" t="n">
        <v>23500</v>
      </c>
      <c r="N3177" t="n">
        <v>33</v>
      </c>
      <c r="O3177" t="n">
        <v>0.33</v>
      </c>
      <c r="P3177" t="n">
        <v>1</v>
      </c>
      <c r="Q3177" t="n">
        <v>0.37</v>
      </c>
      <c r="R3177" t="n">
        <v>2</v>
      </c>
      <c r="S3177" t="n">
        <v>4885.65</v>
      </c>
      <c r="T3177" t="n">
        <v>9</v>
      </c>
      <c r="U3177" t="n">
        <v>10</v>
      </c>
      <c r="V3177" t="n">
        <v>30</v>
      </c>
      <c r="W3177" t="n">
        <v>7</v>
      </c>
      <c r="X3177" t="n">
        <v>9.62000962000962</v>
      </c>
      <c r="Y3177" t="n">
        <v>1</v>
      </c>
      <c r="Z3177" t="n">
        <v>1</v>
      </c>
      <c r="AA3177" t="n">
        <v>0</v>
      </c>
      <c r="AB3177" t="n">
        <v>1</v>
      </c>
      <c r="AC3177" t="n">
        <v>1</v>
      </c>
      <c r="AD3177" t="n">
        <v>0</v>
      </c>
      <c r="AE3177" t="n">
        <v>20331</v>
      </c>
      <c r="AF3177" t="n">
        <v>11593</v>
      </c>
      <c r="AG3177" t="n">
        <v>2141</v>
      </c>
      <c r="AH3177" t="inlineStr">
        <is>
          <t>PT. PARAMA GLOBAL INSPIRA - PPN (JMB)</t>
        </is>
      </c>
      <c r="AI3177" t="n">
        <v>563</v>
      </c>
      <c r="AJ3177" t="inlineStr">
        <is>
          <t>OMG</t>
        </is>
      </c>
      <c r="AK3177" t="n">
        <v>9</v>
      </c>
      <c r="AL3177" t="inlineStr">
        <is>
          <t>Miss Glam Jambi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"20200465906"</f>
        <v/>
      </c>
      <c r="C3178" t="inlineStr">
        <is>
          <t>OMG Precise Matic Eyebrow 02 Grey Brown 0.07gr</t>
        </is>
      </c>
      <c r="D3178" t="inlineStr">
        <is>
          <t>Miss Glam Jambi</t>
        </is>
      </c>
      <c r="E3178" t="n">
        <v>0</v>
      </c>
      <c r="F3178" t="n">
        <v>0.07920000000000001</v>
      </c>
      <c r="G3178" t="n">
        <v>0.66</v>
      </c>
      <c r="H3178" t="n">
        <v>2</v>
      </c>
      <c r="I3178" t="n">
        <v>7</v>
      </c>
      <c r="J3178" t="n">
        <v>1</v>
      </c>
      <c r="K3178" t="n">
        <v>2</v>
      </c>
      <c r="L3178" t="n">
        <v>20328</v>
      </c>
      <c r="M3178" t="n">
        <v>23500</v>
      </c>
      <c r="N3178" t="n">
        <v>33</v>
      </c>
      <c r="O3178" t="n">
        <v>0.33</v>
      </c>
      <c r="P3178" t="n">
        <v>1</v>
      </c>
      <c r="Q3178" t="n">
        <v>0.2</v>
      </c>
      <c r="R3178" t="n">
        <v>1</v>
      </c>
      <c r="S3178" t="n">
        <v>1861.2</v>
      </c>
      <c r="T3178" t="n">
        <v>5</v>
      </c>
      <c r="U3178" t="n">
        <v>6</v>
      </c>
      <c r="V3178" t="n">
        <v>30</v>
      </c>
      <c r="W3178" t="n">
        <v>3</v>
      </c>
      <c r="X3178" t="n">
        <v>0</v>
      </c>
      <c r="Y3178" t="n">
        <v>1</v>
      </c>
      <c r="Z3178" t="n">
        <v>1</v>
      </c>
      <c r="AA3178" t="n">
        <v>0</v>
      </c>
      <c r="AB3178" t="n">
        <v>1</v>
      </c>
      <c r="AC3178" t="n">
        <v>1</v>
      </c>
      <c r="AD3178" t="n">
        <v>0</v>
      </c>
      <c r="AE3178" t="n">
        <v>20328</v>
      </c>
      <c r="AF3178" t="n">
        <v>11593</v>
      </c>
      <c r="AG3178" t="n">
        <v>2141</v>
      </c>
      <c r="AH3178" t="inlineStr">
        <is>
          <t>PT. PARAMA GLOBAL INSPIRA - PPN (JMB)</t>
        </is>
      </c>
      <c r="AI3178" t="n">
        <v>563</v>
      </c>
      <c r="AJ3178" t="inlineStr">
        <is>
          <t>OMG</t>
        </is>
      </c>
      <c r="AK3178" t="n">
        <v>9</v>
      </c>
      <c r="AL3178" t="inlineStr">
        <is>
          <t>Miss Glam Jambi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"8997241850414"</f>
        <v/>
      </c>
      <c r="C3179" t="inlineStr">
        <is>
          <t>OMG Two Way Cake 21W Light 12gr</t>
        </is>
      </c>
      <c r="D3179" t="inlineStr">
        <is>
          <t>Miss Glam Jambi</t>
        </is>
      </c>
      <c r="E3179" t="n">
        <v>20</v>
      </c>
      <c r="F3179" t="n">
        <v>1.023</v>
      </c>
      <c r="G3179" t="n">
        <v>3.3</v>
      </c>
      <c r="H3179" t="n">
        <v>2</v>
      </c>
      <c r="I3179" t="n">
        <v>7</v>
      </c>
      <c r="J3179" t="n">
        <v>3</v>
      </c>
      <c r="K3179" t="n">
        <v>12</v>
      </c>
      <c r="L3179" t="n">
        <v>19885</v>
      </c>
      <c r="M3179" t="n">
        <v>22000</v>
      </c>
      <c r="N3179" t="n">
        <v>33</v>
      </c>
      <c r="O3179" t="n">
        <v>0.33</v>
      </c>
      <c r="P3179" t="n">
        <v>1</v>
      </c>
      <c r="Q3179" t="n">
        <v>0.07000000000000001</v>
      </c>
      <c r="R3179" t="n">
        <v>2</v>
      </c>
      <c r="S3179" t="n">
        <v>22506</v>
      </c>
      <c r="T3179" t="n">
        <v>22</v>
      </c>
      <c r="U3179" t="n">
        <v>25</v>
      </c>
      <c r="V3179" t="n">
        <v>30</v>
      </c>
      <c r="W3179" t="n">
        <v>31</v>
      </c>
      <c r="X3179" t="n">
        <v>19.55034213098729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11593</v>
      </c>
      <c r="AG3179" t="n">
        <v>2141</v>
      </c>
      <c r="AH3179" t="inlineStr">
        <is>
          <t>PT. PARAMA GLOBAL INSPIRA - PPN (JMB)</t>
        </is>
      </c>
      <c r="AI3179" t="n">
        <v>563</v>
      </c>
      <c r="AJ3179" t="inlineStr">
        <is>
          <t>OMG</t>
        </is>
      </c>
      <c r="AK3179" t="n">
        <v>9</v>
      </c>
      <c r="AL3179" t="inlineStr">
        <is>
          <t>Miss Glam Jambi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OMG</t>
        </is>
      </c>
      <c r="B3180" s="2">
        <f>"8997241850438"</f>
        <v/>
      </c>
      <c r="C3180" t="inlineStr">
        <is>
          <t>OMG Two Way Cake 41W Sand 12gr</t>
        </is>
      </c>
      <c r="D3180" t="inlineStr">
        <is>
          <t>Miss Glam Jambi</t>
        </is>
      </c>
      <c r="E3180" t="n">
        <v>9</v>
      </c>
      <c r="F3180" t="n">
        <v>0.7887000000000001</v>
      </c>
      <c r="G3180" t="n">
        <v>2.64</v>
      </c>
      <c r="H3180" t="n">
        <v>2</v>
      </c>
      <c r="I3180" t="n">
        <v>7</v>
      </c>
      <c r="J3180" t="n">
        <v>3</v>
      </c>
      <c r="K3180" t="n">
        <v>15</v>
      </c>
      <c r="L3180" t="n">
        <v>19935</v>
      </c>
      <c r="M3180" t="n">
        <v>22000</v>
      </c>
      <c r="N3180" t="n">
        <v>33</v>
      </c>
      <c r="O3180" t="n">
        <v>0.33</v>
      </c>
      <c r="P3180" t="n">
        <v>1</v>
      </c>
      <c r="Q3180" t="n">
        <v>0.24</v>
      </c>
      <c r="R3180" t="n">
        <v>2</v>
      </c>
      <c r="S3180" t="n">
        <v>17351.4</v>
      </c>
      <c r="T3180" t="n">
        <v>17</v>
      </c>
      <c r="U3180" t="n">
        <v>19</v>
      </c>
      <c r="V3180" t="n">
        <v>30</v>
      </c>
      <c r="W3180" t="n">
        <v>24</v>
      </c>
      <c r="X3180" t="n">
        <v>11.41118295930011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11593</v>
      </c>
      <c r="AG3180" t="n">
        <v>2141</v>
      </c>
      <c r="AH3180" t="inlineStr">
        <is>
          <t>PT. PARAMA GLOBAL INSPIRA - PPN (JMB)</t>
        </is>
      </c>
      <c r="AI3180" t="n">
        <v>563</v>
      </c>
      <c r="AJ3180" t="inlineStr">
        <is>
          <t>OMG</t>
        </is>
      </c>
      <c r="AK3180" t="n">
        <v>9</v>
      </c>
      <c r="AL3180" t="inlineStr">
        <is>
          <t>Miss Glam Jambi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OMG</t>
        </is>
      </c>
      <c r="B3181" s="2">
        <f>"8997241850766"</f>
        <v/>
      </c>
      <c r="C3181" t="inlineStr">
        <is>
          <t>OMG Uv Barrier Sunscreen Spf 50 PA++++ 25ml</t>
        </is>
      </c>
      <c r="D3181" t="inlineStr">
        <is>
          <t>Miss Glam Jambi</t>
        </is>
      </c>
      <c r="E3181" t="n">
        <v>18</v>
      </c>
      <c r="F3181" t="n">
        <v>2.2539</v>
      </c>
      <c r="G3181" t="n">
        <v>5.28</v>
      </c>
      <c r="H3181" t="n">
        <v>2</v>
      </c>
      <c r="I3181" t="n">
        <v>7</v>
      </c>
      <c r="J3181" t="n">
        <v>3</v>
      </c>
      <c r="K3181" t="n">
        <v>50</v>
      </c>
      <c r="L3181" t="n">
        <v>23423</v>
      </c>
      <c r="M3181" t="n">
        <v>25000</v>
      </c>
      <c r="N3181" t="n">
        <v>33</v>
      </c>
      <c r="O3181" t="n">
        <v>0.33</v>
      </c>
      <c r="P3181" t="n">
        <v>1</v>
      </c>
      <c r="Q3181" t="n">
        <v>0.98</v>
      </c>
      <c r="R3181" t="n">
        <v>5</v>
      </c>
      <c r="S3181" t="n">
        <v>56347.50000000001</v>
      </c>
      <c r="T3181" t="n">
        <v>33</v>
      </c>
      <c r="U3181" t="n">
        <v>38</v>
      </c>
      <c r="V3181" t="n">
        <v>30</v>
      </c>
      <c r="W3181" t="n">
        <v>68</v>
      </c>
      <c r="X3181" t="n">
        <v>7.986157327299347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11593</v>
      </c>
      <c r="AG3181" t="n">
        <v>2141</v>
      </c>
      <c r="AH3181" t="inlineStr">
        <is>
          <t>PT. PARAMA GLOBAL INSPIRA - PPN (JMB)</t>
        </is>
      </c>
      <c r="AI3181" t="n">
        <v>563</v>
      </c>
      <c r="AJ3181" t="inlineStr">
        <is>
          <t>OMG</t>
        </is>
      </c>
      <c r="AK3181" t="n">
        <v>9</v>
      </c>
      <c r="AL3181" t="inlineStr">
        <is>
          <t>Miss Glam Jambi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OURDAYLEE</t>
        </is>
      </c>
      <c r="B3182" s="2">
        <f>"10500583740"</f>
        <v/>
      </c>
      <c r="C3182" t="inlineStr">
        <is>
          <t>OURDAYLEE Ice On Me Wash Off Mask 50gr</t>
        </is>
      </c>
      <c r="D3182" t="inlineStr">
        <is>
          <t>Miss Glam Jambi</t>
        </is>
      </c>
      <c r="E3182" t="n">
        <v>2</v>
      </c>
      <c r="F3182" t="n">
        <v>0.02</v>
      </c>
      <c r="G3182" t="n">
        <v>1</v>
      </c>
      <c r="H3182" t="n">
        <v>4</v>
      </c>
      <c r="I3182" t="n">
        <v>20</v>
      </c>
      <c r="J3182" t="n">
        <v>3</v>
      </c>
      <c r="K3182" t="n">
        <v>0</v>
      </c>
      <c r="L3182" t="n">
        <v>92091</v>
      </c>
      <c r="M3182" t="n">
        <v>120000</v>
      </c>
      <c r="N3182" t="n">
        <v>33</v>
      </c>
      <c r="O3182" t="n">
        <v>0.33</v>
      </c>
      <c r="P3182" t="n">
        <v>0</v>
      </c>
      <c r="Q3182" t="n">
        <v>0.02</v>
      </c>
      <c r="R3182" t="n">
        <v>1</v>
      </c>
      <c r="S3182" t="n">
        <v>2400</v>
      </c>
      <c r="T3182" t="n">
        <v>20</v>
      </c>
      <c r="U3182" t="n">
        <v>21</v>
      </c>
      <c r="V3182" t="n">
        <v>30</v>
      </c>
      <c r="W3182" t="n">
        <v>1</v>
      </c>
      <c r="X3182" t="n">
        <v>100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7598</v>
      </c>
      <c r="AG3182" t="n">
        <v>1</v>
      </c>
      <c r="AH3182" t="inlineStr">
        <is>
          <t>PT. BERSAMA DISTRIVERSA INDONESIA (DC CIPUTAT)</t>
        </is>
      </c>
      <c r="AI3182" t="n">
        <v>1854</v>
      </c>
      <c r="AJ3182" t="inlineStr">
        <is>
          <t>OURDAYLEE</t>
        </is>
      </c>
      <c r="AK3182" t="n">
        <v>9</v>
      </c>
      <c r="AL3182" t="inlineStr">
        <is>
          <t>Miss Glam Jambi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OURDAYLEE</t>
        </is>
      </c>
      <c r="B3183" s="2">
        <f>"10500634736"</f>
        <v/>
      </c>
      <c r="C3183" t="inlineStr">
        <is>
          <t>OURDAYLEE Magic Potion Clay Mask Mighty Lilac 50gr</t>
        </is>
      </c>
      <c r="D3183" t="inlineStr">
        <is>
          <t>Miss Glam Jambi</t>
        </is>
      </c>
      <c r="E3183" t="n">
        <v>14</v>
      </c>
      <c r="F3183" t="n">
        <v>0.009900000000000001</v>
      </c>
      <c r="G3183" t="n">
        <v>0.66</v>
      </c>
      <c r="H3183" t="n">
        <v>4</v>
      </c>
      <c r="I3183" t="n">
        <v>20</v>
      </c>
      <c r="J3183" t="n">
        <v>3</v>
      </c>
      <c r="K3183" t="n">
        <v>0</v>
      </c>
      <c r="L3183" t="n">
        <v>92091</v>
      </c>
      <c r="M3183" t="n">
        <v>125000</v>
      </c>
      <c r="N3183" t="n">
        <v>33</v>
      </c>
      <c r="O3183" t="n">
        <v>0.33</v>
      </c>
      <c r="P3183" t="n">
        <v>1</v>
      </c>
      <c r="Q3183" t="n">
        <v>0.02</v>
      </c>
      <c r="R3183" t="n">
        <v>1</v>
      </c>
      <c r="S3183" t="n">
        <v>1237.5</v>
      </c>
      <c r="T3183" t="n">
        <v>14</v>
      </c>
      <c r="U3183" t="n">
        <v>15</v>
      </c>
      <c r="V3183" t="n">
        <v>30</v>
      </c>
      <c r="W3183" t="n">
        <v>1</v>
      </c>
      <c r="X3183" t="n">
        <v>1414.141414141414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7598</v>
      </c>
      <c r="AG3183" t="n">
        <v>1</v>
      </c>
      <c r="AH3183" t="inlineStr">
        <is>
          <t>PT. BERSAMA DISTRIVERSA INDONESIA (DC CIPUTAT)</t>
        </is>
      </c>
      <c r="AI3183" t="n">
        <v>1854</v>
      </c>
      <c r="AJ3183" t="inlineStr">
        <is>
          <t>OURDAYLEE</t>
        </is>
      </c>
      <c r="AK3183" t="n">
        <v>9</v>
      </c>
      <c r="AL3183" t="inlineStr">
        <is>
          <t>Miss Glam Jambi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OURDAYLEE</t>
        </is>
      </c>
      <c r="B3184" s="2">
        <f>"10500583930"</f>
        <v/>
      </c>
      <c r="C3184" t="inlineStr">
        <is>
          <t>OURDAYLEE Organik Mask Chewy Bubblegum 25gr</t>
        </is>
      </c>
      <c r="D3184" t="inlineStr">
        <is>
          <t>Miss Glam Jambi</t>
        </is>
      </c>
      <c r="E3184" t="n">
        <v>1</v>
      </c>
      <c r="F3184" t="n">
        <v>0.02</v>
      </c>
      <c r="G3184" t="n">
        <v>1</v>
      </c>
      <c r="H3184" t="n">
        <v>4</v>
      </c>
      <c r="I3184" t="n">
        <v>20</v>
      </c>
      <c r="J3184" t="n">
        <v>3</v>
      </c>
      <c r="K3184" t="n">
        <v>0</v>
      </c>
      <c r="L3184" t="n">
        <v>14591</v>
      </c>
      <c r="M3184" t="n">
        <v>19000</v>
      </c>
      <c r="N3184" t="n">
        <v>33</v>
      </c>
      <c r="O3184" t="n">
        <v>0.33</v>
      </c>
      <c r="P3184" t="n">
        <v>0</v>
      </c>
      <c r="Q3184" t="n">
        <v>0.02</v>
      </c>
      <c r="R3184" t="n">
        <v>1</v>
      </c>
      <c r="S3184" t="n">
        <v>380</v>
      </c>
      <c r="T3184" t="n">
        <v>20</v>
      </c>
      <c r="U3184" t="n">
        <v>21</v>
      </c>
      <c r="V3184" t="n">
        <v>30</v>
      </c>
      <c r="W3184" t="n">
        <v>1</v>
      </c>
      <c r="X3184" t="n">
        <v>50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7598</v>
      </c>
      <c r="AG3184" t="n">
        <v>1</v>
      </c>
      <c r="AH3184" t="inlineStr">
        <is>
          <t>PT. BERSAMA DISTRIVERSA INDONESIA (DC CIPUTAT)</t>
        </is>
      </c>
      <c r="AI3184" t="n">
        <v>1854</v>
      </c>
      <c r="AJ3184" t="inlineStr">
        <is>
          <t>OURDAYLEE</t>
        </is>
      </c>
      <c r="AK3184" t="n">
        <v>9</v>
      </c>
      <c r="AL3184" t="inlineStr">
        <is>
          <t>Miss Glam Jambi</t>
        </is>
      </c>
      <c r="AM3184" t="n">
        <v>4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OURDAYLEE</t>
        </is>
      </c>
      <c r="B3185" s="2">
        <f>"10500584507"</f>
        <v/>
      </c>
      <c r="C3185" t="inlineStr">
        <is>
          <t>OURDAYLEE Organik Mask Mugwort Time  25gr</t>
        </is>
      </c>
      <c r="D3185" t="inlineStr">
        <is>
          <t>Miss Glam Jambi</t>
        </is>
      </c>
      <c r="E3185" t="n">
        <v>9</v>
      </c>
      <c r="F3185" t="n">
        <v>0.07000000000000001</v>
      </c>
      <c r="G3185" t="n">
        <v>1</v>
      </c>
      <c r="H3185" t="n">
        <v>4</v>
      </c>
      <c r="I3185" t="n">
        <v>20</v>
      </c>
      <c r="J3185" t="n">
        <v>3</v>
      </c>
      <c r="K3185" t="n">
        <v>0</v>
      </c>
      <c r="L3185" t="n">
        <v>14639</v>
      </c>
      <c r="M3185" t="n">
        <v>19000</v>
      </c>
      <c r="N3185" t="n">
        <v>33</v>
      </c>
      <c r="O3185" t="n">
        <v>0.33</v>
      </c>
      <c r="P3185" t="n">
        <v>0</v>
      </c>
      <c r="Q3185" t="n">
        <v>0.07000000000000001</v>
      </c>
      <c r="R3185" t="n">
        <v>1</v>
      </c>
      <c r="S3185" t="n">
        <v>1330</v>
      </c>
      <c r="T3185" t="n">
        <v>20</v>
      </c>
      <c r="U3185" t="n">
        <v>21</v>
      </c>
      <c r="V3185" t="n">
        <v>30</v>
      </c>
      <c r="W3185" t="n">
        <v>3</v>
      </c>
      <c r="X3185" t="n">
        <v>128.5714285714286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7598</v>
      </c>
      <c r="AG3185" t="n">
        <v>1</v>
      </c>
      <c r="AH3185" t="inlineStr">
        <is>
          <t>PT. BERSAMA DISTRIVERSA INDONESIA (DC CIPUTAT)</t>
        </is>
      </c>
      <c r="AI3185" t="n">
        <v>1854</v>
      </c>
      <c r="AJ3185" t="inlineStr">
        <is>
          <t>OURDAYLEE</t>
        </is>
      </c>
      <c r="AK3185" t="n">
        <v>9</v>
      </c>
      <c r="AL3185" t="inlineStr">
        <is>
          <t>Miss Glam Jambi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PANTENE</t>
        </is>
      </c>
      <c r="B3186" s="2">
        <f>"4987176076663"</f>
        <v/>
      </c>
      <c r="C3186" t="inlineStr">
        <is>
          <t>PANTENE Miracles Collagen Repair Supplement Conditioner Pro-v 150ml</t>
        </is>
      </c>
      <c r="D3186" t="inlineStr">
        <is>
          <t>Miss Glam Jambi</t>
        </is>
      </c>
      <c r="E3186" t="n">
        <v>4</v>
      </c>
      <c r="F3186" t="n">
        <v>0.08</v>
      </c>
      <c r="G3186" t="n">
        <v>1</v>
      </c>
      <c r="H3186" t="n">
        <v>4</v>
      </c>
      <c r="I3186" t="n">
        <v>9</v>
      </c>
      <c r="J3186" t="n">
        <v>3</v>
      </c>
      <c r="K3186" t="n">
        <v>0</v>
      </c>
      <c r="L3186" t="n">
        <v>32568</v>
      </c>
      <c r="M3186" t="n">
        <v>38500</v>
      </c>
      <c r="N3186" t="n">
        <v>33</v>
      </c>
      <c r="O3186" t="n">
        <v>0.33</v>
      </c>
      <c r="P3186" t="n">
        <v>0</v>
      </c>
      <c r="Q3186" t="n">
        <v>0.08</v>
      </c>
      <c r="R3186" t="n">
        <v>1</v>
      </c>
      <c r="S3186" t="n">
        <v>3080</v>
      </c>
      <c r="T3186" t="n">
        <v>9</v>
      </c>
      <c r="U3186" t="n">
        <v>10</v>
      </c>
      <c r="V3186" t="n">
        <v>30</v>
      </c>
      <c r="W3186" t="n">
        <v>3</v>
      </c>
      <c r="X3186" t="n">
        <v>50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85</v>
      </c>
      <c r="AG3186" t="n">
        <v>2806</v>
      </c>
      <c r="AH3186" t="inlineStr">
        <is>
          <t>CATUR SENTOSA ADIPRIMA - PPN (PLB)</t>
        </is>
      </c>
      <c r="AI3186" t="n">
        <v>919</v>
      </c>
      <c r="AJ3186" t="inlineStr">
        <is>
          <t>PANTENE</t>
        </is>
      </c>
      <c r="AK3186" t="n">
        <v>9</v>
      </c>
      <c r="AL3186" t="inlineStr">
        <is>
          <t>Miss Glam Jambi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PANTENE</t>
        </is>
      </c>
      <c r="B3187" s="2">
        <f>"4987176109279"</f>
        <v/>
      </c>
      <c r="C3187" t="inlineStr">
        <is>
          <t>PANTENE Miracles Keratin Glow 150ml</t>
        </is>
      </c>
      <c r="D3187" t="inlineStr">
        <is>
          <t>Miss Glam Jambi</t>
        </is>
      </c>
      <c r="E3187" t="n">
        <v>1</v>
      </c>
      <c r="F3187" t="n">
        <v>0.06270000000000001</v>
      </c>
      <c r="G3187" t="n">
        <v>0.66</v>
      </c>
      <c r="H3187" t="n">
        <v>4</v>
      </c>
      <c r="I3187" t="n">
        <v>9</v>
      </c>
      <c r="J3187" t="n">
        <v>3</v>
      </c>
      <c r="K3187" t="n">
        <v>0</v>
      </c>
      <c r="L3187" t="n">
        <v>28404</v>
      </c>
      <c r="M3187" t="n">
        <v>32000</v>
      </c>
      <c r="N3187" t="n">
        <v>33</v>
      </c>
      <c r="O3187" t="n">
        <v>0.33</v>
      </c>
      <c r="P3187" t="n">
        <v>1</v>
      </c>
      <c r="Q3187" t="n">
        <v>0.08</v>
      </c>
      <c r="R3187" t="n">
        <v>2</v>
      </c>
      <c r="S3187" t="n">
        <v>2006.4</v>
      </c>
      <c r="T3187" t="n">
        <v>6</v>
      </c>
      <c r="U3187" t="n">
        <v>7</v>
      </c>
      <c r="V3187" t="n">
        <v>30</v>
      </c>
      <c r="W3187" t="n">
        <v>2</v>
      </c>
      <c r="X3187" t="n">
        <v>15.94896331738437</v>
      </c>
      <c r="Y3187" t="n">
        <v>1</v>
      </c>
      <c r="Z3187" t="n">
        <v>1</v>
      </c>
      <c r="AA3187" t="n">
        <v>0</v>
      </c>
      <c r="AB3187" t="n">
        <v>1</v>
      </c>
      <c r="AC3187" t="n">
        <v>3</v>
      </c>
      <c r="AD3187" t="n">
        <v>0</v>
      </c>
      <c r="AE3187" t="n">
        <v>85212</v>
      </c>
      <c r="AF3187" t="n">
        <v>85</v>
      </c>
      <c r="AG3187" t="n">
        <v>2806</v>
      </c>
      <c r="AH3187" t="inlineStr">
        <is>
          <t>CATUR SENTOSA ADIPRIMA - PPN (PLB)</t>
        </is>
      </c>
      <c r="AI3187" t="n">
        <v>919</v>
      </c>
      <c r="AJ3187" t="inlineStr">
        <is>
          <t>PANTENE</t>
        </is>
      </c>
      <c r="AK3187" t="n">
        <v>9</v>
      </c>
      <c r="AL3187" t="inlineStr">
        <is>
          <t>Miss Glam Jambi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PERFECT WHITE</t>
        </is>
      </c>
      <c r="B3188" s="2">
        <f>"30200422037"</f>
        <v/>
      </c>
      <c r="C3188" t="inlineStr">
        <is>
          <t>PERFECT WHITE Aha Body Serum 100ml</t>
        </is>
      </c>
      <c r="D3188" t="inlineStr">
        <is>
          <t>Miss Glam Jambi</t>
        </is>
      </c>
      <c r="E3188" t="n">
        <v>7</v>
      </c>
      <c r="F3188" t="n">
        <v>0.08</v>
      </c>
      <c r="G3188" t="n">
        <v>2</v>
      </c>
      <c r="H3188" t="n">
        <v>4</v>
      </c>
      <c r="I3188" t="n">
        <v>20</v>
      </c>
      <c r="J3188" t="n">
        <v>3</v>
      </c>
      <c r="K3188" t="n">
        <v>0</v>
      </c>
      <c r="L3188" t="n">
        <v>48176</v>
      </c>
      <c r="M3188" t="n">
        <v>60000</v>
      </c>
      <c r="N3188" t="n">
        <v>33</v>
      </c>
      <c r="O3188" t="n">
        <v>0.33</v>
      </c>
      <c r="P3188" t="n">
        <v>0</v>
      </c>
      <c r="Q3188" t="n">
        <v>0.08</v>
      </c>
      <c r="R3188" t="n">
        <v>2</v>
      </c>
      <c r="S3188" t="n">
        <v>4800</v>
      </c>
      <c r="T3188" t="n">
        <v>40</v>
      </c>
      <c r="U3188" t="n">
        <v>41</v>
      </c>
      <c r="V3188" t="n">
        <v>30</v>
      </c>
      <c r="W3188" t="n">
        <v>3</v>
      </c>
      <c r="X3188" t="n">
        <v>87.5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7631</v>
      </c>
      <c r="AG3188" t="n">
        <v>1</v>
      </c>
      <c r="AH3188" t="inlineStr">
        <is>
          <t>PT. BERSAMA DISTRIVERSA INDONESIA (DC CIPUTAT)</t>
        </is>
      </c>
      <c r="AI3188" t="n">
        <v>1414</v>
      </c>
      <c r="AJ3188" t="inlineStr">
        <is>
          <t>PERFECT WHITE</t>
        </is>
      </c>
      <c r="AK3188" t="n">
        <v>9</v>
      </c>
      <c r="AL3188" t="inlineStr">
        <is>
          <t>Miss Glam Jambi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PERFECT WHITE</t>
        </is>
      </c>
      <c r="B3189" s="2">
        <f>"30200407509"</f>
        <v/>
      </c>
      <c r="C3189" t="inlineStr">
        <is>
          <t>PERFECT WHITE Aha Body Serum 50ml</t>
        </is>
      </c>
      <c r="D3189" t="inlineStr">
        <is>
          <t>Miss Glam Jambi</t>
        </is>
      </c>
      <c r="E3189" t="n">
        <v>0</v>
      </c>
      <c r="F3189" t="n">
        <v>0.0462</v>
      </c>
      <c r="G3189" t="n">
        <v>0.66</v>
      </c>
      <c r="H3189" t="n">
        <v>4</v>
      </c>
      <c r="I3189" t="n">
        <v>20</v>
      </c>
      <c r="J3189" t="n">
        <v>3</v>
      </c>
      <c r="K3189" t="n">
        <v>0</v>
      </c>
      <c r="L3189" t="n">
        <v>33121</v>
      </c>
      <c r="M3189" t="n">
        <v>40000</v>
      </c>
      <c r="N3189" t="n">
        <v>33</v>
      </c>
      <c r="O3189" t="n">
        <v>0.33</v>
      </c>
      <c r="P3189" t="n">
        <v>1</v>
      </c>
      <c r="Q3189" t="n">
        <v>0.16</v>
      </c>
      <c r="R3189" t="n">
        <v>2</v>
      </c>
      <c r="S3189" t="n">
        <v>1848</v>
      </c>
      <c r="T3189" t="n">
        <v>14</v>
      </c>
      <c r="U3189" t="n">
        <v>15</v>
      </c>
      <c r="V3189" t="n">
        <v>30</v>
      </c>
      <c r="W3189" t="n">
        <v>2</v>
      </c>
      <c r="X3189" t="n">
        <v>0</v>
      </c>
      <c r="Y3189" t="n">
        <v>1</v>
      </c>
      <c r="Z3189" t="n">
        <v>2</v>
      </c>
      <c r="AA3189" t="n">
        <v>1</v>
      </c>
      <c r="AB3189" t="n">
        <v>1</v>
      </c>
      <c r="AC3189" t="n">
        <v>3</v>
      </c>
      <c r="AD3189" t="n">
        <v>33121</v>
      </c>
      <c r="AE3189" t="n">
        <v>99363</v>
      </c>
      <c r="AF3189" t="n">
        <v>7631</v>
      </c>
      <c r="AG3189" t="n">
        <v>1</v>
      </c>
      <c r="AH3189" t="inlineStr">
        <is>
          <t>PT. BERSAMA DISTRIVERSA INDONESIA (DC CIPUTAT)</t>
        </is>
      </c>
      <c r="AI3189" t="n">
        <v>1414</v>
      </c>
      <c r="AJ3189" t="inlineStr">
        <is>
          <t>PERFECT WHITE</t>
        </is>
      </c>
      <c r="AK3189" t="n">
        <v>9</v>
      </c>
      <c r="AL3189" t="inlineStr">
        <is>
          <t>Miss Glam Jambi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PIGEON TEENS</t>
        </is>
      </c>
      <c r="B3190" s="2">
        <f>"8992771010093"</f>
        <v/>
      </c>
      <c r="C3190" t="inlineStr">
        <is>
          <t>PIGEON Facial Foam 40ml</t>
        </is>
      </c>
      <c r="D3190" t="inlineStr">
        <is>
          <t>Miss Glam Jambi</t>
        </is>
      </c>
      <c r="E3190" t="n">
        <v>14</v>
      </c>
      <c r="F3190" t="n">
        <v>0.1782</v>
      </c>
      <c r="G3190" t="n">
        <v>0.99</v>
      </c>
      <c r="H3190" t="n">
        <v>4</v>
      </c>
      <c r="I3190" t="n">
        <v>20</v>
      </c>
      <c r="J3190" t="n">
        <v>3</v>
      </c>
      <c r="K3190" t="n">
        <v>0</v>
      </c>
      <c r="L3190" t="n">
        <v>11216</v>
      </c>
      <c r="M3190" t="n">
        <v>13500</v>
      </c>
      <c r="N3190" t="n">
        <v>33</v>
      </c>
      <c r="O3190" t="n">
        <v>0.33</v>
      </c>
      <c r="P3190" t="n">
        <v>1</v>
      </c>
      <c r="Q3190" t="n">
        <v>0.29</v>
      </c>
      <c r="R3190" t="n">
        <v>2</v>
      </c>
      <c r="S3190" t="n">
        <v>2405.7</v>
      </c>
      <c r="T3190" t="n">
        <v>20</v>
      </c>
      <c r="U3190" t="n">
        <v>21</v>
      </c>
      <c r="V3190" t="n">
        <v>30</v>
      </c>
      <c r="W3190" t="n">
        <v>6</v>
      </c>
      <c r="X3190" t="n">
        <v>78.56341189674522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7664</v>
      </c>
      <c r="AG3190" t="n">
        <v>1</v>
      </c>
      <c r="AH3190" t="inlineStr">
        <is>
          <t>PT. BERSAMA DISTRIVERSA INDONESIA (DC CIPUTAT)</t>
        </is>
      </c>
      <c r="AI3190" t="n">
        <v>126</v>
      </c>
      <c r="AJ3190" t="inlineStr">
        <is>
          <t>PIGEON TEENS</t>
        </is>
      </c>
      <c r="AK3190" t="n">
        <v>9</v>
      </c>
      <c r="AL3190" t="inlineStr">
        <is>
          <t>Miss Glam Jambi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PIGEON TEENS</t>
        </is>
      </c>
      <c r="B3191" s="2">
        <f>"8992771010321"</f>
        <v/>
      </c>
      <c r="C3191" t="inlineStr">
        <is>
          <t>PIGEON TEENS Acne Ranger Gel 15ml</t>
        </is>
      </c>
      <c r="D3191" t="inlineStr">
        <is>
          <t>Miss Glam Jambi</t>
        </is>
      </c>
      <c r="E3191" t="n">
        <v>2</v>
      </c>
      <c r="F3191" t="n">
        <v>0.0165</v>
      </c>
      <c r="G3191" t="n">
        <v>0.33</v>
      </c>
      <c r="H3191" t="n">
        <v>4</v>
      </c>
      <c r="I3191" t="n">
        <v>20</v>
      </c>
      <c r="J3191" t="n">
        <v>3</v>
      </c>
      <c r="K3191" t="n">
        <v>0</v>
      </c>
      <c r="L3191" t="n">
        <v>29400</v>
      </c>
      <c r="M3191" t="n">
        <v>35000</v>
      </c>
      <c r="N3191" t="n">
        <v>33</v>
      </c>
      <c r="O3191" t="n">
        <v>0.33</v>
      </c>
      <c r="P3191" t="n">
        <v>1</v>
      </c>
      <c r="Q3191" t="n">
        <v>0.07000000000000001</v>
      </c>
      <c r="R3191" t="n">
        <v>1</v>
      </c>
      <c r="S3191" t="n">
        <v>577.5</v>
      </c>
      <c r="T3191" t="n">
        <v>7</v>
      </c>
      <c r="U3191" t="n">
        <v>8</v>
      </c>
      <c r="V3191" t="n">
        <v>30</v>
      </c>
      <c r="W3191" t="n">
        <v>1</v>
      </c>
      <c r="X3191" t="n">
        <v>121.2121212121212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7664</v>
      </c>
      <c r="AG3191" t="n">
        <v>1</v>
      </c>
      <c r="AH3191" t="inlineStr">
        <is>
          <t>PT. BERSAMA DISTRIVERSA INDONESIA (DC CIPUTAT)</t>
        </is>
      </c>
      <c r="AI3191" t="n">
        <v>126</v>
      </c>
      <c r="AJ3191" t="inlineStr">
        <is>
          <t>PIGEON TEENS</t>
        </is>
      </c>
      <c r="AK3191" t="n">
        <v>9</v>
      </c>
      <c r="AL3191" t="inlineStr">
        <is>
          <t>Miss Glam Jambi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PIGEON TEENS</t>
        </is>
      </c>
      <c r="B3192" s="2">
        <f>"8992771010369"</f>
        <v/>
      </c>
      <c r="C3192" t="inlineStr">
        <is>
          <t>PIGEON TEENS Acne Ranger Loose Powder</t>
        </is>
      </c>
      <c r="D3192" t="inlineStr">
        <is>
          <t>Miss Glam Jambi</t>
        </is>
      </c>
      <c r="E3192" t="n">
        <v>8</v>
      </c>
      <c r="F3192" t="n">
        <v>0.0825</v>
      </c>
      <c r="G3192" t="n">
        <v>0.66</v>
      </c>
      <c r="H3192" t="n">
        <v>4</v>
      </c>
      <c r="I3192" t="n">
        <v>20</v>
      </c>
      <c r="J3192" t="n">
        <v>3</v>
      </c>
      <c r="K3192" t="n">
        <v>0</v>
      </c>
      <c r="L3192" t="n">
        <v>29400</v>
      </c>
      <c r="M3192" t="n">
        <v>34000</v>
      </c>
      <c r="N3192" t="n">
        <v>33</v>
      </c>
      <c r="O3192" t="n">
        <v>0.33</v>
      </c>
      <c r="P3192" t="n">
        <v>1</v>
      </c>
      <c r="Q3192" t="n">
        <v>0.1</v>
      </c>
      <c r="R3192" t="n">
        <v>1</v>
      </c>
      <c r="S3192" t="n">
        <v>2805</v>
      </c>
      <c r="T3192" t="n">
        <v>13</v>
      </c>
      <c r="U3192" t="n">
        <v>14</v>
      </c>
      <c r="V3192" t="n">
        <v>30</v>
      </c>
      <c r="W3192" t="n">
        <v>3</v>
      </c>
      <c r="X3192" t="n">
        <v>96.96969696969697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7664</v>
      </c>
      <c r="AG3192" t="n">
        <v>1</v>
      </c>
      <c r="AH3192" t="inlineStr">
        <is>
          <t>PT. BERSAMA DISTRIVERSA INDONESIA (DC CIPUTAT)</t>
        </is>
      </c>
      <c r="AI3192" t="n">
        <v>126</v>
      </c>
      <c r="AJ3192" t="inlineStr">
        <is>
          <t>PIGEON TEENS</t>
        </is>
      </c>
      <c r="AK3192" t="n">
        <v>9</v>
      </c>
      <c r="AL3192" t="inlineStr">
        <is>
          <t>Miss Glam Jambi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PIGEON TEENS</t>
        </is>
      </c>
      <c r="B3193" s="2">
        <f>"8992771010376"</f>
        <v/>
      </c>
      <c r="C3193" t="inlineStr">
        <is>
          <t>PIGEON TEENS Acne Ranger Moisturizer 20ml</t>
        </is>
      </c>
      <c r="D3193" t="inlineStr">
        <is>
          <t>Miss Glam Jambi</t>
        </is>
      </c>
      <c r="E3193" t="n">
        <v>2</v>
      </c>
      <c r="F3193" t="n">
        <v>0.06270000000000001</v>
      </c>
      <c r="G3193" t="n">
        <v>0.66</v>
      </c>
      <c r="H3193" t="n">
        <v>4</v>
      </c>
      <c r="I3193" t="n">
        <v>20</v>
      </c>
      <c r="J3193" t="n">
        <v>3</v>
      </c>
      <c r="K3193" t="n">
        <v>3</v>
      </c>
      <c r="L3193" t="n">
        <v>18480</v>
      </c>
      <c r="M3193" t="n">
        <v>23000</v>
      </c>
      <c r="N3193" t="n">
        <v>33</v>
      </c>
      <c r="O3193" t="n">
        <v>0.33</v>
      </c>
      <c r="P3193" t="n">
        <v>1</v>
      </c>
      <c r="Q3193" t="n">
        <v>0.03</v>
      </c>
      <c r="R3193" t="n">
        <v>1</v>
      </c>
      <c r="S3193" t="n">
        <v>1442.1</v>
      </c>
      <c r="T3193" t="n">
        <v>13</v>
      </c>
      <c r="U3193" t="n">
        <v>14</v>
      </c>
      <c r="V3193" t="n">
        <v>30</v>
      </c>
      <c r="W3193" t="n">
        <v>2</v>
      </c>
      <c r="X3193" t="n">
        <v>31.89792663476874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7664</v>
      </c>
      <c r="AG3193" t="n">
        <v>1</v>
      </c>
      <c r="AH3193" t="inlineStr">
        <is>
          <t>PT. BERSAMA DISTRIVERSA INDONESIA (DC CIPUTAT)</t>
        </is>
      </c>
      <c r="AI3193" t="n">
        <v>126</v>
      </c>
      <c r="AJ3193" t="inlineStr">
        <is>
          <t>PIGEON TEENS</t>
        </is>
      </c>
      <c r="AK3193" t="n">
        <v>9</v>
      </c>
      <c r="AL3193" t="inlineStr">
        <is>
          <t>Miss Glam Jambi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PIGEON TEENS</t>
        </is>
      </c>
      <c r="B3194" s="2">
        <f>"8992771010383"</f>
        <v/>
      </c>
      <c r="C3194" t="inlineStr">
        <is>
          <t>PIGEON TEENS Acne Ranger Moisturizer 50ml</t>
        </is>
      </c>
      <c r="D3194" t="inlineStr">
        <is>
          <t>Miss Glam Jambi</t>
        </is>
      </c>
      <c r="E3194" t="n">
        <v>18</v>
      </c>
      <c r="F3194" t="n">
        <v>0.0495</v>
      </c>
      <c r="G3194" t="n">
        <v>0.66</v>
      </c>
      <c r="H3194" t="n">
        <v>4</v>
      </c>
      <c r="I3194" t="n">
        <v>20</v>
      </c>
      <c r="J3194" t="n">
        <v>3</v>
      </c>
      <c r="K3194" t="n">
        <v>0</v>
      </c>
      <c r="L3194" t="n">
        <v>36571</v>
      </c>
      <c r="M3194" t="n">
        <v>47500</v>
      </c>
      <c r="N3194" t="n">
        <v>33</v>
      </c>
      <c r="O3194" t="n">
        <v>0.33</v>
      </c>
      <c r="P3194" t="n">
        <v>1</v>
      </c>
      <c r="Q3194" t="n">
        <v>0.03</v>
      </c>
      <c r="R3194" t="n">
        <v>1</v>
      </c>
      <c r="S3194" t="n">
        <v>2351.25</v>
      </c>
      <c r="T3194" t="n">
        <v>14</v>
      </c>
      <c r="U3194" t="n">
        <v>15</v>
      </c>
      <c r="V3194" t="n">
        <v>30</v>
      </c>
      <c r="W3194" t="n">
        <v>2</v>
      </c>
      <c r="X3194" t="n">
        <v>363.6363636363636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7664</v>
      </c>
      <c r="AG3194" t="n">
        <v>1</v>
      </c>
      <c r="AH3194" t="inlineStr">
        <is>
          <t>PT. BERSAMA DISTRIVERSA INDONESIA (DC CIPUTAT)</t>
        </is>
      </c>
      <c r="AI3194" t="n">
        <v>126</v>
      </c>
      <c r="AJ3194" t="inlineStr">
        <is>
          <t>PIGEON TEENS</t>
        </is>
      </c>
      <c r="AK3194" t="n">
        <v>9</v>
      </c>
      <c r="AL3194" t="inlineStr">
        <is>
          <t>Miss Glam Jambi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PIGEON TEENS</t>
        </is>
      </c>
      <c r="B3195" s="2">
        <f>"8992771010420"</f>
        <v/>
      </c>
      <c r="C3195" t="inlineStr">
        <is>
          <t>PIGEON TEENS Acne Ranger Serum 20ml</t>
        </is>
      </c>
      <c r="D3195" t="inlineStr">
        <is>
          <t>Miss Glam Jambi</t>
        </is>
      </c>
      <c r="E3195" t="n">
        <v>17</v>
      </c>
      <c r="F3195" t="n">
        <v>0.0462</v>
      </c>
      <c r="G3195" t="n">
        <v>0.33</v>
      </c>
      <c r="H3195" t="n">
        <v>4</v>
      </c>
      <c r="I3195" t="n">
        <v>20</v>
      </c>
      <c r="J3195" t="n">
        <v>3</v>
      </c>
      <c r="K3195" t="n">
        <v>0</v>
      </c>
      <c r="L3195" t="n">
        <v>31632</v>
      </c>
      <c r="M3195" t="n">
        <v>38000</v>
      </c>
      <c r="N3195" t="n">
        <v>33</v>
      </c>
      <c r="O3195" t="n">
        <v>0.33</v>
      </c>
      <c r="P3195" t="n">
        <v>1</v>
      </c>
      <c r="Q3195" t="n">
        <v>0.03</v>
      </c>
      <c r="R3195" t="n">
        <v>1</v>
      </c>
      <c r="S3195" t="n">
        <v>1755.6</v>
      </c>
      <c r="T3195" t="n">
        <v>7</v>
      </c>
      <c r="U3195" t="n">
        <v>8</v>
      </c>
      <c r="V3195" t="n">
        <v>30</v>
      </c>
      <c r="W3195" t="n">
        <v>2</v>
      </c>
      <c r="X3195" t="n">
        <v>367.9653679653679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7664</v>
      </c>
      <c r="AG3195" t="n">
        <v>1</v>
      </c>
      <c r="AH3195" t="inlineStr">
        <is>
          <t>PT. BERSAMA DISTRIVERSA INDONESIA (DC CIPUTAT)</t>
        </is>
      </c>
      <c r="AI3195" t="n">
        <v>126</v>
      </c>
      <c r="AJ3195" t="inlineStr">
        <is>
          <t>PIGEON TEENS</t>
        </is>
      </c>
      <c r="AK3195" t="n">
        <v>9</v>
      </c>
      <c r="AL3195" t="inlineStr">
        <is>
          <t>Miss Glam Jambi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PIGEON TEENS</t>
        </is>
      </c>
      <c r="B3196" s="2">
        <f>"10500210407"</f>
        <v/>
      </c>
      <c r="C3196" t="inlineStr">
        <is>
          <t>PIGEON TEENS Berry Good Jelly Mask 60ml</t>
        </is>
      </c>
      <c r="D3196" t="inlineStr">
        <is>
          <t>Miss Glam Jambi</t>
        </is>
      </c>
      <c r="E3196" t="n">
        <v>10</v>
      </c>
      <c r="F3196" t="n">
        <v>0.066</v>
      </c>
      <c r="G3196" t="n">
        <v>0.99</v>
      </c>
      <c r="H3196" t="n">
        <v>4</v>
      </c>
      <c r="I3196" t="n">
        <v>20</v>
      </c>
      <c r="J3196" t="n">
        <v>1</v>
      </c>
      <c r="K3196" t="n">
        <v>0</v>
      </c>
      <c r="L3196" t="n">
        <v>27762</v>
      </c>
      <c r="M3196" t="n">
        <v>33000</v>
      </c>
      <c r="N3196" t="n">
        <v>33</v>
      </c>
      <c r="O3196" t="n">
        <v>0.33</v>
      </c>
      <c r="P3196" t="n">
        <v>1</v>
      </c>
      <c r="Q3196" t="n">
        <v>0.1</v>
      </c>
      <c r="R3196" t="n">
        <v>2</v>
      </c>
      <c r="S3196" t="n">
        <v>2178</v>
      </c>
      <c r="T3196" t="n">
        <v>20</v>
      </c>
      <c r="U3196" t="n">
        <v>21</v>
      </c>
      <c r="V3196" t="n">
        <v>30</v>
      </c>
      <c r="W3196" t="n">
        <v>2</v>
      </c>
      <c r="X3196" t="n">
        <v>151.5151515151515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7664</v>
      </c>
      <c r="AG3196" t="n">
        <v>1</v>
      </c>
      <c r="AH3196" t="inlineStr">
        <is>
          <t>PT. BERSAMA DISTRIVERSA INDONESIA (DC CIPUTAT)</t>
        </is>
      </c>
      <c r="AI3196" t="n">
        <v>126</v>
      </c>
      <c r="AJ3196" t="inlineStr">
        <is>
          <t>PIGEON TEENS</t>
        </is>
      </c>
      <c r="AK3196" t="n">
        <v>9</v>
      </c>
      <c r="AL3196" t="inlineStr">
        <is>
          <t>Miss Glam Jambi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PIGEON TEENS</t>
        </is>
      </c>
      <c r="B3197" s="2">
        <f>"8992771010604"</f>
        <v/>
      </c>
      <c r="C3197" t="inlineStr">
        <is>
          <t>PIGEON TEENS Bright Heroes Body Serum 100ml</t>
        </is>
      </c>
      <c r="D3197" t="inlineStr">
        <is>
          <t>Miss Glam Jambi</t>
        </is>
      </c>
      <c r="E3197" t="n">
        <v>38</v>
      </c>
      <c r="F3197" t="n">
        <v>0.1287</v>
      </c>
      <c r="G3197" t="n">
        <v>0.66</v>
      </c>
      <c r="H3197" t="n">
        <v>4</v>
      </c>
      <c r="I3197" t="n">
        <v>20</v>
      </c>
      <c r="J3197" t="n">
        <v>3</v>
      </c>
      <c r="K3197" t="n">
        <v>0</v>
      </c>
      <c r="L3197" t="n">
        <v>27645</v>
      </c>
      <c r="M3197" t="n">
        <v>33500</v>
      </c>
      <c r="N3197" t="n">
        <v>33</v>
      </c>
      <c r="O3197" t="n">
        <v>0.33</v>
      </c>
      <c r="P3197" t="n">
        <v>1</v>
      </c>
      <c r="Q3197" t="n">
        <v>0.27</v>
      </c>
      <c r="R3197" t="n">
        <v>2</v>
      </c>
      <c r="S3197" t="n">
        <v>4311.450000000001</v>
      </c>
      <c r="T3197" t="n">
        <v>13</v>
      </c>
      <c r="U3197" t="n">
        <v>14</v>
      </c>
      <c r="V3197" t="n">
        <v>30</v>
      </c>
      <c r="W3197" t="n">
        <v>4</v>
      </c>
      <c r="X3197" t="n">
        <v>295.2602952602953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7664</v>
      </c>
      <c r="AG3197" t="n">
        <v>1</v>
      </c>
      <c r="AH3197" t="inlineStr">
        <is>
          <t>PT. BERSAMA DISTRIVERSA INDONESIA (DC CIPUTAT)</t>
        </is>
      </c>
      <c r="AI3197" t="n">
        <v>126</v>
      </c>
      <c r="AJ3197" t="inlineStr">
        <is>
          <t>PIGEON TEENS</t>
        </is>
      </c>
      <c r="AK3197" t="n">
        <v>9</v>
      </c>
      <c r="AL3197" t="inlineStr">
        <is>
          <t>Miss Glam Jambi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PIGEON TEENS</t>
        </is>
      </c>
      <c r="B3198" s="2">
        <f>"10300318821"</f>
        <v/>
      </c>
      <c r="C3198" t="inlineStr">
        <is>
          <t>PIGEON TEENS Bright Heroes Face Mist 50ml</t>
        </is>
      </c>
      <c r="D3198" t="inlineStr">
        <is>
          <t>Miss Glam Jambi</t>
        </is>
      </c>
      <c r="E3198" t="n">
        <v>0</v>
      </c>
      <c r="F3198" t="n">
        <v>0.0264</v>
      </c>
      <c r="G3198" t="n">
        <v>0.66</v>
      </c>
      <c r="H3198" t="n">
        <v>4</v>
      </c>
      <c r="I3198" t="n">
        <v>20</v>
      </c>
      <c r="J3198" t="n">
        <v>1</v>
      </c>
      <c r="K3198" t="n">
        <v>0</v>
      </c>
      <c r="L3198" t="n">
        <v>24479</v>
      </c>
      <c r="M3198" t="n">
        <v>29000</v>
      </c>
      <c r="N3198" t="n">
        <v>33</v>
      </c>
      <c r="O3198" t="n">
        <v>0.33</v>
      </c>
      <c r="P3198" t="n">
        <v>1</v>
      </c>
      <c r="Q3198" t="n">
        <v>0.11</v>
      </c>
      <c r="R3198" t="n">
        <v>2</v>
      </c>
      <c r="S3198" t="n">
        <v>765.6000000000001</v>
      </c>
      <c r="T3198" t="n">
        <v>14</v>
      </c>
      <c r="U3198" t="n">
        <v>15</v>
      </c>
      <c r="V3198" t="n">
        <v>30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n">
        <v>0</v>
      </c>
      <c r="AC3198" t="n">
        <v>0</v>
      </c>
      <c r="AD3198" t="n">
        <v>24479</v>
      </c>
      <c r="AE3198" t="n">
        <v>0</v>
      </c>
      <c r="AF3198" t="n">
        <v>7664</v>
      </c>
      <c r="AG3198" t="n">
        <v>1</v>
      </c>
      <c r="AH3198" t="inlineStr">
        <is>
          <t>PT. BERSAMA DISTRIVERSA INDONESIA (DC CIPUTAT)</t>
        </is>
      </c>
      <c r="AI3198" t="n">
        <v>126</v>
      </c>
      <c r="AJ3198" t="inlineStr">
        <is>
          <t>PIGEON TEENS</t>
        </is>
      </c>
      <c r="AK3198" t="n">
        <v>9</v>
      </c>
      <c r="AL3198" t="inlineStr">
        <is>
          <t>Miss Glam Jambi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PIGEON TEENS</t>
        </is>
      </c>
      <c r="B3199" s="2">
        <f>"20100638340"</f>
        <v/>
      </c>
      <c r="C3199" t="inlineStr">
        <is>
          <t>PIGEON TEENS Bright Heroes Loose Powder 12gr</t>
        </is>
      </c>
      <c r="D3199" t="inlineStr">
        <is>
          <t>Miss Glam Jambi</t>
        </is>
      </c>
      <c r="E3199" t="n">
        <v>5</v>
      </c>
      <c r="F3199" t="n">
        <v>0.0165</v>
      </c>
      <c r="G3199" t="n">
        <v>0.66</v>
      </c>
      <c r="H3199" t="n">
        <v>4</v>
      </c>
      <c r="I3199" t="n">
        <v>20</v>
      </c>
      <c r="J3199" t="n">
        <v>3</v>
      </c>
      <c r="K3199" t="n">
        <v>36</v>
      </c>
      <c r="L3199" t="n">
        <v>26655</v>
      </c>
      <c r="M3199" t="n">
        <v>31000</v>
      </c>
      <c r="N3199" t="n">
        <v>33</v>
      </c>
      <c r="O3199" t="n">
        <v>0.33</v>
      </c>
      <c r="P3199" t="n">
        <v>1</v>
      </c>
      <c r="Q3199" t="n">
        <v>0.2</v>
      </c>
      <c r="R3199" t="n">
        <v>2</v>
      </c>
      <c r="S3199" t="n">
        <v>511.5</v>
      </c>
      <c r="T3199" t="n">
        <v>14</v>
      </c>
      <c r="U3199" t="n">
        <v>15</v>
      </c>
      <c r="V3199" t="n">
        <v>30</v>
      </c>
      <c r="W3199" t="n">
        <v>1</v>
      </c>
      <c r="X3199" t="n">
        <v>303.030303030303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7664</v>
      </c>
      <c r="AG3199" t="n">
        <v>1</v>
      </c>
      <c r="AH3199" t="inlineStr">
        <is>
          <t>PT. BERSAMA DISTRIVERSA INDONESIA (DC CIPUTAT)</t>
        </is>
      </c>
      <c r="AI3199" t="n">
        <v>126</v>
      </c>
      <c r="AJ3199" t="inlineStr">
        <is>
          <t>PIGEON TEENS</t>
        </is>
      </c>
      <c r="AK3199" t="n">
        <v>9</v>
      </c>
      <c r="AL3199" t="inlineStr">
        <is>
          <t>Miss Glam Jambi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PIGEON TEENS</t>
        </is>
      </c>
      <c r="B3200" s="2">
        <f>"10100721247"</f>
        <v/>
      </c>
      <c r="C3200" t="inlineStr">
        <is>
          <t>PIGEON TEENS Bright Heroes Micellar Oil 100ml</t>
        </is>
      </c>
      <c r="D3200" t="inlineStr">
        <is>
          <t>Miss Glam Jambi</t>
        </is>
      </c>
      <c r="E3200" t="n">
        <v>3</v>
      </c>
      <c r="F3200" t="n">
        <v>0.1518</v>
      </c>
      <c r="G3200" t="n">
        <v>0.99</v>
      </c>
      <c r="H3200" t="n">
        <v>4</v>
      </c>
      <c r="I3200" t="n">
        <v>20</v>
      </c>
      <c r="J3200" t="n">
        <v>3</v>
      </c>
      <c r="K3200" t="n">
        <v>36</v>
      </c>
      <c r="L3200" t="n">
        <v>26533</v>
      </c>
      <c r="M3200" t="n">
        <v>33500</v>
      </c>
      <c r="N3200" t="n">
        <v>33</v>
      </c>
      <c r="O3200" t="n">
        <v>0.33</v>
      </c>
      <c r="P3200" t="n">
        <v>1</v>
      </c>
      <c r="Q3200" t="n">
        <v>0.02</v>
      </c>
      <c r="R3200" t="n">
        <v>1</v>
      </c>
      <c r="S3200" t="n">
        <v>5085.3</v>
      </c>
      <c r="T3200" t="n">
        <v>20</v>
      </c>
      <c r="U3200" t="n">
        <v>21</v>
      </c>
      <c r="V3200" t="n">
        <v>30</v>
      </c>
      <c r="W3200" t="n">
        <v>5</v>
      </c>
      <c r="X3200" t="n">
        <v>19.76284584980237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7664</v>
      </c>
      <c r="AG3200" t="n">
        <v>1</v>
      </c>
      <c r="AH3200" t="inlineStr">
        <is>
          <t>PT. BERSAMA DISTRIVERSA INDONESIA (DC CIPUTAT)</t>
        </is>
      </c>
      <c r="AI3200" t="n">
        <v>126</v>
      </c>
      <c r="AJ3200" t="inlineStr">
        <is>
          <t>PIGEON TEENS</t>
        </is>
      </c>
      <c r="AK3200" t="n">
        <v>9</v>
      </c>
      <c r="AL3200" t="inlineStr">
        <is>
          <t>Miss Glam Jambi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PIGEON TEENS</t>
        </is>
      </c>
      <c r="B3201" s="2">
        <f>"10100721140"</f>
        <v/>
      </c>
      <c r="C3201" t="inlineStr">
        <is>
          <t>PIGEON TEENS Bright Heroes Micellar Water 100ml</t>
        </is>
      </c>
      <c r="D3201" t="inlineStr">
        <is>
          <t>Miss Glam Jambi</t>
        </is>
      </c>
      <c r="E3201" t="n">
        <v>2</v>
      </c>
      <c r="F3201" t="n">
        <v>0.25</v>
      </c>
      <c r="G3201" t="n">
        <v>2</v>
      </c>
      <c r="H3201" t="n">
        <v>4</v>
      </c>
      <c r="I3201" t="n">
        <v>20</v>
      </c>
      <c r="J3201" t="n">
        <v>3</v>
      </c>
      <c r="K3201" t="n">
        <v>24</v>
      </c>
      <c r="L3201" t="n">
        <v>25200</v>
      </c>
      <c r="M3201" t="n">
        <v>28500</v>
      </c>
      <c r="N3201" t="n">
        <v>33</v>
      </c>
      <c r="O3201" t="n">
        <v>0.33</v>
      </c>
      <c r="P3201" t="n">
        <v>0</v>
      </c>
      <c r="Q3201" t="n">
        <v>0.25</v>
      </c>
      <c r="R3201" t="n">
        <v>2</v>
      </c>
      <c r="S3201" t="n">
        <v>7125</v>
      </c>
      <c r="T3201" t="n">
        <v>39</v>
      </c>
      <c r="U3201" t="n">
        <v>40</v>
      </c>
      <c r="V3201" t="n">
        <v>30</v>
      </c>
      <c r="W3201" t="n">
        <v>8</v>
      </c>
      <c r="X3201" t="n">
        <v>8</v>
      </c>
      <c r="Y3201" t="n">
        <v>1</v>
      </c>
      <c r="Z3201" t="n">
        <v>0</v>
      </c>
      <c r="AA3201" t="n">
        <v>3</v>
      </c>
      <c r="AB3201" t="n">
        <v>0</v>
      </c>
      <c r="AC3201" t="n">
        <v>0</v>
      </c>
      <c r="AD3201" t="n">
        <v>75600</v>
      </c>
      <c r="AE3201" t="n">
        <v>0</v>
      </c>
      <c r="AF3201" t="n">
        <v>7664</v>
      </c>
      <c r="AG3201" t="n">
        <v>1</v>
      </c>
      <c r="AH3201" t="inlineStr">
        <is>
          <t>PT. BERSAMA DISTRIVERSA INDONESIA (DC CIPUTAT)</t>
        </is>
      </c>
      <c r="AI3201" t="n">
        <v>126</v>
      </c>
      <c r="AJ3201" t="inlineStr">
        <is>
          <t>PIGEON TEENS</t>
        </is>
      </c>
      <c r="AK3201" t="n">
        <v>9</v>
      </c>
      <c r="AL3201" t="inlineStr">
        <is>
          <t>Miss Glam Jambi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PIGEON TEENS</t>
        </is>
      </c>
      <c r="B3202" s="2">
        <f>"8992771010697"</f>
        <v/>
      </c>
      <c r="C3202" t="inlineStr">
        <is>
          <t>PIGEON TEENS Bright Heroes Moisturizer 20ml</t>
        </is>
      </c>
      <c r="D3202" t="inlineStr">
        <is>
          <t>Miss Glam Jambi</t>
        </is>
      </c>
      <c r="E3202" t="n">
        <v>2</v>
      </c>
      <c r="F3202" t="n">
        <v>0.0165</v>
      </c>
      <c r="G3202" t="n">
        <v>0.66</v>
      </c>
      <c r="H3202" t="n">
        <v>4</v>
      </c>
      <c r="I3202" t="n">
        <v>20</v>
      </c>
      <c r="J3202" t="n">
        <v>3</v>
      </c>
      <c r="K3202" t="n">
        <v>6</v>
      </c>
      <c r="L3202" t="n">
        <v>15635</v>
      </c>
      <c r="M3202" t="n">
        <v>19500</v>
      </c>
      <c r="N3202" t="n">
        <v>33</v>
      </c>
      <c r="O3202" t="n">
        <v>0.33</v>
      </c>
      <c r="P3202" t="n">
        <v>1</v>
      </c>
      <c r="Q3202" t="n">
        <v>0.07000000000000001</v>
      </c>
      <c r="R3202" t="n">
        <v>1</v>
      </c>
      <c r="S3202" t="n">
        <v>321.75</v>
      </c>
      <c r="T3202" t="n">
        <v>14</v>
      </c>
      <c r="U3202" t="n">
        <v>15</v>
      </c>
      <c r="V3202" t="n">
        <v>30</v>
      </c>
      <c r="W3202" t="n">
        <v>1</v>
      </c>
      <c r="X3202" t="n">
        <v>121.2121212121212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7664</v>
      </c>
      <c r="AG3202" t="n">
        <v>1</v>
      </c>
      <c r="AH3202" t="inlineStr">
        <is>
          <t>PT. BERSAMA DISTRIVERSA INDONESIA (DC CIPUTAT)</t>
        </is>
      </c>
      <c r="AI3202" t="n">
        <v>126</v>
      </c>
      <c r="AJ3202" t="inlineStr">
        <is>
          <t>PIGEON TEENS</t>
        </is>
      </c>
      <c r="AK3202" t="n">
        <v>9</v>
      </c>
      <c r="AL3202" t="inlineStr">
        <is>
          <t>Miss Glam Jambi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PIGEON TEENS</t>
        </is>
      </c>
      <c r="B3203" s="2">
        <f>"8992771010703"</f>
        <v/>
      </c>
      <c r="C3203" t="inlineStr">
        <is>
          <t>PIGEON TEENS Bright Heroes Moisturizer 50ml</t>
        </is>
      </c>
      <c r="D3203" t="inlineStr">
        <is>
          <t>Miss Glam Jambi</t>
        </is>
      </c>
      <c r="E3203" t="n">
        <v>35</v>
      </c>
      <c r="F3203" t="n">
        <v>0.006600000000000001</v>
      </c>
      <c r="G3203" t="n">
        <v>0.33</v>
      </c>
      <c r="H3203" t="n">
        <v>4</v>
      </c>
      <c r="I3203" t="n">
        <v>20</v>
      </c>
      <c r="J3203" t="n">
        <v>3</v>
      </c>
      <c r="K3203" t="n">
        <v>0</v>
      </c>
      <c r="L3203" t="n">
        <v>32311</v>
      </c>
      <c r="M3203" t="n">
        <v>39000</v>
      </c>
      <c r="N3203" t="n">
        <v>33</v>
      </c>
      <c r="O3203" t="n">
        <v>0.33</v>
      </c>
      <c r="P3203" t="n">
        <v>1</v>
      </c>
      <c r="Q3203" t="n">
        <v>0.15</v>
      </c>
      <c r="R3203" t="n">
        <v>1</v>
      </c>
      <c r="S3203" t="n">
        <v>257.4</v>
      </c>
      <c r="T3203" t="n">
        <v>7</v>
      </c>
      <c r="U3203" t="n">
        <v>8</v>
      </c>
      <c r="V3203" t="n">
        <v>30</v>
      </c>
      <c r="W3203" t="n">
        <v>1</v>
      </c>
      <c r="X3203" t="n">
        <v>5303.030303030302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7664</v>
      </c>
      <c r="AG3203" t="n">
        <v>1</v>
      </c>
      <c r="AH3203" t="inlineStr">
        <is>
          <t>PT. BERSAMA DISTRIVERSA INDONESIA (DC CIPUTAT)</t>
        </is>
      </c>
      <c r="AI3203" t="n">
        <v>126</v>
      </c>
      <c r="AJ3203" t="inlineStr">
        <is>
          <t>PIGEON TEENS</t>
        </is>
      </c>
      <c r="AK3203" t="n">
        <v>9</v>
      </c>
      <c r="AL3203" t="inlineStr">
        <is>
          <t>Miss Glam Jambi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PIGEON TEENS</t>
        </is>
      </c>
      <c r="B3204" s="2">
        <f>"8992771010406"</f>
        <v/>
      </c>
      <c r="C3204" t="inlineStr">
        <is>
          <t>PIGEON TEENS Bright Heroes Serum 20ml</t>
        </is>
      </c>
      <c r="D3204" t="inlineStr">
        <is>
          <t>Miss Glam Jambi</t>
        </is>
      </c>
      <c r="E3204" t="n">
        <v>9</v>
      </c>
      <c r="F3204" t="n">
        <v>0.1914</v>
      </c>
      <c r="G3204" t="n">
        <v>0.66</v>
      </c>
      <c r="H3204" t="n">
        <v>4</v>
      </c>
      <c r="I3204" t="n">
        <v>20</v>
      </c>
      <c r="J3204" t="n">
        <v>3</v>
      </c>
      <c r="K3204" t="n">
        <v>56</v>
      </c>
      <c r="L3204" t="n">
        <v>29592</v>
      </c>
      <c r="M3204" t="n">
        <v>36000</v>
      </c>
      <c r="N3204" t="n">
        <v>33</v>
      </c>
      <c r="O3204" t="n">
        <v>0.33</v>
      </c>
      <c r="P3204" t="n">
        <v>1</v>
      </c>
      <c r="Q3204" t="n">
        <v>0.25</v>
      </c>
      <c r="R3204" t="n">
        <v>2</v>
      </c>
      <c r="S3204" t="n">
        <v>6890.4</v>
      </c>
      <c r="T3204" t="n">
        <v>13</v>
      </c>
      <c r="U3204" t="n">
        <v>14</v>
      </c>
      <c r="V3204" t="n">
        <v>30</v>
      </c>
      <c r="W3204" t="n">
        <v>6</v>
      </c>
      <c r="X3204" t="n">
        <v>47.02194357366771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7664</v>
      </c>
      <c r="AG3204" t="n">
        <v>1</v>
      </c>
      <c r="AH3204" t="inlineStr">
        <is>
          <t>PT. BERSAMA DISTRIVERSA INDONESIA (DC CIPUTAT)</t>
        </is>
      </c>
      <c r="AI3204" t="n">
        <v>126</v>
      </c>
      <c r="AJ3204" t="inlineStr">
        <is>
          <t>PIGEON TEENS</t>
        </is>
      </c>
      <c r="AK3204" t="n">
        <v>9</v>
      </c>
      <c r="AL3204" t="inlineStr">
        <is>
          <t>Miss Glam Jambi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PIGEON TEENS</t>
        </is>
      </c>
      <c r="B3205" s="2">
        <f>"8992771010710"</f>
        <v/>
      </c>
      <c r="C3205" t="inlineStr">
        <is>
          <t>PIGEON TEENS Bright Heroes Sleeping Mask 30ml</t>
        </is>
      </c>
      <c r="D3205" t="inlineStr">
        <is>
          <t>Miss Glam Jambi</t>
        </is>
      </c>
      <c r="E3205" t="n">
        <v>24</v>
      </c>
      <c r="F3205" t="n">
        <v>0.1122</v>
      </c>
      <c r="G3205" t="n">
        <v>0.66</v>
      </c>
      <c r="H3205" t="n">
        <v>4</v>
      </c>
      <c r="I3205" t="n">
        <v>20</v>
      </c>
      <c r="J3205" t="n">
        <v>3</v>
      </c>
      <c r="K3205" t="n">
        <v>0</v>
      </c>
      <c r="L3205" t="n">
        <v>29993</v>
      </c>
      <c r="M3205" t="n">
        <v>36500</v>
      </c>
      <c r="N3205" t="n">
        <v>33</v>
      </c>
      <c r="O3205" t="n">
        <v>0.33</v>
      </c>
      <c r="P3205" t="n">
        <v>1</v>
      </c>
      <c r="Q3205" t="n">
        <v>0.12</v>
      </c>
      <c r="R3205" t="n">
        <v>1</v>
      </c>
      <c r="S3205" t="n">
        <v>4095.3</v>
      </c>
      <c r="T3205" t="n">
        <v>13</v>
      </c>
      <c r="U3205" t="n">
        <v>14</v>
      </c>
      <c r="V3205" t="n">
        <v>30</v>
      </c>
      <c r="W3205" t="n">
        <v>4</v>
      </c>
      <c r="X3205" t="n">
        <v>213.903743315508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7664</v>
      </c>
      <c r="AG3205" t="n">
        <v>1</v>
      </c>
      <c r="AH3205" t="inlineStr">
        <is>
          <t>PT. BERSAMA DISTRIVERSA INDONESIA (DC CIPUTAT)</t>
        </is>
      </c>
      <c r="AI3205" t="n">
        <v>126</v>
      </c>
      <c r="AJ3205" t="inlineStr">
        <is>
          <t>PIGEON TEENS</t>
        </is>
      </c>
      <c r="AK3205" t="n">
        <v>9</v>
      </c>
      <c r="AL3205" t="inlineStr">
        <is>
          <t>Miss Glam Jambi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PIGEON TEENS</t>
        </is>
      </c>
      <c r="B3206" s="2">
        <f>"8992771010666"</f>
        <v/>
      </c>
      <c r="C3206" t="inlineStr">
        <is>
          <t>PIGEON TEENS Bright Heroes Toner 100ml</t>
        </is>
      </c>
      <c r="D3206" t="inlineStr">
        <is>
          <t>Miss Glam Jambi</t>
        </is>
      </c>
      <c r="E3206" t="n">
        <v>19</v>
      </c>
      <c r="F3206" t="n">
        <v>0.0165</v>
      </c>
      <c r="G3206" t="n">
        <v>0.33</v>
      </c>
      <c r="H3206" t="n">
        <v>4</v>
      </c>
      <c r="I3206" t="n">
        <v>20</v>
      </c>
      <c r="J3206" t="n">
        <v>3</v>
      </c>
      <c r="K3206" t="n">
        <v>0</v>
      </c>
      <c r="L3206" t="n">
        <v>29766</v>
      </c>
      <c r="M3206" t="n">
        <v>36500</v>
      </c>
      <c r="N3206" t="n">
        <v>33</v>
      </c>
      <c r="O3206" t="n">
        <v>0.33</v>
      </c>
      <c r="P3206" t="n">
        <v>1</v>
      </c>
      <c r="Q3206" t="n">
        <v>0.14</v>
      </c>
      <c r="R3206" t="n">
        <v>1</v>
      </c>
      <c r="S3206" t="n">
        <v>602.25</v>
      </c>
      <c r="T3206" t="n">
        <v>7</v>
      </c>
      <c r="U3206" t="n">
        <v>8</v>
      </c>
      <c r="V3206" t="n">
        <v>30</v>
      </c>
      <c r="W3206" t="n">
        <v>1</v>
      </c>
      <c r="X3206" t="n">
        <v>1151.515151515152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7664</v>
      </c>
      <c r="AG3206" t="n">
        <v>1</v>
      </c>
      <c r="AH3206" t="inlineStr">
        <is>
          <t>PT. BERSAMA DISTRIVERSA INDONESIA (DC CIPUTAT)</t>
        </is>
      </c>
      <c r="AI3206" t="n">
        <v>126</v>
      </c>
      <c r="AJ3206" t="inlineStr">
        <is>
          <t>PIGEON TEENS</t>
        </is>
      </c>
      <c r="AK3206" t="n">
        <v>9</v>
      </c>
      <c r="AL3206" t="inlineStr">
        <is>
          <t>Miss Glam Jambi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PIGEON TEENS</t>
        </is>
      </c>
      <c r="B3207" s="2">
        <f>"8992771010635"</f>
        <v/>
      </c>
      <c r="C3207" t="inlineStr">
        <is>
          <t>PIGEON TEENS Calm Fairy Body Serum 100ml</t>
        </is>
      </c>
      <c r="D3207" t="inlineStr">
        <is>
          <t>Miss Glam Jambi</t>
        </is>
      </c>
      <c r="E3207" t="n">
        <v>2</v>
      </c>
      <c r="F3207" t="n">
        <v>0.006600000000000001</v>
      </c>
      <c r="G3207" t="n">
        <v>0.33</v>
      </c>
      <c r="H3207" t="n">
        <v>4</v>
      </c>
      <c r="I3207" t="n">
        <v>20</v>
      </c>
      <c r="J3207" t="n">
        <v>3</v>
      </c>
      <c r="K3207" t="n">
        <v>0</v>
      </c>
      <c r="L3207" t="n">
        <v>28000</v>
      </c>
      <c r="M3207" t="n">
        <v>33500</v>
      </c>
      <c r="N3207" t="n">
        <v>33</v>
      </c>
      <c r="O3207" t="n">
        <v>0.33</v>
      </c>
      <c r="P3207" t="n">
        <v>1</v>
      </c>
      <c r="Q3207" t="n">
        <v>0.03</v>
      </c>
      <c r="R3207" t="n">
        <v>1</v>
      </c>
      <c r="S3207" t="n">
        <v>221.1</v>
      </c>
      <c r="T3207" t="n">
        <v>7</v>
      </c>
      <c r="U3207" t="n">
        <v>8</v>
      </c>
      <c r="V3207" t="n">
        <v>30</v>
      </c>
      <c r="W3207" t="n">
        <v>1</v>
      </c>
      <c r="X3207" t="n">
        <v>303.030303030303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7664</v>
      </c>
      <c r="AG3207" t="n">
        <v>1</v>
      </c>
      <c r="AH3207" t="inlineStr">
        <is>
          <t>PT. BERSAMA DISTRIVERSA INDONESIA (DC CIPUTAT)</t>
        </is>
      </c>
      <c r="AI3207" t="n">
        <v>126</v>
      </c>
      <c r="AJ3207" t="inlineStr">
        <is>
          <t>PIGEON TEENS</t>
        </is>
      </c>
      <c r="AK3207" t="n">
        <v>9</v>
      </c>
      <c r="AL3207" t="inlineStr">
        <is>
          <t>Miss Glam Jambi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PIGEON TEENS</t>
        </is>
      </c>
      <c r="B3208" s="2">
        <f>"8992771008953"</f>
        <v/>
      </c>
      <c r="C3208" t="inlineStr">
        <is>
          <t>PIGEON TEENS Compact Powder + Uv Natural 14gr</t>
        </is>
      </c>
      <c r="D3208" t="inlineStr">
        <is>
          <t>Miss Glam Jambi</t>
        </is>
      </c>
      <c r="E3208" t="n">
        <v>13</v>
      </c>
      <c r="F3208" t="n">
        <v>0.0726</v>
      </c>
      <c r="G3208" t="n">
        <v>0.99</v>
      </c>
      <c r="H3208" t="n">
        <v>4</v>
      </c>
      <c r="I3208" t="n">
        <v>20</v>
      </c>
      <c r="J3208" t="n">
        <v>3</v>
      </c>
      <c r="K3208" t="n">
        <v>0</v>
      </c>
      <c r="L3208" t="n">
        <v>36571</v>
      </c>
      <c r="M3208" t="n">
        <v>43000</v>
      </c>
      <c r="N3208" t="n">
        <v>33</v>
      </c>
      <c r="O3208" t="n">
        <v>0.33</v>
      </c>
      <c r="P3208" t="n">
        <v>1</v>
      </c>
      <c r="Q3208" t="n">
        <v>0.2</v>
      </c>
      <c r="R3208" t="n">
        <v>2</v>
      </c>
      <c r="S3208" t="n">
        <v>3121.8</v>
      </c>
      <c r="T3208" t="n">
        <v>20</v>
      </c>
      <c r="U3208" t="n">
        <v>21</v>
      </c>
      <c r="V3208" t="n">
        <v>30</v>
      </c>
      <c r="W3208" t="n">
        <v>3</v>
      </c>
      <c r="X3208" t="n">
        <v>179.0633608815427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7664</v>
      </c>
      <c r="AG3208" t="n">
        <v>1</v>
      </c>
      <c r="AH3208" t="inlineStr">
        <is>
          <t>PT. BERSAMA DISTRIVERSA INDONESIA (DC CIPUTAT)</t>
        </is>
      </c>
      <c r="AI3208" t="n">
        <v>126</v>
      </c>
      <c r="AJ3208" t="inlineStr">
        <is>
          <t>PIGEON TEENS</t>
        </is>
      </c>
      <c r="AK3208" t="n">
        <v>9</v>
      </c>
      <c r="AL3208" t="inlineStr">
        <is>
          <t>Miss Glam Jambi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PIGEON TEENS</t>
        </is>
      </c>
      <c r="B3209" s="2">
        <f>"8992771008946"</f>
        <v/>
      </c>
      <c r="C3209" t="inlineStr">
        <is>
          <t>PIGEON TEENS Compact Powder + Uv Pink 14gr</t>
        </is>
      </c>
      <c r="D3209" t="inlineStr">
        <is>
          <t>Miss Glam Jambi</t>
        </is>
      </c>
      <c r="E3209" t="n">
        <v>7</v>
      </c>
      <c r="F3209" t="n">
        <v>0.006600000000000001</v>
      </c>
      <c r="G3209" t="n">
        <v>0.33</v>
      </c>
      <c r="H3209" t="n">
        <v>4</v>
      </c>
      <c r="I3209" t="n">
        <v>20</v>
      </c>
      <c r="J3209" t="n">
        <v>3</v>
      </c>
      <c r="K3209" t="n">
        <v>0</v>
      </c>
      <c r="L3209" t="n">
        <v>38764</v>
      </c>
      <c r="M3209" t="n">
        <v>42500</v>
      </c>
      <c r="N3209" t="n">
        <v>33</v>
      </c>
      <c r="O3209" t="n">
        <v>0.33</v>
      </c>
      <c r="P3209" t="n">
        <v>1</v>
      </c>
      <c r="Q3209" t="n">
        <v>0.03</v>
      </c>
      <c r="R3209" t="n">
        <v>1</v>
      </c>
      <c r="S3209" t="n">
        <v>280.5000000000001</v>
      </c>
      <c r="T3209" t="n">
        <v>7</v>
      </c>
      <c r="U3209" t="n">
        <v>8</v>
      </c>
      <c r="V3209" t="n">
        <v>30</v>
      </c>
      <c r="W3209" t="n">
        <v>1</v>
      </c>
      <c r="X3209" t="n">
        <v>1060.606060606061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7664</v>
      </c>
      <c r="AG3209" t="n">
        <v>1</v>
      </c>
      <c r="AH3209" t="inlineStr">
        <is>
          <t>PT. BERSAMA DISTRIVERSA INDONESIA (DC CIPUTAT)</t>
        </is>
      </c>
      <c r="AI3209" t="n">
        <v>126</v>
      </c>
      <c r="AJ3209" t="inlineStr">
        <is>
          <t>PIGEON TEENS</t>
        </is>
      </c>
      <c r="AK3209" t="n">
        <v>9</v>
      </c>
      <c r="AL3209" t="inlineStr">
        <is>
          <t>Miss Glam Jambi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PIGEON TEENS</t>
        </is>
      </c>
      <c r="B3210" s="2">
        <f>"8992771008977"</f>
        <v/>
      </c>
      <c r="C3210" t="inlineStr">
        <is>
          <t>PIGEON TEENS Compact Powder + Uv Sand 14gr</t>
        </is>
      </c>
      <c r="D3210" t="inlineStr">
        <is>
          <t>Miss Glam Jambi</t>
        </is>
      </c>
      <c r="E3210" t="n">
        <v>2</v>
      </c>
      <c r="F3210" t="n">
        <v>0.009900000000000001</v>
      </c>
      <c r="G3210" t="n">
        <v>0.33</v>
      </c>
      <c r="H3210" t="n">
        <v>4</v>
      </c>
      <c r="I3210" t="n">
        <v>20</v>
      </c>
      <c r="J3210" t="n">
        <v>3</v>
      </c>
      <c r="K3210" t="n">
        <v>0</v>
      </c>
      <c r="L3210" t="n">
        <v>37800</v>
      </c>
      <c r="M3210" t="n">
        <v>42500</v>
      </c>
      <c r="N3210" t="n">
        <v>33</v>
      </c>
      <c r="O3210" t="n">
        <v>0.33</v>
      </c>
      <c r="P3210" t="n">
        <v>1</v>
      </c>
      <c r="Q3210" t="n">
        <v>0.07000000000000001</v>
      </c>
      <c r="R3210" t="n">
        <v>2</v>
      </c>
      <c r="S3210" t="n">
        <v>420.7500000000001</v>
      </c>
      <c r="T3210" t="n">
        <v>7</v>
      </c>
      <c r="U3210" t="n">
        <v>8</v>
      </c>
      <c r="V3210" t="n">
        <v>30</v>
      </c>
      <c r="W3210" t="n">
        <v>1</v>
      </c>
      <c r="X3210" t="n">
        <v>202.020202020202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7664</v>
      </c>
      <c r="AG3210" t="n">
        <v>1</v>
      </c>
      <c r="AH3210" t="inlineStr">
        <is>
          <t>PT. BERSAMA DISTRIVERSA INDONESIA (DC CIPUTAT)</t>
        </is>
      </c>
      <c r="AI3210" t="n">
        <v>126</v>
      </c>
      <c r="AJ3210" t="inlineStr">
        <is>
          <t>PIGEON TEENS</t>
        </is>
      </c>
      <c r="AK3210" t="n">
        <v>9</v>
      </c>
      <c r="AL3210" t="inlineStr">
        <is>
          <t>Miss Glam Jambi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PIGEON TEENS</t>
        </is>
      </c>
      <c r="B3211" s="2">
        <f>"8992771008441"</f>
        <v/>
      </c>
      <c r="C3211" t="inlineStr">
        <is>
          <t>PIGEON TEENS Compact Powder Beige 14gr</t>
        </is>
      </c>
      <c r="D3211" t="inlineStr">
        <is>
          <t>Miss Glam Jambi</t>
        </is>
      </c>
      <c r="E3211" t="n">
        <v>5</v>
      </c>
      <c r="F3211" t="n">
        <v>0.02</v>
      </c>
      <c r="G3211" t="n">
        <v>0</v>
      </c>
      <c r="H3211" t="n">
        <v>4</v>
      </c>
      <c r="I3211" t="n">
        <v>20</v>
      </c>
      <c r="J3211" t="n">
        <v>3</v>
      </c>
      <c r="K3211" t="n">
        <v>9</v>
      </c>
      <c r="L3211" t="n">
        <v>34114</v>
      </c>
      <c r="M3211" t="n">
        <v>43000</v>
      </c>
      <c r="N3211" t="n">
        <v>33</v>
      </c>
      <c r="O3211" t="n">
        <v>0.33</v>
      </c>
      <c r="P3211" t="n">
        <v>0</v>
      </c>
      <c r="Q3211" t="n">
        <v>0.02</v>
      </c>
      <c r="R3211" t="n">
        <v>0</v>
      </c>
      <c r="S3211" t="n">
        <v>860</v>
      </c>
      <c r="T3211" t="n">
        <v>0</v>
      </c>
      <c r="U3211" t="n">
        <v>1</v>
      </c>
      <c r="V3211" t="n">
        <v>30</v>
      </c>
      <c r="W3211" t="n">
        <v>1</v>
      </c>
      <c r="X3211" t="n">
        <v>250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7664</v>
      </c>
      <c r="AG3211" t="n">
        <v>1</v>
      </c>
      <c r="AH3211" t="inlineStr">
        <is>
          <t>PT. BERSAMA DISTRIVERSA INDONESIA (DC CIPUTAT)</t>
        </is>
      </c>
      <c r="AI3211" t="n">
        <v>126</v>
      </c>
      <c r="AJ3211" t="inlineStr">
        <is>
          <t>PIGEON TEENS</t>
        </is>
      </c>
      <c r="AK3211" t="n">
        <v>9</v>
      </c>
      <c r="AL3211" t="inlineStr">
        <is>
          <t>Miss Glam Jambi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PIGEON TEENS</t>
        </is>
      </c>
      <c r="B3212" s="2">
        <f>"8992771008434"</f>
        <v/>
      </c>
      <c r="C3212" t="inlineStr">
        <is>
          <t>PIGEON TEENS Compact Powder Pure White 14gr</t>
        </is>
      </c>
      <c r="D3212" t="inlineStr">
        <is>
          <t>Miss Glam Jambi</t>
        </is>
      </c>
      <c r="E3212" t="n">
        <v>2</v>
      </c>
      <c r="F3212" t="n">
        <v>0.0264</v>
      </c>
      <c r="G3212" t="n">
        <v>0.33</v>
      </c>
      <c r="H3212" t="n">
        <v>4</v>
      </c>
      <c r="I3212" t="n">
        <v>20</v>
      </c>
      <c r="J3212" t="n">
        <v>3</v>
      </c>
      <c r="K3212" t="n">
        <v>0</v>
      </c>
      <c r="L3212" t="n">
        <v>37799</v>
      </c>
      <c r="M3212" t="n">
        <v>42500</v>
      </c>
      <c r="N3212" t="n">
        <v>33</v>
      </c>
      <c r="O3212" t="n">
        <v>0.33</v>
      </c>
      <c r="P3212" t="n">
        <v>1</v>
      </c>
      <c r="Q3212" t="n">
        <v>0.1</v>
      </c>
      <c r="R3212" t="n">
        <v>2</v>
      </c>
      <c r="S3212" t="n">
        <v>1122</v>
      </c>
      <c r="T3212" t="n">
        <v>7</v>
      </c>
      <c r="U3212" t="n">
        <v>8</v>
      </c>
      <c r="V3212" t="n">
        <v>30</v>
      </c>
      <c r="W3212" t="n">
        <v>1</v>
      </c>
      <c r="X3212" t="n">
        <v>75.75757575757575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7664</v>
      </c>
      <c r="AG3212" t="n">
        <v>1</v>
      </c>
      <c r="AH3212" t="inlineStr">
        <is>
          <t>PT. BERSAMA DISTRIVERSA INDONESIA (DC CIPUTAT)</t>
        </is>
      </c>
      <c r="AI3212" t="n">
        <v>126</v>
      </c>
      <c r="AJ3212" t="inlineStr">
        <is>
          <t>PIGEON TEENS</t>
        </is>
      </c>
      <c r="AK3212" t="n">
        <v>9</v>
      </c>
      <c r="AL3212" t="inlineStr">
        <is>
          <t>Miss Glam Jambi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PIGEON TEENS</t>
        </is>
      </c>
      <c r="B3213" s="2">
        <f>"8992771003224"</f>
        <v/>
      </c>
      <c r="C3213" t="inlineStr">
        <is>
          <t>PIGEON TEENS Cotton Swab Baby 100pcs</t>
        </is>
      </c>
      <c r="D3213" t="inlineStr">
        <is>
          <t>Miss Glam Jambi</t>
        </is>
      </c>
      <c r="E3213" t="n">
        <v>16</v>
      </c>
      <c r="F3213" t="n">
        <v>0.4983</v>
      </c>
      <c r="G3213" t="n">
        <v>1.98</v>
      </c>
      <c r="H3213" t="n">
        <v>4</v>
      </c>
      <c r="I3213" t="n">
        <v>20</v>
      </c>
      <c r="J3213" t="n">
        <v>3</v>
      </c>
      <c r="K3213" t="n">
        <v>0</v>
      </c>
      <c r="L3213" t="n">
        <v>8159</v>
      </c>
      <c r="M3213" t="n">
        <v>9500</v>
      </c>
      <c r="N3213" t="n">
        <v>33</v>
      </c>
      <c r="O3213" t="n">
        <v>0.33</v>
      </c>
      <c r="P3213" t="n">
        <v>1</v>
      </c>
      <c r="Q3213" t="n">
        <v>0.36</v>
      </c>
      <c r="R3213" t="n">
        <v>3</v>
      </c>
      <c r="S3213" t="n">
        <v>4733.85</v>
      </c>
      <c r="T3213" t="n">
        <v>38</v>
      </c>
      <c r="U3213" t="n">
        <v>40</v>
      </c>
      <c r="V3213" t="n">
        <v>30</v>
      </c>
      <c r="W3213" t="n">
        <v>15</v>
      </c>
      <c r="X3213" t="n">
        <v>32.10917118201886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7664</v>
      </c>
      <c r="AG3213" t="n">
        <v>1</v>
      </c>
      <c r="AH3213" t="inlineStr">
        <is>
          <t>PT. BERSAMA DISTRIVERSA INDONESIA (DC CIPUTAT)</t>
        </is>
      </c>
      <c r="AI3213" t="n">
        <v>126</v>
      </c>
      <c r="AJ3213" t="inlineStr">
        <is>
          <t>PIGEON TEENS</t>
        </is>
      </c>
      <c r="AK3213" t="n">
        <v>9</v>
      </c>
      <c r="AL3213" t="inlineStr">
        <is>
          <t>Miss Glam Jambi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PIGEON TEENS</t>
        </is>
      </c>
      <c r="B3214" s="2">
        <f>"8992771010727"</f>
        <v/>
      </c>
      <c r="C3214" t="inlineStr">
        <is>
          <t>PIGEON TEENS Everyday Sunscreen SPF 35/PA+++ 60ml</t>
        </is>
      </c>
      <c r="D3214" t="inlineStr">
        <is>
          <t>Miss Glam Jambi</t>
        </is>
      </c>
      <c r="E3214" t="n">
        <v>2</v>
      </c>
      <c r="F3214" t="n">
        <v>0.1023</v>
      </c>
      <c r="G3214" t="n">
        <v>0.99</v>
      </c>
      <c r="H3214" t="n">
        <v>4</v>
      </c>
      <c r="I3214" t="n">
        <v>20</v>
      </c>
      <c r="J3214" t="n">
        <v>3</v>
      </c>
      <c r="K3214" t="n">
        <v>24</v>
      </c>
      <c r="L3214" t="n">
        <v>57959</v>
      </c>
      <c r="M3214" t="n">
        <v>74000</v>
      </c>
      <c r="N3214" t="n">
        <v>33</v>
      </c>
      <c r="O3214" t="n">
        <v>0.33</v>
      </c>
      <c r="P3214" t="n">
        <v>1</v>
      </c>
      <c r="Q3214" t="n">
        <v>0.14</v>
      </c>
      <c r="R3214" t="n">
        <v>1</v>
      </c>
      <c r="S3214" t="n">
        <v>7570.2</v>
      </c>
      <c r="T3214" t="n">
        <v>20</v>
      </c>
      <c r="U3214" t="n">
        <v>21</v>
      </c>
      <c r="V3214" t="n">
        <v>30</v>
      </c>
      <c r="W3214" t="n">
        <v>4</v>
      </c>
      <c r="X3214" t="n">
        <v>19.55034213098729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7664</v>
      </c>
      <c r="AG3214" t="n">
        <v>1</v>
      </c>
      <c r="AH3214" t="inlineStr">
        <is>
          <t>PT. BERSAMA DISTRIVERSA INDONESIA (DC CIPUTAT)</t>
        </is>
      </c>
      <c r="AI3214" t="n">
        <v>126</v>
      </c>
      <c r="AJ3214" t="inlineStr">
        <is>
          <t>PIGEON TEENS</t>
        </is>
      </c>
      <c r="AK3214" t="n">
        <v>9</v>
      </c>
      <c r="AL3214" t="inlineStr">
        <is>
          <t>Miss Glam Jambi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PIGEON TEENS</t>
        </is>
      </c>
      <c r="B3215" s="2">
        <f>"8992771010338"</f>
        <v/>
      </c>
      <c r="C3215" t="inlineStr">
        <is>
          <t>PIGEON TEENS Everyday Sunscreen SPF35 PA+++ 30ml</t>
        </is>
      </c>
      <c r="D3215" t="inlineStr">
        <is>
          <t>Miss Glam Jambi</t>
        </is>
      </c>
      <c r="E3215" t="n">
        <v>1</v>
      </c>
      <c r="F3215" t="n">
        <v>0.5313000000000001</v>
      </c>
      <c r="G3215" t="n">
        <v>1.98</v>
      </c>
      <c r="H3215" t="n">
        <v>4</v>
      </c>
      <c r="I3215" t="n">
        <v>20</v>
      </c>
      <c r="J3215" t="n">
        <v>3</v>
      </c>
      <c r="K3215" t="n">
        <v>48</v>
      </c>
      <c r="L3215" t="n">
        <v>33946</v>
      </c>
      <c r="M3215" t="n">
        <v>40000</v>
      </c>
      <c r="N3215" t="n">
        <v>33</v>
      </c>
      <c r="O3215" t="n">
        <v>0.33</v>
      </c>
      <c r="P3215" t="n">
        <v>1</v>
      </c>
      <c r="Q3215" t="n">
        <v>0.75</v>
      </c>
      <c r="R3215" t="n">
        <v>4</v>
      </c>
      <c r="S3215" t="n">
        <v>21252</v>
      </c>
      <c r="T3215" t="n">
        <v>38</v>
      </c>
      <c r="U3215" t="n">
        <v>41</v>
      </c>
      <c r="V3215" t="n">
        <v>30</v>
      </c>
      <c r="W3215" t="n">
        <v>16</v>
      </c>
      <c r="X3215" t="n">
        <v>1.882175795219273</v>
      </c>
      <c r="Y3215" t="n">
        <v>1</v>
      </c>
      <c r="Z3215" t="n">
        <v>0</v>
      </c>
      <c r="AA3215" t="n">
        <v>9</v>
      </c>
      <c r="AB3215" t="n">
        <v>0</v>
      </c>
      <c r="AC3215" t="n">
        <v>0</v>
      </c>
      <c r="AD3215" t="n">
        <v>305514</v>
      </c>
      <c r="AE3215" t="n">
        <v>0</v>
      </c>
      <c r="AF3215" t="n">
        <v>7664</v>
      </c>
      <c r="AG3215" t="n">
        <v>1</v>
      </c>
      <c r="AH3215" t="inlineStr">
        <is>
          <t>PT. BERSAMA DISTRIVERSA INDONESIA (DC CIPUTAT)</t>
        </is>
      </c>
      <c r="AI3215" t="n">
        <v>126</v>
      </c>
      <c r="AJ3215" t="inlineStr">
        <is>
          <t>PIGEON TEENS</t>
        </is>
      </c>
      <c r="AK3215" t="n">
        <v>9</v>
      </c>
      <c r="AL3215" t="inlineStr">
        <is>
          <t>Miss Glam Jambi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PIGEON TEENS</t>
        </is>
      </c>
      <c r="B3216" s="2">
        <f>"10800505749"</f>
        <v/>
      </c>
      <c r="C3216" t="inlineStr">
        <is>
          <t>PIGEON TEENS Eyes On You Eye Serum 16ml</t>
        </is>
      </c>
      <c r="D3216" t="inlineStr">
        <is>
          <t>Miss Glam Jambi</t>
        </is>
      </c>
      <c r="E3216" t="n">
        <v>0</v>
      </c>
      <c r="F3216" t="n">
        <v>0.0264</v>
      </c>
      <c r="G3216" t="n">
        <v>0.33</v>
      </c>
      <c r="H3216" t="n">
        <v>4</v>
      </c>
      <c r="I3216" t="n">
        <v>20</v>
      </c>
      <c r="J3216" t="n">
        <v>1</v>
      </c>
      <c r="K3216" t="n">
        <v>3</v>
      </c>
      <c r="L3216" t="n">
        <v>37146</v>
      </c>
      <c r="M3216" t="n">
        <v>44500</v>
      </c>
      <c r="N3216" t="n">
        <v>33</v>
      </c>
      <c r="O3216" t="n">
        <v>0.33</v>
      </c>
      <c r="P3216" t="n">
        <v>1</v>
      </c>
      <c r="Q3216" t="n">
        <v>0.1</v>
      </c>
      <c r="R3216" t="n">
        <v>2</v>
      </c>
      <c r="S3216" t="n">
        <v>1174.8</v>
      </c>
      <c r="T3216" t="n">
        <v>7</v>
      </c>
      <c r="U3216" t="n">
        <v>8</v>
      </c>
      <c r="V3216" t="n">
        <v>30</v>
      </c>
      <c r="W3216" t="n">
        <v>1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7664</v>
      </c>
      <c r="AG3216" t="n">
        <v>1</v>
      </c>
      <c r="AH3216" t="inlineStr">
        <is>
          <t>PT. BERSAMA DISTRIVERSA INDONESIA (DC CIPUTAT)</t>
        </is>
      </c>
      <c r="AI3216" t="n">
        <v>126</v>
      </c>
      <c r="AJ3216" t="inlineStr">
        <is>
          <t>PIGEON TEENS</t>
        </is>
      </c>
      <c r="AK3216" t="n">
        <v>9</v>
      </c>
      <c r="AL3216" t="inlineStr">
        <is>
          <t>Miss Glam Jambi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PIGEON TEENS</t>
        </is>
      </c>
      <c r="B3217" s="2">
        <f>"8992771010147"</f>
        <v/>
      </c>
      <c r="C3217" t="inlineStr">
        <is>
          <t>PIGEON TEENS Facial Foam 100ml</t>
        </is>
      </c>
      <c r="D3217" t="inlineStr">
        <is>
          <t>Miss Glam Jambi</t>
        </is>
      </c>
      <c r="E3217" t="n">
        <v>11</v>
      </c>
      <c r="F3217" t="n">
        <v>0.0495</v>
      </c>
      <c r="G3217" t="n">
        <v>0.99</v>
      </c>
      <c r="H3217" t="n">
        <v>4</v>
      </c>
      <c r="I3217" t="n">
        <v>20</v>
      </c>
      <c r="J3217" t="n">
        <v>3</v>
      </c>
      <c r="K3217" t="n">
        <v>0</v>
      </c>
      <c r="L3217" t="n">
        <v>20007</v>
      </c>
      <c r="M3217" t="n">
        <v>24500</v>
      </c>
      <c r="N3217" t="n">
        <v>33</v>
      </c>
      <c r="O3217" t="n">
        <v>0.33</v>
      </c>
      <c r="P3217" t="n">
        <v>1</v>
      </c>
      <c r="Q3217" t="n">
        <v>0.32</v>
      </c>
      <c r="R3217" t="n">
        <v>3</v>
      </c>
      <c r="S3217" t="n">
        <v>1212.75</v>
      </c>
      <c r="T3217" t="n">
        <v>20</v>
      </c>
      <c r="U3217" t="n">
        <v>21</v>
      </c>
      <c r="V3217" t="n">
        <v>30</v>
      </c>
      <c r="W3217" t="n">
        <v>2</v>
      </c>
      <c r="X3217" t="n">
        <v>222.2222222222222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7664</v>
      </c>
      <c r="AG3217" t="n">
        <v>1</v>
      </c>
      <c r="AH3217" t="inlineStr">
        <is>
          <t>PT. BERSAMA DISTRIVERSA INDONESIA (DC CIPUTAT)</t>
        </is>
      </c>
      <c r="AI3217" t="n">
        <v>126</v>
      </c>
      <c r="AJ3217" t="inlineStr">
        <is>
          <t>PIGEON TEENS</t>
        </is>
      </c>
      <c r="AK3217" t="n">
        <v>9</v>
      </c>
      <c r="AL3217" t="inlineStr">
        <is>
          <t>Miss Glam Jambi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PIGEON TEENS</t>
        </is>
      </c>
      <c r="B3218" s="2">
        <f>"8992771010239"</f>
        <v/>
      </c>
      <c r="C3218" t="inlineStr">
        <is>
          <t>PIGEON TEENS Facial Foam Acne Care 100gr</t>
        </is>
      </c>
      <c r="D3218" t="inlineStr">
        <is>
          <t>Miss Glam Jambi</t>
        </is>
      </c>
      <c r="E3218" t="n">
        <v>5</v>
      </c>
      <c r="F3218" t="n">
        <v>0.1188</v>
      </c>
      <c r="G3218" t="n">
        <v>0.66</v>
      </c>
      <c r="H3218" t="n">
        <v>4</v>
      </c>
      <c r="I3218" t="n">
        <v>20</v>
      </c>
      <c r="J3218" t="n">
        <v>3</v>
      </c>
      <c r="K3218" t="n">
        <v>0</v>
      </c>
      <c r="L3218" t="n">
        <v>26712</v>
      </c>
      <c r="M3218" t="n">
        <v>30500</v>
      </c>
      <c r="N3218" t="n">
        <v>33</v>
      </c>
      <c r="O3218" t="n">
        <v>0.33</v>
      </c>
      <c r="P3218" t="n">
        <v>1</v>
      </c>
      <c r="Q3218" t="n">
        <v>0.24</v>
      </c>
      <c r="R3218" t="n">
        <v>2</v>
      </c>
      <c r="S3218" t="n">
        <v>3623.4</v>
      </c>
      <c r="T3218" t="n">
        <v>13</v>
      </c>
      <c r="U3218" t="n">
        <v>14</v>
      </c>
      <c r="V3218" t="n">
        <v>30</v>
      </c>
      <c r="W3218" t="n">
        <v>4</v>
      </c>
      <c r="X3218" t="n">
        <v>42.08754208754209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7664</v>
      </c>
      <c r="AG3218" t="n">
        <v>1</v>
      </c>
      <c r="AH3218" t="inlineStr">
        <is>
          <t>PT. BERSAMA DISTRIVERSA INDONESIA (DC CIPUTAT)</t>
        </is>
      </c>
      <c r="AI3218" t="n">
        <v>126</v>
      </c>
      <c r="AJ3218" t="inlineStr">
        <is>
          <t>PIGEON TEENS</t>
        </is>
      </c>
      <c r="AK3218" t="n">
        <v>9</v>
      </c>
      <c r="AL3218" t="inlineStr">
        <is>
          <t>Miss Glam Jambi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PIGEON TEENS</t>
        </is>
      </c>
      <c r="B3219" s="2">
        <f>"8992771010345"</f>
        <v/>
      </c>
      <c r="C3219" t="inlineStr">
        <is>
          <t>PIGEON TEENS Facial Foam Acne Care 40gr</t>
        </is>
      </c>
      <c r="D3219" t="inlineStr">
        <is>
          <t>Miss Glam Jambi</t>
        </is>
      </c>
      <c r="E3219" t="n">
        <v>6</v>
      </c>
      <c r="F3219" t="n">
        <v>0.09569999999999999</v>
      </c>
      <c r="G3219" t="n">
        <v>0.66</v>
      </c>
      <c r="H3219" t="n">
        <v>4</v>
      </c>
      <c r="I3219" t="n">
        <v>20</v>
      </c>
      <c r="J3219" t="n">
        <v>3</v>
      </c>
      <c r="K3219" t="n">
        <v>0</v>
      </c>
      <c r="L3219" t="n">
        <v>16281</v>
      </c>
      <c r="M3219" t="n">
        <v>18000</v>
      </c>
      <c r="N3219" t="n">
        <v>33</v>
      </c>
      <c r="O3219" t="n">
        <v>0.33</v>
      </c>
      <c r="P3219" t="n">
        <v>1</v>
      </c>
      <c r="Q3219" t="n">
        <v>0.1</v>
      </c>
      <c r="R3219" t="n">
        <v>2</v>
      </c>
      <c r="S3219" t="n">
        <v>1722.6</v>
      </c>
      <c r="T3219" t="n">
        <v>13</v>
      </c>
      <c r="U3219" t="n">
        <v>14</v>
      </c>
      <c r="V3219" t="n">
        <v>30</v>
      </c>
      <c r="W3219" t="n">
        <v>3</v>
      </c>
      <c r="X3219" t="n">
        <v>62.69592476489029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7664</v>
      </c>
      <c r="AG3219" t="n">
        <v>1</v>
      </c>
      <c r="AH3219" t="inlineStr">
        <is>
          <t>PT. BERSAMA DISTRIVERSA INDONESIA (DC CIPUTAT)</t>
        </is>
      </c>
      <c r="AI3219" t="n">
        <v>126</v>
      </c>
      <c r="AJ3219" t="inlineStr">
        <is>
          <t>PIGEON TEENS</t>
        </is>
      </c>
      <c r="AK3219" t="n">
        <v>9</v>
      </c>
      <c r="AL3219" t="inlineStr">
        <is>
          <t>Miss Glam Jambi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PIGEON TEENS</t>
        </is>
      </c>
      <c r="B3220" s="2">
        <f>"8992771010215"</f>
        <v/>
      </c>
      <c r="C3220" t="inlineStr">
        <is>
          <t>PIGEON TEENS Facial Foam Daily Mild Cleansing 100gr</t>
        </is>
      </c>
      <c r="D3220" t="inlineStr">
        <is>
          <t>Miss Glam Jambi</t>
        </is>
      </c>
      <c r="E3220" t="n">
        <v>12</v>
      </c>
      <c r="F3220" t="n">
        <v>0.2409</v>
      </c>
      <c r="G3220" t="n">
        <v>0.99</v>
      </c>
      <c r="H3220" t="n">
        <v>4</v>
      </c>
      <c r="I3220" t="n">
        <v>20</v>
      </c>
      <c r="J3220" t="n">
        <v>3</v>
      </c>
      <c r="K3220" t="n">
        <v>0</v>
      </c>
      <c r="L3220" t="n">
        <v>23184</v>
      </c>
      <c r="M3220" t="n">
        <v>27500</v>
      </c>
      <c r="N3220" t="n">
        <v>33</v>
      </c>
      <c r="O3220" t="n">
        <v>0.33</v>
      </c>
      <c r="P3220" t="n">
        <v>1</v>
      </c>
      <c r="Q3220" t="n">
        <v>0.51</v>
      </c>
      <c r="R3220" t="n">
        <v>3</v>
      </c>
      <c r="S3220" t="n">
        <v>6624.75</v>
      </c>
      <c r="T3220" t="n">
        <v>19</v>
      </c>
      <c r="U3220" t="n">
        <v>20</v>
      </c>
      <c r="V3220" t="n">
        <v>30</v>
      </c>
      <c r="W3220" t="n">
        <v>8</v>
      </c>
      <c r="X3220" t="n">
        <v>49.81320049813201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7664</v>
      </c>
      <c r="AG3220" t="n">
        <v>1</v>
      </c>
      <c r="AH3220" t="inlineStr">
        <is>
          <t>PT. BERSAMA DISTRIVERSA INDONESIA (DC CIPUTAT)</t>
        </is>
      </c>
      <c r="AI3220" t="n">
        <v>126</v>
      </c>
      <c r="AJ3220" t="inlineStr">
        <is>
          <t>PIGEON TEENS</t>
        </is>
      </c>
      <c r="AK3220" t="n">
        <v>9</v>
      </c>
      <c r="AL3220" t="inlineStr">
        <is>
          <t>Miss Glam Jambi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PIGEON TEENS</t>
        </is>
      </c>
      <c r="B3221" s="2">
        <f>"8992771010222"</f>
        <v/>
      </c>
      <c r="C3221" t="inlineStr">
        <is>
          <t>PIGEON TEENS Facial Foam Daily Mild Cleansing 40gr</t>
        </is>
      </c>
      <c r="D3221" t="inlineStr">
        <is>
          <t>Miss Glam Jambi</t>
        </is>
      </c>
      <c r="E3221" t="n">
        <v>14</v>
      </c>
      <c r="F3221" t="n">
        <v>0.3696</v>
      </c>
      <c r="G3221" t="n">
        <v>1.65</v>
      </c>
      <c r="H3221" t="n">
        <v>4</v>
      </c>
      <c r="I3221" t="n">
        <v>20</v>
      </c>
      <c r="J3221" t="n">
        <v>3</v>
      </c>
      <c r="K3221" t="n">
        <v>0</v>
      </c>
      <c r="L3221" t="n">
        <v>12896</v>
      </c>
      <c r="M3221" t="n">
        <v>15600</v>
      </c>
      <c r="N3221" t="n">
        <v>33</v>
      </c>
      <c r="O3221" t="n">
        <v>0.33</v>
      </c>
      <c r="P3221" t="n">
        <v>1</v>
      </c>
      <c r="Q3221" t="n">
        <v>0.24</v>
      </c>
      <c r="R3221" t="n">
        <v>2</v>
      </c>
      <c r="S3221" t="n">
        <v>5765.76</v>
      </c>
      <c r="T3221" t="n">
        <v>32</v>
      </c>
      <c r="U3221" t="n">
        <v>34</v>
      </c>
      <c r="V3221" t="n">
        <v>30</v>
      </c>
      <c r="W3221" t="n">
        <v>12</v>
      </c>
      <c r="X3221" t="n">
        <v>37.87878787878788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7664</v>
      </c>
      <c r="AG3221" t="n">
        <v>1</v>
      </c>
      <c r="AH3221" t="inlineStr">
        <is>
          <t>PT. BERSAMA DISTRIVERSA INDONESIA (DC CIPUTAT)</t>
        </is>
      </c>
      <c r="AI3221" t="n">
        <v>126</v>
      </c>
      <c r="AJ3221" t="inlineStr">
        <is>
          <t>PIGEON TEENS</t>
        </is>
      </c>
      <c r="AK3221" t="n">
        <v>9</v>
      </c>
      <c r="AL3221" t="inlineStr">
        <is>
          <t>Miss Glam Jambi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PIGEON TEENS</t>
        </is>
      </c>
      <c r="B3222" s="2">
        <f>"8992771010253"</f>
        <v/>
      </c>
      <c r="C3222" t="inlineStr">
        <is>
          <t>PIGEON TEENS Facial Foam Deep Cleansing &amp; Oil Control 100gr</t>
        </is>
      </c>
      <c r="D3222" t="inlineStr">
        <is>
          <t>Miss Glam Jambi</t>
        </is>
      </c>
      <c r="E3222" t="n">
        <v>7</v>
      </c>
      <c r="F3222" t="n">
        <v>0.1287</v>
      </c>
      <c r="G3222" t="n">
        <v>1.32</v>
      </c>
      <c r="H3222" t="n">
        <v>4</v>
      </c>
      <c r="I3222" t="n">
        <v>20</v>
      </c>
      <c r="J3222" t="n">
        <v>3</v>
      </c>
      <c r="K3222" t="n">
        <v>18</v>
      </c>
      <c r="L3222" t="n">
        <v>26989</v>
      </c>
      <c r="M3222" t="n">
        <v>30500</v>
      </c>
      <c r="N3222" t="n">
        <v>33</v>
      </c>
      <c r="O3222" t="n">
        <v>0.33</v>
      </c>
      <c r="P3222" t="n">
        <v>1</v>
      </c>
      <c r="Q3222" t="n">
        <v>0.12</v>
      </c>
      <c r="R3222" t="n">
        <v>1</v>
      </c>
      <c r="S3222" t="n">
        <v>3925.35</v>
      </c>
      <c r="T3222" t="n">
        <v>26</v>
      </c>
      <c r="U3222" t="n">
        <v>27</v>
      </c>
      <c r="V3222" t="n">
        <v>30</v>
      </c>
      <c r="W3222" t="n">
        <v>4</v>
      </c>
      <c r="X3222" t="n">
        <v>54.39005439005439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7664</v>
      </c>
      <c r="AG3222" t="n">
        <v>1</v>
      </c>
      <c r="AH3222" t="inlineStr">
        <is>
          <t>PT. BERSAMA DISTRIVERSA INDONESIA (DC CIPUTAT)</t>
        </is>
      </c>
      <c r="AI3222" t="n">
        <v>126</v>
      </c>
      <c r="AJ3222" t="inlineStr">
        <is>
          <t>PIGEON TEENS</t>
        </is>
      </c>
      <c r="AK3222" t="n">
        <v>9</v>
      </c>
      <c r="AL3222" t="inlineStr">
        <is>
          <t>Miss Glam Jambi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PIGEON TEENS</t>
        </is>
      </c>
      <c r="B3223" s="2">
        <f>"8992771010352"</f>
        <v/>
      </c>
      <c r="C3223" t="inlineStr">
        <is>
          <t>PIGEON TEENS Facial Foam Deep Cleansing and Oil Control 40gr</t>
        </is>
      </c>
      <c r="D3223" t="inlineStr">
        <is>
          <t>Miss Glam Jambi</t>
        </is>
      </c>
      <c r="E3223" t="n">
        <v>11</v>
      </c>
      <c r="F3223" t="n">
        <v>0.1353</v>
      </c>
      <c r="G3223" t="n">
        <v>0.99</v>
      </c>
      <c r="H3223" t="n">
        <v>4</v>
      </c>
      <c r="I3223" t="n">
        <v>20</v>
      </c>
      <c r="J3223" t="n">
        <v>3</v>
      </c>
      <c r="K3223" t="n">
        <v>0</v>
      </c>
      <c r="L3223" t="n">
        <v>15132</v>
      </c>
      <c r="M3223" t="n">
        <v>18000</v>
      </c>
      <c r="N3223" t="n">
        <v>33</v>
      </c>
      <c r="O3223" t="n">
        <v>0.33</v>
      </c>
      <c r="P3223" t="n">
        <v>1</v>
      </c>
      <c r="Q3223" t="n">
        <v>0.08</v>
      </c>
      <c r="R3223" t="n">
        <v>1</v>
      </c>
      <c r="S3223" t="n">
        <v>2435.4</v>
      </c>
      <c r="T3223" t="n">
        <v>20</v>
      </c>
      <c r="U3223" t="n">
        <v>21</v>
      </c>
      <c r="V3223" t="n">
        <v>30</v>
      </c>
      <c r="W3223" t="n">
        <v>5</v>
      </c>
      <c r="X3223" t="n">
        <v>81.30081300813008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7664</v>
      </c>
      <c r="AG3223" t="n">
        <v>1</v>
      </c>
      <c r="AH3223" t="inlineStr">
        <is>
          <t>PT. BERSAMA DISTRIVERSA INDONESIA (DC CIPUTAT)</t>
        </is>
      </c>
      <c r="AI3223" t="n">
        <v>126</v>
      </c>
      <c r="AJ3223" t="inlineStr">
        <is>
          <t>PIGEON TEENS</t>
        </is>
      </c>
      <c r="AK3223" t="n">
        <v>9</v>
      </c>
      <c r="AL3223" t="inlineStr">
        <is>
          <t>Miss Glam Jambi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PIGEON TEENS</t>
        </is>
      </c>
      <c r="B3224" s="2">
        <f>"8992771010611"</f>
        <v/>
      </c>
      <c r="C3224" t="inlineStr">
        <is>
          <t>PIGEON TEENS Hydra Squad Body Serum 100ml</t>
        </is>
      </c>
      <c r="D3224" t="inlineStr">
        <is>
          <t>Miss Glam Jambi</t>
        </is>
      </c>
      <c r="E3224" t="n">
        <v>7</v>
      </c>
      <c r="F3224" t="n">
        <v>0.009900000000000001</v>
      </c>
      <c r="G3224" t="n">
        <v>0.33</v>
      </c>
      <c r="H3224" t="n">
        <v>4</v>
      </c>
      <c r="I3224" t="n">
        <v>20</v>
      </c>
      <c r="J3224" t="n">
        <v>3</v>
      </c>
      <c r="K3224" t="n">
        <v>16</v>
      </c>
      <c r="L3224" t="n">
        <v>28765</v>
      </c>
      <c r="M3224" t="n">
        <v>33500</v>
      </c>
      <c r="N3224" t="n">
        <v>33</v>
      </c>
      <c r="O3224" t="n">
        <v>0.33</v>
      </c>
      <c r="P3224" t="n">
        <v>1</v>
      </c>
      <c r="Q3224" t="n">
        <v>0.14</v>
      </c>
      <c r="R3224" t="n">
        <v>2</v>
      </c>
      <c r="S3224" t="n">
        <v>331.65</v>
      </c>
      <c r="T3224" t="n">
        <v>7</v>
      </c>
      <c r="U3224" t="n">
        <v>8</v>
      </c>
      <c r="V3224" t="n">
        <v>30</v>
      </c>
      <c r="W3224" t="n">
        <v>1</v>
      </c>
      <c r="X3224" t="n">
        <v>707.070707070707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7664</v>
      </c>
      <c r="AG3224" t="n">
        <v>1</v>
      </c>
      <c r="AH3224" t="inlineStr">
        <is>
          <t>PT. BERSAMA DISTRIVERSA INDONESIA (DC CIPUTAT)</t>
        </is>
      </c>
      <c r="AI3224" t="n">
        <v>126</v>
      </c>
      <c r="AJ3224" t="inlineStr">
        <is>
          <t>PIGEON TEENS</t>
        </is>
      </c>
      <c r="AK3224" t="n">
        <v>9</v>
      </c>
      <c r="AL3224" t="inlineStr">
        <is>
          <t>Miss Glam Jambi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PIGEON TEENS</t>
        </is>
      </c>
      <c r="B3225" s="2">
        <f>"10300318125"</f>
        <v/>
      </c>
      <c r="C3225" t="inlineStr">
        <is>
          <t>PIGEON TEENS Hydra Squad Face Mist 50ml</t>
        </is>
      </c>
      <c r="D3225" t="inlineStr">
        <is>
          <t>Miss Glam Jambi</t>
        </is>
      </c>
      <c r="E3225" t="n">
        <v>5</v>
      </c>
      <c r="F3225" t="n">
        <v>0.009900000000000001</v>
      </c>
      <c r="G3225" t="n">
        <v>0.33</v>
      </c>
      <c r="H3225" t="n">
        <v>4</v>
      </c>
      <c r="I3225" t="n">
        <v>20</v>
      </c>
      <c r="J3225" t="n">
        <v>3</v>
      </c>
      <c r="K3225" t="n">
        <v>6</v>
      </c>
      <c r="L3225" t="n">
        <v>20610</v>
      </c>
      <c r="M3225" t="n">
        <v>26000</v>
      </c>
      <c r="N3225" t="n">
        <v>33</v>
      </c>
      <c r="O3225" t="n">
        <v>0.33</v>
      </c>
      <c r="P3225" t="n">
        <v>1</v>
      </c>
      <c r="Q3225" t="n">
        <v>0.02</v>
      </c>
      <c r="R3225" t="n">
        <v>0</v>
      </c>
      <c r="S3225" t="n">
        <v>257.4</v>
      </c>
      <c r="T3225" t="n">
        <v>7</v>
      </c>
      <c r="U3225" t="n">
        <v>8</v>
      </c>
      <c r="V3225" t="n">
        <v>30</v>
      </c>
      <c r="W3225" t="n">
        <v>1</v>
      </c>
      <c r="X3225" t="n">
        <v>505.050505050505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7664</v>
      </c>
      <c r="AG3225" t="n">
        <v>1</v>
      </c>
      <c r="AH3225" t="inlineStr">
        <is>
          <t>PT. BERSAMA DISTRIVERSA INDONESIA (DC CIPUTAT)</t>
        </is>
      </c>
      <c r="AI3225" t="n">
        <v>126</v>
      </c>
      <c r="AJ3225" t="inlineStr">
        <is>
          <t>PIGEON TEENS</t>
        </is>
      </c>
      <c r="AK3225" t="n">
        <v>9</v>
      </c>
      <c r="AL3225" t="inlineStr">
        <is>
          <t>Miss Glam Jambi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PIGEON TEENS</t>
        </is>
      </c>
      <c r="B3226" s="2">
        <f>"10200158938"</f>
        <v/>
      </c>
      <c r="C3226" t="inlineStr">
        <is>
          <t>PIGEON TEENS Hydra Squad Face Toner 100ml</t>
        </is>
      </c>
      <c r="D3226" t="inlineStr">
        <is>
          <t>Miss Glam Jambi</t>
        </is>
      </c>
      <c r="E3226" t="n">
        <v>5</v>
      </c>
      <c r="F3226" t="n">
        <v>0.06270000000000001</v>
      </c>
      <c r="G3226" t="n">
        <v>0.33</v>
      </c>
      <c r="H3226" t="n">
        <v>4</v>
      </c>
      <c r="I3226" t="n">
        <v>20</v>
      </c>
      <c r="J3226" t="n">
        <v>3</v>
      </c>
      <c r="K3226" t="n">
        <v>16</v>
      </c>
      <c r="L3226" t="n">
        <v>24875</v>
      </c>
      <c r="M3226" t="n">
        <v>31000</v>
      </c>
      <c r="N3226" t="n">
        <v>33</v>
      </c>
      <c r="O3226" t="n">
        <v>0.33</v>
      </c>
      <c r="P3226" t="n">
        <v>1</v>
      </c>
      <c r="Q3226" t="n">
        <v>0.02</v>
      </c>
      <c r="R3226" t="n">
        <v>1</v>
      </c>
      <c r="S3226" t="n">
        <v>1943.7</v>
      </c>
      <c r="T3226" t="n">
        <v>7</v>
      </c>
      <c r="U3226" t="n">
        <v>8</v>
      </c>
      <c r="V3226" t="n">
        <v>30</v>
      </c>
      <c r="W3226" t="n">
        <v>2</v>
      </c>
      <c r="X3226" t="n">
        <v>79.74481658692184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7664</v>
      </c>
      <c r="AG3226" t="n">
        <v>1</v>
      </c>
      <c r="AH3226" t="inlineStr">
        <is>
          <t>PT. BERSAMA DISTRIVERSA INDONESIA (DC CIPUTAT)</t>
        </is>
      </c>
      <c r="AI3226" t="n">
        <v>126</v>
      </c>
      <c r="AJ3226" t="inlineStr">
        <is>
          <t>PIGEON TEENS</t>
        </is>
      </c>
      <c r="AK3226" t="n">
        <v>9</v>
      </c>
      <c r="AL3226" t="inlineStr">
        <is>
          <t>Miss Glam Jambi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PIGEON TEENS</t>
        </is>
      </c>
      <c r="B3227" s="2">
        <f>"10300721523"</f>
        <v/>
      </c>
      <c r="C3227" t="inlineStr">
        <is>
          <t>PIGEON TEENS Hydra Squad Moisturizer 20ml</t>
        </is>
      </c>
      <c r="D3227" t="inlineStr">
        <is>
          <t>Miss Glam Jambi</t>
        </is>
      </c>
      <c r="E3227" t="n">
        <v>2</v>
      </c>
      <c r="F3227" t="n">
        <v>0.009900000000000001</v>
      </c>
      <c r="G3227" t="n">
        <v>0.33</v>
      </c>
      <c r="H3227" t="n">
        <v>4</v>
      </c>
      <c r="I3227" t="n">
        <v>20</v>
      </c>
      <c r="J3227" t="n">
        <v>3</v>
      </c>
      <c r="K3227" t="n">
        <v>6</v>
      </c>
      <c r="L3227" t="n">
        <v>14227</v>
      </c>
      <c r="M3227" t="n">
        <v>19000</v>
      </c>
      <c r="N3227" t="n">
        <v>33</v>
      </c>
      <c r="O3227" t="n">
        <v>0.33</v>
      </c>
      <c r="P3227" t="n">
        <v>1</v>
      </c>
      <c r="Q3227" t="n">
        <v>0.08</v>
      </c>
      <c r="R3227" t="n">
        <v>1</v>
      </c>
      <c r="S3227" t="n">
        <v>188.1</v>
      </c>
      <c r="T3227" t="n">
        <v>7</v>
      </c>
      <c r="U3227" t="n">
        <v>8</v>
      </c>
      <c r="V3227" t="n">
        <v>30</v>
      </c>
      <c r="W3227" t="n">
        <v>1</v>
      </c>
      <c r="X3227" t="n">
        <v>202.020202020202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7664</v>
      </c>
      <c r="AG3227" t="n">
        <v>1</v>
      </c>
      <c r="AH3227" t="inlineStr">
        <is>
          <t>PT. BERSAMA DISTRIVERSA INDONESIA (DC CIPUTAT)</t>
        </is>
      </c>
      <c r="AI3227" t="n">
        <v>126</v>
      </c>
      <c r="AJ3227" t="inlineStr">
        <is>
          <t>PIGEON TEENS</t>
        </is>
      </c>
      <c r="AK3227" t="n">
        <v>9</v>
      </c>
      <c r="AL3227" t="inlineStr">
        <is>
          <t>Miss Glam Jambi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PIGEON TEENS</t>
        </is>
      </c>
      <c r="B3228" s="2">
        <f>"8992771010413"</f>
        <v/>
      </c>
      <c r="C3228" t="inlineStr">
        <is>
          <t>PIGEON TEENS Hydra Squad Serum 20ml</t>
        </is>
      </c>
      <c r="D3228" t="inlineStr">
        <is>
          <t>Miss Glam Jambi</t>
        </is>
      </c>
      <c r="E3228" t="n">
        <v>3</v>
      </c>
      <c r="F3228" t="n">
        <v>0.0231</v>
      </c>
      <c r="G3228" t="n">
        <v>0.33</v>
      </c>
      <c r="H3228" t="n">
        <v>4</v>
      </c>
      <c r="I3228" t="n">
        <v>20</v>
      </c>
      <c r="J3228" t="n">
        <v>3</v>
      </c>
      <c r="K3228" t="n">
        <v>0</v>
      </c>
      <c r="L3228" t="n">
        <v>33194</v>
      </c>
      <c r="M3228" t="n">
        <v>37000</v>
      </c>
      <c r="N3228" t="n">
        <v>33</v>
      </c>
      <c r="O3228" t="n">
        <v>0.33</v>
      </c>
      <c r="P3228" t="n">
        <v>1</v>
      </c>
      <c r="Q3228" t="n">
        <v>0.14</v>
      </c>
      <c r="R3228" t="n">
        <v>1</v>
      </c>
      <c r="S3228" t="n">
        <v>854.7</v>
      </c>
      <c r="T3228" t="n">
        <v>7</v>
      </c>
      <c r="U3228" t="n">
        <v>8</v>
      </c>
      <c r="V3228" t="n">
        <v>30</v>
      </c>
      <c r="W3228" t="n">
        <v>1</v>
      </c>
      <c r="X3228" t="n">
        <v>129.8701298701299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7664</v>
      </c>
      <c r="AG3228" t="n">
        <v>1</v>
      </c>
      <c r="AH3228" t="inlineStr">
        <is>
          <t>PT. BERSAMA DISTRIVERSA INDONESIA (DC CIPUTAT)</t>
        </is>
      </c>
      <c r="AI3228" t="n">
        <v>126</v>
      </c>
      <c r="AJ3228" t="inlineStr">
        <is>
          <t>PIGEON TEENS</t>
        </is>
      </c>
      <c r="AK3228" t="n">
        <v>9</v>
      </c>
      <c r="AL3228" t="inlineStr">
        <is>
          <t>Miss Glam Jambi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PIGEON TEENS</t>
        </is>
      </c>
      <c r="B3229" s="2">
        <f>"8992771010437"</f>
        <v/>
      </c>
      <c r="C3229" t="inlineStr">
        <is>
          <t>PIGEON TEENS Jelly Glow Sleeping Mask 30gr</t>
        </is>
      </c>
      <c r="D3229" t="inlineStr">
        <is>
          <t>Miss Glam Jambi</t>
        </is>
      </c>
      <c r="E3229" t="n">
        <v>1</v>
      </c>
      <c r="F3229" t="n">
        <v>0.0396</v>
      </c>
      <c r="G3229" t="n">
        <v>0.66</v>
      </c>
      <c r="H3229" t="n">
        <v>4</v>
      </c>
      <c r="I3229" t="n">
        <v>20</v>
      </c>
      <c r="J3229" t="n">
        <v>3</v>
      </c>
      <c r="K3229" t="n">
        <v>24</v>
      </c>
      <c r="L3229" t="n">
        <v>31920</v>
      </c>
      <c r="M3229" t="n">
        <v>36000</v>
      </c>
      <c r="N3229" t="n">
        <v>33</v>
      </c>
      <c r="O3229" t="n">
        <v>0.33</v>
      </c>
      <c r="P3229" t="n">
        <v>1</v>
      </c>
      <c r="Q3229" t="n">
        <v>0.17</v>
      </c>
      <c r="R3229" t="n">
        <v>2</v>
      </c>
      <c r="S3229" t="n">
        <v>1425.6</v>
      </c>
      <c r="T3229" t="n">
        <v>14</v>
      </c>
      <c r="U3229" t="n">
        <v>15</v>
      </c>
      <c r="V3229" t="n">
        <v>30</v>
      </c>
      <c r="W3229" t="n">
        <v>2</v>
      </c>
      <c r="X3229" t="n">
        <v>25.25252525252525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7664</v>
      </c>
      <c r="AG3229" t="n">
        <v>1</v>
      </c>
      <c r="AH3229" t="inlineStr">
        <is>
          <t>PT. BERSAMA DISTRIVERSA INDONESIA (DC CIPUTAT)</t>
        </is>
      </c>
      <c r="AI3229" t="n">
        <v>126</v>
      </c>
      <c r="AJ3229" t="inlineStr">
        <is>
          <t>PIGEON TEENS</t>
        </is>
      </c>
      <c r="AK3229" t="n">
        <v>9</v>
      </c>
      <c r="AL3229" t="inlineStr">
        <is>
          <t>Miss Glam Jambi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PIGEON TEENS</t>
        </is>
      </c>
      <c r="B3230" s="2">
        <f>"8992771010284"</f>
        <v/>
      </c>
      <c r="C3230" t="inlineStr">
        <is>
          <t>PIGEON TEENS Jelly Tint Naomi -  Cherry Kiss 2,2gr</t>
        </is>
      </c>
      <c r="D3230" t="inlineStr">
        <is>
          <t>Miss Glam Jambi</t>
        </is>
      </c>
      <c r="E3230" t="n">
        <v>0</v>
      </c>
      <c r="F3230" t="n">
        <v>0.0363</v>
      </c>
      <c r="G3230" t="n">
        <v>0.66</v>
      </c>
      <c r="H3230" t="n">
        <v>4</v>
      </c>
      <c r="I3230" t="n">
        <v>20</v>
      </c>
      <c r="J3230" t="n">
        <v>3</v>
      </c>
      <c r="K3230" t="n">
        <v>0</v>
      </c>
      <c r="L3230" t="n">
        <v>28125</v>
      </c>
      <c r="M3230" t="n">
        <v>35500</v>
      </c>
      <c r="N3230" t="n">
        <v>33</v>
      </c>
      <c r="O3230" t="n">
        <v>0.33</v>
      </c>
      <c r="P3230" t="n">
        <v>1</v>
      </c>
      <c r="Q3230" t="n">
        <v>0.11</v>
      </c>
      <c r="R3230" t="n">
        <v>2</v>
      </c>
      <c r="S3230" t="n">
        <v>1288.65</v>
      </c>
      <c r="T3230" t="n">
        <v>14</v>
      </c>
      <c r="U3230" t="n">
        <v>15</v>
      </c>
      <c r="V3230" t="n">
        <v>30</v>
      </c>
      <c r="W3230" t="n">
        <v>2</v>
      </c>
      <c r="X3230" t="n">
        <v>0</v>
      </c>
      <c r="Y3230" t="n">
        <v>1</v>
      </c>
      <c r="Z3230" t="n">
        <v>2</v>
      </c>
      <c r="AA3230" t="n">
        <v>1</v>
      </c>
      <c r="AB3230" t="n">
        <v>1</v>
      </c>
      <c r="AC3230" t="n">
        <v>3</v>
      </c>
      <c r="AD3230" t="n">
        <v>28125</v>
      </c>
      <c r="AE3230" t="n">
        <v>84375</v>
      </c>
      <c r="AF3230" t="n">
        <v>7664</v>
      </c>
      <c r="AG3230" t="n">
        <v>1</v>
      </c>
      <c r="AH3230" t="inlineStr">
        <is>
          <t>PT. BERSAMA DISTRIVERSA INDONESIA (DC CIPUTAT)</t>
        </is>
      </c>
      <c r="AI3230" t="n">
        <v>126</v>
      </c>
      <c r="AJ3230" t="inlineStr">
        <is>
          <t>PIGEON TEENS</t>
        </is>
      </c>
      <c r="AK3230" t="n">
        <v>9</v>
      </c>
      <c r="AL3230" t="inlineStr">
        <is>
          <t>Miss Glam Jambi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PIGEON TEENS</t>
        </is>
      </c>
      <c r="B3231" s="2">
        <f>"8992771010307"</f>
        <v/>
      </c>
      <c r="C3231" t="inlineStr">
        <is>
          <t>PIGEON TEENS Jelly Tint Yuna - Peach Kiss 2,2gr</t>
        </is>
      </c>
      <c r="D3231" t="inlineStr">
        <is>
          <t>Miss Glam Jambi</t>
        </is>
      </c>
      <c r="E3231" t="n">
        <v>4</v>
      </c>
      <c r="F3231" t="n">
        <v>0.006600000000000001</v>
      </c>
      <c r="G3231" t="n">
        <v>0</v>
      </c>
      <c r="H3231" t="n">
        <v>4</v>
      </c>
      <c r="I3231" t="n">
        <v>20</v>
      </c>
      <c r="J3231" t="n">
        <v>3</v>
      </c>
      <c r="K3231" t="n">
        <v>6</v>
      </c>
      <c r="L3231" t="n">
        <v>28255</v>
      </c>
      <c r="M3231" t="n">
        <v>35500</v>
      </c>
      <c r="N3231" t="n">
        <v>33</v>
      </c>
      <c r="O3231" t="n">
        <v>0.33</v>
      </c>
      <c r="P3231" t="n">
        <v>1</v>
      </c>
      <c r="Q3231" t="n">
        <v>0.03</v>
      </c>
      <c r="R3231" t="n">
        <v>1</v>
      </c>
      <c r="S3231" t="n">
        <v>234.3</v>
      </c>
      <c r="T3231" t="n">
        <v>0</v>
      </c>
      <c r="U3231" t="n">
        <v>1</v>
      </c>
      <c r="V3231" t="n">
        <v>30</v>
      </c>
      <c r="W3231" t="n">
        <v>1</v>
      </c>
      <c r="X3231" t="n">
        <v>606.060606060606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7664</v>
      </c>
      <c r="AG3231" t="n">
        <v>1</v>
      </c>
      <c r="AH3231" t="inlineStr">
        <is>
          <t>PT. BERSAMA DISTRIVERSA INDONESIA (DC CIPUTAT)</t>
        </is>
      </c>
      <c r="AI3231" t="n">
        <v>126</v>
      </c>
      <c r="AJ3231" t="inlineStr">
        <is>
          <t>PIGEON TEENS</t>
        </is>
      </c>
      <c r="AK3231" t="n">
        <v>9</v>
      </c>
      <c r="AL3231" t="inlineStr">
        <is>
          <t>Miss Glam Jambi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PIGEON TEENS</t>
        </is>
      </c>
      <c r="B3232" s="2">
        <f>"10500210330"</f>
        <v/>
      </c>
      <c r="C3232" t="inlineStr">
        <is>
          <t>PIGEON TEENS Kiwi Be Friends Jelly Mask 60ml</t>
        </is>
      </c>
      <c r="D3232" t="inlineStr">
        <is>
          <t>Miss Glam Jambi</t>
        </is>
      </c>
      <c r="E3232" t="n">
        <v>11</v>
      </c>
      <c r="F3232" t="n">
        <v>0.0165</v>
      </c>
      <c r="G3232" t="n">
        <v>0.33</v>
      </c>
      <c r="H3232" t="n">
        <v>4</v>
      </c>
      <c r="I3232" t="n">
        <v>20</v>
      </c>
      <c r="J3232" t="n">
        <v>1</v>
      </c>
      <c r="K3232" t="n">
        <v>0</v>
      </c>
      <c r="L3232" t="n">
        <v>27966</v>
      </c>
      <c r="M3232" t="n">
        <v>33000</v>
      </c>
      <c r="N3232" t="n">
        <v>33</v>
      </c>
      <c r="O3232" t="n">
        <v>0.33</v>
      </c>
      <c r="P3232" t="n">
        <v>1</v>
      </c>
      <c r="Q3232" t="n">
        <v>0.07000000000000001</v>
      </c>
      <c r="R3232" t="n">
        <v>2</v>
      </c>
      <c r="S3232" t="n">
        <v>544.5</v>
      </c>
      <c r="T3232" t="n">
        <v>7</v>
      </c>
      <c r="U3232" t="n">
        <v>8</v>
      </c>
      <c r="V3232" t="n">
        <v>30</v>
      </c>
      <c r="W3232" t="n">
        <v>1</v>
      </c>
      <c r="X3232" t="n">
        <v>666.6666666666666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7664</v>
      </c>
      <c r="AG3232" t="n">
        <v>1</v>
      </c>
      <c r="AH3232" t="inlineStr">
        <is>
          <t>PT. BERSAMA DISTRIVERSA INDONESIA (DC CIPUTAT)</t>
        </is>
      </c>
      <c r="AI3232" t="n">
        <v>126</v>
      </c>
      <c r="AJ3232" t="inlineStr">
        <is>
          <t>PIGEON TEENS</t>
        </is>
      </c>
      <c r="AK3232" t="n">
        <v>9</v>
      </c>
      <c r="AL3232" t="inlineStr">
        <is>
          <t>Miss Glam Jambi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PIGEON TEENS</t>
        </is>
      </c>
      <c r="B3233" s="2">
        <f>"8992771010550"</f>
        <v/>
      </c>
      <c r="C3233" t="inlineStr">
        <is>
          <t>PIGEON TEENS Lightening Deo Serum 30ml</t>
        </is>
      </c>
      <c r="D3233" t="inlineStr">
        <is>
          <t>Miss Glam Jambi</t>
        </is>
      </c>
      <c r="E3233" t="n">
        <v>10</v>
      </c>
      <c r="F3233" t="n">
        <v>0.0462</v>
      </c>
      <c r="G3233" t="n">
        <v>0.66</v>
      </c>
      <c r="H3233" t="n">
        <v>4</v>
      </c>
      <c r="I3233" t="n">
        <v>20</v>
      </c>
      <c r="J3233" t="n">
        <v>3</v>
      </c>
      <c r="K3233" t="n">
        <v>0</v>
      </c>
      <c r="L3233" t="n">
        <v>33773</v>
      </c>
      <c r="M3233" t="n">
        <v>39000</v>
      </c>
      <c r="N3233" t="n">
        <v>33</v>
      </c>
      <c r="O3233" t="n">
        <v>0.33</v>
      </c>
      <c r="P3233" t="n">
        <v>1</v>
      </c>
      <c r="Q3233" t="n">
        <v>0.12</v>
      </c>
      <c r="R3233" t="n">
        <v>2</v>
      </c>
      <c r="S3233" t="n">
        <v>1801.8</v>
      </c>
      <c r="T3233" t="n">
        <v>14</v>
      </c>
      <c r="U3233" t="n">
        <v>15</v>
      </c>
      <c r="V3233" t="n">
        <v>30</v>
      </c>
      <c r="W3233" t="n">
        <v>2</v>
      </c>
      <c r="X3233" t="n">
        <v>216.4502164502164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7664</v>
      </c>
      <c r="AG3233" t="n">
        <v>1</v>
      </c>
      <c r="AH3233" t="inlineStr">
        <is>
          <t>PT. BERSAMA DISTRIVERSA INDONESIA (DC CIPUTAT)</t>
        </is>
      </c>
      <c r="AI3233" t="n">
        <v>126</v>
      </c>
      <c r="AJ3233" t="inlineStr">
        <is>
          <t>PIGEON TEENS</t>
        </is>
      </c>
      <c r="AK3233" t="n">
        <v>9</v>
      </c>
      <c r="AL3233" t="inlineStr">
        <is>
          <t>Miss Glam Jambi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PIGEON TEENS</t>
        </is>
      </c>
      <c r="B3234" s="2">
        <f>"8992771010314"</f>
        <v/>
      </c>
      <c r="C3234" t="inlineStr">
        <is>
          <t>PIGEON TEENS Moisturizer 50ml</t>
        </is>
      </c>
      <c r="D3234" t="inlineStr">
        <is>
          <t>Miss Glam Jambi</t>
        </is>
      </c>
      <c r="E3234" t="n">
        <v>2</v>
      </c>
      <c r="F3234" t="n">
        <v>0.0264</v>
      </c>
      <c r="G3234" t="n">
        <v>0.66</v>
      </c>
      <c r="H3234" t="n">
        <v>4</v>
      </c>
      <c r="I3234" t="n">
        <v>20</v>
      </c>
      <c r="J3234" t="n">
        <v>3</v>
      </c>
      <c r="K3234" t="n">
        <v>4</v>
      </c>
      <c r="L3234" t="n">
        <v>35617</v>
      </c>
      <c r="M3234" t="n">
        <v>40000</v>
      </c>
      <c r="N3234" t="n">
        <v>33</v>
      </c>
      <c r="O3234" t="n">
        <v>0.33</v>
      </c>
      <c r="P3234" t="n">
        <v>1</v>
      </c>
      <c r="Q3234" t="n">
        <v>0.07000000000000001</v>
      </c>
      <c r="R3234" t="n">
        <v>1</v>
      </c>
      <c r="S3234" t="n">
        <v>1056</v>
      </c>
      <c r="T3234" t="n">
        <v>14</v>
      </c>
      <c r="U3234" t="n">
        <v>15</v>
      </c>
      <c r="V3234" t="n">
        <v>30</v>
      </c>
      <c r="W3234" t="n">
        <v>1</v>
      </c>
      <c r="X3234" t="n">
        <v>75.75757575757575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7664</v>
      </c>
      <c r="AG3234" t="n">
        <v>1</v>
      </c>
      <c r="AH3234" t="inlineStr">
        <is>
          <t>PT. BERSAMA DISTRIVERSA INDONESIA (DC CIPUTAT)</t>
        </is>
      </c>
      <c r="AI3234" t="n">
        <v>126</v>
      </c>
      <c r="AJ3234" t="inlineStr">
        <is>
          <t>PIGEON TEENS</t>
        </is>
      </c>
      <c r="AK3234" t="n">
        <v>9</v>
      </c>
      <c r="AL3234" t="inlineStr">
        <is>
          <t>Miss Glam Jambi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PIGEON TEENS</t>
        </is>
      </c>
      <c r="B3235" s="2">
        <f>"8992771010062"</f>
        <v/>
      </c>
      <c r="C3235" t="inlineStr">
        <is>
          <t>PIGEON TEENS Moisturizer For All Skin Type 20ml</t>
        </is>
      </c>
      <c r="D3235" t="inlineStr">
        <is>
          <t>Miss Glam Jambi</t>
        </is>
      </c>
      <c r="E3235" t="n">
        <v>0</v>
      </c>
      <c r="F3235" t="n">
        <v>0.3036</v>
      </c>
      <c r="G3235" t="n">
        <v>1.32</v>
      </c>
      <c r="H3235" t="n">
        <v>4</v>
      </c>
      <c r="I3235" t="n">
        <v>20</v>
      </c>
      <c r="J3235" t="n">
        <v>3</v>
      </c>
      <c r="K3235" t="n">
        <v>0</v>
      </c>
      <c r="L3235" t="n">
        <v>17908</v>
      </c>
      <c r="M3235" t="n">
        <v>21000</v>
      </c>
      <c r="N3235" t="n">
        <v>33</v>
      </c>
      <c r="O3235" t="n">
        <v>0.33</v>
      </c>
      <c r="P3235" t="n">
        <v>1</v>
      </c>
      <c r="Q3235" t="n">
        <v>0.22</v>
      </c>
      <c r="R3235" t="n">
        <v>2</v>
      </c>
      <c r="S3235" t="n">
        <v>6375.6</v>
      </c>
      <c r="T3235" t="n">
        <v>26</v>
      </c>
      <c r="U3235" t="n">
        <v>28</v>
      </c>
      <c r="V3235" t="n">
        <v>30</v>
      </c>
      <c r="W3235" t="n">
        <v>10</v>
      </c>
      <c r="X3235" t="n">
        <v>0</v>
      </c>
      <c r="Y3235" t="n">
        <v>1</v>
      </c>
      <c r="Z3235" t="n">
        <v>10</v>
      </c>
      <c r="AA3235" t="n">
        <v>7</v>
      </c>
      <c r="AB3235" t="n">
        <v>3</v>
      </c>
      <c r="AC3235" t="n">
        <v>3</v>
      </c>
      <c r="AD3235" t="n">
        <v>125356</v>
      </c>
      <c r="AE3235" t="n">
        <v>53724</v>
      </c>
      <c r="AF3235" t="n">
        <v>7664</v>
      </c>
      <c r="AG3235" t="n">
        <v>1</v>
      </c>
      <c r="AH3235" t="inlineStr">
        <is>
          <t>PT. BERSAMA DISTRIVERSA INDONESIA (DC CIPUTAT)</t>
        </is>
      </c>
      <c r="AI3235" t="n">
        <v>126</v>
      </c>
      <c r="AJ3235" t="inlineStr">
        <is>
          <t>PIGEON TEENS</t>
        </is>
      </c>
      <c r="AK3235" t="n">
        <v>9</v>
      </c>
      <c r="AL3235" t="inlineStr">
        <is>
          <t>Miss Glam Jambi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PIGEON TEENS</t>
        </is>
      </c>
      <c r="B3236" s="2">
        <f>"10500210522"</f>
        <v/>
      </c>
      <c r="C3236" t="inlineStr">
        <is>
          <t>PIGEON TEENS Peach Jelly Mask 60ml</t>
        </is>
      </c>
      <c r="D3236" t="inlineStr">
        <is>
          <t>Miss Glam Jambi</t>
        </is>
      </c>
      <c r="E3236" t="n">
        <v>5</v>
      </c>
      <c r="F3236" t="n">
        <v>0.0165</v>
      </c>
      <c r="G3236" t="n">
        <v>0.33</v>
      </c>
      <c r="H3236" t="n">
        <v>4</v>
      </c>
      <c r="I3236" t="n">
        <v>20</v>
      </c>
      <c r="J3236" t="n">
        <v>1</v>
      </c>
      <c r="K3236" t="n">
        <v>9</v>
      </c>
      <c r="L3236" t="n">
        <v>30309</v>
      </c>
      <c r="M3236" t="n">
        <v>33000</v>
      </c>
      <c r="N3236" t="n">
        <v>33</v>
      </c>
      <c r="O3236" t="n">
        <v>0.33</v>
      </c>
      <c r="P3236" t="n">
        <v>1</v>
      </c>
      <c r="Q3236" t="n">
        <v>0.12</v>
      </c>
      <c r="R3236" t="n">
        <v>1</v>
      </c>
      <c r="S3236" t="n">
        <v>544.5</v>
      </c>
      <c r="T3236" t="n">
        <v>7</v>
      </c>
      <c r="U3236" t="n">
        <v>8</v>
      </c>
      <c r="V3236" t="n">
        <v>30</v>
      </c>
      <c r="W3236" t="n">
        <v>1</v>
      </c>
      <c r="X3236" t="n">
        <v>303.030303030303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7664</v>
      </c>
      <c r="AG3236" t="n">
        <v>1</v>
      </c>
      <c r="AH3236" t="inlineStr">
        <is>
          <t>PT. BERSAMA DISTRIVERSA INDONESIA (DC CIPUTAT)</t>
        </is>
      </c>
      <c r="AI3236" t="n">
        <v>126</v>
      </c>
      <c r="AJ3236" t="inlineStr">
        <is>
          <t>PIGEON TEENS</t>
        </is>
      </c>
      <c r="AK3236" t="n">
        <v>9</v>
      </c>
      <c r="AL3236" t="inlineStr">
        <is>
          <t>Miss Glam Jambi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PIGEON TEENS</t>
        </is>
      </c>
      <c r="B3237" s="2">
        <f>"8992771010574"</f>
        <v/>
      </c>
      <c r="C3237" t="inlineStr">
        <is>
          <t>PIGEON TEENS Poreless Warrior Serum 20ml</t>
        </is>
      </c>
      <c r="D3237" t="inlineStr">
        <is>
          <t>Miss Glam Jambi</t>
        </is>
      </c>
      <c r="E3237" t="n">
        <v>3</v>
      </c>
      <c r="F3237" t="n">
        <v>0.0165</v>
      </c>
      <c r="G3237" t="n">
        <v>0.33</v>
      </c>
      <c r="H3237" t="n">
        <v>4</v>
      </c>
      <c r="I3237" t="n">
        <v>20</v>
      </c>
      <c r="J3237" t="n">
        <v>3</v>
      </c>
      <c r="K3237" t="n">
        <v>4</v>
      </c>
      <c r="L3237" t="n">
        <v>32760</v>
      </c>
      <c r="M3237" t="n">
        <v>36500</v>
      </c>
      <c r="N3237" t="n">
        <v>33</v>
      </c>
      <c r="O3237" t="n">
        <v>0.33</v>
      </c>
      <c r="P3237" t="n">
        <v>1</v>
      </c>
      <c r="Q3237" t="n">
        <v>0.02</v>
      </c>
      <c r="R3237" t="n">
        <v>1</v>
      </c>
      <c r="S3237" t="n">
        <v>602.25</v>
      </c>
      <c r="T3237" t="n">
        <v>7</v>
      </c>
      <c r="U3237" t="n">
        <v>8</v>
      </c>
      <c r="V3237" t="n">
        <v>30</v>
      </c>
      <c r="W3237" t="n">
        <v>1</v>
      </c>
      <c r="X3237" t="n">
        <v>181.8181818181818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7664</v>
      </c>
      <c r="AG3237" t="n">
        <v>1</v>
      </c>
      <c r="AH3237" t="inlineStr">
        <is>
          <t>PT. BERSAMA DISTRIVERSA INDONESIA (DC CIPUTAT)</t>
        </is>
      </c>
      <c r="AI3237" t="n">
        <v>126</v>
      </c>
      <c r="AJ3237" t="inlineStr">
        <is>
          <t>PIGEON TEENS</t>
        </is>
      </c>
      <c r="AK3237" t="n">
        <v>9</v>
      </c>
      <c r="AL3237" t="inlineStr">
        <is>
          <t>Miss Glam Jambi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PIGEON TEENS</t>
        </is>
      </c>
      <c r="B3238" s="2">
        <f>"8992771010000"</f>
        <v/>
      </c>
      <c r="C3238" t="inlineStr">
        <is>
          <t>PIGEON TEENS Reffil Compact Powder + UV Pink 14gr</t>
        </is>
      </c>
      <c r="D3238" t="inlineStr">
        <is>
          <t>Miss Glam Jambi</t>
        </is>
      </c>
      <c r="E3238" t="n">
        <v>4</v>
      </c>
      <c r="F3238" t="n">
        <v>0.0231</v>
      </c>
      <c r="G3238" t="n">
        <v>0.66</v>
      </c>
      <c r="H3238" t="n">
        <v>4</v>
      </c>
      <c r="I3238" t="n">
        <v>20</v>
      </c>
      <c r="J3238" t="n">
        <v>3</v>
      </c>
      <c r="K3238" t="n">
        <v>12</v>
      </c>
      <c r="L3238" t="n">
        <v>29051</v>
      </c>
      <c r="M3238" t="n">
        <v>32500</v>
      </c>
      <c r="N3238" t="n">
        <v>33</v>
      </c>
      <c r="O3238" t="n">
        <v>0.33</v>
      </c>
      <c r="P3238" t="n">
        <v>1</v>
      </c>
      <c r="Q3238" t="n">
        <v>0.02</v>
      </c>
      <c r="R3238" t="n">
        <v>1</v>
      </c>
      <c r="S3238" t="n">
        <v>750.7500000000001</v>
      </c>
      <c r="T3238" t="n">
        <v>14</v>
      </c>
      <c r="U3238" t="n">
        <v>15</v>
      </c>
      <c r="V3238" t="n">
        <v>30</v>
      </c>
      <c r="W3238" t="n">
        <v>1</v>
      </c>
      <c r="X3238" t="n">
        <v>173.1601731601731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7664</v>
      </c>
      <c r="AG3238" t="n">
        <v>1</v>
      </c>
      <c r="AH3238" t="inlineStr">
        <is>
          <t>PT. BERSAMA DISTRIVERSA INDONESIA (DC CIPUTAT)</t>
        </is>
      </c>
      <c r="AI3238" t="n">
        <v>126</v>
      </c>
      <c r="AJ3238" t="inlineStr">
        <is>
          <t>PIGEON TEENS</t>
        </is>
      </c>
      <c r="AK3238" t="n">
        <v>9</v>
      </c>
      <c r="AL3238" t="inlineStr">
        <is>
          <t>Miss Glam Jambi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PIGEON TEENS</t>
        </is>
      </c>
      <c r="B3239" s="2">
        <f>"8992771008991"</f>
        <v/>
      </c>
      <c r="C3239" t="inlineStr">
        <is>
          <t>PIGEON TEENS Refill Compact Powder + Uv Beige 14gr</t>
        </is>
      </c>
      <c r="D3239" t="inlineStr">
        <is>
          <t>Miss Glam Jambi</t>
        </is>
      </c>
      <c r="E3239" t="n">
        <v>5</v>
      </c>
      <c r="F3239" t="n">
        <v>0.033</v>
      </c>
      <c r="G3239" t="n">
        <v>0.66</v>
      </c>
      <c r="H3239" t="n">
        <v>4</v>
      </c>
      <c r="I3239" t="n">
        <v>20</v>
      </c>
      <c r="J3239" t="n">
        <v>3</v>
      </c>
      <c r="K3239" t="n">
        <v>0</v>
      </c>
      <c r="L3239" t="n">
        <v>25622</v>
      </c>
      <c r="M3239" t="n">
        <v>32000</v>
      </c>
      <c r="N3239" t="n">
        <v>33</v>
      </c>
      <c r="O3239" t="n">
        <v>0.33</v>
      </c>
      <c r="P3239" t="n">
        <v>1</v>
      </c>
      <c r="Q3239" t="n">
        <v>0.02</v>
      </c>
      <c r="R3239" t="n">
        <v>1</v>
      </c>
      <c r="S3239" t="n">
        <v>1056</v>
      </c>
      <c r="T3239" t="n">
        <v>14</v>
      </c>
      <c r="U3239" t="n">
        <v>15</v>
      </c>
      <c r="V3239" t="n">
        <v>30</v>
      </c>
      <c r="W3239" t="n">
        <v>1</v>
      </c>
      <c r="X3239" t="n">
        <v>151.5151515151515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7664</v>
      </c>
      <c r="AG3239" t="n">
        <v>1</v>
      </c>
      <c r="AH3239" t="inlineStr">
        <is>
          <t>PT. BERSAMA DISTRIVERSA INDONESIA (DC CIPUTAT)</t>
        </is>
      </c>
      <c r="AI3239" t="n">
        <v>126</v>
      </c>
      <c r="AJ3239" t="inlineStr">
        <is>
          <t>PIGEON TEENS</t>
        </is>
      </c>
      <c r="AK3239" t="n">
        <v>9</v>
      </c>
      <c r="AL3239" t="inlineStr">
        <is>
          <t>Miss Glam Jambi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PIGEON TEENS</t>
        </is>
      </c>
      <c r="B3240" s="2">
        <f>"8992771010017"</f>
        <v/>
      </c>
      <c r="C3240" t="inlineStr">
        <is>
          <t>PIGEON TEENS Refill Compact Powder + Uv Natural 14gr</t>
        </is>
      </c>
      <c r="D3240" t="inlineStr">
        <is>
          <t>Miss Glam Jambi</t>
        </is>
      </c>
      <c r="E3240" t="n">
        <v>5</v>
      </c>
      <c r="F3240" t="n">
        <v>0.08910000000000001</v>
      </c>
      <c r="G3240" t="n">
        <v>0.99</v>
      </c>
      <c r="H3240" t="n">
        <v>4</v>
      </c>
      <c r="I3240" t="n">
        <v>20</v>
      </c>
      <c r="J3240" t="n">
        <v>3</v>
      </c>
      <c r="K3240" t="n">
        <v>9</v>
      </c>
      <c r="L3240" t="n">
        <v>25622</v>
      </c>
      <c r="M3240" t="n">
        <v>32500</v>
      </c>
      <c r="N3240" t="n">
        <v>33</v>
      </c>
      <c r="O3240" t="n">
        <v>0.33</v>
      </c>
      <c r="P3240" t="n">
        <v>1</v>
      </c>
      <c r="Q3240" t="n">
        <v>0.02</v>
      </c>
      <c r="R3240" t="n">
        <v>1</v>
      </c>
      <c r="S3240" t="n">
        <v>2895.75</v>
      </c>
      <c r="T3240" t="n">
        <v>20</v>
      </c>
      <c r="U3240" t="n">
        <v>21</v>
      </c>
      <c r="V3240" t="n">
        <v>30</v>
      </c>
      <c r="W3240" t="n">
        <v>3</v>
      </c>
      <c r="X3240" t="n">
        <v>56.11672278338944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7664</v>
      </c>
      <c r="AG3240" t="n">
        <v>1</v>
      </c>
      <c r="AH3240" t="inlineStr">
        <is>
          <t>PT. BERSAMA DISTRIVERSA INDONESIA (DC CIPUTAT)</t>
        </is>
      </c>
      <c r="AI3240" t="n">
        <v>126</v>
      </c>
      <c r="AJ3240" t="inlineStr">
        <is>
          <t>PIGEON TEENS</t>
        </is>
      </c>
      <c r="AK3240" t="n">
        <v>9</v>
      </c>
      <c r="AL3240" t="inlineStr">
        <is>
          <t>Miss Glam Jambi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PIGEON TEENS</t>
        </is>
      </c>
      <c r="B3241" s="2">
        <f>"8992771008564"</f>
        <v/>
      </c>
      <c r="C3241" t="inlineStr">
        <is>
          <t>PIGEON TEENS Refill Compact Powder Beige 14gr</t>
        </is>
      </c>
      <c r="D3241" t="inlineStr">
        <is>
          <t>Miss Glam Jambi</t>
        </is>
      </c>
      <c r="E3241" t="n">
        <v>5</v>
      </c>
      <c r="F3241" t="n">
        <v>0.0165</v>
      </c>
      <c r="G3241" t="n">
        <v>0.33</v>
      </c>
      <c r="H3241" t="n">
        <v>4</v>
      </c>
      <c r="I3241" t="n">
        <v>20</v>
      </c>
      <c r="J3241" t="n">
        <v>3</v>
      </c>
      <c r="K3241" t="n">
        <v>3</v>
      </c>
      <c r="L3241" t="n">
        <v>25622</v>
      </c>
      <c r="M3241" t="n">
        <v>30600</v>
      </c>
      <c r="N3241" t="n">
        <v>33</v>
      </c>
      <c r="O3241" t="n">
        <v>0.33</v>
      </c>
      <c r="P3241" t="n">
        <v>1</v>
      </c>
      <c r="Q3241" t="n">
        <v>0.02</v>
      </c>
      <c r="R3241" t="n">
        <v>1</v>
      </c>
      <c r="S3241" t="n">
        <v>504.9</v>
      </c>
      <c r="T3241" t="n">
        <v>7</v>
      </c>
      <c r="U3241" t="n">
        <v>8</v>
      </c>
      <c r="V3241" t="n">
        <v>30</v>
      </c>
      <c r="W3241" t="n">
        <v>1</v>
      </c>
      <c r="X3241" t="n">
        <v>303.030303030303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7664</v>
      </c>
      <c r="AG3241" t="n">
        <v>1</v>
      </c>
      <c r="AH3241" t="inlineStr">
        <is>
          <t>PT. BERSAMA DISTRIVERSA INDONESIA (DC CIPUTAT)</t>
        </is>
      </c>
      <c r="AI3241" t="n">
        <v>126</v>
      </c>
      <c r="AJ3241" t="inlineStr">
        <is>
          <t>PIGEON TEENS</t>
        </is>
      </c>
      <c r="AK3241" t="n">
        <v>9</v>
      </c>
      <c r="AL3241" t="inlineStr">
        <is>
          <t>Miss Glam Jambi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PIGEON TEENS</t>
        </is>
      </c>
      <c r="B3242" s="2">
        <f>"8992771008588"</f>
        <v/>
      </c>
      <c r="C3242" t="inlineStr">
        <is>
          <t>PIGEON TEENS Refill Compact Powder Natural 14gr</t>
        </is>
      </c>
      <c r="D3242" t="inlineStr">
        <is>
          <t>Miss Glam Jambi</t>
        </is>
      </c>
      <c r="E3242" t="n">
        <v>4</v>
      </c>
      <c r="F3242" t="n">
        <v>0.1683</v>
      </c>
      <c r="G3242" t="n">
        <v>0.66</v>
      </c>
      <c r="H3242" t="n">
        <v>4</v>
      </c>
      <c r="I3242" t="n">
        <v>20</v>
      </c>
      <c r="J3242" t="n">
        <v>3</v>
      </c>
      <c r="K3242" t="n">
        <v>6</v>
      </c>
      <c r="L3242" t="n">
        <v>25622</v>
      </c>
      <c r="M3242" t="n">
        <v>32000</v>
      </c>
      <c r="N3242" t="n">
        <v>33</v>
      </c>
      <c r="O3242" t="n">
        <v>0.33</v>
      </c>
      <c r="P3242" t="n">
        <v>1</v>
      </c>
      <c r="Q3242" t="n">
        <v>0.03</v>
      </c>
      <c r="R3242" t="n">
        <v>1</v>
      </c>
      <c r="S3242" t="n">
        <v>5385.6</v>
      </c>
      <c r="T3242" t="n">
        <v>13</v>
      </c>
      <c r="U3242" t="n">
        <v>14</v>
      </c>
      <c r="V3242" t="n">
        <v>30</v>
      </c>
      <c r="W3242" t="n">
        <v>6</v>
      </c>
      <c r="X3242" t="n">
        <v>23.767082590612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7664</v>
      </c>
      <c r="AG3242" t="n">
        <v>1</v>
      </c>
      <c r="AH3242" t="inlineStr">
        <is>
          <t>PT. BERSAMA DISTRIVERSA INDONESIA (DC CIPUTAT)</t>
        </is>
      </c>
      <c r="AI3242" t="n">
        <v>126</v>
      </c>
      <c r="AJ3242" t="inlineStr">
        <is>
          <t>PIGEON TEENS</t>
        </is>
      </c>
      <c r="AK3242" t="n">
        <v>9</v>
      </c>
      <c r="AL3242" t="inlineStr">
        <is>
          <t>Miss Glam Jambi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PIGEON TEENS</t>
        </is>
      </c>
      <c r="B3243" s="2">
        <f>"8992771008557"</f>
        <v/>
      </c>
      <c r="C3243" t="inlineStr">
        <is>
          <t>PIGEON TEENS Refill Compact Powder Pure White 14gr</t>
        </is>
      </c>
      <c r="D3243" t="inlineStr">
        <is>
          <t>Miss Glam Jambi</t>
        </is>
      </c>
      <c r="E3243" t="n">
        <v>4</v>
      </c>
      <c r="F3243" t="n">
        <v>0.0165</v>
      </c>
      <c r="G3243" t="n">
        <v>0.33</v>
      </c>
      <c r="H3243" t="n">
        <v>4</v>
      </c>
      <c r="I3243" t="n">
        <v>20</v>
      </c>
      <c r="J3243" t="n">
        <v>3</v>
      </c>
      <c r="K3243" t="n">
        <v>0</v>
      </c>
      <c r="L3243" t="n">
        <v>25622</v>
      </c>
      <c r="M3243" t="n">
        <v>30600</v>
      </c>
      <c r="N3243" t="n">
        <v>33</v>
      </c>
      <c r="O3243" t="n">
        <v>0.33</v>
      </c>
      <c r="P3243" t="n">
        <v>1</v>
      </c>
      <c r="Q3243" t="n">
        <v>0.03</v>
      </c>
      <c r="R3243" t="n">
        <v>1</v>
      </c>
      <c r="S3243" t="n">
        <v>504.9</v>
      </c>
      <c r="T3243" t="n">
        <v>7</v>
      </c>
      <c r="U3243" t="n">
        <v>8</v>
      </c>
      <c r="V3243" t="n">
        <v>30</v>
      </c>
      <c r="W3243" t="n">
        <v>1</v>
      </c>
      <c r="X3243" t="n">
        <v>242.4242424242424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7664</v>
      </c>
      <c r="AG3243" t="n">
        <v>1</v>
      </c>
      <c r="AH3243" t="inlineStr">
        <is>
          <t>PT. BERSAMA DISTRIVERSA INDONESIA (DC CIPUTAT)</t>
        </is>
      </c>
      <c r="AI3243" t="n">
        <v>126</v>
      </c>
      <c r="AJ3243" t="inlineStr">
        <is>
          <t>PIGEON TEENS</t>
        </is>
      </c>
      <c r="AK3243" t="n">
        <v>9</v>
      </c>
      <c r="AL3243" t="inlineStr">
        <is>
          <t>Miss Glam Jambi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PIGEON TEENS</t>
        </is>
      </c>
      <c r="B3244" s="2">
        <f>"8992771008601"</f>
        <v/>
      </c>
      <c r="C3244" t="inlineStr">
        <is>
          <t>PIGEON TEENS Refill Compact Powder Sand 14gr</t>
        </is>
      </c>
      <c r="D3244" t="inlineStr">
        <is>
          <t>Miss Glam Jambi</t>
        </is>
      </c>
      <c r="E3244" t="n">
        <v>5</v>
      </c>
      <c r="F3244" t="n">
        <v>0.033</v>
      </c>
      <c r="G3244" t="n">
        <v>0.66</v>
      </c>
      <c r="H3244" t="n">
        <v>4</v>
      </c>
      <c r="I3244" t="n">
        <v>20</v>
      </c>
      <c r="J3244" t="n">
        <v>3</v>
      </c>
      <c r="K3244" t="n">
        <v>0</v>
      </c>
      <c r="L3244" t="n">
        <v>25622</v>
      </c>
      <c r="M3244" t="n">
        <v>32500</v>
      </c>
      <c r="N3244" t="n">
        <v>33</v>
      </c>
      <c r="O3244" t="n">
        <v>0.33</v>
      </c>
      <c r="P3244" t="n">
        <v>1</v>
      </c>
      <c r="Q3244" t="n">
        <v>0.02</v>
      </c>
      <c r="R3244" t="n">
        <v>1</v>
      </c>
      <c r="S3244" t="n">
        <v>1072.5</v>
      </c>
      <c r="T3244" t="n">
        <v>14</v>
      </c>
      <c r="U3244" t="n">
        <v>15</v>
      </c>
      <c r="V3244" t="n">
        <v>30</v>
      </c>
      <c r="W3244" t="n">
        <v>1</v>
      </c>
      <c r="X3244" t="n">
        <v>151.5151515151515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7664</v>
      </c>
      <c r="AG3244" t="n">
        <v>1</v>
      </c>
      <c r="AH3244" t="inlineStr">
        <is>
          <t>PT. BERSAMA DISTRIVERSA INDONESIA (DC CIPUTAT)</t>
        </is>
      </c>
      <c r="AI3244" t="n">
        <v>126</v>
      </c>
      <c r="AJ3244" t="inlineStr">
        <is>
          <t>PIGEON TEENS</t>
        </is>
      </c>
      <c r="AK3244" t="n">
        <v>9</v>
      </c>
      <c r="AL3244" t="inlineStr">
        <is>
          <t>Miss Glam Jambi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PIGEON TEENS</t>
        </is>
      </c>
      <c r="B3245" s="2">
        <f>"8992771008984"</f>
        <v/>
      </c>
      <c r="C3245" t="inlineStr">
        <is>
          <t>PIGEON TEENS Refill Compact Powder+Uv White 14gr</t>
        </is>
      </c>
      <c r="D3245" t="inlineStr">
        <is>
          <t>Miss Glam Jambi</t>
        </is>
      </c>
      <c r="E3245" t="n">
        <v>5</v>
      </c>
      <c r="F3245" t="n">
        <v>0.0396</v>
      </c>
      <c r="G3245" t="n">
        <v>0.33</v>
      </c>
      <c r="H3245" t="n">
        <v>4</v>
      </c>
      <c r="I3245" t="n">
        <v>20</v>
      </c>
      <c r="J3245" t="n">
        <v>3</v>
      </c>
      <c r="K3245" t="n">
        <v>9</v>
      </c>
      <c r="L3245" t="n">
        <v>28392</v>
      </c>
      <c r="M3245" t="n">
        <v>31500</v>
      </c>
      <c r="N3245" t="n">
        <v>33</v>
      </c>
      <c r="O3245" t="n">
        <v>0.33</v>
      </c>
      <c r="P3245" t="n">
        <v>1</v>
      </c>
      <c r="Q3245" t="n">
        <v>0.07000000000000001</v>
      </c>
      <c r="R3245" t="n">
        <v>1</v>
      </c>
      <c r="S3245" t="n">
        <v>1247.4</v>
      </c>
      <c r="T3245" t="n">
        <v>7</v>
      </c>
      <c r="U3245" t="n">
        <v>8</v>
      </c>
      <c r="V3245" t="n">
        <v>30</v>
      </c>
      <c r="W3245" t="n">
        <v>2</v>
      </c>
      <c r="X3245" t="n">
        <v>126.2626262626263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7664</v>
      </c>
      <c r="AG3245" t="n">
        <v>1</v>
      </c>
      <c r="AH3245" t="inlineStr">
        <is>
          <t>PT. BERSAMA DISTRIVERSA INDONESIA (DC CIPUTAT)</t>
        </is>
      </c>
      <c r="AI3245" t="n">
        <v>126</v>
      </c>
      <c r="AJ3245" t="inlineStr">
        <is>
          <t>PIGEON TEENS</t>
        </is>
      </c>
      <c r="AK3245" t="n">
        <v>9</v>
      </c>
      <c r="AL3245" t="inlineStr">
        <is>
          <t>Miss Glam Jambi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PIGEON TEENS</t>
        </is>
      </c>
      <c r="B3246" s="2">
        <f>"8992771008908"</f>
        <v/>
      </c>
      <c r="C3246" t="inlineStr">
        <is>
          <t>PIGEON TEENS Refill Two Way Cake 14gr Teens Beige New</t>
        </is>
      </c>
      <c r="D3246" t="inlineStr">
        <is>
          <t>Miss Glam Jambi</t>
        </is>
      </c>
      <c r="E3246" t="n">
        <v>5</v>
      </c>
      <c r="F3246" t="n">
        <v>0.0231</v>
      </c>
      <c r="G3246" t="n">
        <v>0.66</v>
      </c>
      <c r="H3246" t="n">
        <v>4</v>
      </c>
      <c r="I3246" t="n">
        <v>20</v>
      </c>
      <c r="J3246" t="n">
        <v>3</v>
      </c>
      <c r="K3246" t="n">
        <v>0</v>
      </c>
      <c r="L3246" t="n">
        <v>34720</v>
      </c>
      <c r="M3246" t="n">
        <v>43500</v>
      </c>
      <c r="N3246" t="n">
        <v>33</v>
      </c>
      <c r="O3246" t="n">
        <v>0.33</v>
      </c>
      <c r="P3246" t="n">
        <v>1</v>
      </c>
      <c r="Q3246" t="n">
        <v>0.02</v>
      </c>
      <c r="R3246" t="n">
        <v>1</v>
      </c>
      <c r="S3246" t="n">
        <v>1004.85</v>
      </c>
      <c r="T3246" t="n">
        <v>14</v>
      </c>
      <c r="U3246" t="n">
        <v>15</v>
      </c>
      <c r="V3246" t="n">
        <v>30</v>
      </c>
      <c r="W3246" t="n">
        <v>1</v>
      </c>
      <c r="X3246" t="n">
        <v>216.4502164502164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7664</v>
      </c>
      <c r="AG3246" t="n">
        <v>1</v>
      </c>
      <c r="AH3246" t="inlineStr">
        <is>
          <t>PT. BERSAMA DISTRIVERSA INDONESIA (DC CIPUTAT)</t>
        </is>
      </c>
      <c r="AI3246" t="n">
        <v>126</v>
      </c>
      <c r="AJ3246" t="inlineStr">
        <is>
          <t>PIGEON TEENS</t>
        </is>
      </c>
      <c r="AK3246" t="n">
        <v>9</v>
      </c>
      <c r="AL3246" t="inlineStr">
        <is>
          <t>Miss Glam Jambi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PIGEON TEENS</t>
        </is>
      </c>
      <c r="B3247" s="2">
        <f>"8992771008892"</f>
        <v/>
      </c>
      <c r="C3247" t="inlineStr">
        <is>
          <t>PIGEON TEENS Refill Two Way Cake 14gr Teens Natural New</t>
        </is>
      </c>
      <c r="D3247" t="inlineStr">
        <is>
          <t>Miss Glam Jambi</t>
        </is>
      </c>
      <c r="E3247" t="n">
        <v>2</v>
      </c>
      <c r="F3247" t="n">
        <v>0.0495</v>
      </c>
      <c r="G3247" t="n">
        <v>0.99</v>
      </c>
      <c r="H3247" t="n">
        <v>4</v>
      </c>
      <c r="I3247" t="n">
        <v>20</v>
      </c>
      <c r="J3247" t="n">
        <v>3</v>
      </c>
      <c r="K3247" t="n">
        <v>0</v>
      </c>
      <c r="L3247" t="n">
        <v>39662</v>
      </c>
      <c r="M3247" t="n">
        <v>43500</v>
      </c>
      <c r="N3247" t="n">
        <v>33</v>
      </c>
      <c r="O3247" t="n">
        <v>0.33</v>
      </c>
      <c r="P3247" t="n">
        <v>1</v>
      </c>
      <c r="Q3247" t="n">
        <v>0.08</v>
      </c>
      <c r="R3247" t="n">
        <v>1</v>
      </c>
      <c r="S3247" t="n">
        <v>2153.25</v>
      </c>
      <c r="T3247" t="n">
        <v>20</v>
      </c>
      <c r="U3247" t="n">
        <v>21</v>
      </c>
      <c r="V3247" t="n">
        <v>30</v>
      </c>
      <c r="W3247" t="n">
        <v>2</v>
      </c>
      <c r="X3247" t="n">
        <v>40.4040404040404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7664</v>
      </c>
      <c r="AG3247" t="n">
        <v>1</v>
      </c>
      <c r="AH3247" t="inlineStr">
        <is>
          <t>PT. BERSAMA DISTRIVERSA INDONESIA (DC CIPUTAT)</t>
        </is>
      </c>
      <c r="AI3247" t="n">
        <v>126</v>
      </c>
      <c r="AJ3247" t="inlineStr">
        <is>
          <t>PIGEON TEENS</t>
        </is>
      </c>
      <c r="AK3247" t="n">
        <v>9</v>
      </c>
      <c r="AL3247" t="inlineStr">
        <is>
          <t>Miss Glam Jambi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"8992771008861"</f>
        <v/>
      </c>
      <c r="C3248" t="inlineStr">
        <is>
          <t>PIGEON TEENS Two Way Cake 14gr Teens Beige New</t>
        </is>
      </c>
      <c r="D3248" t="inlineStr">
        <is>
          <t>Miss Glam Jambi</t>
        </is>
      </c>
      <c r="E3248" t="n">
        <v>4</v>
      </c>
      <c r="F3248" t="n">
        <v>0.006600000000000001</v>
      </c>
      <c r="G3248" t="n">
        <v>0.33</v>
      </c>
      <c r="H3248" t="n">
        <v>4</v>
      </c>
      <c r="I3248" t="n">
        <v>20</v>
      </c>
      <c r="J3248" t="n">
        <v>3</v>
      </c>
      <c r="K3248" t="n">
        <v>3</v>
      </c>
      <c r="L3248" t="n">
        <v>46522</v>
      </c>
      <c r="M3248" t="n">
        <v>58000</v>
      </c>
      <c r="N3248" t="n">
        <v>33</v>
      </c>
      <c r="O3248" t="n">
        <v>0.33</v>
      </c>
      <c r="P3248" t="n">
        <v>1</v>
      </c>
      <c r="Q3248" t="n">
        <v>0.03</v>
      </c>
      <c r="R3248" t="n">
        <v>1</v>
      </c>
      <c r="S3248" t="n">
        <v>382.8000000000001</v>
      </c>
      <c r="T3248" t="n">
        <v>7</v>
      </c>
      <c r="U3248" t="n">
        <v>8</v>
      </c>
      <c r="V3248" t="n">
        <v>30</v>
      </c>
      <c r="W3248" t="n">
        <v>1</v>
      </c>
      <c r="X3248" t="n">
        <v>606.060606060606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7664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9</v>
      </c>
      <c r="AL3248" t="inlineStr">
        <is>
          <t>Miss Glam Jambi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"10500210636"</f>
        <v/>
      </c>
      <c r="C3249" t="inlineStr">
        <is>
          <t>PIGEON TEENS What a Melon Jelly Mask 60ml</t>
        </is>
      </c>
      <c r="D3249" t="inlineStr">
        <is>
          <t>Miss Glam Jambi</t>
        </is>
      </c>
      <c r="E3249" t="n">
        <v>6</v>
      </c>
      <c r="F3249" t="n">
        <v>0.06270000000000001</v>
      </c>
      <c r="G3249" t="n">
        <v>0.33</v>
      </c>
      <c r="H3249" t="n">
        <v>4</v>
      </c>
      <c r="I3249" t="n">
        <v>20</v>
      </c>
      <c r="J3249" t="n">
        <v>1</v>
      </c>
      <c r="K3249" t="n">
        <v>6</v>
      </c>
      <c r="L3249" t="n">
        <v>30309</v>
      </c>
      <c r="M3249" t="n">
        <v>33000</v>
      </c>
      <c r="N3249" t="n">
        <v>33</v>
      </c>
      <c r="O3249" t="n">
        <v>0.33</v>
      </c>
      <c r="P3249" t="n">
        <v>1</v>
      </c>
      <c r="Q3249" t="n">
        <v>0.12</v>
      </c>
      <c r="R3249" t="n">
        <v>1</v>
      </c>
      <c r="S3249" t="n">
        <v>2069.1</v>
      </c>
      <c r="T3249" t="n">
        <v>7</v>
      </c>
      <c r="U3249" t="n">
        <v>8</v>
      </c>
      <c r="V3249" t="n">
        <v>30</v>
      </c>
      <c r="W3249" t="n">
        <v>2</v>
      </c>
      <c r="X3249" t="n">
        <v>95.69377990430621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7664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9</v>
      </c>
      <c r="AL3249" t="inlineStr">
        <is>
          <t>Miss Glam Jambi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"8992771010581"</f>
        <v/>
      </c>
      <c r="C3250" t="inlineStr">
        <is>
          <t>PIGEON TEENS X-Foliate Army Serum 20ml</t>
        </is>
      </c>
      <c r="D3250" t="inlineStr">
        <is>
          <t>Miss Glam Jambi</t>
        </is>
      </c>
      <c r="E3250" t="n">
        <v>5</v>
      </c>
      <c r="F3250" t="n">
        <v>0.0165</v>
      </c>
      <c r="G3250" t="n">
        <v>0.33</v>
      </c>
      <c r="H3250" t="n">
        <v>4</v>
      </c>
      <c r="I3250" t="n">
        <v>20</v>
      </c>
      <c r="J3250" t="n">
        <v>3</v>
      </c>
      <c r="K3250" t="n">
        <v>0</v>
      </c>
      <c r="L3250" t="n">
        <v>29565</v>
      </c>
      <c r="M3250" t="n">
        <v>39000</v>
      </c>
      <c r="N3250" t="n">
        <v>33</v>
      </c>
      <c r="O3250" t="n">
        <v>0.33</v>
      </c>
      <c r="P3250" t="n">
        <v>1</v>
      </c>
      <c r="Q3250" t="n">
        <v>0.02</v>
      </c>
      <c r="R3250" t="n">
        <v>0</v>
      </c>
      <c r="S3250" t="n">
        <v>643.5</v>
      </c>
      <c r="T3250" t="n">
        <v>7</v>
      </c>
      <c r="U3250" t="n">
        <v>8</v>
      </c>
      <c r="V3250" t="n">
        <v>30</v>
      </c>
      <c r="W3250" t="n">
        <v>1</v>
      </c>
      <c r="X3250" t="n">
        <v>303.030303030303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7664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9</v>
      </c>
      <c r="AL3250" t="inlineStr">
        <is>
          <t>Miss Glam Jambi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PINKFLASH</t>
        </is>
      </c>
      <c r="B3251" s="2">
        <f>"6974908111578"</f>
        <v/>
      </c>
      <c r="C3251" t="inlineStr">
        <is>
          <t>PINK FLASH Duo Effect Eyebrow kit Dark Brown Grey #1</t>
        </is>
      </c>
      <c r="D3251" t="inlineStr">
        <is>
          <t>Miss Glam Jambi</t>
        </is>
      </c>
      <c r="E3251" t="n">
        <v>1</v>
      </c>
      <c r="F3251" t="n">
        <v>0.006600000000000001</v>
      </c>
      <c r="G3251" t="n">
        <v>0.33</v>
      </c>
      <c r="H3251" t="n">
        <v>4</v>
      </c>
      <c r="I3251" t="n">
        <v>28</v>
      </c>
      <c r="J3251" t="n">
        <v>3</v>
      </c>
      <c r="K3251" t="n">
        <v>0</v>
      </c>
      <c r="L3251" t="n">
        <v>35367</v>
      </c>
      <c r="M3251" t="n">
        <v>42500</v>
      </c>
      <c r="N3251" t="n">
        <v>33</v>
      </c>
      <c r="O3251" t="n">
        <v>0.33</v>
      </c>
      <c r="P3251" t="n">
        <v>1</v>
      </c>
      <c r="Q3251" t="n">
        <v>0.03</v>
      </c>
      <c r="R3251" t="n">
        <v>1</v>
      </c>
      <c r="S3251" t="n">
        <v>280.5000000000001</v>
      </c>
      <c r="T3251" t="n">
        <v>10</v>
      </c>
      <c r="U3251" t="n">
        <v>11</v>
      </c>
      <c r="V3251" t="n">
        <v>30</v>
      </c>
      <c r="W3251" t="n">
        <v>1</v>
      </c>
      <c r="X3251" t="n">
        <v>151.5151515151515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10528</v>
      </c>
      <c r="AG3251" t="n">
        <v>2148</v>
      </c>
      <c r="AH3251" t="inlineStr">
        <is>
          <t>PT. JAYA PALEMBANG SUKSES - PPN (JMB)</t>
        </is>
      </c>
      <c r="AI3251" t="n">
        <v>838</v>
      </c>
      <c r="AJ3251" t="inlineStr">
        <is>
          <t>PINKFLASH</t>
        </is>
      </c>
      <c r="AK3251" t="n">
        <v>9</v>
      </c>
      <c r="AL3251" t="inlineStr">
        <is>
          <t>Miss Glam Jambi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PINKFLASH</t>
        </is>
      </c>
      <c r="B3252" s="2">
        <f>"6974908111592"</f>
        <v/>
      </c>
      <c r="C3252" t="inlineStr">
        <is>
          <t>PINK FLASH Duo Effect Eyebrow kit Dark Red Grey #3</t>
        </is>
      </c>
      <c r="D3252" t="inlineStr">
        <is>
          <t>Miss Glam Jambi</t>
        </is>
      </c>
      <c r="E3252" t="n">
        <v>7</v>
      </c>
      <c r="F3252" t="n">
        <v>0.006600000000000001</v>
      </c>
      <c r="G3252" t="n">
        <v>0.33</v>
      </c>
      <c r="H3252" t="n">
        <v>4</v>
      </c>
      <c r="I3252" t="n">
        <v>28</v>
      </c>
      <c r="J3252" t="n">
        <v>3</v>
      </c>
      <c r="K3252" t="n">
        <v>0</v>
      </c>
      <c r="L3252" t="n">
        <v>35367</v>
      </c>
      <c r="M3252" t="n">
        <v>47500</v>
      </c>
      <c r="N3252" t="n">
        <v>33</v>
      </c>
      <c r="O3252" t="n">
        <v>0.33</v>
      </c>
      <c r="P3252" t="n">
        <v>1</v>
      </c>
      <c r="Q3252" t="n">
        <v>0.03</v>
      </c>
      <c r="R3252" t="n">
        <v>1</v>
      </c>
      <c r="S3252" t="n">
        <v>313.5000000000001</v>
      </c>
      <c r="T3252" t="n">
        <v>10</v>
      </c>
      <c r="U3252" t="n">
        <v>11</v>
      </c>
      <c r="V3252" t="n">
        <v>30</v>
      </c>
      <c r="W3252" t="n">
        <v>1</v>
      </c>
      <c r="X3252" t="n">
        <v>1060.606060606061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10528</v>
      </c>
      <c r="AG3252" t="n">
        <v>2148</v>
      </c>
      <c r="AH3252" t="inlineStr">
        <is>
          <t>PT. JAYA PALEMBANG SUKSES - PPN (JMB)</t>
        </is>
      </c>
      <c r="AI3252" t="n">
        <v>838</v>
      </c>
      <c r="AJ3252" t="inlineStr">
        <is>
          <t>PINKFLASH</t>
        </is>
      </c>
      <c r="AK3252" t="n">
        <v>9</v>
      </c>
      <c r="AL3252" t="inlineStr">
        <is>
          <t>Miss Glam Jambi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PINKFLASH</t>
        </is>
      </c>
      <c r="B3253" s="2">
        <f>"6941845808571"</f>
        <v/>
      </c>
      <c r="C3253" t="inlineStr">
        <is>
          <t>PINKFLASH 01 Lasting Matte Lipcream P03</t>
        </is>
      </c>
      <c r="D3253" t="inlineStr">
        <is>
          <t>Miss Glam Jambi</t>
        </is>
      </c>
      <c r="E3253" t="n">
        <v>3</v>
      </c>
      <c r="F3253" t="n">
        <v>0.1056</v>
      </c>
      <c r="G3253" t="n">
        <v>0.99</v>
      </c>
      <c r="H3253" t="n">
        <v>4</v>
      </c>
      <c r="I3253" t="n">
        <v>28</v>
      </c>
      <c r="J3253" t="n">
        <v>3</v>
      </c>
      <c r="K3253" t="n">
        <v>3</v>
      </c>
      <c r="L3253" t="n">
        <v>11967</v>
      </c>
      <c r="M3253" t="n">
        <v>24500</v>
      </c>
      <c r="N3253" t="n">
        <v>33</v>
      </c>
      <c r="O3253" t="n">
        <v>0.33</v>
      </c>
      <c r="P3253" t="n">
        <v>1</v>
      </c>
      <c r="Q3253" t="n">
        <v>0.05</v>
      </c>
      <c r="R3253" t="n">
        <v>1</v>
      </c>
      <c r="S3253" t="n">
        <v>2587.2</v>
      </c>
      <c r="T3253" t="n">
        <v>28</v>
      </c>
      <c r="U3253" t="n">
        <v>29</v>
      </c>
      <c r="V3253" t="n">
        <v>30</v>
      </c>
      <c r="W3253" t="n">
        <v>4</v>
      </c>
      <c r="X3253" t="n">
        <v>28.40909090909091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10528</v>
      </c>
      <c r="AG3253" t="n">
        <v>2148</v>
      </c>
      <c r="AH3253" t="inlineStr">
        <is>
          <t>PT. JAYA PALEMBANG SUKSES - PPN (JMB)</t>
        </is>
      </c>
      <c r="AI3253" t="n">
        <v>838</v>
      </c>
      <c r="AJ3253" t="inlineStr">
        <is>
          <t>PINKFLASH</t>
        </is>
      </c>
      <c r="AK3253" t="n">
        <v>9</v>
      </c>
      <c r="AL3253" t="inlineStr">
        <is>
          <t>Miss Glam Jambi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PINKFLASH</t>
        </is>
      </c>
      <c r="B3254" s="2">
        <f>"6974908111691"</f>
        <v/>
      </c>
      <c r="C3254" t="inlineStr">
        <is>
          <t>PINKFLASH 3 Pan Eyeshadow Easy To Blend BR03</t>
        </is>
      </c>
      <c r="D3254" t="inlineStr">
        <is>
          <t>Miss Glam Jambi</t>
        </is>
      </c>
      <c r="E3254" t="n">
        <v>0</v>
      </c>
      <c r="F3254" t="n">
        <v>0.0462</v>
      </c>
      <c r="G3254" t="n">
        <v>0.66</v>
      </c>
      <c r="H3254" t="n">
        <v>4</v>
      </c>
      <c r="I3254" t="n">
        <v>28</v>
      </c>
      <c r="J3254" t="n">
        <v>3</v>
      </c>
      <c r="K3254" t="n">
        <v>0</v>
      </c>
      <c r="L3254" t="n">
        <v>33782</v>
      </c>
      <c r="M3254" t="n">
        <v>43500</v>
      </c>
      <c r="N3254" t="n">
        <v>33</v>
      </c>
      <c r="O3254" t="n">
        <v>0.33</v>
      </c>
      <c r="P3254" t="n">
        <v>1</v>
      </c>
      <c r="Q3254" t="n">
        <v>0.08</v>
      </c>
      <c r="R3254" t="n">
        <v>1</v>
      </c>
      <c r="S3254" t="n">
        <v>2009.7</v>
      </c>
      <c r="T3254" t="n">
        <v>19</v>
      </c>
      <c r="U3254" t="n">
        <v>20</v>
      </c>
      <c r="V3254" t="n">
        <v>30</v>
      </c>
      <c r="W3254" t="n">
        <v>2</v>
      </c>
      <c r="X3254" t="n">
        <v>0</v>
      </c>
      <c r="Y3254" t="n">
        <v>1</v>
      </c>
      <c r="Z3254" t="n">
        <v>2</v>
      </c>
      <c r="AA3254" t="n">
        <v>2</v>
      </c>
      <c r="AB3254" t="n">
        <v>0</v>
      </c>
      <c r="AC3254" t="n">
        <v>0</v>
      </c>
      <c r="AD3254" t="n">
        <v>67564</v>
      </c>
      <c r="AE3254" t="n">
        <v>0</v>
      </c>
      <c r="AF3254" t="n">
        <v>10528</v>
      </c>
      <c r="AG3254" t="n">
        <v>2148</v>
      </c>
      <c r="AH3254" t="inlineStr">
        <is>
          <t>PT. JAYA PALEMBANG SUKSES - PPN (JMB)</t>
        </is>
      </c>
      <c r="AI3254" t="n">
        <v>838</v>
      </c>
      <c r="AJ3254" t="inlineStr">
        <is>
          <t>PINKFLASH</t>
        </is>
      </c>
      <c r="AK3254" t="n">
        <v>9</v>
      </c>
      <c r="AL3254" t="inlineStr">
        <is>
          <t>Miss Glam Jambi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PINKFLASH</t>
        </is>
      </c>
      <c r="B3255" s="2">
        <f>"6974908111660"</f>
        <v/>
      </c>
      <c r="C3255" t="inlineStr">
        <is>
          <t>PINKFLASH 3 Pan Eyeshadow Easy To Blend GT02</t>
        </is>
      </c>
      <c r="D3255" t="inlineStr">
        <is>
          <t>Miss Glam Jambi</t>
        </is>
      </c>
      <c r="E3255" t="n">
        <v>2</v>
      </c>
      <c r="F3255" t="n">
        <v>0.0165</v>
      </c>
      <c r="G3255" t="n">
        <v>0.33</v>
      </c>
      <c r="H3255" t="n">
        <v>4</v>
      </c>
      <c r="I3255" t="n">
        <v>28</v>
      </c>
      <c r="J3255" t="n">
        <v>3</v>
      </c>
      <c r="K3255" t="n">
        <v>0</v>
      </c>
      <c r="L3255" t="n">
        <v>33782</v>
      </c>
      <c r="M3255" t="n">
        <v>40500</v>
      </c>
      <c r="N3255" t="n">
        <v>33</v>
      </c>
      <c r="O3255" t="n">
        <v>0.33</v>
      </c>
      <c r="P3255" t="n">
        <v>1</v>
      </c>
      <c r="Q3255" t="n">
        <v>0.02</v>
      </c>
      <c r="R3255" t="n">
        <v>1</v>
      </c>
      <c r="S3255" t="n">
        <v>668.25</v>
      </c>
      <c r="T3255" t="n">
        <v>10</v>
      </c>
      <c r="U3255" t="n">
        <v>11</v>
      </c>
      <c r="V3255" t="n">
        <v>30</v>
      </c>
      <c r="W3255" t="n">
        <v>1</v>
      </c>
      <c r="X3255" t="n">
        <v>121.2121212121212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10528</v>
      </c>
      <c r="AG3255" t="n">
        <v>2148</v>
      </c>
      <c r="AH3255" t="inlineStr">
        <is>
          <t>PT. JAYA PALEMBANG SUKSES - PPN (JMB)</t>
        </is>
      </c>
      <c r="AI3255" t="n">
        <v>838</v>
      </c>
      <c r="AJ3255" t="inlineStr">
        <is>
          <t>PINKFLASH</t>
        </is>
      </c>
      <c r="AK3255" t="n">
        <v>9</v>
      </c>
      <c r="AL3255" t="inlineStr">
        <is>
          <t>Miss Glam Jambi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PINKFLASH</t>
        </is>
      </c>
      <c r="B3256" s="2">
        <f>"6974908111646"</f>
        <v/>
      </c>
      <c r="C3256" t="inlineStr">
        <is>
          <t>PINKFLASH 3 Pan Eyeshadow Easy To Blend PK02</t>
        </is>
      </c>
      <c r="D3256" t="inlineStr">
        <is>
          <t>Miss Glam Jambi</t>
        </is>
      </c>
      <c r="E3256" t="n">
        <v>3</v>
      </c>
      <c r="F3256" t="n">
        <v>0.08910000000000001</v>
      </c>
      <c r="G3256" t="n">
        <v>0.66</v>
      </c>
      <c r="H3256" t="n">
        <v>4</v>
      </c>
      <c r="I3256" t="n">
        <v>28</v>
      </c>
      <c r="J3256" t="n">
        <v>3</v>
      </c>
      <c r="K3256" t="n">
        <v>0</v>
      </c>
      <c r="L3256" t="n">
        <v>33782</v>
      </c>
      <c r="M3256" t="n">
        <v>43500</v>
      </c>
      <c r="N3256" t="n">
        <v>33</v>
      </c>
      <c r="O3256" t="n">
        <v>0.33</v>
      </c>
      <c r="P3256" t="n">
        <v>1</v>
      </c>
      <c r="Q3256" t="n">
        <v>0.1</v>
      </c>
      <c r="R3256" t="n">
        <v>1</v>
      </c>
      <c r="S3256" t="n">
        <v>3875.85</v>
      </c>
      <c r="T3256" t="n">
        <v>19</v>
      </c>
      <c r="U3256" t="n">
        <v>20</v>
      </c>
      <c r="V3256" t="n">
        <v>30</v>
      </c>
      <c r="W3256" t="n">
        <v>3</v>
      </c>
      <c r="X3256" t="n">
        <v>33.67003367003367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10528</v>
      </c>
      <c r="AG3256" t="n">
        <v>2148</v>
      </c>
      <c r="AH3256" t="inlineStr">
        <is>
          <t>PT. JAYA PALEMBANG SUKSES - PPN (JMB)</t>
        </is>
      </c>
      <c r="AI3256" t="n">
        <v>838</v>
      </c>
      <c r="AJ3256" t="inlineStr">
        <is>
          <t>PINKFLASH</t>
        </is>
      </c>
      <c r="AK3256" t="n">
        <v>9</v>
      </c>
      <c r="AL3256" t="inlineStr">
        <is>
          <t>Miss Glam Jambi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PINKFLASH</t>
        </is>
      </c>
      <c r="B3257" s="2">
        <f>"6974908111622"</f>
        <v/>
      </c>
      <c r="C3257" t="inlineStr">
        <is>
          <t>PINKFLASH 3 Pan Eyeshadow Easy To Blend RD02</t>
        </is>
      </c>
      <c r="D3257" t="inlineStr">
        <is>
          <t>Miss Glam Jambi</t>
        </is>
      </c>
      <c r="E3257" t="n">
        <v>7</v>
      </c>
      <c r="F3257" t="n">
        <v>0.3036</v>
      </c>
      <c r="G3257" t="n">
        <v>1.32</v>
      </c>
      <c r="H3257" t="n">
        <v>4</v>
      </c>
      <c r="I3257" t="n">
        <v>28</v>
      </c>
      <c r="J3257" t="n">
        <v>3</v>
      </c>
      <c r="K3257" t="n">
        <v>3</v>
      </c>
      <c r="L3257" t="n">
        <v>33782</v>
      </c>
      <c r="M3257" t="n">
        <v>46000</v>
      </c>
      <c r="N3257" t="n">
        <v>33</v>
      </c>
      <c r="O3257" t="n">
        <v>0.33</v>
      </c>
      <c r="P3257" t="n">
        <v>1</v>
      </c>
      <c r="Q3257" t="n">
        <v>0.17</v>
      </c>
      <c r="R3257" t="n">
        <v>2</v>
      </c>
      <c r="S3257" t="n">
        <v>13965.6</v>
      </c>
      <c r="T3257" t="n">
        <v>36</v>
      </c>
      <c r="U3257" t="n">
        <v>38</v>
      </c>
      <c r="V3257" t="n">
        <v>30</v>
      </c>
      <c r="W3257" t="n">
        <v>10</v>
      </c>
      <c r="X3257" t="n">
        <v>23.0566534914361</v>
      </c>
      <c r="Y3257" t="n">
        <v>1</v>
      </c>
      <c r="Z3257" t="n">
        <v>0</v>
      </c>
      <c r="AA3257" t="n">
        <v>1</v>
      </c>
      <c r="AB3257" t="n">
        <v>0</v>
      </c>
      <c r="AC3257" t="n">
        <v>0</v>
      </c>
      <c r="AD3257" t="n">
        <v>33782</v>
      </c>
      <c r="AE3257" t="n">
        <v>0</v>
      </c>
      <c r="AF3257" t="n">
        <v>10528</v>
      </c>
      <c r="AG3257" t="n">
        <v>2148</v>
      </c>
      <c r="AH3257" t="inlineStr">
        <is>
          <t>PT. JAYA PALEMBANG SUKSES - PPN (JMB)</t>
        </is>
      </c>
      <c r="AI3257" t="n">
        <v>838</v>
      </c>
      <c r="AJ3257" t="inlineStr">
        <is>
          <t>PINKFLASH</t>
        </is>
      </c>
      <c r="AK3257" t="n">
        <v>9</v>
      </c>
      <c r="AL3257" t="inlineStr">
        <is>
          <t>Miss Glam Jambi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PINKFLASH</t>
        </is>
      </c>
      <c r="B3258" s="2">
        <f>"20300446724"</f>
        <v/>
      </c>
      <c r="C3258" t="inlineStr">
        <is>
          <t>PINKFLASH Creamy Lipgloss PK01 6gr</t>
        </is>
      </c>
      <c r="D3258" t="inlineStr">
        <is>
          <t>Miss Glam Jambi</t>
        </is>
      </c>
      <c r="E3258" t="n">
        <v>2</v>
      </c>
      <c r="F3258" t="n">
        <v>0.05</v>
      </c>
      <c r="G3258" t="n">
        <v>1</v>
      </c>
      <c r="H3258" t="n">
        <v>4</v>
      </c>
      <c r="I3258" t="n">
        <v>28</v>
      </c>
      <c r="J3258" t="n">
        <v>1</v>
      </c>
      <c r="K3258" t="n">
        <v>0</v>
      </c>
      <c r="L3258" t="n">
        <v>24059</v>
      </c>
      <c r="M3258" t="n">
        <v>30000</v>
      </c>
      <c r="N3258" t="n">
        <v>33</v>
      </c>
      <c r="O3258" t="n">
        <v>0.33</v>
      </c>
      <c r="P3258" t="n">
        <v>0</v>
      </c>
      <c r="Q3258" t="n">
        <v>0.05</v>
      </c>
      <c r="R3258" t="n">
        <v>1</v>
      </c>
      <c r="S3258" t="n">
        <v>1500</v>
      </c>
      <c r="T3258" t="n">
        <v>28</v>
      </c>
      <c r="U3258" t="n">
        <v>29</v>
      </c>
      <c r="V3258" t="n">
        <v>30</v>
      </c>
      <c r="W3258" t="n">
        <v>2</v>
      </c>
      <c r="X3258" t="n">
        <v>40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10528</v>
      </c>
      <c r="AG3258" t="n">
        <v>2148</v>
      </c>
      <c r="AH3258" t="inlineStr">
        <is>
          <t>PT. JAYA PALEMBANG SUKSES - PPN (JMB)</t>
        </is>
      </c>
      <c r="AI3258" t="n">
        <v>838</v>
      </c>
      <c r="AJ3258" t="inlineStr">
        <is>
          <t>PINKFLASH</t>
        </is>
      </c>
      <c r="AK3258" t="n">
        <v>9</v>
      </c>
      <c r="AL3258" t="inlineStr">
        <is>
          <t>Miss Glam Jambi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PINKFLASH</t>
        </is>
      </c>
      <c r="B3259" s="2">
        <f>"6941845809998"</f>
        <v/>
      </c>
      <c r="C3259" t="inlineStr">
        <is>
          <t>PINKFLASH Duo Effect Pressed Powder PF-F17 YL02 9gr</t>
        </is>
      </c>
      <c r="D3259" t="inlineStr">
        <is>
          <t>Miss Glam Jambi</t>
        </is>
      </c>
      <c r="E3259" t="n">
        <v>7</v>
      </c>
      <c r="F3259" t="n">
        <v>0.006600000000000001</v>
      </c>
      <c r="G3259" t="n">
        <v>0.33</v>
      </c>
      <c r="H3259" t="n">
        <v>4</v>
      </c>
      <c r="I3259" t="n">
        <v>28</v>
      </c>
      <c r="J3259" t="n">
        <v>3</v>
      </c>
      <c r="K3259" t="n">
        <v>0</v>
      </c>
      <c r="L3259" t="n">
        <v>42104</v>
      </c>
      <c r="M3259" t="n">
        <v>50500</v>
      </c>
      <c r="N3259" t="n">
        <v>33</v>
      </c>
      <c r="O3259" t="n">
        <v>0.33</v>
      </c>
      <c r="P3259" t="n">
        <v>1</v>
      </c>
      <c r="Q3259" t="n">
        <v>0.02</v>
      </c>
      <c r="R3259" t="n">
        <v>1</v>
      </c>
      <c r="S3259" t="n">
        <v>333.3000000000001</v>
      </c>
      <c r="T3259" t="n">
        <v>10</v>
      </c>
      <c r="U3259" t="n">
        <v>11</v>
      </c>
      <c r="V3259" t="n">
        <v>30</v>
      </c>
      <c r="W3259" t="n">
        <v>1</v>
      </c>
      <c r="X3259" t="n">
        <v>1060.606060606061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10528</v>
      </c>
      <c r="AG3259" t="n">
        <v>2148</v>
      </c>
      <c r="AH3259" t="inlineStr">
        <is>
          <t>PT. JAYA PALEMBANG SUKSES - PPN (JMB)</t>
        </is>
      </c>
      <c r="AI3259" t="n">
        <v>838</v>
      </c>
      <c r="AJ3259" t="inlineStr">
        <is>
          <t>PINKFLASH</t>
        </is>
      </c>
      <c r="AK3259" t="n">
        <v>9</v>
      </c>
      <c r="AL3259" t="inlineStr">
        <is>
          <t>Miss Glam Jambi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PINKFLASH</t>
        </is>
      </c>
      <c r="B3260" s="2">
        <f>"6974908112049"</f>
        <v/>
      </c>
      <c r="C3260" t="inlineStr">
        <is>
          <t>PINKFLASH Duo Lipgloss V01</t>
        </is>
      </c>
      <c r="D3260" t="inlineStr">
        <is>
          <t>Miss Glam Jambi</t>
        </is>
      </c>
      <c r="E3260" t="n">
        <v>2</v>
      </c>
      <c r="F3260" t="n">
        <v>0.0231</v>
      </c>
      <c r="G3260" t="n">
        <v>0.33</v>
      </c>
      <c r="H3260" t="n">
        <v>4</v>
      </c>
      <c r="I3260" t="n">
        <v>28</v>
      </c>
      <c r="J3260" t="n">
        <v>3</v>
      </c>
      <c r="K3260" t="n">
        <v>0</v>
      </c>
      <c r="L3260" t="n">
        <v>24866</v>
      </c>
      <c r="M3260" t="n">
        <v>30000</v>
      </c>
      <c r="N3260" t="n">
        <v>33</v>
      </c>
      <c r="O3260" t="n">
        <v>0.33</v>
      </c>
      <c r="P3260" t="n">
        <v>1</v>
      </c>
      <c r="Q3260" t="n">
        <v>0.03</v>
      </c>
      <c r="R3260" t="n">
        <v>1</v>
      </c>
      <c r="S3260" t="n">
        <v>693.0000000000001</v>
      </c>
      <c r="T3260" t="n">
        <v>10</v>
      </c>
      <c r="U3260" t="n">
        <v>11</v>
      </c>
      <c r="V3260" t="n">
        <v>30</v>
      </c>
      <c r="W3260" t="n">
        <v>1</v>
      </c>
      <c r="X3260" t="n">
        <v>86.58008658008657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10528</v>
      </c>
      <c r="AG3260" t="n">
        <v>2148</v>
      </c>
      <c r="AH3260" t="inlineStr">
        <is>
          <t>PT. JAYA PALEMBANG SUKSES - PPN (JMB)</t>
        </is>
      </c>
      <c r="AI3260" t="n">
        <v>838</v>
      </c>
      <c r="AJ3260" t="inlineStr">
        <is>
          <t>PINKFLASH</t>
        </is>
      </c>
      <c r="AK3260" t="n">
        <v>9</v>
      </c>
      <c r="AL3260" t="inlineStr">
        <is>
          <t>Miss Glam Jambi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PINKFLASH</t>
        </is>
      </c>
      <c r="B3261" s="2">
        <f>"6974908112056"</f>
        <v/>
      </c>
      <c r="C3261" t="inlineStr">
        <is>
          <t>PINKFLASH Duo Lipgloss V02</t>
        </is>
      </c>
      <c r="D3261" t="inlineStr">
        <is>
          <t>Miss Glam Jambi</t>
        </is>
      </c>
      <c r="E3261" t="n">
        <v>2</v>
      </c>
      <c r="F3261" t="n">
        <v>0.06270000000000001</v>
      </c>
      <c r="G3261" t="n">
        <v>0.66</v>
      </c>
      <c r="H3261" t="n">
        <v>4</v>
      </c>
      <c r="I3261" t="n">
        <v>28</v>
      </c>
      <c r="J3261" t="n">
        <v>3</v>
      </c>
      <c r="K3261" t="n">
        <v>0</v>
      </c>
      <c r="L3261" t="n">
        <v>24866</v>
      </c>
      <c r="M3261" t="n">
        <v>31000</v>
      </c>
      <c r="N3261" t="n">
        <v>33</v>
      </c>
      <c r="O3261" t="n">
        <v>0.33</v>
      </c>
      <c r="P3261" t="n">
        <v>1</v>
      </c>
      <c r="Q3261" t="n">
        <v>0.08</v>
      </c>
      <c r="R3261" t="n">
        <v>1</v>
      </c>
      <c r="S3261" t="n">
        <v>1943.7</v>
      </c>
      <c r="T3261" t="n">
        <v>19</v>
      </c>
      <c r="U3261" t="n">
        <v>20</v>
      </c>
      <c r="V3261" t="n">
        <v>30</v>
      </c>
      <c r="W3261" t="n">
        <v>2</v>
      </c>
      <c r="X3261" t="n">
        <v>31.89792663476874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10528</v>
      </c>
      <c r="AG3261" t="n">
        <v>2148</v>
      </c>
      <c r="AH3261" t="inlineStr">
        <is>
          <t>PT. JAYA PALEMBANG SUKSES - PPN (JMB)</t>
        </is>
      </c>
      <c r="AI3261" t="n">
        <v>838</v>
      </c>
      <c r="AJ3261" t="inlineStr">
        <is>
          <t>PINKFLASH</t>
        </is>
      </c>
      <c r="AK3261" t="n">
        <v>9</v>
      </c>
      <c r="AL3261" t="inlineStr">
        <is>
          <t>Miss Glam Jambi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PINKFLASH</t>
        </is>
      </c>
      <c r="B3262" s="2">
        <f>"6941845808359"</f>
        <v/>
      </c>
      <c r="C3262" t="inlineStr">
        <is>
          <t>PINKFLASH E08 Oil Curl Mascara #2 Long</t>
        </is>
      </c>
      <c r="D3262" t="inlineStr">
        <is>
          <t>Miss Glam Jambi</t>
        </is>
      </c>
      <c r="E3262" t="n">
        <v>5</v>
      </c>
      <c r="F3262" t="n">
        <v>1.5015</v>
      </c>
      <c r="G3262" t="n">
        <v>3.63</v>
      </c>
      <c r="H3262" t="n">
        <v>4</v>
      </c>
      <c r="I3262" t="n">
        <v>28</v>
      </c>
      <c r="J3262" t="n">
        <v>3</v>
      </c>
      <c r="K3262" t="n">
        <v>3</v>
      </c>
      <c r="L3262" t="n">
        <v>20148</v>
      </c>
      <c r="M3262" t="n">
        <v>24000</v>
      </c>
      <c r="N3262" t="n">
        <v>33</v>
      </c>
      <c r="O3262" t="n">
        <v>0.33</v>
      </c>
      <c r="P3262" t="n">
        <v>1</v>
      </c>
      <c r="Q3262" t="n">
        <v>0.22</v>
      </c>
      <c r="R3262" t="n">
        <v>1</v>
      </c>
      <c r="S3262" t="n">
        <v>36036</v>
      </c>
      <c r="T3262" t="n">
        <v>96</v>
      </c>
      <c r="U3262" t="n">
        <v>103</v>
      </c>
      <c r="V3262" t="n">
        <v>30</v>
      </c>
      <c r="W3262" t="n">
        <v>46</v>
      </c>
      <c r="X3262" t="n">
        <v>3.33000333000333</v>
      </c>
      <c r="Y3262" t="n">
        <v>1</v>
      </c>
      <c r="Z3262" t="n">
        <v>38</v>
      </c>
      <c r="AA3262" t="n">
        <v>37</v>
      </c>
      <c r="AB3262" t="n">
        <v>1</v>
      </c>
      <c r="AC3262" t="n">
        <v>3</v>
      </c>
      <c r="AD3262" t="n">
        <v>745476</v>
      </c>
      <c r="AE3262" t="n">
        <v>60444</v>
      </c>
      <c r="AF3262" t="n">
        <v>10528</v>
      </c>
      <c r="AG3262" t="n">
        <v>2148</v>
      </c>
      <c r="AH3262" t="inlineStr">
        <is>
          <t>PT. JAYA PALEMBANG SUKSES - PPN (JMB)</t>
        </is>
      </c>
      <c r="AI3262" t="n">
        <v>838</v>
      </c>
      <c r="AJ3262" t="inlineStr">
        <is>
          <t>PINKFLASH</t>
        </is>
      </c>
      <c r="AK3262" t="n">
        <v>9</v>
      </c>
      <c r="AL3262" t="inlineStr">
        <is>
          <t>Miss Glam Jambi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PINKFLASH</t>
        </is>
      </c>
      <c r="B3263" s="2">
        <f>"6941845805303"</f>
        <v/>
      </c>
      <c r="C3263" t="inlineStr">
        <is>
          <t>PINKFLASH E09 Auto Eyebrow Pencil #02 Chocolate Brown</t>
        </is>
      </c>
      <c r="D3263" t="inlineStr">
        <is>
          <t>Miss Glam Jambi</t>
        </is>
      </c>
      <c r="E3263" t="n">
        <v>8</v>
      </c>
      <c r="F3263" t="n">
        <v>0.3531</v>
      </c>
      <c r="G3263" t="n">
        <v>1.65</v>
      </c>
      <c r="H3263" t="n">
        <v>4</v>
      </c>
      <c r="I3263" t="n">
        <v>28</v>
      </c>
      <c r="J3263" t="n">
        <v>3</v>
      </c>
      <c r="K3263" t="n">
        <v>3</v>
      </c>
      <c r="L3263" t="n">
        <v>14551</v>
      </c>
      <c r="M3263" t="n">
        <v>17500</v>
      </c>
      <c r="N3263" t="n">
        <v>33</v>
      </c>
      <c r="O3263" t="n">
        <v>0.33</v>
      </c>
      <c r="P3263" t="n">
        <v>1</v>
      </c>
      <c r="Q3263" t="n">
        <v>0.14</v>
      </c>
      <c r="R3263" t="n">
        <v>2</v>
      </c>
      <c r="S3263" t="n">
        <v>6179.25</v>
      </c>
      <c r="T3263" t="n">
        <v>45</v>
      </c>
      <c r="U3263" t="n">
        <v>47</v>
      </c>
      <c r="V3263" t="n">
        <v>30</v>
      </c>
      <c r="W3263" t="n">
        <v>11</v>
      </c>
      <c r="X3263" t="n">
        <v>22.6564712546021</v>
      </c>
      <c r="Y3263" t="n">
        <v>1</v>
      </c>
      <c r="Z3263" t="n">
        <v>0</v>
      </c>
      <c r="AA3263" t="n">
        <v>1</v>
      </c>
      <c r="AB3263" t="n">
        <v>0</v>
      </c>
      <c r="AC3263" t="n">
        <v>0</v>
      </c>
      <c r="AD3263" t="n">
        <v>14551</v>
      </c>
      <c r="AE3263" t="n">
        <v>0</v>
      </c>
      <c r="AF3263" t="n">
        <v>10528</v>
      </c>
      <c r="AG3263" t="n">
        <v>2148</v>
      </c>
      <c r="AH3263" t="inlineStr">
        <is>
          <t>PT. JAYA PALEMBANG SUKSES - PPN (JMB)</t>
        </is>
      </c>
      <c r="AI3263" t="n">
        <v>838</v>
      </c>
      <c r="AJ3263" t="inlineStr">
        <is>
          <t>PINKFLASH</t>
        </is>
      </c>
      <c r="AK3263" t="n">
        <v>9</v>
      </c>
      <c r="AL3263" t="inlineStr">
        <is>
          <t>Miss Glam Jambi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PINKFLASH</t>
        </is>
      </c>
      <c r="B3264" s="2">
        <f>"6941845808403"</f>
        <v/>
      </c>
      <c r="C3264" t="inlineStr">
        <is>
          <t>PINKFLASH F01 Soft Pigment Blush 002 1.7gr</t>
        </is>
      </c>
      <c r="D3264" t="inlineStr">
        <is>
          <t>Miss Glam Jambi</t>
        </is>
      </c>
      <c r="E3264" t="n">
        <v>2</v>
      </c>
      <c r="F3264" t="n">
        <v>0.08</v>
      </c>
      <c r="G3264" t="n">
        <v>1</v>
      </c>
      <c r="H3264" t="n">
        <v>4</v>
      </c>
      <c r="I3264" t="n">
        <v>28</v>
      </c>
      <c r="J3264" t="n">
        <v>3</v>
      </c>
      <c r="K3264" t="n">
        <v>0</v>
      </c>
      <c r="L3264" t="n">
        <v>15317</v>
      </c>
      <c r="M3264" t="n">
        <v>18500</v>
      </c>
      <c r="N3264" t="n">
        <v>33</v>
      </c>
      <c r="O3264" t="n">
        <v>0.33</v>
      </c>
      <c r="P3264" t="n">
        <v>0</v>
      </c>
      <c r="Q3264" t="n">
        <v>0.08</v>
      </c>
      <c r="R3264" t="n">
        <v>1</v>
      </c>
      <c r="S3264" t="n">
        <v>1480</v>
      </c>
      <c r="T3264" t="n">
        <v>28</v>
      </c>
      <c r="U3264" t="n">
        <v>29</v>
      </c>
      <c r="V3264" t="n">
        <v>30</v>
      </c>
      <c r="W3264" t="n">
        <v>3</v>
      </c>
      <c r="X3264" t="n">
        <v>25</v>
      </c>
      <c r="Y3264" t="n">
        <v>1</v>
      </c>
      <c r="Z3264" t="n">
        <v>1</v>
      </c>
      <c r="AA3264" t="n">
        <v>1</v>
      </c>
      <c r="AB3264" t="n">
        <v>0</v>
      </c>
      <c r="AC3264" t="n">
        <v>0</v>
      </c>
      <c r="AD3264" t="n">
        <v>15317</v>
      </c>
      <c r="AE3264" t="n">
        <v>0</v>
      </c>
      <c r="AF3264" t="n">
        <v>10528</v>
      </c>
      <c r="AG3264" t="n">
        <v>2148</v>
      </c>
      <c r="AH3264" t="inlineStr">
        <is>
          <t>PT. JAYA PALEMBANG SUKSES - PPN (JMB)</t>
        </is>
      </c>
      <c r="AI3264" t="n">
        <v>838</v>
      </c>
      <c r="AJ3264" t="inlineStr">
        <is>
          <t>PINKFLASH</t>
        </is>
      </c>
      <c r="AK3264" t="n">
        <v>9</v>
      </c>
      <c r="AL3264" t="inlineStr">
        <is>
          <t>Miss Glam Jambi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PINKFLASH</t>
        </is>
      </c>
      <c r="B3265" s="2">
        <f>"6941845808427"</f>
        <v/>
      </c>
      <c r="C3265" t="inlineStr">
        <is>
          <t>PINKFLASH F01 Soft Pigment Blush 003 1.7gr</t>
        </is>
      </c>
      <c r="D3265" t="inlineStr">
        <is>
          <t>Miss Glam Jambi</t>
        </is>
      </c>
      <c r="E3265" t="n">
        <v>4</v>
      </c>
      <c r="F3265" t="n">
        <v>0.3234</v>
      </c>
      <c r="G3265" t="n">
        <v>1.65</v>
      </c>
      <c r="H3265" t="n">
        <v>4</v>
      </c>
      <c r="I3265" t="n">
        <v>28</v>
      </c>
      <c r="J3265" t="n">
        <v>3</v>
      </c>
      <c r="K3265" t="n">
        <v>3</v>
      </c>
      <c r="L3265" t="n">
        <v>15318</v>
      </c>
      <c r="M3265" t="n">
        <v>18500</v>
      </c>
      <c r="N3265" t="n">
        <v>33</v>
      </c>
      <c r="O3265" t="n">
        <v>0.33</v>
      </c>
      <c r="P3265" t="n">
        <v>1</v>
      </c>
      <c r="Q3265" t="n">
        <v>0.37</v>
      </c>
      <c r="R3265" t="n">
        <v>3</v>
      </c>
      <c r="S3265" t="n">
        <v>5982.900000000001</v>
      </c>
      <c r="T3265" t="n">
        <v>45</v>
      </c>
      <c r="U3265" t="n">
        <v>47</v>
      </c>
      <c r="V3265" t="n">
        <v>30</v>
      </c>
      <c r="W3265" t="n">
        <v>10</v>
      </c>
      <c r="X3265" t="n">
        <v>12.36858379715522</v>
      </c>
      <c r="Y3265" t="n">
        <v>1</v>
      </c>
      <c r="Z3265" t="n">
        <v>3</v>
      </c>
      <c r="AA3265" t="n">
        <v>5</v>
      </c>
      <c r="AB3265" t="n">
        <v>0</v>
      </c>
      <c r="AC3265" t="n">
        <v>0</v>
      </c>
      <c r="AD3265" t="n">
        <v>76590</v>
      </c>
      <c r="AE3265" t="n">
        <v>0</v>
      </c>
      <c r="AF3265" t="n">
        <v>10528</v>
      </c>
      <c r="AG3265" t="n">
        <v>2148</v>
      </c>
      <c r="AH3265" t="inlineStr">
        <is>
          <t>PT. JAYA PALEMBANG SUKSES - PPN (JMB)</t>
        </is>
      </c>
      <c r="AI3265" t="n">
        <v>838</v>
      </c>
      <c r="AJ3265" t="inlineStr">
        <is>
          <t>PINKFLASH</t>
        </is>
      </c>
      <c r="AK3265" t="n">
        <v>9</v>
      </c>
      <c r="AL3265" t="inlineStr">
        <is>
          <t>Miss Glam Jambi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PINKFLASH</t>
        </is>
      </c>
      <c r="B3266" s="2">
        <f>"6941845805501"</f>
        <v/>
      </c>
      <c r="C3266" t="inlineStr">
        <is>
          <t>PINKFLASH F02 Soft Pigment Face Contour-S02</t>
        </is>
      </c>
      <c r="D3266" t="inlineStr">
        <is>
          <t>Miss Glam Jambi</t>
        </is>
      </c>
      <c r="E3266" t="n">
        <v>7</v>
      </c>
      <c r="F3266" t="n">
        <v>0.17</v>
      </c>
      <c r="G3266" t="n">
        <v>1</v>
      </c>
      <c r="H3266" t="n">
        <v>4</v>
      </c>
      <c r="I3266" t="n">
        <v>28</v>
      </c>
      <c r="J3266" t="n">
        <v>3</v>
      </c>
      <c r="K3266" t="n">
        <v>0</v>
      </c>
      <c r="L3266" t="n">
        <v>15318</v>
      </c>
      <c r="M3266" t="n">
        <v>18500</v>
      </c>
      <c r="N3266" t="n">
        <v>33</v>
      </c>
      <c r="O3266" t="n">
        <v>0.33</v>
      </c>
      <c r="P3266" t="n">
        <v>0</v>
      </c>
      <c r="Q3266" t="n">
        <v>0.17</v>
      </c>
      <c r="R3266" t="n">
        <v>1</v>
      </c>
      <c r="S3266" t="n">
        <v>3145</v>
      </c>
      <c r="T3266" t="n">
        <v>28</v>
      </c>
      <c r="U3266" t="n">
        <v>29</v>
      </c>
      <c r="V3266" t="n">
        <v>30</v>
      </c>
      <c r="W3266" t="n">
        <v>6</v>
      </c>
      <c r="X3266" t="n">
        <v>41.17647058823529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10528</v>
      </c>
      <c r="AG3266" t="n">
        <v>2148</v>
      </c>
      <c r="AH3266" t="inlineStr">
        <is>
          <t>PT. JAYA PALEMBANG SUKSES - PPN (JMB)</t>
        </is>
      </c>
      <c r="AI3266" t="n">
        <v>838</v>
      </c>
      <c r="AJ3266" t="inlineStr">
        <is>
          <t>PINKFLASH</t>
        </is>
      </c>
      <c r="AK3266" t="n">
        <v>9</v>
      </c>
      <c r="AL3266" t="inlineStr">
        <is>
          <t>Miss Glam Jambi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PINKFLASH</t>
        </is>
      </c>
      <c r="B3267" s="2">
        <f>"6941845806799"</f>
        <v/>
      </c>
      <c r="C3267" t="inlineStr">
        <is>
          <t>PINKFLASH F04 Lasting Matte Concealer #4</t>
        </is>
      </c>
      <c r="D3267" t="inlineStr">
        <is>
          <t>Miss Glam Jambi</t>
        </is>
      </c>
      <c r="E3267" t="n">
        <v>3</v>
      </c>
      <c r="F3267" t="n">
        <v>0.009900000000000001</v>
      </c>
      <c r="G3267" t="n">
        <v>0.33</v>
      </c>
      <c r="H3267" t="n">
        <v>4</v>
      </c>
      <c r="I3267" t="n">
        <v>28</v>
      </c>
      <c r="J3267" t="n">
        <v>3</v>
      </c>
      <c r="K3267" t="n">
        <v>0</v>
      </c>
      <c r="L3267" t="n">
        <v>17088</v>
      </c>
      <c r="M3267" t="n">
        <v>20500</v>
      </c>
      <c r="N3267" t="n">
        <v>33</v>
      </c>
      <c r="O3267" t="n">
        <v>0.33</v>
      </c>
      <c r="P3267" t="n">
        <v>1</v>
      </c>
      <c r="Q3267" t="n">
        <v>0.02</v>
      </c>
      <c r="R3267" t="n">
        <v>1</v>
      </c>
      <c r="S3267" t="n">
        <v>202.95</v>
      </c>
      <c r="T3267" t="n">
        <v>10</v>
      </c>
      <c r="U3267" t="n">
        <v>11</v>
      </c>
      <c r="V3267" t="n">
        <v>30</v>
      </c>
      <c r="W3267" t="n">
        <v>1</v>
      </c>
      <c r="X3267" t="n">
        <v>303.030303030303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10528</v>
      </c>
      <c r="AG3267" t="n">
        <v>2148</v>
      </c>
      <c r="AH3267" t="inlineStr">
        <is>
          <t>PT. JAYA PALEMBANG SUKSES - PPN (JMB)</t>
        </is>
      </c>
      <c r="AI3267" t="n">
        <v>838</v>
      </c>
      <c r="AJ3267" t="inlineStr">
        <is>
          <t>PINKFLASH</t>
        </is>
      </c>
      <c r="AK3267" t="n">
        <v>9</v>
      </c>
      <c r="AL3267" t="inlineStr">
        <is>
          <t>Miss Glam Jambi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PINKFLASH</t>
        </is>
      </c>
      <c r="B3268" s="2">
        <f>"6941845805570"</f>
        <v/>
      </c>
      <c r="C3268" t="inlineStr">
        <is>
          <t>PINKFLASH Face Pallet PF M02-01</t>
        </is>
      </c>
      <c r="D3268" t="inlineStr">
        <is>
          <t>Miss Glam Jambi</t>
        </is>
      </c>
      <c r="E3268" t="n">
        <v>6</v>
      </c>
      <c r="F3268" t="n">
        <v>0.0726</v>
      </c>
      <c r="G3268" t="n">
        <v>0.66</v>
      </c>
      <c r="H3268" t="n">
        <v>4</v>
      </c>
      <c r="I3268" t="n">
        <v>28</v>
      </c>
      <c r="J3268" t="n">
        <v>3</v>
      </c>
      <c r="K3268" t="n">
        <v>0</v>
      </c>
      <c r="L3268" t="n">
        <v>44027</v>
      </c>
      <c r="M3268" t="n">
        <v>52500</v>
      </c>
      <c r="N3268" t="n">
        <v>33</v>
      </c>
      <c r="O3268" t="n">
        <v>0.33</v>
      </c>
      <c r="P3268" t="n">
        <v>1</v>
      </c>
      <c r="Q3268" t="n">
        <v>0.2</v>
      </c>
      <c r="R3268" t="n">
        <v>2</v>
      </c>
      <c r="S3268" t="n">
        <v>3811.5</v>
      </c>
      <c r="T3268" t="n">
        <v>19</v>
      </c>
      <c r="U3268" t="n">
        <v>20</v>
      </c>
      <c r="V3268" t="n">
        <v>30</v>
      </c>
      <c r="W3268" t="n">
        <v>3</v>
      </c>
      <c r="X3268" t="n">
        <v>82.64462809917356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10528</v>
      </c>
      <c r="AG3268" t="n">
        <v>2148</v>
      </c>
      <c r="AH3268" t="inlineStr">
        <is>
          <t>PT. JAYA PALEMBANG SUKSES - PPN (JMB)</t>
        </is>
      </c>
      <c r="AI3268" t="n">
        <v>838</v>
      </c>
      <c r="AJ3268" t="inlineStr">
        <is>
          <t>PINKFLASH</t>
        </is>
      </c>
      <c r="AK3268" t="n">
        <v>9</v>
      </c>
      <c r="AL3268" t="inlineStr">
        <is>
          <t>Miss Glam Jambi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PINKFLASH</t>
        </is>
      </c>
      <c r="B3269" s="2">
        <f>"6941845805563"</f>
        <v/>
      </c>
      <c r="C3269" t="inlineStr">
        <is>
          <t>PINKFLASH Face Pallet PF M02-02</t>
        </is>
      </c>
      <c r="D3269" t="inlineStr">
        <is>
          <t>Miss Glam Jambi</t>
        </is>
      </c>
      <c r="E3269" t="n">
        <v>3</v>
      </c>
      <c r="F3269" t="n">
        <v>0.4323</v>
      </c>
      <c r="G3269" t="n">
        <v>1.65</v>
      </c>
      <c r="H3269" t="n">
        <v>4</v>
      </c>
      <c r="I3269" t="n">
        <v>28</v>
      </c>
      <c r="J3269" t="n">
        <v>12</v>
      </c>
      <c r="K3269" t="n">
        <v>0</v>
      </c>
      <c r="L3269" t="n">
        <v>44027</v>
      </c>
      <c r="M3269" t="n">
        <v>52500</v>
      </c>
      <c r="N3269" t="n">
        <v>33</v>
      </c>
      <c r="O3269" t="n">
        <v>0.33</v>
      </c>
      <c r="P3269" t="n">
        <v>1</v>
      </c>
      <c r="Q3269" t="n">
        <v>0.25</v>
      </c>
      <c r="R3269" t="n">
        <v>2</v>
      </c>
      <c r="S3269" t="n">
        <v>22695.75</v>
      </c>
      <c r="T3269" t="n">
        <v>45</v>
      </c>
      <c r="U3269" t="n">
        <v>47</v>
      </c>
      <c r="V3269" t="n">
        <v>30</v>
      </c>
      <c r="W3269" t="n">
        <v>13</v>
      </c>
      <c r="X3269" t="n">
        <v>6.939625260235947</v>
      </c>
      <c r="Y3269" t="n">
        <v>1</v>
      </c>
      <c r="Z3269" t="n">
        <v>10</v>
      </c>
      <c r="AA3269" t="n">
        <v>10</v>
      </c>
      <c r="AB3269" t="n">
        <v>0</v>
      </c>
      <c r="AC3269" t="n">
        <v>0</v>
      </c>
      <c r="AD3269" t="n">
        <v>440270</v>
      </c>
      <c r="AE3269" t="n">
        <v>0</v>
      </c>
      <c r="AF3269" t="n">
        <v>10528</v>
      </c>
      <c r="AG3269" t="n">
        <v>2148</v>
      </c>
      <c r="AH3269" t="inlineStr">
        <is>
          <t>PT. JAYA PALEMBANG SUKSES - PPN (JMB)</t>
        </is>
      </c>
      <c r="AI3269" t="n">
        <v>838</v>
      </c>
      <c r="AJ3269" t="inlineStr">
        <is>
          <t>PINKFLASH</t>
        </is>
      </c>
      <c r="AK3269" t="n">
        <v>9</v>
      </c>
      <c r="AL3269" t="inlineStr">
        <is>
          <t>Miss Glam Jambi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PINKFLASH</t>
        </is>
      </c>
      <c r="B3270" s="2">
        <f>"6941845805556"</f>
        <v/>
      </c>
      <c r="C3270" t="inlineStr">
        <is>
          <t>PINKFLASH Face Pallet PF M02-03</t>
        </is>
      </c>
      <c r="D3270" t="inlineStr">
        <is>
          <t>Miss Glam Jambi</t>
        </is>
      </c>
      <c r="E3270" t="n">
        <v>5</v>
      </c>
      <c r="F3270" t="n">
        <v>0.2244</v>
      </c>
      <c r="G3270" t="n">
        <v>1.32</v>
      </c>
      <c r="H3270" t="n">
        <v>4</v>
      </c>
      <c r="I3270" t="n">
        <v>28</v>
      </c>
      <c r="J3270" t="n">
        <v>3</v>
      </c>
      <c r="K3270" t="n">
        <v>3</v>
      </c>
      <c r="L3270" t="n">
        <v>44027</v>
      </c>
      <c r="M3270" t="n">
        <v>52500</v>
      </c>
      <c r="N3270" t="n">
        <v>33</v>
      </c>
      <c r="O3270" t="n">
        <v>0.33</v>
      </c>
      <c r="P3270" t="n">
        <v>1</v>
      </c>
      <c r="Q3270" t="n">
        <v>0.24</v>
      </c>
      <c r="R3270" t="n">
        <v>1</v>
      </c>
      <c r="S3270" t="n">
        <v>11781</v>
      </c>
      <c r="T3270" t="n">
        <v>37</v>
      </c>
      <c r="U3270" t="n">
        <v>38</v>
      </c>
      <c r="V3270" t="n">
        <v>30</v>
      </c>
      <c r="W3270" t="n">
        <v>7</v>
      </c>
      <c r="X3270" t="n">
        <v>22.28163992869875</v>
      </c>
      <c r="Y3270" t="n">
        <v>1</v>
      </c>
      <c r="Z3270" t="n">
        <v>0</v>
      </c>
      <c r="AA3270" t="n">
        <v>1</v>
      </c>
      <c r="AB3270" t="n">
        <v>0</v>
      </c>
      <c r="AC3270" t="n">
        <v>0</v>
      </c>
      <c r="AD3270" t="n">
        <v>44027</v>
      </c>
      <c r="AE3270" t="n">
        <v>0</v>
      </c>
      <c r="AF3270" t="n">
        <v>10528</v>
      </c>
      <c r="AG3270" t="n">
        <v>2148</v>
      </c>
      <c r="AH3270" t="inlineStr">
        <is>
          <t>PT. JAYA PALEMBANG SUKSES - PPN (JMB)</t>
        </is>
      </c>
      <c r="AI3270" t="n">
        <v>838</v>
      </c>
      <c r="AJ3270" t="inlineStr">
        <is>
          <t>PINKFLASH</t>
        </is>
      </c>
      <c r="AK3270" t="n">
        <v>9</v>
      </c>
      <c r="AL3270" t="inlineStr">
        <is>
          <t>Miss Glam Jambi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PINKFLASH</t>
        </is>
      </c>
      <c r="B3271" s="2">
        <f>"10700331256"</f>
        <v/>
      </c>
      <c r="C3271" t="inlineStr">
        <is>
          <t>PINKFLASH Glossy Balm NU01 1.6gr</t>
        </is>
      </c>
      <c r="D3271" t="inlineStr">
        <is>
          <t>Miss Glam Jambi</t>
        </is>
      </c>
      <c r="E3271" t="n">
        <v>4</v>
      </c>
      <c r="F3271" t="n">
        <v>0.02</v>
      </c>
      <c r="G3271" t="n">
        <v>1</v>
      </c>
      <c r="H3271" t="n">
        <v>4</v>
      </c>
      <c r="I3271" t="n">
        <v>28</v>
      </c>
      <c r="J3271" t="n">
        <v>1</v>
      </c>
      <c r="K3271" t="n">
        <v>0</v>
      </c>
      <c r="L3271" t="n">
        <v>39000</v>
      </c>
      <c r="M3271" t="n">
        <v>47000</v>
      </c>
      <c r="N3271" t="n">
        <v>33</v>
      </c>
      <c r="O3271" t="n">
        <v>0.33</v>
      </c>
      <c r="P3271" t="n">
        <v>0</v>
      </c>
      <c r="Q3271" t="n">
        <v>0.02</v>
      </c>
      <c r="R3271" t="n">
        <v>1</v>
      </c>
      <c r="S3271" t="n">
        <v>940</v>
      </c>
      <c r="T3271" t="n">
        <v>28</v>
      </c>
      <c r="U3271" t="n">
        <v>29</v>
      </c>
      <c r="V3271" t="n">
        <v>30</v>
      </c>
      <c r="W3271" t="n">
        <v>1</v>
      </c>
      <c r="X3271" t="n">
        <v>200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10528</v>
      </c>
      <c r="AG3271" t="n">
        <v>2148</v>
      </c>
      <c r="AH3271" t="inlineStr">
        <is>
          <t>PT. JAYA PALEMBANG SUKSES - PPN (JMB)</t>
        </is>
      </c>
      <c r="AI3271" t="n">
        <v>838</v>
      </c>
      <c r="AJ3271" t="inlineStr">
        <is>
          <t>PINKFLASH</t>
        </is>
      </c>
      <c r="AK3271" t="n">
        <v>9</v>
      </c>
      <c r="AL3271" t="inlineStr">
        <is>
          <t>Miss Glam Jambi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PINKFLASH</t>
        </is>
      </c>
      <c r="B3272" s="2">
        <f>"10700331127"</f>
        <v/>
      </c>
      <c r="C3272" t="inlineStr">
        <is>
          <t>PINKFLASH Glossy Balm NU02 1.6gr</t>
        </is>
      </c>
      <c r="D3272" t="inlineStr">
        <is>
          <t>Miss Glam Jambi</t>
        </is>
      </c>
      <c r="E3272" t="n">
        <v>7</v>
      </c>
      <c r="F3272" t="n">
        <v>0.03</v>
      </c>
      <c r="G3272" t="n">
        <v>1</v>
      </c>
      <c r="H3272" t="n">
        <v>4</v>
      </c>
      <c r="I3272" t="n">
        <v>28</v>
      </c>
      <c r="J3272" t="n">
        <v>1</v>
      </c>
      <c r="K3272" t="n">
        <v>0</v>
      </c>
      <c r="L3272" t="n">
        <v>47010</v>
      </c>
      <c r="M3272" t="n">
        <v>47000</v>
      </c>
      <c r="N3272" t="n">
        <v>33</v>
      </c>
      <c r="O3272" t="n">
        <v>0.33</v>
      </c>
      <c r="P3272" t="n">
        <v>0</v>
      </c>
      <c r="Q3272" t="n">
        <v>0.03</v>
      </c>
      <c r="R3272" t="n">
        <v>1</v>
      </c>
      <c r="S3272" t="n">
        <v>1410</v>
      </c>
      <c r="T3272" t="n">
        <v>28</v>
      </c>
      <c r="U3272" t="n">
        <v>29</v>
      </c>
      <c r="V3272" t="n">
        <v>30</v>
      </c>
      <c r="W3272" t="n">
        <v>1</v>
      </c>
      <c r="X3272" t="n">
        <v>233.3333333333333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10528</v>
      </c>
      <c r="AG3272" t="n">
        <v>2148</v>
      </c>
      <c r="AH3272" t="inlineStr">
        <is>
          <t>PT. JAYA PALEMBANG SUKSES - PPN (JMB)</t>
        </is>
      </c>
      <c r="AI3272" t="n">
        <v>838</v>
      </c>
      <c r="AJ3272" t="inlineStr">
        <is>
          <t>PINKFLASH</t>
        </is>
      </c>
      <c r="AK3272" t="n">
        <v>9</v>
      </c>
      <c r="AL3272" t="inlineStr">
        <is>
          <t>Miss Glam Jambi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PINKFLASH</t>
        </is>
      </c>
      <c r="B3273" s="2">
        <f>"6941845824359"</f>
        <v/>
      </c>
      <c r="C3273" t="inlineStr">
        <is>
          <t>PINKFLASH Inked Brow Smudge Proof Brow Pomade PF-E16 BR01</t>
        </is>
      </c>
      <c r="D3273" t="inlineStr">
        <is>
          <t>Miss Glam Jambi</t>
        </is>
      </c>
      <c r="E3273" t="n">
        <v>6</v>
      </c>
      <c r="F3273" t="n">
        <v>0.033</v>
      </c>
      <c r="G3273" t="n">
        <v>0.33</v>
      </c>
      <c r="H3273" t="n">
        <v>4</v>
      </c>
      <c r="I3273" t="n">
        <v>28</v>
      </c>
      <c r="J3273" t="n">
        <v>3</v>
      </c>
      <c r="K3273" t="n">
        <v>0</v>
      </c>
      <c r="L3273" t="n">
        <v>26510</v>
      </c>
      <c r="M3273" t="n">
        <v>40000</v>
      </c>
      <c r="N3273" t="n">
        <v>33</v>
      </c>
      <c r="O3273" t="n">
        <v>0.33</v>
      </c>
      <c r="P3273" t="n">
        <v>1</v>
      </c>
      <c r="Q3273" t="n">
        <v>0.02</v>
      </c>
      <c r="R3273" t="n">
        <v>1</v>
      </c>
      <c r="S3273" t="n">
        <v>1320</v>
      </c>
      <c r="T3273" t="n">
        <v>10</v>
      </c>
      <c r="U3273" t="n">
        <v>11</v>
      </c>
      <c r="V3273" t="n">
        <v>30</v>
      </c>
      <c r="W3273" t="n">
        <v>1</v>
      </c>
      <c r="X3273" t="n">
        <v>181.8181818181818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10528</v>
      </c>
      <c r="AG3273" t="n">
        <v>2148</v>
      </c>
      <c r="AH3273" t="inlineStr">
        <is>
          <t>PT. JAYA PALEMBANG SUKSES - PPN (JMB)</t>
        </is>
      </c>
      <c r="AI3273" t="n">
        <v>838</v>
      </c>
      <c r="AJ3273" t="inlineStr">
        <is>
          <t>PINKFLASH</t>
        </is>
      </c>
      <c r="AK3273" t="n">
        <v>9</v>
      </c>
      <c r="AL3273" t="inlineStr">
        <is>
          <t>Miss Glam Jambi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PINKFLASH</t>
        </is>
      </c>
      <c r="B3274" s="2">
        <f>"6941845824373"</f>
        <v/>
      </c>
      <c r="C3274" t="inlineStr">
        <is>
          <t>PINKFLASH Inked Brow Smudge Proof Brow Pomade PF-E16 BR03 1.4gr</t>
        </is>
      </c>
      <c r="D3274" t="inlineStr">
        <is>
          <t>Miss Glam Jambi</t>
        </is>
      </c>
      <c r="E3274" t="n">
        <v>1</v>
      </c>
      <c r="F3274" t="n">
        <v>0.009900000000000001</v>
      </c>
      <c r="G3274" t="n">
        <v>0.33</v>
      </c>
      <c r="H3274" t="n">
        <v>4</v>
      </c>
      <c r="I3274" t="n">
        <v>28</v>
      </c>
      <c r="J3274" t="n">
        <v>3</v>
      </c>
      <c r="K3274" t="n">
        <v>0</v>
      </c>
      <c r="L3274" t="n">
        <v>26510</v>
      </c>
      <c r="M3274" t="n">
        <v>40000</v>
      </c>
      <c r="N3274" t="n">
        <v>33</v>
      </c>
      <c r="O3274" t="n">
        <v>0.33</v>
      </c>
      <c r="P3274" t="n">
        <v>1</v>
      </c>
      <c r="Q3274" t="n">
        <v>0.05</v>
      </c>
      <c r="R3274" t="n">
        <v>1</v>
      </c>
      <c r="S3274" t="n">
        <v>396.0000000000001</v>
      </c>
      <c r="T3274" t="n">
        <v>10</v>
      </c>
      <c r="U3274" t="n">
        <v>11</v>
      </c>
      <c r="V3274" t="n">
        <v>30</v>
      </c>
      <c r="W3274" t="n">
        <v>1</v>
      </c>
      <c r="X3274" t="n">
        <v>101.010101010101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10528</v>
      </c>
      <c r="AG3274" t="n">
        <v>2148</v>
      </c>
      <c r="AH3274" t="inlineStr">
        <is>
          <t>PT. JAYA PALEMBANG SUKSES - PPN (JMB)</t>
        </is>
      </c>
      <c r="AI3274" t="n">
        <v>838</v>
      </c>
      <c r="AJ3274" t="inlineStr">
        <is>
          <t>PINKFLASH</t>
        </is>
      </c>
      <c r="AK3274" t="n">
        <v>9</v>
      </c>
      <c r="AL3274" t="inlineStr">
        <is>
          <t>Miss Glam Jambi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PINKFLASH</t>
        </is>
      </c>
      <c r="B3275" s="2">
        <f>"6941845808656"</f>
        <v/>
      </c>
      <c r="C3275" t="inlineStr">
        <is>
          <t>PINKFLASH L01 Lasting Matte Lip Cream - PK05 NEW</t>
        </is>
      </c>
      <c r="D3275" t="inlineStr">
        <is>
          <t>Miss Glam Jambi</t>
        </is>
      </c>
      <c r="E3275" t="n">
        <v>2</v>
      </c>
      <c r="F3275" t="n">
        <v>0.03</v>
      </c>
      <c r="G3275" t="n">
        <v>1</v>
      </c>
      <c r="H3275" t="n">
        <v>4</v>
      </c>
      <c r="I3275" t="n">
        <v>28</v>
      </c>
      <c r="J3275" t="n">
        <v>3</v>
      </c>
      <c r="K3275" t="n">
        <v>0</v>
      </c>
      <c r="L3275" t="n">
        <v>11967</v>
      </c>
      <c r="M3275" t="n">
        <v>14500</v>
      </c>
      <c r="N3275" t="n">
        <v>33</v>
      </c>
      <c r="O3275" t="n">
        <v>0.33</v>
      </c>
      <c r="P3275" t="n">
        <v>0</v>
      </c>
      <c r="Q3275" t="n">
        <v>0.03</v>
      </c>
      <c r="R3275" t="n">
        <v>1</v>
      </c>
      <c r="S3275" t="n">
        <v>435</v>
      </c>
      <c r="T3275" t="n">
        <v>28</v>
      </c>
      <c r="U3275" t="n">
        <v>29</v>
      </c>
      <c r="V3275" t="n">
        <v>30</v>
      </c>
      <c r="W3275" t="n">
        <v>1</v>
      </c>
      <c r="X3275" t="n">
        <v>66.66666666666667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10528</v>
      </c>
      <c r="AG3275" t="n">
        <v>2148</v>
      </c>
      <c r="AH3275" t="inlineStr">
        <is>
          <t>PT. JAYA PALEMBANG SUKSES - PPN (JMB)</t>
        </is>
      </c>
      <c r="AI3275" t="n">
        <v>838</v>
      </c>
      <c r="AJ3275" t="inlineStr">
        <is>
          <t>PINKFLASH</t>
        </is>
      </c>
      <c r="AK3275" t="n">
        <v>9</v>
      </c>
      <c r="AL3275" t="inlineStr">
        <is>
          <t>Miss Glam Jambi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PINKFLASH</t>
        </is>
      </c>
      <c r="B3276" s="2">
        <f>"6941845808342"</f>
        <v/>
      </c>
      <c r="C3276" t="inlineStr">
        <is>
          <t>PINKFLASH L01 Lasting Matte Lipcream #N01</t>
        </is>
      </c>
      <c r="D3276" t="inlineStr">
        <is>
          <t>Miss Glam Jambi</t>
        </is>
      </c>
      <c r="E3276" t="n">
        <v>9</v>
      </c>
      <c r="F3276" t="n">
        <v>0.0396</v>
      </c>
      <c r="G3276" t="n">
        <v>0.99</v>
      </c>
      <c r="H3276" t="n">
        <v>4</v>
      </c>
      <c r="I3276" t="n">
        <v>28</v>
      </c>
      <c r="J3276" t="n">
        <v>3</v>
      </c>
      <c r="K3276" t="n">
        <v>0</v>
      </c>
      <c r="L3276" t="n">
        <v>11967</v>
      </c>
      <c r="M3276" t="n">
        <v>14500</v>
      </c>
      <c r="N3276" t="n">
        <v>33</v>
      </c>
      <c r="O3276" t="n">
        <v>0.33</v>
      </c>
      <c r="P3276" t="n">
        <v>1</v>
      </c>
      <c r="Q3276" t="n">
        <v>0.03</v>
      </c>
      <c r="R3276" t="n">
        <v>1</v>
      </c>
      <c r="S3276" t="n">
        <v>574.2</v>
      </c>
      <c r="T3276" t="n">
        <v>28</v>
      </c>
      <c r="U3276" t="n">
        <v>29</v>
      </c>
      <c r="V3276" t="n">
        <v>30</v>
      </c>
      <c r="W3276" t="n">
        <v>2</v>
      </c>
      <c r="X3276" t="n">
        <v>227.2727272727273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10528</v>
      </c>
      <c r="AG3276" t="n">
        <v>2148</v>
      </c>
      <c r="AH3276" t="inlineStr">
        <is>
          <t>PT. JAYA PALEMBANG SUKSES - PPN (JMB)</t>
        </is>
      </c>
      <c r="AI3276" t="n">
        <v>838</v>
      </c>
      <c r="AJ3276" t="inlineStr">
        <is>
          <t>PINKFLASH</t>
        </is>
      </c>
      <c r="AK3276" t="n">
        <v>9</v>
      </c>
      <c r="AL3276" t="inlineStr">
        <is>
          <t>Miss Glam Jambi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PINKFLASH</t>
        </is>
      </c>
      <c r="B3277" s="2">
        <f>"6941845808366"</f>
        <v/>
      </c>
      <c r="C3277" t="inlineStr">
        <is>
          <t>PINKFLASH L01 Lasting Matte Lipcream N02</t>
        </is>
      </c>
      <c r="D3277" t="inlineStr">
        <is>
          <t>Miss Glam Jambi</t>
        </is>
      </c>
      <c r="E3277" t="n">
        <v>2</v>
      </c>
      <c r="F3277" t="n">
        <v>0.006600000000000001</v>
      </c>
      <c r="G3277" t="n">
        <v>0.33</v>
      </c>
      <c r="H3277" t="n">
        <v>4</v>
      </c>
      <c r="I3277" t="n">
        <v>28</v>
      </c>
      <c r="J3277" t="n">
        <v>3</v>
      </c>
      <c r="K3277" t="n">
        <v>0</v>
      </c>
      <c r="L3277" t="n">
        <v>12684</v>
      </c>
      <c r="M3277" t="n">
        <v>14500</v>
      </c>
      <c r="N3277" t="n">
        <v>33</v>
      </c>
      <c r="O3277" t="n">
        <v>0.33</v>
      </c>
      <c r="P3277" t="n">
        <v>1</v>
      </c>
      <c r="Q3277" t="n">
        <v>0.05</v>
      </c>
      <c r="R3277" t="n">
        <v>2</v>
      </c>
      <c r="S3277" t="n">
        <v>95.70000000000002</v>
      </c>
      <c r="T3277" t="n">
        <v>10</v>
      </c>
      <c r="U3277" t="n">
        <v>11</v>
      </c>
      <c r="V3277" t="n">
        <v>30</v>
      </c>
      <c r="W3277" t="n">
        <v>1</v>
      </c>
      <c r="X3277" t="n">
        <v>303.030303030303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10528</v>
      </c>
      <c r="AG3277" t="n">
        <v>2148</v>
      </c>
      <c r="AH3277" t="inlineStr">
        <is>
          <t>PT. JAYA PALEMBANG SUKSES - PPN (JMB)</t>
        </is>
      </c>
      <c r="AI3277" t="n">
        <v>838</v>
      </c>
      <c r="AJ3277" t="inlineStr">
        <is>
          <t>PINKFLASH</t>
        </is>
      </c>
      <c r="AK3277" t="n">
        <v>9</v>
      </c>
      <c r="AL3277" t="inlineStr">
        <is>
          <t>Miss Glam Jambi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PINKFLASH</t>
        </is>
      </c>
      <c r="B3278" s="2">
        <f>"6941845808618"</f>
        <v/>
      </c>
      <c r="C3278" t="inlineStr">
        <is>
          <t>PINKFLASH L01 Lasting Matte Lipcream R02 2,3ml</t>
        </is>
      </c>
      <c r="D3278" t="inlineStr">
        <is>
          <t>Miss Glam Jambi</t>
        </is>
      </c>
      <c r="E3278" t="n">
        <v>4</v>
      </c>
      <c r="F3278" t="n">
        <v>0.0825</v>
      </c>
      <c r="G3278" t="n">
        <v>0.99</v>
      </c>
      <c r="H3278" t="n">
        <v>4</v>
      </c>
      <c r="I3278" t="n">
        <v>28</v>
      </c>
      <c r="J3278" t="n">
        <v>3</v>
      </c>
      <c r="K3278" t="n">
        <v>0</v>
      </c>
      <c r="L3278" t="n">
        <v>11967</v>
      </c>
      <c r="M3278" t="n">
        <v>14500</v>
      </c>
      <c r="N3278" t="n">
        <v>33</v>
      </c>
      <c r="O3278" t="n">
        <v>0.33</v>
      </c>
      <c r="P3278" t="n">
        <v>1</v>
      </c>
      <c r="Q3278" t="n">
        <v>0.02</v>
      </c>
      <c r="R3278" t="n">
        <v>1</v>
      </c>
      <c r="S3278" t="n">
        <v>1196.25</v>
      </c>
      <c r="T3278" t="n">
        <v>28</v>
      </c>
      <c r="U3278" t="n">
        <v>29</v>
      </c>
      <c r="V3278" t="n">
        <v>30</v>
      </c>
      <c r="W3278" t="n">
        <v>3</v>
      </c>
      <c r="X3278" t="n">
        <v>48.48484848484848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10528</v>
      </c>
      <c r="AG3278" t="n">
        <v>2148</v>
      </c>
      <c r="AH3278" t="inlineStr">
        <is>
          <t>PT. JAYA PALEMBANG SUKSES - PPN (JMB)</t>
        </is>
      </c>
      <c r="AI3278" t="n">
        <v>838</v>
      </c>
      <c r="AJ3278" t="inlineStr">
        <is>
          <t>PINKFLASH</t>
        </is>
      </c>
      <c r="AK3278" t="n">
        <v>9</v>
      </c>
      <c r="AL3278" t="inlineStr">
        <is>
          <t>Miss Glam Jambi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PINKFLASH</t>
        </is>
      </c>
      <c r="B3279" s="2">
        <f>"6941845805402"</f>
        <v/>
      </c>
      <c r="C3279" t="inlineStr">
        <is>
          <t>PINKFLASH L02 Lasting Glossy Lipgloss #S02</t>
        </is>
      </c>
      <c r="D3279" t="inlineStr">
        <is>
          <t>Miss Glam Jambi</t>
        </is>
      </c>
      <c r="E3279" t="n">
        <v>4</v>
      </c>
      <c r="F3279" t="n">
        <v>0.2475</v>
      </c>
      <c r="G3279" t="n">
        <v>0.99</v>
      </c>
      <c r="H3279" t="n">
        <v>4</v>
      </c>
      <c r="I3279" t="n">
        <v>28</v>
      </c>
      <c r="J3279" t="n">
        <v>3</v>
      </c>
      <c r="K3279" t="n">
        <v>3</v>
      </c>
      <c r="L3279" t="n">
        <v>11967</v>
      </c>
      <c r="M3279" t="n">
        <v>14500</v>
      </c>
      <c r="N3279" t="n">
        <v>33</v>
      </c>
      <c r="O3279" t="n">
        <v>0.33</v>
      </c>
      <c r="P3279" t="n">
        <v>1</v>
      </c>
      <c r="Q3279" t="n">
        <v>0.05</v>
      </c>
      <c r="R3279" t="n">
        <v>1</v>
      </c>
      <c r="S3279" t="n">
        <v>3588.75</v>
      </c>
      <c r="T3279" t="n">
        <v>27</v>
      </c>
      <c r="U3279" t="n">
        <v>28</v>
      </c>
      <c r="V3279" t="n">
        <v>30</v>
      </c>
      <c r="W3279" t="n">
        <v>8</v>
      </c>
      <c r="X3279" t="n">
        <v>16.16161616161616</v>
      </c>
      <c r="Y3279" t="n">
        <v>1</v>
      </c>
      <c r="Z3279" t="n">
        <v>1</v>
      </c>
      <c r="AA3279" t="n">
        <v>2</v>
      </c>
      <c r="AB3279" t="n">
        <v>0</v>
      </c>
      <c r="AC3279" t="n">
        <v>0</v>
      </c>
      <c r="AD3279" t="n">
        <v>23934</v>
      </c>
      <c r="AE3279" t="n">
        <v>0</v>
      </c>
      <c r="AF3279" t="n">
        <v>10528</v>
      </c>
      <c r="AG3279" t="n">
        <v>2148</v>
      </c>
      <c r="AH3279" t="inlineStr">
        <is>
          <t>PT. JAYA PALEMBANG SUKSES - PPN (JMB)</t>
        </is>
      </c>
      <c r="AI3279" t="n">
        <v>838</v>
      </c>
      <c r="AJ3279" t="inlineStr">
        <is>
          <t>PINKFLASH</t>
        </is>
      </c>
      <c r="AK3279" t="n">
        <v>9</v>
      </c>
      <c r="AL3279" t="inlineStr">
        <is>
          <t>Miss Glam Jambi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PINKFLASH</t>
        </is>
      </c>
      <c r="B3280" s="2">
        <f>"6941845805426"</f>
        <v/>
      </c>
      <c r="C3280" t="inlineStr">
        <is>
          <t>PINKFLASH L02 Lasting Glossy Lipgloss C01 2.3ml</t>
        </is>
      </c>
      <c r="D3280" t="inlineStr">
        <is>
          <t>Miss Glam Jambi</t>
        </is>
      </c>
      <c r="E3280" t="n">
        <v>15</v>
      </c>
      <c r="F3280" t="n">
        <v>0.8778000000000001</v>
      </c>
      <c r="G3280" t="n">
        <v>2.64</v>
      </c>
      <c r="H3280" t="n">
        <v>4</v>
      </c>
      <c r="I3280" t="n">
        <v>28</v>
      </c>
      <c r="J3280" t="n">
        <v>3</v>
      </c>
      <c r="K3280" t="n">
        <v>3</v>
      </c>
      <c r="L3280" t="n">
        <v>11967</v>
      </c>
      <c r="M3280" t="n">
        <v>14500</v>
      </c>
      <c r="N3280" t="n">
        <v>33</v>
      </c>
      <c r="O3280" t="n">
        <v>0.33</v>
      </c>
      <c r="P3280" t="n">
        <v>1</v>
      </c>
      <c r="Q3280" t="n">
        <v>0.27</v>
      </c>
      <c r="R3280" t="n">
        <v>2</v>
      </c>
      <c r="S3280" t="n">
        <v>12728.1</v>
      </c>
      <c r="T3280" t="n">
        <v>71</v>
      </c>
      <c r="U3280" t="n">
        <v>75</v>
      </c>
      <c r="V3280" t="n">
        <v>30</v>
      </c>
      <c r="W3280" t="n">
        <v>27</v>
      </c>
      <c r="X3280" t="n">
        <v>17.08817498291182</v>
      </c>
      <c r="Y3280" t="n">
        <v>1</v>
      </c>
      <c r="Z3280" t="n">
        <v>9</v>
      </c>
      <c r="AA3280" t="n">
        <v>9</v>
      </c>
      <c r="AB3280" t="n">
        <v>0</v>
      </c>
      <c r="AC3280" t="n">
        <v>0</v>
      </c>
      <c r="AD3280" t="n">
        <v>107703</v>
      </c>
      <c r="AE3280" t="n">
        <v>0</v>
      </c>
      <c r="AF3280" t="n">
        <v>10528</v>
      </c>
      <c r="AG3280" t="n">
        <v>2148</v>
      </c>
      <c r="AH3280" t="inlineStr">
        <is>
          <t>PT. JAYA PALEMBANG SUKSES - PPN (JMB)</t>
        </is>
      </c>
      <c r="AI3280" t="n">
        <v>838</v>
      </c>
      <c r="AJ3280" t="inlineStr">
        <is>
          <t>PINKFLASH</t>
        </is>
      </c>
      <c r="AK3280" t="n">
        <v>9</v>
      </c>
      <c r="AL3280" t="inlineStr">
        <is>
          <t>Miss Glam Jambi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PINKFLASH</t>
        </is>
      </c>
      <c r="B3281" s="2">
        <f>"6941845805396"</f>
        <v/>
      </c>
      <c r="C3281" t="inlineStr">
        <is>
          <t>PINKFLASH L02 Lasting Glossy Lipgloss- S03</t>
        </is>
      </c>
      <c r="D3281" t="inlineStr">
        <is>
          <t>Miss Glam Jambi</t>
        </is>
      </c>
      <c r="E3281" t="n">
        <v>4</v>
      </c>
      <c r="F3281" t="n">
        <v>0.033</v>
      </c>
      <c r="G3281" t="n">
        <v>0.66</v>
      </c>
      <c r="H3281" t="n">
        <v>4</v>
      </c>
      <c r="I3281" t="n">
        <v>28</v>
      </c>
      <c r="J3281" t="n">
        <v>3</v>
      </c>
      <c r="K3281" t="n">
        <v>0</v>
      </c>
      <c r="L3281" t="n">
        <v>11967</v>
      </c>
      <c r="M3281" t="n">
        <v>14500</v>
      </c>
      <c r="N3281" t="n">
        <v>33</v>
      </c>
      <c r="O3281" t="n">
        <v>0.33</v>
      </c>
      <c r="P3281" t="n">
        <v>1</v>
      </c>
      <c r="Q3281" t="n">
        <v>0.05</v>
      </c>
      <c r="R3281" t="n">
        <v>1</v>
      </c>
      <c r="S3281" t="n">
        <v>478.5</v>
      </c>
      <c r="T3281" t="n">
        <v>19</v>
      </c>
      <c r="U3281" t="n">
        <v>20</v>
      </c>
      <c r="V3281" t="n">
        <v>30</v>
      </c>
      <c r="W3281" t="n">
        <v>1</v>
      </c>
      <c r="X3281" t="n">
        <v>121.2121212121212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10528</v>
      </c>
      <c r="AG3281" t="n">
        <v>2148</v>
      </c>
      <c r="AH3281" t="inlineStr">
        <is>
          <t>PT. JAYA PALEMBANG SUKSES - PPN (JMB)</t>
        </is>
      </c>
      <c r="AI3281" t="n">
        <v>838</v>
      </c>
      <c r="AJ3281" t="inlineStr">
        <is>
          <t>PINKFLASH</t>
        </is>
      </c>
      <c r="AK3281" t="n">
        <v>9</v>
      </c>
      <c r="AL3281" t="inlineStr">
        <is>
          <t>Miss Glam Jambi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PINKFLASH</t>
        </is>
      </c>
      <c r="B3282" s="2">
        <f>"6941845805419"</f>
        <v/>
      </c>
      <c r="C3282" t="inlineStr">
        <is>
          <t>PINKFLASH Lasting Glossy Lip Gloss S01 2.3gr</t>
        </is>
      </c>
      <c r="D3282" t="inlineStr">
        <is>
          <t>Miss Glam Jambi</t>
        </is>
      </c>
      <c r="E3282" t="n">
        <v>4</v>
      </c>
      <c r="F3282" t="n">
        <v>0.05</v>
      </c>
      <c r="G3282" t="n">
        <v>1</v>
      </c>
      <c r="H3282" t="n">
        <v>4</v>
      </c>
      <c r="I3282" t="n">
        <v>28</v>
      </c>
      <c r="J3282" t="n">
        <v>3</v>
      </c>
      <c r="K3282" t="n">
        <v>0</v>
      </c>
      <c r="L3282" t="n">
        <v>11967</v>
      </c>
      <c r="M3282" t="n">
        <v>14500</v>
      </c>
      <c r="N3282" t="n">
        <v>33</v>
      </c>
      <c r="O3282" t="n">
        <v>0.33</v>
      </c>
      <c r="P3282" t="n">
        <v>0</v>
      </c>
      <c r="Q3282" t="n">
        <v>0.05</v>
      </c>
      <c r="R3282" t="n">
        <v>1</v>
      </c>
      <c r="S3282" t="n">
        <v>725</v>
      </c>
      <c r="T3282" t="n">
        <v>28</v>
      </c>
      <c r="U3282" t="n">
        <v>29</v>
      </c>
      <c r="V3282" t="n">
        <v>30</v>
      </c>
      <c r="W3282" t="n">
        <v>2</v>
      </c>
      <c r="X3282" t="n">
        <v>80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10528</v>
      </c>
      <c r="AG3282" t="n">
        <v>2148</v>
      </c>
      <c r="AH3282" t="inlineStr">
        <is>
          <t>PT. JAYA PALEMBANG SUKSES - PPN (JMB)</t>
        </is>
      </c>
      <c r="AI3282" t="n">
        <v>838</v>
      </c>
      <c r="AJ3282" t="inlineStr">
        <is>
          <t>PINKFLASH</t>
        </is>
      </c>
      <c r="AK3282" t="n">
        <v>9</v>
      </c>
      <c r="AL3282" t="inlineStr">
        <is>
          <t>Miss Glam Jambi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PINKFLASH</t>
        </is>
      </c>
      <c r="B3283" s="2">
        <f>"6927545992505"</f>
        <v/>
      </c>
      <c r="C3283" t="inlineStr">
        <is>
          <t>PINKFLASH Lasting Lip Gloss S04</t>
        </is>
      </c>
      <c r="D3283" t="inlineStr">
        <is>
          <t>Miss Glam Jambi</t>
        </is>
      </c>
      <c r="E3283" t="n">
        <v>14</v>
      </c>
      <c r="F3283" t="n">
        <v>0.009900000000000001</v>
      </c>
      <c r="G3283" t="n">
        <v>0.33</v>
      </c>
      <c r="H3283" t="n">
        <v>4</v>
      </c>
      <c r="I3283" t="n">
        <v>28</v>
      </c>
      <c r="J3283" t="n">
        <v>3</v>
      </c>
      <c r="K3283" t="n">
        <v>0</v>
      </c>
      <c r="L3283" t="n">
        <v>11967</v>
      </c>
      <c r="M3283" t="n">
        <v>14500</v>
      </c>
      <c r="N3283" t="n">
        <v>33</v>
      </c>
      <c r="O3283" t="n">
        <v>0.33</v>
      </c>
      <c r="P3283" t="n">
        <v>1</v>
      </c>
      <c r="Q3283" t="n">
        <v>0.02</v>
      </c>
      <c r="R3283" t="n">
        <v>1</v>
      </c>
      <c r="S3283" t="n">
        <v>143.55</v>
      </c>
      <c r="T3283" t="n">
        <v>10</v>
      </c>
      <c r="U3283" t="n">
        <v>11</v>
      </c>
      <c r="V3283" t="n">
        <v>30</v>
      </c>
      <c r="W3283" t="n">
        <v>1</v>
      </c>
      <c r="X3283" t="n">
        <v>1414.141414141414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10528</v>
      </c>
      <c r="AG3283" t="n">
        <v>2148</v>
      </c>
      <c r="AH3283" t="inlineStr">
        <is>
          <t>PT. JAYA PALEMBANG SUKSES - PPN (JMB)</t>
        </is>
      </c>
      <c r="AI3283" t="n">
        <v>838</v>
      </c>
      <c r="AJ3283" t="inlineStr">
        <is>
          <t>PINKFLASH</t>
        </is>
      </c>
      <c r="AK3283" t="n">
        <v>9</v>
      </c>
      <c r="AL3283" t="inlineStr">
        <is>
          <t>Miss Glam Jambi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PINKFLASH</t>
        </is>
      </c>
      <c r="B3284" s="2">
        <f>"20300399835"</f>
        <v/>
      </c>
      <c r="C3284" t="inlineStr">
        <is>
          <t>PINKFLASH Lasting Lip Tint PK01 2g</t>
        </is>
      </c>
      <c r="D3284" t="inlineStr">
        <is>
          <t>Miss Glam Jambi</t>
        </is>
      </c>
      <c r="E3284" t="n">
        <v>9</v>
      </c>
      <c r="F3284" t="n">
        <v>0.0462</v>
      </c>
      <c r="G3284" t="n">
        <v>0.66</v>
      </c>
      <c r="H3284" t="n">
        <v>4</v>
      </c>
      <c r="I3284" t="n">
        <v>28</v>
      </c>
      <c r="J3284" t="n">
        <v>1</v>
      </c>
      <c r="K3284" t="n">
        <v>0</v>
      </c>
      <c r="L3284" t="n">
        <v>28116</v>
      </c>
      <c r="M3284" t="n">
        <v>47000</v>
      </c>
      <c r="N3284" t="n">
        <v>33</v>
      </c>
      <c r="O3284" t="n">
        <v>0.33</v>
      </c>
      <c r="P3284" t="n">
        <v>1</v>
      </c>
      <c r="Q3284" t="n">
        <v>0.03</v>
      </c>
      <c r="R3284" t="n">
        <v>1</v>
      </c>
      <c r="S3284" t="n">
        <v>2171.4</v>
      </c>
      <c r="T3284" t="n">
        <v>19</v>
      </c>
      <c r="U3284" t="n">
        <v>20</v>
      </c>
      <c r="V3284" t="n">
        <v>30</v>
      </c>
      <c r="W3284" t="n">
        <v>2</v>
      </c>
      <c r="X3284" t="n">
        <v>194.8051948051948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10528</v>
      </c>
      <c r="AG3284" t="n">
        <v>2148</v>
      </c>
      <c r="AH3284" t="inlineStr">
        <is>
          <t>PT. JAYA PALEMBANG SUKSES - PPN (JMB)</t>
        </is>
      </c>
      <c r="AI3284" t="n">
        <v>838</v>
      </c>
      <c r="AJ3284" t="inlineStr">
        <is>
          <t>PINKFLASH</t>
        </is>
      </c>
      <c r="AK3284" t="n">
        <v>9</v>
      </c>
      <c r="AL3284" t="inlineStr">
        <is>
          <t>Miss Glam Jambi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PINKFLASH</t>
        </is>
      </c>
      <c r="B3285" s="2">
        <f>"6927545992208"</f>
        <v/>
      </c>
      <c r="C3285" t="inlineStr">
        <is>
          <t>PINKFLASH Lasting Matte Concealer F04#3 2,4ml</t>
        </is>
      </c>
      <c r="D3285" t="inlineStr">
        <is>
          <t>Miss Glam Jambi</t>
        </is>
      </c>
      <c r="E3285" t="n">
        <v>17</v>
      </c>
      <c r="F3285" t="n">
        <v>0.0231</v>
      </c>
      <c r="G3285" t="n">
        <v>0.33</v>
      </c>
      <c r="H3285" t="n">
        <v>4</v>
      </c>
      <c r="I3285" t="n">
        <v>28</v>
      </c>
      <c r="J3285" t="n">
        <v>3</v>
      </c>
      <c r="K3285" t="n">
        <v>0</v>
      </c>
      <c r="L3285" t="n">
        <v>17088</v>
      </c>
      <c r="M3285" t="n">
        <v>20500</v>
      </c>
      <c r="N3285" t="n">
        <v>33</v>
      </c>
      <c r="O3285" t="n">
        <v>0.33</v>
      </c>
      <c r="P3285" t="n">
        <v>1</v>
      </c>
      <c r="Q3285" t="n">
        <v>0.07000000000000001</v>
      </c>
      <c r="R3285" t="n">
        <v>1</v>
      </c>
      <c r="S3285" t="n">
        <v>473.5500000000001</v>
      </c>
      <c r="T3285" t="n">
        <v>10</v>
      </c>
      <c r="U3285" t="n">
        <v>11</v>
      </c>
      <c r="V3285" t="n">
        <v>30</v>
      </c>
      <c r="W3285" t="n">
        <v>1</v>
      </c>
      <c r="X3285" t="n">
        <v>735.9307359307359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10528</v>
      </c>
      <c r="AG3285" t="n">
        <v>2148</v>
      </c>
      <c r="AH3285" t="inlineStr">
        <is>
          <t>PT. JAYA PALEMBANG SUKSES - PPN (JMB)</t>
        </is>
      </c>
      <c r="AI3285" t="n">
        <v>838</v>
      </c>
      <c r="AJ3285" t="inlineStr">
        <is>
          <t>PINKFLASH</t>
        </is>
      </c>
      <c r="AK3285" t="n">
        <v>9</v>
      </c>
      <c r="AL3285" t="inlineStr">
        <is>
          <t>Miss Glam Jambi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PINKFLASH</t>
        </is>
      </c>
      <c r="B3286" s="2">
        <f>"6941845806881"</f>
        <v/>
      </c>
      <c r="C3286" t="inlineStr">
        <is>
          <t>PINKFLASH Lasting Matte Foundation #1 Vanilla 25gr</t>
        </is>
      </c>
      <c r="D3286" t="inlineStr">
        <is>
          <t>Miss Glam Jambi</t>
        </is>
      </c>
      <c r="E3286" t="n">
        <v>3</v>
      </c>
      <c r="F3286" t="n">
        <v>0.0264</v>
      </c>
      <c r="G3286" t="n">
        <v>0.33</v>
      </c>
      <c r="H3286" t="n">
        <v>4</v>
      </c>
      <c r="I3286" t="n">
        <v>28</v>
      </c>
      <c r="J3286" t="n">
        <v>3</v>
      </c>
      <c r="K3286" t="n">
        <v>0</v>
      </c>
      <c r="L3286" t="n">
        <v>23134</v>
      </c>
      <c r="M3286" t="n">
        <v>28000</v>
      </c>
      <c r="N3286" t="n">
        <v>33</v>
      </c>
      <c r="O3286" t="n">
        <v>0.33</v>
      </c>
      <c r="P3286" t="n">
        <v>1</v>
      </c>
      <c r="Q3286" t="n">
        <v>0.03</v>
      </c>
      <c r="R3286" t="n">
        <v>1</v>
      </c>
      <c r="S3286" t="n">
        <v>739.2</v>
      </c>
      <c r="T3286" t="n">
        <v>10</v>
      </c>
      <c r="U3286" t="n">
        <v>11</v>
      </c>
      <c r="V3286" t="n">
        <v>30</v>
      </c>
      <c r="W3286" t="n">
        <v>1</v>
      </c>
      <c r="X3286" t="n">
        <v>113.6363636363636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10528</v>
      </c>
      <c r="AG3286" t="n">
        <v>2148</v>
      </c>
      <c r="AH3286" t="inlineStr">
        <is>
          <t>PT. JAYA PALEMBANG SUKSES - PPN (JMB)</t>
        </is>
      </c>
      <c r="AI3286" t="n">
        <v>838</v>
      </c>
      <c r="AJ3286" t="inlineStr">
        <is>
          <t>PINKFLASH</t>
        </is>
      </c>
      <c r="AK3286" t="n">
        <v>9</v>
      </c>
      <c r="AL3286" t="inlineStr">
        <is>
          <t>Miss Glam Jambi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PINKFLASH</t>
        </is>
      </c>
      <c r="B3287" s="2">
        <f>"6941845806874"</f>
        <v/>
      </c>
      <c r="C3287" t="inlineStr">
        <is>
          <t>PINKFLASH Lasting Matte Foundation Pf-f03 02 25gr</t>
        </is>
      </c>
      <c r="D3287" t="inlineStr">
        <is>
          <t>Miss Glam Jambi</t>
        </is>
      </c>
      <c r="E3287" t="n">
        <v>3</v>
      </c>
      <c r="F3287" t="n">
        <v>0.0231</v>
      </c>
      <c r="G3287" t="n">
        <v>0.33</v>
      </c>
      <c r="H3287" t="n">
        <v>4</v>
      </c>
      <c r="I3287" t="n">
        <v>28</v>
      </c>
      <c r="J3287" t="n">
        <v>3</v>
      </c>
      <c r="K3287" t="n">
        <v>0</v>
      </c>
      <c r="L3287" t="n">
        <v>23134</v>
      </c>
      <c r="M3287" t="n">
        <v>28000</v>
      </c>
      <c r="N3287" t="n">
        <v>33</v>
      </c>
      <c r="O3287" t="n">
        <v>0.33</v>
      </c>
      <c r="P3287" t="n">
        <v>1</v>
      </c>
      <c r="Q3287" t="n">
        <v>0.02</v>
      </c>
      <c r="R3287" t="n">
        <v>1</v>
      </c>
      <c r="S3287" t="n">
        <v>646.8000000000001</v>
      </c>
      <c r="T3287" t="n">
        <v>10</v>
      </c>
      <c r="U3287" t="n">
        <v>11</v>
      </c>
      <c r="V3287" t="n">
        <v>30</v>
      </c>
      <c r="W3287" t="n">
        <v>1</v>
      </c>
      <c r="X3287" t="n">
        <v>129.8701298701299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10528</v>
      </c>
      <c r="AG3287" t="n">
        <v>2148</v>
      </c>
      <c r="AH3287" t="inlineStr">
        <is>
          <t>PT. JAYA PALEMBANG SUKSES - PPN (JMB)</t>
        </is>
      </c>
      <c r="AI3287" t="n">
        <v>838</v>
      </c>
      <c r="AJ3287" t="inlineStr">
        <is>
          <t>PINKFLASH</t>
        </is>
      </c>
      <c r="AK3287" t="n">
        <v>9</v>
      </c>
      <c r="AL3287" t="inlineStr">
        <is>
          <t>Miss Glam Jambi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PINKFLASH</t>
        </is>
      </c>
      <c r="B3288" s="2">
        <f>"6941845808649"</f>
        <v/>
      </c>
      <c r="C3288" t="inlineStr">
        <is>
          <t>PINKFLASH Lasting Matte Lip Cream BB01 2.3g</t>
        </is>
      </c>
      <c r="D3288" t="inlineStr">
        <is>
          <t>Miss Glam Jambi</t>
        </is>
      </c>
      <c r="E3288" t="n">
        <v>5</v>
      </c>
      <c r="F3288" t="n">
        <v>0.0396</v>
      </c>
      <c r="G3288" t="n">
        <v>0.66</v>
      </c>
      <c r="H3288" t="n">
        <v>4</v>
      </c>
      <c r="I3288" t="n">
        <v>28</v>
      </c>
      <c r="J3288" t="n">
        <v>3</v>
      </c>
      <c r="K3288" t="n">
        <v>0</v>
      </c>
      <c r="L3288" t="n">
        <v>11967</v>
      </c>
      <c r="M3288" t="n">
        <v>14500</v>
      </c>
      <c r="N3288" t="n">
        <v>33</v>
      </c>
      <c r="O3288" t="n">
        <v>0.33</v>
      </c>
      <c r="P3288" t="n">
        <v>1</v>
      </c>
      <c r="Q3288" t="n">
        <v>0.02</v>
      </c>
      <c r="R3288" t="n">
        <v>1</v>
      </c>
      <c r="S3288" t="n">
        <v>574.2</v>
      </c>
      <c r="T3288" t="n">
        <v>19</v>
      </c>
      <c r="U3288" t="n">
        <v>20</v>
      </c>
      <c r="V3288" t="n">
        <v>30</v>
      </c>
      <c r="W3288" t="n">
        <v>2</v>
      </c>
      <c r="X3288" t="n">
        <v>126.2626262626263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10528</v>
      </c>
      <c r="AG3288" t="n">
        <v>2148</v>
      </c>
      <c r="AH3288" t="inlineStr">
        <is>
          <t>PT. JAYA PALEMBANG SUKSES - PPN (JMB)</t>
        </is>
      </c>
      <c r="AI3288" t="n">
        <v>838</v>
      </c>
      <c r="AJ3288" t="inlineStr">
        <is>
          <t>PINKFLASH</t>
        </is>
      </c>
      <c r="AK3288" t="n">
        <v>9</v>
      </c>
      <c r="AL3288" t="inlineStr">
        <is>
          <t>Miss Glam Jambi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PINKFLASH</t>
        </is>
      </c>
      <c r="B3289" s="2">
        <f>"6941845808557"</f>
        <v/>
      </c>
      <c r="C3289" t="inlineStr">
        <is>
          <t>PINKFLASH Lasting Matte Lip Cream P02</t>
        </is>
      </c>
      <c r="D3289" t="inlineStr">
        <is>
          <t>Miss Glam Jambi</t>
        </is>
      </c>
      <c r="E3289" t="n">
        <v>2</v>
      </c>
      <c r="F3289" t="n">
        <v>0.08910000000000001</v>
      </c>
      <c r="G3289" t="n">
        <v>0.66</v>
      </c>
      <c r="H3289" t="n">
        <v>4</v>
      </c>
      <c r="I3289" t="n">
        <v>28</v>
      </c>
      <c r="J3289" t="n">
        <v>3</v>
      </c>
      <c r="K3289" t="n">
        <v>0</v>
      </c>
      <c r="L3289" t="n">
        <v>11967</v>
      </c>
      <c r="M3289" t="n">
        <v>14500</v>
      </c>
      <c r="N3289" t="n">
        <v>33</v>
      </c>
      <c r="O3289" t="n">
        <v>0.33</v>
      </c>
      <c r="P3289" t="n">
        <v>1</v>
      </c>
      <c r="Q3289" t="n">
        <v>0.05</v>
      </c>
      <c r="R3289" t="n">
        <v>1</v>
      </c>
      <c r="S3289" t="n">
        <v>1291.95</v>
      </c>
      <c r="T3289" t="n">
        <v>19</v>
      </c>
      <c r="U3289" t="n">
        <v>20</v>
      </c>
      <c r="V3289" t="n">
        <v>30</v>
      </c>
      <c r="W3289" t="n">
        <v>3</v>
      </c>
      <c r="X3289" t="n">
        <v>22.44668911335578</v>
      </c>
      <c r="Y3289" t="n">
        <v>1</v>
      </c>
      <c r="Z3289" t="n">
        <v>1</v>
      </c>
      <c r="AA3289" t="n">
        <v>1</v>
      </c>
      <c r="AB3289" t="n">
        <v>0</v>
      </c>
      <c r="AC3289" t="n">
        <v>0</v>
      </c>
      <c r="AD3289" t="n">
        <v>11967</v>
      </c>
      <c r="AE3289" t="n">
        <v>0</v>
      </c>
      <c r="AF3289" t="n">
        <v>10528</v>
      </c>
      <c r="AG3289" t="n">
        <v>2148</v>
      </c>
      <c r="AH3289" t="inlineStr">
        <is>
          <t>PT. JAYA PALEMBANG SUKSES - PPN (JMB)</t>
        </is>
      </c>
      <c r="AI3289" t="n">
        <v>838</v>
      </c>
      <c r="AJ3289" t="inlineStr">
        <is>
          <t>PINKFLASH</t>
        </is>
      </c>
      <c r="AK3289" t="n">
        <v>9</v>
      </c>
      <c r="AL3289" t="inlineStr">
        <is>
          <t>Miss Glam Jambi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PINKFLASH</t>
        </is>
      </c>
      <c r="B3290" s="2">
        <f>"6927545992338"</f>
        <v/>
      </c>
      <c r="C3290" t="inlineStr">
        <is>
          <t>PINKFLASH Lasting Matte Lipcream Pf-L01 O03 2.3ml</t>
        </is>
      </c>
      <c r="D3290" t="inlineStr">
        <is>
          <t>Miss Glam Jambi</t>
        </is>
      </c>
      <c r="E3290" t="n">
        <v>6</v>
      </c>
      <c r="F3290" t="n">
        <v>0.0396</v>
      </c>
      <c r="G3290" t="n">
        <v>0.33</v>
      </c>
      <c r="H3290" t="n">
        <v>4</v>
      </c>
      <c r="I3290" t="n">
        <v>28</v>
      </c>
      <c r="J3290" t="n">
        <v>3</v>
      </c>
      <c r="K3290" t="n">
        <v>0</v>
      </c>
      <c r="L3290" t="n">
        <v>11967</v>
      </c>
      <c r="M3290" t="n">
        <v>14500</v>
      </c>
      <c r="N3290" t="n">
        <v>33</v>
      </c>
      <c r="O3290" t="n">
        <v>0.33</v>
      </c>
      <c r="P3290" t="n">
        <v>1</v>
      </c>
      <c r="Q3290" t="n">
        <v>0.03</v>
      </c>
      <c r="R3290" t="n">
        <v>1</v>
      </c>
      <c r="S3290" t="n">
        <v>574.2</v>
      </c>
      <c r="T3290" t="n">
        <v>10</v>
      </c>
      <c r="U3290" t="n">
        <v>11</v>
      </c>
      <c r="V3290" t="n">
        <v>30</v>
      </c>
      <c r="W3290" t="n">
        <v>2</v>
      </c>
      <c r="X3290" t="n">
        <v>151.5151515151515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10528</v>
      </c>
      <c r="AG3290" t="n">
        <v>2148</v>
      </c>
      <c r="AH3290" t="inlineStr">
        <is>
          <t>PT. JAYA PALEMBANG SUKSES - PPN (JMB)</t>
        </is>
      </c>
      <c r="AI3290" t="n">
        <v>838</v>
      </c>
      <c r="AJ3290" t="inlineStr">
        <is>
          <t>PINKFLASH</t>
        </is>
      </c>
      <c r="AK3290" t="n">
        <v>9</v>
      </c>
      <c r="AL3290" t="inlineStr">
        <is>
          <t>Miss Glam Jambi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PINKFLASH</t>
        </is>
      </c>
      <c r="B3291" s="2">
        <f>"6941845808601"</f>
        <v/>
      </c>
      <c r="C3291" t="inlineStr">
        <is>
          <t>PINKFLASH Lasting Matte Lipcream PF-L01 R01</t>
        </is>
      </c>
      <c r="D3291" t="inlineStr">
        <is>
          <t>Miss Glam Jambi</t>
        </is>
      </c>
      <c r="E3291" t="n">
        <v>3</v>
      </c>
      <c r="F3291" t="n">
        <v>0.05</v>
      </c>
      <c r="G3291" t="n">
        <v>1</v>
      </c>
      <c r="H3291" t="n">
        <v>4</v>
      </c>
      <c r="I3291" t="n">
        <v>28</v>
      </c>
      <c r="J3291" t="n">
        <v>3</v>
      </c>
      <c r="K3291" t="n">
        <v>0</v>
      </c>
      <c r="L3291" t="n">
        <v>11967</v>
      </c>
      <c r="M3291" t="n">
        <v>14500</v>
      </c>
      <c r="N3291" t="n">
        <v>33</v>
      </c>
      <c r="O3291" t="n">
        <v>0.33</v>
      </c>
      <c r="P3291" t="n">
        <v>0</v>
      </c>
      <c r="Q3291" t="n">
        <v>0.05</v>
      </c>
      <c r="R3291" t="n">
        <v>1</v>
      </c>
      <c r="S3291" t="n">
        <v>725</v>
      </c>
      <c r="T3291" t="n">
        <v>28</v>
      </c>
      <c r="U3291" t="n">
        <v>29</v>
      </c>
      <c r="V3291" t="n">
        <v>30</v>
      </c>
      <c r="W3291" t="n">
        <v>2</v>
      </c>
      <c r="X3291" t="n">
        <v>60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10528</v>
      </c>
      <c r="AG3291" t="n">
        <v>2148</v>
      </c>
      <c r="AH3291" t="inlineStr">
        <is>
          <t>PT. JAYA PALEMBANG SUKSES - PPN (JMB)</t>
        </is>
      </c>
      <c r="AI3291" t="n">
        <v>838</v>
      </c>
      <c r="AJ3291" t="inlineStr">
        <is>
          <t>PINKFLASH</t>
        </is>
      </c>
      <c r="AK3291" t="n">
        <v>9</v>
      </c>
      <c r="AL3291" t="inlineStr">
        <is>
          <t>Miss Glam Jambi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PINKFLASH</t>
        </is>
      </c>
      <c r="B3292" s="2">
        <f>"6941845808168"</f>
        <v/>
      </c>
      <c r="C3292" t="inlineStr">
        <is>
          <t>PINKFLASH Lasting Matte Loose Powder #222 New 6gr</t>
        </is>
      </c>
      <c r="D3292" t="inlineStr">
        <is>
          <t>Miss Glam Jambi</t>
        </is>
      </c>
      <c r="E3292" t="n">
        <v>4</v>
      </c>
      <c r="F3292" t="n">
        <v>0.09569999999999999</v>
      </c>
      <c r="G3292" t="n">
        <v>0.66</v>
      </c>
      <c r="H3292" t="n">
        <v>4</v>
      </c>
      <c r="I3292" t="n">
        <v>28</v>
      </c>
      <c r="J3292" t="n">
        <v>3</v>
      </c>
      <c r="K3292" t="n">
        <v>0</v>
      </c>
      <c r="L3292" t="n">
        <v>21640</v>
      </c>
      <c r="M3292" t="n">
        <v>26000</v>
      </c>
      <c r="N3292" t="n">
        <v>33</v>
      </c>
      <c r="O3292" t="n">
        <v>0.33</v>
      </c>
      <c r="P3292" t="n">
        <v>1</v>
      </c>
      <c r="Q3292" t="n">
        <v>0.02</v>
      </c>
      <c r="R3292" t="n">
        <v>1</v>
      </c>
      <c r="S3292" t="n">
        <v>2488.2</v>
      </c>
      <c r="T3292" t="n">
        <v>19</v>
      </c>
      <c r="U3292" t="n">
        <v>20</v>
      </c>
      <c r="V3292" t="n">
        <v>30</v>
      </c>
      <c r="W3292" t="n">
        <v>3</v>
      </c>
      <c r="X3292" t="n">
        <v>41.79728317659352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10528</v>
      </c>
      <c r="AG3292" t="n">
        <v>2148</v>
      </c>
      <c r="AH3292" t="inlineStr">
        <is>
          <t>PT. JAYA PALEMBANG SUKSES - PPN (JMB)</t>
        </is>
      </c>
      <c r="AI3292" t="n">
        <v>838</v>
      </c>
      <c r="AJ3292" t="inlineStr">
        <is>
          <t>PINKFLASH</t>
        </is>
      </c>
      <c r="AK3292" t="n">
        <v>9</v>
      </c>
      <c r="AL3292" t="inlineStr">
        <is>
          <t>Miss Glam Jambi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PINKFLASH</t>
        </is>
      </c>
      <c r="B3293" s="2">
        <f>"6974908113046"</f>
        <v/>
      </c>
      <c r="C3293" t="inlineStr">
        <is>
          <t>PINKFLASH Lasting Moist Lip Balm Pf-L03 #4</t>
        </is>
      </c>
      <c r="D3293" t="inlineStr">
        <is>
          <t>Miss Glam Jambi</t>
        </is>
      </c>
      <c r="E3293" t="n">
        <v>4</v>
      </c>
      <c r="F3293" t="n">
        <v>0.6435</v>
      </c>
      <c r="G3293" t="n">
        <v>2.97</v>
      </c>
      <c r="H3293" t="n">
        <v>4</v>
      </c>
      <c r="I3293" t="n">
        <v>28</v>
      </c>
      <c r="J3293" t="n">
        <v>3</v>
      </c>
      <c r="K3293" t="n">
        <v>3</v>
      </c>
      <c r="L3293" t="n">
        <v>14662</v>
      </c>
      <c r="M3293" t="n">
        <v>17500</v>
      </c>
      <c r="N3293" t="n">
        <v>33</v>
      </c>
      <c r="O3293" t="n">
        <v>0.33</v>
      </c>
      <c r="P3293" t="n">
        <v>1</v>
      </c>
      <c r="Q3293" t="n">
        <v>0.05</v>
      </c>
      <c r="R3293" t="n">
        <v>1</v>
      </c>
      <c r="S3293" t="n">
        <v>11261.25</v>
      </c>
      <c r="T3293" t="n">
        <v>81</v>
      </c>
      <c r="U3293" t="n">
        <v>84</v>
      </c>
      <c r="V3293" t="n">
        <v>30</v>
      </c>
      <c r="W3293" t="n">
        <v>20</v>
      </c>
      <c r="X3293" t="n">
        <v>6.216006216006217</v>
      </c>
      <c r="Y3293" t="n">
        <v>1</v>
      </c>
      <c r="Z3293" t="n">
        <v>13</v>
      </c>
      <c r="AA3293" t="n">
        <v>14</v>
      </c>
      <c r="AB3293" t="n">
        <v>0</v>
      </c>
      <c r="AC3293" t="n">
        <v>0</v>
      </c>
      <c r="AD3293" t="n">
        <v>205268</v>
      </c>
      <c r="AE3293" t="n">
        <v>0</v>
      </c>
      <c r="AF3293" t="n">
        <v>10528</v>
      </c>
      <c r="AG3293" t="n">
        <v>2148</v>
      </c>
      <c r="AH3293" t="inlineStr">
        <is>
          <t>PT. JAYA PALEMBANG SUKSES - PPN (JMB)</t>
        </is>
      </c>
      <c r="AI3293" t="n">
        <v>838</v>
      </c>
      <c r="AJ3293" t="inlineStr">
        <is>
          <t>PINKFLASH</t>
        </is>
      </c>
      <c r="AK3293" t="n">
        <v>9</v>
      </c>
      <c r="AL3293" t="inlineStr">
        <is>
          <t>Miss Glam Jambi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PINKFLASH</t>
        </is>
      </c>
      <c r="B3294" s="2">
        <f>"6941845808328"</f>
        <v/>
      </c>
      <c r="C3294" t="inlineStr">
        <is>
          <t>PINKFLASH Lengthening Waterproof Micro Brush Mascara PF-E10 5,0gr</t>
        </is>
      </c>
      <c r="D3294" t="inlineStr">
        <is>
          <t>Miss Glam Jambi</t>
        </is>
      </c>
      <c r="E3294" t="n">
        <v>1</v>
      </c>
      <c r="F3294" t="n">
        <v>0.12</v>
      </c>
      <c r="G3294" t="n">
        <v>2</v>
      </c>
      <c r="H3294" t="n">
        <v>4</v>
      </c>
      <c r="I3294" t="n">
        <v>28</v>
      </c>
      <c r="J3294" t="n">
        <v>3</v>
      </c>
      <c r="K3294" t="n">
        <v>0</v>
      </c>
      <c r="L3294" t="n">
        <v>22014</v>
      </c>
      <c r="M3294" t="n">
        <v>26500</v>
      </c>
      <c r="N3294" t="n">
        <v>33</v>
      </c>
      <c r="O3294" t="n">
        <v>0.33</v>
      </c>
      <c r="P3294" t="n">
        <v>0</v>
      </c>
      <c r="Q3294" t="n">
        <v>0.12</v>
      </c>
      <c r="R3294" t="n">
        <v>2</v>
      </c>
      <c r="S3294" t="n">
        <v>3180</v>
      </c>
      <c r="T3294" t="n">
        <v>56</v>
      </c>
      <c r="U3294" t="n">
        <v>57</v>
      </c>
      <c r="V3294" t="n">
        <v>30</v>
      </c>
      <c r="W3294" t="n">
        <v>4</v>
      </c>
      <c r="X3294" t="n">
        <v>8.333333333333334</v>
      </c>
      <c r="Y3294" t="n">
        <v>1</v>
      </c>
      <c r="Z3294" t="n">
        <v>3</v>
      </c>
      <c r="AA3294" t="n">
        <v>3</v>
      </c>
      <c r="AB3294" t="n">
        <v>0</v>
      </c>
      <c r="AC3294" t="n">
        <v>0</v>
      </c>
      <c r="AD3294" t="n">
        <v>66042</v>
      </c>
      <c r="AE3294" t="n">
        <v>0</v>
      </c>
      <c r="AF3294" t="n">
        <v>10528</v>
      </c>
      <c r="AG3294" t="n">
        <v>2148</v>
      </c>
      <c r="AH3294" t="inlineStr">
        <is>
          <t>PT. JAYA PALEMBANG SUKSES - PPN (JMB)</t>
        </is>
      </c>
      <c r="AI3294" t="n">
        <v>838</v>
      </c>
      <c r="AJ3294" t="inlineStr">
        <is>
          <t>PINKFLASH</t>
        </is>
      </c>
      <c r="AK3294" t="n">
        <v>9</v>
      </c>
      <c r="AL3294" t="inlineStr">
        <is>
          <t>Miss Glam Jambi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PINKFLASH</t>
        </is>
      </c>
      <c r="B3295" s="2">
        <f>"6941845824526"</f>
        <v/>
      </c>
      <c r="C3295" t="inlineStr">
        <is>
          <t>PINKFLASH Makeup Sponge PF-T01 Beauty Blender</t>
        </is>
      </c>
      <c r="D3295" t="inlineStr">
        <is>
          <t>Miss Glam Jambi</t>
        </is>
      </c>
      <c r="E3295" t="n">
        <v>0</v>
      </c>
      <c r="F3295" t="n">
        <v>2.4222</v>
      </c>
      <c r="G3295" t="n">
        <v>6.930000000000001</v>
      </c>
      <c r="H3295" t="n">
        <v>4</v>
      </c>
      <c r="I3295" t="n">
        <v>28</v>
      </c>
      <c r="J3295" t="n">
        <v>3</v>
      </c>
      <c r="K3295" t="n">
        <v>5</v>
      </c>
      <c r="L3295" t="n">
        <v>10446</v>
      </c>
      <c r="M3295" t="n">
        <v>12500</v>
      </c>
      <c r="N3295" t="n">
        <v>33</v>
      </c>
      <c r="O3295" t="n">
        <v>0.33</v>
      </c>
      <c r="P3295" t="n">
        <v>1</v>
      </c>
      <c r="Q3295" t="n">
        <v>1.14</v>
      </c>
      <c r="R3295" t="n">
        <v>3</v>
      </c>
      <c r="S3295" t="n">
        <v>30277.5</v>
      </c>
      <c r="T3295" t="n">
        <v>185</v>
      </c>
      <c r="U3295" t="n">
        <v>195</v>
      </c>
      <c r="V3295" t="n">
        <v>30</v>
      </c>
      <c r="W3295" t="n">
        <v>73</v>
      </c>
      <c r="X3295" t="n">
        <v>0</v>
      </c>
      <c r="Y3295" t="n">
        <v>1</v>
      </c>
      <c r="Z3295" t="n">
        <v>68</v>
      </c>
      <c r="AA3295" t="n">
        <v>67</v>
      </c>
      <c r="AB3295" t="n">
        <v>1</v>
      </c>
      <c r="AC3295" t="n">
        <v>3</v>
      </c>
      <c r="AD3295" t="n">
        <v>699882</v>
      </c>
      <c r="AE3295" t="n">
        <v>31338</v>
      </c>
      <c r="AF3295" t="n">
        <v>10528</v>
      </c>
      <c r="AG3295" t="n">
        <v>2148</v>
      </c>
      <c r="AH3295" t="inlineStr">
        <is>
          <t>PT. JAYA PALEMBANG SUKSES - PPN (JMB)</t>
        </is>
      </c>
      <c r="AI3295" t="n">
        <v>838</v>
      </c>
      <c r="AJ3295" t="inlineStr">
        <is>
          <t>PINKFLASH</t>
        </is>
      </c>
      <c r="AK3295" t="n">
        <v>9</v>
      </c>
      <c r="AL3295" t="inlineStr">
        <is>
          <t>Miss Glam Jambi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PINKFLASH</t>
        </is>
      </c>
      <c r="B3296" s="2">
        <f>"6941845808335"</f>
        <v/>
      </c>
      <c r="C3296" t="inlineStr">
        <is>
          <t>PINKFLASH Oilproof Curl Mascara E08 01 Volume 7g</t>
        </is>
      </c>
      <c r="D3296" t="inlineStr">
        <is>
          <t>Miss Glam Jambi</t>
        </is>
      </c>
      <c r="E3296" t="n">
        <v>11</v>
      </c>
      <c r="F3296" t="n">
        <v>2.7786</v>
      </c>
      <c r="G3296" t="n">
        <v>5.94</v>
      </c>
      <c r="H3296" t="n">
        <v>4</v>
      </c>
      <c r="I3296" t="n">
        <v>28</v>
      </c>
      <c r="J3296" t="n">
        <v>3</v>
      </c>
      <c r="K3296" t="n">
        <v>6</v>
      </c>
      <c r="L3296" t="n">
        <v>17909</v>
      </c>
      <c r="M3296" t="n">
        <v>22500</v>
      </c>
      <c r="N3296" t="n">
        <v>33</v>
      </c>
      <c r="O3296" t="n">
        <v>0.33</v>
      </c>
      <c r="P3296" t="n">
        <v>1</v>
      </c>
      <c r="Q3296" t="n">
        <v>0.42</v>
      </c>
      <c r="R3296" t="n">
        <v>4</v>
      </c>
      <c r="S3296" t="n">
        <v>62518.5</v>
      </c>
      <c r="T3296" t="n">
        <v>156</v>
      </c>
      <c r="U3296" t="n">
        <v>168</v>
      </c>
      <c r="V3296" t="n">
        <v>30</v>
      </c>
      <c r="W3296" t="n">
        <v>84</v>
      </c>
      <c r="X3296" t="n">
        <v>3.958828186856691</v>
      </c>
      <c r="Y3296" t="n">
        <v>1</v>
      </c>
      <c r="Z3296" t="n">
        <v>67</v>
      </c>
      <c r="AA3296" t="n">
        <v>66</v>
      </c>
      <c r="AB3296" t="n">
        <v>1</v>
      </c>
      <c r="AC3296" t="n">
        <v>3</v>
      </c>
      <c r="AD3296" t="n">
        <v>1181994</v>
      </c>
      <c r="AE3296" t="n">
        <v>53727</v>
      </c>
      <c r="AF3296" t="n">
        <v>10528</v>
      </c>
      <c r="AG3296" t="n">
        <v>2148</v>
      </c>
      <c r="AH3296" t="inlineStr">
        <is>
          <t>PT. JAYA PALEMBANG SUKSES - PPN (JMB)</t>
        </is>
      </c>
      <c r="AI3296" t="n">
        <v>838</v>
      </c>
      <c r="AJ3296" t="inlineStr">
        <is>
          <t>PINKFLASH</t>
        </is>
      </c>
      <c r="AK3296" t="n">
        <v>9</v>
      </c>
      <c r="AL3296" t="inlineStr">
        <is>
          <t>Miss Glam Jambi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PINKFLASH</t>
        </is>
      </c>
      <c r="B3297" s="2">
        <f>"6941845805440"</f>
        <v/>
      </c>
      <c r="C3297" t="inlineStr">
        <is>
          <t>PINKFLASH Pro Touch Eyeshadow Palette 02 15gr</t>
        </is>
      </c>
      <c r="D3297" t="inlineStr">
        <is>
          <t>Miss Glam Jambi</t>
        </is>
      </c>
      <c r="E3297" t="n">
        <v>3</v>
      </c>
      <c r="F3297" t="n">
        <v>0.1617</v>
      </c>
      <c r="G3297" t="n">
        <v>1.65</v>
      </c>
      <c r="H3297" t="n">
        <v>4</v>
      </c>
      <c r="I3297" t="n">
        <v>28</v>
      </c>
      <c r="J3297" t="n">
        <v>3</v>
      </c>
      <c r="K3297" t="n">
        <v>0</v>
      </c>
      <c r="L3297" t="n">
        <v>44679</v>
      </c>
      <c r="M3297" t="n">
        <v>53500</v>
      </c>
      <c r="N3297" t="n">
        <v>33</v>
      </c>
      <c r="O3297" t="n">
        <v>0.33</v>
      </c>
      <c r="P3297" t="n">
        <v>1</v>
      </c>
      <c r="Q3297" t="n">
        <v>0.08</v>
      </c>
      <c r="R3297" t="n">
        <v>2</v>
      </c>
      <c r="S3297" t="n">
        <v>8650.950000000001</v>
      </c>
      <c r="T3297" t="n">
        <v>46</v>
      </c>
      <c r="U3297" t="n">
        <v>47</v>
      </c>
      <c r="V3297" t="n">
        <v>30</v>
      </c>
      <c r="W3297" t="n">
        <v>5</v>
      </c>
      <c r="X3297" t="n">
        <v>18.55287569573284</v>
      </c>
      <c r="Y3297" t="n">
        <v>1</v>
      </c>
      <c r="Z3297" t="n">
        <v>2</v>
      </c>
      <c r="AA3297" t="n">
        <v>2</v>
      </c>
      <c r="AB3297" t="n">
        <v>0</v>
      </c>
      <c r="AC3297" t="n">
        <v>0</v>
      </c>
      <c r="AD3297" t="n">
        <v>89358</v>
      </c>
      <c r="AE3297" t="n">
        <v>0</v>
      </c>
      <c r="AF3297" t="n">
        <v>10528</v>
      </c>
      <c r="AG3297" t="n">
        <v>2148</v>
      </c>
      <c r="AH3297" t="inlineStr">
        <is>
          <t>PT. JAYA PALEMBANG SUKSES - PPN (JMB)</t>
        </is>
      </c>
      <c r="AI3297" t="n">
        <v>838</v>
      </c>
      <c r="AJ3297" t="inlineStr">
        <is>
          <t>PINKFLASH</t>
        </is>
      </c>
      <c r="AK3297" t="n">
        <v>9</v>
      </c>
      <c r="AL3297" t="inlineStr">
        <is>
          <t>Miss Glam Jambi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PINKFLASH</t>
        </is>
      </c>
      <c r="B3298" s="2">
        <f>"6941845805464"</f>
        <v/>
      </c>
      <c r="C3298" t="inlineStr">
        <is>
          <t>PINKFLASH Pro Touch Eyeshadow Palette E15 01 15gr</t>
        </is>
      </c>
      <c r="D3298" t="inlineStr">
        <is>
          <t>Miss Glam Jambi</t>
        </is>
      </c>
      <c r="E3298" t="n">
        <v>2</v>
      </c>
      <c r="F3298" t="n">
        <v>0.07920000000000001</v>
      </c>
      <c r="G3298" t="n">
        <v>0.66</v>
      </c>
      <c r="H3298" t="n">
        <v>4</v>
      </c>
      <c r="I3298" t="n">
        <v>28</v>
      </c>
      <c r="J3298" t="n">
        <v>3</v>
      </c>
      <c r="K3298" t="n">
        <v>0</v>
      </c>
      <c r="L3298" t="n">
        <v>44679</v>
      </c>
      <c r="M3298" t="n">
        <v>53500</v>
      </c>
      <c r="N3298" t="n">
        <v>33</v>
      </c>
      <c r="O3298" t="n">
        <v>0.33</v>
      </c>
      <c r="P3298" t="n">
        <v>1</v>
      </c>
      <c r="Q3298" t="n">
        <v>0.02</v>
      </c>
      <c r="R3298" t="n">
        <v>1</v>
      </c>
      <c r="S3298" t="n">
        <v>4237.200000000001</v>
      </c>
      <c r="T3298" t="n">
        <v>19</v>
      </c>
      <c r="U3298" t="n">
        <v>20</v>
      </c>
      <c r="V3298" t="n">
        <v>30</v>
      </c>
      <c r="W3298" t="n">
        <v>3</v>
      </c>
      <c r="X3298" t="n">
        <v>25.25252525252525</v>
      </c>
      <c r="Y3298" t="n">
        <v>1</v>
      </c>
      <c r="Z3298" t="n">
        <v>1</v>
      </c>
      <c r="AA3298" t="n">
        <v>1</v>
      </c>
      <c r="AB3298" t="n">
        <v>0</v>
      </c>
      <c r="AC3298" t="n">
        <v>0</v>
      </c>
      <c r="AD3298" t="n">
        <v>44679</v>
      </c>
      <c r="AE3298" t="n">
        <v>0</v>
      </c>
      <c r="AF3298" t="n">
        <v>10528</v>
      </c>
      <c r="AG3298" t="n">
        <v>2148</v>
      </c>
      <c r="AH3298" t="inlineStr">
        <is>
          <t>PT. JAYA PALEMBANG SUKSES - PPN (JMB)</t>
        </is>
      </c>
      <c r="AI3298" t="n">
        <v>838</v>
      </c>
      <c r="AJ3298" t="inlineStr">
        <is>
          <t>PINKFLASH</t>
        </is>
      </c>
      <c r="AK3298" t="n">
        <v>9</v>
      </c>
      <c r="AL3298" t="inlineStr">
        <is>
          <t>Miss Glam Jambi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PINKFLASH</t>
        </is>
      </c>
      <c r="B3299" s="2">
        <f>"6941845805433"</f>
        <v/>
      </c>
      <c r="C3299" t="inlineStr">
        <is>
          <t>PINKFLASH Pro Touch Eyeshadow Palette E15- #03 15gr</t>
        </is>
      </c>
      <c r="D3299" t="inlineStr">
        <is>
          <t>Miss Glam Jambi</t>
        </is>
      </c>
      <c r="E3299" t="n">
        <v>7</v>
      </c>
      <c r="F3299" t="n">
        <v>0.5049</v>
      </c>
      <c r="G3299" t="n">
        <v>1.98</v>
      </c>
      <c r="H3299" t="n">
        <v>4</v>
      </c>
      <c r="I3299" t="n">
        <v>28</v>
      </c>
      <c r="J3299" t="n">
        <v>3</v>
      </c>
      <c r="K3299" t="n">
        <v>3</v>
      </c>
      <c r="L3299" t="n">
        <v>44679</v>
      </c>
      <c r="M3299" t="n">
        <v>53500</v>
      </c>
      <c r="N3299" t="n">
        <v>33</v>
      </c>
      <c r="O3299" t="n">
        <v>0.33</v>
      </c>
      <c r="P3299" t="n">
        <v>1</v>
      </c>
      <c r="Q3299" t="n">
        <v>0.25</v>
      </c>
      <c r="R3299" t="n">
        <v>3</v>
      </c>
      <c r="S3299" t="n">
        <v>27012.15</v>
      </c>
      <c r="T3299" t="n">
        <v>54</v>
      </c>
      <c r="U3299" t="n">
        <v>57</v>
      </c>
      <c r="V3299" t="n">
        <v>30</v>
      </c>
      <c r="W3299" t="n">
        <v>16</v>
      </c>
      <c r="X3299" t="n">
        <v>13.86413151119033</v>
      </c>
      <c r="Y3299" t="n">
        <v>1</v>
      </c>
      <c r="Z3299" t="n">
        <v>6</v>
      </c>
      <c r="AA3299" t="n">
        <v>7</v>
      </c>
      <c r="AB3299" t="n">
        <v>0</v>
      </c>
      <c r="AC3299" t="n">
        <v>0</v>
      </c>
      <c r="AD3299" t="n">
        <v>312753</v>
      </c>
      <c r="AE3299" t="n">
        <v>0</v>
      </c>
      <c r="AF3299" t="n">
        <v>10528</v>
      </c>
      <c r="AG3299" t="n">
        <v>2148</v>
      </c>
      <c r="AH3299" t="inlineStr">
        <is>
          <t>PT. JAYA PALEMBANG SUKSES - PPN (JMB)</t>
        </is>
      </c>
      <c r="AI3299" t="n">
        <v>838</v>
      </c>
      <c r="AJ3299" t="inlineStr">
        <is>
          <t>PINKFLASH</t>
        </is>
      </c>
      <c r="AK3299" t="n">
        <v>9</v>
      </c>
      <c r="AL3299" t="inlineStr">
        <is>
          <t>Miss Glam Jambi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PINKFLASH</t>
        </is>
      </c>
      <c r="B3300" s="2">
        <f>"6941845805457"</f>
        <v/>
      </c>
      <c r="C3300" t="inlineStr">
        <is>
          <t>PINKFLASH Pro Touch Eyeshadow Palette E15-# 04 15gr</t>
        </is>
      </c>
      <c r="D3300" t="inlineStr">
        <is>
          <t>Miss Glam Jambi</t>
        </is>
      </c>
      <c r="E3300" t="n">
        <v>6</v>
      </c>
      <c r="F3300" t="n">
        <v>0.2409</v>
      </c>
      <c r="G3300" t="n">
        <v>1.65</v>
      </c>
      <c r="H3300" t="n">
        <v>4</v>
      </c>
      <c r="I3300" t="n">
        <v>28</v>
      </c>
      <c r="J3300" t="n">
        <v>3</v>
      </c>
      <c r="K3300" t="n">
        <v>3</v>
      </c>
      <c r="L3300" t="n">
        <v>44679</v>
      </c>
      <c r="M3300" t="n">
        <v>53500</v>
      </c>
      <c r="N3300" t="n">
        <v>33</v>
      </c>
      <c r="O3300" t="n">
        <v>0.33</v>
      </c>
      <c r="P3300" t="n">
        <v>1</v>
      </c>
      <c r="Q3300" t="n">
        <v>0.2</v>
      </c>
      <c r="R3300" t="n">
        <v>3</v>
      </c>
      <c r="S3300" t="n">
        <v>12888.15</v>
      </c>
      <c r="T3300" t="n">
        <v>46</v>
      </c>
      <c r="U3300" t="n">
        <v>47</v>
      </c>
      <c r="V3300" t="n">
        <v>30</v>
      </c>
      <c r="W3300" t="n">
        <v>8</v>
      </c>
      <c r="X3300" t="n">
        <v>24.906600249066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10528</v>
      </c>
      <c r="AG3300" t="n">
        <v>2148</v>
      </c>
      <c r="AH3300" t="inlineStr">
        <is>
          <t>PT. JAYA PALEMBANG SUKSES - PPN (JMB)</t>
        </is>
      </c>
      <c r="AI3300" t="n">
        <v>838</v>
      </c>
      <c r="AJ3300" t="inlineStr">
        <is>
          <t>PINKFLASH</t>
        </is>
      </c>
      <c r="AK3300" t="n">
        <v>9</v>
      </c>
      <c r="AL3300" t="inlineStr">
        <is>
          <t>Miss Glam Jambi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PINKFLASH</t>
        </is>
      </c>
      <c r="B3301" s="2">
        <f>"6974908112261"</f>
        <v/>
      </c>
      <c r="C3301" t="inlineStr">
        <is>
          <t>PINKFLASH Pro Touch Makeup Base Primer PF-F12 20gr</t>
        </is>
      </c>
      <c r="D3301" t="inlineStr">
        <is>
          <t>Miss Glam Jambi</t>
        </is>
      </c>
      <c r="E3301" t="n">
        <v>3</v>
      </c>
      <c r="F3301" t="n">
        <v>0.0495</v>
      </c>
      <c r="G3301" t="n">
        <v>0.66</v>
      </c>
      <c r="H3301" t="n">
        <v>4</v>
      </c>
      <c r="I3301" t="n">
        <v>28</v>
      </c>
      <c r="J3301" t="n">
        <v>3</v>
      </c>
      <c r="K3301" t="n">
        <v>0</v>
      </c>
      <c r="L3301" t="n">
        <v>34674</v>
      </c>
      <c r="M3301" t="n">
        <v>41500</v>
      </c>
      <c r="N3301" t="n">
        <v>33</v>
      </c>
      <c r="O3301" t="n">
        <v>0.33</v>
      </c>
      <c r="P3301" t="n">
        <v>1</v>
      </c>
      <c r="Q3301" t="n">
        <v>0.03</v>
      </c>
      <c r="R3301" t="n">
        <v>1</v>
      </c>
      <c r="S3301" t="n">
        <v>2054.25</v>
      </c>
      <c r="T3301" t="n">
        <v>19</v>
      </c>
      <c r="U3301" t="n">
        <v>20</v>
      </c>
      <c r="V3301" t="n">
        <v>30</v>
      </c>
      <c r="W3301" t="n">
        <v>2</v>
      </c>
      <c r="X3301" t="n">
        <v>60.6060606060606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10528</v>
      </c>
      <c r="AG3301" t="n">
        <v>2148</v>
      </c>
      <c r="AH3301" t="inlineStr">
        <is>
          <t>PT. JAYA PALEMBANG SUKSES - PPN (JMB)</t>
        </is>
      </c>
      <c r="AI3301" t="n">
        <v>838</v>
      </c>
      <c r="AJ3301" t="inlineStr">
        <is>
          <t>PINKFLASH</t>
        </is>
      </c>
      <c r="AK3301" t="n">
        <v>9</v>
      </c>
      <c r="AL3301" t="inlineStr">
        <is>
          <t>Miss Glam Jambi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PINKFLASH</t>
        </is>
      </c>
      <c r="B3302" s="2">
        <f>"6941845808311"</f>
        <v/>
      </c>
      <c r="C3302" t="inlineStr">
        <is>
          <t>PINKFLASH Pro Touch Pencil Eyeliner 02 Brown 1gr</t>
        </is>
      </c>
      <c r="D3302" t="inlineStr">
        <is>
          <t>Miss Glam Jambi</t>
        </is>
      </c>
      <c r="E3302" t="n">
        <v>1</v>
      </c>
      <c r="F3302" t="n">
        <v>0.2409</v>
      </c>
      <c r="G3302" t="n">
        <v>1.32</v>
      </c>
      <c r="H3302" t="n">
        <v>4</v>
      </c>
      <c r="I3302" t="n">
        <v>28</v>
      </c>
      <c r="J3302" t="n">
        <v>3</v>
      </c>
      <c r="K3302" t="n">
        <v>3</v>
      </c>
      <c r="L3302" t="n">
        <v>24866</v>
      </c>
      <c r="M3302" t="n">
        <v>30000</v>
      </c>
      <c r="N3302" t="n">
        <v>33</v>
      </c>
      <c r="O3302" t="n">
        <v>0.33</v>
      </c>
      <c r="P3302" t="n">
        <v>1</v>
      </c>
      <c r="Q3302" t="n">
        <v>0.02</v>
      </c>
      <c r="R3302" t="n">
        <v>1</v>
      </c>
      <c r="S3302" t="n">
        <v>7227</v>
      </c>
      <c r="T3302" t="n">
        <v>36</v>
      </c>
      <c r="U3302" t="n">
        <v>37</v>
      </c>
      <c r="V3302" t="n">
        <v>30</v>
      </c>
      <c r="W3302" t="n">
        <v>8</v>
      </c>
      <c r="X3302" t="n">
        <v>4.151100041511</v>
      </c>
      <c r="Y3302" t="n">
        <v>1</v>
      </c>
      <c r="Z3302" t="n">
        <v>4</v>
      </c>
      <c r="AA3302" t="n">
        <v>5</v>
      </c>
      <c r="AB3302" t="n">
        <v>0</v>
      </c>
      <c r="AC3302" t="n">
        <v>0</v>
      </c>
      <c r="AD3302" t="n">
        <v>124330</v>
      </c>
      <c r="AE3302" t="n">
        <v>0</v>
      </c>
      <c r="AF3302" t="n">
        <v>10528</v>
      </c>
      <c r="AG3302" t="n">
        <v>2148</v>
      </c>
      <c r="AH3302" t="inlineStr">
        <is>
          <t>PT. JAYA PALEMBANG SUKSES - PPN (JMB)</t>
        </is>
      </c>
      <c r="AI3302" t="n">
        <v>838</v>
      </c>
      <c r="AJ3302" t="inlineStr">
        <is>
          <t>PINKFLASH</t>
        </is>
      </c>
      <c r="AK3302" t="n">
        <v>9</v>
      </c>
      <c r="AL3302" t="inlineStr">
        <is>
          <t>Miss Glam Jambi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PINKFLASH</t>
        </is>
      </c>
      <c r="B3303" s="2">
        <f>"6941845808298"</f>
        <v/>
      </c>
      <c r="C3303" t="inlineStr">
        <is>
          <t>PINKFLASH Pro Touch Pencil Eyeliner Black PF-E13-#01 0,1gr</t>
        </is>
      </c>
      <c r="D3303" t="inlineStr">
        <is>
          <t>Miss Glam Jambi</t>
        </is>
      </c>
      <c r="E3303" t="n">
        <v>6</v>
      </c>
      <c r="F3303" t="n">
        <v>0.2112</v>
      </c>
      <c r="G3303" t="n">
        <v>1.32</v>
      </c>
      <c r="H3303" t="n">
        <v>4</v>
      </c>
      <c r="I3303" t="n">
        <v>28</v>
      </c>
      <c r="J3303" t="n">
        <v>3</v>
      </c>
      <c r="K3303" t="n">
        <v>3</v>
      </c>
      <c r="L3303" t="n">
        <v>24866</v>
      </c>
      <c r="M3303" t="n">
        <v>30000</v>
      </c>
      <c r="N3303" t="n">
        <v>33</v>
      </c>
      <c r="O3303" t="n">
        <v>0.33</v>
      </c>
      <c r="P3303" t="n">
        <v>1</v>
      </c>
      <c r="Q3303" t="n">
        <v>0.03</v>
      </c>
      <c r="R3303" t="n">
        <v>1</v>
      </c>
      <c r="S3303" t="n">
        <v>6336.000000000001</v>
      </c>
      <c r="T3303" t="n">
        <v>37</v>
      </c>
      <c r="U3303" t="n">
        <v>38</v>
      </c>
      <c r="V3303" t="n">
        <v>30</v>
      </c>
      <c r="W3303" t="n">
        <v>7</v>
      </c>
      <c r="X3303" t="n">
        <v>28.40909090909091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10528</v>
      </c>
      <c r="AG3303" t="n">
        <v>2148</v>
      </c>
      <c r="AH3303" t="inlineStr">
        <is>
          <t>PT. JAYA PALEMBANG SUKSES - PPN (JMB)</t>
        </is>
      </c>
      <c r="AI3303" t="n">
        <v>838</v>
      </c>
      <c r="AJ3303" t="inlineStr">
        <is>
          <t>PINKFLASH</t>
        </is>
      </c>
      <c r="AK3303" t="n">
        <v>9</v>
      </c>
      <c r="AL3303" t="inlineStr">
        <is>
          <t>Miss Glam Jambi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PINKFLASH</t>
        </is>
      </c>
      <c r="B3304" s="2">
        <f>"20100962452"</f>
        <v/>
      </c>
      <c r="C3304" t="inlineStr">
        <is>
          <t>PINKFLASH Smooth Velvet Blush NU01 2.3g</t>
        </is>
      </c>
      <c r="D3304" t="inlineStr">
        <is>
          <t>Miss Glam Jambi</t>
        </is>
      </c>
      <c r="E3304" t="n">
        <v>3</v>
      </c>
      <c r="F3304" t="n">
        <v>0.0165</v>
      </c>
      <c r="G3304" t="n">
        <v>0.33</v>
      </c>
      <c r="H3304" t="n">
        <v>4</v>
      </c>
      <c r="I3304" t="n">
        <v>28</v>
      </c>
      <c r="J3304" t="n">
        <v>1</v>
      </c>
      <c r="K3304" t="n">
        <v>0</v>
      </c>
      <c r="L3304" t="n">
        <v>37740</v>
      </c>
      <c r="M3304" t="n">
        <v>44500</v>
      </c>
      <c r="N3304" t="n">
        <v>33</v>
      </c>
      <c r="O3304" t="n">
        <v>0.33</v>
      </c>
      <c r="P3304" t="n">
        <v>1</v>
      </c>
      <c r="Q3304" t="n">
        <v>0.02</v>
      </c>
      <c r="R3304" t="n">
        <v>1</v>
      </c>
      <c r="S3304" t="n">
        <v>734.25</v>
      </c>
      <c r="T3304" t="n">
        <v>10</v>
      </c>
      <c r="U3304" t="n">
        <v>11</v>
      </c>
      <c r="V3304" t="n">
        <v>30</v>
      </c>
      <c r="W3304" t="n">
        <v>1</v>
      </c>
      <c r="X3304" t="n">
        <v>181.8181818181818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10528</v>
      </c>
      <c r="AG3304" t="n">
        <v>2148</v>
      </c>
      <c r="AH3304" t="inlineStr">
        <is>
          <t>PT. JAYA PALEMBANG SUKSES - PPN (JMB)</t>
        </is>
      </c>
      <c r="AI3304" t="n">
        <v>838</v>
      </c>
      <c r="AJ3304" t="inlineStr">
        <is>
          <t>PINKFLASH</t>
        </is>
      </c>
      <c r="AK3304" t="n">
        <v>9</v>
      </c>
      <c r="AL3304" t="inlineStr">
        <is>
          <t>Miss Glam Jambi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PINKFLASH</t>
        </is>
      </c>
      <c r="B3305" s="2">
        <f>"6941845824366"</f>
        <v/>
      </c>
      <c r="C3305" t="inlineStr">
        <is>
          <t>PINKFLASH Smudge Proof Brow Pomade BR02 1.4gr</t>
        </is>
      </c>
      <c r="D3305" t="inlineStr">
        <is>
          <t>Miss Glam Jambi</t>
        </is>
      </c>
      <c r="E3305" t="n">
        <v>6</v>
      </c>
      <c r="F3305" t="n">
        <v>0.0231</v>
      </c>
      <c r="G3305" t="n">
        <v>0.33</v>
      </c>
      <c r="H3305" t="n">
        <v>4</v>
      </c>
      <c r="I3305" t="n">
        <v>28</v>
      </c>
      <c r="J3305" t="n">
        <v>3</v>
      </c>
      <c r="K3305" t="n">
        <v>0</v>
      </c>
      <c r="L3305" t="n">
        <v>33999</v>
      </c>
      <c r="M3305" t="n">
        <v>40000</v>
      </c>
      <c r="N3305" t="n">
        <v>33</v>
      </c>
      <c r="O3305" t="n">
        <v>0.33</v>
      </c>
      <c r="P3305" t="n">
        <v>1</v>
      </c>
      <c r="Q3305" t="n">
        <v>0.03</v>
      </c>
      <c r="R3305" t="n">
        <v>2</v>
      </c>
      <c r="S3305" t="n">
        <v>924.0000000000001</v>
      </c>
      <c r="T3305" t="n">
        <v>10</v>
      </c>
      <c r="U3305" t="n">
        <v>11</v>
      </c>
      <c r="V3305" t="n">
        <v>30</v>
      </c>
      <c r="W3305" t="n">
        <v>1</v>
      </c>
      <c r="X3305" t="n">
        <v>259.7402597402597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10528</v>
      </c>
      <c r="AG3305" t="n">
        <v>2148</v>
      </c>
      <c r="AH3305" t="inlineStr">
        <is>
          <t>PT. JAYA PALEMBANG SUKSES - PPN (JMB)</t>
        </is>
      </c>
      <c r="AI3305" t="n">
        <v>838</v>
      </c>
      <c r="AJ3305" t="inlineStr">
        <is>
          <t>PINKFLASH</t>
        </is>
      </c>
      <c r="AK3305" t="n">
        <v>9</v>
      </c>
      <c r="AL3305" t="inlineStr">
        <is>
          <t>Miss Glam Jambi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PINKFLASH</t>
        </is>
      </c>
      <c r="B3306" s="2">
        <f>"6941845808441"</f>
        <v/>
      </c>
      <c r="C3306" t="inlineStr">
        <is>
          <t>PINKFLASH Soft Pigment Blush 004 1.7g</t>
        </is>
      </c>
      <c r="D3306" t="inlineStr">
        <is>
          <t>Miss Glam Jambi</t>
        </is>
      </c>
      <c r="E3306" t="n">
        <v>7</v>
      </c>
      <c r="F3306" t="n">
        <v>0.1</v>
      </c>
      <c r="G3306" t="n">
        <v>2</v>
      </c>
      <c r="H3306" t="n">
        <v>4</v>
      </c>
      <c r="I3306" t="n">
        <v>28</v>
      </c>
      <c r="J3306" t="n">
        <v>3</v>
      </c>
      <c r="K3306" t="n">
        <v>0</v>
      </c>
      <c r="L3306" t="n">
        <v>15318</v>
      </c>
      <c r="M3306" t="n">
        <v>18500</v>
      </c>
      <c r="N3306" t="n">
        <v>33</v>
      </c>
      <c r="O3306" t="n">
        <v>0.33</v>
      </c>
      <c r="P3306" t="n">
        <v>0</v>
      </c>
      <c r="Q3306" t="n">
        <v>0.1</v>
      </c>
      <c r="R3306" t="n">
        <v>2</v>
      </c>
      <c r="S3306" t="n">
        <v>1850</v>
      </c>
      <c r="T3306" t="n">
        <v>56</v>
      </c>
      <c r="U3306" t="n">
        <v>57</v>
      </c>
      <c r="V3306" t="n">
        <v>30</v>
      </c>
      <c r="W3306" t="n">
        <v>3</v>
      </c>
      <c r="X3306" t="n">
        <v>70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10528</v>
      </c>
      <c r="AG3306" t="n">
        <v>2148</v>
      </c>
      <c r="AH3306" t="inlineStr">
        <is>
          <t>PT. JAYA PALEMBANG SUKSES - PPN (JMB)</t>
        </is>
      </c>
      <c r="AI3306" t="n">
        <v>838</v>
      </c>
      <c r="AJ3306" t="inlineStr">
        <is>
          <t>PINKFLASH</t>
        </is>
      </c>
      <c r="AK3306" t="n">
        <v>9</v>
      </c>
      <c r="AL3306" t="inlineStr">
        <is>
          <t>Miss Glam Jambi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PINKFLASH</t>
        </is>
      </c>
      <c r="B3307" s="2">
        <f>"6941845808540"</f>
        <v/>
      </c>
      <c r="C3307" t="inlineStr">
        <is>
          <t>PINKFLASH Soft Pigment Blush N01 1.7gr</t>
        </is>
      </c>
      <c r="D3307" t="inlineStr">
        <is>
          <t>Miss Glam Jambi</t>
        </is>
      </c>
      <c r="E3307" t="n">
        <v>1</v>
      </c>
      <c r="F3307" t="n">
        <v>0.0396</v>
      </c>
      <c r="G3307" t="n">
        <v>0.66</v>
      </c>
      <c r="H3307" t="n">
        <v>4</v>
      </c>
      <c r="I3307" t="n">
        <v>28</v>
      </c>
      <c r="J3307" t="n">
        <v>3</v>
      </c>
      <c r="K3307" t="n">
        <v>0</v>
      </c>
      <c r="L3307" t="n">
        <v>15318</v>
      </c>
      <c r="M3307" t="n">
        <v>18500</v>
      </c>
      <c r="N3307" t="n">
        <v>33</v>
      </c>
      <c r="O3307" t="n">
        <v>0.33</v>
      </c>
      <c r="P3307" t="n">
        <v>1</v>
      </c>
      <c r="Q3307" t="n">
        <v>0.02</v>
      </c>
      <c r="R3307" t="n">
        <v>1</v>
      </c>
      <c r="S3307" t="n">
        <v>732.6</v>
      </c>
      <c r="T3307" t="n">
        <v>19</v>
      </c>
      <c r="U3307" t="n">
        <v>20</v>
      </c>
      <c r="V3307" t="n">
        <v>30</v>
      </c>
      <c r="W3307" t="n">
        <v>2</v>
      </c>
      <c r="X3307" t="n">
        <v>25.25252525252525</v>
      </c>
      <c r="Y3307" t="n">
        <v>1</v>
      </c>
      <c r="Z3307" t="n">
        <v>1</v>
      </c>
      <c r="AA3307" t="n">
        <v>1</v>
      </c>
      <c r="AB3307" t="n">
        <v>0</v>
      </c>
      <c r="AC3307" t="n">
        <v>0</v>
      </c>
      <c r="AD3307" t="n">
        <v>15318</v>
      </c>
      <c r="AE3307" t="n">
        <v>0</v>
      </c>
      <c r="AF3307" t="n">
        <v>10528</v>
      </c>
      <c r="AG3307" t="n">
        <v>2148</v>
      </c>
      <c r="AH3307" t="inlineStr">
        <is>
          <t>PT. JAYA PALEMBANG SUKSES - PPN (JMB)</t>
        </is>
      </c>
      <c r="AI3307" t="n">
        <v>838</v>
      </c>
      <c r="AJ3307" t="inlineStr">
        <is>
          <t>PINKFLASH</t>
        </is>
      </c>
      <c r="AK3307" t="n">
        <v>9</v>
      </c>
      <c r="AL3307" t="inlineStr">
        <is>
          <t>Miss Glam Jambi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PINKFLASH</t>
        </is>
      </c>
      <c r="B3308" s="2">
        <f>"6941845808564"</f>
        <v/>
      </c>
      <c r="C3308" t="inlineStr">
        <is>
          <t>PINKFLASH Soft Pigment Blush N02 1.7g</t>
        </is>
      </c>
      <c r="D3308" t="inlineStr">
        <is>
          <t>Miss Glam Jambi</t>
        </is>
      </c>
      <c r="E3308" t="n">
        <v>3</v>
      </c>
      <c r="F3308" t="n">
        <v>0.05</v>
      </c>
      <c r="G3308" t="n">
        <v>1</v>
      </c>
      <c r="H3308" t="n">
        <v>4</v>
      </c>
      <c r="I3308" t="n">
        <v>28</v>
      </c>
      <c r="J3308" t="n">
        <v>3</v>
      </c>
      <c r="K3308" t="n">
        <v>0</v>
      </c>
      <c r="L3308" t="n">
        <v>15318</v>
      </c>
      <c r="M3308" t="n">
        <v>18500</v>
      </c>
      <c r="N3308" t="n">
        <v>33</v>
      </c>
      <c r="O3308" t="n">
        <v>0.33</v>
      </c>
      <c r="P3308" t="n">
        <v>0</v>
      </c>
      <c r="Q3308" t="n">
        <v>0.05</v>
      </c>
      <c r="R3308" t="n">
        <v>1</v>
      </c>
      <c r="S3308" t="n">
        <v>925</v>
      </c>
      <c r="T3308" t="n">
        <v>28</v>
      </c>
      <c r="U3308" t="n">
        <v>29</v>
      </c>
      <c r="V3308" t="n">
        <v>30</v>
      </c>
      <c r="W3308" t="n">
        <v>2</v>
      </c>
      <c r="X3308" t="n">
        <v>60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10528</v>
      </c>
      <c r="AG3308" t="n">
        <v>2148</v>
      </c>
      <c r="AH3308" t="inlineStr">
        <is>
          <t>PT. JAYA PALEMBANG SUKSES - PPN (JMB)</t>
        </is>
      </c>
      <c r="AI3308" t="n">
        <v>838</v>
      </c>
      <c r="AJ3308" t="inlineStr">
        <is>
          <t>PINKFLASH</t>
        </is>
      </c>
      <c r="AK3308" t="n">
        <v>9</v>
      </c>
      <c r="AL3308" t="inlineStr">
        <is>
          <t>Miss Glam Jambi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PINKFLASH</t>
        </is>
      </c>
      <c r="B3309" s="2">
        <f>"6941845808465"</f>
        <v/>
      </c>
      <c r="C3309" t="inlineStr">
        <is>
          <t>PINKFLASH Soft Pigment Blush P01 1.7gr NEW</t>
        </is>
      </c>
      <c r="D3309" t="inlineStr">
        <is>
          <t>Miss Glam Jambi</t>
        </is>
      </c>
      <c r="E3309" t="n">
        <v>7</v>
      </c>
      <c r="F3309" t="n">
        <v>0.9636</v>
      </c>
      <c r="G3309" t="n">
        <v>3.3</v>
      </c>
      <c r="H3309" t="n">
        <v>4</v>
      </c>
      <c r="I3309" t="n">
        <v>28</v>
      </c>
      <c r="J3309" t="n">
        <v>3</v>
      </c>
      <c r="K3309" t="n">
        <v>3</v>
      </c>
      <c r="L3309" t="n">
        <v>15317</v>
      </c>
      <c r="M3309" t="n">
        <v>18500</v>
      </c>
      <c r="N3309" t="n">
        <v>33</v>
      </c>
      <c r="O3309" t="n">
        <v>0.33</v>
      </c>
      <c r="P3309" t="n">
        <v>1</v>
      </c>
      <c r="Q3309" t="n">
        <v>0.42</v>
      </c>
      <c r="R3309" t="n">
        <v>4</v>
      </c>
      <c r="S3309" t="n">
        <v>17826.6</v>
      </c>
      <c r="T3309" t="n">
        <v>89</v>
      </c>
      <c r="U3309" t="n">
        <v>93</v>
      </c>
      <c r="V3309" t="n">
        <v>30</v>
      </c>
      <c r="W3309" t="n">
        <v>29</v>
      </c>
      <c r="X3309" t="n">
        <v>7.264425072644251</v>
      </c>
      <c r="Y3309" t="n">
        <v>1</v>
      </c>
      <c r="Z3309" t="n">
        <v>19</v>
      </c>
      <c r="AA3309" t="n">
        <v>19</v>
      </c>
      <c r="AB3309" t="n">
        <v>0</v>
      </c>
      <c r="AC3309" t="n">
        <v>0</v>
      </c>
      <c r="AD3309" t="n">
        <v>291023</v>
      </c>
      <c r="AE3309" t="n">
        <v>0</v>
      </c>
      <c r="AF3309" t="n">
        <v>10528</v>
      </c>
      <c r="AG3309" t="n">
        <v>2148</v>
      </c>
      <c r="AH3309" t="inlineStr">
        <is>
          <t>PT. JAYA PALEMBANG SUKSES - PPN (JMB)</t>
        </is>
      </c>
      <c r="AI3309" t="n">
        <v>838</v>
      </c>
      <c r="AJ3309" t="inlineStr">
        <is>
          <t>PINKFLASH</t>
        </is>
      </c>
      <c r="AK3309" t="n">
        <v>9</v>
      </c>
      <c r="AL3309" t="inlineStr">
        <is>
          <t>Miss Glam Jambi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PINKFLASH</t>
        </is>
      </c>
      <c r="B3310" s="2">
        <f>"6941845808502"</f>
        <v/>
      </c>
      <c r="C3310" t="inlineStr">
        <is>
          <t>PINKFLASH Soft Pigment Blush P03 1.7g</t>
        </is>
      </c>
      <c r="D3310" t="inlineStr">
        <is>
          <t>Miss Glam Jambi</t>
        </is>
      </c>
      <c r="E3310" t="n">
        <v>9</v>
      </c>
      <c r="F3310" t="n">
        <v>1.3596</v>
      </c>
      <c r="G3310" t="n">
        <v>5.61</v>
      </c>
      <c r="H3310" t="n">
        <v>4</v>
      </c>
      <c r="I3310" t="n">
        <v>28</v>
      </c>
      <c r="J3310" t="n">
        <v>3</v>
      </c>
      <c r="K3310" t="n">
        <v>3</v>
      </c>
      <c r="L3310" t="n">
        <v>15317</v>
      </c>
      <c r="M3310" t="n">
        <v>18500</v>
      </c>
      <c r="N3310" t="n">
        <v>33</v>
      </c>
      <c r="O3310" t="n">
        <v>0.33</v>
      </c>
      <c r="P3310" t="n">
        <v>1</v>
      </c>
      <c r="Q3310" t="n">
        <v>0.49</v>
      </c>
      <c r="R3310" t="n">
        <v>3</v>
      </c>
      <c r="S3310" t="n">
        <v>25152.6</v>
      </c>
      <c r="T3310" t="n">
        <v>152</v>
      </c>
      <c r="U3310" t="n">
        <v>158</v>
      </c>
      <c r="V3310" t="n">
        <v>30</v>
      </c>
      <c r="W3310" t="n">
        <v>41</v>
      </c>
      <c r="X3310" t="n">
        <v>6.619593998234774</v>
      </c>
      <c r="Y3310" t="n">
        <v>1</v>
      </c>
      <c r="Z3310" t="n">
        <v>29</v>
      </c>
      <c r="AA3310" t="n">
        <v>29</v>
      </c>
      <c r="AB3310" t="n">
        <v>0</v>
      </c>
      <c r="AC3310" t="n">
        <v>0</v>
      </c>
      <c r="AD3310" t="n">
        <v>444193</v>
      </c>
      <c r="AE3310" t="n">
        <v>0</v>
      </c>
      <c r="AF3310" t="n">
        <v>10528</v>
      </c>
      <c r="AG3310" t="n">
        <v>2148</v>
      </c>
      <c r="AH3310" t="inlineStr">
        <is>
          <t>PT. JAYA PALEMBANG SUKSES - PPN (JMB)</t>
        </is>
      </c>
      <c r="AI3310" t="n">
        <v>838</v>
      </c>
      <c r="AJ3310" t="inlineStr">
        <is>
          <t>PINKFLASH</t>
        </is>
      </c>
      <c r="AK3310" t="n">
        <v>9</v>
      </c>
      <c r="AL3310" t="inlineStr">
        <is>
          <t>Miss Glam Jambi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PINKFLASH</t>
        </is>
      </c>
      <c r="B3311" s="2">
        <f>"6941845815760"</f>
        <v/>
      </c>
      <c r="C3311" t="inlineStr">
        <is>
          <t>PINKFLASH Velvety 3 Pan Eyeshadow PF-E23 PK03</t>
        </is>
      </c>
      <c r="D3311" t="inlineStr">
        <is>
          <t>Miss Glam Jambi</t>
        </is>
      </c>
      <c r="E3311" t="n">
        <v>4</v>
      </c>
      <c r="F3311" t="n">
        <v>0.066</v>
      </c>
      <c r="G3311" t="n">
        <v>0.66</v>
      </c>
      <c r="H3311" t="n">
        <v>4</v>
      </c>
      <c r="I3311" t="n">
        <v>28</v>
      </c>
      <c r="J3311" t="n">
        <v>3</v>
      </c>
      <c r="K3311" t="n">
        <v>0</v>
      </c>
      <c r="L3311" t="n">
        <v>33782</v>
      </c>
      <c r="M3311" t="n">
        <v>40500</v>
      </c>
      <c r="N3311" t="n">
        <v>33</v>
      </c>
      <c r="O3311" t="n">
        <v>0.33</v>
      </c>
      <c r="P3311" t="n">
        <v>1</v>
      </c>
      <c r="Q3311" t="n">
        <v>0.02</v>
      </c>
      <c r="R3311" t="n">
        <v>1</v>
      </c>
      <c r="S3311" t="n">
        <v>2673</v>
      </c>
      <c r="T3311" t="n">
        <v>19</v>
      </c>
      <c r="U3311" t="n">
        <v>20</v>
      </c>
      <c r="V3311" t="n">
        <v>30</v>
      </c>
      <c r="W3311" t="n">
        <v>2</v>
      </c>
      <c r="X3311" t="n">
        <v>60.6060606060606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10528</v>
      </c>
      <c r="AG3311" t="n">
        <v>2148</v>
      </c>
      <c r="AH3311" t="inlineStr">
        <is>
          <t>PT. JAYA PALEMBANG SUKSES - PPN (JMB)</t>
        </is>
      </c>
      <c r="AI3311" t="n">
        <v>838</v>
      </c>
      <c r="AJ3311" t="inlineStr">
        <is>
          <t>PINKFLASH</t>
        </is>
      </c>
      <c r="AK3311" t="n">
        <v>9</v>
      </c>
      <c r="AL3311" t="inlineStr">
        <is>
          <t>Miss Glam Jambi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PINKFLASH</t>
        </is>
      </c>
      <c r="B3312" s="2">
        <f>"6941845805297"</f>
        <v/>
      </c>
      <c r="C3312" t="inlineStr">
        <is>
          <t>PINKFLASH Waterproof Auto Eyebrow Pencil 03 Gray Brown 0.2gr</t>
        </is>
      </c>
      <c r="D3312" t="inlineStr">
        <is>
          <t>Miss Glam Jambi</t>
        </is>
      </c>
      <c r="E3312" t="n">
        <v>2</v>
      </c>
      <c r="F3312" t="n">
        <v>0.7326000000000001</v>
      </c>
      <c r="G3312" t="n">
        <v>2.64</v>
      </c>
      <c r="H3312" t="n">
        <v>4</v>
      </c>
      <c r="I3312" t="n">
        <v>28</v>
      </c>
      <c r="J3312" t="n">
        <v>3</v>
      </c>
      <c r="K3312" t="n">
        <v>3</v>
      </c>
      <c r="L3312" t="n">
        <v>14550</v>
      </c>
      <c r="M3312" t="n">
        <v>17500</v>
      </c>
      <c r="N3312" t="n">
        <v>33</v>
      </c>
      <c r="O3312" t="n">
        <v>0.33</v>
      </c>
      <c r="P3312" t="n">
        <v>1</v>
      </c>
      <c r="Q3312" t="n">
        <v>0.12</v>
      </c>
      <c r="R3312" t="n">
        <v>2</v>
      </c>
      <c r="S3312" t="n">
        <v>12820.5</v>
      </c>
      <c r="T3312" t="n">
        <v>71</v>
      </c>
      <c r="U3312" t="n">
        <v>74</v>
      </c>
      <c r="V3312" t="n">
        <v>30</v>
      </c>
      <c r="W3312" t="n">
        <v>22</v>
      </c>
      <c r="X3312" t="n">
        <v>2.73000273000273</v>
      </c>
      <c r="Y3312" t="n">
        <v>1</v>
      </c>
      <c r="Z3312" t="n">
        <v>17</v>
      </c>
      <c r="AA3312" t="n">
        <v>18</v>
      </c>
      <c r="AB3312" t="n">
        <v>0</v>
      </c>
      <c r="AC3312" t="n">
        <v>0</v>
      </c>
      <c r="AD3312" t="n">
        <v>261900</v>
      </c>
      <c r="AE3312" t="n">
        <v>0</v>
      </c>
      <c r="AF3312" t="n">
        <v>10528</v>
      </c>
      <c r="AG3312" t="n">
        <v>2148</v>
      </c>
      <c r="AH3312" t="inlineStr">
        <is>
          <t>PT. JAYA PALEMBANG SUKSES - PPN (JMB)</t>
        </is>
      </c>
      <c r="AI3312" t="n">
        <v>838</v>
      </c>
      <c r="AJ3312" t="inlineStr">
        <is>
          <t>PINKFLASH</t>
        </is>
      </c>
      <c r="AK3312" t="n">
        <v>9</v>
      </c>
      <c r="AL3312" t="inlineStr">
        <is>
          <t>Miss Glam Jambi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PINKFLASH</t>
        </is>
      </c>
      <c r="B3313" s="2">
        <f>"6941845805310"</f>
        <v/>
      </c>
      <c r="C3313" t="inlineStr">
        <is>
          <t>PINKFLASH Waterproof Auto Eyebrow Pencil PF-E09 #01 Natural Brown</t>
        </is>
      </c>
      <c r="D3313" t="inlineStr">
        <is>
          <t>Miss Glam Jambi</t>
        </is>
      </c>
      <c r="E3313" t="n">
        <v>9</v>
      </c>
      <c r="F3313" t="n">
        <v>0.5544</v>
      </c>
      <c r="G3313" t="n">
        <v>1.98</v>
      </c>
      <c r="H3313" t="n">
        <v>4</v>
      </c>
      <c r="I3313" t="n">
        <v>28</v>
      </c>
      <c r="J3313" t="n">
        <v>3</v>
      </c>
      <c r="K3313" t="n">
        <v>3</v>
      </c>
      <c r="L3313" t="n">
        <v>14551</v>
      </c>
      <c r="M3313" t="n">
        <v>17500</v>
      </c>
      <c r="N3313" t="n">
        <v>33</v>
      </c>
      <c r="O3313" t="n">
        <v>0.33</v>
      </c>
      <c r="P3313" t="n">
        <v>1</v>
      </c>
      <c r="Q3313" t="n">
        <v>0.17</v>
      </c>
      <c r="R3313" t="n">
        <v>2</v>
      </c>
      <c r="S3313" t="n">
        <v>9702</v>
      </c>
      <c r="T3313" t="n">
        <v>54</v>
      </c>
      <c r="U3313" t="n">
        <v>57</v>
      </c>
      <c r="V3313" t="n">
        <v>30</v>
      </c>
      <c r="W3313" t="n">
        <v>17</v>
      </c>
      <c r="X3313" t="n">
        <v>16.23376623376623</v>
      </c>
      <c r="Y3313" t="n">
        <v>1</v>
      </c>
      <c r="Z3313" t="n">
        <v>5</v>
      </c>
      <c r="AA3313" t="n">
        <v>6</v>
      </c>
      <c r="AB3313" t="n">
        <v>0</v>
      </c>
      <c r="AC3313" t="n">
        <v>0</v>
      </c>
      <c r="AD3313" t="n">
        <v>87306</v>
      </c>
      <c r="AE3313" t="n">
        <v>0</v>
      </c>
      <c r="AF3313" t="n">
        <v>10528</v>
      </c>
      <c r="AG3313" t="n">
        <v>2148</v>
      </c>
      <c r="AH3313" t="inlineStr">
        <is>
          <t>PT. JAYA PALEMBANG SUKSES - PPN (JMB)</t>
        </is>
      </c>
      <c r="AI3313" t="n">
        <v>838</v>
      </c>
      <c r="AJ3313" t="inlineStr">
        <is>
          <t>PINKFLASH</t>
        </is>
      </c>
      <c r="AK3313" t="n">
        <v>9</v>
      </c>
      <c r="AL3313" t="inlineStr">
        <is>
          <t>Miss Glam Jambi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PINKFLASH</t>
        </is>
      </c>
      <c r="B3314" s="2">
        <f>"6941845805280"</f>
        <v/>
      </c>
      <c r="C3314" t="inlineStr">
        <is>
          <t>PINKFLASH Waterproof Auto Eyebrow Pencil PF-E09 #04 Natural Gray 0.2gr</t>
        </is>
      </c>
      <c r="D3314" t="inlineStr">
        <is>
          <t>Miss Glam Jambi</t>
        </is>
      </c>
      <c r="E3314" t="n">
        <v>6</v>
      </c>
      <c r="F3314" t="n">
        <v>0.2574</v>
      </c>
      <c r="G3314" t="n">
        <v>0.99</v>
      </c>
      <c r="H3314" t="n">
        <v>4</v>
      </c>
      <c r="I3314" t="n">
        <v>28</v>
      </c>
      <c r="J3314" t="n">
        <v>3</v>
      </c>
      <c r="K3314" t="n">
        <v>0</v>
      </c>
      <c r="L3314" t="n">
        <v>14551</v>
      </c>
      <c r="M3314" t="n">
        <v>17500</v>
      </c>
      <c r="N3314" t="n">
        <v>33</v>
      </c>
      <c r="O3314" t="n">
        <v>0.33</v>
      </c>
      <c r="P3314" t="n">
        <v>1</v>
      </c>
      <c r="Q3314" t="n">
        <v>0.14</v>
      </c>
      <c r="R3314" t="n">
        <v>1</v>
      </c>
      <c r="S3314" t="n">
        <v>4504.5</v>
      </c>
      <c r="T3314" t="n">
        <v>27</v>
      </c>
      <c r="U3314" t="n">
        <v>29</v>
      </c>
      <c r="V3314" t="n">
        <v>30</v>
      </c>
      <c r="W3314" t="n">
        <v>8</v>
      </c>
      <c r="X3314" t="n">
        <v>23.31002331002331</v>
      </c>
      <c r="Y3314" t="n">
        <v>1</v>
      </c>
      <c r="Z3314" t="n">
        <v>2</v>
      </c>
      <c r="AA3314" t="n">
        <v>2</v>
      </c>
      <c r="AB3314" t="n">
        <v>0</v>
      </c>
      <c r="AC3314" t="n">
        <v>0</v>
      </c>
      <c r="AD3314" t="n">
        <v>29102</v>
      </c>
      <c r="AE3314" t="n">
        <v>0</v>
      </c>
      <c r="AF3314" t="n">
        <v>10528</v>
      </c>
      <c r="AG3314" t="n">
        <v>2148</v>
      </c>
      <c r="AH3314" t="inlineStr">
        <is>
          <t>PT. JAYA PALEMBANG SUKSES - PPN (JMB)</t>
        </is>
      </c>
      <c r="AI3314" t="n">
        <v>838</v>
      </c>
      <c r="AJ3314" t="inlineStr">
        <is>
          <t>PINKFLASH</t>
        </is>
      </c>
      <c r="AK3314" t="n">
        <v>9</v>
      </c>
      <c r="AL3314" t="inlineStr">
        <is>
          <t>Miss Glam Jambi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PINKFLASH</t>
        </is>
      </c>
      <c r="B3315" s="2">
        <f>"6927545992031"</f>
        <v/>
      </c>
      <c r="C3315" t="inlineStr">
        <is>
          <t>PINKFLASH Waterproof Easy Eyebrow Pencil E02-02 Natural Brown</t>
        </is>
      </c>
      <c r="D3315" t="inlineStr">
        <is>
          <t>Miss Glam Jambi</t>
        </is>
      </c>
      <c r="E3315" t="n">
        <v>3</v>
      </c>
      <c r="F3315" t="n">
        <v>0.1683</v>
      </c>
      <c r="G3315" t="n">
        <v>0.99</v>
      </c>
      <c r="H3315" t="n">
        <v>4</v>
      </c>
      <c r="I3315" t="n">
        <v>28</v>
      </c>
      <c r="J3315" t="n">
        <v>3</v>
      </c>
      <c r="K3315" t="n">
        <v>3</v>
      </c>
      <c r="L3315" t="n">
        <v>8208</v>
      </c>
      <c r="M3315" t="n">
        <v>12000</v>
      </c>
      <c r="N3315" t="n">
        <v>33</v>
      </c>
      <c r="O3315" t="n">
        <v>0.33</v>
      </c>
      <c r="P3315" t="n">
        <v>1</v>
      </c>
      <c r="Q3315" t="n">
        <v>0.08</v>
      </c>
      <c r="R3315" t="n">
        <v>1</v>
      </c>
      <c r="S3315" t="n">
        <v>2019.6</v>
      </c>
      <c r="T3315" t="n">
        <v>28</v>
      </c>
      <c r="U3315" t="n">
        <v>29</v>
      </c>
      <c r="V3315" t="n">
        <v>30</v>
      </c>
      <c r="W3315" t="n">
        <v>6</v>
      </c>
      <c r="X3315" t="n">
        <v>17.825311942959</v>
      </c>
      <c r="Y3315" t="n">
        <v>1</v>
      </c>
      <c r="Z3315" t="n">
        <v>0</v>
      </c>
      <c r="AA3315" t="n">
        <v>1</v>
      </c>
      <c r="AB3315" t="n">
        <v>0</v>
      </c>
      <c r="AC3315" t="n">
        <v>0</v>
      </c>
      <c r="AD3315" t="n">
        <v>8208</v>
      </c>
      <c r="AE3315" t="n">
        <v>0</v>
      </c>
      <c r="AF3315" t="n">
        <v>10528</v>
      </c>
      <c r="AG3315" t="n">
        <v>2148</v>
      </c>
      <c r="AH3315" t="inlineStr">
        <is>
          <t>PT. JAYA PALEMBANG SUKSES - PPN (JMB)</t>
        </is>
      </c>
      <c r="AI3315" t="n">
        <v>838</v>
      </c>
      <c r="AJ3315" t="inlineStr">
        <is>
          <t>PINKFLASH</t>
        </is>
      </c>
      <c r="AK3315" t="n">
        <v>9</v>
      </c>
      <c r="AL3315" t="inlineStr">
        <is>
          <t>Miss Glam Jambi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PINKFLASH</t>
        </is>
      </c>
      <c r="B3316" s="2">
        <f>"6941845808236"</f>
        <v/>
      </c>
      <c r="C3316" t="inlineStr">
        <is>
          <t>PINKFLASH Waterproof Easy Eyebrow Pencil EO 03 Chocolate Brown</t>
        </is>
      </c>
      <c r="D3316" t="inlineStr">
        <is>
          <t>Miss Glam Jambi</t>
        </is>
      </c>
      <c r="E3316" t="n">
        <v>0</v>
      </c>
      <c r="F3316" t="n">
        <v>0.3762</v>
      </c>
      <c r="G3316" t="n">
        <v>2.64</v>
      </c>
      <c r="H3316" t="n">
        <v>4</v>
      </c>
      <c r="I3316" t="n">
        <v>28</v>
      </c>
      <c r="J3316" t="n">
        <v>3</v>
      </c>
      <c r="K3316" t="n">
        <v>3</v>
      </c>
      <c r="L3316" t="n">
        <v>8208</v>
      </c>
      <c r="M3316" t="n">
        <v>10000</v>
      </c>
      <c r="N3316" t="n">
        <v>33</v>
      </c>
      <c r="O3316" t="n">
        <v>0.33</v>
      </c>
      <c r="P3316" t="n">
        <v>1</v>
      </c>
      <c r="Q3316" t="n">
        <v>0.07000000000000001</v>
      </c>
      <c r="R3316" t="n">
        <v>1</v>
      </c>
      <c r="S3316" t="n">
        <v>3762</v>
      </c>
      <c r="T3316" t="n">
        <v>73</v>
      </c>
      <c r="U3316" t="n">
        <v>75</v>
      </c>
      <c r="V3316" t="n">
        <v>30</v>
      </c>
      <c r="W3316" t="n">
        <v>12</v>
      </c>
      <c r="X3316" t="n">
        <v>0</v>
      </c>
      <c r="Y3316" t="n">
        <v>1</v>
      </c>
      <c r="Z3316" t="n">
        <v>9</v>
      </c>
      <c r="AA3316" t="n">
        <v>10</v>
      </c>
      <c r="AB3316" t="n">
        <v>0</v>
      </c>
      <c r="AC3316" t="n">
        <v>0</v>
      </c>
      <c r="AD3316" t="n">
        <v>82080</v>
      </c>
      <c r="AE3316" t="n">
        <v>0</v>
      </c>
      <c r="AF3316" t="n">
        <v>10528</v>
      </c>
      <c r="AG3316" t="n">
        <v>2148</v>
      </c>
      <c r="AH3316" t="inlineStr">
        <is>
          <t>PT. JAYA PALEMBANG SUKSES - PPN (JMB)</t>
        </is>
      </c>
      <c r="AI3316" t="n">
        <v>838</v>
      </c>
      <c r="AJ3316" t="inlineStr">
        <is>
          <t>PINKFLASH</t>
        </is>
      </c>
      <c r="AK3316" t="n">
        <v>9</v>
      </c>
      <c r="AL3316" t="inlineStr">
        <is>
          <t>Miss Glam Jambi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PINKFLASH</t>
        </is>
      </c>
      <c r="B3317" s="2">
        <f>"6941845808250"</f>
        <v/>
      </c>
      <c r="C3317" t="inlineStr">
        <is>
          <t>PINKFLASH Waterproof Easy Eyebrow Pencil PfE02 04 Dark Gray Brown</t>
        </is>
      </c>
      <c r="D3317" t="inlineStr">
        <is>
          <t>Miss Glam Jambi</t>
        </is>
      </c>
      <c r="E3317" t="n">
        <v>0</v>
      </c>
      <c r="F3317" t="n">
        <v>0.7425</v>
      </c>
      <c r="G3317" t="n">
        <v>2.31</v>
      </c>
      <c r="H3317" t="n">
        <v>4</v>
      </c>
      <c r="I3317" t="n">
        <v>28</v>
      </c>
      <c r="J3317" t="n">
        <v>3</v>
      </c>
      <c r="K3317" t="n">
        <v>3</v>
      </c>
      <c r="L3317" t="n">
        <v>8208</v>
      </c>
      <c r="M3317" t="n">
        <v>10000</v>
      </c>
      <c r="N3317" t="n">
        <v>33</v>
      </c>
      <c r="O3317" t="n">
        <v>0.33</v>
      </c>
      <c r="P3317" t="n">
        <v>1</v>
      </c>
      <c r="Q3317" t="n">
        <v>0.04</v>
      </c>
      <c r="R3317" t="n">
        <v>1</v>
      </c>
      <c r="S3317" t="n">
        <v>7425.000000000001</v>
      </c>
      <c r="T3317" t="n">
        <v>62</v>
      </c>
      <c r="U3317" t="n">
        <v>65</v>
      </c>
      <c r="V3317" t="n">
        <v>30</v>
      </c>
      <c r="W3317" t="n">
        <v>23</v>
      </c>
      <c r="X3317" t="n">
        <v>0</v>
      </c>
      <c r="Y3317" t="n">
        <v>1</v>
      </c>
      <c r="Z3317" t="n">
        <v>20</v>
      </c>
      <c r="AA3317" t="n">
        <v>20</v>
      </c>
      <c r="AB3317" t="n">
        <v>0</v>
      </c>
      <c r="AC3317" t="n">
        <v>0</v>
      </c>
      <c r="AD3317" t="n">
        <v>164160</v>
      </c>
      <c r="AE3317" t="n">
        <v>0</v>
      </c>
      <c r="AF3317" t="n">
        <v>10528</v>
      </c>
      <c r="AG3317" t="n">
        <v>2148</v>
      </c>
      <c r="AH3317" t="inlineStr">
        <is>
          <t>PT. JAYA PALEMBANG SUKSES - PPN (JMB)</t>
        </is>
      </c>
      <c r="AI3317" t="n">
        <v>838</v>
      </c>
      <c r="AJ3317" t="inlineStr">
        <is>
          <t>PINKFLASH</t>
        </is>
      </c>
      <c r="AK3317" t="n">
        <v>9</v>
      </c>
      <c r="AL3317" t="inlineStr">
        <is>
          <t>Miss Glam Jambi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PINKFLASH</t>
        </is>
      </c>
      <c r="B3318" s="2">
        <f>"6941845808670"</f>
        <v/>
      </c>
      <c r="C3318" t="inlineStr">
        <is>
          <t>PINKFLASH Waterproof Easy Eyeliner B01 Black</t>
        </is>
      </c>
      <c r="D3318" t="inlineStr">
        <is>
          <t>Miss Glam Jambi</t>
        </is>
      </c>
      <c r="E3318" t="n">
        <v>1</v>
      </c>
      <c r="F3318" t="n">
        <v>4.3527</v>
      </c>
      <c r="G3318" t="n">
        <v>8.91</v>
      </c>
      <c r="H3318" t="n">
        <v>4</v>
      </c>
      <c r="I3318" t="n">
        <v>28</v>
      </c>
      <c r="J3318" t="n">
        <v>3</v>
      </c>
      <c r="K3318" t="n">
        <v>9</v>
      </c>
      <c r="L3318" t="n">
        <v>13308</v>
      </c>
      <c r="M3318" t="n">
        <v>16000</v>
      </c>
      <c r="N3318" t="n">
        <v>33</v>
      </c>
      <c r="O3318" t="n">
        <v>0.33</v>
      </c>
      <c r="P3318" t="n">
        <v>1</v>
      </c>
      <c r="Q3318" t="n">
        <v>0.75</v>
      </c>
      <c r="R3318" t="n">
        <v>4</v>
      </c>
      <c r="S3318" t="n">
        <v>69643.20000000001</v>
      </c>
      <c r="T3318" t="n">
        <v>233</v>
      </c>
      <c r="U3318" t="n">
        <v>251</v>
      </c>
      <c r="V3318" t="n">
        <v>30</v>
      </c>
      <c r="W3318" t="n">
        <v>131</v>
      </c>
      <c r="X3318" t="n">
        <v>0.229742458703793</v>
      </c>
      <c r="Y3318" t="n">
        <v>1</v>
      </c>
      <c r="Z3318" t="n">
        <v>121</v>
      </c>
      <c r="AA3318" t="n">
        <v>120</v>
      </c>
      <c r="AB3318" t="n">
        <v>1</v>
      </c>
      <c r="AC3318" t="n">
        <v>3</v>
      </c>
      <c r="AD3318" t="n">
        <v>1596960</v>
      </c>
      <c r="AE3318" t="n">
        <v>39924</v>
      </c>
      <c r="AF3318" t="n">
        <v>10528</v>
      </c>
      <c r="AG3318" t="n">
        <v>2148</v>
      </c>
      <c r="AH3318" t="inlineStr">
        <is>
          <t>PT. JAYA PALEMBANG SUKSES - PPN (JMB)</t>
        </is>
      </c>
      <c r="AI3318" t="n">
        <v>838</v>
      </c>
      <c r="AJ3318" t="inlineStr">
        <is>
          <t>PINKFLASH</t>
        </is>
      </c>
      <c r="AK3318" t="n">
        <v>9</v>
      </c>
      <c r="AL3318" t="inlineStr">
        <is>
          <t>Miss Glam Jambi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PINKFLASH</t>
        </is>
      </c>
      <c r="B3319" s="2">
        <f>"6941845808687"</f>
        <v/>
      </c>
      <c r="C3319" t="inlineStr">
        <is>
          <t>PINKFLASH Waterproof Easy Eyeliner B02 Brown</t>
        </is>
      </c>
      <c r="D3319" t="inlineStr">
        <is>
          <t>Miss Glam Jambi</t>
        </is>
      </c>
      <c r="E3319" t="n">
        <v>1</v>
      </c>
      <c r="F3319" t="n">
        <v>0.5874</v>
      </c>
      <c r="G3319" t="n">
        <v>2.64</v>
      </c>
      <c r="H3319" t="n">
        <v>4</v>
      </c>
      <c r="I3319" t="n">
        <v>28</v>
      </c>
      <c r="J3319" t="n">
        <v>3</v>
      </c>
      <c r="K3319" t="n">
        <v>3</v>
      </c>
      <c r="L3319" t="n">
        <v>13308</v>
      </c>
      <c r="M3319" t="n">
        <v>16000</v>
      </c>
      <c r="N3319" t="n">
        <v>33</v>
      </c>
      <c r="O3319" t="n">
        <v>0.33</v>
      </c>
      <c r="P3319" t="n">
        <v>1</v>
      </c>
      <c r="Q3319" t="n">
        <v>0.32</v>
      </c>
      <c r="R3319" t="n">
        <v>2</v>
      </c>
      <c r="S3319" t="n">
        <v>9398.4</v>
      </c>
      <c r="T3319" t="n">
        <v>72</v>
      </c>
      <c r="U3319" t="n">
        <v>75</v>
      </c>
      <c r="V3319" t="n">
        <v>30</v>
      </c>
      <c r="W3319" t="n">
        <v>18</v>
      </c>
      <c r="X3319" t="n">
        <v>1.702417432754511</v>
      </c>
      <c r="Y3319" t="n">
        <v>1</v>
      </c>
      <c r="Z3319" t="n">
        <v>14</v>
      </c>
      <c r="AA3319" t="n">
        <v>15</v>
      </c>
      <c r="AB3319" t="n">
        <v>0</v>
      </c>
      <c r="AC3319" t="n">
        <v>0</v>
      </c>
      <c r="AD3319" t="n">
        <v>199620</v>
      </c>
      <c r="AE3319" t="n">
        <v>0</v>
      </c>
      <c r="AF3319" t="n">
        <v>10528</v>
      </c>
      <c r="AG3319" t="n">
        <v>2148</v>
      </c>
      <c r="AH3319" t="inlineStr">
        <is>
          <t>PT. JAYA PALEMBANG SUKSES - PPN (JMB)</t>
        </is>
      </c>
      <c r="AI3319" t="n">
        <v>838</v>
      </c>
      <c r="AJ3319" t="inlineStr">
        <is>
          <t>PINKFLASH</t>
        </is>
      </c>
      <c r="AK3319" t="n">
        <v>9</v>
      </c>
      <c r="AL3319" t="inlineStr">
        <is>
          <t>Miss Glam Jambi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PINKFLASH</t>
        </is>
      </c>
      <c r="B3320" s="2">
        <f>"6941845808748"</f>
        <v/>
      </c>
      <c r="C3320" t="inlineStr">
        <is>
          <t>PINKFLASH Waterproof Easy Eyeliner E01 B00 6gr</t>
        </is>
      </c>
      <c r="D3320" t="inlineStr">
        <is>
          <t>Miss Glam Jambi</t>
        </is>
      </c>
      <c r="E3320" t="n">
        <v>19</v>
      </c>
      <c r="F3320" t="n">
        <v>0.9999</v>
      </c>
      <c r="G3320" t="n">
        <v>4.29</v>
      </c>
      <c r="H3320" t="n">
        <v>4</v>
      </c>
      <c r="I3320" t="n">
        <v>28</v>
      </c>
      <c r="J3320" t="n">
        <v>3</v>
      </c>
      <c r="K3320" t="n">
        <v>3</v>
      </c>
      <c r="L3320" t="n">
        <v>13308</v>
      </c>
      <c r="M3320" t="n">
        <v>16000</v>
      </c>
      <c r="N3320" t="n">
        <v>33</v>
      </c>
      <c r="O3320" t="n">
        <v>0.33</v>
      </c>
      <c r="P3320" t="n">
        <v>1</v>
      </c>
      <c r="Q3320" t="n">
        <v>0.5600000000000001</v>
      </c>
      <c r="R3320" t="n">
        <v>3</v>
      </c>
      <c r="S3320" t="n">
        <v>15998.4</v>
      </c>
      <c r="T3320" t="n">
        <v>117</v>
      </c>
      <c r="U3320" t="n">
        <v>121</v>
      </c>
      <c r="V3320" t="n">
        <v>30</v>
      </c>
      <c r="W3320" t="n">
        <v>30</v>
      </c>
      <c r="X3320" t="n">
        <v>19.001900190019</v>
      </c>
      <c r="Y3320" t="n">
        <v>1</v>
      </c>
      <c r="Z3320" t="n">
        <v>8</v>
      </c>
      <c r="AA3320" t="n">
        <v>8</v>
      </c>
      <c r="AB3320" t="n">
        <v>0</v>
      </c>
      <c r="AC3320" t="n">
        <v>0</v>
      </c>
      <c r="AD3320" t="n">
        <v>106464</v>
      </c>
      <c r="AE3320" t="n">
        <v>0</v>
      </c>
      <c r="AF3320" t="n">
        <v>10528</v>
      </c>
      <c r="AG3320" t="n">
        <v>2148</v>
      </c>
      <c r="AH3320" t="inlineStr">
        <is>
          <t>PT. JAYA PALEMBANG SUKSES - PPN (JMB)</t>
        </is>
      </c>
      <c r="AI3320" t="n">
        <v>838</v>
      </c>
      <c r="AJ3320" t="inlineStr">
        <is>
          <t>PINKFLASH</t>
        </is>
      </c>
      <c r="AK3320" t="n">
        <v>9</v>
      </c>
      <c r="AL3320" t="inlineStr">
        <is>
          <t>Miss Glam Jambi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PIPIQIU</t>
        </is>
      </c>
      <c r="B3321" s="2">
        <f>"10300611507"</f>
        <v/>
      </c>
      <c r="C3321" t="inlineStr">
        <is>
          <t>PIPIQIU 10% Niacinamide + Tranexamic Acid Extra Bright Skin Barrier Moisture Gel KUROMI Series 30gr</t>
        </is>
      </c>
      <c r="D3321" t="inlineStr">
        <is>
          <t>Miss Glam Jambi</t>
        </is>
      </c>
      <c r="E3321" t="n">
        <v>5</v>
      </c>
      <c r="F3321" t="n">
        <v>0.1188</v>
      </c>
      <c r="G3321" t="n">
        <v>0.99</v>
      </c>
      <c r="H3321" t="n">
        <v>2</v>
      </c>
      <c r="I3321" t="n">
        <v>3</v>
      </c>
      <c r="J3321" t="n">
        <v>1</v>
      </c>
      <c r="K3321" t="n">
        <v>0</v>
      </c>
      <c r="L3321" t="n">
        <v>37800</v>
      </c>
      <c r="M3321" t="n">
        <v>45000</v>
      </c>
      <c r="N3321" t="n">
        <v>33</v>
      </c>
      <c r="O3321" t="n">
        <v>0.33</v>
      </c>
      <c r="P3321" t="n">
        <v>1</v>
      </c>
      <c r="Q3321" t="n">
        <v>0.03</v>
      </c>
      <c r="R3321" t="n">
        <v>1</v>
      </c>
      <c r="S3321" t="n">
        <v>5346</v>
      </c>
      <c r="T3321" t="n">
        <v>3</v>
      </c>
      <c r="U3321" t="n">
        <v>4</v>
      </c>
      <c r="V3321" t="n">
        <v>30</v>
      </c>
      <c r="W3321" t="n">
        <v>4</v>
      </c>
      <c r="X3321" t="n">
        <v>42.08754208754209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1758</v>
      </c>
      <c r="AG3321" t="n">
        <v>2624</v>
      </c>
      <c r="AH3321" t="inlineStr">
        <is>
          <t>CV. USAHA MANDIRI - PPN (JMB)</t>
        </is>
      </c>
      <c r="AI3321" t="n">
        <v>545</v>
      </c>
      <c r="AJ3321" t="inlineStr">
        <is>
          <t>PIPIQIU</t>
        </is>
      </c>
      <c r="AK3321" t="n">
        <v>9</v>
      </c>
      <c r="AL3321" t="inlineStr">
        <is>
          <t>Miss Glam Jambi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PIPIQIU</t>
        </is>
      </c>
      <c r="B3322" s="2">
        <f>"10300513616"</f>
        <v/>
      </c>
      <c r="C3322" t="inlineStr">
        <is>
          <t>PIPIQIU 7% Panthenol + 7% Cica-Mugwort Skin Barrier Soothing Moisture Gel Cinnamoroll 30gr (PMCN 30g</t>
        </is>
      </c>
      <c r="D3322" t="inlineStr">
        <is>
          <t>Miss Glam Jambi</t>
        </is>
      </c>
      <c r="E3322" t="n">
        <v>9</v>
      </c>
      <c r="F3322" t="n">
        <v>0.1</v>
      </c>
      <c r="G3322" t="n">
        <v>2</v>
      </c>
      <c r="H3322" t="n">
        <v>2</v>
      </c>
      <c r="I3322" t="n">
        <v>3</v>
      </c>
      <c r="J3322" t="n">
        <v>1</v>
      </c>
      <c r="K3322" t="n">
        <v>0</v>
      </c>
      <c r="L3322" t="n">
        <v>34200</v>
      </c>
      <c r="M3322" t="n">
        <v>40500</v>
      </c>
      <c r="N3322" t="n">
        <v>33</v>
      </c>
      <c r="O3322" t="n">
        <v>0.33</v>
      </c>
      <c r="P3322" t="n">
        <v>0</v>
      </c>
      <c r="Q3322" t="n">
        <v>0.1</v>
      </c>
      <c r="R3322" t="n">
        <v>2</v>
      </c>
      <c r="S3322" t="n">
        <v>4050</v>
      </c>
      <c r="T3322" t="n">
        <v>6</v>
      </c>
      <c r="U3322" t="n">
        <v>7</v>
      </c>
      <c r="V3322" t="n">
        <v>30</v>
      </c>
      <c r="W3322" t="n">
        <v>3</v>
      </c>
      <c r="X3322" t="n">
        <v>90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1758</v>
      </c>
      <c r="AG3322" t="n">
        <v>2624</v>
      </c>
      <c r="AH3322" t="inlineStr">
        <is>
          <t>CV. USAHA MANDIRI - PPN (JMB)</t>
        </is>
      </c>
      <c r="AI3322" t="n">
        <v>545</v>
      </c>
      <c r="AJ3322" t="inlineStr">
        <is>
          <t>PIPIQIU</t>
        </is>
      </c>
      <c r="AK3322" t="n">
        <v>9</v>
      </c>
      <c r="AL3322" t="inlineStr">
        <is>
          <t>Miss Glam Jambi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PIPIQIU</t>
        </is>
      </c>
      <c r="B3323" s="2">
        <f>"10400514860"</f>
        <v/>
      </c>
      <c r="C3323" t="inlineStr">
        <is>
          <t>PIPIQIU Ultra Light Sunscreen Moisturizer Bright &amp; Protect SPF 50 PA++++ KUROMI 30ml</t>
        </is>
      </c>
      <c r="D3323" t="inlineStr">
        <is>
          <t>Miss Glam Jambi</t>
        </is>
      </c>
      <c r="E3323" t="n">
        <v>4</v>
      </c>
      <c r="F3323" t="n">
        <v>0.1122</v>
      </c>
      <c r="G3323" t="n">
        <v>0.66</v>
      </c>
      <c r="H3323" t="n">
        <v>2</v>
      </c>
      <c r="I3323" t="n">
        <v>3</v>
      </c>
      <c r="J3323" t="n">
        <v>1</v>
      </c>
      <c r="K3323" t="n">
        <v>0</v>
      </c>
      <c r="L3323" t="n">
        <v>37800</v>
      </c>
      <c r="M3323" t="n">
        <v>45000</v>
      </c>
      <c r="N3323" t="n">
        <v>33</v>
      </c>
      <c r="O3323" t="n">
        <v>0.33</v>
      </c>
      <c r="P3323" t="n">
        <v>1</v>
      </c>
      <c r="Q3323" t="n">
        <v>0.08</v>
      </c>
      <c r="R3323" t="n">
        <v>1</v>
      </c>
      <c r="S3323" t="n">
        <v>5049</v>
      </c>
      <c r="T3323" t="n">
        <v>2</v>
      </c>
      <c r="U3323" t="n">
        <v>3</v>
      </c>
      <c r="V3323" t="n">
        <v>30</v>
      </c>
      <c r="W3323" t="n">
        <v>4</v>
      </c>
      <c r="X3323" t="n">
        <v>35.650623885918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1758</v>
      </c>
      <c r="AG3323" t="n">
        <v>2624</v>
      </c>
      <c r="AH3323" t="inlineStr">
        <is>
          <t>CV. USAHA MANDIRI - PPN (JMB)</t>
        </is>
      </c>
      <c r="AI3323" t="n">
        <v>545</v>
      </c>
      <c r="AJ3323" t="inlineStr">
        <is>
          <t>PIPIQIU</t>
        </is>
      </c>
      <c r="AK3323" t="n">
        <v>9</v>
      </c>
      <c r="AL3323" t="inlineStr">
        <is>
          <t>Miss Glam Jambi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PIXY</t>
        </is>
      </c>
      <c r="B3324" s="2">
        <f>"8992222280662"</f>
        <v/>
      </c>
      <c r="C3324" t="inlineStr">
        <is>
          <t>PIXY  Eye Brow Brown</t>
        </is>
      </c>
      <c r="D3324" t="inlineStr">
        <is>
          <t>Miss Glam Jambi</t>
        </is>
      </c>
      <c r="E3324" t="n">
        <v>2</v>
      </c>
      <c r="F3324" t="n">
        <v>0.0264</v>
      </c>
      <c r="G3324" t="n">
        <v>0.33</v>
      </c>
      <c r="H3324" t="n">
        <v>2</v>
      </c>
      <c r="I3324" t="n">
        <v>6</v>
      </c>
      <c r="J3324" t="n">
        <v>3</v>
      </c>
      <c r="K3324" t="n">
        <v>0</v>
      </c>
      <c r="L3324" t="n">
        <v>29601</v>
      </c>
      <c r="M3324" t="n">
        <v>33000</v>
      </c>
      <c r="N3324" t="n">
        <v>33</v>
      </c>
      <c r="O3324" t="n">
        <v>0.33</v>
      </c>
      <c r="P3324" t="n">
        <v>1</v>
      </c>
      <c r="Q3324" t="n">
        <v>0.05</v>
      </c>
      <c r="R3324" t="n">
        <v>1</v>
      </c>
      <c r="S3324" t="n">
        <v>871.2000000000002</v>
      </c>
      <c r="T3324" t="n">
        <v>2</v>
      </c>
      <c r="U3324" t="n">
        <v>3</v>
      </c>
      <c r="V3324" t="n">
        <v>30</v>
      </c>
      <c r="W3324" t="n">
        <v>1</v>
      </c>
      <c r="X3324" t="n">
        <v>75.75757575757575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1397</v>
      </c>
      <c r="AG3324" t="n">
        <v>2136</v>
      </c>
      <c r="AH3324" t="inlineStr">
        <is>
          <t>CV. SAMUDRA JAYA ABADI - PPN (JMB)</t>
        </is>
      </c>
      <c r="AI3324" t="n">
        <v>104</v>
      </c>
      <c r="AJ3324" t="inlineStr">
        <is>
          <t>PIXY</t>
        </is>
      </c>
      <c r="AK3324" t="n">
        <v>9</v>
      </c>
      <c r="AL3324" t="inlineStr">
        <is>
          <t>Miss Glam Jambi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PIXY</t>
        </is>
      </c>
      <c r="B3325" s="2">
        <f>"8992222280631"</f>
        <v/>
      </c>
      <c r="C3325" t="inlineStr">
        <is>
          <t>PIXY  Waterproof Mascara 7ml</t>
        </is>
      </c>
      <c r="D3325" t="inlineStr">
        <is>
          <t>Miss Glam Jambi</t>
        </is>
      </c>
      <c r="E3325" t="n">
        <v>7</v>
      </c>
      <c r="F3325" t="n">
        <v>0.06270000000000001</v>
      </c>
      <c r="G3325" t="n">
        <v>0.33</v>
      </c>
      <c r="H3325" t="n">
        <v>2</v>
      </c>
      <c r="I3325" t="n">
        <v>6</v>
      </c>
      <c r="J3325" t="n">
        <v>3</v>
      </c>
      <c r="K3325" t="n">
        <v>0</v>
      </c>
      <c r="L3325" t="n">
        <v>36000</v>
      </c>
      <c r="M3325" t="n">
        <v>43000</v>
      </c>
      <c r="N3325" t="n">
        <v>33</v>
      </c>
      <c r="O3325" t="n">
        <v>0.33</v>
      </c>
      <c r="P3325" t="n">
        <v>1</v>
      </c>
      <c r="Q3325" t="n">
        <v>0.07000000000000001</v>
      </c>
      <c r="R3325" t="n">
        <v>1</v>
      </c>
      <c r="S3325" t="n">
        <v>2696.1</v>
      </c>
      <c r="T3325" t="n">
        <v>2</v>
      </c>
      <c r="U3325" t="n">
        <v>3</v>
      </c>
      <c r="V3325" t="n">
        <v>30</v>
      </c>
      <c r="W3325" t="n">
        <v>2</v>
      </c>
      <c r="X3325" t="n">
        <v>111.6427432216906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1397</v>
      </c>
      <c r="AG3325" t="n">
        <v>2136</v>
      </c>
      <c r="AH3325" t="inlineStr">
        <is>
          <t>CV. SAMUDRA JAYA ABADI - PPN (JMB)</t>
        </is>
      </c>
      <c r="AI3325" t="n">
        <v>104</v>
      </c>
      <c r="AJ3325" t="inlineStr">
        <is>
          <t>PIXY</t>
        </is>
      </c>
      <c r="AK3325" t="n">
        <v>9</v>
      </c>
      <c r="AL3325" t="inlineStr">
        <is>
          <t>Miss Glam Jambi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PIXY</t>
        </is>
      </c>
      <c r="B3326" s="2">
        <f>"8992222283137"</f>
        <v/>
      </c>
      <c r="C3326" t="inlineStr">
        <is>
          <t>PIXY 3Shades Eye Shadow 11 Chic Terracotta</t>
        </is>
      </c>
      <c r="D3326" t="inlineStr">
        <is>
          <t>Miss Glam Jambi</t>
        </is>
      </c>
      <c r="E3326" t="n">
        <v>4</v>
      </c>
      <c r="F3326" t="n">
        <v>0.0561</v>
      </c>
      <c r="G3326" t="n">
        <v>0.66</v>
      </c>
      <c r="H3326" t="n">
        <v>2</v>
      </c>
      <c r="I3326" t="n">
        <v>6</v>
      </c>
      <c r="J3326" t="n">
        <v>3</v>
      </c>
      <c r="K3326" t="n">
        <v>0</v>
      </c>
      <c r="L3326" t="n">
        <v>43600</v>
      </c>
      <c r="M3326" t="n">
        <v>52000</v>
      </c>
      <c r="N3326" t="n">
        <v>33</v>
      </c>
      <c r="O3326" t="n">
        <v>0.33</v>
      </c>
      <c r="P3326" t="n">
        <v>1</v>
      </c>
      <c r="Q3326" t="n">
        <v>0.14</v>
      </c>
      <c r="R3326" t="n">
        <v>1</v>
      </c>
      <c r="S3326" t="n">
        <v>2917.2</v>
      </c>
      <c r="T3326" t="n">
        <v>4</v>
      </c>
      <c r="U3326" t="n">
        <v>5</v>
      </c>
      <c r="V3326" t="n">
        <v>30</v>
      </c>
      <c r="W3326" t="n">
        <v>2</v>
      </c>
      <c r="X3326" t="n">
        <v>71.301247771836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1397</v>
      </c>
      <c r="AG3326" t="n">
        <v>2136</v>
      </c>
      <c r="AH3326" t="inlineStr">
        <is>
          <t>CV. SAMUDRA JAYA ABADI - PPN (JMB)</t>
        </is>
      </c>
      <c r="AI3326" t="n">
        <v>104</v>
      </c>
      <c r="AJ3326" t="inlineStr">
        <is>
          <t>PIXY</t>
        </is>
      </c>
      <c r="AK3326" t="n">
        <v>9</v>
      </c>
      <c r="AL3326" t="inlineStr">
        <is>
          <t>Miss Glam Jambi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PIXY</t>
        </is>
      </c>
      <c r="B3327" s="2">
        <f>"20100639616"</f>
        <v/>
      </c>
      <c r="C3327" t="inlineStr">
        <is>
          <t>PIXY Airy Blur-Fit Loose Powder N10 Fair Beige 10gr</t>
        </is>
      </c>
      <c r="D3327" t="inlineStr">
        <is>
          <t>Miss Glam Jambi</t>
        </is>
      </c>
      <c r="E3327" t="n">
        <v>3</v>
      </c>
      <c r="F3327" t="n">
        <v>0.0396</v>
      </c>
      <c r="G3327" t="n">
        <v>0.66</v>
      </c>
      <c r="H3327" t="n">
        <v>2</v>
      </c>
      <c r="I3327" t="n">
        <v>6</v>
      </c>
      <c r="J3327" t="n">
        <v>1</v>
      </c>
      <c r="K3327" t="n">
        <v>0</v>
      </c>
      <c r="L3327" t="n">
        <v>32001</v>
      </c>
      <c r="M3327" t="n">
        <v>38000</v>
      </c>
      <c r="N3327" t="n">
        <v>33</v>
      </c>
      <c r="O3327" t="n">
        <v>0.33</v>
      </c>
      <c r="P3327" t="n">
        <v>1</v>
      </c>
      <c r="Q3327" t="n">
        <v>0.05</v>
      </c>
      <c r="R3327" t="n">
        <v>1</v>
      </c>
      <c r="S3327" t="n">
        <v>1504.8</v>
      </c>
      <c r="T3327" t="n">
        <v>4</v>
      </c>
      <c r="U3327" t="n">
        <v>5</v>
      </c>
      <c r="V3327" t="n">
        <v>30</v>
      </c>
      <c r="W3327" t="n">
        <v>2</v>
      </c>
      <c r="X3327" t="n">
        <v>75.75757575757575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1397</v>
      </c>
      <c r="AG3327" t="n">
        <v>2136</v>
      </c>
      <c r="AH3327" t="inlineStr">
        <is>
          <t>CV. SAMUDRA JAYA ABADI - PPN (JMB)</t>
        </is>
      </c>
      <c r="AI3327" t="n">
        <v>104</v>
      </c>
      <c r="AJ3327" t="inlineStr">
        <is>
          <t>PIXY</t>
        </is>
      </c>
      <c r="AK3327" t="n">
        <v>9</v>
      </c>
      <c r="AL3327" t="inlineStr">
        <is>
          <t>Miss Glam Jambi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PIXY</t>
        </is>
      </c>
      <c r="B3328" s="2">
        <f>"20100639745"</f>
        <v/>
      </c>
      <c r="C3328" t="inlineStr">
        <is>
          <t>PIXY Airy Blur-Fit Loose Powder N21 Light Vanilla 10gr</t>
        </is>
      </c>
      <c r="D3328" t="inlineStr">
        <is>
          <t>Miss Glam Jambi</t>
        </is>
      </c>
      <c r="E3328" t="n">
        <v>7</v>
      </c>
      <c r="F3328" t="n">
        <v>0.0561</v>
      </c>
      <c r="G3328" t="n">
        <v>0.33</v>
      </c>
      <c r="H3328" t="n">
        <v>2</v>
      </c>
      <c r="I3328" t="n">
        <v>6</v>
      </c>
      <c r="J3328" t="n">
        <v>1</v>
      </c>
      <c r="K3328" t="n">
        <v>0</v>
      </c>
      <c r="L3328" t="n">
        <v>32001</v>
      </c>
      <c r="M3328" t="n">
        <v>38000</v>
      </c>
      <c r="N3328" t="n">
        <v>33</v>
      </c>
      <c r="O3328" t="n">
        <v>0.33</v>
      </c>
      <c r="P3328" t="n">
        <v>1</v>
      </c>
      <c r="Q3328" t="n">
        <v>0.08</v>
      </c>
      <c r="R3328" t="n">
        <v>2</v>
      </c>
      <c r="S3328" t="n">
        <v>2131.8</v>
      </c>
      <c r="T3328" t="n">
        <v>2</v>
      </c>
      <c r="U3328" t="n">
        <v>3</v>
      </c>
      <c r="V3328" t="n">
        <v>30</v>
      </c>
      <c r="W3328" t="n">
        <v>2</v>
      </c>
      <c r="X3328" t="n">
        <v>124.777183600713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1397</v>
      </c>
      <c r="AG3328" t="n">
        <v>2136</v>
      </c>
      <c r="AH3328" t="inlineStr">
        <is>
          <t>CV. SAMUDRA JAYA ABADI - PPN (JMB)</t>
        </is>
      </c>
      <c r="AI3328" t="n">
        <v>104</v>
      </c>
      <c r="AJ3328" t="inlineStr">
        <is>
          <t>PIXY</t>
        </is>
      </c>
      <c r="AK3328" t="n">
        <v>9</v>
      </c>
      <c r="AL3328" t="inlineStr">
        <is>
          <t>Miss Glam Jambi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PIXY</t>
        </is>
      </c>
      <c r="B3329" s="2">
        <f>"20100639830"</f>
        <v/>
      </c>
      <c r="C3329" t="inlineStr">
        <is>
          <t>PIXY Airy Blur-Fit Loose Powder W34 Neutral Warm 10gr</t>
        </is>
      </c>
      <c r="D3329" t="inlineStr">
        <is>
          <t>Miss Glam Jambi</t>
        </is>
      </c>
      <c r="E3329" t="n">
        <v>3</v>
      </c>
      <c r="F3329" t="n">
        <v>0.066</v>
      </c>
      <c r="G3329" t="n">
        <v>0.66</v>
      </c>
      <c r="H3329" t="n">
        <v>2</v>
      </c>
      <c r="I3329" t="n">
        <v>6</v>
      </c>
      <c r="J3329" t="n">
        <v>1</v>
      </c>
      <c r="K3329" t="n">
        <v>0</v>
      </c>
      <c r="L3329" t="n">
        <v>32000</v>
      </c>
      <c r="M3329" t="n">
        <v>38000</v>
      </c>
      <c r="N3329" t="n">
        <v>33</v>
      </c>
      <c r="O3329" t="n">
        <v>0.33</v>
      </c>
      <c r="P3329" t="n">
        <v>1</v>
      </c>
      <c r="Q3329" t="n">
        <v>0.05</v>
      </c>
      <c r="R3329" t="n">
        <v>1</v>
      </c>
      <c r="S3329" t="n">
        <v>2508</v>
      </c>
      <c r="T3329" t="n">
        <v>4</v>
      </c>
      <c r="U3329" t="n">
        <v>5</v>
      </c>
      <c r="V3329" t="n">
        <v>30</v>
      </c>
      <c r="W3329" t="n">
        <v>2</v>
      </c>
      <c r="X3329" t="n">
        <v>45.45454545454545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1397</v>
      </c>
      <c r="AG3329" t="n">
        <v>2136</v>
      </c>
      <c r="AH3329" t="inlineStr">
        <is>
          <t>CV. SAMUDRA JAYA ABADI - PPN (JMB)</t>
        </is>
      </c>
      <c r="AI3329" t="n">
        <v>104</v>
      </c>
      <c r="AJ3329" t="inlineStr">
        <is>
          <t>PIXY</t>
        </is>
      </c>
      <c r="AK3329" t="n">
        <v>9</v>
      </c>
      <c r="AL3329" t="inlineStr">
        <is>
          <t>Miss Glam Jambi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PIXY</t>
        </is>
      </c>
      <c r="B3330" s="2">
        <f>"20100706847"</f>
        <v/>
      </c>
      <c r="C3330" t="inlineStr">
        <is>
          <t>PIXY Airy Hydra Blur Primer 20ml</t>
        </is>
      </c>
      <c r="D3330" t="inlineStr">
        <is>
          <t>Miss Glam Jambi</t>
        </is>
      </c>
      <c r="E3330" t="n">
        <v>12</v>
      </c>
      <c r="F3330" t="n">
        <v>0.066</v>
      </c>
      <c r="G3330" t="n">
        <v>0.99</v>
      </c>
      <c r="H3330" t="n">
        <v>2</v>
      </c>
      <c r="I3330" t="n">
        <v>6</v>
      </c>
      <c r="J3330" t="n">
        <v>1</v>
      </c>
      <c r="K3330" t="n">
        <v>0</v>
      </c>
      <c r="L3330" t="n">
        <v>36000</v>
      </c>
      <c r="M3330" t="n">
        <v>42500</v>
      </c>
      <c r="N3330" t="n">
        <v>33</v>
      </c>
      <c r="O3330" t="n">
        <v>0.33</v>
      </c>
      <c r="P3330" t="n">
        <v>1</v>
      </c>
      <c r="Q3330" t="n">
        <v>0.1</v>
      </c>
      <c r="R3330" t="n">
        <v>1</v>
      </c>
      <c r="S3330" t="n">
        <v>2805</v>
      </c>
      <c r="T3330" t="n">
        <v>6</v>
      </c>
      <c r="U3330" t="n">
        <v>7</v>
      </c>
      <c r="V3330" t="n">
        <v>30</v>
      </c>
      <c r="W3330" t="n">
        <v>2</v>
      </c>
      <c r="X3330" t="n">
        <v>181.8181818181818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1397</v>
      </c>
      <c r="AG3330" t="n">
        <v>2136</v>
      </c>
      <c r="AH3330" t="inlineStr">
        <is>
          <t>CV. SAMUDRA JAYA ABADI - PPN (JMB)</t>
        </is>
      </c>
      <c r="AI3330" t="n">
        <v>104</v>
      </c>
      <c r="AJ3330" t="inlineStr">
        <is>
          <t>PIXY</t>
        </is>
      </c>
      <c r="AK3330" t="n">
        <v>9</v>
      </c>
      <c r="AL3330" t="inlineStr">
        <is>
          <t>Miss Glam Jambi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PIXY</t>
        </is>
      </c>
      <c r="B3331" s="2">
        <f>"20100464817"</f>
        <v/>
      </c>
      <c r="C3331" t="inlineStr">
        <is>
          <t>PIXY Airy Serum Cushion Glow C12 Fair Ivory 15g</t>
        </is>
      </c>
      <c r="D3331" t="inlineStr">
        <is>
          <t>Miss Glam Jambi</t>
        </is>
      </c>
      <c r="E3331" t="n">
        <v>9</v>
      </c>
      <c r="F3331" t="n">
        <v>0.0561</v>
      </c>
      <c r="G3331" t="n">
        <v>0.66</v>
      </c>
      <c r="H3331" t="n">
        <v>2</v>
      </c>
      <c r="I3331" t="n">
        <v>6</v>
      </c>
      <c r="J3331" t="n">
        <v>3</v>
      </c>
      <c r="K3331" t="n">
        <v>0</v>
      </c>
      <c r="L3331" t="n">
        <v>63200</v>
      </c>
      <c r="M3331" t="n">
        <v>74500</v>
      </c>
      <c r="N3331" t="n">
        <v>33</v>
      </c>
      <c r="O3331" t="n">
        <v>0.33</v>
      </c>
      <c r="P3331" t="n">
        <v>1</v>
      </c>
      <c r="Q3331" t="n">
        <v>0.17</v>
      </c>
      <c r="R3331" t="n">
        <v>2</v>
      </c>
      <c r="S3331" t="n">
        <v>4179.450000000001</v>
      </c>
      <c r="T3331" t="n">
        <v>4</v>
      </c>
      <c r="U3331" t="n">
        <v>5</v>
      </c>
      <c r="V3331" t="n">
        <v>30</v>
      </c>
      <c r="W3331" t="n">
        <v>2</v>
      </c>
      <c r="X3331" t="n">
        <v>160.427807486631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1397</v>
      </c>
      <c r="AG3331" t="n">
        <v>2136</v>
      </c>
      <c r="AH3331" t="inlineStr">
        <is>
          <t>CV. SAMUDRA JAYA ABADI - PPN (JMB)</t>
        </is>
      </c>
      <c r="AI3331" t="n">
        <v>104</v>
      </c>
      <c r="AJ3331" t="inlineStr">
        <is>
          <t>PIXY</t>
        </is>
      </c>
      <c r="AK3331" t="n">
        <v>9</v>
      </c>
      <c r="AL3331" t="inlineStr">
        <is>
          <t>Miss Glam Jambi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PIXY</t>
        </is>
      </c>
      <c r="B3332" s="2">
        <f>"20100464741"</f>
        <v/>
      </c>
      <c r="C3332" t="inlineStr">
        <is>
          <t>PIXY Airy Serum Cushion Glow N23 Light Beige 15g</t>
        </is>
      </c>
      <c r="D3332" t="inlineStr">
        <is>
          <t>Miss Glam Jambi</t>
        </is>
      </c>
      <c r="E3332" t="n">
        <v>4</v>
      </c>
      <c r="F3332" t="n">
        <v>0.0825</v>
      </c>
      <c r="G3332" t="n">
        <v>0.66</v>
      </c>
      <c r="H3332" t="n">
        <v>2</v>
      </c>
      <c r="I3332" t="n">
        <v>6</v>
      </c>
      <c r="J3332" t="n">
        <v>3</v>
      </c>
      <c r="K3332" t="n">
        <v>0</v>
      </c>
      <c r="L3332" t="n">
        <v>63200</v>
      </c>
      <c r="M3332" t="n">
        <v>74500</v>
      </c>
      <c r="N3332" t="n">
        <v>33</v>
      </c>
      <c r="O3332" t="n">
        <v>0.33</v>
      </c>
      <c r="P3332" t="n">
        <v>1</v>
      </c>
      <c r="Q3332" t="n">
        <v>0.1</v>
      </c>
      <c r="R3332" t="n">
        <v>1</v>
      </c>
      <c r="S3332" t="n">
        <v>6146.25</v>
      </c>
      <c r="T3332" t="n">
        <v>4</v>
      </c>
      <c r="U3332" t="n">
        <v>5</v>
      </c>
      <c r="V3332" t="n">
        <v>30</v>
      </c>
      <c r="W3332" t="n">
        <v>3</v>
      </c>
      <c r="X3332" t="n">
        <v>48.48484848484848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1397</v>
      </c>
      <c r="AG3332" t="n">
        <v>2136</v>
      </c>
      <c r="AH3332" t="inlineStr">
        <is>
          <t>CV. SAMUDRA JAYA ABADI - PPN (JMB)</t>
        </is>
      </c>
      <c r="AI3332" t="n">
        <v>104</v>
      </c>
      <c r="AJ3332" t="inlineStr">
        <is>
          <t>PIXY</t>
        </is>
      </c>
      <c r="AK3332" t="n">
        <v>9</v>
      </c>
      <c r="AL3332" t="inlineStr">
        <is>
          <t>Miss Glam Jambi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PIXY</t>
        </is>
      </c>
      <c r="B3333" s="2">
        <f>"20100464618"</f>
        <v/>
      </c>
      <c r="C3333" t="inlineStr">
        <is>
          <t>PIXY Airy Serum Cushion Glow N30 Neutral Beige 15g</t>
        </is>
      </c>
      <c r="D3333" t="inlineStr">
        <is>
          <t>Miss Glam Jambi</t>
        </is>
      </c>
      <c r="E3333" t="n">
        <v>11</v>
      </c>
      <c r="F3333" t="n">
        <v>0.033</v>
      </c>
      <c r="G3333" t="n">
        <v>0.33</v>
      </c>
      <c r="H3333" t="n">
        <v>2</v>
      </c>
      <c r="I3333" t="n">
        <v>6</v>
      </c>
      <c r="J3333" t="n">
        <v>3</v>
      </c>
      <c r="K3333" t="n">
        <v>0</v>
      </c>
      <c r="L3333" t="n">
        <v>63200</v>
      </c>
      <c r="M3333" t="n">
        <v>74500</v>
      </c>
      <c r="N3333" t="n">
        <v>33</v>
      </c>
      <c r="O3333" t="n">
        <v>0.33</v>
      </c>
      <c r="P3333" t="n">
        <v>1</v>
      </c>
      <c r="Q3333" t="n">
        <v>0.07000000000000001</v>
      </c>
      <c r="R3333" t="n">
        <v>1</v>
      </c>
      <c r="S3333" t="n">
        <v>2458.5</v>
      </c>
      <c r="T3333" t="n">
        <v>2</v>
      </c>
      <c r="U3333" t="n">
        <v>3</v>
      </c>
      <c r="V3333" t="n">
        <v>30</v>
      </c>
      <c r="W3333" t="n">
        <v>1</v>
      </c>
      <c r="X3333" t="n">
        <v>333.3333333333333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1397</v>
      </c>
      <c r="AG3333" t="n">
        <v>2136</v>
      </c>
      <c r="AH3333" t="inlineStr">
        <is>
          <t>CV. SAMUDRA JAYA ABADI - PPN (JMB)</t>
        </is>
      </c>
      <c r="AI3333" t="n">
        <v>104</v>
      </c>
      <c r="AJ3333" t="inlineStr">
        <is>
          <t>PIXY</t>
        </is>
      </c>
      <c r="AK3333" t="n">
        <v>9</v>
      </c>
      <c r="AL3333" t="inlineStr">
        <is>
          <t>Miss Glam Jambi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PIXY</t>
        </is>
      </c>
      <c r="B3334" s="2">
        <f>"20100464552"</f>
        <v/>
      </c>
      <c r="C3334" t="inlineStr">
        <is>
          <t>PIXY Airy Serum Cushion Glow N43 Medium Beige 15g</t>
        </is>
      </c>
      <c r="D3334" t="inlineStr">
        <is>
          <t>Miss Glam Jambi</t>
        </is>
      </c>
      <c r="E3334" t="n">
        <v>20</v>
      </c>
      <c r="F3334" t="n">
        <v>0.006600000000000001</v>
      </c>
      <c r="G3334" t="n">
        <v>0.33</v>
      </c>
      <c r="H3334" t="n">
        <v>2</v>
      </c>
      <c r="I3334" t="n">
        <v>6</v>
      </c>
      <c r="J3334" t="n">
        <v>3</v>
      </c>
      <c r="K3334" t="n">
        <v>0</v>
      </c>
      <c r="L3334" t="n">
        <v>63200</v>
      </c>
      <c r="M3334" t="n">
        <v>74500</v>
      </c>
      <c r="N3334" t="n">
        <v>33</v>
      </c>
      <c r="O3334" t="n">
        <v>0.33</v>
      </c>
      <c r="P3334" t="n">
        <v>1</v>
      </c>
      <c r="Q3334" t="n">
        <v>0.02</v>
      </c>
      <c r="R3334" t="n">
        <v>1</v>
      </c>
      <c r="S3334" t="n">
        <v>491.7</v>
      </c>
      <c r="T3334" t="n">
        <v>2</v>
      </c>
      <c r="U3334" t="n">
        <v>3</v>
      </c>
      <c r="V3334" t="n">
        <v>30</v>
      </c>
      <c r="W3334" t="n">
        <v>1</v>
      </c>
      <c r="X3334" t="n">
        <v>3030.30303030303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1397</v>
      </c>
      <c r="AG3334" t="n">
        <v>2136</v>
      </c>
      <c r="AH3334" t="inlineStr">
        <is>
          <t>CV. SAMUDRA JAYA ABADI - PPN (JMB)</t>
        </is>
      </c>
      <c r="AI3334" t="n">
        <v>104</v>
      </c>
      <c r="AJ3334" t="inlineStr">
        <is>
          <t>PIXY</t>
        </is>
      </c>
      <c r="AK3334" t="n">
        <v>9</v>
      </c>
      <c r="AL3334" t="inlineStr">
        <is>
          <t>Miss Glam Jambi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PIXY</t>
        </is>
      </c>
      <c r="B3335" s="2">
        <f>"20100464411"</f>
        <v/>
      </c>
      <c r="C3335" t="inlineStr">
        <is>
          <t>PIXY Airy Serum Cushion Glow W44 Medium  Warm 15gr</t>
        </is>
      </c>
      <c r="D3335" t="inlineStr">
        <is>
          <t>Miss Glam Jambi</t>
        </is>
      </c>
      <c r="E3335" t="n">
        <v>8</v>
      </c>
      <c r="F3335" t="n">
        <v>0.006600000000000001</v>
      </c>
      <c r="G3335" t="n">
        <v>0.33</v>
      </c>
      <c r="H3335" t="n">
        <v>2</v>
      </c>
      <c r="I3335" t="n">
        <v>6</v>
      </c>
      <c r="J3335" t="n">
        <v>3</v>
      </c>
      <c r="K3335" t="n">
        <v>0</v>
      </c>
      <c r="L3335" t="n">
        <v>63200</v>
      </c>
      <c r="M3335" t="n">
        <v>74500</v>
      </c>
      <c r="N3335" t="n">
        <v>33</v>
      </c>
      <c r="O3335" t="n">
        <v>0.33</v>
      </c>
      <c r="P3335" t="n">
        <v>1</v>
      </c>
      <c r="Q3335" t="n">
        <v>0.07000000000000001</v>
      </c>
      <c r="R3335" t="n">
        <v>1</v>
      </c>
      <c r="S3335" t="n">
        <v>491.7</v>
      </c>
      <c r="T3335" t="n">
        <v>2</v>
      </c>
      <c r="U3335" t="n">
        <v>3</v>
      </c>
      <c r="V3335" t="n">
        <v>30</v>
      </c>
      <c r="W3335" t="n">
        <v>1</v>
      </c>
      <c r="X3335" t="n">
        <v>1212.121212121212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1397</v>
      </c>
      <c r="AG3335" t="n">
        <v>2136</v>
      </c>
      <c r="AH3335" t="inlineStr">
        <is>
          <t>CV. SAMUDRA JAYA ABADI - PPN (JMB)</t>
        </is>
      </c>
      <c r="AI3335" t="n">
        <v>104</v>
      </c>
      <c r="AJ3335" t="inlineStr">
        <is>
          <t>PIXY</t>
        </is>
      </c>
      <c r="AK3335" t="n">
        <v>9</v>
      </c>
      <c r="AL3335" t="inlineStr">
        <is>
          <t>Miss Glam Jambi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PIXY</t>
        </is>
      </c>
      <c r="B3336" s="2">
        <f>"20100171008"</f>
        <v/>
      </c>
      <c r="C3336" t="inlineStr">
        <is>
          <t>PIXY Airy Serum Skintint N23 Light Beige 25g</t>
        </is>
      </c>
      <c r="D3336" t="inlineStr">
        <is>
          <t>Miss Glam Jambi</t>
        </is>
      </c>
      <c r="E3336" t="n">
        <v>5</v>
      </c>
      <c r="F3336" t="n">
        <v>0.0495</v>
      </c>
      <c r="G3336" t="n">
        <v>0.33</v>
      </c>
      <c r="H3336" t="n">
        <v>2</v>
      </c>
      <c r="I3336" t="n">
        <v>6</v>
      </c>
      <c r="J3336" t="n">
        <v>3</v>
      </c>
      <c r="K3336" t="n">
        <v>0</v>
      </c>
      <c r="L3336" t="n">
        <v>36000</v>
      </c>
      <c r="M3336" t="n">
        <v>42500</v>
      </c>
      <c r="N3336" t="n">
        <v>33</v>
      </c>
      <c r="O3336" t="n">
        <v>0.33</v>
      </c>
      <c r="P3336" t="n">
        <v>1</v>
      </c>
      <c r="Q3336" t="n">
        <v>0.02</v>
      </c>
      <c r="R3336" t="n">
        <v>1</v>
      </c>
      <c r="S3336" t="n">
        <v>2103.75</v>
      </c>
      <c r="T3336" t="n">
        <v>2</v>
      </c>
      <c r="U3336" t="n">
        <v>3</v>
      </c>
      <c r="V3336" t="n">
        <v>30</v>
      </c>
      <c r="W3336" t="n">
        <v>2</v>
      </c>
      <c r="X3336" t="n">
        <v>101.010101010101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1397</v>
      </c>
      <c r="AG3336" t="n">
        <v>2136</v>
      </c>
      <c r="AH3336" t="inlineStr">
        <is>
          <t>CV. SAMUDRA JAYA ABADI - PPN (JMB)</t>
        </is>
      </c>
      <c r="AI3336" t="n">
        <v>104</v>
      </c>
      <c r="AJ3336" t="inlineStr">
        <is>
          <t>PIXY</t>
        </is>
      </c>
      <c r="AK3336" t="n">
        <v>9</v>
      </c>
      <c r="AL3336" t="inlineStr">
        <is>
          <t>Miss Glam Jambi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PIXY</t>
        </is>
      </c>
      <c r="B3337" s="2">
        <f>"20100170938"</f>
        <v/>
      </c>
      <c r="C3337" t="inlineStr">
        <is>
          <t>PIXY Airy Serum Skintint N30 Neutral Beige 25g</t>
        </is>
      </c>
      <c r="D3337" t="inlineStr">
        <is>
          <t>Miss Glam Jambi</t>
        </is>
      </c>
      <c r="E3337" t="n">
        <v>15</v>
      </c>
      <c r="F3337" t="n">
        <v>0.0462</v>
      </c>
      <c r="G3337" t="n">
        <v>0.33</v>
      </c>
      <c r="H3337" t="n">
        <v>2</v>
      </c>
      <c r="I3337" t="n">
        <v>6</v>
      </c>
      <c r="J3337" t="n">
        <v>3</v>
      </c>
      <c r="K3337" t="n">
        <v>0</v>
      </c>
      <c r="L3337" t="n">
        <v>36000</v>
      </c>
      <c r="M3337" t="n">
        <v>42500</v>
      </c>
      <c r="N3337" t="n">
        <v>33</v>
      </c>
      <c r="O3337" t="n">
        <v>0.33</v>
      </c>
      <c r="P3337" t="n">
        <v>1</v>
      </c>
      <c r="Q3337" t="n">
        <v>0.02</v>
      </c>
      <c r="R3337" t="n">
        <v>1</v>
      </c>
      <c r="S3337" t="n">
        <v>1963.5</v>
      </c>
      <c r="T3337" t="n">
        <v>2</v>
      </c>
      <c r="U3337" t="n">
        <v>3</v>
      </c>
      <c r="V3337" t="n">
        <v>30</v>
      </c>
      <c r="W3337" t="n">
        <v>2</v>
      </c>
      <c r="X3337" t="n">
        <v>324.6753246753246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1397</v>
      </c>
      <c r="AG3337" t="n">
        <v>2136</v>
      </c>
      <c r="AH3337" t="inlineStr">
        <is>
          <t>CV. SAMUDRA JAYA ABADI - PPN (JMB)</t>
        </is>
      </c>
      <c r="AI3337" t="n">
        <v>104</v>
      </c>
      <c r="AJ3337" t="inlineStr">
        <is>
          <t>PIXY</t>
        </is>
      </c>
      <c r="AK3337" t="n">
        <v>9</v>
      </c>
      <c r="AL3337" t="inlineStr">
        <is>
          <t>Miss Glam Jambi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PIXY</t>
        </is>
      </c>
      <c r="B3338" s="2">
        <f>"20100571543"</f>
        <v/>
      </c>
      <c r="C3338" t="inlineStr">
        <is>
          <t>PIXY Airy Stay Two Way Cake C21 Light Ivory 9gr</t>
        </is>
      </c>
      <c r="D3338" t="inlineStr">
        <is>
          <t>Miss Glam Jambi</t>
        </is>
      </c>
      <c r="E3338" t="n">
        <v>2</v>
      </c>
      <c r="F3338" t="n">
        <v>0.0462</v>
      </c>
      <c r="G3338" t="n">
        <v>0.33</v>
      </c>
      <c r="H3338" t="n">
        <v>2</v>
      </c>
      <c r="I3338" t="n">
        <v>6</v>
      </c>
      <c r="J3338" t="n">
        <v>3</v>
      </c>
      <c r="K3338" t="n">
        <v>0</v>
      </c>
      <c r="L3338" t="n">
        <v>32000</v>
      </c>
      <c r="M3338" t="n">
        <v>38000</v>
      </c>
      <c r="N3338" t="n">
        <v>33</v>
      </c>
      <c r="O3338" t="n">
        <v>0.33</v>
      </c>
      <c r="P3338" t="n">
        <v>1</v>
      </c>
      <c r="Q3338" t="n">
        <v>0.05</v>
      </c>
      <c r="R3338" t="n">
        <v>2</v>
      </c>
      <c r="S3338" t="n">
        <v>1755.6</v>
      </c>
      <c r="T3338" t="n">
        <v>2</v>
      </c>
      <c r="U3338" t="n">
        <v>3</v>
      </c>
      <c r="V3338" t="n">
        <v>30</v>
      </c>
      <c r="W3338" t="n">
        <v>2</v>
      </c>
      <c r="X3338" t="n">
        <v>43.29004329004329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1397</v>
      </c>
      <c r="AG3338" t="n">
        <v>2136</v>
      </c>
      <c r="AH3338" t="inlineStr">
        <is>
          <t>CV. SAMUDRA JAYA ABADI - PPN (JMB)</t>
        </is>
      </c>
      <c r="AI3338" t="n">
        <v>104</v>
      </c>
      <c r="AJ3338" t="inlineStr">
        <is>
          <t>PIXY</t>
        </is>
      </c>
      <c r="AK3338" t="n">
        <v>9</v>
      </c>
      <c r="AL3338" t="inlineStr">
        <is>
          <t>Miss Glam Jambi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PIXY</t>
        </is>
      </c>
      <c r="B3339" s="2">
        <f>"20100571753"</f>
        <v/>
      </c>
      <c r="C3339" t="inlineStr">
        <is>
          <t>PIXY Airy Stay Two Way Cake N43 Medium Beige 9g</t>
        </is>
      </c>
      <c r="D3339" t="inlineStr">
        <is>
          <t>Miss Glam Jambi</t>
        </is>
      </c>
      <c r="E3339" t="n">
        <v>5</v>
      </c>
      <c r="F3339" t="n">
        <v>0.0825</v>
      </c>
      <c r="G3339" t="n">
        <v>1.32</v>
      </c>
      <c r="H3339" t="n">
        <v>2</v>
      </c>
      <c r="I3339" t="n">
        <v>6</v>
      </c>
      <c r="J3339" t="n">
        <v>3</v>
      </c>
      <c r="K3339" t="n">
        <v>0</v>
      </c>
      <c r="L3339" t="n">
        <v>32000</v>
      </c>
      <c r="M3339" t="n">
        <v>38000</v>
      </c>
      <c r="N3339" t="n">
        <v>33</v>
      </c>
      <c r="O3339" t="n">
        <v>0.33</v>
      </c>
      <c r="P3339" t="n">
        <v>1</v>
      </c>
      <c r="Q3339" t="n">
        <v>0.1</v>
      </c>
      <c r="R3339" t="n">
        <v>1</v>
      </c>
      <c r="S3339" t="n">
        <v>3135</v>
      </c>
      <c r="T3339" t="n">
        <v>8</v>
      </c>
      <c r="U3339" t="n">
        <v>9</v>
      </c>
      <c r="V3339" t="n">
        <v>30</v>
      </c>
      <c r="W3339" t="n">
        <v>3</v>
      </c>
      <c r="X3339" t="n">
        <v>60.6060606060606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1397</v>
      </c>
      <c r="AG3339" t="n">
        <v>2136</v>
      </c>
      <c r="AH3339" t="inlineStr">
        <is>
          <t>CV. SAMUDRA JAYA ABADI - PPN (JMB)</t>
        </is>
      </c>
      <c r="AI3339" t="n">
        <v>104</v>
      </c>
      <c r="AJ3339" t="inlineStr">
        <is>
          <t>PIXY</t>
        </is>
      </c>
      <c r="AK3339" t="n">
        <v>9</v>
      </c>
      <c r="AL3339" t="inlineStr">
        <is>
          <t>Miss Glam Jambi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PIXY</t>
        </is>
      </c>
      <c r="B3340" s="2">
        <f>"20100571829"</f>
        <v/>
      </c>
      <c r="C3340" t="inlineStr">
        <is>
          <t>PIXY Airy Stay Two Way Cake W44 Medium Warm 9g</t>
        </is>
      </c>
      <c r="D3340" t="inlineStr">
        <is>
          <t>Miss Glam Jambi</t>
        </is>
      </c>
      <c r="E3340" t="n">
        <v>10</v>
      </c>
      <c r="F3340" t="n">
        <v>0.07920000000000001</v>
      </c>
      <c r="G3340" t="n">
        <v>0.66</v>
      </c>
      <c r="H3340" t="n">
        <v>2</v>
      </c>
      <c r="I3340" t="n">
        <v>6</v>
      </c>
      <c r="J3340" t="n">
        <v>3</v>
      </c>
      <c r="K3340" t="n">
        <v>0</v>
      </c>
      <c r="L3340" t="n">
        <v>32000</v>
      </c>
      <c r="M3340" t="n">
        <v>38000</v>
      </c>
      <c r="N3340" t="n">
        <v>33</v>
      </c>
      <c r="O3340" t="n">
        <v>0.33</v>
      </c>
      <c r="P3340" t="n">
        <v>1</v>
      </c>
      <c r="Q3340" t="n">
        <v>0.02</v>
      </c>
      <c r="R3340" t="n">
        <v>1</v>
      </c>
      <c r="S3340" t="n">
        <v>3009.6</v>
      </c>
      <c r="T3340" t="n">
        <v>4</v>
      </c>
      <c r="U3340" t="n">
        <v>5</v>
      </c>
      <c r="V3340" t="n">
        <v>30</v>
      </c>
      <c r="W3340" t="n">
        <v>3</v>
      </c>
      <c r="X3340" t="n">
        <v>126.2626262626263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1397</v>
      </c>
      <c r="AG3340" t="n">
        <v>2136</v>
      </c>
      <c r="AH3340" t="inlineStr">
        <is>
          <t>CV. SAMUDRA JAYA ABADI - PPN (JMB)</t>
        </is>
      </c>
      <c r="AI3340" t="n">
        <v>104</v>
      </c>
      <c r="AJ3340" t="inlineStr">
        <is>
          <t>PIXY</t>
        </is>
      </c>
      <c r="AK3340" t="n">
        <v>9</v>
      </c>
      <c r="AL3340" t="inlineStr">
        <is>
          <t>Miss Glam Jambi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PIXY</t>
        </is>
      </c>
      <c r="B3341" s="2">
        <f>"8992222075152"</f>
        <v/>
      </c>
      <c r="C3341" t="inlineStr">
        <is>
          <t>PIXY Aqua Beauty Protecting Mist Matte Finish 60ml</t>
        </is>
      </c>
      <c r="D3341" t="inlineStr">
        <is>
          <t>Miss Glam Jambi</t>
        </is>
      </c>
      <c r="E3341" t="n">
        <v>6</v>
      </c>
      <c r="F3341" t="n">
        <v>0.1518</v>
      </c>
      <c r="G3341" t="n">
        <v>0.99</v>
      </c>
      <c r="H3341" t="n">
        <v>2</v>
      </c>
      <c r="I3341" t="n">
        <v>6</v>
      </c>
      <c r="J3341" t="n">
        <v>3</v>
      </c>
      <c r="K3341" t="n">
        <v>0</v>
      </c>
      <c r="L3341" t="n">
        <v>25600</v>
      </c>
      <c r="M3341" t="n">
        <v>38000</v>
      </c>
      <c r="N3341" t="n">
        <v>33</v>
      </c>
      <c r="O3341" t="n">
        <v>0.33</v>
      </c>
      <c r="P3341" t="n">
        <v>1</v>
      </c>
      <c r="Q3341" t="n">
        <v>0.31</v>
      </c>
      <c r="R3341" t="n">
        <v>2</v>
      </c>
      <c r="S3341" t="n">
        <v>5768.400000000001</v>
      </c>
      <c r="T3341" t="n">
        <v>6</v>
      </c>
      <c r="U3341" t="n">
        <v>7</v>
      </c>
      <c r="V3341" t="n">
        <v>30</v>
      </c>
      <c r="W3341" t="n">
        <v>5</v>
      </c>
      <c r="X3341" t="n">
        <v>39.52569169960474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1397</v>
      </c>
      <c r="AG3341" t="n">
        <v>2136</v>
      </c>
      <c r="AH3341" t="inlineStr">
        <is>
          <t>CV. SAMUDRA JAYA ABADI - PPN (JMB)</t>
        </is>
      </c>
      <c r="AI3341" t="n">
        <v>104</v>
      </c>
      <c r="AJ3341" t="inlineStr">
        <is>
          <t>PIXY</t>
        </is>
      </c>
      <c r="AK3341" t="n">
        <v>9</v>
      </c>
      <c r="AL3341" t="inlineStr">
        <is>
          <t>Miss Glam Jambi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PIXY</t>
        </is>
      </c>
      <c r="B3342" s="2">
        <f>"8992222075060"</f>
        <v/>
      </c>
      <c r="C3342" t="inlineStr">
        <is>
          <t>PIXY Aqua Beauty Protecting Mist Spray 100ml</t>
        </is>
      </c>
      <c r="D3342" t="inlineStr">
        <is>
          <t>Miss Glam Jambi</t>
        </is>
      </c>
      <c r="E3342" t="n">
        <v>4</v>
      </c>
      <c r="F3342" t="n">
        <v>0.1848</v>
      </c>
      <c r="G3342" t="n">
        <v>1.65</v>
      </c>
      <c r="H3342" t="n">
        <v>2</v>
      </c>
      <c r="I3342" t="n">
        <v>6</v>
      </c>
      <c r="J3342" t="n">
        <v>3</v>
      </c>
      <c r="K3342" t="n">
        <v>3</v>
      </c>
      <c r="L3342" t="n">
        <v>37600</v>
      </c>
      <c r="M3342" t="n">
        <v>44500</v>
      </c>
      <c r="N3342" t="n">
        <v>33</v>
      </c>
      <c r="O3342" t="n">
        <v>0.33</v>
      </c>
      <c r="P3342" t="n">
        <v>1</v>
      </c>
      <c r="Q3342" t="n">
        <v>0.1</v>
      </c>
      <c r="R3342" t="n">
        <v>1</v>
      </c>
      <c r="S3342" t="n">
        <v>8223.6</v>
      </c>
      <c r="T3342" t="n">
        <v>10</v>
      </c>
      <c r="U3342" t="n">
        <v>11</v>
      </c>
      <c r="V3342" t="n">
        <v>30</v>
      </c>
      <c r="W3342" t="n">
        <v>6</v>
      </c>
      <c r="X3342" t="n">
        <v>21.64502164502164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1397</v>
      </c>
      <c r="AG3342" t="n">
        <v>2136</v>
      </c>
      <c r="AH3342" t="inlineStr">
        <is>
          <t>CV. SAMUDRA JAYA ABADI - PPN (JMB)</t>
        </is>
      </c>
      <c r="AI3342" t="n">
        <v>104</v>
      </c>
      <c r="AJ3342" t="inlineStr">
        <is>
          <t>PIXY</t>
        </is>
      </c>
      <c r="AK3342" t="n">
        <v>9</v>
      </c>
      <c r="AL3342" t="inlineStr">
        <is>
          <t>Miss Glam Jambi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PIXY</t>
        </is>
      </c>
      <c r="B3343" s="2">
        <f>"8992222073264"</f>
        <v/>
      </c>
      <c r="C3343" t="inlineStr">
        <is>
          <t>PIXY Aqua Beauty Protecting Mist Spray 60ml</t>
        </is>
      </c>
      <c r="D3343" t="inlineStr">
        <is>
          <t>Miss Glam Jambi</t>
        </is>
      </c>
      <c r="E3343" t="n">
        <v>13</v>
      </c>
      <c r="F3343" t="n">
        <v>2.3595</v>
      </c>
      <c r="G3343" t="n">
        <v>6.600000000000001</v>
      </c>
      <c r="H3343" t="n">
        <v>2</v>
      </c>
      <c r="I3343" t="n">
        <v>6</v>
      </c>
      <c r="J3343" t="n">
        <v>3</v>
      </c>
      <c r="K3343" t="n">
        <v>58</v>
      </c>
      <c r="L3343" t="n">
        <v>25600</v>
      </c>
      <c r="M3343" t="n">
        <v>31000</v>
      </c>
      <c r="N3343" t="n">
        <v>33</v>
      </c>
      <c r="O3343" t="n">
        <v>0.33</v>
      </c>
      <c r="P3343" t="n">
        <v>1</v>
      </c>
      <c r="Q3343" t="n">
        <v>0.32</v>
      </c>
      <c r="R3343" t="n">
        <v>2</v>
      </c>
      <c r="S3343" t="n">
        <v>73144.5</v>
      </c>
      <c r="T3343" t="n">
        <v>35</v>
      </c>
      <c r="U3343" t="n">
        <v>40</v>
      </c>
      <c r="V3343" t="n">
        <v>30</v>
      </c>
      <c r="W3343" t="n">
        <v>71</v>
      </c>
      <c r="X3343" t="n">
        <v>5.509641873278237</v>
      </c>
      <c r="Y3343" t="n">
        <v>1</v>
      </c>
      <c r="Z3343" t="n">
        <v>0</v>
      </c>
      <c r="AA3343" t="n">
        <v>1</v>
      </c>
      <c r="AB3343" t="n">
        <v>0</v>
      </c>
      <c r="AC3343" t="n">
        <v>0</v>
      </c>
      <c r="AD3343" t="n">
        <v>25600</v>
      </c>
      <c r="AE3343" t="n">
        <v>0</v>
      </c>
      <c r="AF3343" t="n">
        <v>1397</v>
      </c>
      <c r="AG3343" t="n">
        <v>2136</v>
      </c>
      <c r="AH3343" t="inlineStr">
        <is>
          <t>CV. SAMUDRA JAYA ABADI - PPN (JMB)</t>
        </is>
      </c>
      <c r="AI3343" t="n">
        <v>104</v>
      </c>
      <c r="AJ3343" t="inlineStr">
        <is>
          <t>PIXY</t>
        </is>
      </c>
      <c r="AK3343" t="n">
        <v>9</v>
      </c>
      <c r="AL3343" t="inlineStr">
        <is>
          <t>Miss Glam Jambi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PIXY</t>
        </is>
      </c>
      <c r="B3344" s="2">
        <f>"8992222073196"</f>
        <v/>
      </c>
      <c r="C3344" t="inlineStr">
        <is>
          <t>PIXY Bb Cream 01 Ochre 30ml</t>
        </is>
      </c>
      <c r="D3344" t="inlineStr">
        <is>
          <t>Miss Glam Jambi</t>
        </is>
      </c>
      <c r="E3344" t="n">
        <v>2</v>
      </c>
      <c r="F3344" t="n">
        <v>0.2508</v>
      </c>
      <c r="G3344" t="n">
        <v>1.32</v>
      </c>
      <c r="H3344" t="n">
        <v>2</v>
      </c>
      <c r="I3344" t="n">
        <v>6</v>
      </c>
      <c r="J3344" t="n">
        <v>3</v>
      </c>
      <c r="K3344" t="n">
        <v>6</v>
      </c>
      <c r="L3344" t="n">
        <v>32800</v>
      </c>
      <c r="M3344" t="n">
        <v>39000</v>
      </c>
      <c r="N3344" t="n">
        <v>33</v>
      </c>
      <c r="O3344" t="n">
        <v>0.33</v>
      </c>
      <c r="P3344" t="n">
        <v>1</v>
      </c>
      <c r="Q3344" t="n">
        <v>0.08</v>
      </c>
      <c r="R3344" t="n">
        <v>1</v>
      </c>
      <c r="S3344" t="n">
        <v>9781.200000000001</v>
      </c>
      <c r="T3344" t="n">
        <v>8</v>
      </c>
      <c r="U3344" t="n">
        <v>9</v>
      </c>
      <c r="V3344" t="n">
        <v>30</v>
      </c>
      <c r="W3344" t="n">
        <v>8</v>
      </c>
      <c r="X3344" t="n">
        <v>7.974481658692184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1397</v>
      </c>
      <c r="AG3344" t="n">
        <v>2136</v>
      </c>
      <c r="AH3344" t="inlineStr">
        <is>
          <t>CV. SAMUDRA JAYA ABADI - PPN (JMB)</t>
        </is>
      </c>
      <c r="AI3344" t="n">
        <v>104</v>
      </c>
      <c r="AJ3344" t="inlineStr">
        <is>
          <t>PIXY</t>
        </is>
      </c>
      <c r="AK3344" t="n">
        <v>9</v>
      </c>
      <c r="AL3344" t="inlineStr">
        <is>
          <t>Miss Glam Jambi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PIXY</t>
        </is>
      </c>
      <c r="B3345" s="2">
        <f>"8992222073189"</f>
        <v/>
      </c>
      <c r="C3345" t="inlineStr">
        <is>
          <t>PIXY Bb Cream 02 Cream 30ml</t>
        </is>
      </c>
      <c r="D3345" t="inlineStr">
        <is>
          <t>Miss Glam Jambi</t>
        </is>
      </c>
      <c r="E3345" t="n">
        <v>4</v>
      </c>
      <c r="F3345" t="n">
        <v>0.1221</v>
      </c>
      <c r="G3345" t="n">
        <v>0.66</v>
      </c>
      <c r="H3345" t="n">
        <v>2</v>
      </c>
      <c r="I3345" t="n">
        <v>6</v>
      </c>
      <c r="J3345" t="n">
        <v>3</v>
      </c>
      <c r="K3345" t="n">
        <v>0</v>
      </c>
      <c r="L3345" t="n">
        <v>32800</v>
      </c>
      <c r="M3345" t="n">
        <v>39000</v>
      </c>
      <c r="N3345" t="n">
        <v>33</v>
      </c>
      <c r="O3345" t="n">
        <v>0.33</v>
      </c>
      <c r="P3345" t="n">
        <v>1</v>
      </c>
      <c r="Q3345" t="n">
        <v>0.07000000000000001</v>
      </c>
      <c r="R3345" t="n">
        <v>1</v>
      </c>
      <c r="S3345" t="n">
        <v>4761.9</v>
      </c>
      <c r="T3345" t="n">
        <v>4</v>
      </c>
      <c r="U3345" t="n">
        <v>5</v>
      </c>
      <c r="V3345" t="n">
        <v>30</v>
      </c>
      <c r="W3345" t="n">
        <v>4</v>
      </c>
      <c r="X3345" t="n">
        <v>32.76003276003276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1397</v>
      </c>
      <c r="AG3345" t="n">
        <v>2136</v>
      </c>
      <c r="AH3345" t="inlineStr">
        <is>
          <t>CV. SAMUDRA JAYA ABADI - PPN (JMB)</t>
        </is>
      </c>
      <c r="AI3345" t="n">
        <v>104</v>
      </c>
      <c r="AJ3345" t="inlineStr">
        <is>
          <t>PIXY</t>
        </is>
      </c>
      <c r="AK3345" t="n">
        <v>9</v>
      </c>
      <c r="AL3345" t="inlineStr">
        <is>
          <t>Miss Glam Jambi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PIXY</t>
        </is>
      </c>
      <c r="B3346" s="2">
        <f>"8992222073172"</f>
        <v/>
      </c>
      <c r="C3346" t="inlineStr">
        <is>
          <t>PIXY Bb Cream 03 Beige 30ml</t>
        </is>
      </c>
      <c r="D3346" t="inlineStr">
        <is>
          <t>Miss Glam Jambi</t>
        </is>
      </c>
      <c r="E3346" t="n">
        <v>11</v>
      </c>
      <c r="F3346" t="n">
        <v>0.1683</v>
      </c>
      <c r="G3346" t="n">
        <v>0.99</v>
      </c>
      <c r="H3346" t="n">
        <v>2</v>
      </c>
      <c r="I3346" t="n">
        <v>6</v>
      </c>
      <c r="J3346" t="n">
        <v>3</v>
      </c>
      <c r="K3346" t="n">
        <v>0</v>
      </c>
      <c r="L3346" t="n">
        <v>32800</v>
      </c>
      <c r="M3346" t="n">
        <v>39000</v>
      </c>
      <c r="N3346" t="n">
        <v>33</v>
      </c>
      <c r="O3346" t="n">
        <v>0.33</v>
      </c>
      <c r="P3346" t="n">
        <v>1</v>
      </c>
      <c r="Q3346" t="n">
        <v>0.12</v>
      </c>
      <c r="R3346" t="n">
        <v>2</v>
      </c>
      <c r="S3346" t="n">
        <v>6563.7</v>
      </c>
      <c r="T3346" t="n">
        <v>6</v>
      </c>
      <c r="U3346" t="n">
        <v>7</v>
      </c>
      <c r="V3346" t="n">
        <v>30</v>
      </c>
      <c r="W3346" t="n">
        <v>6</v>
      </c>
      <c r="X3346" t="n">
        <v>65.359477124183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1397</v>
      </c>
      <c r="AG3346" t="n">
        <v>2136</v>
      </c>
      <c r="AH3346" t="inlineStr">
        <is>
          <t>CV. SAMUDRA JAYA ABADI - PPN (JMB)</t>
        </is>
      </c>
      <c r="AI3346" t="n">
        <v>104</v>
      </c>
      <c r="AJ3346" t="inlineStr">
        <is>
          <t>PIXY</t>
        </is>
      </c>
      <c r="AK3346" t="n">
        <v>9</v>
      </c>
      <c r="AL3346" t="inlineStr">
        <is>
          <t>Miss Glam Jambi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PIXY</t>
        </is>
      </c>
      <c r="B3347" s="2">
        <f>"8992222283496"</f>
        <v/>
      </c>
      <c r="C3347" t="inlineStr">
        <is>
          <t>PIXY Big Bang Mascara 01 Bold Black 10gr</t>
        </is>
      </c>
      <c r="D3347" t="inlineStr">
        <is>
          <t>Miss Glam Jambi</t>
        </is>
      </c>
      <c r="E3347" t="n">
        <v>2</v>
      </c>
      <c r="F3347" t="n">
        <v>0.006600000000000001</v>
      </c>
      <c r="G3347" t="n">
        <v>0.33</v>
      </c>
      <c r="H3347" t="n">
        <v>2</v>
      </c>
      <c r="I3347" t="n">
        <v>6</v>
      </c>
      <c r="J3347" t="n">
        <v>3</v>
      </c>
      <c r="K3347" t="n">
        <v>0</v>
      </c>
      <c r="L3347" t="n">
        <v>56000</v>
      </c>
      <c r="M3347" t="n">
        <v>66000</v>
      </c>
      <c r="N3347" t="n">
        <v>33</v>
      </c>
      <c r="O3347" t="n">
        <v>0.33</v>
      </c>
      <c r="P3347" t="n">
        <v>1</v>
      </c>
      <c r="Q3347" t="n">
        <v>0.03</v>
      </c>
      <c r="R3347" t="n">
        <v>1</v>
      </c>
      <c r="S3347" t="n">
        <v>435.6000000000001</v>
      </c>
      <c r="T3347" t="n">
        <v>2</v>
      </c>
      <c r="U3347" t="n">
        <v>3</v>
      </c>
      <c r="V3347" t="n">
        <v>30</v>
      </c>
      <c r="W3347" t="n">
        <v>1</v>
      </c>
      <c r="X3347" t="n">
        <v>303.030303030303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1397</v>
      </c>
      <c r="AG3347" t="n">
        <v>2136</v>
      </c>
      <c r="AH3347" t="inlineStr">
        <is>
          <t>CV. SAMUDRA JAYA ABADI - PPN (JMB)</t>
        </is>
      </c>
      <c r="AI3347" t="n">
        <v>104</v>
      </c>
      <c r="AJ3347" t="inlineStr">
        <is>
          <t>PIXY</t>
        </is>
      </c>
      <c r="AK3347" t="n">
        <v>9</v>
      </c>
      <c r="AL3347" t="inlineStr">
        <is>
          <t>Miss Glam Jambi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PIXY</t>
        </is>
      </c>
      <c r="B3348" s="2">
        <f>"8992222072496"</f>
        <v/>
      </c>
      <c r="C3348" t="inlineStr">
        <is>
          <t>PIXY Cleansing Express Anti Acne 100ml</t>
        </is>
      </c>
      <c r="D3348" t="inlineStr">
        <is>
          <t>Miss Glam Jambi</t>
        </is>
      </c>
      <c r="E3348" t="n">
        <v>2</v>
      </c>
      <c r="F3348" t="n">
        <v>0.0264</v>
      </c>
      <c r="G3348" t="n">
        <v>0.66</v>
      </c>
      <c r="H3348" t="n">
        <v>2</v>
      </c>
      <c r="I3348" t="n">
        <v>6</v>
      </c>
      <c r="J3348" t="n">
        <v>3</v>
      </c>
      <c r="K3348" t="n">
        <v>0</v>
      </c>
      <c r="L3348" t="n">
        <v>18000</v>
      </c>
      <c r="M3348" t="n">
        <v>25000</v>
      </c>
      <c r="N3348" t="n">
        <v>33</v>
      </c>
      <c r="O3348" t="n">
        <v>0.33</v>
      </c>
      <c r="P3348" t="n">
        <v>1</v>
      </c>
      <c r="Q3348" t="n">
        <v>0.03</v>
      </c>
      <c r="R3348" t="n">
        <v>1</v>
      </c>
      <c r="S3348" t="n">
        <v>660.0000000000001</v>
      </c>
      <c r="T3348" t="n">
        <v>4</v>
      </c>
      <c r="U3348" t="n">
        <v>5</v>
      </c>
      <c r="V3348" t="n">
        <v>30</v>
      </c>
      <c r="W3348" t="n">
        <v>1</v>
      </c>
      <c r="X3348" t="n">
        <v>75.75757575757575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1397</v>
      </c>
      <c r="AG3348" t="n">
        <v>2136</v>
      </c>
      <c r="AH3348" t="inlineStr">
        <is>
          <t>CV. SAMUDRA JAYA ABADI - PPN (JMB)</t>
        </is>
      </c>
      <c r="AI3348" t="n">
        <v>104</v>
      </c>
      <c r="AJ3348" t="inlineStr">
        <is>
          <t>PIXY</t>
        </is>
      </c>
      <c r="AK3348" t="n">
        <v>9</v>
      </c>
      <c r="AL3348" t="inlineStr">
        <is>
          <t>Miss Glam Jambi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PIXY</t>
        </is>
      </c>
      <c r="B3349" s="2">
        <f>"8992222072786"</f>
        <v/>
      </c>
      <c r="C3349" t="inlineStr">
        <is>
          <t>PIXY Cleansing Express Anti Acne 150ml</t>
        </is>
      </c>
      <c r="D3349" t="inlineStr">
        <is>
          <t>Miss Glam Jambi</t>
        </is>
      </c>
      <c r="E3349" t="n">
        <v>4</v>
      </c>
      <c r="F3349" t="n">
        <v>0.05</v>
      </c>
      <c r="G3349" t="n">
        <v>1</v>
      </c>
      <c r="H3349" t="n">
        <v>2</v>
      </c>
      <c r="I3349" t="n">
        <v>6</v>
      </c>
      <c r="J3349" t="n">
        <v>3</v>
      </c>
      <c r="K3349" t="n">
        <v>0</v>
      </c>
      <c r="L3349" t="n">
        <v>22800</v>
      </c>
      <c r="M3349" t="n">
        <v>31000</v>
      </c>
      <c r="N3349" t="n">
        <v>33</v>
      </c>
      <c r="O3349" t="n">
        <v>0.33</v>
      </c>
      <c r="P3349" t="n">
        <v>0</v>
      </c>
      <c r="Q3349" t="n">
        <v>0.05</v>
      </c>
      <c r="R3349" t="n">
        <v>1</v>
      </c>
      <c r="S3349" t="n">
        <v>1550</v>
      </c>
      <c r="T3349" t="n">
        <v>6</v>
      </c>
      <c r="U3349" t="n">
        <v>7</v>
      </c>
      <c r="V3349" t="n">
        <v>30</v>
      </c>
      <c r="W3349" t="n">
        <v>2</v>
      </c>
      <c r="X3349" t="n">
        <v>80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1397</v>
      </c>
      <c r="AG3349" t="n">
        <v>2136</v>
      </c>
      <c r="AH3349" t="inlineStr">
        <is>
          <t>CV. SAMUDRA JAYA ABADI - PPN (JMB)</t>
        </is>
      </c>
      <c r="AI3349" t="n">
        <v>104</v>
      </c>
      <c r="AJ3349" t="inlineStr">
        <is>
          <t>PIXY</t>
        </is>
      </c>
      <c r="AK3349" t="n">
        <v>9</v>
      </c>
      <c r="AL3349" t="inlineStr">
        <is>
          <t>Miss Glam Jambi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PIXY</t>
        </is>
      </c>
      <c r="B3350" s="2">
        <f>"8992222072465"</f>
        <v/>
      </c>
      <c r="C3350" t="inlineStr">
        <is>
          <t>PIXY Cleansing Express Brightening 100ml</t>
        </is>
      </c>
      <c r="D3350" t="inlineStr">
        <is>
          <t>Miss Glam Jambi</t>
        </is>
      </c>
      <c r="E3350" t="n">
        <v>6</v>
      </c>
      <c r="F3350" t="n">
        <v>0.009900000000000001</v>
      </c>
      <c r="G3350" t="n">
        <v>0.33</v>
      </c>
      <c r="H3350" t="n">
        <v>2</v>
      </c>
      <c r="I3350" t="n">
        <v>6</v>
      </c>
      <c r="J3350" t="n">
        <v>3</v>
      </c>
      <c r="K3350" t="n">
        <v>0</v>
      </c>
      <c r="L3350" t="n">
        <v>22500</v>
      </c>
      <c r="M3350" t="n">
        <v>25000</v>
      </c>
      <c r="N3350" t="n">
        <v>33</v>
      </c>
      <c r="O3350" t="n">
        <v>0.33</v>
      </c>
      <c r="P3350" t="n">
        <v>1</v>
      </c>
      <c r="Q3350" t="n">
        <v>0.02</v>
      </c>
      <c r="R3350" t="n">
        <v>1</v>
      </c>
      <c r="S3350" t="n">
        <v>247.5</v>
      </c>
      <c r="T3350" t="n">
        <v>2</v>
      </c>
      <c r="U3350" t="n">
        <v>3</v>
      </c>
      <c r="V3350" t="n">
        <v>30</v>
      </c>
      <c r="W3350" t="n">
        <v>1</v>
      </c>
      <c r="X3350" t="n">
        <v>606.060606060606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1397</v>
      </c>
      <c r="AG3350" t="n">
        <v>2136</v>
      </c>
      <c r="AH3350" t="inlineStr">
        <is>
          <t>CV. SAMUDRA JAYA ABADI - PPN (JMB)</t>
        </is>
      </c>
      <c r="AI3350" t="n">
        <v>104</v>
      </c>
      <c r="AJ3350" t="inlineStr">
        <is>
          <t>PIXY</t>
        </is>
      </c>
      <c r="AK3350" t="n">
        <v>9</v>
      </c>
      <c r="AL3350" t="inlineStr">
        <is>
          <t>Miss Glam Jambi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PIXY</t>
        </is>
      </c>
      <c r="B3351" s="2">
        <f>"8992222072779"</f>
        <v/>
      </c>
      <c r="C3351" t="inlineStr">
        <is>
          <t>PIXY Cleansing Express Brightening 150ml</t>
        </is>
      </c>
      <c r="D3351" t="inlineStr">
        <is>
          <t>Miss Glam Jambi</t>
        </is>
      </c>
      <c r="E3351" t="n">
        <v>2</v>
      </c>
      <c r="F3351" t="n">
        <v>0.0561</v>
      </c>
      <c r="G3351" t="n">
        <v>0.66</v>
      </c>
      <c r="H3351" t="n">
        <v>2</v>
      </c>
      <c r="I3351" t="n">
        <v>6</v>
      </c>
      <c r="J3351" t="n">
        <v>3</v>
      </c>
      <c r="K3351" t="n">
        <v>0</v>
      </c>
      <c r="L3351" t="n">
        <v>24300</v>
      </c>
      <c r="M3351" t="n">
        <v>27000</v>
      </c>
      <c r="N3351" t="n">
        <v>33</v>
      </c>
      <c r="O3351" t="n">
        <v>0.33</v>
      </c>
      <c r="P3351" t="n">
        <v>1</v>
      </c>
      <c r="Q3351" t="n">
        <v>0.07000000000000001</v>
      </c>
      <c r="R3351" t="n">
        <v>1</v>
      </c>
      <c r="S3351" t="n">
        <v>1514.7</v>
      </c>
      <c r="T3351" t="n">
        <v>4</v>
      </c>
      <c r="U3351" t="n">
        <v>5</v>
      </c>
      <c r="V3351" t="n">
        <v>30</v>
      </c>
      <c r="W3351" t="n">
        <v>2</v>
      </c>
      <c r="X3351" t="n">
        <v>35.650623885918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1397</v>
      </c>
      <c r="AG3351" t="n">
        <v>2136</v>
      </c>
      <c r="AH3351" t="inlineStr">
        <is>
          <t>CV. SAMUDRA JAYA ABADI - PPN (JMB)</t>
        </is>
      </c>
      <c r="AI3351" t="n">
        <v>104</v>
      </c>
      <c r="AJ3351" t="inlineStr">
        <is>
          <t>PIXY</t>
        </is>
      </c>
      <c r="AK3351" t="n">
        <v>9</v>
      </c>
      <c r="AL3351" t="inlineStr">
        <is>
          <t>Miss Glam Jambi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PIXY</t>
        </is>
      </c>
      <c r="B3352" s="2">
        <f>"8992222073646"</f>
        <v/>
      </c>
      <c r="C3352" t="inlineStr">
        <is>
          <t>PIXY Concealing Base 01 Natural Beige 9gr</t>
        </is>
      </c>
      <c r="D3352" t="inlineStr">
        <is>
          <t>Miss Glam Jambi</t>
        </is>
      </c>
      <c r="E3352" t="n">
        <v>13</v>
      </c>
      <c r="F3352" t="n">
        <v>1.2309</v>
      </c>
      <c r="G3352" t="n">
        <v>2.64</v>
      </c>
      <c r="H3352" t="n">
        <v>2</v>
      </c>
      <c r="I3352" t="n">
        <v>6</v>
      </c>
      <c r="J3352" t="n">
        <v>3</v>
      </c>
      <c r="K3352" t="n">
        <v>23</v>
      </c>
      <c r="L3352" t="n">
        <v>34400</v>
      </c>
      <c r="M3352" t="n">
        <v>40500</v>
      </c>
      <c r="N3352" t="n">
        <v>33</v>
      </c>
      <c r="O3352" t="n">
        <v>0.33</v>
      </c>
      <c r="P3352" t="n">
        <v>1</v>
      </c>
      <c r="Q3352" t="n">
        <v>0.58</v>
      </c>
      <c r="R3352" t="n">
        <v>3</v>
      </c>
      <c r="S3352" t="n">
        <v>49851.45</v>
      </c>
      <c r="T3352" t="n">
        <v>14</v>
      </c>
      <c r="U3352" t="n">
        <v>17</v>
      </c>
      <c r="V3352" t="n">
        <v>30</v>
      </c>
      <c r="W3352" t="n">
        <v>37</v>
      </c>
      <c r="X3352" t="n">
        <v>10.56137785360305</v>
      </c>
      <c r="Y3352" t="n">
        <v>1</v>
      </c>
      <c r="Z3352" t="n">
        <v>1</v>
      </c>
      <c r="AA3352" t="n">
        <v>0</v>
      </c>
      <c r="AB3352" t="n">
        <v>1</v>
      </c>
      <c r="AC3352" t="n">
        <v>3</v>
      </c>
      <c r="AD3352" t="n">
        <v>0</v>
      </c>
      <c r="AE3352" t="n">
        <v>103200</v>
      </c>
      <c r="AF3352" t="n">
        <v>1397</v>
      </c>
      <c r="AG3352" t="n">
        <v>2136</v>
      </c>
      <c r="AH3352" t="inlineStr">
        <is>
          <t>CV. SAMUDRA JAYA ABADI - PPN (JMB)</t>
        </is>
      </c>
      <c r="AI3352" t="n">
        <v>104</v>
      </c>
      <c r="AJ3352" t="inlineStr">
        <is>
          <t>PIXY</t>
        </is>
      </c>
      <c r="AK3352" t="n">
        <v>9</v>
      </c>
      <c r="AL3352" t="inlineStr">
        <is>
          <t>Miss Glam Jambi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PIXY</t>
        </is>
      </c>
      <c r="B3353" s="2">
        <f>"8992222073639"</f>
        <v/>
      </c>
      <c r="C3353" t="inlineStr">
        <is>
          <t>PIXY Concealing Base 02 Sand Beige 9g</t>
        </is>
      </c>
      <c r="D3353" t="inlineStr">
        <is>
          <t>Miss Glam Jambi</t>
        </is>
      </c>
      <c r="E3353" t="n">
        <v>9</v>
      </c>
      <c r="F3353" t="n">
        <v>0.6336000000000001</v>
      </c>
      <c r="G3353" t="n">
        <v>1.98</v>
      </c>
      <c r="H3353" t="n">
        <v>2</v>
      </c>
      <c r="I3353" t="n">
        <v>6</v>
      </c>
      <c r="J3353" t="n">
        <v>3</v>
      </c>
      <c r="K3353" t="n">
        <v>11</v>
      </c>
      <c r="L3353" t="n">
        <v>34400</v>
      </c>
      <c r="M3353" t="n">
        <v>38500</v>
      </c>
      <c r="N3353" t="n">
        <v>33</v>
      </c>
      <c r="O3353" t="n">
        <v>0.33</v>
      </c>
      <c r="P3353" t="n">
        <v>1</v>
      </c>
      <c r="Q3353" t="n">
        <v>0.22</v>
      </c>
      <c r="R3353" t="n">
        <v>3</v>
      </c>
      <c r="S3353" t="n">
        <v>24393.6</v>
      </c>
      <c r="T3353" t="n">
        <v>11</v>
      </c>
      <c r="U3353" t="n">
        <v>13</v>
      </c>
      <c r="V3353" t="n">
        <v>30</v>
      </c>
      <c r="W3353" t="n">
        <v>20</v>
      </c>
      <c r="X3353" t="n">
        <v>14.20454545454545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1397</v>
      </c>
      <c r="AG3353" t="n">
        <v>2136</v>
      </c>
      <c r="AH3353" t="inlineStr">
        <is>
          <t>CV. SAMUDRA JAYA ABADI - PPN (JMB)</t>
        </is>
      </c>
      <c r="AI3353" t="n">
        <v>104</v>
      </c>
      <c r="AJ3353" t="inlineStr">
        <is>
          <t>PIXY</t>
        </is>
      </c>
      <c r="AK3353" t="n">
        <v>9</v>
      </c>
      <c r="AL3353" t="inlineStr">
        <is>
          <t>Miss Glam Jambi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PIXY</t>
        </is>
      </c>
      <c r="B3354" s="2">
        <f>"8992222074339"</f>
        <v/>
      </c>
      <c r="C3354" t="inlineStr">
        <is>
          <t>PIXY Concealing Base 03 Crème Beige 9gr</t>
        </is>
      </c>
      <c r="D3354" t="inlineStr">
        <is>
          <t>Miss Glam Jambi</t>
        </is>
      </c>
      <c r="E3354" t="n">
        <v>9</v>
      </c>
      <c r="F3354" t="n">
        <v>1.1088</v>
      </c>
      <c r="G3354" t="n">
        <v>2.64</v>
      </c>
      <c r="H3354" t="n">
        <v>2</v>
      </c>
      <c r="I3354" t="n">
        <v>6</v>
      </c>
      <c r="J3354" t="n">
        <v>3</v>
      </c>
      <c r="K3354" t="n">
        <v>25</v>
      </c>
      <c r="L3354" t="n">
        <v>34400</v>
      </c>
      <c r="M3354" t="n">
        <v>38500</v>
      </c>
      <c r="N3354" t="n">
        <v>33</v>
      </c>
      <c r="O3354" t="n">
        <v>0.33</v>
      </c>
      <c r="P3354" t="n">
        <v>1</v>
      </c>
      <c r="Q3354" t="n">
        <v>0.36</v>
      </c>
      <c r="R3354" t="n">
        <v>2</v>
      </c>
      <c r="S3354" t="n">
        <v>42688.8</v>
      </c>
      <c r="T3354" t="n">
        <v>14</v>
      </c>
      <c r="U3354" t="n">
        <v>17</v>
      </c>
      <c r="V3354" t="n">
        <v>30</v>
      </c>
      <c r="W3354" t="n">
        <v>34</v>
      </c>
      <c r="X3354" t="n">
        <v>8.116883116883116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1397</v>
      </c>
      <c r="AG3354" t="n">
        <v>2136</v>
      </c>
      <c r="AH3354" t="inlineStr">
        <is>
          <t>CV. SAMUDRA JAYA ABADI - PPN (JMB)</t>
        </is>
      </c>
      <c r="AI3354" t="n">
        <v>104</v>
      </c>
      <c r="AJ3354" t="inlineStr">
        <is>
          <t>PIXY</t>
        </is>
      </c>
      <c r="AK3354" t="n">
        <v>9</v>
      </c>
      <c r="AL3354" t="inlineStr">
        <is>
          <t>Miss Glam Jambi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PIXY</t>
        </is>
      </c>
      <c r="B3355" s="2">
        <f>"8992222074346"</f>
        <v/>
      </c>
      <c r="C3355" t="inlineStr">
        <is>
          <t>PIXY Concealing Base 04 Caramel Beige 9g</t>
        </is>
      </c>
      <c r="D3355" t="inlineStr">
        <is>
          <t>Miss Glam Jambi</t>
        </is>
      </c>
      <c r="E3355" t="n">
        <v>9</v>
      </c>
      <c r="F3355" t="n">
        <v>0.1188</v>
      </c>
      <c r="G3355" t="n">
        <v>0.99</v>
      </c>
      <c r="H3355" t="n">
        <v>2</v>
      </c>
      <c r="I3355" t="n">
        <v>6</v>
      </c>
      <c r="J3355" t="n">
        <v>3</v>
      </c>
      <c r="K3355" t="n">
        <v>0</v>
      </c>
      <c r="L3355" t="n">
        <v>34400</v>
      </c>
      <c r="M3355" t="n">
        <v>38500</v>
      </c>
      <c r="N3355" t="n">
        <v>33</v>
      </c>
      <c r="O3355" t="n">
        <v>0.33</v>
      </c>
      <c r="P3355" t="n">
        <v>1</v>
      </c>
      <c r="Q3355" t="n">
        <v>0.08</v>
      </c>
      <c r="R3355" t="n">
        <v>1</v>
      </c>
      <c r="S3355" t="n">
        <v>4573.8</v>
      </c>
      <c r="T3355" t="n">
        <v>6</v>
      </c>
      <c r="U3355" t="n">
        <v>7</v>
      </c>
      <c r="V3355" t="n">
        <v>30</v>
      </c>
      <c r="W3355" t="n">
        <v>4</v>
      </c>
      <c r="X3355" t="n">
        <v>75.75757575757575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1397</v>
      </c>
      <c r="AG3355" t="n">
        <v>2136</v>
      </c>
      <c r="AH3355" t="inlineStr">
        <is>
          <t>CV. SAMUDRA JAYA ABADI - PPN (JMB)</t>
        </is>
      </c>
      <c r="AI3355" t="n">
        <v>104</v>
      </c>
      <c r="AJ3355" t="inlineStr">
        <is>
          <t>PIXY</t>
        </is>
      </c>
      <c r="AK3355" t="n">
        <v>9</v>
      </c>
      <c r="AL3355" t="inlineStr">
        <is>
          <t>Miss Glam Jambi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PIXY</t>
        </is>
      </c>
      <c r="B3356" s="2">
        <f>"8992222283502"</f>
        <v/>
      </c>
      <c r="C3356" t="inlineStr">
        <is>
          <t>PIXY End Matte Blush 01 Play Apricot 4gr</t>
        </is>
      </c>
      <c r="D3356" t="inlineStr">
        <is>
          <t>Miss Glam Jambi</t>
        </is>
      </c>
      <c r="E3356" t="n">
        <v>5</v>
      </c>
      <c r="F3356" t="n">
        <v>0.0495</v>
      </c>
      <c r="G3356" t="n">
        <v>0.66</v>
      </c>
      <c r="H3356" t="n">
        <v>2</v>
      </c>
      <c r="I3356" t="n">
        <v>6</v>
      </c>
      <c r="J3356" t="n">
        <v>3</v>
      </c>
      <c r="K3356" t="n">
        <v>0</v>
      </c>
      <c r="L3356" t="n">
        <v>38400</v>
      </c>
      <c r="M3356" t="n">
        <v>48000</v>
      </c>
      <c r="N3356" t="n">
        <v>33</v>
      </c>
      <c r="O3356" t="n">
        <v>0.33</v>
      </c>
      <c r="P3356" t="n">
        <v>1</v>
      </c>
      <c r="Q3356" t="n">
        <v>0.08</v>
      </c>
      <c r="R3356" t="n">
        <v>1</v>
      </c>
      <c r="S3356" t="n">
        <v>2376</v>
      </c>
      <c r="T3356" t="n">
        <v>4</v>
      </c>
      <c r="U3356" t="n">
        <v>5</v>
      </c>
      <c r="V3356" t="n">
        <v>30</v>
      </c>
      <c r="W3356" t="n">
        <v>2</v>
      </c>
      <c r="X3356" t="n">
        <v>101.010101010101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1397</v>
      </c>
      <c r="AG3356" t="n">
        <v>2136</v>
      </c>
      <c r="AH3356" t="inlineStr">
        <is>
          <t>CV. SAMUDRA JAYA ABADI - PPN (JMB)</t>
        </is>
      </c>
      <c r="AI3356" t="n">
        <v>104</v>
      </c>
      <c r="AJ3356" t="inlineStr">
        <is>
          <t>PIXY</t>
        </is>
      </c>
      <c r="AK3356" t="n">
        <v>9</v>
      </c>
      <c r="AL3356" t="inlineStr">
        <is>
          <t>Miss Glam Jambi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PIXY</t>
        </is>
      </c>
      <c r="B3357" s="2">
        <f>"8992222283519"</f>
        <v/>
      </c>
      <c r="C3357" t="inlineStr">
        <is>
          <t>PIXY End Matte Blush 02 Peach Pause 4gr</t>
        </is>
      </c>
      <c r="D3357" t="inlineStr">
        <is>
          <t>Miss Glam Jambi</t>
        </is>
      </c>
      <c r="E3357" t="n">
        <v>2</v>
      </c>
      <c r="F3357" t="n">
        <v>0.0231</v>
      </c>
      <c r="G3357" t="n">
        <v>0.33</v>
      </c>
      <c r="H3357" t="n">
        <v>2</v>
      </c>
      <c r="I3357" t="n">
        <v>6</v>
      </c>
      <c r="J3357" t="n">
        <v>3</v>
      </c>
      <c r="K3357" t="n">
        <v>0</v>
      </c>
      <c r="L3357" t="n">
        <v>38400</v>
      </c>
      <c r="M3357" t="n">
        <v>48000</v>
      </c>
      <c r="N3357" t="n">
        <v>33</v>
      </c>
      <c r="O3357" t="n">
        <v>0.33</v>
      </c>
      <c r="P3357" t="n">
        <v>1</v>
      </c>
      <c r="Q3357" t="n">
        <v>0.03</v>
      </c>
      <c r="R3357" t="n">
        <v>1</v>
      </c>
      <c r="S3357" t="n">
        <v>1108.8</v>
      </c>
      <c r="T3357" t="n">
        <v>2</v>
      </c>
      <c r="U3357" t="n">
        <v>3</v>
      </c>
      <c r="V3357" t="n">
        <v>30</v>
      </c>
      <c r="W3357" t="n">
        <v>1</v>
      </c>
      <c r="X3357" t="n">
        <v>86.58008658008657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1397</v>
      </c>
      <c r="AG3357" t="n">
        <v>2136</v>
      </c>
      <c r="AH3357" t="inlineStr">
        <is>
          <t>CV. SAMUDRA JAYA ABADI - PPN (JMB)</t>
        </is>
      </c>
      <c r="AI3357" t="n">
        <v>104</v>
      </c>
      <c r="AJ3357" t="inlineStr">
        <is>
          <t>PIXY</t>
        </is>
      </c>
      <c r="AK3357" t="n">
        <v>9</v>
      </c>
      <c r="AL3357" t="inlineStr">
        <is>
          <t>Miss Glam Jambi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PIXY</t>
        </is>
      </c>
      <c r="B3358" s="2">
        <f>"8992222073059"</f>
        <v/>
      </c>
      <c r="C3358" t="inlineStr">
        <is>
          <t>PIXY Eye &amp; Lip Makeup Remover 60ml</t>
        </is>
      </c>
      <c r="D3358" t="inlineStr">
        <is>
          <t>Miss Glam Jambi</t>
        </is>
      </c>
      <c r="E3358" t="n">
        <v>12</v>
      </c>
      <c r="F3358" t="n">
        <v>0.066</v>
      </c>
      <c r="G3358" t="n">
        <v>0.66</v>
      </c>
      <c r="H3358" t="n">
        <v>2</v>
      </c>
      <c r="I3358" t="n">
        <v>6</v>
      </c>
      <c r="J3358" t="n">
        <v>3</v>
      </c>
      <c r="K3358" t="n">
        <v>0</v>
      </c>
      <c r="L3358" t="n">
        <v>25600</v>
      </c>
      <c r="M3358" t="n">
        <v>31000</v>
      </c>
      <c r="N3358" t="n">
        <v>33</v>
      </c>
      <c r="O3358" t="n">
        <v>0.33</v>
      </c>
      <c r="P3358" t="n">
        <v>1</v>
      </c>
      <c r="Q3358" t="n">
        <v>0.22</v>
      </c>
      <c r="R3358" t="n">
        <v>2</v>
      </c>
      <c r="S3358" t="n">
        <v>2046</v>
      </c>
      <c r="T3358" t="n">
        <v>4</v>
      </c>
      <c r="U3358" t="n">
        <v>5</v>
      </c>
      <c r="V3358" t="n">
        <v>30</v>
      </c>
      <c r="W3358" t="n">
        <v>2</v>
      </c>
      <c r="X3358" t="n">
        <v>181.8181818181818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1397</v>
      </c>
      <c r="AG3358" t="n">
        <v>2136</v>
      </c>
      <c r="AH3358" t="inlineStr">
        <is>
          <t>CV. SAMUDRA JAYA ABADI - PPN (JMB)</t>
        </is>
      </c>
      <c r="AI3358" t="n">
        <v>104</v>
      </c>
      <c r="AJ3358" t="inlineStr">
        <is>
          <t>PIXY</t>
        </is>
      </c>
      <c r="AK3358" t="n">
        <v>9</v>
      </c>
      <c r="AL3358" t="inlineStr">
        <is>
          <t>Miss Glam Jambi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PIXY</t>
        </is>
      </c>
      <c r="B3359" s="2">
        <f>"8992222283236"</f>
        <v/>
      </c>
      <c r="C3359" t="inlineStr">
        <is>
          <t>PIXY Eyebrow Crayon Brown</t>
        </is>
      </c>
      <c r="D3359" t="inlineStr">
        <is>
          <t>Miss Glam Jambi</t>
        </is>
      </c>
      <c r="E3359" t="n">
        <v>7</v>
      </c>
      <c r="F3359" t="n">
        <v>0.0825</v>
      </c>
      <c r="G3359" t="n">
        <v>0.66</v>
      </c>
      <c r="H3359" t="n">
        <v>2</v>
      </c>
      <c r="I3359" t="n">
        <v>6</v>
      </c>
      <c r="J3359" t="n">
        <v>3</v>
      </c>
      <c r="K3359" t="n">
        <v>0</v>
      </c>
      <c r="L3359" t="n">
        <v>32800</v>
      </c>
      <c r="M3359" t="n">
        <v>39000</v>
      </c>
      <c r="N3359" t="n">
        <v>33</v>
      </c>
      <c r="O3359" t="n">
        <v>0.33</v>
      </c>
      <c r="P3359" t="n">
        <v>1</v>
      </c>
      <c r="Q3359" t="n">
        <v>0.31</v>
      </c>
      <c r="R3359" t="n">
        <v>4</v>
      </c>
      <c r="S3359" t="n">
        <v>3217.5</v>
      </c>
      <c r="T3359" t="n">
        <v>4</v>
      </c>
      <c r="U3359" t="n">
        <v>5</v>
      </c>
      <c r="V3359" t="n">
        <v>30</v>
      </c>
      <c r="W3359" t="n">
        <v>3</v>
      </c>
      <c r="X3359" t="n">
        <v>84.84848484848484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1397</v>
      </c>
      <c r="AG3359" t="n">
        <v>2136</v>
      </c>
      <c r="AH3359" t="inlineStr">
        <is>
          <t>CV. SAMUDRA JAYA ABADI - PPN (JMB)</t>
        </is>
      </c>
      <c r="AI3359" t="n">
        <v>104</v>
      </c>
      <c r="AJ3359" t="inlineStr">
        <is>
          <t>PIXY</t>
        </is>
      </c>
      <c r="AK3359" t="n">
        <v>9</v>
      </c>
      <c r="AL3359" t="inlineStr">
        <is>
          <t>Miss Glam Jambi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PIXY</t>
        </is>
      </c>
      <c r="B3360" s="2">
        <f>"8992222283229"</f>
        <v/>
      </c>
      <c r="C3360" t="inlineStr">
        <is>
          <t>PIXY Eyebrow Crayon Natural Black</t>
        </is>
      </c>
      <c r="D3360" t="inlineStr">
        <is>
          <t>Miss Glam Jambi</t>
        </is>
      </c>
      <c r="E3360" t="n">
        <v>7</v>
      </c>
      <c r="F3360" t="n">
        <v>0.009900000000000001</v>
      </c>
      <c r="G3360" t="n">
        <v>0.33</v>
      </c>
      <c r="H3360" t="n">
        <v>2</v>
      </c>
      <c r="I3360" t="n">
        <v>6</v>
      </c>
      <c r="J3360" t="n">
        <v>3</v>
      </c>
      <c r="K3360" t="n">
        <v>0</v>
      </c>
      <c r="L3360" t="n">
        <v>32800</v>
      </c>
      <c r="M3360" t="n">
        <v>39000</v>
      </c>
      <c r="N3360" t="n">
        <v>33</v>
      </c>
      <c r="O3360" t="n">
        <v>0.33</v>
      </c>
      <c r="P3360" t="n">
        <v>1</v>
      </c>
      <c r="Q3360" t="n">
        <v>0.19</v>
      </c>
      <c r="R3360" t="n">
        <v>2</v>
      </c>
      <c r="S3360" t="n">
        <v>386.1</v>
      </c>
      <c r="T3360" t="n">
        <v>2</v>
      </c>
      <c r="U3360" t="n">
        <v>3</v>
      </c>
      <c r="V3360" t="n">
        <v>30</v>
      </c>
      <c r="W3360" t="n">
        <v>1</v>
      </c>
      <c r="X3360" t="n">
        <v>707.070707070707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1397</v>
      </c>
      <c r="AG3360" t="n">
        <v>2136</v>
      </c>
      <c r="AH3360" t="inlineStr">
        <is>
          <t>CV. SAMUDRA JAYA ABADI - PPN (JMB)</t>
        </is>
      </c>
      <c r="AI3360" t="n">
        <v>104</v>
      </c>
      <c r="AJ3360" t="inlineStr">
        <is>
          <t>PIXY</t>
        </is>
      </c>
      <c r="AK3360" t="n">
        <v>9</v>
      </c>
      <c r="AL3360" t="inlineStr">
        <is>
          <t>Miss Glam Jambi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PIXY</t>
        </is>
      </c>
      <c r="B3361" s="2">
        <f>"8992222280679"</f>
        <v/>
      </c>
      <c r="C3361" t="inlineStr">
        <is>
          <t>PIXY Eyeliner Black</t>
        </is>
      </c>
      <c r="D3361" t="inlineStr">
        <is>
          <t>Miss Glam Jambi</t>
        </is>
      </c>
      <c r="E3361" t="n">
        <v>12</v>
      </c>
      <c r="F3361" t="n">
        <v>0.1947</v>
      </c>
      <c r="G3361" t="n">
        <v>0.66</v>
      </c>
      <c r="H3361" t="n">
        <v>2</v>
      </c>
      <c r="I3361" t="n">
        <v>6</v>
      </c>
      <c r="J3361" t="n">
        <v>3</v>
      </c>
      <c r="K3361" t="n">
        <v>0</v>
      </c>
      <c r="L3361" t="n">
        <v>31201</v>
      </c>
      <c r="M3361" t="n">
        <v>35000</v>
      </c>
      <c r="N3361" t="n">
        <v>33</v>
      </c>
      <c r="O3361" t="n">
        <v>0.33</v>
      </c>
      <c r="P3361" t="n">
        <v>1</v>
      </c>
      <c r="Q3361" t="n">
        <v>0.31</v>
      </c>
      <c r="R3361" t="n">
        <v>3</v>
      </c>
      <c r="S3361" t="n">
        <v>6814.5</v>
      </c>
      <c r="T3361" t="n">
        <v>4</v>
      </c>
      <c r="U3361" t="n">
        <v>5</v>
      </c>
      <c r="V3361" t="n">
        <v>30</v>
      </c>
      <c r="W3361" t="n">
        <v>6</v>
      </c>
      <c r="X3361" t="n">
        <v>61.63328197226502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1397</v>
      </c>
      <c r="AG3361" t="n">
        <v>2136</v>
      </c>
      <c r="AH3361" t="inlineStr">
        <is>
          <t>CV. SAMUDRA JAYA ABADI - PPN (JMB)</t>
        </is>
      </c>
      <c r="AI3361" t="n">
        <v>104</v>
      </c>
      <c r="AJ3361" t="inlineStr">
        <is>
          <t>PIXY</t>
        </is>
      </c>
      <c r="AK3361" t="n">
        <v>9</v>
      </c>
      <c r="AL3361" t="inlineStr">
        <is>
          <t>Miss Glam Jambi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PIXY</t>
        </is>
      </c>
      <c r="B3362" s="2">
        <f>"8992222281836"</f>
        <v/>
      </c>
      <c r="C3362" t="inlineStr">
        <is>
          <t>PIXY Eyeliner Brown</t>
        </is>
      </c>
      <c r="D3362" t="inlineStr">
        <is>
          <t>Miss Glam Jambi</t>
        </is>
      </c>
      <c r="E3362" t="n">
        <v>1</v>
      </c>
      <c r="F3362" t="n">
        <v>0.09569999999999999</v>
      </c>
      <c r="G3362" t="n">
        <v>0.66</v>
      </c>
      <c r="H3362" t="n">
        <v>2</v>
      </c>
      <c r="I3362" t="n">
        <v>6</v>
      </c>
      <c r="J3362" t="n">
        <v>3</v>
      </c>
      <c r="K3362" t="n">
        <v>3</v>
      </c>
      <c r="L3362" t="n">
        <v>31201</v>
      </c>
      <c r="M3362" t="n">
        <v>35000</v>
      </c>
      <c r="N3362" t="n">
        <v>33</v>
      </c>
      <c r="O3362" t="n">
        <v>0.33</v>
      </c>
      <c r="P3362" t="n">
        <v>1</v>
      </c>
      <c r="Q3362" t="n">
        <v>0.03</v>
      </c>
      <c r="R3362" t="n">
        <v>1</v>
      </c>
      <c r="S3362" t="n">
        <v>3349.5</v>
      </c>
      <c r="T3362" t="n">
        <v>4</v>
      </c>
      <c r="U3362" t="n">
        <v>5</v>
      </c>
      <c r="V3362" t="n">
        <v>30</v>
      </c>
      <c r="W3362" t="n">
        <v>3</v>
      </c>
      <c r="X3362" t="n">
        <v>10.44932079414838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1397</v>
      </c>
      <c r="AG3362" t="n">
        <v>2136</v>
      </c>
      <c r="AH3362" t="inlineStr">
        <is>
          <t>CV. SAMUDRA JAYA ABADI - PPN (JMB)</t>
        </is>
      </c>
      <c r="AI3362" t="n">
        <v>104</v>
      </c>
      <c r="AJ3362" t="inlineStr">
        <is>
          <t>PIXY</t>
        </is>
      </c>
      <c r="AK3362" t="n">
        <v>9</v>
      </c>
      <c r="AL3362" t="inlineStr">
        <is>
          <t>Miss Glam Jambi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PIXY</t>
        </is>
      </c>
      <c r="B3363" s="2">
        <f>"8992222072878"</f>
        <v/>
      </c>
      <c r="C3363" t="inlineStr">
        <is>
          <t>PIXY Facial Foam Anti Acne 100gr</t>
        </is>
      </c>
      <c r="D3363" t="inlineStr">
        <is>
          <t>Miss Glam Jambi</t>
        </is>
      </c>
      <c r="E3363" t="n">
        <v>6</v>
      </c>
      <c r="F3363" t="n">
        <v>0.009900000000000001</v>
      </c>
      <c r="G3363" t="n">
        <v>0.33</v>
      </c>
      <c r="H3363" t="n">
        <v>2</v>
      </c>
      <c r="I3363" t="n">
        <v>6</v>
      </c>
      <c r="J3363" t="n">
        <v>3</v>
      </c>
      <c r="K3363" t="n">
        <v>0</v>
      </c>
      <c r="L3363" t="n">
        <v>28000</v>
      </c>
      <c r="M3363" t="n">
        <v>30000</v>
      </c>
      <c r="N3363" t="n">
        <v>33</v>
      </c>
      <c r="O3363" t="n">
        <v>0.33</v>
      </c>
      <c r="P3363" t="n">
        <v>1</v>
      </c>
      <c r="Q3363" t="n">
        <v>0.05</v>
      </c>
      <c r="R3363" t="n">
        <v>1</v>
      </c>
      <c r="S3363" t="n">
        <v>297</v>
      </c>
      <c r="T3363" t="n">
        <v>2</v>
      </c>
      <c r="U3363" t="n">
        <v>3</v>
      </c>
      <c r="V3363" t="n">
        <v>30</v>
      </c>
      <c r="W3363" t="n">
        <v>1</v>
      </c>
      <c r="X3363" t="n">
        <v>606.060606060606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1397</v>
      </c>
      <c r="AG3363" t="n">
        <v>2136</v>
      </c>
      <c r="AH3363" t="inlineStr">
        <is>
          <t>CV. SAMUDRA JAYA ABADI - PPN (JMB)</t>
        </is>
      </c>
      <c r="AI3363" t="n">
        <v>104</v>
      </c>
      <c r="AJ3363" t="inlineStr">
        <is>
          <t>PIXY</t>
        </is>
      </c>
      <c r="AK3363" t="n">
        <v>9</v>
      </c>
      <c r="AL3363" t="inlineStr">
        <is>
          <t>Miss Glam Jambi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PIXY</t>
        </is>
      </c>
      <c r="B3364" s="2">
        <f>"8992222072502"</f>
        <v/>
      </c>
      <c r="C3364" t="inlineStr">
        <is>
          <t>PIXY Facial Foam Anti Acne 40gr</t>
        </is>
      </c>
      <c r="D3364" t="inlineStr">
        <is>
          <t>Miss Glam Jambi</t>
        </is>
      </c>
      <c r="E3364" t="n">
        <v>6</v>
      </c>
      <c r="F3364" t="n">
        <v>0.0165</v>
      </c>
      <c r="G3364" t="n">
        <v>0.33</v>
      </c>
      <c r="H3364" t="n">
        <v>2</v>
      </c>
      <c r="I3364" t="n">
        <v>6</v>
      </c>
      <c r="J3364" t="n">
        <v>3</v>
      </c>
      <c r="K3364" t="n">
        <v>0</v>
      </c>
      <c r="L3364" t="n">
        <v>14800</v>
      </c>
      <c r="M3364" t="n">
        <v>17000</v>
      </c>
      <c r="N3364" t="n">
        <v>33</v>
      </c>
      <c r="O3364" t="n">
        <v>0.33</v>
      </c>
      <c r="P3364" t="n">
        <v>1</v>
      </c>
      <c r="Q3364" t="n">
        <v>0.02</v>
      </c>
      <c r="R3364" t="n">
        <v>1</v>
      </c>
      <c r="S3364" t="n">
        <v>280.5</v>
      </c>
      <c r="T3364" t="n">
        <v>2</v>
      </c>
      <c r="U3364" t="n">
        <v>3</v>
      </c>
      <c r="V3364" t="n">
        <v>30</v>
      </c>
      <c r="W3364" t="n">
        <v>1</v>
      </c>
      <c r="X3364" t="n">
        <v>363.6363636363636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1397</v>
      </c>
      <c r="AG3364" t="n">
        <v>2136</v>
      </c>
      <c r="AH3364" t="inlineStr">
        <is>
          <t>CV. SAMUDRA JAYA ABADI - PPN (JMB)</t>
        </is>
      </c>
      <c r="AI3364" t="n">
        <v>104</v>
      </c>
      <c r="AJ3364" t="inlineStr">
        <is>
          <t>PIXY</t>
        </is>
      </c>
      <c r="AK3364" t="n">
        <v>9</v>
      </c>
      <c r="AL3364" t="inlineStr">
        <is>
          <t>Miss Glam Jambi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PIXY</t>
        </is>
      </c>
      <c r="B3365" s="2">
        <f>"8992222072885"</f>
        <v/>
      </c>
      <c r="C3365" t="inlineStr">
        <is>
          <t>PIXY Facial Foam Brightening 100gr</t>
        </is>
      </c>
      <c r="D3365" t="inlineStr">
        <is>
          <t>Miss Glam Jambi</t>
        </is>
      </c>
      <c r="E3365" t="n">
        <v>4</v>
      </c>
      <c r="F3365" t="n">
        <v>0.006600000000000001</v>
      </c>
      <c r="G3365" t="n">
        <v>0.33</v>
      </c>
      <c r="H3365" t="n">
        <v>2</v>
      </c>
      <c r="I3365" t="n">
        <v>6</v>
      </c>
      <c r="J3365" t="n">
        <v>3</v>
      </c>
      <c r="K3365" t="n">
        <v>0</v>
      </c>
      <c r="L3365" t="n">
        <v>27600</v>
      </c>
      <c r="M3365" t="n">
        <v>30000</v>
      </c>
      <c r="N3365" t="n">
        <v>33</v>
      </c>
      <c r="O3365" t="n">
        <v>0.33</v>
      </c>
      <c r="P3365" t="n">
        <v>1</v>
      </c>
      <c r="Q3365" t="n">
        <v>0.1</v>
      </c>
      <c r="R3365" t="n">
        <v>1</v>
      </c>
      <c r="S3365" t="n">
        <v>198</v>
      </c>
      <c r="T3365" t="n">
        <v>2</v>
      </c>
      <c r="U3365" t="n">
        <v>3</v>
      </c>
      <c r="V3365" t="n">
        <v>30</v>
      </c>
      <c r="W3365" t="n">
        <v>1</v>
      </c>
      <c r="X3365" t="n">
        <v>606.060606060606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1397</v>
      </c>
      <c r="AG3365" t="n">
        <v>2136</v>
      </c>
      <c r="AH3365" t="inlineStr">
        <is>
          <t>CV. SAMUDRA JAYA ABADI - PPN (JMB)</t>
        </is>
      </c>
      <c r="AI3365" t="n">
        <v>104</v>
      </c>
      <c r="AJ3365" t="inlineStr">
        <is>
          <t>PIXY</t>
        </is>
      </c>
      <c r="AK3365" t="n">
        <v>9</v>
      </c>
      <c r="AL3365" t="inlineStr">
        <is>
          <t>Miss Glam Jambi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PIXY</t>
        </is>
      </c>
      <c r="B3366" s="2">
        <f>"20100180132"</f>
        <v/>
      </c>
      <c r="C3366" t="inlineStr">
        <is>
          <t>PIXY Fixed Matte Powder Foundation 101C 9,5gr</t>
        </is>
      </c>
      <c r="D3366" t="inlineStr">
        <is>
          <t>Miss Glam Jambi</t>
        </is>
      </c>
      <c r="E3366" t="n">
        <v>4</v>
      </c>
      <c r="F3366" t="n">
        <v>0.0165</v>
      </c>
      <c r="G3366" t="n">
        <v>0.33</v>
      </c>
      <c r="H3366" t="n">
        <v>2</v>
      </c>
      <c r="I3366" t="n">
        <v>6</v>
      </c>
      <c r="J3366" t="n">
        <v>1</v>
      </c>
      <c r="K3366" t="n">
        <v>0</v>
      </c>
      <c r="L3366" t="n">
        <v>76000</v>
      </c>
      <c r="M3366" t="n">
        <v>89500</v>
      </c>
      <c r="N3366" t="n">
        <v>33</v>
      </c>
      <c r="O3366" t="n">
        <v>0.33</v>
      </c>
      <c r="P3366" t="n">
        <v>1</v>
      </c>
      <c r="Q3366" t="n">
        <v>0.03</v>
      </c>
      <c r="R3366" t="n">
        <v>1</v>
      </c>
      <c r="S3366" t="n">
        <v>1476.75</v>
      </c>
      <c r="T3366" t="n">
        <v>2</v>
      </c>
      <c r="U3366" t="n">
        <v>3</v>
      </c>
      <c r="V3366" t="n">
        <v>30</v>
      </c>
      <c r="W3366" t="n">
        <v>1</v>
      </c>
      <c r="X3366" t="n">
        <v>242.4242424242424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1397</v>
      </c>
      <c r="AG3366" t="n">
        <v>2136</v>
      </c>
      <c r="AH3366" t="inlineStr">
        <is>
          <t>CV. SAMUDRA JAYA ABADI - PPN (JMB)</t>
        </is>
      </c>
      <c r="AI3366" t="n">
        <v>104</v>
      </c>
      <c r="AJ3366" t="inlineStr">
        <is>
          <t>PIXY</t>
        </is>
      </c>
      <c r="AK3366" t="n">
        <v>9</v>
      </c>
      <c r="AL3366" t="inlineStr">
        <is>
          <t>Miss Glam Jambi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PIXY</t>
        </is>
      </c>
      <c r="B3367" s="2">
        <f>"20100180212"</f>
        <v/>
      </c>
      <c r="C3367" t="inlineStr">
        <is>
          <t>PIXY Fixed Matte Powder Foundation 202N 9,5gr</t>
        </is>
      </c>
      <c r="D3367" t="inlineStr">
        <is>
          <t>Miss Glam Jambi</t>
        </is>
      </c>
      <c r="E3367" t="n">
        <v>4</v>
      </c>
      <c r="F3367" t="n">
        <v>0.0231</v>
      </c>
      <c r="G3367" t="n">
        <v>0.33</v>
      </c>
      <c r="H3367" t="n">
        <v>2</v>
      </c>
      <c r="I3367" t="n">
        <v>6</v>
      </c>
      <c r="J3367" t="n">
        <v>1</v>
      </c>
      <c r="K3367" t="n">
        <v>0</v>
      </c>
      <c r="L3367" t="n">
        <v>76000</v>
      </c>
      <c r="M3367" t="n">
        <v>89500</v>
      </c>
      <c r="N3367" t="n">
        <v>33</v>
      </c>
      <c r="O3367" t="n">
        <v>0.33</v>
      </c>
      <c r="P3367" t="n">
        <v>1</v>
      </c>
      <c r="Q3367" t="n">
        <v>0.03</v>
      </c>
      <c r="R3367" t="n">
        <v>1</v>
      </c>
      <c r="S3367" t="n">
        <v>2067.45</v>
      </c>
      <c r="T3367" t="n">
        <v>2</v>
      </c>
      <c r="U3367" t="n">
        <v>3</v>
      </c>
      <c r="V3367" t="n">
        <v>30</v>
      </c>
      <c r="W3367" t="n">
        <v>1</v>
      </c>
      <c r="X3367" t="n">
        <v>173.1601731601731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1397</v>
      </c>
      <c r="AG3367" t="n">
        <v>2136</v>
      </c>
      <c r="AH3367" t="inlineStr">
        <is>
          <t>CV. SAMUDRA JAYA ABADI - PPN (JMB)</t>
        </is>
      </c>
      <c r="AI3367" t="n">
        <v>104</v>
      </c>
      <c r="AJ3367" t="inlineStr">
        <is>
          <t>PIXY</t>
        </is>
      </c>
      <c r="AK3367" t="n">
        <v>9</v>
      </c>
      <c r="AL3367" t="inlineStr">
        <is>
          <t>Miss Glam Jambi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PIXY</t>
        </is>
      </c>
      <c r="B3368" s="2">
        <f>"20100180425"</f>
        <v/>
      </c>
      <c r="C3368" t="inlineStr">
        <is>
          <t>PIXY Fixed Matte Powder Foundation 301C 9,5gr</t>
        </is>
      </c>
      <c r="D3368" t="inlineStr">
        <is>
          <t>Miss Glam Jambi</t>
        </is>
      </c>
      <c r="E3368" t="n">
        <v>4</v>
      </c>
      <c r="F3368" t="n">
        <v>0.0165</v>
      </c>
      <c r="G3368" t="n">
        <v>0.33</v>
      </c>
      <c r="H3368" t="n">
        <v>2</v>
      </c>
      <c r="I3368" t="n">
        <v>6</v>
      </c>
      <c r="J3368" t="n">
        <v>1</v>
      </c>
      <c r="K3368" t="n">
        <v>0</v>
      </c>
      <c r="L3368" t="n">
        <v>76000</v>
      </c>
      <c r="M3368" t="n">
        <v>89500</v>
      </c>
      <c r="N3368" t="n">
        <v>33</v>
      </c>
      <c r="O3368" t="n">
        <v>0.33</v>
      </c>
      <c r="P3368" t="n">
        <v>1</v>
      </c>
      <c r="Q3368" t="n">
        <v>0.03</v>
      </c>
      <c r="R3368" t="n">
        <v>1</v>
      </c>
      <c r="S3368" t="n">
        <v>1476.75</v>
      </c>
      <c r="T3368" t="n">
        <v>2</v>
      </c>
      <c r="U3368" t="n">
        <v>3</v>
      </c>
      <c r="V3368" t="n">
        <v>30</v>
      </c>
      <c r="W3368" t="n">
        <v>1</v>
      </c>
      <c r="X3368" t="n">
        <v>242.4242424242424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1397</v>
      </c>
      <c r="AG3368" t="n">
        <v>2136</v>
      </c>
      <c r="AH3368" t="inlineStr">
        <is>
          <t>CV. SAMUDRA JAYA ABADI - PPN (JMB)</t>
        </is>
      </c>
      <c r="AI3368" t="n">
        <v>104</v>
      </c>
      <c r="AJ3368" t="inlineStr">
        <is>
          <t>PIXY</t>
        </is>
      </c>
      <c r="AK3368" t="n">
        <v>9</v>
      </c>
      <c r="AL3368" t="inlineStr">
        <is>
          <t>Miss Glam Jambi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PIXY</t>
        </is>
      </c>
      <c r="B3369" s="2">
        <f>"20100180518"</f>
        <v/>
      </c>
      <c r="C3369" t="inlineStr">
        <is>
          <t>PIXY Fixed Matte Powder Foundation 302N 9,5gr</t>
        </is>
      </c>
      <c r="D3369" t="inlineStr">
        <is>
          <t>Miss Glam Jambi</t>
        </is>
      </c>
      <c r="E3369" t="n">
        <v>4</v>
      </c>
      <c r="F3369" t="n">
        <v>0.09569999999999999</v>
      </c>
      <c r="G3369" t="n">
        <v>0.66</v>
      </c>
      <c r="H3369" t="n">
        <v>2</v>
      </c>
      <c r="I3369" t="n">
        <v>6</v>
      </c>
      <c r="J3369" t="n">
        <v>1</v>
      </c>
      <c r="K3369" t="n">
        <v>0</v>
      </c>
      <c r="L3369" t="n">
        <v>76000</v>
      </c>
      <c r="M3369" t="n">
        <v>89500</v>
      </c>
      <c r="N3369" t="n">
        <v>33</v>
      </c>
      <c r="O3369" t="n">
        <v>0.33</v>
      </c>
      <c r="P3369" t="n">
        <v>1</v>
      </c>
      <c r="Q3369" t="n">
        <v>0.03</v>
      </c>
      <c r="R3369" t="n">
        <v>1</v>
      </c>
      <c r="S3369" t="n">
        <v>8565.15</v>
      </c>
      <c r="T3369" t="n">
        <v>4</v>
      </c>
      <c r="U3369" t="n">
        <v>5</v>
      </c>
      <c r="V3369" t="n">
        <v>30</v>
      </c>
      <c r="W3369" t="n">
        <v>3</v>
      </c>
      <c r="X3369" t="n">
        <v>41.79728317659352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1397</v>
      </c>
      <c r="AG3369" t="n">
        <v>2136</v>
      </c>
      <c r="AH3369" t="inlineStr">
        <is>
          <t>CV. SAMUDRA JAYA ABADI - PPN (JMB)</t>
        </is>
      </c>
      <c r="AI3369" t="n">
        <v>104</v>
      </c>
      <c r="AJ3369" t="inlineStr">
        <is>
          <t>PIXY</t>
        </is>
      </c>
      <c r="AK3369" t="n">
        <v>9</v>
      </c>
      <c r="AL3369" t="inlineStr">
        <is>
          <t>Miss Glam Jambi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PIXY</t>
        </is>
      </c>
      <c r="B3370" s="2">
        <f>"8992222072168"</f>
        <v/>
      </c>
      <c r="C3370" t="inlineStr">
        <is>
          <t>PIXY Fresh Toner Brightening 100ml</t>
        </is>
      </c>
      <c r="D3370" t="inlineStr">
        <is>
          <t>Miss Glam Jambi</t>
        </is>
      </c>
      <c r="E3370" t="n">
        <v>4</v>
      </c>
      <c r="F3370" t="n">
        <v>0.009900000000000001</v>
      </c>
      <c r="G3370" t="n">
        <v>0.66</v>
      </c>
      <c r="H3370" t="n">
        <v>2</v>
      </c>
      <c r="I3370" t="n">
        <v>6</v>
      </c>
      <c r="J3370" t="n">
        <v>3</v>
      </c>
      <c r="K3370" t="n">
        <v>0</v>
      </c>
      <c r="L3370" t="n">
        <v>19200</v>
      </c>
      <c r="M3370" t="n">
        <v>21500</v>
      </c>
      <c r="N3370" t="n">
        <v>33</v>
      </c>
      <c r="O3370" t="n">
        <v>0.33</v>
      </c>
      <c r="P3370" t="n">
        <v>1</v>
      </c>
      <c r="Q3370" t="n">
        <v>0.03</v>
      </c>
      <c r="R3370" t="n">
        <v>1</v>
      </c>
      <c r="S3370" t="n">
        <v>212.85</v>
      </c>
      <c r="T3370" t="n">
        <v>4</v>
      </c>
      <c r="U3370" t="n">
        <v>5</v>
      </c>
      <c r="V3370" t="n">
        <v>30</v>
      </c>
      <c r="W3370" t="n">
        <v>1</v>
      </c>
      <c r="X3370" t="n">
        <v>404.040404040404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1397</v>
      </c>
      <c r="AG3370" t="n">
        <v>2136</v>
      </c>
      <c r="AH3370" t="inlineStr">
        <is>
          <t>CV. SAMUDRA JAYA ABADI - PPN (JMB)</t>
        </is>
      </c>
      <c r="AI3370" t="n">
        <v>104</v>
      </c>
      <c r="AJ3370" t="inlineStr">
        <is>
          <t>PIXY</t>
        </is>
      </c>
      <c r="AK3370" t="n">
        <v>9</v>
      </c>
      <c r="AL3370" t="inlineStr">
        <is>
          <t>Miss Glam Jambi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PIXY</t>
        </is>
      </c>
      <c r="B3371" s="2">
        <f>"8992222283533"</f>
        <v/>
      </c>
      <c r="C3371" t="inlineStr">
        <is>
          <t>PIXY Glam Over Blush 01 Pink Hitter 4gr</t>
        </is>
      </c>
      <c r="D3371" t="inlineStr">
        <is>
          <t>Miss Glam Jambi</t>
        </is>
      </c>
      <c r="E3371" t="n">
        <v>4</v>
      </c>
      <c r="F3371" t="n">
        <v>0.0231</v>
      </c>
      <c r="G3371" t="n">
        <v>0.33</v>
      </c>
      <c r="H3371" t="n">
        <v>2</v>
      </c>
      <c r="I3371" t="n">
        <v>6</v>
      </c>
      <c r="J3371" t="n">
        <v>3</v>
      </c>
      <c r="K3371" t="n">
        <v>0</v>
      </c>
      <c r="L3371" t="n">
        <v>38400</v>
      </c>
      <c r="M3371" t="n">
        <v>48000</v>
      </c>
      <c r="N3371" t="n">
        <v>33</v>
      </c>
      <c r="O3371" t="n">
        <v>0.33</v>
      </c>
      <c r="P3371" t="n">
        <v>1</v>
      </c>
      <c r="Q3371" t="n">
        <v>0.05</v>
      </c>
      <c r="R3371" t="n">
        <v>1</v>
      </c>
      <c r="S3371" t="n">
        <v>1108.8</v>
      </c>
      <c r="T3371" t="n">
        <v>2</v>
      </c>
      <c r="U3371" t="n">
        <v>3</v>
      </c>
      <c r="V3371" t="n">
        <v>30</v>
      </c>
      <c r="W3371" t="n">
        <v>1</v>
      </c>
      <c r="X3371" t="n">
        <v>173.1601731601731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1397</v>
      </c>
      <c r="AG3371" t="n">
        <v>2136</v>
      </c>
      <c r="AH3371" t="inlineStr">
        <is>
          <t>CV. SAMUDRA JAYA ABADI - PPN (JMB)</t>
        </is>
      </c>
      <c r="AI3371" t="n">
        <v>104</v>
      </c>
      <c r="AJ3371" t="inlineStr">
        <is>
          <t>PIXY</t>
        </is>
      </c>
      <c r="AK3371" t="n">
        <v>9</v>
      </c>
      <c r="AL3371" t="inlineStr">
        <is>
          <t>Miss Glam Jambi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PIXY</t>
        </is>
      </c>
      <c r="B3372" s="2">
        <f>"8992222283540"</f>
        <v/>
      </c>
      <c r="C3372" t="inlineStr">
        <is>
          <t>PIXY Glam Over Blush 02 Coral Fighter 4gr</t>
        </is>
      </c>
      <c r="D3372" t="inlineStr">
        <is>
          <t>Miss Glam Jambi</t>
        </is>
      </c>
      <c r="E3372" t="n">
        <v>2</v>
      </c>
      <c r="F3372" t="n">
        <v>0.0264</v>
      </c>
      <c r="G3372" t="n">
        <v>0.33</v>
      </c>
      <c r="H3372" t="n">
        <v>2</v>
      </c>
      <c r="I3372" t="n">
        <v>6</v>
      </c>
      <c r="J3372" t="n">
        <v>3</v>
      </c>
      <c r="K3372" t="n">
        <v>0</v>
      </c>
      <c r="L3372" t="n">
        <v>38400</v>
      </c>
      <c r="M3372" t="n">
        <v>48000</v>
      </c>
      <c r="N3372" t="n">
        <v>33</v>
      </c>
      <c r="O3372" t="n">
        <v>0.33</v>
      </c>
      <c r="P3372" t="n">
        <v>1</v>
      </c>
      <c r="Q3372" t="n">
        <v>0.03</v>
      </c>
      <c r="R3372" t="n">
        <v>1</v>
      </c>
      <c r="S3372" t="n">
        <v>1267.2</v>
      </c>
      <c r="T3372" t="n">
        <v>2</v>
      </c>
      <c r="U3372" t="n">
        <v>3</v>
      </c>
      <c r="V3372" t="n">
        <v>30</v>
      </c>
      <c r="W3372" t="n">
        <v>1</v>
      </c>
      <c r="X3372" t="n">
        <v>75.75757575757575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1397</v>
      </c>
      <c r="AG3372" t="n">
        <v>2136</v>
      </c>
      <c r="AH3372" t="inlineStr">
        <is>
          <t>CV. SAMUDRA JAYA ABADI - PPN (JMB)</t>
        </is>
      </c>
      <c r="AI3372" t="n">
        <v>104</v>
      </c>
      <c r="AJ3372" t="inlineStr">
        <is>
          <t>PIXY</t>
        </is>
      </c>
      <c r="AK3372" t="n">
        <v>9</v>
      </c>
      <c r="AL3372" t="inlineStr">
        <is>
          <t>Miss Glam Jambi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PIXY</t>
        </is>
      </c>
      <c r="B3373" s="2">
        <f>"8992222074803"</f>
        <v/>
      </c>
      <c r="C3373" t="inlineStr">
        <is>
          <t>PIXY Glowessensials Mulberry Infused Micellar Water 145ml</t>
        </is>
      </c>
      <c r="D3373" t="inlineStr">
        <is>
          <t>Miss Glam Jambi</t>
        </is>
      </c>
      <c r="E3373" t="n">
        <v>3</v>
      </c>
      <c r="F3373" t="n">
        <v>0.0495</v>
      </c>
      <c r="G3373" t="n">
        <v>0.66</v>
      </c>
      <c r="H3373" t="n">
        <v>2</v>
      </c>
      <c r="I3373" t="n">
        <v>6</v>
      </c>
      <c r="J3373" t="n">
        <v>3</v>
      </c>
      <c r="K3373" t="n">
        <v>0</v>
      </c>
      <c r="L3373" t="n">
        <v>31200</v>
      </c>
      <c r="M3373" t="n">
        <v>37000</v>
      </c>
      <c r="N3373" t="n">
        <v>33</v>
      </c>
      <c r="O3373" t="n">
        <v>0.33</v>
      </c>
      <c r="P3373" t="n">
        <v>1</v>
      </c>
      <c r="Q3373" t="n">
        <v>0.07000000000000001</v>
      </c>
      <c r="R3373" t="n">
        <v>1</v>
      </c>
      <c r="S3373" t="n">
        <v>1831.5</v>
      </c>
      <c r="T3373" t="n">
        <v>4</v>
      </c>
      <c r="U3373" t="n">
        <v>5</v>
      </c>
      <c r="V3373" t="n">
        <v>30</v>
      </c>
      <c r="W3373" t="n">
        <v>2</v>
      </c>
      <c r="X3373" t="n">
        <v>60.6060606060606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1397</v>
      </c>
      <c r="AG3373" t="n">
        <v>2136</v>
      </c>
      <c r="AH3373" t="inlineStr">
        <is>
          <t>CV. SAMUDRA JAYA ABADI - PPN (JMB)</t>
        </is>
      </c>
      <c r="AI3373" t="n">
        <v>104</v>
      </c>
      <c r="AJ3373" t="inlineStr">
        <is>
          <t>PIXY</t>
        </is>
      </c>
      <c r="AK3373" t="n">
        <v>9</v>
      </c>
      <c r="AL3373" t="inlineStr">
        <is>
          <t>Miss Glam Jambi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PIXY</t>
        </is>
      </c>
      <c r="B3374" s="2">
        <f>"8992222074711"</f>
        <v/>
      </c>
      <c r="C3374" t="inlineStr">
        <is>
          <t>PIXY Glowssentials Sunshield Daily Moisturizer Pollution Off 20gr</t>
        </is>
      </c>
      <c r="D3374" t="inlineStr">
        <is>
          <t>Miss Glam Jambi</t>
        </is>
      </c>
      <c r="E3374" t="n">
        <v>4</v>
      </c>
      <c r="F3374" t="n">
        <v>0.0165</v>
      </c>
      <c r="G3374" t="n">
        <v>0.33</v>
      </c>
      <c r="H3374" t="n">
        <v>2</v>
      </c>
      <c r="I3374" t="n">
        <v>6</v>
      </c>
      <c r="J3374" t="n">
        <v>3</v>
      </c>
      <c r="K3374" t="n">
        <v>0</v>
      </c>
      <c r="L3374" t="n">
        <v>28800</v>
      </c>
      <c r="M3374" t="n">
        <v>34000</v>
      </c>
      <c r="N3374" t="n">
        <v>33</v>
      </c>
      <c r="O3374" t="n">
        <v>0.33</v>
      </c>
      <c r="P3374" t="n">
        <v>1</v>
      </c>
      <c r="Q3374" t="n">
        <v>0.03</v>
      </c>
      <c r="R3374" t="n">
        <v>2</v>
      </c>
      <c r="S3374" t="n">
        <v>561</v>
      </c>
      <c r="T3374" t="n">
        <v>2</v>
      </c>
      <c r="U3374" t="n">
        <v>3</v>
      </c>
      <c r="V3374" t="n">
        <v>30</v>
      </c>
      <c r="W3374" t="n">
        <v>1</v>
      </c>
      <c r="X3374" t="n">
        <v>242.4242424242424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1397</v>
      </c>
      <c r="AG3374" t="n">
        <v>2136</v>
      </c>
      <c r="AH3374" t="inlineStr">
        <is>
          <t>CV. SAMUDRA JAYA ABADI - PPN (JMB)</t>
        </is>
      </c>
      <c r="AI3374" t="n">
        <v>104</v>
      </c>
      <c r="AJ3374" t="inlineStr">
        <is>
          <t>PIXY</t>
        </is>
      </c>
      <c r="AK3374" t="n">
        <v>9</v>
      </c>
      <c r="AL3374" t="inlineStr">
        <is>
          <t>Miss Glam Jambi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PIXY</t>
        </is>
      </c>
      <c r="B3375" s="2">
        <f>"8992222075176"</f>
        <v/>
      </c>
      <c r="C3375" t="inlineStr">
        <is>
          <t>PIXY Hybrid Liquid Concealer 01 Cream Beige 8gr</t>
        </is>
      </c>
      <c r="D3375" t="inlineStr">
        <is>
          <t>Miss Glam Jambi</t>
        </is>
      </c>
      <c r="E3375" t="n">
        <v>2</v>
      </c>
      <c r="F3375" t="n">
        <v>0.06270000000000001</v>
      </c>
      <c r="G3375" t="n">
        <v>0.33</v>
      </c>
      <c r="H3375" t="n">
        <v>2</v>
      </c>
      <c r="I3375" t="n">
        <v>6</v>
      </c>
      <c r="J3375" t="n">
        <v>3</v>
      </c>
      <c r="K3375" t="n">
        <v>0</v>
      </c>
      <c r="L3375" t="n">
        <v>31200</v>
      </c>
      <c r="M3375" t="n">
        <v>37000</v>
      </c>
      <c r="N3375" t="n">
        <v>33</v>
      </c>
      <c r="O3375" t="n">
        <v>0.33</v>
      </c>
      <c r="P3375" t="n">
        <v>1</v>
      </c>
      <c r="Q3375" t="n">
        <v>0.05</v>
      </c>
      <c r="R3375" t="n">
        <v>1</v>
      </c>
      <c r="S3375" t="n">
        <v>2319.9</v>
      </c>
      <c r="T3375" t="n">
        <v>2</v>
      </c>
      <c r="U3375" t="n">
        <v>3</v>
      </c>
      <c r="V3375" t="n">
        <v>30</v>
      </c>
      <c r="W3375" t="n">
        <v>2</v>
      </c>
      <c r="X3375" t="n">
        <v>31.89792663476874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1397</v>
      </c>
      <c r="AG3375" t="n">
        <v>2136</v>
      </c>
      <c r="AH3375" t="inlineStr">
        <is>
          <t>CV. SAMUDRA JAYA ABADI - PPN (JMB)</t>
        </is>
      </c>
      <c r="AI3375" t="n">
        <v>104</v>
      </c>
      <c r="AJ3375" t="inlineStr">
        <is>
          <t>PIXY</t>
        </is>
      </c>
      <c r="AK3375" t="n">
        <v>9</v>
      </c>
      <c r="AL3375" t="inlineStr">
        <is>
          <t>Miss Glam Jambi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PIXY</t>
        </is>
      </c>
      <c r="B3376" s="2">
        <f>"8992222075183"</f>
        <v/>
      </c>
      <c r="C3376" t="inlineStr">
        <is>
          <t>PIXY Hybrid Liquid Concealer 02 Orange Beige 8gr</t>
        </is>
      </c>
      <c r="D3376" t="inlineStr">
        <is>
          <t>Miss Glam Jambi</t>
        </is>
      </c>
      <c r="E3376" t="n">
        <v>8</v>
      </c>
      <c r="F3376" t="n">
        <v>0.1188</v>
      </c>
      <c r="G3376" t="n">
        <v>0.66</v>
      </c>
      <c r="H3376" t="n">
        <v>2</v>
      </c>
      <c r="I3376" t="n">
        <v>6</v>
      </c>
      <c r="J3376" t="n">
        <v>3</v>
      </c>
      <c r="K3376" t="n">
        <v>0</v>
      </c>
      <c r="L3376" t="n">
        <v>31200</v>
      </c>
      <c r="M3376" t="n">
        <v>36000</v>
      </c>
      <c r="N3376" t="n">
        <v>33</v>
      </c>
      <c r="O3376" t="n">
        <v>0.33</v>
      </c>
      <c r="P3376" t="n">
        <v>1</v>
      </c>
      <c r="Q3376" t="n">
        <v>0.07000000000000001</v>
      </c>
      <c r="R3376" t="n">
        <v>1</v>
      </c>
      <c r="S3376" t="n">
        <v>4276.8</v>
      </c>
      <c r="T3376" t="n">
        <v>4</v>
      </c>
      <c r="U3376" t="n">
        <v>5</v>
      </c>
      <c r="V3376" t="n">
        <v>30</v>
      </c>
      <c r="W3376" t="n">
        <v>4</v>
      </c>
      <c r="X3376" t="n">
        <v>67.34006734006734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1397</v>
      </c>
      <c r="AG3376" t="n">
        <v>2136</v>
      </c>
      <c r="AH3376" t="inlineStr">
        <is>
          <t>CV. SAMUDRA JAYA ABADI - PPN (JMB)</t>
        </is>
      </c>
      <c r="AI3376" t="n">
        <v>104</v>
      </c>
      <c r="AJ3376" t="inlineStr">
        <is>
          <t>PIXY</t>
        </is>
      </c>
      <c r="AK3376" t="n">
        <v>9</v>
      </c>
      <c r="AL3376" t="inlineStr">
        <is>
          <t>Miss Glam Jambi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PIXY</t>
        </is>
      </c>
      <c r="B3377" s="2">
        <f>"20300395314"</f>
        <v/>
      </c>
      <c r="C3377" t="inlineStr">
        <is>
          <t>PIXY Hydra Glass Lip Tint 01 Toffe Caramel 2,5ml</t>
        </is>
      </c>
      <c r="D3377" t="inlineStr">
        <is>
          <t>Miss Glam Jambi</t>
        </is>
      </c>
      <c r="E3377" t="n">
        <v>2</v>
      </c>
      <c r="F3377" t="n">
        <v>0.009900000000000001</v>
      </c>
      <c r="G3377" t="n">
        <v>0.33</v>
      </c>
      <c r="H3377" t="n">
        <v>2</v>
      </c>
      <c r="I3377" t="n">
        <v>6</v>
      </c>
      <c r="J3377" t="n">
        <v>1</v>
      </c>
      <c r="K3377" t="n">
        <v>0</v>
      </c>
      <c r="L3377" t="n">
        <v>31201</v>
      </c>
      <c r="M3377" t="n">
        <v>37000</v>
      </c>
      <c r="N3377" t="n">
        <v>33</v>
      </c>
      <c r="O3377" t="n">
        <v>0.33</v>
      </c>
      <c r="P3377" t="n">
        <v>1</v>
      </c>
      <c r="Q3377" t="n">
        <v>0.03</v>
      </c>
      <c r="R3377" t="n">
        <v>1</v>
      </c>
      <c r="S3377" t="n">
        <v>366.3</v>
      </c>
      <c r="T3377" t="n">
        <v>2</v>
      </c>
      <c r="U3377" t="n">
        <v>3</v>
      </c>
      <c r="V3377" t="n">
        <v>30</v>
      </c>
      <c r="W3377" t="n">
        <v>1</v>
      </c>
      <c r="X3377" t="n">
        <v>202.020202020202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1397</v>
      </c>
      <c r="AG3377" t="n">
        <v>2136</v>
      </c>
      <c r="AH3377" t="inlineStr">
        <is>
          <t>CV. SAMUDRA JAYA ABADI - PPN (JMB)</t>
        </is>
      </c>
      <c r="AI3377" t="n">
        <v>104</v>
      </c>
      <c r="AJ3377" t="inlineStr">
        <is>
          <t>PIXY</t>
        </is>
      </c>
      <c r="AK3377" t="n">
        <v>9</v>
      </c>
      <c r="AL3377" t="inlineStr">
        <is>
          <t>Miss Glam Jambi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PIXY</t>
        </is>
      </c>
      <c r="B3378" s="2">
        <f>"20300395538"</f>
        <v/>
      </c>
      <c r="C3378" t="inlineStr">
        <is>
          <t>PIXY Hydra Glass Lip Tint 03 Pinky Popsicle 2,5ml</t>
        </is>
      </c>
      <c r="D3378" t="inlineStr">
        <is>
          <t>Miss Glam Jambi</t>
        </is>
      </c>
      <c r="E3378" t="n">
        <v>4</v>
      </c>
      <c r="F3378" t="n">
        <v>0.0396</v>
      </c>
      <c r="G3378" t="n">
        <v>0.33</v>
      </c>
      <c r="H3378" t="n">
        <v>2</v>
      </c>
      <c r="I3378" t="n">
        <v>6</v>
      </c>
      <c r="J3378" t="n">
        <v>1</v>
      </c>
      <c r="K3378" t="n">
        <v>0</v>
      </c>
      <c r="L3378" t="n">
        <v>31203</v>
      </c>
      <c r="M3378" t="n">
        <v>37000</v>
      </c>
      <c r="N3378" t="n">
        <v>33</v>
      </c>
      <c r="O3378" t="n">
        <v>0.33</v>
      </c>
      <c r="P3378" t="n">
        <v>1</v>
      </c>
      <c r="Q3378" t="n">
        <v>0.08</v>
      </c>
      <c r="R3378" t="n">
        <v>1</v>
      </c>
      <c r="S3378" t="n">
        <v>1465.2</v>
      </c>
      <c r="T3378" t="n">
        <v>2</v>
      </c>
      <c r="U3378" t="n">
        <v>3</v>
      </c>
      <c r="V3378" t="n">
        <v>30</v>
      </c>
      <c r="W3378" t="n">
        <v>2</v>
      </c>
      <c r="X3378" t="n">
        <v>101.010101010101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1397</v>
      </c>
      <c r="AG3378" t="n">
        <v>2136</v>
      </c>
      <c r="AH3378" t="inlineStr">
        <is>
          <t>CV. SAMUDRA JAYA ABADI - PPN (JMB)</t>
        </is>
      </c>
      <c r="AI3378" t="n">
        <v>104</v>
      </c>
      <c r="AJ3378" t="inlineStr">
        <is>
          <t>PIXY</t>
        </is>
      </c>
      <c r="AK3378" t="n">
        <v>9</v>
      </c>
      <c r="AL3378" t="inlineStr">
        <is>
          <t>Miss Glam Jambi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PIXY</t>
        </is>
      </c>
      <c r="B3379" s="2">
        <f>"20300396848"</f>
        <v/>
      </c>
      <c r="C3379" t="inlineStr">
        <is>
          <t>PIXY Hydra Glass Lip Tint 04 Shortcake 2,5ml</t>
        </is>
      </c>
      <c r="D3379" t="inlineStr">
        <is>
          <t>Miss Glam Jambi</t>
        </is>
      </c>
      <c r="E3379" t="n">
        <v>6</v>
      </c>
      <c r="F3379" t="n">
        <v>0.0462</v>
      </c>
      <c r="G3379" t="n">
        <v>0.33</v>
      </c>
      <c r="H3379" t="n">
        <v>2</v>
      </c>
      <c r="I3379" t="n">
        <v>6</v>
      </c>
      <c r="J3379" t="n">
        <v>1</v>
      </c>
      <c r="K3379" t="n">
        <v>0</v>
      </c>
      <c r="L3379" t="n">
        <v>31201</v>
      </c>
      <c r="M3379" t="n">
        <v>37000</v>
      </c>
      <c r="N3379" t="n">
        <v>33</v>
      </c>
      <c r="O3379" t="n">
        <v>0.33</v>
      </c>
      <c r="P3379" t="n">
        <v>1</v>
      </c>
      <c r="Q3379" t="n">
        <v>0.1</v>
      </c>
      <c r="R3379" t="n">
        <v>1</v>
      </c>
      <c r="S3379" t="n">
        <v>1709.4</v>
      </c>
      <c r="T3379" t="n">
        <v>2</v>
      </c>
      <c r="U3379" t="n">
        <v>3</v>
      </c>
      <c r="V3379" t="n">
        <v>30</v>
      </c>
      <c r="W3379" t="n">
        <v>2</v>
      </c>
      <c r="X3379" t="n">
        <v>129.8701298701299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1397</v>
      </c>
      <c r="AG3379" t="n">
        <v>2136</v>
      </c>
      <c r="AH3379" t="inlineStr">
        <is>
          <t>CV. SAMUDRA JAYA ABADI - PPN (JMB)</t>
        </is>
      </c>
      <c r="AI3379" t="n">
        <v>104</v>
      </c>
      <c r="AJ3379" t="inlineStr">
        <is>
          <t>PIXY</t>
        </is>
      </c>
      <c r="AK3379" t="n">
        <v>9</v>
      </c>
      <c r="AL3379" t="inlineStr">
        <is>
          <t>Miss Glam Jambi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PIXY</t>
        </is>
      </c>
      <c r="B3380" s="2">
        <f>"20300395646"</f>
        <v/>
      </c>
      <c r="C3380" t="inlineStr">
        <is>
          <t>PIXY Hydra Glass Lip Tint 05 raspberry Tart 2,5ml</t>
        </is>
      </c>
      <c r="D3380" t="inlineStr">
        <is>
          <t>Miss Glam Jambi</t>
        </is>
      </c>
      <c r="E3380" t="n">
        <v>6</v>
      </c>
      <c r="F3380" t="n">
        <v>0.0462</v>
      </c>
      <c r="G3380" t="n">
        <v>0.66</v>
      </c>
      <c r="H3380" t="n">
        <v>2</v>
      </c>
      <c r="I3380" t="n">
        <v>6</v>
      </c>
      <c r="J3380" t="n">
        <v>1</v>
      </c>
      <c r="K3380" t="n">
        <v>0</v>
      </c>
      <c r="L3380" t="n">
        <v>31201</v>
      </c>
      <c r="M3380" t="n">
        <v>37000</v>
      </c>
      <c r="N3380" t="n">
        <v>33</v>
      </c>
      <c r="O3380" t="n">
        <v>0.33</v>
      </c>
      <c r="P3380" t="n">
        <v>1</v>
      </c>
      <c r="Q3380" t="n">
        <v>0.08</v>
      </c>
      <c r="R3380" t="n">
        <v>1</v>
      </c>
      <c r="S3380" t="n">
        <v>1709.4</v>
      </c>
      <c r="T3380" t="n">
        <v>4</v>
      </c>
      <c r="U3380" t="n">
        <v>5</v>
      </c>
      <c r="V3380" t="n">
        <v>30</v>
      </c>
      <c r="W3380" t="n">
        <v>2</v>
      </c>
      <c r="X3380" t="n">
        <v>129.8701298701299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1397</v>
      </c>
      <c r="AG3380" t="n">
        <v>2136</v>
      </c>
      <c r="AH3380" t="inlineStr">
        <is>
          <t>CV. SAMUDRA JAYA ABADI - PPN (JMB)</t>
        </is>
      </c>
      <c r="AI3380" t="n">
        <v>104</v>
      </c>
      <c r="AJ3380" t="inlineStr">
        <is>
          <t>PIXY</t>
        </is>
      </c>
      <c r="AK3380" t="n">
        <v>9</v>
      </c>
      <c r="AL3380" t="inlineStr">
        <is>
          <t>Miss Glam Jambi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PIXY</t>
        </is>
      </c>
      <c r="B3381" s="2">
        <f>"20300395717"</f>
        <v/>
      </c>
      <c r="C3381" t="inlineStr">
        <is>
          <t>PIXY Hydra Glass Lip Tint 06 Apple Cinnamon 2,5ml</t>
        </is>
      </c>
      <c r="D3381" t="inlineStr">
        <is>
          <t>Miss Glam Jambi</t>
        </is>
      </c>
      <c r="E3381" t="n">
        <v>5</v>
      </c>
      <c r="F3381" t="n">
        <v>0.0462</v>
      </c>
      <c r="G3381" t="n">
        <v>0.66</v>
      </c>
      <c r="H3381" t="n">
        <v>2</v>
      </c>
      <c r="I3381" t="n">
        <v>6</v>
      </c>
      <c r="J3381" t="n">
        <v>1</v>
      </c>
      <c r="K3381" t="n">
        <v>0</v>
      </c>
      <c r="L3381" t="n">
        <v>31203</v>
      </c>
      <c r="M3381" t="n">
        <v>37000</v>
      </c>
      <c r="N3381" t="n">
        <v>33</v>
      </c>
      <c r="O3381" t="n">
        <v>0.33</v>
      </c>
      <c r="P3381" t="n">
        <v>1</v>
      </c>
      <c r="Q3381" t="n">
        <v>0.02</v>
      </c>
      <c r="R3381" t="n">
        <v>1</v>
      </c>
      <c r="S3381" t="n">
        <v>1709.4</v>
      </c>
      <c r="T3381" t="n">
        <v>4</v>
      </c>
      <c r="U3381" t="n">
        <v>5</v>
      </c>
      <c r="V3381" t="n">
        <v>30</v>
      </c>
      <c r="W3381" t="n">
        <v>2</v>
      </c>
      <c r="X3381" t="n">
        <v>108.2251082251082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1397</v>
      </c>
      <c r="AG3381" t="n">
        <v>2136</v>
      </c>
      <c r="AH3381" t="inlineStr">
        <is>
          <t>CV. SAMUDRA JAYA ABADI - PPN (JMB)</t>
        </is>
      </c>
      <c r="AI3381" t="n">
        <v>104</v>
      </c>
      <c r="AJ3381" t="inlineStr">
        <is>
          <t>PIXY</t>
        </is>
      </c>
      <c r="AK3381" t="n">
        <v>9</v>
      </c>
      <c r="AL3381" t="inlineStr">
        <is>
          <t>Miss Glam Jambi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PIXY</t>
        </is>
      </c>
      <c r="B3382" s="2">
        <f>"20300395808"</f>
        <v/>
      </c>
      <c r="C3382" t="inlineStr">
        <is>
          <t>PIXY Hydra Glass Lip Tint 07 Cherry Pie 2,5ml</t>
        </is>
      </c>
      <c r="D3382" t="inlineStr">
        <is>
          <t>Miss Glam Jambi</t>
        </is>
      </c>
      <c r="E3382" t="n">
        <v>2</v>
      </c>
      <c r="F3382" t="n">
        <v>0.1023</v>
      </c>
      <c r="G3382" t="n">
        <v>0.66</v>
      </c>
      <c r="H3382" t="n">
        <v>2</v>
      </c>
      <c r="I3382" t="n">
        <v>6</v>
      </c>
      <c r="J3382" t="n">
        <v>1</v>
      </c>
      <c r="K3382" t="n">
        <v>0</v>
      </c>
      <c r="L3382" t="n">
        <v>31203</v>
      </c>
      <c r="M3382" t="n">
        <v>37000</v>
      </c>
      <c r="N3382" t="n">
        <v>33</v>
      </c>
      <c r="O3382" t="n">
        <v>0.33</v>
      </c>
      <c r="P3382" t="n">
        <v>1</v>
      </c>
      <c r="Q3382" t="n">
        <v>0.07000000000000001</v>
      </c>
      <c r="R3382" t="n">
        <v>1</v>
      </c>
      <c r="S3382" t="n">
        <v>3785.1</v>
      </c>
      <c r="T3382" t="n">
        <v>4</v>
      </c>
      <c r="U3382" t="n">
        <v>5</v>
      </c>
      <c r="V3382" t="n">
        <v>30</v>
      </c>
      <c r="W3382" t="n">
        <v>4</v>
      </c>
      <c r="X3382" t="n">
        <v>19.55034213098729</v>
      </c>
      <c r="Y3382" t="n">
        <v>1</v>
      </c>
      <c r="Z3382" t="n">
        <v>2</v>
      </c>
      <c r="AA3382" t="n">
        <v>0</v>
      </c>
      <c r="AB3382" t="n">
        <v>2</v>
      </c>
      <c r="AC3382" t="n">
        <v>2</v>
      </c>
      <c r="AD3382" t="n">
        <v>0</v>
      </c>
      <c r="AE3382" t="n">
        <v>62406</v>
      </c>
      <c r="AF3382" t="n">
        <v>1397</v>
      </c>
      <c r="AG3382" t="n">
        <v>2136</v>
      </c>
      <c r="AH3382" t="inlineStr">
        <is>
          <t>CV. SAMUDRA JAYA ABADI - PPN (JMB)</t>
        </is>
      </c>
      <c r="AI3382" t="n">
        <v>104</v>
      </c>
      <c r="AJ3382" t="inlineStr">
        <is>
          <t>PIXY</t>
        </is>
      </c>
      <c r="AK3382" t="n">
        <v>9</v>
      </c>
      <c r="AL3382" t="inlineStr">
        <is>
          <t>Miss Glam Jambi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PIXY</t>
        </is>
      </c>
      <c r="B3383" s="2">
        <f>"20300398215"</f>
        <v/>
      </c>
      <c r="C3383" t="inlineStr">
        <is>
          <t>PIXY Hydra Glass Liptint 09.2,5ml</t>
        </is>
      </c>
      <c r="D3383" t="inlineStr">
        <is>
          <t>Miss Glam Jambi</t>
        </is>
      </c>
      <c r="E3383" t="n">
        <v>3</v>
      </c>
      <c r="F3383" t="n">
        <v>0.0495</v>
      </c>
      <c r="G3383" t="n">
        <v>0.66</v>
      </c>
      <c r="H3383" t="n">
        <v>2</v>
      </c>
      <c r="I3383" t="n">
        <v>6</v>
      </c>
      <c r="J3383" t="n">
        <v>1</v>
      </c>
      <c r="K3383" t="n">
        <v>0</v>
      </c>
      <c r="L3383" t="n">
        <v>31203</v>
      </c>
      <c r="M3383" t="n">
        <v>37000</v>
      </c>
      <c r="N3383" t="n">
        <v>33</v>
      </c>
      <c r="O3383" t="n">
        <v>0.33</v>
      </c>
      <c r="P3383" t="n">
        <v>1</v>
      </c>
      <c r="Q3383" t="n">
        <v>0.05</v>
      </c>
      <c r="R3383" t="n">
        <v>2</v>
      </c>
      <c r="S3383" t="n">
        <v>1831.5</v>
      </c>
      <c r="T3383" t="n">
        <v>4</v>
      </c>
      <c r="U3383" t="n">
        <v>5</v>
      </c>
      <c r="V3383" t="n">
        <v>30</v>
      </c>
      <c r="W3383" t="n">
        <v>2</v>
      </c>
      <c r="X3383" t="n">
        <v>60.6060606060606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1397</v>
      </c>
      <c r="AG3383" t="n">
        <v>2136</v>
      </c>
      <c r="AH3383" t="inlineStr">
        <is>
          <t>CV. SAMUDRA JAYA ABADI - PPN (JMB)</t>
        </is>
      </c>
      <c r="AI3383" t="n">
        <v>104</v>
      </c>
      <c r="AJ3383" t="inlineStr">
        <is>
          <t>PIXY</t>
        </is>
      </c>
      <c r="AK3383" t="n">
        <v>9</v>
      </c>
      <c r="AL3383" t="inlineStr">
        <is>
          <t>Miss Glam Jambi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PIXY</t>
        </is>
      </c>
      <c r="B3384" s="2">
        <f>"20300398310"</f>
        <v/>
      </c>
      <c r="C3384" t="inlineStr">
        <is>
          <t>PIXY Hydra Glass Liptint 10.2,5ml</t>
        </is>
      </c>
      <c r="D3384" t="inlineStr">
        <is>
          <t>Miss Glam Jambi</t>
        </is>
      </c>
      <c r="E3384" t="n">
        <v>4</v>
      </c>
      <c r="F3384" t="n">
        <v>0.033</v>
      </c>
      <c r="G3384" t="n">
        <v>0.33</v>
      </c>
      <c r="H3384" t="n">
        <v>2</v>
      </c>
      <c r="I3384" t="n">
        <v>6</v>
      </c>
      <c r="J3384" t="n">
        <v>1</v>
      </c>
      <c r="K3384" t="n">
        <v>0</v>
      </c>
      <c r="L3384" t="n">
        <v>31203</v>
      </c>
      <c r="M3384" t="n">
        <v>37000</v>
      </c>
      <c r="N3384" t="n">
        <v>33</v>
      </c>
      <c r="O3384" t="n">
        <v>0.33</v>
      </c>
      <c r="P3384" t="n">
        <v>1</v>
      </c>
      <c r="Q3384" t="n">
        <v>0.03</v>
      </c>
      <c r="R3384" t="n">
        <v>1</v>
      </c>
      <c r="S3384" t="n">
        <v>1221</v>
      </c>
      <c r="T3384" t="n">
        <v>2</v>
      </c>
      <c r="U3384" t="n">
        <v>3</v>
      </c>
      <c r="V3384" t="n">
        <v>30</v>
      </c>
      <c r="W3384" t="n">
        <v>1</v>
      </c>
      <c r="X3384" t="n">
        <v>121.2121212121212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1397</v>
      </c>
      <c r="AG3384" t="n">
        <v>2136</v>
      </c>
      <c r="AH3384" t="inlineStr">
        <is>
          <t>CV. SAMUDRA JAYA ABADI - PPN (JMB)</t>
        </is>
      </c>
      <c r="AI3384" t="n">
        <v>104</v>
      </c>
      <c r="AJ3384" t="inlineStr">
        <is>
          <t>PIXY</t>
        </is>
      </c>
      <c r="AK3384" t="n">
        <v>9</v>
      </c>
      <c r="AL3384" t="inlineStr">
        <is>
          <t>Miss Glam Jambi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PIXY</t>
        </is>
      </c>
      <c r="B3385" s="2">
        <f>"203002202454"</f>
        <v/>
      </c>
      <c r="C3385" t="inlineStr">
        <is>
          <t>PIXY Hyperlast Glazed Lip Vinyl 01 Barely Peachy (3gr)</t>
        </is>
      </c>
      <c r="D3385" t="inlineStr">
        <is>
          <t>Miss Glam Jambi</t>
        </is>
      </c>
      <c r="E3385" t="n">
        <v>4</v>
      </c>
      <c r="F3385" t="n">
        <v>0.006600000000000001</v>
      </c>
      <c r="G3385" t="n">
        <v>0.33</v>
      </c>
      <c r="H3385" t="n">
        <v>2</v>
      </c>
      <c r="I3385" t="n">
        <v>6</v>
      </c>
      <c r="J3385" t="n">
        <v>1</v>
      </c>
      <c r="K3385" t="n">
        <v>0</v>
      </c>
      <c r="L3385" t="n">
        <v>55200</v>
      </c>
      <c r="M3385" t="n">
        <v>65000</v>
      </c>
      <c r="N3385" t="n">
        <v>33</v>
      </c>
      <c r="O3385" t="n">
        <v>0.33</v>
      </c>
      <c r="P3385" t="n">
        <v>1</v>
      </c>
      <c r="Q3385" t="n">
        <v>0.03</v>
      </c>
      <c r="R3385" t="n">
        <v>1</v>
      </c>
      <c r="S3385" t="n">
        <v>429.0000000000001</v>
      </c>
      <c r="T3385" t="n">
        <v>2</v>
      </c>
      <c r="U3385" t="n">
        <v>3</v>
      </c>
      <c r="V3385" t="n">
        <v>30</v>
      </c>
      <c r="W3385" t="n">
        <v>1</v>
      </c>
      <c r="X3385" t="n">
        <v>606.060606060606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1397</v>
      </c>
      <c r="AG3385" t="n">
        <v>2136</v>
      </c>
      <c r="AH3385" t="inlineStr">
        <is>
          <t>CV. SAMUDRA JAYA ABADI - PPN (JMB)</t>
        </is>
      </c>
      <c r="AI3385" t="n">
        <v>104</v>
      </c>
      <c r="AJ3385" t="inlineStr">
        <is>
          <t>PIXY</t>
        </is>
      </c>
      <c r="AK3385" t="n">
        <v>9</v>
      </c>
      <c r="AL3385" t="inlineStr">
        <is>
          <t>Miss Glam Jambi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PIXY</t>
        </is>
      </c>
      <c r="B3386" s="2">
        <f>"203002202515"</f>
        <v/>
      </c>
      <c r="C3386" t="inlineStr">
        <is>
          <t>PIXY Hyperlast Glazed Lip Vinyl 02 Coral Courage (3gr)</t>
        </is>
      </c>
      <c r="D3386" t="inlineStr">
        <is>
          <t>Miss Glam Jambi</t>
        </is>
      </c>
      <c r="E3386" t="n">
        <v>6</v>
      </c>
      <c r="F3386" t="n">
        <v>0.0396</v>
      </c>
      <c r="G3386" t="n">
        <v>0.66</v>
      </c>
      <c r="H3386" t="n">
        <v>2</v>
      </c>
      <c r="I3386" t="n">
        <v>6</v>
      </c>
      <c r="J3386" t="n">
        <v>1</v>
      </c>
      <c r="K3386" t="n">
        <v>0</v>
      </c>
      <c r="L3386" t="n">
        <v>55200</v>
      </c>
      <c r="M3386" t="n">
        <v>65000</v>
      </c>
      <c r="N3386" t="n">
        <v>33</v>
      </c>
      <c r="O3386" t="n">
        <v>0.33</v>
      </c>
      <c r="P3386" t="n">
        <v>1</v>
      </c>
      <c r="Q3386" t="n">
        <v>0.14</v>
      </c>
      <c r="R3386" t="n">
        <v>2</v>
      </c>
      <c r="S3386" t="n">
        <v>2574</v>
      </c>
      <c r="T3386" t="n">
        <v>4</v>
      </c>
      <c r="U3386" t="n">
        <v>5</v>
      </c>
      <c r="V3386" t="n">
        <v>30</v>
      </c>
      <c r="W3386" t="n">
        <v>2</v>
      </c>
      <c r="X3386" t="n">
        <v>151.5151515151515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1397</v>
      </c>
      <c r="AG3386" t="n">
        <v>2136</v>
      </c>
      <c r="AH3386" t="inlineStr">
        <is>
          <t>CV. SAMUDRA JAYA ABADI - PPN (JMB)</t>
        </is>
      </c>
      <c r="AI3386" t="n">
        <v>104</v>
      </c>
      <c r="AJ3386" t="inlineStr">
        <is>
          <t>PIXY</t>
        </is>
      </c>
      <c r="AK3386" t="n">
        <v>9</v>
      </c>
      <c r="AL3386" t="inlineStr">
        <is>
          <t>Miss Glam Jambi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PIXY</t>
        </is>
      </c>
      <c r="B3387" s="2">
        <f>"203002202642"</f>
        <v/>
      </c>
      <c r="C3387" t="inlineStr">
        <is>
          <t>PIXY Hyperlast Glazed Lip Vinyl 03 Charming Pink (3gr)</t>
        </is>
      </c>
      <c r="D3387" t="inlineStr">
        <is>
          <t>Miss Glam Jambi</t>
        </is>
      </c>
      <c r="E3387" t="n">
        <v>7</v>
      </c>
      <c r="F3387" t="n">
        <v>0.09569999999999999</v>
      </c>
      <c r="G3387" t="n">
        <v>0.99</v>
      </c>
      <c r="H3387" t="n">
        <v>2</v>
      </c>
      <c r="I3387" t="n">
        <v>6</v>
      </c>
      <c r="J3387" t="n">
        <v>1</v>
      </c>
      <c r="K3387" t="n">
        <v>0</v>
      </c>
      <c r="L3387" t="n">
        <v>55200</v>
      </c>
      <c r="M3387" t="n">
        <v>65000</v>
      </c>
      <c r="N3387" t="n">
        <v>33</v>
      </c>
      <c r="O3387" t="n">
        <v>0.33</v>
      </c>
      <c r="P3387" t="n">
        <v>1</v>
      </c>
      <c r="Q3387" t="n">
        <v>0.14</v>
      </c>
      <c r="R3387" t="n">
        <v>1</v>
      </c>
      <c r="S3387" t="n">
        <v>6220.5</v>
      </c>
      <c r="T3387" t="n">
        <v>6</v>
      </c>
      <c r="U3387" t="n">
        <v>7</v>
      </c>
      <c r="V3387" t="n">
        <v>30</v>
      </c>
      <c r="W3387" t="n">
        <v>3</v>
      </c>
      <c r="X3387" t="n">
        <v>73.14524555903867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1397</v>
      </c>
      <c r="AG3387" t="n">
        <v>2136</v>
      </c>
      <c r="AH3387" t="inlineStr">
        <is>
          <t>CV. SAMUDRA JAYA ABADI - PPN (JMB)</t>
        </is>
      </c>
      <c r="AI3387" t="n">
        <v>104</v>
      </c>
      <c r="AJ3387" t="inlineStr">
        <is>
          <t>PIXY</t>
        </is>
      </c>
      <c r="AK3387" t="n">
        <v>9</v>
      </c>
      <c r="AL3387" t="inlineStr">
        <is>
          <t>Miss Glam Jambi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"203002202704"</f>
        <v/>
      </c>
      <c r="C3388" t="inlineStr">
        <is>
          <t>PIXY Hyperlast Glazed Lip Vinyl 04 Mauve Ambition (3gr)</t>
        </is>
      </c>
      <c r="D3388" t="inlineStr">
        <is>
          <t>Miss Glam Jambi</t>
        </is>
      </c>
      <c r="E3388" t="n">
        <v>4</v>
      </c>
      <c r="F3388" t="n">
        <v>0.03</v>
      </c>
      <c r="G3388" t="n">
        <v>2</v>
      </c>
      <c r="H3388" t="n">
        <v>2</v>
      </c>
      <c r="I3388" t="n">
        <v>6</v>
      </c>
      <c r="J3388" t="n">
        <v>1</v>
      </c>
      <c r="K3388" t="n">
        <v>0</v>
      </c>
      <c r="L3388" t="n">
        <v>55200</v>
      </c>
      <c r="M3388" t="n">
        <v>65000</v>
      </c>
      <c r="N3388" t="n">
        <v>33</v>
      </c>
      <c r="O3388" t="n">
        <v>0.33</v>
      </c>
      <c r="P3388" t="n">
        <v>0</v>
      </c>
      <c r="Q3388" t="n">
        <v>0.03</v>
      </c>
      <c r="R3388" t="n">
        <v>2</v>
      </c>
      <c r="S3388" t="n">
        <v>1950</v>
      </c>
      <c r="T3388" t="n">
        <v>12</v>
      </c>
      <c r="U3388" t="n">
        <v>13</v>
      </c>
      <c r="V3388" t="n">
        <v>30</v>
      </c>
      <c r="W3388" t="n">
        <v>1</v>
      </c>
      <c r="X3388" t="n">
        <v>133.3333333333333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1397</v>
      </c>
      <c r="AG3388" t="n">
        <v>2136</v>
      </c>
      <c r="AH3388" t="inlineStr">
        <is>
          <t>CV. SAMUDRA JAYA ABADI - PPN (JMB)</t>
        </is>
      </c>
      <c r="AI3388" t="n">
        <v>104</v>
      </c>
      <c r="AJ3388" t="inlineStr">
        <is>
          <t>PIXY</t>
        </is>
      </c>
      <c r="AK3388" t="n">
        <v>9</v>
      </c>
      <c r="AL3388" t="inlineStr">
        <is>
          <t>Miss Glam Jambi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"203002202827"</f>
        <v/>
      </c>
      <c r="C3389" t="inlineStr">
        <is>
          <t>PIXY Hyperlast Glazed Lip Vinyl 05 Fiery Crimson (3gr)</t>
        </is>
      </c>
      <c r="D3389" t="inlineStr">
        <is>
          <t>Miss Glam Jambi</t>
        </is>
      </c>
      <c r="E3389" t="n">
        <v>6</v>
      </c>
      <c r="F3389" t="n">
        <v>0.1848</v>
      </c>
      <c r="G3389" t="n">
        <v>0.99</v>
      </c>
      <c r="H3389" t="n">
        <v>2</v>
      </c>
      <c r="I3389" t="n">
        <v>6</v>
      </c>
      <c r="J3389" t="n">
        <v>1</v>
      </c>
      <c r="K3389" t="n">
        <v>0</v>
      </c>
      <c r="L3389" t="n">
        <v>55200</v>
      </c>
      <c r="M3389" t="n">
        <v>65000</v>
      </c>
      <c r="N3389" t="n">
        <v>33</v>
      </c>
      <c r="O3389" t="n">
        <v>0.33</v>
      </c>
      <c r="P3389" t="n">
        <v>1</v>
      </c>
      <c r="Q3389" t="n">
        <v>0.24</v>
      </c>
      <c r="R3389" t="n">
        <v>2</v>
      </c>
      <c r="S3389" t="n">
        <v>12012</v>
      </c>
      <c r="T3389" t="n">
        <v>6</v>
      </c>
      <c r="U3389" t="n">
        <v>7</v>
      </c>
      <c r="V3389" t="n">
        <v>30</v>
      </c>
      <c r="W3389" t="n">
        <v>6</v>
      </c>
      <c r="X3389" t="n">
        <v>32.46753246753246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1397</v>
      </c>
      <c r="AG3389" t="n">
        <v>2136</v>
      </c>
      <c r="AH3389" t="inlineStr">
        <is>
          <t>CV. SAMUDRA JAYA ABADI - PPN (JMB)</t>
        </is>
      </c>
      <c r="AI3389" t="n">
        <v>104</v>
      </c>
      <c r="AJ3389" t="inlineStr">
        <is>
          <t>PIXY</t>
        </is>
      </c>
      <c r="AK3389" t="n">
        <v>9</v>
      </c>
      <c r="AL3389" t="inlineStr">
        <is>
          <t>Miss Glam Jambi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"203002202920"</f>
        <v/>
      </c>
      <c r="C3390" t="inlineStr">
        <is>
          <t>PIXY Hyperlast Glazed Lip Vinyl 06 Mahogany Mission (3gr)</t>
        </is>
      </c>
      <c r="D3390" t="inlineStr">
        <is>
          <t>Miss Glam Jambi</t>
        </is>
      </c>
      <c r="E3390" t="n">
        <v>5</v>
      </c>
      <c r="F3390" t="n">
        <v>0.0231</v>
      </c>
      <c r="G3390" t="n">
        <v>0.33</v>
      </c>
      <c r="H3390" t="n">
        <v>2</v>
      </c>
      <c r="I3390" t="n">
        <v>6</v>
      </c>
      <c r="J3390" t="n">
        <v>1</v>
      </c>
      <c r="K3390" t="n">
        <v>0</v>
      </c>
      <c r="L3390" t="n">
        <v>55200</v>
      </c>
      <c r="M3390" t="n">
        <v>65000</v>
      </c>
      <c r="N3390" t="n">
        <v>33</v>
      </c>
      <c r="O3390" t="n">
        <v>0.33</v>
      </c>
      <c r="P3390" t="n">
        <v>1</v>
      </c>
      <c r="Q3390" t="n">
        <v>0.08</v>
      </c>
      <c r="R3390" t="n">
        <v>2</v>
      </c>
      <c r="S3390" t="n">
        <v>1501.5</v>
      </c>
      <c r="T3390" t="n">
        <v>2</v>
      </c>
      <c r="U3390" t="n">
        <v>3</v>
      </c>
      <c r="V3390" t="n">
        <v>30</v>
      </c>
      <c r="W3390" t="n">
        <v>1</v>
      </c>
      <c r="X3390" t="n">
        <v>216.4502164502164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1397</v>
      </c>
      <c r="AG3390" t="n">
        <v>2136</v>
      </c>
      <c r="AH3390" t="inlineStr">
        <is>
          <t>CV. SAMUDRA JAYA ABADI - PPN (JMB)</t>
        </is>
      </c>
      <c r="AI3390" t="n">
        <v>104</v>
      </c>
      <c r="AJ3390" t="inlineStr">
        <is>
          <t>PIXY</t>
        </is>
      </c>
      <c r="AK3390" t="n">
        <v>9</v>
      </c>
      <c r="AL3390" t="inlineStr">
        <is>
          <t>Miss Glam Jambi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"203002203040"</f>
        <v/>
      </c>
      <c r="C3391" t="inlineStr">
        <is>
          <t>PIXY Hyperlast Glazed Lip Vinyl 07 Rosewood Blaze (3gr)</t>
        </is>
      </c>
      <c r="D3391" t="inlineStr">
        <is>
          <t>Miss Glam Jambi</t>
        </is>
      </c>
      <c r="E3391" t="n">
        <v>3</v>
      </c>
      <c r="F3391" t="n">
        <v>0.0825</v>
      </c>
      <c r="G3391" t="n">
        <v>0.66</v>
      </c>
      <c r="H3391" t="n">
        <v>2</v>
      </c>
      <c r="I3391" t="n">
        <v>6</v>
      </c>
      <c r="J3391" t="n">
        <v>1</v>
      </c>
      <c r="K3391" t="n">
        <v>0</v>
      </c>
      <c r="L3391" t="n">
        <v>55200</v>
      </c>
      <c r="M3391" t="n">
        <v>65000</v>
      </c>
      <c r="N3391" t="n">
        <v>33</v>
      </c>
      <c r="O3391" t="n">
        <v>0.33</v>
      </c>
      <c r="P3391" t="n">
        <v>1</v>
      </c>
      <c r="Q3391" t="n">
        <v>0.08</v>
      </c>
      <c r="R3391" t="n">
        <v>1</v>
      </c>
      <c r="S3391" t="n">
        <v>5362.5</v>
      </c>
      <c r="T3391" t="n">
        <v>4</v>
      </c>
      <c r="U3391" t="n">
        <v>5</v>
      </c>
      <c r="V3391" t="n">
        <v>30</v>
      </c>
      <c r="W3391" t="n">
        <v>3</v>
      </c>
      <c r="X3391" t="n">
        <v>36.36363636363636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1397</v>
      </c>
      <c r="AG3391" t="n">
        <v>2136</v>
      </c>
      <c r="AH3391" t="inlineStr">
        <is>
          <t>CV. SAMUDRA JAYA ABADI - PPN (JMB)</t>
        </is>
      </c>
      <c r="AI3391" t="n">
        <v>104</v>
      </c>
      <c r="AJ3391" t="inlineStr">
        <is>
          <t>PIXY</t>
        </is>
      </c>
      <c r="AK3391" t="n">
        <v>9</v>
      </c>
      <c r="AL3391" t="inlineStr">
        <is>
          <t>Miss Glam Jambi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"203002203101"</f>
        <v/>
      </c>
      <c r="C3392" t="inlineStr">
        <is>
          <t>PIXY Hyperlast Glazed Lip Vinyl 08 Brick Era (3gr)</t>
        </is>
      </c>
      <c r="D3392" t="inlineStr">
        <is>
          <t>Miss Glam Jambi</t>
        </is>
      </c>
      <c r="E3392" t="n">
        <v>7</v>
      </c>
      <c r="F3392" t="n">
        <v>0.0231</v>
      </c>
      <c r="G3392" t="n">
        <v>0.66</v>
      </c>
      <c r="H3392" t="n">
        <v>2</v>
      </c>
      <c r="I3392" t="n">
        <v>6</v>
      </c>
      <c r="J3392" t="n">
        <v>1</v>
      </c>
      <c r="K3392" t="n">
        <v>0</v>
      </c>
      <c r="L3392" t="n">
        <v>55200</v>
      </c>
      <c r="M3392" t="n">
        <v>65000</v>
      </c>
      <c r="N3392" t="n">
        <v>33</v>
      </c>
      <c r="O3392" t="n">
        <v>0.33</v>
      </c>
      <c r="P3392" t="n">
        <v>1</v>
      </c>
      <c r="Q3392" t="n">
        <v>0.07000000000000001</v>
      </c>
      <c r="R3392" t="n">
        <v>1</v>
      </c>
      <c r="S3392" t="n">
        <v>1501.5</v>
      </c>
      <c r="T3392" t="n">
        <v>4</v>
      </c>
      <c r="U3392" t="n">
        <v>5</v>
      </c>
      <c r="V3392" t="n">
        <v>30</v>
      </c>
      <c r="W3392" t="n">
        <v>1</v>
      </c>
      <c r="X3392" t="n">
        <v>303.030303030303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1397</v>
      </c>
      <c r="AG3392" t="n">
        <v>2136</v>
      </c>
      <c r="AH3392" t="inlineStr">
        <is>
          <t>CV. SAMUDRA JAYA ABADI - PPN (JMB)</t>
        </is>
      </c>
      <c r="AI3392" t="n">
        <v>104</v>
      </c>
      <c r="AJ3392" t="inlineStr">
        <is>
          <t>PIXY</t>
        </is>
      </c>
      <c r="AK3392" t="n">
        <v>9</v>
      </c>
      <c r="AL3392" t="inlineStr">
        <is>
          <t>Miss Glam Jambi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"8992222283373"</f>
        <v/>
      </c>
      <c r="C3393" t="inlineStr">
        <is>
          <t>PIXY Intens To Lash Pen Eyeliner Black</t>
        </is>
      </c>
      <c r="D3393" t="inlineStr">
        <is>
          <t>Miss Glam Jambi</t>
        </is>
      </c>
      <c r="E3393" t="n">
        <v>3</v>
      </c>
      <c r="F3393" t="n">
        <v>0.0165</v>
      </c>
      <c r="G3393" t="n">
        <v>0.33</v>
      </c>
      <c r="H3393" t="n">
        <v>2</v>
      </c>
      <c r="I3393" t="n">
        <v>6</v>
      </c>
      <c r="J3393" t="n">
        <v>3</v>
      </c>
      <c r="K3393" t="n">
        <v>0</v>
      </c>
      <c r="L3393" t="n">
        <v>56000</v>
      </c>
      <c r="M3393" t="n">
        <v>66000</v>
      </c>
      <c r="N3393" t="n">
        <v>33</v>
      </c>
      <c r="O3393" t="n">
        <v>0.33</v>
      </c>
      <c r="P3393" t="n">
        <v>1</v>
      </c>
      <c r="Q3393" t="n">
        <v>0.07000000000000001</v>
      </c>
      <c r="R3393" t="n">
        <v>1</v>
      </c>
      <c r="S3393" t="n">
        <v>1089</v>
      </c>
      <c r="T3393" t="n">
        <v>2</v>
      </c>
      <c r="U3393" t="n">
        <v>3</v>
      </c>
      <c r="V3393" t="n">
        <v>30</v>
      </c>
      <c r="W3393" t="n">
        <v>1</v>
      </c>
      <c r="X3393" t="n">
        <v>181.8181818181818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1397</v>
      </c>
      <c r="AG3393" t="n">
        <v>2136</v>
      </c>
      <c r="AH3393" t="inlineStr">
        <is>
          <t>CV. SAMUDRA JAYA ABADI - PPN (JMB)</t>
        </is>
      </c>
      <c r="AI3393" t="n">
        <v>104</v>
      </c>
      <c r="AJ3393" t="inlineStr">
        <is>
          <t>PIXY</t>
        </is>
      </c>
      <c r="AK3393" t="n">
        <v>9</v>
      </c>
      <c r="AL3393" t="inlineStr">
        <is>
          <t>Miss Glam Jambi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"8992222281270"</f>
        <v/>
      </c>
      <c r="C3394" t="inlineStr">
        <is>
          <t>PIXY Lash Fantasy Mascara 12ml</t>
        </is>
      </c>
      <c r="D3394" t="inlineStr">
        <is>
          <t>Miss Glam Jambi</t>
        </is>
      </c>
      <c r="E3394" t="n">
        <v>3</v>
      </c>
      <c r="F3394" t="n">
        <v>0.0462</v>
      </c>
      <c r="G3394" t="n">
        <v>0.33</v>
      </c>
      <c r="H3394" t="n">
        <v>2</v>
      </c>
      <c r="I3394" t="n">
        <v>6</v>
      </c>
      <c r="J3394" t="n">
        <v>3</v>
      </c>
      <c r="K3394" t="n">
        <v>0</v>
      </c>
      <c r="L3394" t="n">
        <v>49200</v>
      </c>
      <c r="M3394" t="n">
        <v>58000</v>
      </c>
      <c r="N3394" t="n">
        <v>33</v>
      </c>
      <c r="O3394" t="n">
        <v>0.33</v>
      </c>
      <c r="P3394" t="n">
        <v>1</v>
      </c>
      <c r="Q3394" t="n">
        <v>0.08</v>
      </c>
      <c r="R3394" t="n">
        <v>1</v>
      </c>
      <c r="S3394" t="n">
        <v>2679.6</v>
      </c>
      <c r="T3394" t="n">
        <v>2</v>
      </c>
      <c r="U3394" t="n">
        <v>3</v>
      </c>
      <c r="V3394" t="n">
        <v>30</v>
      </c>
      <c r="W3394" t="n">
        <v>2</v>
      </c>
      <c r="X3394" t="n">
        <v>64.93506493506493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1397</v>
      </c>
      <c r="AG3394" t="n">
        <v>2136</v>
      </c>
      <c r="AH3394" t="inlineStr">
        <is>
          <t>CV. SAMUDRA JAYA ABADI - PPN (JMB)</t>
        </is>
      </c>
      <c r="AI3394" t="n">
        <v>104</v>
      </c>
      <c r="AJ3394" t="inlineStr">
        <is>
          <t>PIXY</t>
        </is>
      </c>
      <c r="AK3394" t="n">
        <v>9</v>
      </c>
      <c r="AL3394" t="inlineStr">
        <is>
          <t>Miss Glam Jambi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"8992222282796"</f>
        <v/>
      </c>
      <c r="C3395" t="inlineStr">
        <is>
          <t>PIXY Line &amp; Shadow Black</t>
        </is>
      </c>
      <c r="D3395" t="inlineStr">
        <is>
          <t>Miss Glam Jambi</t>
        </is>
      </c>
      <c r="E3395" t="n">
        <v>7</v>
      </c>
      <c r="F3395" t="n">
        <v>0.1221</v>
      </c>
      <c r="G3395" t="n">
        <v>0.66</v>
      </c>
      <c r="H3395" t="n">
        <v>2</v>
      </c>
      <c r="I3395" t="n">
        <v>6</v>
      </c>
      <c r="J3395" t="n">
        <v>3</v>
      </c>
      <c r="K3395" t="n">
        <v>0</v>
      </c>
      <c r="L3395" t="n">
        <v>36000</v>
      </c>
      <c r="M3395" t="n">
        <v>43000</v>
      </c>
      <c r="N3395" t="n">
        <v>33</v>
      </c>
      <c r="O3395" t="n">
        <v>0.33</v>
      </c>
      <c r="P3395" t="n">
        <v>1</v>
      </c>
      <c r="Q3395" t="n">
        <v>0.32</v>
      </c>
      <c r="R3395" t="n">
        <v>3</v>
      </c>
      <c r="S3395" t="n">
        <v>5250.3</v>
      </c>
      <c r="T3395" t="n">
        <v>4</v>
      </c>
      <c r="U3395" t="n">
        <v>5</v>
      </c>
      <c r="V3395" t="n">
        <v>30</v>
      </c>
      <c r="W3395" t="n">
        <v>4</v>
      </c>
      <c r="X3395" t="n">
        <v>57.33005733005733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1397</v>
      </c>
      <c r="AG3395" t="n">
        <v>2136</v>
      </c>
      <c r="AH3395" t="inlineStr">
        <is>
          <t>CV. SAMUDRA JAYA ABADI - PPN (JMB)</t>
        </is>
      </c>
      <c r="AI3395" t="n">
        <v>104</v>
      </c>
      <c r="AJ3395" t="inlineStr">
        <is>
          <t>PIXY</t>
        </is>
      </c>
      <c r="AK3395" t="n">
        <v>9</v>
      </c>
      <c r="AL3395" t="inlineStr">
        <is>
          <t>Miss Glam Jambi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"8992222282215"</f>
        <v/>
      </c>
      <c r="C3396" t="inlineStr">
        <is>
          <t>PIXY Line &amp; Shadow Blue</t>
        </is>
      </c>
      <c r="D3396" t="inlineStr">
        <is>
          <t>Miss Glam Jambi</t>
        </is>
      </c>
      <c r="E3396" t="n">
        <v>12</v>
      </c>
      <c r="F3396" t="n">
        <v>0.0264</v>
      </c>
      <c r="G3396" t="n">
        <v>0.66</v>
      </c>
      <c r="H3396" t="n">
        <v>2</v>
      </c>
      <c r="I3396" t="n">
        <v>6</v>
      </c>
      <c r="J3396" t="n">
        <v>3</v>
      </c>
      <c r="K3396" t="n">
        <v>0</v>
      </c>
      <c r="L3396" t="n">
        <v>36000</v>
      </c>
      <c r="M3396" t="n">
        <v>43000</v>
      </c>
      <c r="N3396" t="n">
        <v>33</v>
      </c>
      <c r="O3396" t="n">
        <v>0.33</v>
      </c>
      <c r="P3396" t="n">
        <v>1</v>
      </c>
      <c r="Q3396" t="n">
        <v>0.1</v>
      </c>
      <c r="R3396" t="n">
        <v>4</v>
      </c>
      <c r="S3396" t="n">
        <v>1135.2</v>
      </c>
      <c r="T3396" t="n">
        <v>4</v>
      </c>
      <c r="U3396" t="n">
        <v>5</v>
      </c>
      <c r="V3396" t="n">
        <v>30</v>
      </c>
      <c r="W3396" t="n">
        <v>1</v>
      </c>
      <c r="X3396" t="n">
        <v>454.5454545454545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1397</v>
      </c>
      <c r="AG3396" t="n">
        <v>2136</v>
      </c>
      <c r="AH3396" t="inlineStr">
        <is>
          <t>CV. SAMUDRA JAYA ABADI - PPN (JMB)</t>
        </is>
      </c>
      <c r="AI3396" t="n">
        <v>104</v>
      </c>
      <c r="AJ3396" t="inlineStr">
        <is>
          <t>PIXY</t>
        </is>
      </c>
      <c r="AK3396" t="n">
        <v>9</v>
      </c>
      <c r="AL3396" t="inlineStr">
        <is>
          <t>Miss Glam Jambi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"8992222283267"</f>
        <v/>
      </c>
      <c r="C3397" t="inlineStr">
        <is>
          <t>PIXY Line &amp; Shadow Platinum</t>
        </is>
      </c>
      <c r="D3397" t="inlineStr">
        <is>
          <t>Miss Glam Jambi</t>
        </is>
      </c>
      <c r="E3397" t="n">
        <v>2</v>
      </c>
      <c r="F3397" t="n">
        <v>0.0462</v>
      </c>
      <c r="G3397" t="n">
        <v>0.33</v>
      </c>
      <c r="H3397" t="n">
        <v>2</v>
      </c>
      <c r="I3397" t="n">
        <v>6</v>
      </c>
      <c r="J3397" t="n">
        <v>3</v>
      </c>
      <c r="K3397" t="n">
        <v>0</v>
      </c>
      <c r="L3397" t="n">
        <v>36000</v>
      </c>
      <c r="M3397" t="n">
        <v>43000</v>
      </c>
      <c r="N3397" t="n">
        <v>33</v>
      </c>
      <c r="O3397" t="n">
        <v>0.33</v>
      </c>
      <c r="P3397" t="n">
        <v>1</v>
      </c>
      <c r="Q3397" t="n">
        <v>0.05</v>
      </c>
      <c r="R3397" t="n">
        <v>1</v>
      </c>
      <c r="S3397" t="n">
        <v>1986.6</v>
      </c>
      <c r="T3397" t="n">
        <v>2</v>
      </c>
      <c r="U3397" t="n">
        <v>3</v>
      </c>
      <c r="V3397" t="n">
        <v>30</v>
      </c>
      <c r="W3397" t="n">
        <v>2</v>
      </c>
      <c r="X3397" t="n">
        <v>43.29004329004329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1397</v>
      </c>
      <c r="AG3397" t="n">
        <v>2136</v>
      </c>
      <c r="AH3397" t="inlineStr">
        <is>
          <t>CV. SAMUDRA JAYA ABADI - PPN (JMB)</t>
        </is>
      </c>
      <c r="AI3397" t="n">
        <v>104</v>
      </c>
      <c r="AJ3397" t="inlineStr">
        <is>
          <t>PIXY</t>
        </is>
      </c>
      <c r="AK3397" t="n">
        <v>9</v>
      </c>
      <c r="AL3397" t="inlineStr">
        <is>
          <t>Miss Glam Jambi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"8992222282116"</f>
        <v/>
      </c>
      <c r="C3398" t="inlineStr">
        <is>
          <t>PIXY Line &amp; Shadow White</t>
        </is>
      </c>
      <c r="D3398" t="inlineStr">
        <is>
          <t>Miss Glam Jambi</t>
        </is>
      </c>
      <c r="E3398" t="n">
        <v>5</v>
      </c>
      <c r="F3398" t="n">
        <v>0.2178</v>
      </c>
      <c r="G3398" t="n">
        <v>0.99</v>
      </c>
      <c r="H3398" t="n">
        <v>2</v>
      </c>
      <c r="I3398" t="n">
        <v>6</v>
      </c>
      <c r="J3398" t="n">
        <v>3</v>
      </c>
      <c r="K3398" t="n">
        <v>3</v>
      </c>
      <c r="L3398" t="n">
        <v>36000</v>
      </c>
      <c r="M3398" t="n">
        <v>43000</v>
      </c>
      <c r="N3398" t="n">
        <v>33</v>
      </c>
      <c r="O3398" t="n">
        <v>0.33</v>
      </c>
      <c r="P3398" t="n">
        <v>1</v>
      </c>
      <c r="Q3398" t="n">
        <v>0.25</v>
      </c>
      <c r="R3398" t="n">
        <v>2</v>
      </c>
      <c r="S3398" t="n">
        <v>9365.400000000001</v>
      </c>
      <c r="T3398" t="n">
        <v>6</v>
      </c>
      <c r="U3398" t="n">
        <v>7</v>
      </c>
      <c r="V3398" t="n">
        <v>30</v>
      </c>
      <c r="W3398" t="n">
        <v>7</v>
      </c>
      <c r="X3398" t="n">
        <v>22.95684113865932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1397</v>
      </c>
      <c r="AG3398" t="n">
        <v>2136</v>
      </c>
      <c r="AH3398" t="inlineStr">
        <is>
          <t>CV. SAMUDRA JAYA ABADI - PPN (JMB)</t>
        </is>
      </c>
      <c r="AI3398" t="n">
        <v>104</v>
      </c>
      <c r="AJ3398" t="inlineStr">
        <is>
          <t>PIXY</t>
        </is>
      </c>
      <c r="AK3398" t="n">
        <v>9</v>
      </c>
      <c r="AL3398" t="inlineStr">
        <is>
          <t>Miss Glam Jambi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"8992222280525"</f>
        <v/>
      </c>
      <c r="C3399" t="inlineStr">
        <is>
          <t>PIXY Lip Color Conditioner Orange 3,7gr</t>
        </is>
      </c>
      <c r="D3399" t="inlineStr">
        <is>
          <t>Miss Glam Jambi</t>
        </is>
      </c>
      <c r="E3399" t="n">
        <v>5</v>
      </c>
      <c r="F3399" t="n">
        <v>0.0462</v>
      </c>
      <c r="G3399" t="n">
        <v>0.66</v>
      </c>
      <c r="H3399" t="n">
        <v>2</v>
      </c>
      <c r="I3399" t="n">
        <v>6</v>
      </c>
      <c r="J3399" t="n">
        <v>3</v>
      </c>
      <c r="K3399" t="n">
        <v>0</v>
      </c>
      <c r="L3399" t="n">
        <v>25600</v>
      </c>
      <c r="M3399" t="n">
        <v>29000</v>
      </c>
      <c r="N3399" t="n">
        <v>33</v>
      </c>
      <c r="O3399" t="n">
        <v>0.33</v>
      </c>
      <c r="P3399" t="n">
        <v>1</v>
      </c>
      <c r="Q3399" t="n">
        <v>0.07000000000000001</v>
      </c>
      <c r="R3399" t="n">
        <v>1</v>
      </c>
      <c r="S3399" t="n">
        <v>1339.8</v>
      </c>
      <c r="T3399" t="n">
        <v>4</v>
      </c>
      <c r="U3399" t="n">
        <v>5</v>
      </c>
      <c r="V3399" t="n">
        <v>30</v>
      </c>
      <c r="W3399" t="n">
        <v>2</v>
      </c>
      <c r="X3399" t="n">
        <v>108.2251082251082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1397</v>
      </c>
      <c r="AG3399" t="n">
        <v>2136</v>
      </c>
      <c r="AH3399" t="inlineStr">
        <is>
          <t>CV. SAMUDRA JAYA ABADI - PPN (JMB)</t>
        </is>
      </c>
      <c r="AI3399" t="n">
        <v>104</v>
      </c>
      <c r="AJ3399" t="inlineStr">
        <is>
          <t>PIXY</t>
        </is>
      </c>
      <c r="AK3399" t="n">
        <v>9</v>
      </c>
      <c r="AL3399" t="inlineStr">
        <is>
          <t>Miss Glam Jambi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"8992222280501"</f>
        <v/>
      </c>
      <c r="C3400" t="inlineStr">
        <is>
          <t>PIXY Lip Color Conditioner Pink 3,7g</t>
        </is>
      </c>
      <c r="D3400" t="inlineStr">
        <is>
          <t>Miss Glam Jambi</t>
        </is>
      </c>
      <c r="E3400" t="n">
        <v>2</v>
      </c>
      <c r="F3400" t="n">
        <v>0.0264</v>
      </c>
      <c r="G3400" t="n">
        <v>0.66</v>
      </c>
      <c r="H3400" t="n">
        <v>2</v>
      </c>
      <c r="I3400" t="n">
        <v>6</v>
      </c>
      <c r="J3400" t="n">
        <v>3</v>
      </c>
      <c r="K3400" t="n">
        <v>0</v>
      </c>
      <c r="L3400" t="n">
        <v>25372</v>
      </c>
      <c r="M3400" t="n">
        <v>30000</v>
      </c>
      <c r="N3400" t="n">
        <v>33</v>
      </c>
      <c r="O3400" t="n">
        <v>0.33</v>
      </c>
      <c r="P3400" t="n">
        <v>1</v>
      </c>
      <c r="Q3400" t="n">
        <v>0.03</v>
      </c>
      <c r="R3400" t="n">
        <v>1</v>
      </c>
      <c r="S3400" t="n">
        <v>792.0000000000001</v>
      </c>
      <c r="T3400" t="n">
        <v>4</v>
      </c>
      <c r="U3400" t="n">
        <v>5</v>
      </c>
      <c r="V3400" t="n">
        <v>30</v>
      </c>
      <c r="W3400" t="n">
        <v>1</v>
      </c>
      <c r="X3400" t="n">
        <v>75.75757575757575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1397</v>
      </c>
      <c r="AG3400" t="n">
        <v>2136</v>
      </c>
      <c r="AH3400" t="inlineStr">
        <is>
          <t>CV. SAMUDRA JAYA ABADI - PPN (JMB)</t>
        </is>
      </c>
      <c r="AI3400" t="n">
        <v>104</v>
      </c>
      <c r="AJ3400" t="inlineStr">
        <is>
          <t>PIXY</t>
        </is>
      </c>
      <c r="AK3400" t="n">
        <v>9</v>
      </c>
      <c r="AL3400" t="inlineStr">
        <is>
          <t>Miss Glam Jambi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"8992222282673"</f>
        <v/>
      </c>
      <c r="C3401" t="inlineStr">
        <is>
          <t>PIXY Lip Cream 02 Party Red 4gr</t>
        </is>
      </c>
      <c r="D3401" t="inlineStr">
        <is>
          <t>Miss Glam Jambi</t>
        </is>
      </c>
      <c r="E3401" t="n">
        <v>1</v>
      </c>
      <c r="F3401" t="n">
        <v>0.006600000000000001</v>
      </c>
      <c r="G3401" t="n">
        <v>0.33</v>
      </c>
      <c r="H3401" t="n">
        <v>2</v>
      </c>
      <c r="I3401" t="n">
        <v>6</v>
      </c>
      <c r="J3401" t="n">
        <v>3</v>
      </c>
      <c r="K3401" t="n">
        <v>0</v>
      </c>
      <c r="L3401" t="n">
        <v>46400</v>
      </c>
      <c r="M3401" t="n">
        <v>55000</v>
      </c>
      <c r="N3401" t="n">
        <v>33</v>
      </c>
      <c r="O3401" t="n">
        <v>0.33</v>
      </c>
      <c r="P3401" t="n">
        <v>1</v>
      </c>
      <c r="Q3401" t="n">
        <v>0.03</v>
      </c>
      <c r="R3401" t="n">
        <v>1</v>
      </c>
      <c r="S3401" t="n">
        <v>363.0000000000001</v>
      </c>
      <c r="T3401" t="n">
        <v>2</v>
      </c>
      <c r="U3401" t="n">
        <v>3</v>
      </c>
      <c r="V3401" t="n">
        <v>30</v>
      </c>
      <c r="W3401" t="n">
        <v>1</v>
      </c>
      <c r="X3401" t="n">
        <v>151.5151515151515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1397</v>
      </c>
      <c r="AG3401" t="n">
        <v>2136</v>
      </c>
      <c r="AH3401" t="inlineStr">
        <is>
          <t>CV. SAMUDRA JAYA ABADI - PPN (JMB)</t>
        </is>
      </c>
      <c r="AI3401" t="n">
        <v>104</v>
      </c>
      <c r="AJ3401" t="inlineStr">
        <is>
          <t>PIXY</t>
        </is>
      </c>
      <c r="AK3401" t="n">
        <v>9</v>
      </c>
      <c r="AL3401" t="inlineStr">
        <is>
          <t>Miss Glam Jambi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"8992222282697"</f>
        <v/>
      </c>
      <c r="C3402" t="inlineStr">
        <is>
          <t>PIXY Lip Cream 03 Classic Red 4gr</t>
        </is>
      </c>
      <c r="D3402" t="inlineStr">
        <is>
          <t>Miss Glam Jambi</t>
        </is>
      </c>
      <c r="E3402" t="n">
        <v>6</v>
      </c>
      <c r="F3402" t="n">
        <v>0.02</v>
      </c>
      <c r="G3402" t="n">
        <v>1</v>
      </c>
      <c r="H3402" t="n">
        <v>2</v>
      </c>
      <c r="I3402" t="n">
        <v>6</v>
      </c>
      <c r="J3402" t="n">
        <v>3</v>
      </c>
      <c r="K3402" t="n">
        <v>0</v>
      </c>
      <c r="L3402" t="n">
        <v>46400</v>
      </c>
      <c r="M3402" t="n">
        <v>55000</v>
      </c>
      <c r="N3402" t="n">
        <v>33</v>
      </c>
      <c r="O3402" t="n">
        <v>0.33</v>
      </c>
      <c r="P3402" t="n">
        <v>0</v>
      </c>
      <c r="Q3402" t="n">
        <v>0.02</v>
      </c>
      <c r="R3402" t="n">
        <v>1</v>
      </c>
      <c r="S3402" t="n">
        <v>1100</v>
      </c>
      <c r="T3402" t="n">
        <v>6</v>
      </c>
      <c r="U3402" t="n">
        <v>7</v>
      </c>
      <c r="V3402" t="n">
        <v>30</v>
      </c>
      <c r="W3402" t="n">
        <v>1</v>
      </c>
      <c r="X3402" t="n">
        <v>300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1397</v>
      </c>
      <c r="AG3402" t="n">
        <v>2136</v>
      </c>
      <c r="AH3402" t="inlineStr">
        <is>
          <t>CV. SAMUDRA JAYA ABADI - PPN (JMB)</t>
        </is>
      </c>
      <c r="AI3402" t="n">
        <v>104</v>
      </c>
      <c r="AJ3402" t="inlineStr">
        <is>
          <t>PIXY</t>
        </is>
      </c>
      <c r="AK3402" t="n">
        <v>9</v>
      </c>
      <c r="AL3402" t="inlineStr">
        <is>
          <t>Miss Glam Jambi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"8992222282758"</f>
        <v/>
      </c>
      <c r="C3403" t="inlineStr">
        <is>
          <t>PIXY Lip Cream 06 Bold Maron 4g</t>
        </is>
      </c>
      <c r="D3403" t="inlineStr">
        <is>
          <t>Miss Glam Jambi</t>
        </is>
      </c>
      <c r="E3403" t="n">
        <v>2</v>
      </c>
      <c r="F3403" t="n">
        <v>0.009900000000000001</v>
      </c>
      <c r="G3403" t="n">
        <v>0.66</v>
      </c>
      <c r="H3403" t="n">
        <v>2</v>
      </c>
      <c r="I3403" t="n">
        <v>6</v>
      </c>
      <c r="J3403" t="n">
        <v>3</v>
      </c>
      <c r="K3403" t="n">
        <v>0</v>
      </c>
      <c r="L3403" t="n">
        <v>46400</v>
      </c>
      <c r="M3403" t="n">
        <v>55000</v>
      </c>
      <c r="N3403" t="n">
        <v>33</v>
      </c>
      <c r="O3403" t="n">
        <v>0.33</v>
      </c>
      <c r="P3403" t="n">
        <v>1</v>
      </c>
      <c r="Q3403" t="n">
        <v>0.02</v>
      </c>
      <c r="R3403" t="n">
        <v>1</v>
      </c>
      <c r="S3403" t="n">
        <v>544.5</v>
      </c>
      <c r="T3403" t="n">
        <v>4</v>
      </c>
      <c r="U3403" t="n">
        <v>5</v>
      </c>
      <c r="V3403" t="n">
        <v>30</v>
      </c>
      <c r="W3403" t="n">
        <v>1</v>
      </c>
      <c r="X3403" t="n">
        <v>202.020202020202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1397</v>
      </c>
      <c r="AG3403" t="n">
        <v>2136</v>
      </c>
      <c r="AH3403" t="inlineStr">
        <is>
          <t>CV. SAMUDRA JAYA ABADI - PPN (JMB)</t>
        </is>
      </c>
      <c r="AI3403" t="n">
        <v>104</v>
      </c>
      <c r="AJ3403" t="inlineStr">
        <is>
          <t>PIXY</t>
        </is>
      </c>
      <c r="AK3403" t="n">
        <v>9</v>
      </c>
      <c r="AL3403" t="inlineStr">
        <is>
          <t>Miss Glam Jambi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"8992222282819"</f>
        <v/>
      </c>
      <c r="C3404" t="inlineStr">
        <is>
          <t>PIXY Lip Cream 08 Delicate Pink 4gr</t>
        </is>
      </c>
      <c r="D3404" t="inlineStr">
        <is>
          <t>Miss Glam Jambi</t>
        </is>
      </c>
      <c r="E3404" t="n">
        <v>2</v>
      </c>
      <c r="F3404" t="n">
        <v>0.033</v>
      </c>
      <c r="G3404" t="n">
        <v>0.33</v>
      </c>
      <c r="H3404" t="n">
        <v>2</v>
      </c>
      <c r="I3404" t="n">
        <v>6</v>
      </c>
      <c r="J3404" t="n">
        <v>3</v>
      </c>
      <c r="K3404" t="n">
        <v>0</v>
      </c>
      <c r="L3404" t="n">
        <v>46400</v>
      </c>
      <c r="M3404" t="n">
        <v>55000</v>
      </c>
      <c r="N3404" t="n">
        <v>33</v>
      </c>
      <c r="O3404" t="n">
        <v>0.33</v>
      </c>
      <c r="P3404" t="n">
        <v>1</v>
      </c>
      <c r="Q3404" t="n">
        <v>0.03</v>
      </c>
      <c r="R3404" t="n">
        <v>2</v>
      </c>
      <c r="S3404" t="n">
        <v>1815</v>
      </c>
      <c r="T3404" t="n">
        <v>2</v>
      </c>
      <c r="U3404" t="n">
        <v>3</v>
      </c>
      <c r="V3404" t="n">
        <v>30</v>
      </c>
      <c r="W3404" t="n">
        <v>1</v>
      </c>
      <c r="X3404" t="n">
        <v>60.6060606060606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1397</v>
      </c>
      <c r="AG3404" t="n">
        <v>2136</v>
      </c>
      <c r="AH3404" t="inlineStr">
        <is>
          <t>CV. SAMUDRA JAYA ABADI - PPN (JMB)</t>
        </is>
      </c>
      <c r="AI3404" t="n">
        <v>104</v>
      </c>
      <c r="AJ3404" t="inlineStr">
        <is>
          <t>PIXY</t>
        </is>
      </c>
      <c r="AK3404" t="n">
        <v>9</v>
      </c>
      <c r="AL3404" t="inlineStr">
        <is>
          <t>Miss Glam Jambi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"8992222282840"</f>
        <v/>
      </c>
      <c r="C3405" t="inlineStr">
        <is>
          <t>PIXY Lip Cream 11 Gaudy Orange 4g</t>
        </is>
      </c>
      <c r="D3405" t="inlineStr">
        <is>
          <t>Miss Glam Jambi</t>
        </is>
      </c>
      <c r="E3405" t="n">
        <v>7</v>
      </c>
      <c r="F3405" t="n">
        <v>0.009900000000000001</v>
      </c>
      <c r="G3405" t="n">
        <v>0.33</v>
      </c>
      <c r="H3405" t="n">
        <v>2</v>
      </c>
      <c r="I3405" t="n">
        <v>6</v>
      </c>
      <c r="J3405" t="n">
        <v>3</v>
      </c>
      <c r="K3405" t="n">
        <v>0</v>
      </c>
      <c r="L3405" t="n">
        <v>46399</v>
      </c>
      <c r="M3405" t="n">
        <v>55000</v>
      </c>
      <c r="N3405" t="n">
        <v>33</v>
      </c>
      <c r="O3405" t="n">
        <v>0.33</v>
      </c>
      <c r="P3405" t="n">
        <v>1</v>
      </c>
      <c r="Q3405" t="n">
        <v>0.08</v>
      </c>
      <c r="R3405" t="n">
        <v>1</v>
      </c>
      <c r="S3405" t="n">
        <v>544.5</v>
      </c>
      <c r="T3405" t="n">
        <v>2</v>
      </c>
      <c r="U3405" t="n">
        <v>3</v>
      </c>
      <c r="V3405" t="n">
        <v>30</v>
      </c>
      <c r="W3405" t="n">
        <v>1</v>
      </c>
      <c r="X3405" t="n">
        <v>707.070707070707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1397</v>
      </c>
      <c r="AG3405" t="n">
        <v>2136</v>
      </c>
      <c r="AH3405" t="inlineStr">
        <is>
          <t>CV. SAMUDRA JAYA ABADI - PPN (JMB)</t>
        </is>
      </c>
      <c r="AI3405" t="n">
        <v>104</v>
      </c>
      <c r="AJ3405" t="inlineStr">
        <is>
          <t>PIXY</t>
        </is>
      </c>
      <c r="AK3405" t="n">
        <v>9</v>
      </c>
      <c r="AL3405" t="inlineStr">
        <is>
          <t>Miss Glam Jambi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"8992222282857"</f>
        <v/>
      </c>
      <c r="C3406" t="inlineStr">
        <is>
          <t>PIXY Lip Cream 12 Mild Peach 4gr</t>
        </is>
      </c>
      <c r="D3406" t="inlineStr">
        <is>
          <t>Miss Glam Jambi</t>
        </is>
      </c>
      <c r="E3406" t="n">
        <v>8</v>
      </c>
      <c r="F3406" t="n">
        <v>0.009900000000000001</v>
      </c>
      <c r="G3406" t="n">
        <v>0.33</v>
      </c>
      <c r="H3406" t="n">
        <v>2</v>
      </c>
      <c r="I3406" t="n">
        <v>6</v>
      </c>
      <c r="J3406" t="n">
        <v>3</v>
      </c>
      <c r="K3406" t="n">
        <v>0</v>
      </c>
      <c r="L3406" t="n">
        <v>46400</v>
      </c>
      <c r="M3406" t="n">
        <v>58000</v>
      </c>
      <c r="N3406" t="n">
        <v>33</v>
      </c>
      <c r="O3406" t="n">
        <v>0.33</v>
      </c>
      <c r="P3406" t="n">
        <v>1</v>
      </c>
      <c r="Q3406" t="n">
        <v>0.2</v>
      </c>
      <c r="R3406" t="n">
        <v>3</v>
      </c>
      <c r="S3406" t="n">
        <v>574.2</v>
      </c>
      <c r="T3406" t="n">
        <v>2</v>
      </c>
      <c r="U3406" t="n">
        <v>3</v>
      </c>
      <c r="V3406" t="n">
        <v>30</v>
      </c>
      <c r="W3406" t="n">
        <v>1</v>
      </c>
      <c r="X3406" t="n">
        <v>808.080808080808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1397</v>
      </c>
      <c r="AG3406" t="n">
        <v>2136</v>
      </c>
      <c r="AH3406" t="inlineStr">
        <is>
          <t>CV. SAMUDRA JAYA ABADI - PPN (JMB)</t>
        </is>
      </c>
      <c r="AI3406" t="n">
        <v>104</v>
      </c>
      <c r="AJ3406" t="inlineStr">
        <is>
          <t>PIXY</t>
        </is>
      </c>
      <c r="AK3406" t="n">
        <v>9</v>
      </c>
      <c r="AL3406" t="inlineStr">
        <is>
          <t>Miss Glam Jambi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"8992222074964"</f>
        <v/>
      </c>
      <c r="C3407" t="inlineStr">
        <is>
          <t>PIXY Lip Hydrating 01 Apple, Oh Apple! 8ml</t>
        </is>
      </c>
      <c r="D3407" t="inlineStr">
        <is>
          <t>Miss Glam Jambi</t>
        </is>
      </c>
      <c r="E3407" t="n">
        <v>3</v>
      </c>
      <c r="F3407" t="n">
        <v>0.1452</v>
      </c>
      <c r="G3407" t="n">
        <v>0.66</v>
      </c>
      <c r="H3407" t="n">
        <v>2</v>
      </c>
      <c r="I3407" t="n">
        <v>6</v>
      </c>
      <c r="J3407" t="n">
        <v>3</v>
      </c>
      <c r="K3407" t="n">
        <v>3</v>
      </c>
      <c r="L3407" t="n">
        <v>20801</v>
      </c>
      <c r="M3407" t="n">
        <v>24500</v>
      </c>
      <c r="N3407" t="n">
        <v>33</v>
      </c>
      <c r="O3407" t="n">
        <v>0.33</v>
      </c>
      <c r="P3407" t="n">
        <v>1</v>
      </c>
      <c r="Q3407" t="n">
        <v>0.03</v>
      </c>
      <c r="R3407" t="n">
        <v>1</v>
      </c>
      <c r="S3407" t="n">
        <v>3557.4</v>
      </c>
      <c r="T3407" t="n">
        <v>4</v>
      </c>
      <c r="U3407" t="n">
        <v>5</v>
      </c>
      <c r="V3407" t="n">
        <v>30</v>
      </c>
      <c r="W3407" t="n">
        <v>5</v>
      </c>
      <c r="X3407" t="n">
        <v>20.66115702479339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1397</v>
      </c>
      <c r="AG3407" t="n">
        <v>2136</v>
      </c>
      <c r="AH3407" t="inlineStr">
        <is>
          <t>CV. SAMUDRA JAYA ABADI - PPN (JMB)</t>
        </is>
      </c>
      <c r="AI3407" t="n">
        <v>104</v>
      </c>
      <c r="AJ3407" t="inlineStr">
        <is>
          <t>PIXY</t>
        </is>
      </c>
      <c r="AK3407" t="n">
        <v>9</v>
      </c>
      <c r="AL3407" t="inlineStr">
        <is>
          <t>Miss Glam Jambi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"8992222074971"</f>
        <v/>
      </c>
      <c r="C3408" t="inlineStr">
        <is>
          <t>PIXY Lip Hydrating 02 Honey, It’s Me! 8ml</t>
        </is>
      </c>
      <c r="D3408" t="inlineStr">
        <is>
          <t>Miss Glam Jambi</t>
        </is>
      </c>
      <c r="E3408" t="n">
        <v>4</v>
      </c>
      <c r="F3408" t="n">
        <v>0.0165</v>
      </c>
      <c r="G3408" t="n">
        <v>0.33</v>
      </c>
      <c r="H3408" t="n">
        <v>2</v>
      </c>
      <c r="I3408" t="n">
        <v>6</v>
      </c>
      <c r="J3408" t="n">
        <v>3</v>
      </c>
      <c r="K3408" t="n">
        <v>0</v>
      </c>
      <c r="L3408" t="n">
        <v>20800</v>
      </c>
      <c r="M3408" t="n">
        <v>24500</v>
      </c>
      <c r="N3408" t="n">
        <v>33</v>
      </c>
      <c r="O3408" t="n">
        <v>0.33</v>
      </c>
      <c r="P3408" t="n">
        <v>1</v>
      </c>
      <c r="Q3408" t="n">
        <v>0.02</v>
      </c>
      <c r="R3408" t="n">
        <v>1</v>
      </c>
      <c r="S3408" t="n">
        <v>404.25</v>
      </c>
      <c r="T3408" t="n">
        <v>2</v>
      </c>
      <c r="U3408" t="n">
        <v>3</v>
      </c>
      <c r="V3408" t="n">
        <v>30</v>
      </c>
      <c r="W3408" t="n">
        <v>1</v>
      </c>
      <c r="X3408" t="n">
        <v>242.4242424242424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1397</v>
      </c>
      <c r="AG3408" t="n">
        <v>2136</v>
      </c>
      <c r="AH3408" t="inlineStr">
        <is>
          <t>CV. SAMUDRA JAYA ABADI - PPN (JMB)</t>
        </is>
      </c>
      <c r="AI3408" t="n">
        <v>104</v>
      </c>
      <c r="AJ3408" t="inlineStr">
        <is>
          <t>PIXY</t>
        </is>
      </c>
      <c r="AK3408" t="n">
        <v>9</v>
      </c>
      <c r="AL3408" t="inlineStr">
        <is>
          <t>Miss Glam Jambi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"8992222072397"</f>
        <v/>
      </c>
      <c r="C3409" t="inlineStr">
        <is>
          <t>PIXY Loose Powder 01Ivory 12g</t>
        </is>
      </c>
      <c r="D3409" t="inlineStr">
        <is>
          <t>Miss Glam Jambi</t>
        </is>
      </c>
      <c r="E3409" t="n">
        <v>2</v>
      </c>
      <c r="F3409" t="n">
        <v>0.0462</v>
      </c>
      <c r="G3409" t="n">
        <v>0.66</v>
      </c>
      <c r="H3409" t="n">
        <v>2</v>
      </c>
      <c r="I3409" t="n">
        <v>6</v>
      </c>
      <c r="J3409" t="n">
        <v>3</v>
      </c>
      <c r="K3409" t="n">
        <v>0</v>
      </c>
      <c r="L3409" t="n">
        <v>27200</v>
      </c>
      <c r="M3409" t="n">
        <v>31000</v>
      </c>
      <c r="N3409" t="n">
        <v>33</v>
      </c>
      <c r="O3409" t="n">
        <v>0.33</v>
      </c>
      <c r="P3409" t="n">
        <v>1</v>
      </c>
      <c r="Q3409" t="n">
        <v>0.07000000000000001</v>
      </c>
      <c r="R3409" t="n">
        <v>1</v>
      </c>
      <c r="S3409" t="n">
        <v>1432.2</v>
      </c>
      <c r="T3409" t="n">
        <v>4</v>
      </c>
      <c r="U3409" t="n">
        <v>5</v>
      </c>
      <c r="V3409" t="n">
        <v>30</v>
      </c>
      <c r="W3409" t="n">
        <v>2</v>
      </c>
      <c r="X3409" t="n">
        <v>43.29004329004329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1397</v>
      </c>
      <c r="AG3409" t="n">
        <v>2136</v>
      </c>
      <c r="AH3409" t="inlineStr">
        <is>
          <t>CV. SAMUDRA JAYA ABADI - PPN (JMB)</t>
        </is>
      </c>
      <c r="AI3409" t="n">
        <v>104</v>
      </c>
      <c r="AJ3409" t="inlineStr">
        <is>
          <t>PIXY</t>
        </is>
      </c>
      <c r="AK3409" t="n">
        <v>9</v>
      </c>
      <c r="AL3409" t="inlineStr">
        <is>
          <t>Miss Glam Jambi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"8992222072410"</f>
        <v/>
      </c>
      <c r="C3410" t="inlineStr">
        <is>
          <t>PIXY Loose Powder 02 Yellow Beige 12g</t>
        </is>
      </c>
      <c r="D3410" t="inlineStr">
        <is>
          <t>Miss Glam Jambi</t>
        </is>
      </c>
      <c r="E3410" t="n">
        <v>2</v>
      </c>
      <c r="F3410" t="n">
        <v>0.0462</v>
      </c>
      <c r="G3410" t="n">
        <v>0.33</v>
      </c>
      <c r="H3410" t="n">
        <v>2</v>
      </c>
      <c r="I3410" t="n">
        <v>6</v>
      </c>
      <c r="J3410" t="n">
        <v>3</v>
      </c>
      <c r="K3410" t="n">
        <v>0</v>
      </c>
      <c r="L3410" t="n">
        <v>27200</v>
      </c>
      <c r="M3410" t="n">
        <v>31000</v>
      </c>
      <c r="N3410" t="n">
        <v>33</v>
      </c>
      <c r="O3410" t="n">
        <v>0.33</v>
      </c>
      <c r="P3410" t="n">
        <v>1</v>
      </c>
      <c r="Q3410" t="n">
        <v>0.02</v>
      </c>
      <c r="R3410" t="n">
        <v>1</v>
      </c>
      <c r="S3410" t="n">
        <v>1432.2</v>
      </c>
      <c r="T3410" t="n">
        <v>2</v>
      </c>
      <c r="U3410" t="n">
        <v>3</v>
      </c>
      <c r="V3410" t="n">
        <v>30</v>
      </c>
      <c r="W3410" t="n">
        <v>2</v>
      </c>
      <c r="X3410" t="n">
        <v>43.29004329004329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1397</v>
      </c>
      <c r="AG3410" t="n">
        <v>2136</v>
      </c>
      <c r="AH3410" t="inlineStr">
        <is>
          <t>CV. SAMUDRA JAYA ABADI - PPN (JMB)</t>
        </is>
      </c>
      <c r="AI3410" t="n">
        <v>104</v>
      </c>
      <c r="AJ3410" t="inlineStr">
        <is>
          <t>PIXY</t>
        </is>
      </c>
      <c r="AK3410" t="n">
        <v>9</v>
      </c>
      <c r="AL3410" t="inlineStr">
        <is>
          <t>Miss Glam Jambi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"8992222072403"</f>
        <v/>
      </c>
      <c r="C3411" t="inlineStr">
        <is>
          <t>PIXY Loose Powder 03 Natural Beige 12gr</t>
        </is>
      </c>
      <c r="D3411" t="inlineStr">
        <is>
          <t>Miss Glam Jambi</t>
        </is>
      </c>
      <c r="E3411" t="n">
        <v>5</v>
      </c>
      <c r="F3411" t="n">
        <v>0.0825</v>
      </c>
      <c r="G3411" t="n">
        <v>0.66</v>
      </c>
      <c r="H3411" t="n">
        <v>2</v>
      </c>
      <c r="I3411" t="n">
        <v>6</v>
      </c>
      <c r="J3411" t="n">
        <v>3</v>
      </c>
      <c r="K3411" t="n">
        <v>0</v>
      </c>
      <c r="L3411" t="n">
        <v>27200</v>
      </c>
      <c r="M3411" t="n">
        <v>32000</v>
      </c>
      <c r="N3411" t="n">
        <v>33</v>
      </c>
      <c r="O3411" t="n">
        <v>0.33</v>
      </c>
      <c r="P3411" t="n">
        <v>1</v>
      </c>
      <c r="Q3411" t="n">
        <v>0.08</v>
      </c>
      <c r="R3411" t="n">
        <v>1</v>
      </c>
      <c r="S3411" t="n">
        <v>2640</v>
      </c>
      <c r="T3411" t="n">
        <v>4</v>
      </c>
      <c r="U3411" t="n">
        <v>5</v>
      </c>
      <c r="V3411" t="n">
        <v>30</v>
      </c>
      <c r="W3411" t="n">
        <v>3</v>
      </c>
      <c r="X3411" t="n">
        <v>60.6060606060606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1397</v>
      </c>
      <c r="AG3411" t="n">
        <v>2136</v>
      </c>
      <c r="AH3411" t="inlineStr">
        <is>
          <t>CV. SAMUDRA JAYA ABADI - PPN (JMB)</t>
        </is>
      </c>
      <c r="AI3411" t="n">
        <v>104</v>
      </c>
      <c r="AJ3411" t="inlineStr">
        <is>
          <t>PIXY</t>
        </is>
      </c>
      <c r="AK3411" t="n">
        <v>9</v>
      </c>
      <c r="AL3411" t="inlineStr">
        <is>
          <t>Miss Glam Jambi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"8992222073851"</f>
        <v/>
      </c>
      <c r="C3412" t="inlineStr">
        <is>
          <t>PIXY Make It Glow Beauty Skin Primer 101 Beige 25ml</t>
        </is>
      </c>
      <c r="D3412" t="inlineStr">
        <is>
          <t>Miss Glam Jambi</t>
        </is>
      </c>
      <c r="E3412" t="n">
        <v>7</v>
      </c>
      <c r="F3412" t="n">
        <v>0.99</v>
      </c>
      <c r="G3412" t="n">
        <v>2.97</v>
      </c>
      <c r="H3412" t="n">
        <v>2</v>
      </c>
      <c r="I3412" t="n">
        <v>6</v>
      </c>
      <c r="J3412" t="n">
        <v>3</v>
      </c>
      <c r="K3412" t="n">
        <v>24</v>
      </c>
      <c r="L3412" t="n">
        <v>49600</v>
      </c>
      <c r="M3412" t="n">
        <v>54000</v>
      </c>
      <c r="N3412" t="n">
        <v>33</v>
      </c>
      <c r="O3412" t="n">
        <v>0.33</v>
      </c>
      <c r="P3412" t="n">
        <v>1</v>
      </c>
      <c r="Q3412" t="n">
        <v>0.41</v>
      </c>
      <c r="R3412" t="n">
        <v>2</v>
      </c>
      <c r="S3412" t="n">
        <v>53460</v>
      </c>
      <c r="T3412" t="n">
        <v>16</v>
      </c>
      <c r="U3412" t="n">
        <v>18</v>
      </c>
      <c r="V3412" t="n">
        <v>30</v>
      </c>
      <c r="W3412" t="n">
        <v>30</v>
      </c>
      <c r="X3412" t="n">
        <v>7.070707070707071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1397</v>
      </c>
      <c r="AG3412" t="n">
        <v>2136</v>
      </c>
      <c r="AH3412" t="inlineStr">
        <is>
          <t>CV. SAMUDRA JAYA ABADI - PPN (JMB)</t>
        </is>
      </c>
      <c r="AI3412" t="n">
        <v>104</v>
      </c>
      <c r="AJ3412" t="inlineStr">
        <is>
          <t>PIXY</t>
        </is>
      </c>
      <c r="AK3412" t="n">
        <v>9</v>
      </c>
      <c r="AL3412" t="inlineStr">
        <is>
          <t>Miss Glam Jambi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"8992222073868"</f>
        <v/>
      </c>
      <c r="C3413" t="inlineStr">
        <is>
          <t>PIXY Make It Glow Dewy Cushion 101 Light Beige 15gr</t>
        </is>
      </c>
      <c r="D3413" t="inlineStr">
        <is>
          <t>Miss Glam Jambi</t>
        </is>
      </c>
      <c r="E3413" t="n">
        <v>7</v>
      </c>
      <c r="F3413" t="n">
        <v>0.0495</v>
      </c>
      <c r="G3413" t="n">
        <v>0.66</v>
      </c>
      <c r="H3413" t="n">
        <v>2</v>
      </c>
      <c r="I3413" t="n">
        <v>6</v>
      </c>
      <c r="J3413" t="n">
        <v>3</v>
      </c>
      <c r="K3413" t="n">
        <v>0</v>
      </c>
      <c r="L3413" t="n">
        <v>102000</v>
      </c>
      <c r="M3413" t="n">
        <v>120000</v>
      </c>
      <c r="N3413" t="n">
        <v>33</v>
      </c>
      <c r="O3413" t="n">
        <v>0.33</v>
      </c>
      <c r="P3413" t="n">
        <v>1</v>
      </c>
      <c r="Q3413" t="n">
        <v>0.08</v>
      </c>
      <c r="R3413" t="n">
        <v>1</v>
      </c>
      <c r="S3413" t="n">
        <v>5940</v>
      </c>
      <c r="T3413" t="n">
        <v>4</v>
      </c>
      <c r="U3413" t="n">
        <v>5</v>
      </c>
      <c r="V3413" t="n">
        <v>30</v>
      </c>
      <c r="W3413" t="n">
        <v>2</v>
      </c>
      <c r="X3413" t="n">
        <v>141.4141414141414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1397</v>
      </c>
      <c r="AG3413" t="n">
        <v>2136</v>
      </c>
      <c r="AH3413" t="inlineStr">
        <is>
          <t>CV. SAMUDRA JAYA ABADI - PPN (JMB)</t>
        </is>
      </c>
      <c r="AI3413" t="n">
        <v>104</v>
      </c>
      <c r="AJ3413" t="inlineStr">
        <is>
          <t>PIXY</t>
        </is>
      </c>
      <c r="AK3413" t="n">
        <v>9</v>
      </c>
      <c r="AL3413" t="inlineStr">
        <is>
          <t>Miss Glam Jambi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"8992222073899"</f>
        <v/>
      </c>
      <c r="C3414" t="inlineStr">
        <is>
          <t>PIXY Make It Glow Dewy Cushion 101 Light Beige Refill 15g</t>
        </is>
      </c>
      <c r="D3414" t="inlineStr">
        <is>
          <t>Miss Glam Jambi</t>
        </is>
      </c>
      <c r="E3414" t="n">
        <v>5</v>
      </c>
      <c r="F3414" t="n">
        <v>0.0726</v>
      </c>
      <c r="G3414" t="n">
        <v>0.99</v>
      </c>
      <c r="H3414" t="n">
        <v>2</v>
      </c>
      <c r="I3414" t="n">
        <v>6</v>
      </c>
      <c r="J3414" t="n">
        <v>3</v>
      </c>
      <c r="K3414" t="n">
        <v>0</v>
      </c>
      <c r="L3414" t="n">
        <v>73603</v>
      </c>
      <c r="M3414" t="n">
        <v>87000</v>
      </c>
      <c r="N3414" t="n">
        <v>33</v>
      </c>
      <c r="O3414" t="n">
        <v>0.33</v>
      </c>
      <c r="P3414" t="n">
        <v>1</v>
      </c>
      <c r="Q3414" t="n">
        <v>0.08</v>
      </c>
      <c r="R3414" t="n">
        <v>1</v>
      </c>
      <c r="S3414" t="n">
        <v>6316.2</v>
      </c>
      <c r="T3414" t="n">
        <v>6</v>
      </c>
      <c r="U3414" t="n">
        <v>7</v>
      </c>
      <c r="V3414" t="n">
        <v>30</v>
      </c>
      <c r="W3414" t="n">
        <v>3</v>
      </c>
      <c r="X3414" t="n">
        <v>68.87052341597796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1397</v>
      </c>
      <c r="AG3414" t="n">
        <v>2136</v>
      </c>
      <c r="AH3414" t="inlineStr">
        <is>
          <t>CV. SAMUDRA JAYA ABADI - PPN (JMB)</t>
        </is>
      </c>
      <c r="AI3414" t="n">
        <v>104</v>
      </c>
      <c r="AJ3414" t="inlineStr">
        <is>
          <t>PIXY</t>
        </is>
      </c>
      <c r="AK3414" t="n">
        <v>9</v>
      </c>
      <c r="AL3414" t="inlineStr">
        <is>
          <t>Miss Glam Jambi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"8992222074292"</f>
        <v/>
      </c>
      <c r="C3415" t="inlineStr">
        <is>
          <t>PIXY Make It Glow Dewy Cushion 102 Pinkish Beige 15g</t>
        </is>
      </c>
      <c r="D3415" t="inlineStr">
        <is>
          <t>Miss Glam Jambi</t>
        </is>
      </c>
      <c r="E3415" t="n">
        <v>5</v>
      </c>
      <c r="F3415" t="n">
        <v>0.033</v>
      </c>
      <c r="G3415" t="n">
        <v>0.33</v>
      </c>
      <c r="H3415" t="n">
        <v>2</v>
      </c>
      <c r="I3415" t="n">
        <v>6</v>
      </c>
      <c r="J3415" t="n">
        <v>3</v>
      </c>
      <c r="K3415" t="n">
        <v>0</v>
      </c>
      <c r="L3415" t="n">
        <v>102000</v>
      </c>
      <c r="M3415" t="n">
        <v>121000</v>
      </c>
      <c r="N3415" t="n">
        <v>33</v>
      </c>
      <c r="O3415" t="n">
        <v>0.33</v>
      </c>
      <c r="P3415" t="n">
        <v>1</v>
      </c>
      <c r="Q3415" t="n">
        <v>0.1</v>
      </c>
      <c r="R3415" t="n">
        <v>2</v>
      </c>
      <c r="S3415" t="n">
        <v>3993</v>
      </c>
      <c r="T3415" t="n">
        <v>2</v>
      </c>
      <c r="U3415" t="n">
        <v>3</v>
      </c>
      <c r="V3415" t="n">
        <v>30</v>
      </c>
      <c r="W3415" t="n">
        <v>1</v>
      </c>
      <c r="X3415" t="n">
        <v>151.5151515151515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1397</v>
      </c>
      <c r="AG3415" t="n">
        <v>2136</v>
      </c>
      <c r="AH3415" t="inlineStr">
        <is>
          <t>CV. SAMUDRA JAYA ABADI - PPN (JMB)</t>
        </is>
      </c>
      <c r="AI3415" t="n">
        <v>104</v>
      </c>
      <c r="AJ3415" t="inlineStr">
        <is>
          <t>PIXY</t>
        </is>
      </c>
      <c r="AK3415" t="n">
        <v>9</v>
      </c>
      <c r="AL3415" t="inlineStr">
        <is>
          <t>Miss Glam Jambi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"8992222074353"</f>
        <v/>
      </c>
      <c r="C3416" t="inlineStr">
        <is>
          <t>PIXY Make It Glow Dewy Cushion 102 Pinkish Beige Refill 15g</t>
        </is>
      </c>
      <c r="D3416" t="inlineStr">
        <is>
          <t>Miss Glam Jambi</t>
        </is>
      </c>
      <c r="E3416" t="n">
        <v>2</v>
      </c>
      <c r="F3416" t="n">
        <v>0.009900000000000001</v>
      </c>
      <c r="G3416" t="n">
        <v>0.33</v>
      </c>
      <c r="H3416" t="n">
        <v>2</v>
      </c>
      <c r="I3416" t="n">
        <v>6</v>
      </c>
      <c r="J3416" t="n">
        <v>3</v>
      </c>
      <c r="K3416" t="n">
        <v>0</v>
      </c>
      <c r="L3416" t="n">
        <v>73600</v>
      </c>
      <c r="M3416" t="n">
        <v>87000</v>
      </c>
      <c r="N3416" t="n">
        <v>33</v>
      </c>
      <c r="O3416" t="n">
        <v>0.33</v>
      </c>
      <c r="P3416" t="n">
        <v>1</v>
      </c>
      <c r="Q3416" t="n">
        <v>0.03</v>
      </c>
      <c r="R3416" t="n">
        <v>1</v>
      </c>
      <c r="S3416" t="n">
        <v>861.3000000000001</v>
      </c>
      <c r="T3416" t="n">
        <v>2</v>
      </c>
      <c r="U3416" t="n">
        <v>3</v>
      </c>
      <c r="V3416" t="n">
        <v>30</v>
      </c>
      <c r="W3416" t="n">
        <v>1</v>
      </c>
      <c r="X3416" t="n">
        <v>202.020202020202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1397</v>
      </c>
      <c r="AG3416" t="n">
        <v>2136</v>
      </c>
      <c r="AH3416" t="inlineStr">
        <is>
          <t>CV. SAMUDRA JAYA ABADI - PPN (JMB)</t>
        </is>
      </c>
      <c r="AI3416" t="n">
        <v>104</v>
      </c>
      <c r="AJ3416" t="inlineStr">
        <is>
          <t>PIXY</t>
        </is>
      </c>
      <c r="AK3416" t="n">
        <v>9</v>
      </c>
      <c r="AL3416" t="inlineStr">
        <is>
          <t>Miss Glam Jambi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"8992222073875"</f>
        <v/>
      </c>
      <c r="C3417" t="inlineStr">
        <is>
          <t>PIXY Make It Glow Dewy Cushion 201 Neutral Beige 15gr</t>
        </is>
      </c>
      <c r="D3417" t="inlineStr">
        <is>
          <t>Miss Glam Jambi</t>
        </is>
      </c>
      <c r="E3417" t="n">
        <v>2</v>
      </c>
      <c r="F3417" t="n">
        <v>0.0396</v>
      </c>
      <c r="G3417" t="n">
        <v>0.33</v>
      </c>
      <c r="H3417" t="n">
        <v>2</v>
      </c>
      <c r="I3417" t="n">
        <v>6</v>
      </c>
      <c r="J3417" t="n">
        <v>3</v>
      </c>
      <c r="K3417" t="n">
        <v>0</v>
      </c>
      <c r="L3417" t="n">
        <v>102000</v>
      </c>
      <c r="M3417" t="n">
        <v>121000</v>
      </c>
      <c r="N3417" t="n">
        <v>33</v>
      </c>
      <c r="O3417" t="n">
        <v>0.33</v>
      </c>
      <c r="P3417" t="n">
        <v>1</v>
      </c>
      <c r="Q3417" t="n">
        <v>0.02</v>
      </c>
      <c r="R3417" t="n">
        <v>1</v>
      </c>
      <c r="S3417" t="n">
        <v>4791.6</v>
      </c>
      <c r="T3417" t="n">
        <v>2</v>
      </c>
      <c r="U3417" t="n">
        <v>3</v>
      </c>
      <c r="V3417" t="n">
        <v>30</v>
      </c>
      <c r="W3417" t="n">
        <v>2</v>
      </c>
      <c r="X3417" t="n">
        <v>50.5050505050505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1397</v>
      </c>
      <c r="AG3417" t="n">
        <v>2136</v>
      </c>
      <c r="AH3417" t="inlineStr">
        <is>
          <t>CV. SAMUDRA JAYA ABADI - PPN (JMB)</t>
        </is>
      </c>
      <c r="AI3417" t="n">
        <v>104</v>
      </c>
      <c r="AJ3417" t="inlineStr">
        <is>
          <t>PIXY</t>
        </is>
      </c>
      <c r="AK3417" t="n">
        <v>9</v>
      </c>
      <c r="AL3417" t="inlineStr">
        <is>
          <t>Miss Glam Jambi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"8992222073905"</f>
        <v/>
      </c>
      <c r="C3418" t="inlineStr">
        <is>
          <t>PIXY Make It Glow Dewy Cushion 201 Neutral Beige Refill 15g</t>
        </is>
      </c>
      <c r="D3418" t="inlineStr">
        <is>
          <t>Miss Glam Jambi</t>
        </is>
      </c>
      <c r="E3418" t="n">
        <v>2</v>
      </c>
      <c r="F3418" t="n">
        <v>0.0165</v>
      </c>
      <c r="G3418" t="n">
        <v>0.33</v>
      </c>
      <c r="H3418" t="n">
        <v>2</v>
      </c>
      <c r="I3418" t="n">
        <v>6</v>
      </c>
      <c r="J3418" t="n">
        <v>3</v>
      </c>
      <c r="K3418" t="n">
        <v>0</v>
      </c>
      <c r="L3418" t="n">
        <v>73600</v>
      </c>
      <c r="M3418" t="n">
        <v>87000</v>
      </c>
      <c r="N3418" t="n">
        <v>33</v>
      </c>
      <c r="O3418" t="n">
        <v>0.33</v>
      </c>
      <c r="P3418" t="n">
        <v>1</v>
      </c>
      <c r="Q3418" t="n">
        <v>0.05</v>
      </c>
      <c r="R3418" t="n">
        <v>1</v>
      </c>
      <c r="S3418" t="n">
        <v>1435.5</v>
      </c>
      <c r="T3418" t="n">
        <v>2</v>
      </c>
      <c r="U3418" t="n">
        <v>3</v>
      </c>
      <c r="V3418" t="n">
        <v>30</v>
      </c>
      <c r="W3418" t="n">
        <v>1</v>
      </c>
      <c r="X3418" t="n">
        <v>121.2121212121212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1397</v>
      </c>
      <c r="AG3418" t="n">
        <v>2136</v>
      </c>
      <c r="AH3418" t="inlineStr">
        <is>
          <t>CV. SAMUDRA JAYA ABADI - PPN (JMB)</t>
        </is>
      </c>
      <c r="AI3418" t="n">
        <v>104</v>
      </c>
      <c r="AJ3418" t="inlineStr">
        <is>
          <t>PIXY</t>
        </is>
      </c>
      <c r="AK3418" t="n">
        <v>9</v>
      </c>
      <c r="AL3418" t="inlineStr">
        <is>
          <t>Miss Glam Jambi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"8992222073882"</f>
        <v/>
      </c>
      <c r="C3419" t="inlineStr">
        <is>
          <t>PIXY Make It Glow Dewy Cushion 301 Medium Beige 15g</t>
        </is>
      </c>
      <c r="D3419" t="inlineStr">
        <is>
          <t>Miss Glam Jambi</t>
        </is>
      </c>
      <c r="E3419" t="n">
        <v>3</v>
      </c>
      <c r="F3419" t="n">
        <v>0.009900000000000001</v>
      </c>
      <c r="G3419" t="n">
        <v>0.33</v>
      </c>
      <c r="H3419" t="n">
        <v>2</v>
      </c>
      <c r="I3419" t="n">
        <v>6</v>
      </c>
      <c r="J3419" t="n">
        <v>3</v>
      </c>
      <c r="K3419" t="n">
        <v>0</v>
      </c>
      <c r="L3419" t="n">
        <v>102000</v>
      </c>
      <c r="M3419" t="n">
        <v>120000</v>
      </c>
      <c r="N3419" t="n">
        <v>33</v>
      </c>
      <c r="O3419" t="n">
        <v>0.33</v>
      </c>
      <c r="P3419" t="n">
        <v>1</v>
      </c>
      <c r="Q3419" t="n">
        <v>0.03</v>
      </c>
      <c r="R3419" t="n">
        <v>1</v>
      </c>
      <c r="S3419" t="n">
        <v>1188</v>
      </c>
      <c r="T3419" t="n">
        <v>2</v>
      </c>
      <c r="U3419" t="n">
        <v>3</v>
      </c>
      <c r="V3419" t="n">
        <v>30</v>
      </c>
      <c r="W3419" t="n">
        <v>1</v>
      </c>
      <c r="X3419" t="n">
        <v>303.030303030303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1397</v>
      </c>
      <c r="AG3419" t="n">
        <v>2136</v>
      </c>
      <c r="AH3419" t="inlineStr">
        <is>
          <t>CV. SAMUDRA JAYA ABADI - PPN (JMB)</t>
        </is>
      </c>
      <c r="AI3419" t="n">
        <v>104</v>
      </c>
      <c r="AJ3419" t="inlineStr">
        <is>
          <t>PIXY</t>
        </is>
      </c>
      <c r="AK3419" t="n">
        <v>9</v>
      </c>
      <c r="AL3419" t="inlineStr">
        <is>
          <t>Miss Glam Jambi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"8992222073912"</f>
        <v/>
      </c>
      <c r="C3420" t="inlineStr">
        <is>
          <t>PIXY Make It Glow Dewy Cushion 301 Medium Beige Refill 15g</t>
        </is>
      </c>
      <c r="D3420" t="inlineStr">
        <is>
          <t>Miss Glam Jambi</t>
        </is>
      </c>
      <c r="E3420" t="n">
        <v>3</v>
      </c>
      <c r="F3420" t="n">
        <v>0.0165</v>
      </c>
      <c r="G3420" t="n">
        <v>0.33</v>
      </c>
      <c r="H3420" t="n">
        <v>2</v>
      </c>
      <c r="I3420" t="n">
        <v>6</v>
      </c>
      <c r="J3420" t="n">
        <v>3</v>
      </c>
      <c r="K3420" t="n">
        <v>0</v>
      </c>
      <c r="L3420" t="n">
        <v>73600</v>
      </c>
      <c r="M3420" t="n">
        <v>87000</v>
      </c>
      <c r="N3420" t="n">
        <v>33</v>
      </c>
      <c r="O3420" t="n">
        <v>0.33</v>
      </c>
      <c r="P3420" t="n">
        <v>1</v>
      </c>
      <c r="Q3420" t="n">
        <v>0.02</v>
      </c>
      <c r="R3420" t="n">
        <v>1</v>
      </c>
      <c r="S3420" t="n">
        <v>1435.5</v>
      </c>
      <c r="T3420" t="n">
        <v>2</v>
      </c>
      <c r="U3420" t="n">
        <v>3</v>
      </c>
      <c r="V3420" t="n">
        <v>30</v>
      </c>
      <c r="W3420" t="n">
        <v>1</v>
      </c>
      <c r="X3420" t="n">
        <v>181.8181818181818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1397</v>
      </c>
      <c r="AG3420" t="n">
        <v>2136</v>
      </c>
      <c r="AH3420" t="inlineStr">
        <is>
          <t>CV. SAMUDRA JAYA ABADI - PPN (JMB)</t>
        </is>
      </c>
      <c r="AI3420" t="n">
        <v>104</v>
      </c>
      <c r="AJ3420" t="inlineStr">
        <is>
          <t>PIXY</t>
        </is>
      </c>
      <c r="AK3420" t="n">
        <v>9</v>
      </c>
      <c r="AL3420" t="inlineStr">
        <is>
          <t>Miss Glam Jambi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"8992222074056"</f>
        <v/>
      </c>
      <c r="C3421" t="inlineStr">
        <is>
          <t>PIXY Make It Glow Silky Powdery Cake Refill 201 Neutral Beige</t>
        </is>
      </c>
      <c r="D3421" t="inlineStr">
        <is>
          <t>Miss Glam Jambi</t>
        </is>
      </c>
      <c r="E3421" t="n">
        <v>2</v>
      </c>
      <c r="F3421" t="n">
        <v>0.009900000000000001</v>
      </c>
      <c r="G3421" t="n">
        <v>0.33</v>
      </c>
      <c r="H3421" t="n">
        <v>2</v>
      </c>
      <c r="I3421" t="n">
        <v>6</v>
      </c>
      <c r="J3421" t="n">
        <v>3</v>
      </c>
      <c r="K3421" t="n">
        <v>0</v>
      </c>
      <c r="L3421" t="n">
        <v>36800</v>
      </c>
      <c r="M3421" t="n">
        <v>46000</v>
      </c>
      <c r="N3421" t="n">
        <v>33</v>
      </c>
      <c r="O3421" t="n">
        <v>0.33</v>
      </c>
      <c r="P3421" t="n">
        <v>1</v>
      </c>
      <c r="Q3421" t="n">
        <v>0.03</v>
      </c>
      <c r="R3421" t="n">
        <v>1</v>
      </c>
      <c r="S3421" t="n">
        <v>455.4</v>
      </c>
      <c r="T3421" t="n">
        <v>2</v>
      </c>
      <c r="U3421" t="n">
        <v>3</v>
      </c>
      <c r="V3421" t="n">
        <v>30</v>
      </c>
      <c r="W3421" t="n">
        <v>1</v>
      </c>
      <c r="X3421" t="n">
        <v>202.020202020202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1397</v>
      </c>
      <c r="AG3421" t="n">
        <v>2136</v>
      </c>
      <c r="AH3421" t="inlineStr">
        <is>
          <t>CV. SAMUDRA JAYA ABADI - PPN (JMB)</t>
        </is>
      </c>
      <c r="AI3421" t="n">
        <v>104</v>
      </c>
      <c r="AJ3421" t="inlineStr">
        <is>
          <t>PIXY</t>
        </is>
      </c>
      <c r="AK3421" t="n">
        <v>9</v>
      </c>
      <c r="AL3421" t="inlineStr">
        <is>
          <t>Miss Glam Jambi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"8992222074063"</f>
        <v/>
      </c>
      <c r="C3422" t="inlineStr">
        <is>
          <t>PIXY Make It Glow Silky Powdery Cake Refill 301 Medium Beige</t>
        </is>
      </c>
      <c r="D3422" t="inlineStr">
        <is>
          <t>Miss Glam Jambi</t>
        </is>
      </c>
      <c r="E3422" t="n">
        <v>1</v>
      </c>
      <c r="F3422" t="n">
        <v>0.009900000000000001</v>
      </c>
      <c r="G3422" t="n">
        <v>0.33</v>
      </c>
      <c r="H3422" t="n">
        <v>2</v>
      </c>
      <c r="I3422" t="n">
        <v>6</v>
      </c>
      <c r="J3422" t="n">
        <v>3</v>
      </c>
      <c r="K3422" t="n">
        <v>0</v>
      </c>
      <c r="L3422" t="n">
        <v>36800</v>
      </c>
      <c r="M3422" t="n">
        <v>44000</v>
      </c>
      <c r="N3422" t="n">
        <v>33</v>
      </c>
      <c r="O3422" t="n">
        <v>0.33</v>
      </c>
      <c r="P3422" t="n">
        <v>1</v>
      </c>
      <c r="Q3422" t="n">
        <v>0.02</v>
      </c>
      <c r="R3422" t="n">
        <v>1</v>
      </c>
      <c r="S3422" t="n">
        <v>435.6</v>
      </c>
      <c r="T3422" t="n">
        <v>2</v>
      </c>
      <c r="U3422" t="n">
        <v>3</v>
      </c>
      <c r="V3422" t="n">
        <v>30</v>
      </c>
      <c r="W3422" t="n">
        <v>1</v>
      </c>
      <c r="X3422" t="n">
        <v>101.010101010101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1397</v>
      </c>
      <c r="AG3422" t="n">
        <v>2136</v>
      </c>
      <c r="AH3422" t="inlineStr">
        <is>
          <t>CV. SAMUDRA JAYA ABADI - PPN (JMB)</t>
        </is>
      </c>
      <c r="AI3422" t="n">
        <v>104</v>
      </c>
      <c r="AJ3422" t="inlineStr">
        <is>
          <t>PIXY</t>
        </is>
      </c>
      <c r="AK3422" t="n">
        <v>9</v>
      </c>
      <c r="AL3422" t="inlineStr">
        <is>
          <t>Miss Glam Jambi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"8992222074926"</f>
        <v/>
      </c>
      <c r="C3423" t="inlineStr">
        <is>
          <t>PIXY Make It Glow Techno Fixed Matte Cushion-101 Light Beige 15gr</t>
        </is>
      </c>
      <c r="D3423" t="inlineStr">
        <is>
          <t>Miss Glam Jambi</t>
        </is>
      </c>
      <c r="E3423" t="n">
        <v>5</v>
      </c>
      <c r="F3423" t="n">
        <v>0.006600000000000001</v>
      </c>
      <c r="G3423" t="n">
        <v>0.33</v>
      </c>
      <c r="H3423" t="n">
        <v>2</v>
      </c>
      <c r="I3423" t="n">
        <v>6</v>
      </c>
      <c r="J3423" t="n">
        <v>3</v>
      </c>
      <c r="K3423" t="n">
        <v>0</v>
      </c>
      <c r="L3423" t="n">
        <v>130000</v>
      </c>
      <c r="M3423" t="n">
        <v>153000</v>
      </c>
      <c r="N3423" t="n">
        <v>33</v>
      </c>
      <c r="O3423" t="n">
        <v>0.33</v>
      </c>
      <c r="P3423" t="n">
        <v>1</v>
      </c>
      <c r="Q3423" t="n">
        <v>0.02</v>
      </c>
      <c r="R3423" t="n">
        <v>1</v>
      </c>
      <c r="S3423" t="n">
        <v>1009.8</v>
      </c>
      <c r="T3423" t="n">
        <v>2</v>
      </c>
      <c r="U3423" t="n">
        <v>3</v>
      </c>
      <c r="V3423" t="n">
        <v>30</v>
      </c>
      <c r="W3423" t="n">
        <v>1</v>
      </c>
      <c r="X3423" t="n">
        <v>757.5757575757575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1397</v>
      </c>
      <c r="AG3423" t="n">
        <v>2136</v>
      </c>
      <c r="AH3423" t="inlineStr">
        <is>
          <t>CV. SAMUDRA JAYA ABADI - PPN (JMB)</t>
        </is>
      </c>
      <c r="AI3423" t="n">
        <v>104</v>
      </c>
      <c r="AJ3423" t="inlineStr">
        <is>
          <t>PIXY</t>
        </is>
      </c>
      <c r="AK3423" t="n">
        <v>9</v>
      </c>
      <c r="AL3423" t="inlineStr">
        <is>
          <t>Miss Glam Jambi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"8992222074957"</f>
        <v/>
      </c>
      <c r="C3424" t="inlineStr">
        <is>
          <t>PIXY Make It Glow Techno Fixed Matte Primer-101 Fair Beige 25ml</t>
        </is>
      </c>
      <c r="D3424" t="inlineStr">
        <is>
          <t>Miss Glam Jambi</t>
        </is>
      </c>
      <c r="E3424" t="n">
        <v>3</v>
      </c>
      <c r="F3424" t="n">
        <v>0.09569999999999999</v>
      </c>
      <c r="G3424" t="n">
        <v>0.66</v>
      </c>
      <c r="H3424" t="n">
        <v>2</v>
      </c>
      <c r="I3424" t="n">
        <v>6</v>
      </c>
      <c r="J3424" t="n">
        <v>3</v>
      </c>
      <c r="K3424" t="n">
        <v>0</v>
      </c>
      <c r="L3424" t="n">
        <v>57200</v>
      </c>
      <c r="M3424" t="n">
        <v>72000</v>
      </c>
      <c r="N3424" t="n">
        <v>33</v>
      </c>
      <c r="O3424" t="n">
        <v>0.33</v>
      </c>
      <c r="P3424" t="n">
        <v>1</v>
      </c>
      <c r="Q3424" t="n">
        <v>0.03</v>
      </c>
      <c r="R3424" t="n">
        <v>2</v>
      </c>
      <c r="S3424" t="n">
        <v>6890.4</v>
      </c>
      <c r="T3424" t="n">
        <v>4</v>
      </c>
      <c r="U3424" t="n">
        <v>5</v>
      </c>
      <c r="V3424" t="n">
        <v>30</v>
      </c>
      <c r="W3424" t="n">
        <v>3</v>
      </c>
      <c r="X3424" t="n">
        <v>31.34796238244514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1397</v>
      </c>
      <c r="AG3424" t="n">
        <v>2136</v>
      </c>
      <c r="AH3424" t="inlineStr">
        <is>
          <t>CV. SAMUDRA JAYA ABADI - PPN (JMB)</t>
        </is>
      </c>
      <c r="AI3424" t="n">
        <v>104</v>
      </c>
      <c r="AJ3424" t="inlineStr">
        <is>
          <t>PIXY</t>
        </is>
      </c>
      <c r="AK3424" t="n">
        <v>9</v>
      </c>
      <c r="AL3424" t="inlineStr">
        <is>
          <t>Miss Glam Jambi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"20100487849"</f>
        <v/>
      </c>
      <c r="C3425" t="inlineStr">
        <is>
          <t>PIXY Matte Cushion 202N Light Ivory 11gr</t>
        </is>
      </c>
      <c r="D3425" t="inlineStr">
        <is>
          <t>Miss Glam Jambi</t>
        </is>
      </c>
      <c r="E3425" t="n">
        <v>2</v>
      </c>
      <c r="F3425" t="n">
        <v>0.02</v>
      </c>
      <c r="G3425" t="n">
        <v>1</v>
      </c>
      <c r="H3425" t="n">
        <v>2</v>
      </c>
      <c r="I3425" t="n">
        <v>6</v>
      </c>
      <c r="J3425" t="n">
        <v>1</v>
      </c>
      <c r="K3425" t="n">
        <v>0</v>
      </c>
      <c r="L3425" t="n">
        <v>111201</v>
      </c>
      <c r="M3425" t="n">
        <v>131000</v>
      </c>
      <c r="N3425" t="n">
        <v>33</v>
      </c>
      <c r="O3425" t="n">
        <v>0.33</v>
      </c>
      <c r="P3425" t="n">
        <v>0</v>
      </c>
      <c r="Q3425" t="n">
        <v>0.02</v>
      </c>
      <c r="R3425" t="n">
        <v>1</v>
      </c>
      <c r="S3425" t="n">
        <v>2620</v>
      </c>
      <c r="T3425" t="n">
        <v>6</v>
      </c>
      <c r="U3425" t="n">
        <v>7</v>
      </c>
      <c r="V3425" t="n">
        <v>30</v>
      </c>
      <c r="W3425" t="n">
        <v>1</v>
      </c>
      <c r="X3425" t="n">
        <v>100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1397</v>
      </c>
      <c r="AG3425" t="n">
        <v>2136</v>
      </c>
      <c r="AH3425" t="inlineStr">
        <is>
          <t>CV. SAMUDRA JAYA ABADI - PPN (JMB)</t>
        </is>
      </c>
      <c r="AI3425" t="n">
        <v>104</v>
      </c>
      <c r="AJ3425" t="inlineStr">
        <is>
          <t>PIXY</t>
        </is>
      </c>
      <c r="AK3425" t="n">
        <v>9</v>
      </c>
      <c r="AL3425" t="inlineStr">
        <is>
          <t>Miss Glam Jambi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"20100488105"</f>
        <v/>
      </c>
      <c r="C3426" t="inlineStr">
        <is>
          <t>PIXY Matte Cushion 303W Warm Beige 11gr</t>
        </is>
      </c>
      <c r="D3426" t="inlineStr">
        <is>
          <t>Miss Glam Jambi</t>
        </is>
      </c>
      <c r="E3426" t="n">
        <v>2</v>
      </c>
      <c r="F3426" t="n">
        <v>0.009900000000000001</v>
      </c>
      <c r="G3426" t="n">
        <v>0.33</v>
      </c>
      <c r="H3426" t="n">
        <v>2</v>
      </c>
      <c r="I3426" t="n">
        <v>6</v>
      </c>
      <c r="J3426" t="n">
        <v>1</v>
      </c>
      <c r="K3426" t="n">
        <v>0</v>
      </c>
      <c r="L3426" t="n">
        <v>111201</v>
      </c>
      <c r="M3426" t="n">
        <v>131000</v>
      </c>
      <c r="N3426" t="n">
        <v>33</v>
      </c>
      <c r="O3426" t="n">
        <v>0.33</v>
      </c>
      <c r="P3426" t="n">
        <v>1</v>
      </c>
      <c r="Q3426" t="n">
        <v>0.02</v>
      </c>
      <c r="R3426" t="n">
        <v>1</v>
      </c>
      <c r="S3426" t="n">
        <v>1296.9</v>
      </c>
      <c r="T3426" t="n">
        <v>2</v>
      </c>
      <c r="U3426" t="n">
        <v>3</v>
      </c>
      <c r="V3426" t="n">
        <v>30</v>
      </c>
      <c r="W3426" t="n">
        <v>1</v>
      </c>
      <c r="X3426" t="n">
        <v>202.020202020202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1397</v>
      </c>
      <c r="AG3426" t="n">
        <v>2136</v>
      </c>
      <c r="AH3426" t="inlineStr">
        <is>
          <t>CV. SAMUDRA JAYA ABADI - PPN (JMB)</t>
        </is>
      </c>
      <c r="AI3426" t="n">
        <v>104</v>
      </c>
      <c r="AJ3426" t="inlineStr">
        <is>
          <t>PIXY</t>
        </is>
      </c>
      <c r="AK3426" t="n">
        <v>9</v>
      </c>
      <c r="AL3426" t="inlineStr">
        <is>
          <t>Miss Glam Jambi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"8992222282888"</f>
        <v/>
      </c>
      <c r="C3427" t="inlineStr">
        <is>
          <t>PIXY Matte In Love Lipstick 105 Divine Rouge 4,4gr</t>
        </is>
      </c>
      <c r="D3427" t="inlineStr">
        <is>
          <t>Miss Glam Jambi</t>
        </is>
      </c>
      <c r="E3427" t="n">
        <v>6</v>
      </c>
      <c r="F3427" t="n">
        <v>0.0264</v>
      </c>
      <c r="G3427" t="n">
        <v>0.33</v>
      </c>
      <c r="H3427" t="n">
        <v>2</v>
      </c>
      <c r="I3427" t="n">
        <v>6</v>
      </c>
      <c r="J3427" t="n">
        <v>3</v>
      </c>
      <c r="K3427" t="n">
        <v>0</v>
      </c>
      <c r="L3427" t="n">
        <v>40000</v>
      </c>
      <c r="M3427" t="n">
        <v>46000</v>
      </c>
      <c r="N3427" t="n">
        <v>33</v>
      </c>
      <c r="O3427" t="n">
        <v>0.33</v>
      </c>
      <c r="P3427" t="n">
        <v>1</v>
      </c>
      <c r="Q3427" t="n">
        <v>0.05</v>
      </c>
      <c r="R3427" t="n">
        <v>1</v>
      </c>
      <c r="S3427" t="n">
        <v>1214.4</v>
      </c>
      <c r="T3427" t="n">
        <v>2</v>
      </c>
      <c r="U3427" t="n">
        <v>3</v>
      </c>
      <c r="V3427" t="n">
        <v>30</v>
      </c>
      <c r="W3427" t="n">
        <v>1</v>
      </c>
      <c r="X3427" t="n">
        <v>227.2727272727273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1397</v>
      </c>
      <c r="AG3427" t="n">
        <v>2136</v>
      </c>
      <c r="AH3427" t="inlineStr">
        <is>
          <t>CV. SAMUDRA JAYA ABADI - PPN (JMB)</t>
        </is>
      </c>
      <c r="AI3427" t="n">
        <v>104</v>
      </c>
      <c r="AJ3427" t="inlineStr">
        <is>
          <t>PIXY</t>
        </is>
      </c>
      <c r="AK3427" t="n">
        <v>9</v>
      </c>
      <c r="AL3427" t="inlineStr">
        <is>
          <t>Miss Glam Jambi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"203002174934"</f>
        <v/>
      </c>
      <c r="C3428" t="inlineStr">
        <is>
          <t>PIXY Mousse Moments 07 Rose In Love 4gr</t>
        </is>
      </c>
      <c r="D3428" t="inlineStr">
        <is>
          <t>Miss Glam Jambi</t>
        </is>
      </c>
      <c r="E3428" t="n">
        <v>3</v>
      </c>
      <c r="F3428" t="n">
        <v>0.0165</v>
      </c>
      <c r="G3428" t="n">
        <v>0.33</v>
      </c>
      <c r="H3428" t="n">
        <v>2</v>
      </c>
      <c r="I3428" t="n">
        <v>6</v>
      </c>
      <c r="J3428" t="n">
        <v>3</v>
      </c>
      <c r="K3428" t="n">
        <v>0</v>
      </c>
      <c r="L3428" t="n">
        <v>46400</v>
      </c>
      <c r="M3428" t="n">
        <v>55000</v>
      </c>
      <c r="N3428" t="n">
        <v>33</v>
      </c>
      <c r="O3428" t="n">
        <v>0.33</v>
      </c>
      <c r="P3428" t="n">
        <v>1</v>
      </c>
      <c r="Q3428" t="n">
        <v>0.03</v>
      </c>
      <c r="R3428" t="n">
        <v>1</v>
      </c>
      <c r="S3428" t="n">
        <v>907.5</v>
      </c>
      <c r="T3428" t="n">
        <v>2</v>
      </c>
      <c r="U3428" t="n">
        <v>3</v>
      </c>
      <c r="V3428" t="n">
        <v>30</v>
      </c>
      <c r="W3428" t="n">
        <v>1</v>
      </c>
      <c r="X3428" t="n">
        <v>181.8181818181818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1397</v>
      </c>
      <c r="AG3428" t="n">
        <v>2136</v>
      </c>
      <c r="AH3428" t="inlineStr">
        <is>
          <t>CV. SAMUDRA JAYA ABADI - PPN (JMB)</t>
        </is>
      </c>
      <c r="AI3428" t="n">
        <v>104</v>
      </c>
      <c r="AJ3428" t="inlineStr">
        <is>
          <t>PIXY</t>
        </is>
      </c>
      <c r="AK3428" t="n">
        <v>9</v>
      </c>
      <c r="AL3428" t="inlineStr">
        <is>
          <t>Miss Glam Jambi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"203002175008"</f>
        <v/>
      </c>
      <c r="C3429" t="inlineStr">
        <is>
          <t>PIXY Mousse Moments 08 Chillin' Terracotta 4gr</t>
        </is>
      </c>
      <c r="D3429" t="inlineStr">
        <is>
          <t>Miss Glam Jambi</t>
        </is>
      </c>
      <c r="E3429" t="n">
        <v>12</v>
      </c>
      <c r="F3429" t="n">
        <v>0.0165</v>
      </c>
      <c r="G3429" t="n">
        <v>0.33</v>
      </c>
      <c r="H3429" t="n">
        <v>2</v>
      </c>
      <c r="I3429" t="n">
        <v>6</v>
      </c>
      <c r="J3429" t="n">
        <v>3</v>
      </c>
      <c r="K3429" t="n">
        <v>0</v>
      </c>
      <c r="L3429" t="n">
        <v>46400</v>
      </c>
      <c r="M3429" t="n">
        <v>55000</v>
      </c>
      <c r="N3429" t="n">
        <v>33</v>
      </c>
      <c r="O3429" t="n">
        <v>0.33</v>
      </c>
      <c r="P3429" t="n">
        <v>1</v>
      </c>
      <c r="Q3429" t="n">
        <v>0.08</v>
      </c>
      <c r="R3429" t="n">
        <v>1</v>
      </c>
      <c r="S3429" t="n">
        <v>907.5</v>
      </c>
      <c r="T3429" t="n">
        <v>2</v>
      </c>
      <c r="U3429" t="n">
        <v>3</v>
      </c>
      <c r="V3429" t="n">
        <v>30</v>
      </c>
      <c r="W3429" t="n">
        <v>1</v>
      </c>
      <c r="X3429" t="n">
        <v>727.2727272727273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1397</v>
      </c>
      <c r="AG3429" t="n">
        <v>2136</v>
      </c>
      <c r="AH3429" t="inlineStr">
        <is>
          <t>CV. SAMUDRA JAYA ABADI - PPN (JMB)</t>
        </is>
      </c>
      <c r="AI3429" t="n">
        <v>104</v>
      </c>
      <c r="AJ3429" t="inlineStr">
        <is>
          <t>PIXY</t>
        </is>
      </c>
      <c r="AK3429" t="n">
        <v>9</v>
      </c>
      <c r="AL3429" t="inlineStr">
        <is>
          <t>Miss Glam Jambi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"203002175141"</f>
        <v/>
      </c>
      <c r="C3430" t="inlineStr">
        <is>
          <t>PIXY Mousse Moments 09 Lively Apricot 4gr</t>
        </is>
      </c>
      <c r="D3430" t="inlineStr">
        <is>
          <t>Miss Glam Jambi</t>
        </is>
      </c>
      <c r="E3430" t="n">
        <v>3</v>
      </c>
      <c r="F3430" t="n">
        <v>0.009900000000000001</v>
      </c>
      <c r="G3430" t="n">
        <v>0.33</v>
      </c>
      <c r="H3430" t="n">
        <v>2</v>
      </c>
      <c r="I3430" t="n">
        <v>6</v>
      </c>
      <c r="J3430" t="n">
        <v>3</v>
      </c>
      <c r="K3430" t="n">
        <v>0</v>
      </c>
      <c r="L3430" t="n">
        <v>46400</v>
      </c>
      <c r="M3430" t="n">
        <v>55000</v>
      </c>
      <c r="N3430" t="n">
        <v>33</v>
      </c>
      <c r="O3430" t="n">
        <v>0.33</v>
      </c>
      <c r="P3430" t="n">
        <v>1</v>
      </c>
      <c r="Q3430" t="n">
        <v>0.1</v>
      </c>
      <c r="R3430" t="n">
        <v>1</v>
      </c>
      <c r="S3430" t="n">
        <v>544.5</v>
      </c>
      <c r="T3430" t="n">
        <v>2</v>
      </c>
      <c r="U3430" t="n">
        <v>3</v>
      </c>
      <c r="V3430" t="n">
        <v>30</v>
      </c>
      <c r="W3430" t="n">
        <v>1</v>
      </c>
      <c r="X3430" t="n">
        <v>303.030303030303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1397</v>
      </c>
      <c r="AG3430" t="n">
        <v>2136</v>
      </c>
      <c r="AH3430" t="inlineStr">
        <is>
          <t>CV. SAMUDRA JAYA ABADI - PPN (JMB)</t>
        </is>
      </c>
      <c r="AI3430" t="n">
        <v>104</v>
      </c>
      <c r="AJ3430" t="inlineStr">
        <is>
          <t>PIXY</t>
        </is>
      </c>
      <c r="AK3430" t="n">
        <v>9</v>
      </c>
      <c r="AL3430" t="inlineStr">
        <is>
          <t>Miss Glam Jambi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"203002175214"</f>
        <v/>
      </c>
      <c r="C3431" t="inlineStr">
        <is>
          <t>PIXY Mousse Moments 10 Cozy Choco 4gr</t>
        </is>
      </c>
      <c r="D3431" t="inlineStr">
        <is>
          <t>Miss Glam Jambi</t>
        </is>
      </c>
      <c r="E3431" t="n">
        <v>4</v>
      </c>
      <c r="F3431" t="n">
        <v>0.009900000000000001</v>
      </c>
      <c r="G3431" t="n">
        <v>0.33</v>
      </c>
      <c r="H3431" t="n">
        <v>2</v>
      </c>
      <c r="I3431" t="n">
        <v>6</v>
      </c>
      <c r="J3431" t="n">
        <v>3</v>
      </c>
      <c r="K3431" t="n">
        <v>0</v>
      </c>
      <c r="L3431" t="n">
        <v>46400</v>
      </c>
      <c r="M3431" t="n">
        <v>55000</v>
      </c>
      <c r="N3431" t="n">
        <v>33</v>
      </c>
      <c r="O3431" t="n">
        <v>0.33</v>
      </c>
      <c r="P3431" t="n">
        <v>1</v>
      </c>
      <c r="Q3431" t="n">
        <v>0.02</v>
      </c>
      <c r="R3431" t="n">
        <v>1</v>
      </c>
      <c r="S3431" t="n">
        <v>544.5</v>
      </c>
      <c r="T3431" t="n">
        <v>2</v>
      </c>
      <c r="U3431" t="n">
        <v>3</v>
      </c>
      <c r="V3431" t="n">
        <v>30</v>
      </c>
      <c r="W3431" t="n">
        <v>1</v>
      </c>
      <c r="X3431" t="n">
        <v>404.040404040404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1397</v>
      </c>
      <c r="AG3431" t="n">
        <v>2136</v>
      </c>
      <c r="AH3431" t="inlineStr">
        <is>
          <t>CV. SAMUDRA JAYA ABADI - PPN (JMB)</t>
        </is>
      </c>
      <c r="AI3431" t="n">
        <v>104</v>
      </c>
      <c r="AJ3431" t="inlineStr">
        <is>
          <t>PIXY</t>
        </is>
      </c>
      <c r="AK3431" t="n">
        <v>9</v>
      </c>
      <c r="AL3431" t="inlineStr">
        <is>
          <t>Miss Glam Jambi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"8992222283564"</f>
        <v/>
      </c>
      <c r="C3432" t="inlineStr">
        <is>
          <t>PIXY Mousse Moments Lip Cream  01 Crowd In Red 4gr</t>
        </is>
      </c>
      <c r="D3432" t="inlineStr">
        <is>
          <t>Miss Glam Jambi</t>
        </is>
      </c>
      <c r="E3432" t="n">
        <v>3</v>
      </c>
      <c r="F3432" t="n">
        <v>0.0396</v>
      </c>
      <c r="G3432" t="n">
        <v>0.66</v>
      </c>
      <c r="H3432" t="n">
        <v>2</v>
      </c>
      <c r="I3432" t="n">
        <v>6</v>
      </c>
      <c r="J3432" t="n">
        <v>3</v>
      </c>
      <c r="K3432" t="n">
        <v>0</v>
      </c>
      <c r="L3432" t="n">
        <v>46400</v>
      </c>
      <c r="M3432" t="n">
        <v>55000</v>
      </c>
      <c r="N3432" t="n">
        <v>33</v>
      </c>
      <c r="O3432" t="n">
        <v>0.33</v>
      </c>
      <c r="P3432" t="n">
        <v>1</v>
      </c>
      <c r="Q3432" t="n">
        <v>0.14</v>
      </c>
      <c r="R3432" t="n">
        <v>1</v>
      </c>
      <c r="S3432" t="n">
        <v>2178</v>
      </c>
      <c r="T3432" t="n">
        <v>4</v>
      </c>
      <c r="U3432" t="n">
        <v>5</v>
      </c>
      <c r="V3432" t="n">
        <v>30</v>
      </c>
      <c r="W3432" t="n">
        <v>2</v>
      </c>
      <c r="X3432" t="n">
        <v>75.75757575757575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1397</v>
      </c>
      <c r="AG3432" t="n">
        <v>2136</v>
      </c>
      <c r="AH3432" t="inlineStr">
        <is>
          <t>CV. SAMUDRA JAYA ABADI - PPN (JMB)</t>
        </is>
      </c>
      <c r="AI3432" t="n">
        <v>104</v>
      </c>
      <c r="AJ3432" t="inlineStr">
        <is>
          <t>PIXY</t>
        </is>
      </c>
      <c r="AK3432" t="n">
        <v>9</v>
      </c>
      <c r="AL3432" t="inlineStr">
        <is>
          <t>Miss Glam Jambi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"8992222283571"</f>
        <v/>
      </c>
      <c r="C3433" t="inlineStr">
        <is>
          <t>PIXY Mousse Moments Lip Cream  02 Bussiest Maroon 4gr</t>
        </is>
      </c>
      <c r="D3433" t="inlineStr">
        <is>
          <t>Miss Glam Jambi</t>
        </is>
      </c>
      <c r="E3433" t="n">
        <v>2</v>
      </c>
      <c r="F3433" t="n">
        <v>0.0495</v>
      </c>
      <c r="G3433" t="n">
        <v>0.66</v>
      </c>
      <c r="H3433" t="n">
        <v>2</v>
      </c>
      <c r="I3433" t="n">
        <v>6</v>
      </c>
      <c r="J3433" t="n">
        <v>3</v>
      </c>
      <c r="K3433" t="n">
        <v>0</v>
      </c>
      <c r="L3433" t="n">
        <v>46400</v>
      </c>
      <c r="M3433" t="n">
        <v>55000</v>
      </c>
      <c r="N3433" t="n">
        <v>33</v>
      </c>
      <c r="O3433" t="n">
        <v>0.33</v>
      </c>
      <c r="P3433" t="n">
        <v>1</v>
      </c>
      <c r="Q3433" t="n">
        <v>0.12</v>
      </c>
      <c r="R3433" t="n">
        <v>1</v>
      </c>
      <c r="S3433" t="n">
        <v>2722.5</v>
      </c>
      <c r="T3433" t="n">
        <v>4</v>
      </c>
      <c r="U3433" t="n">
        <v>5</v>
      </c>
      <c r="V3433" t="n">
        <v>30</v>
      </c>
      <c r="W3433" t="n">
        <v>2</v>
      </c>
      <c r="X3433" t="n">
        <v>40.4040404040404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1397</v>
      </c>
      <c r="AG3433" t="n">
        <v>2136</v>
      </c>
      <c r="AH3433" t="inlineStr">
        <is>
          <t>CV. SAMUDRA JAYA ABADI - PPN (JMB)</t>
        </is>
      </c>
      <c r="AI3433" t="n">
        <v>104</v>
      </c>
      <c r="AJ3433" t="inlineStr">
        <is>
          <t>PIXY</t>
        </is>
      </c>
      <c r="AK3433" t="n">
        <v>9</v>
      </c>
      <c r="AL3433" t="inlineStr">
        <is>
          <t>Miss Glam Jambi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"8992222283588"</f>
        <v/>
      </c>
      <c r="C3434" t="inlineStr">
        <is>
          <t>PIXY Mousse Moments Lip Cream  03 Calm In Rose 4gr</t>
        </is>
      </c>
      <c r="D3434" t="inlineStr">
        <is>
          <t>Miss Glam Jambi</t>
        </is>
      </c>
      <c r="E3434" t="n">
        <v>6</v>
      </c>
      <c r="F3434" t="n">
        <v>0.0726</v>
      </c>
      <c r="G3434" t="n">
        <v>0.66</v>
      </c>
      <c r="H3434" t="n">
        <v>2</v>
      </c>
      <c r="I3434" t="n">
        <v>6</v>
      </c>
      <c r="J3434" t="n">
        <v>3</v>
      </c>
      <c r="K3434" t="n">
        <v>0</v>
      </c>
      <c r="L3434" t="n">
        <v>46400</v>
      </c>
      <c r="M3434" t="n">
        <v>55000</v>
      </c>
      <c r="N3434" t="n">
        <v>33</v>
      </c>
      <c r="O3434" t="n">
        <v>0.33</v>
      </c>
      <c r="P3434" t="n">
        <v>1</v>
      </c>
      <c r="Q3434" t="n">
        <v>0.07000000000000001</v>
      </c>
      <c r="R3434" t="n">
        <v>3</v>
      </c>
      <c r="S3434" t="n">
        <v>3993</v>
      </c>
      <c r="T3434" t="n">
        <v>4</v>
      </c>
      <c r="U3434" t="n">
        <v>5</v>
      </c>
      <c r="V3434" t="n">
        <v>30</v>
      </c>
      <c r="W3434" t="n">
        <v>3</v>
      </c>
      <c r="X3434" t="n">
        <v>82.64462809917356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1397</v>
      </c>
      <c r="AG3434" t="n">
        <v>2136</v>
      </c>
      <c r="AH3434" t="inlineStr">
        <is>
          <t>CV. SAMUDRA JAYA ABADI - PPN (JMB)</t>
        </is>
      </c>
      <c r="AI3434" t="n">
        <v>104</v>
      </c>
      <c r="AJ3434" t="inlineStr">
        <is>
          <t>PIXY</t>
        </is>
      </c>
      <c r="AK3434" t="n">
        <v>9</v>
      </c>
      <c r="AL3434" t="inlineStr">
        <is>
          <t>Miss Glam Jambi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"8992222283595"</f>
        <v/>
      </c>
      <c r="C3435" t="inlineStr">
        <is>
          <t>PIXY Mousse Moments Lip Cream  04 Relaxing Pink 4gr</t>
        </is>
      </c>
      <c r="D3435" t="inlineStr">
        <is>
          <t>Miss Glam Jambi</t>
        </is>
      </c>
      <c r="E3435" t="n">
        <v>2</v>
      </c>
      <c r="F3435" t="n">
        <v>0.0495</v>
      </c>
      <c r="G3435" t="n">
        <v>0.66</v>
      </c>
      <c r="H3435" t="n">
        <v>2</v>
      </c>
      <c r="I3435" t="n">
        <v>6</v>
      </c>
      <c r="J3435" t="n">
        <v>3</v>
      </c>
      <c r="K3435" t="n">
        <v>0</v>
      </c>
      <c r="L3435" t="n">
        <v>46400</v>
      </c>
      <c r="M3435" t="n">
        <v>55000</v>
      </c>
      <c r="N3435" t="n">
        <v>33</v>
      </c>
      <c r="O3435" t="n">
        <v>0.33</v>
      </c>
      <c r="P3435" t="n">
        <v>1</v>
      </c>
      <c r="Q3435" t="n">
        <v>0.27</v>
      </c>
      <c r="R3435" t="n">
        <v>3</v>
      </c>
      <c r="S3435" t="n">
        <v>2722.5</v>
      </c>
      <c r="T3435" t="n">
        <v>4</v>
      </c>
      <c r="U3435" t="n">
        <v>5</v>
      </c>
      <c r="V3435" t="n">
        <v>30</v>
      </c>
      <c r="W3435" t="n">
        <v>2</v>
      </c>
      <c r="X3435" t="n">
        <v>40.4040404040404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1397</v>
      </c>
      <c r="AG3435" t="n">
        <v>2136</v>
      </c>
      <c r="AH3435" t="inlineStr">
        <is>
          <t>CV. SAMUDRA JAYA ABADI - PPN (JMB)</t>
        </is>
      </c>
      <c r="AI3435" t="n">
        <v>104</v>
      </c>
      <c r="AJ3435" t="inlineStr">
        <is>
          <t>PIXY</t>
        </is>
      </c>
      <c r="AK3435" t="n">
        <v>9</v>
      </c>
      <c r="AL3435" t="inlineStr">
        <is>
          <t>Miss Glam Jambi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"8992222283601"</f>
        <v/>
      </c>
      <c r="C3436" t="inlineStr">
        <is>
          <t>PIXY Mousse Moments Lip Cream  05 Peacefully Brown 4 gr</t>
        </is>
      </c>
      <c r="D3436" t="inlineStr">
        <is>
          <t>Miss Glam Jambi</t>
        </is>
      </c>
      <c r="E3436" t="n">
        <v>6</v>
      </c>
      <c r="F3436" t="n">
        <v>0.033</v>
      </c>
      <c r="G3436" t="n">
        <v>0.66</v>
      </c>
      <c r="H3436" t="n">
        <v>2</v>
      </c>
      <c r="I3436" t="n">
        <v>6</v>
      </c>
      <c r="J3436" t="n">
        <v>3</v>
      </c>
      <c r="K3436" t="n">
        <v>0</v>
      </c>
      <c r="L3436" t="n">
        <v>46400</v>
      </c>
      <c r="M3436" t="n">
        <v>55000</v>
      </c>
      <c r="N3436" t="n">
        <v>33</v>
      </c>
      <c r="O3436" t="n">
        <v>0.33</v>
      </c>
      <c r="P3436" t="n">
        <v>1</v>
      </c>
      <c r="Q3436" t="n">
        <v>0.17</v>
      </c>
      <c r="R3436" t="n">
        <v>1</v>
      </c>
      <c r="S3436" t="n">
        <v>1815</v>
      </c>
      <c r="T3436" t="n">
        <v>4</v>
      </c>
      <c r="U3436" t="n">
        <v>5</v>
      </c>
      <c r="V3436" t="n">
        <v>30</v>
      </c>
      <c r="W3436" t="n">
        <v>1</v>
      </c>
      <c r="X3436" t="n">
        <v>181.8181818181818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1397</v>
      </c>
      <c r="AG3436" t="n">
        <v>2136</v>
      </c>
      <c r="AH3436" t="inlineStr">
        <is>
          <t>CV. SAMUDRA JAYA ABADI - PPN (JMB)</t>
        </is>
      </c>
      <c r="AI3436" t="n">
        <v>104</v>
      </c>
      <c r="AJ3436" t="inlineStr">
        <is>
          <t>PIXY</t>
        </is>
      </c>
      <c r="AK3436" t="n">
        <v>9</v>
      </c>
      <c r="AL3436" t="inlineStr">
        <is>
          <t>Miss Glam Jambi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"8992222283618"</f>
        <v/>
      </c>
      <c r="C3437" t="inlineStr">
        <is>
          <t>PIXY Mousse Moments Lip Cream  06 Enjoyable Fuchsia 4gr</t>
        </is>
      </c>
      <c r="D3437" t="inlineStr">
        <is>
          <t>Miss Glam Jambi</t>
        </is>
      </c>
      <c r="E3437" t="n">
        <v>7</v>
      </c>
      <c r="F3437" t="n">
        <v>0.006600000000000001</v>
      </c>
      <c r="G3437" t="n">
        <v>0.33</v>
      </c>
      <c r="H3437" t="n">
        <v>2</v>
      </c>
      <c r="I3437" t="n">
        <v>6</v>
      </c>
      <c r="J3437" t="n">
        <v>3</v>
      </c>
      <c r="K3437" t="n">
        <v>0</v>
      </c>
      <c r="L3437" t="n">
        <v>46400</v>
      </c>
      <c r="M3437" t="n">
        <v>55000</v>
      </c>
      <c r="N3437" t="n">
        <v>33</v>
      </c>
      <c r="O3437" t="n">
        <v>0.33</v>
      </c>
      <c r="P3437" t="n">
        <v>1</v>
      </c>
      <c r="Q3437" t="n">
        <v>0.08</v>
      </c>
      <c r="R3437" t="n">
        <v>1</v>
      </c>
      <c r="S3437" t="n">
        <v>363.0000000000001</v>
      </c>
      <c r="T3437" t="n">
        <v>2</v>
      </c>
      <c r="U3437" t="n">
        <v>3</v>
      </c>
      <c r="V3437" t="n">
        <v>30</v>
      </c>
      <c r="W3437" t="n">
        <v>1</v>
      </c>
      <c r="X3437" t="n">
        <v>1060.606060606061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1397</v>
      </c>
      <c r="AG3437" t="n">
        <v>2136</v>
      </c>
      <c r="AH3437" t="inlineStr">
        <is>
          <t>CV. SAMUDRA JAYA ABADI - PPN (JMB)</t>
        </is>
      </c>
      <c r="AI3437" t="n">
        <v>104</v>
      </c>
      <c r="AJ3437" t="inlineStr">
        <is>
          <t>PIXY</t>
        </is>
      </c>
      <c r="AK3437" t="n">
        <v>9</v>
      </c>
      <c r="AL3437" t="inlineStr">
        <is>
          <t>Miss Glam Jambi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"8992222075251"</f>
        <v/>
      </c>
      <c r="C3438" t="inlineStr">
        <is>
          <t>PIXY Perfect Clean Micellar Water 100ml</t>
        </is>
      </c>
      <c r="D3438" t="inlineStr">
        <is>
          <t>Miss Glam Jambi</t>
        </is>
      </c>
      <c r="E3438" t="n">
        <v>3</v>
      </c>
      <c r="F3438" t="n">
        <v>0.0264</v>
      </c>
      <c r="G3438" t="n">
        <v>0.33</v>
      </c>
      <c r="H3438" t="n">
        <v>2</v>
      </c>
      <c r="I3438" t="n">
        <v>6</v>
      </c>
      <c r="J3438" t="n">
        <v>3</v>
      </c>
      <c r="K3438" t="n">
        <v>0</v>
      </c>
      <c r="L3438" t="n">
        <v>20000</v>
      </c>
      <c r="M3438" t="n">
        <v>25000</v>
      </c>
      <c r="N3438" t="n">
        <v>33</v>
      </c>
      <c r="O3438" t="n">
        <v>0.33</v>
      </c>
      <c r="P3438" t="n">
        <v>1</v>
      </c>
      <c r="Q3438" t="n">
        <v>0.03</v>
      </c>
      <c r="R3438" t="n">
        <v>1</v>
      </c>
      <c r="S3438" t="n">
        <v>660.0000000000001</v>
      </c>
      <c r="T3438" t="n">
        <v>2</v>
      </c>
      <c r="U3438" t="n">
        <v>3</v>
      </c>
      <c r="V3438" t="n">
        <v>30</v>
      </c>
      <c r="W3438" t="n">
        <v>1</v>
      </c>
      <c r="X3438" t="n">
        <v>113.6363636363636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1397</v>
      </c>
      <c r="AG3438" t="n">
        <v>2136</v>
      </c>
      <c r="AH3438" t="inlineStr">
        <is>
          <t>CV. SAMUDRA JAYA ABADI - PPN (JMB)</t>
        </is>
      </c>
      <c r="AI3438" t="n">
        <v>104</v>
      </c>
      <c r="AJ3438" t="inlineStr">
        <is>
          <t>PIXY</t>
        </is>
      </c>
      <c r="AK3438" t="n">
        <v>9</v>
      </c>
      <c r="AL3438" t="inlineStr">
        <is>
          <t>Miss Glam Jambi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"8992222075244"</f>
        <v/>
      </c>
      <c r="C3439" t="inlineStr">
        <is>
          <t>PIXY Perfect Clean Micellar Water Oil Type 100ml</t>
        </is>
      </c>
      <c r="D3439" t="inlineStr">
        <is>
          <t>Miss Glam Jambi</t>
        </is>
      </c>
      <c r="E3439" t="n">
        <v>4</v>
      </c>
      <c r="F3439" t="n">
        <v>0.08910000000000001</v>
      </c>
      <c r="G3439" t="n">
        <v>1.32</v>
      </c>
      <c r="H3439" t="n">
        <v>2</v>
      </c>
      <c r="I3439" t="n">
        <v>6</v>
      </c>
      <c r="J3439" t="n">
        <v>3</v>
      </c>
      <c r="K3439" t="n">
        <v>0</v>
      </c>
      <c r="L3439" t="n">
        <v>20000</v>
      </c>
      <c r="M3439" t="n">
        <v>25000</v>
      </c>
      <c r="N3439" t="n">
        <v>33</v>
      </c>
      <c r="O3439" t="n">
        <v>0.33</v>
      </c>
      <c r="P3439" t="n">
        <v>1</v>
      </c>
      <c r="Q3439" t="n">
        <v>0.15</v>
      </c>
      <c r="R3439" t="n">
        <v>2</v>
      </c>
      <c r="S3439" t="n">
        <v>2227.5</v>
      </c>
      <c r="T3439" t="n">
        <v>8</v>
      </c>
      <c r="U3439" t="n">
        <v>9</v>
      </c>
      <c r="V3439" t="n">
        <v>30</v>
      </c>
      <c r="W3439" t="n">
        <v>3</v>
      </c>
      <c r="X3439" t="n">
        <v>44.89337822671155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1397</v>
      </c>
      <c r="AG3439" t="n">
        <v>2136</v>
      </c>
      <c r="AH3439" t="inlineStr">
        <is>
          <t>CV. SAMUDRA JAYA ABADI - PPN (JMB)</t>
        </is>
      </c>
      <c r="AI3439" t="n">
        <v>104</v>
      </c>
      <c r="AJ3439" t="inlineStr">
        <is>
          <t>PIXY</t>
        </is>
      </c>
      <c r="AK3439" t="n">
        <v>9</v>
      </c>
      <c r="AL3439" t="inlineStr">
        <is>
          <t>Miss Glam Jambi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"8992222075091"</f>
        <v/>
      </c>
      <c r="C3440" t="inlineStr">
        <is>
          <t>PIXY Perfect Fit Liquid Foundation 02 Yellow Beige 20ml</t>
        </is>
      </c>
      <c r="D3440" t="inlineStr">
        <is>
          <t>Miss Glam Jambi</t>
        </is>
      </c>
      <c r="E3440" t="n">
        <v>11</v>
      </c>
      <c r="F3440" t="n">
        <v>0.0231</v>
      </c>
      <c r="G3440" t="n">
        <v>0.33</v>
      </c>
      <c r="H3440" t="n">
        <v>2</v>
      </c>
      <c r="I3440" t="n">
        <v>6</v>
      </c>
      <c r="J3440" t="n">
        <v>3</v>
      </c>
      <c r="K3440" t="n">
        <v>0</v>
      </c>
      <c r="L3440" t="n">
        <v>23200</v>
      </c>
      <c r="M3440" t="n">
        <v>27500</v>
      </c>
      <c r="N3440" t="n">
        <v>33</v>
      </c>
      <c r="O3440" t="n">
        <v>0.33</v>
      </c>
      <c r="P3440" t="n">
        <v>1</v>
      </c>
      <c r="Q3440" t="n">
        <v>0.02</v>
      </c>
      <c r="R3440" t="n">
        <v>1</v>
      </c>
      <c r="S3440" t="n">
        <v>635.2500000000001</v>
      </c>
      <c r="T3440" t="n">
        <v>2</v>
      </c>
      <c r="U3440" t="n">
        <v>3</v>
      </c>
      <c r="V3440" t="n">
        <v>30</v>
      </c>
      <c r="W3440" t="n">
        <v>1</v>
      </c>
      <c r="X3440" t="n">
        <v>476.1904761904761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1397</v>
      </c>
      <c r="AG3440" t="n">
        <v>2136</v>
      </c>
      <c r="AH3440" t="inlineStr">
        <is>
          <t>CV. SAMUDRA JAYA ABADI - PPN (JMB)</t>
        </is>
      </c>
      <c r="AI3440" t="n">
        <v>104</v>
      </c>
      <c r="AJ3440" t="inlineStr">
        <is>
          <t>PIXY</t>
        </is>
      </c>
      <c r="AK3440" t="n">
        <v>9</v>
      </c>
      <c r="AL3440" t="inlineStr">
        <is>
          <t>Miss Glam Jambi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"8992222075107"</f>
        <v/>
      </c>
      <c r="C3441" t="inlineStr">
        <is>
          <t>PIXY Perfect Fit Liquid Foundation 03 Natural White 20ml</t>
        </is>
      </c>
      <c r="D3441" t="inlineStr">
        <is>
          <t>Miss Glam Jambi</t>
        </is>
      </c>
      <c r="E3441" t="n">
        <v>3</v>
      </c>
      <c r="F3441" t="n">
        <v>0.0462</v>
      </c>
      <c r="G3441" t="n">
        <v>0.33</v>
      </c>
      <c r="H3441" t="n">
        <v>2</v>
      </c>
      <c r="I3441" t="n">
        <v>6</v>
      </c>
      <c r="J3441" t="n">
        <v>3</v>
      </c>
      <c r="K3441" t="n">
        <v>0</v>
      </c>
      <c r="L3441" t="n">
        <v>23200</v>
      </c>
      <c r="M3441" t="n">
        <v>27500</v>
      </c>
      <c r="N3441" t="n">
        <v>33</v>
      </c>
      <c r="O3441" t="n">
        <v>0.33</v>
      </c>
      <c r="P3441" t="n">
        <v>1</v>
      </c>
      <c r="Q3441" t="n">
        <v>0.12</v>
      </c>
      <c r="R3441" t="n">
        <v>1</v>
      </c>
      <c r="S3441" t="n">
        <v>1270.5</v>
      </c>
      <c r="T3441" t="n">
        <v>2</v>
      </c>
      <c r="U3441" t="n">
        <v>3</v>
      </c>
      <c r="V3441" t="n">
        <v>30</v>
      </c>
      <c r="W3441" t="n">
        <v>2</v>
      </c>
      <c r="X3441" t="n">
        <v>64.93506493506493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1397</v>
      </c>
      <c r="AG3441" t="n">
        <v>2136</v>
      </c>
      <c r="AH3441" t="inlineStr">
        <is>
          <t>CV. SAMUDRA JAYA ABADI - PPN (JMB)</t>
        </is>
      </c>
      <c r="AI3441" t="n">
        <v>104</v>
      </c>
      <c r="AJ3441" t="inlineStr">
        <is>
          <t>PIXY</t>
        </is>
      </c>
      <c r="AK3441" t="n">
        <v>9</v>
      </c>
      <c r="AL3441" t="inlineStr">
        <is>
          <t>Miss Glam Jambi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"8992222075114"</f>
        <v/>
      </c>
      <c r="C3442" t="inlineStr">
        <is>
          <t>PIXY Perfect Fit Liquid Foundation 04 Natural Beige 20ml</t>
        </is>
      </c>
      <c r="D3442" t="inlineStr">
        <is>
          <t>Miss Glam Jambi</t>
        </is>
      </c>
      <c r="E3442" t="n">
        <v>15</v>
      </c>
      <c r="F3442" t="n">
        <v>0.06270000000000001</v>
      </c>
      <c r="G3442" t="n">
        <v>0.66</v>
      </c>
      <c r="H3442" t="n">
        <v>2</v>
      </c>
      <c r="I3442" t="n">
        <v>6</v>
      </c>
      <c r="J3442" t="n">
        <v>3</v>
      </c>
      <c r="K3442" t="n">
        <v>0</v>
      </c>
      <c r="L3442" t="n">
        <v>23201</v>
      </c>
      <c r="M3442" t="n">
        <v>27500</v>
      </c>
      <c r="N3442" t="n">
        <v>33</v>
      </c>
      <c r="O3442" t="n">
        <v>0.33</v>
      </c>
      <c r="P3442" t="n">
        <v>1</v>
      </c>
      <c r="Q3442" t="n">
        <v>0.05</v>
      </c>
      <c r="R3442" t="n">
        <v>1</v>
      </c>
      <c r="S3442" t="n">
        <v>1724.25</v>
      </c>
      <c r="T3442" t="n">
        <v>4</v>
      </c>
      <c r="U3442" t="n">
        <v>5</v>
      </c>
      <c r="V3442" t="n">
        <v>30</v>
      </c>
      <c r="W3442" t="n">
        <v>2</v>
      </c>
      <c r="X3442" t="n">
        <v>239.2344497607655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1397</v>
      </c>
      <c r="AG3442" t="n">
        <v>2136</v>
      </c>
      <c r="AH3442" t="inlineStr">
        <is>
          <t>CV. SAMUDRA JAYA ABADI - PPN (JMB)</t>
        </is>
      </c>
      <c r="AI3442" t="n">
        <v>104</v>
      </c>
      <c r="AJ3442" t="inlineStr">
        <is>
          <t>PIXY</t>
        </is>
      </c>
      <c r="AK3442" t="n">
        <v>9</v>
      </c>
      <c r="AL3442" t="inlineStr">
        <is>
          <t>Miss Glam Jambi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"8992222280921"</f>
        <v/>
      </c>
      <c r="C3443" t="inlineStr">
        <is>
          <t>PIXY Perfectly Eyeliner Black 5ml</t>
        </is>
      </c>
      <c r="D3443" t="inlineStr">
        <is>
          <t>Miss Glam Jambi</t>
        </is>
      </c>
      <c r="E3443" t="n">
        <v>12</v>
      </c>
      <c r="F3443" t="n">
        <v>0.0462</v>
      </c>
      <c r="G3443" t="n">
        <v>0.33</v>
      </c>
      <c r="H3443" t="n">
        <v>2</v>
      </c>
      <c r="I3443" t="n">
        <v>6</v>
      </c>
      <c r="J3443" t="n">
        <v>3</v>
      </c>
      <c r="K3443" t="n">
        <v>0</v>
      </c>
      <c r="L3443" t="n">
        <v>39201</v>
      </c>
      <c r="M3443" t="n">
        <v>44000</v>
      </c>
      <c r="N3443" t="n">
        <v>33</v>
      </c>
      <c r="O3443" t="n">
        <v>0.33</v>
      </c>
      <c r="P3443" t="n">
        <v>1</v>
      </c>
      <c r="Q3443" t="n">
        <v>0.1</v>
      </c>
      <c r="R3443" t="n">
        <v>3</v>
      </c>
      <c r="S3443" t="n">
        <v>2032.8</v>
      </c>
      <c r="T3443" t="n">
        <v>2</v>
      </c>
      <c r="U3443" t="n">
        <v>3</v>
      </c>
      <c r="V3443" t="n">
        <v>30</v>
      </c>
      <c r="W3443" t="n">
        <v>2</v>
      </c>
      <c r="X3443" t="n">
        <v>259.7402597402597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1397</v>
      </c>
      <c r="AG3443" t="n">
        <v>2136</v>
      </c>
      <c r="AH3443" t="inlineStr">
        <is>
          <t>CV. SAMUDRA JAYA ABADI - PPN (JMB)</t>
        </is>
      </c>
      <c r="AI3443" t="n">
        <v>104</v>
      </c>
      <c r="AJ3443" t="inlineStr">
        <is>
          <t>PIXY</t>
        </is>
      </c>
      <c r="AK3443" t="n">
        <v>9</v>
      </c>
      <c r="AL3443" t="inlineStr">
        <is>
          <t>Miss Glam Jambi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"20100476347"</f>
        <v/>
      </c>
      <c r="C3444" t="inlineStr">
        <is>
          <t>PIXY Serum Cushion Matte C12 Fair Ivory 15 gr</t>
        </is>
      </c>
      <c r="D3444" t="inlineStr">
        <is>
          <t>Miss Glam Jambi</t>
        </is>
      </c>
      <c r="E3444" t="n">
        <v>4</v>
      </c>
      <c r="F3444" t="n">
        <v>0.009900000000000001</v>
      </c>
      <c r="G3444" t="n">
        <v>0.33</v>
      </c>
      <c r="H3444" t="n">
        <v>2</v>
      </c>
      <c r="I3444" t="n">
        <v>6</v>
      </c>
      <c r="J3444" t="n">
        <v>1</v>
      </c>
      <c r="K3444" t="n">
        <v>0</v>
      </c>
      <c r="L3444" t="n">
        <v>63201</v>
      </c>
      <c r="M3444" t="n">
        <v>74500</v>
      </c>
      <c r="N3444" t="n">
        <v>33</v>
      </c>
      <c r="O3444" t="n">
        <v>0.33</v>
      </c>
      <c r="P3444" t="n">
        <v>1</v>
      </c>
      <c r="Q3444" t="n">
        <v>0.02</v>
      </c>
      <c r="R3444" t="n">
        <v>0</v>
      </c>
      <c r="S3444" t="n">
        <v>737.5500000000001</v>
      </c>
      <c r="T3444" t="n">
        <v>2</v>
      </c>
      <c r="U3444" t="n">
        <v>3</v>
      </c>
      <c r="V3444" t="n">
        <v>30</v>
      </c>
      <c r="W3444" t="n">
        <v>1</v>
      </c>
      <c r="X3444" t="n">
        <v>404.040404040404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1397</v>
      </c>
      <c r="AG3444" t="n">
        <v>2136</v>
      </c>
      <c r="AH3444" t="inlineStr">
        <is>
          <t>CV. SAMUDRA JAYA ABADI - PPN (JMB)</t>
        </is>
      </c>
      <c r="AI3444" t="n">
        <v>104</v>
      </c>
      <c r="AJ3444" t="inlineStr">
        <is>
          <t>PIXY</t>
        </is>
      </c>
      <c r="AK3444" t="n">
        <v>9</v>
      </c>
      <c r="AL3444" t="inlineStr">
        <is>
          <t>Miss Glam Jambi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"8992222074087"</f>
        <v/>
      </c>
      <c r="C3445" t="inlineStr">
        <is>
          <t>PIXY Sharpener</t>
        </is>
      </c>
      <c r="D3445" t="inlineStr">
        <is>
          <t>Miss Glam Jambi</t>
        </is>
      </c>
      <c r="E3445" t="n">
        <v>10</v>
      </c>
      <c r="F3445" t="n">
        <v>0.0495</v>
      </c>
      <c r="G3445" t="n">
        <v>0.66</v>
      </c>
      <c r="H3445" t="n">
        <v>2</v>
      </c>
      <c r="I3445" t="n">
        <v>6</v>
      </c>
      <c r="J3445" t="n">
        <v>3</v>
      </c>
      <c r="K3445" t="n">
        <v>0</v>
      </c>
      <c r="L3445" t="n">
        <v>16400</v>
      </c>
      <c r="M3445" t="n">
        <v>19200</v>
      </c>
      <c r="N3445" t="n">
        <v>33</v>
      </c>
      <c r="O3445" t="n">
        <v>0.33</v>
      </c>
      <c r="P3445" t="n">
        <v>1</v>
      </c>
      <c r="Q3445" t="n">
        <v>0.29</v>
      </c>
      <c r="R3445" t="n">
        <v>3</v>
      </c>
      <c r="S3445" t="n">
        <v>950.4000000000001</v>
      </c>
      <c r="T3445" t="n">
        <v>4</v>
      </c>
      <c r="U3445" t="n">
        <v>5</v>
      </c>
      <c r="V3445" t="n">
        <v>30</v>
      </c>
      <c r="W3445" t="n">
        <v>2</v>
      </c>
      <c r="X3445" t="n">
        <v>202.020202020202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1397</v>
      </c>
      <c r="AG3445" t="n">
        <v>2136</v>
      </c>
      <c r="AH3445" t="inlineStr">
        <is>
          <t>CV. SAMUDRA JAYA ABADI - PPN (JMB)</t>
        </is>
      </c>
      <c r="AI3445" t="n">
        <v>104</v>
      </c>
      <c r="AJ3445" t="inlineStr">
        <is>
          <t>PIXY</t>
        </is>
      </c>
      <c r="AK3445" t="n">
        <v>9</v>
      </c>
      <c r="AL3445" t="inlineStr">
        <is>
          <t>Miss Glam Jambi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"8992222074599"</f>
        <v/>
      </c>
      <c r="C3446" t="inlineStr">
        <is>
          <t>PIXY Stay Last Serum Foundation 01 Rosy Ivory 17ml</t>
        </is>
      </c>
      <c r="D3446" t="inlineStr">
        <is>
          <t>Miss Glam Jambi</t>
        </is>
      </c>
      <c r="E3446" t="n">
        <v>3</v>
      </c>
      <c r="F3446" t="n">
        <v>0.033</v>
      </c>
      <c r="G3446" t="n">
        <v>0.66</v>
      </c>
      <c r="H3446" t="n">
        <v>2</v>
      </c>
      <c r="I3446" t="n">
        <v>6</v>
      </c>
      <c r="J3446" t="n">
        <v>3</v>
      </c>
      <c r="K3446" t="n">
        <v>0</v>
      </c>
      <c r="L3446" t="n">
        <v>53200</v>
      </c>
      <c r="M3446" t="n">
        <v>63000</v>
      </c>
      <c r="N3446" t="n">
        <v>33</v>
      </c>
      <c r="O3446" t="n">
        <v>0.33</v>
      </c>
      <c r="P3446" t="n">
        <v>1</v>
      </c>
      <c r="Q3446" t="n">
        <v>0.02</v>
      </c>
      <c r="R3446" t="n">
        <v>1</v>
      </c>
      <c r="S3446" t="n">
        <v>2079</v>
      </c>
      <c r="T3446" t="n">
        <v>4</v>
      </c>
      <c r="U3446" t="n">
        <v>5</v>
      </c>
      <c r="V3446" t="n">
        <v>30</v>
      </c>
      <c r="W3446" t="n">
        <v>1</v>
      </c>
      <c r="X3446" t="n">
        <v>90.90909090909091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1397</v>
      </c>
      <c r="AG3446" t="n">
        <v>2136</v>
      </c>
      <c r="AH3446" t="inlineStr">
        <is>
          <t>CV. SAMUDRA JAYA ABADI - PPN (JMB)</t>
        </is>
      </c>
      <c r="AI3446" t="n">
        <v>104</v>
      </c>
      <c r="AJ3446" t="inlineStr">
        <is>
          <t>PIXY</t>
        </is>
      </c>
      <c r="AK3446" t="n">
        <v>9</v>
      </c>
      <c r="AL3446" t="inlineStr">
        <is>
          <t>Miss Glam Jambi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"8992222074605"</f>
        <v/>
      </c>
      <c r="C3447" t="inlineStr">
        <is>
          <t>PIXY Stay Last Serum Foundation 02 Yellow Beige 17ml</t>
        </is>
      </c>
      <c r="D3447" t="inlineStr">
        <is>
          <t>Miss Glam Jambi</t>
        </is>
      </c>
      <c r="E3447" t="n">
        <v>3</v>
      </c>
      <c r="F3447" t="n">
        <v>0.033</v>
      </c>
      <c r="G3447" t="n">
        <v>0.66</v>
      </c>
      <c r="H3447" t="n">
        <v>2</v>
      </c>
      <c r="I3447" t="n">
        <v>6</v>
      </c>
      <c r="J3447" t="n">
        <v>3</v>
      </c>
      <c r="K3447" t="n">
        <v>0</v>
      </c>
      <c r="L3447" t="n">
        <v>53200</v>
      </c>
      <c r="M3447" t="n">
        <v>63000</v>
      </c>
      <c r="N3447" t="n">
        <v>33</v>
      </c>
      <c r="O3447" t="n">
        <v>0.33</v>
      </c>
      <c r="P3447" t="n">
        <v>1</v>
      </c>
      <c r="Q3447" t="n">
        <v>0.02</v>
      </c>
      <c r="R3447" t="n">
        <v>1</v>
      </c>
      <c r="S3447" t="n">
        <v>2079</v>
      </c>
      <c r="T3447" t="n">
        <v>4</v>
      </c>
      <c r="U3447" t="n">
        <v>5</v>
      </c>
      <c r="V3447" t="n">
        <v>30</v>
      </c>
      <c r="W3447" t="n">
        <v>1</v>
      </c>
      <c r="X3447" t="n">
        <v>90.90909090909091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1397</v>
      </c>
      <c r="AG3447" t="n">
        <v>2136</v>
      </c>
      <c r="AH3447" t="inlineStr">
        <is>
          <t>CV. SAMUDRA JAYA ABADI - PPN (JMB)</t>
        </is>
      </c>
      <c r="AI3447" t="n">
        <v>104</v>
      </c>
      <c r="AJ3447" t="inlineStr">
        <is>
          <t>PIXY</t>
        </is>
      </c>
      <c r="AK3447" t="n">
        <v>9</v>
      </c>
      <c r="AL3447" t="inlineStr">
        <is>
          <t>Miss Glam Jambi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"8992222074612"</f>
        <v/>
      </c>
      <c r="C3448" t="inlineStr">
        <is>
          <t>PIXY Stay Last Serum Foundation 03 Natural Beige 17ml</t>
        </is>
      </c>
      <c r="D3448" t="inlineStr">
        <is>
          <t>Miss Glam Jambi</t>
        </is>
      </c>
      <c r="E3448" t="n">
        <v>6</v>
      </c>
      <c r="F3448" t="n">
        <v>0.066</v>
      </c>
      <c r="G3448" t="n">
        <v>0.66</v>
      </c>
      <c r="H3448" t="n">
        <v>2</v>
      </c>
      <c r="I3448" t="n">
        <v>6</v>
      </c>
      <c r="J3448" t="n">
        <v>3</v>
      </c>
      <c r="K3448" t="n">
        <v>0</v>
      </c>
      <c r="L3448" t="n">
        <v>53200</v>
      </c>
      <c r="M3448" t="n">
        <v>65000</v>
      </c>
      <c r="N3448" t="n">
        <v>33</v>
      </c>
      <c r="O3448" t="n">
        <v>0.33</v>
      </c>
      <c r="P3448" t="n">
        <v>1</v>
      </c>
      <c r="Q3448" t="n">
        <v>0.02</v>
      </c>
      <c r="R3448" t="n">
        <v>1</v>
      </c>
      <c r="S3448" t="n">
        <v>4290</v>
      </c>
      <c r="T3448" t="n">
        <v>4</v>
      </c>
      <c r="U3448" t="n">
        <v>5</v>
      </c>
      <c r="V3448" t="n">
        <v>30</v>
      </c>
      <c r="W3448" t="n">
        <v>2</v>
      </c>
      <c r="X3448" t="n">
        <v>90.90909090909091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1397</v>
      </c>
      <c r="AG3448" t="n">
        <v>2136</v>
      </c>
      <c r="AH3448" t="inlineStr">
        <is>
          <t>CV. SAMUDRA JAYA ABADI - PPN (JMB)</t>
        </is>
      </c>
      <c r="AI3448" t="n">
        <v>104</v>
      </c>
      <c r="AJ3448" t="inlineStr">
        <is>
          <t>PIXY</t>
        </is>
      </c>
      <c r="AK3448" t="n">
        <v>9</v>
      </c>
      <c r="AL3448" t="inlineStr">
        <is>
          <t>Miss Glam Jambi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"203002198544"</f>
        <v/>
      </c>
      <c r="C3449" t="inlineStr">
        <is>
          <t>PIXY Time To Gloss 06 Choco Tonight 4gr</t>
        </is>
      </c>
      <c r="D3449" t="inlineStr">
        <is>
          <t>Miss Glam Jambi</t>
        </is>
      </c>
      <c r="E3449" t="n">
        <v>9</v>
      </c>
      <c r="F3449" t="n">
        <v>0.05</v>
      </c>
      <c r="G3449" t="n">
        <v>1</v>
      </c>
      <c r="H3449" t="n">
        <v>2</v>
      </c>
      <c r="I3449" t="n">
        <v>6</v>
      </c>
      <c r="J3449" t="n">
        <v>1</v>
      </c>
      <c r="K3449" t="n">
        <v>0</v>
      </c>
      <c r="L3449" t="n">
        <v>38400</v>
      </c>
      <c r="M3449" t="n">
        <v>45500</v>
      </c>
      <c r="N3449" t="n">
        <v>33</v>
      </c>
      <c r="O3449" t="n">
        <v>0.33</v>
      </c>
      <c r="P3449" t="n">
        <v>0</v>
      </c>
      <c r="Q3449" t="n">
        <v>0.05</v>
      </c>
      <c r="R3449" t="n">
        <v>1</v>
      </c>
      <c r="S3449" t="n">
        <v>2275</v>
      </c>
      <c r="T3449" t="n">
        <v>6</v>
      </c>
      <c r="U3449" t="n">
        <v>7</v>
      </c>
      <c r="V3449" t="n">
        <v>30</v>
      </c>
      <c r="W3449" t="n">
        <v>2</v>
      </c>
      <c r="X3449" t="n">
        <v>180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1397</v>
      </c>
      <c r="AG3449" t="n">
        <v>2136</v>
      </c>
      <c r="AH3449" t="inlineStr">
        <is>
          <t>CV. SAMUDRA JAYA ABADI - PPN (JMB)</t>
        </is>
      </c>
      <c r="AI3449" t="n">
        <v>104</v>
      </c>
      <c r="AJ3449" t="inlineStr">
        <is>
          <t>PIXY</t>
        </is>
      </c>
      <c r="AK3449" t="n">
        <v>9</v>
      </c>
      <c r="AL3449" t="inlineStr">
        <is>
          <t>Miss Glam Jambi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"8992222071871"</f>
        <v/>
      </c>
      <c r="C3450" t="inlineStr">
        <is>
          <t>PIXY Two Way Cake Perfect Fit  Refill 05 Natural White12,2gr</t>
        </is>
      </c>
      <c r="D3450" t="inlineStr">
        <is>
          <t>Miss Glam Jambi</t>
        </is>
      </c>
      <c r="E3450" t="n">
        <v>5</v>
      </c>
      <c r="F3450" t="n">
        <v>0.4587</v>
      </c>
      <c r="G3450" t="n">
        <v>1.32</v>
      </c>
      <c r="H3450" t="n">
        <v>2</v>
      </c>
      <c r="I3450" t="n">
        <v>6</v>
      </c>
      <c r="J3450" t="n">
        <v>3</v>
      </c>
      <c r="K3450" t="n">
        <v>9</v>
      </c>
      <c r="L3450" t="n">
        <v>24118</v>
      </c>
      <c r="M3450" t="n">
        <v>27000</v>
      </c>
      <c r="N3450" t="n">
        <v>33</v>
      </c>
      <c r="O3450" t="n">
        <v>0.33</v>
      </c>
      <c r="P3450" t="n">
        <v>1</v>
      </c>
      <c r="Q3450" t="n">
        <v>0.19</v>
      </c>
      <c r="R3450" t="n">
        <v>2</v>
      </c>
      <c r="S3450" t="n">
        <v>12384.9</v>
      </c>
      <c r="T3450" t="n">
        <v>8</v>
      </c>
      <c r="U3450" t="n">
        <v>9</v>
      </c>
      <c r="V3450" t="n">
        <v>30</v>
      </c>
      <c r="W3450" t="n">
        <v>14</v>
      </c>
      <c r="X3450" t="n">
        <v>10.90037061260083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1397</v>
      </c>
      <c r="AG3450" t="n">
        <v>2136</v>
      </c>
      <c r="AH3450" t="inlineStr">
        <is>
          <t>CV. SAMUDRA JAYA ABADI - PPN (JMB)</t>
        </is>
      </c>
      <c r="AI3450" t="n">
        <v>104</v>
      </c>
      <c r="AJ3450" t="inlineStr">
        <is>
          <t>PIXY</t>
        </is>
      </c>
      <c r="AK3450" t="n">
        <v>9</v>
      </c>
      <c r="AL3450" t="inlineStr">
        <is>
          <t>Miss Glam Jambi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"8992222071130"</f>
        <v/>
      </c>
      <c r="C3451" t="inlineStr">
        <is>
          <t>PIXY Two Way Cake Perfect Fit  Refill 06 Natural Beige 12,2g</t>
        </is>
      </c>
      <c r="D3451" t="inlineStr">
        <is>
          <t>Miss Glam Jambi</t>
        </is>
      </c>
      <c r="E3451" t="n">
        <v>6</v>
      </c>
      <c r="F3451" t="n">
        <v>0.4092</v>
      </c>
      <c r="G3451" t="n">
        <v>1.65</v>
      </c>
      <c r="H3451" t="n">
        <v>2</v>
      </c>
      <c r="I3451" t="n">
        <v>6</v>
      </c>
      <c r="J3451" t="n">
        <v>3</v>
      </c>
      <c r="K3451" t="n">
        <v>7</v>
      </c>
      <c r="L3451" t="n">
        <v>24000</v>
      </c>
      <c r="M3451" t="n">
        <v>27000</v>
      </c>
      <c r="N3451" t="n">
        <v>33</v>
      </c>
      <c r="O3451" t="n">
        <v>0.33</v>
      </c>
      <c r="P3451" t="n">
        <v>1</v>
      </c>
      <c r="Q3451" t="n">
        <v>0.14</v>
      </c>
      <c r="R3451" t="n">
        <v>2</v>
      </c>
      <c r="S3451" t="n">
        <v>11048.4</v>
      </c>
      <c r="T3451" t="n">
        <v>10</v>
      </c>
      <c r="U3451" t="n">
        <v>11</v>
      </c>
      <c r="V3451" t="n">
        <v>30</v>
      </c>
      <c r="W3451" t="n">
        <v>13</v>
      </c>
      <c r="X3451" t="n">
        <v>14.66275659824047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1397</v>
      </c>
      <c r="AG3451" t="n">
        <v>2136</v>
      </c>
      <c r="AH3451" t="inlineStr">
        <is>
          <t>CV. SAMUDRA JAYA ABADI - PPN (JMB)</t>
        </is>
      </c>
      <c r="AI3451" t="n">
        <v>104</v>
      </c>
      <c r="AJ3451" t="inlineStr">
        <is>
          <t>PIXY</t>
        </is>
      </c>
      <c r="AK3451" t="n">
        <v>9</v>
      </c>
      <c r="AL3451" t="inlineStr">
        <is>
          <t>Miss Glam Jambi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"8992222071116"</f>
        <v/>
      </c>
      <c r="C3452" t="inlineStr">
        <is>
          <t>PIXY Two Way Cake Perfect Fit  Refill 08 Tropical Beige 12,2g</t>
        </is>
      </c>
      <c r="D3452" t="inlineStr">
        <is>
          <t>Miss Glam Jambi</t>
        </is>
      </c>
      <c r="E3452" t="n">
        <v>5</v>
      </c>
      <c r="F3452" t="n">
        <v>0.1287</v>
      </c>
      <c r="G3452" t="n">
        <v>0.99</v>
      </c>
      <c r="H3452" t="n">
        <v>2</v>
      </c>
      <c r="I3452" t="n">
        <v>6</v>
      </c>
      <c r="J3452" t="n">
        <v>3</v>
      </c>
      <c r="K3452" t="n">
        <v>0</v>
      </c>
      <c r="L3452" t="n">
        <v>22800</v>
      </c>
      <c r="M3452" t="n">
        <v>28500</v>
      </c>
      <c r="N3452" t="n">
        <v>33</v>
      </c>
      <c r="O3452" t="n">
        <v>0.33</v>
      </c>
      <c r="P3452" t="n">
        <v>1</v>
      </c>
      <c r="Q3452" t="n">
        <v>0.02</v>
      </c>
      <c r="R3452" t="n">
        <v>1</v>
      </c>
      <c r="S3452" t="n">
        <v>3667.95</v>
      </c>
      <c r="T3452" t="n">
        <v>6</v>
      </c>
      <c r="U3452" t="n">
        <v>7</v>
      </c>
      <c r="V3452" t="n">
        <v>30</v>
      </c>
      <c r="W3452" t="n">
        <v>4</v>
      </c>
      <c r="X3452" t="n">
        <v>38.85003885003885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1397</v>
      </c>
      <c r="AG3452" t="n">
        <v>2136</v>
      </c>
      <c r="AH3452" t="inlineStr">
        <is>
          <t>CV. SAMUDRA JAYA ABADI - PPN (JMB)</t>
        </is>
      </c>
      <c r="AI3452" t="n">
        <v>104</v>
      </c>
      <c r="AJ3452" t="inlineStr">
        <is>
          <t>PIXY</t>
        </is>
      </c>
      <c r="AK3452" t="n">
        <v>9</v>
      </c>
      <c r="AL3452" t="inlineStr">
        <is>
          <t>Miss Glam Jambi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"8992222072083"</f>
        <v/>
      </c>
      <c r="C3453" t="inlineStr">
        <is>
          <t>PIXY Two Way Cake Perfect Fit 01 White Cream 12,2g</t>
        </is>
      </c>
      <c r="D3453" t="inlineStr">
        <is>
          <t>Miss Glam Jambi</t>
        </is>
      </c>
      <c r="E3453" t="n">
        <v>9</v>
      </c>
      <c r="F3453" t="n">
        <v>0.006600000000000001</v>
      </c>
      <c r="G3453" t="n">
        <v>0</v>
      </c>
      <c r="H3453" t="n">
        <v>2</v>
      </c>
      <c r="I3453" t="n">
        <v>6</v>
      </c>
      <c r="J3453" t="n">
        <v>3</v>
      </c>
      <c r="K3453" t="n">
        <v>0</v>
      </c>
      <c r="L3453" t="n">
        <v>40000</v>
      </c>
      <c r="M3453" t="n">
        <v>44000</v>
      </c>
      <c r="N3453" t="n">
        <v>33</v>
      </c>
      <c r="O3453" t="n">
        <v>0.33</v>
      </c>
      <c r="P3453" t="n">
        <v>1</v>
      </c>
      <c r="Q3453" t="n">
        <v>0.08</v>
      </c>
      <c r="R3453" t="n">
        <v>4</v>
      </c>
      <c r="S3453" t="n">
        <v>290.4</v>
      </c>
      <c r="T3453" t="n">
        <v>0</v>
      </c>
      <c r="U3453" t="n">
        <v>1</v>
      </c>
      <c r="V3453" t="n">
        <v>30</v>
      </c>
      <c r="W3453" t="n">
        <v>1</v>
      </c>
      <c r="X3453" t="n">
        <v>1363.636363636364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1397</v>
      </c>
      <c r="AG3453" t="n">
        <v>2136</v>
      </c>
      <c r="AH3453" t="inlineStr">
        <is>
          <t>CV. SAMUDRA JAYA ABADI - PPN (JMB)</t>
        </is>
      </c>
      <c r="AI3453" t="n">
        <v>104</v>
      </c>
      <c r="AJ3453" t="inlineStr">
        <is>
          <t>PIXY</t>
        </is>
      </c>
      <c r="AK3453" t="n">
        <v>9</v>
      </c>
      <c r="AL3453" t="inlineStr">
        <is>
          <t>Miss Glam Jambi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"8992222071444"</f>
        <v/>
      </c>
      <c r="C3454" t="inlineStr">
        <is>
          <t>PIXY Two Way Cake Perfect Fit 02 Yellow Beige 12,2g</t>
        </is>
      </c>
      <c r="D3454" t="inlineStr">
        <is>
          <t>Miss Glam Jambi</t>
        </is>
      </c>
      <c r="E3454" t="n">
        <v>11</v>
      </c>
      <c r="F3454" t="n">
        <v>0.0396</v>
      </c>
      <c r="G3454" t="n">
        <v>0.33</v>
      </c>
      <c r="H3454" t="n">
        <v>2</v>
      </c>
      <c r="I3454" t="n">
        <v>6</v>
      </c>
      <c r="J3454" t="n">
        <v>3</v>
      </c>
      <c r="K3454" t="n">
        <v>0</v>
      </c>
      <c r="L3454" t="n">
        <v>40000</v>
      </c>
      <c r="M3454" t="n">
        <v>46000</v>
      </c>
      <c r="N3454" t="n">
        <v>33</v>
      </c>
      <c r="O3454" t="n">
        <v>0.33</v>
      </c>
      <c r="P3454" t="n">
        <v>1</v>
      </c>
      <c r="Q3454" t="n">
        <v>0.14</v>
      </c>
      <c r="R3454" t="n">
        <v>6</v>
      </c>
      <c r="S3454" t="n">
        <v>1821.6</v>
      </c>
      <c r="T3454" t="n">
        <v>2</v>
      </c>
      <c r="U3454" t="n">
        <v>3</v>
      </c>
      <c r="V3454" t="n">
        <v>30</v>
      </c>
      <c r="W3454" t="n">
        <v>2</v>
      </c>
      <c r="X3454" t="n">
        <v>277.7777777777778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1397</v>
      </c>
      <c r="AG3454" t="n">
        <v>2136</v>
      </c>
      <c r="AH3454" t="inlineStr">
        <is>
          <t>CV. SAMUDRA JAYA ABADI - PPN (JMB)</t>
        </is>
      </c>
      <c r="AI3454" t="n">
        <v>104</v>
      </c>
      <c r="AJ3454" t="inlineStr">
        <is>
          <t>PIXY</t>
        </is>
      </c>
      <c r="AK3454" t="n">
        <v>9</v>
      </c>
      <c r="AL3454" t="inlineStr">
        <is>
          <t>Miss Glam Jambi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"8992222072069"</f>
        <v/>
      </c>
      <c r="C3455" t="inlineStr">
        <is>
          <t>PIXY Two Way Cake Perfect Fit 03 Golden Beige 12,2gr</t>
        </is>
      </c>
      <c r="D3455" t="inlineStr">
        <is>
          <t>Miss Glam Jambi</t>
        </is>
      </c>
      <c r="E3455" t="n">
        <v>4</v>
      </c>
      <c r="F3455" t="n">
        <v>0.006600000000000001</v>
      </c>
      <c r="G3455" t="n">
        <v>0.33</v>
      </c>
      <c r="H3455" t="n">
        <v>2</v>
      </c>
      <c r="I3455" t="n">
        <v>6</v>
      </c>
      <c r="J3455" t="n">
        <v>3</v>
      </c>
      <c r="K3455" t="n">
        <v>0</v>
      </c>
      <c r="L3455" t="n">
        <v>40000</v>
      </c>
      <c r="M3455" t="n">
        <v>45500</v>
      </c>
      <c r="N3455" t="n">
        <v>33</v>
      </c>
      <c r="O3455" t="n">
        <v>0.33</v>
      </c>
      <c r="P3455" t="n">
        <v>1</v>
      </c>
      <c r="Q3455" t="n">
        <v>0.02</v>
      </c>
      <c r="R3455" t="n">
        <v>1</v>
      </c>
      <c r="S3455" t="n">
        <v>300.3</v>
      </c>
      <c r="T3455" t="n">
        <v>2</v>
      </c>
      <c r="U3455" t="n">
        <v>3</v>
      </c>
      <c r="V3455" t="n">
        <v>30</v>
      </c>
      <c r="W3455" t="n">
        <v>1</v>
      </c>
      <c r="X3455" t="n">
        <v>606.060606060606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1397</v>
      </c>
      <c r="AG3455" t="n">
        <v>2136</v>
      </c>
      <c r="AH3455" t="inlineStr">
        <is>
          <t>CV. SAMUDRA JAYA ABADI - PPN (JMB)</t>
        </is>
      </c>
      <c r="AI3455" t="n">
        <v>104</v>
      </c>
      <c r="AJ3455" t="inlineStr">
        <is>
          <t>PIXY</t>
        </is>
      </c>
      <c r="AK3455" t="n">
        <v>9</v>
      </c>
      <c r="AL3455" t="inlineStr">
        <is>
          <t>Miss Glam Jambi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"8992222071857"</f>
        <v/>
      </c>
      <c r="C3456" t="inlineStr">
        <is>
          <t>PIXY Two Way Cake Perfect Fit 05 Natural White 12,2g</t>
        </is>
      </c>
      <c r="D3456" t="inlineStr">
        <is>
          <t>Miss Glam Jambi</t>
        </is>
      </c>
      <c r="E3456" t="n">
        <v>4</v>
      </c>
      <c r="F3456" t="n">
        <v>0.0264</v>
      </c>
      <c r="G3456" t="n">
        <v>0.33</v>
      </c>
      <c r="H3456" t="n">
        <v>2</v>
      </c>
      <c r="I3456" t="n">
        <v>6</v>
      </c>
      <c r="J3456" t="n">
        <v>3</v>
      </c>
      <c r="K3456" t="n">
        <v>0</v>
      </c>
      <c r="L3456" t="n">
        <v>40001</v>
      </c>
      <c r="M3456" t="n">
        <v>44000</v>
      </c>
      <c r="N3456" t="n">
        <v>33</v>
      </c>
      <c r="O3456" t="n">
        <v>0.33</v>
      </c>
      <c r="P3456" t="n">
        <v>1</v>
      </c>
      <c r="Q3456" t="n">
        <v>0.08</v>
      </c>
      <c r="R3456" t="n">
        <v>2</v>
      </c>
      <c r="S3456" t="n">
        <v>1161.6</v>
      </c>
      <c r="T3456" t="n">
        <v>2</v>
      </c>
      <c r="U3456" t="n">
        <v>3</v>
      </c>
      <c r="V3456" t="n">
        <v>30</v>
      </c>
      <c r="W3456" t="n">
        <v>1</v>
      </c>
      <c r="X3456" t="n">
        <v>151.5151515151515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1397</v>
      </c>
      <c r="AG3456" t="n">
        <v>2136</v>
      </c>
      <c r="AH3456" t="inlineStr">
        <is>
          <t>CV. SAMUDRA JAYA ABADI - PPN (JMB)</t>
        </is>
      </c>
      <c r="AI3456" t="n">
        <v>104</v>
      </c>
      <c r="AJ3456" t="inlineStr">
        <is>
          <t>PIXY</t>
        </is>
      </c>
      <c r="AK3456" t="n">
        <v>9</v>
      </c>
      <c r="AL3456" t="inlineStr">
        <is>
          <t>Miss Glam Jambi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"8992222071123"</f>
        <v/>
      </c>
      <c r="C3457" t="inlineStr">
        <is>
          <t>PIXY Two Way Cake Perfect Fit 06 Natural Beige12,2g</t>
        </is>
      </c>
      <c r="D3457" t="inlineStr">
        <is>
          <t>Miss Glam Jambi</t>
        </is>
      </c>
      <c r="E3457" t="n">
        <v>3</v>
      </c>
      <c r="F3457" t="n">
        <v>0.033</v>
      </c>
      <c r="G3457" t="n">
        <v>0.66</v>
      </c>
      <c r="H3457" t="n">
        <v>2</v>
      </c>
      <c r="I3457" t="n">
        <v>6</v>
      </c>
      <c r="J3457" t="n">
        <v>3</v>
      </c>
      <c r="K3457" t="n">
        <v>0</v>
      </c>
      <c r="L3457" t="n">
        <v>40000</v>
      </c>
      <c r="M3457" t="n">
        <v>46000</v>
      </c>
      <c r="N3457" t="n">
        <v>33</v>
      </c>
      <c r="O3457" t="n">
        <v>0.33</v>
      </c>
      <c r="P3457" t="n">
        <v>1</v>
      </c>
      <c r="Q3457" t="n">
        <v>0.02</v>
      </c>
      <c r="R3457" t="n">
        <v>1</v>
      </c>
      <c r="S3457" t="n">
        <v>1518</v>
      </c>
      <c r="T3457" t="n">
        <v>4</v>
      </c>
      <c r="U3457" t="n">
        <v>5</v>
      </c>
      <c r="V3457" t="n">
        <v>30</v>
      </c>
      <c r="W3457" t="n">
        <v>1</v>
      </c>
      <c r="X3457" t="n">
        <v>90.90909090909091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1397</v>
      </c>
      <c r="AG3457" t="n">
        <v>2136</v>
      </c>
      <c r="AH3457" t="inlineStr">
        <is>
          <t>CV. SAMUDRA JAYA ABADI - PPN (JMB)</t>
        </is>
      </c>
      <c r="AI3457" t="n">
        <v>104</v>
      </c>
      <c r="AJ3457" t="inlineStr">
        <is>
          <t>PIXY</t>
        </is>
      </c>
      <c r="AK3457" t="n">
        <v>9</v>
      </c>
      <c r="AL3457" t="inlineStr">
        <is>
          <t>Miss Glam Jambi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"8992222071109"</f>
        <v/>
      </c>
      <c r="C3458" t="inlineStr">
        <is>
          <t>PIXY Two Way Cake Perfect Fit 08 Tropical Beige 12.2g</t>
        </is>
      </c>
      <c r="D3458" t="inlineStr">
        <is>
          <t>Miss Glam Jambi</t>
        </is>
      </c>
      <c r="E3458" t="n">
        <v>6</v>
      </c>
      <c r="F3458" t="n">
        <v>0.02</v>
      </c>
      <c r="G3458" t="n">
        <v>0</v>
      </c>
      <c r="H3458" t="n">
        <v>2</v>
      </c>
      <c r="I3458" t="n">
        <v>6</v>
      </c>
      <c r="J3458" t="n">
        <v>3</v>
      </c>
      <c r="K3458" t="n">
        <v>0</v>
      </c>
      <c r="L3458" t="n">
        <v>36800</v>
      </c>
      <c r="M3458" t="n">
        <v>45000</v>
      </c>
      <c r="N3458" t="n">
        <v>33</v>
      </c>
      <c r="O3458" t="n">
        <v>0.33</v>
      </c>
      <c r="P3458" t="n">
        <v>0</v>
      </c>
      <c r="Q3458" t="n">
        <v>0.02</v>
      </c>
      <c r="R3458" t="n">
        <v>0</v>
      </c>
      <c r="S3458" t="n">
        <v>900</v>
      </c>
      <c r="T3458" t="n">
        <v>0</v>
      </c>
      <c r="U3458" t="n">
        <v>1</v>
      </c>
      <c r="V3458" t="n">
        <v>30</v>
      </c>
      <c r="W3458" t="n">
        <v>1</v>
      </c>
      <c r="X3458" t="n">
        <v>300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1397</v>
      </c>
      <c r="AG3458" t="n">
        <v>2136</v>
      </c>
      <c r="AH3458" t="inlineStr">
        <is>
          <t>CV. SAMUDRA JAYA ABADI - PPN (JMB)</t>
        </is>
      </c>
      <c r="AI3458" t="n">
        <v>104</v>
      </c>
      <c r="AJ3458" t="inlineStr">
        <is>
          <t>PIXY</t>
        </is>
      </c>
      <c r="AK3458" t="n">
        <v>9</v>
      </c>
      <c r="AL3458" t="inlineStr">
        <is>
          <t>Miss Glam Jambi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"8992222072120"</f>
        <v/>
      </c>
      <c r="C3459" t="inlineStr">
        <is>
          <t>PIXY Two Way Cake Perfect Fit Refill 01 White Cream 12,2g</t>
        </is>
      </c>
      <c r="D3459" t="inlineStr">
        <is>
          <t>Miss Glam Jambi</t>
        </is>
      </c>
      <c r="E3459" t="n">
        <v>2</v>
      </c>
      <c r="F3459" t="n">
        <v>0.1782</v>
      </c>
      <c r="G3459" t="n">
        <v>0.99</v>
      </c>
      <c r="H3459" t="n">
        <v>2</v>
      </c>
      <c r="I3459" t="n">
        <v>6</v>
      </c>
      <c r="J3459" t="n">
        <v>3</v>
      </c>
      <c r="K3459" t="n">
        <v>3</v>
      </c>
      <c r="L3459" t="n">
        <v>26639</v>
      </c>
      <c r="M3459" t="n">
        <v>27000</v>
      </c>
      <c r="N3459" t="n">
        <v>33</v>
      </c>
      <c r="O3459" t="n">
        <v>0.33</v>
      </c>
      <c r="P3459" t="n">
        <v>1</v>
      </c>
      <c r="Q3459" t="n">
        <v>0.15</v>
      </c>
      <c r="R3459" t="n">
        <v>2</v>
      </c>
      <c r="S3459" t="n">
        <v>4811.400000000001</v>
      </c>
      <c r="T3459" t="n">
        <v>6</v>
      </c>
      <c r="U3459" t="n">
        <v>7</v>
      </c>
      <c r="V3459" t="n">
        <v>30</v>
      </c>
      <c r="W3459" t="n">
        <v>6</v>
      </c>
      <c r="X3459" t="n">
        <v>11.22334455667789</v>
      </c>
      <c r="Y3459" t="n">
        <v>1</v>
      </c>
      <c r="Z3459" t="n">
        <v>1</v>
      </c>
      <c r="AA3459" t="n">
        <v>0</v>
      </c>
      <c r="AB3459" t="n">
        <v>1</v>
      </c>
      <c r="AC3459" t="n">
        <v>3</v>
      </c>
      <c r="AD3459" t="n">
        <v>0</v>
      </c>
      <c r="AE3459" t="n">
        <v>79917</v>
      </c>
      <c r="AF3459" t="n">
        <v>1397</v>
      </c>
      <c r="AG3459" t="n">
        <v>2136</v>
      </c>
      <c r="AH3459" t="inlineStr">
        <is>
          <t>CV. SAMUDRA JAYA ABADI - PPN (JMB)</t>
        </is>
      </c>
      <c r="AI3459" t="n">
        <v>104</v>
      </c>
      <c r="AJ3459" t="inlineStr">
        <is>
          <t>PIXY</t>
        </is>
      </c>
      <c r="AK3459" t="n">
        <v>9</v>
      </c>
      <c r="AL3459" t="inlineStr">
        <is>
          <t>Miss Glam Jambi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"8992222071451"</f>
        <v/>
      </c>
      <c r="C3460" t="inlineStr">
        <is>
          <t>PIXY Two Way Cake Perfect Fit Refill 02 Yellow Beige 12,2g</t>
        </is>
      </c>
      <c r="D3460" t="inlineStr">
        <is>
          <t>Miss Glam Jambi</t>
        </is>
      </c>
      <c r="E3460" t="n">
        <v>4</v>
      </c>
      <c r="F3460" t="n">
        <v>0.264</v>
      </c>
      <c r="G3460" t="n">
        <v>1.32</v>
      </c>
      <c r="H3460" t="n">
        <v>2</v>
      </c>
      <c r="I3460" t="n">
        <v>6</v>
      </c>
      <c r="J3460" t="n">
        <v>3</v>
      </c>
      <c r="K3460" t="n">
        <v>5</v>
      </c>
      <c r="L3460" t="n">
        <v>26639</v>
      </c>
      <c r="M3460" t="n">
        <v>27000</v>
      </c>
      <c r="N3460" t="n">
        <v>33</v>
      </c>
      <c r="O3460" t="n">
        <v>0.33</v>
      </c>
      <c r="P3460" t="n">
        <v>1</v>
      </c>
      <c r="Q3460" t="n">
        <v>0.07000000000000001</v>
      </c>
      <c r="R3460" t="n">
        <v>1</v>
      </c>
      <c r="S3460" t="n">
        <v>7128</v>
      </c>
      <c r="T3460" t="n">
        <v>8</v>
      </c>
      <c r="U3460" t="n">
        <v>9</v>
      </c>
      <c r="V3460" t="n">
        <v>30</v>
      </c>
      <c r="W3460" t="n">
        <v>8</v>
      </c>
      <c r="X3460" t="n">
        <v>15.15151515151515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1397</v>
      </c>
      <c r="AG3460" t="n">
        <v>2136</v>
      </c>
      <c r="AH3460" t="inlineStr">
        <is>
          <t>CV. SAMUDRA JAYA ABADI - PPN (JMB)</t>
        </is>
      </c>
      <c r="AI3460" t="n">
        <v>104</v>
      </c>
      <c r="AJ3460" t="inlineStr">
        <is>
          <t>PIXY</t>
        </is>
      </c>
      <c r="AK3460" t="n">
        <v>9</v>
      </c>
      <c r="AL3460" t="inlineStr">
        <is>
          <t>Miss Glam Jambi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"8992222072106"</f>
        <v/>
      </c>
      <c r="C3461" t="inlineStr">
        <is>
          <t>PIXY Two Way Cake Perfect Fit Refill 03 Golden Beige12,2g</t>
        </is>
      </c>
      <c r="D3461" t="inlineStr">
        <is>
          <t>Miss Glam Jambi</t>
        </is>
      </c>
      <c r="E3461" t="n">
        <v>11</v>
      </c>
      <c r="F3461" t="n">
        <v>0.1287</v>
      </c>
      <c r="G3461" t="n">
        <v>0.99</v>
      </c>
      <c r="H3461" t="n">
        <v>2</v>
      </c>
      <c r="I3461" t="n">
        <v>6</v>
      </c>
      <c r="J3461" t="n">
        <v>3</v>
      </c>
      <c r="K3461" t="n">
        <v>0</v>
      </c>
      <c r="L3461" t="n">
        <v>22799</v>
      </c>
      <c r="M3461" t="n">
        <v>27000</v>
      </c>
      <c r="N3461" t="n">
        <v>33</v>
      </c>
      <c r="O3461" t="n">
        <v>0.33</v>
      </c>
      <c r="P3461" t="n">
        <v>1</v>
      </c>
      <c r="Q3461" t="n">
        <v>0.08</v>
      </c>
      <c r="R3461" t="n">
        <v>1</v>
      </c>
      <c r="S3461" t="n">
        <v>3474.9</v>
      </c>
      <c r="T3461" t="n">
        <v>6</v>
      </c>
      <c r="U3461" t="n">
        <v>7</v>
      </c>
      <c r="V3461" t="n">
        <v>30</v>
      </c>
      <c r="W3461" t="n">
        <v>4</v>
      </c>
      <c r="X3461" t="n">
        <v>85.47008547008546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1397</v>
      </c>
      <c r="AG3461" t="n">
        <v>2136</v>
      </c>
      <c r="AH3461" t="inlineStr">
        <is>
          <t>CV. SAMUDRA JAYA ABADI - PPN (JMB)</t>
        </is>
      </c>
      <c r="AI3461" t="n">
        <v>104</v>
      </c>
      <c r="AJ3461" t="inlineStr">
        <is>
          <t>PIXY</t>
        </is>
      </c>
      <c r="AK3461" t="n">
        <v>9</v>
      </c>
      <c r="AL3461" t="inlineStr">
        <is>
          <t>Miss Glam Jambi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"8992222071154"</f>
        <v/>
      </c>
      <c r="C3462" t="inlineStr">
        <is>
          <t>PIXY Two Way Cake Perfect Fit Refill 04 Ivory 12,2gr</t>
        </is>
      </c>
      <c r="D3462" t="inlineStr">
        <is>
          <t>Miss Glam Jambi</t>
        </is>
      </c>
      <c r="E3462" t="n">
        <v>13</v>
      </c>
      <c r="F3462" t="n">
        <v>0.0825</v>
      </c>
      <c r="G3462" t="n">
        <v>0.66</v>
      </c>
      <c r="H3462" t="n">
        <v>2</v>
      </c>
      <c r="I3462" t="n">
        <v>6</v>
      </c>
      <c r="J3462" t="n">
        <v>3</v>
      </c>
      <c r="K3462" t="n">
        <v>0</v>
      </c>
      <c r="L3462" t="n">
        <v>22800</v>
      </c>
      <c r="M3462" t="n">
        <v>28500</v>
      </c>
      <c r="N3462" t="n">
        <v>33</v>
      </c>
      <c r="O3462" t="n">
        <v>0.33</v>
      </c>
      <c r="P3462" t="n">
        <v>1</v>
      </c>
      <c r="Q3462" t="n">
        <v>0.03</v>
      </c>
      <c r="R3462" t="n">
        <v>2</v>
      </c>
      <c r="S3462" t="n">
        <v>2351.25</v>
      </c>
      <c r="T3462" t="n">
        <v>4</v>
      </c>
      <c r="U3462" t="n">
        <v>5</v>
      </c>
      <c r="V3462" t="n">
        <v>30</v>
      </c>
      <c r="W3462" t="n">
        <v>3</v>
      </c>
      <c r="X3462" t="n">
        <v>157.5757575757576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1397</v>
      </c>
      <c r="AG3462" t="n">
        <v>2136</v>
      </c>
      <c r="AH3462" t="inlineStr">
        <is>
          <t>CV. SAMUDRA JAYA ABADI - PPN (JMB)</t>
        </is>
      </c>
      <c r="AI3462" t="n">
        <v>104</v>
      </c>
      <c r="AJ3462" t="inlineStr">
        <is>
          <t>PIXY</t>
        </is>
      </c>
      <c r="AK3462" t="n">
        <v>9</v>
      </c>
      <c r="AL3462" t="inlineStr">
        <is>
          <t>Miss Glam Jambi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"8992222073363"</f>
        <v/>
      </c>
      <c r="C3463" t="inlineStr">
        <is>
          <t>PIXY Two Way Cake Perfect Fit Refill 07 Cream Beige12,g</t>
        </is>
      </c>
      <c r="D3463" t="inlineStr">
        <is>
          <t>Miss Glam Jambi</t>
        </is>
      </c>
      <c r="E3463" t="n">
        <v>8</v>
      </c>
      <c r="F3463" t="n">
        <v>0.06270000000000001</v>
      </c>
      <c r="G3463" t="n">
        <v>0.33</v>
      </c>
      <c r="H3463" t="n">
        <v>2</v>
      </c>
      <c r="I3463" t="n">
        <v>6</v>
      </c>
      <c r="J3463" t="n">
        <v>3</v>
      </c>
      <c r="K3463" t="n">
        <v>0</v>
      </c>
      <c r="L3463" t="n">
        <v>24790</v>
      </c>
      <c r="M3463" t="n">
        <v>27000</v>
      </c>
      <c r="N3463" t="n">
        <v>33</v>
      </c>
      <c r="O3463" t="n">
        <v>0.33</v>
      </c>
      <c r="P3463" t="n">
        <v>1</v>
      </c>
      <c r="Q3463" t="n">
        <v>0.03</v>
      </c>
      <c r="R3463" t="n">
        <v>1</v>
      </c>
      <c r="S3463" t="n">
        <v>1692.9</v>
      </c>
      <c r="T3463" t="n">
        <v>2</v>
      </c>
      <c r="U3463" t="n">
        <v>3</v>
      </c>
      <c r="V3463" t="n">
        <v>30</v>
      </c>
      <c r="W3463" t="n">
        <v>2</v>
      </c>
      <c r="X3463" t="n">
        <v>127.5917065390749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1397</v>
      </c>
      <c r="AG3463" t="n">
        <v>2136</v>
      </c>
      <c r="AH3463" t="inlineStr">
        <is>
          <t>CV. SAMUDRA JAYA ABADI - PPN (JMB)</t>
        </is>
      </c>
      <c r="AI3463" t="n">
        <v>104</v>
      </c>
      <c r="AJ3463" t="inlineStr">
        <is>
          <t>PIXY</t>
        </is>
      </c>
      <c r="AK3463" t="n">
        <v>9</v>
      </c>
      <c r="AL3463" t="inlineStr">
        <is>
          <t>Miss Glam Jambi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"8992222073714"</f>
        <v/>
      </c>
      <c r="C3464" t="inlineStr">
        <is>
          <t>PIXY Two Way Cake Perfect Last 01 Fair Ochre 9g</t>
        </is>
      </c>
      <c r="D3464" t="inlineStr">
        <is>
          <t>Miss Glam Jambi</t>
        </is>
      </c>
      <c r="E3464" t="n">
        <v>9</v>
      </c>
      <c r="F3464" t="n">
        <v>0.1056</v>
      </c>
      <c r="G3464" t="n">
        <v>0.99</v>
      </c>
      <c r="H3464" t="n">
        <v>2</v>
      </c>
      <c r="I3464" t="n">
        <v>6</v>
      </c>
      <c r="J3464" t="n">
        <v>3</v>
      </c>
      <c r="K3464" t="n">
        <v>0</v>
      </c>
      <c r="L3464" t="n">
        <v>30401</v>
      </c>
      <c r="M3464" t="n">
        <v>34000</v>
      </c>
      <c r="N3464" t="n">
        <v>33</v>
      </c>
      <c r="O3464" t="n">
        <v>0.33</v>
      </c>
      <c r="P3464" t="n">
        <v>1</v>
      </c>
      <c r="Q3464" t="n">
        <v>0.1</v>
      </c>
      <c r="R3464" t="n">
        <v>1</v>
      </c>
      <c r="S3464" t="n">
        <v>3590.400000000001</v>
      </c>
      <c r="T3464" t="n">
        <v>6</v>
      </c>
      <c r="U3464" t="n">
        <v>7</v>
      </c>
      <c r="V3464" t="n">
        <v>30</v>
      </c>
      <c r="W3464" t="n">
        <v>4</v>
      </c>
      <c r="X3464" t="n">
        <v>85.22727272727272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1397</v>
      </c>
      <c r="AG3464" t="n">
        <v>2136</v>
      </c>
      <c r="AH3464" t="inlineStr">
        <is>
          <t>CV. SAMUDRA JAYA ABADI - PPN (JMB)</t>
        </is>
      </c>
      <c r="AI3464" t="n">
        <v>104</v>
      </c>
      <c r="AJ3464" t="inlineStr">
        <is>
          <t>PIXY</t>
        </is>
      </c>
      <c r="AK3464" t="n">
        <v>9</v>
      </c>
      <c r="AL3464" t="inlineStr">
        <is>
          <t>Miss Glam Jambi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"8992222073721"</f>
        <v/>
      </c>
      <c r="C3465" t="inlineStr">
        <is>
          <t>PIXY Two Way Cake Perfect Last 02 Natural Buff 9gr</t>
        </is>
      </c>
      <c r="D3465" t="inlineStr">
        <is>
          <t>Miss Glam Jambi</t>
        </is>
      </c>
      <c r="E3465" t="n">
        <v>4</v>
      </c>
      <c r="F3465" t="n">
        <v>0.2475</v>
      </c>
      <c r="G3465" t="n">
        <v>0.99</v>
      </c>
      <c r="H3465" t="n">
        <v>2</v>
      </c>
      <c r="I3465" t="n">
        <v>6</v>
      </c>
      <c r="J3465" t="n">
        <v>3</v>
      </c>
      <c r="K3465" t="n">
        <v>4</v>
      </c>
      <c r="L3465" t="n">
        <v>30401</v>
      </c>
      <c r="M3465" t="n">
        <v>34000</v>
      </c>
      <c r="N3465" t="n">
        <v>33</v>
      </c>
      <c r="O3465" t="n">
        <v>0.33</v>
      </c>
      <c r="P3465" t="n">
        <v>1</v>
      </c>
      <c r="Q3465" t="n">
        <v>0.07000000000000001</v>
      </c>
      <c r="R3465" t="n">
        <v>1</v>
      </c>
      <c r="S3465" t="n">
        <v>8415</v>
      </c>
      <c r="T3465" t="n">
        <v>6</v>
      </c>
      <c r="U3465" t="n">
        <v>7</v>
      </c>
      <c r="V3465" t="n">
        <v>30</v>
      </c>
      <c r="W3465" t="n">
        <v>8</v>
      </c>
      <c r="X3465" t="n">
        <v>16.16161616161616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1397</v>
      </c>
      <c r="AG3465" t="n">
        <v>2136</v>
      </c>
      <c r="AH3465" t="inlineStr">
        <is>
          <t>CV. SAMUDRA JAYA ABADI - PPN (JMB)</t>
        </is>
      </c>
      <c r="AI3465" t="n">
        <v>104</v>
      </c>
      <c r="AJ3465" t="inlineStr">
        <is>
          <t>PIXY</t>
        </is>
      </c>
      <c r="AK3465" t="n">
        <v>9</v>
      </c>
      <c r="AL3465" t="inlineStr">
        <is>
          <t>Miss Glam Jambi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"8992222073745"</f>
        <v/>
      </c>
      <c r="C3466" t="inlineStr">
        <is>
          <t>PIXY Two Way Cake Perfect Last Refill 01 Fair Ochre 9gr</t>
        </is>
      </c>
      <c r="D3466" t="inlineStr">
        <is>
          <t>Miss Glam Jambi</t>
        </is>
      </c>
      <c r="E3466" t="n">
        <v>7</v>
      </c>
      <c r="F3466" t="n">
        <v>0.3696</v>
      </c>
      <c r="G3466" t="n">
        <v>1.65</v>
      </c>
      <c r="H3466" t="n">
        <v>2</v>
      </c>
      <c r="I3466" t="n">
        <v>6</v>
      </c>
      <c r="J3466" t="n">
        <v>3</v>
      </c>
      <c r="K3466" t="n">
        <v>5</v>
      </c>
      <c r="L3466" t="n">
        <v>20000</v>
      </c>
      <c r="M3466" t="n">
        <v>23500</v>
      </c>
      <c r="N3466" t="n">
        <v>33</v>
      </c>
      <c r="O3466" t="n">
        <v>0.33</v>
      </c>
      <c r="P3466" t="n">
        <v>1</v>
      </c>
      <c r="Q3466" t="n">
        <v>0.08</v>
      </c>
      <c r="R3466" t="n">
        <v>1</v>
      </c>
      <c r="S3466" t="n">
        <v>8685.6</v>
      </c>
      <c r="T3466" t="n">
        <v>10</v>
      </c>
      <c r="U3466" t="n">
        <v>11</v>
      </c>
      <c r="V3466" t="n">
        <v>30</v>
      </c>
      <c r="W3466" t="n">
        <v>12</v>
      </c>
      <c r="X3466" t="n">
        <v>18.93939393939394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1397</v>
      </c>
      <c r="AG3466" t="n">
        <v>2136</v>
      </c>
      <c r="AH3466" t="inlineStr">
        <is>
          <t>CV. SAMUDRA JAYA ABADI - PPN (JMB)</t>
        </is>
      </c>
      <c r="AI3466" t="n">
        <v>104</v>
      </c>
      <c r="AJ3466" t="inlineStr">
        <is>
          <t>PIXY</t>
        </is>
      </c>
      <c r="AK3466" t="n">
        <v>9</v>
      </c>
      <c r="AL3466" t="inlineStr">
        <is>
          <t>Miss Glam Jambi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"8992222073752"</f>
        <v/>
      </c>
      <c r="C3467" t="inlineStr">
        <is>
          <t>PIXY Two Way Cake Perfect Last Refill 02 Natural Buff 9g</t>
        </is>
      </c>
      <c r="D3467" t="inlineStr">
        <is>
          <t>Miss Glam Jambi</t>
        </is>
      </c>
      <c r="E3467" t="n">
        <v>5</v>
      </c>
      <c r="F3467" t="n">
        <v>0.6369</v>
      </c>
      <c r="G3467" t="n">
        <v>2.64</v>
      </c>
      <c r="H3467" t="n">
        <v>2</v>
      </c>
      <c r="I3467" t="n">
        <v>6</v>
      </c>
      <c r="J3467" t="n">
        <v>3</v>
      </c>
      <c r="K3467" t="n">
        <v>15</v>
      </c>
      <c r="L3467" t="n">
        <v>20000</v>
      </c>
      <c r="M3467" t="n">
        <v>23000</v>
      </c>
      <c r="N3467" t="n">
        <v>33</v>
      </c>
      <c r="O3467" t="n">
        <v>0.33</v>
      </c>
      <c r="P3467" t="n">
        <v>1</v>
      </c>
      <c r="Q3467" t="n">
        <v>0.1</v>
      </c>
      <c r="R3467" t="n">
        <v>1</v>
      </c>
      <c r="S3467" t="n">
        <v>14648.7</v>
      </c>
      <c r="T3467" t="n">
        <v>15</v>
      </c>
      <c r="U3467" t="n">
        <v>17</v>
      </c>
      <c r="V3467" t="n">
        <v>30</v>
      </c>
      <c r="W3467" t="n">
        <v>20</v>
      </c>
      <c r="X3467" t="n">
        <v>7.850525985241011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1397</v>
      </c>
      <c r="AG3467" t="n">
        <v>2136</v>
      </c>
      <c r="AH3467" t="inlineStr">
        <is>
          <t>CV. SAMUDRA JAYA ABADI - PPN (JMB)</t>
        </is>
      </c>
      <c r="AI3467" t="n">
        <v>104</v>
      </c>
      <c r="AJ3467" t="inlineStr">
        <is>
          <t>PIXY</t>
        </is>
      </c>
      <c r="AK3467" t="n">
        <v>9</v>
      </c>
      <c r="AL3467" t="inlineStr">
        <is>
          <t>Miss Glam Jambi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"8992222073769"</f>
        <v/>
      </c>
      <c r="C3468" t="inlineStr">
        <is>
          <t>PIXY Two Way Cake Perfect Last Refill 03 Sand Beige 9gr</t>
        </is>
      </c>
      <c r="D3468" t="inlineStr">
        <is>
          <t>Miss Glam Jambi</t>
        </is>
      </c>
      <c r="E3468" t="n">
        <v>5</v>
      </c>
      <c r="F3468" t="n">
        <v>0.066</v>
      </c>
      <c r="G3468" t="n">
        <v>2.31</v>
      </c>
      <c r="H3468" t="n">
        <v>2</v>
      </c>
      <c r="I3468" t="n">
        <v>6</v>
      </c>
      <c r="J3468" t="n">
        <v>3</v>
      </c>
      <c r="K3468" t="n">
        <v>0</v>
      </c>
      <c r="L3468" t="n">
        <v>20000</v>
      </c>
      <c r="M3468" t="n">
        <v>23000</v>
      </c>
      <c r="N3468" t="n">
        <v>33</v>
      </c>
      <c r="O3468" t="n">
        <v>0.33</v>
      </c>
      <c r="P3468" t="n">
        <v>1</v>
      </c>
      <c r="Q3468" t="n">
        <v>0.02</v>
      </c>
      <c r="R3468" t="n">
        <v>1</v>
      </c>
      <c r="S3468" t="n">
        <v>1518</v>
      </c>
      <c r="T3468" t="n">
        <v>14</v>
      </c>
      <c r="U3468" t="n">
        <v>15</v>
      </c>
      <c r="V3468" t="n">
        <v>30</v>
      </c>
      <c r="W3468" t="n">
        <v>2</v>
      </c>
      <c r="X3468" t="n">
        <v>75.75757575757575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1397</v>
      </c>
      <c r="AG3468" t="n">
        <v>2136</v>
      </c>
      <c r="AH3468" t="inlineStr">
        <is>
          <t>CV. SAMUDRA JAYA ABADI - PPN (JMB)</t>
        </is>
      </c>
      <c r="AI3468" t="n">
        <v>104</v>
      </c>
      <c r="AJ3468" t="inlineStr">
        <is>
          <t>PIXY</t>
        </is>
      </c>
      <c r="AK3468" t="n">
        <v>9</v>
      </c>
      <c r="AL3468" t="inlineStr">
        <is>
          <t>Miss Glam Jambi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"8992222075213"</f>
        <v/>
      </c>
      <c r="C3469" t="inlineStr">
        <is>
          <t>PIXY Uv Primer Sunscreen Aqua Gel 30gr</t>
        </is>
      </c>
      <c r="D3469" t="inlineStr">
        <is>
          <t>Miss Glam Jambi</t>
        </is>
      </c>
      <c r="E3469" t="n">
        <v>4</v>
      </c>
      <c r="F3469" t="n">
        <v>0.1782</v>
      </c>
      <c r="G3469" t="n">
        <v>1.32</v>
      </c>
      <c r="H3469" t="n">
        <v>2</v>
      </c>
      <c r="I3469" t="n">
        <v>6</v>
      </c>
      <c r="J3469" t="n">
        <v>3</v>
      </c>
      <c r="K3469" t="n">
        <v>3</v>
      </c>
      <c r="L3469" t="n">
        <v>30389</v>
      </c>
      <c r="M3469" t="n">
        <v>33000</v>
      </c>
      <c r="N3469" t="n">
        <v>33</v>
      </c>
      <c r="O3469" t="n">
        <v>0.33</v>
      </c>
      <c r="P3469" t="n">
        <v>1</v>
      </c>
      <c r="Q3469" t="n">
        <v>0.2</v>
      </c>
      <c r="R3469" t="n">
        <v>3</v>
      </c>
      <c r="S3469" t="n">
        <v>5880.600000000001</v>
      </c>
      <c r="T3469" t="n">
        <v>8</v>
      </c>
      <c r="U3469" t="n">
        <v>9</v>
      </c>
      <c r="V3469" t="n">
        <v>30</v>
      </c>
      <c r="W3469" t="n">
        <v>6</v>
      </c>
      <c r="X3469" t="n">
        <v>22.44668911335578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1397</v>
      </c>
      <c r="AG3469" t="n">
        <v>2136</v>
      </c>
      <c r="AH3469" t="inlineStr">
        <is>
          <t>CV. SAMUDRA JAYA ABADI - PPN (JMB)</t>
        </is>
      </c>
      <c r="AI3469" t="n">
        <v>104</v>
      </c>
      <c r="AJ3469" t="inlineStr">
        <is>
          <t>PIXY</t>
        </is>
      </c>
      <c r="AK3469" t="n">
        <v>9</v>
      </c>
      <c r="AL3469" t="inlineStr">
        <is>
          <t>Miss Glam Jambi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"8992222075220"</f>
        <v/>
      </c>
      <c r="C3470" t="inlineStr">
        <is>
          <t>PIXY Uv Primer Sunscreen Hydra Cream 30gr</t>
        </is>
      </c>
      <c r="D3470" t="inlineStr">
        <is>
          <t>Miss Glam Jambi</t>
        </is>
      </c>
      <c r="E3470" t="n">
        <v>3</v>
      </c>
      <c r="F3470" t="n">
        <v>0.1947</v>
      </c>
      <c r="G3470" t="n">
        <v>0.99</v>
      </c>
      <c r="H3470" t="n">
        <v>2</v>
      </c>
      <c r="I3470" t="n">
        <v>6</v>
      </c>
      <c r="J3470" t="n">
        <v>3</v>
      </c>
      <c r="K3470" t="n">
        <v>3</v>
      </c>
      <c r="L3470" t="n">
        <v>30401</v>
      </c>
      <c r="M3470" t="n">
        <v>33000</v>
      </c>
      <c r="N3470" t="n">
        <v>33</v>
      </c>
      <c r="O3470" t="n">
        <v>0.33</v>
      </c>
      <c r="P3470" t="n">
        <v>1</v>
      </c>
      <c r="Q3470" t="n">
        <v>0.08</v>
      </c>
      <c r="R3470" t="n">
        <v>2</v>
      </c>
      <c r="S3470" t="n">
        <v>6425.1</v>
      </c>
      <c r="T3470" t="n">
        <v>6</v>
      </c>
      <c r="U3470" t="n">
        <v>7</v>
      </c>
      <c r="V3470" t="n">
        <v>30</v>
      </c>
      <c r="W3470" t="n">
        <v>6</v>
      </c>
      <c r="X3470" t="n">
        <v>15.40832049306625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1397</v>
      </c>
      <c r="AG3470" t="n">
        <v>2136</v>
      </c>
      <c r="AH3470" t="inlineStr">
        <is>
          <t>CV. SAMUDRA JAYA ABADI - PPN (JMB)</t>
        </is>
      </c>
      <c r="AI3470" t="n">
        <v>104</v>
      </c>
      <c r="AJ3470" t="inlineStr">
        <is>
          <t>PIXY</t>
        </is>
      </c>
      <c r="AK3470" t="n">
        <v>9</v>
      </c>
      <c r="AL3470" t="inlineStr">
        <is>
          <t>Miss Glam Jambi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"8992222074575"</f>
        <v/>
      </c>
      <c r="C3471" t="inlineStr">
        <is>
          <t>PIXY Volume &amp; Curl Mascara Black 9ml</t>
        </is>
      </c>
      <c r="D3471" t="inlineStr">
        <is>
          <t>Miss Glam Jambi</t>
        </is>
      </c>
      <c r="E3471" t="n">
        <v>1</v>
      </c>
      <c r="F3471" t="n">
        <v>0.033</v>
      </c>
      <c r="G3471" t="n">
        <v>0.33</v>
      </c>
      <c r="H3471" t="n">
        <v>2</v>
      </c>
      <c r="I3471" t="n">
        <v>6</v>
      </c>
      <c r="J3471" t="n">
        <v>3</v>
      </c>
      <c r="K3471" t="n">
        <v>0</v>
      </c>
      <c r="L3471" t="n">
        <v>40801</v>
      </c>
      <c r="M3471" t="n">
        <v>49000</v>
      </c>
      <c r="N3471" t="n">
        <v>33</v>
      </c>
      <c r="O3471" t="n">
        <v>0.33</v>
      </c>
      <c r="P3471" t="n">
        <v>1</v>
      </c>
      <c r="Q3471" t="n">
        <v>0.07000000000000001</v>
      </c>
      <c r="R3471" t="n">
        <v>1</v>
      </c>
      <c r="S3471" t="n">
        <v>1617</v>
      </c>
      <c r="T3471" t="n">
        <v>2</v>
      </c>
      <c r="U3471" t="n">
        <v>3</v>
      </c>
      <c r="V3471" t="n">
        <v>30</v>
      </c>
      <c r="W3471" t="n">
        <v>1</v>
      </c>
      <c r="X3471" t="n">
        <v>30.3030303030303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1397</v>
      </c>
      <c r="AG3471" t="n">
        <v>2136</v>
      </c>
      <c r="AH3471" t="inlineStr">
        <is>
          <t>CV. SAMUDRA JAYA ABADI - PPN (JMB)</t>
        </is>
      </c>
      <c r="AI3471" t="n">
        <v>104</v>
      </c>
      <c r="AJ3471" t="inlineStr">
        <is>
          <t>PIXY</t>
        </is>
      </c>
      <c r="AK3471" t="n">
        <v>9</v>
      </c>
      <c r="AL3471" t="inlineStr">
        <is>
          <t>Miss Glam Jambi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"20200568225"</f>
        <v/>
      </c>
      <c r="C3472" t="inlineStr">
        <is>
          <t>PIXY Wanderlust Quad Eyeshadow 01 Dessert Sunset 5,5gr</t>
        </is>
      </c>
      <c r="D3472" t="inlineStr">
        <is>
          <t>Miss Glam Jambi</t>
        </is>
      </c>
      <c r="E3472" t="n">
        <v>4</v>
      </c>
      <c r="F3472" t="n">
        <v>0.1056</v>
      </c>
      <c r="G3472" t="n">
        <v>0.66</v>
      </c>
      <c r="H3472" t="n">
        <v>2</v>
      </c>
      <c r="I3472" t="n">
        <v>6</v>
      </c>
      <c r="J3472" t="n">
        <v>1</v>
      </c>
      <c r="K3472" t="n">
        <v>0</v>
      </c>
      <c r="L3472" t="n">
        <v>47201</v>
      </c>
      <c r="M3472" t="n">
        <v>56000</v>
      </c>
      <c r="N3472" t="n">
        <v>33</v>
      </c>
      <c r="O3472" t="n">
        <v>0.33</v>
      </c>
      <c r="P3472" t="n">
        <v>1</v>
      </c>
      <c r="Q3472" t="n">
        <v>0.03</v>
      </c>
      <c r="R3472" t="n">
        <v>1</v>
      </c>
      <c r="S3472" t="n">
        <v>5913.6</v>
      </c>
      <c r="T3472" t="n">
        <v>4</v>
      </c>
      <c r="U3472" t="n">
        <v>5</v>
      </c>
      <c r="V3472" t="n">
        <v>30</v>
      </c>
      <c r="W3472" t="n">
        <v>4</v>
      </c>
      <c r="X3472" t="n">
        <v>37.87878787878788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1397</v>
      </c>
      <c r="AG3472" t="n">
        <v>2136</v>
      </c>
      <c r="AH3472" t="inlineStr">
        <is>
          <t>CV. SAMUDRA JAYA ABADI - PPN (JMB)</t>
        </is>
      </c>
      <c r="AI3472" t="n">
        <v>104</v>
      </c>
      <c r="AJ3472" t="inlineStr">
        <is>
          <t>PIXY</t>
        </is>
      </c>
      <c r="AK3472" t="n">
        <v>9</v>
      </c>
      <c r="AL3472" t="inlineStr">
        <is>
          <t>Miss Glam Jambi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"8992222074223"</f>
        <v/>
      </c>
      <c r="C3473" t="inlineStr">
        <is>
          <t>PIXY White Aqua Brightening Moisturizer 50gr</t>
        </is>
      </c>
      <c r="D3473" t="inlineStr">
        <is>
          <t>Miss Glam Jambi</t>
        </is>
      </c>
      <c r="E3473" t="n">
        <v>3</v>
      </c>
      <c r="F3473" t="n">
        <v>0.0264</v>
      </c>
      <c r="G3473" t="n">
        <v>0.33</v>
      </c>
      <c r="H3473" t="n">
        <v>2</v>
      </c>
      <c r="I3473" t="n">
        <v>6</v>
      </c>
      <c r="J3473" t="n">
        <v>3</v>
      </c>
      <c r="K3473" t="n">
        <v>0</v>
      </c>
      <c r="L3473" t="n">
        <v>66000</v>
      </c>
      <c r="M3473" t="n">
        <v>78000</v>
      </c>
      <c r="N3473" t="n">
        <v>33</v>
      </c>
      <c r="O3473" t="n">
        <v>0.33</v>
      </c>
      <c r="P3473" t="n">
        <v>1</v>
      </c>
      <c r="Q3473" t="n">
        <v>0.02</v>
      </c>
      <c r="R3473" t="n">
        <v>1</v>
      </c>
      <c r="S3473" t="n">
        <v>2059.2</v>
      </c>
      <c r="T3473" t="n">
        <v>2</v>
      </c>
      <c r="U3473" t="n">
        <v>3</v>
      </c>
      <c r="V3473" t="n">
        <v>30</v>
      </c>
      <c r="W3473" t="n">
        <v>1</v>
      </c>
      <c r="X3473" t="n">
        <v>113.6363636363636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1397</v>
      </c>
      <c r="AG3473" t="n">
        <v>2136</v>
      </c>
      <c r="AH3473" t="inlineStr">
        <is>
          <t>CV. SAMUDRA JAYA ABADI - PPN (JMB)</t>
        </is>
      </c>
      <c r="AI3473" t="n">
        <v>104</v>
      </c>
      <c r="AJ3473" t="inlineStr">
        <is>
          <t>PIXY</t>
        </is>
      </c>
      <c r="AK3473" t="n">
        <v>9</v>
      </c>
      <c r="AL3473" t="inlineStr">
        <is>
          <t>Miss Glam Jambi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"8992222075268"</f>
        <v/>
      </c>
      <c r="C3474" t="inlineStr">
        <is>
          <t>PIXY White-Aqua 4in1 Calming Bright 20ml</t>
        </is>
      </c>
      <c r="D3474" t="inlineStr">
        <is>
          <t>Miss Glam Jambi</t>
        </is>
      </c>
      <c r="E3474" t="n">
        <v>5</v>
      </c>
      <c r="F3474" t="n">
        <v>0.009900000000000001</v>
      </c>
      <c r="G3474" t="n">
        <v>0.33</v>
      </c>
      <c r="H3474" t="n">
        <v>2</v>
      </c>
      <c r="I3474" t="n">
        <v>6</v>
      </c>
      <c r="J3474" t="n">
        <v>3</v>
      </c>
      <c r="K3474" t="n">
        <v>0</v>
      </c>
      <c r="L3474" t="n">
        <v>45008</v>
      </c>
      <c r="M3474" t="n">
        <v>53000</v>
      </c>
      <c r="N3474" t="n">
        <v>33</v>
      </c>
      <c r="O3474" t="n">
        <v>0.33</v>
      </c>
      <c r="P3474" t="n">
        <v>1</v>
      </c>
      <c r="Q3474" t="n">
        <v>0.02</v>
      </c>
      <c r="R3474" t="n">
        <v>1</v>
      </c>
      <c r="S3474" t="n">
        <v>524.7</v>
      </c>
      <c r="T3474" t="n">
        <v>2</v>
      </c>
      <c r="U3474" t="n">
        <v>3</v>
      </c>
      <c r="V3474" t="n">
        <v>30</v>
      </c>
      <c r="W3474" t="n">
        <v>1</v>
      </c>
      <c r="X3474" t="n">
        <v>505.050505050505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1397</v>
      </c>
      <c r="AG3474" t="n">
        <v>2136</v>
      </c>
      <c r="AH3474" t="inlineStr">
        <is>
          <t>CV. SAMUDRA JAYA ABADI - PPN (JMB)</t>
        </is>
      </c>
      <c r="AI3474" t="n">
        <v>104</v>
      </c>
      <c r="AJ3474" t="inlineStr">
        <is>
          <t>PIXY</t>
        </is>
      </c>
      <c r="AK3474" t="n">
        <v>9</v>
      </c>
      <c r="AL3474" t="inlineStr">
        <is>
          <t>Miss Glam Jambi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POISE</t>
        </is>
      </c>
      <c r="B3475" s="2">
        <f>"8998866107303"</f>
        <v/>
      </c>
      <c r="C3475" t="inlineStr">
        <is>
          <t>POISE Anti Acne Facial Foam 100gr</t>
        </is>
      </c>
      <c r="D3475" t="inlineStr">
        <is>
          <t>Miss Glam Jambi</t>
        </is>
      </c>
      <c r="E3475" t="n">
        <v>3</v>
      </c>
      <c r="F3475" t="n">
        <v>0.09569999999999999</v>
      </c>
      <c r="G3475" t="n">
        <v>0.99</v>
      </c>
      <c r="H3475" t="n">
        <v>6</v>
      </c>
      <c r="I3475" t="n">
        <v>20</v>
      </c>
      <c r="J3475" t="n">
        <v>3</v>
      </c>
      <c r="K3475" t="n">
        <v>3</v>
      </c>
      <c r="L3475" t="n">
        <v>19272</v>
      </c>
      <c r="M3475" t="n">
        <v>25000</v>
      </c>
      <c r="N3475" t="n">
        <v>33</v>
      </c>
      <c r="O3475" t="n">
        <v>0.33</v>
      </c>
      <c r="P3475" t="n">
        <v>1</v>
      </c>
      <c r="Q3475" t="n">
        <v>0.05</v>
      </c>
      <c r="R3475" t="n">
        <v>1</v>
      </c>
      <c r="S3475" t="n">
        <v>2392.5</v>
      </c>
      <c r="T3475" t="n">
        <v>20</v>
      </c>
      <c r="U3475" t="n">
        <v>21</v>
      </c>
      <c r="V3475" t="n">
        <v>30</v>
      </c>
      <c r="W3475" t="n">
        <v>3</v>
      </c>
      <c r="X3475" t="n">
        <v>31.34796238244514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10449</v>
      </c>
      <c r="AG3475" t="n">
        <v>2198</v>
      </c>
      <c r="AH3475" t="inlineStr">
        <is>
          <t>PT. JAMBI DISTRINDO RAYA - PPN (JMB)</t>
        </is>
      </c>
      <c r="AI3475" t="n">
        <v>127</v>
      </c>
      <c r="AJ3475" t="inlineStr">
        <is>
          <t>POISE</t>
        </is>
      </c>
      <c r="AK3475" t="n">
        <v>9</v>
      </c>
      <c r="AL3475" t="inlineStr">
        <is>
          <t>Miss Glam Jambi</t>
        </is>
      </c>
      <c r="AM3475" t="n">
        <v>3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POISE</t>
        </is>
      </c>
      <c r="B3476" s="2">
        <f>"8998866107297"</f>
        <v/>
      </c>
      <c r="C3476" t="inlineStr">
        <is>
          <t>POISE Anti Bacterial Facial Foam 100gr</t>
        </is>
      </c>
      <c r="D3476" t="inlineStr">
        <is>
          <t>Miss Glam Jambi</t>
        </is>
      </c>
      <c r="E3476" t="n">
        <v>2</v>
      </c>
      <c r="F3476" t="n">
        <v>0.0264</v>
      </c>
      <c r="G3476" t="n">
        <v>0.66</v>
      </c>
      <c r="H3476" t="n">
        <v>6</v>
      </c>
      <c r="I3476" t="n">
        <v>20</v>
      </c>
      <c r="J3476" t="n">
        <v>3</v>
      </c>
      <c r="K3476" t="n">
        <v>0</v>
      </c>
      <c r="L3476" t="n">
        <v>19583</v>
      </c>
      <c r="M3476" t="n">
        <v>25000</v>
      </c>
      <c r="N3476" t="n">
        <v>33</v>
      </c>
      <c r="O3476" t="n">
        <v>0.33</v>
      </c>
      <c r="P3476" t="n">
        <v>1</v>
      </c>
      <c r="Q3476" t="n">
        <v>0.03</v>
      </c>
      <c r="R3476" t="n">
        <v>1</v>
      </c>
      <c r="S3476" t="n">
        <v>660.0000000000001</v>
      </c>
      <c r="T3476" t="n">
        <v>14</v>
      </c>
      <c r="U3476" t="n">
        <v>15</v>
      </c>
      <c r="V3476" t="n">
        <v>30</v>
      </c>
      <c r="W3476" t="n">
        <v>1</v>
      </c>
      <c r="X3476" t="n">
        <v>75.75757575757575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10449</v>
      </c>
      <c r="AG3476" t="n">
        <v>2198</v>
      </c>
      <c r="AH3476" t="inlineStr">
        <is>
          <t>PT. JAMBI DISTRINDO RAYA - PPN (JMB)</t>
        </is>
      </c>
      <c r="AI3476" t="n">
        <v>127</v>
      </c>
      <c r="AJ3476" t="inlineStr">
        <is>
          <t>POISE</t>
        </is>
      </c>
      <c r="AK3476" t="n">
        <v>9</v>
      </c>
      <c r="AL3476" t="inlineStr">
        <is>
          <t>Miss Glam Jambi</t>
        </is>
      </c>
      <c r="AM3476" t="n">
        <v>3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POISE</t>
        </is>
      </c>
      <c r="B3477" s="2">
        <f>"8998866109994"</f>
        <v/>
      </c>
      <c r="C3477" t="inlineStr">
        <is>
          <t>POISE Luminous Bright Micellar Water 125ml</t>
        </is>
      </c>
      <c r="D3477" t="inlineStr">
        <is>
          <t>Miss Glam Jambi</t>
        </is>
      </c>
      <c r="E3477" t="n">
        <v>2</v>
      </c>
      <c r="F3477" t="n">
        <v>0.1947</v>
      </c>
      <c r="G3477" t="n">
        <v>0.66</v>
      </c>
      <c r="H3477" t="n">
        <v>6</v>
      </c>
      <c r="I3477" t="n">
        <v>20</v>
      </c>
      <c r="J3477" t="n">
        <v>3</v>
      </c>
      <c r="K3477" t="n">
        <v>3</v>
      </c>
      <c r="L3477" t="n">
        <v>18395</v>
      </c>
      <c r="M3477" t="n">
        <v>22000</v>
      </c>
      <c r="N3477" t="n">
        <v>33</v>
      </c>
      <c r="O3477" t="n">
        <v>0.33</v>
      </c>
      <c r="P3477" t="n">
        <v>1</v>
      </c>
      <c r="Q3477" t="n">
        <v>0.1</v>
      </c>
      <c r="R3477" t="n">
        <v>2</v>
      </c>
      <c r="S3477" t="n">
        <v>4283.400000000001</v>
      </c>
      <c r="T3477" t="n">
        <v>13</v>
      </c>
      <c r="U3477" t="n">
        <v>15</v>
      </c>
      <c r="V3477" t="n">
        <v>30</v>
      </c>
      <c r="W3477" t="n">
        <v>6</v>
      </c>
      <c r="X3477" t="n">
        <v>10.27221366204417</v>
      </c>
      <c r="Y3477" t="n">
        <v>1</v>
      </c>
      <c r="Z3477" t="n">
        <v>1</v>
      </c>
      <c r="AA3477" t="n">
        <v>1</v>
      </c>
      <c r="AB3477" t="n">
        <v>0</v>
      </c>
      <c r="AC3477" t="n">
        <v>0</v>
      </c>
      <c r="AD3477" t="n">
        <v>18395</v>
      </c>
      <c r="AE3477" t="n">
        <v>0</v>
      </c>
      <c r="AF3477" t="n">
        <v>10449</v>
      </c>
      <c r="AG3477" t="n">
        <v>2198</v>
      </c>
      <c r="AH3477" t="inlineStr">
        <is>
          <t>PT. JAMBI DISTRINDO RAYA - PPN (JMB)</t>
        </is>
      </c>
      <c r="AI3477" t="n">
        <v>127</v>
      </c>
      <c r="AJ3477" t="inlineStr">
        <is>
          <t>POISE</t>
        </is>
      </c>
      <c r="AK3477" t="n">
        <v>9</v>
      </c>
      <c r="AL3477" t="inlineStr">
        <is>
          <t>Miss Glam Jambi</t>
        </is>
      </c>
      <c r="AM3477" t="n">
        <v>3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POLYNIA</t>
        </is>
      </c>
      <c r="B3478" s="2">
        <f>"4713157836182"</f>
        <v/>
      </c>
      <c r="C3478" t="inlineStr">
        <is>
          <t>POLYNIA Pomegranate Revitalizing Mask 100ml</t>
        </is>
      </c>
      <c r="D3478" t="inlineStr">
        <is>
          <t>Miss Glam Jambi</t>
        </is>
      </c>
      <c r="E3478" t="n">
        <v>4</v>
      </c>
      <c r="F3478" t="n">
        <v>0.0165</v>
      </c>
      <c r="G3478" t="n">
        <v>0.33</v>
      </c>
      <c r="H3478" t="n">
        <v>4</v>
      </c>
      <c r="I3478" t="n">
        <v>20</v>
      </c>
      <c r="J3478" t="n">
        <v>3</v>
      </c>
      <c r="K3478" t="n">
        <v>0</v>
      </c>
      <c r="L3478" t="n">
        <v>298290</v>
      </c>
      <c r="M3478" t="n">
        <v>320000</v>
      </c>
      <c r="N3478" t="n">
        <v>33</v>
      </c>
      <c r="O3478" t="n">
        <v>0.33</v>
      </c>
      <c r="P3478" t="n">
        <v>1</v>
      </c>
      <c r="Q3478" t="n">
        <v>0.03</v>
      </c>
      <c r="R3478" t="n">
        <v>1</v>
      </c>
      <c r="S3478" t="n">
        <v>5280</v>
      </c>
      <c r="T3478" t="n">
        <v>7</v>
      </c>
      <c r="U3478" t="n">
        <v>8</v>
      </c>
      <c r="V3478" t="n">
        <v>30</v>
      </c>
      <c r="W3478" t="n">
        <v>1</v>
      </c>
      <c r="X3478" t="n">
        <v>242.4242424242424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7728</v>
      </c>
      <c r="AG3478" t="n">
        <v>1</v>
      </c>
      <c r="AH3478" t="inlineStr">
        <is>
          <t>PT. BERSAMA DISTRIVERSA INDONESIA (DC CIPUTAT)</t>
        </is>
      </c>
      <c r="AI3478" t="n">
        <v>1967</v>
      </c>
      <c r="AJ3478" t="inlineStr">
        <is>
          <t>POLYNIA</t>
        </is>
      </c>
      <c r="AK3478" t="n">
        <v>9</v>
      </c>
      <c r="AL3478" t="inlineStr">
        <is>
          <t>Miss Glam Jambi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PONDS</t>
        </is>
      </c>
      <c r="B3479" s="2">
        <f>"10400404525"</f>
        <v/>
      </c>
      <c r="C3479" t="inlineStr">
        <is>
          <t>POND'S UV Miracle Protect &amp; Repair Bright Spf 35 PA +++ Sunscreen Gel 25gr</t>
        </is>
      </c>
      <c r="D3479" t="inlineStr">
        <is>
          <t>Miss Glam Jambi</t>
        </is>
      </c>
      <c r="E3479" t="n">
        <v>2</v>
      </c>
      <c r="F3479" t="n">
        <v>0.09569999999999999</v>
      </c>
      <c r="G3479" t="n">
        <v>1.32</v>
      </c>
      <c r="H3479" t="n">
        <v>3</v>
      </c>
      <c r="I3479" t="n">
        <v>19</v>
      </c>
      <c r="J3479" t="n">
        <v>3</v>
      </c>
      <c r="K3479" t="n">
        <v>3</v>
      </c>
      <c r="L3479" t="n">
        <v>28713</v>
      </c>
      <c r="M3479" t="n">
        <v>34000</v>
      </c>
      <c r="N3479" t="n">
        <v>33</v>
      </c>
      <c r="O3479" t="n">
        <v>0.33</v>
      </c>
      <c r="P3479" t="n">
        <v>1</v>
      </c>
      <c r="Q3479" t="n">
        <v>0.15</v>
      </c>
      <c r="R3479" t="n">
        <v>1</v>
      </c>
      <c r="S3479" t="n">
        <v>3253.8</v>
      </c>
      <c r="T3479" t="n">
        <v>25</v>
      </c>
      <c r="U3479" t="n">
        <v>26</v>
      </c>
      <c r="V3479" t="n">
        <v>30</v>
      </c>
      <c r="W3479" t="n">
        <v>3</v>
      </c>
      <c r="X3479" t="n">
        <v>20.89864158829676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9770</v>
      </c>
      <c r="AG3479" t="n">
        <v>2206</v>
      </c>
      <c r="AH3479" t="inlineStr">
        <is>
          <t>PT. ENHA PUTRA (ONLINE CASH)</t>
        </is>
      </c>
      <c r="AI3479" t="n">
        <v>363</v>
      </c>
      <c r="AJ3479" t="inlineStr">
        <is>
          <t>PONDS</t>
        </is>
      </c>
      <c r="AK3479" t="n">
        <v>9</v>
      </c>
      <c r="AL3479" t="inlineStr">
        <is>
          <t>Miss Glam Jambi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PONDS</t>
        </is>
      </c>
      <c r="B3480" s="2">
        <f>"8999999059910"</f>
        <v/>
      </c>
      <c r="C3480" t="inlineStr">
        <is>
          <t>PONDS Age Miracle Day Cream 20gr</t>
        </is>
      </c>
      <c r="D3480" t="inlineStr">
        <is>
          <t>Miss Glam Jambi</t>
        </is>
      </c>
      <c r="E3480" t="n">
        <v>0</v>
      </c>
      <c r="F3480" t="n">
        <v>0.0825</v>
      </c>
      <c r="G3480" t="n">
        <v>0.66</v>
      </c>
      <c r="H3480" t="n">
        <v>3</v>
      </c>
      <c r="I3480" t="n">
        <v>19</v>
      </c>
      <c r="J3480" t="n">
        <v>3</v>
      </c>
      <c r="K3480" t="n">
        <v>3</v>
      </c>
      <c r="L3480" t="n">
        <v>62810</v>
      </c>
      <c r="M3480" t="n">
        <v>74500</v>
      </c>
      <c r="N3480" t="n">
        <v>33</v>
      </c>
      <c r="O3480" t="n">
        <v>0.33</v>
      </c>
      <c r="P3480" t="n">
        <v>1</v>
      </c>
      <c r="Q3480" t="n">
        <v>0.05</v>
      </c>
      <c r="R3480" t="n">
        <v>1</v>
      </c>
      <c r="S3480" t="n">
        <v>6146.25</v>
      </c>
      <c r="T3480" t="n">
        <v>13</v>
      </c>
      <c r="U3480" t="n">
        <v>14</v>
      </c>
      <c r="V3480" t="n">
        <v>30</v>
      </c>
      <c r="W3480" t="n">
        <v>3</v>
      </c>
      <c r="X3480" t="n">
        <v>0</v>
      </c>
      <c r="Y3480" t="n">
        <v>1</v>
      </c>
      <c r="Z3480" t="n">
        <v>0</v>
      </c>
      <c r="AA3480" t="n">
        <v>1</v>
      </c>
      <c r="AB3480" t="n">
        <v>0</v>
      </c>
      <c r="AC3480" t="n">
        <v>0</v>
      </c>
      <c r="AD3480" t="n">
        <v>62810</v>
      </c>
      <c r="AE3480" t="n">
        <v>0</v>
      </c>
      <c r="AF3480" t="n">
        <v>9770</v>
      </c>
      <c r="AG3480" t="n">
        <v>2206</v>
      </c>
      <c r="AH3480" t="inlineStr">
        <is>
          <t>PT. ENHA PUTRA (ONLINE CASH)</t>
        </is>
      </c>
      <c r="AI3480" t="n">
        <v>363</v>
      </c>
      <c r="AJ3480" t="inlineStr">
        <is>
          <t>PONDS</t>
        </is>
      </c>
      <c r="AK3480" t="n">
        <v>9</v>
      </c>
      <c r="AL3480" t="inlineStr">
        <is>
          <t>Miss Glam Jambi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PONDS</t>
        </is>
      </c>
      <c r="B3481" s="2">
        <f>"8999999059927"</f>
        <v/>
      </c>
      <c r="C3481" t="inlineStr">
        <is>
          <t>PONDS Age Miracle Day Cream 50gr</t>
        </is>
      </c>
      <c r="D3481" t="inlineStr">
        <is>
          <t>Miss Glam Jambi</t>
        </is>
      </c>
      <c r="E3481" t="n">
        <v>3</v>
      </c>
      <c r="F3481" t="n">
        <v>0.02</v>
      </c>
      <c r="G3481" t="n">
        <v>1</v>
      </c>
      <c r="H3481" t="n">
        <v>3</v>
      </c>
      <c r="I3481" t="n">
        <v>19</v>
      </c>
      <c r="J3481" t="n">
        <v>3</v>
      </c>
      <c r="K3481" t="n">
        <v>0</v>
      </c>
      <c r="L3481" t="n">
        <v>151712</v>
      </c>
      <c r="M3481" t="n">
        <v>189500</v>
      </c>
      <c r="N3481" t="n">
        <v>33</v>
      </c>
      <c r="O3481" t="n">
        <v>0.33</v>
      </c>
      <c r="P3481" t="n">
        <v>0</v>
      </c>
      <c r="Q3481" t="n">
        <v>0.02</v>
      </c>
      <c r="R3481" t="n">
        <v>1</v>
      </c>
      <c r="S3481" t="n">
        <v>3790</v>
      </c>
      <c r="T3481" t="n">
        <v>19</v>
      </c>
      <c r="U3481" t="n">
        <v>20</v>
      </c>
      <c r="V3481" t="n">
        <v>30</v>
      </c>
      <c r="W3481" t="n">
        <v>1</v>
      </c>
      <c r="X3481" t="n">
        <v>150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9770</v>
      </c>
      <c r="AG3481" t="n">
        <v>2206</v>
      </c>
      <c r="AH3481" t="inlineStr">
        <is>
          <t>PT. ENHA PUTRA (ONLINE CASH)</t>
        </is>
      </c>
      <c r="AI3481" t="n">
        <v>363</v>
      </c>
      <c r="AJ3481" t="inlineStr">
        <is>
          <t>PONDS</t>
        </is>
      </c>
      <c r="AK3481" t="n">
        <v>9</v>
      </c>
      <c r="AL3481" t="inlineStr">
        <is>
          <t>Miss Glam Jambi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PONDS</t>
        </is>
      </c>
      <c r="B3482" s="2">
        <f>"8999999059903"</f>
        <v/>
      </c>
      <c r="C3482" t="inlineStr">
        <is>
          <t>PONDS Age Miracle Day Cream 9 gr</t>
        </is>
      </c>
      <c r="D3482" t="inlineStr">
        <is>
          <t>Miss Glam Jambi</t>
        </is>
      </c>
      <c r="E3482" t="n">
        <v>2</v>
      </c>
      <c r="F3482" t="n">
        <v>0.1122</v>
      </c>
      <c r="G3482" t="n">
        <v>0.66</v>
      </c>
      <c r="H3482" t="n">
        <v>3</v>
      </c>
      <c r="I3482" t="n">
        <v>19</v>
      </c>
      <c r="J3482" t="n">
        <v>3</v>
      </c>
      <c r="K3482" t="n">
        <v>3</v>
      </c>
      <c r="L3482" t="n">
        <v>31765</v>
      </c>
      <c r="M3482" t="n">
        <v>41600</v>
      </c>
      <c r="N3482" t="n">
        <v>33</v>
      </c>
      <c r="O3482" t="n">
        <v>0.33</v>
      </c>
      <c r="P3482" t="n">
        <v>1</v>
      </c>
      <c r="Q3482" t="n">
        <v>0.05</v>
      </c>
      <c r="R3482" t="n">
        <v>1</v>
      </c>
      <c r="S3482" t="n">
        <v>4667.52</v>
      </c>
      <c r="T3482" t="n">
        <v>13</v>
      </c>
      <c r="U3482" t="n">
        <v>14</v>
      </c>
      <c r="V3482" t="n">
        <v>30</v>
      </c>
      <c r="W3482" t="n">
        <v>4</v>
      </c>
      <c r="X3482" t="n">
        <v>17.825311942959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9770</v>
      </c>
      <c r="AG3482" t="n">
        <v>2206</v>
      </c>
      <c r="AH3482" t="inlineStr">
        <is>
          <t>PT. ENHA PUTRA (ONLINE CASH)</t>
        </is>
      </c>
      <c r="AI3482" t="n">
        <v>363</v>
      </c>
      <c r="AJ3482" t="inlineStr">
        <is>
          <t>PONDS</t>
        </is>
      </c>
      <c r="AK3482" t="n">
        <v>9</v>
      </c>
      <c r="AL3482" t="inlineStr">
        <is>
          <t>Miss Glam Jambi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PONDS</t>
        </is>
      </c>
      <c r="B3483" s="2">
        <f>"8999999059934"</f>
        <v/>
      </c>
      <c r="C3483" t="inlineStr">
        <is>
          <t>PONDS Age Miracle Night Cream 9 gr</t>
        </is>
      </c>
      <c r="D3483" t="inlineStr">
        <is>
          <t>Miss Glam Jambi</t>
        </is>
      </c>
      <c r="E3483" t="n">
        <v>2</v>
      </c>
      <c r="F3483" t="n">
        <v>0.07920000000000001</v>
      </c>
      <c r="G3483" t="n">
        <v>0.66</v>
      </c>
      <c r="H3483" t="n">
        <v>3</v>
      </c>
      <c r="I3483" t="n">
        <v>19</v>
      </c>
      <c r="J3483" t="n">
        <v>3</v>
      </c>
      <c r="K3483" t="n">
        <v>3</v>
      </c>
      <c r="L3483" t="n">
        <v>34787</v>
      </c>
      <c r="M3483" t="n">
        <v>47000</v>
      </c>
      <c r="N3483" t="n">
        <v>33</v>
      </c>
      <c r="O3483" t="n">
        <v>0.33</v>
      </c>
      <c r="P3483" t="n">
        <v>1</v>
      </c>
      <c r="Q3483" t="n">
        <v>0.05</v>
      </c>
      <c r="R3483" t="n">
        <v>1</v>
      </c>
      <c r="S3483" t="n">
        <v>3722.4</v>
      </c>
      <c r="T3483" t="n">
        <v>13</v>
      </c>
      <c r="U3483" t="n">
        <v>14</v>
      </c>
      <c r="V3483" t="n">
        <v>30</v>
      </c>
      <c r="W3483" t="n">
        <v>3</v>
      </c>
      <c r="X3483" t="n">
        <v>25.25252525252525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9770</v>
      </c>
      <c r="AG3483" t="n">
        <v>2206</v>
      </c>
      <c r="AH3483" t="inlineStr">
        <is>
          <t>PT. ENHA PUTRA (ONLINE CASH)</t>
        </is>
      </c>
      <c r="AI3483" t="n">
        <v>363</v>
      </c>
      <c r="AJ3483" t="inlineStr">
        <is>
          <t>PONDS</t>
        </is>
      </c>
      <c r="AK3483" t="n">
        <v>9</v>
      </c>
      <c r="AL3483" t="inlineStr">
        <is>
          <t>Miss Glam Jambi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PONDS</t>
        </is>
      </c>
      <c r="B3484" s="2">
        <f>"8851932406789"</f>
        <v/>
      </c>
      <c r="C3484" t="inlineStr">
        <is>
          <t>PONDS Age Miracle Ultimate Youth Serum Hexyl-retinol 7Gr</t>
        </is>
      </c>
      <c r="D3484" t="inlineStr">
        <is>
          <t>Miss Glam Jambi</t>
        </is>
      </c>
      <c r="E3484" t="n">
        <v>10</v>
      </c>
      <c r="F3484" t="n">
        <v>0.1287</v>
      </c>
      <c r="G3484" t="n">
        <v>0.99</v>
      </c>
      <c r="H3484" t="n">
        <v>3</v>
      </c>
      <c r="I3484" t="n">
        <v>19</v>
      </c>
      <c r="J3484" t="n">
        <v>3</v>
      </c>
      <c r="K3484" t="n">
        <v>0</v>
      </c>
      <c r="L3484" t="n">
        <v>18652</v>
      </c>
      <c r="M3484" t="n">
        <v>23500</v>
      </c>
      <c r="N3484" t="n">
        <v>33</v>
      </c>
      <c r="O3484" t="n">
        <v>0.33</v>
      </c>
      <c r="P3484" t="n">
        <v>1</v>
      </c>
      <c r="Q3484" t="n">
        <v>0.02</v>
      </c>
      <c r="R3484" t="n">
        <v>1</v>
      </c>
      <c r="S3484" t="n">
        <v>3024.45</v>
      </c>
      <c r="T3484" t="n">
        <v>19</v>
      </c>
      <c r="U3484" t="n">
        <v>20</v>
      </c>
      <c r="V3484" t="n">
        <v>30</v>
      </c>
      <c r="W3484" t="n">
        <v>4</v>
      </c>
      <c r="X3484" t="n">
        <v>77.7000777000777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9770</v>
      </c>
      <c r="AG3484" t="n">
        <v>2206</v>
      </c>
      <c r="AH3484" t="inlineStr">
        <is>
          <t>PT. ENHA PUTRA (ONLINE CASH)</t>
        </is>
      </c>
      <c r="AI3484" t="n">
        <v>363</v>
      </c>
      <c r="AJ3484" t="inlineStr">
        <is>
          <t>PONDS</t>
        </is>
      </c>
      <c r="AK3484" t="n">
        <v>9</v>
      </c>
      <c r="AL3484" t="inlineStr">
        <is>
          <t>Miss Glam Jambi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PONDS</t>
        </is>
      </c>
      <c r="B3485" s="2">
        <f>"8999999559441"</f>
        <v/>
      </c>
      <c r="C3485" t="inlineStr">
        <is>
          <t>PONDS Age Miracle Ultimate Youthful Facial Foam 100gr</t>
        </is>
      </c>
      <c r="D3485" t="inlineStr">
        <is>
          <t>Miss Glam Jambi</t>
        </is>
      </c>
      <c r="E3485" t="n">
        <v>4</v>
      </c>
      <c r="F3485" t="n">
        <v>0.066</v>
      </c>
      <c r="G3485" t="n">
        <v>0.66</v>
      </c>
      <c r="H3485" t="n">
        <v>3</v>
      </c>
      <c r="I3485" t="n">
        <v>19</v>
      </c>
      <c r="J3485" t="n">
        <v>3</v>
      </c>
      <c r="K3485" t="n">
        <v>0</v>
      </c>
      <c r="L3485" t="n">
        <v>56750</v>
      </c>
      <c r="M3485" t="n">
        <v>71000</v>
      </c>
      <c r="N3485" t="n">
        <v>33</v>
      </c>
      <c r="O3485" t="n">
        <v>0.33</v>
      </c>
      <c r="P3485" t="n">
        <v>1</v>
      </c>
      <c r="Q3485" t="n">
        <v>0.02</v>
      </c>
      <c r="R3485" t="n">
        <v>1</v>
      </c>
      <c r="S3485" t="n">
        <v>4686</v>
      </c>
      <c r="T3485" t="n">
        <v>13</v>
      </c>
      <c r="U3485" t="n">
        <v>14</v>
      </c>
      <c r="V3485" t="n">
        <v>30</v>
      </c>
      <c r="W3485" t="n">
        <v>2</v>
      </c>
      <c r="X3485" t="n">
        <v>60.6060606060606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9770</v>
      </c>
      <c r="AG3485" t="n">
        <v>2206</v>
      </c>
      <c r="AH3485" t="inlineStr">
        <is>
          <t>PT. ENHA PUTRA (ONLINE CASH)</t>
        </is>
      </c>
      <c r="AI3485" t="n">
        <v>363</v>
      </c>
      <c r="AJ3485" t="inlineStr">
        <is>
          <t>PONDS</t>
        </is>
      </c>
      <c r="AK3485" t="n">
        <v>9</v>
      </c>
      <c r="AL3485" t="inlineStr">
        <is>
          <t>Miss Glam Jambi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PONDS</t>
        </is>
      </c>
      <c r="B3486" s="2">
        <f>"4800888211620"</f>
        <v/>
      </c>
      <c r="C3486" t="inlineStr">
        <is>
          <t>PONDS Age Miracle Whip 20gr</t>
        </is>
      </c>
      <c r="D3486" t="inlineStr">
        <is>
          <t>Miss Glam Jambi</t>
        </is>
      </c>
      <c r="E3486" t="n">
        <v>1</v>
      </c>
      <c r="F3486" t="n">
        <v>0.0396</v>
      </c>
      <c r="G3486" t="n">
        <v>0.66</v>
      </c>
      <c r="H3486" t="n">
        <v>3</v>
      </c>
      <c r="I3486" t="n">
        <v>19</v>
      </c>
      <c r="J3486" t="n">
        <v>3</v>
      </c>
      <c r="K3486" t="n">
        <v>3</v>
      </c>
      <c r="L3486" t="n">
        <v>67447</v>
      </c>
      <c r="M3486" t="n">
        <v>81000</v>
      </c>
      <c r="N3486" t="n">
        <v>33</v>
      </c>
      <c r="O3486" t="n">
        <v>0.33</v>
      </c>
      <c r="P3486" t="n">
        <v>1</v>
      </c>
      <c r="Q3486" t="n">
        <v>0.02</v>
      </c>
      <c r="R3486" t="n">
        <v>1</v>
      </c>
      <c r="S3486" t="n">
        <v>3207.6</v>
      </c>
      <c r="T3486" t="n">
        <v>13</v>
      </c>
      <c r="U3486" t="n">
        <v>14</v>
      </c>
      <c r="V3486" t="n">
        <v>30</v>
      </c>
      <c r="W3486" t="n">
        <v>2</v>
      </c>
      <c r="X3486" t="n">
        <v>25.25252525252525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9770</v>
      </c>
      <c r="AG3486" t="n">
        <v>2206</v>
      </c>
      <c r="AH3486" t="inlineStr">
        <is>
          <t>PT. ENHA PUTRA (ONLINE CASH)</t>
        </is>
      </c>
      <c r="AI3486" t="n">
        <v>363</v>
      </c>
      <c r="AJ3486" t="inlineStr">
        <is>
          <t>PONDS</t>
        </is>
      </c>
      <c r="AK3486" t="n">
        <v>9</v>
      </c>
      <c r="AL3486" t="inlineStr">
        <is>
          <t>Miss Glam Jambi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PONDS</t>
        </is>
      </c>
      <c r="B3487" s="2">
        <f>"8999999053048"</f>
        <v/>
      </c>
      <c r="C3487" t="inlineStr">
        <is>
          <t>PONDS Bright Miracle Facial Foam Oil 100g</t>
        </is>
      </c>
      <c r="D3487" t="inlineStr">
        <is>
          <t>Miss Glam Jambi</t>
        </is>
      </c>
      <c r="E3487" t="n">
        <v>5</v>
      </c>
      <c r="F3487" t="n">
        <v>0.0825</v>
      </c>
      <c r="G3487" t="n">
        <v>0.66</v>
      </c>
      <c r="H3487" t="n">
        <v>3</v>
      </c>
      <c r="I3487" t="n">
        <v>19</v>
      </c>
      <c r="J3487" t="n">
        <v>3</v>
      </c>
      <c r="K3487" t="n">
        <v>0</v>
      </c>
      <c r="L3487" t="n">
        <v>32179</v>
      </c>
      <c r="M3487" t="n">
        <v>39000</v>
      </c>
      <c r="N3487" t="n">
        <v>33</v>
      </c>
      <c r="O3487" t="n">
        <v>0.33</v>
      </c>
      <c r="P3487" t="n">
        <v>1</v>
      </c>
      <c r="Q3487" t="n">
        <v>0.02</v>
      </c>
      <c r="R3487" t="n">
        <v>1</v>
      </c>
      <c r="S3487" t="n">
        <v>3217.5</v>
      </c>
      <c r="T3487" t="n">
        <v>13</v>
      </c>
      <c r="U3487" t="n">
        <v>14</v>
      </c>
      <c r="V3487" t="n">
        <v>30</v>
      </c>
      <c r="W3487" t="n">
        <v>3</v>
      </c>
      <c r="X3487" t="n">
        <v>60.6060606060606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9770</v>
      </c>
      <c r="AG3487" t="n">
        <v>2206</v>
      </c>
      <c r="AH3487" t="inlineStr">
        <is>
          <t>PT. ENHA PUTRA (ONLINE CASH)</t>
        </is>
      </c>
      <c r="AI3487" t="n">
        <v>363</v>
      </c>
      <c r="AJ3487" t="inlineStr">
        <is>
          <t>PONDS</t>
        </is>
      </c>
      <c r="AK3487" t="n">
        <v>9</v>
      </c>
      <c r="AL3487" t="inlineStr">
        <is>
          <t>Miss Glam Jambi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PONDS</t>
        </is>
      </c>
      <c r="B3488" s="2">
        <f>"8999999562199"</f>
        <v/>
      </c>
      <c r="C3488" t="inlineStr">
        <is>
          <t>PONDS Bright Miracle Oil Control Whip Foam 100ml</t>
        </is>
      </c>
      <c r="D3488" t="inlineStr">
        <is>
          <t>Miss Glam Jambi</t>
        </is>
      </c>
      <c r="E3488" t="n">
        <v>1</v>
      </c>
      <c r="F3488" t="n">
        <v>0.006600000000000001</v>
      </c>
      <c r="G3488" t="n">
        <v>0.33</v>
      </c>
      <c r="H3488" t="n">
        <v>3</v>
      </c>
      <c r="I3488" t="n">
        <v>19</v>
      </c>
      <c r="J3488" t="n">
        <v>3</v>
      </c>
      <c r="K3488" t="n">
        <v>0</v>
      </c>
      <c r="L3488" t="n">
        <v>35719</v>
      </c>
      <c r="M3488" t="n">
        <v>40000</v>
      </c>
      <c r="N3488" t="n">
        <v>33</v>
      </c>
      <c r="O3488" t="n">
        <v>0.33</v>
      </c>
      <c r="P3488" t="n">
        <v>1</v>
      </c>
      <c r="Q3488" t="n">
        <v>0.07000000000000001</v>
      </c>
      <c r="R3488" t="n">
        <v>1</v>
      </c>
      <c r="S3488" t="n">
        <v>264.0000000000001</v>
      </c>
      <c r="T3488" t="n">
        <v>7</v>
      </c>
      <c r="U3488" t="n">
        <v>8</v>
      </c>
      <c r="V3488" t="n">
        <v>30</v>
      </c>
      <c r="W3488" t="n">
        <v>1</v>
      </c>
      <c r="X3488" t="n">
        <v>151.5151515151515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9770</v>
      </c>
      <c r="AG3488" t="n">
        <v>2206</v>
      </c>
      <c r="AH3488" t="inlineStr">
        <is>
          <t>PT. ENHA PUTRA (ONLINE CASH)</t>
        </is>
      </c>
      <c r="AI3488" t="n">
        <v>363</v>
      </c>
      <c r="AJ3488" t="inlineStr">
        <is>
          <t>PONDS</t>
        </is>
      </c>
      <c r="AK3488" t="n">
        <v>9</v>
      </c>
      <c r="AL3488" t="inlineStr">
        <is>
          <t>Miss Glam Jambi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PONDS</t>
        </is>
      </c>
      <c r="B3489" s="2">
        <f>"8999999056841"</f>
        <v/>
      </c>
      <c r="C3489" t="inlineStr">
        <is>
          <t>PONDS Bright Miracle Ultimate Clarity Cream 20gr</t>
        </is>
      </c>
      <c r="D3489" t="inlineStr">
        <is>
          <t>Miss Glam Jambi</t>
        </is>
      </c>
      <c r="E3489" t="n">
        <v>1</v>
      </c>
      <c r="F3489" t="n">
        <v>0.08</v>
      </c>
      <c r="G3489" t="n">
        <v>1</v>
      </c>
      <c r="H3489" t="n">
        <v>3</v>
      </c>
      <c r="I3489" t="n">
        <v>19</v>
      </c>
      <c r="J3489" t="n">
        <v>3</v>
      </c>
      <c r="K3489" t="n">
        <v>3</v>
      </c>
      <c r="L3489" t="n">
        <v>26342</v>
      </c>
      <c r="M3489" t="n">
        <v>33500</v>
      </c>
      <c r="N3489" t="n">
        <v>33</v>
      </c>
      <c r="O3489" t="n">
        <v>0.33</v>
      </c>
      <c r="P3489" t="n">
        <v>0</v>
      </c>
      <c r="Q3489" t="n">
        <v>0.08</v>
      </c>
      <c r="R3489" t="n">
        <v>1</v>
      </c>
      <c r="S3489" t="n">
        <v>2680</v>
      </c>
      <c r="T3489" t="n">
        <v>19</v>
      </c>
      <c r="U3489" t="n">
        <v>20</v>
      </c>
      <c r="V3489" t="n">
        <v>30</v>
      </c>
      <c r="W3489" t="n">
        <v>3</v>
      </c>
      <c r="X3489" t="n">
        <v>12.5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9770</v>
      </c>
      <c r="AG3489" t="n">
        <v>2206</v>
      </c>
      <c r="AH3489" t="inlineStr">
        <is>
          <t>PT. ENHA PUTRA (ONLINE CASH)</t>
        </is>
      </c>
      <c r="AI3489" t="n">
        <v>363</v>
      </c>
      <c r="AJ3489" t="inlineStr">
        <is>
          <t>PONDS</t>
        </is>
      </c>
      <c r="AK3489" t="n">
        <v>9</v>
      </c>
      <c r="AL3489" t="inlineStr">
        <is>
          <t>Miss Glam Jambi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PONDS</t>
        </is>
      </c>
      <c r="B3490" s="2">
        <f>"8999999056926"</f>
        <v/>
      </c>
      <c r="C3490" t="inlineStr">
        <is>
          <t>PONDS Bright Miracle Ultimate Clarity Cream For Oily Skin 40gr</t>
        </is>
      </c>
      <c r="D3490" t="inlineStr">
        <is>
          <t>Miss Glam Jambi</t>
        </is>
      </c>
      <c r="E3490" t="n">
        <v>6</v>
      </c>
      <c r="F3490" t="n">
        <v>0.02</v>
      </c>
      <c r="G3490" t="n">
        <v>1</v>
      </c>
      <c r="H3490" t="n">
        <v>3</v>
      </c>
      <c r="I3490" t="n">
        <v>19</v>
      </c>
      <c r="J3490" t="n">
        <v>3</v>
      </c>
      <c r="K3490" t="n">
        <v>0</v>
      </c>
      <c r="L3490" t="n">
        <v>46734</v>
      </c>
      <c r="M3490" t="n">
        <v>55000</v>
      </c>
      <c r="N3490" t="n">
        <v>33</v>
      </c>
      <c r="O3490" t="n">
        <v>0.33</v>
      </c>
      <c r="P3490" t="n">
        <v>0</v>
      </c>
      <c r="Q3490" t="n">
        <v>0.02</v>
      </c>
      <c r="R3490" t="n">
        <v>1</v>
      </c>
      <c r="S3490" t="n">
        <v>1100</v>
      </c>
      <c r="T3490" t="n">
        <v>19</v>
      </c>
      <c r="U3490" t="n">
        <v>20</v>
      </c>
      <c r="V3490" t="n">
        <v>30</v>
      </c>
      <c r="W3490" t="n">
        <v>1</v>
      </c>
      <c r="X3490" t="n">
        <v>300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9770</v>
      </c>
      <c r="AG3490" t="n">
        <v>2206</v>
      </c>
      <c r="AH3490" t="inlineStr">
        <is>
          <t>PT. ENHA PUTRA (ONLINE CASH)</t>
        </is>
      </c>
      <c r="AI3490" t="n">
        <v>363</v>
      </c>
      <c r="AJ3490" t="inlineStr">
        <is>
          <t>PONDS</t>
        </is>
      </c>
      <c r="AK3490" t="n">
        <v>9</v>
      </c>
      <c r="AL3490" t="inlineStr">
        <is>
          <t>Miss Glam Jambi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PONDS</t>
        </is>
      </c>
      <c r="B3491" s="2">
        <f>"8999999053031"</f>
        <v/>
      </c>
      <c r="C3491" t="inlineStr">
        <is>
          <t>PONDS Bright Miracle Ultimate Facial Foam 100gr</t>
        </is>
      </c>
      <c r="D3491" t="inlineStr">
        <is>
          <t>Miss Glam Jambi</t>
        </is>
      </c>
      <c r="E3491" t="n">
        <v>3</v>
      </c>
      <c r="F3491" t="n">
        <v>0.297</v>
      </c>
      <c r="G3491" t="n">
        <v>1.32</v>
      </c>
      <c r="H3491" t="n">
        <v>3</v>
      </c>
      <c r="I3491" t="n">
        <v>19</v>
      </c>
      <c r="J3491" t="n">
        <v>3</v>
      </c>
      <c r="K3491" t="n">
        <v>4</v>
      </c>
      <c r="L3491" t="n">
        <v>30853</v>
      </c>
      <c r="M3491" t="n">
        <v>35000</v>
      </c>
      <c r="N3491" t="n">
        <v>33</v>
      </c>
      <c r="O3491" t="n">
        <v>0.33</v>
      </c>
      <c r="P3491" t="n">
        <v>1</v>
      </c>
      <c r="Q3491" t="n">
        <v>0.1</v>
      </c>
      <c r="R3491" t="n">
        <v>2</v>
      </c>
      <c r="S3491" t="n">
        <v>10395</v>
      </c>
      <c r="T3491" t="n">
        <v>25</v>
      </c>
      <c r="U3491" t="n">
        <v>26</v>
      </c>
      <c r="V3491" t="n">
        <v>30</v>
      </c>
      <c r="W3491" t="n">
        <v>9</v>
      </c>
      <c r="X3491" t="n">
        <v>10.1010101010101</v>
      </c>
      <c r="Y3491" t="n">
        <v>1</v>
      </c>
      <c r="Z3491" t="n">
        <v>2</v>
      </c>
      <c r="AA3491" t="n">
        <v>2</v>
      </c>
      <c r="AB3491" t="n">
        <v>0</v>
      </c>
      <c r="AC3491" t="n">
        <v>0</v>
      </c>
      <c r="AD3491" t="n">
        <v>61706</v>
      </c>
      <c r="AE3491" t="n">
        <v>0</v>
      </c>
      <c r="AF3491" t="n">
        <v>9770</v>
      </c>
      <c r="AG3491" t="n">
        <v>2206</v>
      </c>
      <c r="AH3491" t="inlineStr">
        <is>
          <t>PT. ENHA PUTRA (ONLINE CASH)</t>
        </is>
      </c>
      <c r="AI3491" t="n">
        <v>363</v>
      </c>
      <c r="AJ3491" t="inlineStr">
        <is>
          <t>PONDS</t>
        </is>
      </c>
      <c r="AK3491" t="n">
        <v>9</v>
      </c>
      <c r="AL3491" t="inlineStr">
        <is>
          <t>Miss Glam Jambi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PONDS</t>
        </is>
      </c>
      <c r="B3492" s="2">
        <f>"8999999600419"</f>
        <v/>
      </c>
      <c r="C3492" t="inlineStr">
        <is>
          <t>PONDS Bright Miracle Ultimate Facial Foam 200gr</t>
        </is>
      </c>
      <c r="D3492" t="inlineStr">
        <is>
          <t>Miss Glam Jambi</t>
        </is>
      </c>
      <c r="E3492" t="n">
        <v>7</v>
      </c>
      <c r="F3492" t="n">
        <v>0.05</v>
      </c>
      <c r="G3492" t="n">
        <v>1</v>
      </c>
      <c r="H3492" t="n">
        <v>3</v>
      </c>
      <c r="I3492" t="n">
        <v>19</v>
      </c>
      <c r="J3492" t="n">
        <v>3</v>
      </c>
      <c r="K3492" t="n">
        <v>0</v>
      </c>
      <c r="L3492" t="n">
        <v>52304</v>
      </c>
      <c r="M3492" t="n">
        <v>61000</v>
      </c>
      <c r="N3492" t="n">
        <v>33</v>
      </c>
      <c r="O3492" t="n">
        <v>0.33</v>
      </c>
      <c r="P3492" t="n">
        <v>0</v>
      </c>
      <c r="Q3492" t="n">
        <v>0.05</v>
      </c>
      <c r="R3492" t="n">
        <v>1</v>
      </c>
      <c r="S3492" t="n">
        <v>3050</v>
      </c>
      <c r="T3492" t="n">
        <v>19</v>
      </c>
      <c r="U3492" t="n">
        <v>20</v>
      </c>
      <c r="V3492" t="n">
        <v>30</v>
      </c>
      <c r="W3492" t="n">
        <v>2</v>
      </c>
      <c r="X3492" t="n">
        <v>140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9770</v>
      </c>
      <c r="AG3492" t="n">
        <v>2206</v>
      </c>
      <c r="AH3492" t="inlineStr">
        <is>
          <t>PT. ENHA PUTRA (ONLINE CASH)</t>
        </is>
      </c>
      <c r="AI3492" t="n">
        <v>363</v>
      </c>
      <c r="AJ3492" t="inlineStr">
        <is>
          <t>PONDS</t>
        </is>
      </c>
      <c r="AK3492" t="n">
        <v>9</v>
      </c>
      <c r="AL3492" t="inlineStr">
        <is>
          <t>Miss Glam Jambi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PONDS</t>
        </is>
      </c>
      <c r="B3493" s="2">
        <f>"8999999052959"</f>
        <v/>
      </c>
      <c r="C3493" t="inlineStr">
        <is>
          <t>PONDS Bright Miracle Ultimate Facial Foam 50gr</t>
        </is>
      </c>
      <c r="D3493" t="inlineStr">
        <is>
          <t>Miss Glam Jambi</t>
        </is>
      </c>
      <c r="E3493" t="n">
        <v>4</v>
      </c>
      <c r="F3493" t="n">
        <v>0.1947</v>
      </c>
      <c r="G3493" t="n">
        <v>0.99</v>
      </c>
      <c r="H3493" t="n">
        <v>3</v>
      </c>
      <c r="I3493" t="n">
        <v>19</v>
      </c>
      <c r="J3493" t="n">
        <v>3</v>
      </c>
      <c r="K3493" t="n">
        <v>3</v>
      </c>
      <c r="L3493" t="n">
        <v>21922</v>
      </c>
      <c r="M3493" t="n">
        <v>34000</v>
      </c>
      <c r="N3493" t="n">
        <v>33</v>
      </c>
      <c r="O3493" t="n">
        <v>0.33</v>
      </c>
      <c r="P3493" t="n">
        <v>1</v>
      </c>
      <c r="Q3493" t="n">
        <v>0.08</v>
      </c>
      <c r="R3493" t="n">
        <v>1</v>
      </c>
      <c r="S3493" t="n">
        <v>6619.8</v>
      </c>
      <c r="T3493" t="n">
        <v>19</v>
      </c>
      <c r="U3493" t="n">
        <v>20</v>
      </c>
      <c r="V3493" t="n">
        <v>30</v>
      </c>
      <c r="W3493" t="n">
        <v>6</v>
      </c>
      <c r="X3493" t="n">
        <v>20.54442732408834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9770</v>
      </c>
      <c r="AG3493" t="n">
        <v>2206</v>
      </c>
      <c r="AH3493" t="inlineStr">
        <is>
          <t>PT. ENHA PUTRA (ONLINE CASH)</t>
        </is>
      </c>
      <c r="AI3493" t="n">
        <v>363</v>
      </c>
      <c r="AJ3493" t="inlineStr">
        <is>
          <t>PONDS</t>
        </is>
      </c>
      <c r="AK3493" t="n">
        <v>9</v>
      </c>
      <c r="AL3493" t="inlineStr">
        <is>
          <t>Miss Glam Jambi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PONDS</t>
        </is>
      </c>
      <c r="B3494" s="2">
        <f>"10300723625"</f>
        <v/>
      </c>
      <c r="C3494" t="inlineStr">
        <is>
          <t>PONDS Bright Miracle Ultimate Light Biome Gel 20gr</t>
        </is>
      </c>
      <c r="D3494" t="inlineStr">
        <is>
          <t>Miss Glam Jambi</t>
        </is>
      </c>
      <c r="E3494" t="n">
        <v>8</v>
      </c>
      <c r="F3494" t="n">
        <v>0.0396</v>
      </c>
      <c r="G3494" t="n">
        <v>0.66</v>
      </c>
      <c r="H3494" t="n">
        <v>3</v>
      </c>
      <c r="I3494" t="n">
        <v>19</v>
      </c>
      <c r="J3494" t="n">
        <v>1</v>
      </c>
      <c r="K3494" t="n">
        <v>0</v>
      </c>
      <c r="L3494" t="n">
        <v>44370</v>
      </c>
      <c r="M3494" t="n">
        <v>52500</v>
      </c>
      <c r="N3494" t="n">
        <v>33</v>
      </c>
      <c r="O3494" t="n">
        <v>0.33</v>
      </c>
      <c r="P3494" t="n">
        <v>1</v>
      </c>
      <c r="Q3494" t="n">
        <v>0.07000000000000001</v>
      </c>
      <c r="R3494" t="n">
        <v>1</v>
      </c>
      <c r="S3494" t="n">
        <v>2079</v>
      </c>
      <c r="T3494" t="n">
        <v>13</v>
      </c>
      <c r="U3494" t="n">
        <v>14</v>
      </c>
      <c r="V3494" t="n">
        <v>30</v>
      </c>
      <c r="W3494" t="n">
        <v>2</v>
      </c>
      <c r="X3494" t="n">
        <v>202.020202020202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9770</v>
      </c>
      <c r="AG3494" t="n">
        <v>2206</v>
      </c>
      <c r="AH3494" t="inlineStr">
        <is>
          <t>PT. ENHA PUTRA (ONLINE CASH)</t>
        </is>
      </c>
      <c r="AI3494" t="n">
        <v>363</v>
      </c>
      <c r="AJ3494" t="inlineStr">
        <is>
          <t>PONDS</t>
        </is>
      </c>
      <c r="AK3494" t="n">
        <v>9</v>
      </c>
      <c r="AL3494" t="inlineStr">
        <is>
          <t>Miss Glam Jambi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PONDS</t>
        </is>
      </c>
      <c r="B3495" s="2">
        <f>"8999999053062"</f>
        <v/>
      </c>
      <c r="C3495" t="inlineStr">
        <is>
          <t>PONDS Bright Miracle Ultimate Pore Clear Ultimate Scrub 100gr</t>
        </is>
      </c>
      <c r="D3495" t="inlineStr">
        <is>
          <t>Miss Glam Jambi</t>
        </is>
      </c>
      <c r="E3495" t="n">
        <v>2</v>
      </c>
      <c r="F3495" t="n">
        <v>0.0462</v>
      </c>
      <c r="G3495" t="n">
        <v>0.33</v>
      </c>
      <c r="H3495" t="n">
        <v>3</v>
      </c>
      <c r="I3495" t="n">
        <v>19</v>
      </c>
      <c r="J3495" t="n">
        <v>3</v>
      </c>
      <c r="K3495" t="n">
        <v>0</v>
      </c>
      <c r="L3495" t="n">
        <v>35872</v>
      </c>
      <c r="M3495" t="n">
        <v>41000</v>
      </c>
      <c r="N3495" t="n">
        <v>33</v>
      </c>
      <c r="O3495" t="n">
        <v>0.33</v>
      </c>
      <c r="P3495" t="n">
        <v>1</v>
      </c>
      <c r="Q3495" t="n">
        <v>0.03</v>
      </c>
      <c r="R3495" t="n">
        <v>1</v>
      </c>
      <c r="S3495" t="n">
        <v>1894.2</v>
      </c>
      <c r="T3495" t="n">
        <v>7</v>
      </c>
      <c r="U3495" t="n">
        <v>8</v>
      </c>
      <c r="V3495" t="n">
        <v>30</v>
      </c>
      <c r="W3495" t="n">
        <v>2</v>
      </c>
      <c r="X3495" t="n">
        <v>43.29004329004329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9770</v>
      </c>
      <c r="AG3495" t="n">
        <v>2206</v>
      </c>
      <c r="AH3495" t="inlineStr">
        <is>
          <t>PT. ENHA PUTRA (ONLINE CASH)</t>
        </is>
      </c>
      <c r="AI3495" t="n">
        <v>363</v>
      </c>
      <c r="AJ3495" t="inlineStr">
        <is>
          <t>PONDS</t>
        </is>
      </c>
      <c r="AK3495" t="n">
        <v>9</v>
      </c>
      <c r="AL3495" t="inlineStr">
        <is>
          <t>Miss Glam Jambi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PONDS</t>
        </is>
      </c>
      <c r="B3496" s="2">
        <f>"101001110908"</f>
        <v/>
      </c>
      <c r="C3496" t="inlineStr">
        <is>
          <t>PONDS Bright Miracle Ultra Light Gel Cleanser 90gr</t>
        </is>
      </c>
      <c r="D3496" t="inlineStr">
        <is>
          <t>Miss Glam Jambi</t>
        </is>
      </c>
      <c r="E3496" t="n">
        <v>5</v>
      </c>
      <c r="F3496" t="n">
        <v>0.0231</v>
      </c>
      <c r="G3496" t="n">
        <v>0.33</v>
      </c>
      <c r="H3496" t="n">
        <v>3</v>
      </c>
      <c r="I3496" t="n">
        <v>19</v>
      </c>
      <c r="J3496" t="n">
        <v>1</v>
      </c>
      <c r="K3496" t="n">
        <v>0</v>
      </c>
      <c r="L3496" t="n">
        <v>32538</v>
      </c>
      <c r="M3496" t="n">
        <v>38500</v>
      </c>
      <c r="N3496" t="n">
        <v>33</v>
      </c>
      <c r="O3496" t="n">
        <v>0.33</v>
      </c>
      <c r="P3496" t="n">
        <v>1</v>
      </c>
      <c r="Q3496" t="n">
        <v>0.07000000000000001</v>
      </c>
      <c r="R3496" t="n">
        <v>1</v>
      </c>
      <c r="S3496" t="n">
        <v>889.3500000000001</v>
      </c>
      <c r="T3496" t="n">
        <v>7</v>
      </c>
      <c r="U3496" t="n">
        <v>8</v>
      </c>
      <c r="V3496" t="n">
        <v>30</v>
      </c>
      <c r="W3496" t="n">
        <v>1</v>
      </c>
      <c r="X3496" t="n">
        <v>216.4502164502164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9770</v>
      </c>
      <c r="AG3496" t="n">
        <v>2206</v>
      </c>
      <c r="AH3496" t="inlineStr">
        <is>
          <t>PT. ENHA PUTRA (ONLINE CASH)</t>
        </is>
      </c>
      <c r="AI3496" t="n">
        <v>363</v>
      </c>
      <c r="AJ3496" t="inlineStr">
        <is>
          <t>PONDS</t>
        </is>
      </c>
      <c r="AK3496" t="n">
        <v>9</v>
      </c>
      <c r="AL3496" t="inlineStr">
        <is>
          <t>Miss Glam Jambi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PONDS</t>
        </is>
      </c>
      <c r="B3497" s="2">
        <f>"8999999562182"</f>
        <v/>
      </c>
      <c r="C3497" t="inlineStr">
        <is>
          <t>PONDS Bright Miracle Whip Foam 100ml</t>
        </is>
      </c>
      <c r="D3497" t="inlineStr">
        <is>
          <t>Miss Glam Jambi</t>
        </is>
      </c>
      <c r="E3497" t="n">
        <v>2</v>
      </c>
      <c r="F3497" t="n">
        <v>0.0462</v>
      </c>
      <c r="G3497" t="n">
        <v>0.33</v>
      </c>
      <c r="H3497" t="n">
        <v>3</v>
      </c>
      <c r="I3497" t="n">
        <v>19</v>
      </c>
      <c r="J3497" t="n">
        <v>3</v>
      </c>
      <c r="K3497" t="n">
        <v>0</v>
      </c>
      <c r="L3497" t="n">
        <v>35954</v>
      </c>
      <c r="M3497" t="n">
        <v>41000</v>
      </c>
      <c r="N3497" t="n">
        <v>33</v>
      </c>
      <c r="O3497" t="n">
        <v>0.33</v>
      </c>
      <c r="P3497" t="n">
        <v>1</v>
      </c>
      <c r="Q3497" t="n">
        <v>0.05</v>
      </c>
      <c r="R3497" t="n">
        <v>1</v>
      </c>
      <c r="S3497" t="n">
        <v>1894.2</v>
      </c>
      <c r="T3497" t="n">
        <v>7</v>
      </c>
      <c r="U3497" t="n">
        <v>8</v>
      </c>
      <c r="V3497" t="n">
        <v>30</v>
      </c>
      <c r="W3497" t="n">
        <v>2</v>
      </c>
      <c r="X3497" t="n">
        <v>43.29004329004329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9770</v>
      </c>
      <c r="AG3497" t="n">
        <v>2206</v>
      </c>
      <c r="AH3497" t="inlineStr">
        <is>
          <t>PT. ENHA PUTRA (ONLINE CASH)</t>
        </is>
      </c>
      <c r="AI3497" t="n">
        <v>363</v>
      </c>
      <c r="AJ3497" t="inlineStr">
        <is>
          <t>PONDS</t>
        </is>
      </c>
      <c r="AK3497" t="n">
        <v>9</v>
      </c>
      <c r="AL3497" t="inlineStr">
        <is>
          <t>Miss Glam Jambi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PONDS</t>
        </is>
      </c>
      <c r="B3498" s="2">
        <f>"8999999600426"</f>
        <v/>
      </c>
      <c r="C3498" t="inlineStr">
        <is>
          <t>PONDS Bright Miracleb Ultimate Oil Control Activated Charcoal Facial Foam 200gr</t>
        </is>
      </c>
      <c r="D3498" t="inlineStr">
        <is>
          <t>Miss Glam Jambi</t>
        </is>
      </c>
      <c r="E3498" t="n">
        <v>1</v>
      </c>
      <c r="F3498" t="n">
        <v>0.009900000000000001</v>
      </c>
      <c r="G3498" t="n">
        <v>0.33</v>
      </c>
      <c r="H3498" t="n">
        <v>3</v>
      </c>
      <c r="I3498" t="n">
        <v>19</v>
      </c>
      <c r="J3498" t="n">
        <v>3</v>
      </c>
      <c r="K3498" t="n">
        <v>0</v>
      </c>
      <c r="L3498" t="n">
        <v>54353</v>
      </c>
      <c r="M3498" t="n">
        <v>58000</v>
      </c>
      <c r="N3498" t="n">
        <v>33</v>
      </c>
      <c r="O3498" t="n">
        <v>0.33</v>
      </c>
      <c r="P3498" t="n">
        <v>1</v>
      </c>
      <c r="Q3498" t="n">
        <v>0.02</v>
      </c>
      <c r="R3498" t="n">
        <v>1</v>
      </c>
      <c r="S3498" t="n">
        <v>574.2</v>
      </c>
      <c r="T3498" t="n">
        <v>7</v>
      </c>
      <c r="U3498" t="n">
        <v>8</v>
      </c>
      <c r="V3498" t="n">
        <v>30</v>
      </c>
      <c r="W3498" t="n">
        <v>1</v>
      </c>
      <c r="X3498" t="n">
        <v>101.010101010101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9770</v>
      </c>
      <c r="AG3498" t="n">
        <v>2206</v>
      </c>
      <c r="AH3498" t="inlineStr">
        <is>
          <t>PT. ENHA PUTRA (ONLINE CASH)</t>
        </is>
      </c>
      <c r="AI3498" t="n">
        <v>363</v>
      </c>
      <c r="AJ3498" t="inlineStr">
        <is>
          <t>PONDS</t>
        </is>
      </c>
      <c r="AK3498" t="n">
        <v>9</v>
      </c>
      <c r="AL3498" t="inlineStr">
        <is>
          <t>Miss Glam Jambi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PONDS</t>
        </is>
      </c>
      <c r="B3499" s="2">
        <f>"8999999719760"</f>
        <v/>
      </c>
      <c r="C3499" t="inlineStr">
        <is>
          <t>PONDS Clear Solution Shake And Clean 100ml</t>
        </is>
      </c>
      <c r="D3499" t="inlineStr">
        <is>
          <t>Miss Glam Jambi</t>
        </is>
      </c>
      <c r="E3499" t="n">
        <v>1</v>
      </c>
      <c r="F3499" t="n">
        <v>0.0231</v>
      </c>
      <c r="G3499" t="n">
        <v>0.33</v>
      </c>
      <c r="H3499" t="n">
        <v>3</v>
      </c>
      <c r="I3499" t="n">
        <v>19</v>
      </c>
      <c r="J3499" t="n">
        <v>3</v>
      </c>
      <c r="K3499" t="n">
        <v>0</v>
      </c>
      <c r="L3499" t="n">
        <v>20986</v>
      </c>
      <c r="M3499" t="n">
        <v>31000</v>
      </c>
      <c r="N3499" t="n">
        <v>33</v>
      </c>
      <c r="O3499" t="n">
        <v>0.33</v>
      </c>
      <c r="P3499" t="n">
        <v>1</v>
      </c>
      <c r="Q3499" t="n">
        <v>0.03</v>
      </c>
      <c r="R3499" t="n">
        <v>1</v>
      </c>
      <c r="S3499" t="n">
        <v>716.1</v>
      </c>
      <c r="T3499" t="n">
        <v>7</v>
      </c>
      <c r="U3499" t="n">
        <v>8</v>
      </c>
      <c r="V3499" t="n">
        <v>30</v>
      </c>
      <c r="W3499" t="n">
        <v>1</v>
      </c>
      <c r="X3499" t="n">
        <v>43.29004329004329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9770</v>
      </c>
      <c r="AG3499" t="n">
        <v>2206</v>
      </c>
      <c r="AH3499" t="inlineStr">
        <is>
          <t>PT. ENHA PUTRA (ONLINE CASH)</t>
        </is>
      </c>
      <c r="AI3499" t="n">
        <v>363</v>
      </c>
      <c r="AJ3499" t="inlineStr">
        <is>
          <t>PONDS</t>
        </is>
      </c>
      <c r="AK3499" t="n">
        <v>9</v>
      </c>
      <c r="AL3499" t="inlineStr">
        <is>
          <t>Miss Glam Jambi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PONDS</t>
        </is>
      </c>
      <c r="B3500" s="2">
        <f>"8999999719753"</f>
        <v/>
      </c>
      <c r="C3500" t="inlineStr">
        <is>
          <t>PONDS Shake &amp; Clean Make Up Remover White Beauty 100ml</t>
        </is>
      </c>
      <c r="D3500" t="inlineStr">
        <is>
          <t>Miss Glam Jambi</t>
        </is>
      </c>
      <c r="E3500" t="n">
        <v>0</v>
      </c>
      <c r="F3500" t="n">
        <v>0.03</v>
      </c>
      <c r="G3500" t="n">
        <v>1</v>
      </c>
      <c r="H3500" t="n">
        <v>3</v>
      </c>
      <c r="I3500" t="n">
        <v>19</v>
      </c>
      <c r="J3500" t="n">
        <v>3</v>
      </c>
      <c r="K3500" t="n">
        <v>0</v>
      </c>
      <c r="L3500" t="n">
        <v>24645</v>
      </c>
      <c r="M3500" t="n">
        <v>31000</v>
      </c>
      <c r="N3500" t="n">
        <v>33</v>
      </c>
      <c r="O3500" t="n">
        <v>0.33</v>
      </c>
      <c r="P3500" t="n">
        <v>0</v>
      </c>
      <c r="Q3500" t="n">
        <v>0.03</v>
      </c>
      <c r="R3500" t="n">
        <v>1</v>
      </c>
      <c r="S3500" t="n">
        <v>930</v>
      </c>
      <c r="T3500" t="n">
        <v>19</v>
      </c>
      <c r="U3500" t="n">
        <v>20</v>
      </c>
      <c r="V3500" t="n">
        <v>30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n">
        <v>0</v>
      </c>
      <c r="AC3500" t="n">
        <v>0</v>
      </c>
      <c r="AD3500" t="n">
        <v>24645</v>
      </c>
      <c r="AE3500" t="n">
        <v>0</v>
      </c>
      <c r="AF3500" t="n">
        <v>9770</v>
      </c>
      <c r="AG3500" t="n">
        <v>2206</v>
      </c>
      <c r="AH3500" t="inlineStr">
        <is>
          <t>PT. ENHA PUTRA (ONLINE CASH)</t>
        </is>
      </c>
      <c r="AI3500" t="n">
        <v>363</v>
      </c>
      <c r="AJ3500" t="inlineStr">
        <is>
          <t>PONDS</t>
        </is>
      </c>
      <c r="AK3500" t="n">
        <v>9</v>
      </c>
      <c r="AL3500" t="inlineStr">
        <is>
          <t>Miss Glam Jambi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PONDS</t>
        </is>
      </c>
      <c r="B3501" s="2">
        <f>"10400514946"</f>
        <v/>
      </c>
      <c r="C3501" t="inlineStr">
        <is>
          <t>PONDS Skin Instatute UV Miracle Protect &amp; Repair Bright SPF 50+ PA++++ 25gr</t>
        </is>
      </c>
      <c r="D3501" t="inlineStr">
        <is>
          <t>Miss Glam Jambi</t>
        </is>
      </c>
      <c r="E3501" t="n">
        <v>5</v>
      </c>
      <c r="F3501" t="n">
        <v>0.03</v>
      </c>
      <c r="G3501" t="n">
        <v>1</v>
      </c>
      <c r="H3501" t="n">
        <v>3</v>
      </c>
      <c r="I3501" t="n">
        <v>19</v>
      </c>
      <c r="J3501" t="n">
        <v>3</v>
      </c>
      <c r="K3501" t="n">
        <v>0</v>
      </c>
      <c r="L3501" t="n">
        <v>48808</v>
      </c>
      <c r="M3501" t="n">
        <v>52500</v>
      </c>
      <c r="N3501" t="n">
        <v>33</v>
      </c>
      <c r="O3501" t="n">
        <v>0.33</v>
      </c>
      <c r="P3501" t="n">
        <v>0</v>
      </c>
      <c r="Q3501" t="n">
        <v>0.03</v>
      </c>
      <c r="R3501" t="n">
        <v>1</v>
      </c>
      <c r="S3501" t="n">
        <v>1575</v>
      </c>
      <c r="T3501" t="n">
        <v>19</v>
      </c>
      <c r="U3501" t="n">
        <v>20</v>
      </c>
      <c r="V3501" t="n">
        <v>30</v>
      </c>
      <c r="W3501" t="n">
        <v>1</v>
      </c>
      <c r="X3501" t="n">
        <v>166.6666666666667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9770</v>
      </c>
      <c r="AG3501" t="n">
        <v>2206</v>
      </c>
      <c r="AH3501" t="inlineStr">
        <is>
          <t>PT. ENHA PUTRA (ONLINE CASH)</t>
        </is>
      </c>
      <c r="AI3501" t="n">
        <v>363</v>
      </c>
      <c r="AJ3501" t="inlineStr">
        <is>
          <t>PONDS</t>
        </is>
      </c>
      <c r="AK3501" t="n">
        <v>9</v>
      </c>
      <c r="AL3501" t="inlineStr">
        <is>
          <t>Miss Glam Jambi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PONDS MEN</t>
        </is>
      </c>
      <c r="B3502" s="2">
        <f>"8999999034733"</f>
        <v/>
      </c>
      <c r="C3502" t="inlineStr">
        <is>
          <t>POND'S MEN Bright Boost Facial Scrub 100gr</t>
        </is>
      </c>
      <c r="D3502" t="inlineStr">
        <is>
          <t>Miss Glam Jambi</t>
        </is>
      </c>
      <c r="E3502" t="n">
        <v>0</v>
      </c>
      <c r="F3502" t="n">
        <v>0.04</v>
      </c>
      <c r="G3502" t="n">
        <v>1</v>
      </c>
      <c r="H3502" t="n">
        <v>3</v>
      </c>
      <c r="I3502" t="n">
        <v>19</v>
      </c>
      <c r="J3502" t="n">
        <v>3</v>
      </c>
      <c r="K3502" t="n">
        <v>3</v>
      </c>
      <c r="L3502" t="n">
        <v>33955</v>
      </c>
      <c r="M3502" t="n">
        <v>40000</v>
      </c>
      <c r="N3502" t="n">
        <v>33</v>
      </c>
      <c r="O3502" t="n">
        <v>0.33</v>
      </c>
      <c r="P3502" t="n">
        <v>0</v>
      </c>
      <c r="Q3502" t="n">
        <v>0.04</v>
      </c>
      <c r="R3502" t="n">
        <v>1</v>
      </c>
      <c r="S3502" t="n">
        <v>1600</v>
      </c>
      <c r="T3502" t="n">
        <v>19</v>
      </c>
      <c r="U3502" t="n">
        <v>20</v>
      </c>
      <c r="V3502" t="n">
        <v>30</v>
      </c>
      <c r="W3502" t="n">
        <v>2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9774</v>
      </c>
      <c r="AG3502" t="n">
        <v>2206</v>
      </c>
      <c r="AH3502" t="inlineStr">
        <is>
          <t>PT. ENHA PUTRA (ONLINE CASH)</t>
        </is>
      </c>
      <c r="AI3502" t="n">
        <v>1221</v>
      </c>
      <c r="AJ3502" t="inlineStr">
        <is>
          <t>PONDS MEN</t>
        </is>
      </c>
      <c r="AK3502" t="n">
        <v>9</v>
      </c>
      <c r="AL3502" t="inlineStr">
        <is>
          <t>Miss Glam Jambi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POSH</t>
        </is>
      </c>
      <c r="B3503" s="2">
        <f>"8998866107938"</f>
        <v/>
      </c>
      <c r="C3503" t="inlineStr">
        <is>
          <t>POSH Anti Perspirant Deodorant Whitening</t>
        </is>
      </c>
      <c r="D3503" t="inlineStr">
        <is>
          <t>Miss Glam Jambi</t>
        </is>
      </c>
      <c r="E3503" t="n">
        <v>0</v>
      </c>
      <c r="F3503" t="n">
        <v>0.5577</v>
      </c>
      <c r="G3503" t="n">
        <v>2.31</v>
      </c>
      <c r="H3503" t="n">
        <v>6</v>
      </c>
      <c r="I3503" t="n">
        <v>20</v>
      </c>
      <c r="J3503" t="n">
        <v>12</v>
      </c>
      <c r="K3503" t="n">
        <v>12</v>
      </c>
      <c r="L3503" t="n">
        <v>12875</v>
      </c>
      <c r="M3503" t="n">
        <v>15000</v>
      </c>
      <c r="N3503" t="n">
        <v>33</v>
      </c>
      <c r="O3503" t="n">
        <v>0.33</v>
      </c>
      <c r="P3503" t="n">
        <v>1</v>
      </c>
      <c r="Q3503" t="n">
        <v>0.28</v>
      </c>
      <c r="R3503" t="n">
        <v>3</v>
      </c>
      <c r="S3503" t="n">
        <v>8365.5</v>
      </c>
      <c r="T3503" t="n">
        <v>43</v>
      </c>
      <c r="U3503" t="n">
        <v>47</v>
      </c>
      <c r="V3503" t="n">
        <v>30</v>
      </c>
      <c r="W3503" t="n">
        <v>17</v>
      </c>
      <c r="X3503" t="n">
        <v>0</v>
      </c>
      <c r="Y3503" t="n">
        <v>1</v>
      </c>
      <c r="Z3503" t="n">
        <v>5</v>
      </c>
      <c r="AA3503" t="n">
        <v>11</v>
      </c>
      <c r="AB3503" t="n">
        <v>0</v>
      </c>
      <c r="AC3503" t="n">
        <v>0</v>
      </c>
      <c r="AD3503" t="n">
        <v>141625</v>
      </c>
      <c r="AE3503" t="n">
        <v>0</v>
      </c>
      <c r="AF3503" t="n">
        <v>10452</v>
      </c>
      <c r="AG3503" t="n">
        <v>2198</v>
      </c>
      <c r="AH3503" t="inlineStr">
        <is>
          <t>PT. JAMBI DISTRINDO RAYA - PPN (JMB)</t>
        </is>
      </c>
      <c r="AI3503" t="n">
        <v>449</v>
      </c>
      <c r="AJ3503" t="inlineStr">
        <is>
          <t>POSH</t>
        </is>
      </c>
      <c r="AK3503" t="n">
        <v>9</v>
      </c>
      <c r="AL3503" t="inlineStr">
        <is>
          <t>Miss Glam Jambi</t>
        </is>
      </c>
      <c r="AM3503" t="n">
        <v>3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POSH</t>
        </is>
      </c>
      <c r="B3504" s="2">
        <f>"8998866107464"</f>
        <v/>
      </c>
      <c r="C3504" t="inlineStr">
        <is>
          <t>POSH Body Spray Perfumed Fresh Spirit 150ml</t>
        </is>
      </c>
      <c r="D3504" t="inlineStr">
        <is>
          <t>Miss Glam Jambi</t>
        </is>
      </c>
      <c r="E3504" t="n">
        <v>6</v>
      </c>
      <c r="F3504" t="n">
        <v>0.1221</v>
      </c>
      <c r="G3504" t="n">
        <v>0.99</v>
      </c>
      <c r="H3504" t="n">
        <v>6</v>
      </c>
      <c r="I3504" t="n">
        <v>20</v>
      </c>
      <c r="J3504" t="n">
        <v>3</v>
      </c>
      <c r="K3504" t="n">
        <v>0</v>
      </c>
      <c r="L3504" t="n">
        <v>18248</v>
      </c>
      <c r="M3504" t="n">
        <v>22500</v>
      </c>
      <c r="N3504" t="n">
        <v>33</v>
      </c>
      <c r="O3504" t="n">
        <v>0.33</v>
      </c>
      <c r="P3504" t="n">
        <v>1</v>
      </c>
      <c r="Q3504" t="n">
        <v>0.05</v>
      </c>
      <c r="R3504" t="n">
        <v>1</v>
      </c>
      <c r="S3504" t="n">
        <v>2747.25</v>
      </c>
      <c r="T3504" t="n">
        <v>20</v>
      </c>
      <c r="U3504" t="n">
        <v>21</v>
      </c>
      <c r="V3504" t="n">
        <v>30</v>
      </c>
      <c r="W3504" t="n">
        <v>4</v>
      </c>
      <c r="X3504" t="n">
        <v>49.14004914004914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10452</v>
      </c>
      <c r="AG3504" t="n">
        <v>2198</v>
      </c>
      <c r="AH3504" t="inlineStr">
        <is>
          <t>PT. JAMBI DISTRINDO RAYA - PPN (JMB)</t>
        </is>
      </c>
      <c r="AI3504" t="n">
        <v>449</v>
      </c>
      <c r="AJ3504" t="inlineStr">
        <is>
          <t>POSH</t>
        </is>
      </c>
      <c r="AK3504" t="n">
        <v>9</v>
      </c>
      <c r="AL3504" t="inlineStr">
        <is>
          <t>Miss Glam Jambi</t>
        </is>
      </c>
      <c r="AM3504" t="n">
        <v>3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POSH</t>
        </is>
      </c>
      <c r="B3505" s="2">
        <f>"8998866109918"</f>
        <v/>
      </c>
      <c r="C3505" t="inlineStr">
        <is>
          <t>POSH Fascinate Fine Fragrance Spray Dazzle 150ml</t>
        </is>
      </c>
      <c r="D3505" t="inlineStr">
        <is>
          <t>Miss Glam Jambi</t>
        </is>
      </c>
      <c r="E3505" t="n">
        <v>5</v>
      </c>
      <c r="F3505" t="n">
        <v>0.0231</v>
      </c>
      <c r="G3505" t="n">
        <v>0.33</v>
      </c>
      <c r="H3505" t="n">
        <v>6</v>
      </c>
      <c r="I3505" t="n">
        <v>20</v>
      </c>
      <c r="J3505" t="n">
        <v>3</v>
      </c>
      <c r="K3505" t="n">
        <v>0</v>
      </c>
      <c r="L3505" t="n">
        <v>17308</v>
      </c>
      <c r="M3505" t="n">
        <v>23000</v>
      </c>
      <c r="N3505" t="n">
        <v>33</v>
      </c>
      <c r="O3505" t="n">
        <v>0.33</v>
      </c>
      <c r="P3505" t="n">
        <v>1</v>
      </c>
      <c r="Q3505" t="n">
        <v>0.02</v>
      </c>
      <c r="R3505" t="n">
        <v>1</v>
      </c>
      <c r="S3505" t="n">
        <v>531.3000000000001</v>
      </c>
      <c r="T3505" t="n">
        <v>7</v>
      </c>
      <c r="U3505" t="n">
        <v>8</v>
      </c>
      <c r="V3505" t="n">
        <v>30</v>
      </c>
      <c r="W3505" t="n">
        <v>1</v>
      </c>
      <c r="X3505" t="n">
        <v>216.4502164502164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10452</v>
      </c>
      <c r="AG3505" t="n">
        <v>2198</v>
      </c>
      <c r="AH3505" t="inlineStr">
        <is>
          <t>PT. JAMBI DISTRINDO RAYA - PPN (JMB)</t>
        </is>
      </c>
      <c r="AI3505" t="n">
        <v>449</v>
      </c>
      <c r="AJ3505" t="inlineStr">
        <is>
          <t>POSH</t>
        </is>
      </c>
      <c r="AK3505" t="n">
        <v>9</v>
      </c>
      <c r="AL3505" t="inlineStr">
        <is>
          <t>Miss Glam Jambi</t>
        </is>
      </c>
      <c r="AM3505" t="n">
        <v>3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POSH</t>
        </is>
      </c>
      <c r="B3506" s="2">
        <f>"8998866108102"</f>
        <v/>
      </c>
      <c r="C3506" t="inlineStr">
        <is>
          <t>POSH Parfumed Body Spray Hijab Chic Green Blossom 150ml</t>
        </is>
      </c>
      <c r="D3506" t="inlineStr">
        <is>
          <t>Miss Glam Jambi</t>
        </is>
      </c>
      <c r="E3506" t="n">
        <v>5</v>
      </c>
      <c r="F3506" t="n">
        <v>0.4191</v>
      </c>
      <c r="G3506" t="n">
        <v>2.31</v>
      </c>
      <c r="H3506" t="n">
        <v>6</v>
      </c>
      <c r="I3506" t="n">
        <v>20</v>
      </c>
      <c r="J3506" t="n">
        <v>12</v>
      </c>
      <c r="K3506" t="n">
        <v>12</v>
      </c>
      <c r="L3506" t="n">
        <v>18813</v>
      </c>
      <c r="M3506" t="n">
        <v>22500</v>
      </c>
      <c r="N3506" t="n">
        <v>33</v>
      </c>
      <c r="O3506" t="n">
        <v>0.33</v>
      </c>
      <c r="P3506" t="n">
        <v>1</v>
      </c>
      <c r="Q3506" t="n">
        <v>0.12</v>
      </c>
      <c r="R3506" t="n">
        <v>1</v>
      </c>
      <c r="S3506" t="n">
        <v>9429.75</v>
      </c>
      <c r="T3506" t="n">
        <v>44</v>
      </c>
      <c r="U3506" t="n">
        <v>47</v>
      </c>
      <c r="V3506" t="n">
        <v>30</v>
      </c>
      <c r="W3506" t="n">
        <v>13</v>
      </c>
      <c r="X3506" t="n">
        <v>11.93032689095681</v>
      </c>
      <c r="Y3506" t="n">
        <v>1</v>
      </c>
      <c r="Z3506" t="n">
        <v>0</v>
      </c>
      <c r="AA3506" t="n">
        <v>3</v>
      </c>
      <c r="AB3506" t="n">
        <v>0</v>
      </c>
      <c r="AC3506" t="n">
        <v>0</v>
      </c>
      <c r="AD3506" t="n">
        <v>56439</v>
      </c>
      <c r="AE3506" t="n">
        <v>0</v>
      </c>
      <c r="AF3506" t="n">
        <v>10452</v>
      </c>
      <c r="AG3506" t="n">
        <v>2198</v>
      </c>
      <c r="AH3506" t="inlineStr">
        <is>
          <t>PT. JAMBI DISTRINDO RAYA - PPN (JMB)</t>
        </is>
      </c>
      <c r="AI3506" t="n">
        <v>449</v>
      </c>
      <c r="AJ3506" t="inlineStr">
        <is>
          <t>POSH</t>
        </is>
      </c>
      <c r="AK3506" t="n">
        <v>9</v>
      </c>
      <c r="AL3506" t="inlineStr">
        <is>
          <t>Miss Glam Jambi</t>
        </is>
      </c>
      <c r="AM3506" t="n">
        <v>3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POSH</t>
        </is>
      </c>
      <c r="B3507" s="2">
        <f>"8998866108119"</f>
        <v/>
      </c>
      <c r="C3507" t="inlineStr">
        <is>
          <t>POSH Parfumed Body Spray Hijab Chic Purple Wish 150ml</t>
        </is>
      </c>
      <c r="D3507" t="inlineStr">
        <is>
          <t>Miss Glam Jambi</t>
        </is>
      </c>
      <c r="E3507" t="n">
        <v>7</v>
      </c>
      <c r="F3507" t="n">
        <v>0.4851</v>
      </c>
      <c r="G3507" t="n">
        <v>1.65</v>
      </c>
      <c r="H3507" t="n">
        <v>6</v>
      </c>
      <c r="I3507" t="n">
        <v>20</v>
      </c>
      <c r="J3507" t="n">
        <v>3</v>
      </c>
      <c r="K3507" t="n">
        <v>5</v>
      </c>
      <c r="L3507" t="n">
        <v>17844</v>
      </c>
      <c r="M3507" t="n">
        <v>22500</v>
      </c>
      <c r="N3507" t="n">
        <v>33</v>
      </c>
      <c r="O3507" t="n">
        <v>0.33</v>
      </c>
      <c r="P3507" t="n">
        <v>1</v>
      </c>
      <c r="Q3507" t="n">
        <v>0.14</v>
      </c>
      <c r="R3507" t="n">
        <v>2</v>
      </c>
      <c r="S3507" t="n">
        <v>10914.75</v>
      </c>
      <c r="T3507" t="n">
        <v>31</v>
      </c>
      <c r="U3507" t="n">
        <v>34</v>
      </c>
      <c r="V3507" t="n">
        <v>30</v>
      </c>
      <c r="W3507" t="n">
        <v>15</v>
      </c>
      <c r="X3507" t="n">
        <v>14.43001443001443</v>
      </c>
      <c r="Y3507" t="n">
        <v>1</v>
      </c>
      <c r="Z3507" t="n">
        <v>3</v>
      </c>
      <c r="AA3507" t="n">
        <v>2</v>
      </c>
      <c r="AB3507" t="n">
        <v>1</v>
      </c>
      <c r="AC3507" t="n">
        <v>3</v>
      </c>
      <c r="AD3507" t="n">
        <v>35688</v>
      </c>
      <c r="AE3507" t="n">
        <v>53532</v>
      </c>
      <c r="AF3507" t="n">
        <v>10452</v>
      </c>
      <c r="AG3507" t="n">
        <v>2198</v>
      </c>
      <c r="AH3507" t="inlineStr">
        <is>
          <t>PT. JAMBI DISTRINDO RAYA - PPN (JMB)</t>
        </is>
      </c>
      <c r="AI3507" t="n">
        <v>449</v>
      </c>
      <c r="AJ3507" t="inlineStr">
        <is>
          <t>POSH</t>
        </is>
      </c>
      <c r="AK3507" t="n">
        <v>9</v>
      </c>
      <c r="AL3507" t="inlineStr">
        <is>
          <t>Miss Glam Jambi</t>
        </is>
      </c>
      <c r="AM3507" t="n">
        <v>3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POSH</t>
        </is>
      </c>
      <c r="B3508" s="2">
        <f>"8998866106474"</f>
        <v/>
      </c>
      <c r="C3508" t="inlineStr">
        <is>
          <t>POSH Perfume Body Spray Blaze Pink 150ml</t>
        </is>
      </c>
      <c r="D3508" t="inlineStr">
        <is>
          <t>Miss Glam Jambi</t>
        </is>
      </c>
      <c r="E3508" t="n">
        <v>10</v>
      </c>
      <c r="F3508" t="n">
        <v>0.1749</v>
      </c>
      <c r="G3508" t="n">
        <v>1.32</v>
      </c>
      <c r="H3508" t="n">
        <v>6</v>
      </c>
      <c r="I3508" t="n">
        <v>20</v>
      </c>
      <c r="J3508" t="n">
        <v>3</v>
      </c>
      <c r="K3508" t="n">
        <v>0</v>
      </c>
      <c r="L3508" t="n">
        <v>18389</v>
      </c>
      <c r="M3508" t="n">
        <v>22500</v>
      </c>
      <c r="N3508" t="n">
        <v>33</v>
      </c>
      <c r="O3508" t="n">
        <v>0.33</v>
      </c>
      <c r="P3508" t="n">
        <v>1</v>
      </c>
      <c r="Q3508" t="n">
        <v>0.12</v>
      </c>
      <c r="R3508" t="n">
        <v>2</v>
      </c>
      <c r="S3508" t="n">
        <v>3935.25</v>
      </c>
      <c r="T3508" t="n">
        <v>26</v>
      </c>
      <c r="U3508" t="n">
        <v>28</v>
      </c>
      <c r="V3508" t="n">
        <v>30</v>
      </c>
      <c r="W3508" t="n">
        <v>6</v>
      </c>
      <c r="X3508" t="n">
        <v>57.17552887364207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10452</v>
      </c>
      <c r="AG3508" t="n">
        <v>2198</v>
      </c>
      <c r="AH3508" t="inlineStr">
        <is>
          <t>PT. JAMBI DISTRINDO RAYA - PPN (JMB)</t>
        </is>
      </c>
      <c r="AI3508" t="n">
        <v>449</v>
      </c>
      <c r="AJ3508" t="inlineStr">
        <is>
          <t>POSH</t>
        </is>
      </c>
      <c r="AK3508" t="n">
        <v>9</v>
      </c>
      <c r="AL3508" t="inlineStr">
        <is>
          <t>Miss Glam Jambi</t>
        </is>
      </c>
      <c r="AM3508" t="n">
        <v>3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POSH</t>
        </is>
      </c>
      <c r="B3509" s="2">
        <f>"8998866108126"</f>
        <v/>
      </c>
      <c r="C3509" t="inlineStr">
        <is>
          <t>POSH Perfumed Body Spray Hijab Chic Winter Magic 150ml</t>
        </is>
      </c>
      <c r="D3509" t="inlineStr">
        <is>
          <t>Miss Glam Jambi</t>
        </is>
      </c>
      <c r="E3509" t="n">
        <v>7</v>
      </c>
      <c r="F3509" t="n">
        <v>0.3036</v>
      </c>
      <c r="G3509" t="n">
        <v>1.32</v>
      </c>
      <c r="H3509" t="n">
        <v>6</v>
      </c>
      <c r="I3509" t="n">
        <v>20</v>
      </c>
      <c r="J3509" t="n">
        <v>3</v>
      </c>
      <c r="K3509" t="n">
        <v>3</v>
      </c>
      <c r="L3509" t="n">
        <v>18167</v>
      </c>
      <c r="M3509" t="n">
        <v>22500</v>
      </c>
      <c r="N3509" t="n">
        <v>33</v>
      </c>
      <c r="O3509" t="n">
        <v>0.33</v>
      </c>
      <c r="P3509" t="n">
        <v>1</v>
      </c>
      <c r="Q3509" t="n">
        <v>0.05</v>
      </c>
      <c r="R3509" t="n">
        <v>1</v>
      </c>
      <c r="S3509" t="n">
        <v>6831.000000000001</v>
      </c>
      <c r="T3509" t="n">
        <v>25</v>
      </c>
      <c r="U3509" t="n">
        <v>27</v>
      </c>
      <c r="V3509" t="n">
        <v>30</v>
      </c>
      <c r="W3509" t="n">
        <v>10</v>
      </c>
      <c r="X3509" t="n">
        <v>23.0566534914361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10452</v>
      </c>
      <c r="AG3509" t="n">
        <v>2198</v>
      </c>
      <c r="AH3509" t="inlineStr">
        <is>
          <t>PT. JAMBI DISTRINDO RAYA - PPN (JMB)</t>
        </is>
      </c>
      <c r="AI3509" t="n">
        <v>449</v>
      </c>
      <c r="AJ3509" t="inlineStr">
        <is>
          <t>POSH</t>
        </is>
      </c>
      <c r="AK3509" t="n">
        <v>9</v>
      </c>
      <c r="AL3509" t="inlineStr">
        <is>
          <t>Miss Glam Jambi</t>
        </is>
      </c>
      <c r="AM3509" t="n">
        <v>3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POSH MEN</t>
        </is>
      </c>
      <c r="B3510" s="2">
        <f>"8998866108867"</f>
        <v/>
      </c>
      <c r="C3510" t="inlineStr">
        <is>
          <t>POSH Men Anti Perspirant Deodorant Active Cool 50ml</t>
        </is>
      </c>
      <c r="D3510" t="inlineStr">
        <is>
          <t>Miss Glam Jambi</t>
        </is>
      </c>
      <c r="E3510" t="n">
        <v>4</v>
      </c>
      <c r="F3510" t="n">
        <v>0.1452</v>
      </c>
      <c r="G3510" t="n">
        <v>0.66</v>
      </c>
      <c r="H3510" t="n">
        <v>6</v>
      </c>
      <c r="I3510" t="n">
        <v>20</v>
      </c>
      <c r="J3510" t="n">
        <v>3</v>
      </c>
      <c r="K3510" t="n">
        <v>3</v>
      </c>
      <c r="L3510" t="n">
        <v>12875</v>
      </c>
      <c r="M3510" t="n">
        <v>15000</v>
      </c>
      <c r="N3510" t="n">
        <v>33</v>
      </c>
      <c r="O3510" t="n">
        <v>0.33</v>
      </c>
      <c r="P3510" t="n">
        <v>1</v>
      </c>
      <c r="Q3510" t="n">
        <v>0.03</v>
      </c>
      <c r="R3510" t="n">
        <v>1</v>
      </c>
      <c r="S3510" t="n">
        <v>2178</v>
      </c>
      <c r="T3510" t="n">
        <v>13</v>
      </c>
      <c r="U3510" t="n">
        <v>14</v>
      </c>
      <c r="V3510" t="n">
        <v>30</v>
      </c>
      <c r="W3510" t="n">
        <v>5</v>
      </c>
      <c r="X3510" t="n">
        <v>27.54820936639118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10455</v>
      </c>
      <c r="AG3510" t="n">
        <v>2198</v>
      </c>
      <c r="AH3510" t="inlineStr">
        <is>
          <t>PT. JAMBI DISTRINDO RAYA - PPN (JMB)</t>
        </is>
      </c>
      <c r="AI3510" t="n">
        <v>2281</v>
      </c>
      <c r="AJ3510" t="inlineStr">
        <is>
          <t>POSH MEN</t>
        </is>
      </c>
      <c r="AK3510" t="n">
        <v>9</v>
      </c>
      <c r="AL3510" t="inlineStr">
        <is>
          <t>Miss Glam Jambi</t>
        </is>
      </c>
      <c r="AM3510" t="n">
        <v>3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POSH MEN</t>
        </is>
      </c>
      <c r="B3511" s="2">
        <f>"8998866108874"</f>
        <v/>
      </c>
      <c r="C3511" t="inlineStr">
        <is>
          <t>POSH Men Anti Perspirant Deodorant Active Sport 50ml</t>
        </is>
      </c>
      <c r="D3511" t="inlineStr">
        <is>
          <t>Miss Glam Jambi</t>
        </is>
      </c>
      <c r="E3511" t="n">
        <v>3</v>
      </c>
      <c r="F3511" t="n">
        <v>0.0462</v>
      </c>
      <c r="G3511" t="n">
        <v>0.66</v>
      </c>
      <c r="H3511" t="n">
        <v>6</v>
      </c>
      <c r="I3511" t="n">
        <v>20</v>
      </c>
      <c r="J3511" t="n">
        <v>3</v>
      </c>
      <c r="K3511" t="n">
        <v>0</v>
      </c>
      <c r="L3511" t="n">
        <v>12875</v>
      </c>
      <c r="M3511" t="n">
        <v>15000</v>
      </c>
      <c r="N3511" t="n">
        <v>33</v>
      </c>
      <c r="O3511" t="n">
        <v>0.33</v>
      </c>
      <c r="P3511" t="n">
        <v>1</v>
      </c>
      <c r="Q3511" t="n">
        <v>0.05</v>
      </c>
      <c r="R3511" t="n">
        <v>1</v>
      </c>
      <c r="S3511" t="n">
        <v>693.0000000000001</v>
      </c>
      <c r="T3511" t="n">
        <v>13</v>
      </c>
      <c r="U3511" t="n">
        <v>14</v>
      </c>
      <c r="V3511" t="n">
        <v>30</v>
      </c>
      <c r="W3511" t="n">
        <v>2</v>
      </c>
      <c r="X3511" t="n">
        <v>64.93506493506493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10455</v>
      </c>
      <c r="AG3511" t="n">
        <v>2198</v>
      </c>
      <c r="AH3511" t="inlineStr">
        <is>
          <t>PT. JAMBI DISTRINDO RAYA - PPN (JMB)</t>
        </is>
      </c>
      <c r="AI3511" t="n">
        <v>2281</v>
      </c>
      <c r="AJ3511" t="inlineStr">
        <is>
          <t>POSH MEN</t>
        </is>
      </c>
      <c r="AK3511" t="n">
        <v>9</v>
      </c>
      <c r="AL3511" t="inlineStr">
        <is>
          <t>Miss Glam Jambi</t>
        </is>
      </c>
      <c r="AM3511" t="n">
        <v>3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POSH MEN</t>
        </is>
      </c>
      <c r="B3512" s="2">
        <f>"8998866108928"</f>
        <v/>
      </c>
      <c r="C3512" t="inlineStr">
        <is>
          <t>POSH MEN Blue Gravity Eau De Toilette 100ml</t>
        </is>
      </c>
      <c r="D3512" t="inlineStr">
        <is>
          <t>Miss Glam Jambi</t>
        </is>
      </c>
      <c r="E3512" t="n">
        <v>4</v>
      </c>
      <c r="F3512" t="n">
        <v>0.1122</v>
      </c>
      <c r="G3512" t="n">
        <v>0.99</v>
      </c>
      <c r="H3512" t="n">
        <v>6</v>
      </c>
      <c r="I3512" t="n">
        <v>20</v>
      </c>
      <c r="J3512" t="n">
        <v>12</v>
      </c>
      <c r="K3512" t="n">
        <v>0</v>
      </c>
      <c r="L3512" t="n">
        <v>23386</v>
      </c>
      <c r="M3512" t="n">
        <v>31000</v>
      </c>
      <c r="N3512" t="n">
        <v>33</v>
      </c>
      <c r="O3512" t="n">
        <v>0.33</v>
      </c>
      <c r="P3512" t="n">
        <v>1</v>
      </c>
      <c r="Q3512" t="n">
        <v>0.03</v>
      </c>
      <c r="R3512" t="n">
        <v>1</v>
      </c>
      <c r="S3512" t="n">
        <v>3478.2</v>
      </c>
      <c r="T3512" t="n">
        <v>20</v>
      </c>
      <c r="U3512" t="n">
        <v>21</v>
      </c>
      <c r="V3512" t="n">
        <v>30</v>
      </c>
      <c r="W3512" t="n">
        <v>4</v>
      </c>
      <c r="X3512" t="n">
        <v>35.650623885918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10455</v>
      </c>
      <c r="AG3512" t="n">
        <v>2198</v>
      </c>
      <c r="AH3512" t="inlineStr">
        <is>
          <t>PT. JAMBI DISTRINDO RAYA - PPN (JMB)</t>
        </is>
      </c>
      <c r="AI3512" t="n">
        <v>2281</v>
      </c>
      <c r="AJ3512" t="inlineStr">
        <is>
          <t>POSH MEN</t>
        </is>
      </c>
      <c r="AK3512" t="n">
        <v>9</v>
      </c>
      <c r="AL3512" t="inlineStr">
        <is>
          <t>Miss Glam Jambi</t>
        </is>
      </c>
      <c r="AM3512" t="n">
        <v>3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POSH MEN</t>
        </is>
      </c>
      <c r="B3513" s="2">
        <f>"8998866107150"</f>
        <v/>
      </c>
      <c r="C3513" t="inlineStr">
        <is>
          <t>POSH Men Perfumed Body Spray Black Gold 150ml</t>
        </is>
      </c>
      <c r="D3513" t="inlineStr">
        <is>
          <t>Miss Glam Jambi</t>
        </is>
      </c>
      <c r="E3513" t="n">
        <v>2</v>
      </c>
      <c r="F3513" t="n">
        <v>0.0495</v>
      </c>
      <c r="G3513" t="n">
        <v>0.66</v>
      </c>
      <c r="H3513" t="n">
        <v>6</v>
      </c>
      <c r="I3513" t="n">
        <v>20</v>
      </c>
      <c r="J3513" t="n">
        <v>3</v>
      </c>
      <c r="K3513" t="n">
        <v>0</v>
      </c>
      <c r="L3513" t="n">
        <v>17684</v>
      </c>
      <c r="M3513" t="n">
        <v>22500</v>
      </c>
      <c r="N3513" t="n">
        <v>33</v>
      </c>
      <c r="O3513" t="n">
        <v>0.33</v>
      </c>
      <c r="P3513" t="n">
        <v>1</v>
      </c>
      <c r="Q3513" t="n">
        <v>0.03</v>
      </c>
      <c r="R3513" t="n">
        <v>1</v>
      </c>
      <c r="S3513" t="n">
        <v>1113.75</v>
      </c>
      <c r="T3513" t="n">
        <v>13</v>
      </c>
      <c r="U3513" t="n">
        <v>14</v>
      </c>
      <c r="V3513" t="n">
        <v>30</v>
      </c>
      <c r="W3513" t="n">
        <v>2</v>
      </c>
      <c r="X3513" t="n">
        <v>40.4040404040404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10455</v>
      </c>
      <c r="AG3513" t="n">
        <v>2198</v>
      </c>
      <c r="AH3513" t="inlineStr">
        <is>
          <t>PT. JAMBI DISTRINDO RAYA - PPN (JMB)</t>
        </is>
      </c>
      <c r="AI3513" t="n">
        <v>2281</v>
      </c>
      <c r="AJ3513" t="inlineStr">
        <is>
          <t>POSH MEN</t>
        </is>
      </c>
      <c r="AK3513" t="n">
        <v>9</v>
      </c>
      <c r="AL3513" t="inlineStr">
        <is>
          <t>Miss Glam Jambi</t>
        </is>
      </c>
      <c r="AM3513" t="n">
        <v>3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POSH MEN</t>
        </is>
      </c>
      <c r="B3514" s="2">
        <f>"8998866107143"</f>
        <v/>
      </c>
      <c r="C3514" t="inlineStr">
        <is>
          <t>POSH Men Perfumed Body Spray Cool Blue 150ml</t>
        </is>
      </c>
      <c r="D3514" t="inlineStr">
        <is>
          <t>Miss Glam Jambi</t>
        </is>
      </c>
      <c r="E3514" t="n">
        <v>3</v>
      </c>
      <c r="F3514" t="n">
        <v>0.1386</v>
      </c>
      <c r="G3514" t="n">
        <v>0.66</v>
      </c>
      <c r="H3514" t="n">
        <v>6</v>
      </c>
      <c r="I3514" t="n">
        <v>20</v>
      </c>
      <c r="J3514" t="n">
        <v>3</v>
      </c>
      <c r="K3514" t="n">
        <v>3</v>
      </c>
      <c r="L3514" t="n">
        <v>17778</v>
      </c>
      <c r="M3514" t="n">
        <v>22500</v>
      </c>
      <c r="N3514" t="n">
        <v>33</v>
      </c>
      <c r="O3514" t="n">
        <v>0.33</v>
      </c>
      <c r="P3514" t="n">
        <v>1</v>
      </c>
      <c r="Q3514" t="n">
        <v>0.03</v>
      </c>
      <c r="R3514" t="n">
        <v>1</v>
      </c>
      <c r="S3514" t="n">
        <v>3118.5</v>
      </c>
      <c r="T3514" t="n">
        <v>13</v>
      </c>
      <c r="U3514" t="n">
        <v>14</v>
      </c>
      <c r="V3514" t="n">
        <v>30</v>
      </c>
      <c r="W3514" t="n">
        <v>5</v>
      </c>
      <c r="X3514" t="n">
        <v>21.64502164502165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10455</v>
      </c>
      <c r="AG3514" t="n">
        <v>2198</v>
      </c>
      <c r="AH3514" t="inlineStr">
        <is>
          <t>PT. JAMBI DISTRINDO RAYA - PPN (JMB)</t>
        </is>
      </c>
      <c r="AI3514" t="n">
        <v>2281</v>
      </c>
      <c r="AJ3514" t="inlineStr">
        <is>
          <t>POSH MEN</t>
        </is>
      </c>
      <c r="AK3514" t="n">
        <v>9</v>
      </c>
      <c r="AL3514" t="inlineStr">
        <is>
          <t>Miss Glam Jambi</t>
        </is>
      </c>
      <c r="AM3514" t="n">
        <v>3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POSH MEN</t>
        </is>
      </c>
      <c r="B3515" s="2">
        <f>"8998866107662"</f>
        <v/>
      </c>
      <c r="C3515" t="inlineStr">
        <is>
          <t>POSH Men Perfumed Body Spray Red Extreme 150ml</t>
        </is>
      </c>
      <c r="D3515" t="inlineStr">
        <is>
          <t>Miss Glam Jambi</t>
        </is>
      </c>
      <c r="E3515" t="n">
        <v>1</v>
      </c>
      <c r="F3515" t="n">
        <v>0.0462</v>
      </c>
      <c r="G3515" t="n">
        <v>0.33</v>
      </c>
      <c r="H3515" t="n">
        <v>6</v>
      </c>
      <c r="I3515" t="n">
        <v>20</v>
      </c>
      <c r="J3515" t="n">
        <v>3</v>
      </c>
      <c r="K3515" t="n">
        <v>3</v>
      </c>
      <c r="L3515" t="n">
        <v>17308</v>
      </c>
      <c r="M3515" t="n">
        <v>22500</v>
      </c>
      <c r="N3515" t="n">
        <v>33</v>
      </c>
      <c r="O3515" t="n">
        <v>0.33</v>
      </c>
      <c r="P3515" t="n">
        <v>1</v>
      </c>
      <c r="Q3515" t="n">
        <v>0.05</v>
      </c>
      <c r="R3515" t="n">
        <v>1</v>
      </c>
      <c r="S3515" t="n">
        <v>1039.5</v>
      </c>
      <c r="T3515" t="n">
        <v>7</v>
      </c>
      <c r="U3515" t="n">
        <v>8</v>
      </c>
      <c r="V3515" t="n">
        <v>30</v>
      </c>
      <c r="W3515" t="n">
        <v>2</v>
      </c>
      <c r="X3515" t="n">
        <v>21.64502164502164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10455</v>
      </c>
      <c r="AG3515" t="n">
        <v>2198</v>
      </c>
      <c r="AH3515" t="inlineStr">
        <is>
          <t>PT. JAMBI DISTRINDO RAYA - PPN (JMB)</t>
        </is>
      </c>
      <c r="AI3515" t="n">
        <v>2281</v>
      </c>
      <c r="AJ3515" t="inlineStr">
        <is>
          <t>POSH MEN</t>
        </is>
      </c>
      <c r="AK3515" t="n">
        <v>9</v>
      </c>
      <c r="AL3515" t="inlineStr">
        <is>
          <t>Miss Glam Jambi</t>
        </is>
      </c>
      <c r="AM3515" t="n">
        <v>3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PRAMY</t>
        </is>
      </c>
      <c r="B3516" s="2">
        <f>"6974445741979"</f>
        <v/>
      </c>
      <c r="C3516" t="inlineStr">
        <is>
          <t>PRAMY Moisturizing Setting Spray Dewy Finish 100ml</t>
        </is>
      </c>
      <c r="D3516" t="inlineStr">
        <is>
          <t>Miss Glam Jambi</t>
        </is>
      </c>
      <c r="E3516" t="n">
        <v>12</v>
      </c>
      <c r="F3516" t="n">
        <v>0.006600000000000001</v>
      </c>
      <c r="G3516" t="n">
        <v>0.33</v>
      </c>
      <c r="H3516" t="n">
        <v>4</v>
      </c>
      <c r="I3516" t="n">
        <v>20</v>
      </c>
      <c r="J3516" t="n">
        <v>1</v>
      </c>
      <c r="K3516" t="n">
        <v>0</v>
      </c>
      <c r="L3516" t="n">
        <v>115825</v>
      </c>
      <c r="M3516" t="n">
        <v>145000</v>
      </c>
      <c r="N3516" t="n">
        <v>33</v>
      </c>
      <c r="O3516" t="n">
        <v>0.33</v>
      </c>
      <c r="P3516" t="n">
        <v>1</v>
      </c>
      <c r="Q3516" t="n">
        <v>0.05</v>
      </c>
      <c r="R3516" t="n">
        <v>1</v>
      </c>
      <c r="S3516" t="n">
        <v>957.0000000000001</v>
      </c>
      <c r="T3516" t="n">
        <v>7</v>
      </c>
      <c r="U3516" t="n">
        <v>8</v>
      </c>
      <c r="V3516" t="n">
        <v>30</v>
      </c>
      <c r="W3516" t="n">
        <v>1</v>
      </c>
      <c r="X3516" t="n">
        <v>1818.181818181818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7794</v>
      </c>
      <c r="AG3516" t="n">
        <v>1</v>
      </c>
      <c r="AH3516" t="inlineStr">
        <is>
          <t>PT. BERSAMA DISTRIVERSA INDONESIA (DC CIPUTAT)</t>
        </is>
      </c>
      <c r="AI3516" t="n">
        <v>2324</v>
      </c>
      <c r="AJ3516" t="inlineStr">
        <is>
          <t>PRAMY</t>
        </is>
      </c>
      <c r="AK3516" t="n">
        <v>9</v>
      </c>
      <c r="AL3516" t="inlineStr">
        <is>
          <t>Miss Glam Jambi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PRAMY</t>
        </is>
      </c>
      <c r="B3517" s="2">
        <f>"20101208330"</f>
        <v/>
      </c>
      <c r="C3517" t="inlineStr">
        <is>
          <t>PRAMY Moisturizing Setting Spray Dewy Finish 65ml</t>
        </is>
      </c>
      <c r="D3517" t="inlineStr">
        <is>
          <t>Miss Glam Jambi</t>
        </is>
      </c>
      <c r="E3517" t="n">
        <v>8</v>
      </c>
      <c r="F3517" t="n">
        <v>0.0231</v>
      </c>
      <c r="G3517" t="n">
        <v>0.33</v>
      </c>
      <c r="H3517" t="n">
        <v>4</v>
      </c>
      <c r="I3517" t="n">
        <v>20</v>
      </c>
      <c r="J3517" t="n">
        <v>1</v>
      </c>
      <c r="K3517" t="n">
        <v>0</v>
      </c>
      <c r="L3517" t="n">
        <v>87286</v>
      </c>
      <c r="M3517" t="n">
        <v>109000</v>
      </c>
      <c r="N3517" t="n">
        <v>33</v>
      </c>
      <c r="O3517" t="n">
        <v>0.33</v>
      </c>
      <c r="P3517" t="n">
        <v>1</v>
      </c>
      <c r="Q3517" t="n">
        <v>0.08</v>
      </c>
      <c r="R3517" t="n">
        <v>1</v>
      </c>
      <c r="S3517" t="n">
        <v>2517.9</v>
      </c>
      <c r="T3517" t="n">
        <v>7</v>
      </c>
      <c r="U3517" t="n">
        <v>8</v>
      </c>
      <c r="V3517" t="n">
        <v>30</v>
      </c>
      <c r="W3517" t="n">
        <v>1</v>
      </c>
      <c r="X3517" t="n">
        <v>346.3203463203463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7794</v>
      </c>
      <c r="AG3517" t="n">
        <v>1</v>
      </c>
      <c r="AH3517" t="inlineStr">
        <is>
          <t>PT. BERSAMA DISTRIVERSA INDONESIA (DC CIPUTAT)</t>
        </is>
      </c>
      <c r="AI3517" t="n">
        <v>2324</v>
      </c>
      <c r="AJ3517" t="inlineStr">
        <is>
          <t>PRAMY</t>
        </is>
      </c>
      <c r="AK3517" t="n">
        <v>9</v>
      </c>
      <c r="AL3517" t="inlineStr">
        <is>
          <t>Miss Glam Jambi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PRAMY</t>
        </is>
      </c>
      <c r="B3518" s="2">
        <f>"6974445741962"</f>
        <v/>
      </c>
      <c r="C3518" t="inlineStr">
        <is>
          <t>PRAMY Moisturizing Setting Spray Matte Finish 100ml</t>
        </is>
      </c>
      <c r="D3518" t="inlineStr">
        <is>
          <t>Miss Glam Jambi</t>
        </is>
      </c>
      <c r="E3518" t="n">
        <v>4</v>
      </c>
      <c r="F3518" t="n">
        <v>0.19</v>
      </c>
      <c r="G3518" t="n">
        <v>1</v>
      </c>
      <c r="H3518" t="n">
        <v>4</v>
      </c>
      <c r="I3518" t="n">
        <v>20</v>
      </c>
      <c r="J3518" t="n">
        <v>1</v>
      </c>
      <c r="K3518" t="n">
        <v>0</v>
      </c>
      <c r="L3518" t="n">
        <v>117761</v>
      </c>
      <c r="M3518" t="n">
        <v>145000</v>
      </c>
      <c r="N3518" t="n">
        <v>33</v>
      </c>
      <c r="O3518" t="n">
        <v>0.33</v>
      </c>
      <c r="P3518" t="n">
        <v>0</v>
      </c>
      <c r="Q3518" t="n">
        <v>0.19</v>
      </c>
      <c r="R3518" t="n">
        <v>1</v>
      </c>
      <c r="S3518" t="n">
        <v>27550</v>
      </c>
      <c r="T3518" t="n">
        <v>20</v>
      </c>
      <c r="U3518" t="n">
        <v>21</v>
      </c>
      <c r="V3518" t="n">
        <v>30</v>
      </c>
      <c r="W3518" t="n">
        <v>6</v>
      </c>
      <c r="X3518" t="n">
        <v>21.05263157894737</v>
      </c>
      <c r="Y3518" t="n">
        <v>1</v>
      </c>
      <c r="Z3518" t="n">
        <v>2</v>
      </c>
      <c r="AA3518" t="n">
        <v>0</v>
      </c>
      <c r="AB3518" t="n">
        <v>2</v>
      </c>
      <c r="AC3518" t="n">
        <v>2</v>
      </c>
      <c r="AD3518" t="n">
        <v>0</v>
      </c>
      <c r="AE3518" t="n">
        <v>235522</v>
      </c>
      <c r="AF3518" t="n">
        <v>7794</v>
      </c>
      <c r="AG3518" t="n">
        <v>1</v>
      </c>
      <c r="AH3518" t="inlineStr">
        <is>
          <t>PT. BERSAMA DISTRIVERSA INDONESIA (DC CIPUTAT)</t>
        </is>
      </c>
      <c r="AI3518" t="n">
        <v>2324</v>
      </c>
      <c r="AJ3518" t="inlineStr">
        <is>
          <t>PRAMY</t>
        </is>
      </c>
      <c r="AK3518" t="n">
        <v>9</v>
      </c>
      <c r="AL3518" t="inlineStr">
        <is>
          <t>Miss Glam Jambi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PRAMY</t>
        </is>
      </c>
      <c r="B3519" s="2">
        <f>"20101208503"</f>
        <v/>
      </c>
      <c r="C3519" t="inlineStr">
        <is>
          <t>PRAMY Moisturizing Setting Spray Matte Finish 65ml</t>
        </is>
      </c>
      <c r="D3519" t="inlineStr">
        <is>
          <t>Miss Glam Jambi</t>
        </is>
      </c>
      <c r="E3519" t="n">
        <v>17</v>
      </c>
      <c r="F3519" t="n">
        <v>0.1023</v>
      </c>
      <c r="G3519" t="n">
        <v>0.66</v>
      </c>
      <c r="H3519" t="n">
        <v>4</v>
      </c>
      <c r="I3519" t="n">
        <v>20</v>
      </c>
      <c r="J3519" t="n">
        <v>1</v>
      </c>
      <c r="K3519" t="n">
        <v>0</v>
      </c>
      <c r="L3519" t="n">
        <v>86781</v>
      </c>
      <c r="M3519" t="n">
        <v>109000</v>
      </c>
      <c r="N3519" t="n">
        <v>33</v>
      </c>
      <c r="O3519" t="n">
        <v>0.33</v>
      </c>
      <c r="P3519" t="n">
        <v>1</v>
      </c>
      <c r="Q3519" t="n">
        <v>0.12</v>
      </c>
      <c r="R3519" t="n">
        <v>2</v>
      </c>
      <c r="S3519" t="n">
        <v>11150.7</v>
      </c>
      <c r="T3519" t="n">
        <v>13</v>
      </c>
      <c r="U3519" t="n">
        <v>14</v>
      </c>
      <c r="V3519" t="n">
        <v>30</v>
      </c>
      <c r="W3519" t="n">
        <v>4</v>
      </c>
      <c r="X3519" t="n">
        <v>166.177908113392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7794</v>
      </c>
      <c r="AG3519" t="n">
        <v>1</v>
      </c>
      <c r="AH3519" t="inlineStr">
        <is>
          <t>PT. BERSAMA DISTRIVERSA INDONESIA (DC CIPUTAT)</t>
        </is>
      </c>
      <c r="AI3519" t="n">
        <v>2324</v>
      </c>
      <c r="AJ3519" t="inlineStr">
        <is>
          <t>PRAMY</t>
        </is>
      </c>
      <c r="AK3519" t="n">
        <v>9</v>
      </c>
      <c r="AL3519" t="inlineStr">
        <is>
          <t>Miss Glam Jambi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PRECIOUS SKIN</t>
        </is>
      </c>
      <c r="B3520" s="2">
        <f>"8859690401053"</f>
        <v/>
      </c>
      <c r="C3520" t="inlineStr">
        <is>
          <t>PRECIOUS SKIN Aha Body Booster Bright Serum 30ml</t>
        </is>
      </c>
      <c r="D3520" t="inlineStr">
        <is>
          <t>Miss Glam Jambi</t>
        </is>
      </c>
      <c r="E3520" t="n">
        <v>0</v>
      </c>
      <c r="F3520" t="n">
        <v>0.1056</v>
      </c>
      <c r="G3520" t="n">
        <v>1.32</v>
      </c>
      <c r="H3520" t="n">
        <v>4</v>
      </c>
      <c r="I3520" t="n">
        <v>20</v>
      </c>
      <c r="J3520" t="n">
        <v>3</v>
      </c>
      <c r="K3520" t="n">
        <v>9</v>
      </c>
      <c r="L3520" t="n">
        <v>27935</v>
      </c>
      <c r="M3520" t="n">
        <v>38000</v>
      </c>
      <c r="N3520" t="n">
        <v>33</v>
      </c>
      <c r="O3520" t="n">
        <v>0.33</v>
      </c>
      <c r="P3520" t="n">
        <v>1</v>
      </c>
      <c r="Q3520" t="n">
        <v>0.06</v>
      </c>
      <c r="R3520" t="n">
        <v>1</v>
      </c>
      <c r="S3520" t="n">
        <v>4012.800000000001</v>
      </c>
      <c r="T3520" t="n">
        <v>26</v>
      </c>
      <c r="U3520" t="n">
        <v>27</v>
      </c>
      <c r="V3520" t="n">
        <v>30</v>
      </c>
      <c r="W3520" t="n">
        <v>4</v>
      </c>
      <c r="X3520" t="n">
        <v>0</v>
      </c>
      <c r="Y3520" t="n">
        <v>1</v>
      </c>
      <c r="Z3520" t="n">
        <v>0</v>
      </c>
      <c r="AA3520" t="n">
        <v>2</v>
      </c>
      <c r="AB3520" t="n">
        <v>0</v>
      </c>
      <c r="AC3520" t="n">
        <v>0</v>
      </c>
      <c r="AD3520" t="n">
        <v>55870</v>
      </c>
      <c r="AE3520" t="n">
        <v>0</v>
      </c>
      <c r="AF3520" t="n">
        <v>7860</v>
      </c>
      <c r="AG3520" t="n">
        <v>1</v>
      </c>
      <c r="AH3520" t="inlineStr">
        <is>
          <t>PT. BERSAMA DISTRIVERSA INDONESIA (DC CIPUTAT)</t>
        </is>
      </c>
      <c r="AI3520" t="n">
        <v>657</v>
      </c>
      <c r="AJ3520" t="inlineStr">
        <is>
          <t>PRECIOUS SKIN</t>
        </is>
      </c>
      <c r="AK3520" t="n">
        <v>9</v>
      </c>
      <c r="AL3520" t="inlineStr">
        <is>
          <t>Miss Glam Jambi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PRECIOUS SKIN</t>
        </is>
      </c>
      <c r="B3521" s="2">
        <f>"8859690401015"</f>
        <v/>
      </c>
      <c r="C3521" t="inlineStr">
        <is>
          <t>PRECIOUS SKIN Alpha Arbutin 3+ Plus Soap 80gr</t>
        </is>
      </c>
      <c r="D3521" t="inlineStr">
        <is>
          <t>Miss Glam Jambi</t>
        </is>
      </c>
      <c r="E3521" t="n">
        <v>0</v>
      </c>
      <c r="F3521" t="n">
        <v>0.06270000000000001</v>
      </c>
      <c r="G3521" t="n">
        <v>0.99</v>
      </c>
      <c r="H3521" t="n">
        <v>4</v>
      </c>
      <c r="I3521" t="n">
        <v>20</v>
      </c>
      <c r="J3521" t="n">
        <v>3</v>
      </c>
      <c r="K3521" t="n">
        <v>9</v>
      </c>
      <c r="L3521" t="n">
        <v>23194</v>
      </c>
      <c r="M3521" t="n">
        <v>25800</v>
      </c>
      <c r="N3521" t="n">
        <v>33</v>
      </c>
      <c r="O3521" t="n">
        <v>0.33</v>
      </c>
      <c r="P3521" t="n">
        <v>1</v>
      </c>
      <c r="Q3521" t="n">
        <v>0.19</v>
      </c>
      <c r="R3521" t="n">
        <v>2</v>
      </c>
      <c r="S3521" t="n">
        <v>1617.66</v>
      </c>
      <c r="T3521" t="n">
        <v>20</v>
      </c>
      <c r="U3521" t="n">
        <v>21</v>
      </c>
      <c r="V3521" t="n">
        <v>30</v>
      </c>
      <c r="W3521" t="n">
        <v>2</v>
      </c>
      <c r="X3521" t="n">
        <v>0</v>
      </c>
      <c r="Y3521" t="n">
        <v>1</v>
      </c>
      <c r="Z3521" t="n">
        <v>0</v>
      </c>
      <c r="AA3521" t="n">
        <v>1</v>
      </c>
      <c r="AB3521" t="n">
        <v>0</v>
      </c>
      <c r="AC3521" t="n">
        <v>0</v>
      </c>
      <c r="AD3521" t="n">
        <v>23194</v>
      </c>
      <c r="AE3521" t="n">
        <v>0</v>
      </c>
      <c r="AF3521" t="n">
        <v>7860</v>
      </c>
      <c r="AG3521" t="n">
        <v>1</v>
      </c>
      <c r="AH3521" t="inlineStr">
        <is>
          <t>PT. BERSAMA DISTRIVERSA INDONESIA (DC CIPUTAT)</t>
        </is>
      </c>
      <c r="AI3521" t="n">
        <v>657</v>
      </c>
      <c r="AJ3521" t="inlineStr">
        <is>
          <t>PRECIOUS SKIN</t>
        </is>
      </c>
      <c r="AK3521" t="n">
        <v>9</v>
      </c>
      <c r="AL3521" t="inlineStr">
        <is>
          <t>Miss Glam Jambi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PRECIOUS SKIN</t>
        </is>
      </c>
      <c r="B3522" s="2">
        <f>"8859690400346"</f>
        <v/>
      </c>
      <c r="C3522" t="inlineStr">
        <is>
          <t>PRECIOUS SKIN Alpha Arbutin Whitening Plus 25ml</t>
        </is>
      </c>
      <c r="D3522" t="inlineStr">
        <is>
          <t>Miss Glam Jambi</t>
        </is>
      </c>
      <c r="E3522" t="n">
        <v>5</v>
      </c>
      <c r="F3522" t="n">
        <v>0.0231</v>
      </c>
      <c r="G3522" t="n">
        <v>0.33</v>
      </c>
      <c r="H3522" t="n">
        <v>4</v>
      </c>
      <c r="I3522" t="n">
        <v>20</v>
      </c>
      <c r="J3522" t="n">
        <v>3</v>
      </c>
      <c r="K3522" t="n">
        <v>0</v>
      </c>
      <c r="L3522" t="n">
        <v>38168</v>
      </c>
      <c r="M3522" t="n">
        <v>48500</v>
      </c>
      <c r="N3522" t="n">
        <v>33</v>
      </c>
      <c r="O3522" t="n">
        <v>0.33</v>
      </c>
      <c r="P3522" t="n">
        <v>1</v>
      </c>
      <c r="Q3522" t="n">
        <v>0.12</v>
      </c>
      <c r="R3522" t="n">
        <v>1</v>
      </c>
      <c r="S3522" t="n">
        <v>1120.35</v>
      </c>
      <c r="T3522" t="n">
        <v>7</v>
      </c>
      <c r="U3522" t="n">
        <v>8</v>
      </c>
      <c r="V3522" t="n">
        <v>30</v>
      </c>
      <c r="W3522" t="n">
        <v>1</v>
      </c>
      <c r="X3522" t="n">
        <v>216.4502164502164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7860</v>
      </c>
      <c r="AG3522" t="n">
        <v>1</v>
      </c>
      <c r="AH3522" t="inlineStr">
        <is>
          <t>PT. BERSAMA DISTRIVERSA INDONESIA (DC CIPUTAT)</t>
        </is>
      </c>
      <c r="AI3522" t="n">
        <v>657</v>
      </c>
      <c r="AJ3522" t="inlineStr">
        <is>
          <t>PRECIOUS SKIN</t>
        </is>
      </c>
      <c r="AK3522" t="n">
        <v>9</v>
      </c>
      <c r="AL3522" t="inlineStr">
        <is>
          <t>Miss Glam Jambi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PRECIOUS SKIN</t>
        </is>
      </c>
      <c r="B3523" s="2">
        <f>"8859690403675"</f>
        <v/>
      </c>
      <c r="C3523" t="inlineStr">
        <is>
          <t>PRECIOUS SKIN Charcoal Keratin Treatment Mask 50gr</t>
        </is>
      </c>
      <c r="D3523" t="inlineStr">
        <is>
          <t>Miss Glam Jambi</t>
        </is>
      </c>
      <c r="E3523" t="n">
        <v>6</v>
      </c>
      <c r="F3523" t="n">
        <v>0.02</v>
      </c>
      <c r="G3523" t="n">
        <v>1</v>
      </c>
      <c r="H3523" t="n">
        <v>4</v>
      </c>
      <c r="I3523" t="n">
        <v>20</v>
      </c>
      <c r="J3523" t="n">
        <v>3</v>
      </c>
      <c r="K3523" t="n">
        <v>0</v>
      </c>
      <c r="L3523" t="n">
        <v>16933</v>
      </c>
      <c r="M3523" t="n">
        <v>21000</v>
      </c>
      <c r="N3523" t="n">
        <v>33</v>
      </c>
      <c r="O3523" t="n">
        <v>0.33</v>
      </c>
      <c r="P3523" t="n">
        <v>0</v>
      </c>
      <c r="Q3523" t="n">
        <v>0.02</v>
      </c>
      <c r="R3523" t="n">
        <v>1</v>
      </c>
      <c r="S3523" t="n">
        <v>420</v>
      </c>
      <c r="T3523" t="n">
        <v>20</v>
      </c>
      <c r="U3523" t="n">
        <v>21</v>
      </c>
      <c r="V3523" t="n">
        <v>30</v>
      </c>
      <c r="W3523" t="n">
        <v>1</v>
      </c>
      <c r="X3523" t="n">
        <v>300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7860</v>
      </c>
      <c r="AG3523" t="n">
        <v>1</v>
      </c>
      <c r="AH3523" t="inlineStr">
        <is>
          <t>PT. BERSAMA DISTRIVERSA INDONESIA (DC CIPUTAT)</t>
        </is>
      </c>
      <c r="AI3523" t="n">
        <v>657</v>
      </c>
      <c r="AJ3523" t="inlineStr">
        <is>
          <t>PRECIOUS SKIN</t>
        </is>
      </c>
      <c r="AK3523" t="n">
        <v>9</v>
      </c>
      <c r="AL3523" t="inlineStr">
        <is>
          <t>Miss Glam Jambi</t>
        </is>
      </c>
      <c r="AM3523" t="n">
        <v>4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PRECIOUS SKIN</t>
        </is>
      </c>
      <c r="B3524" s="2">
        <f>"8859690401152"</f>
        <v/>
      </c>
      <c r="C3524" t="inlineStr">
        <is>
          <t>PRECIOUS SKIN Extra Pure Whitening Body Serum 35ml</t>
        </is>
      </c>
      <c r="D3524" t="inlineStr">
        <is>
          <t>Miss Glam Jambi</t>
        </is>
      </c>
      <c r="E3524" t="n">
        <v>1</v>
      </c>
      <c r="F3524" t="n">
        <v>0.009900000000000001</v>
      </c>
      <c r="G3524" t="n">
        <v>0.33</v>
      </c>
      <c r="H3524" t="n">
        <v>4</v>
      </c>
      <c r="I3524" t="n">
        <v>20</v>
      </c>
      <c r="J3524" t="n">
        <v>3</v>
      </c>
      <c r="K3524" t="n">
        <v>6</v>
      </c>
      <c r="L3524" t="n">
        <v>25544</v>
      </c>
      <c r="M3524" t="n">
        <v>35000</v>
      </c>
      <c r="N3524" t="n">
        <v>33</v>
      </c>
      <c r="O3524" t="n">
        <v>0.33</v>
      </c>
      <c r="P3524" t="n">
        <v>1</v>
      </c>
      <c r="Q3524" t="n">
        <v>0.03</v>
      </c>
      <c r="R3524" t="n">
        <v>1</v>
      </c>
      <c r="S3524" t="n">
        <v>346.5000000000001</v>
      </c>
      <c r="T3524" t="n">
        <v>7</v>
      </c>
      <c r="U3524" t="n">
        <v>8</v>
      </c>
      <c r="V3524" t="n">
        <v>30</v>
      </c>
      <c r="W3524" t="n">
        <v>1</v>
      </c>
      <c r="X3524" t="n">
        <v>101.010101010101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7860</v>
      </c>
      <c r="AG3524" t="n">
        <v>1</v>
      </c>
      <c r="AH3524" t="inlineStr">
        <is>
          <t>PT. BERSAMA DISTRIVERSA INDONESIA (DC CIPUTAT)</t>
        </is>
      </c>
      <c r="AI3524" t="n">
        <v>657</v>
      </c>
      <c r="AJ3524" t="inlineStr">
        <is>
          <t>PRECIOUS SKIN</t>
        </is>
      </c>
      <c r="AK3524" t="n">
        <v>9</v>
      </c>
      <c r="AL3524" t="inlineStr">
        <is>
          <t>Miss Glam Jambi</t>
        </is>
      </c>
      <c r="AM3524" t="n">
        <v>4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PRECIOUS SKIN</t>
        </is>
      </c>
      <c r="B3525" s="2">
        <f>"8859690400841"</f>
        <v/>
      </c>
      <c r="C3525" t="inlineStr">
        <is>
          <t>PRECIOUS SKIN HYA Brightening Soap 80gr</t>
        </is>
      </c>
      <c r="D3525" t="inlineStr">
        <is>
          <t>Miss Glam Jambi</t>
        </is>
      </c>
      <c r="E3525" t="n">
        <v>1</v>
      </c>
      <c r="F3525" t="n">
        <v>0.0165</v>
      </c>
      <c r="G3525" t="n">
        <v>0.66</v>
      </c>
      <c r="H3525" t="n">
        <v>4</v>
      </c>
      <c r="I3525" t="n">
        <v>20</v>
      </c>
      <c r="J3525" t="n">
        <v>3</v>
      </c>
      <c r="K3525" t="n">
        <v>6</v>
      </c>
      <c r="L3525" t="n">
        <v>18903</v>
      </c>
      <c r="M3525" t="n">
        <v>26000</v>
      </c>
      <c r="N3525" t="n">
        <v>33</v>
      </c>
      <c r="O3525" t="n">
        <v>0.33</v>
      </c>
      <c r="P3525" t="n">
        <v>1</v>
      </c>
      <c r="Q3525" t="n">
        <v>0.07000000000000001</v>
      </c>
      <c r="R3525" t="n">
        <v>1</v>
      </c>
      <c r="S3525" t="n">
        <v>429</v>
      </c>
      <c r="T3525" t="n">
        <v>14</v>
      </c>
      <c r="U3525" t="n">
        <v>15</v>
      </c>
      <c r="V3525" t="n">
        <v>30</v>
      </c>
      <c r="W3525" t="n">
        <v>1</v>
      </c>
      <c r="X3525" t="n">
        <v>60.6060606060606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7860</v>
      </c>
      <c r="AG3525" t="n">
        <v>1</v>
      </c>
      <c r="AH3525" t="inlineStr">
        <is>
          <t>PT. BERSAMA DISTRIVERSA INDONESIA (DC CIPUTAT)</t>
        </is>
      </c>
      <c r="AI3525" t="n">
        <v>657</v>
      </c>
      <c r="AJ3525" t="inlineStr">
        <is>
          <t>PRECIOUS SKIN</t>
        </is>
      </c>
      <c r="AK3525" t="n">
        <v>9</v>
      </c>
      <c r="AL3525" t="inlineStr">
        <is>
          <t>Miss Glam Jambi</t>
        </is>
      </c>
      <c r="AM3525" t="n">
        <v>4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PRECIOUS SKIN</t>
        </is>
      </c>
      <c r="B3526" s="2">
        <f>"8859690401282"</f>
        <v/>
      </c>
      <c r="C3526" t="inlineStr">
        <is>
          <t>PRECIOUS SKIN Kojic Collagen Soap 60gr</t>
        </is>
      </c>
      <c r="D3526" t="inlineStr">
        <is>
          <t>Miss Glam Jambi</t>
        </is>
      </c>
      <c r="E3526" t="n">
        <v>3</v>
      </c>
      <c r="F3526" t="n">
        <v>0.08</v>
      </c>
      <c r="G3526" t="n">
        <v>1</v>
      </c>
      <c r="H3526" t="n">
        <v>4</v>
      </c>
      <c r="I3526" t="n">
        <v>20</v>
      </c>
      <c r="J3526" t="n">
        <v>3</v>
      </c>
      <c r="K3526" t="n">
        <v>0</v>
      </c>
      <c r="L3526" t="n">
        <v>37806</v>
      </c>
      <c r="M3526" t="n">
        <v>47000</v>
      </c>
      <c r="N3526" t="n">
        <v>33</v>
      </c>
      <c r="O3526" t="n">
        <v>0.33</v>
      </c>
      <c r="P3526" t="n">
        <v>0</v>
      </c>
      <c r="Q3526" t="n">
        <v>0.08</v>
      </c>
      <c r="R3526" t="n">
        <v>1</v>
      </c>
      <c r="S3526" t="n">
        <v>3760</v>
      </c>
      <c r="T3526" t="n">
        <v>20</v>
      </c>
      <c r="U3526" t="n">
        <v>21</v>
      </c>
      <c r="V3526" t="n">
        <v>30</v>
      </c>
      <c r="W3526" t="n">
        <v>3</v>
      </c>
      <c r="X3526" t="n">
        <v>37.5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7860</v>
      </c>
      <c r="AG3526" t="n">
        <v>1</v>
      </c>
      <c r="AH3526" t="inlineStr">
        <is>
          <t>PT. BERSAMA DISTRIVERSA INDONESIA (DC CIPUTAT)</t>
        </is>
      </c>
      <c r="AI3526" t="n">
        <v>657</v>
      </c>
      <c r="AJ3526" t="inlineStr">
        <is>
          <t>PRECIOUS SKIN</t>
        </is>
      </c>
      <c r="AK3526" t="n">
        <v>9</v>
      </c>
      <c r="AL3526" t="inlineStr">
        <is>
          <t>Miss Glam Jambi</t>
        </is>
      </c>
      <c r="AM3526" t="n">
        <v>4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PROJECT 1945</t>
        </is>
      </c>
      <c r="B3527" s="2">
        <f>"30400255553"</f>
        <v/>
      </c>
      <c r="C3527" t="inlineStr">
        <is>
          <t>PROJECT 1945 Fields Of Ubud EDP 100ml</t>
        </is>
      </c>
      <c r="D3527" t="inlineStr">
        <is>
          <t>Miss Glam Jambi</t>
        </is>
      </c>
      <c r="E3527" t="n">
        <v>5</v>
      </c>
      <c r="F3527" t="n">
        <v>0.006600000000000001</v>
      </c>
      <c r="G3527" t="n">
        <v>0.33</v>
      </c>
      <c r="H3527" t="n">
        <v>4</v>
      </c>
      <c r="I3527" t="n">
        <v>20</v>
      </c>
      <c r="J3527" t="n">
        <v>1</v>
      </c>
      <c r="K3527" t="n">
        <v>0</v>
      </c>
      <c r="L3527" t="n">
        <v>227500</v>
      </c>
      <c r="M3527" t="n">
        <v>325000</v>
      </c>
      <c r="N3527" t="n">
        <v>33</v>
      </c>
      <c r="O3527" t="n">
        <v>0.33</v>
      </c>
      <c r="P3527" t="n">
        <v>1</v>
      </c>
      <c r="Q3527" t="n">
        <v>0.02</v>
      </c>
      <c r="R3527" t="n">
        <v>1</v>
      </c>
      <c r="S3527" t="n">
        <v>2145</v>
      </c>
      <c r="T3527" t="n">
        <v>7</v>
      </c>
      <c r="U3527" t="n">
        <v>8</v>
      </c>
      <c r="V3527" t="n">
        <v>30</v>
      </c>
      <c r="W3527" t="n">
        <v>1</v>
      </c>
      <c r="X3527" t="n">
        <v>757.5757575757575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7893</v>
      </c>
      <c r="AG3527" t="n">
        <v>1</v>
      </c>
      <c r="AH3527" t="inlineStr">
        <is>
          <t>PT. BERSAMA DISTRIVERSA INDONESIA (DC CIPUTAT)</t>
        </is>
      </c>
      <c r="AI3527" t="n">
        <v>2321</v>
      </c>
      <c r="AJ3527" t="inlineStr">
        <is>
          <t>PROJECT 1945</t>
        </is>
      </c>
      <c r="AK3527" t="n">
        <v>9</v>
      </c>
      <c r="AL3527" t="inlineStr">
        <is>
          <t>Miss Glam Jambi</t>
        </is>
      </c>
      <c r="AM3527" t="n">
        <v>3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PROJECT 1945</t>
        </is>
      </c>
      <c r="B3528" s="2">
        <f>"30400255256"</f>
        <v/>
      </c>
      <c r="C3528" t="inlineStr">
        <is>
          <t>PROJECT 1945 Sunset In Sumba 2.0 EDP 100ml</t>
        </is>
      </c>
      <c r="D3528" t="inlineStr">
        <is>
          <t>Miss Glam Jambi</t>
        </is>
      </c>
      <c r="E3528" t="n">
        <v>4</v>
      </c>
      <c r="F3528" t="n">
        <v>0.009900000000000001</v>
      </c>
      <c r="G3528" t="n">
        <v>0.33</v>
      </c>
      <c r="H3528" t="n">
        <v>4</v>
      </c>
      <c r="I3528" t="n">
        <v>20</v>
      </c>
      <c r="J3528" t="n">
        <v>1</v>
      </c>
      <c r="K3528" t="n">
        <v>0</v>
      </c>
      <c r="L3528" t="n">
        <v>227500</v>
      </c>
      <c r="M3528" t="n">
        <v>325000</v>
      </c>
      <c r="N3528" t="n">
        <v>33</v>
      </c>
      <c r="O3528" t="n">
        <v>0.33</v>
      </c>
      <c r="P3528" t="n">
        <v>1</v>
      </c>
      <c r="Q3528" t="n">
        <v>0.02</v>
      </c>
      <c r="R3528" t="n">
        <v>1</v>
      </c>
      <c r="S3528" t="n">
        <v>3217.5</v>
      </c>
      <c r="T3528" t="n">
        <v>7</v>
      </c>
      <c r="U3528" t="n">
        <v>8</v>
      </c>
      <c r="V3528" t="n">
        <v>30</v>
      </c>
      <c r="W3528" t="n">
        <v>1</v>
      </c>
      <c r="X3528" t="n">
        <v>404.040404040404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7893</v>
      </c>
      <c r="AG3528" t="n">
        <v>1</v>
      </c>
      <c r="AH3528" t="inlineStr">
        <is>
          <t>PT. BERSAMA DISTRIVERSA INDONESIA (DC CIPUTAT)</t>
        </is>
      </c>
      <c r="AI3528" t="n">
        <v>2321</v>
      </c>
      <c r="AJ3528" t="inlineStr">
        <is>
          <t>PROJECT 1945</t>
        </is>
      </c>
      <c r="AK3528" t="n">
        <v>9</v>
      </c>
      <c r="AL3528" t="inlineStr">
        <is>
          <t>Miss Glam Jambi</t>
        </is>
      </c>
      <c r="AM3528" t="n">
        <v>3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PROJECT 1945</t>
        </is>
      </c>
      <c r="B3529" s="2">
        <f>"30400255350"</f>
        <v/>
      </c>
      <c r="C3529" t="inlineStr">
        <is>
          <t>PROJECT 1945 The Great Batavia EDP 100ml</t>
        </is>
      </c>
      <c r="D3529" t="inlineStr">
        <is>
          <t>Miss Glam Jambi</t>
        </is>
      </c>
      <c r="E3529" t="n">
        <v>4</v>
      </c>
      <c r="F3529" t="n">
        <v>0.0165</v>
      </c>
      <c r="G3529" t="n">
        <v>0.66</v>
      </c>
      <c r="H3529" t="n">
        <v>4</v>
      </c>
      <c r="I3529" t="n">
        <v>20</v>
      </c>
      <c r="J3529" t="n">
        <v>1</v>
      </c>
      <c r="K3529" t="n">
        <v>0</v>
      </c>
      <c r="L3529" t="n">
        <v>227500</v>
      </c>
      <c r="M3529" t="n">
        <v>325000</v>
      </c>
      <c r="N3529" t="n">
        <v>33</v>
      </c>
      <c r="O3529" t="n">
        <v>0.33</v>
      </c>
      <c r="P3529" t="n">
        <v>1</v>
      </c>
      <c r="Q3529" t="n">
        <v>0.05</v>
      </c>
      <c r="R3529" t="n">
        <v>1</v>
      </c>
      <c r="S3529" t="n">
        <v>5362.5</v>
      </c>
      <c r="T3529" t="n">
        <v>14</v>
      </c>
      <c r="U3529" t="n">
        <v>15</v>
      </c>
      <c r="V3529" t="n">
        <v>30</v>
      </c>
      <c r="W3529" t="n">
        <v>1</v>
      </c>
      <c r="X3529" t="n">
        <v>242.4242424242424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7893</v>
      </c>
      <c r="AG3529" t="n">
        <v>1</v>
      </c>
      <c r="AH3529" t="inlineStr">
        <is>
          <t>PT. BERSAMA DISTRIVERSA INDONESIA (DC CIPUTAT)</t>
        </is>
      </c>
      <c r="AI3529" t="n">
        <v>2321</v>
      </c>
      <c r="AJ3529" t="inlineStr">
        <is>
          <t>PROJECT 1945</t>
        </is>
      </c>
      <c r="AK3529" t="n">
        <v>9</v>
      </c>
      <c r="AL3529" t="inlineStr">
        <is>
          <t>Miss Glam Jambi</t>
        </is>
      </c>
      <c r="AM3529" t="n">
        <v>3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PUCELLE</t>
        </is>
      </c>
      <c r="B3530" s="2">
        <f>"8992222093088"</f>
        <v/>
      </c>
      <c r="C3530" t="inlineStr">
        <is>
          <t>PUCELLE Audacity Eau De Parfum Glimmery</t>
        </is>
      </c>
      <c r="D3530" t="inlineStr">
        <is>
          <t>Miss Glam Jambi</t>
        </is>
      </c>
      <c r="E3530" t="n">
        <v>1</v>
      </c>
      <c r="F3530" t="n">
        <v>0.1947</v>
      </c>
      <c r="G3530" t="n">
        <v>1.32</v>
      </c>
      <c r="H3530" t="n">
        <v>2</v>
      </c>
      <c r="I3530" t="n">
        <v>6</v>
      </c>
      <c r="J3530" t="n">
        <v>3</v>
      </c>
      <c r="K3530" t="n">
        <v>4</v>
      </c>
      <c r="L3530" t="n">
        <v>33075</v>
      </c>
      <c r="M3530" t="n">
        <v>41000</v>
      </c>
      <c r="N3530" t="n">
        <v>33</v>
      </c>
      <c r="O3530" t="n">
        <v>0.33</v>
      </c>
      <c r="P3530" t="n">
        <v>1</v>
      </c>
      <c r="Q3530" t="n">
        <v>0.19</v>
      </c>
      <c r="R3530" t="n">
        <v>2</v>
      </c>
      <c r="S3530" t="n">
        <v>7982.700000000001</v>
      </c>
      <c r="T3530" t="n">
        <v>8</v>
      </c>
      <c r="U3530" t="n">
        <v>9</v>
      </c>
      <c r="V3530" t="n">
        <v>30</v>
      </c>
      <c r="W3530" t="n">
        <v>6</v>
      </c>
      <c r="X3530" t="n">
        <v>5.136106831022085</v>
      </c>
      <c r="Y3530" t="n">
        <v>1</v>
      </c>
      <c r="Z3530" t="n">
        <v>1</v>
      </c>
      <c r="AA3530" t="n">
        <v>0</v>
      </c>
      <c r="AB3530" t="n">
        <v>1</v>
      </c>
      <c r="AC3530" t="n">
        <v>3</v>
      </c>
      <c r="AD3530" t="n">
        <v>0</v>
      </c>
      <c r="AE3530" t="n">
        <v>99225</v>
      </c>
      <c r="AF3530" t="n">
        <v>1403</v>
      </c>
      <c r="AG3530" t="n">
        <v>2136</v>
      </c>
      <c r="AH3530" t="inlineStr">
        <is>
          <t>CV. SAMUDRA JAYA ABADI - PPN (JMB)</t>
        </is>
      </c>
      <c r="AI3530" t="n">
        <v>565</v>
      </c>
      <c r="AJ3530" t="inlineStr">
        <is>
          <t>PUCELLE</t>
        </is>
      </c>
      <c r="AK3530" t="n">
        <v>9</v>
      </c>
      <c r="AL3530" t="inlineStr">
        <is>
          <t>Miss Glam Jambi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PUCELLE</t>
        </is>
      </c>
      <c r="B3531" s="2">
        <f>"8992222093095"</f>
        <v/>
      </c>
      <c r="C3531" t="inlineStr">
        <is>
          <t>PUCELLE Audacity Eau De Parfum Valorous</t>
        </is>
      </c>
      <c r="D3531" t="inlineStr">
        <is>
          <t>Miss Glam Jambi</t>
        </is>
      </c>
      <c r="E3531" t="n">
        <v>2</v>
      </c>
      <c r="F3531" t="n">
        <v>0.1617</v>
      </c>
      <c r="G3531" t="n">
        <v>0.66</v>
      </c>
      <c r="H3531" t="n">
        <v>2</v>
      </c>
      <c r="I3531" t="n">
        <v>6</v>
      </c>
      <c r="J3531" t="n">
        <v>3</v>
      </c>
      <c r="K3531" t="n">
        <v>3</v>
      </c>
      <c r="L3531" t="n">
        <v>33075</v>
      </c>
      <c r="M3531" t="n">
        <v>41000</v>
      </c>
      <c r="N3531" t="n">
        <v>33</v>
      </c>
      <c r="O3531" t="n">
        <v>0.33</v>
      </c>
      <c r="P3531" t="n">
        <v>1</v>
      </c>
      <c r="Q3531" t="n">
        <v>0.1</v>
      </c>
      <c r="R3531" t="n">
        <v>2</v>
      </c>
      <c r="S3531" t="n">
        <v>6629.700000000001</v>
      </c>
      <c r="T3531" t="n">
        <v>4</v>
      </c>
      <c r="U3531" t="n">
        <v>5</v>
      </c>
      <c r="V3531" t="n">
        <v>30</v>
      </c>
      <c r="W3531" t="n">
        <v>5</v>
      </c>
      <c r="X3531" t="n">
        <v>12.36858379715522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1403</v>
      </c>
      <c r="AG3531" t="n">
        <v>2136</v>
      </c>
      <c r="AH3531" t="inlineStr">
        <is>
          <t>CV. SAMUDRA JAYA ABADI - PPN (JMB)</t>
        </is>
      </c>
      <c r="AI3531" t="n">
        <v>565</v>
      </c>
      <c r="AJ3531" t="inlineStr">
        <is>
          <t>PUCELLE</t>
        </is>
      </c>
      <c r="AK3531" t="n">
        <v>9</v>
      </c>
      <c r="AL3531" t="inlineStr">
        <is>
          <t>Miss Glam Jambi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PUCELLE</t>
        </is>
      </c>
      <c r="B3532" s="2">
        <f>"8992222093019"</f>
        <v/>
      </c>
      <c r="C3532" t="inlineStr">
        <is>
          <t>PUCELLE Eau De Luxe Body Spray Azure 150ml</t>
        </is>
      </c>
      <c r="D3532" t="inlineStr">
        <is>
          <t>Miss Glam Jambi</t>
        </is>
      </c>
      <c r="E3532" t="n">
        <v>9</v>
      </c>
      <c r="F3532" t="n">
        <v>0.1914</v>
      </c>
      <c r="G3532" t="n">
        <v>1.32</v>
      </c>
      <c r="H3532" t="n">
        <v>2</v>
      </c>
      <c r="I3532" t="n">
        <v>6</v>
      </c>
      <c r="J3532" t="n">
        <v>3</v>
      </c>
      <c r="K3532" t="n">
        <v>0</v>
      </c>
      <c r="L3532" t="n">
        <v>20009</v>
      </c>
      <c r="M3532" t="n">
        <v>23500</v>
      </c>
      <c r="N3532" t="n">
        <v>33</v>
      </c>
      <c r="O3532" t="n">
        <v>0.33</v>
      </c>
      <c r="P3532" t="n">
        <v>1</v>
      </c>
      <c r="Q3532" t="n">
        <v>0.05</v>
      </c>
      <c r="R3532" t="n">
        <v>1</v>
      </c>
      <c r="S3532" t="n">
        <v>4497.9</v>
      </c>
      <c r="T3532" t="n">
        <v>8</v>
      </c>
      <c r="U3532" t="n">
        <v>9</v>
      </c>
      <c r="V3532" t="n">
        <v>30</v>
      </c>
      <c r="W3532" t="n">
        <v>6</v>
      </c>
      <c r="X3532" t="n">
        <v>47.02194357366771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1403</v>
      </c>
      <c r="AG3532" t="n">
        <v>2136</v>
      </c>
      <c r="AH3532" t="inlineStr">
        <is>
          <t>CV. SAMUDRA JAYA ABADI - PPN (JMB)</t>
        </is>
      </c>
      <c r="AI3532" t="n">
        <v>565</v>
      </c>
      <c r="AJ3532" t="inlineStr">
        <is>
          <t>PUCELLE</t>
        </is>
      </c>
      <c r="AK3532" t="n">
        <v>9</v>
      </c>
      <c r="AL3532" t="inlineStr">
        <is>
          <t>Miss Glam Jambi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PUCELLE</t>
        </is>
      </c>
      <c r="B3533" s="2">
        <f>"8992222093026"</f>
        <v/>
      </c>
      <c r="C3533" t="inlineStr">
        <is>
          <t>PUCELLE Eau De Luxe Body Spray Dainty 150ml</t>
        </is>
      </c>
      <c r="D3533" t="inlineStr">
        <is>
          <t>Miss Glam Jambi</t>
        </is>
      </c>
      <c r="E3533" t="n">
        <v>6</v>
      </c>
      <c r="F3533" t="n">
        <v>0.3366</v>
      </c>
      <c r="G3533" t="n">
        <v>1.32</v>
      </c>
      <c r="H3533" t="n">
        <v>2</v>
      </c>
      <c r="I3533" t="n">
        <v>6</v>
      </c>
      <c r="J3533" t="n">
        <v>3</v>
      </c>
      <c r="K3533" t="n">
        <v>4</v>
      </c>
      <c r="L3533" t="n">
        <v>20004</v>
      </c>
      <c r="M3533" t="n">
        <v>22500</v>
      </c>
      <c r="N3533" t="n">
        <v>33</v>
      </c>
      <c r="O3533" t="n">
        <v>0.33</v>
      </c>
      <c r="P3533" t="n">
        <v>1</v>
      </c>
      <c r="Q3533" t="n">
        <v>0.19</v>
      </c>
      <c r="R3533" t="n">
        <v>1</v>
      </c>
      <c r="S3533" t="n">
        <v>7573.5</v>
      </c>
      <c r="T3533" t="n">
        <v>8</v>
      </c>
      <c r="U3533" t="n">
        <v>9</v>
      </c>
      <c r="V3533" t="n">
        <v>30</v>
      </c>
      <c r="W3533" t="n">
        <v>11</v>
      </c>
      <c r="X3533" t="n">
        <v>17.825311942959</v>
      </c>
      <c r="Y3533" t="n">
        <v>1</v>
      </c>
      <c r="Z3533" t="n">
        <v>1</v>
      </c>
      <c r="AA3533" t="n">
        <v>0</v>
      </c>
      <c r="AB3533" t="n">
        <v>1</v>
      </c>
      <c r="AC3533" t="n">
        <v>3</v>
      </c>
      <c r="AD3533" t="n">
        <v>0</v>
      </c>
      <c r="AE3533" t="n">
        <v>60012</v>
      </c>
      <c r="AF3533" t="n">
        <v>1403</v>
      </c>
      <c r="AG3533" t="n">
        <v>2136</v>
      </c>
      <c r="AH3533" t="inlineStr">
        <is>
          <t>CV. SAMUDRA JAYA ABADI - PPN (JMB)</t>
        </is>
      </c>
      <c r="AI3533" t="n">
        <v>565</v>
      </c>
      <c r="AJ3533" t="inlineStr">
        <is>
          <t>PUCELLE</t>
        </is>
      </c>
      <c r="AK3533" t="n">
        <v>9</v>
      </c>
      <c r="AL3533" t="inlineStr">
        <is>
          <t>Miss Glam Jambi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PUCELLE</t>
        </is>
      </c>
      <c r="B3534" s="2">
        <f>"8992222093033"</f>
        <v/>
      </c>
      <c r="C3534" t="inlineStr">
        <is>
          <t>PUCELLE Eau De Luxe Body Spray Finesse 150ml</t>
        </is>
      </c>
      <c r="D3534" t="inlineStr">
        <is>
          <t>Miss Glam Jambi</t>
        </is>
      </c>
      <c r="E3534" t="n">
        <v>4</v>
      </c>
      <c r="F3534" t="n">
        <v>0.1749</v>
      </c>
      <c r="G3534" t="n">
        <v>0.99</v>
      </c>
      <c r="H3534" t="n">
        <v>2</v>
      </c>
      <c r="I3534" t="n">
        <v>6</v>
      </c>
      <c r="J3534" t="n">
        <v>3</v>
      </c>
      <c r="K3534" t="n">
        <v>3</v>
      </c>
      <c r="L3534" t="n">
        <v>19776</v>
      </c>
      <c r="M3534" t="n">
        <v>22500</v>
      </c>
      <c r="N3534" t="n">
        <v>33</v>
      </c>
      <c r="O3534" t="n">
        <v>0.33</v>
      </c>
      <c r="P3534" t="n">
        <v>1</v>
      </c>
      <c r="Q3534" t="n">
        <v>0.03</v>
      </c>
      <c r="R3534" t="n">
        <v>2</v>
      </c>
      <c r="S3534" t="n">
        <v>3935.25</v>
      </c>
      <c r="T3534" t="n">
        <v>6</v>
      </c>
      <c r="U3534" t="n">
        <v>7</v>
      </c>
      <c r="V3534" t="n">
        <v>30</v>
      </c>
      <c r="W3534" t="n">
        <v>6</v>
      </c>
      <c r="X3534" t="n">
        <v>22.87021154945683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1403</v>
      </c>
      <c r="AG3534" t="n">
        <v>2136</v>
      </c>
      <c r="AH3534" t="inlineStr">
        <is>
          <t>CV. SAMUDRA JAYA ABADI - PPN (JMB)</t>
        </is>
      </c>
      <c r="AI3534" t="n">
        <v>565</v>
      </c>
      <c r="AJ3534" t="inlineStr">
        <is>
          <t>PUCELLE</t>
        </is>
      </c>
      <c r="AK3534" t="n">
        <v>9</v>
      </c>
      <c r="AL3534" t="inlineStr">
        <is>
          <t>Miss Glam Jambi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PUCELLE</t>
        </is>
      </c>
      <c r="B3535" s="2">
        <f>"8992222093040"</f>
        <v/>
      </c>
      <c r="C3535" t="inlineStr">
        <is>
          <t>PUCELLE Eau De Luxe Body Spray Glitzy 150ml</t>
        </is>
      </c>
      <c r="D3535" t="inlineStr">
        <is>
          <t>Miss Glam Jambi</t>
        </is>
      </c>
      <c r="E3535" t="n">
        <v>5</v>
      </c>
      <c r="F3535" t="n">
        <v>0.2178</v>
      </c>
      <c r="G3535" t="n">
        <v>1.32</v>
      </c>
      <c r="H3535" t="n">
        <v>2</v>
      </c>
      <c r="I3535" t="n">
        <v>6</v>
      </c>
      <c r="J3535" t="n">
        <v>3</v>
      </c>
      <c r="K3535" t="n">
        <v>3</v>
      </c>
      <c r="L3535" t="n">
        <v>19983</v>
      </c>
      <c r="M3535" t="n">
        <v>22500</v>
      </c>
      <c r="N3535" t="n">
        <v>33</v>
      </c>
      <c r="O3535" t="n">
        <v>0.33</v>
      </c>
      <c r="P3535" t="n">
        <v>1</v>
      </c>
      <c r="Q3535" t="n">
        <v>0.08</v>
      </c>
      <c r="R3535" t="n">
        <v>1</v>
      </c>
      <c r="S3535" t="n">
        <v>4900.500000000001</v>
      </c>
      <c r="T3535" t="n">
        <v>8</v>
      </c>
      <c r="U3535" t="n">
        <v>9</v>
      </c>
      <c r="V3535" t="n">
        <v>30</v>
      </c>
      <c r="W3535" t="n">
        <v>7</v>
      </c>
      <c r="X3535" t="n">
        <v>22.95684113865932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1403</v>
      </c>
      <c r="AG3535" t="n">
        <v>2136</v>
      </c>
      <c r="AH3535" t="inlineStr">
        <is>
          <t>CV. SAMUDRA JAYA ABADI - PPN (JMB)</t>
        </is>
      </c>
      <c r="AI3535" t="n">
        <v>565</v>
      </c>
      <c r="AJ3535" t="inlineStr">
        <is>
          <t>PUCELLE</t>
        </is>
      </c>
      <c r="AK3535" t="n">
        <v>9</v>
      </c>
      <c r="AL3535" t="inlineStr">
        <is>
          <t>Miss Glam Jambi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PUCELLE</t>
        </is>
      </c>
      <c r="B3536" s="2">
        <f>"8992222093170"</f>
        <v/>
      </c>
      <c r="C3536" t="inlineStr">
        <is>
          <t>PUCELLE Eau De Luxe Body Spray Lucent 150ml</t>
        </is>
      </c>
      <c r="D3536" t="inlineStr">
        <is>
          <t>Miss Glam Jambi</t>
        </is>
      </c>
      <c r="E3536" t="n">
        <v>5</v>
      </c>
      <c r="F3536" t="n">
        <v>0.3696</v>
      </c>
      <c r="G3536" t="n">
        <v>1.32</v>
      </c>
      <c r="H3536" t="n">
        <v>2</v>
      </c>
      <c r="I3536" t="n">
        <v>6</v>
      </c>
      <c r="J3536" t="n">
        <v>3</v>
      </c>
      <c r="K3536" t="n">
        <v>7</v>
      </c>
      <c r="L3536" t="n">
        <v>19994</v>
      </c>
      <c r="M3536" t="n">
        <v>22500</v>
      </c>
      <c r="N3536" t="n">
        <v>33</v>
      </c>
      <c r="O3536" t="n">
        <v>0.33</v>
      </c>
      <c r="P3536" t="n">
        <v>1</v>
      </c>
      <c r="Q3536" t="n">
        <v>0.08</v>
      </c>
      <c r="R3536" t="n">
        <v>2</v>
      </c>
      <c r="S3536" t="n">
        <v>8316</v>
      </c>
      <c r="T3536" t="n">
        <v>8</v>
      </c>
      <c r="U3536" t="n">
        <v>9</v>
      </c>
      <c r="V3536" t="n">
        <v>30</v>
      </c>
      <c r="W3536" t="n">
        <v>12</v>
      </c>
      <c r="X3536" t="n">
        <v>13.52813852813853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1403</v>
      </c>
      <c r="AG3536" t="n">
        <v>2136</v>
      </c>
      <c r="AH3536" t="inlineStr">
        <is>
          <t>CV. SAMUDRA JAYA ABADI - PPN (JMB)</t>
        </is>
      </c>
      <c r="AI3536" t="n">
        <v>565</v>
      </c>
      <c r="AJ3536" t="inlineStr">
        <is>
          <t>PUCELLE</t>
        </is>
      </c>
      <c r="AK3536" t="n">
        <v>9</v>
      </c>
      <c r="AL3536" t="inlineStr">
        <is>
          <t>Miss Glam Jambi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PUCELLE</t>
        </is>
      </c>
      <c r="B3537" s="2">
        <f>"8992222093057"</f>
        <v/>
      </c>
      <c r="C3537" t="inlineStr">
        <is>
          <t>PUCELLE Eau de Luxe Body Spray Victress 150ml</t>
        </is>
      </c>
      <c r="D3537" t="inlineStr">
        <is>
          <t>Miss Glam Jambi</t>
        </is>
      </c>
      <c r="E3537" t="n">
        <v>4</v>
      </c>
      <c r="F3537" t="n">
        <v>0.3069</v>
      </c>
      <c r="G3537" t="n">
        <v>1.32</v>
      </c>
      <c r="H3537" t="n">
        <v>2</v>
      </c>
      <c r="I3537" t="n">
        <v>6</v>
      </c>
      <c r="J3537" t="n">
        <v>3</v>
      </c>
      <c r="K3537" t="n">
        <v>5</v>
      </c>
      <c r="L3537" t="n">
        <v>19956</v>
      </c>
      <c r="M3537" t="n">
        <v>26000</v>
      </c>
      <c r="N3537" t="n">
        <v>33</v>
      </c>
      <c r="O3537" t="n">
        <v>0.33</v>
      </c>
      <c r="P3537" t="n">
        <v>1</v>
      </c>
      <c r="Q3537" t="n">
        <v>0.08</v>
      </c>
      <c r="R3537" t="n">
        <v>1</v>
      </c>
      <c r="S3537" t="n">
        <v>7979.400000000001</v>
      </c>
      <c r="T3537" t="n">
        <v>8</v>
      </c>
      <c r="U3537" t="n">
        <v>9</v>
      </c>
      <c r="V3537" t="n">
        <v>30</v>
      </c>
      <c r="W3537" t="n">
        <v>10</v>
      </c>
      <c r="X3537" t="n">
        <v>13.0335614206582</v>
      </c>
      <c r="Y3537" t="n">
        <v>1</v>
      </c>
      <c r="Z3537" t="n">
        <v>1</v>
      </c>
      <c r="AA3537" t="n">
        <v>0</v>
      </c>
      <c r="AB3537" t="n">
        <v>1</v>
      </c>
      <c r="AC3537" t="n">
        <v>3</v>
      </c>
      <c r="AD3537" t="n">
        <v>0</v>
      </c>
      <c r="AE3537" t="n">
        <v>59868</v>
      </c>
      <c r="AF3537" t="n">
        <v>1403</v>
      </c>
      <c r="AG3537" t="n">
        <v>2136</v>
      </c>
      <c r="AH3537" t="inlineStr">
        <is>
          <t>CV. SAMUDRA JAYA ABADI - PPN (JMB)</t>
        </is>
      </c>
      <c r="AI3537" t="n">
        <v>565</v>
      </c>
      <c r="AJ3537" t="inlineStr">
        <is>
          <t>PUCELLE</t>
        </is>
      </c>
      <c r="AK3537" t="n">
        <v>9</v>
      </c>
      <c r="AL3537" t="inlineStr">
        <is>
          <t>Miss Glam Jambi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PUCELLE</t>
        </is>
      </c>
      <c r="B3538" s="2">
        <f>"8992222092968"</f>
        <v/>
      </c>
      <c r="C3538" t="inlineStr">
        <is>
          <t>PUCELLE Eau De Luxe Cologne Azure 100ml</t>
        </is>
      </c>
      <c r="D3538" t="inlineStr">
        <is>
          <t>Miss Glam Jambi</t>
        </is>
      </c>
      <c r="E3538" t="n">
        <v>1</v>
      </c>
      <c r="F3538" t="n">
        <v>0.3564000000000001</v>
      </c>
      <c r="G3538" t="n">
        <v>1.32</v>
      </c>
      <c r="H3538" t="n">
        <v>2</v>
      </c>
      <c r="I3538" t="n">
        <v>6</v>
      </c>
      <c r="J3538" t="n">
        <v>3</v>
      </c>
      <c r="K3538" t="n">
        <v>8</v>
      </c>
      <c r="L3538" t="n">
        <v>31034</v>
      </c>
      <c r="M3538" t="n">
        <v>39000</v>
      </c>
      <c r="N3538" t="n">
        <v>33</v>
      </c>
      <c r="O3538" t="n">
        <v>0.33</v>
      </c>
      <c r="P3538" t="n">
        <v>1</v>
      </c>
      <c r="Q3538" t="n">
        <v>0.15</v>
      </c>
      <c r="R3538" t="n">
        <v>4</v>
      </c>
      <c r="S3538" t="n">
        <v>13899.6</v>
      </c>
      <c r="T3538" t="n">
        <v>8</v>
      </c>
      <c r="U3538" t="n">
        <v>9</v>
      </c>
      <c r="V3538" t="n">
        <v>30</v>
      </c>
      <c r="W3538" t="n">
        <v>11</v>
      </c>
      <c r="X3538" t="n">
        <v>2.805836139169472</v>
      </c>
      <c r="Y3538" t="n">
        <v>1</v>
      </c>
      <c r="Z3538" t="n">
        <v>2</v>
      </c>
      <c r="AA3538" t="n">
        <v>1</v>
      </c>
      <c r="AB3538" t="n">
        <v>1</v>
      </c>
      <c r="AC3538" t="n">
        <v>3</v>
      </c>
      <c r="AD3538" t="n">
        <v>31034</v>
      </c>
      <c r="AE3538" t="n">
        <v>93102</v>
      </c>
      <c r="AF3538" t="n">
        <v>1403</v>
      </c>
      <c r="AG3538" t="n">
        <v>2136</v>
      </c>
      <c r="AH3538" t="inlineStr">
        <is>
          <t>CV. SAMUDRA JAYA ABADI - PPN (JMB)</t>
        </is>
      </c>
      <c r="AI3538" t="n">
        <v>565</v>
      </c>
      <c r="AJ3538" t="inlineStr">
        <is>
          <t>PUCELLE</t>
        </is>
      </c>
      <c r="AK3538" t="n">
        <v>9</v>
      </c>
      <c r="AL3538" t="inlineStr">
        <is>
          <t>Miss Glam Jambi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PUCELLE</t>
        </is>
      </c>
      <c r="B3539" s="2">
        <f>"8992222092975"</f>
        <v/>
      </c>
      <c r="C3539" t="inlineStr">
        <is>
          <t>PUCELLE Eau De Luxe Cologne Dainty 100ml</t>
        </is>
      </c>
      <c r="D3539" t="inlineStr">
        <is>
          <t>Miss Glam Jambi</t>
        </is>
      </c>
      <c r="E3539" t="n">
        <v>5</v>
      </c>
      <c r="F3539" t="n">
        <v>0.6204</v>
      </c>
      <c r="G3539" t="n">
        <v>2.64</v>
      </c>
      <c r="H3539" t="n">
        <v>2</v>
      </c>
      <c r="I3539" t="n">
        <v>6</v>
      </c>
      <c r="J3539" t="n">
        <v>3</v>
      </c>
      <c r="K3539" t="n">
        <v>15</v>
      </c>
      <c r="L3539" t="n">
        <v>31034</v>
      </c>
      <c r="M3539" t="n">
        <v>37000</v>
      </c>
      <c r="N3539" t="n">
        <v>33</v>
      </c>
      <c r="O3539" t="n">
        <v>0.33</v>
      </c>
      <c r="P3539" t="n">
        <v>1</v>
      </c>
      <c r="Q3539" t="n">
        <v>0.44</v>
      </c>
      <c r="R3539" t="n">
        <v>2</v>
      </c>
      <c r="S3539" t="n">
        <v>22954.8</v>
      </c>
      <c r="T3539" t="n">
        <v>15</v>
      </c>
      <c r="U3539" t="n">
        <v>17</v>
      </c>
      <c r="V3539" t="n">
        <v>30</v>
      </c>
      <c r="W3539" t="n">
        <v>19</v>
      </c>
      <c r="X3539" t="n">
        <v>8.059316569954868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1403</v>
      </c>
      <c r="AG3539" t="n">
        <v>2136</v>
      </c>
      <c r="AH3539" t="inlineStr">
        <is>
          <t>CV. SAMUDRA JAYA ABADI - PPN (JMB)</t>
        </is>
      </c>
      <c r="AI3539" t="n">
        <v>565</v>
      </c>
      <c r="AJ3539" t="inlineStr">
        <is>
          <t>PUCELLE</t>
        </is>
      </c>
      <c r="AK3539" t="n">
        <v>9</v>
      </c>
      <c r="AL3539" t="inlineStr">
        <is>
          <t>Miss Glam Jambi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PUCELLE</t>
        </is>
      </c>
      <c r="B3540" s="2">
        <f>"8992222092982"</f>
        <v/>
      </c>
      <c r="C3540" t="inlineStr">
        <is>
          <t>PUCELLE Eau De Luxe Cologne Finesse 100ml</t>
        </is>
      </c>
      <c r="D3540" t="inlineStr">
        <is>
          <t>Miss Glam Jambi</t>
        </is>
      </c>
      <c r="E3540" t="n">
        <v>4</v>
      </c>
      <c r="F3540" t="n">
        <v>0.3399</v>
      </c>
      <c r="G3540" t="n">
        <v>0.99</v>
      </c>
      <c r="H3540" t="n">
        <v>2</v>
      </c>
      <c r="I3540" t="n">
        <v>6</v>
      </c>
      <c r="J3540" t="n">
        <v>3</v>
      </c>
      <c r="K3540" t="n">
        <v>7</v>
      </c>
      <c r="L3540" t="n">
        <v>31034</v>
      </c>
      <c r="M3540" t="n">
        <v>37000</v>
      </c>
      <c r="N3540" t="n">
        <v>33</v>
      </c>
      <c r="O3540" t="n">
        <v>0.33</v>
      </c>
      <c r="P3540" t="n">
        <v>1</v>
      </c>
      <c r="Q3540" t="n">
        <v>0.1</v>
      </c>
      <c r="R3540" t="n">
        <v>1</v>
      </c>
      <c r="S3540" t="n">
        <v>12576.3</v>
      </c>
      <c r="T3540" t="n">
        <v>6</v>
      </c>
      <c r="U3540" t="n">
        <v>7</v>
      </c>
      <c r="V3540" t="n">
        <v>30</v>
      </c>
      <c r="W3540" t="n">
        <v>11</v>
      </c>
      <c r="X3540" t="n">
        <v>11.76816710797293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1403</v>
      </c>
      <c r="AG3540" t="n">
        <v>2136</v>
      </c>
      <c r="AH3540" t="inlineStr">
        <is>
          <t>CV. SAMUDRA JAYA ABADI - PPN (JMB)</t>
        </is>
      </c>
      <c r="AI3540" t="n">
        <v>565</v>
      </c>
      <c r="AJ3540" t="inlineStr">
        <is>
          <t>PUCELLE</t>
        </is>
      </c>
      <c r="AK3540" t="n">
        <v>9</v>
      </c>
      <c r="AL3540" t="inlineStr">
        <is>
          <t>Miss Glam Jambi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PUCELLE</t>
        </is>
      </c>
      <c r="B3541" s="2">
        <f>"8992222092999"</f>
        <v/>
      </c>
      <c r="C3541" t="inlineStr">
        <is>
          <t>PUCELLE Eau De Luxe Cologne Glitzy 100ml</t>
        </is>
      </c>
      <c r="D3541" t="inlineStr">
        <is>
          <t>Miss Glam Jambi</t>
        </is>
      </c>
      <c r="E3541" t="n">
        <v>3</v>
      </c>
      <c r="F3541" t="n">
        <v>0.1848</v>
      </c>
      <c r="G3541" t="n">
        <v>1.32</v>
      </c>
      <c r="H3541" t="n">
        <v>2</v>
      </c>
      <c r="I3541" t="n">
        <v>6</v>
      </c>
      <c r="J3541" t="n">
        <v>3</v>
      </c>
      <c r="K3541" t="n">
        <v>3</v>
      </c>
      <c r="L3541" t="n">
        <v>31034</v>
      </c>
      <c r="M3541" t="n">
        <v>37000</v>
      </c>
      <c r="N3541" t="n">
        <v>33</v>
      </c>
      <c r="O3541" t="n">
        <v>0.33</v>
      </c>
      <c r="P3541" t="n">
        <v>1</v>
      </c>
      <c r="Q3541" t="n">
        <v>0.12</v>
      </c>
      <c r="R3541" t="n">
        <v>2</v>
      </c>
      <c r="S3541" t="n">
        <v>6837.6</v>
      </c>
      <c r="T3541" t="n">
        <v>8</v>
      </c>
      <c r="U3541" t="n">
        <v>9</v>
      </c>
      <c r="V3541" t="n">
        <v>30</v>
      </c>
      <c r="W3541" t="n">
        <v>6</v>
      </c>
      <c r="X3541" t="n">
        <v>16.23376623376623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1403</v>
      </c>
      <c r="AG3541" t="n">
        <v>2136</v>
      </c>
      <c r="AH3541" t="inlineStr">
        <is>
          <t>CV. SAMUDRA JAYA ABADI - PPN (JMB)</t>
        </is>
      </c>
      <c r="AI3541" t="n">
        <v>565</v>
      </c>
      <c r="AJ3541" t="inlineStr">
        <is>
          <t>PUCELLE</t>
        </is>
      </c>
      <c r="AK3541" t="n">
        <v>9</v>
      </c>
      <c r="AL3541" t="inlineStr">
        <is>
          <t>Miss Glam Jambi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PUCELLE</t>
        </is>
      </c>
      <c r="B3542" s="2">
        <f>"8992222093163"</f>
        <v/>
      </c>
      <c r="C3542" t="inlineStr">
        <is>
          <t>PUCELLE Eau De Luxe Cologne Lucent 100ml</t>
        </is>
      </c>
      <c r="D3542" t="inlineStr">
        <is>
          <t>Miss Glam Jambi</t>
        </is>
      </c>
      <c r="E3542" t="n">
        <v>6</v>
      </c>
      <c r="F3542" t="n">
        <v>0.4323</v>
      </c>
      <c r="G3542" t="n">
        <v>1.65</v>
      </c>
      <c r="H3542" t="n">
        <v>2</v>
      </c>
      <c r="I3542" t="n">
        <v>6</v>
      </c>
      <c r="J3542" t="n">
        <v>3</v>
      </c>
      <c r="K3542" t="n">
        <v>8</v>
      </c>
      <c r="L3542" t="n">
        <v>31034</v>
      </c>
      <c r="M3542" t="n">
        <v>39100</v>
      </c>
      <c r="N3542" t="n">
        <v>33</v>
      </c>
      <c r="O3542" t="n">
        <v>0.33</v>
      </c>
      <c r="P3542" t="n">
        <v>1</v>
      </c>
      <c r="Q3542" t="n">
        <v>0.17</v>
      </c>
      <c r="R3542" t="n">
        <v>3</v>
      </c>
      <c r="S3542" t="n">
        <v>16902.93</v>
      </c>
      <c r="T3542" t="n">
        <v>10</v>
      </c>
      <c r="U3542" t="n">
        <v>11</v>
      </c>
      <c r="V3542" t="n">
        <v>30</v>
      </c>
      <c r="W3542" t="n">
        <v>13</v>
      </c>
      <c r="X3542" t="n">
        <v>13.87925052047189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1403</v>
      </c>
      <c r="AG3542" t="n">
        <v>2136</v>
      </c>
      <c r="AH3542" t="inlineStr">
        <is>
          <t>CV. SAMUDRA JAYA ABADI - PPN (JMB)</t>
        </is>
      </c>
      <c r="AI3542" t="n">
        <v>565</v>
      </c>
      <c r="AJ3542" t="inlineStr">
        <is>
          <t>PUCELLE</t>
        </is>
      </c>
      <c r="AK3542" t="n">
        <v>9</v>
      </c>
      <c r="AL3542" t="inlineStr">
        <is>
          <t>Miss Glam Jambi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PUCELLE</t>
        </is>
      </c>
      <c r="B3543" s="2">
        <f>"8992222093002"</f>
        <v/>
      </c>
      <c r="C3543" t="inlineStr">
        <is>
          <t>PUCELLE Eau De Luxe Cologne Victress 100ml</t>
        </is>
      </c>
      <c r="D3543" t="inlineStr">
        <is>
          <t>Miss Glam Jambi</t>
        </is>
      </c>
      <c r="E3543" t="n">
        <v>3</v>
      </c>
      <c r="F3543" t="n">
        <v>0.4092</v>
      </c>
      <c r="G3543" t="n">
        <v>1.65</v>
      </c>
      <c r="H3543" t="n">
        <v>2</v>
      </c>
      <c r="I3543" t="n">
        <v>6</v>
      </c>
      <c r="J3543" t="n">
        <v>3</v>
      </c>
      <c r="K3543" t="n">
        <v>10</v>
      </c>
      <c r="L3543" t="n">
        <v>31034</v>
      </c>
      <c r="M3543" t="n">
        <v>39000</v>
      </c>
      <c r="N3543" t="n">
        <v>33</v>
      </c>
      <c r="O3543" t="n">
        <v>0.33</v>
      </c>
      <c r="P3543" t="n">
        <v>1</v>
      </c>
      <c r="Q3543" t="n">
        <v>0.14</v>
      </c>
      <c r="R3543" t="n">
        <v>1</v>
      </c>
      <c r="S3543" t="n">
        <v>15958.8</v>
      </c>
      <c r="T3543" t="n">
        <v>10</v>
      </c>
      <c r="U3543" t="n">
        <v>11</v>
      </c>
      <c r="V3543" t="n">
        <v>30</v>
      </c>
      <c r="W3543" t="n">
        <v>13</v>
      </c>
      <c r="X3543" t="n">
        <v>7.331378299120234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1403</v>
      </c>
      <c r="AG3543" t="n">
        <v>2136</v>
      </c>
      <c r="AH3543" t="inlineStr">
        <is>
          <t>CV. SAMUDRA JAYA ABADI - PPN (JMB)</t>
        </is>
      </c>
      <c r="AI3543" t="n">
        <v>565</v>
      </c>
      <c r="AJ3543" t="inlineStr">
        <is>
          <t>PUCELLE</t>
        </is>
      </c>
      <c r="AK3543" t="n">
        <v>9</v>
      </c>
      <c r="AL3543" t="inlineStr">
        <is>
          <t>Miss Glam Jambi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PUCELLE</t>
        </is>
      </c>
      <c r="B3544" s="2">
        <f>"30400254138"</f>
        <v/>
      </c>
      <c r="C3544" t="inlineStr">
        <is>
          <t>PUCELLE Eau De Luxe Eau De Toilette Dubai Elegance 100ml</t>
        </is>
      </c>
      <c r="D3544" t="inlineStr">
        <is>
          <t>Miss Glam Jambi</t>
        </is>
      </c>
      <c r="E3544" t="n">
        <v>5</v>
      </c>
      <c r="F3544" t="n">
        <v>0.0726</v>
      </c>
      <c r="G3544" t="n">
        <v>0.33</v>
      </c>
      <c r="H3544" t="n">
        <v>2</v>
      </c>
      <c r="I3544" t="n">
        <v>6</v>
      </c>
      <c r="J3544" t="n">
        <v>1</v>
      </c>
      <c r="K3544" t="n">
        <v>0</v>
      </c>
      <c r="L3544" t="n">
        <v>32259</v>
      </c>
      <c r="M3544" t="n">
        <v>40000</v>
      </c>
      <c r="N3544" t="n">
        <v>33</v>
      </c>
      <c r="O3544" t="n">
        <v>0.33</v>
      </c>
      <c r="P3544" t="n">
        <v>1</v>
      </c>
      <c r="Q3544" t="n">
        <v>0.03</v>
      </c>
      <c r="R3544" t="n">
        <v>1</v>
      </c>
      <c r="S3544" t="n">
        <v>2904</v>
      </c>
      <c r="T3544" t="n">
        <v>2</v>
      </c>
      <c r="U3544" t="n">
        <v>3</v>
      </c>
      <c r="V3544" t="n">
        <v>30</v>
      </c>
      <c r="W3544" t="n">
        <v>3</v>
      </c>
      <c r="X3544" t="n">
        <v>68.87052341597796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1403</v>
      </c>
      <c r="AG3544" t="n">
        <v>2136</v>
      </c>
      <c r="AH3544" t="inlineStr">
        <is>
          <t>CV. SAMUDRA JAYA ABADI - PPN (JMB)</t>
        </is>
      </c>
      <c r="AI3544" t="n">
        <v>565</v>
      </c>
      <c r="AJ3544" t="inlineStr">
        <is>
          <t>PUCELLE</t>
        </is>
      </c>
      <c r="AK3544" t="n">
        <v>9</v>
      </c>
      <c r="AL3544" t="inlineStr">
        <is>
          <t>Miss Glam Jambi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PUCELLE</t>
        </is>
      </c>
      <c r="B3545" s="2">
        <f>"30400253854"</f>
        <v/>
      </c>
      <c r="C3545" t="inlineStr">
        <is>
          <t>PUCELLE Eau De Luxe Eau De Toilette London Serenade 100ml</t>
        </is>
      </c>
      <c r="D3545" t="inlineStr">
        <is>
          <t>Miss Glam Jambi</t>
        </is>
      </c>
      <c r="E3545" t="n">
        <v>4</v>
      </c>
      <c r="F3545" t="n">
        <v>0.0231</v>
      </c>
      <c r="G3545" t="n">
        <v>0.33</v>
      </c>
      <c r="H3545" t="n">
        <v>2</v>
      </c>
      <c r="I3545" t="n">
        <v>6</v>
      </c>
      <c r="J3545" t="n">
        <v>1</v>
      </c>
      <c r="K3545" t="n">
        <v>0</v>
      </c>
      <c r="L3545" t="n">
        <v>32259</v>
      </c>
      <c r="M3545" t="n">
        <v>40000</v>
      </c>
      <c r="N3545" t="n">
        <v>33</v>
      </c>
      <c r="O3545" t="n">
        <v>0.33</v>
      </c>
      <c r="P3545" t="n">
        <v>1</v>
      </c>
      <c r="Q3545" t="n">
        <v>0.03</v>
      </c>
      <c r="R3545" t="n">
        <v>1</v>
      </c>
      <c r="S3545" t="n">
        <v>924.0000000000001</v>
      </c>
      <c r="T3545" t="n">
        <v>2</v>
      </c>
      <c r="U3545" t="n">
        <v>3</v>
      </c>
      <c r="V3545" t="n">
        <v>30</v>
      </c>
      <c r="W3545" t="n">
        <v>1</v>
      </c>
      <c r="X3545" t="n">
        <v>173.1601731601731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1403</v>
      </c>
      <c r="AG3545" t="n">
        <v>2136</v>
      </c>
      <c r="AH3545" t="inlineStr">
        <is>
          <t>CV. SAMUDRA JAYA ABADI - PPN (JMB)</t>
        </is>
      </c>
      <c r="AI3545" t="n">
        <v>565</v>
      </c>
      <c r="AJ3545" t="inlineStr">
        <is>
          <t>PUCELLE</t>
        </is>
      </c>
      <c r="AK3545" t="n">
        <v>9</v>
      </c>
      <c r="AL3545" t="inlineStr">
        <is>
          <t>Miss Glam Jambi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PUCELLE</t>
        </is>
      </c>
      <c r="B3546" s="2">
        <f>"30400253604"</f>
        <v/>
      </c>
      <c r="C3546" t="inlineStr">
        <is>
          <t>PUCELLE Eau De Luxe Eau De Toilette New York Midnight 100ml</t>
        </is>
      </c>
      <c r="D3546" t="inlineStr">
        <is>
          <t>Miss Glam Jambi</t>
        </is>
      </c>
      <c r="E3546" t="n">
        <v>4</v>
      </c>
      <c r="F3546" t="n">
        <v>0.0165</v>
      </c>
      <c r="G3546" t="n">
        <v>0.33</v>
      </c>
      <c r="H3546" t="n">
        <v>2</v>
      </c>
      <c r="I3546" t="n">
        <v>6</v>
      </c>
      <c r="J3546" t="n">
        <v>1</v>
      </c>
      <c r="K3546" t="n">
        <v>0</v>
      </c>
      <c r="L3546" t="n">
        <v>32259</v>
      </c>
      <c r="M3546" t="n">
        <v>40000</v>
      </c>
      <c r="N3546" t="n">
        <v>33</v>
      </c>
      <c r="O3546" t="n">
        <v>0.33</v>
      </c>
      <c r="P3546" t="n">
        <v>1</v>
      </c>
      <c r="Q3546" t="n">
        <v>0.03</v>
      </c>
      <c r="R3546" t="n">
        <v>1</v>
      </c>
      <c r="S3546" t="n">
        <v>660</v>
      </c>
      <c r="T3546" t="n">
        <v>2</v>
      </c>
      <c r="U3546" t="n">
        <v>3</v>
      </c>
      <c r="V3546" t="n">
        <v>30</v>
      </c>
      <c r="W3546" t="n">
        <v>1</v>
      </c>
      <c r="X3546" t="n">
        <v>242.4242424242424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1403</v>
      </c>
      <c r="AG3546" t="n">
        <v>2136</v>
      </c>
      <c r="AH3546" t="inlineStr">
        <is>
          <t>CV. SAMUDRA JAYA ABADI - PPN (JMB)</t>
        </is>
      </c>
      <c r="AI3546" t="n">
        <v>565</v>
      </c>
      <c r="AJ3546" t="inlineStr">
        <is>
          <t>PUCELLE</t>
        </is>
      </c>
      <c r="AK3546" t="n">
        <v>9</v>
      </c>
      <c r="AL3546" t="inlineStr">
        <is>
          <t>Miss Glam Jambi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PUCELLE</t>
        </is>
      </c>
      <c r="B3547" s="2">
        <f>"30400253724"</f>
        <v/>
      </c>
      <c r="C3547" t="inlineStr">
        <is>
          <t>PUCELLE Eau De Luxe Eau De Toilette Paris Romantic 100ml</t>
        </is>
      </c>
      <c r="D3547" t="inlineStr">
        <is>
          <t>Miss Glam Jambi</t>
        </is>
      </c>
      <c r="E3547" t="n">
        <v>6</v>
      </c>
      <c r="F3547" t="n">
        <v>0.033</v>
      </c>
      <c r="G3547" t="n">
        <v>0.33</v>
      </c>
      <c r="H3547" t="n">
        <v>2</v>
      </c>
      <c r="I3547" t="n">
        <v>6</v>
      </c>
      <c r="J3547" t="n">
        <v>1</v>
      </c>
      <c r="K3547" t="n">
        <v>0</v>
      </c>
      <c r="L3547" t="n">
        <v>32259</v>
      </c>
      <c r="M3547" t="n">
        <v>40000</v>
      </c>
      <c r="N3547" t="n">
        <v>33</v>
      </c>
      <c r="O3547" t="n">
        <v>0.33</v>
      </c>
      <c r="P3547" t="n">
        <v>1</v>
      </c>
      <c r="Q3547" t="n">
        <v>0.08</v>
      </c>
      <c r="R3547" t="n">
        <v>2</v>
      </c>
      <c r="S3547" t="n">
        <v>1320</v>
      </c>
      <c r="T3547" t="n">
        <v>2</v>
      </c>
      <c r="U3547" t="n">
        <v>3</v>
      </c>
      <c r="V3547" t="n">
        <v>30</v>
      </c>
      <c r="W3547" t="n">
        <v>1</v>
      </c>
      <c r="X3547" t="n">
        <v>181.8181818181818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1403</v>
      </c>
      <c r="AG3547" t="n">
        <v>2136</v>
      </c>
      <c r="AH3547" t="inlineStr">
        <is>
          <t>CV. SAMUDRA JAYA ABADI - PPN (JMB)</t>
        </is>
      </c>
      <c r="AI3547" t="n">
        <v>565</v>
      </c>
      <c r="AJ3547" t="inlineStr">
        <is>
          <t>PUCELLE</t>
        </is>
      </c>
      <c r="AK3547" t="n">
        <v>9</v>
      </c>
      <c r="AL3547" t="inlineStr">
        <is>
          <t>Miss Glam Jambi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PUCELLE</t>
        </is>
      </c>
      <c r="B3548" s="2">
        <f>"30400254057"</f>
        <v/>
      </c>
      <c r="C3548" t="inlineStr">
        <is>
          <t>PUCELLE Eau De Luxe Eau De Toilette Seoul Rhythm 100ml</t>
        </is>
      </c>
      <c r="D3548" t="inlineStr">
        <is>
          <t>Miss Glam Jambi</t>
        </is>
      </c>
      <c r="E3548" t="n">
        <v>4</v>
      </c>
      <c r="F3548" t="n">
        <v>0.066</v>
      </c>
      <c r="G3548" t="n">
        <v>0.66</v>
      </c>
      <c r="H3548" t="n">
        <v>2</v>
      </c>
      <c r="I3548" t="n">
        <v>6</v>
      </c>
      <c r="J3548" t="n">
        <v>1</v>
      </c>
      <c r="K3548" t="n">
        <v>0</v>
      </c>
      <c r="L3548" t="n">
        <v>32259</v>
      </c>
      <c r="M3548" t="n">
        <v>40000</v>
      </c>
      <c r="N3548" t="n">
        <v>33</v>
      </c>
      <c r="O3548" t="n">
        <v>0.33</v>
      </c>
      <c r="P3548" t="n">
        <v>1</v>
      </c>
      <c r="Q3548" t="n">
        <v>0.08</v>
      </c>
      <c r="R3548" t="n">
        <v>1</v>
      </c>
      <c r="S3548" t="n">
        <v>2640</v>
      </c>
      <c r="T3548" t="n">
        <v>4</v>
      </c>
      <c r="U3548" t="n">
        <v>5</v>
      </c>
      <c r="V3548" t="n">
        <v>30</v>
      </c>
      <c r="W3548" t="n">
        <v>2</v>
      </c>
      <c r="X3548" t="n">
        <v>60.6060606060606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1403</v>
      </c>
      <c r="AG3548" t="n">
        <v>2136</v>
      </c>
      <c r="AH3548" t="inlineStr">
        <is>
          <t>CV. SAMUDRA JAYA ABADI - PPN (JMB)</t>
        </is>
      </c>
      <c r="AI3548" t="n">
        <v>565</v>
      </c>
      <c r="AJ3548" t="inlineStr">
        <is>
          <t>PUCELLE</t>
        </is>
      </c>
      <c r="AK3548" t="n">
        <v>9</v>
      </c>
      <c r="AL3548" t="inlineStr">
        <is>
          <t>Miss Glam Jambi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PUCELLE</t>
        </is>
      </c>
      <c r="B3549" s="2">
        <f>"30400253927"</f>
        <v/>
      </c>
      <c r="C3549" t="inlineStr">
        <is>
          <t>PUCELLE Eau De Luxe Eau De Toilette Tokyo Delight 100ml</t>
        </is>
      </c>
      <c r="D3549" t="inlineStr">
        <is>
          <t>Miss Glam Jambi</t>
        </is>
      </c>
      <c r="E3549" t="n">
        <v>3</v>
      </c>
      <c r="F3549" t="n">
        <v>0.02</v>
      </c>
      <c r="G3549" t="n">
        <v>1</v>
      </c>
      <c r="H3549" t="n">
        <v>2</v>
      </c>
      <c r="I3549" t="n">
        <v>6</v>
      </c>
      <c r="J3549" t="n">
        <v>1</v>
      </c>
      <c r="K3549" t="n">
        <v>0</v>
      </c>
      <c r="L3549" t="n">
        <v>32259</v>
      </c>
      <c r="M3549" t="n">
        <v>40000</v>
      </c>
      <c r="N3549" t="n">
        <v>33</v>
      </c>
      <c r="O3549" t="n">
        <v>0.33</v>
      </c>
      <c r="P3549" t="n">
        <v>0</v>
      </c>
      <c r="Q3549" t="n">
        <v>0.02</v>
      </c>
      <c r="R3549" t="n">
        <v>1</v>
      </c>
      <c r="S3549" t="n">
        <v>800</v>
      </c>
      <c r="T3549" t="n">
        <v>6</v>
      </c>
      <c r="U3549" t="n">
        <v>7</v>
      </c>
      <c r="V3549" t="n">
        <v>30</v>
      </c>
      <c r="W3549" t="n">
        <v>1</v>
      </c>
      <c r="X3549" t="n">
        <v>150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1403</v>
      </c>
      <c r="AG3549" t="n">
        <v>2136</v>
      </c>
      <c r="AH3549" t="inlineStr">
        <is>
          <t>CV. SAMUDRA JAYA ABADI - PPN (JMB)</t>
        </is>
      </c>
      <c r="AI3549" t="n">
        <v>565</v>
      </c>
      <c r="AJ3549" t="inlineStr">
        <is>
          <t>PUCELLE</t>
        </is>
      </c>
      <c r="AK3549" t="n">
        <v>9</v>
      </c>
      <c r="AL3549" t="inlineStr">
        <is>
          <t>Miss Glam Jambi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PUCELLE</t>
        </is>
      </c>
      <c r="B3550" s="2">
        <f>"8992222093217"</f>
        <v/>
      </c>
      <c r="C3550" t="inlineStr">
        <is>
          <t>PUCELLE Eau De Luxe Parfum The Alpha 50ml</t>
        </is>
      </c>
      <c r="D3550" t="inlineStr">
        <is>
          <t>Miss Glam Jambi</t>
        </is>
      </c>
      <c r="E3550" t="n">
        <v>3</v>
      </c>
      <c r="F3550" t="n">
        <v>0.3795</v>
      </c>
      <c r="G3550" t="n">
        <v>1.98</v>
      </c>
      <c r="H3550" t="n">
        <v>2</v>
      </c>
      <c r="I3550" t="n">
        <v>6</v>
      </c>
      <c r="J3550" t="n">
        <v>3</v>
      </c>
      <c r="K3550" t="n">
        <v>8</v>
      </c>
      <c r="L3550" t="n">
        <v>25317</v>
      </c>
      <c r="M3550" t="n">
        <v>29000</v>
      </c>
      <c r="N3550" t="n">
        <v>33</v>
      </c>
      <c r="O3550" t="n">
        <v>0.33</v>
      </c>
      <c r="P3550" t="n">
        <v>1</v>
      </c>
      <c r="Q3550" t="n">
        <v>0.12</v>
      </c>
      <c r="R3550" t="n">
        <v>1</v>
      </c>
      <c r="S3550" t="n">
        <v>11005.5</v>
      </c>
      <c r="T3550" t="n">
        <v>12</v>
      </c>
      <c r="U3550" t="n">
        <v>13</v>
      </c>
      <c r="V3550" t="n">
        <v>30</v>
      </c>
      <c r="W3550" t="n">
        <v>12</v>
      </c>
      <c r="X3550" t="n">
        <v>7.905138339920948</v>
      </c>
      <c r="Y3550" t="n">
        <v>1</v>
      </c>
      <c r="Z3550" t="n">
        <v>1</v>
      </c>
      <c r="AA3550" t="n">
        <v>0</v>
      </c>
      <c r="AB3550" t="n">
        <v>1</v>
      </c>
      <c r="AC3550" t="n">
        <v>3</v>
      </c>
      <c r="AD3550" t="n">
        <v>0</v>
      </c>
      <c r="AE3550" t="n">
        <v>75951</v>
      </c>
      <c r="AF3550" t="n">
        <v>1403</v>
      </c>
      <c r="AG3550" t="n">
        <v>2136</v>
      </c>
      <c r="AH3550" t="inlineStr">
        <is>
          <t>CV. SAMUDRA JAYA ABADI - PPN (JMB)</t>
        </is>
      </c>
      <c r="AI3550" t="n">
        <v>565</v>
      </c>
      <c r="AJ3550" t="inlineStr">
        <is>
          <t>PUCELLE</t>
        </is>
      </c>
      <c r="AK3550" t="n">
        <v>9</v>
      </c>
      <c r="AL3550" t="inlineStr">
        <is>
          <t>Miss Glam Jambi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PUCELLE</t>
        </is>
      </c>
      <c r="B3551" s="2">
        <f>"8992222093224"</f>
        <v/>
      </c>
      <c r="C3551" t="inlineStr">
        <is>
          <t>PUCELLE Eau De Luxe Parfum The Beta 50ml</t>
        </is>
      </c>
      <c r="D3551" t="inlineStr">
        <is>
          <t>Miss Glam Jambi</t>
        </is>
      </c>
      <c r="E3551" t="n">
        <v>2</v>
      </c>
      <c r="F3551" t="n">
        <v>1.353</v>
      </c>
      <c r="G3551" t="n">
        <v>5.94</v>
      </c>
      <c r="H3551" t="n">
        <v>2</v>
      </c>
      <c r="I3551" t="n">
        <v>6</v>
      </c>
      <c r="J3551" t="n">
        <v>3</v>
      </c>
      <c r="K3551" t="n">
        <v>32</v>
      </c>
      <c r="L3551" t="n">
        <v>25316</v>
      </c>
      <c r="M3551" t="n">
        <v>29000</v>
      </c>
      <c r="N3551" t="n">
        <v>33</v>
      </c>
      <c r="O3551" t="n">
        <v>0.33</v>
      </c>
      <c r="P3551" t="n">
        <v>1</v>
      </c>
      <c r="Q3551" t="n">
        <v>0.2</v>
      </c>
      <c r="R3551" t="n">
        <v>2</v>
      </c>
      <c r="S3551" t="n">
        <v>39237</v>
      </c>
      <c r="T3551" t="n">
        <v>33</v>
      </c>
      <c r="U3551" t="n">
        <v>36</v>
      </c>
      <c r="V3551" t="n">
        <v>30</v>
      </c>
      <c r="W3551" t="n">
        <v>41</v>
      </c>
      <c r="X3551" t="n">
        <v>1.47819660014782</v>
      </c>
      <c r="Y3551" t="n">
        <v>1</v>
      </c>
      <c r="Z3551" t="n">
        <v>7</v>
      </c>
      <c r="AA3551" t="n">
        <v>6</v>
      </c>
      <c r="AB3551" t="n">
        <v>1</v>
      </c>
      <c r="AC3551" t="n">
        <v>3</v>
      </c>
      <c r="AD3551" t="n">
        <v>151896</v>
      </c>
      <c r="AE3551" t="n">
        <v>75948</v>
      </c>
      <c r="AF3551" t="n">
        <v>1403</v>
      </c>
      <c r="AG3551" t="n">
        <v>2136</v>
      </c>
      <c r="AH3551" t="inlineStr">
        <is>
          <t>CV. SAMUDRA JAYA ABADI - PPN (JMB)</t>
        </is>
      </c>
      <c r="AI3551" t="n">
        <v>565</v>
      </c>
      <c r="AJ3551" t="inlineStr">
        <is>
          <t>PUCELLE</t>
        </is>
      </c>
      <c r="AK3551" t="n">
        <v>9</v>
      </c>
      <c r="AL3551" t="inlineStr">
        <is>
          <t>Miss Glam Jambi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PUCELLE</t>
        </is>
      </c>
      <c r="B3552" s="2">
        <f>"8992222093200"</f>
        <v/>
      </c>
      <c r="C3552" t="inlineStr">
        <is>
          <t>PUCELLE Eau De Luxe Parfum The Dazzler 50ml</t>
        </is>
      </c>
      <c r="D3552" t="inlineStr">
        <is>
          <t>Miss Glam Jambi</t>
        </is>
      </c>
      <c r="E3552" t="n">
        <v>8</v>
      </c>
      <c r="F3552" t="n">
        <v>0.6698999999999999</v>
      </c>
      <c r="G3552" t="n">
        <v>2.31</v>
      </c>
      <c r="H3552" t="n">
        <v>2</v>
      </c>
      <c r="I3552" t="n">
        <v>6</v>
      </c>
      <c r="J3552" t="n">
        <v>3</v>
      </c>
      <c r="K3552" t="n">
        <v>13</v>
      </c>
      <c r="L3552" t="n">
        <v>25317</v>
      </c>
      <c r="M3552" t="n">
        <v>29000</v>
      </c>
      <c r="N3552" t="n">
        <v>33</v>
      </c>
      <c r="O3552" t="n">
        <v>0.33</v>
      </c>
      <c r="P3552" t="n">
        <v>1</v>
      </c>
      <c r="Q3552" t="n">
        <v>0.07000000000000001</v>
      </c>
      <c r="R3552" t="n">
        <v>1</v>
      </c>
      <c r="S3552" t="n">
        <v>19427.1</v>
      </c>
      <c r="T3552" t="n">
        <v>13</v>
      </c>
      <c r="U3552" t="n">
        <v>15</v>
      </c>
      <c r="V3552" t="n">
        <v>30</v>
      </c>
      <c r="W3552" t="n">
        <v>21</v>
      </c>
      <c r="X3552" t="n">
        <v>11.94208090759815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1403</v>
      </c>
      <c r="AG3552" t="n">
        <v>2136</v>
      </c>
      <c r="AH3552" t="inlineStr">
        <is>
          <t>CV. SAMUDRA JAYA ABADI - PPN (JMB)</t>
        </is>
      </c>
      <c r="AI3552" t="n">
        <v>565</v>
      </c>
      <c r="AJ3552" t="inlineStr">
        <is>
          <t>PUCELLE</t>
        </is>
      </c>
      <c r="AK3552" t="n">
        <v>9</v>
      </c>
      <c r="AL3552" t="inlineStr">
        <is>
          <t>Miss Glam Jambi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PUCELLE</t>
        </is>
      </c>
      <c r="B3553" s="2">
        <f>"8992222093194"</f>
        <v/>
      </c>
      <c r="C3553" t="inlineStr">
        <is>
          <t>PUCELLE Eau De Luxe Parfum The Goddes 50ml</t>
        </is>
      </c>
      <c r="D3553" t="inlineStr">
        <is>
          <t>Miss Glam Jambi</t>
        </is>
      </c>
      <c r="E3553" t="n">
        <v>5</v>
      </c>
      <c r="F3553" t="n">
        <v>0.4653</v>
      </c>
      <c r="G3553" t="n">
        <v>1.98</v>
      </c>
      <c r="H3553" t="n">
        <v>2</v>
      </c>
      <c r="I3553" t="n">
        <v>6</v>
      </c>
      <c r="J3553" t="n">
        <v>3</v>
      </c>
      <c r="K3553" t="n">
        <v>10</v>
      </c>
      <c r="L3553" t="n">
        <v>25317</v>
      </c>
      <c r="M3553" t="n">
        <v>29000</v>
      </c>
      <c r="N3553" t="n">
        <v>33</v>
      </c>
      <c r="O3553" t="n">
        <v>0.33</v>
      </c>
      <c r="P3553" t="n">
        <v>1</v>
      </c>
      <c r="Q3553" t="n">
        <v>0.03</v>
      </c>
      <c r="R3553" t="n">
        <v>1</v>
      </c>
      <c r="S3553" t="n">
        <v>13493.7</v>
      </c>
      <c r="T3553" t="n">
        <v>11</v>
      </c>
      <c r="U3553" t="n">
        <v>12</v>
      </c>
      <c r="V3553" t="n">
        <v>30</v>
      </c>
      <c r="W3553" t="n">
        <v>14</v>
      </c>
      <c r="X3553" t="n">
        <v>10.74575542660649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1403</v>
      </c>
      <c r="AG3553" t="n">
        <v>2136</v>
      </c>
      <c r="AH3553" t="inlineStr">
        <is>
          <t>CV. SAMUDRA JAYA ABADI - PPN (JMB)</t>
        </is>
      </c>
      <c r="AI3553" t="n">
        <v>565</v>
      </c>
      <c r="AJ3553" t="inlineStr">
        <is>
          <t>PUCELLE</t>
        </is>
      </c>
      <c r="AK3553" t="n">
        <v>9</v>
      </c>
      <c r="AL3553" t="inlineStr">
        <is>
          <t>Miss Glam Jambi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PUCELLE</t>
        </is>
      </c>
      <c r="B3554" s="2">
        <f>"8992222093231"</f>
        <v/>
      </c>
      <c r="C3554" t="inlineStr">
        <is>
          <t>PUCELLE Eau De Luxe Parfum The Sigma 50ml</t>
        </is>
      </c>
      <c r="D3554" t="inlineStr">
        <is>
          <t>Miss Glam Jambi</t>
        </is>
      </c>
      <c r="E3554" t="n">
        <v>5</v>
      </c>
      <c r="F3554" t="n">
        <v>0.4422</v>
      </c>
      <c r="G3554" t="n">
        <v>1.65</v>
      </c>
      <c r="H3554" t="n">
        <v>2</v>
      </c>
      <c r="I3554" t="n">
        <v>6</v>
      </c>
      <c r="J3554" t="n">
        <v>3</v>
      </c>
      <c r="K3554" t="n">
        <v>9</v>
      </c>
      <c r="L3554" t="n">
        <v>25317</v>
      </c>
      <c r="M3554" t="n">
        <v>29000</v>
      </c>
      <c r="N3554" t="n">
        <v>33</v>
      </c>
      <c r="O3554" t="n">
        <v>0.33</v>
      </c>
      <c r="P3554" t="n">
        <v>1</v>
      </c>
      <c r="Q3554" t="n">
        <v>0.07000000000000001</v>
      </c>
      <c r="R3554" t="n">
        <v>1</v>
      </c>
      <c r="S3554" t="n">
        <v>12823.8</v>
      </c>
      <c r="T3554" t="n">
        <v>10</v>
      </c>
      <c r="U3554" t="n">
        <v>11</v>
      </c>
      <c r="V3554" t="n">
        <v>30</v>
      </c>
      <c r="W3554" t="n">
        <v>14</v>
      </c>
      <c r="X3554" t="n">
        <v>11.30710085933966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1403</v>
      </c>
      <c r="AG3554" t="n">
        <v>2136</v>
      </c>
      <c r="AH3554" t="inlineStr">
        <is>
          <t>CV. SAMUDRA JAYA ABADI - PPN (JMB)</t>
        </is>
      </c>
      <c r="AI3554" t="n">
        <v>565</v>
      </c>
      <c r="AJ3554" t="inlineStr">
        <is>
          <t>PUCELLE</t>
        </is>
      </c>
      <c r="AK3554" t="n">
        <v>9</v>
      </c>
      <c r="AL3554" t="inlineStr">
        <is>
          <t>Miss Glam Jambi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PUCELLE</t>
        </is>
      </c>
      <c r="B3555" s="2">
        <f>"8992222093187"</f>
        <v/>
      </c>
      <c r="C3555" t="inlineStr">
        <is>
          <t>PUCELLE Eau De Luxe Parfum The Stuner 50ml</t>
        </is>
      </c>
      <c r="D3555" t="inlineStr">
        <is>
          <t>Miss Glam Jambi</t>
        </is>
      </c>
      <c r="E3555" t="n">
        <v>3</v>
      </c>
      <c r="F3555" t="n">
        <v>0.9669000000000001</v>
      </c>
      <c r="G3555" t="n">
        <v>3.63</v>
      </c>
      <c r="H3555" t="n">
        <v>2</v>
      </c>
      <c r="I3555" t="n">
        <v>6</v>
      </c>
      <c r="J3555" t="n">
        <v>3</v>
      </c>
      <c r="K3555" t="n">
        <v>24</v>
      </c>
      <c r="L3555" t="n">
        <v>25315</v>
      </c>
      <c r="M3555" t="n">
        <v>29000</v>
      </c>
      <c r="N3555" t="n">
        <v>33</v>
      </c>
      <c r="O3555" t="n">
        <v>0.33</v>
      </c>
      <c r="P3555" t="n">
        <v>1</v>
      </c>
      <c r="Q3555" t="n">
        <v>0.27</v>
      </c>
      <c r="R3555" t="n">
        <v>2</v>
      </c>
      <c r="S3555" t="n">
        <v>28040.1</v>
      </c>
      <c r="T3555" t="n">
        <v>20</v>
      </c>
      <c r="U3555" t="n">
        <v>22</v>
      </c>
      <c r="V3555" t="n">
        <v>30</v>
      </c>
      <c r="W3555" t="n">
        <v>30</v>
      </c>
      <c r="X3555" t="n">
        <v>3.102699348433136</v>
      </c>
      <c r="Y3555" t="n">
        <v>1</v>
      </c>
      <c r="Z3555" t="n">
        <v>3</v>
      </c>
      <c r="AA3555" t="n">
        <v>2</v>
      </c>
      <c r="AB3555" t="n">
        <v>1</v>
      </c>
      <c r="AC3555" t="n">
        <v>3</v>
      </c>
      <c r="AD3555" t="n">
        <v>50630</v>
      </c>
      <c r="AE3555" t="n">
        <v>75945</v>
      </c>
      <c r="AF3555" t="n">
        <v>1403</v>
      </c>
      <c r="AG3555" t="n">
        <v>2136</v>
      </c>
      <c r="AH3555" t="inlineStr">
        <is>
          <t>CV. SAMUDRA JAYA ABADI - PPN (JMB)</t>
        </is>
      </c>
      <c r="AI3555" t="n">
        <v>565</v>
      </c>
      <c r="AJ3555" t="inlineStr">
        <is>
          <t>PUCELLE</t>
        </is>
      </c>
      <c r="AK3555" t="n">
        <v>9</v>
      </c>
      <c r="AL3555" t="inlineStr">
        <is>
          <t>Miss Glam Jambi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PUCELLE</t>
        </is>
      </c>
      <c r="B3556" s="2">
        <f>"30200193614"</f>
        <v/>
      </c>
      <c r="C3556" t="inlineStr">
        <is>
          <t>PUCELLE The Dazzler Eau De Luxe Parfume Body Lotion 160ml</t>
        </is>
      </c>
      <c r="D3556" t="inlineStr">
        <is>
          <t>Miss Glam Jambi</t>
        </is>
      </c>
      <c r="E3556" t="n">
        <v>4</v>
      </c>
      <c r="F3556" t="n">
        <v>0.3036</v>
      </c>
      <c r="G3556" t="n">
        <v>1.65</v>
      </c>
      <c r="H3556" t="n">
        <v>2</v>
      </c>
      <c r="I3556" t="n">
        <v>6</v>
      </c>
      <c r="J3556" t="n">
        <v>1</v>
      </c>
      <c r="K3556" t="n">
        <v>6</v>
      </c>
      <c r="L3556" t="n">
        <v>24746</v>
      </c>
      <c r="M3556" t="n">
        <v>29000</v>
      </c>
      <c r="N3556" t="n">
        <v>33</v>
      </c>
      <c r="O3556" t="n">
        <v>0.33</v>
      </c>
      <c r="P3556" t="n">
        <v>1</v>
      </c>
      <c r="Q3556" t="n">
        <v>0.07000000000000001</v>
      </c>
      <c r="R3556" t="n">
        <v>1</v>
      </c>
      <c r="S3556" t="n">
        <v>8804.400000000001</v>
      </c>
      <c r="T3556" t="n">
        <v>10</v>
      </c>
      <c r="U3556" t="n">
        <v>11</v>
      </c>
      <c r="V3556" t="n">
        <v>30</v>
      </c>
      <c r="W3556" t="n">
        <v>10</v>
      </c>
      <c r="X3556" t="n">
        <v>13.17523056653491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1403</v>
      </c>
      <c r="AG3556" t="n">
        <v>2136</v>
      </c>
      <c r="AH3556" t="inlineStr">
        <is>
          <t>CV. SAMUDRA JAYA ABADI - PPN (JMB)</t>
        </is>
      </c>
      <c r="AI3556" t="n">
        <v>565</v>
      </c>
      <c r="AJ3556" t="inlineStr">
        <is>
          <t>PUCELLE</t>
        </is>
      </c>
      <c r="AK3556" t="n">
        <v>9</v>
      </c>
      <c r="AL3556" t="inlineStr">
        <is>
          <t>Miss Glam Jambi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PUCELLE</t>
        </is>
      </c>
      <c r="B3557" s="2">
        <f>"30200193541"</f>
        <v/>
      </c>
      <c r="C3557" t="inlineStr">
        <is>
          <t>PUCELLE The Goddess Eau De Luxe Parfume Body Lotion 160ml</t>
        </is>
      </c>
      <c r="D3557" t="inlineStr">
        <is>
          <t>Miss Glam Jambi</t>
        </is>
      </c>
      <c r="E3557" t="n">
        <v>5</v>
      </c>
      <c r="F3557" t="n">
        <v>0.1749</v>
      </c>
      <c r="G3557" t="n">
        <v>0.99</v>
      </c>
      <c r="H3557" t="n">
        <v>2</v>
      </c>
      <c r="I3557" t="n">
        <v>6</v>
      </c>
      <c r="J3557" t="n">
        <v>1</v>
      </c>
      <c r="K3557" t="n">
        <v>1</v>
      </c>
      <c r="L3557" t="n">
        <v>24501</v>
      </c>
      <c r="M3557" t="n">
        <v>29000</v>
      </c>
      <c r="N3557" t="n">
        <v>33</v>
      </c>
      <c r="O3557" t="n">
        <v>0.33</v>
      </c>
      <c r="P3557" t="n">
        <v>1</v>
      </c>
      <c r="Q3557" t="n">
        <v>0.05</v>
      </c>
      <c r="R3557" t="n">
        <v>1</v>
      </c>
      <c r="S3557" t="n">
        <v>5072.1</v>
      </c>
      <c r="T3557" t="n">
        <v>6</v>
      </c>
      <c r="U3557" t="n">
        <v>7</v>
      </c>
      <c r="V3557" t="n">
        <v>30</v>
      </c>
      <c r="W3557" t="n">
        <v>6</v>
      </c>
      <c r="X3557" t="n">
        <v>28.58776443682104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1403</v>
      </c>
      <c r="AG3557" t="n">
        <v>2136</v>
      </c>
      <c r="AH3557" t="inlineStr">
        <is>
          <t>CV. SAMUDRA JAYA ABADI - PPN (JMB)</t>
        </is>
      </c>
      <c r="AI3557" t="n">
        <v>565</v>
      </c>
      <c r="AJ3557" t="inlineStr">
        <is>
          <t>PUCELLE</t>
        </is>
      </c>
      <c r="AK3557" t="n">
        <v>9</v>
      </c>
      <c r="AL3557" t="inlineStr">
        <is>
          <t>Miss Glam Jambi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PUCELLE</t>
        </is>
      </c>
      <c r="B3558" s="2">
        <f>"30200193443"</f>
        <v/>
      </c>
      <c r="C3558" t="inlineStr">
        <is>
          <t>PUCELLE The Stuner Eau De Luxe Parfume Body Lotion 160ml</t>
        </is>
      </c>
      <c r="D3558" t="inlineStr">
        <is>
          <t>Miss Glam Jambi</t>
        </is>
      </c>
      <c r="E3558" t="n">
        <v>6</v>
      </c>
      <c r="F3558" t="n">
        <v>0.5643</v>
      </c>
      <c r="G3558" t="n">
        <v>3.3</v>
      </c>
      <c r="H3558" t="n">
        <v>2</v>
      </c>
      <c r="I3558" t="n">
        <v>6</v>
      </c>
      <c r="J3558" t="n">
        <v>1</v>
      </c>
      <c r="K3558" t="n">
        <v>12</v>
      </c>
      <c r="L3558" t="n">
        <v>24501</v>
      </c>
      <c r="M3558" t="n">
        <v>29000</v>
      </c>
      <c r="N3558" t="n">
        <v>33</v>
      </c>
      <c r="O3558" t="n">
        <v>0.33</v>
      </c>
      <c r="P3558" t="n">
        <v>1</v>
      </c>
      <c r="Q3558" t="n">
        <v>0.24</v>
      </c>
      <c r="R3558" t="n">
        <v>1</v>
      </c>
      <c r="S3558" t="n">
        <v>16364.7</v>
      </c>
      <c r="T3558" t="n">
        <v>19</v>
      </c>
      <c r="U3558" t="n">
        <v>21</v>
      </c>
      <c r="V3558" t="n">
        <v>30</v>
      </c>
      <c r="W3558" t="n">
        <v>17</v>
      </c>
      <c r="X3558" t="n">
        <v>10.63264221158958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1403</v>
      </c>
      <c r="AG3558" t="n">
        <v>2136</v>
      </c>
      <c r="AH3558" t="inlineStr">
        <is>
          <t>CV. SAMUDRA JAYA ABADI - PPN (JMB)</t>
        </is>
      </c>
      <c r="AI3558" t="n">
        <v>565</v>
      </c>
      <c r="AJ3558" t="inlineStr">
        <is>
          <t>PUCELLE</t>
        </is>
      </c>
      <c r="AK3558" t="n">
        <v>9</v>
      </c>
      <c r="AL3558" t="inlineStr">
        <is>
          <t>Miss Glam Jambi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PURBASARI</t>
        </is>
      </c>
      <c r="B3559" s="2">
        <f>"30100245014"</f>
        <v/>
      </c>
      <c r="C3559" t="inlineStr">
        <is>
          <t>PURBASARI Body Scrub Rinseless Pineapple 200gr</t>
        </is>
      </c>
      <c r="D3559" t="inlineStr">
        <is>
          <t>Miss Glam Jambi</t>
        </is>
      </c>
      <c r="E3559" t="n">
        <v>5</v>
      </c>
      <c r="F3559" t="n">
        <v>0.009900000000000001</v>
      </c>
      <c r="G3559" t="n">
        <v>0.33</v>
      </c>
      <c r="H3559" t="n">
        <v>4</v>
      </c>
      <c r="I3559" t="n">
        <v>28</v>
      </c>
      <c r="J3559" t="n">
        <v>1</v>
      </c>
      <c r="K3559" t="n">
        <v>0</v>
      </c>
      <c r="L3559" t="n">
        <v>28000</v>
      </c>
      <c r="M3559" t="n">
        <v>35000</v>
      </c>
      <c r="N3559" t="n">
        <v>33</v>
      </c>
      <c r="O3559" t="n">
        <v>0.33</v>
      </c>
      <c r="P3559" t="n">
        <v>1</v>
      </c>
      <c r="Q3559" t="n">
        <v>0.02</v>
      </c>
      <c r="R3559" t="n">
        <v>1</v>
      </c>
      <c r="S3559" t="n">
        <v>346.5000000000001</v>
      </c>
      <c r="T3559" t="n">
        <v>10</v>
      </c>
      <c r="U3559" t="n">
        <v>11</v>
      </c>
      <c r="V3559" t="n">
        <v>30</v>
      </c>
      <c r="W3559" t="n">
        <v>1</v>
      </c>
      <c r="X3559" t="n">
        <v>505.050505050505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10529</v>
      </c>
      <c r="AG3559" t="n">
        <v>2148</v>
      </c>
      <c r="AH3559" t="inlineStr">
        <is>
          <t>PT. JAYA PALEMBANG SUKSES - PPN (JMB)</t>
        </is>
      </c>
      <c r="AI3559" t="n">
        <v>130</v>
      </c>
      <c r="AJ3559" t="inlineStr">
        <is>
          <t>PURBASARI</t>
        </is>
      </c>
      <c r="AK3559" t="n">
        <v>9</v>
      </c>
      <c r="AL3559" t="inlineStr">
        <is>
          <t>Miss Glam Jambi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PURBASARI</t>
        </is>
      </c>
      <c r="B3560" s="2">
        <f>"30100245158"</f>
        <v/>
      </c>
      <c r="C3560" t="inlineStr">
        <is>
          <t>PURBASARI Body Scrub Rinseless Watermelon 200gr</t>
        </is>
      </c>
      <c r="D3560" t="inlineStr">
        <is>
          <t>Miss Glam Jambi</t>
        </is>
      </c>
      <c r="E3560" t="n">
        <v>3</v>
      </c>
      <c r="F3560" t="n">
        <v>0.0231</v>
      </c>
      <c r="G3560" t="n">
        <v>0.33</v>
      </c>
      <c r="H3560" t="n">
        <v>4</v>
      </c>
      <c r="I3560" t="n">
        <v>28</v>
      </c>
      <c r="J3560" t="n">
        <v>1</v>
      </c>
      <c r="K3560" t="n">
        <v>0</v>
      </c>
      <c r="L3560" t="n">
        <v>28000</v>
      </c>
      <c r="M3560" t="n">
        <v>35000</v>
      </c>
      <c r="N3560" t="n">
        <v>33</v>
      </c>
      <c r="O3560" t="n">
        <v>0.33</v>
      </c>
      <c r="P3560" t="n">
        <v>1</v>
      </c>
      <c r="Q3560" t="n">
        <v>0.03</v>
      </c>
      <c r="R3560" t="n">
        <v>1</v>
      </c>
      <c r="S3560" t="n">
        <v>808.5000000000001</v>
      </c>
      <c r="T3560" t="n">
        <v>10</v>
      </c>
      <c r="U3560" t="n">
        <v>11</v>
      </c>
      <c r="V3560" t="n">
        <v>30</v>
      </c>
      <c r="W3560" t="n">
        <v>1</v>
      </c>
      <c r="X3560" t="n">
        <v>129.8701298701299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10529</v>
      </c>
      <c r="AG3560" t="n">
        <v>2148</v>
      </c>
      <c r="AH3560" t="inlineStr">
        <is>
          <t>PT. JAYA PALEMBANG SUKSES - PPN (JMB)</t>
        </is>
      </c>
      <c r="AI3560" t="n">
        <v>130</v>
      </c>
      <c r="AJ3560" t="inlineStr">
        <is>
          <t>PURBASARI</t>
        </is>
      </c>
      <c r="AK3560" t="n">
        <v>9</v>
      </c>
      <c r="AL3560" t="inlineStr">
        <is>
          <t>Miss Glam Jambi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PURBASARI</t>
        </is>
      </c>
      <c r="B3561" s="2">
        <f>"30100244934"</f>
        <v/>
      </c>
      <c r="C3561" t="inlineStr">
        <is>
          <t>PURBASARI Body Scrub Rinseless Yuzu &amp; Saffron 200gr</t>
        </is>
      </c>
      <c r="D3561" t="inlineStr">
        <is>
          <t>Miss Glam Jambi</t>
        </is>
      </c>
      <c r="E3561" t="n">
        <v>0</v>
      </c>
      <c r="F3561" t="n">
        <v>0.09</v>
      </c>
      <c r="G3561" t="n">
        <v>2</v>
      </c>
      <c r="H3561" t="n">
        <v>4</v>
      </c>
      <c r="I3561" t="n">
        <v>28</v>
      </c>
      <c r="J3561" t="n">
        <v>1</v>
      </c>
      <c r="K3561" t="n">
        <v>0</v>
      </c>
      <c r="L3561" t="n">
        <v>28000</v>
      </c>
      <c r="M3561" t="n">
        <v>35000</v>
      </c>
      <c r="N3561" t="n">
        <v>33</v>
      </c>
      <c r="O3561" t="n">
        <v>0.33</v>
      </c>
      <c r="P3561" t="n">
        <v>0</v>
      </c>
      <c r="Q3561" t="n">
        <v>0.09</v>
      </c>
      <c r="R3561" t="n">
        <v>2</v>
      </c>
      <c r="S3561" t="n">
        <v>3150</v>
      </c>
      <c r="T3561" t="n">
        <v>56</v>
      </c>
      <c r="U3561" t="n">
        <v>57</v>
      </c>
      <c r="V3561" t="n">
        <v>30</v>
      </c>
      <c r="W3561" t="n">
        <v>3</v>
      </c>
      <c r="X3561" t="n">
        <v>0</v>
      </c>
      <c r="Y3561" t="n">
        <v>1</v>
      </c>
      <c r="Z3561" t="n">
        <v>3</v>
      </c>
      <c r="AA3561" t="n">
        <v>3</v>
      </c>
      <c r="AB3561" t="n">
        <v>0</v>
      </c>
      <c r="AC3561" t="n">
        <v>0</v>
      </c>
      <c r="AD3561" t="n">
        <v>84000</v>
      </c>
      <c r="AE3561" t="n">
        <v>0</v>
      </c>
      <c r="AF3561" t="n">
        <v>10529</v>
      </c>
      <c r="AG3561" t="n">
        <v>2148</v>
      </c>
      <c r="AH3561" t="inlineStr">
        <is>
          <t>PT. JAYA PALEMBANG SUKSES - PPN (JMB)</t>
        </is>
      </c>
      <c r="AI3561" t="n">
        <v>130</v>
      </c>
      <c r="AJ3561" t="inlineStr">
        <is>
          <t>PURBASARI</t>
        </is>
      </c>
      <c r="AK3561" t="n">
        <v>9</v>
      </c>
      <c r="AL3561" t="inlineStr">
        <is>
          <t>Miss Glam Jambi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PURBASARI</t>
        </is>
      </c>
      <c r="B3562" s="2">
        <f>"30200429243"</f>
        <v/>
      </c>
      <c r="C3562" t="inlineStr">
        <is>
          <t>PURBASARI Body Serum Gluta-Hya 180ml</t>
        </is>
      </c>
      <c r="D3562" t="inlineStr">
        <is>
          <t>Miss Glam Jambi</t>
        </is>
      </c>
      <c r="E3562" t="n">
        <v>4</v>
      </c>
      <c r="F3562" t="n">
        <v>1.584</v>
      </c>
      <c r="G3562" t="n">
        <v>5.28</v>
      </c>
      <c r="H3562" t="n">
        <v>4</v>
      </c>
      <c r="I3562" t="n">
        <v>28</v>
      </c>
      <c r="J3562" t="n">
        <v>1</v>
      </c>
      <c r="K3562" t="n">
        <v>3</v>
      </c>
      <c r="L3562" t="n">
        <v>21601</v>
      </c>
      <c r="M3562" t="n">
        <v>27000</v>
      </c>
      <c r="N3562" t="n">
        <v>33</v>
      </c>
      <c r="O3562" t="n">
        <v>0.33</v>
      </c>
      <c r="P3562" t="n">
        <v>1</v>
      </c>
      <c r="Q3562" t="n">
        <v>1.05</v>
      </c>
      <c r="R3562" t="n">
        <v>5</v>
      </c>
      <c r="S3562" t="n">
        <v>42768</v>
      </c>
      <c r="T3562" t="n">
        <v>142</v>
      </c>
      <c r="U3562" t="n">
        <v>149</v>
      </c>
      <c r="V3562" t="n">
        <v>30</v>
      </c>
      <c r="W3562" t="n">
        <v>48</v>
      </c>
      <c r="X3562" t="n">
        <v>2.525252525252525</v>
      </c>
      <c r="Y3562" t="n">
        <v>1</v>
      </c>
      <c r="Z3562" t="n">
        <v>41</v>
      </c>
      <c r="AA3562" t="n">
        <v>40</v>
      </c>
      <c r="AB3562" t="n">
        <v>1</v>
      </c>
      <c r="AC3562" t="n">
        <v>1</v>
      </c>
      <c r="AD3562" t="n">
        <v>864040</v>
      </c>
      <c r="AE3562" t="n">
        <v>21601</v>
      </c>
      <c r="AF3562" t="n">
        <v>10529</v>
      </c>
      <c r="AG3562" t="n">
        <v>2148</v>
      </c>
      <c r="AH3562" t="inlineStr">
        <is>
          <t>PT. JAYA PALEMBANG SUKSES - PPN (JMB)</t>
        </is>
      </c>
      <c r="AI3562" t="n">
        <v>130</v>
      </c>
      <c r="AJ3562" t="inlineStr">
        <is>
          <t>PURBASARI</t>
        </is>
      </c>
      <c r="AK3562" t="n">
        <v>9</v>
      </c>
      <c r="AL3562" t="inlineStr">
        <is>
          <t>Miss Glam Jambi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PURBASARI</t>
        </is>
      </c>
      <c r="B3563" s="2">
        <f>"8999225912224"</f>
        <v/>
      </c>
      <c r="C3563" t="inlineStr">
        <is>
          <t>PURBASARI Ceramide Barrier Body Serum 180ml</t>
        </is>
      </c>
      <c r="D3563" t="inlineStr">
        <is>
          <t>Miss Glam Jambi</t>
        </is>
      </c>
      <c r="E3563" t="n">
        <v>5</v>
      </c>
      <c r="F3563" t="n">
        <v>0.066</v>
      </c>
      <c r="G3563" t="n">
        <v>0.66</v>
      </c>
      <c r="H3563" t="n">
        <v>4</v>
      </c>
      <c r="I3563" t="n">
        <v>28</v>
      </c>
      <c r="J3563" t="n">
        <v>3</v>
      </c>
      <c r="K3563" t="n">
        <v>0</v>
      </c>
      <c r="L3563" t="n">
        <v>21601</v>
      </c>
      <c r="M3563" t="n">
        <v>27000</v>
      </c>
      <c r="N3563" t="n">
        <v>33</v>
      </c>
      <c r="O3563" t="n">
        <v>0.33</v>
      </c>
      <c r="P3563" t="n">
        <v>1</v>
      </c>
      <c r="Q3563" t="n">
        <v>0.03</v>
      </c>
      <c r="R3563" t="n">
        <v>1</v>
      </c>
      <c r="S3563" t="n">
        <v>1782</v>
      </c>
      <c r="T3563" t="n">
        <v>19</v>
      </c>
      <c r="U3563" t="n">
        <v>20</v>
      </c>
      <c r="V3563" t="n">
        <v>30</v>
      </c>
      <c r="W3563" t="n">
        <v>2</v>
      </c>
      <c r="X3563" t="n">
        <v>75.75757575757575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10529</v>
      </c>
      <c r="AG3563" t="n">
        <v>2148</v>
      </c>
      <c r="AH3563" t="inlineStr">
        <is>
          <t>PT. JAYA PALEMBANG SUKSES - PPN (JMB)</t>
        </is>
      </c>
      <c r="AI3563" t="n">
        <v>130</v>
      </c>
      <c r="AJ3563" t="inlineStr">
        <is>
          <t>PURBASARI</t>
        </is>
      </c>
      <c r="AK3563" t="n">
        <v>9</v>
      </c>
      <c r="AL3563" t="inlineStr">
        <is>
          <t>Miss Glam Jambi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PURBASARI</t>
        </is>
      </c>
      <c r="B3564" s="2">
        <f>"8999225912200"</f>
        <v/>
      </c>
      <c r="C3564" t="inlineStr">
        <is>
          <t>PURBASARI Cybright Whitening Body Serum 180ml</t>
        </is>
      </c>
      <c r="D3564" t="inlineStr">
        <is>
          <t>Miss Glam Jambi</t>
        </is>
      </c>
      <c r="E3564" t="n">
        <v>2</v>
      </c>
      <c r="F3564" t="n">
        <v>0.5247000000000001</v>
      </c>
      <c r="G3564" t="n">
        <v>1.65</v>
      </c>
      <c r="H3564" t="n">
        <v>4</v>
      </c>
      <c r="I3564" t="n">
        <v>28</v>
      </c>
      <c r="J3564" t="n">
        <v>3</v>
      </c>
      <c r="K3564" t="n">
        <v>3</v>
      </c>
      <c r="L3564" t="n">
        <v>21601</v>
      </c>
      <c r="M3564" t="n">
        <v>27000</v>
      </c>
      <c r="N3564" t="n">
        <v>33</v>
      </c>
      <c r="O3564" t="n">
        <v>0.33</v>
      </c>
      <c r="P3564" t="n">
        <v>1</v>
      </c>
      <c r="Q3564" t="n">
        <v>0.25</v>
      </c>
      <c r="R3564" t="n">
        <v>1</v>
      </c>
      <c r="S3564" t="n">
        <v>14166.9</v>
      </c>
      <c r="T3564" t="n">
        <v>45</v>
      </c>
      <c r="U3564" t="n">
        <v>48</v>
      </c>
      <c r="V3564" t="n">
        <v>30</v>
      </c>
      <c r="W3564" t="n">
        <v>16</v>
      </c>
      <c r="X3564" t="n">
        <v>3.811701924909471</v>
      </c>
      <c r="Y3564" t="n">
        <v>1</v>
      </c>
      <c r="Z3564" t="n">
        <v>11</v>
      </c>
      <c r="AA3564" t="n">
        <v>12</v>
      </c>
      <c r="AB3564" t="n">
        <v>0</v>
      </c>
      <c r="AC3564" t="n">
        <v>0</v>
      </c>
      <c r="AD3564" t="n">
        <v>259212</v>
      </c>
      <c r="AE3564" t="n">
        <v>0</v>
      </c>
      <c r="AF3564" t="n">
        <v>10529</v>
      </c>
      <c r="AG3564" t="n">
        <v>2148</v>
      </c>
      <c r="AH3564" t="inlineStr">
        <is>
          <t>PT. JAYA PALEMBANG SUKSES - PPN (JMB)</t>
        </is>
      </c>
      <c r="AI3564" t="n">
        <v>130</v>
      </c>
      <c r="AJ3564" t="inlineStr">
        <is>
          <t>PURBASARI</t>
        </is>
      </c>
      <c r="AK3564" t="n">
        <v>9</v>
      </c>
      <c r="AL3564" t="inlineStr">
        <is>
          <t>Miss Glam Jambi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PURBASARI</t>
        </is>
      </c>
      <c r="B3565" s="2">
        <f>"8999225910947"</f>
        <v/>
      </c>
      <c r="C3565" t="inlineStr">
        <is>
          <t>PURBASARI Glow Facial Foam Acne Care 100gr</t>
        </is>
      </c>
      <c r="D3565" t="inlineStr">
        <is>
          <t>Miss Glam Jambi</t>
        </is>
      </c>
      <c r="E3565" t="n">
        <v>1</v>
      </c>
      <c r="F3565" t="n">
        <v>0.0396</v>
      </c>
      <c r="G3565" t="n">
        <v>0.33</v>
      </c>
      <c r="H3565" t="n">
        <v>4</v>
      </c>
      <c r="I3565" t="n">
        <v>28</v>
      </c>
      <c r="J3565" t="n">
        <v>3</v>
      </c>
      <c r="K3565" t="n">
        <v>0</v>
      </c>
      <c r="L3565" t="n">
        <v>19840</v>
      </c>
      <c r="M3565" t="n">
        <v>23000</v>
      </c>
      <c r="N3565" t="n">
        <v>33</v>
      </c>
      <c r="O3565" t="n">
        <v>0.33</v>
      </c>
      <c r="P3565" t="n">
        <v>1</v>
      </c>
      <c r="Q3565" t="n">
        <v>0.05</v>
      </c>
      <c r="R3565" t="n">
        <v>1</v>
      </c>
      <c r="S3565" t="n">
        <v>910.8000000000001</v>
      </c>
      <c r="T3565" t="n">
        <v>10</v>
      </c>
      <c r="U3565" t="n">
        <v>11</v>
      </c>
      <c r="V3565" t="n">
        <v>30</v>
      </c>
      <c r="W3565" t="n">
        <v>2</v>
      </c>
      <c r="X3565" t="n">
        <v>25.25252525252525</v>
      </c>
      <c r="Y3565" t="n">
        <v>1</v>
      </c>
      <c r="Z3565" t="n">
        <v>1</v>
      </c>
      <c r="AA3565" t="n">
        <v>1</v>
      </c>
      <c r="AB3565" t="n">
        <v>0</v>
      </c>
      <c r="AC3565" t="n">
        <v>0</v>
      </c>
      <c r="AD3565" t="n">
        <v>19840</v>
      </c>
      <c r="AE3565" t="n">
        <v>0</v>
      </c>
      <c r="AF3565" t="n">
        <v>10529</v>
      </c>
      <c r="AG3565" t="n">
        <v>2148</v>
      </c>
      <c r="AH3565" t="inlineStr">
        <is>
          <t>PT. JAYA PALEMBANG SUKSES - PPN (JMB)</t>
        </is>
      </c>
      <c r="AI3565" t="n">
        <v>130</v>
      </c>
      <c r="AJ3565" t="inlineStr">
        <is>
          <t>PURBASARI</t>
        </is>
      </c>
      <c r="AK3565" t="n">
        <v>9</v>
      </c>
      <c r="AL3565" t="inlineStr">
        <is>
          <t>Miss Glam Jambi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PURBASARI</t>
        </is>
      </c>
      <c r="B3566" s="2">
        <f>"8999225910930"</f>
        <v/>
      </c>
      <c r="C3566" t="inlineStr">
        <is>
          <t>PURBASARI Glow Facial Foam Brightening 100gr</t>
        </is>
      </c>
      <c r="D3566" t="inlineStr">
        <is>
          <t>Miss Glam Jambi</t>
        </is>
      </c>
      <c r="E3566" t="n">
        <v>2</v>
      </c>
      <c r="F3566" t="n">
        <v>0.0561</v>
      </c>
      <c r="G3566" t="n">
        <v>0.66</v>
      </c>
      <c r="H3566" t="n">
        <v>4</v>
      </c>
      <c r="I3566" t="n">
        <v>28</v>
      </c>
      <c r="J3566" t="n">
        <v>3</v>
      </c>
      <c r="K3566" t="n">
        <v>0</v>
      </c>
      <c r="L3566" t="n">
        <v>19840</v>
      </c>
      <c r="M3566" t="n">
        <v>25000</v>
      </c>
      <c r="N3566" t="n">
        <v>33</v>
      </c>
      <c r="O3566" t="n">
        <v>0.33</v>
      </c>
      <c r="P3566" t="n">
        <v>1</v>
      </c>
      <c r="Q3566" t="n">
        <v>0.05</v>
      </c>
      <c r="R3566" t="n">
        <v>1</v>
      </c>
      <c r="S3566" t="n">
        <v>1402.5</v>
      </c>
      <c r="T3566" t="n">
        <v>19</v>
      </c>
      <c r="U3566" t="n">
        <v>20</v>
      </c>
      <c r="V3566" t="n">
        <v>30</v>
      </c>
      <c r="W3566" t="n">
        <v>2</v>
      </c>
      <c r="X3566" t="n">
        <v>35.650623885918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10529</v>
      </c>
      <c r="AG3566" t="n">
        <v>2148</v>
      </c>
      <c r="AH3566" t="inlineStr">
        <is>
          <t>PT. JAYA PALEMBANG SUKSES - PPN (JMB)</t>
        </is>
      </c>
      <c r="AI3566" t="n">
        <v>130</v>
      </c>
      <c r="AJ3566" t="inlineStr">
        <is>
          <t>PURBASARI</t>
        </is>
      </c>
      <c r="AK3566" t="n">
        <v>9</v>
      </c>
      <c r="AL3566" t="inlineStr">
        <is>
          <t>Miss Glam Jambi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PURBASARI</t>
        </is>
      </c>
      <c r="B3567" s="2">
        <f>"8999225910954"</f>
        <v/>
      </c>
      <c r="C3567" t="inlineStr">
        <is>
          <t>PURBASARI Glow Facial Foam Moisturizing 100gr</t>
        </is>
      </c>
      <c r="D3567" t="inlineStr">
        <is>
          <t>Miss Glam Jambi</t>
        </is>
      </c>
      <c r="E3567" t="n">
        <v>2</v>
      </c>
      <c r="F3567" t="n">
        <v>0.009900000000000001</v>
      </c>
      <c r="G3567" t="n">
        <v>0.33</v>
      </c>
      <c r="H3567" t="n">
        <v>4</v>
      </c>
      <c r="I3567" t="n">
        <v>28</v>
      </c>
      <c r="J3567" t="n">
        <v>3</v>
      </c>
      <c r="K3567" t="n">
        <v>0</v>
      </c>
      <c r="L3567" t="n">
        <v>19840</v>
      </c>
      <c r="M3567" t="n">
        <v>23000</v>
      </c>
      <c r="N3567" t="n">
        <v>33</v>
      </c>
      <c r="O3567" t="n">
        <v>0.33</v>
      </c>
      <c r="P3567" t="n">
        <v>1</v>
      </c>
      <c r="Q3567" t="n">
        <v>0.03</v>
      </c>
      <c r="R3567" t="n">
        <v>1</v>
      </c>
      <c r="S3567" t="n">
        <v>227.7</v>
      </c>
      <c r="T3567" t="n">
        <v>10</v>
      </c>
      <c r="U3567" t="n">
        <v>11</v>
      </c>
      <c r="V3567" t="n">
        <v>30</v>
      </c>
      <c r="W3567" t="n">
        <v>1</v>
      </c>
      <c r="X3567" t="n">
        <v>202.020202020202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10529</v>
      </c>
      <c r="AG3567" t="n">
        <v>2148</v>
      </c>
      <c r="AH3567" t="inlineStr">
        <is>
          <t>PT. JAYA PALEMBANG SUKSES - PPN (JMB)</t>
        </is>
      </c>
      <c r="AI3567" t="n">
        <v>130</v>
      </c>
      <c r="AJ3567" t="inlineStr">
        <is>
          <t>PURBASARI</t>
        </is>
      </c>
      <c r="AK3567" t="n">
        <v>9</v>
      </c>
      <c r="AL3567" t="inlineStr">
        <is>
          <t>Miss Glam Jambi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PURBASARI</t>
        </is>
      </c>
      <c r="B3568" s="2">
        <f>"8999225911210"</f>
        <v/>
      </c>
      <c r="C3568" t="inlineStr">
        <is>
          <t>PURBASARI Glowing Rose Water 100ml</t>
        </is>
      </c>
      <c r="D3568" t="inlineStr">
        <is>
          <t>Miss Glam Jambi</t>
        </is>
      </c>
      <c r="E3568" t="n">
        <v>5</v>
      </c>
      <c r="F3568" t="n">
        <v>0.0396</v>
      </c>
      <c r="G3568" t="n">
        <v>0.33</v>
      </c>
      <c r="H3568" t="n">
        <v>4</v>
      </c>
      <c r="I3568" t="n">
        <v>28</v>
      </c>
      <c r="J3568" t="n">
        <v>3</v>
      </c>
      <c r="K3568" t="n">
        <v>0</v>
      </c>
      <c r="L3568" t="n">
        <v>9600</v>
      </c>
      <c r="M3568" t="n">
        <v>12000</v>
      </c>
      <c r="N3568" t="n">
        <v>33</v>
      </c>
      <c r="O3568" t="n">
        <v>0.33</v>
      </c>
      <c r="P3568" t="n">
        <v>1</v>
      </c>
      <c r="Q3568" t="n">
        <v>0.07000000000000001</v>
      </c>
      <c r="R3568" t="n">
        <v>1</v>
      </c>
      <c r="S3568" t="n">
        <v>475.2</v>
      </c>
      <c r="T3568" t="n">
        <v>10</v>
      </c>
      <c r="U3568" t="n">
        <v>11</v>
      </c>
      <c r="V3568" t="n">
        <v>30</v>
      </c>
      <c r="W3568" t="n">
        <v>2</v>
      </c>
      <c r="X3568" t="n">
        <v>126.2626262626263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10529</v>
      </c>
      <c r="AG3568" t="n">
        <v>2148</v>
      </c>
      <c r="AH3568" t="inlineStr">
        <is>
          <t>PT. JAYA PALEMBANG SUKSES - PPN (JMB)</t>
        </is>
      </c>
      <c r="AI3568" t="n">
        <v>130</v>
      </c>
      <c r="AJ3568" t="inlineStr">
        <is>
          <t>PURBASARI</t>
        </is>
      </c>
      <c r="AK3568" t="n">
        <v>9</v>
      </c>
      <c r="AL3568" t="inlineStr">
        <is>
          <t>Miss Glam Jambi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PURBASARI</t>
        </is>
      </c>
      <c r="B3569" s="2">
        <f>"8999225911227"</f>
        <v/>
      </c>
      <c r="C3569" t="inlineStr">
        <is>
          <t>PURBASARI Glowing Rose Water 200ml</t>
        </is>
      </c>
      <c r="D3569" t="inlineStr">
        <is>
          <t>Miss Glam Jambi</t>
        </is>
      </c>
      <c r="E3569" t="n">
        <v>7</v>
      </c>
      <c r="F3569" t="n">
        <v>0.0462</v>
      </c>
      <c r="G3569" t="n">
        <v>0.66</v>
      </c>
      <c r="H3569" t="n">
        <v>4</v>
      </c>
      <c r="I3569" t="n">
        <v>28</v>
      </c>
      <c r="J3569" t="n">
        <v>3</v>
      </c>
      <c r="K3569" t="n">
        <v>0</v>
      </c>
      <c r="L3569" t="n">
        <v>14401</v>
      </c>
      <c r="M3569" t="n">
        <v>20000</v>
      </c>
      <c r="N3569" t="n">
        <v>33</v>
      </c>
      <c r="O3569" t="n">
        <v>0.33</v>
      </c>
      <c r="P3569" t="n">
        <v>1</v>
      </c>
      <c r="Q3569" t="n">
        <v>0.03</v>
      </c>
      <c r="R3569" t="n">
        <v>1</v>
      </c>
      <c r="S3569" t="n">
        <v>924.0000000000001</v>
      </c>
      <c r="T3569" t="n">
        <v>19</v>
      </c>
      <c r="U3569" t="n">
        <v>20</v>
      </c>
      <c r="V3569" t="n">
        <v>30</v>
      </c>
      <c r="W3569" t="n">
        <v>2</v>
      </c>
      <c r="X3569" t="n">
        <v>151.5151515151515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10529</v>
      </c>
      <c r="AG3569" t="n">
        <v>2148</v>
      </c>
      <c r="AH3569" t="inlineStr">
        <is>
          <t>PT. JAYA PALEMBANG SUKSES - PPN (JMB)</t>
        </is>
      </c>
      <c r="AI3569" t="n">
        <v>130</v>
      </c>
      <c r="AJ3569" t="inlineStr">
        <is>
          <t>PURBASARI</t>
        </is>
      </c>
      <c r="AK3569" t="n">
        <v>9</v>
      </c>
      <c r="AL3569" t="inlineStr">
        <is>
          <t>Miss Glam Jambi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PURBASARI</t>
        </is>
      </c>
      <c r="B3570" s="2">
        <f>"30200194504"</f>
        <v/>
      </c>
      <c r="C3570" t="inlineStr">
        <is>
          <t>PURBASARI Hand &amp; Body Lotion Habbatus Sauda 100ml</t>
        </is>
      </c>
      <c r="D3570" t="inlineStr">
        <is>
          <t>Miss Glam Jambi</t>
        </is>
      </c>
      <c r="E3570" t="n">
        <v>25</v>
      </c>
      <c r="F3570" t="n">
        <v>1.4157</v>
      </c>
      <c r="G3570" t="n">
        <v>5.28</v>
      </c>
      <c r="H3570" t="n">
        <v>4</v>
      </c>
      <c r="I3570" t="n">
        <v>28</v>
      </c>
      <c r="J3570" t="n">
        <v>1</v>
      </c>
      <c r="K3570" t="n">
        <v>18</v>
      </c>
      <c r="L3570" t="n">
        <v>9280</v>
      </c>
      <c r="M3570" t="n">
        <v>12000</v>
      </c>
      <c r="N3570" t="n">
        <v>33</v>
      </c>
      <c r="O3570" t="n">
        <v>0.33</v>
      </c>
      <c r="P3570" t="n">
        <v>1</v>
      </c>
      <c r="Q3570" t="n">
        <v>0.42</v>
      </c>
      <c r="R3570" t="n">
        <v>3</v>
      </c>
      <c r="S3570" t="n">
        <v>16988.4</v>
      </c>
      <c r="T3570" t="n">
        <v>143</v>
      </c>
      <c r="U3570" t="n">
        <v>149</v>
      </c>
      <c r="V3570" t="n">
        <v>30</v>
      </c>
      <c r="W3570" t="n">
        <v>43</v>
      </c>
      <c r="X3570" t="n">
        <v>17.65910856819947</v>
      </c>
      <c r="Y3570" t="n">
        <v>1</v>
      </c>
      <c r="Z3570" t="n">
        <v>0</v>
      </c>
      <c r="AA3570" t="n">
        <v>14</v>
      </c>
      <c r="AB3570" t="n">
        <v>0</v>
      </c>
      <c r="AC3570" t="n">
        <v>0</v>
      </c>
      <c r="AD3570" t="n">
        <v>129920</v>
      </c>
      <c r="AE3570" t="n">
        <v>0</v>
      </c>
      <c r="AF3570" t="n">
        <v>10529</v>
      </c>
      <c r="AG3570" t="n">
        <v>2148</v>
      </c>
      <c r="AH3570" t="inlineStr">
        <is>
          <t>PT. JAYA PALEMBANG SUKSES - PPN (JMB)</t>
        </is>
      </c>
      <c r="AI3570" t="n">
        <v>130</v>
      </c>
      <c r="AJ3570" t="inlineStr">
        <is>
          <t>PURBASARI</t>
        </is>
      </c>
      <c r="AK3570" t="n">
        <v>9</v>
      </c>
      <c r="AL3570" t="inlineStr">
        <is>
          <t>Miss Glam Jambi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PURBASARI</t>
        </is>
      </c>
      <c r="B3571" s="2">
        <f>"30200194646"</f>
        <v/>
      </c>
      <c r="C3571" t="inlineStr">
        <is>
          <t>PURBASARI Hand &amp; Body Lotion Habbatus Sauda 220ml</t>
        </is>
      </c>
      <c r="D3571" t="inlineStr">
        <is>
          <t>Miss Glam Jambi</t>
        </is>
      </c>
      <c r="E3571" t="n">
        <v>0</v>
      </c>
      <c r="F3571" t="n">
        <v>2.6334</v>
      </c>
      <c r="G3571" t="n">
        <v>5.61</v>
      </c>
      <c r="H3571" t="n">
        <v>4</v>
      </c>
      <c r="I3571" t="n">
        <v>28</v>
      </c>
      <c r="J3571" t="n">
        <v>1</v>
      </c>
      <c r="K3571" t="n">
        <v>5</v>
      </c>
      <c r="L3571" t="n">
        <v>14000</v>
      </c>
      <c r="M3571" t="n">
        <v>18000</v>
      </c>
      <c r="N3571" t="n">
        <v>33</v>
      </c>
      <c r="O3571" t="n">
        <v>0.33</v>
      </c>
      <c r="P3571" t="n">
        <v>1</v>
      </c>
      <c r="Q3571" t="n">
        <v>1.28</v>
      </c>
      <c r="R3571" t="n">
        <v>6</v>
      </c>
      <c r="S3571" t="n">
        <v>47401.2</v>
      </c>
      <c r="T3571" t="n">
        <v>147</v>
      </c>
      <c r="U3571" t="n">
        <v>158</v>
      </c>
      <c r="V3571" t="n">
        <v>30</v>
      </c>
      <c r="W3571" t="n">
        <v>80</v>
      </c>
      <c r="X3571" t="n">
        <v>0</v>
      </c>
      <c r="Y3571" t="n">
        <v>1</v>
      </c>
      <c r="Z3571" t="n">
        <v>75</v>
      </c>
      <c r="AA3571" t="n">
        <v>73</v>
      </c>
      <c r="AB3571" t="n">
        <v>2</v>
      </c>
      <c r="AC3571" t="n">
        <v>2</v>
      </c>
      <c r="AD3571" t="n">
        <v>1022000</v>
      </c>
      <c r="AE3571" t="n">
        <v>28000</v>
      </c>
      <c r="AF3571" t="n">
        <v>10529</v>
      </c>
      <c r="AG3571" t="n">
        <v>2148</v>
      </c>
      <c r="AH3571" t="inlineStr">
        <is>
          <t>PT. JAYA PALEMBANG SUKSES - PPN (JMB)</t>
        </is>
      </c>
      <c r="AI3571" t="n">
        <v>130</v>
      </c>
      <c r="AJ3571" t="inlineStr">
        <is>
          <t>PURBASARI</t>
        </is>
      </c>
      <c r="AK3571" t="n">
        <v>9</v>
      </c>
      <c r="AL3571" t="inlineStr">
        <is>
          <t>Miss Glam Jambi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PURBASARI</t>
        </is>
      </c>
      <c r="B3572" s="2">
        <f>"8999225908333"</f>
        <v/>
      </c>
      <c r="C3572" t="inlineStr">
        <is>
          <t>PURBASARI Hand And Body Lotion Zaitun 220ml</t>
        </is>
      </c>
      <c r="D3572" t="inlineStr">
        <is>
          <t>Miss Glam Jambi</t>
        </is>
      </c>
      <c r="E3572" t="n">
        <v>3</v>
      </c>
      <c r="F3572" t="n">
        <v>0.1551</v>
      </c>
      <c r="G3572" t="n">
        <v>0.99</v>
      </c>
      <c r="H3572" t="n">
        <v>4</v>
      </c>
      <c r="I3572" t="n">
        <v>28</v>
      </c>
      <c r="J3572" t="n">
        <v>3</v>
      </c>
      <c r="K3572" t="n">
        <v>0</v>
      </c>
      <c r="L3572" t="n">
        <v>14000</v>
      </c>
      <c r="M3572" t="n">
        <v>18000</v>
      </c>
      <c r="N3572" t="n">
        <v>33</v>
      </c>
      <c r="O3572" t="n">
        <v>0.33</v>
      </c>
      <c r="P3572" t="n">
        <v>1</v>
      </c>
      <c r="Q3572" t="n">
        <v>0.22</v>
      </c>
      <c r="R3572" t="n">
        <v>3</v>
      </c>
      <c r="S3572" t="n">
        <v>2791.8</v>
      </c>
      <c r="T3572" t="n">
        <v>28</v>
      </c>
      <c r="U3572" t="n">
        <v>29</v>
      </c>
      <c r="V3572" t="n">
        <v>30</v>
      </c>
      <c r="W3572" t="n">
        <v>5</v>
      </c>
      <c r="X3572" t="n">
        <v>19.34235976789168</v>
      </c>
      <c r="Y3572" t="n">
        <v>1</v>
      </c>
      <c r="Z3572" t="n">
        <v>2</v>
      </c>
      <c r="AA3572" t="n">
        <v>2</v>
      </c>
      <c r="AB3572" t="n">
        <v>0</v>
      </c>
      <c r="AC3572" t="n">
        <v>0</v>
      </c>
      <c r="AD3572" t="n">
        <v>28000</v>
      </c>
      <c r="AE3572" t="n">
        <v>0</v>
      </c>
      <c r="AF3572" t="n">
        <v>10529</v>
      </c>
      <c r="AG3572" t="n">
        <v>2148</v>
      </c>
      <c r="AH3572" t="inlineStr">
        <is>
          <t>PT. JAYA PALEMBANG SUKSES - PPN (JMB)</t>
        </is>
      </c>
      <c r="AI3572" t="n">
        <v>130</v>
      </c>
      <c r="AJ3572" t="inlineStr">
        <is>
          <t>PURBASARI</t>
        </is>
      </c>
      <c r="AK3572" t="n">
        <v>9</v>
      </c>
      <c r="AL3572" t="inlineStr">
        <is>
          <t>Miss Glam Jambi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PURBASARI</t>
        </is>
      </c>
      <c r="B3573" s="2">
        <f>"8999225908616"</f>
        <v/>
      </c>
      <c r="C3573" t="inlineStr">
        <is>
          <t>PURBASARI Hand and Body Lotion Zaitun Olive Oil 100ml</t>
        </is>
      </c>
      <c r="D3573" t="inlineStr">
        <is>
          <t>Miss Glam Jambi</t>
        </is>
      </c>
      <c r="E3573" t="n">
        <v>7</v>
      </c>
      <c r="F3573" t="n">
        <v>0.1485</v>
      </c>
      <c r="G3573" t="n">
        <v>0.66</v>
      </c>
      <c r="H3573" t="n">
        <v>4</v>
      </c>
      <c r="I3573" t="n">
        <v>28</v>
      </c>
      <c r="J3573" t="n">
        <v>3</v>
      </c>
      <c r="K3573" t="n">
        <v>0</v>
      </c>
      <c r="L3573" t="n">
        <v>9280</v>
      </c>
      <c r="M3573" t="n">
        <v>12500</v>
      </c>
      <c r="N3573" t="n">
        <v>33</v>
      </c>
      <c r="O3573" t="n">
        <v>0.33</v>
      </c>
      <c r="P3573" t="n">
        <v>1</v>
      </c>
      <c r="Q3573" t="n">
        <v>0.19</v>
      </c>
      <c r="R3573" t="n">
        <v>4</v>
      </c>
      <c r="S3573" t="n">
        <v>1856.25</v>
      </c>
      <c r="T3573" t="n">
        <v>18</v>
      </c>
      <c r="U3573" t="n">
        <v>19</v>
      </c>
      <c r="V3573" t="n">
        <v>30</v>
      </c>
      <c r="W3573" t="n">
        <v>5</v>
      </c>
      <c r="X3573" t="n">
        <v>47.13804713804713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10529</v>
      </c>
      <c r="AG3573" t="n">
        <v>2148</v>
      </c>
      <c r="AH3573" t="inlineStr">
        <is>
          <t>PT. JAYA PALEMBANG SUKSES - PPN (JMB)</t>
        </is>
      </c>
      <c r="AI3573" t="n">
        <v>130</v>
      </c>
      <c r="AJ3573" t="inlineStr">
        <is>
          <t>PURBASARI</t>
        </is>
      </c>
      <c r="AK3573" t="n">
        <v>9</v>
      </c>
      <c r="AL3573" t="inlineStr">
        <is>
          <t>Miss Glam Jambi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PURBASARI</t>
        </is>
      </c>
      <c r="B3574" s="2">
        <f>"8999225785545"</f>
        <v/>
      </c>
      <c r="C3574" t="inlineStr">
        <is>
          <t>PURBASARI Kanna Cream 15gr</t>
        </is>
      </c>
      <c r="D3574" t="inlineStr">
        <is>
          <t>Miss Glam Jambi</t>
        </is>
      </c>
      <c r="E3574" t="n">
        <v>4</v>
      </c>
      <c r="F3574" t="n">
        <v>0.066</v>
      </c>
      <c r="G3574" t="n">
        <v>0.99</v>
      </c>
      <c r="H3574" t="n">
        <v>4</v>
      </c>
      <c r="I3574" t="n">
        <v>28</v>
      </c>
      <c r="J3574" t="n">
        <v>3</v>
      </c>
      <c r="K3574" t="n">
        <v>0</v>
      </c>
      <c r="L3574" t="n">
        <v>9600</v>
      </c>
      <c r="M3574" t="n">
        <v>12000</v>
      </c>
      <c r="N3574" t="n">
        <v>33</v>
      </c>
      <c r="O3574" t="n">
        <v>0.33</v>
      </c>
      <c r="P3574" t="n">
        <v>1</v>
      </c>
      <c r="Q3574" t="n">
        <v>0.2</v>
      </c>
      <c r="R3574" t="n">
        <v>2</v>
      </c>
      <c r="S3574" t="n">
        <v>792</v>
      </c>
      <c r="T3574" t="n">
        <v>28</v>
      </c>
      <c r="U3574" t="n">
        <v>29</v>
      </c>
      <c r="V3574" t="n">
        <v>30</v>
      </c>
      <c r="W3574" t="n">
        <v>2</v>
      </c>
      <c r="X3574" t="n">
        <v>60.6060606060606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10529</v>
      </c>
      <c r="AG3574" t="n">
        <v>2148</v>
      </c>
      <c r="AH3574" t="inlineStr">
        <is>
          <t>PT. JAYA PALEMBANG SUKSES - PPN (JMB)</t>
        </is>
      </c>
      <c r="AI3574" t="n">
        <v>130</v>
      </c>
      <c r="AJ3574" t="inlineStr">
        <is>
          <t>PURBASARI</t>
        </is>
      </c>
      <c r="AK3574" t="n">
        <v>9</v>
      </c>
      <c r="AL3574" t="inlineStr">
        <is>
          <t>Miss Glam Jambi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PURBASARI</t>
        </is>
      </c>
      <c r="B3575" s="2">
        <f>"8999225783107"</f>
        <v/>
      </c>
      <c r="C3575" t="inlineStr">
        <is>
          <t>PURBASARI Kanna Cream 30gr</t>
        </is>
      </c>
      <c r="D3575" t="inlineStr">
        <is>
          <t>Miss Glam Jambi</t>
        </is>
      </c>
      <c r="E3575" t="n">
        <v>6</v>
      </c>
      <c r="F3575" t="n">
        <v>0.1386</v>
      </c>
      <c r="G3575" t="n">
        <v>0.66</v>
      </c>
      <c r="H3575" t="n">
        <v>4</v>
      </c>
      <c r="I3575" t="n">
        <v>28</v>
      </c>
      <c r="J3575" t="n">
        <v>3</v>
      </c>
      <c r="K3575" t="n">
        <v>0</v>
      </c>
      <c r="L3575" t="n">
        <v>15600</v>
      </c>
      <c r="M3575" t="n">
        <v>18500</v>
      </c>
      <c r="N3575" t="n">
        <v>33</v>
      </c>
      <c r="O3575" t="n">
        <v>0.33</v>
      </c>
      <c r="P3575" t="n">
        <v>1</v>
      </c>
      <c r="Q3575" t="n">
        <v>0.03</v>
      </c>
      <c r="R3575" t="n">
        <v>1</v>
      </c>
      <c r="S3575" t="n">
        <v>2564.1</v>
      </c>
      <c r="T3575" t="n">
        <v>18</v>
      </c>
      <c r="U3575" t="n">
        <v>19</v>
      </c>
      <c r="V3575" t="n">
        <v>30</v>
      </c>
      <c r="W3575" t="n">
        <v>5</v>
      </c>
      <c r="X3575" t="n">
        <v>43.29004329004329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10529</v>
      </c>
      <c r="AG3575" t="n">
        <v>2148</v>
      </c>
      <c r="AH3575" t="inlineStr">
        <is>
          <t>PT. JAYA PALEMBANG SUKSES - PPN (JMB)</t>
        </is>
      </c>
      <c r="AI3575" t="n">
        <v>130</v>
      </c>
      <c r="AJ3575" t="inlineStr">
        <is>
          <t>PURBASARI</t>
        </is>
      </c>
      <c r="AK3575" t="n">
        <v>9</v>
      </c>
      <c r="AL3575" t="inlineStr">
        <is>
          <t>Miss Glam Jambi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PURBASARI</t>
        </is>
      </c>
      <c r="B3576" s="2">
        <f>"8999225906360"</f>
        <v/>
      </c>
      <c r="C3576" t="inlineStr">
        <is>
          <t>PURBASARI Kanna White Cream 30gr</t>
        </is>
      </c>
      <c r="D3576" t="inlineStr">
        <is>
          <t>Miss Glam Jambi</t>
        </is>
      </c>
      <c r="E3576" t="n">
        <v>0</v>
      </c>
      <c r="F3576" t="n">
        <v>0.0396</v>
      </c>
      <c r="G3576" t="n">
        <v>0.33</v>
      </c>
      <c r="H3576" t="n">
        <v>4</v>
      </c>
      <c r="I3576" t="n">
        <v>28</v>
      </c>
      <c r="J3576" t="n">
        <v>3</v>
      </c>
      <c r="K3576" t="n">
        <v>0</v>
      </c>
      <c r="L3576" t="n">
        <v>18405</v>
      </c>
      <c r="M3576" t="n">
        <v>23000</v>
      </c>
      <c r="N3576" t="n">
        <v>33</v>
      </c>
      <c r="O3576" t="n">
        <v>0.33</v>
      </c>
      <c r="P3576" t="n">
        <v>1</v>
      </c>
      <c r="Q3576" t="n">
        <v>0.09</v>
      </c>
      <c r="R3576" t="n">
        <v>2</v>
      </c>
      <c r="S3576" t="n">
        <v>910.8000000000001</v>
      </c>
      <c r="T3576" t="n">
        <v>10</v>
      </c>
      <c r="U3576" t="n">
        <v>11</v>
      </c>
      <c r="V3576" t="n">
        <v>30</v>
      </c>
      <c r="W3576" t="n">
        <v>2</v>
      </c>
      <c r="X3576" t="n">
        <v>0</v>
      </c>
      <c r="Y3576" t="n">
        <v>1</v>
      </c>
      <c r="Z3576" t="n">
        <v>2</v>
      </c>
      <c r="AA3576" t="n">
        <v>2</v>
      </c>
      <c r="AB3576" t="n">
        <v>0</v>
      </c>
      <c r="AC3576" t="n">
        <v>0</v>
      </c>
      <c r="AD3576" t="n">
        <v>36810</v>
      </c>
      <c r="AE3576" t="n">
        <v>0</v>
      </c>
      <c r="AF3576" t="n">
        <v>10529</v>
      </c>
      <c r="AG3576" t="n">
        <v>2148</v>
      </c>
      <c r="AH3576" t="inlineStr">
        <is>
          <t>PT. JAYA PALEMBANG SUKSES - PPN (JMB)</t>
        </is>
      </c>
      <c r="AI3576" t="n">
        <v>130</v>
      </c>
      <c r="AJ3576" t="inlineStr">
        <is>
          <t>PURBASARI</t>
        </is>
      </c>
      <c r="AK3576" t="n">
        <v>9</v>
      </c>
      <c r="AL3576" t="inlineStr">
        <is>
          <t>Miss Glam Jambi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PURBASARI</t>
        </is>
      </c>
      <c r="B3577" s="2">
        <f>"8999225783732"</f>
        <v/>
      </c>
      <c r="C3577" t="inlineStr">
        <is>
          <t>PURBASARI Lulur Mamdi Green Tea 125g</t>
        </is>
      </c>
      <c r="D3577" t="inlineStr">
        <is>
          <t>Miss Glam Jambi</t>
        </is>
      </c>
      <c r="E3577" t="n">
        <v>7</v>
      </c>
      <c r="F3577" t="n">
        <v>0.1617</v>
      </c>
      <c r="G3577" t="n">
        <v>1.65</v>
      </c>
      <c r="H3577" t="n">
        <v>4</v>
      </c>
      <c r="I3577" t="n">
        <v>28</v>
      </c>
      <c r="J3577" t="n">
        <v>3</v>
      </c>
      <c r="K3577" t="n">
        <v>0</v>
      </c>
      <c r="L3577" t="n">
        <v>9600</v>
      </c>
      <c r="M3577" t="n">
        <v>12000</v>
      </c>
      <c r="N3577" t="n">
        <v>33</v>
      </c>
      <c r="O3577" t="n">
        <v>0.33</v>
      </c>
      <c r="P3577" t="n">
        <v>1</v>
      </c>
      <c r="Q3577" t="n">
        <v>0.03</v>
      </c>
      <c r="R3577" t="n">
        <v>1</v>
      </c>
      <c r="S3577" t="n">
        <v>1940.4</v>
      </c>
      <c r="T3577" t="n">
        <v>46</v>
      </c>
      <c r="U3577" t="n">
        <v>47</v>
      </c>
      <c r="V3577" t="n">
        <v>30</v>
      </c>
      <c r="W3577" t="n">
        <v>5</v>
      </c>
      <c r="X3577" t="n">
        <v>43.29004329004329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10529</v>
      </c>
      <c r="AG3577" t="n">
        <v>2148</v>
      </c>
      <c r="AH3577" t="inlineStr">
        <is>
          <t>PT. JAYA PALEMBANG SUKSES - PPN (JMB)</t>
        </is>
      </c>
      <c r="AI3577" t="n">
        <v>130</v>
      </c>
      <c r="AJ3577" t="inlineStr">
        <is>
          <t>PURBASARI</t>
        </is>
      </c>
      <c r="AK3577" t="n">
        <v>9</v>
      </c>
      <c r="AL3577" t="inlineStr">
        <is>
          <t>Miss Glam Jambi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PURBASARI</t>
        </is>
      </c>
      <c r="B3578" s="2">
        <f>"8999225783169"</f>
        <v/>
      </c>
      <c r="C3578" t="inlineStr">
        <is>
          <t>PURBASARI Lulur Mandi Bengkoang 125gr</t>
        </is>
      </c>
      <c r="D3578" t="inlineStr">
        <is>
          <t>Miss Glam Jambi</t>
        </is>
      </c>
      <c r="E3578" t="n">
        <v>2</v>
      </c>
      <c r="F3578" t="n">
        <v>0.1</v>
      </c>
      <c r="G3578" t="n">
        <v>1</v>
      </c>
      <c r="H3578" t="n">
        <v>4</v>
      </c>
      <c r="I3578" t="n">
        <v>28</v>
      </c>
      <c r="J3578" t="n">
        <v>3</v>
      </c>
      <c r="K3578" t="n">
        <v>0</v>
      </c>
      <c r="L3578" t="n">
        <v>9600</v>
      </c>
      <c r="M3578" t="n">
        <v>12000</v>
      </c>
      <c r="N3578" t="n">
        <v>33</v>
      </c>
      <c r="O3578" t="n">
        <v>0.33</v>
      </c>
      <c r="P3578" t="n">
        <v>0</v>
      </c>
      <c r="Q3578" t="n">
        <v>0.1</v>
      </c>
      <c r="R3578" t="n">
        <v>1</v>
      </c>
      <c r="S3578" t="n">
        <v>1200</v>
      </c>
      <c r="T3578" t="n">
        <v>28</v>
      </c>
      <c r="U3578" t="n">
        <v>29</v>
      </c>
      <c r="V3578" t="n">
        <v>30</v>
      </c>
      <c r="W3578" t="n">
        <v>3</v>
      </c>
      <c r="X3578" t="n">
        <v>20</v>
      </c>
      <c r="Y3578" t="n">
        <v>1</v>
      </c>
      <c r="Z3578" t="n">
        <v>1</v>
      </c>
      <c r="AA3578" t="n">
        <v>1</v>
      </c>
      <c r="AB3578" t="n">
        <v>0</v>
      </c>
      <c r="AC3578" t="n">
        <v>0</v>
      </c>
      <c r="AD3578" t="n">
        <v>9600</v>
      </c>
      <c r="AE3578" t="n">
        <v>0</v>
      </c>
      <c r="AF3578" t="n">
        <v>10529</v>
      </c>
      <c r="AG3578" t="n">
        <v>2148</v>
      </c>
      <c r="AH3578" t="inlineStr">
        <is>
          <t>PT. JAYA PALEMBANG SUKSES - PPN (JMB)</t>
        </is>
      </c>
      <c r="AI3578" t="n">
        <v>130</v>
      </c>
      <c r="AJ3578" t="inlineStr">
        <is>
          <t>PURBASARI</t>
        </is>
      </c>
      <c r="AK3578" t="n">
        <v>9</v>
      </c>
      <c r="AL3578" t="inlineStr">
        <is>
          <t>Miss Glam Jambi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PURBASARI</t>
        </is>
      </c>
      <c r="B3579" s="2">
        <f>"8999225783152"</f>
        <v/>
      </c>
      <c r="C3579" t="inlineStr">
        <is>
          <t>PURBASARI Lulur Mandi Bengkoang 235ml</t>
        </is>
      </c>
      <c r="D3579" t="inlineStr">
        <is>
          <t>Miss Glam Jambi</t>
        </is>
      </c>
      <c r="E3579" t="n">
        <v>5</v>
      </c>
      <c r="F3579" t="n">
        <v>0.5973000000000001</v>
      </c>
      <c r="G3579" t="n">
        <v>1.65</v>
      </c>
      <c r="H3579" t="n">
        <v>4</v>
      </c>
      <c r="I3579" t="n">
        <v>28</v>
      </c>
      <c r="J3579" t="n">
        <v>3</v>
      </c>
      <c r="K3579" t="n">
        <v>3</v>
      </c>
      <c r="L3579" t="n">
        <v>14880</v>
      </c>
      <c r="M3579" t="n">
        <v>20500</v>
      </c>
      <c r="N3579" t="n">
        <v>33</v>
      </c>
      <c r="O3579" t="n">
        <v>0.33</v>
      </c>
      <c r="P3579" t="n">
        <v>1</v>
      </c>
      <c r="Q3579" t="n">
        <v>0.17</v>
      </c>
      <c r="R3579" t="n">
        <v>1</v>
      </c>
      <c r="S3579" t="n">
        <v>12244.65</v>
      </c>
      <c r="T3579" t="n">
        <v>44</v>
      </c>
      <c r="U3579" t="n">
        <v>47</v>
      </c>
      <c r="V3579" t="n">
        <v>30</v>
      </c>
      <c r="W3579" t="n">
        <v>18</v>
      </c>
      <c r="X3579" t="n">
        <v>8.371002846140968</v>
      </c>
      <c r="Y3579" t="n">
        <v>1</v>
      </c>
      <c r="Z3579" t="n">
        <v>10</v>
      </c>
      <c r="AA3579" t="n">
        <v>11</v>
      </c>
      <c r="AB3579" t="n">
        <v>0</v>
      </c>
      <c r="AC3579" t="n">
        <v>0</v>
      </c>
      <c r="AD3579" t="n">
        <v>163680</v>
      </c>
      <c r="AE3579" t="n">
        <v>0</v>
      </c>
      <c r="AF3579" t="n">
        <v>10529</v>
      </c>
      <c r="AG3579" t="n">
        <v>2148</v>
      </c>
      <c r="AH3579" t="inlineStr">
        <is>
          <t>PT. JAYA PALEMBANG SUKSES - PPN (JMB)</t>
        </is>
      </c>
      <c r="AI3579" t="n">
        <v>130</v>
      </c>
      <c r="AJ3579" t="inlineStr">
        <is>
          <t>PURBASARI</t>
        </is>
      </c>
      <c r="AK3579" t="n">
        <v>9</v>
      </c>
      <c r="AL3579" t="inlineStr">
        <is>
          <t>Miss Glam Jambi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PURBASARI</t>
        </is>
      </c>
      <c r="B3580" s="2">
        <f>"8999225783114"</f>
        <v/>
      </c>
      <c r="C3580" t="inlineStr">
        <is>
          <t>PURBASARI Lulur Mandi Brightening + vit E 125ml</t>
        </is>
      </c>
      <c r="D3580" t="inlineStr">
        <is>
          <t>Miss Glam Jambi</t>
        </is>
      </c>
      <c r="E3580" t="n">
        <v>3</v>
      </c>
      <c r="F3580" t="n">
        <v>0.5313000000000001</v>
      </c>
      <c r="G3580" t="n">
        <v>1.98</v>
      </c>
      <c r="H3580" t="n">
        <v>4</v>
      </c>
      <c r="I3580" t="n">
        <v>28</v>
      </c>
      <c r="J3580" t="n">
        <v>3</v>
      </c>
      <c r="K3580" t="n">
        <v>3</v>
      </c>
      <c r="L3580" t="n">
        <v>9599</v>
      </c>
      <c r="M3580" t="n">
        <v>12000</v>
      </c>
      <c r="N3580" t="n">
        <v>33</v>
      </c>
      <c r="O3580" t="n">
        <v>0.33</v>
      </c>
      <c r="P3580" t="n">
        <v>1</v>
      </c>
      <c r="Q3580" t="n">
        <v>0.12</v>
      </c>
      <c r="R3580" t="n">
        <v>1</v>
      </c>
      <c r="S3580" t="n">
        <v>6375.600000000001</v>
      </c>
      <c r="T3580" t="n">
        <v>54</v>
      </c>
      <c r="U3580" t="n">
        <v>57</v>
      </c>
      <c r="V3580" t="n">
        <v>30</v>
      </c>
      <c r="W3580" t="n">
        <v>16</v>
      </c>
      <c r="X3580" t="n">
        <v>5.646527385657819</v>
      </c>
      <c r="Y3580" t="n">
        <v>1</v>
      </c>
      <c r="Z3580" t="n">
        <v>10</v>
      </c>
      <c r="AA3580" t="n">
        <v>11</v>
      </c>
      <c r="AB3580" t="n">
        <v>0</v>
      </c>
      <c r="AC3580" t="n">
        <v>0</v>
      </c>
      <c r="AD3580" t="n">
        <v>105589</v>
      </c>
      <c r="AE3580" t="n">
        <v>0</v>
      </c>
      <c r="AF3580" t="n">
        <v>10529</v>
      </c>
      <c r="AG3580" t="n">
        <v>2148</v>
      </c>
      <c r="AH3580" t="inlineStr">
        <is>
          <t>PT. JAYA PALEMBANG SUKSES - PPN (JMB)</t>
        </is>
      </c>
      <c r="AI3580" t="n">
        <v>130</v>
      </c>
      <c r="AJ3580" t="inlineStr">
        <is>
          <t>PURBASARI</t>
        </is>
      </c>
      <c r="AK3580" t="n">
        <v>9</v>
      </c>
      <c r="AL3580" t="inlineStr">
        <is>
          <t>Miss Glam Jambi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PURBASARI</t>
        </is>
      </c>
      <c r="B3581" s="2">
        <f>"8999225782179"</f>
        <v/>
      </c>
      <c r="C3581" t="inlineStr">
        <is>
          <t>PURBASARI Lulur Mandi Brightening 200gr</t>
        </is>
      </c>
      <c r="D3581" t="inlineStr">
        <is>
          <t>Miss Glam Jambi</t>
        </is>
      </c>
      <c r="E3581" t="n">
        <v>4</v>
      </c>
      <c r="F3581" t="n">
        <v>0.4587</v>
      </c>
      <c r="G3581" t="n">
        <v>1.65</v>
      </c>
      <c r="H3581" t="n">
        <v>4</v>
      </c>
      <c r="I3581" t="n">
        <v>28</v>
      </c>
      <c r="J3581" t="n">
        <v>3</v>
      </c>
      <c r="K3581" t="n">
        <v>0</v>
      </c>
      <c r="L3581" t="n">
        <v>14880</v>
      </c>
      <c r="M3581" t="n">
        <v>18000</v>
      </c>
      <c r="N3581" t="n">
        <v>33</v>
      </c>
      <c r="O3581" t="n">
        <v>0.33</v>
      </c>
      <c r="P3581" t="n">
        <v>1</v>
      </c>
      <c r="Q3581" t="n">
        <v>0.2</v>
      </c>
      <c r="R3581" t="n">
        <v>1</v>
      </c>
      <c r="S3581" t="n">
        <v>8256.6</v>
      </c>
      <c r="T3581" t="n">
        <v>45</v>
      </c>
      <c r="U3581" t="n">
        <v>47</v>
      </c>
      <c r="V3581" t="n">
        <v>30</v>
      </c>
      <c r="W3581" t="n">
        <v>14</v>
      </c>
      <c r="X3581" t="n">
        <v>8.720296490080663</v>
      </c>
      <c r="Y3581" t="n">
        <v>1</v>
      </c>
      <c r="Z3581" t="n">
        <v>10</v>
      </c>
      <c r="AA3581" t="n">
        <v>9</v>
      </c>
      <c r="AB3581" t="n">
        <v>1</v>
      </c>
      <c r="AC3581" t="n">
        <v>3</v>
      </c>
      <c r="AD3581" t="n">
        <v>133920</v>
      </c>
      <c r="AE3581" t="n">
        <v>44640</v>
      </c>
      <c r="AF3581" t="n">
        <v>10529</v>
      </c>
      <c r="AG3581" t="n">
        <v>2148</v>
      </c>
      <c r="AH3581" t="inlineStr">
        <is>
          <t>PT. JAYA PALEMBANG SUKSES - PPN (JMB)</t>
        </is>
      </c>
      <c r="AI3581" t="n">
        <v>130</v>
      </c>
      <c r="AJ3581" t="inlineStr">
        <is>
          <t>PURBASARI</t>
        </is>
      </c>
      <c r="AK3581" t="n">
        <v>9</v>
      </c>
      <c r="AL3581" t="inlineStr">
        <is>
          <t>Miss Glam Jambi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PURBASARI</t>
        </is>
      </c>
      <c r="B3582" s="2">
        <f>"8999225911302"</f>
        <v/>
      </c>
      <c r="C3582" t="inlineStr">
        <is>
          <t>PURBASARI Lulur Mandi Coffee Milk Body Scrub Brightening &amp; Firming 200gr</t>
        </is>
      </c>
      <c r="D3582" t="inlineStr">
        <is>
          <t>Miss Glam Jambi</t>
        </is>
      </c>
      <c r="E3582" t="n">
        <v>6</v>
      </c>
      <c r="F3582" t="n">
        <v>0.1</v>
      </c>
      <c r="G3582" t="n">
        <v>1</v>
      </c>
      <c r="H3582" t="n">
        <v>4</v>
      </c>
      <c r="I3582" t="n">
        <v>28</v>
      </c>
      <c r="J3582" t="n">
        <v>3</v>
      </c>
      <c r="K3582" t="n">
        <v>0</v>
      </c>
      <c r="L3582" t="n">
        <v>14880</v>
      </c>
      <c r="M3582" t="n">
        <v>18600</v>
      </c>
      <c r="N3582" t="n">
        <v>33</v>
      </c>
      <c r="O3582" t="n">
        <v>0.33</v>
      </c>
      <c r="P3582" t="n">
        <v>0</v>
      </c>
      <c r="Q3582" t="n">
        <v>0.1</v>
      </c>
      <c r="R3582" t="n">
        <v>1</v>
      </c>
      <c r="S3582" t="n">
        <v>1860</v>
      </c>
      <c r="T3582" t="n">
        <v>28</v>
      </c>
      <c r="U3582" t="n">
        <v>29</v>
      </c>
      <c r="V3582" t="n">
        <v>30</v>
      </c>
      <c r="W3582" t="n">
        <v>3</v>
      </c>
      <c r="X3582" t="n">
        <v>60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10529</v>
      </c>
      <c r="AG3582" t="n">
        <v>2148</v>
      </c>
      <c r="AH3582" t="inlineStr">
        <is>
          <t>PT. JAYA PALEMBANG SUKSES - PPN (JMB)</t>
        </is>
      </c>
      <c r="AI3582" t="n">
        <v>130</v>
      </c>
      <c r="AJ3582" t="inlineStr">
        <is>
          <t>PURBASARI</t>
        </is>
      </c>
      <c r="AK3582" t="n">
        <v>9</v>
      </c>
      <c r="AL3582" t="inlineStr">
        <is>
          <t>Miss Glam Jambi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PURBASARI</t>
        </is>
      </c>
      <c r="B3583" s="2">
        <f>"8999225783718"</f>
        <v/>
      </c>
      <c r="C3583" t="inlineStr">
        <is>
          <t>PURBASARI Lulur Mandi Green Tea 235gr</t>
        </is>
      </c>
      <c r="D3583" t="inlineStr">
        <is>
          <t>Miss Glam Jambi</t>
        </is>
      </c>
      <c r="E3583" t="n">
        <v>5</v>
      </c>
      <c r="F3583" t="n">
        <v>0.1683</v>
      </c>
      <c r="G3583" t="n">
        <v>0.66</v>
      </c>
      <c r="H3583" t="n">
        <v>4</v>
      </c>
      <c r="I3583" t="n">
        <v>28</v>
      </c>
      <c r="J3583" t="n">
        <v>3</v>
      </c>
      <c r="K3583" t="n">
        <v>3</v>
      </c>
      <c r="L3583" t="n">
        <v>14880</v>
      </c>
      <c r="M3583" t="n">
        <v>19000</v>
      </c>
      <c r="N3583" t="n">
        <v>33</v>
      </c>
      <c r="O3583" t="n">
        <v>0.33</v>
      </c>
      <c r="P3583" t="n">
        <v>1</v>
      </c>
      <c r="Q3583" t="n">
        <v>0.05</v>
      </c>
      <c r="R3583" t="n">
        <v>1</v>
      </c>
      <c r="S3583" t="n">
        <v>3197.7</v>
      </c>
      <c r="T3583" t="n">
        <v>18</v>
      </c>
      <c r="U3583" t="n">
        <v>19</v>
      </c>
      <c r="V3583" t="n">
        <v>30</v>
      </c>
      <c r="W3583" t="n">
        <v>6</v>
      </c>
      <c r="X3583" t="n">
        <v>29.708853238265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10529</v>
      </c>
      <c r="AG3583" t="n">
        <v>2148</v>
      </c>
      <c r="AH3583" t="inlineStr">
        <is>
          <t>PT. JAYA PALEMBANG SUKSES - PPN (JMB)</t>
        </is>
      </c>
      <c r="AI3583" t="n">
        <v>130</v>
      </c>
      <c r="AJ3583" t="inlineStr">
        <is>
          <t>PURBASARI</t>
        </is>
      </c>
      <c r="AK3583" t="n">
        <v>9</v>
      </c>
      <c r="AL3583" t="inlineStr">
        <is>
          <t>Miss Glam Jambi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PURBASARI</t>
        </is>
      </c>
      <c r="B3584" s="2">
        <f>"8999225910893"</f>
        <v/>
      </c>
      <c r="C3584" t="inlineStr">
        <is>
          <t>PURBASARI Lulur Mandi Habbatussauda Whitening Herb Extract Body Scrub 200gr</t>
        </is>
      </c>
      <c r="D3584" t="inlineStr">
        <is>
          <t>Miss Glam Jambi</t>
        </is>
      </c>
      <c r="E3584" t="n">
        <v>3</v>
      </c>
      <c r="F3584" t="n">
        <v>0.07000000000000001</v>
      </c>
      <c r="G3584" t="n">
        <v>1</v>
      </c>
      <c r="H3584" t="n">
        <v>4</v>
      </c>
      <c r="I3584" t="n">
        <v>28</v>
      </c>
      <c r="J3584" t="n">
        <v>3</v>
      </c>
      <c r="K3584" t="n">
        <v>0</v>
      </c>
      <c r="L3584" t="n">
        <v>14880</v>
      </c>
      <c r="M3584" t="n">
        <v>20000</v>
      </c>
      <c r="N3584" t="n">
        <v>33</v>
      </c>
      <c r="O3584" t="n">
        <v>0.33</v>
      </c>
      <c r="P3584" t="n">
        <v>0</v>
      </c>
      <c r="Q3584" t="n">
        <v>0.07000000000000001</v>
      </c>
      <c r="R3584" t="n">
        <v>1</v>
      </c>
      <c r="S3584" t="n">
        <v>1400</v>
      </c>
      <c r="T3584" t="n">
        <v>28</v>
      </c>
      <c r="U3584" t="n">
        <v>29</v>
      </c>
      <c r="V3584" t="n">
        <v>30</v>
      </c>
      <c r="W3584" t="n">
        <v>3</v>
      </c>
      <c r="X3584" t="n">
        <v>42.85714285714285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10529</v>
      </c>
      <c r="AG3584" t="n">
        <v>2148</v>
      </c>
      <c r="AH3584" t="inlineStr">
        <is>
          <t>PT. JAYA PALEMBANG SUKSES - PPN (JMB)</t>
        </is>
      </c>
      <c r="AI3584" t="n">
        <v>130</v>
      </c>
      <c r="AJ3584" t="inlineStr">
        <is>
          <t>PURBASARI</t>
        </is>
      </c>
      <c r="AK3584" t="n">
        <v>9</v>
      </c>
      <c r="AL3584" t="inlineStr">
        <is>
          <t>Miss Glam Jambi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PURBASARI</t>
        </is>
      </c>
      <c r="B3585" s="2">
        <f>"8999225906971"</f>
        <v/>
      </c>
      <c r="C3585" t="inlineStr">
        <is>
          <t>PURBASARI Lulur Mandi Pengantin Brightening + Mutiara 500gr</t>
        </is>
      </c>
      <c r="D3585" t="inlineStr">
        <is>
          <t>Miss Glam Jambi</t>
        </is>
      </c>
      <c r="E3585" t="n">
        <v>8</v>
      </c>
      <c r="F3585" t="n">
        <v>0.2112</v>
      </c>
      <c r="G3585" t="n">
        <v>1.32</v>
      </c>
      <c r="H3585" t="n">
        <v>4</v>
      </c>
      <c r="I3585" t="n">
        <v>28</v>
      </c>
      <c r="J3585" t="n">
        <v>3</v>
      </c>
      <c r="K3585" t="n">
        <v>0</v>
      </c>
      <c r="L3585" t="n">
        <v>25600</v>
      </c>
      <c r="M3585" t="n">
        <v>32000</v>
      </c>
      <c r="N3585" t="n">
        <v>33</v>
      </c>
      <c r="O3585" t="n">
        <v>0.33</v>
      </c>
      <c r="P3585" t="n">
        <v>1</v>
      </c>
      <c r="Q3585" t="n">
        <v>0.07000000000000001</v>
      </c>
      <c r="R3585" t="n">
        <v>2</v>
      </c>
      <c r="S3585" t="n">
        <v>6758.400000000001</v>
      </c>
      <c r="T3585" t="n">
        <v>37</v>
      </c>
      <c r="U3585" t="n">
        <v>38</v>
      </c>
      <c r="V3585" t="n">
        <v>30</v>
      </c>
      <c r="W3585" t="n">
        <v>7</v>
      </c>
      <c r="X3585" t="n">
        <v>37.87878787878788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10529</v>
      </c>
      <c r="AG3585" t="n">
        <v>2148</v>
      </c>
      <c r="AH3585" t="inlineStr">
        <is>
          <t>PT. JAYA PALEMBANG SUKSES - PPN (JMB)</t>
        </is>
      </c>
      <c r="AI3585" t="n">
        <v>130</v>
      </c>
      <c r="AJ3585" t="inlineStr">
        <is>
          <t>PURBASARI</t>
        </is>
      </c>
      <c r="AK3585" t="n">
        <v>9</v>
      </c>
      <c r="AL3585" t="inlineStr">
        <is>
          <t>Miss Glam Jambi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PURBASARI</t>
        </is>
      </c>
      <c r="B3586" s="2">
        <f>"8999225782506"</f>
        <v/>
      </c>
      <c r="C3586" t="inlineStr">
        <is>
          <t>PURBASARI Lulur Mandi Putih 100gr</t>
        </is>
      </c>
      <c r="D3586" t="inlineStr">
        <is>
          <t>Miss Glam Jambi</t>
        </is>
      </c>
      <c r="E3586" t="n">
        <v>12</v>
      </c>
      <c r="F3586" t="n">
        <v>2.2935</v>
      </c>
      <c r="G3586" t="n">
        <v>4.29</v>
      </c>
      <c r="H3586" t="n">
        <v>4</v>
      </c>
      <c r="I3586" t="n">
        <v>28</v>
      </c>
      <c r="J3586" t="n">
        <v>3</v>
      </c>
      <c r="K3586" t="n">
        <v>5</v>
      </c>
      <c r="L3586" t="n">
        <v>9599</v>
      </c>
      <c r="M3586" t="n">
        <v>12000</v>
      </c>
      <c r="N3586" t="n">
        <v>33</v>
      </c>
      <c r="O3586" t="n">
        <v>0.33</v>
      </c>
      <c r="P3586" t="n">
        <v>1</v>
      </c>
      <c r="Q3586" t="n">
        <v>0.25</v>
      </c>
      <c r="R3586" t="n">
        <v>2</v>
      </c>
      <c r="S3586" t="n">
        <v>27522</v>
      </c>
      <c r="T3586" t="n">
        <v>111</v>
      </c>
      <c r="U3586" t="n">
        <v>121</v>
      </c>
      <c r="V3586" t="n">
        <v>30</v>
      </c>
      <c r="W3586" t="n">
        <v>69</v>
      </c>
      <c r="X3586" t="n">
        <v>5.232177894048397</v>
      </c>
      <c r="Y3586" t="n">
        <v>1</v>
      </c>
      <c r="Z3586" t="n">
        <v>52</v>
      </c>
      <c r="AA3586" t="n">
        <v>52</v>
      </c>
      <c r="AB3586" t="n">
        <v>0</v>
      </c>
      <c r="AC3586" t="n">
        <v>0</v>
      </c>
      <c r="AD3586" t="n">
        <v>499148</v>
      </c>
      <c r="AE3586" t="n">
        <v>0</v>
      </c>
      <c r="AF3586" t="n">
        <v>10529</v>
      </c>
      <c r="AG3586" t="n">
        <v>2148</v>
      </c>
      <c r="AH3586" t="inlineStr">
        <is>
          <t>PT. JAYA PALEMBANG SUKSES - PPN (JMB)</t>
        </is>
      </c>
      <c r="AI3586" t="n">
        <v>130</v>
      </c>
      <c r="AJ3586" t="inlineStr">
        <is>
          <t>PURBASARI</t>
        </is>
      </c>
      <c r="AK3586" t="n">
        <v>9</v>
      </c>
      <c r="AL3586" t="inlineStr">
        <is>
          <t>Miss Glam Jambi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PURBASARI</t>
        </is>
      </c>
      <c r="B3587" s="2">
        <f>"8999225910824"</f>
        <v/>
      </c>
      <c r="C3587" t="inlineStr">
        <is>
          <t>PURBASARI Lulur Mandi Sakura Glow Body Scrub Sakura &amp; Whitening Extract 200gr</t>
        </is>
      </c>
      <c r="D3587" t="inlineStr">
        <is>
          <t>Miss Glam Jambi</t>
        </is>
      </c>
      <c r="E3587" t="n">
        <v>14</v>
      </c>
      <c r="F3587" t="n">
        <v>0.2</v>
      </c>
      <c r="G3587" t="n">
        <v>2</v>
      </c>
      <c r="H3587" t="n">
        <v>4</v>
      </c>
      <c r="I3587" t="n">
        <v>28</v>
      </c>
      <c r="J3587" t="n">
        <v>3</v>
      </c>
      <c r="K3587" t="n">
        <v>0</v>
      </c>
      <c r="L3587" t="n">
        <v>14880</v>
      </c>
      <c r="M3587" t="n">
        <v>20000</v>
      </c>
      <c r="N3587" t="n">
        <v>33</v>
      </c>
      <c r="O3587" t="n">
        <v>0.33</v>
      </c>
      <c r="P3587" t="n">
        <v>0</v>
      </c>
      <c r="Q3587" t="n">
        <v>0.2</v>
      </c>
      <c r="R3587" t="n">
        <v>2</v>
      </c>
      <c r="S3587" t="n">
        <v>4000</v>
      </c>
      <c r="T3587" t="n">
        <v>56</v>
      </c>
      <c r="U3587" t="n">
        <v>57</v>
      </c>
      <c r="V3587" t="n">
        <v>30</v>
      </c>
      <c r="W3587" t="n">
        <v>6</v>
      </c>
      <c r="X3587" t="n">
        <v>70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10529</v>
      </c>
      <c r="AG3587" t="n">
        <v>2148</v>
      </c>
      <c r="AH3587" t="inlineStr">
        <is>
          <t>PT. JAYA PALEMBANG SUKSES - PPN (JMB)</t>
        </is>
      </c>
      <c r="AI3587" t="n">
        <v>130</v>
      </c>
      <c r="AJ3587" t="inlineStr">
        <is>
          <t>PURBASARI</t>
        </is>
      </c>
      <c r="AK3587" t="n">
        <v>9</v>
      </c>
      <c r="AL3587" t="inlineStr">
        <is>
          <t>Miss Glam Jambi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PURBASARI</t>
        </is>
      </c>
      <c r="B3588" s="2">
        <f>"8999225782681"</f>
        <v/>
      </c>
      <c r="C3588" t="inlineStr">
        <is>
          <t>PURBASARI Lulur Mandi Susu &amp; Bengkoang 125gr</t>
        </is>
      </c>
      <c r="D3588" t="inlineStr">
        <is>
          <t>Miss Glam Jambi</t>
        </is>
      </c>
      <c r="E3588" t="n">
        <v>3</v>
      </c>
      <c r="F3588" t="n">
        <v>0.2475</v>
      </c>
      <c r="G3588" t="n">
        <v>0.99</v>
      </c>
      <c r="H3588" t="n">
        <v>4</v>
      </c>
      <c r="I3588" t="n">
        <v>28</v>
      </c>
      <c r="J3588" t="n">
        <v>3</v>
      </c>
      <c r="K3588" t="n">
        <v>0</v>
      </c>
      <c r="L3588" t="n">
        <v>9600</v>
      </c>
      <c r="M3588" t="n">
        <v>12000</v>
      </c>
      <c r="N3588" t="n">
        <v>33</v>
      </c>
      <c r="O3588" t="n">
        <v>0.33</v>
      </c>
      <c r="P3588" t="n">
        <v>1</v>
      </c>
      <c r="Q3588" t="n">
        <v>0.05</v>
      </c>
      <c r="R3588" t="n">
        <v>1</v>
      </c>
      <c r="S3588" t="n">
        <v>2970</v>
      </c>
      <c r="T3588" t="n">
        <v>27</v>
      </c>
      <c r="U3588" t="n">
        <v>28</v>
      </c>
      <c r="V3588" t="n">
        <v>30</v>
      </c>
      <c r="W3588" t="n">
        <v>8</v>
      </c>
      <c r="X3588" t="n">
        <v>12.12121212121212</v>
      </c>
      <c r="Y3588" t="n">
        <v>1</v>
      </c>
      <c r="Z3588" t="n">
        <v>5</v>
      </c>
      <c r="AA3588" t="n">
        <v>4</v>
      </c>
      <c r="AB3588" t="n">
        <v>1</v>
      </c>
      <c r="AC3588" t="n">
        <v>3</v>
      </c>
      <c r="AD3588" t="n">
        <v>38400</v>
      </c>
      <c r="AE3588" t="n">
        <v>28800</v>
      </c>
      <c r="AF3588" t="n">
        <v>10529</v>
      </c>
      <c r="AG3588" t="n">
        <v>2148</v>
      </c>
      <c r="AH3588" t="inlineStr">
        <is>
          <t>PT. JAYA PALEMBANG SUKSES - PPN (JMB)</t>
        </is>
      </c>
      <c r="AI3588" t="n">
        <v>130</v>
      </c>
      <c r="AJ3588" t="inlineStr">
        <is>
          <t>PURBASARI</t>
        </is>
      </c>
      <c r="AK3588" t="n">
        <v>9</v>
      </c>
      <c r="AL3588" t="inlineStr">
        <is>
          <t>Miss Glam Jambi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PURBASARI</t>
        </is>
      </c>
      <c r="B3589" s="2">
        <f>"8999225782667"</f>
        <v/>
      </c>
      <c r="C3589" t="inlineStr">
        <is>
          <t>PURBASARI Lulur Mandi Susu &amp; Bengkoang 235gr</t>
        </is>
      </c>
      <c r="D3589" t="inlineStr">
        <is>
          <t>Miss Glam Jambi</t>
        </is>
      </c>
      <c r="E3589" t="n">
        <v>5</v>
      </c>
      <c r="F3589" t="n">
        <v>0.1023</v>
      </c>
      <c r="G3589" t="n">
        <v>0.66</v>
      </c>
      <c r="H3589" t="n">
        <v>4</v>
      </c>
      <c r="I3589" t="n">
        <v>28</v>
      </c>
      <c r="J3589" t="n">
        <v>3</v>
      </c>
      <c r="K3589" t="n">
        <v>0</v>
      </c>
      <c r="L3589" t="n">
        <v>14880</v>
      </c>
      <c r="M3589" t="n">
        <v>22500</v>
      </c>
      <c r="N3589" t="n">
        <v>33</v>
      </c>
      <c r="O3589" t="n">
        <v>0.33</v>
      </c>
      <c r="P3589" t="n">
        <v>1</v>
      </c>
      <c r="Q3589" t="n">
        <v>0.17</v>
      </c>
      <c r="R3589" t="n">
        <v>1</v>
      </c>
      <c r="S3589" t="n">
        <v>2301.75</v>
      </c>
      <c r="T3589" t="n">
        <v>19</v>
      </c>
      <c r="U3589" t="n">
        <v>20</v>
      </c>
      <c r="V3589" t="n">
        <v>30</v>
      </c>
      <c r="W3589" t="n">
        <v>4</v>
      </c>
      <c r="X3589" t="n">
        <v>48.87585532746823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10529</v>
      </c>
      <c r="AG3589" t="n">
        <v>2148</v>
      </c>
      <c r="AH3589" t="inlineStr">
        <is>
          <t>PT. JAYA PALEMBANG SUKSES - PPN (JMB)</t>
        </is>
      </c>
      <c r="AI3589" t="n">
        <v>130</v>
      </c>
      <c r="AJ3589" t="inlineStr">
        <is>
          <t>PURBASARI</t>
        </is>
      </c>
      <c r="AK3589" t="n">
        <v>9</v>
      </c>
      <c r="AL3589" t="inlineStr">
        <is>
          <t>Miss Glam Jambi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PURBASARI</t>
        </is>
      </c>
      <c r="B3590" s="2">
        <f>"8999225908548"</f>
        <v/>
      </c>
      <c r="C3590" t="inlineStr">
        <is>
          <t>PURBASARI Lulur Mandi Zaitun 125gr</t>
        </is>
      </c>
      <c r="D3590" t="inlineStr">
        <is>
          <t>Miss Glam Jambi</t>
        </is>
      </c>
      <c r="E3590" t="n">
        <v>5</v>
      </c>
      <c r="F3590" t="n">
        <v>0.0495</v>
      </c>
      <c r="G3590" t="n">
        <v>0.66</v>
      </c>
      <c r="H3590" t="n">
        <v>4</v>
      </c>
      <c r="I3590" t="n">
        <v>28</v>
      </c>
      <c r="J3590" t="n">
        <v>3</v>
      </c>
      <c r="K3590" t="n">
        <v>0</v>
      </c>
      <c r="L3590" t="n">
        <v>9600</v>
      </c>
      <c r="M3590" t="n">
        <v>12000</v>
      </c>
      <c r="N3590" t="n">
        <v>33</v>
      </c>
      <c r="O3590" t="n">
        <v>0.33</v>
      </c>
      <c r="P3590" t="n">
        <v>1</v>
      </c>
      <c r="Q3590" t="n">
        <v>0.07000000000000001</v>
      </c>
      <c r="R3590" t="n">
        <v>1</v>
      </c>
      <c r="S3590" t="n">
        <v>594</v>
      </c>
      <c r="T3590" t="n">
        <v>19</v>
      </c>
      <c r="U3590" t="n">
        <v>20</v>
      </c>
      <c r="V3590" t="n">
        <v>30</v>
      </c>
      <c r="W3590" t="n">
        <v>2</v>
      </c>
      <c r="X3590" t="n">
        <v>101.010101010101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10529</v>
      </c>
      <c r="AG3590" t="n">
        <v>2148</v>
      </c>
      <c r="AH3590" t="inlineStr">
        <is>
          <t>PT. JAYA PALEMBANG SUKSES - PPN (JMB)</t>
        </is>
      </c>
      <c r="AI3590" t="n">
        <v>130</v>
      </c>
      <c r="AJ3590" t="inlineStr">
        <is>
          <t>PURBASARI</t>
        </is>
      </c>
      <c r="AK3590" t="n">
        <v>9</v>
      </c>
      <c r="AL3590" t="inlineStr">
        <is>
          <t>Miss Glam Jambi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PURBASARI</t>
        </is>
      </c>
      <c r="B3591" s="2">
        <f>"8999225908555"</f>
        <v/>
      </c>
      <c r="C3591" t="inlineStr">
        <is>
          <t>PURBASARI Lulur Mandi Zaitun 235g</t>
        </is>
      </c>
      <c r="D3591" t="inlineStr">
        <is>
          <t>Miss Glam Jambi</t>
        </is>
      </c>
      <c r="E3591" t="n">
        <v>12</v>
      </c>
      <c r="F3591" t="n">
        <v>0.0561</v>
      </c>
      <c r="G3591" t="n">
        <v>0.66</v>
      </c>
      <c r="H3591" t="n">
        <v>4</v>
      </c>
      <c r="I3591" t="n">
        <v>28</v>
      </c>
      <c r="J3591" t="n">
        <v>3</v>
      </c>
      <c r="K3591" t="n">
        <v>0</v>
      </c>
      <c r="L3591" t="n">
        <v>14880</v>
      </c>
      <c r="M3591" t="n">
        <v>22000</v>
      </c>
      <c r="N3591" t="n">
        <v>33</v>
      </c>
      <c r="O3591" t="n">
        <v>0.33</v>
      </c>
      <c r="P3591" t="n">
        <v>1</v>
      </c>
      <c r="Q3591" t="n">
        <v>0.1</v>
      </c>
      <c r="R3591" t="n">
        <v>2</v>
      </c>
      <c r="S3591" t="n">
        <v>1234.2</v>
      </c>
      <c r="T3591" t="n">
        <v>19</v>
      </c>
      <c r="U3591" t="n">
        <v>20</v>
      </c>
      <c r="V3591" t="n">
        <v>30</v>
      </c>
      <c r="W3591" t="n">
        <v>2</v>
      </c>
      <c r="X3591" t="n">
        <v>213.903743315508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10529</v>
      </c>
      <c r="AG3591" t="n">
        <v>2148</v>
      </c>
      <c r="AH3591" t="inlineStr">
        <is>
          <t>PT. JAYA PALEMBANG SUKSES - PPN (JMB)</t>
        </is>
      </c>
      <c r="AI3591" t="n">
        <v>130</v>
      </c>
      <c r="AJ3591" t="inlineStr">
        <is>
          <t>PURBASARI</t>
        </is>
      </c>
      <c r="AK3591" t="n">
        <v>9</v>
      </c>
      <c r="AL3591" t="inlineStr">
        <is>
          <t>Miss Glam Jambi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PURBASARI</t>
        </is>
      </c>
      <c r="B3592" s="2">
        <f>"8999225783770"</f>
        <v/>
      </c>
      <c r="C3592" t="inlineStr">
        <is>
          <t>PURBASARI Lulur Mutiara 125ml</t>
        </is>
      </c>
      <c r="D3592" t="inlineStr">
        <is>
          <t>Miss Glam Jambi</t>
        </is>
      </c>
      <c r="E3592" t="n">
        <v>7</v>
      </c>
      <c r="F3592" t="n">
        <v>0.1947</v>
      </c>
      <c r="G3592" t="n">
        <v>0.99</v>
      </c>
      <c r="H3592" t="n">
        <v>4</v>
      </c>
      <c r="I3592" t="n">
        <v>28</v>
      </c>
      <c r="J3592" t="n">
        <v>3</v>
      </c>
      <c r="K3592" t="n">
        <v>0</v>
      </c>
      <c r="L3592" t="n">
        <v>9600</v>
      </c>
      <c r="M3592" t="n">
        <v>12000</v>
      </c>
      <c r="N3592" t="n">
        <v>33</v>
      </c>
      <c r="O3592" t="n">
        <v>0.33</v>
      </c>
      <c r="P3592" t="n">
        <v>1</v>
      </c>
      <c r="Q3592" t="n">
        <v>0.03</v>
      </c>
      <c r="R3592" t="n">
        <v>1</v>
      </c>
      <c r="S3592" t="n">
        <v>2336.4</v>
      </c>
      <c r="T3592" t="n">
        <v>27</v>
      </c>
      <c r="U3592" t="n">
        <v>28</v>
      </c>
      <c r="V3592" t="n">
        <v>30</v>
      </c>
      <c r="W3592" t="n">
        <v>6</v>
      </c>
      <c r="X3592" t="n">
        <v>35.9527478171546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10529</v>
      </c>
      <c r="AG3592" t="n">
        <v>2148</v>
      </c>
      <c r="AH3592" t="inlineStr">
        <is>
          <t>PT. JAYA PALEMBANG SUKSES - PPN (JMB)</t>
        </is>
      </c>
      <c r="AI3592" t="n">
        <v>130</v>
      </c>
      <c r="AJ3592" t="inlineStr">
        <is>
          <t>PURBASARI</t>
        </is>
      </c>
      <c r="AK3592" t="n">
        <v>9</v>
      </c>
      <c r="AL3592" t="inlineStr">
        <is>
          <t>Miss Glam Jambi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PURBASARI</t>
        </is>
      </c>
      <c r="B3593" s="2">
        <f>"8999225783756"</f>
        <v/>
      </c>
      <c r="C3593" t="inlineStr">
        <is>
          <t>PURBASARI Lulur Mutiara 235ml</t>
        </is>
      </c>
      <c r="D3593" t="inlineStr">
        <is>
          <t>Miss Glam Jambi</t>
        </is>
      </c>
      <c r="E3593" t="n">
        <v>3</v>
      </c>
      <c r="F3593" t="n">
        <v>0.1122</v>
      </c>
      <c r="G3593" t="n">
        <v>0.99</v>
      </c>
      <c r="H3593" t="n">
        <v>4</v>
      </c>
      <c r="I3593" t="n">
        <v>28</v>
      </c>
      <c r="J3593" t="n">
        <v>3</v>
      </c>
      <c r="K3593" t="n">
        <v>0</v>
      </c>
      <c r="L3593" t="n">
        <v>14880</v>
      </c>
      <c r="M3593" t="n">
        <v>18600</v>
      </c>
      <c r="N3593" t="n">
        <v>33</v>
      </c>
      <c r="O3593" t="n">
        <v>0.33</v>
      </c>
      <c r="P3593" t="n">
        <v>1</v>
      </c>
      <c r="Q3593" t="n">
        <v>0.03</v>
      </c>
      <c r="R3593" t="n">
        <v>1</v>
      </c>
      <c r="S3593" t="n">
        <v>2086.92</v>
      </c>
      <c r="T3593" t="n">
        <v>28</v>
      </c>
      <c r="U3593" t="n">
        <v>29</v>
      </c>
      <c r="V3593" t="n">
        <v>30</v>
      </c>
      <c r="W3593" t="n">
        <v>4</v>
      </c>
      <c r="X3593" t="n">
        <v>26.7379679144385</v>
      </c>
      <c r="Y3593" t="n">
        <v>1</v>
      </c>
      <c r="Z3593" t="n">
        <v>1</v>
      </c>
      <c r="AA3593" t="n">
        <v>1</v>
      </c>
      <c r="AB3593" t="n">
        <v>0</v>
      </c>
      <c r="AC3593" t="n">
        <v>0</v>
      </c>
      <c r="AD3593" t="n">
        <v>14880</v>
      </c>
      <c r="AE3593" t="n">
        <v>0</v>
      </c>
      <c r="AF3593" t="n">
        <v>10529</v>
      </c>
      <c r="AG3593" t="n">
        <v>2148</v>
      </c>
      <c r="AH3593" t="inlineStr">
        <is>
          <t>PT. JAYA PALEMBANG SUKSES - PPN (JMB)</t>
        </is>
      </c>
      <c r="AI3593" t="n">
        <v>130</v>
      </c>
      <c r="AJ3593" t="inlineStr">
        <is>
          <t>PURBASARI</t>
        </is>
      </c>
      <c r="AK3593" t="n">
        <v>9</v>
      </c>
      <c r="AL3593" t="inlineStr">
        <is>
          <t>Miss Glam Jambi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PURBASARI</t>
        </is>
      </c>
      <c r="B3594" s="2">
        <f>"8999225812500"</f>
        <v/>
      </c>
      <c r="C3594" t="inlineStr">
        <is>
          <t>PURBASARI Lulur Putih 235ml</t>
        </is>
      </c>
      <c r="D3594" t="inlineStr">
        <is>
          <t>Miss Glam Jambi</t>
        </is>
      </c>
      <c r="E3594" t="n">
        <v>5</v>
      </c>
      <c r="F3594" t="n">
        <v>0.06270000000000001</v>
      </c>
      <c r="G3594" t="n">
        <v>0</v>
      </c>
      <c r="H3594" t="n">
        <v>4</v>
      </c>
      <c r="I3594" t="n">
        <v>28</v>
      </c>
      <c r="J3594" t="n">
        <v>3</v>
      </c>
      <c r="K3594" t="n">
        <v>0</v>
      </c>
      <c r="L3594" t="n">
        <v>14880</v>
      </c>
      <c r="M3594" t="n">
        <v>20000</v>
      </c>
      <c r="N3594" t="n">
        <v>33</v>
      </c>
      <c r="O3594" t="n">
        <v>0.33</v>
      </c>
      <c r="P3594" t="n">
        <v>1</v>
      </c>
      <c r="Q3594" t="n">
        <v>0.1</v>
      </c>
      <c r="R3594" t="n">
        <v>1</v>
      </c>
      <c r="S3594" t="n">
        <v>1254</v>
      </c>
      <c r="T3594" t="n">
        <v>0</v>
      </c>
      <c r="U3594" t="n">
        <v>1</v>
      </c>
      <c r="V3594" t="n">
        <v>30</v>
      </c>
      <c r="W3594" t="n">
        <v>2</v>
      </c>
      <c r="X3594" t="n">
        <v>79.74481658692184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10529</v>
      </c>
      <c r="AG3594" t="n">
        <v>2148</v>
      </c>
      <c r="AH3594" t="inlineStr">
        <is>
          <t>PT. JAYA PALEMBANG SUKSES - PPN (JMB)</t>
        </is>
      </c>
      <c r="AI3594" t="n">
        <v>130</v>
      </c>
      <c r="AJ3594" t="inlineStr">
        <is>
          <t>PURBASARI</t>
        </is>
      </c>
      <c r="AK3594" t="n">
        <v>9</v>
      </c>
      <c r="AL3594" t="inlineStr">
        <is>
          <t>Miss Glam Jambi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PURBASARI</t>
        </is>
      </c>
      <c r="B3595" s="2">
        <f>"8999225910480"</f>
        <v/>
      </c>
      <c r="C3595" t="inlineStr">
        <is>
          <t>PURBASARI Minyak Zaitun Olive Oil 150ml</t>
        </is>
      </c>
      <c r="D3595" t="inlineStr">
        <is>
          <t>Miss Glam Jambi</t>
        </is>
      </c>
      <c r="E3595" t="n">
        <v>1</v>
      </c>
      <c r="F3595" t="n">
        <v>0.1188</v>
      </c>
      <c r="G3595" t="n">
        <v>1.32</v>
      </c>
      <c r="H3595" t="n">
        <v>4</v>
      </c>
      <c r="I3595" t="n">
        <v>28</v>
      </c>
      <c r="J3595" t="n">
        <v>3</v>
      </c>
      <c r="K3595" t="n">
        <v>0</v>
      </c>
      <c r="L3595" t="n">
        <v>21200</v>
      </c>
      <c r="M3595" t="n">
        <v>27000</v>
      </c>
      <c r="N3595" t="n">
        <v>33</v>
      </c>
      <c r="O3595" t="n">
        <v>0.33</v>
      </c>
      <c r="P3595" t="n">
        <v>1</v>
      </c>
      <c r="Q3595" t="n">
        <v>0.1</v>
      </c>
      <c r="R3595" t="n">
        <v>1</v>
      </c>
      <c r="S3595" t="n">
        <v>3207.6</v>
      </c>
      <c r="T3595" t="n">
        <v>37</v>
      </c>
      <c r="U3595" t="n">
        <v>38</v>
      </c>
      <c r="V3595" t="n">
        <v>30</v>
      </c>
      <c r="W3595" t="n">
        <v>4</v>
      </c>
      <c r="X3595" t="n">
        <v>8.417508417508417</v>
      </c>
      <c r="Y3595" t="n">
        <v>1</v>
      </c>
      <c r="Z3595" t="n">
        <v>3</v>
      </c>
      <c r="AA3595" t="n">
        <v>3</v>
      </c>
      <c r="AB3595" t="n">
        <v>0</v>
      </c>
      <c r="AC3595" t="n">
        <v>0</v>
      </c>
      <c r="AD3595" t="n">
        <v>63600</v>
      </c>
      <c r="AE3595" t="n">
        <v>0</v>
      </c>
      <c r="AF3595" t="n">
        <v>10529</v>
      </c>
      <c r="AG3595" t="n">
        <v>2148</v>
      </c>
      <c r="AH3595" t="inlineStr">
        <is>
          <t>PT. JAYA PALEMBANG SUKSES - PPN (JMB)</t>
        </is>
      </c>
      <c r="AI3595" t="n">
        <v>130</v>
      </c>
      <c r="AJ3595" t="inlineStr">
        <is>
          <t>PURBASARI</t>
        </is>
      </c>
      <c r="AK3595" t="n">
        <v>9</v>
      </c>
      <c r="AL3595" t="inlineStr">
        <is>
          <t>Miss Glam Jambi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PURBASARI</t>
        </is>
      </c>
      <c r="B3596" s="2">
        <f>"8999225910961"</f>
        <v/>
      </c>
      <c r="C3596" t="inlineStr">
        <is>
          <t>PURBASARI Minyak Zaitun Olive Oil With Jasmine Essential Oil 75ml</t>
        </is>
      </c>
      <c r="D3596" t="inlineStr">
        <is>
          <t>Miss Glam Jambi</t>
        </is>
      </c>
      <c r="E3596" t="n">
        <v>19</v>
      </c>
      <c r="F3596" t="n">
        <v>0.7623000000000001</v>
      </c>
      <c r="G3596" t="n">
        <v>3.63</v>
      </c>
      <c r="H3596" t="n">
        <v>4</v>
      </c>
      <c r="I3596" t="n">
        <v>28</v>
      </c>
      <c r="J3596" t="n">
        <v>3</v>
      </c>
      <c r="K3596" t="n">
        <v>3</v>
      </c>
      <c r="L3596" t="n">
        <v>12800</v>
      </c>
      <c r="M3596" t="n">
        <v>16000</v>
      </c>
      <c r="N3596" t="n">
        <v>33</v>
      </c>
      <c r="O3596" t="n">
        <v>0.33</v>
      </c>
      <c r="P3596" t="n">
        <v>1</v>
      </c>
      <c r="Q3596" t="n">
        <v>0.53</v>
      </c>
      <c r="R3596" t="n">
        <v>2</v>
      </c>
      <c r="S3596" t="n">
        <v>12196.8</v>
      </c>
      <c r="T3596" t="n">
        <v>99</v>
      </c>
      <c r="U3596" t="n">
        <v>103</v>
      </c>
      <c r="V3596" t="n">
        <v>30</v>
      </c>
      <c r="W3596" t="n">
        <v>23</v>
      </c>
      <c r="X3596" t="n">
        <v>24.92457037911583</v>
      </c>
      <c r="Y3596" t="n">
        <v>1</v>
      </c>
      <c r="Z3596" t="n">
        <v>1</v>
      </c>
      <c r="AA3596" t="n">
        <v>2</v>
      </c>
      <c r="AB3596" t="n">
        <v>0</v>
      </c>
      <c r="AC3596" t="n">
        <v>0</v>
      </c>
      <c r="AD3596" t="n">
        <v>25600</v>
      </c>
      <c r="AE3596" t="n">
        <v>0</v>
      </c>
      <c r="AF3596" t="n">
        <v>10529</v>
      </c>
      <c r="AG3596" t="n">
        <v>2148</v>
      </c>
      <c r="AH3596" t="inlineStr">
        <is>
          <t>PT. JAYA PALEMBANG SUKSES - PPN (JMB)</t>
        </is>
      </c>
      <c r="AI3596" t="n">
        <v>130</v>
      </c>
      <c r="AJ3596" t="inlineStr">
        <is>
          <t>PURBASARI</t>
        </is>
      </c>
      <c r="AK3596" t="n">
        <v>9</v>
      </c>
      <c r="AL3596" t="inlineStr">
        <is>
          <t>Miss Glam Jambi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PURBASARI</t>
        </is>
      </c>
      <c r="B3597" s="2">
        <f>"8999225911128"</f>
        <v/>
      </c>
      <c r="C3597" t="inlineStr">
        <is>
          <t>PURBASARI Minyak Zaitun Olive Oil With Rose Essential Oil 150ml</t>
        </is>
      </c>
      <c r="D3597" t="inlineStr">
        <is>
          <t>Miss Glam Jambi</t>
        </is>
      </c>
      <c r="E3597" t="n">
        <v>4</v>
      </c>
      <c r="F3597" t="n">
        <v>0.1188</v>
      </c>
      <c r="G3597" t="n">
        <v>0.66</v>
      </c>
      <c r="H3597" t="n">
        <v>4</v>
      </c>
      <c r="I3597" t="n">
        <v>28</v>
      </c>
      <c r="J3597" t="n">
        <v>3</v>
      </c>
      <c r="K3597" t="n">
        <v>0</v>
      </c>
      <c r="L3597" t="n">
        <v>21200</v>
      </c>
      <c r="M3597" t="n">
        <v>27000</v>
      </c>
      <c r="N3597" t="n">
        <v>33</v>
      </c>
      <c r="O3597" t="n">
        <v>0.33</v>
      </c>
      <c r="P3597" t="n">
        <v>1</v>
      </c>
      <c r="Q3597" t="n">
        <v>0.25</v>
      </c>
      <c r="R3597" t="n">
        <v>2</v>
      </c>
      <c r="S3597" t="n">
        <v>3207.6</v>
      </c>
      <c r="T3597" t="n">
        <v>19</v>
      </c>
      <c r="U3597" t="n">
        <v>20</v>
      </c>
      <c r="V3597" t="n">
        <v>30</v>
      </c>
      <c r="W3597" t="n">
        <v>4</v>
      </c>
      <c r="X3597" t="n">
        <v>33.67003367003367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10529</v>
      </c>
      <c r="AG3597" t="n">
        <v>2148</v>
      </c>
      <c r="AH3597" t="inlineStr">
        <is>
          <t>PT. JAYA PALEMBANG SUKSES - PPN (JMB)</t>
        </is>
      </c>
      <c r="AI3597" t="n">
        <v>130</v>
      </c>
      <c r="AJ3597" t="inlineStr">
        <is>
          <t>PURBASARI</t>
        </is>
      </c>
      <c r="AK3597" t="n">
        <v>9</v>
      </c>
      <c r="AL3597" t="inlineStr">
        <is>
          <t>Miss Glam Jambi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PURBASARI</t>
        </is>
      </c>
      <c r="B3598" s="2">
        <f>"8999225906995"</f>
        <v/>
      </c>
      <c r="C3598" t="inlineStr">
        <is>
          <t>PURBASARI New Cell Eye Serum Roll On 15ml</t>
        </is>
      </c>
      <c r="D3598" t="inlineStr">
        <is>
          <t>Miss Glam Jambi</t>
        </is>
      </c>
      <c r="E3598" t="n">
        <v>9</v>
      </c>
      <c r="F3598" t="n">
        <v>0.1287</v>
      </c>
      <c r="G3598" t="n">
        <v>0.99</v>
      </c>
      <c r="H3598" t="n">
        <v>4</v>
      </c>
      <c r="I3598" t="n">
        <v>28</v>
      </c>
      <c r="J3598" t="n">
        <v>3</v>
      </c>
      <c r="K3598" t="n">
        <v>0</v>
      </c>
      <c r="L3598" t="n">
        <v>28000</v>
      </c>
      <c r="M3598" t="n">
        <v>37500</v>
      </c>
      <c r="N3598" t="n">
        <v>33</v>
      </c>
      <c r="O3598" t="n">
        <v>0.33</v>
      </c>
      <c r="P3598" t="n">
        <v>1</v>
      </c>
      <c r="Q3598" t="n">
        <v>0.08</v>
      </c>
      <c r="R3598" t="n">
        <v>2</v>
      </c>
      <c r="S3598" t="n">
        <v>4826.25</v>
      </c>
      <c r="T3598" t="n">
        <v>28</v>
      </c>
      <c r="U3598" t="n">
        <v>29</v>
      </c>
      <c r="V3598" t="n">
        <v>30</v>
      </c>
      <c r="W3598" t="n">
        <v>4</v>
      </c>
      <c r="X3598" t="n">
        <v>69.93006993006992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10529</v>
      </c>
      <c r="AG3598" t="n">
        <v>2148</v>
      </c>
      <c r="AH3598" t="inlineStr">
        <is>
          <t>PT. JAYA PALEMBANG SUKSES - PPN (JMB)</t>
        </is>
      </c>
      <c r="AI3598" t="n">
        <v>130</v>
      </c>
      <c r="AJ3598" t="inlineStr">
        <is>
          <t>PURBASARI</t>
        </is>
      </c>
      <c r="AK3598" t="n">
        <v>9</v>
      </c>
      <c r="AL3598" t="inlineStr">
        <is>
          <t>Miss Glam Jambi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PURBASARI</t>
        </is>
      </c>
      <c r="B3599" s="2">
        <f>"8999225910329"</f>
        <v/>
      </c>
      <c r="C3599" t="inlineStr">
        <is>
          <t>PURBASARI ONYX Hair Serum Styling Heat 65ml</t>
        </is>
      </c>
      <c r="D3599" t="inlineStr">
        <is>
          <t>Miss Glam Jambi</t>
        </is>
      </c>
      <c r="E3599" t="n">
        <v>2</v>
      </c>
      <c r="F3599" t="n">
        <v>0.22</v>
      </c>
      <c r="G3599" t="n">
        <v>2</v>
      </c>
      <c r="H3599" t="n">
        <v>4</v>
      </c>
      <c r="I3599" t="n">
        <v>28</v>
      </c>
      <c r="J3599" t="n">
        <v>3</v>
      </c>
      <c r="K3599" t="n">
        <v>0</v>
      </c>
      <c r="L3599" t="n">
        <v>35560</v>
      </c>
      <c r="M3599" t="n">
        <v>47500</v>
      </c>
      <c r="N3599" t="n">
        <v>33</v>
      </c>
      <c r="O3599" t="n">
        <v>0.33</v>
      </c>
      <c r="P3599" t="n">
        <v>0</v>
      </c>
      <c r="Q3599" t="n">
        <v>0.22</v>
      </c>
      <c r="R3599" t="n">
        <v>2</v>
      </c>
      <c r="S3599" t="n">
        <v>10450</v>
      </c>
      <c r="T3599" t="n">
        <v>56</v>
      </c>
      <c r="U3599" t="n">
        <v>57</v>
      </c>
      <c r="V3599" t="n">
        <v>30</v>
      </c>
      <c r="W3599" t="n">
        <v>7</v>
      </c>
      <c r="X3599" t="n">
        <v>9.090909090909092</v>
      </c>
      <c r="Y3599" t="n">
        <v>1</v>
      </c>
      <c r="Z3599" t="n">
        <v>5</v>
      </c>
      <c r="AA3599" t="n">
        <v>5</v>
      </c>
      <c r="AB3599" t="n">
        <v>0</v>
      </c>
      <c r="AC3599" t="n">
        <v>0</v>
      </c>
      <c r="AD3599" t="n">
        <v>177800</v>
      </c>
      <c r="AE3599" t="n">
        <v>0</v>
      </c>
      <c r="AF3599" t="n">
        <v>10529</v>
      </c>
      <c r="AG3599" t="n">
        <v>2148</v>
      </c>
      <c r="AH3599" t="inlineStr">
        <is>
          <t>PT. JAYA PALEMBANG SUKSES - PPN (JMB)</t>
        </is>
      </c>
      <c r="AI3599" t="n">
        <v>130</v>
      </c>
      <c r="AJ3599" t="inlineStr">
        <is>
          <t>PURBASARI</t>
        </is>
      </c>
      <c r="AK3599" t="n">
        <v>9</v>
      </c>
      <c r="AL3599" t="inlineStr">
        <is>
          <t>Miss Glam Jambi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PURBASARI</t>
        </is>
      </c>
      <c r="B3600" s="2">
        <f>"8999225912217"</f>
        <v/>
      </c>
      <c r="C3600" t="inlineStr">
        <is>
          <t>PURBASARI Phyto Cell-C Body Serum 180ml</t>
        </is>
      </c>
      <c r="D3600" t="inlineStr">
        <is>
          <t>Miss Glam Jambi</t>
        </is>
      </c>
      <c r="E3600" t="n">
        <v>1</v>
      </c>
      <c r="F3600" t="n">
        <v>0.0462</v>
      </c>
      <c r="G3600" t="n">
        <v>0.66</v>
      </c>
      <c r="H3600" t="n">
        <v>4</v>
      </c>
      <c r="I3600" t="n">
        <v>28</v>
      </c>
      <c r="J3600" t="n">
        <v>3</v>
      </c>
      <c r="K3600" t="n">
        <v>0</v>
      </c>
      <c r="L3600" t="n">
        <v>21601</v>
      </c>
      <c r="M3600" t="n">
        <v>27000</v>
      </c>
      <c r="N3600" t="n">
        <v>33</v>
      </c>
      <c r="O3600" t="n">
        <v>0.33</v>
      </c>
      <c r="P3600" t="n">
        <v>1</v>
      </c>
      <c r="Q3600" t="n">
        <v>0.08</v>
      </c>
      <c r="R3600" t="n">
        <v>1</v>
      </c>
      <c r="S3600" t="n">
        <v>1247.4</v>
      </c>
      <c r="T3600" t="n">
        <v>19</v>
      </c>
      <c r="U3600" t="n">
        <v>20</v>
      </c>
      <c r="V3600" t="n">
        <v>30</v>
      </c>
      <c r="W3600" t="n">
        <v>2</v>
      </c>
      <c r="X3600" t="n">
        <v>21.64502164502164</v>
      </c>
      <c r="Y3600" t="n">
        <v>1</v>
      </c>
      <c r="Z3600" t="n">
        <v>1</v>
      </c>
      <c r="AA3600" t="n">
        <v>1</v>
      </c>
      <c r="AB3600" t="n">
        <v>0</v>
      </c>
      <c r="AC3600" t="n">
        <v>0</v>
      </c>
      <c r="AD3600" t="n">
        <v>21601</v>
      </c>
      <c r="AE3600" t="n">
        <v>0</v>
      </c>
      <c r="AF3600" t="n">
        <v>10529</v>
      </c>
      <c r="AG3600" t="n">
        <v>2148</v>
      </c>
      <c r="AH3600" t="inlineStr">
        <is>
          <t>PT. JAYA PALEMBANG SUKSES - PPN (JMB)</t>
        </is>
      </c>
      <c r="AI3600" t="n">
        <v>130</v>
      </c>
      <c r="AJ3600" t="inlineStr">
        <is>
          <t>PURBASARI</t>
        </is>
      </c>
      <c r="AK3600" t="n">
        <v>9</v>
      </c>
      <c r="AL3600" t="inlineStr">
        <is>
          <t>Miss Glam Jambi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PURBASARI</t>
        </is>
      </c>
      <c r="B3601" s="2">
        <f>"8999225911401"</f>
        <v/>
      </c>
      <c r="C3601" t="inlineStr">
        <is>
          <t>PURBASARI Skin Firming Body Serum 3x Anti-Aging Actives 180ml</t>
        </is>
      </c>
      <c r="D3601" t="inlineStr">
        <is>
          <t>Miss Glam Jambi</t>
        </is>
      </c>
      <c r="E3601" t="n">
        <v>8</v>
      </c>
      <c r="F3601" t="n">
        <v>0.297</v>
      </c>
      <c r="G3601" t="n">
        <v>0.99</v>
      </c>
      <c r="H3601" t="n">
        <v>4</v>
      </c>
      <c r="I3601" t="n">
        <v>28</v>
      </c>
      <c r="J3601" t="n">
        <v>3</v>
      </c>
      <c r="K3601" t="n">
        <v>0</v>
      </c>
      <c r="L3601" t="n">
        <v>21601</v>
      </c>
      <c r="M3601" t="n">
        <v>27500</v>
      </c>
      <c r="N3601" t="n">
        <v>33</v>
      </c>
      <c r="O3601" t="n">
        <v>0.33</v>
      </c>
      <c r="P3601" t="n">
        <v>1</v>
      </c>
      <c r="Q3601" t="n">
        <v>0.22</v>
      </c>
      <c r="R3601" t="n">
        <v>2</v>
      </c>
      <c r="S3601" t="n">
        <v>8167.500000000001</v>
      </c>
      <c r="T3601" t="n">
        <v>27</v>
      </c>
      <c r="U3601" t="n">
        <v>29</v>
      </c>
      <c r="V3601" t="n">
        <v>30</v>
      </c>
      <c r="W3601" t="n">
        <v>9</v>
      </c>
      <c r="X3601" t="n">
        <v>26.93602693602693</v>
      </c>
      <c r="Y3601" t="n">
        <v>1</v>
      </c>
      <c r="Z3601" t="n">
        <v>1</v>
      </c>
      <c r="AA3601" t="n">
        <v>1</v>
      </c>
      <c r="AB3601" t="n">
        <v>0</v>
      </c>
      <c r="AC3601" t="n">
        <v>0</v>
      </c>
      <c r="AD3601" t="n">
        <v>21601</v>
      </c>
      <c r="AE3601" t="n">
        <v>0</v>
      </c>
      <c r="AF3601" t="n">
        <v>10529</v>
      </c>
      <c r="AG3601" t="n">
        <v>2148</v>
      </c>
      <c r="AH3601" t="inlineStr">
        <is>
          <t>PT. JAYA PALEMBANG SUKSES - PPN (JMB)</t>
        </is>
      </c>
      <c r="AI3601" t="n">
        <v>130</v>
      </c>
      <c r="AJ3601" t="inlineStr">
        <is>
          <t>PURBASARI</t>
        </is>
      </c>
      <c r="AK3601" t="n">
        <v>9</v>
      </c>
      <c r="AL3601" t="inlineStr">
        <is>
          <t>Miss Glam Jambi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PURBASARI</t>
        </is>
      </c>
      <c r="B3602" s="2">
        <f>"30100241957"</f>
        <v/>
      </c>
      <c r="C3602" t="inlineStr">
        <is>
          <t>PURBASARI Superfood Body Scrub Watermelon &amp; Moringa 200ml</t>
        </is>
      </c>
      <c r="D3602" t="inlineStr">
        <is>
          <t>Miss Glam Jambi</t>
        </is>
      </c>
      <c r="E3602" t="n">
        <v>7</v>
      </c>
      <c r="F3602" t="n">
        <v>0.0264</v>
      </c>
      <c r="G3602" t="n">
        <v>0.33</v>
      </c>
      <c r="H3602" t="n">
        <v>4</v>
      </c>
      <c r="I3602" t="n">
        <v>28</v>
      </c>
      <c r="J3602" t="n">
        <v>3</v>
      </c>
      <c r="K3602" t="n">
        <v>0</v>
      </c>
      <c r="L3602" t="n">
        <v>20000</v>
      </c>
      <c r="M3602" t="n">
        <v>25000</v>
      </c>
      <c r="N3602" t="n">
        <v>33</v>
      </c>
      <c r="O3602" t="n">
        <v>0.33</v>
      </c>
      <c r="P3602" t="n">
        <v>1</v>
      </c>
      <c r="Q3602" t="n">
        <v>0.02</v>
      </c>
      <c r="R3602" t="n">
        <v>1</v>
      </c>
      <c r="S3602" t="n">
        <v>660.0000000000001</v>
      </c>
      <c r="T3602" t="n">
        <v>10</v>
      </c>
      <c r="U3602" t="n">
        <v>11</v>
      </c>
      <c r="V3602" t="n">
        <v>30</v>
      </c>
      <c r="W3602" t="n">
        <v>1</v>
      </c>
      <c r="X3602" t="n">
        <v>265.1515151515151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10529</v>
      </c>
      <c r="AG3602" t="n">
        <v>2148</v>
      </c>
      <c r="AH3602" t="inlineStr">
        <is>
          <t>PT. JAYA PALEMBANG SUKSES - PPN (JMB)</t>
        </is>
      </c>
      <c r="AI3602" t="n">
        <v>130</v>
      </c>
      <c r="AJ3602" t="inlineStr">
        <is>
          <t>PURBASARI</t>
        </is>
      </c>
      <c r="AK3602" t="n">
        <v>9</v>
      </c>
      <c r="AL3602" t="inlineStr">
        <is>
          <t>Miss Glam Jambi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PURBASARI</t>
        </is>
      </c>
      <c r="B3603" s="2">
        <f>"30100242025"</f>
        <v/>
      </c>
      <c r="C3603" t="inlineStr">
        <is>
          <t>PURBASARI Superfood Body Scrub Yuzu &amp; Saffron 200ml</t>
        </is>
      </c>
      <c r="D3603" t="inlineStr">
        <is>
          <t>Miss Glam Jambi</t>
        </is>
      </c>
      <c r="E3603" t="n">
        <v>4</v>
      </c>
      <c r="F3603" t="n">
        <v>0.0561</v>
      </c>
      <c r="G3603" t="n">
        <v>0.33</v>
      </c>
      <c r="H3603" t="n">
        <v>4</v>
      </c>
      <c r="I3603" t="n">
        <v>28</v>
      </c>
      <c r="J3603" t="n">
        <v>3</v>
      </c>
      <c r="K3603" t="n">
        <v>0</v>
      </c>
      <c r="L3603" t="n">
        <v>20000</v>
      </c>
      <c r="M3603" t="n">
        <v>25000</v>
      </c>
      <c r="N3603" t="n">
        <v>33</v>
      </c>
      <c r="O3603" t="n">
        <v>0.33</v>
      </c>
      <c r="P3603" t="n">
        <v>1</v>
      </c>
      <c r="Q3603" t="n">
        <v>0.12</v>
      </c>
      <c r="R3603" t="n">
        <v>1</v>
      </c>
      <c r="S3603" t="n">
        <v>1402.5</v>
      </c>
      <c r="T3603" t="n">
        <v>10</v>
      </c>
      <c r="U3603" t="n">
        <v>11</v>
      </c>
      <c r="V3603" t="n">
        <v>30</v>
      </c>
      <c r="W3603" t="n">
        <v>2</v>
      </c>
      <c r="X3603" t="n">
        <v>71.301247771836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10529</v>
      </c>
      <c r="AG3603" t="n">
        <v>2148</v>
      </c>
      <c r="AH3603" t="inlineStr">
        <is>
          <t>PT. JAYA PALEMBANG SUKSES - PPN (JMB)</t>
        </is>
      </c>
      <c r="AI3603" t="n">
        <v>130</v>
      </c>
      <c r="AJ3603" t="inlineStr">
        <is>
          <t>PURBASARI</t>
        </is>
      </c>
      <c r="AK3603" t="n">
        <v>9</v>
      </c>
      <c r="AL3603" t="inlineStr">
        <is>
          <t>Miss Glam Jambi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PURBASARI</t>
        </is>
      </c>
      <c r="B3604" s="2">
        <f>"8999225912521"</f>
        <v/>
      </c>
      <c r="C3604" t="inlineStr">
        <is>
          <t>PURBASARI Superfood Body Serum Pineapple &amp; Royal Jelly 180ml</t>
        </is>
      </c>
      <c r="D3604" t="inlineStr">
        <is>
          <t>Miss Glam Jambi</t>
        </is>
      </c>
      <c r="E3604" t="n">
        <v>3</v>
      </c>
      <c r="F3604" t="n">
        <v>0.0396</v>
      </c>
      <c r="G3604" t="n">
        <v>0.66</v>
      </c>
      <c r="H3604" t="n">
        <v>4</v>
      </c>
      <c r="I3604" t="n">
        <v>28</v>
      </c>
      <c r="J3604" t="n">
        <v>3</v>
      </c>
      <c r="K3604" t="n">
        <v>0</v>
      </c>
      <c r="L3604" t="n">
        <v>21601</v>
      </c>
      <c r="M3604" t="n">
        <v>27000</v>
      </c>
      <c r="N3604" t="n">
        <v>33</v>
      </c>
      <c r="O3604" t="n">
        <v>0.33</v>
      </c>
      <c r="P3604" t="n">
        <v>1</v>
      </c>
      <c r="Q3604" t="n">
        <v>0.03</v>
      </c>
      <c r="R3604" t="n">
        <v>1</v>
      </c>
      <c r="S3604" t="n">
        <v>1069.2</v>
      </c>
      <c r="T3604" t="n">
        <v>19</v>
      </c>
      <c r="U3604" t="n">
        <v>20</v>
      </c>
      <c r="V3604" t="n">
        <v>30</v>
      </c>
      <c r="W3604" t="n">
        <v>2</v>
      </c>
      <c r="X3604" t="n">
        <v>75.75757575757575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10529</v>
      </c>
      <c r="AG3604" t="n">
        <v>2148</v>
      </c>
      <c r="AH3604" t="inlineStr">
        <is>
          <t>PT. JAYA PALEMBANG SUKSES - PPN (JMB)</t>
        </is>
      </c>
      <c r="AI3604" t="n">
        <v>130</v>
      </c>
      <c r="AJ3604" t="inlineStr">
        <is>
          <t>PURBASARI</t>
        </is>
      </c>
      <c r="AK3604" t="n">
        <v>9</v>
      </c>
      <c r="AL3604" t="inlineStr">
        <is>
          <t>Miss Glam Jambi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PURBASARI</t>
        </is>
      </c>
      <c r="B3605" s="2">
        <f>"8999225912514"</f>
        <v/>
      </c>
      <c r="C3605" t="inlineStr">
        <is>
          <t>PURBASARI Superfood Body Serum Watermelon &amp; Moringa 180ml</t>
        </is>
      </c>
      <c r="D3605" t="inlineStr">
        <is>
          <t>Miss Glam Jambi</t>
        </is>
      </c>
      <c r="E3605" t="n">
        <v>0</v>
      </c>
      <c r="F3605" t="n">
        <v>0.0396</v>
      </c>
      <c r="G3605" t="n">
        <v>0.33</v>
      </c>
      <c r="H3605" t="n">
        <v>4</v>
      </c>
      <c r="I3605" t="n">
        <v>28</v>
      </c>
      <c r="J3605" t="n">
        <v>3</v>
      </c>
      <c r="K3605" t="n">
        <v>0</v>
      </c>
      <c r="L3605" t="n">
        <v>21601</v>
      </c>
      <c r="M3605" t="n">
        <v>27000</v>
      </c>
      <c r="N3605" t="n">
        <v>33</v>
      </c>
      <c r="O3605" t="n">
        <v>0.33</v>
      </c>
      <c r="P3605" t="n">
        <v>1</v>
      </c>
      <c r="Q3605" t="n">
        <v>0.09</v>
      </c>
      <c r="R3605" t="n">
        <v>1</v>
      </c>
      <c r="S3605" t="n">
        <v>1069.2</v>
      </c>
      <c r="T3605" t="n">
        <v>10</v>
      </c>
      <c r="U3605" t="n">
        <v>11</v>
      </c>
      <c r="V3605" t="n">
        <v>30</v>
      </c>
      <c r="W3605" t="n">
        <v>2</v>
      </c>
      <c r="X3605" t="n">
        <v>0</v>
      </c>
      <c r="Y3605" t="n">
        <v>1</v>
      </c>
      <c r="Z3605" t="n">
        <v>2</v>
      </c>
      <c r="AA3605" t="n">
        <v>2</v>
      </c>
      <c r="AB3605" t="n">
        <v>0</v>
      </c>
      <c r="AC3605" t="n">
        <v>0</v>
      </c>
      <c r="AD3605" t="n">
        <v>43202</v>
      </c>
      <c r="AE3605" t="n">
        <v>0</v>
      </c>
      <c r="AF3605" t="n">
        <v>10529</v>
      </c>
      <c r="AG3605" t="n">
        <v>2148</v>
      </c>
      <c r="AH3605" t="inlineStr">
        <is>
          <t>PT. JAYA PALEMBANG SUKSES - PPN (JMB)</t>
        </is>
      </c>
      <c r="AI3605" t="n">
        <v>130</v>
      </c>
      <c r="AJ3605" t="inlineStr">
        <is>
          <t>PURBASARI</t>
        </is>
      </c>
      <c r="AK3605" t="n">
        <v>9</v>
      </c>
      <c r="AL3605" t="inlineStr">
        <is>
          <t>Miss Glam Jambi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PURBASARI</t>
        </is>
      </c>
      <c r="B3606" s="2">
        <f>"8999225912507"</f>
        <v/>
      </c>
      <c r="C3606" t="inlineStr">
        <is>
          <t>PURBASARI Superfood Body Serum Yuzu &amp; Saffron 180ml</t>
        </is>
      </c>
      <c r="D3606" t="inlineStr">
        <is>
          <t>Miss Glam Jambi</t>
        </is>
      </c>
      <c r="E3606" t="n">
        <v>6</v>
      </c>
      <c r="F3606" t="n">
        <v>0.0726</v>
      </c>
      <c r="G3606" t="n">
        <v>0.66</v>
      </c>
      <c r="H3606" t="n">
        <v>4</v>
      </c>
      <c r="I3606" t="n">
        <v>28</v>
      </c>
      <c r="J3606" t="n">
        <v>3</v>
      </c>
      <c r="K3606" t="n">
        <v>0</v>
      </c>
      <c r="L3606" t="n">
        <v>21604</v>
      </c>
      <c r="M3606" t="n">
        <v>27000</v>
      </c>
      <c r="N3606" t="n">
        <v>33</v>
      </c>
      <c r="O3606" t="n">
        <v>0.33</v>
      </c>
      <c r="P3606" t="n">
        <v>1</v>
      </c>
      <c r="Q3606" t="n">
        <v>0.02</v>
      </c>
      <c r="R3606" t="n">
        <v>1</v>
      </c>
      <c r="S3606" t="n">
        <v>1960.2</v>
      </c>
      <c r="T3606" t="n">
        <v>19</v>
      </c>
      <c r="U3606" t="n">
        <v>20</v>
      </c>
      <c r="V3606" t="n">
        <v>30</v>
      </c>
      <c r="W3606" t="n">
        <v>3</v>
      </c>
      <c r="X3606" t="n">
        <v>82.64462809917356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10529</v>
      </c>
      <c r="AG3606" t="n">
        <v>2148</v>
      </c>
      <c r="AH3606" t="inlineStr">
        <is>
          <t>PT. JAYA PALEMBANG SUKSES - PPN (JMB)</t>
        </is>
      </c>
      <c r="AI3606" t="n">
        <v>130</v>
      </c>
      <c r="AJ3606" t="inlineStr">
        <is>
          <t>PURBASARI</t>
        </is>
      </c>
      <c r="AK3606" t="n">
        <v>9</v>
      </c>
      <c r="AL3606" t="inlineStr">
        <is>
          <t>Miss Glam Jambi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PURBASARI</t>
        </is>
      </c>
      <c r="B3607" s="2">
        <f>"30100166341"</f>
        <v/>
      </c>
      <c r="C3607" t="inlineStr">
        <is>
          <t>PURBASARI Superfood Shower Scrub Pineapple &amp; Royal Jelly 280ml</t>
        </is>
      </c>
      <c r="D3607" t="inlineStr">
        <is>
          <t>Miss Glam Jambi</t>
        </is>
      </c>
      <c r="E3607" t="n">
        <v>4</v>
      </c>
      <c r="F3607" t="n">
        <v>0.006600000000000001</v>
      </c>
      <c r="G3607" t="n">
        <v>0.33</v>
      </c>
      <c r="H3607" t="n">
        <v>4</v>
      </c>
      <c r="I3607" t="n">
        <v>28</v>
      </c>
      <c r="J3607" t="n">
        <v>3</v>
      </c>
      <c r="K3607" t="n">
        <v>0</v>
      </c>
      <c r="L3607" t="n">
        <v>32000</v>
      </c>
      <c r="M3607" t="n">
        <v>40000</v>
      </c>
      <c r="N3607" t="n">
        <v>33</v>
      </c>
      <c r="O3607" t="n">
        <v>0.33</v>
      </c>
      <c r="P3607" t="n">
        <v>1</v>
      </c>
      <c r="Q3607" t="n">
        <v>0.02</v>
      </c>
      <c r="R3607" t="n">
        <v>1</v>
      </c>
      <c r="S3607" t="n">
        <v>264.0000000000001</v>
      </c>
      <c r="T3607" t="n">
        <v>10</v>
      </c>
      <c r="U3607" t="n">
        <v>11</v>
      </c>
      <c r="V3607" t="n">
        <v>30</v>
      </c>
      <c r="W3607" t="n">
        <v>1</v>
      </c>
      <c r="X3607" t="n">
        <v>606.060606060606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10529</v>
      </c>
      <c r="AG3607" t="n">
        <v>2148</v>
      </c>
      <c r="AH3607" t="inlineStr">
        <is>
          <t>PT. JAYA PALEMBANG SUKSES - PPN (JMB)</t>
        </is>
      </c>
      <c r="AI3607" t="n">
        <v>130</v>
      </c>
      <c r="AJ3607" t="inlineStr">
        <is>
          <t>PURBASARI</t>
        </is>
      </c>
      <c r="AK3607" t="n">
        <v>9</v>
      </c>
      <c r="AL3607" t="inlineStr">
        <is>
          <t>Miss Glam Jambi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PURBASARI</t>
        </is>
      </c>
      <c r="B3608" s="2">
        <f>"8999225911258"</f>
        <v/>
      </c>
      <c r="C3608" t="inlineStr">
        <is>
          <t>PURBASARI White Glow Body Serum 3x Active Whitening 180ml</t>
        </is>
      </c>
      <c r="D3608" t="inlineStr">
        <is>
          <t>Miss Glam Jambi</t>
        </is>
      </c>
      <c r="E3608" t="n">
        <v>2</v>
      </c>
      <c r="F3608" t="n">
        <v>1.1649</v>
      </c>
      <c r="G3608" t="n">
        <v>2.97</v>
      </c>
      <c r="H3608" t="n">
        <v>4</v>
      </c>
      <c r="I3608" t="n">
        <v>28</v>
      </c>
      <c r="J3608" t="n">
        <v>3</v>
      </c>
      <c r="K3608" t="n">
        <v>3</v>
      </c>
      <c r="L3608" t="n">
        <v>21601</v>
      </c>
      <c r="M3608" t="n">
        <v>27500</v>
      </c>
      <c r="N3608" t="n">
        <v>33</v>
      </c>
      <c r="O3608" t="n">
        <v>0.33</v>
      </c>
      <c r="P3608" t="n">
        <v>1</v>
      </c>
      <c r="Q3608" t="n">
        <v>0.22</v>
      </c>
      <c r="R3608" t="n">
        <v>1</v>
      </c>
      <c r="S3608" t="n">
        <v>32034.75</v>
      </c>
      <c r="T3608" t="n">
        <v>79</v>
      </c>
      <c r="U3608" t="n">
        <v>84</v>
      </c>
      <c r="V3608" t="n">
        <v>30</v>
      </c>
      <c r="W3608" t="n">
        <v>35</v>
      </c>
      <c r="X3608" t="n">
        <v>1.716885569576788</v>
      </c>
      <c r="Y3608" t="n">
        <v>1</v>
      </c>
      <c r="Z3608" t="n">
        <v>30</v>
      </c>
      <c r="AA3608" t="n">
        <v>30</v>
      </c>
      <c r="AB3608" t="n">
        <v>0</v>
      </c>
      <c r="AC3608" t="n">
        <v>0</v>
      </c>
      <c r="AD3608" t="n">
        <v>648030</v>
      </c>
      <c r="AE3608" t="n">
        <v>0</v>
      </c>
      <c r="AF3608" t="n">
        <v>10529</v>
      </c>
      <c r="AG3608" t="n">
        <v>2148</v>
      </c>
      <c r="AH3608" t="inlineStr">
        <is>
          <t>PT. JAYA PALEMBANG SUKSES - PPN (JMB)</t>
        </is>
      </c>
      <c r="AI3608" t="n">
        <v>130</v>
      </c>
      <c r="AJ3608" t="inlineStr">
        <is>
          <t>PURBASARI</t>
        </is>
      </c>
      <c r="AK3608" t="n">
        <v>9</v>
      </c>
      <c r="AL3608" t="inlineStr">
        <is>
          <t>Miss Glam Jambi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PURE PAWPAW</t>
        </is>
      </c>
      <c r="B3609" s="2">
        <f>"9329401000350"</f>
        <v/>
      </c>
      <c r="C3609" t="inlineStr">
        <is>
          <t>PURE PAWPAW Ointment Grape 25gr</t>
        </is>
      </c>
      <c r="D3609" t="inlineStr">
        <is>
          <t>Miss Glam Jambi</t>
        </is>
      </c>
      <c r="E3609" t="n">
        <v>5</v>
      </c>
      <c r="F3609" t="n">
        <v>0.06270000000000001</v>
      </c>
      <c r="G3609" t="n">
        <v>0.66</v>
      </c>
      <c r="H3609" t="n">
        <v>7</v>
      </c>
      <c r="I3609" t="n">
        <v>19</v>
      </c>
      <c r="J3609" t="n">
        <v>3</v>
      </c>
      <c r="K3609" t="n">
        <v>0</v>
      </c>
      <c r="L3609" t="n">
        <v>57267</v>
      </c>
      <c r="M3609" t="n">
        <v>75000</v>
      </c>
      <c r="N3609" t="n">
        <v>33</v>
      </c>
      <c r="O3609" t="n">
        <v>0.33</v>
      </c>
      <c r="P3609" t="n">
        <v>1</v>
      </c>
      <c r="Q3609" t="n">
        <v>0.14</v>
      </c>
      <c r="R3609" t="n">
        <v>1</v>
      </c>
      <c r="S3609" t="n">
        <v>4702.5</v>
      </c>
      <c r="T3609" t="n">
        <v>13</v>
      </c>
      <c r="U3609" t="n">
        <v>14</v>
      </c>
      <c r="V3609" t="n">
        <v>30</v>
      </c>
      <c r="W3609" t="n">
        <v>2</v>
      </c>
      <c r="X3609" t="n">
        <v>79.74481658692184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11305</v>
      </c>
      <c r="AG3609" t="n">
        <v>2173</v>
      </c>
      <c r="AH3609" t="inlineStr">
        <is>
          <t>PT. OGAN SAKTI PRATAMA - PPN (JMB)</t>
        </is>
      </c>
      <c r="AI3609" t="n">
        <v>381</v>
      </c>
      <c r="AJ3609" t="inlineStr">
        <is>
          <t>PURE PAWPAW</t>
        </is>
      </c>
      <c r="AK3609" t="n">
        <v>9</v>
      </c>
      <c r="AL3609" t="inlineStr">
        <is>
          <t>Miss Glam Jambi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PURE PAWPAW</t>
        </is>
      </c>
      <c r="B3610" s="2">
        <f>"9329401000305"</f>
        <v/>
      </c>
      <c r="C3610" t="inlineStr">
        <is>
          <t>PURE PAWPAW Ointment Original 25gr</t>
        </is>
      </c>
      <c r="D3610" t="inlineStr">
        <is>
          <t>Miss Glam Jambi</t>
        </is>
      </c>
      <c r="E3610" t="n">
        <v>12</v>
      </c>
      <c r="F3610" t="n">
        <v>0.264</v>
      </c>
      <c r="G3610" t="n">
        <v>0.99</v>
      </c>
      <c r="H3610" t="n">
        <v>7</v>
      </c>
      <c r="I3610" t="n">
        <v>19</v>
      </c>
      <c r="J3610" t="n">
        <v>3</v>
      </c>
      <c r="K3610" t="n">
        <v>0</v>
      </c>
      <c r="L3610" t="n">
        <v>62636</v>
      </c>
      <c r="M3610" t="n">
        <v>75000</v>
      </c>
      <c r="N3610" t="n">
        <v>33</v>
      </c>
      <c r="O3610" t="n">
        <v>0.33</v>
      </c>
      <c r="P3610" t="n">
        <v>1</v>
      </c>
      <c r="Q3610" t="n">
        <v>0.19</v>
      </c>
      <c r="R3610" t="n">
        <v>2</v>
      </c>
      <c r="S3610" t="n">
        <v>19800</v>
      </c>
      <c r="T3610" t="n">
        <v>17</v>
      </c>
      <c r="U3610" t="n">
        <v>19</v>
      </c>
      <c r="V3610" t="n">
        <v>30</v>
      </c>
      <c r="W3610" t="n">
        <v>8</v>
      </c>
      <c r="X3610" t="n">
        <v>45.45454545454545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11305</v>
      </c>
      <c r="AG3610" t="n">
        <v>2173</v>
      </c>
      <c r="AH3610" t="inlineStr">
        <is>
          <t>PT. OGAN SAKTI PRATAMA - PPN (JMB)</t>
        </is>
      </c>
      <c r="AI3610" t="n">
        <v>381</v>
      </c>
      <c r="AJ3610" t="inlineStr">
        <is>
          <t>PURE PAWPAW</t>
        </is>
      </c>
      <c r="AK3610" t="n">
        <v>9</v>
      </c>
      <c r="AL3610" t="inlineStr">
        <is>
          <t>Miss Glam Jambi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PURE PAWPAW</t>
        </is>
      </c>
      <c r="B3611" s="2">
        <f>"9329401000336"</f>
        <v/>
      </c>
      <c r="C3611" t="inlineStr">
        <is>
          <t>PURE PAWPAW Ointment Passion Fruit 25gr</t>
        </is>
      </c>
      <c r="D3611" t="inlineStr">
        <is>
          <t>Miss Glam Jambi</t>
        </is>
      </c>
      <c r="E3611" t="n">
        <v>5</v>
      </c>
      <c r="F3611" t="n">
        <v>0.0396</v>
      </c>
      <c r="G3611" t="n">
        <v>0.33</v>
      </c>
      <c r="H3611" t="n">
        <v>7</v>
      </c>
      <c r="I3611" t="n">
        <v>19</v>
      </c>
      <c r="J3611" t="n">
        <v>3</v>
      </c>
      <c r="K3611" t="n">
        <v>0</v>
      </c>
      <c r="L3611" t="n">
        <v>61916</v>
      </c>
      <c r="M3611" t="n">
        <v>75000</v>
      </c>
      <c r="N3611" t="n">
        <v>33</v>
      </c>
      <c r="O3611" t="n">
        <v>0.33</v>
      </c>
      <c r="P3611" t="n">
        <v>1</v>
      </c>
      <c r="Q3611" t="n">
        <v>0.07000000000000001</v>
      </c>
      <c r="R3611" t="n">
        <v>1</v>
      </c>
      <c r="S3611" t="n">
        <v>2970</v>
      </c>
      <c r="T3611" t="n">
        <v>6</v>
      </c>
      <c r="U3611" t="n">
        <v>7</v>
      </c>
      <c r="V3611" t="n">
        <v>30</v>
      </c>
      <c r="W3611" t="n">
        <v>2</v>
      </c>
      <c r="X3611" t="n">
        <v>126.2626262626263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11305</v>
      </c>
      <c r="AG3611" t="n">
        <v>2173</v>
      </c>
      <c r="AH3611" t="inlineStr">
        <is>
          <t>PT. OGAN SAKTI PRATAMA - PPN (JMB)</t>
        </is>
      </c>
      <c r="AI3611" t="n">
        <v>381</v>
      </c>
      <c r="AJ3611" t="inlineStr">
        <is>
          <t>PURE PAWPAW</t>
        </is>
      </c>
      <c r="AK3611" t="n">
        <v>9</v>
      </c>
      <c r="AL3611" t="inlineStr">
        <is>
          <t>Miss Glam Jambi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PURE PAWPAW</t>
        </is>
      </c>
      <c r="B3612" s="2">
        <f>"9329401000329"</f>
        <v/>
      </c>
      <c r="C3612" t="inlineStr">
        <is>
          <t>PURE PAWPAW Ointment Strawberry 25gr</t>
        </is>
      </c>
      <c r="D3612" t="inlineStr">
        <is>
          <t>Miss Glam Jambi</t>
        </is>
      </c>
      <c r="E3612" t="n">
        <v>8</v>
      </c>
      <c r="F3612" t="n">
        <v>0.4125</v>
      </c>
      <c r="G3612" t="n">
        <v>1.98</v>
      </c>
      <c r="H3612" t="n">
        <v>7</v>
      </c>
      <c r="I3612" t="n">
        <v>19</v>
      </c>
      <c r="J3612" t="n">
        <v>3</v>
      </c>
      <c r="K3612" t="n">
        <v>4</v>
      </c>
      <c r="L3612" t="n">
        <v>59057</v>
      </c>
      <c r="M3612" t="n">
        <v>75000</v>
      </c>
      <c r="N3612" t="n">
        <v>33</v>
      </c>
      <c r="O3612" t="n">
        <v>0.33</v>
      </c>
      <c r="P3612" t="n">
        <v>1</v>
      </c>
      <c r="Q3612" t="n">
        <v>0.59</v>
      </c>
      <c r="R3612" t="n">
        <v>6</v>
      </c>
      <c r="S3612" t="n">
        <v>30937.5</v>
      </c>
      <c r="T3612" t="n">
        <v>35</v>
      </c>
      <c r="U3612" t="n">
        <v>38</v>
      </c>
      <c r="V3612" t="n">
        <v>30</v>
      </c>
      <c r="W3612" t="n">
        <v>13</v>
      </c>
      <c r="X3612" t="n">
        <v>19.39393939393939</v>
      </c>
      <c r="Y3612" t="n">
        <v>1</v>
      </c>
      <c r="Z3612" t="n">
        <v>1</v>
      </c>
      <c r="AA3612" t="n">
        <v>0</v>
      </c>
      <c r="AB3612" t="n">
        <v>1</v>
      </c>
      <c r="AC3612" t="n">
        <v>3</v>
      </c>
      <c r="AD3612" t="n">
        <v>0</v>
      </c>
      <c r="AE3612" t="n">
        <v>177171</v>
      </c>
      <c r="AF3612" t="n">
        <v>11305</v>
      </c>
      <c r="AG3612" t="n">
        <v>2173</v>
      </c>
      <c r="AH3612" t="inlineStr">
        <is>
          <t>PT. OGAN SAKTI PRATAMA - PPN (JMB)</t>
        </is>
      </c>
      <c r="AI3612" t="n">
        <v>381</v>
      </c>
      <c r="AJ3612" t="inlineStr">
        <is>
          <t>PURE PAWPAW</t>
        </is>
      </c>
      <c r="AK3612" t="n">
        <v>9</v>
      </c>
      <c r="AL3612" t="inlineStr">
        <is>
          <t>Miss Glam Jambi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PUTRI</t>
        </is>
      </c>
      <c r="B3613" s="2">
        <f>"40200407454"</f>
        <v/>
      </c>
      <c r="C3613" t="inlineStr">
        <is>
          <t>PUTRI Hair Tonic (gingseng) 450ml</t>
        </is>
      </c>
      <c r="D3613" t="inlineStr">
        <is>
          <t>Miss Glam Jambi</t>
        </is>
      </c>
      <c r="E3613" t="n">
        <v>0</v>
      </c>
      <c r="F3613" t="n">
        <v>0.1353</v>
      </c>
      <c r="G3613" t="n">
        <v>0.99</v>
      </c>
      <c r="H3613" t="n">
        <v>2</v>
      </c>
      <c r="I3613" t="n">
        <v>7</v>
      </c>
      <c r="J3613" t="n">
        <v>1</v>
      </c>
      <c r="K3613" t="n">
        <v>3</v>
      </c>
      <c r="L3613" t="n">
        <v>36469</v>
      </c>
      <c r="M3613" t="n">
        <v>41000</v>
      </c>
      <c r="N3613" t="n">
        <v>33</v>
      </c>
      <c r="O3613" t="n">
        <v>0.33</v>
      </c>
      <c r="P3613" t="n">
        <v>1</v>
      </c>
      <c r="Q3613" t="n">
        <v>0.14</v>
      </c>
      <c r="R3613" t="n">
        <v>2</v>
      </c>
      <c r="S3613" t="n">
        <v>5547.3</v>
      </c>
      <c r="T3613" t="n">
        <v>7</v>
      </c>
      <c r="U3613" t="n">
        <v>8</v>
      </c>
      <c r="V3613" t="n">
        <v>30</v>
      </c>
      <c r="W3613" t="n">
        <v>5</v>
      </c>
      <c r="X3613" t="n">
        <v>0</v>
      </c>
      <c r="Y3613" t="n">
        <v>1</v>
      </c>
      <c r="Z3613" t="n">
        <v>2</v>
      </c>
      <c r="AA3613" t="n">
        <v>0</v>
      </c>
      <c r="AB3613" t="n">
        <v>2</v>
      </c>
      <c r="AC3613" t="n">
        <v>2</v>
      </c>
      <c r="AD3613" t="n">
        <v>0</v>
      </c>
      <c r="AE3613" t="n">
        <v>72938</v>
      </c>
      <c r="AF3613" t="n">
        <v>11596</v>
      </c>
      <c r="AG3613" t="n">
        <v>2141</v>
      </c>
      <c r="AH3613" t="inlineStr">
        <is>
          <t>PT. PARAMA GLOBAL INSPIRA - PPN (JMB)</t>
        </is>
      </c>
      <c r="AI3613" t="n">
        <v>296</v>
      </c>
      <c r="AJ3613" t="inlineStr">
        <is>
          <t>PUTRI</t>
        </is>
      </c>
      <c r="AK3613" t="n">
        <v>9</v>
      </c>
      <c r="AL3613" t="inlineStr">
        <is>
          <t>Miss Glam Jambi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PUTRI</t>
        </is>
      </c>
      <c r="B3614" s="2">
        <f>"40200407534"</f>
        <v/>
      </c>
      <c r="C3614" t="inlineStr">
        <is>
          <t>PUTRI Hair Tonic (normal to oily) 450ml</t>
        </is>
      </c>
      <c r="D3614" t="inlineStr">
        <is>
          <t>Miss Glam Jambi</t>
        </is>
      </c>
      <c r="E3614" t="n">
        <v>11</v>
      </c>
      <c r="F3614" t="n">
        <v>0.0396</v>
      </c>
      <c r="G3614" t="n">
        <v>0.33</v>
      </c>
      <c r="H3614" t="n">
        <v>2</v>
      </c>
      <c r="I3614" t="n">
        <v>7</v>
      </c>
      <c r="J3614" t="n">
        <v>1</v>
      </c>
      <c r="K3614" t="n">
        <v>0</v>
      </c>
      <c r="L3614" t="n">
        <v>36550</v>
      </c>
      <c r="M3614" t="n">
        <v>41000</v>
      </c>
      <c r="N3614" t="n">
        <v>33</v>
      </c>
      <c r="O3614" t="n">
        <v>0.33</v>
      </c>
      <c r="P3614" t="n">
        <v>1</v>
      </c>
      <c r="Q3614" t="n">
        <v>0.05</v>
      </c>
      <c r="R3614" t="n">
        <v>1</v>
      </c>
      <c r="S3614" t="n">
        <v>1623.6</v>
      </c>
      <c r="T3614" t="n">
        <v>3</v>
      </c>
      <c r="U3614" t="n">
        <v>4</v>
      </c>
      <c r="V3614" t="n">
        <v>30</v>
      </c>
      <c r="W3614" t="n">
        <v>2</v>
      </c>
      <c r="X3614" t="n">
        <v>277.7777777777778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11596</v>
      </c>
      <c r="AG3614" t="n">
        <v>2141</v>
      </c>
      <c r="AH3614" t="inlineStr">
        <is>
          <t>PT. PARAMA GLOBAL INSPIRA - PPN (JMB)</t>
        </is>
      </c>
      <c r="AI3614" t="n">
        <v>296</v>
      </c>
      <c r="AJ3614" t="inlineStr">
        <is>
          <t>PUTRI</t>
        </is>
      </c>
      <c r="AK3614" t="n">
        <v>9</v>
      </c>
      <c r="AL3614" t="inlineStr">
        <is>
          <t>Miss Glam Jambi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PUTRI</t>
        </is>
      </c>
      <c r="B3615" s="2">
        <f>"8993137262002"</f>
        <v/>
      </c>
      <c r="C3615" t="inlineStr">
        <is>
          <t>PUTRI Hair Tonic Ginseng 200ml</t>
        </is>
      </c>
      <c r="D3615" t="inlineStr">
        <is>
          <t>Miss Glam Jambi</t>
        </is>
      </c>
      <c r="E3615" t="n">
        <v>2</v>
      </c>
      <c r="F3615" t="n">
        <v>1.1418</v>
      </c>
      <c r="G3615" t="n">
        <v>3.3</v>
      </c>
      <c r="H3615" t="n">
        <v>2</v>
      </c>
      <c r="I3615" t="n">
        <v>7</v>
      </c>
      <c r="J3615" t="n">
        <v>3</v>
      </c>
      <c r="K3615" t="n">
        <v>26</v>
      </c>
      <c r="L3615" t="n">
        <v>25075</v>
      </c>
      <c r="M3615" t="n">
        <v>28500</v>
      </c>
      <c r="N3615" t="n">
        <v>33</v>
      </c>
      <c r="O3615" t="n">
        <v>0.33</v>
      </c>
      <c r="P3615" t="n">
        <v>1</v>
      </c>
      <c r="Q3615" t="n">
        <v>0.54</v>
      </c>
      <c r="R3615" t="n">
        <v>3</v>
      </c>
      <c r="S3615" t="n">
        <v>32541.3</v>
      </c>
      <c r="T3615" t="n">
        <v>21</v>
      </c>
      <c r="U3615" t="n">
        <v>24</v>
      </c>
      <c r="V3615" t="n">
        <v>30</v>
      </c>
      <c r="W3615" t="n">
        <v>35</v>
      </c>
      <c r="X3615" t="n">
        <v>1.751620248730075</v>
      </c>
      <c r="Y3615" t="n">
        <v>1</v>
      </c>
      <c r="Z3615" t="n">
        <v>7</v>
      </c>
      <c r="AA3615" t="n">
        <v>5</v>
      </c>
      <c r="AB3615" t="n">
        <v>2</v>
      </c>
      <c r="AC3615" t="n">
        <v>3</v>
      </c>
      <c r="AD3615" t="n">
        <v>125375</v>
      </c>
      <c r="AE3615" t="n">
        <v>75225</v>
      </c>
      <c r="AF3615" t="n">
        <v>11596</v>
      </c>
      <c r="AG3615" t="n">
        <v>2141</v>
      </c>
      <c r="AH3615" t="inlineStr">
        <is>
          <t>PT. PARAMA GLOBAL INSPIRA - PPN (JMB)</t>
        </is>
      </c>
      <c r="AI3615" t="n">
        <v>296</v>
      </c>
      <c r="AJ3615" t="inlineStr">
        <is>
          <t>PUTRI</t>
        </is>
      </c>
      <c r="AK3615" t="n">
        <v>9</v>
      </c>
      <c r="AL3615" t="inlineStr">
        <is>
          <t>Miss Glam Jambi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PUTRI</t>
        </is>
      </c>
      <c r="B3616" s="2">
        <f>"8993137252003"</f>
        <v/>
      </c>
      <c r="C3616" t="inlineStr">
        <is>
          <t>PUTRI Hair Tonic Normal 200ml</t>
        </is>
      </c>
      <c r="D3616" t="inlineStr">
        <is>
          <t>Miss Glam Jambi</t>
        </is>
      </c>
      <c r="E3616" t="n">
        <v>8</v>
      </c>
      <c r="F3616" t="n">
        <v>0.1188</v>
      </c>
      <c r="G3616" t="n">
        <v>0.66</v>
      </c>
      <c r="H3616" t="n">
        <v>2</v>
      </c>
      <c r="I3616" t="n">
        <v>7</v>
      </c>
      <c r="J3616" t="n">
        <v>3</v>
      </c>
      <c r="K3616" t="n">
        <v>0</v>
      </c>
      <c r="L3616" t="n">
        <v>24981</v>
      </c>
      <c r="M3616" t="n">
        <v>28500</v>
      </c>
      <c r="N3616" t="n">
        <v>33</v>
      </c>
      <c r="O3616" t="n">
        <v>0.33</v>
      </c>
      <c r="P3616" t="n">
        <v>1</v>
      </c>
      <c r="Q3616" t="n">
        <v>0.07000000000000001</v>
      </c>
      <c r="R3616" t="n">
        <v>1</v>
      </c>
      <c r="S3616" t="n">
        <v>3385.8</v>
      </c>
      <c r="T3616" t="n">
        <v>5</v>
      </c>
      <c r="U3616" t="n">
        <v>6</v>
      </c>
      <c r="V3616" t="n">
        <v>30</v>
      </c>
      <c r="W3616" t="n">
        <v>4</v>
      </c>
      <c r="X3616" t="n">
        <v>67.34006734006734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11596</v>
      </c>
      <c r="AG3616" t="n">
        <v>2141</v>
      </c>
      <c r="AH3616" t="inlineStr">
        <is>
          <t>PT. PARAMA GLOBAL INSPIRA - PPN (JMB)</t>
        </is>
      </c>
      <c r="AI3616" t="n">
        <v>296</v>
      </c>
      <c r="AJ3616" t="inlineStr">
        <is>
          <t>PUTRI</t>
        </is>
      </c>
      <c r="AK3616" t="n">
        <v>9</v>
      </c>
      <c r="AL3616" t="inlineStr">
        <is>
          <t>Miss Glam Jambi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PUTRI</t>
        </is>
      </c>
      <c r="B3617" s="2">
        <f>"8993137253024"</f>
        <v/>
      </c>
      <c r="C3617" t="inlineStr">
        <is>
          <t>PUTRI Hair Tonic Normal To Oily 200ml</t>
        </is>
      </c>
      <c r="D3617" t="inlineStr">
        <is>
          <t>Miss Glam Jambi</t>
        </is>
      </c>
      <c r="E3617" t="n">
        <v>0</v>
      </c>
      <c r="F3617" t="n">
        <v>0.3795</v>
      </c>
      <c r="G3617" t="n">
        <v>1.32</v>
      </c>
      <c r="H3617" t="n">
        <v>2</v>
      </c>
      <c r="I3617" t="n">
        <v>7</v>
      </c>
      <c r="J3617" t="n">
        <v>3</v>
      </c>
      <c r="K3617" t="n">
        <v>9</v>
      </c>
      <c r="L3617" t="n">
        <v>25075</v>
      </c>
      <c r="M3617" t="n">
        <v>28500</v>
      </c>
      <c r="N3617" t="n">
        <v>33</v>
      </c>
      <c r="O3617" t="n">
        <v>0.33</v>
      </c>
      <c r="P3617" t="n">
        <v>1</v>
      </c>
      <c r="Q3617" t="n">
        <v>0.12</v>
      </c>
      <c r="R3617" t="n">
        <v>2</v>
      </c>
      <c r="S3617" t="n">
        <v>10815.75</v>
      </c>
      <c r="T3617" t="n">
        <v>9</v>
      </c>
      <c r="U3617" t="n">
        <v>10</v>
      </c>
      <c r="V3617" t="n">
        <v>30</v>
      </c>
      <c r="W3617" t="n">
        <v>12</v>
      </c>
      <c r="X3617" t="n">
        <v>0</v>
      </c>
      <c r="Y3617" t="n">
        <v>1</v>
      </c>
      <c r="Z3617" t="n">
        <v>3</v>
      </c>
      <c r="AA3617" t="n">
        <v>2</v>
      </c>
      <c r="AB3617" t="n">
        <v>1</v>
      </c>
      <c r="AC3617" t="n">
        <v>3</v>
      </c>
      <c r="AD3617" t="n">
        <v>50150</v>
      </c>
      <c r="AE3617" t="n">
        <v>75225</v>
      </c>
      <c r="AF3617" t="n">
        <v>11596</v>
      </c>
      <c r="AG3617" t="n">
        <v>2141</v>
      </c>
      <c r="AH3617" t="inlineStr">
        <is>
          <t>PT. PARAMA GLOBAL INSPIRA - PPN (JMB)</t>
        </is>
      </c>
      <c r="AI3617" t="n">
        <v>296</v>
      </c>
      <c r="AJ3617" t="inlineStr">
        <is>
          <t>PUTRI</t>
        </is>
      </c>
      <c r="AK3617" t="n">
        <v>9</v>
      </c>
      <c r="AL3617" t="inlineStr">
        <is>
          <t>Miss Glam Jambi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PUTRI</t>
        </is>
      </c>
      <c r="B3618" s="2">
        <f>"8993137172004"</f>
        <v/>
      </c>
      <c r="C3618" t="inlineStr">
        <is>
          <t>PUTRI Pure Clean Moisturizing Conditioner Apple 200ml</t>
        </is>
      </c>
      <c r="D3618" t="inlineStr">
        <is>
          <t>Miss Glam Jambi</t>
        </is>
      </c>
      <c r="E3618" t="n">
        <v>4</v>
      </c>
      <c r="F3618" t="n">
        <v>0.1122</v>
      </c>
      <c r="G3618" t="n">
        <v>0.99</v>
      </c>
      <c r="H3618" t="n">
        <v>2</v>
      </c>
      <c r="I3618" t="n">
        <v>7</v>
      </c>
      <c r="J3618" t="n">
        <v>3</v>
      </c>
      <c r="K3618" t="n">
        <v>0</v>
      </c>
      <c r="L3618" t="n">
        <v>14875</v>
      </c>
      <c r="M3618" t="n">
        <v>16500</v>
      </c>
      <c r="N3618" t="n">
        <v>33</v>
      </c>
      <c r="O3618" t="n">
        <v>0.33</v>
      </c>
      <c r="P3618" t="n">
        <v>1</v>
      </c>
      <c r="Q3618" t="n">
        <v>0.03</v>
      </c>
      <c r="R3618" t="n">
        <v>1</v>
      </c>
      <c r="S3618" t="n">
        <v>1851.3</v>
      </c>
      <c r="T3618" t="n">
        <v>7</v>
      </c>
      <c r="U3618" t="n">
        <v>8</v>
      </c>
      <c r="V3618" t="n">
        <v>30</v>
      </c>
      <c r="W3618" t="n">
        <v>4</v>
      </c>
      <c r="X3618" t="n">
        <v>35.650623885918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11596</v>
      </c>
      <c r="AG3618" t="n">
        <v>2141</v>
      </c>
      <c r="AH3618" t="inlineStr">
        <is>
          <t>PT. PARAMA GLOBAL INSPIRA - PPN (JMB)</t>
        </is>
      </c>
      <c r="AI3618" t="n">
        <v>296</v>
      </c>
      <c r="AJ3618" t="inlineStr">
        <is>
          <t>PUTRI</t>
        </is>
      </c>
      <c r="AK3618" t="n">
        <v>9</v>
      </c>
      <c r="AL3618" t="inlineStr">
        <is>
          <t>Miss Glam Jambi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PUTRI</t>
        </is>
      </c>
      <c r="B3619" s="2">
        <f>"8993137172011"</f>
        <v/>
      </c>
      <c r="C3619" t="inlineStr">
        <is>
          <t>PUTRI Pure Clean Moisturizing Conditioner Floral Fragrance 200ml</t>
        </is>
      </c>
      <c r="D3619" t="inlineStr">
        <is>
          <t>Miss Glam Jambi</t>
        </is>
      </c>
      <c r="E3619" t="n">
        <v>11</v>
      </c>
      <c r="F3619" t="n">
        <v>0.1188</v>
      </c>
      <c r="G3619" t="n">
        <v>0.66</v>
      </c>
      <c r="H3619" t="n">
        <v>2</v>
      </c>
      <c r="I3619" t="n">
        <v>7</v>
      </c>
      <c r="J3619" t="n">
        <v>3</v>
      </c>
      <c r="K3619" t="n">
        <v>0</v>
      </c>
      <c r="L3619" t="n">
        <v>14875</v>
      </c>
      <c r="M3619" t="n">
        <v>16500</v>
      </c>
      <c r="N3619" t="n">
        <v>33</v>
      </c>
      <c r="O3619" t="n">
        <v>0.33</v>
      </c>
      <c r="P3619" t="n">
        <v>1</v>
      </c>
      <c r="Q3619" t="n">
        <v>0.1</v>
      </c>
      <c r="R3619" t="n">
        <v>2</v>
      </c>
      <c r="S3619" t="n">
        <v>1960.2</v>
      </c>
      <c r="T3619" t="n">
        <v>5</v>
      </c>
      <c r="U3619" t="n">
        <v>6</v>
      </c>
      <c r="V3619" t="n">
        <v>30</v>
      </c>
      <c r="W3619" t="n">
        <v>4</v>
      </c>
      <c r="X3619" t="n">
        <v>92.5925925925926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11596</v>
      </c>
      <c r="AG3619" t="n">
        <v>2141</v>
      </c>
      <c r="AH3619" t="inlineStr">
        <is>
          <t>PT. PARAMA GLOBAL INSPIRA - PPN (JMB)</t>
        </is>
      </c>
      <c r="AI3619" t="n">
        <v>296</v>
      </c>
      <c r="AJ3619" t="inlineStr">
        <is>
          <t>PUTRI</t>
        </is>
      </c>
      <c r="AK3619" t="n">
        <v>9</v>
      </c>
      <c r="AL3619" t="inlineStr">
        <is>
          <t>Miss Glam Jambi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PUTRI</t>
        </is>
      </c>
      <c r="B3620" s="2">
        <f>"8993137182041"</f>
        <v/>
      </c>
      <c r="C3620" t="inlineStr">
        <is>
          <t>PUTRI Pure Clean Shampoo Apple 200ml</t>
        </is>
      </c>
      <c r="D3620" t="inlineStr">
        <is>
          <t>Miss Glam Jambi</t>
        </is>
      </c>
      <c r="E3620" t="n">
        <v>5</v>
      </c>
      <c r="F3620" t="n">
        <v>0.08910000000000001</v>
      </c>
      <c r="G3620" t="n">
        <v>0.66</v>
      </c>
      <c r="H3620" t="n">
        <v>2</v>
      </c>
      <c r="I3620" t="n">
        <v>7</v>
      </c>
      <c r="J3620" t="n">
        <v>3</v>
      </c>
      <c r="K3620" t="n">
        <v>0</v>
      </c>
      <c r="L3620" t="n">
        <v>16120</v>
      </c>
      <c r="M3620" t="n">
        <v>18000</v>
      </c>
      <c r="N3620" t="n">
        <v>33</v>
      </c>
      <c r="O3620" t="n">
        <v>0.33</v>
      </c>
      <c r="P3620" t="n">
        <v>1</v>
      </c>
      <c r="Q3620" t="n">
        <v>0.05</v>
      </c>
      <c r="R3620" t="n">
        <v>1</v>
      </c>
      <c r="S3620" t="n">
        <v>1603.8</v>
      </c>
      <c r="T3620" t="n">
        <v>5</v>
      </c>
      <c r="U3620" t="n">
        <v>6</v>
      </c>
      <c r="V3620" t="n">
        <v>30</v>
      </c>
      <c r="W3620" t="n">
        <v>3</v>
      </c>
      <c r="X3620" t="n">
        <v>56.11672278338944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11596</v>
      </c>
      <c r="AG3620" t="n">
        <v>2141</v>
      </c>
      <c r="AH3620" t="inlineStr">
        <is>
          <t>PT. PARAMA GLOBAL INSPIRA - PPN (JMB)</t>
        </is>
      </c>
      <c r="AI3620" t="n">
        <v>296</v>
      </c>
      <c r="AJ3620" t="inlineStr">
        <is>
          <t>PUTRI</t>
        </is>
      </c>
      <c r="AK3620" t="n">
        <v>9</v>
      </c>
      <c r="AL3620" t="inlineStr">
        <is>
          <t>Miss Glam Jambi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PUTRI</t>
        </is>
      </c>
      <c r="B3621" s="2">
        <f>"8993137182096"</f>
        <v/>
      </c>
      <c r="C3621" t="inlineStr">
        <is>
          <t>PUTRI Shampoo Ginseng 200ml</t>
        </is>
      </c>
      <c r="D3621" t="inlineStr">
        <is>
          <t>Miss Glam Jambi</t>
        </is>
      </c>
      <c r="E3621" t="n">
        <v>3</v>
      </c>
      <c r="F3621" t="n">
        <v>0.2277</v>
      </c>
      <c r="G3621" t="n">
        <v>0.99</v>
      </c>
      <c r="H3621" t="n">
        <v>2</v>
      </c>
      <c r="I3621" t="n">
        <v>7</v>
      </c>
      <c r="J3621" t="n">
        <v>3</v>
      </c>
      <c r="K3621" t="n">
        <v>4</v>
      </c>
      <c r="L3621" t="n">
        <v>16146</v>
      </c>
      <c r="M3621" t="n">
        <v>18000</v>
      </c>
      <c r="N3621" t="n">
        <v>33</v>
      </c>
      <c r="O3621" t="n">
        <v>0.33</v>
      </c>
      <c r="P3621" t="n">
        <v>1</v>
      </c>
      <c r="Q3621" t="n">
        <v>0.19</v>
      </c>
      <c r="R3621" t="n">
        <v>2</v>
      </c>
      <c r="S3621" t="n">
        <v>4098.599999999999</v>
      </c>
      <c r="T3621" t="n">
        <v>7</v>
      </c>
      <c r="U3621" t="n">
        <v>8</v>
      </c>
      <c r="V3621" t="n">
        <v>30</v>
      </c>
      <c r="W3621" t="n">
        <v>7</v>
      </c>
      <c r="X3621" t="n">
        <v>13.17523056653492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11596</v>
      </c>
      <c r="AG3621" t="n">
        <v>2141</v>
      </c>
      <c r="AH3621" t="inlineStr">
        <is>
          <t>PT. PARAMA GLOBAL INSPIRA - PPN (JMB)</t>
        </is>
      </c>
      <c r="AI3621" t="n">
        <v>296</v>
      </c>
      <c r="AJ3621" t="inlineStr">
        <is>
          <t>PUTRI</t>
        </is>
      </c>
      <c r="AK3621" t="n">
        <v>9</v>
      </c>
      <c r="AL3621" t="inlineStr">
        <is>
          <t>Miss Glam Jambi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PUTRI</t>
        </is>
      </c>
      <c r="B3622" s="2">
        <f>"8993137182058"</f>
        <v/>
      </c>
      <c r="C3622" t="inlineStr">
        <is>
          <t>PUTRI Shampoo Lemon Pure Clean 200ml</t>
        </is>
      </c>
      <c r="D3622" t="inlineStr">
        <is>
          <t>Miss Glam Jambi</t>
        </is>
      </c>
      <c r="E3622" t="n">
        <v>5</v>
      </c>
      <c r="F3622" t="n">
        <v>0.0396</v>
      </c>
      <c r="G3622" t="n">
        <v>0.66</v>
      </c>
      <c r="H3622" t="n">
        <v>2</v>
      </c>
      <c r="I3622" t="n">
        <v>7</v>
      </c>
      <c r="J3622" t="n">
        <v>3</v>
      </c>
      <c r="K3622" t="n">
        <v>0</v>
      </c>
      <c r="L3622" t="n">
        <v>15300</v>
      </c>
      <c r="M3622" t="n">
        <v>18000</v>
      </c>
      <c r="N3622" t="n">
        <v>33</v>
      </c>
      <c r="O3622" t="n">
        <v>0.33</v>
      </c>
      <c r="P3622" t="n">
        <v>1</v>
      </c>
      <c r="Q3622" t="n">
        <v>0.03</v>
      </c>
      <c r="R3622" t="n">
        <v>1</v>
      </c>
      <c r="S3622" t="n">
        <v>712.8000000000001</v>
      </c>
      <c r="T3622" t="n">
        <v>5</v>
      </c>
      <c r="U3622" t="n">
        <v>6</v>
      </c>
      <c r="V3622" t="n">
        <v>30</v>
      </c>
      <c r="W3622" t="n">
        <v>2</v>
      </c>
      <c r="X3622" t="n">
        <v>126.2626262626263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11596</v>
      </c>
      <c r="AG3622" t="n">
        <v>2141</v>
      </c>
      <c r="AH3622" t="inlineStr">
        <is>
          <t>PT. PARAMA GLOBAL INSPIRA - PPN (JMB)</t>
        </is>
      </c>
      <c r="AI3622" t="n">
        <v>296</v>
      </c>
      <c r="AJ3622" t="inlineStr">
        <is>
          <t>PUTRI</t>
        </is>
      </c>
      <c r="AK3622" t="n">
        <v>9</v>
      </c>
      <c r="AL3622" t="inlineStr">
        <is>
          <t>Miss Glam Jambi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PYARY</t>
        </is>
      </c>
      <c r="B3623" s="2">
        <f>"8908000105010"</f>
        <v/>
      </c>
      <c r="C3623" t="inlineStr">
        <is>
          <t>PYARY Ayurvedic Soap Turmeric 75gr</t>
        </is>
      </c>
      <c r="D3623" t="inlineStr">
        <is>
          <t>Miss Glam Jambi</t>
        </is>
      </c>
      <c r="E3623" t="n">
        <v>9</v>
      </c>
      <c r="F3623" t="n">
        <v>1.0791</v>
      </c>
      <c r="G3623" t="n">
        <v>3.63</v>
      </c>
      <c r="H3623" t="n">
        <v>4</v>
      </c>
      <c r="I3623" t="n">
        <v>20</v>
      </c>
      <c r="J3623" t="n">
        <v>3</v>
      </c>
      <c r="K3623" t="n">
        <v>11</v>
      </c>
      <c r="L3623" t="n">
        <v>15590</v>
      </c>
      <c r="M3623" t="n">
        <v>22000</v>
      </c>
      <c r="N3623" t="n">
        <v>33</v>
      </c>
      <c r="O3623" t="n">
        <v>0.33</v>
      </c>
      <c r="P3623" t="n">
        <v>1</v>
      </c>
      <c r="Q3623" t="n">
        <v>0.66</v>
      </c>
      <c r="R3623" t="n">
        <v>5</v>
      </c>
      <c r="S3623" t="n">
        <v>23740.2</v>
      </c>
      <c r="T3623" t="n">
        <v>69</v>
      </c>
      <c r="U3623" t="n">
        <v>74</v>
      </c>
      <c r="V3623" t="n">
        <v>30</v>
      </c>
      <c r="W3623" t="n">
        <v>33</v>
      </c>
      <c r="X3623" t="n">
        <v>8.340283569641368</v>
      </c>
      <c r="Y3623" t="n">
        <v>1</v>
      </c>
      <c r="Z3623" t="n">
        <v>13</v>
      </c>
      <c r="AA3623" t="n">
        <v>12</v>
      </c>
      <c r="AB3623" t="n">
        <v>1</v>
      </c>
      <c r="AC3623" t="n">
        <v>3</v>
      </c>
      <c r="AD3623" t="n">
        <v>187080</v>
      </c>
      <c r="AE3623" t="n">
        <v>46770</v>
      </c>
      <c r="AF3623" t="n">
        <v>7926</v>
      </c>
      <c r="AG3623" t="n">
        <v>1</v>
      </c>
      <c r="AH3623" t="inlineStr">
        <is>
          <t>PT. BERSAMA DISTRIVERSA INDONESIA (DC CIPUTAT)</t>
        </is>
      </c>
      <c r="AI3623" t="n">
        <v>1508</v>
      </c>
      <c r="AJ3623" t="inlineStr">
        <is>
          <t>PYARY</t>
        </is>
      </c>
      <c r="AK3623" t="n">
        <v>9</v>
      </c>
      <c r="AL3623" t="inlineStr">
        <is>
          <t>Miss Glam Jambi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PYARY</t>
        </is>
      </c>
      <c r="B3624" s="2">
        <f>"8908000105133"</f>
        <v/>
      </c>
      <c r="C3624" t="inlineStr">
        <is>
          <t>PYARY Nalpamara Herbal Soap Batang</t>
        </is>
      </c>
      <c r="D3624" t="inlineStr">
        <is>
          <t>Miss Glam Jambi</t>
        </is>
      </c>
      <c r="E3624" t="n">
        <v>107</v>
      </c>
      <c r="F3624" t="n">
        <v>19.3908</v>
      </c>
      <c r="G3624" t="n">
        <v>33.99</v>
      </c>
      <c r="H3624" t="n">
        <v>4</v>
      </c>
      <c r="I3624" t="n">
        <v>20</v>
      </c>
      <c r="J3624" t="n">
        <v>3</v>
      </c>
      <c r="K3624" t="n">
        <v>194</v>
      </c>
      <c r="L3624" t="n">
        <v>16800</v>
      </c>
      <c r="M3624" t="n">
        <v>25000</v>
      </c>
      <c r="N3624" t="n">
        <v>33</v>
      </c>
      <c r="O3624" t="n">
        <v>0.33</v>
      </c>
      <c r="P3624" t="n">
        <v>1</v>
      </c>
      <c r="Q3624" t="n">
        <v>11.39</v>
      </c>
      <c r="R3624" t="n">
        <v>31</v>
      </c>
      <c r="S3624" t="n">
        <v>484769.9999999999</v>
      </c>
      <c r="T3624" t="n">
        <v>603</v>
      </c>
      <c r="U3624" t="n">
        <v>681</v>
      </c>
      <c r="V3624" t="n">
        <v>30</v>
      </c>
      <c r="W3624" t="n">
        <v>582</v>
      </c>
      <c r="X3624" t="n">
        <v>5.518080739319678</v>
      </c>
      <c r="Y3624" t="n">
        <v>1</v>
      </c>
      <c r="Z3624" t="n">
        <v>281</v>
      </c>
      <c r="AA3624" t="n">
        <v>280</v>
      </c>
      <c r="AB3624" t="n">
        <v>1</v>
      </c>
      <c r="AC3624" t="n">
        <v>3</v>
      </c>
      <c r="AD3624" t="n">
        <v>4704000</v>
      </c>
      <c r="AE3624" t="n">
        <v>50400</v>
      </c>
      <c r="AF3624" t="n">
        <v>7926</v>
      </c>
      <c r="AG3624" t="n">
        <v>1</v>
      </c>
      <c r="AH3624" t="inlineStr">
        <is>
          <t>PT. BERSAMA DISTRIVERSA INDONESIA (DC CIPUTAT)</t>
        </is>
      </c>
      <c r="AI3624" t="n">
        <v>1508</v>
      </c>
      <c r="AJ3624" t="inlineStr">
        <is>
          <t>PYARY</t>
        </is>
      </c>
      <c r="AK3624" t="n">
        <v>9</v>
      </c>
      <c r="AL3624" t="inlineStr">
        <is>
          <t>Miss Glam Jambi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PYUNKANG YUL</t>
        </is>
      </c>
      <c r="B3625" s="2">
        <f>"8809486680056"</f>
        <v/>
      </c>
      <c r="C3625" t="inlineStr">
        <is>
          <t>PYUNKANG YUL Essence Toner 200ml</t>
        </is>
      </c>
      <c r="D3625" t="inlineStr">
        <is>
          <t>Miss Glam Jambi</t>
        </is>
      </c>
      <c r="E3625" t="n">
        <v>0</v>
      </c>
      <c r="F3625" t="n">
        <v>0.009900000000000001</v>
      </c>
      <c r="G3625" t="n">
        <v>0.33</v>
      </c>
      <c r="H3625" t="n">
        <v>4</v>
      </c>
      <c r="I3625" t="n">
        <v>20</v>
      </c>
      <c r="J3625" t="n">
        <v>3</v>
      </c>
      <c r="K3625" t="n">
        <v>0</v>
      </c>
      <c r="L3625" t="n">
        <v>130845</v>
      </c>
      <c r="M3625" t="n">
        <v>162500</v>
      </c>
      <c r="N3625" t="n">
        <v>33</v>
      </c>
      <c r="O3625" t="n">
        <v>0.33</v>
      </c>
      <c r="P3625" t="n">
        <v>1</v>
      </c>
      <c r="Q3625" t="n">
        <v>0.05</v>
      </c>
      <c r="R3625" t="n">
        <v>2</v>
      </c>
      <c r="S3625" t="n">
        <v>1608.75</v>
      </c>
      <c r="T3625" t="n">
        <v>7</v>
      </c>
      <c r="U3625" t="n">
        <v>8</v>
      </c>
      <c r="V3625" t="n">
        <v>30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n">
        <v>0</v>
      </c>
      <c r="AC3625" t="n">
        <v>0</v>
      </c>
      <c r="AD3625" t="n">
        <v>130845</v>
      </c>
      <c r="AE3625" t="n">
        <v>0</v>
      </c>
      <c r="AF3625" t="n">
        <v>7959</v>
      </c>
      <c r="AG3625" t="n">
        <v>1</v>
      </c>
      <c r="AH3625" t="inlineStr">
        <is>
          <t>PT. BERSAMA DISTRIVERSA INDONESIA (DC CIPUTAT)</t>
        </is>
      </c>
      <c r="AI3625" t="n">
        <v>324</v>
      </c>
      <c r="AJ3625" t="inlineStr">
        <is>
          <t>PYUNKANG YUL</t>
        </is>
      </c>
      <c r="AK3625" t="n">
        <v>9</v>
      </c>
      <c r="AL3625" t="inlineStr">
        <is>
          <t>Miss Glam Jambi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PYUNKANG YUL</t>
        </is>
      </c>
      <c r="B3626" s="2">
        <f>"8809486681329"</f>
        <v/>
      </c>
      <c r="C3626" t="inlineStr">
        <is>
          <t>PYUNKANG YUL Essence Toner 30ml</t>
        </is>
      </c>
      <c r="D3626" t="inlineStr">
        <is>
          <t>Miss Glam Jambi</t>
        </is>
      </c>
      <c r="E3626" t="n">
        <v>1</v>
      </c>
      <c r="F3626" t="n">
        <v>0.0231</v>
      </c>
      <c r="G3626" t="n">
        <v>0.33</v>
      </c>
      <c r="H3626" t="n">
        <v>4</v>
      </c>
      <c r="I3626" t="n">
        <v>20</v>
      </c>
      <c r="J3626" t="n">
        <v>3</v>
      </c>
      <c r="K3626" t="n">
        <v>0</v>
      </c>
      <c r="L3626" t="n">
        <v>28974</v>
      </c>
      <c r="M3626" t="n">
        <v>82500</v>
      </c>
      <c r="N3626" t="n">
        <v>33</v>
      </c>
      <c r="O3626" t="n">
        <v>0.33</v>
      </c>
      <c r="P3626" t="n">
        <v>1</v>
      </c>
      <c r="Q3626" t="n">
        <v>0.03</v>
      </c>
      <c r="R3626" t="n">
        <v>2</v>
      </c>
      <c r="S3626" t="n">
        <v>1905.75</v>
      </c>
      <c r="T3626" t="n">
        <v>7</v>
      </c>
      <c r="U3626" t="n">
        <v>8</v>
      </c>
      <c r="V3626" t="n">
        <v>30</v>
      </c>
      <c r="W3626" t="n">
        <v>1</v>
      </c>
      <c r="X3626" t="n">
        <v>43.29004329004329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7959</v>
      </c>
      <c r="AG3626" t="n">
        <v>1</v>
      </c>
      <c r="AH3626" t="inlineStr">
        <is>
          <t>PT. BERSAMA DISTRIVERSA INDONESIA (DC CIPUTAT)</t>
        </is>
      </c>
      <c r="AI3626" t="n">
        <v>324</v>
      </c>
      <c r="AJ3626" t="inlineStr">
        <is>
          <t>PYUNKANG YUL</t>
        </is>
      </c>
      <c r="AK3626" t="n">
        <v>9</v>
      </c>
      <c r="AL3626" t="inlineStr">
        <is>
          <t>Miss Glam Jambi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QL</t>
        </is>
      </c>
      <c r="B3627" s="2">
        <f>"8997011397040"</f>
        <v/>
      </c>
      <c r="C3627" t="inlineStr">
        <is>
          <t>QL Body Tone Up Firming Lotion 150ml</t>
        </is>
      </c>
      <c r="D3627" t="inlineStr">
        <is>
          <t>Miss Glam Jambi</t>
        </is>
      </c>
      <c r="E3627" t="n">
        <v>7</v>
      </c>
      <c r="F3627" t="n">
        <v>0.08</v>
      </c>
      <c r="G3627" t="n">
        <v>1</v>
      </c>
      <c r="H3627" t="n">
        <v>2</v>
      </c>
      <c r="I3627" t="n">
        <v>2</v>
      </c>
      <c r="J3627" t="n">
        <v>3</v>
      </c>
      <c r="K3627" t="n">
        <v>0</v>
      </c>
      <c r="L3627" t="n">
        <v>30020</v>
      </c>
      <c r="M3627" t="n">
        <v>31000</v>
      </c>
      <c r="N3627" t="n">
        <v>33</v>
      </c>
      <c r="O3627" t="n">
        <v>0.33</v>
      </c>
      <c r="P3627" t="n">
        <v>0</v>
      </c>
      <c r="Q3627" t="n">
        <v>0.08</v>
      </c>
      <c r="R3627" t="n">
        <v>1</v>
      </c>
      <c r="S3627" t="n">
        <v>2480</v>
      </c>
      <c r="T3627" t="n">
        <v>2</v>
      </c>
      <c r="U3627" t="n">
        <v>3</v>
      </c>
      <c r="V3627" t="n">
        <v>30</v>
      </c>
      <c r="W3627" t="n">
        <v>3</v>
      </c>
      <c r="X3627" t="n">
        <v>87.5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9882</v>
      </c>
      <c r="AG3627" t="n">
        <v>2134</v>
      </c>
      <c r="AH3627" t="inlineStr">
        <is>
          <t>PT. GANDA JAYA GEMILANG - PPN (JMB)</t>
        </is>
      </c>
      <c r="AI3627" t="n">
        <v>132</v>
      </c>
      <c r="AJ3627" t="inlineStr">
        <is>
          <t>QL</t>
        </is>
      </c>
      <c r="AK3627" t="n">
        <v>9</v>
      </c>
      <c r="AL3627" t="inlineStr">
        <is>
          <t>Miss Glam Jambi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QL</t>
        </is>
      </c>
      <c r="B3628" s="2">
        <f>"8997011397460"</f>
        <v/>
      </c>
      <c r="C3628" t="inlineStr">
        <is>
          <t>QL Cleansing Balm Normal To Dry Skin 50gr</t>
        </is>
      </c>
      <c r="D3628" t="inlineStr">
        <is>
          <t>Miss Glam Jambi</t>
        </is>
      </c>
      <c r="E3628" t="n">
        <v>4</v>
      </c>
      <c r="F3628" t="n">
        <v>0.1023</v>
      </c>
      <c r="G3628" t="n">
        <v>0.66</v>
      </c>
      <c r="H3628" t="n">
        <v>2</v>
      </c>
      <c r="I3628" t="n">
        <v>2</v>
      </c>
      <c r="J3628" t="n">
        <v>3</v>
      </c>
      <c r="K3628" t="n">
        <v>0</v>
      </c>
      <c r="L3628" t="n">
        <v>35530</v>
      </c>
      <c r="M3628" t="n">
        <v>42000</v>
      </c>
      <c r="N3628" t="n">
        <v>33</v>
      </c>
      <c r="O3628" t="n">
        <v>0.33</v>
      </c>
      <c r="P3628" t="n">
        <v>1</v>
      </c>
      <c r="Q3628" t="n">
        <v>0.05</v>
      </c>
      <c r="R3628" t="n">
        <v>1</v>
      </c>
      <c r="S3628" t="n">
        <v>4296.6</v>
      </c>
      <c r="T3628" t="n">
        <v>2</v>
      </c>
      <c r="U3628" t="n">
        <v>3</v>
      </c>
      <c r="V3628" t="n">
        <v>30</v>
      </c>
      <c r="W3628" t="n">
        <v>4</v>
      </c>
      <c r="X3628" t="n">
        <v>39.10068426197459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9882</v>
      </c>
      <c r="AG3628" t="n">
        <v>2134</v>
      </c>
      <c r="AH3628" t="inlineStr">
        <is>
          <t>PT. GANDA JAYA GEMILANG - PPN (JMB)</t>
        </is>
      </c>
      <c r="AI3628" t="n">
        <v>132</v>
      </c>
      <c r="AJ3628" t="inlineStr">
        <is>
          <t>QL</t>
        </is>
      </c>
      <c r="AK3628" t="n">
        <v>9</v>
      </c>
      <c r="AL3628" t="inlineStr">
        <is>
          <t>Miss Glam Jambi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QL</t>
        </is>
      </c>
      <c r="B3629" s="2">
        <f>"10100606312"</f>
        <v/>
      </c>
      <c r="C3629" t="inlineStr">
        <is>
          <t>QL Cleansing Balm Normal To Oily Skin 50gr</t>
        </is>
      </c>
      <c r="D3629" t="inlineStr">
        <is>
          <t>Miss Glam Jambi</t>
        </is>
      </c>
      <c r="E3629" t="n">
        <v>2</v>
      </c>
      <c r="F3629" t="n">
        <v>0.09569999999999999</v>
      </c>
      <c r="G3629" t="n">
        <v>0.66</v>
      </c>
      <c r="H3629" t="n">
        <v>2</v>
      </c>
      <c r="I3629" t="n">
        <v>2</v>
      </c>
      <c r="J3629" t="n">
        <v>3</v>
      </c>
      <c r="K3629" t="n">
        <v>3</v>
      </c>
      <c r="L3629" t="n">
        <v>39083</v>
      </c>
      <c r="M3629" t="n">
        <v>46500</v>
      </c>
      <c r="N3629" t="n">
        <v>33</v>
      </c>
      <c r="O3629" t="n">
        <v>0.33</v>
      </c>
      <c r="P3629" t="n">
        <v>1</v>
      </c>
      <c r="Q3629" t="n">
        <v>0.12</v>
      </c>
      <c r="R3629" t="n">
        <v>2</v>
      </c>
      <c r="S3629" t="n">
        <v>4450.049999999999</v>
      </c>
      <c r="T3629" t="n">
        <v>2</v>
      </c>
      <c r="U3629" t="n">
        <v>3</v>
      </c>
      <c r="V3629" t="n">
        <v>30</v>
      </c>
      <c r="W3629" t="n">
        <v>3</v>
      </c>
      <c r="X3629" t="n">
        <v>20.89864158829676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9882</v>
      </c>
      <c r="AG3629" t="n">
        <v>2134</v>
      </c>
      <c r="AH3629" t="inlineStr">
        <is>
          <t>PT. GANDA JAYA GEMILANG - PPN (JMB)</t>
        </is>
      </c>
      <c r="AI3629" t="n">
        <v>132</v>
      </c>
      <c r="AJ3629" t="inlineStr">
        <is>
          <t>QL</t>
        </is>
      </c>
      <c r="AK3629" t="n">
        <v>9</v>
      </c>
      <c r="AL3629" t="inlineStr">
        <is>
          <t>Miss Glam Jambi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QL</t>
        </is>
      </c>
      <c r="B3630" s="2">
        <f>"8997011396739"</f>
        <v/>
      </c>
      <c r="C3630" t="inlineStr">
        <is>
          <t>QL Cosmetic Anti Acne Face Serum 20ml</t>
        </is>
      </c>
      <c r="D3630" t="inlineStr">
        <is>
          <t>Miss Glam Jambi</t>
        </is>
      </c>
      <c r="E3630" t="n">
        <v>3</v>
      </c>
      <c r="F3630" t="n">
        <v>0.03</v>
      </c>
      <c r="G3630" t="n">
        <v>1</v>
      </c>
      <c r="H3630" t="n">
        <v>2</v>
      </c>
      <c r="I3630" t="n">
        <v>2</v>
      </c>
      <c r="J3630" t="n">
        <v>3</v>
      </c>
      <c r="K3630" t="n">
        <v>0</v>
      </c>
      <c r="L3630" t="n">
        <v>15470</v>
      </c>
      <c r="M3630" t="n">
        <v>19600</v>
      </c>
      <c r="N3630" t="n">
        <v>33</v>
      </c>
      <c r="O3630" t="n">
        <v>0.33</v>
      </c>
      <c r="P3630" t="n">
        <v>0</v>
      </c>
      <c r="Q3630" t="n">
        <v>0.03</v>
      </c>
      <c r="R3630" t="n">
        <v>1</v>
      </c>
      <c r="S3630" t="n">
        <v>588</v>
      </c>
      <c r="T3630" t="n">
        <v>2</v>
      </c>
      <c r="U3630" t="n">
        <v>3</v>
      </c>
      <c r="V3630" t="n">
        <v>30</v>
      </c>
      <c r="W3630" t="n">
        <v>1</v>
      </c>
      <c r="X3630" t="n">
        <v>100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9882</v>
      </c>
      <c r="AG3630" t="n">
        <v>2134</v>
      </c>
      <c r="AH3630" t="inlineStr">
        <is>
          <t>PT. GANDA JAYA GEMILANG - PPN (JMB)</t>
        </is>
      </c>
      <c r="AI3630" t="n">
        <v>132</v>
      </c>
      <c r="AJ3630" t="inlineStr">
        <is>
          <t>QL</t>
        </is>
      </c>
      <c r="AK3630" t="n">
        <v>9</v>
      </c>
      <c r="AL3630" t="inlineStr">
        <is>
          <t>Miss Glam Jambi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QL</t>
        </is>
      </c>
      <c r="B3631" s="2">
        <f>"8997011396913"</f>
        <v/>
      </c>
      <c r="C3631" t="inlineStr">
        <is>
          <t>QL Cosmetic Body ToneUp Lotion 150ml</t>
        </is>
      </c>
      <c r="D3631" t="inlineStr">
        <is>
          <t>Miss Glam Jambi</t>
        </is>
      </c>
      <c r="E3631" t="n">
        <v>6</v>
      </c>
      <c r="F3631" t="n">
        <v>0.22</v>
      </c>
      <c r="G3631" t="n">
        <v>2</v>
      </c>
      <c r="H3631" t="n">
        <v>2</v>
      </c>
      <c r="I3631" t="n">
        <v>2</v>
      </c>
      <c r="J3631" t="n">
        <v>3</v>
      </c>
      <c r="K3631" t="n">
        <v>0</v>
      </c>
      <c r="L3631" t="n">
        <v>24170</v>
      </c>
      <c r="M3631" t="n">
        <v>27100</v>
      </c>
      <c r="N3631" t="n">
        <v>33</v>
      </c>
      <c r="O3631" t="n">
        <v>0.33</v>
      </c>
      <c r="P3631" t="n">
        <v>0</v>
      </c>
      <c r="Q3631" t="n">
        <v>0.22</v>
      </c>
      <c r="R3631" t="n">
        <v>2</v>
      </c>
      <c r="S3631" t="n">
        <v>5962</v>
      </c>
      <c r="T3631" t="n">
        <v>4</v>
      </c>
      <c r="U3631" t="n">
        <v>5</v>
      </c>
      <c r="V3631" t="n">
        <v>30</v>
      </c>
      <c r="W3631" t="n">
        <v>7</v>
      </c>
      <c r="X3631" t="n">
        <v>27.27272727272727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9882</v>
      </c>
      <c r="AG3631" t="n">
        <v>2134</v>
      </c>
      <c r="AH3631" t="inlineStr">
        <is>
          <t>PT. GANDA JAYA GEMILANG - PPN (JMB)</t>
        </is>
      </c>
      <c r="AI3631" t="n">
        <v>132</v>
      </c>
      <c r="AJ3631" t="inlineStr">
        <is>
          <t>QL</t>
        </is>
      </c>
      <c r="AK3631" t="n">
        <v>9</v>
      </c>
      <c r="AL3631" t="inlineStr">
        <is>
          <t>Miss Glam Jambi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QL</t>
        </is>
      </c>
      <c r="B3632" s="2">
        <f>"8997011392243"</f>
        <v/>
      </c>
      <c r="C3632" t="inlineStr">
        <is>
          <t>QL Cosmetic Eye catching 2 Step Mascara 6 ml</t>
        </is>
      </c>
      <c r="D3632" t="inlineStr">
        <is>
          <t>Miss Glam Jambi</t>
        </is>
      </c>
      <c r="E3632" t="n">
        <v>6</v>
      </c>
      <c r="F3632" t="n">
        <v>0.0165</v>
      </c>
      <c r="G3632" t="n">
        <v>0.33</v>
      </c>
      <c r="H3632" t="n">
        <v>2</v>
      </c>
      <c r="I3632" t="n">
        <v>2</v>
      </c>
      <c r="J3632" t="n">
        <v>3</v>
      </c>
      <c r="K3632" t="n">
        <v>0</v>
      </c>
      <c r="L3632" t="n">
        <v>55760</v>
      </c>
      <c r="M3632" t="n">
        <v>63600</v>
      </c>
      <c r="N3632" t="n">
        <v>33</v>
      </c>
      <c r="O3632" t="n">
        <v>0.33</v>
      </c>
      <c r="P3632" t="n">
        <v>1</v>
      </c>
      <c r="Q3632" t="n">
        <v>0.03</v>
      </c>
      <c r="R3632" t="n">
        <v>1</v>
      </c>
      <c r="S3632" t="n">
        <v>1049.4</v>
      </c>
      <c r="T3632" t="n">
        <v>1</v>
      </c>
      <c r="U3632" t="n">
        <v>2</v>
      </c>
      <c r="V3632" t="n">
        <v>30</v>
      </c>
      <c r="W3632" t="n">
        <v>1</v>
      </c>
      <c r="X3632" t="n">
        <v>363.6363636363636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9882</v>
      </c>
      <c r="AG3632" t="n">
        <v>2134</v>
      </c>
      <c r="AH3632" t="inlineStr">
        <is>
          <t>PT. GANDA JAYA GEMILANG - PPN (JMB)</t>
        </is>
      </c>
      <c r="AI3632" t="n">
        <v>132</v>
      </c>
      <c r="AJ3632" t="inlineStr">
        <is>
          <t>QL</t>
        </is>
      </c>
      <c r="AK3632" t="n">
        <v>9</v>
      </c>
      <c r="AL3632" t="inlineStr">
        <is>
          <t>Miss Glam Jambi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QL</t>
        </is>
      </c>
      <c r="B3633" s="2">
        <f>"8997011394940"</f>
        <v/>
      </c>
      <c r="C3633" t="inlineStr">
        <is>
          <t>QL Cosmetic Eyebrow Cream Brown 1.5g</t>
        </is>
      </c>
      <c r="D3633" t="inlineStr">
        <is>
          <t>Miss Glam Jambi</t>
        </is>
      </c>
      <c r="E3633" t="n">
        <v>1</v>
      </c>
      <c r="F3633" t="n">
        <v>0.0264</v>
      </c>
      <c r="G3633" t="n">
        <v>0.33</v>
      </c>
      <c r="H3633" t="n">
        <v>2</v>
      </c>
      <c r="I3633" t="n">
        <v>2</v>
      </c>
      <c r="J3633" t="n">
        <v>3</v>
      </c>
      <c r="K3633" t="n">
        <v>0</v>
      </c>
      <c r="L3633" t="n">
        <v>34000</v>
      </c>
      <c r="M3633" t="n">
        <v>41000</v>
      </c>
      <c r="N3633" t="n">
        <v>33</v>
      </c>
      <c r="O3633" t="n">
        <v>0.33</v>
      </c>
      <c r="P3633" t="n">
        <v>1</v>
      </c>
      <c r="Q3633" t="n">
        <v>0.14</v>
      </c>
      <c r="R3633" t="n">
        <v>2</v>
      </c>
      <c r="S3633" t="n">
        <v>1082.4</v>
      </c>
      <c r="T3633" t="n">
        <v>1</v>
      </c>
      <c r="U3633" t="n">
        <v>2</v>
      </c>
      <c r="V3633" t="n">
        <v>30</v>
      </c>
      <c r="W3633" t="n">
        <v>1</v>
      </c>
      <c r="X3633" t="n">
        <v>37.87878787878788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9882</v>
      </c>
      <c r="AG3633" t="n">
        <v>2134</v>
      </c>
      <c r="AH3633" t="inlineStr">
        <is>
          <t>PT. GANDA JAYA GEMILANG - PPN (JMB)</t>
        </is>
      </c>
      <c r="AI3633" t="n">
        <v>132</v>
      </c>
      <c r="AJ3633" t="inlineStr">
        <is>
          <t>QL</t>
        </is>
      </c>
      <c r="AK3633" t="n">
        <v>9</v>
      </c>
      <c r="AL3633" t="inlineStr">
        <is>
          <t>Miss Glam Jambi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QL</t>
        </is>
      </c>
      <c r="B3634" s="2">
        <f>"8997011394797"</f>
        <v/>
      </c>
      <c r="C3634" t="inlineStr">
        <is>
          <t>Ql Cosmetic Fashion Eyeliner Black Waterproof 0,8g</t>
        </is>
      </c>
      <c r="D3634" t="inlineStr">
        <is>
          <t>Miss Glam Jambi</t>
        </is>
      </c>
      <c r="E3634" t="n">
        <v>6</v>
      </c>
      <c r="F3634" t="n">
        <v>0.006600000000000001</v>
      </c>
      <c r="G3634" t="n">
        <v>0.33</v>
      </c>
      <c r="H3634" t="n">
        <v>2</v>
      </c>
      <c r="I3634" t="n">
        <v>2</v>
      </c>
      <c r="J3634" t="n">
        <v>3</v>
      </c>
      <c r="K3634" t="n">
        <v>0</v>
      </c>
      <c r="L3634" t="n">
        <v>33108</v>
      </c>
      <c r="M3634" t="n">
        <v>38000</v>
      </c>
      <c r="N3634" t="n">
        <v>33</v>
      </c>
      <c r="O3634" t="n">
        <v>0.33</v>
      </c>
      <c r="P3634" t="n">
        <v>1</v>
      </c>
      <c r="Q3634" t="n">
        <v>0.02</v>
      </c>
      <c r="R3634" t="n">
        <v>1</v>
      </c>
      <c r="S3634" t="n">
        <v>250.8</v>
      </c>
      <c r="T3634" t="n">
        <v>1</v>
      </c>
      <c r="U3634" t="n">
        <v>2</v>
      </c>
      <c r="V3634" t="n">
        <v>30</v>
      </c>
      <c r="W3634" t="n">
        <v>1</v>
      </c>
      <c r="X3634" t="n">
        <v>909.090909090909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9882</v>
      </c>
      <c r="AG3634" t="n">
        <v>2134</v>
      </c>
      <c r="AH3634" t="inlineStr">
        <is>
          <t>PT. GANDA JAYA GEMILANG - PPN (JMB)</t>
        </is>
      </c>
      <c r="AI3634" t="n">
        <v>132</v>
      </c>
      <c r="AJ3634" t="inlineStr">
        <is>
          <t>QL</t>
        </is>
      </c>
      <c r="AK3634" t="n">
        <v>9</v>
      </c>
      <c r="AL3634" t="inlineStr">
        <is>
          <t>Miss Glam Jambi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QL</t>
        </is>
      </c>
      <c r="B3635" s="2">
        <f>"8997011394056"</f>
        <v/>
      </c>
      <c r="C3635" t="inlineStr">
        <is>
          <t>QL Cosmetic Vitamin C Serum 20ml</t>
        </is>
      </c>
      <c r="D3635" t="inlineStr">
        <is>
          <t>Miss Glam Jambi</t>
        </is>
      </c>
      <c r="E3635" t="n">
        <v>4</v>
      </c>
      <c r="F3635" t="n">
        <v>0.02</v>
      </c>
      <c r="G3635" t="n">
        <v>1</v>
      </c>
      <c r="H3635" t="n">
        <v>2</v>
      </c>
      <c r="I3635" t="n">
        <v>2</v>
      </c>
      <c r="J3635" t="n">
        <v>3</v>
      </c>
      <c r="K3635" t="n">
        <v>0</v>
      </c>
      <c r="L3635" t="n">
        <v>17850</v>
      </c>
      <c r="M3635" t="n">
        <v>19500</v>
      </c>
      <c r="N3635" t="n">
        <v>33</v>
      </c>
      <c r="O3635" t="n">
        <v>0.33</v>
      </c>
      <c r="P3635" t="n">
        <v>0</v>
      </c>
      <c r="Q3635" t="n">
        <v>0.02</v>
      </c>
      <c r="R3635" t="n">
        <v>1</v>
      </c>
      <c r="S3635" t="n">
        <v>390</v>
      </c>
      <c r="T3635" t="n">
        <v>2</v>
      </c>
      <c r="U3635" t="n">
        <v>3</v>
      </c>
      <c r="V3635" t="n">
        <v>30</v>
      </c>
      <c r="W3635" t="n">
        <v>1</v>
      </c>
      <c r="X3635" t="n">
        <v>200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9882</v>
      </c>
      <c r="AG3635" t="n">
        <v>2134</v>
      </c>
      <c r="AH3635" t="inlineStr">
        <is>
          <t>PT. GANDA JAYA GEMILANG - PPN (JMB)</t>
        </is>
      </c>
      <c r="AI3635" t="n">
        <v>132</v>
      </c>
      <c r="AJ3635" t="inlineStr">
        <is>
          <t>QL</t>
        </is>
      </c>
      <c r="AK3635" t="n">
        <v>9</v>
      </c>
      <c r="AL3635" t="inlineStr">
        <is>
          <t>Miss Glam Jambi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QL</t>
        </is>
      </c>
      <c r="B3636" s="2">
        <f>"8997011394827"</f>
        <v/>
      </c>
      <c r="C3636" t="inlineStr">
        <is>
          <t>QL Cosmetic Waterproof Curling Mascara 8ml</t>
        </is>
      </c>
      <c r="D3636" t="inlineStr">
        <is>
          <t>Miss Glam Jambi</t>
        </is>
      </c>
      <c r="E3636" t="n">
        <v>3</v>
      </c>
      <c r="F3636" t="n">
        <v>0.36</v>
      </c>
      <c r="G3636" t="n">
        <v>7</v>
      </c>
      <c r="H3636" t="n">
        <v>2</v>
      </c>
      <c r="I3636" t="n">
        <v>2</v>
      </c>
      <c r="J3636" t="n">
        <v>3</v>
      </c>
      <c r="K3636" t="n">
        <v>8</v>
      </c>
      <c r="L3636" t="n">
        <v>43465</v>
      </c>
      <c r="M3636" t="n">
        <v>45000</v>
      </c>
      <c r="N3636" t="n">
        <v>33</v>
      </c>
      <c r="O3636" t="n">
        <v>0.33</v>
      </c>
      <c r="P3636" t="n">
        <v>0</v>
      </c>
      <c r="Q3636" t="n">
        <v>0.36</v>
      </c>
      <c r="R3636" t="n">
        <v>7</v>
      </c>
      <c r="S3636" t="n">
        <v>16200</v>
      </c>
      <c r="T3636" t="n">
        <v>14</v>
      </c>
      <c r="U3636" t="n">
        <v>15</v>
      </c>
      <c r="V3636" t="n">
        <v>30</v>
      </c>
      <c r="W3636" t="n">
        <v>11</v>
      </c>
      <c r="X3636" t="n">
        <v>8.333333333333334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9882</v>
      </c>
      <c r="AG3636" t="n">
        <v>2134</v>
      </c>
      <c r="AH3636" t="inlineStr">
        <is>
          <t>PT. GANDA JAYA GEMILANG - PPN (JMB)</t>
        </is>
      </c>
      <c r="AI3636" t="n">
        <v>132</v>
      </c>
      <c r="AJ3636" t="inlineStr">
        <is>
          <t>QL</t>
        </is>
      </c>
      <c r="AK3636" t="n">
        <v>9</v>
      </c>
      <c r="AL3636" t="inlineStr">
        <is>
          <t>Miss Glam Jambi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QL</t>
        </is>
      </c>
      <c r="B3637" s="2">
        <f>"8997011396951"</f>
        <v/>
      </c>
      <c r="C3637" t="inlineStr">
        <is>
          <t>QL Snail Soothing and Moisturizing Gel With Vitamin E 20g</t>
        </is>
      </c>
      <c r="D3637" t="inlineStr">
        <is>
          <t>Miss Glam Jambi</t>
        </is>
      </c>
      <c r="E3637" t="n">
        <v>2</v>
      </c>
      <c r="F3637" t="n">
        <v>0.02</v>
      </c>
      <c r="G3637" t="n">
        <v>1</v>
      </c>
      <c r="H3637" t="n">
        <v>2</v>
      </c>
      <c r="I3637" t="n">
        <v>2</v>
      </c>
      <c r="J3637" t="n">
        <v>3</v>
      </c>
      <c r="K3637" t="n">
        <v>0</v>
      </c>
      <c r="L3637" t="n">
        <v>28000</v>
      </c>
      <c r="M3637" t="n">
        <v>30100</v>
      </c>
      <c r="N3637" t="n">
        <v>33</v>
      </c>
      <c r="O3637" t="n">
        <v>0.33</v>
      </c>
      <c r="P3637" t="n">
        <v>0</v>
      </c>
      <c r="Q3637" t="n">
        <v>0.02</v>
      </c>
      <c r="R3637" t="n">
        <v>1</v>
      </c>
      <c r="S3637" t="n">
        <v>602</v>
      </c>
      <c r="T3637" t="n">
        <v>2</v>
      </c>
      <c r="U3637" t="n">
        <v>3</v>
      </c>
      <c r="V3637" t="n">
        <v>30</v>
      </c>
      <c r="W3637" t="n">
        <v>1</v>
      </c>
      <c r="X3637" t="n">
        <v>100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9882</v>
      </c>
      <c r="AG3637" t="n">
        <v>2134</v>
      </c>
      <c r="AH3637" t="inlineStr">
        <is>
          <t>PT. GANDA JAYA GEMILANG - PPN (JMB)</t>
        </is>
      </c>
      <c r="AI3637" t="n">
        <v>132</v>
      </c>
      <c r="AJ3637" t="inlineStr">
        <is>
          <t>QL</t>
        </is>
      </c>
      <c r="AK3637" t="n">
        <v>9</v>
      </c>
      <c r="AL3637" t="inlineStr">
        <is>
          <t>Miss Glam Jambi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QL</t>
        </is>
      </c>
      <c r="B3638" s="2">
        <f>"8997011392823"</f>
        <v/>
      </c>
      <c r="C3638" t="inlineStr">
        <is>
          <t>QL Whitening Night Cream</t>
        </is>
      </c>
      <c r="D3638" t="inlineStr">
        <is>
          <t>Miss Glam Jambi</t>
        </is>
      </c>
      <c r="E3638" t="n">
        <v>0</v>
      </c>
      <c r="F3638" t="n">
        <v>0.03</v>
      </c>
      <c r="G3638" t="n">
        <v>1</v>
      </c>
      <c r="H3638" t="n">
        <v>2</v>
      </c>
      <c r="I3638" t="n">
        <v>2</v>
      </c>
      <c r="J3638" t="n">
        <v>3</v>
      </c>
      <c r="K3638" t="n">
        <v>0</v>
      </c>
      <c r="L3638" t="n">
        <v>39653</v>
      </c>
      <c r="M3638" t="n">
        <v>45000</v>
      </c>
      <c r="N3638" t="n">
        <v>33</v>
      </c>
      <c r="O3638" t="n">
        <v>0.33</v>
      </c>
      <c r="P3638" t="n">
        <v>0</v>
      </c>
      <c r="Q3638" t="n">
        <v>0.03</v>
      </c>
      <c r="R3638" t="n">
        <v>1</v>
      </c>
      <c r="S3638" t="n">
        <v>1350</v>
      </c>
      <c r="T3638" t="n">
        <v>2</v>
      </c>
      <c r="U3638" t="n">
        <v>3</v>
      </c>
      <c r="V3638" t="n">
        <v>30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n">
        <v>0</v>
      </c>
      <c r="AC3638" t="n">
        <v>0</v>
      </c>
      <c r="AD3638" t="n">
        <v>39653</v>
      </c>
      <c r="AE3638" t="n">
        <v>0</v>
      </c>
      <c r="AF3638" t="n">
        <v>9882</v>
      </c>
      <c r="AG3638" t="n">
        <v>2134</v>
      </c>
      <c r="AH3638" t="inlineStr">
        <is>
          <t>PT. GANDA JAYA GEMILANG - PPN (JMB)</t>
        </is>
      </c>
      <c r="AI3638" t="n">
        <v>132</v>
      </c>
      <c r="AJ3638" t="inlineStr">
        <is>
          <t>QL</t>
        </is>
      </c>
      <c r="AK3638" t="n">
        <v>9</v>
      </c>
      <c r="AL3638" t="inlineStr">
        <is>
          <t>Miss Glam Jambi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RESIK V</t>
        </is>
      </c>
      <c r="B3639" s="2">
        <f>"8993417168215"</f>
        <v/>
      </c>
      <c r="C3639" t="inlineStr">
        <is>
          <t>RESIK V Godokan Sirih 100ml</t>
        </is>
      </c>
      <c r="D3639" t="inlineStr">
        <is>
          <t>Miss Glam Jambi</t>
        </is>
      </c>
      <c r="E3639" t="n">
        <v>3</v>
      </c>
      <c r="F3639" t="n">
        <v>0.09569999999999999</v>
      </c>
      <c r="G3639" t="n">
        <v>0.66</v>
      </c>
      <c r="H3639" t="n">
        <v>2</v>
      </c>
      <c r="I3639" t="n">
        <v>12</v>
      </c>
      <c r="J3639" t="n">
        <v>3</v>
      </c>
      <c r="K3639" t="n">
        <v>0</v>
      </c>
      <c r="L3639" t="n">
        <v>18182</v>
      </c>
      <c r="M3639" t="n">
        <v>24000</v>
      </c>
      <c r="N3639" t="n">
        <v>33</v>
      </c>
      <c r="O3639" t="n">
        <v>0.33</v>
      </c>
      <c r="P3639" t="n">
        <v>1</v>
      </c>
      <c r="Q3639" t="n">
        <v>0.05</v>
      </c>
      <c r="R3639" t="n">
        <v>1</v>
      </c>
      <c r="S3639" t="n">
        <v>2296.8</v>
      </c>
      <c r="T3639" t="n">
        <v>8</v>
      </c>
      <c r="U3639" t="n">
        <v>9</v>
      </c>
      <c r="V3639" t="n">
        <v>30</v>
      </c>
      <c r="W3639" t="n">
        <v>3</v>
      </c>
      <c r="X3639" t="n">
        <v>31.34796238244514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12722</v>
      </c>
      <c r="AG3639" t="n">
        <v>2137</v>
      </c>
      <c r="AH3639" t="inlineStr">
        <is>
          <t>PT. SAMUDRA JAYA ANUGRAH - PPN (JMB)</t>
        </is>
      </c>
      <c r="AI3639" t="n">
        <v>133</v>
      </c>
      <c r="AJ3639" t="inlineStr">
        <is>
          <t>RESIK V</t>
        </is>
      </c>
      <c r="AK3639" t="n">
        <v>9</v>
      </c>
      <c r="AL3639" t="inlineStr">
        <is>
          <t>Miss Glam Jambi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RESIK V</t>
        </is>
      </c>
      <c r="B3640" s="2">
        <f>"8993417165115"</f>
        <v/>
      </c>
      <c r="C3640" t="inlineStr">
        <is>
          <t>RESIK V Khasiat Manjakani 90ml</t>
        </is>
      </c>
      <c r="D3640" t="inlineStr">
        <is>
          <t>Miss Glam Jambi</t>
        </is>
      </c>
      <c r="E3640" t="n">
        <v>3</v>
      </c>
      <c r="F3640" t="n">
        <v>0.0561</v>
      </c>
      <c r="G3640" t="n">
        <v>0.66</v>
      </c>
      <c r="H3640" t="n">
        <v>2</v>
      </c>
      <c r="I3640" t="n">
        <v>12</v>
      </c>
      <c r="J3640" t="n">
        <v>3</v>
      </c>
      <c r="K3640" t="n">
        <v>0</v>
      </c>
      <c r="L3640" t="n">
        <v>16619</v>
      </c>
      <c r="M3640" t="n">
        <v>25000</v>
      </c>
      <c r="N3640" t="n">
        <v>33</v>
      </c>
      <c r="O3640" t="n">
        <v>0.33</v>
      </c>
      <c r="P3640" t="n">
        <v>1</v>
      </c>
      <c r="Q3640" t="n">
        <v>0.07000000000000001</v>
      </c>
      <c r="R3640" t="n">
        <v>2</v>
      </c>
      <c r="S3640" t="n">
        <v>1402.5</v>
      </c>
      <c r="T3640" t="n">
        <v>8</v>
      </c>
      <c r="U3640" t="n">
        <v>9</v>
      </c>
      <c r="V3640" t="n">
        <v>30</v>
      </c>
      <c r="W3640" t="n">
        <v>2</v>
      </c>
      <c r="X3640" t="n">
        <v>53.475935828877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12722</v>
      </c>
      <c r="AG3640" t="n">
        <v>2137</v>
      </c>
      <c r="AH3640" t="inlineStr">
        <is>
          <t>PT. SAMUDRA JAYA ANUGRAH - PPN (JMB)</t>
        </is>
      </c>
      <c r="AI3640" t="n">
        <v>133</v>
      </c>
      <c r="AJ3640" t="inlineStr">
        <is>
          <t>RESIK V</t>
        </is>
      </c>
      <c r="AK3640" t="n">
        <v>9</v>
      </c>
      <c r="AL3640" t="inlineStr">
        <is>
          <t>Miss Glam Jambi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RESIK V</t>
        </is>
      </c>
      <c r="B3641" s="2">
        <f>"8993417165238"</f>
        <v/>
      </c>
      <c r="C3641" t="inlineStr">
        <is>
          <t>RESIK V Khasiat Manjakani Whitening 90ml</t>
        </is>
      </c>
      <c r="D3641" t="inlineStr">
        <is>
          <t>Miss Glam Jambi</t>
        </is>
      </c>
      <c r="E3641" t="n">
        <v>4</v>
      </c>
      <c r="F3641" t="n">
        <v>0.03</v>
      </c>
      <c r="G3641" t="n">
        <v>1</v>
      </c>
      <c r="H3641" t="n">
        <v>2</v>
      </c>
      <c r="I3641" t="n">
        <v>12</v>
      </c>
      <c r="J3641" t="n">
        <v>3</v>
      </c>
      <c r="K3641" t="n">
        <v>0</v>
      </c>
      <c r="L3641" t="n">
        <v>18366</v>
      </c>
      <c r="M3641" t="n">
        <v>27000</v>
      </c>
      <c r="N3641" t="n">
        <v>33</v>
      </c>
      <c r="O3641" t="n">
        <v>0.33</v>
      </c>
      <c r="P3641" t="n">
        <v>0</v>
      </c>
      <c r="Q3641" t="n">
        <v>0.03</v>
      </c>
      <c r="R3641" t="n">
        <v>1</v>
      </c>
      <c r="S3641" t="n">
        <v>810</v>
      </c>
      <c r="T3641" t="n">
        <v>12</v>
      </c>
      <c r="U3641" t="n">
        <v>13</v>
      </c>
      <c r="V3641" t="n">
        <v>30</v>
      </c>
      <c r="W3641" t="n">
        <v>1</v>
      </c>
      <c r="X3641" t="n">
        <v>133.3333333333333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12722</v>
      </c>
      <c r="AG3641" t="n">
        <v>2137</v>
      </c>
      <c r="AH3641" t="inlineStr">
        <is>
          <t>PT. SAMUDRA JAYA ANUGRAH - PPN (JMB)</t>
        </is>
      </c>
      <c r="AI3641" t="n">
        <v>133</v>
      </c>
      <c r="AJ3641" t="inlineStr">
        <is>
          <t>RESIK V</t>
        </is>
      </c>
      <c r="AK3641" t="n">
        <v>9</v>
      </c>
      <c r="AL3641" t="inlineStr">
        <is>
          <t>Miss Glam Jambi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REXONA</t>
        </is>
      </c>
      <c r="B3642" s="2">
        <f>"8999999049454"</f>
        <v/>
      </c>
      <c r="C3642" t="inlineStr">
        <is>
          <t>REXONA Deo Free Spirit  45ml</t>
        </is>
      </c>
      <c r="D3642" t="inlineStr">
        <is>
          <t>Miss Glam Jambi</t>
        </is>
      </c>
      <c r="E3642" t="n">
        <v>7</v>
      </c>
      <c r="F3642" t="n">
        <v>0.2343</v>
      </c>
      <c r="G3642" t="n">
        <v>1.65</v>
      </c>
      <c r="H3642" t="n">
        <v>3</v>
      </c>
      <c r="I3642" t="n">
        <v>19</v>
      </c>
      <c r="J3642" t="n">
        <v>3</v>
      </c>
      <c r="K3642" t="n">
        <v>0</v>
      </c>
      <c r="L3642" t="n">
        <v>17229</v>
      </c>
      <c r="M3642" t="n">
        <v>22000</v>
      </c>
      <c r="N3642" t="n">
        <v>33</v>
      </c>
      <c r="O3642" t="n">
        <v>0.33</v>
      </c>
      <c r="P3642" t="n">
        <v>1</v>
      </c>
      <c r="Q3642" t="n">
        <v>0.19</v>
      </c>
      <c r="R3642" t="n">
        <v>2</v>
      </c>
      <c r="S3642" t="n">
        <v>5154.6</v>
      </c>
      <c r="T3642" t="n">
        <v>31</v>
      </c>
      <c r="U3642" t="n">
        <v>32</v>
      </c>
      <c r="V3642" t="n">
        <v>30</v>
      </c>
      <c r="W3642" t="n">
        <v>8</v>
      </c>
      <c r="X3642" t="n">
        <v>29.87622705932565</v>
      </c>
      <c r="Y3642" t="n">
        <v>1</v>
      </c>
      <c r="Z3642" t="n">
        <v>1</v>
      </c>
      <c r="AA3642" t="n">
        <v>0</v>
      </c>
      <c r="AB3642" t="n">
        <v>1</v>
      </c>
      <c r="AC3642" t="n">
        <v>3</v>
      </c>
      <c r="AD3642" t="n">
        <v>0</v>
      </c>
      <c r="AE3642" t="n">
        <v>51687</v>
      </c>
      <c r="AF3642" t="n">
        <v>9778</v>
      </c>
      <c r="AG3642" t="n">
        <v>2206</v>
      </c>
      <c r="AH3642" t="inlineStr">
        <is>
          <t>PT. ENHA PUTRA (ONLINE CASH)</t>
        </is>
      </c>
      <c r="AI3642" t="n">
        <v>362</v>
      </c>
      <c r="AJ3642" t="inlineStr">
        <is>
          <t>REXONA</t>
        </is>
      </c>
      <c r="AK3642" t="n">
        <v>9</v>
      </c>
      <c r="AL3642" t="inlineStr">
        <is>
          <t>Miss Glam Jambi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REXONA</t>
        </is>
      </c>
      <c r="B3643" s="2">
        <f>"8999999049447"</f>
        <v/>
      </c>
      <c r="C3643" t="inlineStr">
        <is>
          <t>REXONA Deo Vitamin + Bright Advanced Brightening 45ml</t>
        </is>
      </c>
      <c r="D3643" t="inlineStr">
        <is>
          <t>Miss Glam Jambi</t>
        </is>
      </c>
      <c r="E3643" t="n">
        <v>7</v>
      </c>
      <c r="F3643" t="n">
        <v>0.3762</v>
      </c>
      <c r="G3643" t="n">
        <v>1.32</v>
      </c>
      <c r="H3643" t="n">
        <v>3</v>
      </c>
      <c r="I3643" t="n">
        <v>19</v>
      </c>
      <c r="J3643" t="n">
        <v>3</v>
      </c>
      <c r="K3643" t="n">
        <v>4</v>
      </c>
      <c r="L3643" t="n">
        <v>21641</v>
      </c>
      <c r="M3643" t="n">
        <v>25000</v>
      </c>
      <c r="N3643" t="n">
        <v>33</v>
      </c>
      <c r="O3643" t="n">
        <v>0.33</v>
      </c>
      <c r="P3643" t="n">
        <v>1</v>
      </c>
      <c r="Q3643" t="n">
        <v>0.22</v>
      </c>
      <c r="R3643" t="n">
        <v>2</v>
      </c>
      <c r="S3643" t="n">
        <v>9405</v>
      </c>
      <c r="T3643" t="n">
        <v>24</v>
      </c>
      <c r="U3643" t="n">
        <v>26</v>
      </c>
      <c r="V3643" t="n">
        <v>30</v>
      </c>
      <c r="W3643" t="n">
        <v>12</v>
      </c>
      <c r="X3643" t="n">
        <v>18.60712387028176</v>
      </c>
      <c r="Y3643" t="n">
        <v>1</v>
      </c>
      <c r="Z3643" t="n">
        <v>1</v>
      </c>
      <c r="AA3643" t="n">
        <v>0</v>
      </c>
      <c r="AB3643" t="n">
        <v>1</v>
      </c>
      <c r="AC3643" t="n">
        <v>3</v>
      </c>
      <c r="AD3643" t="n">
        <v>0</v>
      </c>
      <c r="AE3643" t="n">
        <v>64923</v>
      </c>
      <c r="AF3643" t="n">
        <v>9778</v>
      </c>
      <c r="AG3643" t="n">
        <v>2206</v>
      </c>
      <c r="AH3643" t="inlineStr">
        <is>
          <t>PT. ENHA PUTRA (ONLINE CASH)</t>
        </is>
      </c>
      <c r="AI3643" t="n">
        <v>362</v>
      </c>
      <c r="AJ3643" t="inlineStr">
        <is>
          <t>REXONA</t>
        </is>
      </c>
      <c r="AK3643" t="n">
        <v>9</v>
      </c>
      <c r="AL3643" t="inlineStr">
        <is>
          <t>Miss Glam Jambi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REXONA</t>
        </is>
      </c>
      <c r="B3644" s="2">
        <f>"8999999597764"</f>
        <v/>
      </c>
      <c r="C3644" t="inlineStr">
        <is>
          <t>REXONA Deo-Lotion Free Spirit Tube 45gr</t>
        </is>
      </c>
      <c r="D3644" t="inlineStr">
        <is>
          <t>Miss Glam Jambi</t>
        </is>
      </c>
      <c r="E3644" t="n">
        <v>5</v>
      </c>
      <c r="F3644" t="n">
        <v>0.2277</v>
      </c>
      <c r="G3644" t="n">
        <v>0.99</v>
      </c>
      <c r="H3644" t="n">
        <v>3</v>
      </c>
      <c r="I3644" t="n">
        <v>19</v>
      </c>
      <c r="J3644" t="n">
        <v>3</v>
      </c>
      <c r="K3644" t="n">
        <v>3</v>
      </c>
      <c r="L3644" t="n">
        <v>12980</v>
      </c>
      <c r="M3644" t="n">
        <v>15500</v>
      </c>
      <c r="N3644" t="n">
        <v>33</v>
      </c>
      <c r="O3644" t="n">
        <v>0.33</v>
      </c>
      <c r="P3644" t="n">
        <v>1</v>
      </c>
      <c r="Q3644" t="n">
        <v>0.12</v>
      </c>
      <c r="R3644" t="n">
        <v>1</v>
      </c>
      <c r="S3644" t="n">
        <v>3529.35</v>
      </c>
      <c r="T3644" t="n">
        <v>19</v>
      </c>
      <c r="U3644" t="n">
        <v>20</v>
      </c>
      <c r="V3644" t="n">
        <v>30</v>
      </c>
      <c r="W3644" t="n">
        <v>7</v>
      </c>
      <c r="X3644" t="n">
        <v>21.95871761089153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9778</v>
      </c>
      <c r="AG3644" t="n">
        <v>2206</v>
      </c>
      <c r="AH3644" t="inlineStr">
        <is>
          <t>PT. ENHA PUTRA (ONLINE CASH)</t>
        </is>
      </c>
      <c r="AI3644" t="n">
        <v>362</v>
      </c>
      <c r="AJ3644" t="inlineStr">
        <is>
          <t>REXONA</t>
        </is>
      </c>
      <c r="AK3644" t="n">
        <v>9</v>
      </c>
      <c r="AL3644" t="inlineStr">
        <is>
          <t>Miss Glam Jambi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REXONA</t>
        </is>
      </c>
      <c r="B3645" s="2">
        <f>"8999999049461"</f>
        <v/>
      </c>
      <c r="C3645" t="inlineStr">
        <is>
          <t>REXONA Deodorant Invisible Dry + Fresh 45ml</t>
        </is>
      </c>
      <c r="D3645" t="inlineStr">
        <is>
          <t>Miss Glam Jambi</t>
        </is>
      </c>
      <c r="E3645" t="n">
        <v>1</v>
      </c>
      <c r="F3645" t="n">
        <v>0.0396</v>
      </c>
      <c r="G3645" t="n">
        <v>0.33</v>
      </c>
      <c r="H3645" t="n">
        <v>3</v>
      </c>
      <c r="I3645" t="n">
        <v>19</v>
      </c>
      <c r="J3645" t="n">
        <v>3</v>
      </c>
      <c r="K3645" t="n">
        <v>3</v>
      </c>
      <c r="L3645" t="n">
        <v>20009</v>
      </c>
      <c r="M3645" t="n">
        <v>24000</v>
      </c>
      <c r="N3645" t="n">
        <v>33</v>
      </c>
      <c r="O3645" t="n">
        <v>0.33</v>
      </c>
      <c r="P3645" t="n">
        <v>1</v>
      </c>
      <c r="Q3645" t="n">
        <v>0.07000000000000001</v>
      </c>
      <c r="R3645" t="n">
        <v>1</v>
      </c>
      <c r="S3645" t="n">
        <v>950.4000000000001</v>
      </c>
      <c r="T3645" t="n">
        <v>7</v>
      </c>
      <c r="U3645" t="n">
        <v>8</v>
      </c>
      <c r="V3645" t="n">
        <v>30</v>
      </c>
      <c r="W3645" t="n">
        <v>2</v>
      </c>
      <c r="X3645" t="n">
        <v>25.25252525252525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9778</v>
      </c>
      <c r="AG3645" t="n">
        <v>2206</v>
      </c>
      <c r="AH3645" t="inlineStr">
        <is>
          <t>PT. ENHA PUTRA (ONLINE CASH)</t>
        </is>
      </c>
      <c r="AI3645" t="n">
        <v>362</v>
      </c>
      <c r="AJ3645" t="inlineStr">
        <is>
          <t>REXONA</t>
        </is>
      </c>
      <c r="AK3645" t="n">
        <v>9</v>
      </c>
      <c r="AL3645" t="inlineStr">
        <is>
          <t>Miss Glam Jambi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REXONA</t>
        </is>
      </c>
      <c r="B3646" s="2">
        <f>"8999999520175"</f>
        <v/>
      </c>
      <c r="C3646" t="inlineStr">
        <is>
          <t>REXONA Deodorant Roll On Invisible + Antibacterial 45ml</t>
        </is>
      </c>
      <c r="D3646" t="inlineStr">
        <is>
          <t>Miss Glam Jambi</t>
        </is>
      </c>
      <c r="E3646" t="n">
        <v>3</v>
      </c>
      <c r="F3646" t="n">
        <v>0.09569999999999999</v>
      </c>
      <c r="G3646" t="n">
        <v>0.66</v>
      </c>
      <c r="H3646" t="n">
        <v>3</v>
      </c>
      <c r="I3646" t="n">
        <v>19</v>
      </c>
      <c r="J3646" t="n">
        <v>3</v>
      </c>
      <c r="K3646" t="n">
        <v>0</v>
      </c>
      <c r="L3646" t="n">
        <v>21421</v>
      </c>
      <c r="M3646" t="n">
        <v>24000</v>
      </c>
      <c r="N3646" t="n">
        <v>33</v>
      </c>
      <c r="O3646" t="n">
        <v>0.33</v>
      </c>
      <c r="P3646" t="n">
        <v>1</v>
      </c>
      <c r="Q3646" t="n">
        <v>0.02</v>
      </c>
      <c r="R3646" t="n">
        <v>1</v>
      </c>
      <c r="S3646" t="n">
        <v>2296.8</v>
      </c>
      <c r="T3646" t="n">
        <v>13</v>
      </c>
      <c r="U3646" t="n">
        <v>14</v>
      </c>
      <c r="V3646" t="n">
        <v>30</v>
      </c>
      <c r="W3646" t="n">
        <v>3</v>
      </c>
      <c r="X3646" t="n">
        <v>31.34796238244514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9778</v>
      </c>
      <c r="AG3646" t="n">
        <v>2206</v>
      </c>
      <c r="AH3646" t="inlineStr">
        <is>
          <t>PT. ENHA PUTRA (ONLINE CASH)</t>
        </is>
      </c>
      <c r="AI3646" t="n">
        <v>362</v>
      </c>
      <c r="AJ3646" t="inlineStr">
        <is>
          <t>REXONA</t>
        </is>
      </c>
      <c r="AK3646" t="n">
        <v>9</v>
      </c>
      <c r="AL3646" t="inlineStr">
        <is>
          <t>Miss Glam Jambi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REXONA</t>
        </is>
      </c>
      <c r="B3647" s="2">
        <f>"8999999049492"</f>
        <v/>
      </c>
      <c r="C3647" t="inlineStr">
        <is>
          <t>REXONA Deodorant Roll On Powder Dry 45ml Anti Bakteri</t>
        </is>
      </c>
      <c r="D3647" t="inlineStr">
        <is>
          <t>Miss Glam Jambi</t>
        </is>
      </c>
      <c r="E3647" t="n">
        <v>5</v>
      </c>
      <c r="F3647" t="n">
        <v>0.2409</v>
      </c>
      <c r="G3647" t="n">
        <v>0.99</v>
      </c>
      <c r="H3647" t="n">
        <v>3</v>
      </c>
      <c r="I3647" t="n">
        <v>19</v>
      </c>
      <c r="J3647" t="n">
        <v>3</v>
      </c>
      <c r="K3647" t="n">
        <v>3</v>
      </c>
      <c r="L3647" t="n">
        <v>17389</v>
      </c>
      <c r="M3647" t="n">
        <v>22000</v>
      </c>
      <c r="N3647" t="n">
        <v>33</v>
      </c>
      <c r="O3647" t="n">
        <v>0.33</v>
      </c>
      <c r="P3647" t="n">
        <v>1</v>
      </c>
      <c r="Q3647" t="n">
        <v>0.19</v>
      </c>
      <c r="R3647" t="n">
        <v>2</v>
      </c>
      <c r="S3647" t="n">
        <v>5299.8</v>
      </c>
      <c r="T3647" t="n">
        <v>19</v>
      </c>
      <c r="U3647" t="n">
        <v>20</v>
      </c>
      <c r="V3647" t="n">
        <v>30</v>
      </c>
      <c r="W3647" t="n">
        <v>8</v>
      </c>
      <c r="X3647" t="n">
        <v>20.755500207555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9778</v>
      </c>
      <c r="AG3647" t="n">
        <v>2206</v>
      </c>
      <c r="AH3647" t="inlineStr">
        <is>
          <t>PT. ENHA PUTRA (ONLINE CASH)</t>
        </is>
      </c>
      <c r="AI3647" t="n">
        <v>362</v>
      </c>
      <c r="AJ3647" t="inlineStr">
        <is>
          <t>REXONA</t>
        </is>
      </c>
      <c r="AK3647" t="n">
        <v>9</v>
      </c>
      <c r="AL3647" t="inlineStr">
        <is>
          <t>Miss Glam Jambi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REXONA</t>
        </is>
      </c>
      <c r="B3648" s="2">
        <f>"8999999548650"</f>
        <v/>
      </c>
      <c r="C3648" t="inlineStr">
        <is>
          <t>REXONA Dry Serum Natural Brightening Fresh Sakura 50ml</t>
        </is>
      </c>
      <c r="D3648" t="inlineStr">
        <is>
          <t>Miss Glam Jambi</t>
        </is>
      </c>
      <c r="E3648" t="n">
        <v>7</v>
      </c>
      <c r="F3648" t="n">
        <v>0.3069</v>
      </c>
      <c r="G3648" t="n">
        <v>1.65</v>
      </c>
      <c r="H3648" t="n">
        <v>3</v>
      </c>
      <c r="I3648" t="n">
        <v>19</v>
      </c>
      <c r="J3648" t="n">
        <v>3</v>
      </c>
      <c r="K3648" t="n">
        <v>3</v>
      </c>
      <c r="L3648" t="n">
        <v>20627</v>
      </c>
      <c r="M3648" t="n">
        <v>24000</v>
      </c>
      <c r="N3648" t="n">
        <v>33</v>
      </c>
      <c r="O3648" t="n">
        <v>0.33</v>
      </c>
      <c r="P3648" t="n">
        <v>1</v>
      </c>
      <c r="Q3648" t="n">
        <v>0.25</v>
      </c>
      <c r="R3648" t="n">
        <v>2</v>
      </c>
      <c r="S3648" t="n">
        <v>7365.6</v>
      </c>
      <c r="T3648" t="n">
        <v>31</v>
      </c>
      <c r="U3648" t="n">
        <v>32</v>
      </c>
      <c r="V3648" t="n">
        <v>30</v>
      </c>
      <c r="W3648" t="n">
        <v>10</v>
      </c>
      <c r="X3648" t="n">
        <v>22.80873248615184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9778</v>
      </c>
      <c r="AG3648" t="n">
        <v>2206</v>
      </c>
      <c r="AH3648" t="inlineStr">
        <is>
          <t>PT. ENHA PUTRA (ONLINE CASH)</t>
        </is>
      </c>
      <c r="AI3648" t="n">
        <v>362</v>
      </c>
      <c r="AJ3648" t="inlineStr">
        <is>
          <t>REXONA</t>
        </is>
      </c>
      <c r="AK3648" t="n">
        <v>9</v>
      </c>
      <c r="AL3648" t="inlineStr">
        <is>
          <t>Miss Glam Jambi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REXONA</t>
        </is>
      </c>
      <c r="B3649" s="2">
        <f>"8999999534660"</f>
        <v/>
      </c>
      <c r="C3649" t="inlineStr">
        <is>
          <t>REXONA For Gilrs Dreamy Bright 40ml</t>
        </is>
      </c>
      <c r="D3649" t="inlineStr">
        <is>
          <t>Miss Glam Jambi</t>
        </is>
      </c>
      <c r="E3649" t="n">
        <v>15</v>
      </c>
      <c r="F3649" t="n">
        <v>0.2574</v>
      </c>
      <c r="G3649" t="n">
        <v>1.32</v>
      </c>
      <c r="H3649" t="n">
        <v>3</v>
      </c>
      <c r="I3649" t="n">
        <v>19</v>
      </c>
      <c r="J3649" t="n">
        <v>12</v>
      </c>
      <c r="K3649" t="n">
        <v>0</v>
      </c>
      <c r="L3649" t="n">
        <v>13340</v>
      </c>
      <c r="M3649" t="n">
        <v>16500</v>
      </c>
      <c r="N3649" t="n">
        <v>33</v>
      </c>
      <c r="O3649" t="n">
        <v>0.33</v>
      </c>
      <c r="P3649" t="n">
        <v>1</v>
      </c>
      <c r="Q3649" t="n">
        <v>0.32</v>
      </c>
      <c r="R3649" t="n">
        <v>3</v>
      </c>
      <c r="S3649" t="n">
        <v>4247.1</v>
      </c>
      <c r="T3649" t="n">
        <v>25</v>
      </c>
      <c r="U3649" t="n">
        <v>26</v>
      </c>
      <c r="V3649" t="n">
        <v>30</v>
      </c>
      <c r="W3649" t="n">
        <v>8</v>
      </c>
      <c r="X3649" t="n">
        <v>58.27505827505827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9778</v>
      </c>
      <c r="AG3649" t="n">
        <v>2206</v>
      </c>
      <c r="AH3649" t="inlineStr">
        <is>
          <t>PT. ENHA PUTRA (ONLINE CASH)</t>
        </is>
      </c>
      <c r="AI3649" t="n">
        <v>362</v>
      </c>
      <c r="AJ3649" t="inlineStr">
        <is>
          <t>REXONA</t>
        </is>
      </c>
      <c r="AK3649" t="n">
        <v>9</v>
      </c>
      <c r="AL3649" t="inlineStr">
        <is>
          <t>Miss Glam Jambi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REXONA</t>
        </is>
      </c>
      <c r="B3650" s="2">
        <f>"8999999534677"</f>
        <v/>
      </c>
      <c r="C3650" t="inlineStr">
        <is>
          <t>REXONA for Girls Glowing White 40ml</t>
        </is>
      </c>
      <c r="D3650" t="inlineStr">
        <is>
          <t>Miss Glam Jambi</t>
        </is>
      </c>
      <c r="E3650" t="n">
        <v>4</v>
      </c>
      <c r="F3650" t="n">
        <v>0.2805</v>
      </c>
      <c r="G3650" t="n">
        <v>0.99</v>
      </c>
      <c r="H3650" t="n">
        <v>3</v>
      </c>
      <c r="I3650" t="n">
        <v>19</v>
      </c>
      <c r="J3650" t="n">
        <v>3</v>
      </c>
      <c r="K3650" t="n">
        <v>3</v>
      </c>
      <c r="L3650" t="n">
        <v>12870</v>
      </c>
      <c r="M3650" t="n">
        <v>17000</v>
      </c>
      <c r="N3650" t="n">
        <v>33</v>
      </c>
      <c r="O3650" t="n">
        <v>0.33</v>
      </c>
      <c r="P3650" t="n">
        <v>1</v>
      </c>
      <c r="Q3650" t="n">
        <v>0.34</v>
      </c>
      <c r="R3650" t="n">
        <v>2</v>
      </c>
      <c r="S3650" t="n">
        <v>4768.500000000001</v>
      </c>
      <c r="T3650" t="n">
        <v>18</v>
      </c>
      <c r="U3650" t="n">
        <v>19</v>
      </c>
      <c r="V3650" t="n">
        <v>30</v>
      </c>
      <c r="W3650" t="n">
        <v>9</v>
      </c>
      <c r="X3650" t="n">
        <v>14.2602495543672</v>
      </c>
      <c r="Y3650" t="n">
        <v>1</v>
      </c>
      <c r="Z3650" t="n">
        <v>2</v>
      </c>
      <c r="AA3650" t="n">
        <v>1</v>
      </c>
      <c r="AB3650" t="n">
        <v>1</v>
      </c>
      <c r="AC3650" t="n">
        <v>3</v>
      </c>
      <c r="AD3650" t="n">
        <v>12870</v>
      </c>
      <c r="AE3650" t="n">
        <v>38610</v>
      </c>
      <c r="AF3650" t="n">
        <v>9778</v>
      </c>
      <c r="AG3650" t="n">
        <v>2206</v>
      </c>
      <c r="AH3650" t="inlineStr">
        <is>
          <t>PT. ENHA PUTRA (ONLINE CASH)</t>
        </is>
      </c>
      <c r="AI3650" t="n">
        <v>362</v>
      </c>
      <c r="AJ3650" t="inlineStr">
        <is>
          <t>REXONA</t>
        </is>
      </c>
      <c r="AK3650" t="n">
        <v>9</v>
      </c>
      <c r="AL3650" t="inlineStr">
        <is>
          <t>Miss Glam Jambi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REXONA</t>
        </is>
      </c>
      <c r="B3651" s="2">
        <f>"8999999582661"</f>
        <v/>
      </c>
      <c r="C3651" t="inlineStr">
        <is>
          <t>REXONA Hijab Natural Peach &amp; Mint Cool 45ml</t>
        </is>
      </c>
      <c r="D3651" t="inlineStr">
        <is>
          <t>Miss Glam Jambi</t>
        </is>
      </c>
      <c r="E3651" t="n">
        <v>2</v>
      </c>
      <c r="F3651" t="n">
        <v>0.0825</v>
      </c>
      <c r="G3651" t="n">
        <v>0.66</v>
      </c>
      <c r="H3651" t="n">
        <v>3</v>
      </c>
      <c r="I3651" t="n">
        <v>19</v>
      </c>
      <c r="J3651" t="n">
        <v>3</v>
      </c>
      <c r="K3651" t="n">
        <v>3</v>
      </c>
      <c r="L3651" t="n">
        <v>20860</v>
      </c>
      <c r="M3651" t="n">
        <v>24500</v>
      </c>
      <c r="N3651" t="n">
        <v>33</v>
      </c>
      <c r="O3651" t="n">
        <v>0.33</v>
      </c>
      <c r="P3651" t="n">
        <v>1</v>
      </c>
      <c r="Q3651" t="n">
        <v>0.03</v>
      </c>
      <c r="R3651" t="n">
        <v>1</v>
      </c>
      <c r="S3651" t="n">
        <v>2021.25</v>
      </c>
      <c r="T3651" t="n">
        <v>13</v>
      </c>
      <c r="U3651" t="n">
        <v>14</v>
      </c>
      <c r="V3651" t="n">
        <v>30</v>
      </c>
      <c r="W3651" t="n">
        <v>3</v>
      </c>
      <c r="X3651" t="n">
        <v>24.24242424242424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9778</v>
      </c>
      <c r="AG3651" t="n">
        <v>2206</v>
      </c>
      <c r="AH3651" t="inlineStr">
        <is>
          <t>PT. ENHA PUTRA (ONLINE CASH)</t>
        </is>
      </c>
      <c r="AI3651" t="n">
        <v>362</v>
      </c>
      <c r="AJ3651" t="inlineStr">
        <is>
          <t>REXONA</t>
        </is>
      </c>
      <c r="AK3651" t="n">
        <v>9</v>
      </c>
      <c r="AL3651" t="inlineStr">
        <is>
          <t>Miss Glam Jambi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REXONA</t>
        </is>
      </c>
      <c r="B3652" s="2">
        <f>"8999999049508"</f>
        <v/>
      </c>
      <c r="C3652" t="inlineStr">
        <is>
          <t>REXONA Women Anti Perspirant Deodorant Roll On Shower Clean 45ml</t>
        </is>
      </c>
      <c r="D3652" t="inlineStr">
        <is>
          <t>Miss Glam Jambi</t>
        </is>
      </c>
      <c r="E3652" t="n">
        <v>0</v>
      </c>
      <c r="F3652" t="n">
        <v>0.2409</v>
      </c>
      <c r="G3652" t="n">
        <v>0.99</v>
      </c>
      <c r="H3652" t="n">
        <v>3</v>
      </c>
      <c r="I3652" t="n">
        <v>19</v>
      </c>
      <c r="J3652" t="n">
        <v>3</v>
      </c>
      <c r="K3652" t="n">
        <v>3</v>
      </c>
      <c r="L3652" t="n">
        <v>17332</v>
      </c>
      <c r="M3652" t="n">
        <v>19800</v>
      </c>
      <c r="N3652" t="n">
        <v>33</v>
      </c>
      <c r="O3652" t="n">
        <v>0.33</v>
      </c>
      <c r="P3652" t="n">
        <v>1</v>
      </c>
      <c r="Q3652" t="n">
        <v>0.18</v>
      </c>
      <c r="R3652" t="n">
        <v>2</v>
      </c>
      <c r="S3652" t="n">
        <v>4769.82</v>
      </c>
      <c r="T3652" t="n">
        <v>19</v>
      </c>
      <c r="U3652" t="n">
        <v>20</v>
      </c>
      <c r="V3652" t="n">
        <v>30</v>
      </c>
      <c r="W3652" t="n">
        <v>8</v>
      </c>
      <c r="X3652" t="n">
        <v>0</v>
      </c>
      <c r="Y3652" t="n">
        <v>1</v>
      </c>
      <c r="Z3652" t="n">
        <v>5</v>
      </c>
      <c r="AA3652" t="n">
        <v>4</v>
      </c>
      <c r="AB3652" t="n">
        <v>1</v>
      </c>
      <c r="AC3652" t="n">
        <v>3</v>
      </c>
      <c r="AD3652" t="n">
        <v>69328</v>
      </c>
      <c r="AE3652" t="n">
        <v>51996</v>
      </c>
      <c r="AF3652" t="n">
        <v>9778</v>
      </c>
      <c r="AG3652" t="n">
        <v>2206</v>
      </c>
      <c r="AH3652" t="inlineStr">
        <is>
          <t>PT. ENHA PUTRA (ONLINE CASH)</t>
        </is>
      </c>
      <c r="AI3652" t="n">
        <v>362</v>
      </c>
      <c r="AJ3652" t="inlineStr">
        <is>
          <t>REXONA</t>
        </is>
      </c>
      <c r="AK3652" t="n">
        <v>9</v>
      </c>
      <c r="AL3652" t="inlineStr">
        <is>
          <t>Miss Glam Jambi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REXONA MEN</t>
        </is>
      </c>
      <c r="B3653" s="2">
        <f>"8999999580773"</f>
        <v/>
      </c>
      <c r="C3653" t="inlineStr">
        <is>
          <t>REXONA Men Invisible Dry 72 Jam 45ml</t>
        </is>
      </c>
      <c r="D3653" t="inlineStr">
        <is>
          <t>Miss Glam Jambi</t>
        </is>
      </c>
      <c r="E3653" t="n">
        <v>1</v>
      </c>
      <c r="F3653" t="n">
        <v>0.0726</v>
      </c>
      <c r="G3653" t="n">
        <v>0.66</v>
      </c>
      <c r="H3653" t="n">
        <v>3</v>
      </c>
      <c r="I3653" t="n">
        <v>19</v>
      </c>
      <c r="J3653" t="n">
        <v>3</v>
      </c>
      <c r="K3653" t="n">
        <v>3</v>
      </c>
      <c r="L3653" t="n">
        <v>17332</v>
      </c>
      <c r="M3653" t="n">
        <v>20000</v>
      </c>
      <c r="N3653" t="n">
        <v>33</v>
      </c>
      <c r="O3653" t="n">
        <v>0.33</v>
      </c>
      <c r="P3653" t="n">
        <v>1</v>
      </c>
      <c r="Q3653" t="n">
        <v>0.05</v>
      </c>
      <c r="R3653" t="n">
        <v>1</v>
      </c>
      <c r="S3653" t="n">
        <v>1452</v>
      </c>
      <c r="T3653" t="n">
        <v>13</v>
      </c>
      <c r="U3653" t="n">
        <v>14</v>
      </c>
      <c r="V3653" t="n">
        <v>30</v>
      </c>
      <c r="W3653" t="n">
        <v>3</v>
      </c>
      <c r="X3653" t="n">
        <v>13.77410468319559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9782</v>
      </c>
      <c r="AG3653" t="n">
        <v>2206</v>
      </c>
      <c r="AH3653" t="inlineStr">
        <is>
          <t>PT. ENHA PUTRA (ONLINE CASH)</t>
        </is>
      </c>
      <c r="AI3653" t="n">
        <v>2283</v>
      </c>
      <c r="AJ3653" t="inlineStr">
        <is>
          <t>REXONA MEN</t>
        </is>
      </c>
      <c r="AK3653" t="n">
        <v>9</v>
      </c>
      <c r="AL3653" t="inlineStr">
        <is>
          <t>Miss Glam Jambi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REXONA MEN</t>
        </is>
      </c>
      <c r="B3654" s="2">
        <f>"8999999580759"</f>
        <v/>
      </c>
      <c r="C3654" t="inlineStr">
        <is>
          <t>REXONA Men Motion Activated Adventure 45ml</t>
        </is>
      </c>
      <c r="D3654" t="inlineStr">
        <is>
          <t>Miss Glam Jambi</t>
        </is>
      </c>
      <c r="E3654" t="n">
        <v>8</v>
      </c>
      <c r="F3654" t="n">
        <v>0.033</v>
      </c>
      <c r="G3654" t="n">
        <v>0.33</v>
      </c>
      <c r="H3654" t="n">
        <v>3</v>
      </c>
      <c r="I3654" t="n">
        <v>19</v>
      </c>
      <c r="J3654" t="n">
        <v>3</v>
      </c>
      <c r="K3654" t="n">
        <v>0</v>
      </c>
      <c r="L3654" t="n">
        <v>17430</v>
      </c>
      <c r="M3654" t="n">
        <v>20000</v>
      </c>
      <c r="N3654" t="n">
        <v>33</v>
      </c>
      <c r="O3654" t="n">
        <v>0.33</v>
      </c>
      <c r="P3654" t="n">
        <v>1</v>
      </c>
      <c r="Q3654" t="n">
        <v>0.02</v>
      </c>
      <c r="R3654" t="n">
        <v>1</v>
      </c>
      <c r="S3654" t="n">
        <v>660</v>
      </c>
      <c r="T3654" t="n">
        <v>7</v>
      </c>
      <c r="U3654" t="n">
        <v>8</v>
      </c>
      <c r="V3654" t="n">
        <v>30</v>
      </c>
      <c r="W3654" t="n">
        <v>1</v>
      </c>
      <c r="X3654" t="n">
        <v>242.4242424242424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9782</v>
      </c>
      <c r="AG3654" t="n">
        <v>2206</v>
      </c>
      <c r="AH3654" t="inlineStr">
        <is>
          <t>PT. ENHA PUTRA (ONLINE CASH)</t>
        </is>
      </c>
      <c r="AI3654" t="n">
        <v>2283</v>
      </c>
      <c r="AJ3654" t="inlineStr">
        <is>
          <t>REXONA MEN</t>
        </is>
      </c>
      <c r="AK3654" t="n">
        <v>9</v>
      </c>
      <c r="AL3654" t="inlineStr">
        <is>
          <t>Miss Glam Jambi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REXONA MEN</t>
        </is>
      </c>
      <c r="B3655" s="2">
        <f>"8999999580735"</f>
        <v/>
      </c>
      <c r="C3655" t="inlineStr">
        <is>
          <t>REXONA MEN Motion Activated Ice Cool 45ml</t>
        </is>
      </c>
      <c r="D3655" t="inlineStr">
        <is>
          <t>Miss Glam Jambi</t>
        </is>
      </c>
      <c r="E3655" t="n">
        <v>7</v>
      </c>
      <c r="F3655" t="n">
        <v>0.1386</v>
      </c>
      <c r="G3655" t="n">
        <v>0.66</v>
      </c>
      <c r="H3655" t="n">
        <v>3</v>
      </c>
      <c r="I3655" t="n">
        <v>19</v>
      </c>
      <c r="J3655" t="n">
        <v>3</v>
      </c>
      <c r="K3655" t="n">
        <v>0</v>
      </c>
      <c r="L3655" t="n">
        <v>16557</v>
      </c>
      <c r="M3655" t="n">
        <v>19000</v>
      </c>
      <c r="N3655" t="n">
        <v>33</v>
      </c>
      <c r="O3655" t="n">
        <v>0.33</v>
      </c>
      <c r="P3655" t="n">
        <v>1</v>
      </c>
      <c r="Q3655" t="n">
        <v>0.07000000000000001</v>
      </c>
      <c r="R3655" t="n">
        <v>1</v>
      </c>
      <c r="S3655" t="n">
        <v>2633.4</v>
      </c>
      <c r="T3655" t="n">
        <v>13</v>
      </c>
      <c r="U3655" t="n">
        <v>14</v>
      </c>
      <c r="V3655" t="n">
        <v>30</v>
      </c>
      <c r="W3655" t="n">
        <v>5</v>
      </c>
      <c r="X3655" t="n">
        <v>50.50505050505051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9782</v>
      </c>
      <c r="AG3655" t="n">
        <v>2206</v>
      </c>
      <c r="AH3655" t="inlineStr">
        <is>
          <t>PT. ENHA PUTRA (ONLINE CASH)</t>
        </is>
      </c>
      <c r="AI3655" t="n">
        <v>2283</v>
      </c>
      <c r="AJ3655" t="inlineStr">
        <is>
          <t>REXONA MEN</t>
        </is>
      </c>
      <c r="AK3655" t="n">
        <v>9</v>
      </c>
      <c r="AL3655" t="inlineStr">
        <is>
          <t>Miss Glam Jambi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REXONA MEN</t>
        </is>
      </c>
      <c r="B3656" s="2">
        <f>"8999999580780"</f>
        <v/>
      </c>
      <c r="C3656" t="inlineStr">
        <is>
          <t>REXONA Men Motion activated Invisible + Antibacterial 45ml</t>
        </is>
      </c>
      <c r="D3656" t="inlineStr">
        <is>
          <t>Miss Glam Jambi</t>
        </is>
      </c>
      <c r="E3656" t="n">
        <v>2</v>
      </c>
      <c r="F3656" t="n">
        <v>0.033</v>
      </c>
      <c r="G3656" t="n">
        <v>0.66</v>
      </c>
      <c r="H3656" t="n">
        <v>3</v>
      </c>
      <c r="I3656" t="n">
        <v>19</v>
      </c>
      <c r="J3656" t="n">
        <v>3</v>
      </c>
      <c r="K3656" t="n">
        <v>0</v>
      </c>
      <c r="L3656" t="n">
        <v>21959</v>
      </c>
      <c r="M3656" t="n">
        <v>26000</v>
      </c>
      <c r="N3656" t="n">
        <v>33</v>
      </c>
      <c r="O3656" t="n">
        <v>0.33</v>
      </c>
      <c r="P3656" t="n">
        <v>1</v>
      </c>
      <c r="Q3656" t="n">
        <v>0.02</v>
      </c>
      <c r="R3656" t="n">
        <v>1</v>
      </c>
      <c r="S3656" t="n">
        <v>858</v>
      </c>
      <c r="T3656" t="n">
        <v>13</v>
      </c>
      <c r="U3656" t="n">
        <v>14</v>
      </c>
      <c r="V3656" t="n">
        <v>30</v>
      </c>
      <c r="W3656" t="n">
        <v>1</v>
      </c>
      <c r="X3656" t="n">
        <v>60.6060606060606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9782</v>
      </c>
      <c r="AG3656" t="n">
        <v>2206</v>
      </c>
      <c r="AH3656" t="inlineStr">
        <is>
          <t>PT. ENHA PUTRA (ONLINE CASH)</t>
        </is>
      </c>
      <c r="AI3656" t="n">
        <v>2283</v>
      </c>
      <c r="AJ3656" t="inlineStr">
        <is>
          <t>REXONA MEN</t>
        </is>
      </c>
      <c r="AK3656" t="n">
        <v>9</v>
      </c>
      <c r="AL3656" t="inlineStr">
        <is>
          <t>Miss Glam Jambi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REXONA MEN</t>
        </is>
      </c>
      <c r="B3657" s="2">
        <f>"8999999580803"</f>
        <v/>
      </c>
      <c r="C3657" t="inlineStr">
        <is>
          <t>REXONA Men Motion Activated Natural Fresh Chorcoal Fresh 45ml</t>
        </is>
      </c>
      <c r="D3657" t="inlineStr">
        <is>
          <t>Miss Glam Jambi</t>
        </is>
      </c>
      <c r="E3657" t="n">
        <v>3</v>
      </c>
      <c r="F3657" t="n">
        <v>0.033</v>
      </c>
      <c r="G3657" t="n">
        <v>0.33</v>
      </c>
      <c r="H3657" t="n">
        <v>3</v>
      </c>
      <c r="I3657" t="n">
        <v>19</v>
      </c>
      <c r="J3657" t="n">
        <v>3</v>
      </c>
      <c r="K3657" t="n">
        <v>0</v>
      </c>
      <c r="L3657" t="n">
        <v>20506</v>
      </c>
      <c r="M3657" t="n">
        <v>25000</v>
      </c>
      <c r="N3657" t="n">
        <v>33</v>
      </c>
      <c r="O3657" t="n">
        <v>0.33</v>
      </c>
      <c r="P3657" t="n">
        <v>1</v>
      </c>
      <c r="Q3657" t="n">
        <v>0.03</v>
      </c>
      <c r="R3657" t="n">
        <v>1</v>
      </c>
      <c r="S3657" t="n">
        <v>825</v>
      </c>
      <c r="T3657" t="n">
        <v>7</v>
      </c>
      <c r="U3657" t="n">
        <v>8</v>
      </c>
      <c r="V3657" t="n">
        <v>30</v>
      </c>
      <c r="W3657" t="n">
        <v>1</v>
      </c>
      <c r="X3657" t="n">
        <v>90.90909090909091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9782</v>
      </c>
      <c r="AG3657" t="n">
        <v>2206</v>
      </c>
      <c r="AH3657" t="inlineStr">
        <is>
          <t>PT. ENHA PUTRA (ONLINE CASH)</t>
        </is>
      </c>
      <c r="AI3657" t="n">
        <v>2283</v>
      </c>
      <c r="AJ3657" t="inlineStr">
        <is>
          <t>REXONA MEN</t>
        </is>
      </c>
      <c r="AK3657" t="n">
        <v>9</v>
      </c>
      <c r="AL3657" t="inlineStr">
        <is>
          <t>Miss Glam Jambi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REXONA MEN</t>
        </is>
      </c>
      <c r="B3658" s="2">
        <f>"8999999580810"</f>
        <v/>
      </c>
      <c r="C3658" t="inlineStr">
        <is>
          <t>REXONA Men Motion Activated Natural Fresh Lime Cool 45ml</t>
        </is>
      </c>
      <c r="D3658" t="inlineStr">
        <is>
          <t>Miss Glam Jambi</t>
        </is>
      </c>
      <c r="E3658" t="n">
        <v>6</v>
      </c>
      <c r="F3658" t="n">
        <v>0.06270000000000001</v>
      </c>
      <c r="G3658" t="n">
        <v>0.66</v>
      </c>
      <c r="H3658" t="n">
        <v>3</v>
      </c>
      <c r="I3658" t="n">
        <v>19</v>
      </c>
      <c r="J3658" t="n">
        <v>3</v>
      </c>
      <c r="K3658" t="n">
        <v>0</v>
      </c>
      <c r="L3658" t="n">
        <v>21723</v>
      </c>
      <c r="M3658" t="n">
        <v>23500</v>
      </c>
      <c r="N3658" t="n">
        <v>33</v>
      </c>
      <c r="O3658" t="n">
        <v>0.33</v>
      </c>
      <c r="P3658" t="n">
        <v>1</v>
      </c>
      <c r="Q3658" t="n">
        <v>0.07000000000000001</v>
      </c>
      <c r="R3658" t="n">
        <v>2</v>
      </c>
      <c r="S3658" t="n">
        <v>1473.45</v>
      </c>
      <c r="T3658" t="n">
        <v>13</v>
      </c>
      <c r="U3658" t="n">
        <v>14</v>
      </c>
      <c r="V3658" t="n">
        <v>30</v>
      </c>
      <c r="W3658" t="n">
        <v>2</v>
      </c>
      <c r="X3658" t="n">
        <v>95.69377990430621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9782</v>
      </c>
      <c r="AG3658" t="n">
        <v>2206</v>
      </c>
      <c r="AH3658" t="inlineStr">
        <is>
          <t>PT. ENHA PUTRA (ONLINE CASH)</t>
        </is>
      </c>
      <c r="AI3658" t="n">
        <v>2283</v>
      </c>
      <c r="AJ3658" t="inlineStr">
        <is>
          <t>REXONA MEN</t>
        </is>
      </c>
      <c r="AK3658" t="n">
        <v>9</v>
      </c>
      <c r="AL3658" t="inlineStr">
        <is>
          <t>Miss Glam Jambi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RINTIK SKINCARE</t>
        </is>
      </c>
      <c r="B3659" s="2">
        <f>"8994452170003"</f>
        <v/>
      </c>
      <c r="C3659" t="inlineStr">
        <is>
          <t>RINTIK Stretch Mark Oil 1 Collagen and Strem Cell Infused 90ml</t>
        </is>
      </c>
      <c r="D3659" t="inlineStr">
        <is>
          <t>Miss Glam Jambi</t>
        </is>
      </c>
      <c r="E3659" t="n">
        <v>3</v>
      </c>
      <c r="F3659" t="n">
        <v>0.009900000000000001</v>
      </c>
      <c r="G3659" t="n">
        <v>0.66</v>
      </c>
      <c r="H3659" t="n">
        <v>4</v>
      </c>
      <c r="I3659" t="n">
        <v>20</v>
      </c>
      <c r="J3659" t="n">
        <v>3</v>
      </c>
      <c r="K3659" t="n">
        <v>0</v>
      </c>
      <c r="L3659" t="n">
        <v>98073</v>
      </c>
      <c r="M3659" t="n">
        <v>108000</v>
      </c>
      <c r="N3659" t="n">
        <v>33</v>
      </c>
      <c r="O3659" t="n">
        <v>0.33</v>
      </c>
      <c r="P3659" t="n">
        <v>1</v>
      </c>
      <c r="Q3659" t="n">
        <v>0.07000000000000001</v>
      </c>
      <c r="R3659" t="n">
        <v>1</v>
      </c>
      <c r="S3659" t="n">
        <v>1069.2</v>
      </c>
      <c r="T3659" t="n">
        <v>14</v>
      </c>
      <c r="U3659" t="n">
        <v>15</v>
      </c>
      <c r="V3659" t="n">
        <v>30</v>
      </c>
      <c r="W3659" t="n">
        <v>1</v>
      </c>
      <c r="X3659" t="n">
        <v>303.030303030303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8190</v>
      </c>
      <c r="AG3659" t="n">
        <v>1</v>
      </c>
      <c r="AH3659" t="inlineStr">
        <is>
          <t>PT. BERSAMA DISTRIVERSA INDONESIA (DC CIPUTAT)</t>
        </is>
      </c>
      <c r="AI3659" t="n">
        <v>1639</v>
      </c>
      <c r="AJ3659" t="inlineStr">
        <is>
          <t>RINTIK SKINCARE</t>
        </is>
      </c>
      <c r="AK3659" t="n">
        <v>9</v>
      </c>
      <c r="AL3659" t="inlineStr">
        <is>
          <t>Miss Glam Jambi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ROOVE</t>
        </is>
      </c>
      <c r="B3660" s="2">
        <f>"8994448510035"</f>
        <v/>
      </c>
      <c r="C3660" t="inlineStr">
        <is>
          <t>ROOVE Minuman Serbuk Rasa Blueberry 150gr (10 Sachet @15gr) - Pouch</t>
        </is>
      </c>
      <c r="D3660" t="inlineStr">
        <is>
          <t>Miss Glam Jambi</t>
        </is>
      </c>
      <c r="E3660" t="n">
        <v>0</v>
      </c>
      <c r="F3660" t="n">
        <v>0.0231</v>
      </c>
      <c r="G3660" t="n">
        <v>0.33</v>
      </c>
      <c r="H3660" t="n">
        <v>4</v>
      </c>
      <c r="I3660" t="n">
        <v>20</v>
      </c>
      <c r="J3660" t="n">
        <v>3</v>
      </c>
      <c r="K3660" t="n">
        <v>3</v>
      </c>
      <c r="L3660" t="n">
        <v>158400</v>
      </c>
      <c r="M3660" t="n">
        <v>205000</v>
      </c>
      <c r="N3660" t="n">
        <v>33</v>
      </c>
      <c r="O3660" t="n">
        <v>0.33</v>
      </c>
      <c r="P3660" t="n">
        <v>1</v>
      </c>
      <c r="Q3660" t="n">
        <v>0.13</v>
      </c>
      <c r="R3660" t="n">
        <v>2</v>
      </c>
      <c r="S3660" t="n">
        <v>4735.500000000001</v>
      </c>
      <c r="T3660" t="n">
        <v>7</v>
      </c>
      <c r="U3660" t="n">
        <v>8</v>
      </c>
      <c r="V3660" t="n">
        <v>30</v>
      </c>
      <c r="W3660" t="n">
        <v>1</v>
      </c>
      <c r="X3660" t="n">
        <v>0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8223</v>
      </c>
      <c r="AG3660" t="n">
        <v>1</v>
      </c>
      <c r="AH3660" t="inlineStr">
        <is>
          <t>PT. BERSAMA DISTRIVERSA INDONESIA (DC CIPUTAT)</t>
        </is>
      </c>
      <c r="AI3660" t="n">
        <v>1014</v>
      </c>
      <c r="AJ3660" t="inlineStr">
        <is>
          <t>ROOVE</t>
        </is>
      </c>
      <c r="AK3660" t="n">
        <v>9</v>
      </c>
      <c r="AL3660" t="inlineStr">
        <is>
          <t>Miss Glam Jambi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SAFF &amp; CO</t>
        </is>
      </c>
      <c r="B3661" s="2">
        <f>"8997015191590"</f>
        <v/>
      </c>
      <c r="C3661" t="inlineStr">
        <is>
          <t>SAFF &amp; CO Annabel Lee Cloud Mist 150ml</t>
        </is>
      </c>
      <c r="D3661" t="inlineStr">
        <is>
          <t>Miss Glam Jambi</t>
        </is>
      </c>
      <c r="E3661" t="n">
        <v>6</v>
      </c>
      <c r="F3661" t="n">
        <v>0.0396</v>
      </c>
      <c r="G3661" t="n">
        <v>0.66</v>
      </c>
      <c r="H3661" t="n">
        <v>6</v>
      </c>
      <c r="I3661" t="n">
        <v>12</v>
      </c>
      <c r="J3661" t="n">
        <v>3</v>
      </c>
      <c r="K3661" t="n">
        <v>0</v>
      </c>
      <c r="L3661" t="n">
        <v>119250</v>
      </c>
      <c r="M3661" t="n">
        <v>159000</v>
      </c>
      <c r="N3661" t="n">
        <v>33</v>
      </c>
      <c r="O3661" t="n">
        <v>0.33</v>
      </c>
      <c r="P3661" t="n">
        <v>1</v>
      </c>
      <c r="Q3661" t="n">
        <v>0.14</v>
      </c>
      <c r="R3661" t="n">
        <v>2</v>
      </c>
      <c r="S3661" t="n">
        <v>6296.400000000001</v>
      </c>
      <c r="T3661" t="n">
        <v>8</v>
      </c>
      <c r="U3661" t="n">
        <v>9</v>
      </c>
      <c r="V3661" t="n">
        <v>30</v>
      </c>
      <c r="W3661" t="n">
        <v>2</v>
      </c>
      <c r="X3661" t="n">
        <v>151.5151515151515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671</v>
      </c>
      <c r="AG3661" t="n">
        <v>107</v>
      </c>
      <c r="AH3661" t="inlineStr">
        <is>
          <t xml:space="preserve">CV. DAHLIA - PPN (PDG) </t>
        </is>
      </c>
      <c r="AI3661" t="n">
        <v>1680</v>
      </c>
      <c r="AJ3661" t="inlineStr">
        <is>
          <t>SAFF &amp; CO</t>
        </is>
      </c>
      <c r="AK3661" t="n">
        <v>9</v>
      </c>
      <c r="AL3661" t="inlineStr">
        <is>
          <t>Miss Glam Jambi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SAFF &amp; CO</t>
        </is>
      </c>
      <c r="B3662" s="2">
        <f>"8997019519307"</f>
        <v/>
      </c>
      <c r="C3662" t="inlineStr">
        <is>
          <t>SAFF &amp; CO Coco Extrait De Parfum 30ml</t>
        </is>
      </c>
      <c r="D3662" t="inlineStr">
        <is>
          <t>Miss Glam Jambi</t>
        </is>
      </c>
      <c r="E3662" t="n">
        <v>2</v>
      </c>
      <c r="F3662" t="n">
        <v>0.0231</v>
      </c>
      <c r="G3662" t="n">
        <v>0.33</v>
      </c>
      <c r="H3662" t="n">
        <v>6</v>
      </c>
      <c r="I3662" t="n">
        <v>12</v>
      </c>
      <c r="J3662" t="n">
        <v>3</v>
      </c>
      <c r="K3662" t="n">
        <v>0</v>
      </c>
      <c r="L3662" t="n">
        <v>141750</v>
      </c>
      <c r="M3662" t="n">
        <v>189000</v>
      </c>
      <c r="N3662" t="n">
        <v>33</v>
      </c>
      <c r="O3662" t="n">
        <v>0.33</v>
      </c>
      <c r="P3662" t="n">
        <v>1</v>
      </c>
      <c r="Q3662" t="n">
        <v>0.03</v>
      </c>
      <c r="R3662" t="n">
        <v>1</v>
      </c>
      <c r="S3662" t="n">
        <v>4365.900000000001</v>
      </c>
      <c r="T3662" t="n">
        <v>4</v>
      </c>
      <c r="U3662" t="n">
        <v>5</v>
      </c>
      <c r="V3662" t="n">
        <v>30</v>
      </c>
      <c r="W3662" t="n">
        <v>1</v>
      </c>
      <c r="X3662" t="n">
        <v>86.58008658008657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671</v>
      </c>
      <c r="AG3662" t="n">
        <v>107</v>
      </c>
      <c r="AH3662" t="inlineStr">
        <is>
          <t xml:space="preserve">CV. DAHLIA - PPN (PDG) </t>
        </is>
      </c>
      <c r="AI3662" t="n">
        <v>1680</v>
      </c>
      <c r="AJ3662" t="inlineStr">
        <is>
          <t>SAFF &amp; CO</t>
        </is>
      </c>
      <c r="AK3662" t="n">
        <v>9</v>
      </c>
      <c r="AL3662" t="inlineStr">
        <is>
          <t>Miss Glam Jambi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SAFF &amp; CO</t>
        </is>
      </c>
      <c r="B3663" s="2">
        <f>"30400266921"</f>
        <v/>
      </c>
      <c r="C3663" t="inlineStr">
        <is>
          <t>SAFF &amp; CO Extrait de Parfum - S.O.F.R 35ml</t>
        </is>
      </c>
      <c r="D3663" t="inlineStr">
        <is>
          <t>Miss Glam Jambi</t>
        </is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33</v>
      </c>
      <c r="O3663" t="n">
        <v>0.33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30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671</v>
      </c>
      <c r="AG3663" t="n">
        <v>107</v>
      </c>
      <c r="AH3663" t="inlineStr">
        <is>
          <t xml:space="preserve">CV. DAHLIA - PPN (PDG) </t>
        </is>
      </c>
      <c r="AI3663" t="n">
        <v>1680</v>
      </c>
      <c r="AJ3663" t="inlineStr">
        <is>
          <t>SAFF &amp; CO</t>
        </is>
      </c>
      <c r="AK3663" t="n">
        <v>9</v>
      </c>
      <c r="AL3663" t="inlineStr">
        <is>
          <t>Miss Glam Jambi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SAFF &amp; CO</t>
        </is>
      </c>
      <c r="B3664" s="2">
        <f>"8997019519284"</f>
        <v/>
      </c>
      <c r="C3664" t="inlineStr">
        <is>
          <t>SAFF &amp; CO Extrait De Parfum Chno 30ml</t>
        </is>
      </c>
      <c r="D3664" t="inlineStr">
        <is>
          <t>Miss Glam Jambi</t>
        </is>
      </c>
      <c r="E3664" t="n">
        <v>4</v>
      </c>
      <c r="F3664" t="n">
        <v>0.0264</v>
      </c>
      <c r="G3664" t="n">
        <v>0.66</v>
      </c>
      <c r="H3664" t="n">
        <v>6</v>
      </c>
      <c r="I3664" t="n">
        <v>12</v>
      </c>
      <c r="J3664" t="n">
        <v>3</v>
      </c>
      <c r="K3664" t="n">
        <v>0</v>
      </c>
      <c r="L3664" t="n">
        <v>141750</v>
      </c>
      <c r="M3664" t="n">
        <v>189000</v>
      </c>
      <c r="N3664" t="n">
        <v>33</v>
      </c>
      <c r="O3664" t="n">
        <v>0.33</v>
      </c>
      <c r="P3664" t="n">
        <v>1</v>
      </c>
      <c r="Q3664" t="n">
        <v>0.07000000000000001</v>
      </c>
      <c r="R3664" t="n">
        <v>1</v>
      </c>
      <c r="S3664" t="n">
        <v>4989.6</v>
      </c>
      <c r="T3664" t="n">
        <v>8</v>
      </c>
      <c r="U3664" t="n">
        <v>9</v>
      </c>
      <c r="V3664" t="n">
        <v>30</v>
      </c>
      <c r="W3664" t="n">
        <v>1</v>
      </c>
      <c r="X3664" t="n">
        <v>151.5151515151515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671</v>
      </c>
      <c r="AG3664" t="n">
        <v>107</v>
      </c>
      <c r="AH3664" t="inlineStr">
        <is>
          <t xml:space="preserve">CV. DAHLIA - PPN (PDG) </t>
        </is>
      </c>
      <c r="AI3664" t="n">
        <v>1680</v>
      </c>
      <c r="AJ3664" t="inlineStr">
        <is>
          <t>SAFF &amp; CO</t>
        </is>
      </c>
      <c r="AK3664" t="n">
        <v>9</v>
      </c>
      <c r="AL3664" t="inlineStr">
        <is>
          <t>Miss Glam Jambi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SAFF &amp; CO</t>
        </is>
      </c>
      <c r="B3665" s="2">
        <f>"8997019519826"</f>
        <v/>
      </c>
      <c r="C3665" t="inlineStr">
        <is>
          <t>SAFF &amp; CO Extrait De Parfum Las Pozas 35ml</t>
        </is>
      </c>
      <c r="D3665" t="inlineStr">
        <is>
          <t>Miss Glam Jambi</t>
        </is>
      </c>
      <c r="E3665" t="n">
        <v>2</v>
      </c>
      <c r="F3665" t="n">
        <v>0.0264</v>
      </c>
      <c r="G3665" t="n">
        <v>0.66</v>
      </c>
      <c r="H3665" t="n">
        <v>6</v>
      </c>
      <c r="I3665" t="n">
        <v>12</v>
      </c>
      <c r="J3665" t="n">
        <v>3</v>
      </c>
      <c r="K3665" t="n">
        <v>0</v>
      </c>
      <c r="L3665" t="n">
        <v>149250</v>
      </c>
      <c r="M3665" t="n">
        <v>199000</v>
      </c>
      <c r="N3665" t="n">
        <v>33</v>
      </c>
      <c r="O3665" t="n">
        <v>0.33</v>
      </c>
      <c r="P3665" t="n">
        <v>1</v>
      </c>
      <c r="Q3665" t="n">
        <v>0.02</v>
      </c>
      <c r="R3665" t="n">
        <v>1</v>
      </c>
      <c r="S3665" t="n">
        <v>5253.6</v>
      </c>
      <c r="T3665" t="n">
        <v>8</v>
      </c>
      <c r="U3665" t="n">
        <v>9</v>
      </c>
      <c r="V3665" t="n">
        <v>30</v>
      </c>
      <c r="W3665" t="n">
        <v>1</v>
      </c>
      <c r="X3665" t="n">
        <v>75.75757575757575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671</v>
      </c>
      <c r="AG3665" t="n">
        <v>107</v>
      </c>
      <c r="AH3665" t="inlineStr">
        <is>
          <t xml:space="preserve">CV. DAHLIA - PPN (PDG) </t>
        </is>
      </c>
      <c r="AI3665" t="n">
        <v>1680</v>
      </c>
      <c r="AJ3665" t="inlineStr">
        <is>
          <t>SAFF &amp; CO</t>
        </is>
      </c>
      <c r="AK3665" t="n">
        <v>9</v>
      </c>
      <c r="AL3665" t="inlineStr">
        <is>
          <t>Miss Glam Jambi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SAFF &amp; CO</t>
        </is>
      </c>
      <c r="B3666" s="2">
        <f>"30400189158"</f>
        <v/>
      </c>
      <c r="C3666" t="inlineStr">
        <is>
          <t>SAFF &amp; CO Extrait de Parfum Leima 35ml</t>
        </is>
      </c>
      <c r="D3666" t="inlineStr">
        <is>
          <t>Miss Glam Jambi</t>
        </is>
      </c>
      <c r="E3666" t="n">
        <v>3</v>
      </c>
      <c r="F3666" t="n">
        <v>0.0396</v>
      </c>
      <c r="G3666" t="n">
        <v>0.33</v>
      </c>
      <c r="H3666" t="n">
        <v>6</v>
      </c>
      <c r="I3666" t="n">
        <v>12</v>
      </c>
      <c r="J3666" t="n">
        <v>1</v>
      </c>
      <c r="K3666" t="n">
        <v>0</v>
      </c>
      <c r="L3666" t="n">
        <v>194250</v>
      </c>
      <c r="M3666" t="n">
        <v>259000</v>
      </c>
      <c r="N3666" t="n">
        <v>33</v>
      </c>
      <c r="O3666" t="n">
        <v>0.33</v>
      </c>
      <c r="P3666" t="n">
        <v>1</v>
      </c>
      <c r="Q3666" t="n">
        <v>0.03</v>
      </c>
      <c r="R3666" t="n">
        <v>1</v>
      </c>
      <c r="S3666" t="n">
        <v>10256.4</v>
      </c>
      <c r="T3666" t="n">
        <v>4</v>
      </c>
      <c r="U3666" t="n">
        <v>5</v>
      </c>
      <c r="V3666" t="n">
        <v>30</v>
      </c>
      <c r="W3666" t="n">
        <v>2</v>
      </c>
      <c r="X3666" t="n">
        <v>75.75757575757575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671</v>
      </c>
      <c r="AG3666" t="n">
        <v>107</v>
      </c>
      <c r="AH3666" t="inlineStr">
        <is>
          <t xml:space="preserve">CV. DAHLIA - PPN (PDG) </t>
        </is>
      </c>
      <c r="AI3666" t="n">
        <v>1680</v>
      </c>
      <c r="AJ3666" t="inlineStr">
        <is>
          <t>SAFF &amp; CO</t>
        </is>
      </c>
      <c r="AK3666" t="n">
        <v>9</v>
      </c>
      <c r="AL3666" t="inlineStr">
        <is>
          <t>Miss Glam Jambi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SAFF &amp; CO</t>
        </is>
      </c>
      <c r="B3667" s="2">
        <f>"8997019519260"</f>
        <v/>
      </c>
      <c r="C3667" t="inlineStr">
        <is>
          <t>SAFF &amp; CO Extrait De Parfum Loui 35ml</t>
        </is>
      </c>
      <c r="D3667" t="inlineStr">
        <is>
          <t>Miss Glam Jambi</t>
        </is>
      </c>
      <c r="E3667" t="n">
        <v>11</v>
      </c>
      <c r="F3667" t="n">
        <v>0.07920000000000001</v>
      </c>
      <c r="G3667" t="n">
        <v>0.66</v>
      </c>
      <c r="H3667" t="n">
        <v>6</v>
      </c>
      <c r="I3667" t="n">
        <v>12</v>
      </c>
      <c r="J3667" t="n">
        <v>3</v>
      </c>
      <c r="K3667" t="n">
        <v>0</v>
      </c>
      <c r="L3667" t="n">
        <v>141750</v>
      </c>
      <c r="M3667" t="n">
        <v>187000</v>
      </c>
      <c r="N3667" t="n">
        <v>33</v>
      </c>
      <c r="O3667" t="n">
        <v>0.33</v>
      </c>
      <c r="P3667" t="n">
        <v>1</v>
      </c>
      <c r="Q3667" t="n">
        <v>0.22</v>
      </c>
      <c r="R3667" t="n">
        <v>2</v>
      </c>
      <c r="S3667" t="n">
        <v>14810.4</v>
      </c>
      <c r="T3667" t="n">
        <v>8</v>
      </c>
      <c r="U3667" t="n">
        <v>9</v>
      </c>
      <c r="V3667" t="n">
        <v>30</v>
      </c>
      <c r="W3667" t="n">
        <v>3</v>
      </c>
      <c r="X3667" t="n">
        <v>138.8888888888889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671</v>
      </c>
      <c r="AG3667" t="n">
        <v>107</v>
      </c>
      <c r="AH3667" t="inlineStr">
        <is>
          <t xml:space="preserve">CV. DAHLIA - PPN (PDG) </t>
        </is>
      </c>
      <c r="AI3667" t="n">
        <v>1680</v>
      </c>
      <c r="AJ3667" t="inlineStr">
        <is>
          <t>SAFF &amp; CO</t>
        </is>
      </c>
      <c r="AK3667" t="n">
        <v>9</v>
      </c>
      <c r="AL3667" t="inlineStr">
        <is>
          <t>Miss Glam Jambi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SAFF &amp; CO</t>
        </is>
      </c>
      <c r="B3668" s="2">
        <f>"8997019519345"</f>
        <v/>
      </c>
      <c r="C3668" t="inlineStr">
        <is>
          <t>SAFF &amp; CO Extrait de Parfum Morfosia 35ml</t>
        </is>
      </c>
      <c r="D3668" t="inlineStr">
        <is>
          <t>Miss Glam Jambi</t>
        </is>
      </c>
      <c r="E3668" t="n">
        <v>3</v>
      </c>
      <c r="F3668" t="n">
        <v>0.006600000000000001</v>
      </c>
      <c r="G3668" t="n">
        <v>0.33</v>
      </c>
      <c r="H3668" t="n">
        <v>6</v>
      </c>
      <c r="I3668" t="n">
        <v>12</v>
      </c>
      <c r="J3668" t="n">
        <v>1</v>
      </c>
      <c r="K3668" t="n">
        <v>0</v>
      </c>
      <c r="L3668" t="n">
        <v>186750</v>
      </c>
      <c r="M3668" t="n">
        <v>249000</v>
      </c>
      <c r="N3668" t="n">
        <v>33</v>
      </c>
      <c r="O3668" t="n">
        <v>0.33</v>
      </c>
      <c r="P3668" t="n">
        <v>1</v>
      </c>
      <c r="Q3668" t="n">
        <v>0.02</v>
      </c>
      <c r="R3668" t="n">
        <v>1</v>
      </c>
      <c r="S3668" t="n">
        <v>1643.4</v>
      </c>
      <c r="T3668" t="n">
        <v>4</v>
      </c>
      <c r="U3668" t="n">
        <v>5</v>
      </c>
      <c r="V3668" t="n">
        <v>30</v>
      </c>
      <c r="W3668" t="n">
        <v>1</v>
      </c>
      <c r="X3668" t="n">
        <v>454.5454545454545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671</v>
      </c>
      <c r="AG3668" t="n">
        <v>107</v>
      </c>
      <c r="AH3668" t="inlineStr">
        <is>
          <t xml:space="preserve">CV. DAHLIA - PPN (PDG) </t>
        </is>
      </c>
      <c r="AI3668" t="n">
        <v>1680</v>
      </c>
      <c r="AJ3668" t="inlineStr">
        <is>
          <t>SAFF &amp; CO</t>
        </is>
      </c>
      <c r="AK3668" t="n">
        <v>9</v>
      </c>
      <c r="AL3668" t="inlineStr">
        <is>
          <t>Miss Glam Jambi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SAFF &amp; CO</t>
        </is>
      </c>
      <c r="B3669" s="2">
        <f>"8997019519222"</f>
        <v/>
      </c>
      <c r="C3669" t="inlineStr">
        <is>
          <t>SAFF &amp; CO Extrait De Parfum Morfosia 8ml</t>
        </is>
      </c>
      <c r="D3669" t="inlineStr">
        <is>
          <t>Miss Glam Jambi</t>
        </is>
      </c>
      <c r="E3669" t="n">
        <v>1</v>
      </c>
      <c r="F3669" t="n">
        <v>0.0165</v>
      </c>
      <c r="G3669" t="n">
        <v>0.33</v>
      </c>
      <c r="H3669" t="n">
        <v>6</v>
      </c>
      <c r="I3669" t="n">
        <v>12</v>
      </c>
      <c r="J3669" t="n">
        <v>1</v>
      </c>
      <c r="K3669" t="n">
        <v>0</v>
      </c>
      <c r="L3669" t="n">
        <v>66750</v>
      </c>
      <c r="M3669" t="n">
        <v>89000</v>
      </c>
      <c r="N3669" t="n">
        <v>33</v>
      </c>
      <c r="O3669" t="n">
        <v>0.33</v>
      </c>
      <c r="P3669" t="n">
        <v>1</v>
      </c>
      <c r="Q3669" t="n">
        <v>0.03</v>
      </c>
      <c r="R3669" t="n">
        <v>1</v>
      </c>
      <c r="S3669" t="n">
        <v>1468.5</v>
      </c>
      <c r="T3669" t="n">
        <v>4</v>
      </c>
      <c r="U3669" t="n">
        <v>5</v>
      </c>
      <c r="V3669" t="n">
        <v>30</v>
      </c>
      <c r="W3669" t="n">
        <v>1</v>
      </c>
      <c r="X3669" t="n">
        <v>60.6060606060606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671</v>
      </c>
      <c r="AG3669" t="n">
        <v>107</v>
      </c>
      <c r="AH3669" t="inlineStr">
        <is>
          <t xml:space="preserve">CV. DAHLIA - PPN (PDG) </t>
        </is>
      </c>
      <c r="AI3669" t="n">
        <v>1680</v>
      </c>
      <c r="AJ3669" t="inlineStr">
        <is>
          <t>SAFF &amp; CO</t>
        </is>
      </c>
      <c r="AK3669" t="n">
        <v>9</v>
      </c>
      <c r="AL3669" t="inlineStr">
        <is>
          <t>Miss Glam Jambi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SAFF &amp; CO</t>
        </is>
      </c>
      <c r="B3670" s="2">
        <f>"8997019519246"</f>
        <v/>
      </c>
      <c r="C3670" t="inlineStr">
        <is>
          <t>SAFF &amp; CO Extrait De Parfum Omnia 30ml</t>
        </is>
      </c>
      <c r="D3670" t="inlineStr">
        <is>
          <t>Miss Glam Jambi</t>
        </is>
      </c>
      <c r="E3670" t="n">
        <v>2</v>
      </c>
      <c r="F3670" t="n">
        <v>0.0462</v>
      </c>
      <c r="G3670" t="n">
        <v>0.33</v>
      </c>
      <c r="H3670" t="n">
        <v>6</v>
      </c>
      <c r="I3670" t="n">
        <v>12</v>
      </c>
      <c r="J3670" t="n">
        <v>3</v>
      </c>
      <c r="K3670" t="n">
        <v>0</v>
      </c>
      <c r="L3670" t="n">
        <v>141750</v>
      </c>
      <c r="M3670" t="n">
        <v>189000</v>
      </c>
      <c r="N3670" t="n">
        <v>33</v>
      </c>
      <c r="O3670" t="n">
        <v>0.33</v>
      </c>
      <c r="P3670" t="n">
        <v>1</v>
      </c>
      <c r="Q3670" t="n">
        <v>0.02</v>
      </c>
      <c r="R3670" t="n">
        <v>1</v>
      </c>
      <c r="S3670" t="n">
        <v>8731.800000000001</v>
      </c>
      <c r="T3670" t="n">
        <v>4</v>
      </c>
      <c r="U3670" t="n">
        <v>5</v>
      </c>
      <c r="V3670" t="n">
        <v>30</v>
      </c>
      <c r="W3670" t="n">
        <v>2</v>
      </c>
      <c r="X3670" t="n">
        <v>43.29004329004329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671</v>
      </c>
      <c r="AG3670" t="n">
        <v>107</v>
      </c>
      <c r="AH3670" t="inlineStr">
        <is>
          <t xml:space="preserve">CV. DAHLIA - PPN (PDG) </t>
        </is>
      </c>
      <c r="AI3670" t="n">
        <v>1680</v>
      </c>
      <c r="AJ3670" t="inlineStr">
        <is>
          <t>SAFF &amp; CO</t>
        </is>
      </c>
      <c r="AK3670" t="n">
        <v>9</v>
      </c>
      <c r="AL3670" t="inlineStr">
        <is>
          <t>Miss Glam Jambi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SAFF &amp; CO</t>
        </is>
      </c>
      <c r="B3671" s="2">
        <f>"8997019519369"</f>
        <v/>
      </c>
      <c r="C3671" t="inlineStr">
        <is>
          <t>SAFF &amp; CO Extrait De Parfum S.O.T.B 30ml</t>
        </is>
      </c>
      <c r="D3671" t="inlineStr">
        <is>
          <t>Miss Glam Jambi</t>
        </is>
      </c>
      <c r="E3671" t="n">
        <v>22</v>
      </c>
      <c r="F3671" t="n">
        <v>0.2013</v>
      </c>
      <c r="G3671" t="n">
        <v>0.99</v>
      </c>
      <c r="H3671" t="n">
        <v>6</v>
      </c>
      <c r="I3671" t="n">
        <v>12</v>
      </c>
      <c r="J3671" t="n">
        <v>3</v>
      </c>
      <c r="K3671" t="n">
        <v>0</v>
      </c>
      <c r="L3671" t="n">
        <v>186750</v>
      </c>
      <c r="M3671" t="n">
        <v>245000</v>
      </c>
      <c r="N3671" t="n">
        <v>33</v>
      </c>
      <c r="O3671" t="n">
        <v>0.33</v>
      </c>
      <c r="P3671" t="n">
        <v>1</v>
      </c>
      <c r="Q3671" t="n">
        <v>0.42</v>
      </c>
      <c r="R3671" t="n">
        <v>3</v>
      </c>
      <c r="S3671" t="n">
        <v>49318.5</v>
      </c>
      <c r="T3671" t="n">
        <v>11</v>
      </c>
      <c r="U3671" t="n">
        <v>13</v>
      </c>
      <c r="V3671" t="n">
        <v>30</v>
      </c>
      <c r="W3671" t="n">
        <v>7</v>
      </c>
      <c r="X3671" t="n">
        <v>109.2896174863388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671</v>
      </c>
      <c r="AG3671" t="n">
        <v>107</v>
      </c>
      <c r="AH3671" t="inlineStr">
        <is>
          <t xml:space="preserve">CV. DAHLIA - PPN (PDG) </t>
        </is>
      </c>
      <c r="AI3671" t="n">
        <v>1680</v>
      </c>
      <c r="AJ3671" t="inlineStr">
        <is>
          <t>SAFF &amp; CO</t>
        </is>
      </c>
      <c r="AK3671" t="n">
        <v>9</v>
      </c>
      <c r="AL3671" t="inlineStr">
        <is>
          <t>Miss Glam Jambi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SAFF &amp; CO</t>
        </is>
      </c>
      <c r="B3672" s="2">
        <f>"8997019519956"</f>
        <v/>
      </c>
      <c r="C3672" t="inlineStr">
        <is>
          <t>SAFF &amp; CO Iliad Extrait De Parfum 30ml</t>
        </is>
      </c>
      <c r="D3672" t="inlineStr">
        <is>
          <t>Miss Glam Jambi</t>
        </is>
      </c>
      <c r="E3672" t="n">
        <v>1</v>
      </c>
      <c r="F3672" t="n">
        <v>0.0165</v>
      </c>
      <c r="G3672" t="n">
        <v>0.33</v>
      </c>
      <c r="H3672" t="n">
        <v>6</v>
      </c>
      <c r="I3672" t="n">
        <v>12</v>
      </c>
      <c r="J3672" t="n">
        <v>3</v>
      </c>
      <c r="K3672" t="n">
        <v>0</v>
      </c>
      <c r="L3672" t="n">
        <v>171750</v>
      </c>
      <c r="M3672" t="n">
        <v>229000</v>
      </c>
      <c r="N3672" t="n">
        <v>33</v>
      </c>
      <c r="O3672" t="n">
        <v>0.33</v>
      </c>
      <c r="P3672" t="n">
        <v>1</v>
      </c>
      <c r="Q3672" t="n">
        <v>0.05</v>
      </c>
      <c r="R3672" t="n">
        <v>1</v>
      </c>
      <c r="S3672" t="n">
        <v>3778.5</v>
      </c>
      <c r="T3672" t="n">
        <v>4</v>
      </c>
      <c r="U3672" t="n">
        <v>5</v>
      </c>
      <c r="V3672" t="n">
        <v>30</v>
      </c>
      <c r="W3672" t="n">
        <v>1</v>
      </c>
      <c r="X3672" t="n">
        <v>60.6060606060606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671</v>
      </c>
      <c r="AG3672" t="n">
        <v>107</v>
      </c>
      <c r="AH3672" t="inlineStr">
        <is>
          <t xml:space="preserve">CV. DAHLIA - PPN (PDG) </t>
        </is>
      </c>
      <c r="AI3672" t="n">
        <v>1680</v>
      </c>
      <c r="AJ3672" t="inlineStr">
        <is>
          <t>SAFF &amp; CO</t>
        </is>
      </c>
      <c r="AK3672" t="n">
        <v>9</v>
      </c>
      <c r="AL3672" t="inlineStr">
        <is>
          <t>Miss Glam Jambi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SAFF &amp; CO</t>
        </is>
      </c>
      <c r="B3673" s="2">
        <f>"8997019519291"</f>
        <v/>
      </c>
      <c r="C3673" t="inlineStr">
        <is>
          <t>SAFF &amp; CO MIni Extrait De Parfum Chno 8ml</t>
        </is>
      </c>
      <c r="D3673" t="inlineStr">
        <is>
          <t>Miss Glam Jambi</t>
        </is>
      </c>
      <c r="E3673" t="n">
        <v>4</v>
      </c>
      <c r="F3673" t="n">
        <v>0.0165</v>
      </c>
      <c r="G3673" t="n">
        <v>0.33</v>
      </c>
      <c r="H3673" t="n">
        <v>6</v>
      </c>
      <c r="I3673" t="n">
        <v>12</v>
      </c>
      <c r="J3673" t="n">
        <v>3</v>
      </c>
      <c r="K3673" t="n">
        <v>0</v>
      </c>
      <c r="L3673" t="n">
        <v>59250</v>
      </c>
      <c r="M3673" t="n">
        <v>79000</v>
      </c>
      <c r="N3673" t="n">
        <v>33</v>
      </c>
      <c r="O3673" t="n">
        <v>0.33</v>
      </c>
      <c r="P3673" t="n">
        <v>1</v>
      </c>
      <c r="Q3673" t="n">
        <v>0.02</v>
      </c>
      <c r="R3673" t="n">
        <v>1</v>
      </c>
      <c r="S3673" t="n">
        <v>1303.5</v>
      </c>
      <c r="T3673" t="n">
        <v>4</v>
      </c>
      <c r="U3673" t="n">
        <v>5</v>
      </c>
      <c r="V3673" t="n">
        <v>30</v>
      </c>
      <c r="W3673" t="n">
        <v>1</v>
      </c>
      <c r="X3673" t="n">
        <v>242.4242424242424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671</v>
      </c>
      <c r="AG3673" t="n">
        <v>107</v>
      </c>
      <c r="AH3673" t="inlineStr">
        <is>
          <t xml:space="preserve">CV. DAHLIA - PPN (PDG) </t>
        </is>
      </c>
      <c r="AI3673" t="n">
        <v>1680</v>
      </c>
      <c r="AJ3673" t="inlineStr">
        <is>
          <t>SAFF &amp; CO</t>
        </is>
      </c>
      <c r="AK3673" t="n">
        <v>9</v>
      </c>
      <c r="AL3673" t="inlineStr">
        <is>
          <t>Miss Glam Jambi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SAFF &amp; CO</t>
        </is>
      </c>
      <c r="B3674" s="2">
        <f>"8997019519154"</f>
        <v/>
      </c>
      <c r="C3674" t="inlineStr">
        <is>
          <t>SAFF &amp; CO Mini Extrait De Parfum Irai Leima 8ml</t>
        </is>
      </c>
      <c r="D3674" t="inlineStr">
        <is>
          <t>Miss Glam Jambi</t>
        </is>
      </c>
      <c r="E3674" t="n">
        <v>5</v>
      </c>
      <c r="F3674" t="n">
        <v>0.0561</v>
      </c>
      <c r="G3674" t="n">
        <v>0.66</v>
      </c>
      <c r="H3674" t="n">
        <v>6</v>
      </c>
      <c r="I3674" t="n">
        <v>12</v>
      </c>
      <c r="J3674" t="n">
        <v>1</v>
      </c>
      <c r="K3674" t="n">
        <v>0</v>
      </c>
      <c r="L3674" t="n">
        <v>66750</v>
      </c>
      <c r="M3674" t="n">
        <v>89000</v>
      </c>
      <c r="N3674" t="n">
        <v>33</v>
      </c>
      <c r="O3674" t="n">
        <v>0.33</v>
      </c>
      <c r="P3674" t="n">
        <v>1</v>
      </c>
      <c r="Q3674" t="n">
        <v>0.07000000000000001</v>
      </c>
      <c r="R3674" t="n">
        <v>1</v>
      </c>
      <c r="S3674" t="n">
        <v>4992.900000000001</v>
      </c>
      <c r="T3674" t="n">
        <v>8</v>
      </c>
      <c r="U3674" t="n">
        <v>9</v>
      </c>
      <c r="V3674" t="n">
        <v>30</v>
      </c>
      <c r="W3674" t="n">
        <v>2</v>
      </c>
      <c r="X3674" t="n">
        <v>89.12655971479501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671</v>
      </c>
      <c r="AG3674" t="n">
        <v>107</v>
      </c>
      <c r="AH3674" t="inlineStr">
        <is>
          <t xml:space="preserve">CV. DAHLIA - PPN (PDG) </t>
        </is>
      </c>
      <c r="AI3674" t="n">
        <v>1680</v>
      </c>
      <c r="AJ3674" t="inlineStr">
        <is>
          <t>SAFF &amp; CO</t>
        </is>
      </c>
      <c r="AK3674" t="n">
        <v>9</v>
      </c>
      <c r="AL3674" t="inlineStr">
        <is>
          <t>Miss Glam Jambi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SAFF &amp; CO</t>
        </is>
      </c>
      <c r="B3675" s="2">
        <f>"8997019519376"</f>
        <v/>
      </c>
      <c r="C3675" t="inlineStr">
        <is>
          <t>SAFF &amp; CO MIni Extrait De Parfum S.O.T.B 8ml</t>
        </is>
      </c>
      <c r="D3675" t="inlineStr">
        <is>
          <t>Miss Glam Jambi</t>
        </is>
      </c>
      <c r="E3675" t="n">
        <v>4</v>
      </c>
      <c r="F3675" t="n">
        <v>0.07920000000000001</v>
      </c>
      <c r="G3675" t="n">
        <v>0.66</v>
      </c>
      <c r="H3675" t="n">
        <v>6</v>
      </c>
      <c r="I3675" t="n">
        <v>12</v>
      </c>
      <c r="J3675" t="n">
        <v>3</v>
      </c>
      <c r="K3675" t="n">
        <v>0</v>
      </c>
      <c r="L3675" t="n">
        <v>74250</v>
      </c>
      <c r="M3675" t="n">
        <v>99000</v>
      </c>
      <c r="N3675" t="n">
        <v>33</v>
      </c>
      <c r="O3675" t="n">
        <v>0.33</v>
      </c>
      <c r="P3675" t="n">
        <v>1</v>
      </c>
      <c r="Q3675" t="n">
        <v>0.07000000000000001</v>
      </c>
      <c r="R3675" t="n">
        <v>1</v>
      </c>
      <c r="S3675" t="n">
        <v>7840.800000000001</v>
      </c>
      <c r="T3675" t="n">
        <v>8</v>
      </c>
      <c r="U3675" t="n">
        <v>9</v>
      </c>
      <c r="V3675" t="n">
        <v>30</v>
      </c>
      <c r="W3675" t="n">
        <v>3</v>
      </c>
      <c r="X3675" t="n">
        <v>50.5050505050505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671</v>
      </c>
      <c r="AG3675" t="n">
        <v>107</v>
      </c>
      <c r="AH3675" t="inlineStr">
        <is>
          <t xml:space="preserve">CV. DAHLIA - PPN (PDG) </t>
        </is>
      </c>
      <c r="AI3675" t="n">
        <v>1680</v>
      </c>
      <c r="AJ3675" t="inlineStr">
        <is>
          <t>SAFF &amp; CO</t>
        </is>
      </c>
      <c r="AK3675" t="n">
        <v>9</v>
      </c>
      <c r="AL3675" t="inlineStr">
        <is>
          <t>Miss Glam Jambi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SAFF &amp; CO</t>
        </is>
      </c>
      <c r="B3676" s="2">
        <f>"8997019519499"</f>
        <v/>
      </c>
      <c r="C3676" t="inlineStr">
        <is>
          <t>SAFF &amp; CO Mini Ostara 8ml</t>
        </is>
      </c>
      <c r="D3676" t="inlineStr">
        <is>
          <t>Miss Glam Jambi</t>
        </is>
      </c>
      <c r="E3676" t="n">
        <v>3</v>
      </c>
      <c r="F3676" t="n">
        <v>0.0264</v>
      </c>
      <c r="G3676" t="n">
        <v>0.66</v>
      </c>
      <c r="H3676" t="n">
        <v>6</v>
      </c>
      <c r="I3676" t="n">
        <v>12</v>
      </c>
      <c r="J3676" t="n">
        <v>3</v>
      </c>
      <c r="K3676" t="n">
        <v>0</v>
      </c>
      <c r="L3676" t="n">
        <v>66750</v>
      </c>
      <c r="M3676" t="n">
        <v>89000</v>
      </c>
      <c r="N3676" t="n">
        <v>33</v>
      </c>
      <c r="O3676" t="n">
        <v>0.33</v>
      </c>
      <c r="P3676" t="n">
        <v>1</v>
      </c>
      <c r="Q3676" t="n">
        <v>0.07000000000000001</v>
      </c>
      <c r="R3676" t="n">
        <v>2</v>
      </c>
      <c r="S3676" t="n">
        <v>2349.6</v>
      </c>
      <c r="T3676" t="n">
        <v>8</v>
      </c>
      <c r="U3676" t="n">
        <v>9</v>
      </c>
      <c r="V3676" t="n">
        <v>30</v>
      </c>
      <c r="W3676" t="n">
        <v>1</v>
      </c>
      <c r="X3676" t="n">
        <v>113.6363636363636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671</v>
      </c>
      <c r="AG3676" t="n">
        <v>107</v>
      </c>
      <c r="AH3676" t="inlineStr">
        <is>
          <t xml:space="preserve">CV. DAHLIA - PPN (PDG) </t>
        </is>
      </c>
      <c r="AI3676" t="n">
        <v>1680</v>
      </c>
      <c r="AJ3676" t="inlineStr">
        <is>
          <t>SAFF &amp; CO</t>
        </is>
      </c>
      <c r="AK3676" t="n">
        <v>9</v>
      </c>
      <c r="AL3676" t="inlineStr">
        <is>
          <t>Miss Glam Jambi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SAFF &amp; CO</t>
        </is>
      </c>
      <c r="B3677" s="2">
        <f>"8997019519772"</f>
        <v/>
      </c>
      <c r="C3677" t="inlineStr">
        <is>
          <t>SAFF &amp; CO Mini Size Parfum Cascavel 8ml</t>
        </is>
      </c>
      <c r="D3677" t="inlineStr">
        <is>
          <t>Miss Glam Jambi</t>
        </is>
      </c>
      <c r="E3677" t="n">
        <v>5</v>
      </c>
      <c r="F3677" t="n">
        <v>0.02</v>
      </c>
      <c r="G3677" t="n">
        <v>1</v>
      </c>
      <c r="H3677" t="n">
        <v>6</v>
      </c>
      <c r="I3677" t="n">
        <v>12</v>
      </c>
      <c r="J3677" t="n">
        <v>3</v>
      </c>
      <c r="K3677" t="n">
        <v>0</v>
      </c>
      <c r="L3677" t="n">
        <v>36750</v>
      </c>
      <c r="M3677" t="n">
        <v>49000</v>
      </c>
      <c r="N3677" t="n">
        <v>33</v>
      </c>
      <c r="O3677" t="n">
        <v>0.33</v>
      </c>
      <c r="P3677" t="n">
        <v>0</v>
      </c>
      <c r="Q3677" t="n">
        <v>0.02</v>
      </c>
      <c r="R3677" t="n">
        <v>1</v>
      </c>
      <c r="S3677" t="n">
        <v>980</v>
      </c>
      <c r="T3677" t="n">
        <v>12</v>
      </c>
      <c r="U3677" t="n">
        <v>13</v>
      </c>
      <c r="V3677" t="n">
        <v>30</v>
      </c>
      <c r="W3677" t="n">
        <v>1</v>
      </c>
      <c r="X3677" t="n">
        <v>250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671</v>
      </c>
      <c r="AG3677" t="n">
        <v>107</v>
      </c>
      <c r="AH3677" t="inlineStr">
        <is>
          <t xml:space="preserve">CV. DAHLIA - PPN (PDG) </t>
        </is>
      </c>
      <c r="AI3677" t="n">
        <v>1680</v>
      </c>
      <c r="AJ3677" t="inlineStr">
        <is>
          <t>SAFF &amp; CO</t>
        </is>
      </c>
      <c r="AK3677" t="n">
        <v>9</v>
      </c>
      <c r="AL3677" t="inlineStr">
        <is>
          <t>Miss Glam Jambi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SAFF &amp; CO</t>
        </is>
      </c>
      <c r="B3678" s="2">
        <f>"8997019519314"</f>
        <v/>
      </c>
      <c r="C3678" t="inlineStr">
        <is>
          <t>SAFF &amp; CO Mini Size Parfum Coco 8ml</t>
        </is>
      </c>
      <c r="D3678" t="inlineStr">
        <is>
          <t>Miss Glam Jambi</t>
        </is>
      </c>
      <c r="E3678" t="n">
        <v>4</v>
      </c>
      <c r="F3678" t="n">
        <v>0.006600000000000001</v>
      </c>
      <c r="G3678" t="n">
        <v>0.33</v>
      </c>
      <c r="H3678" t="n">
        <v>6</v>
      </c>
      <c r="I3678" t="n">
        <v>12</v>
      </c>
      <c r="J3678" t="n">
        <v>3</v>
      </c>
      <c r="K3678" t="n">
        <v>0</v>
      </c>
      <c r="L3678" t="n">
        <v>59250</v>
      </c>
      <c r="M3678" t="n">
        <v>79000</v>
      </c>
      <c r="N3678" t="n">
        <v>33</v>
      </c>
      <c r="O3678" t="n">
        <v>0.33</v>
      </c>
      <c r="P3678" t="n">
        <v>1</v>
      </c>
      <c r="Q3678" t="n">
        <v>0.02</v>
      </c>
      <c r="R3678" t="n">
        <v>1</v>
      </c>
      <c r="S3678" t="n">
        <v>521.4000000000001</v>
      </c>
      <c r="T3678" t="n">
        <v>4</v>
      </c>
      <c r="U3678" t="n">
        <v>5</v>
      </c>
      <c r="V3678" t="n">
        <v>30</v>
      </c>
      <c r="W3678" t="n">
        <v>1</v>
      </c>
      <c r="X3678" t="n">
        <v>606.060606060606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671</v>
      </c>
      <c r="AG3678" t="n">
        <v>107</v>
      </c>
      <c r="AH3678" t="inlineStr">
        <is>
          <t xml:space="preserve">CV. DAHLIA - PPN (PDG) </t>
        </is>
      </c>
      <c r="AI3678" t="n">
        <v>1680</v>
      </c>
      <c r="AJ3678" t="inlineStr">
        <is>
          <t>SAFF &amp; CO</t>
        </is>
      </c>
      <c r="AK3678" t="n">
        <v>9</v>
      </c>
      <c r="AL3678" t="inlineStr">
        <is>
          <t>Miss Glam Jambi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SAFF &amp; CO</t>
        </is>
      </c>
      <c r="B3679" s="2">
        <f>"8997019519970"</f>
        <v/>
      </c>
      <c r="C3679" t="inlineStr">
        <is>
          <t>SAFF &amp; CO Mini Size Parfum Iliad 8ml</t>
        </is>
      </c>
      <c r="D3679" t="inlineStr">
        <is>
          <t>Miss Glam Jambi</t>
        </is>
      </c>
      <c r="E3679" t="n">
        <v>6</v>
      </c>
      <c r="F3679" t="n">
        <v>0.02</v>
      </c>
      <c r="G3679" t="n">
        <v>0</v>
      </c>
      <c r="H3679" t="n">
        <v>6</v>
      </c>
      <c r="I3679" t="n">
        <v>12</v>
      </c>
      <c r="J3679" t="n">
        <v>3</v>
      </c>
      <c r="K3679" t="n">
        <v>0</v>
      </c>
      <c r="L3679" t="n">
        <v>66750</v>
      </c>
      <c r="M3679" t="n">
        <v>89000</v>
      </c>
      <c r="N3679" t="n">
        <v>33</v>
      </c>
      <c r="O3679" t="n">
        <v>0.33</v>
      </c>
      <c r="P3679" t="n">
        <v>0</v>
      </c>
      <c r="Q3679" t="n">
        <v>0.02</v>
      </c>
      <c r="R3679" t="n">
        <v>0</v>
      </c>
      <c r="S3679" t="n">
        <v>1780</v>
      </c>
      <c r="T3679" t="n">
        <v>0</v>
      </c>
      <c r="U3679" t="n">
        <v>1</v>
      </c>
      <c r="V3679" t="n">
        <v>30</v>
      </c>
      <c r="W3679" t="n">
        <v>1</v>
      </c>
      <c r="X3679" t="n">
        <v>300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671</v>
      </c>
      <c r="AG3679" t="n">
        <v>107</v>
      </c>
      <c r="AH3679" t="inlineStr">
        <is>
          <t xml:space="preserve">CV. DAHLIA - PPN (PDG) </t>
        </is>
      </c>
      <c r="AI3679" t="n">
        <v>1680</v>
      </c>
      <c r="AJ3679" t="inlineStr">
        <is>
          <t>SAFF &amp; CO</t>
        </is>
      </c>
      <c r="AK3679" t="n">
        <v>9</v>
      </c>
      <c r="AL3679" t="inlineStr">
        <is>
          <t>Miss Glam Jambi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SAFF &amp; CO</t>
        </is>
      </c>
      <c r="B3680" s="2">
        <f>"8997019519819"</f>
        <v/>
      </c>
      <c r="C3680" t="inlineStr">
        <is>
          <t>SAFF &amp; CO Mini Size Parfum Las Pozas 8ml</t>
        </is>
      </c>
      <c r="D3680" t="inlineStr">
        <is>
          <t>Miss Glam Jambi</t>
        </is>
      </c>
      <c r="E3680" t="n">
        <v>4</v>
      </c>
      <c r="F3680" t="n">
        <v>0.009900000000000001</v>
      </c>
      <c r="G3680" t="n">
        <v>0.33</v>
      </c>
      <c r="H3680" t="n">
        <v>6</v>
      </c>
      <c r="I3680" t="n">
        <v>12</v>
      </c>
      <c r="J3680" t="n">
        <v>3</v>
      </c>
      <c r="K3680" t="n">
        <v>0</v>
      </c>
      <c r="L3680" t="n">
        <v>66750</v>
      </c>
      <c r="M3680" t="n">
        <v>89000</v>
      </c>
      <c r="N3680" t="n">
        <v>33</v>
      </c>
      <c r="O3680" t="n">
        <v>0.33</v>
      </c>
      <c r="P3680" t="n">
        <v>1</v>
      </c>
      <c r="Q3680" t="n">
        <v>0.03</v>
      </c>
      <c r="R3680" t="n">
        <v>1</v>
      </c>
      <c r="S3680" t="n">
        <v>881.1</v>
      </c>
      <c r="T3680" t="n">
        <v>4</v>
      </c>
      <c r="U3680" t="n">
        <v>5</v>
      </c>
      <c r="V3680" t="n">
        <v>30</v>
      </c>
      <c r="W3680" t="n">
        <v>1</v>
      </c>
      <c r="X3680" t="n">
        <v>404.040404040404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671</v>
      </c>
      <c r="AG3680" t="n">
        <v>107</v>
      </c>
      <c r="AH3680" t="inlineStr">
        <is>
          <t xml:space="preserve">CV. DAHLIA - PPN (PDG) </t>
        </is>
      </c>
      <c r="AI3680" t="n">
        <v>1680</v>
      </c>
      <c r="AJ3680" t="inlineStr">
        <is>
          <t>SAFF &amp; CO</t>
        </is>
      </c>
      <c r="AK3680" t="n">
        <v>9</v>
      </c>
      <c r="AL3680" t="inlineStr">
        <is>
          <t>Miss Glam Jambi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SAFF &amp; CO</t>
        </is>
      </c>
      <c r="B3681" s="2">
        <f>"8997019519277"</f>
        <v/>
      </c>
      <c r="C3681" t="inlineStr">
        <is>
          <t>SAFF &amp; CO Mini Size Parfum Loui 8ml</t>
        </is>
      </c>
      <c r="D3681" t="inlineStr">
        <is>
          <t>Miss Glam Jambi</t>
        </is>
      </c>
      <c r="E3681" t="n">
        <v>7</v>
      </c>
      <c r="F3681" t="n">
        <v>0.0264</v>
      </c>
      <c r="G3681" t="n">
        <v>0.33</v>
      </c>
      <c r="H3681" t="n">
        <v>6</v>
      </c>
      <c r="I3681" t="n">
        <v>12</v>
      </c>
      <c r="J3681" t="n">
        <v>3</v>
      </c>
      <c r="K3681" t="n">
        <v>0</v>
      </c>
      <c r="L3681" t="n">
        <v>59250</v>
      </c>
      <c r="M3681" t="n">
        <v>79000</v>
      </c>
      <c r="N3681" t="n">
        <v>33</v>
      </c>
      <c r="O3681" t="n">
        <v>0.33</v>
      </c>
      <c r="P3681" t="n">
        <v>1</v>
      </c>
      <c r="Q3681" t="n">
        <v>0.08</v>
      </c>
      <c r="R3681" t="n">
        <v>1</v>
      </c>
      <c r="S3681" t="n">
        <v>2085.6</v>
      </c>
      <c r="T3681" t="n">
        <v>4</v>
      </c>
      <c r="U3681" t="n">
        <v>5</v>
      </c>
      <c r="V3681" t="n">
        <v>30</v>
      </c>
      <c r="W3681" t="n">
        <v>1</v>
      </c>
      <c r="X3681" t="n">
        <v>265.1515151515151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671</v>
      </c>
      <c r="AG3681" t="n">
        <v>107</v>
      </c>
      <c r="AH3681" t="inlineStr">
        <is>
          <t xml:space="preserve">CV. DAHLIA - PPN (PDG) </t>
        </is>
      </c>
      <c r="AI3681" t="n">
        <v>1680</v>
      </c>
      <c r="AJ3681" t="inlineStr">
        <is>
          <t>SAFF &amp; CO</t>
        </is>
      </c>
      <c r="AK3681" t="n">
        <v>9</v>
      </c>
      <c r="AL3681" t="inlineStr">
        <is>
          <t>Miss Glam Jambi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SAFF &amp; CO</t>
        </is>
      </c>
      <c r="B3682" s="2">
        <f>"8997019519253"</f>
        <v/>
      </c>
      <c r="C3682" t="inlineStr">
        <is>
          <t>SAFF &amp; CO Mini Size Parfum Omnia 8ml</t>
        </is>
      </c>
      <c r="D3682" t="inlineStr">
        <is>
          <t>Miss Glam Jambi</t>
        </is>
      </c>
      <c r="E3682" t="n">
        <v>4</v>
      </c>
      <c r="F3682" t="n">
        <v>0.0165</v>
      </c>
      <c r="G3682" t="n">
        <v>0.33</v>
      </c>
      <c r="H3682" t="n">
        <v>6</v>
      </c>
      <c r="I3682" t="n">
        <v>12</v>
      </c>
      <c r="J3682" t="n">
        <v>3</v>
      </c>
      <c r="K3682" t="n">
        <v>0</v>
      </c>
      <c r="L3682" t="n">
        <v>36751</v>
      </c>
      <c r="M3682" t="n">
        <v>49000</v>
      </c>
      <c r="N3682" t="n">
        <v>33</v>
      </c>
      <c r="O3682" t="n">
        <v>0.33</v>
      </c>
      <c r="P3682" t="n">
        <v>1</v>
      </c>
      <c r="Q3682" t="n">
        <v>0.02</v>
      </c>
      <c r="R3682" t="n">
        <v>1</v>
      </c>
      <c r="S3682" t="n">
        <v>808.5</v>
      </c>
      <c r="T3682" t="n">
        <v>4</v>
      </c>
      <c r="U3682" t="n">
        <v>5</v>
      </c>
      <c r="V3682" t="n">
        <v>30</v>
      </c>
      <c r="W3682" t="n">
        <v>1</v>
      </c>
      <c r="X3682" t="n">
        <v>242.4242424242424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671</v>
      </c>
      <c r="AG3682" t="n">
        <v>107</v>
      </c>
      <c r="AH3682" t="inlineStr">
        <is>
          <t xml:space="preserve">CV. DAHLIA - PPN (PDG) </t>
        </is>
      </c>
      <c r="AI3682" t="n">
        <v>1680</v>
      </c>
      <c r="AJ3682" t="inlineStr">
        <is>
          <t>SAFF &amp; CO</t>
        </is>
      </c>
      <c r="AK3682" t="n">
        <v>9</v>
      </c>
      <c r="AL3682" t="inlineStr">
        <is>
          <t>Miss Glam Jambi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SAFF &amp; CO</t>
        </is>
      </c>
      <c r="B3683" s="2">
        <f>"8997019519390"</f>
        <v/>
      </c>
      <c r="C3683" t="inlineStr">
        <is>
          <t>SAFF &amp; CO Mini Size Parfum Troupe 8ml</t>
        </is>
      </c>
      <c r="D3683" t="inlineStr">
        <is>
          <t>Miss Glam Jambi</t>
        </is>
      </c>
      <c r="E3683" t="n">
        <v>3</v>
      </c>
      <c r="F3683" t="n">
        <v>0.03</v>
      </c>
      <c r="G3683" t="n">
        <v>1</v>
      </c>
      <c r="H3683" t="n">
        <v>6</v>
      </c>
      <c r="I3683" t="n">
        <v>12</v>
      </c>
      <c r="J3683" t="n">
        <v>3</v>
      </c>
      <c r="K3683" t="n">
        <v>0</v>
      </c>
      <c r="L3683" t="n">
        <v>36750</v>
      </c>
      <c r="M3683" t="n">
        <v>49000</v>
      </c>
      <c r="N3683" t="n">
        <v>33</v>
      </c>
      <c r="O3683" t="n">
        <v>0.33</v>
      </c>
      <c r="P3683" t="n">
        <v>0</v>
      </c>
      <c r="Q3683" t="n">
        <v>0.03</v>
      </c>
      <c r="R3683" t="n">
        <v>1</v>
      </c>
      <c r="S3683" t="n">
        <v>1470</v>
      </c>
      <c r="T3683" t="n">
        <v>12</v>
      </c>
      <c r="U3683" t="n">
        <v>13</v>
      </c>
      <c r="V3683" t="n">
        <v>30</v>
      </c>
      <c r="W3683" t="n">
        <v>1</v>
      </c>
      <c r="X3683" t="n">
        <v>100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671</v>
      </c>
      <c r="AG3683" t="n">
        <v>107</v>
      </c>
      <c r="AH3683" t="inlineStr">
        <is>
          <t xml:space="preserve">CV. DAHLIA - PPN (PDG) </t>
        </is>
      </c>
      <c r="AI3683" t="n">
        <v>1680</v>
      </c>
      <c r="AJ3683" t="inlineStr">
        <is>
          <t>SAFF &amp; CO</t>
        </is>
      </c>
      <c r="AK3683" t="n">
        <v>9</v>
      </c>
      <c r="AL3683" t="inlineStr">
        <is>
          <t>Miss Glam Jambi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SAFF &amp; CO</t>
        </is>
      </c>
      <c r="B3684" s="2">
        <f>"8997019519949"</f>
        <v/>
      </c>
      <c r="C3684" t="inlineStr">
        <is>
          <t>SAFF &amp; CO Mini Size Parfum Xocolatl 8ml</t>
        </is>
      </c>
      <c r="D3684" t="inlineStr">
        <is>
          <t>Miss Glam Jambi</t>
        </is>
      </c>
      <c r="E3684" t="n">
        <v>4</v>
      </c>
      <c r="F3684" t="n">
        <v>0.033</v>
      </c>
      <c r="G3684" t="n">
        <v>0.66</v>
      </c>
      <c r="H3684" t="n">
        <v>6</v>
      </c>
      <c r="I3684" t="n">
        <v>12</v>
      </c>
      <c r="J3684" t="n">
        <v>3</v>
      </c>
      <c r="K3684" t="n">
        <v>0</v>
      </c>
      <c r="L3684" t="n">
        <v>66750</v>
      </c>
      <c r="M3684" t="n">
        <v>89000</v>
      </c>
      <c r="N3684" t="n">
        <v>33</v>
      </c>
      <c r="O3684" t="n">
        <v>0.33</v>
      </c>
      <c r="P3684" t="n">
        <v>1</v>
      </c>
      <c r="Q3684" t="n">
        <v>0.08</v>
      </c>
      <c r="R3684" t="n">
        <v>1</v>
      </c>
      <c r="S3684" t="n">
        <v>2937</v>
      </c>
      <c r="T3684" t="n">
        <v>8</v>
      </c>
      <c r="U3684" t="n">
        <v>9</v>
      </c>
      <c r="V3684" t="n">
        <v>30</v>
      </c>
      <c r="W3684" t="n">
        <v>1</v>
      </c>
      <c r="X3684" t="n">
        <v>121.2121212121212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671</v>
      </c>
      <c r="AG3684" t="n">
        <v>107</v>
      </c>
      <c r="AH3684" t="inlineStr">
        <is>
          <t xml:space="preserve">CV. DAHLIA - PPN (PDG) </t>
        </is>
      </c>
      <c r="AI3684" t="n">
        <v>1680</v>
      </c>
      <c r="AJ3684" t="inlineStr">
        <is>
          <t>SAFF &amp; CO</t>
        </is>
      </c>
      <c r="AK3684" t="n">
        <v>9</v>
      </c>
      <c r="AL3684" t="inlineStr">
        <is>
          <t>Miss Glam Jambi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SAFF &amp; CO</t>
        </is>
      </c>
      <c r="B3685" s="2">
        <f>"8997019519482"</f>
        <v/>
      </c>
      <c r="C3685" t="inlineStr">
        <is>
          <t>SAFF &amp; CO Ostara Extrait De Parfum 30ml</t>
        </is>
      </c>
      <c r="D3685" t="inlineStr">
        <is>
          <t>Miss Glam Jambi</t>
        </is>
      </c>
      <c r="E3685" t="n">
        <v>5</v>
      </c>
      <c r="F3685" t="n">
        <v>0.066</v>
      </c>
      <c r="G3685" t="n">
        <v>0.66</v>
      </c>
      <c r="H3685" t="n">
        <v>6</v>
      </c>
      <c r="I3685" t="n">
        <v>12</v>
      </c>
      <c r="J3685" t="n">
        <v>3</v>
      </c>
      <c r="K3685" t="n">
        <v>0</v>
      </c>
      <c r="L3685" t="n">
        <v>164250</v>
      </c>
      <c r="M3685" t="n">
        <v>219000</v>
      </c>
      <c r="N3685" t="n">
        <v>33</v>
      </c>
      <c r="O3685" t="n">
        <v>0.33</v>
      </c>
      <c r="P3685" t="n">
        <v>1</v>
      </c>
      <c r="Q3685" t="n">
        <v>0.03</v>
      </c>
      <c r="R3685" t="n">
        <v>1</v>
      </c>
      <c r="S3685" t="n">
        <v>14454</v>
      </c>
      <c r="T3685" t="n">
        <v>8</v>
      </c>
      <c r="U3685" t="n">
        <v>9</v>
      </c>
      <c r="V3685" t="n">
        <v>30</v>
      </c>
      <c r="W3685" t="n">
        <v>2</v>
      </c>
      <c r="X3685" t="n">
        <v>75.75757575757575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671</v>
      </c>
      <c r="AG3685" t="n">
        <v>107</v>
      </c>
      <c r="AH3685" t="inlineStr">
        <is>
          <t xml:space="preserve">CV. DAHLIA - PPN (PDG) </t>
        </is>
      </c>
      <c r="AI3685" t="n">
        <v>1680</v>
      </c>
      <c r="AJ3685" t="inlineStr">
        <is>
          <t>SAFF &amp; CO</t>
        </is>
      </c>
      <c r="AK3685" t="n">
        <v>9</v>
      </c>
      <c r="AL3685" t="inlineStr">
        <is>
          <t>Miss Glam Jambi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SAFF &amp; CO</t>
        </is>
      </c>
      <c r="B3686" s="2">
        <f>"8997019519321"</f>
        <v/>
      </c>
      <c r="C3686" t="inlineStr">
        <is>
          <t>SAFF &amp; CO Saff Extrait De Parfum 30ml</t>
        </is>
      </c>
      <c r="D3686" t="inlineStr">
        <is>
          <t>Miss Glam Jambi</t>
        </is>
      </c>
      <c r="E3686" t="n">
        <v>1</v>
      </c>
      <c r="F3686" t="n">
        <v>0.0264</v>
      </c>
      <c r="G3686" t="n">
        <v>0.33</v>
      </c>
      <c r="H3686" t="n">
        <v>6</v>
      </c>
      <c r="I3686" t="n">
        <v>12</v>
      </c>
      <c r="J3686" t="n">
        <v>3</v>
      </c>
      <c r="K3686" t="n">
        <v>0</v>
      </c>
      <c r="L3686" t="n">
        <v>171750</v>
      </c>
      <c r="M3686" t="n">
        <v>228000</v>
      </c>
      <c r="N3686" t="n">
        <v>33</v>
      </c>
      <c r="O3686" t="n">
        <v>0.33</v>
      </c>
      <c r="P3686" t="n">
        <v>1</v>
      </c>
      <c r="Q3686" t="n">
        <v>0.08</v>
      </c>
      <c r="R3686" t="n">
        <v>1</v>
      </c>
      <c r="S3686" t="n">
        <v>6019.200000000001</v>
      </c>
      <c r="T3686" t="n">
        <v>4</v>
      </c>
      <c r="U3686" t="n">
        <v>5</v>
      </c>
      <c r="V3686" t="n">
        <v>30</v>
      </c>
      <c r="W3686" t="n">
        <v>1</v>
      </c>
      <c r="X3686" t="n">
        <v>37.87878787878788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671</v>
      </c>
      <c r="AG3686" t="n">
        <v>107</v>
      </c>
      <c r="AH3686" t="inlineStr">
        <is>
          <t xml:space="preserve">CV. DAHLIA - PPN (PDG) </t>
        </is>
      </c>
      <c r="AI3686" t="n">
        <v>1680</v>
      </c>
      <c r="AJ3686" t="inlineStr">
        <is>
          <t>SAFF &amp; CO</t>
        </is>
      </c>
      <c r="AK3686" t="n">
        <v>9</v>
      </c>
      <c r="AL3686" t="inlineStr">
        <is>
          <t>Miss Glam Jambi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SAFF &amp; CO</t>
        </is>
      </c>
      <c r="B3687" s="2">
        <f>"8997019519659"</f>
        <v/>
      </c>
      <c r="C3687" t="inlineStr">
        <is>
          <t>SAFF &amp; CO Solaris 8ml</t>
        </is>
      </c>
      <c r="D3687" t="inlineStr">
        <is>
          <t>Miss Glam Jambi</t>
        </is>
      </c>
      <c r="E3687" t="n">
        <v>4</v>
      </c>
      <c r="F3687" t="n">
        <v>0.006600000000000001</v>
      </c>
      <c r="G3687" t="n">
        <v>0.33</v>
      </c>
      <c r="H3687" t="n">
        <v>6</v>
      </c>
      <c r="I3687" t="n">
        <v>12</v>
      </c>
      <c r="J3687" t="n">
        <v>3</v>
      </c>
      <c r="K3687" t="n">
        <v>0</v>
      </c>
      <c r="L3687" t="n">
        <v>41250</v>
      </c>
      <c r="M3687" t="n">
        <v>55000</v>
      </c>
      <c r="N3687" t="n">
        <v>33</v>
      </c>
      <c r="O3687" t="n">
        <v>0.33</v>
      </c>
      <c r="P3687" t="n">
        <v>1</v>
      </c>
      <c r="Q3687" t="n">
        <v>0.02</v>
      </c>
      <c r="R3687" t="n">
        <v>1</v>
      </c>
      <c r="S3687" t="n">
        <v>363.0000000000001</v>
      </c>
      <c r="T3687" t="n">
        <v>4</v>
      </c>
      <c r="U3687" t="n">
        <v>5</v>
      </c>
      <c r="V3687" t="n">
        <v>30</v>
      </c>
      <c r="W3687" t="n">
        <v>1</v>
      </c>
      <c r="X3687" t="n">
        <v>606.060606060606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671</v>
      </c>
      <c r="AG3687" t="n">
        <v>107</v>
      </c>
      <c r="AH3687" t="inlineStr">
        <is>
          <t xml:space="preserve">CV. DAHLIA - PPN (PDG) </t>
        </is>
      </c>
      <c r="AI3687" t="n">
        <v>1680</v>
      </c>
      <c r="AJ3687" t="inlineStr">
        <is>
          <t>SAFF &amp; CO</t>
        </is>
      </c>
      <c r="AK3687" t="n">
        <v>9</v>
      </c>
      <c r="AL3687" t="inlineStr">
        <is>
          <t>Miss Glam Jambi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SAFF &amp; CO</t>
        </is>
      </c>
      <c r="B3688" s="2">
        <f>"8997015191576"</f>
        <v/>
      </c>
      <c r="C3688" t="inlineStr">
        <is>
          <t>SAFF &amp; CO Sonnet 116 Cloud Mist 150ml</t>
        </is>
      </c>
      <c r="D3688" t="inlineStr">
        <is>
          <t>Miss Glam Jambi</t>
        </is>
      </c>
      <c r="E3688" t="n">
        <v>6</v>
      </c>
      <c r="F3688" t="n">
        <v>0.02</v>
      </c>
      <c r="G3688" t="n">
        <v>1</v>
      </c>
      <c r="H3688" t="n">
        <v>6</v>
      </c>
      <c r="I3688" t="n">
        <v>12</v>
      </c>
      <c r="J3688" t="n">
        <v>3</v>
      </c>
      <c r="K3688" t="n">
        <v>0</v>
      </c>
      <c r="L3688" t="n">
        <v>119250</v>
      </c>
      <c r="M3688" t="n">
        <v>159000</v>
      </c>
      <c r="N3688" t="n">
        <v>33</v>
      </c>
      <c r="O3688" t="n">
        <v>0.33</v>
      </c>
      <c r="P3688" t="n">
        <v>0</v>
      </c>
      <c r="Q3688" t="n">
        <v>0.02</v>
      </c>
      <c r="R3688" t="n">
        <v>1</v>
      </c>
      <c r="S3688" t="n">
        <v>3180</v>
      </c>
      <c r="T3688" t="n">
        <v>12</v>
      </c>
      <c r="U3688" t="n">
        <v>13</v>
      </c>
      <c r="V3688" t="n">
        <v>30</v>
      </c>
      <c r="W3688" t="n">
        <v>1</v>
      </c>
      <c r="X3688" t="n">
        <v>300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671</v>
      </c>
      <c r="AG3688" t="n">
        <v>107</v>
      </c>
      <c r="AH3688" t="inlineStr">
        <is>
          <t xml:space="preserve">CV. DAHLIA - PPN (PDG) </t>
        </is>
      </c>
      <c r="AI3688" t="n">
        <v>1680</v>
      </c>
      <c r="AJ3688" t="inlineStr">
        <is>
          <t>SAFF &amp; CO</t>
        </is>
      </c>
      <c r="AK3688" t="n">
        <v>9</v>
      </c>
      <c r="AL3688" t="inlineStr">
        <is>
          <t>Miss Glam Jambi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SAFF &amp; CO</t>
        </is>
      </c>
      <c r="B3689" s="2">
        <f>"8997019519925"</f>
        <v/>
      </c>
      <c r="C3689" t="inlineStr">
        <is>
          <t>SAFF &amp; CO Xocolatl Extrait De Parfum 35ml</t>
        </is>
      </c>
      <c r="D3689" t="inlineStr">
        <is>
          <t>Miss Glam Jambi</t>
        </is>
      </c>
      <c r="E3689" t="n">
        <v>9</v>
      </c>
      <c r="F3689" t="n">
        <v>0.033</v>
      </c>
      <c r="G3689" t="n">
        <v>0.33</v>
      </c>
      <c r="H3689" t="n">
        <v>6</v>
      </c>
      <c r="I3689" t="n">
        <v>12</v>
      </c>
      <c r="J3689" t="n">
        <v>3</v>
      </c>
      <c r="K3689" t="n">
        <v>0</v>
      </c>
      <c r="L3689" t="n">
        <v>171750</v>
      </c>
      <c r="M3689" t="n">
        <v>228000</v>
      </c>
      <c r="N3689" t="n">
        <v>33</v>
      </c>
      <c r="O3689" t="n">
        <v>0.33</v>
      </c>
      <c r="P3689" t="n">
        <v>1</v>
      </c>
      <c r="Q3689" t="n">
        <v>0.1</v>
      </c>
      <c r="R3689" t="n">
        <v>1</v>
      </c>
      <c r="S3689" t="n">
        <v>7524</v>
      </c>
      <c r="T3689" t="n">
        <v>4</v>
      </c>
      <c r="U3689" t="n">
        <v>5</v>
      </c>
      <c r="V3689" t="n">
        <v>30</v>
      </c>
      <c r="W3689" t="n">
        <v>1</v>
      </c>
      <c r="X3689" t="n">
        <v>272.7272727272727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671</v>
      </c>
      <c r="AG3689" t="n">
        <v>107</v>
      </c>
      <c r="AH3689" t="inlineStr">
        <is>
          <t xml:space="preserve">CV. DAHLIA - PPN (PDG) </t>
        </is>
      </c>
      <c r="AI3689" t="n">
        <v>1680</v>
      </c>
      <c r="AJ3689" t="inlineStr">
        <is>
          <t>SAFF &amp; CO</t>
        </is>
      </c>
      <c r="AK3689" t="n">
        <v>9</v>
      </c>
      <c r="AL3689" t="inlineStr">
        <is>
          <t>Miss Glam Jambi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SAFI</t>
        </is>
      </c>
      <c r="B3690" s="2">
        <f>"8992856902749"</f>
        <v/>
      </c>
      <c r="C3690" t="inlineStr">
        <is>
          <t>SAFI Acne Expert Clarifying 2In1 Cleanser 150ml</t>
        </is>
      </c>
      <c r="D3690" t="inlineStr">
        <is>
          <t>Miss Glam Jambi</t>
        </is>
      </c>
      <c r="E3690" t="n">
        <v>3</v>
      </c>
      <c r="F3690" t="n">
        <v>0.0264</v>
      </c>
      <c r="G3690" t="n">
        <v>0.33</v>
      </c>
      <c r="H3690" t="n">
        <v>4</v>
      </c>
      <c r="I3690" t="n">
        <v>28</v>
      </c>
      <c r="J3690" t="n">
        <v>3</v>
      </c>
      <c r="K3690" t="n">
        <v>0</v>
      </c>
      <c r="L3690" t="n">
        <v>44738</v>
      </c>
      <c r="M3690" t="n">
        <v>59000</v>
      </c>
      <c r="N3690" t="n">
        <v>33</v>
      </c>
      <c r="O3690" t="n">
        <v>0.33</v>
      </c>
      <c r="P3690" t="n">
        <v>1</v>
      </c>
      <c r="Q3690" t="n">
        <v>0.03</v>
      </c>
      <c r="R3690" t="n">
        <v>1</v>
      </c>
      <c r="S3690" t="n">
        <v>1557.6</v>
      </c>
      <c r="T3690" t="n">
        <v>10</v>
      </c>
      <c r="U3690" t="n">
        <v>11</v>
      </c>
      <c r="V3690" t="n">
        <v>30</v>
      </c>
      <c r="W3690" t="n">
        <v>1</v>
      </c>
      <c r="X3690" t="n">
        <v>113.6363636363636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10533</v>
      </c>
      <c r="AG3690" t="n">
        <v>2148</v>
      </c>
      <c r="AH3690" t="inlineStr">
        <is>
          <t>PT. JAYA PALEMBANG SUKSES - PPN (JMB)</t>
        </is>
      </c>
      <c r="AI3690" t="n">
        <v>136</v>
      </c>
      <c r="AJ3690" t="inlineStr">
        <is>
          <t>SAFI</t>
        </is>
      </c>
      <c r="AK3690" t="n">
        <v>9</v>
      </c>
      <c r="AL3690" t="inlineStr">
        <is>
          <t>Miss Glam Jambi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SAFI</t>
        </is>
      </c>
      <c r="B3691" s="2">
        <f>"8992856902756"</f>
        <v/>
      </c>
      <c r="C3691" t="inlineStr">
        <is>
          <t>SAFI Acne Expert Whipped Foam Sebum Cleanser 100G</t>
        </is>
      </c>
      <c r="D3691" t="inlineStr">
        <is>
          <t>Miss Glam Jambi</t>
        </is>
      </c>
      <c r="E3691" t="n">
        <v>6</v>
      </c>
      <c r="F3691" t="n">
        <v>0.06270000000000001</v>
      </c>
      <c r="G3691" t="n">
        <v>0.99</v>
      </c>
      <c r="H3691" t="n">
        <v>4</v>
      </c>
      <c r="I3691" t="n">
        <v>28</v>
      </c>
      <c r="J3691" t="n">
        <v>3</v>
      </c>
      <c r="K3691" t="n">
        <v>0</v>
      </c>
      <c r="L3691" t="n">
        <v>29010</v>
      </c>
      <c r="M3691" t="n">
        <v>38500</v>
      </c>
      <c r="N3691" t="n">
        <v>33</v>
      </c>
      <c r="O3691" t="n">
        <v>0.33</v>
      </c>
      <c r="P3691" t="n">
        <v>1</v>
      </c>
      <c r="Q3691" t="n">
        <v>0.03</v>
      </c>
      <c r="R3691" t="n">
        <v>1</v>
      </c>
      <c r="S3691" t="n">
        <v>2413.95</v>
      </c>
      <c r="T3691" t="n">
        <v>28</v>
      </c>
      <c r="U3691" t="n">
        <v>29</v>
      </c>
      <c r="V3691" t="n">
        <v>30</v>
      </c>
      <c r="W3691" t="n">
        <v>2</v>
      </c>
      <c r="X3691" t="n">
        <v>95.69377990430621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10533</v>
      </c>
      <c r="AG3691" t="n">
        <v>2148</v>
      </c>
      <c r="AH3691" t="inlineStr">
        <is>
          <t>PT. JAYA PALEMBANG SUKSES - PPN (JMB)</t>
        </is>
      </c>
      <c r="AI3691" t="n">
        <v>136</v>
      </c>
      <c r="AJ3691" t="inlineStr">
        <is>
          <t>SAFI</t>
        </is>
      </c>
      <c r="AK3691" t="n">
        <v>9</v>
      </c>
      <c r="AL3691" t="inlineStr">
        <is>
          <t>Miss Glam Jambi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SAFI</t>
        </is>
      </c>
      <c r="B3692" s="2">
        <f>"8992856899414"</f>
        <v/>
      </c>
      <c r="C3692" t="inlineStr">
        <is>
          <t>SAFI Age Defy Cream Cleanser 100g</t>
        </is>
      </c>
      <c r="D3692" t="inlineStr">
        <is>
          <t>Miss Glam Jambi</t>
        </is>
      </c>
      <c r="E3692" t="n">
        <v>5</v>
      </c>
      <c r="F3692" t="n">
        <v>0.0726</v>
      </c>
      <c r="G3692" t="n">
        <v>0.66</v>
      </c>
      <c r="H3692" t="n">
        <v>4</v>
      </c>
      <c r="I3692" t="n">
        <v>28</v>
      </c>
      <c r="J3692" t="n">
        <v>3</v>
      </c>
      <c r="K3692" t="n">
        <v>0</v>
      </c>
      <c r="L3692" t="n">
        <v>40997</v>
      </c>
      <c r="M3692" t="n">
        <v>54000</v>
      </c>
      <c r="N3692" t="n">
        <v>33</v>
      </c>
      <c r="O3692" t="n">
        <v>0.33</v>
      </c>
      <c r="P3692" t="n">
        <v>1</v>
      </c>
      <c r="Q3692" t="n">
        <v>0.02</v>
      </c>
      <c r="R3692" t="n">
        <v>1</v>
      </c>
      <c r="S3692" t="n">
        <v>3920.4</v>
      </c>
      <c r="T3692" t="n">
        <v>19</v>
      </c>
      <c r="U3692" t="n">
        <v>20</v>
      </c>
      <c r="V3692" t="n">
        <v>30</v>
      </c>
      <c r="W3692" t="n">
        <v>3</v>
      </c>
      <c r="X3692" t="n">
        <v>68.87052341597796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10533</v>
      </c>
      <c r="AG3692" t="n">
        <v>2148</v>
      </c>
      <c r="AH3692" t="inlineStr">
        <is>
          <t>PT. JAYA PALEMBANG SUKSES - PPN (JMB)</t>
        </is>
      </c>
      <c r="AI3692" t="n">
        <v>136</v>
      </c>
      <c r="AJ3692" t="inlineStr">
        <is>
          <t>SAFI</t>
        </is>
      </c>
      <c r="AK3692" t="n">
        <v>9</v>
      </c>
      <c r="AL3692" t="inlineStr">
        <is>
          <t>Miss Glam Jambi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SAFI</t>
        </is>
      </c>
      <c r="B3693" s="2">
        <f>"8992856899421"</f>
        <v/>
      </c>
      <c r="C3693" t="inlineStr">
        <is>
          <t>SAFI Age Defy Cream Cleanser 50gr</t>
        </is>
      </c>
      <c r="D3693" t="inlineStr">
        <is>
          <t>Miss Glam Jambi</t>
        </is>
      </c>
      <c r="E3693" t="n">
        <v>3</v>
      </c>
      <c r="F3693" t="n">
        <v>0.009900000000000001</v>
      </c>
      <c r="G3693" t="n">
        <v>0.33</v>
      </c>
      <c r="H3693" t="n">
        <v>4</v>
      </c>
      <c r="I3693" t="n">
        <v>28</v>
      </c>
      <c r="J3693" t="n">
        <v>3</v>
      </c>
      <c r="K3693" t="n">
        <v>0</v>
      </c>
      <c r="L3693" t="n">
        <v>23471</v>
      </c>
      <c r="M3693" t="n">
        <v>31600</v>
      </c>
      <c r="N3693" t="n">
        <v>33</v>
      </c>
      <c r="O3693" t="n">
        <v>0.33</v>
      </c>
      <c r="P3693" t="n">
        <v>1</v>
      </c>
      <c r="Q3693" t="n">
        <v>0.03</v>
      </c>
      <c r="R3693" t="n">
        <v>1</v>
      </c>
      <c r="S3693" t="n">
        <v>312.84</v>
      </c>
      <c r="T3693" t="n">
        <v>10</v>
      </c>
      <c r="U3693" t="n">
        <v>11</v>
      </c>
      <c r="V3693" t="n">
        <v>30</v>
      </c>
      <c r="W3693" t="n">
        <v>1</v>
      </c>
      <c r="X3693" t="n">
        <v>303.030303030303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10533</v>
      </c>
      <c r="AG3693" t="n">
        <v>2148</v>
      </c>
      <c r="AH3693" t="inlineStr">
        <is>
          <t>PT. JAYA PALEMBANG SUKSES - PPN (JMB)</t>
        </is>
      </c>
      <c r="AI3693" t="n">
        <v>136</v>
      </c>
      <c r="AJ3693" t="inlineStr">
        <is>
          <t>SAFI</t>
        </is>
      </c>
      <c r="AK3693" t="n">
        <v>9</v>
      </c>
      <c r="AL3693" t="inlineStr">
        <is>
          <t>Miss Glam Jambi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SAFI</t>
        </is>
      </c>
      <c r="B3694" s="2">
        <f>"8992856899438"</f>
        <v/>
      </c>
      <c r="C3694" t="inlineStr">
        <is>
          <t>SAFI Age Defy Deep Exfoliator 75gr</t>
        </is>
      </c>
      <c r="D3694" t="inlineStr">
        <is>
          <t>Miss Glam Jambi</t>
        </is>
      </c>
      <c r="E3694" t="n">
        <v>7</v>
      </c>
      <c r="F3694" t="n">
        <v>0.0396</v>
      </c>
      <c r="G3694" t="n">
        <v>0.66</v>
      </c>
      <c r="H3694" t="n">
        <v>4</v>
      </c>
      <c r="I3694" t="n">
        <v>28</v>
      </c>
      <c r="J3694" t="n">
        <v>3</v>
      </c>
      <c r="K3694" t="n">
        <v>0</v>
      </c>
      <c r="L3694" t="n">
        <v>37218</v>
      </c>
      <c r="M3694" t="n">
        <v>50000</v>
      </c>
      <c r="N3694" t="n">
        <v>33</v>
      </c>
      <c r="O3694" t="n">
        <v>0.33</v>
      </c>
      <c r="P3694" t="n">
        <v>1</v>
      </c>
      <c r="Q3694" t="n">
        <v>0.02</v>
      </c>
      <c r="R3694" t="n">
        <v>1</v>
      </c>
      <c r="S3694" t="n">
        <v>1980</v>
      </c>
      <c r="T3694" t="n">
        <v>19</v>
      </c>
      <c r="U3694" t="n">
        <v>20</v>
      </c>
      <c r="V3694" t="n">
        <v>30</v>
      </c>
      <c r="W3694" t="n">
        <v>2</v>
      </c>
      <c r="X3694" t="n">
        <v>176.7676767676768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10533</v>
      </c>
      <c r="AG3694" t="n">
        <v>2148</v>
      </c>
      <c r="AH3694" t="inlineStr">
        <is>
          <t>PT. JAYA PALEMBANG SUKSES - PPN (JMB)</t>
        </is>
      </c>
      <c r="AI3694" t="n">
        <v>136</v>
      </c>
      <c r="AJ3694" t="inlineStr">
        <is>
          <t>SAFI</t>
        </is>
      </c>
      <c r="AK3694" t="n">
        <v>9</v>
      </c>
      <c r="AL3694" t="inlineStr">
        <is>
          <t>Miss Glam Jambi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SAFI</t>
        </is>
      </c>
      <c r="B3695" s="2">
        <f>"8992856899469"</f>
        <v/>
      </c>
      <c r="C3695" t="inlineStr">
        <is>
          <t>SAFI Age Defy Radiant Day Emulsion SPF 25 PA++ 25g</t>
        </is>
      </c>
      <c r="D3695" t="inlineStr">
        <is>
          <t>Miss Glam Jambi</t>
        </is>
      </c>
      <c r="E3695" t="n">
        <v>2</v>
      </c>
      <c r="F3695" t="n">
        <v>0.09240000000000001</v>
      </c>
      <c r="G3695" t="n">
        <v>0.66</v>
      </c>
      <c r="H3695" t="n">
        <v>4</v>
      </c>
      <c r="I3695" t="n">
        <v>28</v>
      </c>
      <c r="J3695" t="n">
        <v>3</v>
      </c>
      <c r="K3695" t="n">
        <v>0</v>
      </c>
      <c r="L3695" t="n">
        <v>59170</v>
      </c>
      <c r="M3695" t="n">
        <v>79000</v>
      </c>
      <c r="N3695" t="n">
        <v>33</v>
      </c>
      <c r="O3695" t="n">
        <v>0.33</v>
      </c>
      <c r="P3695" t="n">
        <v>1</v>
      </c>
      <c r="Q3695" t="n">
        <v>0.08</v>
      </c>
      <c r="R3695" t="n">
        <v>1</v>
      </c>
      <c r="S3695" t="n">
        <v>7299.6</v>
      </c>
      <c r="T3695" t="n">
        <v>19</v>
      </c>
      <c r="U3695" t="n">
        <v>20</v>
      </c>
      <c r="V3695" t="n">
        <v>30</v>
      </c>
      <c r="W3695" t="n">
        <v>3</v>
      </c>
      <c r="X3695" t="n">
        <v>21.64502164502164</v>
      </c>
      <c r="Y3695" t="n">
        <v>1</v>
      </c>
      <c r="Z3695" t="n">
        <v>1</v>
      </c>
      <c r="AA3695" t="n">
        <v>1</v>
      </c>
      <c r="AB3695" t="n">
        <v>0</v>
      </c>
      <c r="AC3695" t="n">
        <v>0</v>
      </c>
      <c r="AD3695" t="n">
        <v>59170</v>
      </c>
      <c r="AE3695" t="n">
        <v>0</v>
      </c>
      <c r="AF3695" t="n">
        <v>10533</v>
      </c>
      <c r="AG3695" t="n">
        <v>2148</v>
      </c>
      <c r="AH3695" t="inlineStr">
        <is>
          <t>PT. JAYA PALEMBANG SUKSES - PPN (JMB)</t>
        </is>
      </c>
      <c r="AI3695" t="n">
        <v>136</v>
      </c>
      <c r="AJ3695" t="inlineStr">
        <is>
          <t>SAFI</t>
        </is>
      </c>
      <c r="AK3695" t="n">
        <v>9</v>
      </c>
      <c r="AL3695" t="inlineStr">
        <is>
          <t>Miss Glam Jambi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SAFI</t>
        </is>
      </c>
      <c r="B3696" s="2">
        <f>"8992856900288"</f>
        <v/>
      </c>
      <c r="C3696" t="inlineStr">
        <is>
          <t>SAFI Hair Expert Hair Fall Treatment Shampoo 160ml</t>
        </is>
      </c>
      <c r="D3696" t="inlineStr">
        <is>
          <t>Miss Glam Jambi</t>
        </is>
      </c>
      <c r="E3696" t="n">
        <v>0</v>
      </c>
      <c r="F3696" t="n">
        <v>0.0165</v>
      </c>
      <c r="G3696" t="n">
        <v>0.33</v>
      </c>
      <c r="H3696" t="n">
        <v>4</v>
      </c>
      <c r="I3696" t="n">
        <v>28</v>
      </c>
      <c r="J3696" t="n">
        <v>3</v>
      </c>
      <c r="K3696" t="n">
        <v>0</v>
      </c>
      <c r="L3696" t="n">
        <v>21001</v>
      </c>
      <c r="M3696" t="n">
        <v>29000</v>
      </c>
      <c r="N3696" t="n">
        <v>33</v>
      </c>
      <c r="O3696" t="n">
        <v>0.33</v>
      </c>
      <c r="P3696" t="n">
        <v>1</v>
      </c>
      <c r="Q3696" t="n">
        <v>0.04</v>
      </c>
      <c r="R3696" t="n">
        <v>1</v>
      </c>
      <c r="S3696" t="n">
        <v>478.5</v>
      </c>
      <c r="T3696" t="n">
        <v>10</v>
      </c>
      <c r="U3696" t="n">
        <v>11</v>
      </c>
      <c r="V3696" t="n">
        <v>30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n">
        <v>0</v>
      </c>
      <c r="AC3696" t="n">
        <v>0</v>
      </c>
      <c r="AD3696" t="n">
        <v>21001</v>
      </c>
      <c r="AE3696" t="n">
        <v>0</v>
      </c>
      <c r="AF3696" t="n">
        <v>10533</v>
      </c>
      <c r="AG3696" t="n">
        <v>2148</v>
      </c>
      <c r="AH3696" t="inlineStr">
        <is>
          <t>PT. JAYA PALEMBANG SUKSES - PPN (JMB)</t>
        </is>
      </c>
      <c r="AI3696" t="n">
        <v>136</v>
      </c>
      <c r="AJ3696" t="inlineStr">
        <is>
          <t>SAFI</t>
        </is>
      </c>
      <c r="AK3696" t="n">
        <v>9</v>
      </c>
      <c r="AL3696" t="inlineStr">
        <is>
          <t>Miss Glam Jambi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SAFI</t>
        </is>
      </c>
      <c r="B3697" s="2">
        <f>"8992856900295"</f>
        <v/>
      </c>
      <c r="C3697" t="inlineStr">
        <is>
          <t>SAFI Hijab Xpert Anti Dandruff Treatment Shampoo 160ml</t>
        </is>
      </c>
      <c r="D3697" t="inlineStr">
        <is>
          <t>Miss Glam Jambi</t>
        </is>
      </c>
      <c r="E3697" t="n">
        <v>3</v>
      </c>
      <c r="F3697" t="n">
        <v>0.0561</v>
      </c>
      <c r="G3697" t="n">
        <v>1.98</v>
      </c>
      <c r="H3697" t="n">
        <v>4</v>
      </c>
      <c r="I3697" t="n">
        <v>28</v>
      </c>
      <c r="J3697" t="n">
        <v>3</v>
      </c>
      <c r="K3697" t="n">
        <v>0</v>
      </c>
      <c r="L3697" t="n">
        <v>21326</v>
      </c>
      <c r="M3697" t="n">
        <v>26000</v>
      </c>
      <c r="N3697" t="n">
        <v>33</v>
      </c>
      <c r="O3697" t="n">
        <v>0.33</v>
      </c>
      <c r="P3697" t="n">
        <v>1</v>
      </c>
      <c r="Q3697" t="n">
        <v>0.03</v>
      </c>
      <c r="R3697" t="n">
        <v>1</v>
      </c>
      <c r="S3697" t="n">
        <v>1458.6</v>
      </c>
      <c r="T3697" t="n">
        <v>56</v>
      </c>
      <c r="U3697" t="n">
        <v>57</v>
      </c>
      <c r="V3697" t="n">
        <v>30</v>
      </c>
      <c r="W3697" t="n">
        <v>2</v>
      </c>
      <c r="X3697" t="n">
        <v>53.475935828877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10533</v>
      </c>
      <c r="AG3697" t="n">
        <v>2148</v>
      </c>
      <c r="AH3697" t="inlineStr">
        <is>
          <t>PT. JAYA PALEMBANG SUKSES - PPN (JMB)</t>
        </is>
      </c>
      <c r="AI3697" t="n">
        <v>136</v>
      </c>
      <c r="AJ3697" t="inlineStr">
        <is>
          <t>SAFI</t>
        </is>
      </c>
      <c r="AK3697" t="n">
        <v>9</v>
      </c>
      <c r="AL3697" t="inlineStr">
        <is>
          <t>Miss Glam Jambi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SAFI</t>
        </is>
      </c>
      <c r="B3698" s="2">
        <f>"8992856903029"</f>
        <v/>
      </c>
      <c r="C3698" t="inlineStr">
        <is>
          <t>SAFI Hydra Glow Hydrating Water Cleanser 125gr</t>
        </is>
      </c>
      <c r="D3698" t="inlineStr">
        <is>
          <t>Miss Glam Jambi</t>
        </is>
      </c>
      <c r="E3698" t="n">
        <v>1</v>
      </c>
      <c r="F3698" t="n">
        <v>0.1518</v>
      </c>
      <c r="G3698" t="n">
        <v>1.32</v>
      </c>
      <c r="H3698" t="n">
        <v>4</v>
      </c>
      <c r="I3698" t="n">
        <v>28</v>
      </c>
      <c r="J3698" t="n">
        <v>3</v>
      </c>
      <c r="K3698" t="n">
        <v>0</v>
      </c>
      <c r="L3698" t="n">
        <v>30930</v>
      </c>
      <c r="M3698" t="n">
        <v>40000</v>
      </c>
      <c r="N3698" t="n">
        <v>33</v>
      </c>
      <c r="O3698" t="n">
        <v>0.33</v>
      </c>
      <c r="P3698" t="n">
        <v>1</v>
      </c>
      <c r="Q3698" t="n">
        <v>0.03</v>
      </c>
      <c r="R3698" t="n">
        <v>1</v>
      </c>
      <c r="S3698" t="n">
        <v>6072.000000000001</v>
      </c>
      <c r="T3698" t="n">
        <v>37</v>
      </c>
      <c r="U3698" t="n">
        <v>38</v>
      </c>
      <c r="V3698" t="n">
        <v>30</v>
      </c>
      <c r="W3698" t="n">
        <v>5</v>
      </c>
      <c r="X3698" t="n">
        <v>6.587615283267456</v>
      </c>
      <c r="Y3698" t="n">
        <v>1</v>
      </c>
      <c r="Z3698" t="n">
        <v>4</v>
      </c>
      <c r="AA3698" t="n">
        <v>4</v>
      </c>
      <c r="AB3698" t="n">
        <v>0</v>
      </c>
      <c r="AC3698" t="n">
        <v>0</v>
      </c>
      <c r="AD3698" t="n">
        <v>123720</v>
      </c>
      <c r="AE3698" t="n">
        <v>0</v>
      </c>
      <c r="AF3698" t="n">
        <v>10533</v>
      </c>
      <c r="AG3698" t="n">
        <v>2148</v>
      </c>
      <c r="AH3698" t="inlineStr">
        <is>
          <t>PT. JAYA PALEMBANG SUKSES - PPN (JMB)</t>
        </is>
      </c>
      <c r="AI3698" t="n">
        <v>136</v>
      </c>
      <c r="AJ3698" t="inlineStr">
        <is>
          <t>SAFI</t>
        </is>
      </c>
      <c r="AK3698" t="n">
        <v>9</v>
      </c>
      <c r="AL3698" t="inlineStr">
        <is>
          <t>Miss Glam Jambi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SAFI</t>
        </is>
      </c>
      <c r="B3699" s="2">
        <f>"8992856903036"</f>
        <v/>
      </c>
      <c r="C3699" t="inlineStr">
        <is>
          <t>SAFI HYDRA GLOW Hydrating Water Drop Moisturizer 40gr</t>
        </is>
      </c>
      <c r="D3699" t="inlineStr">
        <is>
          <t>Miss Glam Jambi</t>
        </is>
      </c>
      <c r="E3699" t="n">
        <v>2</v>
      </c>
      <c r="F3699" t="n">
        <v>0.05</v>
      </c>
      <c r="G3699" t="n">
        <v>1</v>
      </c>
      <c r="H3699" t="n">
        <v>4</v>
      </c>
      <c r="I3699" t="n">
        <v>28</v>
      </c>
      <c r="J3699" t="n">
        <v>3</v>
      </c>
      <c r="K3699" t="n">
        <v>0</v>
      </c>
      <c r="L3699" t="n">
        <v>86136</v>
      </c>
      <c r="M3699" t="n">
        <v>107100</v>
      </c>
      <c r="N3699" t="n">
        <v>33</v>
      </c>
      <c r="O3699" t="n">
        <v>0.33</v>
      </c>
      <c r="P3699" t="n">
        <v>0</v>
      </c>
      <c r="Q3699" t="n">
        <v>0.05</v>
      </c>
      <c r="R3699" t="n">
        <v>1</v>
      </c>
      <c r="S3699" t="n">
        <v>5355</v>
      </c>
      <c r="T3699" t="n">
        <v>28</v>
      </c>
      <c r="U3699" t="n">
        <v>29</v>
      </c>
      <c r="V3699" t="n">
        <v>30</v>
      </c>
      <c r="W3699" t="n">
        <v>2</v>
      </c>
      <c r="X3699" t="n">
        <v>40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10533</v>
      </c>
      <c r="AG3699" t="n">
        <v>2148</v>
      </c>
      <c r="AH3699" t="inlineStr">
        <is>
          <t>PT. JAYA PALEMBANG SUKSES - PPN (JMB)</t>
        </is>
      </c>
      <c r="AI3699" t="n">
        <v>136</v>
      </c>
      <c r="AJ3699" t="inlineStr">
        <is>
          <t>SAFI</t>
        </is>
      </c>
      <c r="AK3699" t="n">
        <v>9</v>
      </c>
      <c r="AL3699" t="inlineStr">
        <is>
          <t>Miss Glam Jambi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SAFI</t>
        </is>
      </c>
      <c r="B3700" s="2">
        <f>"8992856900448"</f>
        <v/>
      </c>
      <c r="C3700" t="inlineStr">
        <is>
          <t>SAFI Natural Acne Clarifying Cleanser Tea Tree Oil 50g</t>
        </is>
      </c>
      <c r="D3700" t="inlineStr">
        <is>
          <t>Miss Glam Jambi</t>
        </is>
      </c>
      <c r="E3700" t="n">
        <v>1</v>
      </c>
      <c r="F3700" t="n">
        <v>0.1023</v>
      </c>
      <c r="G3700" t="n">
        <v>0.66</v>
      </c>
      <c r="H3700" t="n">
        <v>4</v>
      </c>
      <c r="I3700" t="n">
        <v>28</v>
      </c>
      <c r="J3700" t="n">
        <v>3</v>
      </c>
      <c r="K3700" t="n">
        <v>0</v>
      </c>
      <c r="L3700" t="n">
        <v>15232</v>
      </c>
      <c r="M3700" t="n">
        <v>19400</v>
      </c>
      <c r="N3700" t="n">
        <v>33</v>
      </c>
      <c r="O3700" t="n">
        <v>0.33</v>
      </c>
      <c r="P3700" t="n">
        <v>1</v>
      </c>
      <c r="Q3700" t="n">
        <v>0.03</v>
      </c>
      <c r="R3700" t="n">
        <v>1</v>
      </c>
      <c r="S3700" t="n">
        <v>1984.62</v>
      </c>
      <c r="T3700" t="n">
        <v>19</v>
      </c>
      <c r="U3700" t="n">
        <v>20</v>
      </c>
      <c r="V3700" t="n">
        <v>30</v>
      </c>
      <c r="W3700" t="n">
        <v>4</v>
      </c>
      <c r="X3700" t="n">
        <v>9.775171065493646</v>
      </c>
      <c r="Y3700" t="n">
        <v>1</v>
      </c>
      <c r="Z3700" t="n">
        <v>3</v>
      </c>
      <c r="AA3700" t="n">
        <v>2</v>
      </c>
      <c r="AB3700" t="n">
        <v>1</v>
      </c>
      <c r="AC3700" t="n">
        <v>3</v>
      </c>
      <c r="AD3700" t="n">
        <v>30464</v>
      </c>
      <c r="AE3700" t="n">
        <v>45696</v>
      </c>
      <c r="AF3700" t="n">
        <v>10533</v>
      </c>
      <c r="AG3700" t="n">
        <v>2148</v>
      </c>
      <c r="AH3700" t="inlineStr">
        <is>
          <t>PT. JAYA PALEMBANG SUKSES - PPN (JMB)</t>
        </is>
      </c>
      <c r="AI3700" t="n">
        <v>136</v>
      </c>
      <c r="AJ3700" t="inlineStr">
        <is>
          <t>SAFI</t>
        </is>
      </c>
      <c r="AK3700" t="n">
        <v>9</v>
      </c>
      <c r="AL3700" t="inlineStr">
        <is>
          <t>Miss Glam Jambi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SAFI</t>
        </is>
      </c>
      <c r="B3701" s="2">
        <f>"8992856901872"</f>
        <v/>
      </c>
      <c r="C3701" t="inlineStr">
        <is>
          <t>SAFI Naturals Micellar Water Neem Leaf Extract Removes Makeup, Controls Oil &amp; Fights Bacteria 200ml</t>
        </is>
      </c>
      <c r="D3701" t="inlineStr">
        <is>
          <t>Miss Glam Jambi</t>
        </is>
      </c>
      <c r="E3701" t="n">
        <v>2</v>
      </c>
      <c r="F3701" t="n">
        <v>0.0297</v>
      </c>
      <c r="G3701" t="n">
        <v>0.66</v>
      </c>
      <c r="H3701" t="n">
        <v>4</v>
      </c>
      <c r="I3701" t="n">
        <v>28</v>
      </c>
      <c r="J3701" t="n">
        <v>3</v>
      </c>
      <c r="K3701" t="n">
        <v>0</v>
      </c>
      <c r="L3701" t="n">
        <v>35584</v>
      </c>
      <c r="M3701" t="n">
        <v>50000</v>
      </c>
      <c r="N3701" t="n">
        <v>33</v>
      </c>
      <c r="O3701" t="n">
        <v>0.33</v>
      </c>
      <c r="P3701" t="n">
        <v>1</v>
      </c>
      <c r="Q3701" t="n">
        <v>0.03</v>
      </c>
      <c r="R3701" t="n">
        <v>1</v>
      </c>
      <c r="S3701" t="n">
        <v>1485</v>
      </c>
      <c r="T3701" t="n">
        <v>19</v>
      </c>
      <c r="U3701" t="n">
        <v>20</v>
      </c>
      <c r="V3701" t="n">
        <v>30</v>
      </c>
      <c r="W3701" t="n">
        <v>1</v>
      </c>
      <c r="X3701" t="n">
        <v>67.34006734006734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10533</v>
      </c>
      <c r="AG3701" t="n">
        <v>2148</v>
      </c>
      <c r="AH3701" t="inlineStr">
        <is>
          <t>PT. JAYA PALEMBANG SUKSES - PPN (JMB)</t>
        </is>
      </c>
      <c r="AI3701" t="n">
        <v>136</v>
      </c>
      <c r="AJ3701" t="inlineStr">
        <is>
          <t>SAFI</t>
        </is>
      </c>
      <c r="AK3701" t="n">
        <v>9</v>
      </c>
      <c r="AL3701" t="inlineStr">
        <is>
          <t>Miss Glam Jambi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SAFI</t>
        </is>
      </c>
      <c r="B3702" s="2">
        <f>"8992856901926"</f>
        <v/>
      </c>
      <c r="C3702" t="inlineStr">
        <is>
          <t>SAFI Naturals Micellar Water With Natural Active Ingredient Cucumber Extract 100ml</t>
        </is>
      </c>
      <c r="D3702" t="inlineStr">
        <is>
          <t>Miss Glam Jambi</t>
        </is>
      </c>
      <c r="E3702" t="n">
        <v>6</v>
      </c>
      <c r="F3702" t="n">
        <v>0.0264</v>
      </c>
      <c r="G3702" t="n">
        <v>0.66</v>
      </c>
      <c r="H3702" t="n">
        <v>4</v>
      </c>
      <c r="I3702" t="n">
        <v>28</v>
      </c>
      <c r="J3702" t="n">
        <v>3</v>
      </c>
      <c r="K3702" t="n">
        <v>0</v>
      </c>
      <c r="L3702" t="n">
        <v>20869</v>
      </c>
      <c r="M3702" t="n">
        <v>30000</v>
      </c>
      <c r="N3702" t="n">
        <v>33</v>
      </c>
      <c r="O3702" t="n">
        <v>0.33</v>
      </c>
      <c r="P3702" t="n">
        <v>1</v>
      </c>
      <c r="Q3702" t="n">
        <v>0.02</v>
      </c>
      <c r="R3702" t="n">
        <v>1</v>
      </c>
      <c r="S3702" t="n">
        <v>792.0000000000001</v>
      </c>
      <c r="T3702" t="n">
        <v>19</v>
      </c>
      <c r="U3702" t="n">
        <v>20</v>
      </c>
      <c r="V3702" t="n">
        <v>30</v>
      </c>
      <c r="W3702" t="n">
        <v>1</v>
      </c>
      <c r="X3702" t="n">
        <v>227.2727272727273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10533</v>
      </c>
      <c r="AG3702" t="n">
        <v>2148</v>
      </c>
      <c r="AH3702" t="inlineStr">
        <is>
          <t>PT. JAYA PALEMBANG SUKSES - PPN (JMB)</t>
        </is>
      </c>
      <c r="AI3702" t="n">
        <v>136</v>
      </c>
      <c r="AJ3702" t="inlineStr">
        <is>
          <t>SAFI</t>
        </is>
      </c>
      <c r="AK3702" t="n">
        <v>9</v>
      </c>
      <c r="AL3702" t="inlineStr">
        <is>
          <t>Miss Glam Jambi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SAFI</t>
        </is>
      </c>
      <c r="B3703" s="2">
        <f>"8992856901889"</f>
        <v/>
      </c>
      <c r="C3703" t="inlineStr">
        <is>
          <t>SAFI Naturals Micellar Water With Natural Active Ingredient Neem Leaf Extract 100ml</t>
        </is>
      </c>
      <c r="D3703" t="inlineStr">
        <is>
          <t>Miss Glam Jambi</t>
        </is>
      </c>
      <c r="E3703" t="n">
        <v>2</v>
      </c>
      <c r="F3703" t="n">
        <v>0.009900000000000001</v>
      </c>
      <c r="G3703" t="n">
        <v>0.33</v>
      </c>
      <c r="H3703" t="n">
        <v>4</v>
      </c>
      <c r="I3703" t="n">
        <v>28</v>
      </c>
      <c r="J3703" t="n">
        <v>3</v>
      </c>
      <c r="K3703" t="n">
        <v>0</v>
      </c>
      <c r="L3703" t="n">
        <v>22823</v>
      </c>
      <c r="M3703" t="n">
        <v>30000</v>
      </c>
      <c r="N3703" t="n">
        <v>33</v>
      </c>
      <c r="O3703" t="n">
        <v>0.33</v>
      </c>
      <c r="P3703" t="n">
        <v>1</v>
      </c>
      <c r="Q3703" t="n">
        <v>0.03</v>
      </c>
      <c r="R3703" t="n">
        <v>1</v>
      </c>
      <c r="S3703" t="n">
        <v>297</v>
      </c>
      <c r="T3703" t="n">
        <v>10</v>
      </c>
      <c r="U3703" t="n">
        <v>11</v>
      </c>
      <c r="V3703" t="n">
        <v>30</v>
      </c>
      <c r="W3703" t="n">
        <v>1</v>
      </c>
      <c r="X3703" t="n">
        <v>202.020202020202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10533</v>
      </c>
      <c r="AG3703" t="n">
        <v>2148</v>
      </c>
      <c r="AH3703" t="inlineStr">
        <is>
          <t>PT. JAYA PALEMBANG SUKSES - PPN (JMB)</t>
        </is>
      </c>
      <c r="AI3703" t="n">
        <v>136</v>
      </c>
      <c r="AJ3703" t="inlineStr">
        <is>
          <t>SAFI</t>
        </is>
      </c>
      <c r="AK3703" t="n">
        <v>9</v>
      </c>
      <c r="AL3703" t="inlineStr">
        <is>
          <t>Miss Glam Jambi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SAFI</t>
        </is>
      </c>
      <c r="B3704" s="2">
        <f>"8992856899551"</f>
        <v/>
      </c>
      <c r="C3704" t="inlineStr">
        <is>
          <t>SAFI White Expert 2in1 Cleanser &amp; Toner 150ml</t>
        </is>
      </c>
      <c r="D3704" t="inlineStr">
        <is>
          <t>Miss Glam Jambi</t>
        </is>
      </c>
      <c r="E3704" t="n">
        <v>0</v>
      </c>
      <c r="F3704" t="n">
        <v>0.06270000000000001</v>
      </c>
      <c r="G3704" t="n">
        <v>0.66</v>
      </c>
      <c r="H3704" t="n">
        <v>4</v>
      </c>
      <c r="I3704" t="n">
        <v>28</v>
      </c>
      <c r="J3704" t="n">
        <v>3</v>
      </c>
      <c r="K3704" t="n">
        <v>0</v>
      </c>
      <c r="L3704" t="n">
        <v>42285</v>
      </c>
      <c r="M3704" t="n">
        <v>52100</v>
      </c>
      <c r="N3704" t="n">
        <v>33</v>
      </c>
      <c r="O3704" t="n">
        <v>0.33</v>
      </c>
      <c r="P3704" t="n">
        <v>1</v>
      </c>
      <c r="Q3704" t="n">
        <v>0.04</v>
      </c>
      <c r="R3704" t="n">
        <v>1</v>
      </c>
      <c r="S3704" t="n">
        <v>3266.67</v>
      </c>
      <c r="T3704" t="n">
        <v>19</v>
      </c>
      <c r="U3704" t="n">
        <v>20</v>
      </c>
      <c r="V3704" t="n">
        <v>30</v>
      </c>
      <c r="W3704" t="n">
        <v>2</v>
      </c>
      <c r="X3704" t="n">
        <v>0</v>
      </c>
      <c r="Y3704" t="n">
        <v>1</v>
      </c>
      <c r="Z3704" t="n">
        <v>2</v>
      </c>
      <c r="AA3704" t="n">
        <v>2</v>
      </c>
      <c r="AB3704" t="n">
        <v>0</v>
      </c>
      <c r="AC3704" t="n">
        <v>0</v>
      </c>
      <c r="AD3704" t="n">
        <v>84570</v>
      </c>
      <c r="AE3704" t="n">
        <v>0</v>
      </c>
      <c r="AF3704" t="n">
        <v>10533</v>
      </c>
      <c r="AG3704" t="n">
        <v>2148</v>
      </c>
      <c r="AH3704" t="inlineStr">
        <is>
          <t>PT. JAYA PALEMBANG SUKSES - PPN (JMB)</t>
        </is>
      </c>
      <c r="AI3704" t="n">
        <v>136</v>
      </c>
      <c r="AJ3704" t="inlineStr">
        <is>
          <t>SAFI</t>
        </is>
      </c>
      <c r="AK3704" t="n">
        <v>9</v>
      </c>
      <c r="AL3704" t="inlineStr">
        <is>
          <t>Miss Glam Jambi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SAFI</t>
        </is>
      </c>
      <c r="B3705" s="2">
        <f>"8992856899544"</f>
        <v/>
      </c>
      <c r="C3705" t="inlineStr">
        <is>
          <t>SAFI White Expert Purifying Cleanser 50gr</t>
        </is>
      </c>
      <c r="D3705" t="inlineStr">
        <is>
          <t>Miss Glam Jambi</t>
        </is>
      </c>
      <c r="E3705" t="n">
        <v>0</v>
      </c>
      <c r="F3705" t="n">
        <v>0.033</v>
      </c>
      <c r="G3705" t="n">
        <v>0.33</v>
      </c>
      <c r="H3705" t="n">
        <v>4</v>
      </c>
      <c r="I3705" t="n">
        <v>28</v>
      </c>
      <c r="J3705" t="n">
        <v>3</v>
      </c>
      <c r="K3705" t="n">
        <v>0</v>
      </c>
      <c r="L3705" t="n">
        <v>19011</v>
      </c>
      <c r="M3705" t="n">
        <v>24600</v>
      </c>
      <c r="N3705" t="n">
        <v>33</v>
      </c>
      <c r="O3705" t="n">
        <v>0.33</v>
      </c>
      <c r="P3705" t="n">
        <v>1</v>
      </c>
      <c r="Q3705" t="n">
        <v>0.05</v>
      </c>
      <c r="R3705" t="n">
        <v>1</v>
      </c>
      <c r="S3705" t="n">
        <v>811.8000000000001</v>
      </c>
      <c r="T3705" t="n">
        <v>10</v>
      </c>
      <c r="U3705" t="n">
        <v>11</v>
      </c>
      <c r="V3705" t="n">
        <v>30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n">
        <v>0</v>
      </c>
      <c r="AC3705" t="n">
        <v>0</v>
      </c>
      <c r="AD3705" t="n">
        <v>19011</v>
      </c>
      <c r="AE3705" t="n">
        <v>0</v>
      </c>
      <c r="AF3705" t="n">
        <v>10533</v>
      </c>
      <c r="AG3705" t="n">
        <v>2148</v>
      </c>
      <c r="AH3705" t="inlineStr">
        <is>
          <t>PT. JAYA PALEMBANG SUKSES - PPN (JMB)</t>
        </is>
      </c>
      <c r="AI3705" t="n">
        <v>136</v>
      </c>
      <c r="AJ3705" t="inlineStr">
        <is>
          <t>SAFI</t>
        </is>
      </c>
      <c r="AK3705" t="n">
        <v>9</v>
      </c>
      <c r="AL3705" t="inlineStr">
        <is>
          <t>Miss Glam Jambi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SAFI</t>
        </is>
      </c>
      <c r="B3706" s="2">
        <f>"8992856900455"</f>
        <v/>
      </c>
      <c r="C3706" t="inlineStr">
        <is>
          <t>SAFI White Natural Acne Clarifrying Cleanser Tea Tree Oil 100gr</t>
        </is>
      </c>
      <c r="D3706" t="inlineStr">
        <is>
          <t>Miss Glam Jambi</t>
        </is>
      </c>
      <c r="E3706" t="n">
        <v>0</v>
      </c>
      <c r="F3706" t="n">
        <v>0.2013</v>
      </c>
      <c r="G3706" t="n">
        <v>0.99</v>
      </c>
      <c r="H3706" t="n">
        <v>4</v>
      </c>
      <c r="I3706" t="n">
        <v>28</v>
      </c>
      <c r="J3706" t="n">
        <v>3</v>
      </c>
      <c r="K3706" t="n">
        <v>0</v>
      </c>
      <c r="L3706" t="n">
        <v>25750</v>
      </c>
      <c r="M3706" t="n">
        <v>34600</v>
      </c>
      <c r="N3706" t="n">
        <v>33</v>
      </c>
      <c r="O3706" t="n">
        <v>0.33</v>
      </c>
      <c r="P3706" t="n">
        <v>1</v>
      </c>
      <c r="Q3706" t="n">
        <v>0.06</v>
      </c>
      <c r="R3706" t="n">
        <v>1</v>
      </c>
      <c r="S3706" t="n">
        <v>6964.98</v>
      </c>
      <c r="T3706" t="n">
        <v>27</v>
      </c>
      <c r="U3706" t="n">
        <v>28</v>
      </c>
      <c r="V3706" t="n">
        <v>30</v>
      </c>
      <c r="W3706" t="n">
        <v>7</v>
      </c>
      <c r="X3706" t="n">
        <v>0</v>
      </c>
      <c r="Y3706" t="n">
        <v>1</v>
      </c>
      <c r="Z3706" t="n">
        <v>7</v>
      </c>
      <c r="AA3706" t="n">
        <v>6</v>
      </c>
      <c r="AB3706" t="n">
        <v>1</v>
      </c>
      <c r="AC3706" t="n">
        <v>3</v>
      </c>
      <c r="AD3706" t="n">
        <v>154500</v>
      </c>
      <c r="AE3706" t="n">
        <v>77250</v>
      </c>
      <c r="AF3706" t="n">
        <v>10533</v>
      </c>
      <c r="AG3706" t="n">
        <v>2148</v>
      </c>
      <c r="AH3706" t="inlineStr">
        <is>
          <t>PT. JAYA PALEMBANG SUKSES - PPN (JMB)</t>
        </is>
      </c>
      <c r="AI3706" t="n">
        <v>136</v>
      </c>
      <c r="AJ3706" t="inlineStr">
        <is>
          <t>SAFI</t>
        </is>
      </c>
      <c r="AK3706" t="n">
        <v>9</v>
      </c>
      <c r="AL3706" t="inlineStr">
        <is>
          <t>Miss Glam Jambi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SAFI</t>
        </is>
      </c>
      <c r="B3707" s="2">
        <f>"8992856899872"</f>
        <v/>
      </c>
      <c r="C3707" t="inlineStr">
        <is>
          <t>SAFI White Natural Brightening Cleanser Strawberry Lemon Extract 100gr</t>
        </is>
      </c>
      <c r="D3707" t="inlineStr">
        <is>
          <t>Miss Glam Jambi</t>
        </is>
      </c>
      <c r="E3707" t="n">
        <v>2</v>
      </c>
      <c r="F3707" t="n">
        <v>0.066</v>
      </c>
      <c r="G3707" t="n">
        <v>0.66</v>
      </c>
      <c r="H3707" t="n">
        <v>4</v>
      </c>
      <c r="I3707" t="n">
        <v>28</v>
      </c>
      <c r="J3707" t="n">
        <v>3</v>
      </c>
      <c r="K3707" t="n">
        <v>0</v>
      </c>
      <c r="L3707" t="n">
        <v>22032</v>
      </c>
      <c r="M3707" t="n">
        <v>30000</v>
      </c>
      <c r="N3707" t="n">
        <v>33</v>
      </c>
      <c r="O3707" t="n">
        <v>0.33</v>
      </c>
      <c r="P3707" t="n">
        <v>1</v>
      </c>
      <c r="Q3707" t="n">
        <v>0.03</v>
      </c>
      <c r="R3707" t="n">
        <v>1</v>
      </c>
      <c r="S3707" t="n">
        <v>1980</v>
      </c>
      <c r="T3707" t="n">
        <v>19</v>
      </c>
      <c r="U3707" t="n">
        <v>20</v>
      </c>
      <c r="V3707" t="n">
        <v>30</v>
      </c>
      <c r="W3707" t="n">
        <v>2</v>
      </c>
      <c r="X3707" t="n">
        <v>30.3030303030303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10533</v>
      </c>
      <c r="AG3707" t="n">
        <v>2148</v>
      </c>
      <c r="AH3707" t="inlineStr">
        <is>
          <t>PT. JAYA PALEMBANG SUKSES - PPN (JMB)</t>
        </is>
      </c>
      <c r="AI3707" t="n">
        <v>136</v>
      </c>
      <c r="AJ3707" t="inlineStr">
        <is>
          <t>SAFI</t>
        </is>
      </c>
      <c r="AK3707" t="n">
        <v>9</v>
      </c>
      <c r="AL3707" t="inlineStr">
        <is>
          <t>Miss Glam Jambi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SALSA</t>
        </is>
      </c>
      <c r="B3708" s="2">
        <f>"8997207550549"</f>
        <v/>
      </c>
      <c r="C3708" t="inlineStr">
        <is>
          <t>SALSA 2in1 Waterprof Mascara + Eyeliner</t>
        </is>
      </c>
      <c r="D3708" t="inlineStr">
        <is>
          <t>Miss Glam Jambi</t>
        </is>
      </c>
      <c r="E3708" t="n">
        <v>3</v>
      </c>
      <c r="F3708" t="n">
        <v>0.3696</v>
      </c>
      <c r="G3708" t="n">
        <v>1.98</v>
      </c>
      <c r="H3708" t="n">
        <v>7</v>
      </c>
      <c r="I3708" t="n">
        <v>19</v>
      </c>
      <c r="J3708" t="n">
        <v>3</v>
      </c>
      <c r="K3708" t="n">
        <v>4</v>
      </c>
      <c r="L3708" t="n">
        <v>19041</v>
      </c>
      <c r="M3708" t="n">
        <v>24000</v>
      </c>
      <c r="N3708" t="n">
        <v>33</v>
      </c>
      <c r="O3708" t="n">
        <v>0.33</v>
      </c>
      <c r="P3708" t="n">
        <v>1</v>
      </c>
      <c r="Q3708" t="n">
        <v>0.1</v>
      </c>
      <c r="R3708" t="n">
        <v>2</v>
      </c>
      <c r="S3708" t="n">
        <v>8870.400000000001</v>
      </c>
      <c r="T3708" t="n">
        <v>36</v>
      </c>
      <c r="U3708" t="n">
        <v>39</v>
      </c>
      <c r="V3708" t="n">
        <v>30</v>
      </c>
      <c r="W3708" t="n">
        <v>12</v>
      </c>
      <c r="X3708" t="n">
        <v>8.116883116883116</v>
      </c>
      <c r="Y3708" t="n">
        <v>1</v>
      </c>
      <c r="Z3708" t="n">
        <v>5</v>
      </c>
      <c r="AA3708" t="n">
        <v>4</v>
      </c>
      <c r="AB3708" t="n">
        <v>1</v>
      </c>
      <c r="AC3708" t="n">
        <v>3</v>
      </c>
      <c r="AD3708" t="n">
        <v>76164</v>
      </c>
      <c r="AE3708" t="n">
        <v>57123</v>
      </c>
      <c r="AF3708" t="n">
        <v>11308</v>
      </c>
      <c r="AG3708" t="n">
        <v>2173</v>
      </c>
      <c r="AH3708" t="inlineStr">
        <is>
          <t>PT. OGAN SAKTI PRATAMA - PPN (JMB)</t>
        </is>
      </c>
      <c r="AI3708" t="n">
        <v>387</v>
      </c>
      <c r="AJ3708" t="inlineStr">
        <is>
          <t>SALSA</t>
        </is>
      </c>
      <c r="AK3708" t="n">
        <v>9</v>
      </c>
      <c r="AL3708" t="inlineStr">
        <is>
          <t>Miss Glam Jambi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SALSA</t>
        </is>
      </c>
      <c r="B3709" s="2">
        <f>"8997207558422"</f>
        <v/>
      </c>
      <c r="C3709" t="inlineStr">
        <is>
          <t>SALSA Abrakada Shadow Brush 02</t>
        </is>
      </c>
      <c r="D3709" t="inlineStr">
        <is>
          <t>Miss Glam Jambi</t>
        </is>
      </c>
      <c r="E3709" t="n">
        <v>9</v>
      </c>
      <c r="F3709" t="n">
        <v>0.1122</v>
      </c>
      <c r="G3709" t="n">
        <v>1.32</v>
      </c>
      <c r="H3709" t="n">
        <v>7</v>
      </c>
      <c r="I3709" t="n">
        <v>19</v>
      </c>
      <c r="J3709" t="n">
        <v>3</v>
      </c>
      <c r="K3709" t="n">
        <v>0</v>
      </c>
      <c r="L3709" t="n">
        <v>11040</v>
      </c>
      <c r="M3709" t="n">
        <v>14000</v>
      </c>
      <c r="N3709" t="n">
        <v>33</v>
      </c>
      <c r="O3709" t="n">
        <v>0.33</v>
      </c>
      <c r="P3709" t="n">
        <v>1</v>
      </c>
      <c r="Q3709" t="n">
        <v>0.02</v>
      </c>
      <c r="R3709" t="n">
        <v>1</v>
      </c>
      <c r="S3709" t="n">
        <v>1570.8</v>
      </c>
      <c r="T3709" t="n">
        <v>25</v>
      </c>
      <c r="U3709" t="n">
        <v>26</v>
      </c>
      <c r="V3709" t="n">
        <v>30</v>
      </c>
      <c r="W3709" t="n">
        <v>4</v>
      </c>
      <c r="X3709" t="n">
        <v>80.2139037433155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11308</v>
      </c>
      <c r="AG3709" t="n">
        <v>2173</v>
      </c>
      <c r="AH3709" t="inlineStr">
        <is>
          <t>PT. OGAN SAKTI PRATAMA - PPN (JMB)</t>
        </is>
      </c>
      <c r="AI3709" t="n">
        <v>387</v>
      </c>
      <c r="AJ3709" t="inlineStr">
        <is>
          <t>SALSA</t>
        </is>
      </c>
      <c r="AK3709" t="n">
        <v>9</v>
      </c>
      <c r="AL3709" t="inlineStr">
        <is>
          <t>Miss Glam Jambi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SALSA</t>
        </is>
      </c>
      <c r="B3710" s="2">
        <f>"8997207558439"</f>
        <v/>
      </c>
      <c r="C3710" t="inlineStr">
        <is>
          <t>SALSA Abrakadabra Brush 03</t>
        </is>
      </c>
      <c r="D3710" t="inlineStr">
        <is>
          <t>Miss Glam Jambi</t>
        </is>
      </c>
      <c r="E3710" t="n">
        <v>10</v>
      </c>
      <c r="F3710" t="n">
        <v>0.0462</v>
      </c>
      <c r="G3710" t="n">
        <v>0.33</v>
      </c>
      <c r="H3710" t="n">
        <v>7</v>
      </c>
      <c r="I3710" t="n">
        <v>19</v>
      </c>
      <c r="J3710" t="n">
        <v>3</v>
      </c>
      <c r="K3710" t="n">
        <v>0</v>
      </c>
      <c r="L3710" t="n">
        <v>11040</v>
      </c>
      <c r="M3710" t="n">
        <v>14000</v>
      </c>
      <c r="N3710" t="n">
        <v>33</v>
      </c>
      <c r="O3710" t="n">
        <v>0.33</v>
      </c>
      <c r="P3710" t="n">
        <v>1</v>
      </c>
      <c r="Q3710" t="n">
        <v>0.02</v>
      </c>
      <c r="R3710" t="n">
        <v>1</v>
      </c>
      <c r="S3710" t="n">
        <v>646.8000000000001</v>
      </c>
      <c r="T3710" t="n">
        <v>6</v>
      </c>
      <c r="U3710" t="n">
        <v>7</v>
      </c>
      <c r="V3710" t="n">
        <v>30</v>
      </c>
      <c r="W3710" t="n">
        <v>2</v>
      </c>
      <c r="X3710" t="n">
        <v>216.4502164502164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11308</v>
      </c>
      <c r="AG3710" t="n">
        <v>2173</v>
      </c>
      <c r="AH3710" t="inlineStr">
        <is>
          <t>PT. OGAN SAKTI PRATAMA - PPN (JMB)</t>
        </is>
      </c>
      <c r="AI3710" t="n">
        <v>387</v>
      </c>
      <c r="AJ3710" t="inlineStr">
        <is>
          <t>SALSA</t>
        </is>
      </c>
      <c r="AK3710" t="n">
        <v>9</v>
      </c>
      <c r="AL3710" t="inlineStr">
        <is>
          <t>Miss Glam Jambi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SALSA</t>
        </is>
      </c>
      <c r="B3711" s="2">
        <f>"8997207558446"</f>
        <v/>
      </c>
      <c r="C3711" t="inlineStr">
        <is>
          <t>SALSA Abrakadabra Brush 04</t>
        </is>
      </c>
      <c r="D3711" t="inlineStr">
        <is>
          <t>Miss Glam Jambi</t>
        </is>
      </c>
      <c r="E3711" t="n">
        <v>2</v>
      </c>
      <c r="F3711" t="n">
        <v>0.4488</v>
      </c>
      <c r="G3711" t="n">
        <v>1.65</v>
      </c>
      <c r="H3711" t="n">
        <v>7</v>
      </c>
      <c r="I3711" t="n">
        <v>19</v>
      </c>
      <c r="J3711" t="n">
        <v>3</v>
      </c>
      <c r="K3711" t="n">
        <v>3</v>
      </c>
      <c r="L3711" t="n">
        <v>15040</v>
      </c>
      <c r="M3711" t="n">
        <v>19000</v>
      </c>
      <c r="N3711" t="n">
        <v>33</v>
      </c>
      <c r="O3711" t="n">
        <v>0.33</v>
      </c>
      <c r="P3711" t="n">
        <v>1</v>
      </c>
      <c r="Q3711" t="n">
        <v>0.15</v>
      </c>
      <c r="R3711" t="n">
        <v>1</v>
      </c>
      <c r="S3711" t="n">
        <v>8527.200000000001</v>
      </c>
      <c r="T3711" t="n">
        <v>29</v>
      </c>
      <c r="U3711" t="n">
        <v>33</v>
      </c>
      <c r="V3711" t="n">
        <v>30</v>
      </c>
      <c r="W3711" t="n">
        <v>14</v>
      </c>
      <c r="X3711" t="n">
        <v>4.45632798573975</v>
      </c>
      <c r="Y3711" t="n">
        <v>1</v>
      </c>
      <c r="Z3711" t="n">
        <v>9</v>
      </c>
      <c r="AA3711" t="n">
        <v>6</v>
      </c>
      <c r="AB3711" t="n">
        <v>3</v>
      </c>
      <c r="AC3711" t="n">
        <v>3</v>
      </c>
      <c r="AD3711" t="n">
        <v>90240</v>
      </c>
      <c r="AE3711" t="n">
        <v>45120</v>
      </c>
      <c r="AF3711" t="n">
        <v>11308</v>
      </c>
      <c r="AG3711" t="n">
        <v>2173</v>
      </c>
      <c r="AH3711" t="inlineStr">
        <is>
          <t>PT. OGAN SAKTI PRATAMA - PPN (JMB)</t>
        </is>
      </c>
      <c r="AI3711" t="n">
        <v>387</v>
      </c>
      <c r="AJ3711" t="inlineStr">
        <is>
          <t>SALSA</t>
        </is>
      </c>
      <c r="AK3711" t="n">
        <v>9</v>
      </c>
      <c r="AL3711" t="inlineStr">
        <is>
          <t>Miss Glam Jambi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SALSA</t>
        </is>
      </c>
      <c r="B3712" s="2">
        <f>"40200120027"</f>
        <v/>
      </c>
      <c r="C3712" t="inlineStr">
        <is>
          <t>SALSA Anti Dandruff Hair Serum 80ml</t>
        </is>
      </c>
      <c r="D3712" t="inlineStr">
        <is>
          <t>Miss Glam Jambi</t>
        </is>
      </c>
      <c r="E3712" t="n">
        <v>2</v>
      </c>
      <c r="F3712" t="n">
        <v>0.07920000000000001</v>
      </c>
      <c r="G3712" t="n">
        <v>0.66</v>
      </c>
      <c r="H3712" t="n">
        <v>7</v>
      </c>
      <c r="I3712" t="n">
        <v>19</v>
      </c>
      <c r="J3712" t="n">
        <v>1</v>
      </c>
      <c r="K3712" t="n">
        <v>1</v>
      </c>
      <c r="L3712" t="n">
        <v>16000</v>
      </c>
      <c r="M3712" t="n">
        <v>19000</v>
      </c>
      <c r="N3712" t="n">
        <v>33</v>
      </c>
      <c r="O3712" t="n">
        <v>0.33</v>
      </c>
      <c r="P3712" t="n">
        <v>1</v>
      </c>
      <c r="Q3712" t="n">
        <v>0.03</v>
      </c>
      <c r="R3712" t="n">
        <v>1</v>
      </c>
      <c r="S3712" t="n">
        <v>1504.8</v>
      </c>
      <c r="T3712" t="n">
        <v>12</v>
      </c>
      <c r="U3712" t="n">
        <v>13</v>
      </c>
      <c r="V3712" t="n">
        <v>30</v>
      </c>
      <c r="W3712" t="n">
        <v>3</v>
      </c>
      <c r="X3712" t="n">
        <v>25.25252525252525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11308</v>
      </c>
      <c r="AG3712" t="n">
        <v>2173</v>
      </c>
      <c r="AH3712" t="inlineStr">
        <is>
          <t>PT. OGAN SAKTI PRATAMA - PPN (JMB)</t>
        </is>
      </c>
      <c r="AI3712" t="n">
        <v>387</v>
      </c>
      <c r="AJ3712" t="inlineStr">
        <is>
          <t>SALSA</t>
        </is>
      </c>
      <c r="AK3712" t="n">
        <v>9</v>
      </c>
      <c r="AL3712" t="inlineStr">
        <is>
          <t>Miss Glam Jambi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SALSA</t>
        </is>
      </c>
      <c r="B3713" s="2">
        <f>"8997207558071"</f>
        <v/>
      </c>
      <c r="C3713" t="inlineStr">
        <is>
          <t>SALSA B7 Biotin Nail Polish Serum 15ml</t>
        </is>
      </c>
      <c r="D3713" t="inlineStr">
        <is>
          <t>Miss Glam Jambi</t>
        </is>
      </c>
      <c r="E3713" t="n">
        <v>3</v>
      </c>
      <c r="F3713" t="n">
        <v>0.0561</v>
      </c>
      <c r="G3713" t="n">
        <v>0.66</v>
      </c>
      <c r="H3713" t="n">
        <v>7</v>
      </c>
      <c r="I3713" t="n">
        <v>19</v>
      </c>
      <c r="J3713" t="n">
        <v>3</v>
      </c>
      <c r="K3713" t="n">
        <v>0</v>
      </c>
      <c r="L3713" t="n">
        <v>15040</v>
      </c>
      <c r="M3713" t="n">
        <v>19000</v>
      </c>
      <c r="N3713" t="n">
        <v>33</v>
      </c>
      <c r="O3713" t="n">
        <v>0.33</v>
      </c>
      <c r="P3713" t="n">
        <v>1</v>
      </c>
      <c r="Q3713" t="n">
        <v>0.02</v>
      </c>
      <c r="R3713" t="n">
        <v>0</v>
      </c>
      <c r="S3713" t="n">
        <v>1065.9</v>
      </c>
      <c r="T3713" t="n">
        <v>13</v>
      </c>
      <c r="U3713" t="n">
        <v>14</v>
      </c>
      <c r="V3713" t="n">
        <v>30</v>
      </c>
      <c r="W3713" t="n">
        <v>2</v>
      </c>
      <c r="X3713" t="n">
        <v>53.475935828877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11308</v>
      </c>
      <c r="AG3713" t="n">
        <v>2173</v>
      </c>
      <c r="AH3713" t="inlineStr">
        <is>
          <t>PT. OGAN SAKTI PRATAMA - PPN (JMB)</t>
        </is>
      </c>
      <c r="AI3713" t="n">
        <v>387</v>
      </c>
      <c r="AJ3713" t="inlineStr">
        <is>
          <t>SALSA</t>
        </is>
      </c>
      <c r="AK3713" t="n">
        <v>9</v>
      </c>
      <c r="AL3713" t="inlineStr">
        <is>
          <t>Miss Glam Jambi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SALSA</t>
        </is>
      </c>
      <c r="B3714" s="2">
        <f>"20200333812"</f>
        <v/>
      </c>
      <c r="C3714" t="inlineStr">
        <is>
          <t>SALSA Bold Eyeliner 3ml</t>
        </is>
      </c>
      <c r="D3714" t="inlineStr">
        <is>
          <t>Miss Glam Jambi</t>
        </is>
      </c>
      <c r="E3714" t="n">
        <v>0</v>
      </c>
      <c r="F3714" t="n">
        <v>0.3696</v>
      </c>
      <c r="G3714" t="n">
        <v>1.32</v>
      </c>
      <c r="H3714" t="n">
        <v>7</v>
      </c>
      <c r="I3714" t="n">
        <v>19</v>
      </c>
      <c r="J3714" t="n">
        <v>1</v>
      </c>
      <c r="K3714" t="n">
        <v>4</v>
      </c>
      <c r="L3714" t="n">
        <v>14400</v>
      </c>
      <c r="M3714" t="n">
        <v>18000</v>
      </c>
      <c r="N3714" t="n">
        <v>33</v>
      </c>
      <c r="O3714" t="n">
        <v>0.33</v>
      </c>
      <c r="P3714" t="n">
        <v>1</v>
      </c>
      <c r="Q3714" t="n">
        <v>0.05</v>
      </c>
      <c r="R3714" t="n">
        <v>1</v>
      </c>
      <c r="S3714" t="n">
        <v>6652.800000000001</v>
      </c>
      <c r="T3714" t="n">
        <v>23</v>
      </c>
      <c r="U3714" t="n">
        <v>26</v>
      </c>
      <c r="V3714" t="n">
        <v>30</v>
      </c>
      <c r="W3714" t="n">
        <v>12</v>
      </c>
      <c r="X3714" t="n">
        <v>0</v>
      </c>
      <c r="Y3714" t="n">
        <v>1</v>
      </c>
      <c r="Z3714" t="n">
        <v>8</v>
      </c>
      <c r="AA3714" t="n">
        <v>7</v>
      </c>
      <c r="AB3714" t="n">
        <v>1</v>
      </c>
      <c r="AC3714" t="n">
        <v>1</v>
      </c>
      <c r="AD3714" t="n">
        <v>100800</v>
      </c>
      <c r="AE3714" t="n">
        <v>14400</v>
      </c>
      <c r="AF3714" t="n">
        <v>11308</v>
      </c>
      <c r="AG3714" t="n">
        <v>2173</v>
      </c>
      <c r="AH3714" t="inlineStr">
        <is>
          <t>PT. OGAN SAKTI PRATAMA - PPN (JMB)</t>
        </is>
      </c>
      <c r="AI3714" t="n">
        <v>387</v>
      </c>
      <c r="AJ3714" t="inlineStr">
        <is>
          <t>SALSA</t>
        </is>
      </c>
      <c r="AK3714" t="n">
        <v>9</v>
      </c>
      <c r="AL3714" t="inlineStr">
        <is>
          <t>Miss Glam Jambi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SALSA</t>
        </is>
      </c>
      <c r="B3715" s="2">
        <f>"40200120109"</f>
        <v/>
      </c>
      <c r="C3715" t="inlineStr">
        <is>
          <t>SALSA Dry Scalp Hair Serum 80ml</t>
        </is>
      </c>
      <c r="D3715" t="inlineStr">
        <is>
          <t>Miss Glam Jambi</t>
        </is>
      </c>
      <c r="E3715" t="n">
        <v>1</v>
      </c>
      <c r="F3715" t="n">
        <v>0.08910000000000001</v>
      </c>
      <c r="G3715" t="n">
        <v>0.66</v>
      </c>
      <c r="H3715" t="n">
        <v>7</v>
      </c>
      <c r="I3715" t="n">
        <v>19</v>
      </c>
      <c r="J3715" t="n">
        <v>1</v>
      </c>
      <c r="K3715" t="n">
        <v>1</v>
      </c>
      <c r="L3715" t="n">
        <v>14400</v>
      </c>
      <c r="M3715" t="n">
        <v>18000</v>
      </c>
      <c r="N3715" t="n">
        <v>33</v>
      </c>
      <c r="O3715" t="n">
        <v>0.33</v>
      </c>
      <c r="P3715" t="n">
        <v>1</v>
      </c>
      <c r="Q3715" t="n">
        <v>0.07000000000000001</v>
      </c>
      <c r="R3715" t="n">
        <v>1</v>
      </c>
      <c r="S3715" t="n">
        <v>1603.8</v>
      </c>
      <c r="T3715" t="n">
        <v>12</v>
      </c>
      <c r="U3715" t="n">
        <v>13</v>
      </c>
      <c r="V3715" t="n">
        <v>30</v>
      </c>
      <c r="W3715" t="n">
        <v>3</v>
      </c>
      <c r="X3715" t="n">
        <v>11.22334455667789</v>
      </c>
      <c r="Y3715" t="n">
        <v>1</v>
      </c>
      <c r="Z3715" t="n">
        <v>1</v>
      </c>
      <c r="AA3715" t="n">
        <v>0</v>
      </c>
      <c r="AB3715" t="n">
        <v>1</v>
      </c>
      <c r="AC3715" t="n">
        <v>1</v>
      </c>
      <c r="AD3715" t="n">
        <v>0</v>
      </c>
      <c r="AE3715" t="n">
        <v>14400</v>
      </c>
      <c r="AF3715" t="n">
        <v>11308</v>
      </c>
      <c r="AG3715" t="n">
        <v>2173</v>
      </c>
      <c r="AH3715" t="inlineStr">
        <is>
          <t>PT. OGAN SAKTI PRATAMA - PPN (JMB)</t>
        </is>
      </c>
      <c r="AI3715" t="n">
        <v>387</v>
      </c>
      <c r="AJ3715" t="inlineStr">
        <is>
          <t>SALSA</t>
        </is>
      </c>
      <c r="AK3715" t="n">
        <v>9</v>
      </c>
      <c r="AL3715" t="inlineStr">
        <is>
          <t>Miss Glam Jambi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SALSA</t>
        </is>
      </c>
      <c r="B3716" s="2">
        <f>"8997207558064"</f>
        <v/>
      </c>
      <c r="C3716" t="inlineStr">
        <is>
          <t>SALSA Eyelash &amp; Eyebrow Serum</t>
        </is>
      </c>
      <c r="D3716" t="inlineStr">
        <is>
          <t>Miss Glam Jambi</t>
        </is>
      </c>
      <c r="E3716" t="n">
        <v>7</v>
      </c>
      <c r="F3716" t="n">
        <v>0.0264</v>
      </c>
      <c r="G3716" t="n">
        <v>0.33</v>
      </c>
      <c r="H3716" t="n">
        <v>7</v>
      </c>
      <c r="I3716" t="n">
        <v>19</v>
      </c>
      <c r="J3716" t="n">
        <v>3</v>
      </c>
      <c r="K3716" t="n">
        <v>0</v>
      </c>
      <c r="L3716" t="n">
        <v>19041</v>
      </c>
      <c r="M3716" t="n">
        <v>24000</v>
      </c>
      <c r="N3716" t="n">
        <v>33</v>
      </c>
      <c r="O3716" t="n">
        <v>0.33</v>
      </c>
      <c r="P3716" t="n">
        <v>1</v>
      </c>
      <c r="Q3716" t="n">
        <v>0.08</v>
      </c>
      <c r="R3716" t="n">
        <v>1</v>
      </c>
      <c r="S3716" t="n">
        <v>633.6000000000001</v>
      </c>
      <c r="T3716" t="n">
        <v>7</v>
      </c>
      <c r="U3716" t="n">
        <v>8</v>
      </c>
      <c r="V3716" t="n">
        <v>30</v>
      </c>
      <c r="W3716" t="n">
        <v>1</v>
      </c>
      <c r="X3716" t="n">
        <v>265.1515151515151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11308</v>
      </c>
      <c r="AG3716" t="n">
        <v>2173</v>
      </c>
      <c r="AH3716" t="inlineStr">
        <is>
          <t>PT. OGAN SAKTI PRATAMA - PPN (JMB)</t>
        </is>
      </c>
      <c r="AI3716" t="n">
        <v>387</v>
      </c>
      <c r="AJ3716" t="inlineStr">
        <is>
          <t>SALSA</t>
        </is>
      </c>
      <c r="AK3716" t="n">
        <v>9</v>
      </c>
      <c r="AL3716" t="inlineStr">
        <is>
          <t>Miss Glam Jambi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SALSA</t>
        </is>
      </c>
      <c r="B3717" s="2">
        <f>"50100447824"</f>
        <v/>
      </c>
      <c r="C3717" t="inlineStr">
        <is>
          <t>SALSA Faux Eyelash 09</t>
        </is>
      </c>
      <c r="D3717" t="inlineStr">
        <is>
          <t>Miss Glam Jambi</t>
        </is>
      </c>
      <c r="E3717" t="n">
        <v>9</v>
      </c>
      <c r="F3717" t="n">
        <v>0.1749</v>
      </c>
      <c r="G3717" t="n">
        <v>0.99</v>
      </c>
      <c r="H3717" t="n">
        <v>7</v>
      </c>
      <c r="I3717" t="n">
        <v>19</v>
      </c>
      <c r="J3717" t="n">
        <v>1</v>
      </c>
      <c r="K3717" t="n">
        <v>0</v>
      </c>
      <c r="L3717" t="n">
        <v>7201</v>
      </c>
      <c r="M3717" t="n">
        <v>15000</v>
      </c>
      <c r="N3717" t="n">
        <v>33</v>
      </c>
      <c r="O3717" t="n">
        <v>0.33</v>
      </c>
      <c r="P3717" t="n">
        <v>1</v>
      </c>
      <c r="Q3717" t="n">
        <v>0.02</v>
      </c>
      <c r="R3717" t="n">
        <v>0</v>
      </c>
      <c r="S3717" t="n">
        <v>2623.5</v>
      </c>
      <c r="T3717" t="n">
        <v>18</v>
      </c>
      <c r="U3717" t="n">
        <v>20</v>
      </c>
      <c r="V3717" t="n">
        <v>30</v>
      </c>
      <c r="W3717" t="n">
        <v>6</v>
      </c>
      <c r="X3717" t="n">
        <v>51.45797598627787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11308</v>
      </c>
      <c r="AG3717" t="n">
        <v>2173</v>
      </c>
      <c r="AH3717" t="inlineStr">
        <is>
          <t>PT. OGAN SAKTI PRATAMA - PPN (JMB)</t>
        </is>
      </c>
      <c r="AI3717" t="n">
        <v>387</v>
      </c>
      <c r="AJ3717" t="inlineStr">
        <is>
          <t>SALSA</t>
        </is>
      </c>
      <c r="AK3717" t="n">
        <v>9</v>
      </c>
      <c r="AL3717" t="inlineStr">
        <is>
          <t>Miss Glam Jambi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SALSA</t>
        </is>
      </c>
      <c r="B3718" s="2">
        <f>"8997207559009"</f>
        <v/>
      </c>
      <c r="C3718" t="inlineStr">
        <is>
          <t>SALSA Faux Eyelashes 01</t>
        </is>
      </c>
      <c r="D3718" t="inlineStr">
        <is>
          <t>Miss Glam Jambi</t>
        </is>
      </c>
      <c r="E3718" t="n">
        <v>10</v>
      </c>
      <c r="F3718" t="n">
        <v>0.3531</v>
      </c>
      <c r="G3718" t="n">
        <v>3.63</v>
      </c>
      <c r="H3718" t="n">
        <v>7</v>
      </c>
      <c r="I3718" t="n">
        <v>19</v>
      </c>
      <c r="J3718" t="n">
        <v>3</v>
      </c>
      <c r="K3718" t="n">
        <v>3</v>
      </c>
      <c r="L3718" t="n">
        <v>7201</v>
      </c>
      <c r="M3718" t="n">
        <v>9000</v>
      </c>
      <c r="N3718" t="n">
        <v>33</v>
      </c>
      <c r="O3718" t="n">
        <v>0.33</v>
      </c>
      <c r="P3718" t="n">
        <v>1</v>
      </c>
      <c r="Q3718" t="n">
        <v>0.15</v>
      </c>
      <c r="R3718" t="n">
        <v>2</v>
      </c>
      <c r="S3718" t="n">
        <v>3177.9</v>
      </c>
      <c r="T3718" t="n">
        <v>67</v>
      </c>
      <c r="U3718" t="n">
        <v>70</v>
      </c>
      <c r="V3718" t="n">
        <v>30</v>
      </c>
      <c r="W3718" t="n">
        <v>11</v>
      </c>
      <c r="X3718" t="n">
        <v>28.32058906825262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11308</v>
      </c>
      <c r="AG3718" t="n">
        <v>2173</v>
      </c>
      <c r="AH3718" t="inlineStr">
        <is>
          <t>PT. OGAN SAKTI PRATAMA - PPN (JMB)</t>
        </is>
      </c>
      <c r="AI3718" t="n">
        <v>387</v>
      </c>
      <c r="AJ3718" t="inlineStr">
        <is>
          <t>SALSA</t>
        </is>
      </c>
      <c r="AK3718" t="n">
        <v>9</v>
      </c>
      <c r="AL3718" t="inlineStr">
        <is>
          <t>Miss Glam Jambi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SALSA</t>
        </is>
      </c>
      <c r="B3719" s="2">
        <f>"8997207559047"</f>
        <v/>
      </c>
      <c r="C3719" t="inlineStr">
        <is>
          <t>SALSA Faux Eyelashes 04</t>
        </is>
      </c>
      <c r="D3719" t="inlineStr">
        <is>
          <t>Miss Glam Jambi</t>
        </is>
      </c>
      <c r="E3719" t="n">
        <v>0</v>
      </c>
      <c r="F3719" t="n">
        <v>0.2508</v>
      </c>
      <c r="G3719" t="n">
        <v>3.63</v>
      </c>
      <c r="H3719" t="n">
        <v>7</v>
      </c>
      <c r="I3719" t="n">
        <v>19</v>
      </c>
      <c r="J3719" t="n">
        <v>3</v>
      </c>
      <c r="K3719" t="n">
        <v>0</v>
      </c>
      <c r="L3719" t="n">
        <v>7201</v>
      </c>
      <c r="M3719" t="n">
        <v>9000</v>
      </c>
      <c r="N3719" t="n">
        <v>33</v>
      </c>
      <c r="O3719" t="n">
        <v>0.33</v>
      </c>
      <c r="P3719" t="n">
        <v>1</v>
      </c>
      <c r="Q3719" t="n">
        <v>0.06</v>
      </c>
      <c r="R3719" t="n">
        <v>1</v>
      </c>
      <c r="S3719" t="n">
        <v>2257.2</v>
      </c>
      <c r="T3719" t="n">
        <v>68</v>
      </c>
      <c r="U3719" t="n">
        <v>70</v>
      </c>
      <c r="V3719" t="n">
        <v>30</v>
      </c>
      <c r="W3719" t="n">
        <v>8</v>
      </c>
      <c r="X3719" t="n">
        <v>0</v>
      </c>
      <c r="Y3719" t="n">
        <v>1</v>
      </c>
      <c r="Z3719" t="n">
        <v>8</v>
      </c>
      <c r="AA3719" t="n">
        <v>5</v>
      </c>
      <c r="AB3719" t="n">
        <v>3</v>
      </c>
      <c r="AC3719" t="n">
        <v>3</v>
      </c>
      <c r="AD3719" t="n">
        <v>36005</v>
      </c>
      <c r="AE3719" t="n">
        <v>21603</v>
      </c>
      <c r="AF3719" t="n">
        <v>11308</v>
      </c>
      <c r="AG3719" t="n">
        <v>2173</v>
      </c>
      <c r="AH3719" t="inlineStr">
        <is>
          <t>PT. OGAN SAKTI PRATAMA - PPN (JMB)</t>
        </is>
      </c>
      <c r="AI3719" t="n">
        <v>387</v>
      </c>
      <c r="AJ3719" t="inlineStr">
        <is>
          <t>SALSA</t>
        </is>
      </c>
      <c r="AK3719" t="n">
        <v>9</v>
      </c>
      <c r="AL3719" t="inlineStr">
        <is>
          <t>Miss Glam Jambi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SALSA</t>
        </is>
      </c>
      <c r="B3720" s="2">
        <f>"8997207559054"</f>
        <v/>
      </c>
      <c r="C3720" t="inlineStr">
        <is>
          <t>SALSA Faux Eyelashes 05</t>
        </is>
      </c>
      <c r="D3720" t="inlineStr">
        <is>
          <t>Miss Glam Jambi</t>
        </is>
      </c>
      <c r="E3720" t="n">
        <v>0</v>
      </c>
      <c r="F3720" t="n">
        <v>0.3927</v>
      </c>
      <c r="G3720" t="n">
        <v>4.95</v>
      </c>
      <c r="H3720" t="n">
        <v>7</v>
      </c>
      <c r="I3720" t="n">
        <v>19</v>
      </c>
      <c r="J3720" t="n">
        <v>3</v>
      </c>
      <c r="K3720" t="n">
        <v>3</v>
      </c>
      <c r="L3720" t="n">
        <v>7201</v>
      </c>
      <c r="M3720" t="n">
        <v>9000</v>
      </c>
      <c r="N3720" t="n">
        <v>33</v>
      </c>
      <c r="O3720" t="n">
        <v>0.33</v>
      </c>
      <c r="P3720" t="n">
        <v>1</v>
      </c>
      <c r="Q3720" t="n">
        <v>0.07000000000000001</v>
      </c>
      <c r="R3720" t="n">
        <v>1</v>
      </c>
      <c r="S3720" t="n">
        <v>3534.3</v>
      </c>
      <c r="T3720" t="n">
        <v>92</v>
      </c>
      <c r="U3720" t="n">
        <v>95</v>
      </c>
      <c r="V3720" t="n">
        <v>30</v>
      </c>
      <c r="W3720" t="n">
        <v>12</v>
      </c>
      <c r="X3720" t="n">
        <v>0</v>
      </c>
      <c r="Y3720" t="n">
        <v>1</v>
      </c>
      <c r="Z3720" t="n">
        <v>9</v>
      </c>
      <c r="AA3720" t="n">
        <v>7</v>
      </c>
      <c r="AB3720" t="n">
        <v>2</v>
      </c>
      <c r="AC3720" t="n">
        <v>3</v>
      </c>
      <c r="AD3720" t="n">
        <v>50407</v>
      </c>
      <c r="AE3720" t="n">
        <v>21603</v>
      </c>
      <c r="AF3720" t="n">
        <v>11308</v>
      </c>
      <c r="AG3720" t="n">
        <v>2173</v>
      </c>
      <c r="AH3720" t="inlineStr">
        <is>
          <t>PT. OGAN SAKTI PRATAMA - PPN (JMB)</t>
        </is>
      </c>
      <c r="AI3720" t="n">
        <v>387</v>
      </c>
      <c r="AJ3720" t="inlineStr">
        <is>
          <t>SALSA</t>
        </is>
      </c>
      <c r="AK3720" t="n">
        <v>9</v>
      </c>
      <c r="AL3720" t="inlineStr">
        <is>
          <t>Miss Glam Jambi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SALSA</t>
        </is>
      </c>
      <c r="B3721" s="2">
        <f>"8997207559061"</f>
        <v/>
      </c>
      <c r="C3721" t="inlineStr">
        <is>
          <t>SALSA Faux Eyelashes 06</t>
        </is>
      </c>
      <c r="D3721" t="inlineStr">
        <is>
          <t>Miss Glam Jambi</t>
        </is>
      </c>
      <c r="E3721" t="n">
        <v>10</v>
      </c>
      <c r="F3721" t="n">
        <v>0.0726</v>
      </c>
      <c r="G3721" t="n">
        <v>0.99</v>
      </c>
      <c r="H3721" t="n">
        <v>7</v>
      </c>
      <c r="I3721" t="n">
        <v>19</v>
      </c>
      <c r="J3721" t="n">
        <v>3</v>
      </c>
      <c r="K3721" t="n">
        <v>0</v>
      </c>
      <c r="L3721" t="n">
        <v>7201</v>
      </c>
      <c r="M3721" t="n">
        <v>9000</v>
      </c>
      <c r="N3721" t="n">
        <v>33</v>
      </c>
      <c r="O3721" t="n">
        <v>0.33</v>
      </c>
      <c r="P3721" t="n">
        <v>1</v>
      </c>
      <c r="Q3721" t="n">
        <v>0.14</v>
      </c>
      <c r="R3721" t="n">
        <v>3</v>
      </c>
      <c r="S3721" t="n">
        <v>653.4</v>
      </c>
      <c r="T3721" t="n">
        <v>19</v>
      </c>
      <c r="U3721" t="n">
        <v>20</v>
      </c>
      <c r="V3721" t="n">
        <v>30</v>
      </c>
      <c r="W3721" t="n">
        <v>3</v>
      </c>
      <c r="X3721" t="n">
        <v>137.7410468319559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11308</v>
      </c>
      <c r="AG3721" t="n">
        <v>2173</v>
      </c>
      <c r="AH3721" t="inlineStr">
        <is>
          <t>PT. OGAN SAKTI PRATAMA - PPN (JMB)</t>
        </is>
      </c>
      <c r="AI3721" t="n">
        <v>387</v>
      </c>
      <c r="AJ3721" t="inlineStr">
        <is>
          <t>SALSA</t>
        </is>
      </c>
      <c r="AK3721" t="n">
        <v>9</v>
      </c>
      <c r="AL3721" t="inlineStr">
        <is>
          <t>Miss Glam Jambi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SALSA</t>
        </is>
      </c>
      <c r="B3722" s="2">
        <f>"20200567117"</f>
        <v/>
      </c>
      <c r="C3722" t="inlineStr">
        <is>
          <t>SALSA Galaxy Eyeshadow Pallete Coma 15gr</t>
        </is>
      </c>
      <c r="D3722" t="inlineStr">
        <is>
          <t>Miss Glam Jambi</t>
        </is>
      </c>
      <c r="E3722" t="n">
        <v>7</v>
      </c>
      <c r="F3722" t="n">
        <v>0.1848</v>
      </c>
      <c r="G3722" t="n">
        <v>0.99</v>
      </c>
      <c r="H3722" t="n">
        <v>7</v>
      </c>
      <c r="I3722" t="n">
        <v>19</v>
      </c>
      <c r="J3722" t="n">
        <v>1</v>
      </c>
      <c r="K3722" t="n">
        <v>0</v>
      </c>
      <c r="L3722" t="n">
        <v>23040</v>
      </c>
      <c r="M3722" t="n">
        <v>28800</v>
      </c>
      <c r="N3722" t="n">
        <v>33</v>
      </c>
      <c r="O3722" t="n">
        <v>0.33</v>
      </c>
      <c r="P3722" t="n">
        <v>1</v>
      </c>
      <c r="Q3722" t="n">
        <v>0.2</v>
      </c>
      <c r="R3722" t="n">
        <v>2</v>
      </c>
      <c r="S3722" t="n">
        <v>5322.240000000001</v>
      </c>
      <c r="T3722" t="n">
        <v>18</v>
      </c>
      <c r="U3722" t="n">
        <v>20</v>
      </c>
      <c r="V3722" t="n">
        <v>30</v>
      </c>
      <c r="W3722" t="n">
        <v>6</v>
      </c>
      <c r="X3722" t="n">
        <v>37.87878787878788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11308</v>
      </c>
      <c r="AG3722" t="n">
        <v>2173</v>
      </c>
      <c r="AH3722" t="inlineStr">
        <is>
          <t>PT. OGAN SAKTI PRATAMA - PPN (JMB)</t>
        </is>
      </c>
      <c r="AI3722" t="n">
        <v>387</v>
      </c>
      <c r="AJ3722" t="inlineStr">
        <is>
          <t>SALSA</t>
        </is>
      </c>
      <c r="AK3722" t="n">
        <v>9</v>
      </c>
      <c r="AL3722" t="inlineStr">
        <is>
          <t>Miss Glam Jambi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SALSA</t>
        </is>
      </c>
      <c r="B3723" s="2">
        <f>"20200567318"</f>
        <v/>
      </c>
      <c r="C3723" t="inlineStr">
        <is>
          <t>SALSA Galaxy Eyeshadow Pallete Cosmo 15gr</t>
        </is>
      </c>
      <c r="D3723" t="inlineStr">
        <is>
          <t>Miss Glam Jambi</t>
        </is>
      </c>
      <c r="E3723" t="n">
        <v>0</v>
      </c>
      <c r="F3723" t="n">
        <v>0.066</v>
      </c>
      <c r="G3723" t="n">
        <v>0.66</v>
      </c>
      <c r="H3723" t="n">
        <v>7</v>
      </c>
      <c r="I3723" t="n">
        <v>19</v>
      </c>
      <c r="J3723" t="n">
        <v>1</v>
      </c>
      <c r="K3723" t="n">
        <v>0</v>
      </c>
      <c r="L3723" t="n">
        <v>23040</v>
      </c>
      <c r="M3723" t="n">
        <v>29000</v>
      </c>
      <c r="N3723" t="n">
        <v>33</v>
      </c>
      <c r="O3723" t="n">
        <v>0.33</v>
      </c>
      <c r="P3723" t="n">
        <v>1</v>
      </c>
      <c r="Q3723" t="n">
        <v>0.18</v>
      </c>
      <c r="R3723" t="n">
        <v>2</v>
      </c>
      <c r="S3723" t="n">
        <v>1914</v>
      </c>
      <c r="T3723" t="n">
        <v>13</v>
      </c>
      <c r="U3723" t="n">
        <v>14</v>
      </c>
      <c r="V3723" t="n">
        <v>30</v>
      </c>
      <c r="W3723" t="n">
        <v>2</v>
      </c>
      <c r="X3723" t="n">
        <v>0</v>
      </c>
      <c r="Y3723" t="n">
        <v>1</v>
      </c>
      <c r="Z3723" t="n">
        <v>2</v>
      </c>
      <c r="AA3723" t="n">
        <v>2</v>
      </c>
      <c r="AB3723" t="n">
        <v>0</v>
      </c>
      <c r="AC3723" t="n">
        <v>0</v>
      </c>
      <c r="AD3723" t="n">
        <v>46080</v>
      </c>
      <c r="AE3723" t="n">
        <v>0</v>
      </c>
      <c r="AF3723" t="n">
        <v>11308</v>
      </c>
      <c r="AG3723" t="n">
        <v>2173</v>
      </c>
      <c r="AH3723" t="inlineStr">
        <is>
          <t>PT. OGAN SAKTI PRATAMA - PPN (JMB)</t>
        </is>
      </c>
      <c r="AI3723" t="n">
        <v>387</v>
      </c>
      <c r="AJ3723" t="inlineStr">
        <is>
          <t>SALSA</t>
        </is>
      </c>
      <c r="AK3723" t="n">
        <v>9</v>
      </c>
      <c r="AL3723" t="inlineStr">
        <is>
          <t>Miss Glam Jambi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SALSA</t>
        </is>
      </c>
      <c r="B3724" s="2">
        <f>"8997207557517"</f>
        <v/>
      </c>
      <c r="C3724" t="inlineStr">
        <is>
          <t>SALSA Growth Hair Serum 80ml</t>
        </is>
      </c>
      <c r="D3724" t="inlineStr">
        <is>
          <t>Miss Glam Jambi</t>
        </is>
      </c>
      <c r="E3724" t="n">
        <v>6</v>
      </c>
      <c r="F3724" t="n">
        <v>0.3135</v>
      </c>
      <c r="G3724" t="n">
        <v>1.65</v>
      </c>
      <c r="H3724" t="n">
        <v>7</v>
      </c>
      <c r="I3724" t="n">
        <v>19</v>
      </c>
      <c r="J3724" t="n">
        <v>3</v>
      </c>
      <c r="K3724" t="n">
        <v>4</v>
      </c>
      <c r="L3724" t="n">
        <v>16000</v>
      </c>
      <c r="M3724" t="n">
        <v>18000</v>
      </c>
      <c r="N3724" t="n">
        <v>33</v>
      </c>
      <c r="O3724" t="n">
        <v>0.33</v>
      </c>
      <c r="P3724" t="n">
        <v>1</v>
      </c>
      <c r="Q3724" t="n">
        <v>0.03</v>
      </c>
      <c r="R3724" t="n">
        <v>1</v>
      </c>
      <c r="S3724" t="n">
        <v>5643</v>
      </c>
      <c r="T3724" t="n">
        <v>30</v>
      </c>
      <c r="U3724" t="n">
        <v>33</v>
      </c>
      <c r="V3724" t="n">
        <v>30</v>
      </c>
      <c r="W3724" t="n">
        <v>10</v>
      </c>
      <c r="X3724" t="n">
        <v>19.13875598086124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11308</v>
      </c>
      <c r="AG3724" t="n">
        <v>2173</v>
      </c>
      <c r="AH3724" t="inlineStr">
        <is>
          <t>PT. OGAN SAKTI PRATAMA - PPN (JMB)</t>
        </is>
      </c>
      <c r="AI3724" t="n">
        <v>387</v>
      </c>
      <c r="AJ3724" t="inlineStr">
        <is>
          <t>SALSA</t>
        </is>
      </c>
      <c r="AK3724" t="n">
        <v>9</v>
      </c>
      <c r="AL3724" t="inlineStr">
        <is>
          <t>Miss Glam Jambi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SALSA</t>
        </is>
      </c>
      <c r="B3725" s="2">
        <f>"8997207550051"</f>
        <v/>
      </c>
      <c r="C3725" t="inlineStr">
        <is>
          <t>SALSA Hair Serum Rose 80ml</t>
        </is>
      </c>
      <c r="D3725" t="inlineStr">
        <is>
          <t>Miss Glam Jambi</t>
        </is>
      </c>
      <c r="E3725" t="n">
        <v>2</v>
      </c>
      <c r="F3725" t="n">
        <v>0.1683</v>
      </c>
      <c r="G3725" t="n">
        <v>1.65</v>
      </c>
      <c r="H3725" t="n">
        <v>7</v>
      </c>
      <c r="I3725" t="n">
        <v>19</v>
      </c>
      <c r="J3725" t="n">
        <v>3</v>
      </c>
      <c r="K3725" t="n">
        <v>3</v>
      </c>
      <c r="L3725" t="n">
        <v>15273</v>
      </c>
      <c r="M3725" t="n">
        <v>18000</v>
      </c>
      <c r="N3725" t="n">
        <v>33</v>
      </c>
      <c r="O3725" t="n">
        <v>0.33</v>
      </c>
      <c r="P3725" t="n">
        <v>1</v>
      </c>
      <c r="Q3725" t="n">
        <v>0.08</v>
      </c>
      <c r="R3725" t="n">
        <v>1</v>
      </c>
      <c r="S3725" t="n">
        <v>3029.4</v>
      </c>
      <c r="T3725" t="n">
        <v>31</v>
      </c>
      <c r="U3725" t="n">
        <v>33</v>
      </c>
      <c r="V3725" t="n">
        <v>30</v>
      </c>
      <c r="W3725" t="n">
        <v>6</v>
      </c>
      <c r="X3725" t="n">
        <v>11.883541295306</v>
      </c>
      <c r="Y3725" t="n">
        <v>1</v>
      </c>
      <c r="Z3725" t="n">
        <v>1</v>
      </c>
      <c r="AA3725" t="n">
        <v>1</v>
      </c>
      <c r="AB3725" t="n">
        <v>0</v>
      </c>
      <c r="AC3725" t="n">
        <v>0</v>
      </c>
      <c r="AD3725" t="n">
        <v>15273</v>
      </c>
      <c r="AE3725" t="n">
        <v>0</v>
      </c>
      <c r="AF3725" t="n">
        <v>11308</v>
      </c>
      <c r="AG3725" t="n">
        <v>2173</v>
      </c>
      <c r="AH3725" t="inlineStr">
        <is>
          <t>PT. OGAN SAKTI PRATAMA - PPN (JMB)</t>
        </is>
      </c>
      <c r="AI3725" t="n">
        <v>387</v>
      </c>
      <c r="AJ3725" t="inlineStr">
        <is>
          <t>SALSA</t>
        </is>
      </c>
      <c r="AK3725" t="n">
        <v>9</v>
      </c>
      <c r="AL3725" t="inlineStr">
        <is>
          <t>Miss Glam Jambi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SALSA</t>
        </is>
      </c>
      <c r="B3726" s="2">
        <f>"8997207558880"</f>
        <v/>
      </c>
      <c r="C3726" t="inlineStr">
        <is>
          <t>SALSA Hans Jebb Lemon Breeze Gel Skin Cleaner 110gr</t>
        </is>
      </c>
      <c r="D3726" t="inlineStr">
        <is>
          <t>Miss Glam Jambi</t>
        </is>
      </c>
      <c r="E3726" t="n">
        <v>5</v>
      </c>
      <c r="F3726" t="n">
        <v>0.0462</v>
      </c>
      <c r="G3726" t="n">
        <v>0.66</v>
      </c>
      <c r="H3726" t="n">
        <v>7</v>
      </c>
      <c r="I3726" t="n">
        <v>19</v>
      </c>
      <c r="J3726" t="n">
        <v>3</v>
      </c>
      <c r="K3726" t="n">
        <v>0</v>
      </c>
      <c r="L3726" t="n">
        <v>15840</v>
      </c>
      <c r="M3726" t="n">
        <v>20000</v>
      </c>
      <c r="N3726" t="n">
        <v>33</v>
      </c>
      <c r="O3726" t="n">
        <v>0.33</v>
      </c>
      <c r="P3726" t="n">
        <v>1</v>
      </c>
      <c r="Q3726" t="n">
        <v>0.02</v>
      </c>
      <c r="R3726" t="n">
        <v>1</v>
      </c>
      <c r="S3726" t="n">
        <v>924.0000000000001</v>
      </c>
      <c r="T3726" t="n">
        <v>13</v>
      </c>
      <c r="U3726" t="n">
        <v>14</v>
      </c>
      <c r="V3726" t="n">
        <v>30</v>
      </c>
      <c r="W3726" t="n">
        <v>2</v>
      </c>
      <c r="X3726" t="n">
        <v>108.2251082251082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11308</v>
      </c>
      <c r="AG3726" t="n">
        <v>2173</v>
      </c>
      <c r="AH3726" t="inlineStr">
        <is>
          <t>PT. OGAN SAKTI PRATAMA - PPN (JMB)</t>
        </is>
      </c>
      <c r="AI3726" t="n">
        <v>387</v>
      </c>
      <c r="AJ3726" t="inlineStr">
        <is>
          <t>SALSA</t>
        </is>
      </c>
      <c r="AK3726" t="n">
        <v>9</v>
      </c>
      <c r="AL3726" t="inlineStr">
        <is>
          <t>Miss Glam Jambi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SALSA</t>
        </is>
      </c>
      <c r="B3727" s="2">
        <f>"8995028208335"</f>
        <v/>
      </c>
      <c r="C3727" t="inlineStr">
        <is>
          <t>SALSA Hans Jebb Sweet Tropical Gel Skin Cleaner 110gr</t>
        </is>
      </c>
      <c r="D3727" t="inlineStr">
        <is>
          <t>Miss Glam Jambi</t>
        </is>
      </c>
      <c r="E3727" t="n">
        <v>6</v>
      </c>
      <c r="F3727" t="n">
        <v>0.009900000000000001</v>
      </c>
      <c r="G3727" t="n">
        <v>0.33</v>
      </c>
      <c r="H3727" t="n">
        <v>7</v>
      </c>
      <c r="I3727" t="n">
        <v>19</v>
      </c>
      <c r="J3727" t="n">
        <v>3</v>
      </c>
      <c r="K3727" t="n">
        <v>0</v>
      </c>
      <c r="L3727" t="n">
        <v>15840</v>
      </c>
      <c r="M3727" t="n">
        <v>20000</v>
      </c>
      <c r="N3727" t="n">
        <v>33</v>
      </c>
      <c r="O3727" t="n">
        <v>0.33</v>
      </c>
      <c r="P3727" t="n">
        <v>1</v>
      </c>
      <c r="Q3727" t="n">
        <v>0.02</v>
      </c>
      <c r="R3727" t="n">
        <v>1</v>
      </c>
      <c r="S3727" t="n">
        <v>198</v>
      </c>
      <c r="T3727" t="n">
        <v>7</v>
      </c>
      <c r="U3727" t="n">
        <v>8</v>
      </c>
      <c r="V3727" t="n">
        <v>30</v>
      </c>
      <c r="W3727" t="n">
        <v>1</v>
      </c>
      <c r="X3727" t="n">
        <v>606.060606060606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11308</v>
      </c>
      <c r="AG3727" t="n">
        <v>2173</v>
      </c>
      <c r="AH3727" t="inlineStr">
        <is>
          <t>PT. OGAN SAKTI PRATAMA - PPN (JMB)</t>
        </is>
      </c>
      <c r="AI3727" t="n">
        <v>387</v>
      </c>
      <c r="AJ3727" t="inlineStr">
        <is>
          <t>SALSA</t>
        </is>
      </c>
      <c r="AK3727" t="n">
        <v>9</v>
      </c>
      <c r="AL3727" t="inlineStr">
        <is>
          <t>Miss Glam Jambi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SALSA</t>
        </is>
      </c>
      <c r="B3728" s="2">
        <f>"30100244508"</f>
        <v/>
      </c>
      <c r="C3728" t="inlineStr">
        <is>
          <t>SALSA HansJebb + Greentea Apple 150gr</t>
        </is>
      </c>
      <c r="D3728" t="inlineStr">
        <is>
          <t>Miss Glam Jambi</t>
        </is>
      </c>
      <c r="E3728" t="n">
        <v>4</v>
      </c>
      <c r="F3728" t="n">
        <v>0.009900000000000001</v>
      </c>
      <c r="G3728" t="n">
        <v>0.33</v>
      </c>
      <c r="H3728" t="n">
        <v>7</v>
      </c>
      <c r="I3728" t="n">
        <v>19</v>
      </c>
      <c r="J3728" t="n">
        <v>1</v>
      </c>
      <c r="K3728" t="n">
        <v>0</v>
      </c>
      <c r="L3728" t="n">
        <v>18400</v>
      </c>
      <c r="M3728" t="n">
        <v>23000</v>
      </c>
      <c r="N3728" t="n">
        <v>33</v>
      </c>
      <c r="O3728" t="n">
        <v>0.33</v>
      </c>
      <c r="P3728" t="n">
        <v>1</v>
      </c>
      <c r="Q3728" t="n">
        <v>0.03</v>
      </c>
      <c r="R3728" t="n">
        <v>1</v>
      </c>
      <c r="S3728" t="n">
        <v>227.7</v>
      </c>
      <c r="T3728" t="n">
        <v>7</v>
      </c>
      <c r="U3728" t="n">
        <v>8</v>
      </c>
      <c r="V3728" t="n">
        <v>30</v>
      </c>
      <c r="W3728" t="n">
        <v>1</v>
      </c>
      <c r="X3728" t="n">
        <v>404.040404040404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11308</v>
      </c>
      <c r="AG3728" t="n">
        <v>2173</v>
      </c>
      <c r="AH3728" t="inlineStr">
        <is>
          <t>PT. OGAN SAKTI PRATAMA - PPN (JMB)</t>
        </is>
      </c>
      <c r="AI3728" t="n">
        <v>387</v>
      </c>
      <c r="AJ3728" t="inlineStr">
        <is>
          <t>SALSA</t>
        </is>
      </c>
      <c r="AK3728" t="n">
        <v>9</v>
      </c>
      <c r="AL3728" t="inlineStr">
        <is>
          <t>Miss Glam Jambi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SALSA</t>
        </is>
      </c>
      <c r="B3729" s="2">
        <f>"30100244603"</f>
        <v/>
      </c>
      <c r="C3729" t="inlineStr">
        <is>
          <t>SALSA HansJebb + Peach Plum 150gr</t>
        </is>
      </c>
      <c r="D3729" t="inlineStr">
        <is>
          <t>Miss Glam Jambi</t>
        </is>
      </c>
      <c r="E3729" t="n">
        <v>4</v>
      </c>
      <c r="F3729" t="n">
        <v>0.0264</v>
      </c>
      <c r="G3729" t="n">
        <v>0.33</v>
      </c>
      <c r="H3729" t="n">
        <v>7</v>
      </c>
      <c r="I3729" t="n">
        <v>19</v>
      </c>
      <c r="J3729" t="n">
        <v>1</v>
      </c>
      <c r="K3729" t="n">
        <v>0</v>
      </c>
      <c r="L3729" t="n">
        <v>18400</v>
      </c>
      <c r="M3729" t="n">
        <v>23000</v>
      </c>
      <c r="N3729" t="n">
        <v>33</v>
      </c>
      <c r="O3729" t="n">
        <v>0.33</v>
      </c>
      <c r="P3729" t="n">
        <v>1</v>
      </c>
      <c r="Q3729" t="n">
        <v>0.02</v>
      </c>
      <c r="R3729" t="n">
        <v>1</v>
      </c>
      <c r="S3729" t="n">
        <v>607.2</v>
      </c>
      <c r="T3729" t="n">
        <v>7</v>
      </c>
      <c r="U3729" t="n">
        <v>8</v>
      </c>
      <c r="V3729" t="n">
        <v>30</v>
      </c>
      <c r="W3729" t="n">
        <v>1</v>
      </c>
      <c r="X3729" t="n">
        <v>151.5151515151515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11308</v>
      </c>
      <c r="AG3729" t="n">
        <v>2173</v>
      </c>
      <c r="AH3729" t="inlineStr">
        <is>
          <t>PT. OGAN SAKTI PRATAMA - PPN (JMB)</t>
        </is>
      </c>
      <c r="AI3729" t="n">
        <v>387</v>
      </c>
      <c r="AJ3729" t="inlineStr">
        <is>
          <t>SALSA</t>
        </is>
      </c>
      <c r="AK3729" t="n">
        <v>9</v>
      </c>
      <c r="AL3729" t="inlineStr">
        <is>
          <t>Miss Glam Jambi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SALSA</t>
        </is>
      </c>
      <c r="B3730" s="2">
        <f>"30100244744"</f>
        <v/>
      </c>
      <c r="C3730" t="inlineStr">
        <is>
          <t>SALSA HansJebb + Rice Oat Collagen 150gr</t>
        </is>
      </c>
      <c r="D3730" t="inlineStr">
        <is>
          <t>Miss Glam Jambi</t>
        </is>
      </c>
      <c r="E3730" t="n">
        <v>4</v>
      </c>
      <c r="F3730" t="n">
        <v>0.0495</v>
      </c>
      <c r="G3730" t="n">
        <v>0.33</v>
      </c>
      <c r="H3730" t="n">
        <v>7</v>
      </c>
      <c r="I3730" t="n">
        <v>19</v>
      </c>
      <c r="J3730" t="n">
        <v>1</v>
      </c>
      <c r="K3730" t="n">
        <v>0</v>
      </c>
      <c r="L3730" t="n">
        <v>18400</v>
      </c>
      <c r="M3730" t="n">
        <v>23000</v>
      </c>
      <c r="N3730" t="n">
        <v>33</v>
      </c>
      <c r="O3730" t="n">
        <v>0.33</v>
      </c>
      <c r="P3730" t="n">
        <v>1</v>
      </c>
      <c r="Q3730" t="n">
        <v>0.02</v>
      </c>
      <c r="R3730" t="n">
        <v>1</v>
      </c>
      <c r="S3730" t="n">
        <v>1138.5</v>
      </c>
      <c r="T3730" t="n">
        <v>6</v>
      </c>
      <c r="U3730" t="n">
        <v>7</v>
      </c>
      <c r="V3730" t="n">
        <v>30</v>
      </c>
      <c r="W3730" t="n">
        <v>2</v>
      </c>
      <c r="X3730" t="n">
        <v>80.8080808080808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11308</v>
      </c>
      <c r="AG3730" t="n">
        <v>2173</v>
      </c>
      <c r="AH3730" t="inlineStr">
        <is>
          <t>PT. OGAN SAKTI PRATAMA - PPN (JMB)</t>
        </is>
      </c>
      <c r="AI3730" t="n">
        <v>387</v>
      </c>
      <c r="AJ3730" t="inlineStr">
        <is>
          <t>SALSA</t>
        </is>
      </c>
      <c r="AK3730" t="n">
        <v>9</v>
      </c>
      <c r="AL3730" t="inlineStr">
        <is>
          <t>Miss Glam Jambi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SALSA</t>
        </is>
      </c>
      <c r="B3731" s="2">
        <f>"10200415708"</f>
        <v/>
      </c>
      <c r="C3731" t="inlineStr">
        <is>
          <t>SALSA HansJebb+ Sweet Tropical 150gr</t>
        </is>
      </c>
      <c r="D3731" t="inlineStr">
        <is>
          <t>Miss Glam Jambi</t>
        </is>
      </c>
      <c r="E3731" t="n">
        <v>3</v>
      </c>
      <c r="F3731" t="n">
        <v>0.0264</v>
      </c>
      <c r="G3731" t="n">
        <v>0.66</v>
      </c>
      <c r="H3731" t="n">
        <v>7</v>
      </c>
      <c r="I3731" t="n">
        <v>19</v>
      </c>
      <c r="J3731" t="n">
        <v>1</v>
      </c>
      <c r="K3731" t="n">
        <v>0</v>
      </c>
      <c r="L3731" t="n">
        <v>18399</v>
      </c>
      <c r="M3731" t="n">
        <v>23000</v>
      </c>
      <c r="N3731" t="n">
        <v>33</v>
      </c>
      <c r="O3731" t="n">
        <v>0.33</v>
      </c>
      <c r="P3731" t="n">
        <v>1</v>
      </c>
      <c r="Q3731" t="n">
        <v>0.05</v>
      </c>
      <c r="R3731" t="n">
        <v>1</v>
      </c>
      <c r="S3731" t="n">
        <v>607.2</v>
      </c>
      <c r="T3731" t="n">
        <v>13</v>
      </c>
      <c r="U3731" t="n">
        <v>14</v>
      </c>
      <c r="V3731" t="n">
        <v>30</v>
      </c>
      <c r="W3731" t="n">
        <v>1</v>
      </c>
      <c r="X3731" t="n">
        <v>113.6363636363636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11308</v>
      </c>
      <c r="AG3731" t="n">
        <v>2173</v>
      </c>
      <c r="AH3731" t="inlineStr">
        <is>
          <t>PT. OGAN SAKTI PRATAMA - PPN (JMB)</t>
        </is>
      </c>
      <c r="AI3731" t="n">
        <v>387</v>
      </c>
      <c r="AJ3731" t="inlineStr">
        <is>
          <t>SALSA</t>
        </is>
      </c>
      <c r="AK3731" t="n">
        <v>9</v>
      </c>
      <c r="AL3731" t="inlineStr">
        <is>
          <t>Miss Glam Jambi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SALSA</t>
        </is>
      </c>
      <c r="B3732" s="2">
        <f>"8997207557029"</f>
        <v/>
      </c>
      <c r="C3732" t="inlineStr">
        <is>
          <t>SALSA Instant Mermaid Hair Color Spray 01 Jewel Silver 80ml</t>
        </is>
      </c>
      <c r="D3732" t="inlineStr">
        <is>
          <t>Miss Glam Jambi</t>
        </is>
      </c>
      <c r="E3732" t="n">
        <v>4</v>
      </c>
      <c r="F3732" t="n">
        <v>0.02</v>
      </c>
      <c r="G3732" t="n">
        <v>1</v>
      </c>
      <c r="H3732" t="n">
        <v>7</v>
      </c>
      <c r="I3732" t="n">
        <v>19</v>
      </c>
      <c r="J3732" t="n">
        <v>3</v>
      </c>
      <c r="K3732" t="n">
        <v>0</v>
      </c>
      <c r="L3732" t="n">
        <v>26240</v>
      </c>
      <c r="M3732" t="n">
        <v>33000</v>
      </c>
      <c r="N3732" t="n">
        <v>33</v>
      </c>
      <c r="O3732" t="n">
        <v>0.33</v>
      </c>
      <c r="P3732" t="n">
        <v>0</v>
      </c>
      <c r="Q3732" t="n">
        <v>0.02</v>
      </c>
      <c r="R3732" t="n">
        <v>1</v>
      </c>
      <c r="S3732" t="n">
        <v>660</v>
      </c>
      <c r="T3732" t="n">
        <v>19</v>
      </c>
      <c r="U3732" t="n">
        <v>20</v>
      </c>
      <c r="V3732" t="n">
        <v>30</v>
      </c>
      <c r="W3732" t="n">
        <v>1</v>
      </c>
      <c r="X3732" t="n">
        <v>200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11308</v>
      </c>
      <c r="AG3732" t="n">
        <v>2173</v>
      </c>
      <c r="AH3732" t="inlineStr">
        <is>
          <t>PT. OGAN SAKTI PRATAMA - PPN (JMB)</t>
        </is>
      </c>
      <c r="AI3732" t="n">
        <v>387</v>
      </c>
      <c r="AJ3732" t="inlineStr">
        <is>
          <t>SALSA</t>
        </is>
      </c>
      <c r="AK3732" t="n">
        <v>9</v>
      </c>
      <c r="AL3732" t="inlineStr">
        <is>
          <t>Miss Glam Jambi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SALSA</t>
        </is>
      </c>
      <c r="B3733" s="2">
        <f>"8997207558989"</f>
        <v/>
      </c>
      <c r="C3733" t="inlineStr">
        <is>
          <t>SALSA Instant Mermaid Hair Color Spray 04 Laguna Purplish Red 80ml</t>
        </is>
      </c>
      <c r="D3733" t="inlineStr">
        <is>
          <t>Miss Glam Jambi</t>
        </is>
      </c>
      <c r="E3733" t="n">
        <v>7</v>
      </c>
      <c r="F3733" t="n">
        <v>0.0231</v>
      </c>
      <c r="G3733" t="n">
        <v>0.33</v>
      </c>
      <c r="H3733" t="n">
        <v>7</v>
      </c>
      <c r="I3733" t="n">
        <v>19</v>
      </c>
      <c r="J3733" t="n">
        <v>3</v>
      </c>
      <c r="K3733" t="n">
        <v>0</v>
      </c>
      <c r="L3733" t="n">
        <v>26240</v>
      </c>
      <c r="M3733" t="n">
        <v>33000</v>
      </c>
      <c r="N3733" t="n">
        <v>33</v>
      </c>
      <c r="O3733" t="n">
        <v>0.33</v>
      </c>
      <c r="P3733" t="n">
        <v>1</v>
      </c>
      <c r="Q3733" t="n">
        <v>0.02</v>
      </c>
      <c r="R3733" t="n">
        <v>1</v>
      </c>
      <c r="S3733" t="n">
        <v>762.3000000000001</v>
      </c>
      <c r="T3733" t="n">
        <v>7</v>
      </c>
      <c r="U3733" t="n">
        <v>8</v>
      </c>
      <c r="V3733" t="n">
        <v>30</v>
      </c>
      <c r="W3733" t="n">
        <v>1</v>
      </c>
      <c r="X3733" t="n">
        <v>303.030303030303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11308</v>
      </c>
      <c r="AG3733" t="n">
        <v>2173</v>
      </c>
      <c r="AH3733" t="inlineStr">
        <is>
          <t>PT. OGAN SAKTI PRATAMA - PPN (JMB)</t>
        </is>
      </c>
      <c r="AI3733" t="n">
        <v>387</v>
      </c>
      <c r="AJ3733" t="inlineStr">
        <is>
          <t>SALSA</t>
        </is>
      </c>
      <c r="AK3733" t="n">
        <v>9</v>
      </c>
      <c r="AL3733" t="inlineStr">
        <is>
          <t>Miss Glam Jambi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SALSA</t>
        </is>
      </c>
      <c r="B3734" s="2">
        <f>"8997207558026"</f>
        <v/>
      </c>
      <c r="C3734" t="inlineStr">
        <is>
          <t>SALSA Instant Mermaid Hair Color Spray 08 Ocean Electric Blue 80ml</t>
        </is>
      </c>
      <c r="D3734" t="inlineStr">
        <is>
          <t>Miss Glam Jambi</t>
        </is>
      </c>
      <c r="E3734" t="n">
        <v>3</v>
      </c>
      <c r="F3734" t="n">
        <v>0.0231</v>
      </c>
      <c r="G3734" t="n">
        <v>0.33</v>
      </c>
      <c r="H3734" t="n">
        <v>7</v>
      </c>
      <c r="I3734" t="n">
        <v>19</v>
      </c>
      <c r="J3734" t="n">
        <v>3</v>
      </c>
      <c r="K3734" t="n">
        <v>0</v>
      </c>
      <c r="L3734" t="n">
        <v>26240</v>
      </c>
      <c r="M3734" t="n">
        <v>33000</v>
      </c>
      <c r="N3734" t="n">
        <v>33</v>
      </c>
      <c r="O3734" t="n">
        <v>0.33</v>
      </c>
      <c r="P3734" t="n">
        <v>1</v>
      </c>
      <c r="Q3734" t="n">
        <v>0.03</v>
      </c>
      <c r="R3734" t="n">
        <v>1</v>
      </c>
      <c r="S3734" t="n">
        <v>762.3000000000001</v>
      </c>
      <c r="T3734" t="n">
        <v>7</v>
      </c>
      <c r="U3734" t="n">
        <v>8</v>
      </c>
      <c r="V3734" t="n">
        <v>30</v>
      </c>
      <c r="W3734" t="n">
        <v>1</v>
      </c>
      <c r="X3734" t="n">
        <v>129.8701298701299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11308</v>
      </c>
      <c r="AG3734" t="n">
        <v>2173</v>
      </c>
      <c r="AH3734" t="inlineStr">
        <is>
          <t>PT. OGAN SAKTI PRATAMA - PPN (JMB)</t>
        </is>
      </c>
      <c r="AI3734" t="n">
        <v>387</v>
      </c>
      <c r="AJ3734" t="inlineStr">
        <is>
          <t>SALSA</t>
        </is>
      </c>
      <c r="AK3734" t="n">
        <v>9</v>
      </c>
      <c r="AL3734" t="inlineStr">
        <is>
          <t>Miss Glam Jambi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SALSA</t>
        </is>
      </c>
      <c r="B3735" s="2">
        <f>"8997207558033"</f>
        <v/>
      </c>
      <c r="C3735" t="inlineStr">
        <is>
          <t>SALSA Instant Mermaid Hair Color Spray 09 Starfish Pink 80ml</t>
        </is>
      </c>
      <c r="D3735" t="inlineStr">
        <is>
          <t>Miss Glam Jambi</t>
        </is>
      </c>
      <c r="E3735" t="n">
        <v>4</v>
      </c>
      <c r="F3735" t="n">
        <v>0.0231</v>
      </c>
      <c r="G3735" t="n">
        <v>0.33</v>
      </c>
      <c r="H3735" t="n">
        <v>7</v>
      </c>
      <c r="I3735" t="n">
        <v>19</v>
      </c>
      <c r="J3735" t="n">
        <v>3</v>
      </c>
      <c r="K3735" t="n">
        <v>0</v>
      </c>
      <c r="L3735" t="n">
        <v>26240</v>
      </c>
      <c r="M3735" t="n">
        <v>33000</v>
      </c>
      <c r="N3735" t="n">
        <v>33</v>
      </c>
      <c r="O3735" t="n">
        <v>0.33</v>
      </c>
      <c r="P3735" t="n">
        <v>1</v>
      </c>
      <c r="Q3735" t="n">
        <v>0.02</v>
      </c>
      <c r="R3735" t="n">
        <v>1</v>
      </c>
      <c r="S3735" t="n">
        <v>762.3000000000001</v>
      </c>
      <c r="T3735" t="n">
        <v>7</v>
      </c>
      <c r="U3735" t="n">
        <v>8</v>
      </c>
      <c r="V3735" t="n">
        <v>30</v>
      </c>
      <c r="W3735" t="n">
        <v>1</v>
      </c>
      <c r="X3735" t="n">
        <v>173.1601731601731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11308</v>
      </c>
      <c r="AG3735" t="n">
        <v>2173</v>
      </c>
      <c r="AH3735" t="inlineStr">
        <is>
          <t>PT. OGAN SAKTI PRATAMA - PPN (JMB)</t>
        </is>
      </c>
      <c r="AI3735" t="n">
        <v>387</v>
      </c>
      <c r="AJ3735" t="inlineStr">
        <is>
          <t>SALSA</t>
        </is>
      </c>
      <c r="AK3735" t="n">
        <v>9</v>
      </c>
      <c r="AL3735" t="inlineStr">
        <is>
          <t>Miss Glam Jambi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SALSA</t>
        </is>
      </c>
      <c r="B3736" s="2">
        <f>"8997207558040"</f>
        <v/>
      </c>
      <c r="C3736" t="inlineStr">
        <is>
          <t>SALSA Instant Mermaid Hair Color Spray 10 Jellyfish Lilac 80ml</t>
        </is>
      </c>
      <c r="D3736" t="inlineStr">
        <is>
          <t>Miss Glam Jambi</t>
        </is>
      </c>
      <c r="E3736" t="n">
        <v>2</v>
      </c>
      <c r="F3736" t="n">
        <v>0.02</v>
      </c>
      <c r="G3736" t="n">
        <v>1</v>
      </c>
      <c r="H3736" t="n">
        <v>7</v>
      </c>
      <c r="I3736" t="n">
        <v>19</v>
      </c>
      <c r="J3736" t="n">
        <v>3</v>
      </c>
      <c r="K3736" t="n">
        <v>0</v>
      </c>
      <c r="L3736" t="n">
        <v>26240</v>
      </c>
      <c r="M3736" t="n">
        <v>33000</v>
      </c>
      <c r="N3736" t="n">
        <v>33</v>
      </c>
      <c r="O3736" t="n">
        <v>0.33</v>
      </c>
      <c r="P3736" t="n">
        <v>0</v>
      </c>
      <c r="Q3736" t="n">
        <v>0.02</v>
      </c>
      <c r="R3736" t="n">
        <v>1</v>
      </c>
      <c r="S3736" t="n">
        <v>660</v>
      </c>
      <c r="T3736" t="n">
        <v>19</v>
      </c>
      <c r="U3736" t="n">
        <v>20</v>
      </c>
      <c r="V3736" t="n">
        <v>30</v>
      </c>
      <c r="W3736" t="n">
        <v>1</v>
      </c>
      <c r="X3736" t="n">
        <v>100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11308</v>
      </c>
      <c r="AG3736" t="n">
        <v>2173</v>
      </c>
      <c r="AH3736" t="inlineStr">
        <is>
          <t>PT. OGAN SAKTI PRATAMA - PPN (JMB)</t>
        </is>
      </c>
      <c r="AI3736" t="n">
        <v>387</v>
      </c>
      <c r="AJ3736" t="inlineStr">
        <is>
          <t>SALSA</t>
        </is>
      </c>
      <c r="AK3736" t="n">
        <v>9</v>
      </c>
      <c r="AL3736" t="inlineStr">
        <is>
          <t>Miss Glam Jambi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SALSA</t>
        </is>
      </c>
      <c r="B3737" s="2">
        <f>"8997207557500"</f>
        <v/>
      </c>
      <c r="C3737" t="inlineStr">
        <is>
          <t>SALSA Keratin Repair Hair Serum 80ml</t>
        </is>
      </c>
      <c r="D3737" t="inlineStr">
        <is>
          <t>Miss Glam Jambi</t>
        </is>
      </c>
      <c r="E3737" t="n">
        <v>4</v>
      </c>
      <c r="F3737" t="n">
        <v>0.1782</v>
      </c>
      <c r="G3737" t="n">
        <v>0.99</v>
      </c>
      <c r="H3737" t="n">
        <v>7</v>
      </c>
      <c r="I3737" t="n">
        <v>19</v>
      </c>
      <c r="J3737" t="n">
        <v>3</v>
      </c>
      <c r="K3737" t="n">
        <v>3</v>
      </c>
      <c r="L3737" t="n">
        <v>14400</v>
      </c>
      <c r="M3737" t="n">
        <v>18000</v>
      </c>
      <c r="N3737" t="n">
        <v>33</v>
      </c>
      <c r="O3737" t="n">
        <v>0.33</v>
      </c>
      <c r="P3737" t="n">
        <v>1</v>
      </c>
      <c r="Q3737" t="n">
        <v>0.05</v>
      </c>
      <c r="R3737" t="n">
        <v>2</v>
      </c>
      <c r="S3737" t="n">
        <v>3207.6</v>
      </c>
      <c r="T3737" t="n">
        <v>18</v>
      </c>
      <c r="U3737" t="n">
        <v>20</v>
      </c>
      <c r="V3737" t="n">
        <v>30</v>
      </c>
      <c r="W3737" t="n">
        <v>6</v>
      </c>
      <c r="X3737" t="n">
        <v>22.44668911335578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11308</v>
      </c>
      <c r="AG3737" t="n">
        <v>2173</v>
      </c>
      <c r="AH3737" t="inlineStr">
        <is>
          <t>PT. OGAN SAKTI PRATAMA - PPN (JMB)</t>
        </is>
      </c>
      <c r="AI3737" t="n">
        <v>387</v>
      </c>
      <c r="AJ3737" t="inlineStr">
        <is>
          <t>SALSA</t>
        </is>
      </c>
      <c r="AK3737" t="n">
        <v>9</v>
      </c>
      <c r="AL3737" t="inlineStr">
        <is>
          <t>Miss Glam Jambi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SALSA</t>
        </is>
      </c>
      <c r="B3738" s="2">
        <f>"20100959721"</f>
        <v/>
      </c>
      <c r="C3738" t="inlineStr">
        <is>
          <t>SALSA Milkyway Blush 01 5gr</t>
        </is>
      </c>
      <c r="D3738" t="inlineStr">
        <is>
          <t>Miss Glam Jambi</t>
        </is>
      </c>
      <c r="E3738" t="n">
        <v>1</v>
      </c>
      <c r="F3738" t="n">
        <v>0.4488</v>
      </c>
      <c r="G3738" t="n">
        <v>2.64</v>
      </c>
      <c r="H3738" t="n">
        <v>7</v>
      </c>
      <c r="I3738" t="n">
        <v>19</v>
      </c>
      <c r="J3738" t="n">
        <v>1</v>
      </c>
      <c r="K3738" t="n">
        <v>6</v>
      </c>
      <c r="L3738" t="n">
        <v>14240</v>
      </c>
      <c r="M3738" t="n">
        <v>18000</v>
      </c>
      <c r="N3738" t="n">
        <v>33</v>
      </c>
      <c r="O3738" t="n">
        <v>0.33</v>
      </c>
      <c r="P3738" t="n">
        <v>1</v>
      </c>
      <c r="Q3738" t="n">
        <v>0.15</v>
      </c>
      <c r="R3738" t="n">
        <v>3</v>
      </c>
      <c r="S3738" t="n">
        <v>8078.400000000001</v>
      </c>
      <c r="T3738" t="n">
        <v>48</v>
      </c>
      <c r="U3738" t="n">
        <v>52</v>
      </c>
      <c r="V3738" t="n">
        <v>30</v>
      </c>
      <c r="W3738" t="n">
        <v>14</v>
      </c>
      <c r="X3738" t="n">
        <v>2.228163992869875</v>
      </c>
      <c r="Y3738" t="n">
        <v>1</v>
      </c>
      <c r="Z3738" t="n">
        <v>7</v>
      </c>
      <c r="AA3738" t="n">
        <v>7</v>
      </c>
      <c r="AB3738" t="n">
        <v>0</v>
      </c>
      <c r="AC3738" t="n">
        <v>0</v>
      </c>
      <c r="AD3738" t="n">
        <v>99680</v>
      </c>
      <c r="AE3738" t="n">
        <v>0</v>
      </c>
      <c r="AF3738" t="n">
        <v>11308</v>
      </c>
      <c r="AG3738" t="n">
        <v>2173</v>
      </c>
      <c r="AH3738" t="inlineStr">
        <is>
          <t>PT. OGAN SAKTI PRATAMA - PPN (JMB)</t>
        </is>
      </c>
      <c r="AI3738" t="n">
        <v>387</v>
      </c>
      <c r="AJ3738" t="inlineStr">
        <is>
          <t>SALSA</t>
        </is>
      </c>
      <c r="AK3738" t="n">
        <v>9</v>
      </c>
      <c r="AL3738" t="inlineStr">
        <is>
          <t>Miss Glam Jambi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SALSA</t>
        </is>
      </c>
      <c r="B3739" s="2">
        <f>"20100959859"</f>
        <v/>
      </c>
      <c r="C3739" t="inlineStr">
        <is>
          <t>SALSA Milkyway Blush 02 5gr</t>
        </is>
      </c>
      <c r="D3739" t="inlineStr">
        <is>
          <t>Miss Glam Jambi</t>
        </is>
      </c>
      <c r="E3739" t="n">
        <v>2</v>
      </c>
      <c r="F3739" t="n">
        <v>0.2904</v>
      </c>
      <c r="G3739" t="n">
        <v>1.32</v>
      </c>
      <c r="H3739" t="n">
        <v>7</v>
      </c>
      <c r="I3739" t="n">
        <v>19</v>
      </c>
      <c r="J3739" t="n">
        <v>1</v>
      </c>
      <c r="K3739" t="n">
        <v>3</v>
      </c>
      <c r="L3739" t="n">
        <v>14240</v>
      </c>
      <c r="M3739" t="n">
        <v>18000</v>
      </c>
      <c r="N3739" t="n">
        <v>33</v>
      </c>
      <c r="O3739" t="n">
        <v>0.33</v>
      </c>
      <c r="P3739" t="n">
        <v>1</v>
      </c>
      <c r="Q3739" t="n">
        <v>0.05</v>
      </c>
      <c r="R3739" t="n">
        <v>1</v>
      </c>
      <c r="S3739" t="n">
        <v>5227.2</v>
      </c>
      <c r="T3739" t="n">
        <v>24</v>
      </c>
      <c r="U3739" t="n">
        <v>27</v>
      </c>
      <c r="V3739" t="n">
        <v>30</v>
      </c>
      <c r="W3739" t="n">
        <v>9</v>
      </c>
      <c r="X3739" t="n">
        <v>6.887052341597796</v>
      </c>
      <c r="Y3739" t="n">
        <v>1</v>
      </c>
      <c r="Z3739" t="n">
        <v>4</v>
      </c>
      <c r="AA3739" t="n">
        <v>3</v>
      </c>
      <c r="AB3739" t="n">
        <v>1</v>
      </c>
      <c r="AC3739" t="n">
        <v>1</v>
      </c>
      <c r="AD3739" t="n">
        <v>42720</v>
      </c>
      <c r="AE3739" t="n">
        <v>14240</v>
      </c>
      <c r="AF3739" t="n">
        <v>11308</v>
      </c>
      <c r="AG3739" t="n">
        <v>2173</v>
      </c>
      <c r="AH3739" t="inlineStr">
        <is>
          <t>PT. OGAN SAKTI PRATAMA - PPN (JMB)</t>
        </is>
      </c>
      <c r="AI3739" t="n">
        <v>387</v>
      </c>
      <c r="AJ3739" t="inlineStr">
        <is>
          <t>SALSA</t>
        </is>
      </c>
      <c r="AK3739" t="n">
        <v>9</v>
      </c>
      <c r="AL3739" t="inlineStr">
        <is>
          <t>Miss Glam Jambi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SALSA</t>
        </is>
      </c>
      <c r="B3740" s="2">
        <f>"20100959935"</f>
        <v/>
      </c>
      <c r="C3740" t="inlineStr">
        <is>
          <t>SALSA Milkyway Blush 03 5gr</t>
        </is>
      </c>
      <c r="D3740" t="inlineStr">
        <is>
          <t>Miss Glam Jambi</t>
        </is>
      </c>
      <c r="E3740" t="n">
        <v>6</v>
      </c>
      <c r="F3740" t="n">
        <v>0.396</v>
      </c>
      <c r="G3740" t="n">
        <v>3.96</v>
      </c>
      <c r="H3740" t="n">
        <v>7</v>
      </c>
      <c r="I3740" t="n">
        <v>19</v>
      </c>
      <c r="J3740" t="n">
        <v>1</v>
      </c>
      <c r="K3740" t="n">
        <v>4</v>
      </c>
      <c r="L3740" t="n">
        <v>14240</v>
      </c>
      <c r="M3740" t="n">
        <v>18000</v>
      </c>
      <c r="N3740" t="n">
        <v>33</v>
      </c>
      <c r="O3740" t="n">
        <v>0.33</v>
      </c>
      <c r="P3740" t="n">
        <v>1</v>
      </c>
      <c r="Q3740" t="n">
        <v>0.15</v>
      </c>
      <c r="R3740" t="n">
        <v>1</v>
      </c>
      <c r="S3740" t="n">
        <v>7128</v>
      </c>
      <c r="T3740" t="n">
        <v>73</v>
      </c>
      <c r="U3740" t="n">
        <v>76</v>
      </c>
      <c r="V3740" t="n">
        <v>30</v>
      </c>
      <c r="W3740" t="n">
        <v>12</v>
      </c>
      <c r="X3740" t="n">
        <v>15.15151515151515</v>
      </c>
      <c r="Y3740" t="n">
        <v>1</v>
      </c>
      <c r="Z3740" t="n">
        <v>2</v>
      </c>
      <c r="AA3740" t="n">
        <v>1</v>
      </c>
      <c r="AB3740" t="n">
        <v>1</v>
      </c>
      <c r="AC3740" t="n">
        <v>1</v>
      </c>
      <c r="AD3740" t="n">
        <v>14240</v>
      </c>
      <c r="AE3740" t="n">
        <v>14240</v>
      </c>
      <c r="AF3740" t="n">
        <v>11308</v>
      </c>
      <c r="AG3740" t="n">
        <v>2173</v>
      </c>
      <c r="AH3740" t="inlineStr">
        <is>
          <t>PT. OGAN SAKTI PRATAMA - PPN (JMB)</t>
        </is>
      </c>
      <c r="AI3740" t="n">
        <v>387</v>
      </c>
      <c r="AJ3740" t="inlineStr">
        <is>
          <t>SALSA</t>
        </is>
      </c>
      <c r="AK3740" t="n">
        <v>9</v>
      </c>
      <c r="AL3740" t="inlineStr">
        <is>
          <t>Miss Glam Jambi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SALSA</t>
        </is>
      </c>
      <c r="B3741" s="2">
        <f>"20101113729"</f>
        <v/>
      </c>
      <c r="C3741" t="inlineStr">
        <is>
          <t>SALSA Milkyway Highlighter 01 4,5gr</t>
        </is>
      </c>
      <c r="D3741" t="inlineStr">
        <is>
          <t>Miss Glam Jambi</t>
        </is>
      </c>
      <c r="E3741" t="n">
        <v>2</v>
      </c>
      <c r="F3741" t="n">
        <v>0.0396</v>
      </c>
      <c r="G3741" t="n">
        <v>1.98</v>
      </c>
      <c r="H3741" t="n">
        <v>7</v>
      </c>
      <c r="I3741" t="n">
        <v>19</v>
      </c>
      <c r="J3741" t="n">
        <v>1</v>
      </c>
      <c r="K3741" t="n">
        <v>0</v>
      </c>
      <c r="L3741" t="n">
        <v>15040</v>
      </c>
      <c r="M3741" t="n">
        <v>19000</v>
      </c>
      <c r="N3741" t="n">
        <v>33</v>
      </c>
      <c r="O3741" t="n">
        <v>0.33</v>
      </c>
      <c r="P3741" t="n">
        <v>1</v>
      </c>
      <c r="Q3741" t="n">
        <v>0.07000000000000001</v>
      </c>
      <c r="R3741" t="n">
        <v>1</v>
      </c>
      <c r="S3741" t="n">
        <v>752.4000000000001</v>
      </c>
      <c r="T3741" t="n">
        <v>38</v>
      </c>
      <c r="U3741" t="n">
        <v>39</v>
      </c>
      <c r="V3741" t="n">
        <v>30</v>
      </c>
      <c r="W3741" t="n">
        <v>2</v>
      </c>
      <c r="X3741" t="n">
        <v>50.5050505050505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11308</v>
      </c>
      <c r="AG3741" t="n">
        <v>2173</v>
      </c>
      <c r="AH3741" t="inlineStr">
        <is>
          <t>PT. OGAN SAKTI PRATAMA - PPN (JMB)</t>
        </is>
      </c>
      <c r="AI3741" t="n">
        <v>387</v>
      </c>
      <c r="AJ3741" t="inlineStr">
        <is>
          <t>SALSA</t>
        </is>
      </c>
      <c r="AK3741" t="n">
        <v>9</v>
      </c>
      <c r="AL3741" t="inlineStr">
        <is>
          <t>Miss Glam Jambi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SALSA</t>
        </is>
      </c>
      <c r="B3742" s="2">
        <f>"20101113839"</f>
        <v/>
      </c>
      <c r="C3742" t="inlineStr">
        <is>
          <t>SALSA Milkyway Highlighter 02 4,5gr</t>
        </is>
      </c>
      <c r="D3742" t="inlineStr">
        <is>
          <t>Miss Glam Jambi</t>
        </is>
      </c>
      <c r="E3742" t="n">
        <v>7</v>
      </c>
      <c r="F3742" t="n">
        <v>0.3399</v>
      </c>
      <c r="G3742" t="n">
        <v>1.32</v>
      </c>
      <c r="H3742" t="n">
        <v>7</v>
      </c>
      <c r="I3742" t="n">
        <v>19</v>
      </c>
      <c r="J3742" t="n">
        <v>1</v>
      </c>
      <c r="K3742" t="n">
        <v>4</v>
      </c>
      <c r="L3742" t="n">
        <v>15040</v>
      </c>
      <c r="M3742" t="n">
        <v>19000</v>
      </c>
      <c r="N3742" t="n">
        <v>33</v>
      </c>
      <c r="O3742" t="n">
        <v>0.33</v>
      </c>
      <c r="P3742" t="n">
        <v>1</v>
      </c>
      <c r="Q3742" t="n">
        <v>0.19</v>
      </c>
      <c r="R3742" t="n">
        <v>2</v>
      </c>
      <c r="S3742" t="n">
        <v>6458.1</v>
      </c>
      <c r="T3742" t="n">
        <v>23</v>
      </c>
      <c r="U3742" t="n">
        <v>26</v>
      </c>
      <c r="V3742" t="n">
        <v>30</v>
      </c>
      <c r="W3742" t="n">
        <v>11</v>
      </c>
      <c r="X3742" t="n">
        <v>20.59429243895263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11308</v>
      </c>
      <c r="AG3742" t="n">
        <v>2173</v>
      </c>
      <c r="AH3742" t="inlineStr">
        <is>
          <t>PT. OGAN SAKTI PRATAMA - PPN (JMB)</t>
        </is>
      </c>
      <c r="AI3742" t="n">
        <v>387</v>
      </c>
      <c r="AJ3742" t="inlineStr">
        <is>
          <t>SALSA</t>
        </is>
      </c>
      <c r="AK3742" t="n">
        <v>9</v>
      </c>
      <c r="AL3742" t="inlineStr">
        <is>
          <t>Miss Glam Jambi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SALSA</t>
        </is>
      </c>
      <c r="B3743" s="2">
        <f>"20101113907"</f>
        <v/>
      </c>
      <c r="C3743" t="inlineStr">
        <is>
          <t>SALSA Milkyway Highlighter 03 4,5gr</t>
        </is>
      </c>
      <c r="D3743" t="inlineStr">
        <is>
          <t>Miss Glam Jambi</t>
        </is>
      </c>
      <c r="E3743" t="n">
        <v>10</v>
      </c>
      <c r="F3743" t="n">
        <v>0.3465</v>
      </c>
      <c r="G3743" t="n">
        <v>1.65</v>
      </c>
      <c r="H3743" t="n">
        <v>7</v>
      </c>
      <c r="I3743" t="n">
        <v>19</v>
      </c>
      <c r="J3743" t="n">
        <v>1</v>
      </c>
      <c r="K3743" t="n">
        <v>1</v>
      </c>
      <c r="L3743" t="n">
        <v>15040</v>
      </c>
      <c r="M3743" t="n">
        <v>19000</v>
      </c>
      <c r="N3743" t="n">
        <v>33</v>
      </c>
      <c r="O3743" t="n">
        <v>0.33</v>
      </c>
      <c r="P3743" t="n">
        <v>1</v>
      </c>
      <c r="Q3743" t="n">
        <v>0.12</v>
      </c>
      <c r="R3743" t="n">
        <v>1</v>
      </c>
      <c r="S3743" t="n">
        <v>6583.500000000001</v>
      </c>
      <c r="T3743" t="n">
        <v>29</v>
      </c>
      <c r="U3743" t="n">
        <v>32</v>
      </c>
      <c r="V3743" t="n">
        <v>30</v>
      </c>
      <c r="W3743" t="n">
        <v>11</v>
      </c>
      <c r="X3743" t="n">
        <v>28.86002886002886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11308</v>
      </c>
      <c r="AG3743" t="n">
        <v>2173</v>
      </c>
      <c r="AH3743" t="inlineStr">
        <is>
          <t>PT. OGAN SAKTI PRATAMA - PPN (JMB)</t>
        </is>
      </c>
      <c r="AI3743" t="n">
        <v>387</v>
      </c>
      <c r="AJ3743" t="inlineStr">
        <is>
          <t>SALSA</t>
        </is>
      </c>
      <c r="AK3743" t="n">
        <v>9</v>
      </c>
      <c r="AL3743" t="inlineStr">
        <is>
          <t>Miss Glam Jambi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SALSA</t>
        </is>
      </c>
      <c r="B3744" s="2">
        <f>"30500260819"</f>
        <v/>
      </c>
      <c r="C3744" t="inlineStr">
        <is>
          <t>SALSA Nail Polish Coffe Series 10 10ml</t>
        </is>
      </c>
      <c r="D3744" t="inlineStr">
        <is>
          <t>Miss Glam Jambi</t>
        </is>
      </c>
      <c r="E3744" t="n">
        <v>3</v>
      </c>
      <c r="F3744" t="n">
        <v>0.0396</v>
      </c>
      <c r="G3744" t="n">
        <v>0.66</v>
      </c>
      <c r="H3744" t="n">
        <v>7</v>
      </c>
      <c r="I3744" t="n">
        <v>19</v>
      </c>
      <c r="J3744" t="n">
        <v>3</v>
      </c>
      <c r="K3744" t="n">
        <v>0</v>
      </c>
      <c r="L3744" t="n">
        <v>6212</v>
      </c>
      <c r="M3744" t="n">
        <v>8000</v>
      </c>
      <c r="N3744" t="n">
        <v>33</v>
      </c>
      <c r="O3744" t="n">
        <v>0.33</v>
      </c>
      <c r="P3744" t="n">
        <v>1</v>
      </c>
      <c r="Q3744" t="n">
        <v>0.03</v>
      </c>
      <c r="R3744" t="n">
        <v>1</v>
      </c>
      <c r="S3744" t="n">
        <v>316.8</v>
      </c>
      <c r="T3744" t="n">
        <v>13</v>
      </c>
      <c r="U3744" t="n">
        <v>14</v>
      </c>
      <c r="V3744" t="n">
        <v>30</v>
      </c>
      <c r="W3744" t="n">
        <v>2</v>
      </c>
      <c r="X3744" t="n">
        <v>75.75757575757575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11308</v>
      </c>
      <c r="AG3744" t="n">
        <v>2173</v>
      </c>
      <c r="AH3744" t="inlineStr">
        <is>
          <t>PT. OGAN SAKTI PRATAMA - PPN (JMB)</t>
        </is>
      </c>
      <c r="AI3744" t="n">
        <v>387</v>
      </c>
      <c r="AJ3744" t="inlineStr">
        <is>
          <t>SALSA</t>
        </is>
      </c>
      <c r="AK3744" t="n">
        <v>9</v>
      </c>
      <c r="AL3744" t="inlineStr">
        <is>
          <t>Miss Glam Jambi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SALSA</t>
        </is>
      </c>
      <c r="B3745" s="2">
        <f>"30500260123"</f>
        <v/>
      </c>
      <c r="C3745" t="inlineStr">
        <is>
          <t>SALSA Nail Polish Florist Series 05 10ml</t>
        </is>
      </c>
      <c r="D3745" t="inlineStr">
        <is>
          <t>Miss Glam Jambi</t>
        </is>
      </c>
      <c r="E3745" t="n">
        <v>14</v>
      </c>
      <c r="F3745" t="n">
        <v>0.0264</v>
      </c>
      <c r="G3745" t="n">
        <v>0.33</v>
      </c>
      <c r="H3745" t="n">
        <v>7</v>
      </c>
      <c r="I3745" t="n">
        <v>19</v>
      </c>
      <c r="J3745" t="n">
        <v>3</v>
      </c>
      <c r="K3745" t="n">
        <v>0</v>
      </c>
      <c r="L3745" t="n">
        <v>5814</v>
      </c>
      <c r="M3745" t="n">
        <v>8500</v>
      </c>
      <c r="N3745" t="n">
        <v>33</v>
      </c>
      <c r="O3745" t="n">
        <v>0.33</v>
      </c>
      <c r="P3745" t="n">
        <v>1</v>
      </c>
      <c r="Q3745" t="n">
        <v>0.02</v>
      </c>
      <c r="R3745" t="n">
        <v>1</v>
      </c>
      <c r="S3745" t="n">
        <v>224.4</v>
      </c>
      <c r="T3745" t="n">
        <v>7</v>
      </c>
      <c r="U3745" t="n">
        <v>8</v>
      </c>
      <c r="V3745" t="n">
        <v>30</v>
      </c>
      <c r="W3745" t="n">
        <v>1</v>
      </c>
      <c r="X3745" t="n">
        <v>530.3030303030303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11308</v>
      </c>
      <c r="AG3745" t="n">
        <v>2173</v>
      </c>
      <c r="AH3745" t="inlineStr">
        <is>
          <t>PT. OGAN SAKTI PRATAMA - PPN (JMB)</t>
        </is>
      </c>
      <c r="AI3745" t="n">
        <v>387</v>
      </c>
      <c r="AJ3745" t="inlineStr">
        <is>
          <t>SALSA</t>
        </is>
      </c>
      <c r="AK3745" t="n">
        <v>9</v>
      </c>
      <c r="AL3745" t="inlineStr">
        <is>
          <t>Miss Glam Jambi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SALSA</t>
        </is>
      </c>
      <c r="B3746" s="2">
        <f>"30500266128"</f>
        <v/>
      </c>
      <c r="C3746" t="inlineStr">
        <is>
          <t>SALSA Nail Polish Our Boutique 23 10ml</t>
        </is>
      </c>
      <c r="D3746" t="inlineStr">
        <is>
          <t>Miss Glam Jambi</t>
        </is>
      </c>
      <c r="E3746" t="n">
        <v>6</v>
      </c>
      <c r="F3746" t="n">
        <v>0.0264</v>
      </c>
      <c r="G3746" t="n">
        <v>0.66</v>
      </c>
      <c r="H3746" t="n">
        <v>7</v>
      </c>
      <c r="I3746" t="n">
        <v>19</v>
      </c>
      <c r="J3746" t="n">
        <v>3</v>
      </c>
      <c r="K3746" t="n">
        <v>0</v>
      </c>
      <c r="L3746" t="n">
        <v>5814</v>
      </c>
      <c r="M3746" t="n">
        <v>8500</v>
      </c>
      <c r="N3746" t="n">
        <v>33</v>
      </c>
      <c r="O3746" t="n">
        <v>0.33</v>
      </c>
      <c r="P3746" t="n">
        <v>1</v>
      </c>
      <c r="Q3746" t="n">
        <v>0.02</v>
      </c>
      <c r="R3746" t="n">
        <v>1</v>
      </c>
      <c r="S3746" t="n">
        <v>224.4</v>
      </c>
      <c r="T3746" t="n">
        <v>13</v>
      </c>
      <c r="U3746" t="n">
        <v>14</v>
      </c>
      <c r="V3746" t="n">
        <v>30</v>
      </c>
      <c r="W3746" t="n">
        <v>1</v>
      </c>
      <c r="X3746" t="n">
        <v>227.2727272727273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11308</v>
      </c>
      <c r="AG3746" t="n">
        <v>2173</v>
      </c>
      <c r="AH3746" t="inlineStr">
        <is>
          <t>PT. OGAN SAKTI PRATAMA - PPN (JMB)</t>
        </is>
      </c>
      <c r="AI3746" t="n">
        <v>387</v>
      </c>
      <c r="AJ3746" t="inlineStr">
        <is>
          <t>SALSA</t>
        </is>
      </c>
      <c r="AK3746" t="n">
        <v>9</v>
      </c>
      <c r="AL3746" t="inlineStr">
        <is>
          <t>Miss Glam Jambi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SALSA</t>
        </is>
      </c>
      <c r="B3747" s="2">
        <f>"8997207550518"</f>
        <v/>
      </c>
      <c r="C3747" t="inlineStr">
        <is>
          <t>SALSA Nail Polish Remover Acetone 80ml</t>
        </is>
      </c>
      <c r="D3747" t="inlineStr">
        <is>
          <t>Miss Glam Jambi</t>
        </is>
      </c>
      <c r="E3747" t="n">
        <v>3</v>
      </c>
      <c r="F3747" t="n">
        <v>0.1914</v>
      </c>
      <c r="G3747" t="n">
        <v>0.99</v>
      </c>
      <c r="H3747" t="n">
        <v>7</v>
      </c>
      <c r="I3747" t="n">
        <v>19</v>
      </c>
      <c r="J3747" t="n">
        <v>3</v>
      </c>
      <c r="K3747" t="n">
        <v>3</v>
      </c>
      <c r="L3747" t="n">
        <v>5480</v>
      </c>
      <c r="M3747" t="n">
        <v>7000</v>
      </c>
      <c r="N3747" t="n">
        <v>33</v>
      </c>
      <c r="O3747" t="n">
        <v>0.33</v>
      </c>
      <c r="P3747" t="n">
        <v>1</v>
      </c>
      <c r="Q3747" t="n">
        <v>0.05</v>
      </c>
      <c r="R3747" t="n">
        <v>1</v>
      </c>
      <c r="S3747" t="n">
        <v>1339.8</v>
      </c>
      <c r="T3747" t="n">
        <v>18</v>
      </c>
      <c r="U3747" t="n">
        <v>20</v>
      </c>
      <c r="V3747" t="n">
        <v>30</v>
      </c>
      <c r="W3747" t="n">
        <v>6</v>
      </c>
      <c r="X3747" t="n">
        <v>15.67398119122257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11308</v>
      </c>
      <c r="AG3747" t="n">
        <v>2173</v>
      </c>
      <c r="AH3747" t="inlineStr">
        <is>
          <t>PT. OGAN SAKTI PRATAMA - PPN (JMB)</t>
        </is>
      </c>
      <c r="AI3747" t="n">
        <v>387</v>
      </c>
      <c r="AJ3747" t="inlineStr">
        <is>
          <t>SALSA</t>
        </is>
      </c>
      <c r="AK3747" t="n">
        <v>9</v>
      </c>
      <c r="AL3747" t="inlineStr">
        <is>
          <t>Miss Glam Jambi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SALSA</t>
        </is>
      </c>
      <c r="B3748" s="2">
        <f>"8997207556954"</f>
        <v/>
      </c>
      <c r="C3748" t="inlineStr">
        <is>
          <t>SALSA Strong Eyelash Glue Black</t>
        </is>
      </c>
      <c r="D3748" t="inlineStr">
        <is>
          <t>Miss Glam Jambi</t>
        </is>
      </c>
      <c r="E3748" t="n">
        <v>6</v>
      </c>
      <c r="F3748" t="n">
        <v>0.5907</v>
      </c>
      <c r="G3748" t="n">
        <v>4.29</v>
      </c>
      <c r="H3748" t="n">
        <v>7</v>
      </c>
      <c r="I3748" t="n">
        <v>19</v>
      </c>
      <c r="J3748" t="n">
        <v>3</v>
      </c>
      <c r="K3748" t="n">
        <v>7</v>
      </c>
      <c r="L3748" t="n">
        <v>11041</v>
      </c>
      <c r="M3748" t="n">
        <v>14000</v>
      </c>
      <c r="N3748" t="n">
        <v>33</v>
      </c>
      <c r="O3748" t="n">
        <v>0.33</v>
      </c>
      <c r="P3748" t="n">
        <v>1</v>
      </c>
      <c r="Q3748" t="n">
        <v>0.51</v>
      </c>
      <c r="R3748" t="n">
        <v>4</v>
      </c>
      <c r="S3748" t="n">
        <v>8269.799999999999</v>
      </c>
      <c r="T3748" t="n">
        <v>78</v>
      </c>
      <c r="U3748" t="n">
        <v>83</v>
      </c>
      <c r="V3748" t="n">
        <v>30</v>
      </c>
      <c r="W3748" t="n">
        <v>18</v>
      </c>
      <c r="X3748" t="n">
        <v>10.15744032503809</v>
      </c>
      <c r="Y3748" t="n">
        <v>1</v>
      </c>
      <c r="Z3748" t="n">
        <v>5</v>
      </c>
      <c r="AA3748" t="n">
        <v>5</v>
      </c>
      <c r="AB3748" t="n">
        <v>0</v>
      </c>
      <c r="AC3748" t="n">
        <v>0</v>
      </c>
      <c r="AD3748" t="n">
        <v>55205</v>
      </c>
      <c r="AE3748" t="n">
        <v>0</v>
      </c>
      <c r="AF3748" t="n">
        <v>11308</v>
      </c>
      <c r="AG3748" t="n">
        <v>2173</v>
      </c>
      <c r="AH3748" t="inlineStr">
        <is>
          <t>PT. OGAN SAKTI PRATAMA - PPN (JMB)</t>
        </is>
      </c>
      <c r="AI3748" t="n">
        <v>387</v>
      </c>
      <c r="AJ3748" t="inlineStr">
        <is>
          <t>SALSA</t>
        </is>
      </c>
      <c r="AK3748" t="n">
        <v>9</v>
      </c>
      <c r="AL3748" t="inlineStr">
        <is>
          <t>Miss Glam Jambi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SALSA</t>
        </is>
      </c>
      <c r="B3749" s="2">
        <f>"40200119953"</f>
        <v/>
      </c>
      <c r="C3749" t="inlineStr">
        <is>
          <t>SALSA UV Protection Hair Serum 80ml</t>
        </is>
      </c>
      <c r="D3749" t="inlineStr">
        <is>
          <t>Miss Glam Jambi</t>
        </is>
      </c>
      <c r="E3749" t="n">
        <v>5</v>
      </c>
      <c r="F3749" t="n">
        <v>0.033</v>
      </c>
      <c r="G3749" t="n">
        <v>0.33</v>
      </c>
      <c r="H3749" t="n">
        <v>7</v>
      </c>
      <c r="I3749" t="n">
        <v>19</v>
      </c>
      <c r="J3749" t="n">
        <v>1</v>
      </c>
      <c r="K3749" t="n">
        <v>0</v>
      </c>
      <c r="L3749" t="n">
        <v>14400</v>
      </c>
      <c r="M3749" t="n">
        <v>18000</v>
      </c>
      <c r="N3749" t="n">
        <v>33</v>
      </c>
      <c r="O3749" t="n">
        <v>0.33</v>
      </c>
      <c r="P3749" t="n">
        <v>1</v>
      </c>
      <c r="Q3749" t="n">
        <v>0.02</v>
      </c>
      <c r="R3749" t="n">
        <v>1</v>
      </c>
      <c r="S3749" t="n">
        <v>594</v>
      </c>
      <c r="T3749" t="n">
        <v>7</v>
      </c>
      <c r="U3749" t="n">
        <v>8</v>
      </c>
      <c r="V3749" t="n">
        <v>30</v>
      </c>
      <c r="W3749" t="n">
        <v>1</v>
      </c>
      <c r="X3749" t="n">
        <v>151.5151515151515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11308</v>
      </c>
      <c r="AG3749" t="n">
        <v>2173</v>
      </c>
      <c r="AH3749" t="inlineStr">
        <is>
          <t>PT. OGAN SAKTI PRATAMA - PPN (JMB)</t>
        </is>
      </c>
      <c r="AI3749" t="n">
        <v>387</v>
      </c>
      <c r="AJ3749" t="inlineStr">
        <is>
          <t>SALSA</t>
        </is>
      </c>
      <c r="AK3749" t="n">
        <v>9</v>
      </c>
      <c r="AL3749" t="inlineStr">
        <is>
          <t>Miss Glam Jambi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SALSA</t>
        </is>
      </c>
      <c r="B3750" s="2">
        <f>"8995028201985"</f>
        <v/>
      </c>
      <c r="C3750" t="inlineStr">
        <is>
          <t>SALSA Vinylash Eyelash Curler</t>
        </is>
      </c>
      <c r="D3750" t="inlineStr">
        <is>
          <t>Miss Glam Jambi</t>
        </is>
      </c>
      <c r="E3750" t="n">
        <v>11</v>
      </c>
      <c r="F3750" t="n">
        <v>1.5477</v>
      </c>
      <c r="G3750" t="n">
        <v>3.3</v>
      </c>
      <c r="H3750" t="n">
        <v>7</v>
      </c>
      <c r="I3750" t="n">
        <v>19</v>
      </c>
      <c r="J3750" t="n">
        <v>3</v>
      </c>
      <c r="K3750" t="n">
        <v>17</v>
      </c>
      <c r="L3750" t="n">
        <v>5760</v>
      </c>
      <c r="M3750" t="n">
        <v>10000</v>
      </c>
      <c r="N3750" t="n">
        <v>33</v>
      </c>
      <c r="O3750" t="n">
        <v>0.33</v>
      </c>
      <c r="P3750" t="n">
        <v>1</v>
      </c>
      <c r="Q3750" t="n">
        <v>0.1</v>
      </c>
      <c r="R3750" t="n">
        <v>2</v>
      </c>
      <c r="S3750" t="n">
        <v>15477</v>
      </c>
      <c r="T3750" t="n">
        <v>52</v>
      </c>
      <c r="U3750" t="n">
        <v>63</v>
      </c>
      <c r="V3750" t="n">
        <v>30</v>
      </c>
      <c r="W3750" t="n">
        <v>47</v>
      </c>
      <c r="X3750" t="n">
        <v>7.107320540156359</v>
      </c>
      <c r="Y3750" t="n">
        <v>1</v>
      </c>
      <c r="Z3750" t="n">
        <v>19</v>
      </c>
      <c r="AA3750" t="n">
        <v>18</v>
      </c>
      <c r="AB3750" t="n">
        <v>1</v>
      </c>
      <c r="AC3750" t="n">
        <v>3</v>
      </c>
      <c r="AD3750" t="n">
        <v>103680</v>
      </c>
      <c r="AE3750" t="n">
        <v>17280</v>
      </c>
      <c r="AF3750" t="n">
        <v>11308</v>
      </c>
      <c r="AG3750" t="n">
        <v>2173</v>
      </c>
      <c r="AH3750" t="inlineStr">
        <is>
          <t>PT. OGAN SAKTI PRATAMA - PPN (JMB)</t>
        </is>
      </c>
      <c r="AI3750" t="n">
        <v>387</v>
      </c>
      <c r="AJ3750" t="inlineStr">
        <is>
          <t>SALSA</t>
        </is>
      </c>
      <c r="AK3750" t="n">
        <v>9</v>
      </c>
      <c r="AL3750" t="inlineStr">
        <is>
          <t>Miss Glam Jambi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SALSA</t>
        </is>
      </c>
      <c r="B3751" s="2">
        <f>"50100317051"</f>
        <v/>
      </c>
      <c r="C3751" t="inlineStr">
        <is>
          <t>SALSA Vinylash Eyelash Curler Color Lilac</t>
        </is>
      </c>
      <c r="D3751" t="inlineStr">
        <is>
          <t>Miss Glam Jambi</t>
        </is>
      </c>
      <c r="E3751" t="n">
        <v>5</v>
      </c>
      <c r="F3751" t="n">
        <v>0.5544</v>
      </c>
      <c r="G3751" t="n">
        <v>1.98</v>
      </c>
      <c r="H3751" t="n">
        <v>7</v>
      </c>
      <c r="I3751" t="n">
        <v>19</v>
      </c>
      <c r="J3751" t="n">
        <v>1</v>
      </c>
      <c r="K3751" t="n">
        <v>6</v>
      </c>
      <c r="L3751" t="n">
        <v>9600</v>
      </c>
      <c r="M3751" t="n">
        <v>15000</v>
      </c>
      <c r="N3751" t="n">
        <v>33</v>
      </c>
      <c r="O3751" t="n">
        <v>0.33</v>
      </c>
      <c r="P3751" t="n">
        <v>1</v>
      </c>
      <c r="Q3751" t="n">
        <v>0.05</v>
      </c>
      <c r="R3751" t="n">
        <v>1</v>
      </c>
      <c r="S3751" t="n">
        <v>8316</v>
      </c>
      <c r="T3751" t="n">
        <v>34</v>
      </c>
      <c r="U3751" t="n">
        <v>38</v>
      </c>
      <c r="V3751" t="n">
        <v>30</v>
      </c>
      <c r="W3751" t="n">
        <v>17</v>
      </c>
      <c r="X3751" t="n">
        <v>9.018759018759019</v>
      </c>
      <c r="Y3751" t="n">
        <v>1</v>
      </c>
      <c r="Z3751" t="n">
        <v>6</v>
      </c>
      <c r="AA3751" t="n">
        <v>5</v>
      </c>
      <c r="AB3751" t="n">
        <v>1</v>
      </c>
      <c r="AC3751" t="n">
        <v>1</v>
      </c>
      <c r="AD3751" t="n">
        <v>48000</v>
      </c>
      <c r="AE3751" t="n">
        <v>9600</v>
      </c>
      <c r="AF3751" t="n">
        <v>11308</v>
      </c>
      <c r="AG3751" t="n">
        <v>2173</v>
      </c>
      <c r="AH3751" t="inlineStr">
        <is>
          <t>PT. OGAN SAKTI PRATAMA - PPN (JMB)</t>
        </is>
      </c>
      <c r="AI3751" t="n">
        <v>387</v>
      </c>
      <c r="AJ3751" t="inlineStr">
        <is>
          <t>SALSA</t>
        </is>
      </c>
      <c r="AK3751" t="n">
        <v>9</v>
      </c>
      <c r="AL3751" t="inlineStr">
        <is>
          <t>Miss Glam Jambi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SALSA</t>
        </is>
      </c>
      <c r="B3752" s="2">
        <f>"50100316858"</f>
        <v/>
      </c>
      <c r="C3752" t="inlineStr">
        <is>
          <t>SALSA Vinylash Eyelash Curler Color Orange</t>
        </is>
      </c>
      <c r="D3752" t="inlineStr">
        <is>
          <t>Miss Glam Jambi</t>
        </is>
      </c>
      <c r="E3752" t="n">
        <v>3</v>
      </c>
      <c r="F3752" t="n">
        <v>0.0495</v>
      </c>
      <c r="G3752" t="n">
        <v>0.33</v>
      </c>
      <c r="H3752" t="n">
        <v>7</v>
      </c>
      <c r="I3752" t="n">
        <v>19</v>
      </c>
      <c r="J3752" t="n">
        <v>1</v>
      </c>
      <c r="K3752" t="n">
        <v>0</v>
      </c>
      <c r="L3752" t="n">
        <v>9607</v>
      </c>
      <c r="M3752" t="n">
        <v>15000</v>
      </c>
      <c r="N3752" t="n">
        <v>33</v>
      </c>
      <c r="O3752" t="n">
        <v>0.33</v>
      </c>
      <c r="P3752" t="n">
        <v>1</v>
      </c>
      <c r="Q3752" t="n">
        <v>0.03</v>
      </c>
      <c r="R3752" t="n">
        <v>1</v>
      </c>
      <c r="S3752" t="n">
        <v>742.5</v>
      </c>
      <c r="T3752" t="n">
        <v>6</v>
      </c>
      <c r="U3752" t="n">
        <v>7</v>
      </c>
      <c r="V3752" t="n">
        <v>30</v>
      </c>
      <c r="W3752" t="n">
        <v>2</v>
      </c>
      <c r="X3752" t="n">
        <v>60.6060606060606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11308</v>
      </c>
      <c r="AG3752" t="n">
        <v>2173</v>
      </c>
      <c r="AH3752" t="inlineStr">
        <is>
          <t>PT. OGAN SAKTI PRATAMA - PPN (JMB)</t>
        </is>
      </c>
      <c r="AI3752" t="n">
        <v>387</v>
      </c>
      <c r="AJ3752" t="inlineStr">
        <is>
          <t>SALSA</t>
        </is>
      </c>
      <c r="AK3752" t="n">
        <v>9</v>
      </c>
      <c r="AL3752" t="inlineStr">
        <is>
          <t>Miss Glam Jambi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SALSA</t>
        </is>
      </c>
      <c r="B3753" s="2">
        <f>"50100316947"</f>
        <v/>
      </c>
      <c r="C3753" t="inlineStr">
        <is>
          <t>SALSA Vinylash Eyelash Curler Color Pink</t>
        </is>
      </c>
      <c r="D3753" t="inlineStr">
        <is>
          <t>Miss Glam Jambi</t>
        </is>
      </c>
      <c r="E3753" t="n">
        <v>5</v>
      </c>
      <c r="F3753" t="n">
        <v>1.6599</v>
      </c>
      <c r="G3753" t="n">
        <v>4.95</v>
      </c>
      <c r="H3753" t="n">
        <v>7</v>
      </c>
      <c r="I3753" t="n">
        <v>19</v>
      </c>
      <c r="J3753" t="n">
        <v>1</v>
      </c>
      <c r="K3753" t="n">
        <v>18</v>
      </c>
      <c r="L3753" t="n">
        <v>9600</v>
      </c>
      <c r="M3753" t="n">
        <v>15000</v>
      </c>
      <c r="N3753" t="n">
        <v>33</v>
      </c>
      <c r="O3753" t="n">
        <v>0.33</v>
      </c>
      <c r="P3753" t="n">
        <v>1</v>
      </c>
      <c r="Q3753" t="n">
        <v>0.17</v>
      </c>
      <c r="R3753" t="n">
        <v>2</v>
      </c>
      <c r="S3753" t="n">
        <v>24898.5</v>
      </c>
      <c r="T3753" t="n">
        <v>83</v>
      </c>
      <c r="U3753" t="n">
        <v>95</v>
      </c>
      <c r="V3753" t="n">
        <v>30</v>
      </c>
      <c r="W3753" t="n">
        <v>50</v>
      </c>
      <c r="X3753" t="n">
        <v>3.012229652388698</v>
      </c>
      <c r="Y3753" t="n">
        <v>1</v>
      </c>
      <c r="Z3753" t="n">
        <v>27</v>
      </c>
      <c r="AA3753" t="n">
        <v>26</v>
      </c>
      <c r="AB3753" t="n">
        <v>1</v>
      </c>
      <c r="AC3753" t="n">
        <v>1</v>
      </c>
      <c r="AD3753" t="n">
        <v>249600</v>
      </c>
      <c r="AE3753" t="n">
        <v>9600</v>
      </c>
      <c r="AF3753" t="n">
        <v>11308</v>
      </c>
      <c r="AG3753" t="n">
        <v>2173</v>
      </c>
      <c r="AH3753" t="inlineStr">
        <is>
          <t>PT. OGAN SAKTI PRATAMA - PPN (JMB)</t>
        </is>
      </c>
      <c r="AI3753" t="n">
        <v>387</v>
      </c>
      <c r="AJ3753" t="inlineStr">
        <is>
          <t>SALSA</t>
        </is>
      </c>
      <c r="AK3753" t="n">
        <v>9</v>
      </c>
      <c r="AL3753" t="inlineStr">
        <is>
          <t>Miss Glam Jambi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SALSA</t>
        </is>
      </c>
      <c r="B3754" s="2">
        <f>"8997207558675"</f>
        <v/>
      </c>
      <c r="C3754" t="inlineStr">
        <is>
          <t>SALSA Vinylash Eyelash Curler Premium</t>
        </is>
      </c>
      <c r="D3754" t="inlineStr">
        <is>
          <t>Miss Glam Jambi</t>
        </is>
      </c>
      <c r="E3754" t="n">
        <v>7</v>
      </c>
      <c r="F3754" t="n">
        <v>1.5048</v>
      </c>
      <c r="G3754" t="n">
        <v>6.600000000000001</v>
      </c>
      <c r="H3754" t="n">
        <v>7</v>
      </c>
      <c r="I3754" t="n">
        <v>19</v>
      </c>
      <c r="J3754" t="n">
        <v>3</v>
      </c>
      <c r="K3754" t="n">
        <v>16</v>
      </c>
      <c r="L3754" t="n">
        <v>9600</v>
      </c>
      <c r="M3754" t="n">
        <v>13500</v>
      </c>
      <c r="N3754" t="n">
        <v>33</v>
      </c>
      <c r="O3754" t="n">
        <v>0.33</v>
      </c>
      <c r="P3754" t="n">
        <v>1</v>
      </c>
      <c r="Q3754" t="n">
        <v>0.15</v>
      </c>
      <c r="R3754" t="n">
        <v>2</v>
      </c>
      <c r="S3754" t="n">
        <v>20314.8</v>
      </c>
      <c r="T3754" t="n">
        <v>115</v>
      </c>
      <c r="U3754" t="n">
        <v>126</v>
      </c>
      <c r="V3754" t="n">
        <v>30</v>
      </c>
      <c r="W3754" t="n">
        <v>46</v>
      </c>
      <c r="X3754" t="n">
        <v>4.651780967570441</v>
      </c>
      <c r="Y3754" t="n">
        <v>1</v>
      </c>
      <c r="Z3754" t="n">
        <v>23</v>
      </c>
      <c r="AA3754" t="n">
        <v>21</v>
      </c>
      <c r="AB3754" t="n">
        <v>2</v>
      </c>
      <c r="AC3754" t="n">
        <v>3</v>
      </c>
      <c r="AD3754" t="n">
        <v>201600</v>
      </c>
      <c r="AE3754" t="n">
        <v>28800</v>
      </c>
      <c r="AF3754" t="n">
        <v>11308</v>
      </c>
      <c r="AG3754" t="n">
        <v>2173</v>
      </c>
      <c r="AH3754" t="inlineStr">
        <is>
          <t>PT. OGAN SAKTI PRATAMA - PPN (JMB)</t>
        </is>
      </c>
      <c r="AI3754" t="n">
        <v>387</v>
      </c>
      <c r="AJ3754" t="inlineStr">
        <is>
          <t>SALSA</t>
        </is>
      </c>
      <c r="AK3754" t="n">
        <v>9</v>
      </c>
      <c r="AL3754" t="inlineStr">
        <is>
          <t>Miss Glam Jambi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SALSA</t>
        </is>
      </c>
      <c r="B3755" s="2">
        <f>"50100316144"</f>
        <v/>
      </c>
      <c r="C3755" t="inlineStr">
        <is>
          <t>SALSA Vinylash Pastel Color Pink</t>
        </is>
      </c>
      <c r="D3755" t="inlineStr">
        <is>
          <t>Miss Glam Jambi</t>
        </is>
      </c>
      <c r="E3755" t="n">
        <v>4</v>
      </c>
      <c r="F3755" t="n">
        <v>0.4752</v>
      </c>
      <c r="G3755" t="n">
        <v>1.98</v>
      </c>
      <c r="H3755" t="n">
        <v>7</v>
      </c>
      <c r="I3755" t="n">
        <v>19</v>
      </c>
      <c r="J3755" t="n">
        <v>1</v>
      </c>
      <c r="K3755" t="n">
        <v>6</v>
      </c>
      <c r="L3755" t="n">
        <v>6559</v>
      </c>
      <c r="M3755" t="n">
        <v>10000</v>
      </c>
      <c r="N3755" t="n">
        <v>33</v>
      </c>
      <c r="O3755" t="n">
        <v>0.33</v>
      </c>
      <c r="P3755" t="n">
        <v>1</v>
      </c>
      <c r="Q3755" t="n">
        <v>0.02</v>
      </c>
      <c r="R3755" t="n">
        <v>1</v>
      </c>
      <c r="S3755" t="n">
        <v>4752</v>
      </c>
      <c r="T3755" t="n">
        <v>35</v>
      </c>
      <c r="U3755" t="n">
        <v>39</v>
      </c>
      <c r="V3755" t="n">
        <v>30</v>
      </c>
      <c r="W3755" t="n">
        <v>15</v>
      </c>
      <c r="X3755" t="n">
        <v>8.417508417508417</v>
      </c>
      <c r="Y3755" t="n">
        <v>1</v>
      </c>
      <c r="Z3755" t="n">
        <v>5</v>
      </c>
      <c r="AA3755" t="n">
        <v>5</v>
      </c>
      <c r="AB3755" t="n">
        <v>0</v>
      </c>
      <c r="AC3755" t="n">
        <v>0</v>
      </c>
      <c r="AD3755" t="n">
        <v>32795</v>
      </c>
      <c r="AE3755" t="n">
        <v>0</v>
      </c>
      <c r="AF3755" t="n">
        <v>11308</v>
      </c>
      <c r="AG3755" t="n">
        <v>2173</v>
      </c>
      <c r="AH3755" t="inlineStr">
        <is>
          <t>PT. OGAN SAKTI PRATAMA - PPN (JMB)</t>
        </is>
      </c>
      <c r="AI3755" t="n">
        <v>387</v>
      </c>
      <c r="AJ3755" t="inlineStr">
        <is>
          <t>SALSA</t>
        </is>
      </c>
      <c r="AK3755" t="n">
        <v>9</v>
      </c>
      <c r="AL3755" t="inlineStr">
        <is>
          <t>Miss Glam Jambi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SANDRELLA</t>
        </is>
      </c>
      <c r="B3756" s="2">
        <f>"30400258218"</f>
        <v/>
      </c>
      <c r="C3756" t="inlineStr">
        <is>
          <t>SANDRELLA COCODE Blossom 50ml</t>
        </is>
      </c>
      <c r="D3756" t="inlineStr">
        <is>
          <t>Miss Glam Jambi</t>
        </is>
      </c>
      <c r="E3756" t="n">
        <v>9</v>
      </c>
      <c r="F3756" t="n">
        <v>0.3234</v>
      </c>
      <c r="G3756" t="n">
        <v>1.65</v>
      </c>
      <c r="H3756" t="n">
        <v>4</v>
      </c>
      <c r="I3756" t="n">
        <v>20</v>
      </c>
      <c r="J3756" t="n">
        <v>1</v>
      </c>
      <c r="K3756" t="n">
        <v>1</v>
      </c>
      <c r="L3756" t="n">
        <v>16613</v>
      </c>
      <c r="M3756" t="n">
        <v>22000</v>
      </c>
      <c r="N3756" t="n">
        <v>33</v>
      </c>
      <c r="O3756" t="n">
        <v>0.33</v>
      </c>
      <c r="P3756" t="n">
        <v>1</v>
      </c>
      <c r="Q3756" t="n">
        <v>0.08</v>
      </c>
      <c r="R3756" t="n">
        <v>2</v>
      </c>
      <c r="S3756" t="n">
        <v>7114.8</v>
      </c>
      <c r="T3756" t="n">
        <v>32</v>
      </c>
      <c r="U3756" t="n">
        <v>34</v>
      </c>
      <c r="V3756" t="n">
        <v>30</v>
      </c>
      <c r="W3756" t="n">
        <v>10</v>
      </c>
      <c r="X3756" t="n">
        <v>27.82931354359926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8287</v>
      </c>
      <c r="AG3756" t="n">
        <v>1</v>
      </c>
      <c r="AH3756" t="inlineStr">
        <is>
          <t>PT. BERSAMA DISTRIVERSA INDONESIA (DC CIPUTAT)</t>
        </is>
      </c>
      <c r="AI3756" t="n">
        <v>2303</v>
      </c>
      <c r="AJ3756" t="inlineStr">
        <is>
          <t>SANDRELLA</t>
        </is>
      </c>
      <c r="AK3756" t="n">
        <v>9</v>
      </c>
      <c r="AL3756" t="inlineStr">
        <is>
          <t>Miss Glam Jambi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SANDRELLA</t>
        </is>
      </c>
      <c r="B3757" s="2">
        <f>"30400258148"</f>
        <v/>
      </c>
      <c r="C3757" t="inlineStr">
        <is>
          <t>SANDRELLA COCODE English Pear 50ml</t>
        </is>
      </c>
      <c r="D3757" t="inlineStr">
        <is>
          <t>Miss Glam Jambi</t>
        </is>
      </c>
      <c r="E3757" t="n">
        <v>6</v>
      </c>
      <c r="F3757" t="n">
        <v>0.0264</v>
      </c>
      <c r="G3757" t="n">
        <v>0.33</v>
      </c>
      <c r="H3757" t="n">
        <v>4</v>
      </c>
      <c r="I3757" t="n">
        <v>20</v>
      </c>
      <c r="J3757" t="n">
        <v>1</v>
      </c>
      <c r="K3757" t="n">
        <v>0</v>
      </c>
      <c r="L3757" t="n">
        <v>16145</v>
      </c>
      <c r="M3757" t="n">
        <v>22000</v>
      </c>
      <c r="N3757" t="n">
        <v>33</v>
      </c>
      <c r="O3757" t="n">
        <v>0.33</v>
      </c>
      <c r="P3757" t="n">
        <v>1</v>
      </c>
      <c r="Q3757" t="n">
        <v>0.05</v>
      </c>
      <c r="R3757" t="n">
        <v>1</v>
      </c>
      <c r="S3757" t="n">
        <v>580.8000000000001</v>
      </c>
      <c r="T3757" t="n">
        <v>7</v>
      </c>
      <c r="U3757" t="n">
        <v>8</v>
      </c>
      <c r="V3757" t="n">
        <v>30</v>
      </c>
      <c r="W3757" t="n">
        <v>1</v>
      </c>
      <c r="X3757" t="n">
        <v>227.2727272727273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8287</v>
      </c>
      <c r="AG3757" t="n">
        <v>1</v>
      </c>
      <c r="AH3757" t="inlineStr">
        <is>
          <t>PT. BERSAMA DISTRIVERSA INDONESIA (DC CIPUTAT)</t>
        </is>
      </c>
      <c r="AI3757" t="n">
        <v>2303</v>
      </c>
      <c r="AJ3757" t="inlineStr">
        <is>
          <t>SANDRELLA</t>
        </is>
      </c>
      <c r="AK3757" t="n">
        <v>9</v>
      </c>
      <c r="AL3757" t="inlineStr">
        <is>
          <t>Miss Glam Jambi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SANDRELLA</t>
        </is>
      </c>
      <c r="B3758" s="2">
        <f>"30400258358"</f>
        <v/>
      </c>
      <c r="C3758" t="inlineStr">
        <is>
          <t>SANDRELLA COCODE Omnia 50ml</t>
        </is>
      </c>
      <c r="D3758" t="inlineStr">
        <is>
          <t>Miss Glam Jambi</t>
        </is>
      </c>
      <c r="E3758" t="n">
        <v>9</v>
      </c>
      <c r="F3758" t="n">
        <v>0.09569999999999999</v>
      </c>
      <c r="G3758" t="n">
        <v>0.99</v>
      </c>
      <c r="H3758" t="n">
        <v>4</v>
      </c>
      <c r="I3758" t="n">
        <v>20</v>
      </c>
      <c r="J3758" t="n">
        <v>1</v>
      </c>
      <c r="K3758" t="n">
        <v>0</v>
      </c>
      <c r="L3758" t="n">
        <v>16364</v>
      </c>
      <c r="M3758" t="n">
        <v>22000</v>
      </c>
      <c r="N3758" t="n">
        <v>33</v>
      </c>
      <c r="O3758" t="n">
        <v>0.33</v>
      </c>
      <c r="P3758" t="n">
        <v>1</v>
      </c>
      <c r="Q3758" t="n">
        <v>0.07000000000000001</v>
      </c>
      <c r="R3758" t="n">
        <v>1</v>
      </c>
      <c r="S3758" t="n">
        <v>2105.4</v>
      </c>
      <c r="T3758" t="n">
        <v>20</v>
      </c>
      <c r="U3758" t="n">
        <v>21</v>
      </c>
      <c r="V3758" t="n">
        <v>30</v>
      </c>
      <c r="W3758" t="n">
        <v>3</v>
      </c>
      <c r="X3758" t="n">
        <v>94.04388714733543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8287</v>
      </c>
      <c r="AG3758" t="n">
        <v>1</v>
      </c>
      <c r="AH3758" t="inlineStr">
        <is>
          <t>PT. BERSAMA DISTRIVERSA INDONESIA (DC CIPUTAT)</t>
        </is>
      </c>
      <c r="AI3758" t="n">
        <v>2303</v>
      </c>
      <c r="AJ3758" t="inlineStr">
        <is>
          <t>SANDRELLA</t>
        </is>
      </c>
      <c r="AK3758" t="n">
        <v>9</v>
      </c>
      <c r="AL3758" t="inlineStr">
        <is>
          <t>Miss Glam Jambi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SANDRELLA</t>
        </is>
      </c>
      <c r="B3759" s="2">
        <f>"30400258431"</f>
        <v/>
      </c>
      <c r="C3759" t="inlineStr">
        <is>
          <t>SANDRELLA COCODE Opium 50ml</t>
        </is>
      </c>
      <c r="D3759" t="inlineStr">
        <is>
          <t>Miss Glam Jambi</t>
        </is>
      </c>
      <c r="E3759" t="n">
        <v>3</v>
      </c>
      <c r="F3759" t="n">
        <v>0.2079</v>
      </c>
      <c r="G3759" t="n">
        <v>0.66</v>
      </c>
      <c r="H3759" t="n">
        <v>4</v>
      </c>
      <c r="I3759" t="n">
        <v>20</v>
      </c>
      <c r="J3759" t="n">
        <v>1</v>
      </c>
      <c r="K3759" t="n">
        <v>2</v>
      </c>
      <c r="L3759" t="n">
        <v>15460</v>
      </c>
      <c r="M3759" t="n">
        <v>22000</v>
      </c>
      <c r="N3759" t="n">
        <v>33</v>
      </c>
      <c r="O3759" t="n">
        <v>0.33</v>
      </c>
      <c r="P3759" t="n">
        <v>1</v>
      </c>
      <c r="Q3759" t="n">
        <v>0.14</v>
      </c>
      <c r="R3759" t="n">
        <v>2</v>
      </c>
      <c r="S3759" t="n">
        <v>4573.8</v>
      </c>
      <c r="T3759" t="n">
        <v>13</v>
      </c>
      <c r="U3759" t="n">
        <v>14</v>
      </c>
      <c r="V3759" t="n">
        <v>30</v>
      </c>
      <c r="W3759" t="n">
        <v>7</v>
      </c>
      <c r="X3759" t="n">
        <v>14.43001443001443</v>
      </c>
      <c r="Y3759" t="n">
        <v>1</v>
      </c>
      <c r="Z3759" t="n">
        <v>2</v>
      </c>
      <c r="AA3759" t="n">
        <v>1</v>
      </c>
      <c r="AB3759" t="n">
        <v>1</v>
      </c>
      <c r="AC3759" t="n">
        <v>1</v>
      </c>
      <c r="AD3759" t="n">
        <v>15460</v>
      </c>
      <c r="AE3759" t="n">
        <v>15460</v>
      </c>
      <c r="AF3759" t="n">
        <v>8287</v>
      </c>
      <c r="AG3759" t="n">
        <v>1</v>
      </c>
      <c r="AH3759" t="inlineStr">
        <is>
          <t>PT. BERSAMA DISTRIVERSA INDONESIA (DC CIPUTAT)</t>
        </is>
      </c>
      <c r="AI3759" t="n">
        <v>2303</v>
      </c>
      <c r="AJ3759" t="inlineStr">
        <is>
          <t>SANDRELLA</t>
        </is>
      </c>
      <c r="AK3759" t="n">
        <v>9</v>
      </c>
      <c r="AL3759" t="inlineStr">
        <is>
          <t>Miss Glam Jambi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SANDRELLA</t>
        </is>
      </c>
      <c r="B3760" s="2">
        <f>"30400258660"</f>
        <v/>
      </c>
      <c r="C3760" t="inlineStr">
        <is>
          <t>SANDRELLA COCODE Rouge 50ml</t>
        </is>
      </c>
      <c r="D3760" t="inlineStr">
        <is>
          <t>Miss Glam Jambi</t>
        </is>
      </c>
      <c r="E3760" t="n">
        <v>6</v>
      </c>
      <c r="F3760" t="n">
        <v>0.0231</v>
      </c>
      <c r="G3760" t="n">
        <v>0.33</v>
      </c>
      <c r="H3760" t="n">
        <v>4</v>
      </c>
      <c r="I3760" t="n">
        <v>20</v>
      </c>
      <c r="J3760" t="n">
        <v>1</v>
      </c>
      <c r="K3760" t="n">
        <v>0</v>
      </c>
      <c r="L3760" t="n">
        <v>16574</v>
      </c>
      <c r="M3760" t="n">
        <v>22000</v>
      </c>
      <c r="N3760" t="n">
        <v>33</v>
      </c>
      <c r="O3760" t="n">
        <v>0.33</v>
      </c>
      <c r="P3760" t="n">
        <v>1</v>
      </c>
      <c r="Q3760" t="n">
        <v>0.14</v>
      </c>
      <c r="R3760" t="n">
        <v>2</v>
      </c>
      <c r="S3760" t="n">
        <v>508.2</v>
      </c>
      <c r="T3760" t="n">
        <v>7</v>
      </c>
      <c r="U3760" t="n">
        <v>8</v>
      </c>
      <c r="V3760" t="n">
        <v>30</v>
      </c>
      <c r="W3760" t="n">
        <v>1</v>
      </c>
      <c r="X3760" t="n">
        <v>259.7402597402597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8287</v>
      </c>
      <c r="AG3760" t="n">
        <v>1</v>
      </c>
      <c r="AH3760" t="inlineStr">
        <is>
          <t>PT. BERSAMA DISTRIVERSA INDONESIA (DC CIPUTAT)</t>
        </is>
      </c>
      <c r="AI3760" t="n">
        <v>2303</v>
      </c>
      <c r="AJ3760" t="inlineStr">
        <is>
          <t>SANDRELLA</t>
        </is>
      </c>
      <c r="AK3760" t="n">
        <v>9</v>
      </c>
      <c r="AL3760" t="inlineStr">
        <is>
          <t>Miss Glam Jambi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SANDRELLA</t>
        </is>
      </c>
      <c r="B3761" s="2">
        <f>"30400258522"</f>
        <v/>
      </c>
      <c r="C3761" t="inlineStr">
        <is>
          <t>SANDRELLA COCODE Suvage 50ml</t>
        </is>
      </c>
      <c r="D3761" t="inlineStr">
        <is>
          <t>Miss Glam Jambi</t>
        </is>
      </c>
      <c r="E3761" t="n">
        <v>1</v>
      </c>
      <c r="F3761" t="n">
        <v>0.07920000000000001</v>
      </c>
      <c r="G3761" t="n">
        <v>0.33</v>
      </c>
      <c r="H3761" t="n">
        <v>4</v>
      </c>
      <c r="I3761" t="n">
        <v>20</v>
      </c>
      <c r="J3761" t="n">
        <v>1</v>
      </c>
      <c r="K3761" t="n">
        <v>13</v>
      </c>
      <c r="L3761" t="n">
        <v>15845</v>
      </c>
      <c r="M3761" t="n">
        <v>22000</v>
      </c>
      <c r="N3761" t="n">
        <v>33</v>
      </c>
      <c r="O3761" t="n">
        <v>0.33</v>
      </c>
      <c r="P3761" t="n">
        <v>1</v>
      </c>
      <c r="Q3761" t="n">
        <v>0.03</v>
      </c>
      <c r="R3761" t="n">
        <v>1</v>
      </c>
      <c r="S3761" t="n">
        <v>1742.4</v>
      </c>
      <c r="T3761" t="n">
        <v>7</v>
      </c>
      <c r="U3761" t="n">
        <v>8</v>
      </c>
      <c r="V3761" t="n">
        <v>30</v>
      </c>
      <c r="W3761" t="n">
        <v>3</v>
      </c>
      <c r="X3761" t="n">
        <v>12.62626262626262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8287</v>
      </c>
      <c r="AG3761" t="n">
        <v>1</v>
      </c>
      <c r="AH3761" t="inlineStr">
        <is>
          <t>PT. BERSAMA DISTRIVERSA INDONESIA (DC CIPUTAT)</t>
        </is>
      </c>
      <c r="AI3761" t="n">
        <v>2303</v>
      </c>
      <c r="AJ3761" t="inlineStr">
        <is>
          <t>SANDRELLA</t>
        </is>
      </c>
      <c r="AK3761" t="n">
        <v>9</v>
      </c>
      <c r="AL3761" t="inlineStr">
        <is>
          <t>Miss Glam Jambi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SANDRELLA</t>
        </is>
      </c>
      <c r="B3762" s="2">
        <f>"30400359406"</f>
        <v/>
      </c>
      <c r="C3762" t="inlineStr">
        <is>
          <t>SANDRELLA Parfum Wanita Eau De Parfum Gardenia 110ml</t>
        </is>
      </c>
      <c r="D3762" t="inlineStr">
        <is>
          <t>Miss Glam Jambi</t>
        </is>
      </c>
      <c r="E3762" t="n">
        <v>4</v>
      </c>
      <c r="F3762" t="n">
        <v>0.3201</v>
      </c>
      <c r="G3762" t="n">
        <v>1.65</v>
      </c>
      <c r="H3762" t="n">
        <v>4</v>
      </c>
      <c r="I3762" t="n">
        <v>20</v>
      </c>
      <c r="J3762" t="n">
        <v>1</v>
      </c>
      <c r="K3762" t="n">
        <v>15</v>
      </c>
      <c r="L3762" t="n">
        <v>30866</v>
      </c>
      <c r="M3762" t="n">
        <v>42000</v>
      </c>
      <c r="N3762" t="n">
        <v>33</v>
      </c>
      <c r="O3762" t="n">
        <v>0.33</v>
      </c>
      <c r="P3762" t="n">
        <v>1</v>
      </c>
      <c r="Q3762" t="n">
        <v>0.46</v>
      </c>
      <c r="R3762" t="n">
        <v>3</v>
      </c>
      <c r="S3762" t="n">
        <v>13444.2</v>
      </c>
      <c r="T3762" t="n">
        <v>32</v>
      </c>
      <c r="U3762" t="n">
        <v>34</v>
      </c>
      <c r="V3762" t="n">
        <v>30</v>
      </c>
      <c r="W3762" t="n">
        <v>10</v>
      </c>
      <c r="X3762" t="n">
        <v>12.49609497032177</v>
      </c>
      <c r="Y3762" t="n">
        <v>1</v>
      </c>
      <c r="Z3762" t="n">
        <v>0</v>
      </c>
      <c r="AA3762" t="n">
        <v>2</v>
      </c>
      <c r="AB3762" t="n">
        <v>0</v>
      </c>
      <c r="AC3762" t="n">
        <v>0</v>
      </c>
      <c r="AD3762" t="n">
        <v>61732</v>
      </c>
      <c r="AE3762" t="n">
        <v>0</v>
      </c>
      <c r="AF3762" t="n">
        <v>8287</v>
      </c>
      <c r="AG3762" t="n">
        <v>1</v>
      </c>
      <c r="AH3762" t="inlineStr">
        <is>
          <t>PT. BERSAMA DISTRIVERSA INDONESIA (DC CIPUTAT)</t>
        </is>
      </c>
      <c r="AI3762" t="n">
        <v>2303</v>
      </c>
      <c r="AJ3762" t="inlineStr">
        <is>
          <t>SANDRELLA</t>
        </is>
      </c>
      <c r="AK3762" t="n">
        <v>9</v>
      </c>
      <c r="AL3762" t="inlineStr">
        <is>
          <t>Miss Glam Jambi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SANDRELLA</t>
        </is>
      </c>
      <c r="B3763" s="2">
        <f>"30400359330"</f>
        <v/>
      </c>
      <c r="C3763" t="inlineStr">
        <is>
          <t>SANDRELLA Parfum Wanita Eau De Parfum Orchid 110ml</t>
        </is>
      </c>
      <c r="D3763" t="inlineStr">
        <is>
          <t>Miss Glam Jambi</t>
        </is>
      </c>
      <c r="E3763" t="n">
        <v>28</v>
      </c>
      <c r="F3763" t="n">
        <v>0.4752</v>
      </c>
      <c r="G3763" t="n">
        <v>1.65</v>
      </c>
      <c r="H3763" t="n">
        <v>4</v>
      </c>
      <c r="I3763" t="n">
        <v>20</v>
      </c>
      <c r="J3763" t="n">
        <v>1</v>
      </c>
      <c r="K3763" t="n">
        <v>18</v>
      </c>
      <c r="L3763" t="n">
        <v>31393</v>
      </c>
      <c r="M3763" t="n">
        <v>42000</v>
      </c>
      <c r="N3763" t="n">
        <v>33</v>
      </c>
      <c r="O3763" t="n">
        <v>0.33</v>
      </c>
      <c r="P3763" t="n">
        <v>1</v>
      </c>
      <c r="Q3763" t="n">
        <v>0.39</v>
      </c>
      <c r="R3763" t="n">
        <v>5</v>
      </c>
      <c r="S3763" t="n">
        <v>19958.4</v>
      </c>
      <c r="T3763" t="n">
        <v>32</v>
      </c>
      <c r="U3763" t="n">
        <v>34</v>
      </c>
      <c r="V3763" t="n">
        <v>30</v>
      </c>
      <c r="W3763" t="n">
        <v>15</v>
      </c>
      <c r="X3763" t="n">
        <v>58.92255892255892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8287</v>
      </c>
      <c r="AG3763" t="n">
        <v>1</v>
      </c>
      <c r="AH3763" t="inlineStr">
        <is>
          <t>PT. BERSAMA DISTRIVERSA INDONESIA (DC CIPUTAT)</t>
        </is>
      </c>
      <c r="AI3763" t="n">
        <v>2303</v>
      </c>
      <c r="AJ3763" t="inlineStr">
        <is>
          <t>SANDRELLA</t>
        </is>
      </c>
      <c r="AK3763" t="n">
        <v>9</v>
      </c>
      <c r="AL3763" t="inlineStr">
        <is>
          <t>Miss Glam Jambi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SANDRELLA</t>
        </is>
      </c>
      <c r="B3764" s="2">
        <f>"30400359246"</f>
        <v/>
      </c>
      <c r="C3764" t="inlineStr">
        <is>
          <t>SANDRELLA Parfum Wanita Eau De Parfum Pink Flambe 110ml</t>
        </is>
      </c>
      <c r="D3764" t="inlineStr">
        <is>
          <t>Miss Glam Jambi</t>
        </is>
      </c>
      <c r="E3764" t="n">
        <v>9</v>
      </c>
      <c r="F3764" t="n">
        <v>0.5643</v>
      </c>
      <c r="G3764" t="n">
        <v>2.64</v>
      </c>
      <c r="H3764" t="n">
        <v>4</v>
      </c>
      <c r="I3764" t="n">
        <v>20</v>
      </c>
      <c r="J3764" t="n">
        <v>1</v>
      </c>
      <c r="K3764" t="n">
        <v>30</v>
      </c>
      <c r="L3764" t="n">
        <v>31006</v>
      </c>
      <c r="M3764" t="n">
        <v>42000</v>
      </c>
      <c r="N3764" t="n">
        <v>33</v>
      </c>
      <c r="O3764" t="n">
        <v>0.33</v>
      </c>
      <c r="P3764" t="n">
        <v>1</v>
      </c>
      <c r="Q3764" t="n">
        <v>0.27</v>
      </c>
      <c r="R3764" t="n">
        <v>2</v>
      </c>
      <c r="S3764" t="n">
        <v>23700.6</v>
      </c>
      <c r="T3764" t="n">
        <v>51</v>
      </c>
      <c r="U3764" t="n">
        <v>54</v>
      </c>
      <c r="V3764" t="n">
        <v>30</v>
      </c>
      <c r="W3764" t="n">
        <v>17</v>
      </c>
      <c r="X3764" t="n">
        <v>15.94896331738437</v>
      </c>
      <c r="Y3764" t="n">
        <v>1</v>
      </c>
      <c r="Z3764" t="n">
        <v>0</v>
      </c>
      <c r="AA3764" t="n">
        <v>2</v>
      </c>
      <c r="AB3764" t="n">
        <v>0</v>
      </c>
      <c r="AC3764" t="n">
        <v>0</v>
      </c>
      <c r="AD3764" t="n">
        <v>62012</v>
      </c>
      <c r="AE3764" t="n">
        <v>0</v>
      </c>
      <c r="AF3764" t="n">
        <v>8287</v>
      </c>
      <c r="AG3764" t="n">
        <v>1</v>
      </c>
      <c r="AH3764" t="inlineStr">
        <is>
          <t>PT. BERSAMA DISTRIVERSA INDONESIA (DC CIPUTAT)</t>
        </is>
      </c>
      <c r="AI3764" t="n">
        <v>2303</v>
      </c>
      <c r="AJ3764" t="inlineStr">
        <is>
          <t>SANDRELLA</t>
        </is>
      </c>
      <c r="AK3764" t="n">
        <v>9</v>
      </c>
      <c r="AL3764" t="inlineStr">
        <is>
          <t>Miss Glam Jambi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SANDRELLA</t>
        </is>
      </c>
      <c r="B3765" s="2">
        <f>"30400359546"</f>
        <v/>
      </c>
      <c r="C3765" t="inlineStr">
        <is>
          <t>SANDRELLA Parfum Wanita Eau De Parfum Red Vanilla 110ml</t>
        </is>
      </c>
      <c r="D3765" t="inlineStr">
        <is>
          <t>Miss Glam Jambi</t>
        </is>
      </c>
      <c r="E3765" t="n">
        <v>10</v>
      </c>
      <c r="F3765" t="n">
        <v>0.3564000000000001</v>
      </c>
      <c r="G3765" t="n">
        <v>1.32</v>
      </c>
      <c r="H3765" t="n">
        <v>4</v>
      </c>
      <c r="I3765" t="n">
        <v>20</v>
      </c>
      <c r="J3765" t="n">
        <v>1</v>
      </c>
      <c r="K3765" t="n">
        <v>17</v>
      </c>
      <c r="L3765" t="n">
        <v>30978</v>
      </c>
      <c r="M3765" t="n">
        <v>42000</v>
      </c>
      <c r="N3765" t="n">
        <v>33</v>
      </c>
      <c r="O3765" t="n">
        <v>0.33</v>
      </c>
      <c r="P3765" t="n">
        <v>1</v>
      </c>
      <c r="Q3765" t="n">
        <v>0.2</v>
      </c>
      <c r="R3765" t="n">
        <v>2</v>
      </c>
      <c r="S3765" t="n">
        <v>14968.8</v>
      </c>
      <c r="T3765" t="n">
        <v>25</v>
      </c>
      <c r="U3765" t="n">
        <v>27</v>
      </c>
      <c r="V3765" t="n">
        <v>30</v>
      </c>
      <c r="W3765" t="n">
        <v>11</v>
      </c>
      <c r="X3765" t="n">
        <v>28.05836139169472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8287</v>
      </c>
      <c r="AG3765" t="n">
        <v>1</v>
      </c>
      <c r="AH3765" t="inlineStr">
        <is>
          <t>PT. BERSAMA DISTRIVERSA INDONESIA (DC CIPUTAT)</t>
        </is>
      </c>
      <c r="AI3765" t="n">
        <v>2303</v>
      </c>
      <c r="AJ3765" t="inlineStr">
        <is>
          <t>SANDRELLA</t>
        </is>
      </c>
      <c r="AK3765" t="n">
        <v>9</v>
      </c>
      <c r="AL3765" t="inlineStr">
        <is>
          <t>Miss Glam Jambi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SANDRELLA</t>
        </is>
      </c>
      <c r="B3766" s="2">
        <f>"30400359732"</f>
        <v/>
      </c>
      <c r="C3766" t="inlineStr">
        <is>
          <t>SANDRELLA Parfum Wanita Eau De Parfum Violet Blossom 110ml</t>
        </is>
      </c>
      <c r="D3766" t="inlineStr">
        <is>
          <t>Miss Glam Jambi</t>
        </is>
      </c>
      <c r="E3766" t="n">
        <v>10</v>
      </c>
      <c r="F3766" t="n">
        <v>0.2343</v>
      </c>
      <c r="G3766" t="n">
        <v>0.99</v>
      </c>
      <c r="H3766" t="n">
        <v>4</v>
      </c>
      <c r="I3766" t="n">
        <v>20</v>
      </c>
      <c r="J3766" t="n">
        <v>1</v>
      </c>
      <c r="K3766" t="n">
        <v>12</v>
      </c>
      <c r="L3766" t="n">
        <v>30835</v>
      </c>
      <c r="M3766" t="n">
        <v>42000</v>
      </c>
      <c r="N3766" t="n">
        <v>33</v>
      </c>
      <c r="O3766" t="n">
        <v>0.33</v>
      </c>
      <c r="P3766" t="n">
        <v>1</v>
      </c>
      <c r="Q3766" t="n">
        <v>0.17</v>
      </c>
      <c r="R3766" t="n">
        <v>2</v>
      </c>
      <c r="S3766" t="n">
        <v>9840.6</v>
      </c>
      <c r="T3766" t="n">
        <v>19</v>
      </c>
      <c r="U3766" t="n">
        <v>20</v>
      </c>
      <c r="V3766" t="n">
        <v>30</v>
      </c>
      <c r="W3766" t="n">
        <v>8</v>
      </c>
      <c r="X3766" t="n">
        <v>42.68032437046521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8287</v>
      </c>
      <c r="AG3766" t="n">
        <v>1</v>
      </c>
      <c r="AH3766" t="inlineStr">
        <is>
          <t>PT. BERSAMA DISTRIVERSA INDONESIA (DC CIPUTAT)</t>
        </is>
      </c>
      <c r="AI3766" t="n">
        <v>2303</v>
      </c>
      <c r="AJ3766" t="inlineStr">
        <is>
          <t>SANDRELLA</t>
        </is>
      </c>
      <c r="AK3766" t="n">
        <v>9</v>
      </c>
      <c r="AL3766" t="inlineStr">
        <is>
          <t>Miss Glam Jambi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SANDRELLA</t>
        </is>
      </c>
      <c r="B3767" s="2">
        <f>"30400359621"</f>
        <v/>
      </c>
      <c r="C3767" t="inlineStr">
        <is>
          <t>SANDRELLA Parfum Wanita Eau De Parfum Wonderose 110ml</t>
        </is>
      </c>
      <c r="D3767" t="inlineStr">
        <is>
          <t>Miss Glam Jambi</t>
        </is>
      </c>
      <c r="E3767" t="n">
        <v>0</v>
      </c>
      <c r="F3767" t="n">
        <v>0.4917</v>
      </c>
      <c r="G3767" t="n">
        <v>1.65</v>
      </c>
      <c r="H3767" t="n">
        <v>4</v>
      </c>
      <c r="I3767" t="n">
        <v>20</v>
      </c>
      <c r="J3767" t="n">
        <v>1</v>
      </c>
      <c r="K3767" t="n">
        <v>41</v>
      </c>
      <c r="L3767" t="n">
        <v>30884</v>
      </c>
      <c r="M3767" t="n">
        <v>42000</v>
      </c>
      <c r="N3767" t="n">
        <v>33</v>
      </c>
      <c r="O3767" t="n">
        <v>0.33</v>
      </c>
      <c r="P3767" t="n">
        <v>1</v>
      </c>
      <c r="Q3767" t="n">
        <v>0.41</v>
      </c>
      <c r="R3767" t="n">
        <v>2</v>
      </c>
      <c r="S3767" t="n">
        <v>20651.4</v>
      </c>
      <c r="T3767" t="n">
        <v>32</v>
      </c>
      <c r="U3767" t="n">
        <v>34</v>
      </c>
      <c r="V3767" t="n">
        <v>30</v>
      </c>
      <c r="W3767" t="n">
        <v>15</v>
      </c>
      <c r="X3767" t="n">
        <v>0</v>
      </c>
      <c r="Y3767" t="n">
        <v>1</v>
      </c>
      <c r="Z3767" t="n">
        <v>0</v>
      </c>
      <c r="AA3767" t="n">
        <v>9</v>
      </c>
      <c r="AB3767" t="n">
        <v>0</v>
      </c>
      <c r="AC3767" t="n">
        <v>0</v>
      </c>
      <c r="AD3767" t="n">
        <v>277956</v>
      </c>
      <c r="AE3767" t="n">
        <v>0</v>
      </c>
      <c r="AF3767" t="n">
        <v>8287</v>
      </c>
      <c r="AG3767" t="n">
        <v>1</v>
      </c>
      <c r="AH3767" t="inlineStr">
        <is>
          <t>PT. BERSAMA DISTRIVERSA INDONESIA (DC CIPUTAT)</t>
        </is>
      </c>
      <c r="AI3767" t="n">
        <v>2303</v>
      </c>
      <c r="AJ3767" t="inlineStr">
        <is>
          <t>SANDRELLA</t>
        </is>
      </c>
      <c r="AK3767" t="n">
        <v>9</v>
      </c>
      <c r="AL3767" t="inlineStr">
        <is>
          <t>Miss Glam Jambi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SANIYE</t>
        </is>
      </c>
      <c r="B3768" s="2">
        <f>"6956784144093"</f>
        <v/>
      </c>
      <c r="C3768" t="inlineStr">
        <is>
          <t>SANIYE  Pink 4Color Eyeshadow E0459-02 4gr</t>
        </is>
      </c>
      <c r="D3768" t="inlineStr">
        <is>
          <t>Miss Glam Jambi</t>
        </is>
      </c>
      <c r="E3768" t="n">
        <v>6</v>
      </c>
      <c r="F3768" t="n">
        <v>1.3662</v>
      </c>
      <c r="G3768" t="n">
        <v>4.62</v>
      </c>
      <c r="H3768" t="n">
        <v>4</v>
      </c>
      <c r="I3768" t="n">
        <v>11</v>
      </c>
      <c r="J3768" t="n">
        <v>3</v>
      </c>
      <c r="K3768" t="n">
        <v>26</v>
      </c>
      <c r="L3768" t="n">
        <v>20721</v>
      </c>
      <c r="M3768" t="n">
        <v>26000</v>
      </c>
      <c r="N3768" t="n">
        <v>33</v>
      </c>
      <c r="O3768" t="n">
        <v>0.33</v>
      </c>
      <c r="P3768" t="n">
        <v>1</v>
      </c>
      <c r="Q3768" t="n">
        <v>0.27</v>
      </c>
      <c r="R3768" t="n">
        <v>2</v>
      </c>
      <c r="S3768" t="n">
        <v>35521.2</v>
      </c>
      <c r="T3768" t="n">
        <v>46</v>
      </c>
      <c r="U3768" t="n">
        <v>52</v>
      </c>
      <c r="V3768" t="n">
        <v>30</v>
      </c>
      <c r="W3768" t="n">
        <v>41</v>
      </c>
      <c r="X3768" t="n">
        <v>4.391743522178305</v>
      </c>
      <c r="Y3768" t="n">
        <v>1</v>
      </c>
      <c r="Z3768" t="n">
        <v>9</v>
      </c>
      <c r="AA3768" t="n">
        <v>9</v>
      </c>
      <c r="AB3768" t="n">
        <v>0</v>
      </c>
      <c r="AC3768" t="n">
        <v>0</v>
      </c>
      <c r="AD3768" t="n">
        <v>186489</v>
      </c>
      <c r="AE3768" t="n">
        <v>0</v>
      </c>
      <c r="AF3768" t="n">
        <v>11168</v>
      </c>
      <c r="AG3768" t="n">
        <v>54</v>
      </c>
      <c r="AH3768" t="inlineStr">
        <is>
          <t>PT. MIRANTI ADILLHA - PPN (PDG)</t>
        </is>
      </c>
      <c r="AI3768" t="n">
        <v>1375</v>
      </c>
      <c r="AJ3768" t="inlineStr">
        <is>
          <t>SANIYE</t>
        </is>
      </c>
      <c r="AK3768" t="n">
        <v>9</v>
      </c>
      <c r="AL3768" t="inlineStr">
        <is>
          <t>Miss Glam Jambi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SANIYE</t>
        </is>
      </c>
      <c r="B3769" s="2">
        <f>"6956784144109"</f>
        <v/>
      </c>
      <c r="C3769" t="inlineStr">
        <is>
          <t>SANIYE  Pink 4Color Eyeshadow E0459-03 4gr</t>
        </is>
      </c>
      <c r="D3769" t="inlineStr">
        <is>
          <t>Miss Glam Jambi</t>
        </is>
      </c>
      <c r="E3769" t="n">
        <v>4</v>
      </c>
      <c r="F3769" t="n">
        <v>2.1747</v>
      </c>
      <c r="G3769" t="n">
        <v>5.61</v>
      </c>
      <c r="H3769" t="n">
        <v>4</v>
      </c>
      <c r="I3769" t="n">
        <v>11</v>
      </c>
      <c r="J3769" t="n">
        <v>3</v>
      </c>
      <c r="K3769" t="n">
        <v>42</v>
      </c>
      <c r="L3769" t="n">
        <v>20721</v>
      </c>
      <c r="M3769" t="n">
        <v>26000</v>
      </c>
      <c r="N3769" t="n">
        <v>33</v>
      </c>
      <c r="O3769" t="n">
        <v>0.33</v>
      </c>
      <c r="P3769" t="n">
        <v>1</v>
      </c>
      <c r="Q3769" t="n">
        <v>0.59</v>
      </c>
      <c r="R3769" t="n">
        <v>4</v>
      </c>
      <c r="S3769" t="n">
        <v>56542.2</v>
      </c>
      <c r="T3769" t="n">
        <v>54</v>
      </c>
      <c r="U3769" t="n">
        <v>63</v>
      </c>
      <c r="V3769" t="n">
        <v>30</v>
      </c>
      <c r="W3769" t="n">
        <v>66</v>
      </c>
      <c r="X3769" t="n">
        <v>1.839334161033706</v>
      </c>
      <c r="Y3769" t="n">
        <v>1</v>
      </c>
      <c r="Z3769" t="n">
        <v>20</v>
      </c>
      <c r="AA3769" t="n">
        <v>19</v>
      </c>
      <c r="AB3769" t="n">
        <v>1</v>
      </c>
      <c r="AC3769" t="n">
        <v>3</v>
      </c>
      <c r="AD3769" t="n">
        <v>393699</v>
      </c>
      <c r="AE3769" t="n">
        <v>62163</v>
      </c>
      <c r="AF3769" t="n">
        <v>11168</v>
      </c>
      <c r="AG3769" t="n">
        <v>54</v>
      </c>
      <c r="AH3769" t="inlineStr">
        <is>
          <t>PT. MIRANTI ADILLHA - PPN (PDG)</t>
        </is>
      </c>
      <c r="AI3769" t="n">
        <v>1375</v>
      </c>
      <c r="AJ3769" t="inlineStr">
        <is>
          <t>SANIYE</t>
        </is>
      </c>
      <c r="AK3769" t="n">
        <v>9</v>
      </c>
      <c r="AL3769" t="inlineStr">
        <is>
          <t>Miss Glam Jambi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SANIYE</t>
        </is>
      </c>
      <c r="B3770" s="2">
        <f>"20100328843"</f>
        <v/>
      </c>
      <c r="C3770" t="inlineStr">
        <is>
          <t>SANIYE 5 Colors Multi Functions Concealer Palette R1179 #102 40gr</t>
        </is>
      </c>
      <c r="D3770" t="inlineStr">
        <is>
          <t>Miss Glam Jambi</t>
        </is>
      </c>
      <c r="E3770" t="n">
        <v>23</v>
      </c>
      <c r="F3770" t="n">
        <v>0.8382000000000001</v>
      </c>
      <c r="G3770" t="n">
        <v>1.98</v>
      </c>
      <c r="H3770" t="n">
        <v>4</v>
      </c>
      <c r="I3770" t="n">
        <v>11</v>
      </c>
      <c r="J3770" t="n">
        <v>1</v>
      </c>
      <c r="K3770" t="n">
        <v>2</v>
      </c>
      <c r="L3770" t="n">
        <v>17520</v>
      </c>
      <c r="M3770" t="n">
        <v>22000</v>
      </c>
      <c r="N3770" t="n">
        <v>33</v>
      </c>
      <c r="O3770" t="n">
        <v>0.33</v>
      </c>
      <c r="P3770" t="n">
        <v>1</v>
      </c>
      <c r="Q3770" t="n">
        <v>0.29</v>
      </c>
      <c r="R3770" t="n">
        <v>3</v>
      </c>
      <c r="S3770" t="n">
        <v>18440.4</v>
      </c>
      <c r="T3770" t="n">
        <v>19</v>
      </c>
      <c r="U3770" t="n">
        <v>23</v>
      </c>
      <c r="V3770" t="n">
        <v>30</v>
      </c>
      <c r="W3770" t="n">
        <v>26</v>
      </c>
      <c r="X3770" t="n">
        <v>27.43975184920066</v>
      </c>
      <c r="Y3770" t="n">
        <v>1</v>
      </c>
      <c r="Z3770" t="n">
        <v>1</v>
      </c>
      <c r="AA3770" t="n">
        <v>0</v>
      </c>
      <c r="AB3770" t="n">
        <v>1</v>
      </c>
      <c r="AC3770" t="n">
        <v>1</v>
      </c>
      <c r="AD3770" t="n">
        <v>0</v>
      </c>
      <c r="AE3770" t="n">
        <v>17520</v>
      </c>
      <c r="AF3770" t="n">
        <v>11168</v>
      </c>
      <c r="AG3770" t="n">
        <v>54</v>
      </c>
      <c r="AH3770" t="inlineStr">
        <is>
          <t>PT. MIRANTI ADILLHA - PPN (PDG)</t>
        </is>
      </c>
      <c r="AI3770" t="n">
        <v>1375</v>
      </c>
      <c r="AJ3770" t="inlineStr">
        <is>
          <t>SANIYE</t>
        </is>
      </c>
      <c r="AK3770" t="n">
        <v>9</v>
      </c>
      <c r="AL3770" t="inlineStr">
        <is>
          <t>Miss Glam Jambi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SANIYE</t>
        </is>
      </c>
      <c r="B3771" s="2">
        <f>"10400616747"</f>
        <v/>
      </c>
      <c r="C3771" t="inlineStr">
        <is>
          <t>SANIYE Aqua Sunscreen SPF50 R1190A 50ml</t>
        </is>
      </c>
      <c r="D3771" t="inlineStr">
        <is>
          <t>Miss Glam Jambi</t>
        </is>
      </c>
      <c r="E3771" t="n">
        <v>5</v>
      </c>
      <c r="F3771" t="n">
        <v>0.0561</v>
      </c>
      <c r="G3771" t="n">
        <v>0.66</v>
      </c>
      <c r="H3771" t="n">
        <v>4</v>
      </c>
      <c r="I3771" t="n">
        <v>11</v>
      </c>
      <c r="J3771" t="n">
        <v>1</v>
      </c>
      <c r="K3771" t="n">
        <v>0</v>
      </c>
      <c r="L3771" t="n">
        <v>22320</v>
      </c>
      <c r="M3771" t="n">
        <v>28000</v>
      </c>
      <c r="N3771" t="n">
        <v>33</v>
      </c>
      <c r="O3771" t="n">
        <v>0.33</v>
      </c>
      <c r="P3771" t="n">
        <v>1</v>
      </c>
      <c r="Q3771" t="n">
        <v>0.02</v>
      </c>
      <c r="R3771" t="n">
        <v>1</v>
      </c>
      <c r="S3771" t="n">
        <v>1570.8</v>
      </c>
      <c r="T3771" t="n">
        <v>8</v>
      </c>
      <c r="U3771" t="n">
        <v>9</v>
      </c>
      <c r="V3771" t="n">
        <v>30</v>
      </c>
      <c r="W3771" t="n">
        <v>2</v>
      </c>
      <c r="X3771" t="n">
        <v>89.12655971479501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11168</v>
      </c>
      <c r="AG3771" t="n">
        <v>54</v>
      </c>
      <c r="AH3771" t="inlineStr">
        <is>
          <t>PT. MIRANTI ADILLHA - PPN (PDG)</t>
        </is>
      </c>
      <c r="AI3771" t="n">
        <v>1375</v>
      </c>
      <c r="AJ3771" t="inlineStr">
        <is>
          <t>SANIYE</t>
        </is>
      </c>
      <c r="AK3771" t="n">
        <v>9</v>
      </c>
      <c r="AL3771" t="inlineStr">
        <is>
          <t>Miss Glam Jambi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SANIYE</t>
        </is>
      </c>
      <c r="B3772" s="2">
        <f>"10400616854"</f>
        <v/>
      </c>
      <c r="C3772" t="inlineStr">
        <is>
          <t>SANIYE Aqua Sunscreen SPF50 R1190B 50ml</t>
        </is>
      </c>
      <c r="D3772" t="inlineStr">
        <is>
          <t>Miss Glam Jambi</t>
        </is>
      </c>
      <c r="E3772" t="n">
        <v>5</v>
      </c>
      <c r="F3772" t="n">
        <v>0.0396</v>
      </c>
      <c r="G3772" t="n">
        <v>0.33</v>
      </c>
      <c r="H3772" t="n">
        <v>4</v>
      </c>
      <c r="I3772" t="n">
        <v>11</v>
      </c>
      <c r="J3772" t="n">
        <v>1</v>
      </c>
      <c r="K3772" t="n">
        <v>0</v>
      </c>
      <c r="L3772" t="n">
        <v>22320</v>
      </c>
      <c r="M3772" t="n">
        <v>28000</v>
      </c>
      <c r="N3772" t="n">
        <v>33</v>
      </c>
      <c r="O3772" t="n">
        <v>0.33</v>
      </c>
      <c r="P3772" t="n">
        <v>1</v>
      </c>
      <c r="Q3772" t="n">
        <v>0.02</v>
      </c>
      <c r="R3772" t="n">
        <v>1</v>
      </c>
      <c r="S3772" t="n">
        <v>1108.8</v>
      </c>
      <c r="T3772" t="n">
        <v>4</v>
      </c>
      <c r="U3772" t="n">
        <v>5</v>
      </c>
      <c r="V3772" t="n">
        <v>30</v>
      </c>
      <c r="W3772" t="n">
        <v>2</v>
      </c>
      <c r="X3772" t="n">
        <v>126.2626262626263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11168</v>
      </c>
      <c r="AG3772" t="n">
        <v>54</v>
      </c>
      <c r="AH3772" t="inlineStr">
        <is>
          <t>PT. MIRANTI ADILLHA - PPN (PDG)</t>
        </is>
      </c>
      <c r="AI3772" t="n">
        <v>1375</v>
      </c>
      <c r="AJ3772" t="inlineStr">
        <is>
          <t>SANIYE</t>
        </is>
      </c>
      <c r="AK3772" t="n">
        <v>9</v>
      </c>
      <c r="AL3772" t="inlineStr">
        <is>
          <t>Miss Glam Jambi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SANIYE</t>
        </is>
      </c>
      <c r="B3773" s="2">
        <f>"20101114036"</f>
        <v/>
      </c>
      <c r="C3773" t="inlineStr">
        <is>
          <t>SANIYE Beauty Glow Highlighter E0155#02 10gr</t>
        </is>
      </c>
      <c r="D3773" t="inlineStr">
        <is>
          <t>Miss Glam Jambi</t>
        </is>
      </c>
      <c r="E3773" t="n">
        <v>15</v>
      </c>
      <c r="F3773" t="n">
        <v>0.264</v>
      </c>
      <c r="G3773" t="n">
        <v>1.32</v>
      </c>
      <c r="H3773" t="n">
        <v>4</v>
      </c>
      <c r="I3773" t="n">
        <v>11</v>
      </c>
      <c r="J3773" t="n">
        <v>1</v>
      </c>
      <c r="K3773" t="n">
        <v>0</v>
      </c>
      <c r="L3773" t="n">
        <v>19922</v>
      </c>
      <c r="M3773" t="n">
        <v>25000</v>
      </c>
      <c r="N3773" t="n">
        <v>33</v>
      </c>
      <c r="O3773" t="n">
        <v>0.33</v>
      </c>
      <c r="P3773" t="n">
        <v>1</v>
      </c>
      <c r="Q3773" t="n">
        <v>0.22</v>
      </c>
      <c r="R3773" t="n">
        <v>2</v>
      </c>
      <c r="S3773" t="n">
        <v>6600</v>
      </c>
      <c r="T3773" t="n">
        <v>14</v>
      </c>
      <c r="U3773" t="n">
        <v>16</v>
      </c>
      <c r="V3773" t="n">
        <v>30</v>
      </c>
      <c r="W3773" t="n">
        <v>8</v>
      </c>
      <c r="X3773" t="n">
        <v>56.81818181818181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11168</v>
      </c>
      <c r="AG3773" t="n">
        <v>54</v>
      </c>
      <c r="AH3773" t="inlineStr">
        <is>
          <t>PT. MIRANTI ADILLHA - PPN (PDG)</t>
        </is>
      </c>
      <c r="AI3773" t="n">
        <v>1375</v>
      </c>
      <c r="AJ3773" t="inlineStr">
        <is>
          <t>SANIYE</t>
        </is>
      </c>
      <c r="AK3773" t="n">
        <v>9</v>
      </c>
      <c r="AL3773" t="inlineStr">
        <is>
          <t>Miss Glam Jambi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SANIYE</t>
        </is>
      </c>
      <c r="B3774" s="2">
        <f>"20101114129"</f>
        <v/>
      </c>
      <c r="C3774" t="inlineStr">
        <is>
          <t>SANIYE Beauty Glow Highlighter E0155#03 10gr</t>
        </is>
      </c>
      <c r="D3774" t="inlineStr">
        <is>
          <t>Miss Glam Jambi</t>
        </is>
      </c>
      <c r="E3774" t="n">
        <v>4</v>
      </c>
      <c r="F3774" t="n">
        <v>0.09569999999999999</v>
      </c>
      <c r="G3774" t="n">
        <v>0.99</v>
      </c>
      <c r="H3774" t="n">
        <v>4</v>
      </c>
      <c r="I3774" t="n">
        <v>11</v>
      </c>
      <c r="J3774" t="n">
        <v>1</v>
      </c>
      <c r="K3774" t="n">
        <v>0</v>
      </c>
      <c r="L3774" t="n">
        <v>19922</v>
      </c>
      <c r="M3774" t="n">
        <v>25000</v>
      </c>
      <c r="N3774" t="n">
        <v>33</v>
      </c>
      <c r="O3774" t="n">
        <v>0.33</v>
      </c>
      <c r="P3774" t="n">
        <v>1</v>
      </c>
      <c r="Q3774" t="n">
        <v>0.02</v>
      </c>
      <c r="R3774" t="n">
        <v>1</v>
      </c>
      <c r="S3774" t="n">
        <v>2392.5</v>
      </c>
      <c r="T3774" t="n">
        <v>11</v>
      </c>
      <c r="U3774" t="n">
        <v>12</v>
      </c>
      <c r="V3774" t="n">
        <v>30</v>
      </c>
      <c r="W3774" t="n">
        <v>3</v>
      </c>
      <c r="X3774" t="n">
        <v>41.79728317659352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11168</v>
      </c>
      <c r="AG3774" t="n">
        <v>54</v>
      </c>
      <c r="AH3774" t="inlineStr">
        <is>
          <t>PT. MIRANTI ADILLHA - PPN (PDG)</t>
        </is>
      </c>
      <c r="AI3774" t="n">
        <v>1375</v>
      </c>
      <c r="AJ3774" t="inlineStr">
        <is>
          <t>SANIYE</t>
        </is>
      </c>
      <c r="AK3774" t="n">
        <v>9</v>
      </c>
      <c r="AL3774" t="inlineStr">
        <is>
          <t>Miss Glam Jambi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SANIYE</t>
        </is>
      </c>
      <c r="B3775" s="2">
        <f>"20101114218"</f>
        <v/>
      </c>
      <c r="C3775" t="inlineStr">
        <is>
          <t>SANIYE Beauty Glow Highlighter E0155#04 10gr</t>
        </is>
      </c>
      <c r="D3775" t="inlineStr">
        <is>
          <t>Miss Glam Jambi</t>
        </is>
      </c>
      <c r="E3775" t="n">
        <v>8</v>
      </c>
      <c r="F3775" t="n">
        <v>0.1518</v>
      </c>
      <c r="G3775" t="n">
        <v>0.66</v>
      </c>
      <c r="H3775" t="n">
        <v>4</v>
      </c>
      <c r="I3775" t="n">
        <v>11</v>
      </c>
      <c r="J3775" t="n">
        <v>1</v>
      </c>
      <c r="K3775" t="n">
        <v>0</v>
      </c>
      <c r="L3775" t="n">
        <v>19922</v>
      </c>
      <c r="M3775" t="n">
        <v>25000</v>
      </c>
      <c r="N3775" t="n">
        <v>33</v>
      </c>
      <c r="O3775" t="n">
        <v>0.33</v>
      </c>
      <c r="P3775" t="n">
        <v>1</v>
      </c>
      <c r="Q3775" t="n">
        <v>0.15</v>
      </c>
      <c r="R3775" t="n">
        <v>2</v>
      </c>
      <c r="S3775" t="n">
        <v>3795</v>
      </c>
      <c r="T3775" t="n">
        <v>7</v>
      </c>
      <c r="U3775" t="n">
        <v>8</v>
      </c>
      <c r="V3775" t="n">
        <v>30</v>
      </c>
      <c r="W3775" t="n">
        <v>5</v>
      </c>
      <c r="X3775" t="n">
        <v>52.70092226613965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11168</v>
      </c>
      <c r="AG3775" t="n">
        <v>54</v>
      </c>
      <c r="AH3775" t="inlineStr">
        <is>
          <t>PT. MIRANTI ADILLHA - PPN (PDG)</t>
        </is>
      </c>
      <c r="AI3775" t="n">
        <v>1375</v>
      </c>
      <c r="AJ3775" t="inlineStr">
        <is>
          <t>SANIYE</t>
        </is>
      </c>
      <c r="AK3775" t="n">
        <v>9</v>
      </c>
      <c r="AL3775" t="inlineStr">
        <is>
          <t>Miss Glam Jambi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SANIYE</t>
        </is>
      </c>
      <c r="B3776" s="2">
        <f>"6956784142358"</f>
        <v/>
      </c>
      <c r="C3776" t="inlineStr">
        <is>
          <t>SANIYE Beauty Glow Highligter E0155</t>
        </is>
      </c>
      <c r="D3776" t="inlineStr">
        <is>
          <t>Miss Glam Jambi</t>
        </is>
      </c>
      <c r="E3776" t="n">
        <v>5</v>
      </c>
      <c r="F3776" t="n">
        <v>0.1848</v>
      </c>
      <c r="G3776" t="n">
        <v>0.99</v>
      </c>
      <c r="H3776" t="n">
        <v>4</v>
      </c>
      <c r="I3776" t="n">
        <v>11</v>
      </c>
      <c r="J3776" t="n">
        <v>3</v>
      </c>
      <c r="K3776" t="n">
        <v>3</v>
      </c>
      <c r="L3776" t="n">
        <v>19922</v>
      </c>
      <c r="M3776" t="n">
        <v>25000</v>
      </c>
      <c r="N3776" t="n">
        <v>33</v>
      </c>
      <c r="O3776" t="n">
        <v>0.33</v>
      </c>
      <c r="P3776" t="n">
        <v>1</v>
      </c>
      <c r="Q3776" t="n">
        <v>0.1</v>
      </c>
      <c r="R3776" t="n">
        <v>1</v>
      </c>
      <c r="S3776" t="n">
        <v>4620.000000000001</v>
      </c>
      <c r="T3776" t="n">
        <v>11</v>
      </c>
      <c r="U3776" t="n">
        <v>12</v>
      </c>
      <c r="V3776" t="n">
        <v>30</v>
      </c>
      <c r="W3776" t="n">
        <v>6</v>
      </c>
      <c r="X3776" t="n">
        <v>27.05627705627705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11168</v>
      </c>
      <c r="AG3776" t="n">
        <v>54</v>
      </c>
      <c r="AH3776" t="inlineStr">
        <is>
          <t>PT. MIRANTI ADILLHA - PPN (PDG)</t>
        </is>
      </c>
      <c r="AI3776" t="n">
        <v>1375</v>
      </c>
      <c r="AJ3776" t="inlineStr">
        <is>
          <t>SANIYE</t>
        </is>
      </c>
      <c r="AK3776" t="n">
        <v>9</v>
      </c>
      <c r="AL3776" t="inlineStr">
        <is>
          <t>Miss Glam Jambi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SANIYE</t>
        </is>
      </c>
      <c r="B3777" s="2">
        <f>"20100968346"</f>
        <v/>
      </c>
      <c r="C3777" t="inlineStr">
        <is>
          <t>SANIYE Blush On Creamy 02 SN R1295</t>
        </is>
      </c>
      <c r="D3777" t="inlineStr">
        <is>
          <t>Miss Glam Jambi</t>
        </is>
      </c>
      <c r="E3777" t="n">
        <v>2</v>
      </c>
      <c r="F3777" t="n">
        <v>0.08</v>
      </c>
      <c r="G3777" t="n">
        <v>2</v>
      </c>
      <c r="H3777" t="n">
        <v>4</v>
      </c>
      <c r="I3777" t="n">
        <v>11</v>
      </c>
      <c r="J3777" t="n">
        <v>1</v>
      </c>
      <c r="K3777" t="n">
        <v>1</v>
      </c>
      <c r="L3777" t="n">
        <v>22320</v>
      </c>
      <c r="M3777" t="n">
        <v>28000</v>
      </c>
      <c r="N3777" t="n">
        <v>33</v>
      </c>
      <c r="O3777" t="n">
        <v>0.33</v>
      </c>
      <c r="P3777" t="n">
        <v>0</v>
      </c>
      <c r="Q3777" t="n">
        <v>0.08</v>
      </c>
      <c r="R3777" t="n">
        <v>2</v>
      </c>
      <c r="S3777" t="n">
        <v>2240</v>
      </c>
      <c r="T3777" t="n">
        <v>22</v>
      </c>
      <c r="U3777" t="n">
        <v>23</v>
      </c>
      <c r="V3777" t="n">
        <v>30</v>
      </c>
      <c r="W3777" t="n">
        <v>3</v>
      </c>
      <c r="X3777" t="n">
        <v>25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11168</v>
      </c>
      <c r="AG3777" t="n">
        <v>54</v>
      </c>
      <c r="AH3777" t="inlineStr">
        <is>
          <t>PT. MIRANTI ADILLHA - PPN (PDG)</t>
        </is>
      </c>
      <c r="AI3777" t="n">
        <v>1375</v>
      </c>
      <c r="AJ3777" t="inlineStr">
        <is>
          <t>SANIYE</t>
        </is>
      </c>
      <c r="AK3777" t="n">
        <v>9</v>
      </c>
      <c r="AL3777" t="inlineStr">
        <is>
          <t>Miss Glam Jambi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SANIYE</t>
        </is>
      </c>
      <c r="B3778" s="2">
        <f>"20100968416"</f>
        <v/>
      </c>
      <c r="C3778" t="inlineStr">
        <is>
          <t>SANIYE Blush On Creamy 04 SN R1295</t>
        </is>
      </c>
      <c r="D3778" t="inlineStr">
        <is>
          <t>Miss Glam Jambi</t>
        </is>
      </c>
      <c r="E3778" t="n">
        <v>5</v>
      </c>
      <c r="F3778" t="n">
        <v>0.006600000000000001</v>
      </c>
      <c r="G3778" t="n">
        <v>0.33</v>
      </c>
      <c r="H3778" t="n">
        <v>4</v>
      </c>
      <c r="I3778" t="n">
        <v>11</v>
      </c>
      <c r="J3778" t="n">
        <v>1</v>
      </c>
      <c r="K3778" t="n">
        <v>0</v>
      </c>
      <c r="L3778" t="n">
        <v>22320</v>
      </c>
      <c r="M3778" t="n">
        <v>28000</v>
      </c>
      <c r="N3778" t="n">
        <v>33</v>
      </c>
      <c r="O3778" t="n">
        <v>0.33</v>
      </c>
      <c r="P3778" t="n">
        <v>1</v>
      </c>
      <c r="Q3778" t="n">
        <v>0.02</v>
      </c>
      <c r="R3778" t="n">
        <v>1</v>
      </c>
      <c r="S3778" t="n">
        <v>184.8</v>
      </c>
      <c r="T3778" t="n">
        <v>4</v>
      </c>
      <c r="U3778" t="n">
        <v>5</v>
      </c>
      <c r="V3778" t="n">
        <v>30</v>
      </c>
      <c r="W3778" t="n">
        <v>1</v>
      </c>
      <c r="X3778" t="n">
        <v>757.5757575757575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11168</v>
      </c>
      <c r="AG3778" t="n">
        <v>54</v>
      </c>
      <c r="AH3778" t="inlineStr">
        <is>
          <t>PT. MIRANTI ADILLHA - PPN (PDG)</t>
        </is>
      </c>
      <c r="AI3778" t="n">
        <v>1375</v>
      </c>
      <c r="AJ3778" t="inlineStr">
        <is>
          <t>SANIYE</t>
        </is>
      </c>
      <c r="AK3778" t="n">
        <v>9</v>
      </c>
      <c r="AL3778" t="inlineStr">
        <is>
          <t>Miss Glam Jambi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SANIYE</t>
        </is>
      </c>
      <c r="B3779" s="2">
        <f>"20100964917"</f>
        <v/>
      </c>
      <c r="C3779" t="inlineStr">
        <is>
          <t>SANIYE Blush On R1299#1 8ml</t>
        </is>
      </c>
      <c r="D3779" t="inlineStr">
        <is>
          <t>Miss Glam Jambi</t>
        </is>
      </c>
      <c r="E3779" t="n">
        <v>9</v>
      </c>
      <c r="F3779" t="n">
        <v>0.2508</v>
      </c>
      <c r="G3779" t="n">
        <v>0.99</v>
      </c>
      <c r="H3779" t="n">
        <v>4</v>
      </c>
      <c r="I3779" t="n">
        <v>11</v>
      </c>
      <c r="J3779" t="n">
        <v>1</v>
      </c>
      <c r="K3779" t="n">
        <v>0</v>
      </c>
      <c r="L3779" t="n">
        <v>19120</v>
      </c>
      <c r="M3779" t="n">
        <v>24000</v>
      </c>
      <c r="N3779" t="n">
        <v>33</v>
      </c>
      <c r="O3779" t="n">
        <v>0.33</v>
      </c>
      <c r="P3779" t="n">
        <v>1</v>
      </c>
      <c r="Q3779" t="n">
        <v>0.05</v>
      </c>
      <c r="R3779" t="n">
        <v>1</v>
      </c>
      <c r="S3779" t="n">
        <v>6019.200000000001</v>
      </c>
      <c r="T3779" t="n">
        <v>10</v>
      </c>
      <c r="U3779" t="n">
        <v>12</v>
      </c>
      <c r="V3779" t="n">
        <v>30</v>
      </c>
      <c r="W3779" t="n">
        <v>8</v>
      </c>
      <c r="X3779" t="n">
        <v>35.88516746411483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11168</v>
      </c>
      <c r="AG3779" t="n">
        <v>54</v>
      </c>
      <c r="AH3779" t="inlineStr">
        <is>
          <t>PT. MIRANTI ADILLHA - PPN (PDG)</t>
        </is>
      </c>
      <c r="AI3779" t="n">
        <v>1375</v>
      </c>
      <c r="AJ3779" t="inlineStr">
        <is>
          <t>SANIYE</t>
        </is>
      </c>
      <c r="AK3779" t="n">
        <v>9</v>
      </c>
      <c r="AL3779" t="inlineStr">
        <is>
          <t>Miss Glam Jambi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SANIYE</t>
        </is>
      </c>
      <c r="B3780" s="2">
        <f>"20100965006"</f>
        <v/>
      </c>
      <c r="C3780" t="inlineStr">
        <is>
          <t>SANIYE Blush On R1299#2 8ml</t>
        </is>
      </c>
      <c r="D3780" t="inlineStr">
        <is>
          <t>Miss Glam Jambi</t>
        </is>
      </c>
      <c r="E3780" t="n">
        <v>10</v>
      </c>
      <c r="F3780" t="n">
        <v>0.2475</v>
      </c>
      <c r="G3780" t="n">
        <v>1.32</v>
      </c>
      <c r="H3780" t="n">
        <v>4</v>
      </c>
      <c r="I3780" t="n">
        <v>11</v>
      </c>
      <c r="J3780" t="n">
        <v>1</v>
      </c>
      <c r="K3780" t="n">
        <v>0</v>
      </c>
      <c r="L3780" t="n">
        <v>19120</v>
      </c>
      <c r="M3780" t="n">
        <v>24000</v>
      </c>
      <c r="N3780" t="n">
        <v>33</v>
      </c>
      <c r="O3780" t="n">
        <v>0.33</v>
      </c>
      <c r="P3780" t="n">
        <v>1</v>
      </c>
      <c r="Q3780" t="n">
        <v>0.08</v>
      </c>
      <c r="R3780" t="n">
        <v>1</v>
      </c>
      <c r="S3780" t="n">
        <v>5940</v>
      </c>
      <c r="T3780" t="n">
        <v>14</v>
      </c>
      <c r="U3780" t="n">
        <v>15</v>
      </c>
      <c r="V3780" t="n">
        <v>30</v>
      </c>
      <c r="W3780" t="n">
        <v>8</v>
      </c>
      <c r="X3780" t="n">
        <v>40.4040404040404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11168</v>
      </c>
      <c r="AG3780" t="n">
        <v>54</v>
      </c>
      <c r="AH3780" t="inlineStr">
        <is>
          <t>PT. MIRANTI ADILLHA - PPN (PDG)</t>
        </is>
      </c>
      <c r="AI3780" t="n">
        <v>1375</v>
      </c>
      <c r="AJ3780" t="inlineStr">
        <is>
          <t>SANIYE</t>
        </is>
      </c>
      <c r="AK3780" t="n">
        <v>9</v>
      </c>
      <c r="AL3780" t="inlineStr">
        <is>
          <t>Miss Glam Jambi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SANIYE</t>
        </is>
      </c>
      <c r="B3781" s="2">
        <f>"20100965149"</f>
        <v/>
      </c>
      <c r="C3781" t="inlineStr">
        <is>
          <t>SANIYE Blush On R1299#3 8ml</t>
        </is>
      </c>
      <c r="D3781" t="inlineStr">
        <is>
          <t>Miss Glam Jambi</t>
        </is>
      </c>
      <c r="E3781" t="n">
        <v>3</v>
      </c>
      <c r="F3781" t="n">
        <v>0.1221</v>
      </c>
      <c r="G3781" t="n">
        <v>0.66</v>
      </c>
      <c r="H3781" t="n">
        <v>4</v>
      </c>
      <c r="I3781" t="n">
        <v>11</v>
      </c>
      <c r="J3781" t="n">
        <v>1</v>
      </c>
      <c r="K3781" t="n">
        <v>0</v>
      </c>
      <c r="L3781" t="n">
        <v>19120</v>
      </c>
      <c r="M3781" t="n">
        <v>24000</v>
      </c>
      <c r="N3781" t="n">
        <v>33</v>
      </c>
      <c r="O3781" t="n">
        <v>0.33</v>
      </c>
      <c r="P3781" t="n">
        <v>1</v>
      </c>
      <c r="Q3781" t="n">
        <v>0.14</v>
      </c>
      <c r="R3781" t="n">
        <v>1</v>
      </c>
      <c r="S3781" t="n">
        <v>2930.4</v>
      </c>
      <c r="T3781" t="n">
        <v>7</v>
      </c>
      <c r="U3781" t="n">
        <v>8</v>
      </c>
      <c r="V3781" t="n">
        <v>30</v>
      </c>
      <c r="W3781" t="n">
        <v>4</v>
      </c>
      <c r="X3781" t="n">
        <v>24.57002457002457</v>
      </c>
      <c r="Y3781" t="n">
        <v>1</v>
      </c>
      <c r="Z3781" t="n">
        <v>1</v>
      </c>
      <c r="AA3781" t="n">
        <v>0</v>
      </c>
      <c r="AB3781" t="n">
        <v>1</v>
      </c>
      <c r="AC3781" t="n">
        <v>1</v>
      </c>
      <c r="AD3781" t="n">
        <v>0</v>
      </c>
      <c r="AE3781" t="n">
        <v>19120</v>
      </c>
      <c r="AF3781" t="n">
        <v>11168</v>
      </c>
      <c r="AG3781" t="n">
        <v>54</v>
      </c>
      <c r="AH3781" t="inlineStr">
        <is>
          <t>PT. MIRANTI ADILLHA - PPN (PDG)</t>
        </is>
      </c>
      <c r="AI3781" t="n">
        <v>1375</v>
      </c>
      <c r="AJ3781" t="inlineStr">
        <is>
          <t>SANIYE</t>
        </is>
      </c>
      <c r="AK3781" t="n">
        <v>9</v>
      </c>
      <c r="AL3781" t="inlineStr">
        <is>
          <t>Miss Glam Jambi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SANIYE</t>
        </is>
      </c>
      <c r="B3782" s="2">
        <f>"20100965253"</f>
        <v/>
      </c>
      <c r="C3782" t="inlineStr">
        <is>
          <t>SANIYE Blush On R1299#4 8ml</t>
        </is>
      </c>
      <c r="D3782" t="inlineStr">
        <is>
          <t>Miss Glam Jambi</t>
        </is>
      </c>
      <c r="E3782" t="n">
        <v>10</v>
      </c>
      <c r="F3782" t="n">
        <v>0.1122</v>
      </c>
      <c r="G3782" t="n">
        <v>0.66</v>
      </c>
      <c r="H3782" t="n">
        <v>4</v>
      </c>
      <c r="I3782" t="n">
        <v>11</v>
      </c>
      <c r="J3782" t="n">
        <v>1</v>
      </c>
      <c r="K3782" t="n">
        <v>0</v>
      </c>
      <c r="L3782" t="n">
        <v>19120</v>
      </c>
      <c r="M3782" t="n">
        <v>24000</v>
      </c>
      <c r="N3782" t="n">
        <v>33</v>
      </c>
      <c r="O3782" t="n">
        <v>0.33</v>
      </c>
      <c r="P3782" t="n">
        <v>1</v>
      </c>
      <c r="Q3782" t="n">
        <v>0.08</v>
      </c>
      <c r="R3782" t="n">
        <v>1</v>
      </c>
      <c r="S3782" t="n">
        <v>2692.8</v>
      </c>
      <c r="T3782" t="n">
        <v>7</v>
      </c>
      <c r="U3782" t="n">
        <v>8</v>
      </c>
      <c r="V3782" t="n">
        <v>30</v>
      </c>
      <c r="W3782" t="n">
        <v>4</v>
      </c>
      <c r="X3782" t="n">
        <v>89.12655971479501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11168</v>
      </c>
      <c r="AG3782" t="n">
        <v>54</v>
      </c>
      <c r="AH3782" t="inlineStr">
        <is>
          <t>PT. MIRANTI ADILLHA - PPN (PDG)</t>
        </is>
      </c>
      <c r="AI3782" t="n">
        <v>1375</v>
      </c>
      <c r="AJ3782" t="inlineStr">
        <is>
          <t>SANIYE</t>
        </is>
      </c>
      <c r="AK3782" t="n">
        <v>9</v>
      </c>
      <c r="AL3782" t="inlineStr">
        <is>
          <t>Miss Glam Jambi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SANIYE</t>
        </is>
      </c>
      <c r="B3783" s="2">
        <f>"20100965336"</f>
        <v/>
      </c>
      <c r="C3783" t="inlineStr">
        <is>
          <t>SANIYE Blush On R1299#5 8ml</t>
        </is>
      </c>
      <c r="D3783" t="inlineStr">
        <is>
          <t>Miss Glam Jambi</t>
        </is>
      </c>
      <c r="E3783" t="n">
        <v>12</v>
      </c>
      <c r="F3783" t="n">
        <v>0.1848</v>
      </c>
      <c r="G3783" t="n">
        <v>0.99</v>
      </c>
      <c r="H3783" t="n">
        <v>4</v>
      </c>
      <c r="I3783" t="n">
        <v>11</v>
      </c>
      <c r="J3783" t="n">
        <v>1</v>
      </c>
      <c r="K3783" t="n">
        <v>0</v>
      </c>
      <c r="L3783" t="n">
        <v>19120</v>
      </c>
      <c r="M3783" t="n">
        <v>24000</v>
      </c>
      <c r="N3783" t="n">
        <v>33</v>
      </c>
      <c r="O3783" t="n">
        <v>0.33</v>
      </c>
      <c r="P3783" t="n">
        <v>1</v>
      </c>
      <c r="Q3783" t="n">
        <v>0.1</v>
      </c>
      <c r="R3783" t="n">
        <v>1</v>
      </c>
      <c r="S3783" t="n">
        <v>4435.200000000001</v>
      </c>
      <c r="T3783" t="n">
        <v>11</v>
      </c>
      <c r="U3783" t="n">
        <v>12</v>
      </c>
      <c r="V3783" t="n">
        <v>30</v>
      </c>
      <c r="W3783" t="n">
        <v>6</v>
      </c>
      <c r="X3783" t="n">
        <v>64.93506493506493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11168</v>
      </c>
      <c r="AG3783" t="n">
        <v>54</v>
      </c>
      <c r="AH3783" t="inlineStr">
        <is>
          <t>PT. MIRANTI ADILLHA - PPN (PDG)</t>
        </is>
      </c>
      <c r="AI3783" t="n">
        <v>1375</v>
      </c>
      <c r="AJ3783" t="inlineStr">
        <is>
          <t>SANIYE</t>
        </is>
      </c>
      <c r="AK3783" t="n">
        <v>9</v>
      </c>
      <c r="AL3783" t="inlineStr">
        <is>
          <t>Miss Glam Jambi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SANIYE</t>
        </is>
      </c>
      <c r="B3784" s="2">
        <f>"20100965402"</f>
        <v/>
      </c>
      <c r="C3784" t="inlineStr">
        <is>
          <t>SANIYE Blush On R1299#6 8ml</t>
        </is>
      </c>
      <c r="D3784" t="inlineStr">
        <is>
          <t>Miss Glam Jambi</t>
        </is>
      </c>
      <c r="E3784" t="n">
        <v>3</v>
      </c>
      <c r="F3784" t="n">
        <v>0.3036</v>
      </c>
      <c r="G3784" t="n">
        <v>1.65</v>
      </c>
      <c r="H3784" t="n">
        <v>4</v>
      </c>
      <c r="I3784" t="n">
        <v>11</v>
      </c>
      <c r="J3784" t="n">
        <v>1</v>
      </c>
      <c r="K3784" t="n">
        <v>6</v>
      </c>
      <c r="L3784" t="n">
        <v>19120</v>
      </c>
      <c r="M3784" t="n">
        <v>24000</v>
      </c>
      <c r="N3784" t="n">
        <v>33</v>
      </c>
      <c r="O3784" t="n">
        <v>0.33</v>
      </c>
      <c r="P3784" t="n">
        <v>1</v>
      </c>
      <c r="Q3784" t="n">
        <v>0.03</v>
      </c>
      <c r="R3784" t="n">
        <v>1</v>
      </c>
      <c r="S3784" t="n">
        <v>7286.400000000001</v>
      </c>
      <c r="T3784" t="n">
        <v>17</v>
      </c>
      <c r="U3784" t="n">
        <v>19</v>
      </c>
      <c r="V3784" t="n">
        <v>30</v>
      </c>
      <c r="W3784" t="n">
        <v>10</v>
      </c>
      <c r="X3784" t="n">
        <v>9.881422924901184</v>
      </c>
      <c r="Y3784" t="n">
        <v>1</v>
      </c>
      <c r="Z3784" t="n">
        <v>1</v>
      </c>
      <c r="AA3784" t="n">
        <v>0</v>
      </c>
      <c r="AB3784" t="n">
        <v>1</v>
      </c>
      <c r="AC3784" t="n">
        <v>1</v>
      </c>
      <c r="AD3784" t="n">
        <v>0</v>
      </c>
      <c r="AE3784" t="n">
        <v>19120</v>
      </c>
      <c r="AF3784" t="n">
        <v>11168</v>
      </c>
      <c r="AG3784" t="n">
        <v>54</v>
      </c>
      <c r="AH3784" t="inlineStr">
        <is>
          <t>PT. MIRANTI ADILLHA - PPN (PDG)</t>
        </is>
      </c>
      <c r="AI3784" t="n">
        <v>1375</v>
      </c>
      <c r="AJ3784" t="inlineStr">
        <is>
          <t>SANIYE</t>
        </is>
      </c>
      <c r="AK3784" t="n">
        <v>9</v>
      </c>
      <c r="AL3784" t="inlineStr">
        <is>
          <t>Miss Glam Jambi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SANIYE</t>
        </is>
      </c>
      <c r="B3785" s="2">
        <f>"6956784142259"</f>
        <v/>
      </c>
      <c r="C3785" t="inlineStr">
        <is>
          <t>SANIYE Cheek Blushed Matte</t>
        </is>
      </c>
      <c r="D3785" t="inlineStr">
        <is>
          <t>Miss Glam Jambi</t>
        </is>
      </c>
      <c r="E3785" t="n">
        <v>5</v>
      </c>
      <c r="F3785" t="n">
        <v>0.02</v>
      </c>
      <c r="G3785" t="n">
        <v>1</v>
      </c>
      <c r="H3785" t="n">
        <v>4</v>
      </c>
      <c r="I3785" t="n">
        <v>11</v>
      </c>
      <c r="J3785" t="n">
        <v>3</v>
      </c>
      <c r="K3785" t="n">
        <v>0</v>
      </c>
      <c r="L3785" t="n">
        <v>15123</v>
      </c>
      <c r="M3785" t="n">
        <v>25000</v>
      </c>
      <c r="N3785" t="n">
        <v>33</v>
      </c>
      <c r="O3785" t="n">
        <v>0.33</v>
      </c>
      <c r="P3785" t="n">
        <v>0</v>
      </c>
      <c r="Q3785" t="n">
        <v>0.02</v>
      </c>
      <c r="R3785" t="n">
        <v>1</v>
      </c>
      <c r="S3785" t="n">
        <v>500</v>
      </c>
      <c r="T3785" t="n">
        <v>11</v>
      </c>
      <c r="U3785" t="n">
        <v>12</v>
      </c>
      <c r="V3785" t="n">
        <v>30</v>
      </c>
      <c r="W3785" t="n">
        <v>1</v>
      </c>
      <c r="X3785" t="n">
        <v>250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11168</v>
      </c>
      <c r="AG3785" t="n">
        <v>54</v>
      </c>
      <c r="AH3785" t="inlineStr">
        <is>
          <t>PT. MIRANTI ADILLHA - PPN (PDG)</t>
        </is>
      </c>
      <c r="AI3785" t="n">
        <v>1375</v>
      </c>
      <c r="AJ3785" t="inlineStr">
        <is>
          <t>SANIYE</t>
        </is>
      </c>
      <c r="AK3785" t="n">
        <v>9</v>
      </c>
      <c r="AL3785" t="inlineStr">
        <is>
          <t>Miss Glam Jambi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SANIYE</t>
        </is>
      </c>
      <c r="B3786" s="2">
        <f>"20100968031"</f>
        <v/>
      </c>
      <c r="C3786" t="inlineStr">
        <is>
          <t>SANIYE Cream Blush R1295 #01 2.3gr</t>
        </is>
      </c>
      <c r="D3786" t="inlineStr">
        <is>
          <t>Miss Glam Jambi</t>
        </is>
      </c>
      <c r="E3786" t="n">
        <v>5</v>
      </c>
      <c r="F3786" t="n">
        <v>0.02</v>
      </c>
      <c r="G3786" t="n">
        <v>1</v>
      </c>
      <c r="H3786" t="n">
        <v>4</v>
      </c>
      <c r="I3786" t="n">
        <v>11</v>
      </c>
      <c r="J3786" t="n">
        <v>1</v>
      </c>
      <c r="K3786" t="n">
        <v>0</v>
      </c>
      <c r="L3786" t="n">
        <v>22320</v>
      </c>
      <c r="M3786" t="n">
        <v>28000</v>
      </c>
      <c r="N3786" t="n">
        <v>33</v>
      </c>
      <c r="O3786" t="n">
        <v>0.33</v>
      </c>
      <c r="P3786" t="n">
        <v>0</v>
      </c>
      <c r="Q3786" t="n">
        <v>0.02</v>
      </c>
      <c r="R3786" t="n">
        <v>1</v>
      </c>
      <c r="S3786" t="n">
        <v>560</v>
      </c>
      <c r="T3786" t="n">
        <v>11</v>
      </c>
      <c r="U3786" t="n">
        <v>12</v>
      </c>
      <c r="V3786" t="n">
        <v>30</v>
      </c>
      <c r="W3786" t="n">
        <v>1</v>
      </c>
      <c r="X3786" t="n">
        <v>250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11168</v>
      </c>
      <c r="AG3786" t="n">
        <v>54</v>
      </c>
      <c r="AH3786" t="inlineStr">
        <is>
          <t>PT. MIRANTI ADILLHA - PPN (PDG)</t>
        </is>
      </c>
      <c r="AI3786" t="n">
        <v>1375</v>
      </c>
      <c r="AJ3786" t="inlineStr">
        <is>
          <t>SANIYE</t>
        </is>
      </c>
      <c r="AK3786" t="n">
        <v>9</v>
      </c>
      <c r="AL3786" t="inlineStr">
        <is>
          <t>Miss Glam Jambi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SANIYE</t>
        </is>
      </c>
      <c r="B3787" s="2">
        <f>"20100968136"</f>
        <v/>
      </c>
      <c r="C3787" t="inlineStr">
        <is>
          <t>SANIYE Cream Blush R1295 #03 2.3gr</t>
        </is>
      </c>
      <c r="D3787" t="inlineStr">
        <is>
          <t>Miss Glam Jambi</t>
        </is>
      </c>
      <c r="E3787" t="n">
        <v>4</v>
      </c>
      <c r="F3787" t="n">
        <v>0.02</v>
      </c>
      <c r="G3787" t="n">
        <v>1</v>
      </c>
      <c r="H3787" t="n">
        <v>4</v>
      </c>
      <c r="I3787" t="n">
        <v>11</v>
      </c>
      <c r="J3787" t="n">
        <v>1</v>
      </c>
      <c r="K3787" t="n">
        <v>0</v>
      </c>
      <c r="L3787" t="n">
        <v>22320</v>
      </c>
      <c r="M3787" t="n">
        <v>28000</v>
      </c>
      <c r="N3787" t="n">
        <v>33</v>
      </c>
      <c r="O3787" t="n">
        <v>0.33</v>
      </c>
      <c r="P3787" t="n">
        <v>0</v>
      </c>
      <c r="Q3787" t="n">
        <v>0.02</v>
      </c>
      <c r="R3787" t="n">
        <v>1</v>
      </c>
      <c r="S3787" t="n">
        <v>560</v>
      </c>
      <c r="T3787" t="n">
        <v>11</v>
      </c>
      <c r="U3787" t="n">
        <v>12</v>
      </c>
      <c r="V3787" t="n">
        <v>30</v>
      </c>
      <c r="W3787" t="n">
        <v>1</v>
      </c>
      <c r="X3787" t="n">
        <v>200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11168</v>
      </c>
      <c r="AG3787" t="n">
        <v>54</v>
      </c>
      <c r="AH3787" t="inlineStr">
        <is>
          <t>PT. MIRANTI ADILLHA - PPN (PDG)</t>
        </is>
      </c>
      <c r="AI3787" t="n">
        <v>1375</v>
      </c>
      <c r="AJ3787" t="inlineStr">
        <is>
          <t>SANIYE</t>
        </is>
      </c>
      <c r="AK3787" t="n">
        <v>9</v>
      </c>
      <c r="AL3787" t="inlineStr">
        <is>
          <t>Miss Glam Jambi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SANIYE</t>
        </is>
      </c>
      <c r="B3788" s="2">
        <f>"6956784118735"</f>
        <v/>
      </c>
      <c r="C3788" t="inlineStr">
        <is>
          <t>SANIYE Eyeshadow Brush A101 #02</t>
        </is>
      </c>
      <c r="D3788" t="inlineStr">
        <is>
          <t>Miss Glam Jambi</t>
        </is>
      </c>
      <c r="E3788" t="n">
        <v>6</v>
      </c>
      <c r="F3788" t="n">
        <v>0.7722</v>
      </c>
      <c r="G3788" t="n">
        <v>2.31</v>
      </c>
      <c r="H3788" t="n">
        <v>4</v>
      </c>
      <c r="I3788" t="n">
        <v>11</v>
      </c>
      <c r="J3788" t="n">
        <v>3</v>
      </c>
      <c r="K3788" t="n">
        <v>15</v>
      </c>
      <c r="L3788" t="n">
        <v>9519</v>
      </c>
      <c r="M3788" t="n">
        <v>12000</v>
      </c>
      <c r="N3788" t="n">
        <v>33</v>
      </c>
      <c r="O3788" t="n">
        <v>0.33</v>
      </c>
      <c r="P3788" t="n">
        <v>1</v>
      </c>
      <c r="Q3788" t="n">
        <v>0.1</v>
      </c>
      <c r="R3788" t="n">
        <v>2</v>
      </c>
      <c r="S3788" t="n">
        <v>9266.4</v>
      </c>
      <c r="T3788" t="n">
        <v>23</v>
      </c>
      <c r="U3788" t="n">
        <v>27</v>
      </c>
      <c r="V3788" t="n">
        <v>30</v>
      </c>
      <c r="W3788" t="n">
        <v>24</v>
      </c>
      <c r="X3788" t="n">
        <v>7.77000777000777</v>
      </c>
      <c r="Y3788" t="n">
        <v>1</v>
      </c>
      <c r="Z3788" t="n">
        <v>3</v>
      </c>
      <c r="AA3788" t="n">
        <v>2</v>
      </c>
      <c r="AB3788" t="n">
        <v>1</v>
      </c>
      <c r="AC3788" t="n">
        <v>3</v>
      </c>
      <c r="AD3788" t="n">
        <v>19038</v>
      </c>
      <c r="AE3788" t="n">
        <v>28557</v>
      </c>
      <c r="AF3788" t="n">
        <v>11168</v>
      </c>
      <c r="AG3788" t="n">
        <v>54</v>
      </c>
      <c r="AH3788" t="inlineStr">
        <is>
          <t>PT. MIRANTI ADILLHA - PPN (PDG)</t>
        </is>
      </c>
      <c r="AI3788" t="n">
        <v>1375</v>
      </c>
      <c r="AJ3788" t="inlineStr">
        <is>
          <t>SANIYE</t>
        </is>
      </c>
      <c r="AK3788" t="n">
        <v>9</v>
      </c>
      <c r="AL3788" t="inlineStr">
        <is>
          <t>Miss Glam Jambi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SANIYE</t>
        </is>
      </c>
      <c r="B3789" s="2">
        <f>"6956784142525"</f>
        <v/>
      </c>
      <c r="C3789" t="inlineStr">
        <is>
          <t>SANIYE Eyeshadow E0435#1 29gr</t>
        </is>
      </c>
      <c r="D3789" t="inlineStr">
        <is>
          <t>Miss Glam Jambi</t>
        </is>
      </c>
      <c r="E3789" t="n">
        <v>3</v>
      </c>
      <c r="F3789" t="n">
        <v>0.05</v>
      </c>
      <c r="G3789" t="n">
        <v>1</v>
      </c>
      <c r="H3789" t="n">
        <v>4</v>
      </c>
      <c r="I3789" t="n">
        <v>11</v>
      </c>
      <c r="J3789" t="n">
        <v>3</v>
      </c>
      <c r="K3789" t="n">
        <v>0</v>
      </c>
      <c r="L3789" t="n">
        <v>18319</v>
      </c>
      <c r="M3789" t="n">
        <v>23000</v>
      </c>
      <c r="N3789" t="n">
        <v>33</v>
      </c>
      <c r="O3789" t="n">
        <v>0.33</v>
      </c>
      <c r="P3789" t="n">
        <v>0</v>
      </c>
      <c r="Q3789" t="n">
        <v>0.05</v>
      </c>
      <c r="R3789" t="n">
        <v>1</v>
      </c>
      <c r="S3789" t="n">
        <v>1150</v>
      </c>
      <c r="T3789" t="n">
        <v>11</v>
      </c>
      <c r="U3789" t="n">
        <v>12</v>
      </c>
      <c r="V3789" t="n">
        <v>30</v>
      </c>
      <c r="W3789" t="n">
        <v>2</v>
      </c>
      <c r="X3789" t="n">
        <v>60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11168</v>
      </c>
      <c r="AG3789" t="n">
        <v>54</v>
      </c>
      <c r="AH3789" t="inlineStr">
        <is>
          <t>PT. MIRANTI ADILLHA - PPN (PDG)</t>
        </is>
      </c>
      <c r="AI3789" t="n">
        <v>1375</v>
      </c>
      <c r="AJ3789" t="inlineStr">
        <is>
          <t>SANIYE</t>
        </is>
      </c>
      <c r="AK3789" t="n">
        <v>9</v>
      </c>
      <c r="AL3789" t="inlineStr">
        <is>
          <t>Miss Glam Jambi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SANIYE</t>
        </is>
      </c>
      <c r="B3790" s="2">
        <f>"20200569528"</f>
        <v/>
      </c>
      <c r="C3790" t="inlineStr">
        <is>
          <t>SANIYE Eyeshadow E0435#2 12gr</t>
        </is>
      </c>
      <c r="D3790" t="inlineStr">
        <is>
          <t>Miss Glam Jambi</t>
        </is>
      </c>
      <c r="E3790" t="n">
        <v>8</v>
      </c>
      <c r="F3790" t="n">
        <v>0.009900000000000001</v>
      </c>
      <c r="G3790" t="n">
        <v>0.33</v>
      </c>
      <c r="H3790" t="n">
        <v>4</v>
      </c>
      <c r="I3790" t="n">
        <v>11</v>
      </c>
      <c r="J3790" t="n">
        <v>1</v>
      </c>
      <c r="K3790" t="n">
        <v>0</v>
      </c>
      <c r="L3790" t="n">
        <v>18319</v>
      </c>
      <c r="M3790" t="n">
        <v>23000</v>
      </c>
      <c r="N3790" t="n">
        <v>33</v>
      </c>
      <c r="O3790" t="n">
        <v>0.33</v>
      </c>
      <c r="P3790" t="n">
        <v>1</v>
      </c>
      <c r="Q3790" t="n">
        <v>0.24</v>
      </c>
      <c r="R3790" t="n">
        <v>2</v>
      </c>
      <c r="S3790" t="n">
        <v>227.7</v>
      </c>
      <c r="T3790" t="n">
        <v>4</v>
      </c>
      <c r="U3790" t="n">
        <v>5</v>
      </c>
      <c r="V3790" t="n">
        <v>30</v>
      </c>
      <c r="W3790" t="n">
        <v>1</v>
      </c>
      <c r="X3790" t="n">
        <v>808.080808080808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11168</v>
      </c>
      <c r="AG3790" t="n">
        <v>54</v>
      </c>
      <c r="AH3790" t="inlineStr">
        <is>
          <t>PT. MIRANTI ADILLHA - PPN (PDG)</t>
        </is>
      </c>
      <c r="AI3790" t="n">
        <v>1375</v>
      </c>
      <c r="AJ3790" t="inlineStr">
        <is>
          <t>SANIYE</t>
        </is>
      </c>
      <c r="AK3790" t="n">
        <v>9</v>
      </c>
      <c r="AL3790" t="inlineStr">
        <is>
          <t>Miss Glam Jambi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SANIYE</t>
        </is>
      </c>
      <c r="B3791" s="2">
        <f>"6956784142808"</f>
        <v/>
      </c>
      <c r="C3791" t="inlineStr">
        <is>
          <t>SANIYE High Cover Liquid Concealer With Brush R1072-04 10gr</t>
        </is>
      </c>
      <c r="D3791" t="inlineStr">
        <is>
          <t>Miss Glam Jambi</t>
        </is>
      </c>
      <c r="E3791" t="n">
        <v>3</v>
      </c>
      <c r="F3791" t="n">
        <v>0.1947</v>
      </c>
      <c r="G3791" t="n">
        <v>0.99</v>
      </c>
      <c r="H3791" t="n">
        <v>4</v>
      </c>
      <c r="I3791" t="n">
        <v>11</v>
      </c>
      <c r="J3791" t="n">
        <v>3</v>
      </c>
      <c r="K3791" t="n">
        <v>3</v>
      </c>
      <c r="L3791" t="n">
        <v>15922</v>
      </c>
      <c r="M3791" t="n">
        <v>20000</v>
      </c>
      <c r="N3791" t="n">
        <v>33</v>
      </c>
      <c r="O3791" t="n">
        <v>0.33</v>
      </c>
      <c r="P3791" t="n">
        <v>1</v>
      </c>
      <c r="Q3791" t="n">
        <v>0.05</v>
      </c>
      <c r="R3791" t="n">
        <v>1</v>
      </c>
      <c r="S3791" t="n">
        <v>3894</v>
      </c>
      <c r="T3791" t="n">
        <v>11</v>
      </c>
      <c r="U3791" t="n">
        <v>12</v>
      </c>
      <c r="V3791" t="n">
        <v>30</v>
      </c>
      <c r="W3791" t="n">
        <v>6</v>
      </c>
      <c r="X3791" t="n">
        <v>15.40832049306625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11168</v>
      </c>
      <c r="AG3791" t="n">
        <v>54</v>
      </c>
      <c r="AH3791" t="inlineStr">
        <is>
          <t>PT. MIRANTI ADILLHA - PPN (PDG)</t>
        </is>
      </c>
      <c r="AI3791" t="n">
        <v>1375</v>
      </c>
      <c r="AJ3791" t="inlineStr">
        <is>
          <t>SANIYE</t>
        </is>
      </c>
      <c r="AK3791" t="n">
        <v>9</v>
      </c>
      <c r="AL3791" t="inlineStr">
        <is>
          <t>Miss Glam Jambi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SANIYE</t>
        </is>
      </c>
      <c r="B3792" s="2">
        <f>"6956784142815"</f>
        <v/>
      </c>
      <c r="C3792" t="inlineStr">
        <is>
          <t>SANIYE High Cover Liquid Concealer With Brush R1072-10 10gr</t>
        </is>
      </c>
      <c r="D3792" t="inlineStr">
        <is>
          <t>Miss Glam Jambi</t>
        </is>
      </c>
      <c r="E3792" t="n">
        <v>0</v>
      </c>
      <c r="F3792" t="n">
        <v>0.5643</v>
      </c>
      <c r="G3792" t="n">
        <v>1.65</v>
      </c>
      <c r="H3792" t="n">
        <v>4</v>
      </c>
      <c r="I3792" t="n">
        <v>11</v>
      </c>
      <c r="J3792" t="n">
        <v>3</v>
      </c>
      <c r="K3792" t="n">
        <v>10</v>
      </c>
      <c r="L3792" t="n">
        <v>15922</v>
      </c>
      <c r="M3792" t="n">
        <v>20000</v>
      </c>
      <c r="N3792" t="n">
        <v>33</v>
      </c>
      <c r="O3792" t="n">
        <v>0.33</v>
      </c>
      <c r="P3792" t="n">
        <v>1</v>
      </c>
      <c r="Q3792" t="n">
        <v>0.11</v>
      </c>
      <c r="R3792" t="n">
        <v>2</v>
      </c>
      <c r="S3792" t="n">
        <v>11286</v>
      </c>
      <c r="T3792" t="n">
        <v>16</v>
      </c>
      <c r="U3792" t="n">
        <v>19</v>
      </c>
      <c r="V3792" t="n">
        <v>30</v>
      </c>
      <c r="W3792" t="n">
        <v>17</v>
      </c>
      <c r="X3792" t="n">
        <v>0</v>
      </c>
      <c r="Y3792" t="n">
        <v>1</v>
      </c>
      <c r="Z3792" t="n">
        <v>7</v>
      </c>
      <c r="AA3792" t="n">
        <v>6</v>
      </c>
      <c r="AB3792" t="n">
        <v>1</v>
      </c>
      <c r="AC3792" t="n">
        <v>3</v>
      </c>
      <c r="AD3792" t="n">
        <v>95532</v>
      </c>
      <c r="AE3792" t="n">
        <v>47766</v>
      </c>
      <c r="AF3792" t="n">
        <v>11168</v>
      </c>
      <c r="AG3792" t="n">
        <v>54</v>
      </c>
      <c r="AH3792" t="inlineStr">
        <is>
          <t>PT. MIRANTI ADILLHA - PPN (PDG)</t>
        </is>
      </c>
      <c r="AI3792" t="n">
        <v>1375</v>
      </c>
      <c r="AJ3792" t="inlineStr">
        <is>
          <t>SANIYE</t>
        </is>
      </c>
      <c r="AK3792" t="n">
        <v>9</v>
      </c>
      <c r="AL3792" t="inlineStr">
        <is>
          <t>Miss Glam Jambi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SANIYE</t>
        </is>
      </c>
      <c r="B3793" s="2">
        <f>"6956784142822"</f>
        <v/>
      </c>
      <c r="C3793" t="inlineStr">
        <is>
          <t>SANIYE High Cover Liquid Concealer With Brush R1072-12 10gr</t>
        </is>
      </c>
      <c r="D3793" t="inlineStr">
        <is>
          <t>Miss Glam Jambi</t>
        </is>
      </c>
      <c r="E3793" t="n">
        <v>2</v>
      </c>
      <c r="F3793" t="n">
        <v>0.09569999999999999</v>
      </c>
      <c r="G3793" t="n">
        <v>0.99</v>
      </c>
      <c r="H3793" t="n">
        <v>4</v>
      </c>
      <c r="I3793" t="n">
        <v>11</v>
      </c>
      <c r="J3793" t="n">
        <v>3</v>
      </c>
      <c r="K3793" t="n">
        <v>3</v>
      </c>
      <c r="L3793" t="n">
        <v>15922</v>
      </c>
      <c r="M3793" t="n">
        <v>20000</v>
      </c>
      <c r="N3793" t="n">
        <v>33</v>
      </c>
      <c r="O3793" t="n">
        <v>0.33</v>
      </c>
      <c r="P3793" t="n">
        <v>1</v>
      </c>
      <c r="Q3793" t="n">
        <v>0.07000000000000001</v>
      </c>
      <c r="R3793" t="n">
        <v>1</v>
      </c>
      <c r="S3793" t="n">
        <v>1914</v>
      </c>
      <c r="T3793" t="n">
        <v>11</v>
      </c>
      <c r="U3793" t="n">
        <v>12</v>
      </c>
      <c r="V3793" t="n">
        <v>30</v>
      </c>
      <c r="W3793" t="n">
        <v>3</v>
      </c>
      <c r="X3793" t="n">
        <v>20.89864158829676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11168</v>
      </c>
      <c r="AG3793" t="n">
        <v>54</v>
      </c>
      <c r="AH3793" t="inlineStr">
        <is>
          <t>PT. MIRANTI ADILLHA - PPN (PDG)</t>
        </is>
      </c>
      <c r="AI3793" t="n">
        <v>1375</v>
      </c>
      <c r="AJ3793" t="inlineStr">
        <is>
          <t>SANIYE</t>
        </is>
      </c>
      <c r="AK3793" t="n">
        <v>9</v>
      </c>
      <c r="AL3793" t="inlineStr">
        <is>
          <t>Miss Glam Jambi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SANIYE</t>
        </is>
      </c>
      <c r="B3794" s="2">
        <f>"10700339522"</f>
        <v/>
      </c>
      <c r="C3794" t="inlineStr">
        <is>
          <t>SANIYE Magic Lip Oil L1188 #2 4,5ml</t>
        </is>
      </c>
      <c r="D3794" t="inlineStr">
        <is>
          <t>Miss Glam Jambi</t>
        </is>
      </c>
      <c r="E3794" t="n">
        <v>5</v>
      </c>
      <c r="F3794" t="n">
        <v>0.0165</v>
      </c>
      <c r="G3794" t="n">
        <v>0.33</v>
      </c>
      <c r="H3794" t="n">
        <v>4</v>
      </c>
      <c r="I3794" t="n">
        <v>11</v>
      </c>
      <c r="J3794" t="n">
        <v>1</v>
      </c>
      <c r="K3794" t="n">
        <v>0</v>
      </c>
      <c r="L3794" t="n">
        <v>18319</v>
      </c>
      <c r="M3794" t="n">
        <v>23000</v>
      </c>
      <c r="N3794" t="n">
        <v>33</v>
      </c>
      <c r="O3794" t="n">
        <v>0.33</v>
      </c>
      <c r="P3794" t="n">
        <v>1</v>
      </c>
      <c r="Q3794" t="n">
        <v>0.22</v>
      </c>
      <c r="R3794" t="n">
        <v>3</v>
      </c>
      <c r="S3794" t="n">
        <v>379.5</v>
      </c>
      <c r="T3794" t="n">
        <v>4</v>
      </c>
      <c r="U3794" t="n">
        <v>5</v>
      </c>
      <c r="V3794" t="n">
        <v>30</v>
      </c>
      <c r="W3794" t="n">
        <v>1</v>
      </c>
      <c r="X3794" t="n">
        <v>303.030303030303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11168</v>
      </c>
      <c r="AG3794" t="n">
        <v>54</v>
      </c>
      <c r="AH3794" t="inlineStr">
        <is>
          <t>PT. MIRANTI ADILLHA - PPN (PDG)</t>
        </is>
      </c>
      <c r="AI3794" t="n">
        <v>1375</v>
      </c>
      <c r="AJ3794" t="inlineStr">
        <is>
          <t>SANIYE</t>
        </is>
      </c>
      <c r="AK3794" t="n">
        <v>9</v>
      </c>
      <c r="AL3794" t="inlineStr">
        <is>
          <t>Miss Glam Jambi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SANIYE</t>
        </is>
      </c>
      <c r="B3795" s="2">
        <f>"11300107329"</f>
        <v/>
      </c>
      <c r="C3795" t="inlineStr">
        <is>
          <t>SANIYE Makeup Remove Cotton F15(50pcs)</t>
        </is>
      </c>
      <c r="D3795" t="inlineStr">
        <is>
          <t>Miss Glam Jambi</t>
        </is>
      </c>
      <c r="E3795" t="n">
        <v>32</v>
      </c>
      <c r="F3795" t="n">
        <v>0.33</v>
      </c>
      <c r="G3795" t="n">
        <v>1.65</v>
      </c>
      <c r="H3795" t="n">
        <v>4</v>
      </c>
      <c r="I3795" t="n">
        <v>11</v>
      </c>
      <c r="J3795" t="n">
        <v>1</v>
      </c>
      <c r="K3795" t="n">
        <v>0</v>
      </c>
      <c r="L3795" t="n">
        <v>7921</v>
      </c>
      <c r="M3795" t="n">
        <v>10000</v>
      </c>
      <c r="N3795" t="n">
        <v>33</v>
      </c>
      <c r="O3795" t="n">
        <v>0.33</v>
      </c>
      <c r="P3795" t="n">
        <v>1</v>
      </c>
      <c r="Q3795" t="n">
        <v>0.5600000000000001</v>
      </c>
      <c r="R3795" t="n">
        <v>3</v>
      </c>
      <c r="S3795" t="n">
        <v>3300</v>
      </c>
      <c r="T3795" t="n">
        <v>17</v>
      </c>
      <c r="U3795" t="n">
        <v>19</v>
      </c>
      <c r="V3795" t="n">
        <v>30</v>
      </c>
      <c r="W3795" t="n">
        <v>10</v>
      </c>
      <c r="X3795" t="n">
        <v>96.96969696969697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11168</v>
      </c>
      <c r="AG3795" t="n">
        <v>54</v>
      </c>
      <c r="AH3795" t="inlineStr">
        <is>
          <t>PT. MIRANTI ADILLHA - PPN (PDG)</t>
        </is>
      </c>
      <c r="AI3795" t="n">
        <v>1375</v>
      </c>
      <c r="AJ3795" t="inlineStr">
        <is>
          <t>SANIYE</t>
        </is>
      </c>
      <c r="AK3795" t="n">
        <v>9</v>
      </c>
      <c r="AL3795" t="inlineStr">
        <is>
          <t>Miss Glam Jambi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SANIYE</t>
        </is>
      </c>
      <c r="B3796" s="2">
        <f>"11300107426"</f>
        <v/>
      </c>
      <c r="C3796" t="inlineStr">
        <is>
          <t>SANIYE Makeup Remove Cotton F16(100pcs)</t>
        </is>
      </c>
      <c r="D3796" t="inlineStr">
        <is>
          <t>Miss Glam Jambi</t>
        </is>
      </c>
      <c r="E3796" t="n">
        <v>28</v>
      </c>
      <c r="F3796" t="n">
        <v>0.3927</v>
      </c>
      <c r="G3796" t="n">
        <v>1.32</v>
      </c>
      <c r="H3796" t="n">
        <v>4</v>
      </c>
      <c r="I3796" t="n">
        <v>11</v>
      </c>
      <c r="J3796" t="n">
        <v>1</v>
      </c>
      <c r="K3796" t="n">
        <v>0</v>
      </c>
      <c r="L3796" t="n">
        <v>11921</v>
      </c>
      <c r="M3796" t="n">
        <v>15000</v>
      </c>
      <c r="N3796" t="n">
        <v>33</v>
      </c>
      <c r="O3796" t="n">
        <v>0.33</v>
      </c>
      <c r="P3796" t="n">
        <v>1</v>
      </c>
      <c r="Q3796" t="n">
        <v>0.66</v>
      </c>
      <c r="R3796" t="n">
        <v>4</v>
      </c>
      <c r="S3796" t="n">
        <v>5890.5</v>
      </c>
      <c r="T3796" t="n">
        <v>13</v>
      </c>
      <c r="U3796" t="n">
        <v>15</v>
      </c>
      <c r="V3796" t="n">
        <v>30</v>
      </c>
      <c r="W3796" t="n">
        <v>12</v>
      </c>
      <c r="X3796" t="n">
        <v>71.301247771836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11168</v>
      </c>
      <c r="AG3796" t="n">
        <v>54</v>
      </c>
      <c r="AH3796" t="inlineStr">
        <is>
          <t>PT. MIRANTI ADILLHA - PPN (PDG)</t>
        </is>
      </c>
      <c r="AI3796" t="n">
        <v>1375</v>
      </c>
      <c r="AJ3796" t="inlineStr">
        <is>
          <t>SANIYE</t>
        </is>
      </c>
      <c r="AK3796" t="n">
        <v>9</v>
      </c>
      <c r="AL3796" t="inlineStr">
        <is>
          <t>Miss Glam Jambi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SANIYE</t>
        </is>
      </c>
      <c r="B3797" s="2">
        <f>"6956784143348"</f>
        <v/>
      </c>
      <c r="C3797" t="inlineStr">
        <is>
          <t>SANIYE Mini Blush On Powder E-0150-003 3,4gr</t>
        </is>
      </c>
      <c r="D3797" t="inlineStr">
        <is>
          <t>Miss Glam Jambi</t>
        </is>
      </c>
      <c r="E3797" t="n">
        <v>3</v>
      </c>
      <c r="F3797" t="n">
        <v>0.0165</v>
      </c>
      <c r="G3797" t="n">
        <v>0.33</v>
      </c>
      <c r="H3797" t="n">
        <v>4</v>
      </c>
      <c r="I3797" t="n">
        <v>11</v>
      </c>
      <c r="J3797" t="n">
        <v>3</v>
      </c>
      <c r="K3797" t="n">
        <v>0</v>
      </c>
      <c r="L3797" t="n">
        <v>15123</v>
      </c>
      <c r="M3797" t="n">
        <v>19000</v>
      </c>
      <c r="N3797" t="n">
        <v>33</v>
      </c>
      <c r="O3797" t="n">
        <v>0.33</v>
      </c>
      <c r="P3797" t="n">
        <v>1</v>
      </c>
      <c r="Q3797" t="n">
        <v>0.05</v>
      </c>
      <c r="R3797" t="n">
        <v>1</v>
      </c>
      <c r="S3797" t="n">
        <v>313.5</v>
      </c>
      <c r="T3797" t="n">
        <v>4</v>
      </c>
      <c r="U3797" t="n">
        <v>5</v>
      </c>
      <c r="V3797" t="n">
        <v>30</v>
      </c>
      <c r="W3797" t="n">
        <v>1</v>
      </c>
      <c r="X3797" t="n">
        <v>181.8181818181818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11168</v>
      </c>
      <c r="AG3797" t="n">
        <v>54</v>
      </c>
      <c r="AH3797" t="inlineStr">
        <is>
          <t>PT. MIRANTI ADILLHA - PPN (PDG)</t>
        </is>
      </c>
      <c r="AI3797" t="n">
        <v>1375</v>
      </c>
      <c r="AJ3797" t="inlineStr">
        <is>
          <t>SANIYE</t>
        </is>
      </c>
      <c r="AK3797" t="n">
        <v>9</v>
      </c>
      <c r="AL3797" t="inlineStr">
        <is>
          <t>Miss Glam Jambi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SANIYE</t>
        </is>
      </c>
      <c r="B3798" s="2">
        <f>"20100968239"</f>
        <v/>
      </c>
      <c r="C3798" t="inlineStr">
        <is>
          <t>SANIYE Mini Blush On Powder E0150 #04 2.3gr</t>
        </is>
      </c>
      <c r="D3798" t="inlineStr">
        <is>
          <t>Miss Glam Jambi</t>
        </is>
      </c>
      <c r="E3798" t="n">
        <v>4</v>
      </c>
      <c r="F3798" t="n">
        <v>0.03</v>
      </c>
      <c r="G3798" t="n">
        <v>2</v>
      </c>
      <c r="H3798" t="n">
        <v>4</v>
      </c>
      <c r="I3798" t="n">
        <v>11</v>
      </c>
      <c r="J3798" t="n">
        <v>1</v>
      </c>
      <c r="K3798" t="n">
        <v>0</v>
      </c>
      <c r="L3798" t="n">
        <v>15123</v>
      </c>
      <c r="M3798" t="n">
        <v>19000</v>
      </c>
      <c r="N3798" t="n">
        <v>33</v>
      </c>
      <c r="O3798" t="n">
        <v>0.33</v>
      </c>
      <c r="P3798" t="n">
        <v>0</v>
      </c>
      <c r="Q3798" t="n">
        <v>0.03</v>
      </c>
      <c r="R3798" t="n">
        <v>2</v>
      </c>
      <c r="S3798" t="n">
        <v>570</v>
      </c>
      <c r="T3798" t="n">
        <v>22</v>
      </c>
      <c r="U3798" t="n">
        <v>23</v>
      </c>
      <c r="V3798" t="n">
        <v>30</v>
      </c>
      <c r="W3798" t="n">
        <v>1</v>
      </c>
      <c r="X3798" t="n">
        <v>133.3333333333333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11168</v>
      </c>
      <c r="AG3798" t="n">
        <v>54</v>
      </c>
      <c r="AH3798" t="inlineStr">
        <is>
          <t>PT. MIRANTI ADILLHA - PPN (PDG)</t>
        </is>
      </c>
      <c r="AI3798" t="n">
        <v>1375</v>
      </c>
      <c r="AJ3798" t="inlineStr">
        <is>
          <t>SANIYE</t>
        </is>
      </c>
      <c r="AK3798" t="n">
        <v>9</v>
      </c>
      <c r="AL3798" t="inlineStr">
        <is>
          <t>Miss Glam Jambi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SANIYE</t>
        </is>
      </c>
      <c r="B3799" s="2">
        <f>"20200569419"</f>
        <v/>
      </c>
      <c r="C3799" t="inlineStr">
        <is>
          <t>SANIYE Mini Eyeshadow Palette E0925 #3 5gr</t>
        </is>
      </c>
      <c r="D3799" t="inlineStr">
        <is>
          <t>Miss Glam Jambi</t>
        </is>
      </c>
      <c r="E3799" t="n">
        <v>4</v>
      </c>
      <c r="F3799" t="n">
        <v>0.0231</v>
      </c>
      <c r="G3799" t="n">
        <v>0.33</v>
      </c>
      <c r="H3799" t="n">
        <v>4</v>
      </c>
      <c r="I3799" t="n">
        <v>11</v>
      </c>
      <c r="J3799" t="n">
        <v>1</v>
      </c>
      <c r="K3799" t="n">
        <v>0</v>
      </c>
      <c r="L3799" t="n">
        <v>26320</v>
      </c>
      <c r="M3799" t="n">
        <v>33000</v>
      </c>
      <c r="N3799" t="n">
        <v>33</v>
      </c>
      <c r="O3799" t="n">
        <v>0.33</v>
      </c>
      <c r="P3799" t="n">
        <v>1</v>
      </c>
      <c r="Q3799" t="n">
        <v>0.03</v>
      </c>
      <c r="R3799" t="n">
        <v>1</v>
      </c>
      <c r="S3799" t="n">
        <v>762.3000000000001</v>
      </c>
      <c r="T3799" t="n">
        <v>4</v>
      </c>
      <c r="U3799" t="n">
        <v>5</v>
      </c>
      <c r="V3799" t="n">
        <v>30</v>
      </c>
      <c r="W3799" t="n">
        <v>1</v>
      </c>
      <c r="X3799" t="n">
        <v>173.1601731601731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11168</v>
      </c>
      <c r="AG3799" t="n">
        <v>54</v>
      </c>
      <c r="AH3799" t="inlineStr">
        <is>
          <t>PT. MIRANTI ADILLHA - PPN (PDG)</t>
        </is>
      </c>
      <c r="AI3799" t="n">
        <v>1375</v>
      </c>
      <c r="AJ3799" t="inlineStr">
        <is>
          <t>SANIYE</t>
        </is>
      </c>
      <c r="AK3799" t="n">
        <v>9</v>
      </c>
      <c r="AL3799" t="inlineStr">
        <is>
          <t>Miss Glam Jambi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SANIYE</t>
        </is>
      </c>
      <c r="B3800" s="2">
        <f>"6956784140842"</f>
        <v/>
      </c>
      <c r="C3800" t="inlineStr">
        <is>
          <t>SANIYE Moisturizing Lip Mask L1121 #1 22,5gr</t>
        </is>
      </c>
      <c r="D3800" t="inlineStr">
        <is>
          <t>Miss Glam Jambi</t>
        </is>
      </c>
      <c r="E3800" t="n">
        <v>6</v>
      </c>
      <c r="F3800" t="n">
        <v>0.0165</v>
      </c>
      <c r="G3800" t="n">
        <v>0.66</v>
      </c>
      <c r="H3800" t="n">
        <v>4</v>
      </c>
      <c r="I3800" t="n">
        <v>11</v>
      </c>
      <c r="J3800" t="n">
        <v>3</v>
      </c>
      <c r="K3800" t="n">
        <v>0</v>
      </c>
      <c r="L3800" t="n">
        <v>18319</v>
      </c>
      <c r="M3800" t="n">
        <v>26500</v>
      </c>
      <c r="N3800" t="n">
        <v>33</v>
      </c>
      <c r="O3800" t="n">
        <v>0.33</v>
      </c>
      <c r="P3800" t="n">
        <v>1</v>
      </c>
      <c r="Q3800" t="n">
        <v>0.02</v>
      </c>
      <c r="R3800" t="n">
        <v>1</v>
      </c>
      <c r="S3800" t="n">
        <v>437.25</v>
      </c>
      <c r="T3800" t="n">
        <v>8</v>
      </c>
      <c r="U3800" t="n">
        <v>9</v>
      </c>
      <c r="V3800" t="n">
        <v>30</v>
      </c>
      <c r="W3800" t="n">
        <v>1</v>
      </c>
      <c r="X3800" t="n">
        <v>363.6363636363636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11168</v>
      </c>
      <c r="AG3800" t="n">
        <v>54</v>
      </c>
      <c r="AH3800" t="inlineStr">
        <is>
          <t>PT. MIRANTI ADILLHA - PPN (PDG)</t>
        </is>
      </c>
      <c r="AI3800" t="n">
        <v>1375</v>
      </c>
      <c r="AJ3800" t="inlineStr">
        <is>
          <t>SANIYE</t>
        </is>
      </c>
      <c r="AK3800" t="n">
        <v>9</v>
      </c>
      <c r="AL3800" t="inlineStr">
        <is>
          <t>Miss Glam Jambi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SANIYE</t>
        </is>
      </c>
      <c r="B3801" s="2">
        <f>"20200569849"</f>
        <v/>
      </c>
      <c r="C3801" t="inlineStr">
        <is>
          <t>SANIYE Multi Function Eyeshadow Palette E225#3 27gr</t>
        </is>
      </c>
      <c r="D3801" t="inlineStr">
        <is>
          <t>Miss Glam Jambi</t>
        </is>
      </c>
      <c r="E3801" t="n">
        <v>24</v>
      </c>
      <c r="F3801" t="n">
        <v>0.8943</v>
      </c>
      <c r="G3801" t="n">
        <v>3.3</v>
      </c>
      <c r="H3801" t="n">
        <v>4</v>
      </c>
      <c r="I3801" t="n">
        <v>11</v>
      </c>
      <c r="J3801" t="n">
        <v>1</v>
      </c>
      <c r="K3801" t="n">
        <v>1</v>
      </c>
      <c r="L3801" t="n">
        <v>31919</v>
      </c>
      <c r="M3801" t="n">
        <v>40000</v>
      </c>
      <c r="N3801" t="n">
        <v>33</v>
      </c>
      <c r="O3801" t="n">
        <v>0.33</v>
      </c>
      <c r="P3801" t="n">
        <v>1</v>
      </c>
      <c r="Q3801" t="n">
        <v>0.37</v>
      </c>
      <c r="R3801" t="n">
        <v>4</v>
      </c>
      <c r="S3801" t="n">
        <v>35772</v>
      </c>
      <c r="T3801" t="n">
        <v>33</v>
      </c>
      <c r="U3801" t="n">
        <v>37</v>
      </c>
      <c r="V3801" t="n">
        <v>30</v>
      </c>
      <c r="W3801" t="n">
        <v>27</v>
      </c>
      <c r="X3801" t="n">
        <v>26.83663200268366</v>
      </c>
      <c r="Y3801" t="n">
        <v>1</v>
      </c>
      <c r="Z3801" t="n">
        <v>2</v>
      </c>
      <c r="AA3801" t="n">
        <v>0</v>
      </c>
      <c r="AB3801" t="n">
        <v>2</v>
      </c>
      <c r="AC3801" t="n">
        <v>2</v>
      </c>
      <c r="AD3801" t="n">
        <v>0</v>
      </c>
      <c r="AE3801" t="n">
        <v>63838</v>
      </c>
      <c r="AF3801" t="n">
        <v>11168</v>
      </c>
      <c r="AG3801" t="n">
        <v>54</v>
      </c>
      <c r="AH3801" t="inlineStr">
        <is>
          <t>PT. MIRANTI ADILLHA - PPN (PDG)</t>
        </is>
      </c>
      <c r="AI3801" t="n">
        <v>1375</v>
      </c>
      <c r="AJ3801" t="inlineStr">
        <is>
          <t>SANIYE</t>
        </is>
      </c>
      <c r="AK3801" t="n">
        <v>9</v>
      </c>
      <c r="AL3801" t="inlineStr">
        <is>
          <t>Miss Glam Jambi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SANIYE</t>
        </is>
      </c>
      <c r="B3802" s="2">
        <f>"10700339442"</f>
        <v/>
      </c>
      <c r="C3802" t="inlineStr">
        <is>
          <t>SANIYE Pink Lip Balm K2003 4gr</t>
        </is>
      </c>
      <c r="D3802" t="inlineStr">
        <is>
          <t>Miss Glam Jambi</t>
        </is>
      </c>
      <c r="E3802" t="n">
        <v>0</v>
      </c>
      <c r="F3802" t="n">
        <v>0.4026</v>
      </c>
      <c r="G3802" t="n">
        <v>1.65</v>
      </c>
      <c r="H3802" t="n">
        <v>4</v>
      </c>
      <c r="I3802" t="n">
        <v>11</v>
      </c>
      <c r="J3802" t="n">
        <v>1</v>
      </c>
      <c r="K3802" t="n">
        <v>8</v>
      </c>
      <c r="L3802" t="n">
        <v>12721</v>
      </c>
      <c r="M3802" t="n">
        <v>16000</v>
      </c>
      <c r="N3802" t="n">
        <v>33</v>
      </c>
      <c r="O3802" t="n">
        <v>0.33</v>
      </c>
      <c r="P3802" t="n">
        <v>1</v>
      </c>
      <c r="Q3802" t="n">
        <v>0.11</v>
      </c>
      <c r="R3802" t="n">
        <v>1</v>
      </c>
      <c r="S3802" t="n">
        <v>6441.6</v>
      </c>
      <c r="T3802" t="n">
        <v>17</v>
      </c>
      <c r="U3802" t="n">
        <v>19</v>
      </c>
      <c r="V3802" t="n">
        <v>30</v>
      </c>
      <c r="W3802" t="n">
        <v>13</v>
      </c>
      <c r="X3802" t="n">
        <v>0</v>
      </c>
      <c r="Y3802" t="n">
        <v>1</v>
      </c>
      <c r="Z3802" t="n">
        <v>5</v>
      </c>
      <c r="AA3802" t="n">
        <v>4</v>
      </c>
      <c r="AB3802" t="n">
        <v>1</v>
      </c>
      <c r="AC3802" t="n">
        <v>1</v>
      </c>
      <c r="AD3802" t="n">
        <v>50884</v>
      </c>
      <c r="AE3802" t="n">
        <v>12721</v>
      </c>
      <c r="AF3802" t="n">
        <v>11168</v>
      </c>
      <c r="AG3802" t="n">
        <v>54</v>
      </c>
      <c r="AH3802" t="inlineStr">
        <is>
          <t>PT. MIRANTI ADILLHA - PPN (PDG)</t>
        </is>
      </c>
      <c r="AI3802" t="n">
        <v>1375</v>
      </c>
      <c r="AJ3802" t="inlineStr">
        <is>
          <t>SANIYE</t>
        </is>
      </c>
      <c r="AK3802" t="n">
        <v>9</v>
      </c>
      <c r="AL3802" t="inlineStr">
        <is>
          <t>Miss Glam Jambi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SANIYE</t>
        </is>
      </c>
      <c r="B3803" s="2">
        <f>"6956784144796"</f>
        <v/>
      </c>
      <c r="C3803" t="inlineStr">
        <is>
          <t>SANIYE Pink Nudes Palette E0949 #3</t>
        </is>
      </c>
      <c r="D3803" t="inlineStr">
        <is>
          <t>Miss Glam Jambi</t>
        </is>
      </c>
      <c r="E3803" t="n">
        <v>5</v>
      </c>
      <c r="F3803" t="n">
        <v>1.3563</v>
      </c>
      <c r="G3803" t="n">
        <v>2.97</v>
      </c>
      <c r="H3803" t="n">
        <v>4</v>
      </c>
      <c r="I3803" t="n">
        <v>11</v>
      </c>
      <c r="J3803" t="n">
        <v>3</v>
      </c>
      <c r="K3803" t="n">
        <v>26</v>
      </c>
      <c r="L3803" t="n">
        <v>31919</v>
      </c>
      <c r="M3803" t="n">
        <v>40000</v>
      </c>
      <c r="N3803" t="n">
        <v>33</v>
      </c>
      <c r="O3803" t="n">
        <v>0.33</v>
      </c>
      <c r="P3803" t="n">
        <v>1</v>
      </c>
      <c r="Q3803" t="n">
        <v>0.24</v>
      </c>
      <c r="R3803" t="n">
        <v>1</v>
      </c>
      <c r="S3803" t="n">
        <v>54252</v>
      </c>
      <c r="T3803" t="n">
        <v>28</v>
      </c>
      <c r="U3803" t="n">
        <v>34</v>
      </c>
      <c r="V3803" t="n">
        <v>30</v>
      </c>
      <c r="W3803" t="n">
        <v>41</v>
      </c>
      <c r="X3803" t="n">
        <v>3.686500036865</v>
      </c>
      <c r="Y3803" t="n">
        <v>1</v>
      </c>
      <c r="Z3803" t="n">
        <v>10</v>
      </c>
      <c r="AA3803" t="n">
        <v>9</v>
      </c>
      <c r="AB3803" t="n">
        <v>1</v>
      </c>
      <c r="AC3803" t="n">
        <v>3</v>
      </c>
      <c r="AD3803" t="n">
        <v>287271</v>
      </c>
      <c r="AE3803" t="n">
        <v>95757</v>
      </c>
      <c r="AF3803" t="n">
        <v>11168</v>
      </c>
      <c r="AG3803" t="n">
        <v>54</v>
      </c>
      <c r="AH3803" t="inlineStr">
        <is>
          <t>PT. MIRANTI ADILLHA - PPN (PDG)</t>
        </is>
      </c>
      <c r="AI3803" t="n">
        <v>1375</v>
      </c>
      <c r="AJ3803" t="inlineStr">
        <is>
          <t>SANIYE</t>
        </is>
      </c>
      <c r="AK3803" t="n">
        <v>9</v>
      </c>
      <c r="AL3803" t="inlineStr">
        <is>
          <t>Miss Glam Jambi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SANIYE</t>
        </is>
      </c>
      <c r="B3804" s="2">
        <f>"6956784118742"</f>
        <v/>
      </c>
      <c r="C3804" t="inlineStr">
        <is>
          <t>SANIYE Powder Blush A102</t>
        </is>
      </c>
      <c r="D3804" t="inlineStr">
        <is>
          <t>Miss Glam Jambi</t>
        </is>
      </c>
      <c r="E3804" t="n">
        <v>13</v>
      </c>
      <c r="F3804" t="n">
        <v>2.9469</v>
      </c>
      <c r="G3804" t="n">
        <v>6.930000000000001</v>
      </c>
      <c r="H3804" t="n">
        <v>4</v>
      </c>
      <c r="I3804" t="n">
        <v>11</v>
      </c>
      <c r="J3804" t="n">
        <v>3</v>
      </c>
      <c r="K3804" t="n">
        <v>57</v>
      </c>
      <c r="L3804" t="n">
        <v>12721</v>
      </c>
      <c r="M3804" t="n">
        <v>16000</v>
      </c>
      <c r="N3804" t="n">
        <v>33</v>
      </c>
      <c r="O3804" t="n">
        <v>0.33</v>
      </c>
      <c r="P3804" t="n">
        <v>1</v>
      </c>
      <c r="Q3804" t="n">
        <v>0.73</v>
      </c>
      <c r="R3804" t="n">
        <v>3</v>
      </c>
      <c r="S3804" t="n">
        <v>47150.39999999999</v>
      </c>
      <c r="T3804" t="n">
        <v>65</v>
      </c>
      <c r="U3804" t="n">
        <v>77</v>
      </c>
      <c r="V3804" t="n">
        <v>30</v>
      </c>
      <c r="W3804" t="n">
        <v>89</v>
      </c>
      <c r="X3804" t="n">
        <v>4.411415385659507</v>
      </c>
      <c r="Y3804" t="n">
        <v>1</v>
      </c>
      <c r="Z3804" t="n">
        <v>19</v>
      </c>
      <c r="AA3804" t="n">
        <v>19</v>
      </c>
      <c r="AB3804" t="n">
        <v>0</v>
      </c>
      <c r="AC3804" t="n">
        <v>0</v>
      </c>
      <c r="AD3804" t="n">
        <v>241699</v>
      </c>
      <c r="AE3804" t="n">
        <v>0</v>
      </c>
      <c r="AF3804" t="n">
        <v>11168</v>
      </c>
      <c r="AG3804" t="n">
        <v>54</v>
      </c>
      <c r="AH3804" t="inlineStr">
        <is>
          <t>PT. MIRANTI ADILLHA - PPN (PDG)</t>
        </is>
      </c>
      <c r="AI3804" t="n">
        <v>1375</v>
      </c>
      <c r="AJ3804" t="inlineStr">
        <is>
          <t>SANIYE</t>
        </is>
      </c>
      <c r="AK3804" t="n">
        <v>9</v>
      </c>
      <c r="AL3804" t="inlineStr">
        <is>
          <t>Miss Glam Jambi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SANIYE</t>
        </is>
      </c>
      <c r="B3805" s="2">
        <f>"20100706902"</f>
        <v/>
      </c>
      <c r="C3805" t="inlineStr">
        <is>
          <t>SANIYE Primer R3092 30ml</t>
        </is>
      </c>
      <c r="D3805" t="inlineStr">
        <is>
          <t>Miss Glam Jambi</t>
        </is>
      </c>
      <c r="E3805" t="n">
        <v>5</v>
      </c>
      <c r="F3805" t="n">
        <v>0.3564000000000001</v>
      </c>
      <c r="G3805" t="n">
        <v>1.32</v>
      </c>
      <c r="H3805" t="n">
        <v>4</v>
      </c>
      <c r="I3805" t="n">
        <v>11</v>
      </c>
      <c r="J3805" t="n">
        <v>1</v>
      </c>
      <c r="K3805" t="n">
        <v>7</v>
      </c>
      <c r="L3805" t="n">
        <v>22320</v>
      </c>
      <c r="M3805" t="n">
        <v>28000</v>
      </c>
      <c r="N3805" t="n">
        <v>33</v>
      </c>
      <c r="O3805" t="n">
        <v>0.33</v>
      </c>
      <c r="P3805" t="n">
        <v>1</v>
      </c>
      <c r="Q3805" t="n">
        <v>0.07000000000000001</v>
      </c>
      <c r="R3805" t="n">
        <v>1</v>
      </c>
      <c r="S3805" t="n">
        <v>9979.200000000001</v>
      </c>
      <c r="T3805" t="n">
        <v>14</v>
      </c>
      <c r="U3805" t="n">
        <v>16</v>
      </c>
      <c r="V3805" t="n">
        <v>30</v>
      </c>
      <c r="W3805" t="n">
        <v>11</v>
      </c>
      <c r="X3805" t="n">
        <v>14.02918069584736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11168</v>
      </c>
      <c r="AG3805" t="n">
        <v>54</v>
      </c>
      <c r="AH3805" t="inlineStr">
        <is>
          <t>PT. MIRANTI ADILLHA - PPN (PDG)</t>
        </is>
      </c>
      <c r="AI3805" t="n">
        <v>1375</v>
      </c>
      <c r="AJ3805" t="inlineStr">
        <is>
          <t>SANIYE</t>
        </is>
      </c>
      <c r="AK3805" t="n">
        <v>9</v>
      </c>
      <c r="AL3805" t="inlineStr">
        <is>
          <t>Miss Glam Jambi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SANIYE</t>
        </is>
      </c>
      <c r="B3806" s="2">
        <f>"20101209718"</f>
        <v/>
      </c>
      <c r="C3806" t="inlineStr">
        <is>
          <t>SANIYE Setting Spray R3063 100ml</t>
        </is>
      </c>
      <c r="D3806" t="inlineStr">
        <is>
          <t>Miss Glam Jambi</t>
        </is>
      </c>
      <c r="E3806" t="n">
        <v>4</v>
      </c>
      <c r="F3806" t="n">
        <v>0.033</v>
      </c>
      <c r="G3806" t="n">
        <v>0.66</v>
      </c>
      <c r="H3806" t="n">
        <v>4</v>
      </c>
      <c r="I3806" t="n">
        <v>11</v>
      </c>
      <c r="J3806" t="n">
        <v>1</v>
      </c>
      <c r="K3806" t="n">
        <v>0</v>
      </c>
      <c r="L3806" t="n">
        <v>31919</v>
      </c>
      <c r="M3806" t="n">
        <v>40000</v>
      </c>
      <c r="N3806" t="n">
        <v>33</v>
      </c>
      <c r="O3806" t="n">
        <v>0.33</v>
      </c>
      <c r="P3806" t="n">
        <v>1</v>
      </c>
      <c r="Q3806" t="n">
        <v>0.02</v>
      </c>
      <c r="R3806" t="n">
        <v>1</v>
      </c>
      <c r="S3806" t="n">
        <v>1320</v>
      </c>
      <c r="T3806" t="n">
        <v>8</v>
      </c>
      <c r="U3806" t="n">
        <v>9</v>
      </c>
      <c r="V3806" t="n">
        <v>30</v>
      </c>
      <c r="W3806" t="n">
        <v>1</v>
      </c>
      <c r="X3806" t="n">
        <v>121.2121212121212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11168</v>
      </c>
      <c r="AG3806" t="n">
        <v>54</v>
      </c>
      <c r="AH3806" t="inlineStr">
        <is>
          <t>PT. MIRANTI ADILLHA - PPN (PDG)</t>
        </is>
      </c>
      <c r="AI3806" t="n">
        <v>1375</v>
      </c>
      <c r="AJ3806" t="inlineStr">
        <is>
          <t>SANIYE</t>
        </is>
      </c>
      <c r="AK3806" t="n">
        <v>9</v>
      </c>
      <c r="AL3806" t="inlineStr">
        <is>
          <t>Miss Glam Jambi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SARIAYU</t>
        </is>
      </c>
      <c r="B3807" s="2">
        <f>"8990090990034"</f>
        <v/>
      </c>
      <c r="C3807" t="inlineStr">
        <is>
          <t>SARIAYU Beauty Cotton 35gr</t>
        </is>
      </c>
      <c r="D3807" t="inlineStr">
        <is>
          <t>Miss Glam Jambi</t>
        </is>
      </c>
      <c r="E3807" t="n">
        <v>150</v>
      </c>
      <c r="F3807" t="n">
        <v>9.3687</v>
      </c>
      <c r="G3807" t="n">
        <v>20.13</v>
      </c>
      <c r="H3807" t="n">
        <v>5</v>
      </c>
      <c r="I3807" t="n">
        <v>11</v>
      </c>
      <c r="J3807" t="n">
        <v>144</v>
      </c>
      <c r="K3807" t="n">
        <v>144</v>
      </c>
      <c r="L3807" t="n">
        <v>5348</v>
      </c>
      <c r="M3807" t="n">
        <v>6500</v>
      </c>
      <c r="N3807" t="n">
        <v>33</v>
      </c>
      <c r="O3807" t="n">
        <v>0.33</v>
      </c>
      <c r="P3807" t="n">
        <v>1</v>
      </c>
      <c r="Q3807" t="n">
        <v>2.58</v>
      </c>
      <c r="R3807" t="n">
        <v>10</v>
      </c>
      <c r="S3807" t="n">
        <v>60896.55</v>
      </c>
      <c r="T3807" t="n">
        <v>175</v>
      </c>
      <c r="U3807" t="n">
        <v>222</v>
      </c>
      <c r="V3807" t="n">
        <v>30</v>
      </c>
      <c r="W3807" t="n">
        <v>282</v>
      </c>
      <c r="X3807" t="n">
        <v>16.01075923020269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12488</v>
      </c>
      <c r="AG3807" t="n">
        <v>3502</v>
      </c>
      <c r="AH3807" t="inlineStr">
        <is>
          <t>PT. SAI - PPN (PDG)</t>
        </is>
      </c>
      <c r="AI3807" t="n">
        <v>137</v>
      </c>
      <c r="AJ3807" t="inlineStr">
        <is>
          <t>SARIAYU</t>
        </is>
      </c>
      <c r="AK3807" t="n">
        <v>9</v>
      </c>
      <c r="AL3807" t="inlineStr">
        <is>
          <t>Miss Glam Jambi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SARIAYU</t>
        </is>
      </c>
      <c r="B3808" s="2">
        <f>"8990090990379"</f>
        <v/>
      </c>
      <c r="C3808" t="inlineStr">
        <is>
          <t>SARIAYU Kapas 100gr</t>
        </is>
      </c>
      <c r="D3808" t="inlineStr">
        <is>
          <t>Miss Glam Jambi</t>
        </is>
      </c>
      <c r="E3808" t="n">
        <v>45</v>
      </c>
      <c r="F3808" t="n">
        <v>2.5839</v>
      </c>
      <c r="G3808" t="n">
        <v>6.27</v>
      </c>
      <c r="H3808" t="n">
        <v>5</v>
      </c>
      <c r="I3808" t="n">
        <v>11</v>
      </c>
      <c r="J3808" t="n">
        <v>72</v>
      </c>
      <c r="K3808" t="n">
        <v>72</v>
      </c>
      <c r="L3808" t="n">
        <v>15032</v>
      </c>
      <c r="M3808" t="n">
        <v>20000</v>
      </c>
      <c r="N3808" t="n">
        <v>33</v>
      </c>
      <c r="O3808" t="n">
        <v>0.33</v>
      </c>
      <c r="P3808" t="n">
        <v>1</v>
      </c>
      <c r="Q3808" t="n">
        <v>0.46</v>
      </c>
      <c r="R3808" t="n">
        <v>3</v>
      </c>
      <c r="S3808" t="n">
        <v>51678.00000000001</v>
      </c>
      <c r="T3808" t="n">
        <v>57</v>
      </c>
      <c r="U3808" t="n">
        <v>70</v>
      </c>
      <c r="V3808" t="n">
        <v>30</v>
      </c>
      <c r="W3808" t="n">
        <v>78</v>
      </c>
      <c r="X3808" t="n">
        <v>17.41553465691397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12488</v>
      </c>
      <c r="AG3808" t="n">
        <v>3502</v>
      </c>
      <c r="AH3808" t="inlineStr">
        <is>
          <t>PT. SAI - PPN (PDG)</t>
        </is>
      </c>
      <c r="AI3808" t="n">
        <v>137</v>
      </c>
      <c r="AJ3808" t="inlineStr">
        <is>
          <t>SARIAYU</t>
        </is>
      </c>
      <c r="AK3808" t="n">
        <v>9</v>
      </c>
      <c r="AL3808" t="inlineStr">
        <is>
          <t>Miss Glam Jambi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SARIAYU</t>
        </is>
      </c>
      <c r="B3809" s="2">
        <f>"8990090990041"</f>
        <v/>
      </c>
      <c r="C3809" t="inlineStr">
        <is>
          <t>SARIAYU Kapas 50gr</t>
        </is>
      </c>
      <c r="D3809" t="inlineStr">
        <is>
          <t>Miss Glam Jambi</t>
        </is>
      </c>
      <c r="E3809" t="n">
        <v>51</v>
      </c>
      <c r="F3809" t="n">
        <v>7.5801</v>
      </c>
      <c r="G3809" t="n">
        <v>17.16</v>
      </c>
      <c r="H3809" t="n">
        <v>5</v>
      </c>
      <c r="I3809" t="n">
        <v>11</v>
      </c>
      <c r="J3809" t="n">
        <v>96</v>
      </c>
      <c r="K3809" t="n">
        <v>145</v>
      </c>
      <c r="L3809" t="n">
        <v>7705</v>
      </c>
      <c r="M3809" t="n">
        <v>9500</v>
      </c>
      <c r="N3809" t="n">
        <v>33</v>
      </c>
      <c r="O3809" t="n">
        <v>0.33</v>
      </c>
      <c r="P3809" t="n">
        <v>1</v>
      </c>
      <c r="Q3809" t="n">
        <v>1.02</v>
      </c>
      <c r="R3809" t="n">
        <v>6</v>
      </c>
      <c r="S3809" t="n">
        <v>72010.95</v>
      </c>
      <c r="T3809" t="n">
        <v>151</v>
      </c>
      <c r="U3809" t="n">
        <v>189</v>
      </c>
      <c r="V3809" t="n">
        <v>30</v>
      </c>
      <c r="W3809" t="n">
        <v>228</v>
      </c>
      <c r="X3809" t="n">
        <v>6.728143428186963</v>
      </c>
      <c r="Y3809" t="n">
        <v>1</v>
      </c>
      <c r="Z3809" t="n">
        <v>32</v>
      </c>
      <c r="AA3809" t="n">
        <v>32</v>
      </c>
      <c r="AB3809" t="n">
        <v>0</v>
      </c>
      <c r="AC3809" t="n">
        <v>0</v>
      </c>
      <c r="AD3809" t="n">
        <v>246560</v>
      </c>
      <c r="AE3809" t="n">
        <v>0</v>
      </c>
      <c r="AF3809" t="n">
        <v>12488</v>
      </c>
      <c r="AG3809" t="n">
        <v>3502</v>
      </c>
      <c r="AH3809" t="inlineStr">
        <is>
          <t>PT. SAI - PPN (PDG)</t>
        </is>
      </c>
      <c r="AI3809" t="n">
        <v>137</v>
      </c>
      <c r="AJ3809" t="inlineStr">
        <is>
          <t>SARIAYU</t>
        </is>
      </c>
      <c r="AK3809" t="n">
        <v>9</v>
      </c>
      <c r="AL3809" t="inlineStr">
        <is>
          <t>Miss Glam Jambi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SCARLETT</t>
        </is>
      </c>
      <c r="B3810" s="2">
        <f>"8997236030821"</f>
        <v/>
      </c>
      <c r="C3810" t="inlineStr">
        <is>
          <t>SCARLETT 7X Ceramide Barrier Up Moisturizer 20gr</t>
        </is>
      </c>
      <c r="D3810" t="inlineStr">
        <is>
          <t>Miss Glam Jambi</t>
        </is>
      </c>
      <c r="E3810" t="n">
        <v>6</v>
      </c>
      <c r="F3810" t="n">
        <v>0.09569999999999999</v>
      </c>
      <c r="G3810" t="n">
        <v>0.33</v>
      </c>
      <c r="H3810" t="n">
        <v>4</v>
      </c>
      <c r="I3810" t="n">
        <v>8</v>
      </c>
      <c r="J3810" t="n">
        <v>3</v>
      </c>
      <c r="K3810" t="n">
        <v>0</v>
      </c>
      <c r="L3810" t="n">
        <v>48275</v>
      </c>
      <c r="M3810" t="n">
        <v>55000</v>
      </c>
      <c r="N3810" t="n">
        <v>33</v>
      </c>
      <c r="O3810" t="n">
        <v>0.33</v>
      </c>
      <c r="P3810" t="n">
        <v>1</v>
      </c>
      <c r="Q3810" t="n">
        <v>0.05</v>
      </c>
      <c r="R3810" t="n">
        <v>2</v>
      </c>
      <c r="S3810" t="n">
        <v>5263.5</v>
      </c>
      <c r="T3810" t="n">
        <v>3</v>
      </c>
      <c r="U3810" t="n">
        <v>4</v>
      </c>
      <c r="V3810" t="n">
        <v>30</v>
      </c>
      <c r="W3810" t="n">
        <v>3</v>
      </c>
      <c r="X3810" t="n">
        <v>62.69592476489029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10686</v>
      </c>
      <c r="AG3810" t="n">
        <v>2378</v>
      </c>
      <c r="AH3810" t="inlineStr">
        <is>
          <t>PT. KURNIA MAJU PERKASA - PPN (PDG)</t>
        </is>
      </c>
      <c r="AI3810" t="n">
        <v>22</v>
      </c>
      <c r="AJ3810" t="inlineStr">
        <is>
          <t>SCARLETT</t>
        </is>
      </c>
      <c r="AK3810" t="n">
        <v>9</v>
      </c>
      <c r="AL3810" t="inlineStr">
        <is>
          <t>Miss Glam Jambi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SCARLETT</t>
        </is>
      </c>
      <c r="B3811" s="2">
        <f>"8997236030166"</f>
        <v/>
      </c>
      <c r="C3811" t="inlineStr">
        <is>
          <t>SCARLETT Acne Day Cream 20g</t>
        </is>
      </c>
      <c r="D3811" t="inlineStr">
        <is>
          <t>Miss Glam Jambi</t>
        </is>
      </c>
      <c r="E3811" t="n">
        <v>3</v>
      </c>
      <c r="F3811" t="n">
        <v>0.0264</v>
      </c>
      <c r="G3811" t="n">
        <v>0.66</v>
      </c>
      <c r="H3811" t="n">
        <v>4</v>
      </c>
      <c r="I3811" t="n">
        <v>8</v>
      </c>
      <c r="J3811" t="n">
        <v>3</v>
      </c>
      <c r="K3811" t="n">
        <v>0</v>
      </c>
      <c r="L3811" t="n">
        <v>51000</v>
      </c>
      <c r="M3811" t="n">
        <v>55000</v>
      </c>
      <c r="N3811" t="n">
        <v>33</v>
      </c>
      <c r="O3811" t="n">
        <v>0.33</v>
      </c>
      <c r="P3811" t="n">
        <v>1</v>
      </c>
      <c r="Q3811" t="n">
        <v>0.07000000000000001</v>
      </c>
      <c r="R3811" t="n">
        <v>1</v>
      </c>
      <c r="S3811" t="n">
        <v>1452</v>
      </c>
      <c r="T3811" t="n">
        <v>6</v>
      </c>
      <c r="U3811" t="n">
        <v>7</v>
      </c>
      <c r="V3811" t="n">
        <v>30</v>
      </c>
      <c r="W3811" t="n">
        <v>1</v>
      </c>
      <c r="X3811" t="n">
        <v>113.6363636363636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10686</v>
      </c>
      <c r="AG3811" t="n">
        <v>2378</v>
      </c>
      <c r="AH3811" t="inlineStr">
        <is>
          <t>PT. KURNIA MAJU PERKASA - PPN (PDG)</t>
        </is>
      </c>
      <c r="AI3811" t="n">
        <v>22</v>
      </c>
      <c r="AJ3811" t="inlineStr">
        <is>
          <t>SCARLETT</t>
        </is>
      </c>
      <c r="AK3811" t="n">
        <v>9</v>
      </c>
      <c r="AL3811" t="inlineStr">
        <is>
          <t>Miss Glam Jambi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SCARLETT</t>
        </is>
      </c>
      <c r="B3812" s="2">
        <f>"8997236030296"</f>
        <v/>
      </c>
      <c r="C3812" t="inlineStr">
        <is>
          <t>SCARLETT Acne Essence Toner 100ml</t>
        </is>
      </c>
      <c r="D3812" t="inlineStr">
        <is>
          <t>Miss Glam Jambi</t>
        </is>
      </c>
      <c r="E3812" t="n">
        <v>3</v>
      </c>
      <c r="F3812" t="n">
        <v>0.02</v>
      </c>
      <c r="G3812" t="n">
        <v>1</v>
      </c>
      <c r="H3812" t="n">
        <v>4</v>
      </c>
      <c r="I3812" t="n">
        <v>8</v>
      </c>
      <c r="J3812" t="n">
        <v>3</v>
      </c>
      <c r="K3812" t="n">
        <v>0</v>
      </c>
      <c r="L3812" t="n">
        <v>51000</v>
      </c>
      <c r="M3812" t="n">
        <v>55000</v>
      </c>
      <c r="N3812" t="n">
        <v>33</v>
      </c>
      <c r="O3812" t="n">
        <v>0.33</v>
      </c>
      <c r="P3812" t="n">
        <v>0</v>
      </c>
      <c r="Q3812" t="n">
        <v>0.02</v>
      </c>
      <c r="R3812" t="n">
        <v>1</v>
      </c>
      <c r="S3812" t="n">
        <v>1100</v>
      </c>
      <c r="T3812" t="n">
        <v>8</v>
      </c>
      <c r="U3812" t="n">
        <v>9</v>
      </c>
      <c r="V3812" t="n">
        <v>30</v>
      </c>
      <c r="W3812" t="n">
        <v>1</v>
      </c>
      <c r="X3812" t="n">
        <v>150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10686</v>
      </c>
      <c r="AG3812" t="n">
        <v>2378</v>
      </c>
      <c r="AH3812" t="inlineStr">
        <is>
          <t>PT. KURNIA MAJU PERKASA - PPN (PDG)</t>
        </is>
      </c>
      <c r="AI3812" t="n">
        <v>22</v>
      </c>
      <c r="AJ3812" t="inlineStr">
        <is>
          <t>SCARLETT</t>
        </is>
      </c>
      <c r="AK3812" t="n">
        <v>9</v>
      </c>
      <c r="AL3812" t="inlineStr">
        <is>
          <t>Miss Glam Jambi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SCARLETT</t>
        </is>
      </c>
      <c r="B3813" s="2">
        <f>"8997236030579"</f>
        <v/>
      </c>
      <c r="C3813" t="inlineStr">
        <is>
          <t>SCARLETT Acne Facial Wash 100ml</t>
        </is>
      </c>
      <c r="D3813" t="inlineStr">
        <is>
          <t>Miss Glam Jambi</t>
        </is>
      </c>
      <c r="E3813" t="n">
        <v>7</v>
      </c>
      <c r="F3813" t="n">
        <v>0.1122</v>
      </c>
      <c r="G3813" t="n">
        <v>0.66</v>
      </c>
      <c r="H3813" t="n">
        <v>4</v>
      </c>
      <c r="I3813" t="n">
        <v>8</v>
      </c>
      <c r="J3813" t="n">
        <v>3</v>
      </c>
      <c r="K3813" t="n">
        <v>0</v>
      </c>
      <c r="L3813" t="n">
        <v>48276</v>
      </c>
      <c r="M3813" t="n">
        <v>55000</v>
      </c>
      <c r="N3813" t="n">
        <v>33</v>
      </c>
      <c r="O3813" t="n">
        <v>0.33</v>
      </c>
      <c r="P3813" t="n">
        <v>1</v>
      </c>
      <c r="Q3813" t="n">
        <v>0.17</v>
      </c>
      <c r="R3813" t="n">
        <v>1</v>
      </c>
      <c r="S3813" t="n">
        <v>6171</v>
      </c>
      <c r="T3813" t="n">
        <v>5</v>
      </c>
      <c r="U3813" t="n">
        <v>6</v>
      </c>
      <c r="V3813" t="n">
        <v>30</v>
      </c>
      <c r="W3813" t="n">
        <v>4</v>
      </c>
      <c r="X3813" t="n">
        <v>62.3885918003565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10686</v>
      </c>
      <c r="AG3813" t="n">
        <v>2378</v>
      </c>
      <c r="AH3813" t="inlineStr">
        <is>
          <t>PT. KURNIA MAJU PERKASA - PPN (PDG)</t>
        </is>
      </c>
      <c r="AI3813" t="n">
        <v>22</v>
      </c>
      <c r="AJ3813" t="inlineStr">
        <is>
          <t>SCARLETT</t>
        </is>
      </c>
      <c r="AK3813" t="n">
        <v>9</v>
      </c>
      <c r="AL3813" t="inlineStr">
        <is>
          <t>Miss Glam Jambi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SCARLETT</t>
        </is>
      </c>
      <c r="B3814" s="2">
        <f>"8997236030173"</f>
        <v/>
      </c>
      <c r="C3814" t="inlineStr">
        <is>
          <t>SCARLETT Acne Night Cream 20g</t>
        </is>
      </c>
      <c r="D3814" t="inlineStr">
        <is>
          <t>Miss Glam Jambi</t>
        </is>
      </c>
      <c r="E3814" t="n">
        <v>1</v>
      </c>
      <c r="F3814" t="n">
        <v>0.1</v>
      </c>
      <c r="G3814" t="n">
        <v>2</v>
      </c>
      <c r="H3814" t="n">
        <v>4</v>
      </c>
      <c r="I3814" t="n">
        <v>8</v>
      </c>
      <c r="J3814" t="n">
        <v>3</v>
      </c>
      <c r="K3814" t="n">
        <v>3</v>
      </c>
      <c r="L3814" t="n">
        <v>51000</v>
      </c>
      <c r="M3814" t="n">
        <v>55000</v>
      </c>
      <c r="N3814" t="n">
        <v>33</v>
      </c>
      <c r="O3814" t="n">
        <v>0.33</v>
      </c>
      <c r="P3814" t="n">
        <v>0</v>
      </c>
      <c r="Q3814" t="n">
        <v>0.1</v>
      </c>
      <c r="R3814" t="n">
        <v>2</v>
      </c>
      <c r="S3814" t="n">
        <v>5500</v>
      </c>
      <c r="T3814" t="n">
        <v>16</v>
      </c>
      <c r="U3814" t="n">
        <v>17</v>
      </c>
      <c r="V3814" t="n">
        <v>30</v>
      </c>
      <c r="W3814" t="n">
        <v>3</v>
      </c>
      <c r="X3814" t="n">
        <v>10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10686</v>
      </c>
      <c r="AG3814" t="n">
        <v>2378</v>
      </c>
      <c r="AH3814" t="inlineStr">
        <is>
          <t>PT. KURNIA MAJU PERKASA - PPN (PDG)</t>
        </is>
      </c>
      <c r="AI3814" t="n">
        <v>22</v>
      </c>
      <c r="AJ3814" t="inlineStr">
        <is>
          <t>SCARLETT</t>
        </is>
      </c>
      <c r="AK3814" t="n">
        <v>9</v>
      </c>
      <c r="AL3814" t="inlineStr">
        <is>
          <t>Miss Glam Jambi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SCARLETT</t>
        </is>
      </c>
      <c r="B3815" s="2">
        <f>"8997236030005"</f>
        <v/>
      </c>
      <c r="C3815" t="inlineStr">
        <is>
          <t>SCARLETT Acne Serum 15ml</t>
        </is>
      </c>
      <c r="D3815" t="inlineStr">
        <is>
          <t>Miss Glam Jambi</t>
        </is>
      </c>
      <c r="E3815" t="n">
        <v>6</v>
      </c>
      <c r="F3815" t="n">
        <v>0.1683</v>
      </c>
      <c r="G3815" t="n">
        <v>0.66</v>
      </c>
      <c r="H3815" t="n">
        <v>4</v>
      </c>
      <c r="I3815" t="n">
        <v>8</v>
      </c>
      <c r="J3815" t="n">
        <v>3</v>
      </c>
      <c r="K3815" t="n">
        <v>3</v>
      </c>
      <c r="L3815" t="n">
        <v>50046</v>
      </c>
      <c r="M3815" t="n">
        <v>55000</v>
      </c>
      <c r="N3815" t="n">
        <v>33</v>
      </c>
      <c r="O3815" t="n">
        <v>0.33</v>
      </c>
      <c r="P3815" t="n">
        <v>1</v>
      </c>
      <c r="Q3815" t="n">
        <v>0.24</v>
      </c>
      <c r="R3815" t="n">
        <v>2</v>
      </c>
      <c r="S3815" t="n">
        <v>9256.5</v>
      </c>
      <c r="T3815" t="n">
        <v>5</v>
      </c>
      <c r="U3815" t="n">
        <v>6</v>
      </c>
      <c r="V3815" t="n">
        <v>30</v>
      </c>
      <c r="W3815" t="n">
        <v>6</v>
      </c>
      <c r="X3815" t="n">
        <v>35.650623885918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10686</v>
      </c>
      <c r="AG3815" t="n">
        <v>2378</v>
      </c>
      <c r="AH3815" t="inlineStr">
        <is>
          <t>PT. KURNIA MAJU PERKASA - PPN (PDG)</t>
        </is>
      </c>
      <c r="AI3815" t="n">
        <v>22</v>
      </c>
      <c r="AJ3815" t="inlineStr">
        <is>
          <t>SCARLETT</t>
        </is>
      </c>
      <c r="AK3815" t="n">
        <v>9</v>
      </c>
      <c r="AL3815" t="inlineStr">
        <is>
          <t>Miss Glam Jambi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SCARLETT</t>
        </is>
      </c>
      <c r="B3816" s="2">
        <f>"304002156537"</f>
        <v/>
      </c>
      <c r="C3816" t="inlineStr">
        <is>
          <t>SCARLETT Biru Samudra Floral Musky Fruity 30ml</t>
        </is>
      </c>
      <c r="D3816" t="inlineStr">
        <is>
          <t>Miss Glam Jambi</t>
        </is>
      </c>
      <c r="E3816" t="n">
        <v>0</v>
      </c>
      <c r="F3816" t="n">
        <v>0.09</v>
      </c>
      <c r="G3816" t="n">
        <v>1</v>
      </c>
      <c r="H3816" t="n">
        <v>4</v>
      </c>
      <c r="I3816" t="n">
        <v>8</v>
      </c>
      <c r="J3816" t="n">
        <v>3</v>
      </c>
      <c r="K3816" t="n">
        <v>3</v>
      </c>
      <c r="L3816" t="n">
        <v>55375</v>
      </c>
      <c r="M3816" t="n">
        <v>65000</v>
      </c>
      <c r="N3816" t="n">
        <v>33</v>
      </c>
      <c r="O3816" t="n">
        <v>0.33</v>
      </c>
      <c r="P3816" t="n">
        <v>0</v>
      </c>
      <c r="Q3816" t="n">
        <v>0.09</v>
      </c>
      <c r="R3816" t="n">
        <v>1</v>
      </c>
      <c r="S3816" t="n">
        <v>5850</v>
      </c>
      <c r="T3816" t="n">
        <v>8</v>
      </c>
      <c r="U3816" t="n">
        <v>9</v>
      </c>
      <c r="V3816" t="n">
        <v>30</v>
      </c>
      <c r="W3816" t="n">
        <v>3</v>
      </c>
      <c r="X3816" t="n">
        <v>0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10686</v>
      </c>
      <c r="AG3816" t="n">
        <v>2378</v>
      </c>
      <c r="AH3816" t="inlineStr">
        <is>
          <t>PT. KURNIA MAJU PERKASA - PPN (PDG)</t>
        </is>
      </c>
      <c r="AI3816" t="n">
        <v>22</v>
      </c>
      <c r="AJ3816" t="inlineStr">
        <is>
          <t>SCARLETT</t>
        </is>
      </c>
      <c r="AK3816" t="n">
        <v>9</v>
      </c>
      <c r="AL3816" t="inlineStr">
        <is>
          <t>Miss Glam Jambi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SCARLETT</t>
        </is>
      </c>
      <c r="B3817" s="2">
        <f>"8993002680009"</f>
        <v/>
      </c>
      <c r="C3817" t="inlineStr">
        <is>
          <t>SCARLETT BL Chaarming Moodbooster 300ml</t>
        </is>
      </c>
      <c r="D3817" t="inlineStr">
        <is>
          <t>Miss Glam Jambi</t>
        </is>
      </c>
      <c r="E3817" t="n">
        <v>10</v>
      </c>
      <c r="F3817" t="n">
        <v>0.5973000000000001</v>
      </c>
      <c r="G3817" t="n">
        <v>1.98</v>
      </c>
      <c r="H3817" t="n">
        <v>4</v>
      </c>
      <c r="I3817" t="n">
        <v>8</v>
      </c>
      <c r="J3817" t="n">
        <v>12</v>
      </c>
      <c r="K3817" t="n">
        <v>12</v>
      </c>
      <c r="L3817" t="n">
        <v>53890</v>
      </c>
      <c r="M3817" t="n">
        <v>59000</v>
      </c>
      <c r="N3817" t="n">
        <v>33</v>
      </c>
      <c r="O3817" t="n">
        <v>0.33</v>
      </c>
      <c r="P3817" t="n">
        <v>1</v>
      </c>
      <c r="Q3817" t="n">
        <v>0.14</v>
      </c>
      <c r="R3817" t="n">
        <v>1</v>
      </c>
      <c r="S3817" t="n">
        <v>35240.7</v>
      </c>
      <c r="T3817" t="n">
        <v>14</v>
      </c>
      <c r="U3817" t="n">
        <v>17</v>
      </c>
      <c r="V3817" t="n">
        <v>30</v>
      </c>
      <c r="W3817" t="n">
        <v>18</v>
      </c>
      <c r="X3817" t="n">
        <v>16.74200569228194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10686</v>
      </c>
      <c r="AG3817" t="n">
        <v>2378</v>
      </c>
      <c r="AH3817" t="inlineStr">
        <is>
          <t>PT. KURNIA MAJU PERKASA - PPN (PDG)</t>
        </is>
      </c>
      <c r="AI3817" t="n">
        <v>22</v>
      </c>
      <c r="AJ3817" t="inlineStr">
        <is>
          <t>SCARLETT</t>
        </is>
      </c>
      <c r="AK3817" t="n">
        <v>9</v>
      </c>
      <c r="AL3817" t="inlineStr">
        <is>
          <t>Miss Glam Jambi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SCARLETT</t>
        </is>
      </c>
      <c r="B3818" s="2">
        <f>"8993002680023"</f>
        <v/>
      </c>
      <c r="C3818" t="inlineStr">
        <is>
          <t>SCARLETT BL Freshy Moodbooster 300ml</t>
        </is>
      </c>
      <c r="D3818" t="inlineStr">
        <is>
          <t>Miss Glam Jambi</t>
        </is>
      </c>
      <c r="E3818" t="n">
        <v>12</v>
      </c>
      <c r="F3818" t="n">
        <v>0.1749</v>
      </c>
      <c r="G3818" t="n">
        <v>0.99</v>
      </c>
      <c r="H3818" t="n">
        <v>4</v>
      </c>
      <c r="I3818" t="n">
        <v>8</v>
      </c>
      <c r="J3818" t="n">
        <v>12</v>
      </c>
      <c r="K3818" t="n">
        <v>0</v>
      </c>
      <c r="L3818" t="n">
        <v>54214</v>
      </c>
      <c r="M3818" t="n">
        <v>59000</v>
      </c>
      <c r="N3818" t="n">
        <v>33</v>
      </c>
      <c r="O3818" t="n">
        <v>0.33</v>
      </c>
      <c r="P3818" t="n">
        <v>1</v>
      </c>
      <c r="Q3818" t="n">
        <v>0.2</v>
      </c>
      <c r="R3818" t="n">
        <v>2</v>
      </c>
      <c r="S3818" t="n">
        <v>10319.1</v>
      </c>
      <c r="T3818" t="n">
        <v>8</v>
      </c>
      <c r="U3818" t="n">
        <v>9</v>
      </c>
      <c r="V3818" t="n">
        <v>30</v>
      </c>
      <c r="W3818" t="n">
        <v>6</v>
      </c>
      <c r="X3818" t="n">
        <v>68.61063464837049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10686</v>
      </c>
      <c r="AG3818" t="n">
        <v>2378</v>
      </c>
      <c r="AH3818" t="inlineStr">
        <is>
          <t>PT. KURNIA MAJU PERKASA - PPN (PDG)</t>
        </is>
      </c>
      <c r="AI3818" t="n">
        <v>22</v>
      </c>
      <c r="AJ3818" t="inlineStr">
        <is>
          <t>SCARLETT</t>
        </is>
      </c>
      <c r="AK3818" t="n">
        <v>9</v>
      </c>
      <c r="AL3818" t="inlineStr">
        <is>
          <t>Miss Glam Jambi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SCARLETT</t>
        </is>
      </c>
      <c r="B3819" s="2">
        <f>"8993002680061"</f>
        <v/>
      </c>
      <c r="C3819" t="inlineStr">
        <is>
          <t>SCARLETT BL Happy Moodbooster 300ml</t>
        </is>
      </c>
      <c r="D3819" t="inlineStr">
        <is>
          <t>Miss Glam Jambi</t>
        </is>
      </c>
      <c r="E3819" t="n">
        <v>9</v>
      </c>
      <c r="F3819" t="n">
        <v>0.2244</v>
      </c>
      <c r="G3819" t="n">
        <v>0.99</v>
      </c>
      <c r="H3819" t="n">
        <v>4</v>
      </c>
      <c r="I3819" t="n">
        <v>8</v>
      </c>
      <c r="J3819" t="n">
        <v>3</v>
      </c>
      <c r="K3819" t="n">
        <v>0</v>
      </c>
      <c r="L3819" t="n">
        <v>54213</v>
      </c>
      <c r="M3819" t="n">
        <v>59000</v>
      </c>
      <c r="N3819" t="n">
        <v>33</v>
      </c>
      <c r="O3819" t="n">
        <v>0.33</v>
      </c>
      <c r="P3819" t="n">
        <v>1</v>
      </c>
      <c r="Q3819" t="n">
        <v>0.15</v>
      </c>
      <c r="R3819" t="n">
        <v>2</v>
      </c>
      <c r="S3819" t="n">
        <v>13239.6</v>
      </c>
      <c r="T3819" t="n">
        <v>8</v>
      </c>
      <c r="U3819" t="n">
        <v>9</v>
      </c>
      <c r="V3819" t="n">
        <v>30</v>
      </c>
      <c r="W3819" t="n">
        <v>7</v>
      </c>
      <c r="X3819" t="n">
        <v>40.10695187165775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10686</v>
      </c>
      <c r="AG3819" t="n">
        <v>2378</v>
      </c>
      <c r="AH3819" t="inlineStr">
        <is>
          <t>PT. KURNIA MAJU PERKASA - PPN (PDG)</t>
        </is>
      </c>
      <c r="AI3819" t="n">
        <v>22</v>
      </c>
      <c r="AJ3819" t="inlineStr">
        <is>
          <t>SCARLETT</t>
        </is>
      </c>
      <c r="AK3819" t="n">
        <v>9</v>
      </c>
      <c r="AL3819" t="inlineStr">
        <is>
          <t>Miss Glam Jambi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SCARLETT</t>
        </is>
      </c>
      <c r="B3820" s="2">
        <f>"8993002680047"</f>
        <v/>
      </c>
      <c r="C3820" t="inlineStr">
        <is>
          <t>SCARLETT BL Jolly Moodbooster 300ml</t>
        </is>
      </c>
      <c r="D3820" t="inlineStr">
        <is>
          <t>Miss Glam Jambi</t>
        </is>
      </c>
      <c r="E3820" t="n">
        <v>28</v>
      </c>
      <c r="F3820" t="n">
        <v>0.8282999999999999</v>
      </c>
      <c r="G3820" t="n">
        <v>2.64</v>
      </c>
      <c r="H3820" t="n">
        <v>4</v>
      </c>
      <c r="I3820" t="n">
        <v>8</v>
      </c>
      <c r="J3820" t="n">
        <v>3</v>
      </c>
      <c r="K3820" t="n">
        <v>0</v>
      </c>
      <c r="L3820" t="n">
        <v>53838</v>
      </c>
      <c r="M3820" t="n">
        <v>59000</v>
      </c>
      <c r="N3820" t="n">
        <v>33</v>
      </c>
      <c r="O3820" t="n">
        <v>0.33</v>
      </c>
      <c r="P3820" t="n">
        <v>1</v>
      </c>
      <c r="Q3820" t="n">
        <v>0.47</v>
      </c>
      <c r="R3820" t="n">
        <v>2</v>
      </c>
      <c r="S3820" t="n">
        <v>48869.7</v>
      </c>
      <c r="T3820" t="n">
        <v>18</v>
      </c>
      <c r="U3820" t="n">
        <v>22</v>
      </c>
      <c r="V3820" t="n">
        <v>30</v>
      </c>
      <c r="W3820" t="n">
        <v>25</v>
      </c>
      <c r="X3820" t="n">
        <v>33.80417723047206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10686</v>
      </c>
      <c r="AG3820" t="n">
        <v>2378</v>
      </c>
      <c r="AH3820" t="inlineStr">
        <is>
          <t>PT. KURNIA MAJU PERKASA - PPN (PDG)</t>
        </is>
      </c>
      <c r="AI3820" t="n">
        <v>22</v>
      </c>
      <c r="AJ3820" t="inlineStr">
        <is>
          <t>SCARLETT</t>
        </is>
      </c>
      <c r="AK3820" t="n">
        <v>9</v>
      </c>
      <c r="AL3820" t="inlineStr">
        <is>
          <t>Miss Glam Jambi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SCARLETT</t>
        </is>
      </c>
      <c r="B3821" s="2">
        <f>"8993002680030"</f>
        <v/>
      </c>
      <c r="C3821" t="inlineStr">
        <is>
          <t>SCARLETT BL Romansa Moodbooster 300ml</t>
        </is>
      </c>
      <c r="D3821" t="inlineStr">
        <is>
          <t>Miss Glam Jambi</t>
        </is>
      </c>
      <c r="E3821" t="n">
        <v>7</v>
      </c>
      <c r="F3821" t="n">
        <v>0.2508</v>
      </c>
      <c r="G3821" t="n">
        <v>1.98</v>
      </c>
      <c r="H3821" t="n">
        <v>4</v>
      </c>
      <c r="I3821" t="n">
        <v>8</v>
      </c>
      <c r="J3821" t="n">
        <v>3</v>
      </c>
      <c r="K3821" t="n">
        <v>3</v>
      </c>
      <c r="L3821" t="n">
        <v>53765</v>
      </c>
      <c r="M3821" t="n">
        <v>59000</v>
      </c>
      <c r="N3821" t="n">
        <v>33</v>
      </c>
      <c r="O3821" t="n">
        <v>0.33</v>
      </c>
      <c r="P3821" t="n">
        <v>1</v>
      </c>
      <c r="Q3821" t="n">
        <v>0.25</v>
      </c>
      <c r="R3821" t="n">
        <v>2</v>
      </c>
      <c r="S3821" t="n">
        <v>14797.2</v>
      </c>
      <c r="T3821" t="n">
        <v>15</v>
      </c>
      <c r="U3821" t="n">
        <v>17</v>
      </c>
      <c r="V3821" t="n">
        <v>30</v>
      </c>
      <c r="W3821" t="n">
        <v>8</v>
      </c>
      <c r="X3821" t="n">
        <v>27.91068580542264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10686</v>
      </c>
      <c r="AG3821" t="n">
        <v>2378</v>
      </c>
      <c r="AH3821" t="inlineStr">
        <is>
          <t>PT. KURNIA MAJU PERKASA - PPN (PDG)</t>
        </is>
      </c>
      <c r="AI3821" t="n">
        <v>22</v>
      </c>
      <c r="AJ3821" t="inlineStr">
        <is>
          <t>SCARLETT</t>
        </is>
      </c>
      <c r="AK3821" t="n">
        <v>9</v>
      </c>
      <c r="AL3821" t="inlineStr">
        <is>
          <t>Miss Glam Jambi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SCARLETT</t>
        </is>
      </c>
      <c r="B3822" s="2">
        <f>"8993002010509"</f>
        <v/>
      </c>
      <c r="C3822" t="inlineStr">
        <is>
          <t>SCARLETT Body Serum Charming 250ml</t>
        </is>
      </c>
      <c r="D3822" t="inlineStr">
        <is>
          <t>Miss Glam Jambi</t>
        </is>
      </c>
      <c r="E3822" t="n">
        <v>5</v>
      </c>
      <c r="F3822" t="n">
        <v>0.1353</v>
      </c>
      <c r="G3822" t="n">
        <v>0.66</v>
      </c>
      <c r="H3822" t="n">
        <v>4</v>
      </c>
      <c r="I3822" t="n">
        <v>8</v>
      </c>
      <c r="J3822" t="n">
        <v>6</v>
      </c>
      <c r="K3822" t="n">
        <v>0</v>
      </c>
      <c r="L3822" t="n">
        <v>48892</v>
      </c>
      <c r="M3822" t="n">
        <v>55000</v>
      </c>
      <c r="N3822" t="n">
        <v>33</v>
      </c>
      <c r="O3822" t="n">
        <v>0.33</v>
      </c>
      <c r="P3822" t="n">
        <v>1</v>
      </c>
      <c r="Q3822" t="n">
        <v>0.07000000000000001</v>
      </c>
      <c r="R3822" t="n">
        <v>1</v>
      </c>
      <c r="S3822" t="n">
        <v>7441.5</v>
      </c>
      <c r="T3822" t="n">
        <v>5</v>
      </c>
      <c r="U3822" t="n">
        <v>6</v>
      </c>
      <c r="V3822" t="n">
        <v>30</v>
      </c>
      <c r="W3822" t="n">
        <v>5</v>
      </c>
      <c r="X3822" t="n">
        <v>36.95491500369549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10686</v>
      </c>
      <c r="AG3822" t="n">
        <v>2378</v>
      </c>
      <c r="AH3822" t="inlineStr">
        <is>
          <t>PT. KURNIA MAJU PERKASA - PPN (PDG)</t>
        </is>
      </c>
      <c r="AI3822" t="n">
        <v>22</v>
      </c>
      <c r="AJ3822" t="inlineStr">
        <is>
          <t>SCARLETT</t>
        </is>
      </c>
      <c r="AK3822" t="n">
        <v>9</v>
      </c>
      <c r="AL3822" t="inlineStr">
        <is>
          <t>Miss Glam Jambi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SCARLETT</t>
        </is>
      </c>
      <c r="B3823" s="2">
        <f>"8993002010493"</f>
        <v/>
      </c>
      <c r="C3823" t="inlineStr">
        <is>
          <t>SCARLETT Body Serum Jolly 250ml</t>
        </is>
      </c>
      <c r="D3823" t="inlineStr">
        <is>
          <t>Miss Glam Jambi</t>
        </is>
      </c>
      <c r="E3823" t="n">
        <v>5</v>
      </c>
      <c r="F3823" t="n">
        <v>0.1452</v>
      </c>
      <c r="G3823" t="n">
        <v>0.99</v>
      </c>
      <c r="H3823" t="n">
        <v>4</v>
      </c>
      <c r="I3823" t="n">
        <v>8</v>
      </c>
      <c r="J3823" t="n">
        <v>6</v>
      </c>
      <c r="K3823" t="n">
        <v>0</v>
      </c>
      <c r="L3823" t="n">
        <v>48241</v>
      </c>
      <c r="M3823" t="n">
        <v>55000</v>
      </c>
      <c r="N3823" t="n">
        <v>33</v>
      </c>
      <c r="O3823" t="n">
        <v>0.33</v>
      </c>
      <c r="P3823" t="n">
        <v>1</v>
      </c>
      <c r="Q3823" t="n">
        <v>0.14</v>
      </c>
      <c r="R3823" t="n">
        <v>1</v>
      </c>
      <c r="S3823" t="n">
        <v>7986</v>
      </c>
      <c r="T3823" t="n">
        <v>8</v>
      </c>
      <c r="U3823" t="n">
        <v>9</v>
      </c>
      <c r="V3823" t="n">
        <v>30</v>
      </c>
      <c r="W3823" t="n">
        <v>5</v>
      </c>
      <c r="X3823" t="n">
        <v>34.43526170798898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10686</v>
      </c>
      <c r="AG3823" t="n">
        <v>2378</v>
      </c>
      <c r="AH3823" t="inlineStr">
        <is>
          <t>PT. KURNIA MAJU PERKASA - PPN (PDG)</t>
        </is>
      </c>
      <c r="AI3823" t="n">
        <v>22</v>
      </c>
      <c r="AJ3823" t="inlineStr">
        <is>
          <t>SCARLETT</t>
        </is>
      </c>
      <c r="AK3823" t="n">
        <v>9</v>
      </c>
      <c r="AL3823" t="inlineStr">
        <is>
          <t>Miss Glam Jambi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SCARLETT</t>
        </is>
      </c>
      <c r="B3824" s="2">
        <f>"8993002010851"</f>
        <v/>
      </c>
      <c r="C3824" t="inlineStr">
        <is>
          <t>SCARLETT Body Serum Loving 250ml</t>
        </is>
      </c>
      <c r="D3824" t="inlineStr">
        <is>
          <t>Miss Glam Jambi</t>
        </is>
      </c>
      <c r="E3824" t="n">
        <v>4</v>
      </c>
      <c r="F3824" t="n">
        <v>0.02</v>
      </c>
      <c r="G3824" t="n">
        <v>1</v>
      </c>
      <c r="H3824" t="n">
        <v>4</v>
      </c>
      <c r="I3824" t="n">
        <v>8</v>
      </c>
      <c r="J3824" t="n">
        <v>6</v>
      </c>
      <c r="K3824" t="n">
        <v>0</v>
      </c>
      <c r="L3824" t="n">
        <v>48949</v>
      </c>
      <c r="M3824" t="n">
        <v>55000</v>
      </c>
      <c r="N3824" t="n">
        <v>33</v>
      </c>
      <c r="O3824" t="n">
        <v>0.33</v>
      </c>
      <c r="P3824" t="n">
        <v>0</v>
      </c>
      <c r="Q3824" t="n">
        <v>0.02</v>
      </c>
      <c r="R3824" t="n">
        <v>1</v>
      </c>
      <c r="S3824" t="n">
        <v>1100</v>
      </c>
      <c r="T3824" t="n">
        <v>8</v>
      </c>
      <c r="U3824" t="n">
        <v>9</v>
      </c>
      <c r="V3824" t="n">
        <v>30</v>
      </c>
      <c r="W3824" t="n">
        <v>1</v>
      </c>
      <c r="X3824" t="n">
        <v>200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10686</v>
      </c>
      <c r="AG3824" t="n">
        <v>2378</v>
      </c>
      <c r="AH3824" t="inlineStr">
        <is>
          <t>PT. KURNIA MAJU PERKASA - PPN (PDG)</t>
        </is>
      </c>
      <c r="AI3824" t="n">
        <v>22</v>
      </c>
      <c r="AJ3824" t="inlineStr">
        <is>
          <t>SCARLETT</t>
        </is>
      </c>
      <c r="AK3824" t="n">
        <v>9</v>
      </c>
      <c r="AL3824" t="inlineStr">
        <is>
          <t>Miss Glam Jambi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SCARLETT</t>
        </is>
      </c>
      <c r="B3825" s="2">
        <f>"30100170443"</f>
        <v/>
      </c>
      <c r="C3825" t="inlineStr">
        <is>
          <t>SCARLETT Body Wash Acne Care Shower Serum 400ml</t>
        </is>
      </c>
      <c r="D3825" t="inlineStr">
        <is>
          <t>Miss Glam Jambi</t>
        </is>
      </c>
      <c r="E3825" t="n">
        <v>5</v>
      </c>
      <c r="F3825" t="n">
        <v>0.009900000000000001</v>
      </c>
      <c r="G3825" t="n">
        <v>0.33</v>
      </c>
      <c r="H3825" t="n">
        <v>4</v>
      </c>
      <c r="I3825" t="n">
        <v>8</v>
      </c>
      <c r="J3825" t="n">
        <v>1</v>
      </c>
      <c r="K3825" t="n">
        <v>0</v>
      </c>
      <c r="L3825" t="n">
        <v>41866</v>
      </c>
      <c r="M3825" t="n">
        <v>55000</v>
      </c>
      <c r="N3825" t="n">
        <v>33</v>
      </c>
      <c r="O3825" t="n">
        <v>0.33</v>
      </c>
      <c r="P3825" t="n">
        <v>1</v>
      </c>
      <c r="Q3825" t="n">
        <v>0.02</v>
      </c>
      <c r="R3825" t="n">
        <v>1</v>
      </c>
      <c r="S3825" t="n">
        <v>544.5</v>
      </c>
      <c r="T3825" t="n">
        <v>3</v>
      </c>
      <c r="U3825" t="n">
        <v>4</v>
      </c>
      <c r="V3825" t="n">
        <v>30</v>
      </c>
      <c r="W3825" t="n">
        <v>1</v>
      </c>
      <c r="X3825" t="n">
        <v>505.050505050505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10686</v>
      </c>
      <c r="AG3825" t="n">
        <v>2378</v>
      </c>
      <c r="AH3825" t="inlineStr">
        <is>
          <t>PT. KURNIA MAJU PERKASA - PPN (PDG)</t>
        </is>
      </c>
      <c r="AI3825" t="n">
        <v>22</v>
      </c>
      <c r="AJ3825" t="inlineStr">
        <is>
          <t>SCARLETT</t>
        </is>
      </c>
      <c r="AK3825" t="n">
        <v>9</v>
      </c>
      <c r="AL3825" t="inlineStr">
        <is>
          <t>Miss Glam Jambi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SCARLETT</t>
        </is>
      </c>
      <c r="B3826" s="2">
        <f>"8997236030197"</f>
        <v/>
      </c>
      <c r="C3826" t="inlineStr">
        <is>
          <t>SCARLETT Brightly Aver After Day Cream 20g</t>
        </is>
      </c>
      <c r="D3826" t="inlineStr">
        <is>
          <t>Miss Glam Jambi</t>
        </is>
      </c>
      <c r="E3826" t="n">
        <v>8</v>
      </c>
      <c r="F3826" t="n">
        <v>0.1386</v>
      </c>
      <c r="G3826" t="n">
        <v>0.99</v>
      </c>
      <c r="H3826" t="n">
        <v>4</v>
      </c>
      <c r="I3826" t="n">
        <v>8</v>
      </c>
      <c r="J3826" t="n">
        <v>3</v>
      </c>
      <c r="K3826" t="n">
        <v>0</v>
      </c>
      <c r="L3826" t="n">
        <v>48228</v>
      </c>
      <c r="M3826" t="n">
        <v>55000</v>
      </c>
      <c r="N3826" t="n">
        <v>33</v>
      </c>
      <c r="O3826" t="n">
        <v>0.33</v>
      </c>
      <c r="P3826" t="n">
        <v>1</v>
      </c>
      <c r="Q3826" t="n">
        <v>0.12</v>
      </c>
      <c r="R3826" t="n">
        <v>2</v>
      </c>
      <c r="S3826" t="n">
        <v>7623</v>
      </c>
      <c r="T3826" t="n">
        <v>8</v>
      </c>
      <c r="U3826" t="n">
        <v>9</v>
      </c>
      <c r="V3826" t="n">
        <v>30</v>
      </c>
      <c r="W3826" t="n">
        <v>5</v>
      </c>
      <c r="X3826" t="n">
        <v>57.72005772005772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10686</v>
      </c>
      <c r="AG3826" t="n">
        <v>2378</v>
      </c>
      <c r="AH3826" t="inlineStr">
        <is>
          <t>PT. KURNIA MAJU PERKASA - PPN (PDG)</t>
        </is>
      </c>
      <c r="AI3826" t="n">
        <v>22</v>
      </c>
      <c r="AJ3826" t="inlineStr">
        <is>
          <t>SCARLETT</t>
        </is>
      </c>
      <c r="AK3826" t="n">
        <v>9</v>
      </c>
      <c r="AL3826" t="inlineStr">
        <is>
          <t>Miss Glam Jambi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SCARLETT</t>
        </is>
      </c>
      <c r="B3827" s="2">
        <f>"8997236030401"</f>
        <v/>
      </c>
      <c r="C3827" t="inlineStr">
        <is>
          <t>SCARLETT Brightly Essence Toner 100ml</t>
        </is>
      </c>
      <c r="D3827" t="inlineStr">
        <is>
          <t>Miss Glam Jambi</t>
        </is>
      </c>
      <c r="E3827" t="n">
        <v>4</v>
      </c>
      <c r="F3827" t="n">
        <v>0.0495</v>
      </c>
      <c r="G3827" t="n">
        <v>0.66</v>
      </c>
      <c r="H3827" t="n">
        <v>4</v>
      </c>
      <c r="I3827" t="n">
        <v>8</v>
      </c>
      <c r="J3827" t="n">
        <v>3</v>
      </c>
      <c r="K3827" t="n">
        <v>0</v>
      </c>
      <c r="L3827" t="n">
        <v>48154</v>
      </c>
      <c r="M3827" t="n">
        <v>63500</v>
      </c>
      <c r="N3827" t="n">
        <v>33</v>
      </c>
      <c r="O3827" t="n">
        <v>0.33</v>
      </c>
      <c r="P3827" t="n">
        <v>1</v>
      </c>
      <c r="Q3827" t="n">
        <v>0.03</v>
      </c>
      <c r="R3827" t="n">
        <v>1</v>
      </c>
      <c r="S3827" t="n">
        <v>3143.25</v>
      </c>
      <c r="T3827" t="n">
        <v>6</v>
      </c>
      <c r="U3827" t="n">
        <v>7</v>
      </c>
      <c r="V3827" t="n">
        <v>30</v>
      </c>
      <c r="W3827" t="n">
        <v>2</v>
      </c>
      <c r="X3827" t="n">
        <v>80.8080808080808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10686</v>
      </c>
      <c r="AG3827" t="n">
        <v>2378</v>
      </c>
      <c r="AH3827" t="inlineStr">
        <is>
          <t>PT. KURNIA MAJU PERKASA - PPN (PDG)</t>
        </is>
      </c>
      <c r="AI3827" t="n">
        <v>22</v>
      </c>
      <c r="AJ3827" t="inlineStr">
        <is>
          <t>SCARLETT</t>
        </is>
      </c>
      <c r="AK3827" t="n">
        <v>9</v>
      </c>
      <c r="AL3827" t="inlineStr">
        <is>
          <t>Miss Glam Jambi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SCARLETT</t>
        </is>
      </c>
      <c r="B3828" s="2">
        <f>"8997236030180"</f>
        <v/>
      </c>
      <c r="C3828" t="inlineStr">
        <is>
          <t>SCARLETT Brightly Ever After Night Cream 20g</t>
        </is>
      </c>
      <c r="D3828" t="inlineStr">
        <is>
          <t>Miss Glam Jambi</t>
        </is>
      </c>
      <c r="E3828" t="n">
        <v>4</v>
      </c>
      <c r="F3828" t="n">
        <v>0.1188</v>
      </c>
      <c r="G3828" t="n">
        <v>0.66</v>
      </c>
      <c r="H3828" t="n">
        <v>4</v>
      </c>
      <c r="I3828" t="n">
        <v>8</v>
      </c>
      <c r="J3828" t="n">
        <v>3</v>
      </c>
      <c r="K3828" t="n">
        <v>0</v>
      </c>
      <c r="L3828" t="n">
        <v>49935</v>
      </c>
      <c r="M3828" t="n">
        <v>55000</v>
      </c>
      <c r="N3828" t="n">
        <v>33</v>
      </c>
      <c r="O3828" t="n">
        <v>0.33</v>
      </c>
      <c r="P3828" t="n">
        <v>1</v>
      </c>
      <c r="Q3828" t="n">
        <v>0.07000000000000001</v>
      </c>
      <c r="R3828" t="n">
        <v>1</v>
      </c>
      <c r="S3828" t="n">
        <v>6534</v>
      </c>
      <c r="T3828" t="n">
        <v>5</v>
      </c>
      <c r="U3828" t="n">
        <v>6</v>
      </c>
      <c r="V3828" t="n">
        <v>30</v>
      </c>
      <c r="W3828" t="n">
        <v>4</v>
      </c>
      <c r="X3828" t="n">
        <v>33.67003367003367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10686</v>
      </c>
      <c r="AG3828" t="n">
        <v>2378</v>
      </c>
      <c r="AH3828" t="inlineStr">
        <is>
          <t>PT. KURNIA MAJU PERKASA - PPN (PDG)</t>
        </is>
      </c>
      <c r="AI3828" t="n">
        <v>22</v>
      </c>
      <c r="AJ3828" t="inlineStr">
        <is>
          <t>SCARLETT</t>
        </is>
      </c>
      <c r="AK3828" t="n">
        <v>9</v>
      </c>
      <c r="AL3828" t="inlineStr">
        <is>
          <t>Miss Glam Jambi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SCARLETT</t>
        </is>
      </c>
      <c r="B3829" s="2">
        <f>"8997236030791"</f>
        <v/>
      </c>
      <c r="C3829" t="inlineStr">
        <is>
          <t>SCARLETT C - Power Serum 15ml</t>
        </is>
      </c>
      <c r="D3829" t="inlineStr">
        <is>
          <t>Miss Glam Jambi</t>
        </is>
      </c>
      <c r="E3829" t="n">
        <v>2</v>
      </c>
      <c r="F3829" t="n">
        <v>0.06270000000000001</v>
      </c>
      <c r="G3829" t="n">
        <v>0.33</v>
      </c>
      <c r="H3829" t="n">
        <v>4</v>
      </c>
      <c r="I3829" t="n">
        <v>8</v>
      </c>
      <c r="J3829" t="n">
        <v>3</v>
      </c>
      <c r="K3829" t="n">
        <v>0</v>
      </c>
      <c r="L3829" t="n">
        <v>48154</v>
      </c>
      <c r="M3829" t="n">
        <v>55000</v>
      </c>
      <c r="N3829" t="n">
        <v>33</v>
      </c>
      <c r="O3829" t="n">
        <v>0.33</v>
      </c>
      <c r="P3829" t="n">
        <v>1</v>
      </c>
      <c r="Q3829" t="n">
        <v>0.05</v>
      </c>
      <c r="R3829" t="n">
        <v>1</v>
      </c>
      <c r="S3829" t="n">
        <v>3448.5</v>
      </c>
      <c r="T3829" t="n">
        <v>3</v>
      </c>
      <c r="U3829" t="n">
        <v>4</v>
      </c>
      <c r="V3829" t="n">
        <v>30</v>
      </c>
      <c r="W3829" t="n">
        <v>2</v>
      </c>
      <c r="X3829" t="n">
        <v>31.89792663476874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10686</v>
      </c>
      <c r="AG3829" t="n">
        <v>2378</v>
      </c>
      <c r="AH3829" t="inlineStr">
        <is>
          <t>PT. KURNIA MAJU PERKASA - PPN (PDG)</t>
        </is>
      </c>
      <c r="AI3829" t="n">
        <v>22</v>
      </c>
      <c r="AJ3829" t="inlineStr">
        <is>
          <t>SCARLETT</t>
        </is>
      </c>
      <c r="AK3829" t="n">
        <v>9</v>
      </c>
      <c r="AL3829" t="inlineStr">
        <is>
          <t>Miss Glam Jambi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SCARLETT</t>
        </is>
      </c>
      <c r="B3830" s="2">
        <f>"8997236031378"</f>
        <v/>
      </c>
      <c r="C3830" t="inlineStr">
        <is>
          <t>SCARLETT Eau De Parfum Euphoria 30ml</t>
        </is>
      </c>
      <c r="D3830" t="inlineStr">
        <is>
          <t>Miss Glam Jambi</t>
        </is>
      </c>
      <c r="E3830" t="n">
        <v>37</v>
      </c>
      <c r="F3830" t="n">
        <v>1.0626</v>
      </c>
      <c r="G3830" t="n">
        <v>2.64</v>
      </c>
      <c r="H3830" t="n">
        <v>4</v>
      </c>
      <c r="I3830" t="n">
        <v>8</v>
      </c>
      <c r="J3830" t="n">
        <v>6</v>
      </c>
      <c r="K3830" t="n">
        <v>0</v>
      </c>
      <c r="L3830" t="n">
        <v>52873</v>
      </c>
      <c r="M3830" t="n">
        <v>65000</v>
      </c>
      <c r="N3830" t="n">
        <v>33</v>
      </c>
      <c r="O3830" t="n">
        <v>0.33</v>
      </c>
      <c r="P3830" t="n">
        <v>1</v>
      </c>
      <c r="Q3830" t="n">
        <v>0.39</v>
      </c>
      <c r="R3830" t="n">
        <v>2</v>
      </c>
      <c r="S3830" t="n">
        <v>69069.00000000001</v>
      </c>
      <c r="T3830" t="n">
        <v>17</v>
      </c>
      <c r="U3830" t="n">
        <v>22</v>
      </c>
      <c r="V3830" t="n">
        <v>30</v>
      </c>
      <c r="W3830" t="n">
        <v>32</v>
      </c>
      <c r="X3830" t="n">
        <v>34.82025221155655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10686</v>
      </c>
      <c r="AG3830" t="n">
        <v>2378</v>
      </c>
      <c r="AH3830" t="inlineStr">
        <is>
          <t>PT. KURNIA MAJU PERKASA - PPN (PDG)</t>
        </is>
      </c>
      <c r="AI3830" t="n">
        <v>22</v>
      </c>
      <c r="AJ3830" t="inlineStr">
        <is>
          <t>SCARLETT</t>
        </is>
      </c>
      <c r="AK3830" t="n">
        <v>9</v>
      </c>
      <c r="AL3830" t="inlineStr">
        <is>
          <t>Miss Glam Jambi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SCARLETT</t>
        </is>
      </c>
      <c r="B3831" s="2">
        <f>"30400260811"</f>
        <v/>
      </c>
      <c r="C3831" t="inlineStr">
        <is>
          <t>SCARLETT Eau De Parfum Jolly 30ml</t>
        </is>
      </c>
      <c r="D3831" t="inlineStr">
        <is>
          <t>Miss Glam Jambi</t>
        </is>
      </c>
      <c r="E3831" t="n">
        <v>23</v>
      </c>
      <c r="F3831" t="n">
        <v>0.4983</v>
      </c>
      <c r="G3831" t="n">
        <v>1.98</v>
      </c>
      <c r="H3831" t="n">
        <v>4</v>
      </c>
      <c r="I3831" t="n">
        <v>8</v>
      </c>
      <c r="J3831" t="n">
        <v>1</v>
      </c>
      <c r="K3831" t="n">
        <v>0</v>
      </c>
      <c r="L3831" t="n">
        <v>55440</v>
      </c>
      <c r="M3831" t="n">
        <v>65000</v>
      </c>
      <c r="N3831" t="n">
        <v>33</v>
      </c>
      <c r="O3831" t="n">
        <v>0.33</v>
      </c>
      <c r="P3831" t="n">
        <v>1</v>
      </c>
      <c r="Q3831" t="n">
        <v>0.44</v>
      </c>
      <c r="R3831" t="n">
        <v>3</v>
      </c>
      <c r="S3831" t="n">
        <v>32389.5</v>
      </c>
      <c r="T3831" t="n">
        <v>14</v>
      </c>
      <c r="U3831" t="n">
        <v>16</v>
      </c>
      <c r="V3831" t="n">
        <v>30</v>
      </c>
      <c r="W3831" t="n">
        <v>15</v>
      </c>
      <c r="X3831" t="n">
        <v>46.15693357415211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10686</v>
      </c>
      <c r="AG3831" t="n">
        <v>2378</v>
      </c>
      <c r="AH3831" t="inlineStr">
        <is>
          <t>PT. KURNIA MAJU PERKASA - PPN (PDG)</t>
        </is>
      </c>
      <c r="AI3831" t="n">
        <v>22</v>
      </c>
      <c r="AJ3831" t="inlineStr">
        <is>
          <t>SCARLETT</t>
        </is>
      </c>
      <c r="AK3831" t="n">
        <v>9</v>
      </c>
      <c r="AL3831" t="inlineStr">
        <is>
          <t>Miss Glam Jambi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SCARLETT</t>
        </is>
      </c>
      <c r="B3832" s="2">
        <f>"8997236031637"</f>
        <v/>
      </c>
      <c r="C3832" t="inlineStr">
        <is>
          <t>SCARLETT Eau De Parfum La Foret Fairy 30ml</t>
        </is>
      </c>
      <c r="D3832" t="inlineStr">
        <is>
          <t>Miss Glam Jambi</t>
        </is>
      </c>
      <c r="E3832" t="n">
        <v>8</v>
      </c>
      <c r="F3832" t="n">
        <v>0.6698999999999999</v>
      </c>
      <c r="G3832" t="n">
        <v>2.31</v>
      </c>
      <c r="H3832" t="n">
        <v>4</v>
      </c>
      <c r="I3832" t="n">
        <v>8</v>
      </c>
      <c r="J3832" t="n">
        <v>6</v>
      </c>
      <c r="K3832" t="n">
        <v>12</v>
      </c>
      <c r="L3832" t="n">
        <v>53000</v>
      </c>
      <c r="M3832" t="n">
        <v>65000</v>
      </c>
      <c r="N3832" t="n">
        <v>33</v>
      </c>
      <c r="O3832" t="n">
        <v>0.33</v>
      </c>
      <c r="P3832" t="n">
        <v>1</v>
      </c>
      <c r="Q3832" t="n">
        <v>0.2</v>
      </c>
      <c r="R3832" t="n">
        <v>2</v>
      </c>
      <c r="S3832" t="n">
        <v>43543.49999999999</v>
      </c>
      <c r="T3832" t="n">
        <v>16</v>
      </c>
      <c r="U3832" t="n">
        <v>19</v>
      </c>
      <c r="V3832" t="n">
        <v>30</v>
      </c>
      <c r="W3832" t="n">
        <v>21</v>
      </c>
      <c r="X3832" t="n">
        <v>11.94208090759815</v>
      </c>
      <c r="Y3832" t="n">
        <v>1</v>
      </c>
      <c r="Z3832" t="n">
        <v>1</v>
      </c>
      <c r="AA3832" t="n">
        <v>0</v>
      </c>
      <c r="AB3832" t="n">
        <v>1</v>
      </c>
      <c r="AC3832" t="n">
        <v>6</v>
      </c>
      <c r="AD3832" t="n">
        <v>0</v>
      </c>
      <c r="AE3832" t="n">
        <v>318000</v>
      </c>
      <c r="AF3832" t="n">
        <v>10686</v>
      </c>
      <c r="AG3832" t="n">
        <v>2378</v>
      </c>
      <c r="AH3832" t="inlineStr">
        <is>
          <t>PT. KURNIA MAJU PERKASA - PPN (PDG)</t>
        </is>
      </c>
      <c r="AI3832" t="n">
        <v>22</v>
      </c>
      <c r="AJ3832" t="inlineStr">
        <is>
          <t>SCARLETT</t>
        </is>
      </c>
      <c r="AK3832" t="n">
        <v>9</v>
      </c>
      <c r="AL3832" t="inlineStr">
        <is>
          <t>Miss Glam Jambi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SCARLETT</t>
        </is>
      </c>
      <c r="B3833" s="2">
        <f>"8997236031385"</f>
        <v/>
      </c>
      <c r="C3833" t="inlineStr">
        <is>
          <t>SCARLETT Eau De Parfum Passionate 30ml</t>
        </is>
      </c>
      <c r="D3833" t="inlineStr">
        <is>
          <t>Miss Glam Jambi</t>
        </is>
      </c>
      <c r="E3833" t="n">
        <v>18</v>
      </c>
      <c r="F3833" t="n">
        <v>0.7887000000000001</v>
      </c>
      <c r="G3833" t="n">
        <v>2.97</v>
      </c>
      <c r="H3833" t="n">
        <v>4</v>
      </c>
      <c r="I3833" t="n">
        <v>8</v>
      </c>
      <c r="J3833" t="n">
        <v>6</v>
      </c>
      <c r="K3833" t="n">
        <v>7</v>
      </c>
      <c r="L3833" t="n">
        <v>52955</v>
      </c>
      <c r="M3833" t="n">
        <v>65000</v>
      </c>
      <c r="N3833" t="n">
        <v>33</v>
      </c>
      <c r="O3833" t="n">
        <v>0.33</v>
      </c>
      <c r="P3833" t="n">
        <v>1</v>
      </c>
      <c r="Q3833" t="n">
        <v>0.42</v>
      </c>
      <c r="R3833" t="n">
        <v>3</v>
      </c>
      <c r="S3833" t="n">
        <v>51265.50000000001</v>
      </c>
      <c r="T3833" t="n">
        <v>21</v>
      </c>
      <c r="U3833" t="n">
        <v>25</v>
      </c>
      <c r="V3833" t="n">
        <v>30</v>
      </c>
      <c r="W3833" t="n">
        <v>24</v>
      </c>
      <c r="X3833" t="n">
        <v>22.82236591860023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10686</v>
      </c>
      <c r="AG3833" t="n">
        <v>2378</v>
      </c>
      <c r="AH3833" t="inlineStr">
        <is>
          <t>PT. KURNIA MAJU PERKASA - PPN (PDG)</t>
        </is>
      </c>
      <c r="AI3833" t="n">
        <v>22</v>
      </c>
      <c r="AJ3833" t="inlineStr">
        <is>
          <t>SCARLETT</t>
        </is>
      </c>
      <c r="AK3833" t="n">
        <v>9</v>
      </c>
      <c r="AL3833" t="inlineStr">
        <is>
          <t>Miss Glam Jambi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SCARLETT</t>
        </is>
      </c>
      <c r="B3834" s="2">
        <f>"8997236031224"</f>
        <v/>
      </c>
      <c r="C3834" t="inlineStr">
        <is>
          <t>SCARLETT Eau De Parfum Sweet Memories 30ml</t>
        </is>
      </c>
      <c r="D3834" t="inlineStr">
        <is>
          <t>Miss Glam Jambi</t>
        </is>
      </c>
      <c r="E3834" t="n">
        <v>18</v>
      </c>
      <c r="F3834" t="n">
        <v>0.4587</v>
      </c>
      <c r="G3834" t="n">
        <v>3.3</v>
      </c>
      <c r="H3834" t="n">
        <v>4</v>
      </c>
      <c r="I3834" t="n">
        <v>8</v>
      </c>
      <c r="J3834" t="n">
        <v>6</v>
      </c>
      <c r="K3834" t="n">
        <v>0</v>
      </c>
      <c r="L3834" t="n">
        <v>53002</v>
      </c>
      <c r="M3834" t="n">
        <v>65000</v>
      </c>
      <c r="N3834" t="n">
        <v>33</v>
      </c>
      <c r="O3834" t="n">
        <v>0.33</v>
      </c>
      <c r="P3834" t="n">
        <v>1</v>
      </c>
      <c r="Q3834" t="n">
        <v>0.58</v>
      </c>
      <c r="R3834" t="n">
        <v>2</v>
      </c>
      <c r="S3834" t="n">
        <v>29815.5</v>
      </c>
      <c r="T3834" t="n">
        <v>25</v>
      </c>
      <c r="U3834" t="n">
        <v>27</v>
      </c>
      <c r="V3834" t="n">
        <v>30</v>
      </c>
      <c r="W3834" t="n">
        <v>14</v>
      </c>
      <c r="X3834" t="n">
        <v>39.24133420536298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10686</v>
      </c>
      <c r="AG3834" t="n">
        <v>2378</v>
      </c>
      <c r="AH3834" t="inlineStr">
        <is>
          <t>PT. KURNIA MAJU PERKASA - PPN (PDG)</t>
        </is>
      </c>
      <c r="AI3834" t="n">
        <v>22</v>
      </c>
      <c r="AJ3834" t="inlineStr">
        <is>
          <t>SCARLETT</t>
        </is>
      </c>
      <c r="AK3834" t="n">
        <v>9</v>
      </c>
      <c r="AL3834" t="inlineStr">
        <is>
          <t>Miss Glam Jambi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SCARLETT</t>
        </is>
      </c>
      <c r="B3835" s="2">
        <f>"8997236031644"</f>
        <v/>
      </c>
      <c r="C3835" t="inlineStr">
        <is>
          <t>SCARLETT Eau De Parfum Wonderland 30ml</t>
        </is>
      </c>
      <c r="D3835" t="inlineStr">
        <is>
          <t>Miss Glam Jambi</t>
        </is>
      </c>
      <c r="E3835" t="n">
        <v>2</v>
      </c>
      <c r="F3835" t="n">
        <v>0.2475</v>
      </c>
      <c r="G3835" t="n">
        <v>1.65</v>
      </c>
      <c r="H3835" t="n">
        <v>4</v>
      </c>
      <c r="I3835" t="n">
        <v>8</v>
      </c>
      <c r="J3835" t="n">
        <v>6</v>
      </c>
      <c r="K3835" t="n">
        <v>6</v>
      </c>
      <c r="L3835" t="n">
        <v>52993</v>
      </c>
      <c r="M3835" t="n">
        <v>65000</v>
      </c>
      <c r="N3835" t="n">
        <v>33</v>
      </c>
      <c r="O3835" t="n">
        <v>0.33</v>
      </c>
      <c r="P3835" t="n">
        <v>1</v>
      </c>
      <c r="Q3835" t="n">
        <v>0.19</v>
      </c>
      <c r="R3835" t="n">
        <v>1</v>
      </c>
      <c r="S3835" t="n">
        <v>16087.5</v>
      </c>
      <c r="T3835" t="n">
        <v>13</v>
      </c>
      <c r="U3835" t="n">
        <v>14</v>
      </c>
      <c r="V3835" t="n">
        <v>30</v>
      </c>
      <c r="W3835" t="n">
        <v>8</v>
      </c>
      <c r="X3835" t="n">
        <v>8.080808080808081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10686</v>
      </c>
      <c r="AG3835" t="n">
        <v>2378</v>
      </c>
      <c r="AH3835" t="inlineStr">
        <is>
          <t>PT. KURNIA MAJU PERKASA - PPN (PDG)</t>
        </is>
      </c>
      <c r="AI3835" t="n">
        <v>22</v>
      </c>
      <c r="AJ3835" t="inlineStr">
        <is>
          <t>SCARLETT</t>
        </is>
      </c>
      <c r="AK3835" t="n">
        <v>9</v>
      </c>
      <c r="AL3835" t="inlineStr">
        <is>
          <t>Miss Glam Jambi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SCARLETT</t>
        </is>
      </c>
      <c r="B3836" s="2">
        <f>"8997236031231"</f>
        <v/>
      </c>
      <c r="C3836" t="inlineStr">
        <is>
          <t>SCARLETT Eau De Parfume Dreamy 30ml</t>
        </is>
      </c>
      <c r="D3836" t="inlineStr">
        <is>
          <t>Miss Glam Jambi</t>
        </is>
      </c>
      <c r="E3836" t="n">
        <v>27</v>
      </c>
      <c r="F3836" t="n">
        <v>0.9801000000000001</v>
      </c>
      <c r="G3836" t="n">
        <v>3.3</v>
      </c>
      <c r="H3836" t="n">
        <v>4</v>
      </c>
      <c r="I3836" t="n">
        <v>8</v>
      </c>
      <c r="J3836" t="n">
        <v>6</v>
      </c>
      <c r="K3836" t="n">
        <v>0</v>
      </c>
      <c r="L3836" t="n">
        <v>52938</v>
      </c>
      <c r="M3836" t="n">
        <v>65000</v>
      </c>
      <c r="N3836" t="n">
        <v>33</v>
      </c>
      <c r="O3836" t="n">
        <v>0.33</v>
      </c>
      <c r="P3836" t="n">
        <v>1</v>
      </c>
      <c r="Q3836" t="n">
        <v>0.5600000000000001</v>
      </c>
      <c r="R3836" t="n">
        <v>3</v>
      </c>
      <c r="S3836" t="n">
        <v>63706.50000000001</v>
      </c>
      <c r="T3836" t="n">
        <v>23</v>
      </c>
      <c r="U3836" t="n">
        <v>27</v>
      </c>
      <c r="V3836" t="n">
        <v>30</v>
      </c>
      <c r="W3836" t="n">
        <v>30</v>
      </c>
      <c r="X3836" t="n">
        <v>27.54820936639118</v>
      </c>
      <c r="Y3836" t="n">
        <v>1</v>
      </c>
      <c r="Z3836" t="n">
        <v>3</v>
      </c>
      <c r="AA3836" t="n">
        <v>0</v>
      </c>
      <c r="AB3836" t="n">
        <v>3</v>
      </c>
      <c r="AC3836" t="n">
        <v>6</v>
      </c>
      <c r="AD3836" t="n">
        <v>0</v>
      </c>
      <c r="AE3836" t="n">
        <v>317628</v>
      </c>
      <c r="AF3836" t="n">
        <v>10686</v>
      </c>
      <c r="AG3836" t="n">
        <v>2378</v>
      </c>
      <c r="AH3836" t="inlineStr">
        <is>
          <t>PT. KURNIA MAJU PERKASA - PPN (PDG)</t>
        </is>
      </c>
      <c r="AI3836" t="n">
        <v>22</v>
      </c>
      <c r="AJ3836" t="inlineStr">
        <is>
          <t>SCARLETT</t>
        </is>
      </c>
      <c r="AK3836" t="n">
        <v>9</v>
      </c>
      <c r="AL3836" t="inlineStr">
        <is>
          <t>Miss Glam Jambi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SCARLETT</t>
        </is>
      </c>
      <c r="B3837" s="2">
        <f>"30400255938"</f>
        <v/>
      </c>
      <c r="C3837" t="inlineStr">
        <is>
          <t>SCARLETT Extrait De Parfum Banana Fusion 30ml</t>
        </is>
      </c>
      <c r="D3837" t="inlineStr">
        <is>
          <t>Miss Glam Jambi</t>
        </is>
      </c>
      <c r="E3837" t="n">
        <v>30</v>
      </c>
      <c r="F3837" t="n">
        <v>0.5973000000000001</v>
      </c>
      <c r="G3837" t="n">
        <v>3.63</v>
      </c>
      <c r="H3837" t="n">
        <v>4</v>
      </c>
      <c r="I3837" t="n">
        <v>8</v>
      </c>
      <c r="J3837" t="n">
        <v>1</v>
      </c>
      <c r="K3837" t="n">
        <v>0</v>
      </c>
      <c r="L3837" t="n">
        <v>55680</v>
      </c>
      <c r="M3837" t="n">
        <v>65000</v>
      </c>
      <c r="N3837" t="n">
        <v>33</v>
      </c>
      <c r="O3837" t="n">
        <v>0.33</v>
      </c>
      <c r="P3837" t="n">
        <v>1</v>
      </c>
      <c r="Q3837" t="n">
        <v>0.25</v>
      </c>
      <c r="R3837" t="n">
        <v>2</v>
      </c>
      <c r="S3837" t="n">
        <v>38824.5</v>
      </c>
      <c r="T3837" t="n">
        <v>27</v>
      </c>
      <c r="U3837" t="n">
        <v>30</v>
      </c>
      <c r="V3837" t="n">
        <v>30</v>
      </c>
      <c r="W3837" t="n">
        <v>18</v>
      </c>
      <c r="X3837" t="n">
        <v>50.2260170768458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10686</v>
      </c>
      <c r="AG3837" t="n">
        <v>2378</v>
      </c>
      <c r="AH3837" t="inlineStr">
        <is>
          <t>PT. KURNIA MAJU PERKASA - PPN (PDG)</t>
        </is>
      </c>
      <c r="AI3837" t="n">
        <v>22</v>
      </c>
      <c r="AJ3837" t="inlineStr">
        <is>
          <t>SCARLETT</t>
        </is>
      </c>
      <c r="AK3837" t="n">
        <v>9</v>
      </c>
      <c r="AL3837" t="inlineStr">
        <is>
          <t>Miss Glam Jambi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SCARLETT</t>
        </is>
      </c>
      <c r="B3838" s="2">
        <f>"30400255829"</f>
        <v/>
      </c>
      <c r="C3838" t="inlineStr">
        <is>
          <t>SCARLETT Extrait De Parfum Caramel Latte 30ml</t>
        </is>
      </c>
      <c r="D3838" t="inlineStr">
        <is>
          <t>Miss Glam Jambi</t>
        </is>
      </c>
      <c r="E3838" t="n">
        <v>7</v>
      </c>
      <c r="F3838" t="n">
        <v>0.1848</v>
      </c>
      <c r="G3838" t="n">
        <v>1.98</v>
      </c>
      <c r="H3838" t="n">
        <v>4</v>
      </c>
      <c r="I3838" t="n">
        <v>8</v>
      </c>
      <c r="J3838" t="n">
        <v>1</v>
      </c>
      <c r="K3838" t="n">
        <v>0</v>
      </c>
      <c r="L3838" t="n">
        <v>54840</v>
      </c>
      <c r="M3838" t="n">
        <v>65000</v>
      </c>
      <c r="N3838" t="n">
        <v>33</v>
      </c>
      <c r="O3838" t="n">
        <v>0.33</v>
      </c>
      <c r="P3838" t="n">
        <v>1</v>
      </c>
      <c r="Q3838" t="n">
        <v>0.2</v>
      </c>
      <c r="R3838" t="n">
        <v>4</v>
      </c>
      <c r="S3838" t="n">
        <v>12012</v>
      </c>
      <c r="T3838" t="n">
        <v>16</v>
      </c>
      <c r="U3838" t="n">
        <v>17</v>
      </c>
      <c r="V3838" t="n">
        <v>30</v>
      </c>
      <c r="W3838" t="n">
        <v>6</v>
      </c>
      <c r="X3838" t="n">
        <v>37.87878787878788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10686</v>
      </c>
      <c r="AG3838" t="n">
        <v>2378</v>
      </c>
      <c r="AH3838" t="inlineStr">
        <is>
          <t>PT. KURNIA MAJU PERKASA - PPN (PDG)</t>
        </is>
      </c>
      <c r="AI3838" t="n">
        <v>22</v>
      </c>
      <c r="AJ3838" t="inlineStr">
        <is>
          <t>SCARLETT</t>
        </is>
      </c>
      <c r="AK3838" t="n">
        <v>9</v>
      </c>
      <c r="AL3838" t="inlineStr">
        <is>
          <t>Miss Glam Jambi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SCARLETT</t>
        </is>
      </c>
      <c r="B3839" s="2">
        <f>"8997236031798"</f>
        <v/>
      </c>
      <c r="C3839" t="inlineStr">
        <is>
          <t>SCARLETT Extrait De Parfum Golden Elixir 30ml</t>
        </is>
      </c>
      <c r="D3839" t="inlineStr">
        <is>
          <t>Miss Glam Jambi</t>
        </is>
      </c>
      <c r="E3839" t="n">
        <v>9</v>
      </c>
      <c r="F3839" t="n">
        <v>0.3366</v>
      </c>
      <c r="G3839" t="n">
        <v>1.98</v>
      </c>
      <c r="H3839" t="n">
        <v>4</v>
      </c>
      <c r="I3839" t="n">
        <v>8</v>
      </c>
      <c r="J3839" t="n">
        <v>3</v>
      </c>
      <c r="K3839" t="n">
        <v>3</v>
      </c>
      <c r="L3839" t="n">
        <v>54633</v>
      </c>
      <c r="M3839" t="n">
        <v>65000</v>
      </c>
      <c r="N3839" t="n">
        <v>33</v>
      </c>
      <c r="O3839" t="n">
        <v>0.33</v>
      </c>
      <c r="P3839" t="n">
        <v>1</v>
      </c>
      <c r="Q3839" t="n">
        <v>0.41</v>
      </c>
      <c r="R3839" t="n">
        <v>3</v>
      </c>
      <c r="S3839" t="n">
        <v>21879</v>
      </c>
      <c r="T3839" t="n">
        <v>15</v>
      </c>
      <c r="U3839" t="n">
        <v>17</v>
      </c>
      <c r="V3839" t="n">
        <v>30</v>
      </c>
      <c r="W3839" t="n">
        <v>11</v>
      </c>
      <c r="X3839" t="n">
        <v>26.7379679144385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10686</v>
      </c>
      <c r="AG3839" t="n">
        <v>2378</v>
      </c>
      <c r="AH3839" t="inlineStr">
        <is>
          <t>PT. KURNIA MAJU PERKASA - PPN (PDG)</t>
        </is>
      </c>
      <c r="AI3839" t="n">
        <v>22</v>
      </c>
      <c r="AJ3839" t="inlineStr">
        <is>
          <t>SCARLETT</t>
        </is>
      </c>
      <c r="AK3839" t="n">
        <v>9</v>
      </c>
      <c r="AL3839" t="inlineStr">
        <is>
          <t>Miss Glam Jambi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SCARLETT</t>
        </is>
      </c>
      <c r="B3840" s="2">
        <f>"30400263721"</f>
        <v/>
      </c>
      <c r="C3840" t="inlineStr">
        <is>
          <t>SCARLETT Extrait De Parfum Pistachio Crush 30ml</t>
        </is>
      </c>
      <c r="D3840" t="inlineStr">
        <is>
          <t>Miss Glam Jambi</t>
        </is>
      </c>
      <c r="E3840" t="n">
        <v>14</v>
      </c>
      <c r="F3840" t="n">
        <v>0.1518</v>
      </c>
      <c r="G3840" t="n">
        <v>1.32</v>
      </c>
      <c r="H3840" t="n">
        <v>4</v>
      </c>
      <c r="I3840" t="n">
        <v>8</v>
      </c>
      <c r="J3840" t="n">
        <v>6</v>
      </c>
      <c r="K3840" t="n">
        <v>0</v>
      </c>
      <c r="L3840" t="n">
        <v>55680</v>
      </c>
      <c r="M3840" t="n">
        <v>65000</v>
      </c>
      <c r="N3840" t="n">
        <v>33</v>
      </c>
      <c r="O3840" t="n">
        <v>0.33</v>
      </c>
      <c r="P3840" t="n">
        <v>1</v>
      </c>
      <c r="Q3840" t="n">
        <v>0.14</v>
      </c>
      <c r="R3840" t="n">
        <v>2</v>
      </c>
      <c r="S3840" t="n">
        <v>9867.000000000002</v>
      </c>
      <c r="T3840" t="n">
        <v>10</v>
      </c>
      <c r="U3840" t="n">
        <v>11</v>
      </c>
      <c r="V3840" t="n">
        <v>30</v>
      </c>
      <c r="W3840" t="n">
        <v>5</v>
      </c>
      <c r="X3840" t="n">
        <v>92.22661396574439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10686</v>
      </c>
      <c r="AG3840" t="n">
        <v>2378</v>
      </c>
      <c r="AH3840" t="inlineStr">
        <is>
          <t>PT. KURNIA MAJU PERKASA - PPN (PDG)</t>
        </is>
      </c>
      <c r="AI3840" t="n">
        <v>22</v>
      </c>
      <c r="AJ3840" t="inlineStr">
        <is>
          <t>SCARLETT</t>
        </is>
      </c>
      <c r="AK3840" t="n">
        <v>9</v>
      </c>
      <c r="AL3840" t="inlineStr">
        <is>
          <t>Miss Glam Jambi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SCARLETT</t>
        </is>
      </c>
      <c r="B3841" s="2">
        <f>"30400263651"</f>
        <v/>
      </c>
      <c r="C3841" t="inlineStr">
        <is>
          <t>SCARLETT Extrait De Parfum Tea Amor 30ml</t>
        </is>
      </c>
      <c r="D3841" t="inlineStr">
        <is>
          <t>Miss Glam Jambi</t>
        </is>
      </c>
      <c r="E3841" t="n">
        <v>26</v>
      </c>
      <c r="F3841" t="n">
        <v>0.3135</v>
      </c>
      <c r="G3841" t="n">
        <v>1.32</v>
      </c>
      <c r="H3841" t="n">
        <v>4</v>
      </c>
      <c r="I3841" t="n">
        <v>8</v>
      </c>
      <c r="J3841" t="n">
        <v>6</v>
      </c>
      <c r="K3841" t="n">
        <v>0</v>
      </c>
      <c r="L3841" t="n">
        <v>55321</v>
      </c>
      <c r="M3841" t="n">
        <v>65000</v>
      </c>
      <c r="N3841" t="n">
        <v>33</v>
      </c>
      <c r="O3841" t="n">
        <v>0.33</v>
      </c>
      <c r="P3841" t="n">
        <v>1</v>
      </c>
      <c r="Q3841" t="n">
        <v>0.47</v>
      </c>
      <c r="R3841" t="n">
        <v>2</v>
      </c>
      <c r="S3841" t="n">
        <v>20377.5</v>
      </c>
      <c r="T3841" t="n">
        <v>10</v>
      </c>
      <c r="U3841" t="n">
        <v>12</v>
      </c>
      <c r="V3841" t="n">
        <v>30</v>
      </c>
      <c r="W3841" t="n">
        <v>10</v>
      </c>
      <c r="X3841" t="n">
        <v>82.93460925039872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10686</v>
      </c>
      <c r="AG3841" t="n">
        <v>2378</v>
      </c>
      <c r="AH3841" t="inlineStr">
        <is>
          <t>PT. KURNIA MAJU PERKASA - PPN (PDG)</t>
        </is>
      </c>
      <c r="AI3841" t="n">
        <v>22</v>
      </c>
      <c r="AJ3841" t="inlineStr">
        <is>
          <t>SCARLETT</t>
        </is>
      </c>
      <c r="AK3841" t="n">
        <v>9</v>
      </c>
      <c r="AL3841" t="inlineStr">
        <is>
          <t>Miss Glam Jambi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SCARLETT</t>
        </is>
      </c>
      <c r="B3842" s="2">
        <f>"8997236031934"</f>
        <v/>
      </c>
      <c r="C3842" t="inlineStr">
        <is>
          <t>SCARLETT Extrait De Parfum Velvet Rouge 30ml</t>
        </is>
      </c>
      <c r="D3842" t="inlineStr">
        <is>
          <t>Miss Glam Jambi</t>
        </is>
      </c>
      <c r="E3842" t="n">
        <v>57</v>
      </c>
      <c r="F3842" t="n">
        <v>1.3035</v>
      </c>
      <c r="G3842" t="n">
        <v>5.94</v>
      </c>
      <c r="H3842" t="n">
        <v>4</v>
      </c>
      <c r="I3842" t="n">
        <v>8</v>
      </c>
      <c r="J3842" t="n">
        <v>3</v>
      </c>
      <c r="K3842" t="n">
        <v>0</v>
      </c>
      <c r="L3842" t="n">
        <v>55404</v>
      </c>
      <c r="M3842" t="n">
        <v>65000</v>
      </c>
      <c r="N3842" t="n">
        <v>33</v>
      </c>
      <c r="O3842" t="n">
        <v>0.33</v>
      </c>
      <c r="P3842" t="n">
        <v>1</v>
      </c>
      <c r="Q3842" t="n">
        <v>1.22</v>
      </c>
      <c r="R3842" t="n">
        <v>6</v>
      </c>
      <c r="S3842" t="n">
        <v>84727.5</v>
      </c>
      <c r="T3842" t="n">
        <v>43</v>
      </c>
      <c r="U3842" t="n">
        <v>49</v>
      </c>
      <c r="V3842" t="n">
        <v>30</v>
      </c>
      <c r="W3842" t="n">
        <v>40</v>
      </c>
      <c r="X3842" t="n">
        <v>43.72842347525891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10686</v>
      </c>
      <c r="AG3842" t="n">
        <v>2378</v>
      </c>
      <c r="AH3842" t="inlineStr">
        <is>
          <t>PT. KURNIA MAJU PERKASA - PPN (PDG)</t>
        </is>
      </c>
      <c r="AI3842" t="n">
        <v>22</v>
      </c>
      <c r="AJ3842" t="inlineStr">
        <is>
          <t>SCARLETT</t>
        </is>
      </c>
      <c r="AK3842" t="n">
        <v>9</v>
      </c>
      <c r="AL3842" t="inlineStr">
        <is>
          <t>Miss Glam Jambi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SCARLETT</t>
        </is>
      </c>
      <c r="B3843" s="2">
        <f>"101001116435"</f>
        <v/>
      </c>
      <c r="C3843" t="inlineStr">
        <is>
          <t>SCARLETT Face Wash Low Ph Gel Cleanser Acne Peach 100 ml</t>
        </is>
      </c>
      <c r="D3843" t="inlineStr">
        <is>
          <t>Miss Glam Jambi</t>
        </is>
      </c>
      <c r="E3843" t="n">
        <v>5</v>
      </c>
      <c r="F3843" t="n">
        <v>0.02</v>
      </c>
      <c r="G3843" t="n">
        <v>1</v>
      </c>
      <c r="H3843" t="n">
        <v>4</v>
      </c>
      <c r="I3843" t="n">
        <v>8</v>
      </c>
      <c r="J3843" t="n">
        <v>1</v>
      </c>
      <c r="K3843" t="n">
        <v>0</v>
      </c>
      <c r="L3843" t="n">
        <v>42336</v>
      </c>
      <c r="M3843" t="n">
        <v>55000</v>
      </c>
      <c r="N3843" t="n">
        <v>33</v>
      </c>
      <c r="O3843" t="n">
        <v>0.33</v>
      </c>
      <c r="P3843" t="n">
        <v>0</v>
      </c>
      <c r="Q3843" t="n">
        <v>0.02</v>
      </c>
      <c r="R3843" t="n">
        <v>1</v>
      </c>
      <c r="S3843" t="n">
        <v>1100</v>
      </c>
      <c r="T3843" t="n">
        <v>8</v>
      </c>
      <c r="U3843" t="n">
        <v>9</v>
      </c>
      <c r="V3843" t="n">
        <v>30</v>
      </c>
      <c r="W3843" t="n">
        <v>1</v>
      </c>
      <c r="X3843" t="n">
        <v>250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10686</v>
      </c>
      <c r="AG3843" t="n">
        <v>2378</v>
      </c>
      <c r="AH3843" t="inlineStr">
        <is>
          <t>PT. KURNIA MAJU PERKASA - PPN (PDG)</t>
        </is>
      </c>
      <c r="AI3843" t="n">
        <v>22</v>
      </c>
      <c r="AJ3843" t="inlineStr">
        <is>
          <t>SCARLETT</t>
        </is>
      </c>
      <c r="AK3843" t="n">
        <v>9</v>
      </c>
      <c r="AL3843" t="inlineStr">
        <is>
          <t>Miss Glam Jambi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SCARLETT</t>
        </is>
      </c>
      <c r="B3844" s="2">
        <f>"101001116526"</f>
        <v/>
      </c>
      <c r="C3844" t="inlineStr">
        <is>
          <t>SCARLETT Face Wash Low Ph Gel Cleanser Glow Bright 100 ml</t>
        </is>
      </c>
      <c r="D3844" t="inlineStr">
        <is>
          <t>Miss Glam Jambi</t>
        </is>
      </c>
      <c r="E3844" t="n">
        <v>6</v>
      </c>
      <c r="F3844" t="n">
        <v>0.009900000000000001</v>
      </c>
      <c r="G3844" t="n">
        <v>0.33</v>
      </c>
      <c r="H3844" t="n">
        <v>4</v>
      </c>
      <c r="I3844" t="n">
        <v>8</v>
      </c>
      <c r="J3844" t="n">
        <v>1</v>
      </c>
      <c r="K3844" t="n">
        <v>0</v>
      </c>
      <c r="L3844" t="n">
        <v>42336</v>
      </c>
      <c r="M3844" t="n">
        <v>55000</v>
      </c>
      <c r="N3844" t="n">
        <v>33</v>
      </c>
      <c r="O3844" t="n">
        <v>0.33</v>
      </c>
      <c r="P3844" t="n">
        <v>1</v>
      </c>
      <c r="Q3844" t="n">
        <v>0.05</v>
      </c>
      <c r="R3844" t="n">
        <v>1</v>
      </c>
      <c r="S3844" t="n">
        <v>544.5</v>
      </c>
      <c r="T3844" t="n">
        <v>3</v>
      </c>
      <c r="U3844" t="n">
        <v>4</v>
      </c>
      <c r="V3844" t="n">
        <v>30</v>
      </c>
      <c r="W3844" t="n">
        <v>1</v>
      </c>
      <c r="X3844" t="n">
        <v>606.060606060606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10686</v>
      </c>
      <c r="AG3844" t="n">
        <v>2378</v>
      </c>
      <c r="AH3844" t="inlineStr">
        <is>
          <t>PT. KURNIA MAJU PERKASA - PPN (PDG)</t>
        </is>
      </c>
      <c r="AI3844" t="n">
        <v>22</v>
      </c>
      <c r="AJ3844" t="inlineStr">
        <is>
          <t>SCARLETT</t>
        </is>
      </c>
      <c r="AK3844" t="n">
        <v>9</v>
      </c>
      <c r="AL3844" t="inlineStr">
        <is>
          <t>Miss Glam Jambi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SCARLETT</t>
        </is>
      </c>
      <c r="B3845" s="2">
        <f>"30200427908"</f>
        <v/>
      </c>
      <c r="C3845" t="inlineStr">
        <is>
          <t>SCARLETT Fragrance Brightening Body Serum Purple Kiss 180ml</t>
        </is>
      </c>
      <c r="D3845" t="inlineStr">
        <is>
          <t>Miss Glam Jambi</t>
        </is>
      </c>
      <c r="E3845" t="n">
        <v>8</v>
      </c>
      <c r="F3845" t="n">
        <v>0.2739</v>
      </c>
      <c r="G3845" t="n">
        <v>1.32</v>
      </c>
      <c r="H3845" t="n">
        <v>4</v>
      </c>
      <c r="I3845" t="n">
        <v>8</v>
      </c>
      <c r="J3845" t="n">
        <v>1</v>
      </c>
      <c r="K3845" t="n">
        <v>1</v>
      </c>
      <c r="L3845" t="n">
        <v>38000</v>
      </c>
      <c r="M3845" t="n">
        <v>47000</v>
      </c>
      <c r="N3845" t="n">
        <v>33</v>
      </c>
      <c r="O3845" t="n">
        <v>0.33</v>
      </c>
      <c r="P3845" t="n">
        <v>1</v>
      </c>
      <c r="Q3845" t="n">
        <v>0.12</v>
      </c>
      <c r="R3845" t="n">
        <v>2</v>
      </c>
      <c r="S3845" t="n">
        <v>12873.3</v>
      </c>
      <c r="T3845" t="n">
        <v>10</v>
      </c>
      <c r="U3845" t="n">
        <v>12</v>
      </c>
      <c r="V3845" t="n">
        <v>30</v>
      </c>
      <c r="W3845" t="n">
        <v>9</v>
      </c>
      <c r="X3845" t="n">
        <v>29.20774005111355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10686</v>
      </c>
      <c r="AG3845" t="n">
        <v>2378</v>
      </c>
      <c r="AH3845" t="inlineStr">
        <is>
          <t>PT. KURNIA MAJU PERKASA - PPN (PDG)</t>
        </is>
      </c>
      <c r="AI3845" t="n">
        <v>22</v>
      </c>
      <c r="AJ3845" t="inlineStr">
        <is>
          <t>SCARLETT</t>
        </is>
      </c>
      <c r="AK3845" t="n">
        <v>9</v>
      </c>
      <c r="AL3845" t="inlineStr">
        <is>
          <t>Miss Glam Jambi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SCARLETT</t>
        </is>
      </c>
      <c r="B3846" s="2">
        <f>"30200428040"</f>
        <v/>
      </c>
      <c r="C3846" t="inlineStr">
        <is>
          <t>SCARLETT Fragrance Brightening Body Serum Velvet Rouge 180ml</t>
        </is>
      </c>
      <c r="D3846" t="inlineStr">
        <is>
          <t>Miss Glam Jambi</t>
        </is>
      </c>
      <c r="E3846" t="n">
        <v>44</v>
      </c>
      <c r="F3846" t="n">
        <v>1.2804</v>
      </c>
      <c r="G3846" t="n">
        <v>2.97</v>
      </c>
      <c r="H3846" t="n">
        <v>4</v>
      </c>
      <c r="I3846" t="n">
        <v>8</v>
      </c>
      <c r="J3846" t="n">
        <v>1</v>
      </c>
      <c r="K3846" t="n">
        <v>0</v>
      </c>
      <c r="L3846" t="n">
        <v>37625</v>
      </c>
      <c r="M3846" t="n">
        <v>47000</v>
      </c>
      <c r="N3846" t="n">
        <v>33</v>
      </c>
      <c r="O3846" t="n">
        <v>0.33</v>
      </c>
      <c r="P3846" t="n">
        <v>1</v>
      </c>
      <c r="Q3846" t="n">
        <v>0.29</v>
      </c>
      <c r="R3846" t="n">
        <v>2</v>
      </c>
      <c r="S3846" t="n">
        <v>60178.8</v>
      </c>
      <c r="T3846" t="n">
        <v>19</v>
      </c>
      <c r="U3846" t="n">
        <v>25</v>
      </c>
      <c r="V3846" t="n">
        <v>30</v>
      </c>
      <c r="W3846" t="n">
        <v>39</v>
      </c>
      <c r="X3846" t="n">
        <v>34.36426116838488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10686</v>
      </c>
      <c r="AG3846" t="n">
        <v>2378</v>
      </c>
      <c r="AH3846" t="inlineStr">
        <is>
          <t>PT. KURNIA MAJU PERKASA - PPN (PDG)</t>
        </is>
      </c>
      <c r="AI3846" t="n">
        <v>22</v>
      </c>
      <c r="AJ3846" t="inlineStr">
        <is>
          <t>SCARLETT</t>
        </is>
      </c>
      <c r="AK3846" t="n">
        <v>9</v>
      </c>
      <c r="AL3846" t="inlineStr">
        <is>
          <t>Miss Glam Jambi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SCARLETT</t>
        </is>
      </c>
      <c r="B3847" s="2">
        <f>"8993002010349"</f>
        <v/>
      </c>
      <c r="C3847" t="inlineStr">
        <is>
          <t>SCARLETT Fragrance Brightening Shower Gel Charming 300ml</t>
        </is>
      </c>
      <c r="D3847" t="inlineStr">
        <is>
          <t>Miss Glam Jambi</t>
        </is>
      </c>
      <c r="E3847" t="n">
        <v>7</v>
      </c>
      <c r="F3847" t="n">
        <v>0.0396</v>
      </c>
      <c r="G3847" t="n">
        <v>0.66</v>
      </c>
      <c r="H3847" t="n">
        <v>4</v>
      </c>
      <c r="I3847" t="n">
        <v>8</v>
      </c>
      <c r="J3847" t="n">
        <v>3</v>
      </c>
      <c r="K3847" t="n">
        <v>0</v>
      </c>
      <c r="L3847" t="n">
        <v>48154</v>
      </c>
      <c r="M3847" t="n">
        <v>55000</v>
      </c>
      <c r="N3847" t="n">
        <v>33</v>
      </c>
      <c r="O3847" t="n">
        <v>0.33</v>
      </c>
      <c r="P3847" t="n">
        <v>1</v>
      </c>
      <c r="Q3847" t="n">
        <v>0.03</v>
      </c>
      <c r="R3847" t="n">
        <v>1</v>
      </c>
      <c r="S3847" t="n">
        <v>2178</v>
      </c>
      <c r="T3847" t="n">
        <v>6</v>
      </c>
      <c r="U3847" t="n">
        <v>7</v>
      </c>
      <c r="V3847" t="n">
        <v>30</v>
      </c>
      <c r="W3847" t="n">
        <v>2</v>
      </c>
      <c r="X3847" t="n">
        <v>176.7676767676768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10686</v>
      </c>
      <c r="AG3847" t="n">
        <v>2378</v>
      </c>
      <c r="AH3847" t="inlineStr">
        <is>
          <t>PT. KURNIA MAJU PERKASA - PPN (PDG)</t>
        </is>
      </c>
      <c r="AI3847" t="n">
        <v>22</v>
      </c>
      <c r="AJ3847" t="inlineStr">
        <is>
          <t>SCARLETT</t>
        </is>
      </c>
      <c r="AK3847" t="n">
        <v>9</v>
      </c>
      <c r="AL3847" t="inlineStr">
        <is>
          <t>Miss Glam Jambi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SCARLETT</t>
        </is>
      </c>
      <c r="B3848" s="2">
        <f>"30100244431"</f>
        <v/>
      </c>
      <c r="C3848" t="inlineStr">
        <is>
          <t>SCARLETT Fragrance Brightening Shower Gel Jolly 300ml</t>
        </is>
      </c>
      <c r="D3848" t="inlineStr">
        <is>
          <t>Miss Glam Jambi</t>
        </is>
      </c>
      <c r="E3848" t="n">
        <v>4</v>
      </c>
      <c r="F3848" t="n">
        <v>0.0726</v>
      </c>
      <c r="G3848" t="n">
        <v>0.66</v>
      </c>
      <c r="H3848" t="n">
        <v>4</v>
      </c>
      <c r="I3848" t="n">
        <v>8</v>
      </c>
      <c r="J3848" t="n">
        <v>1</v>
      </c>
      <c r="K3848" t="n">
        <v>0</v>
      </c>
      <c r="L3848" t="n">
        <v>48612</v>
      </c>
      <c r="M3848" t="n">
        <v>55000</v>
      </c>
      <c r="N3848" t="n">
        <v>33</v>
      </c>
      <c r="O3848" t="n">
        <v>0.33</v>
      </c>
      <c r="P3848" t="n">
        <v>1</v>
      </c>
      <c r="Q3848" t="n">
        <v>0.1</v>
      </c>
      <c r="R3848" t="n">
        <v>2</v>
      </c>
      <c r="S3848" t="n">
        <v>3993</v>
      </c>
      <c r="T3848" t="n">
        <v>5</v>
      </c>
      <c r="U3848" t="n">
        <v>6</v>
      </c>
      <c r="V3848" t="n">
        <v>30</v>
      </c>
      <c r="W3848" t="n">
        <v>3</v>
      </c>
      <c r="X3848" t="n">
        <v>55.09641873278237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10686</v>
      </c>
      <c r="AG3848" t="n">
        <v>2378</v>
      </c>
      <c r="AH3848" t="inlineStr">
        <is>
          <t>PT. KURNIA MAJU PERKASA - PPN (PDG)</t>
        </is>
      </c>
      <c r="AI3848" t="n">
        <v>22</v>
      </c>
      <c r="AJ3848" t="inlineStr">
        <is>
          <t>SCARLETT</t>
        </is>
      </c>
      <c r="AK3848" t="n">
        <v>9</v>
      </c>
      <c r="AL3848" t="inlineStr">
        <is>
          <t>Miss Glam Jambi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SCARLETT</t>
        </is>
      </c>
      <c r="B3849" s="2">
        <f>"30100168227"</f>
        <v/>
      </c>
      <c r="C3849" t="inlineStr">
        <is>
          <t>SCARLETT Fragrance Brightening Shower Gel Loving 300ml</t>
        </is>
      </c>
      <c r="D3849" t="inlineStr">
        <is>
          <t>Miss Glam Jambi</t>
        </is>
      </c>
      <c r="E3849" t="n">
        <v>3</v>
      </c>
      <c r="F3849" t="n">
        <v>0.06270000000000001</v>
      </c>
      <c r="G3849" t="n">
        <v>0.66</v>
      </c>
      <c r="H3849" t="n">
        <v>4</v>
      </c>
      <c r="I3849" t="n">
        <v>8</v>
      </c>
      <c r="J3849" t="n">
        <v>1</v>
      </c>
      <c r="K3849" t="n">
        <v>0</v>
      </c>
      <c r="L3849" t="n">
        <v>48153</v>
      </c>
      <c r="M3849" t="n">
        <v>55000</v>
      </c>
      <c r="N3849" t="n">
        <v>33</v>
      </c>
      <c r="O3849" t="n">
        <v>0.33</v>
      </c>
      <c r="P3849" t="n">
        <v>1</v>
      </c>
      <c r="Q3849" t="n">
        <v>0.1</v>
      </c>
      <c r="R3849" t="n">
        <v>1</v>
      </c>
      <c r="S3849" t="n">
        <v>3448.5</v>
      </c>
      <c r="T3849" t="n">
        <v>6</v>
      </c>
      <c r="U3849" t="n">
        <v>7</v>
      </c>
      <c r="V3849" t="n">
        <v>30</v>
      </c>
      <c r="W3849" t="n">
        <v>2</v>
      </c>
      <c r="X3849" t="n">
        <v>47.84688995215311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10686</v>
      </c>
      <c r="AG3849" t="n">
        <v>2378</v>
      </c>
      <c r="AH3849" t="inlineStr">
        <is>
          <t>PT. KURNIA MAJU PERKASA - PPN (PDG)</t>
        </is>
      </c>
      <c r="AI3849" t="n">
        <v>22</v>
      </c>
      <c r="AJ3849" t="inlineStr">
        <is>
          <t>SCARLETT</t>
        </is>
      </c>
      <c r="AK3849" t="n">
        <v>9</v>
      </c>
      <c r="AL3849" t="inlineStr">
        <is>
          <t>Miss Glam Jambi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SCARLETT</t>
        </is>
      </c>
      <c r="B3850" s="2">
        <f>"30100168308"</f>
        <v/>
      </c>
      <c r="C3850" t="inlineStr">
        <is>
          <t>SCARLETT Fragrance Brightening Shower Gel Pomegrante 300ml</t>
        </is>
      </c>
      <c r="D3850" t="inlineStr">
        <is>
          <t>Miss Glam Jambi</t>
        </is>
      </c>
      <c r="E3850" t="n">
        <v>3</v>
      </c>
      <c r="F3850" t="n">
        <v>0.0561</v>
      </c>
      <c r="G3850" t="n">
        <v>0.33</v>
      </c>
      <c r="H3850" t="n">
        <v>4</v>
      </c>
      <c r="I3850" t="n">
        <v>8</v>
      </c>
      <c r="J3850" t="n">
        <v>1</v>
      </c>
      <c r="K3850" t="n">
        <v>0</v>
      </c>
      <c r="L3850" t="n">
        <v>48154</v>
      </c>
      <c r="M3850" t="n">
        <v>55000</v>
      </c>
      <c r="N3850" t="n">
        <v>33</v>
      </c>
      <c r="O3850" t="n">
        <v>0.33</v>
      </c>
      <c r="P3850" t="n">
        <v>1</v>
      </c>
      <c r="Q3850" t="n">
        <v>0.02</v>
      </c>
      <c r="R3850" t="n">
        <v>1</v>
      </c>
      <c r="S3850" t="n">
        <v>3085.5</v>
      </c>
      <c r="T3850" t="n">
        <v>3</v>
      </c>
      <c r="U3850" t="n">
        <v>4</v>
      </c>
      <c r="V3850" t="n">
        <v>30</v>
      </c>
      <c r="W3850" t="n">
        <v>2</v>
      </c>
      <c r="X3850" t="n">
        <v>53.475935828877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10686</v>
      </c>
      <c r="AG3850" t="n">
        <v>2378</v>
      </c>
      <c r="AH3850" t="inlineStr">
        <is>
          <t>PT. KURNIA MAJU PERKASA - PPN (PDG)</t>
        </is>
      </c>
      <c r="AI3850" t="n">
        <v>22</v>
      </c>
      <c r="AJ3850" t="inlineStr">
        <is>
          <t>SCARLETT</t>
        </is>
      </c>
      <c r="AK3850" t="n">
        <v>9</v>
      </c>
      <c r="AL3850" t="inlineStr">
        <is>
          <t>Miss Glam Jambi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SCARLETT</t>
        </is>
      </c>
      <c r="B3851" s="2">
        <f>"304002156656"</f>
        <v/>
      </c>
      <c r="C3851" t="inlineStr">
        <is>
          <t>SCARLETT Garden Of Whisper Floral Fruity Sweet 30ml</t>
        </is>
      </c>
      <c r="D3851" t="inlineStr">
        <is>
          <t>Miss Glam Jambi</t>
        </is>
      </c>
      <c r="E3851" t="n">
        <v>0</v>
      </c>
      <c r="F3851" t="n">
        <v>0.0825</v>
      </c>
      <c r="G3851" t="n">
        <v>2.31</v>
      </c>
      <c r="H3851" t="n">
        <v>4</v>
      </c>
      <c r="I3851" t="n">
        <v>8</v>
      </c>
      <c r="J3851" t="n">
        <v>3</v>
      </c>
      <c r="K3851" t="n">
        <v>3</v>
      </c>
      <c r="L3851" t="n">
        <v>54000</v>
      </c>
      <c r="M3851" t="n">
        <v>65000</v>
      </c>
      <c r="N3851" t="n">
        <v>33</v>
      </c>
      <c r="O3851" t="n">
        <v>0.33</v>
      </c>
      <c r="P3851" t="n">
        <v>1</v>
      </c>
      <c r="Q3851" t="n">
        <v>0.3</v>
      </c>
      <c r="R3851" t="n">
        <v>2</v>
      </c>
      <c r="S3851" t="n">
        <v>5362.5</v>
      </c>
      <c r="T3851" t="n">
        <v>19</v>
      </c>
      <c r="U3851" t="n">
        <v>20</v>
      </c>
      <c r="V3851" t="n">
        <v>30</v>
      </c>
      <c r="W3851" t="n">
        <v>3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10686</v>
      </c>
      <c r="AG3851" t="n">
        <v>2378</v>
      </c>
      <c r="AH3851" t="inlineStr">
        <is>
          <t>PT. KURNIA MAJU PERKASA - PPN (PDG)</t>
        </is>
      </c>
      <c r="AI3851" t="n">
        <v>22</v>
      </c>
      <c r="AJ3851" t="inlineStr">
        <is>
          <t>SCARLETT</t>
        </is>
      </c>
      <c r="AK3851" t="n">
        <v>9</v>
      </c>
      <c r="AL3851" t="inlineStr">
        <is>
          <t>Miss Glam Jambi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SCARLETT</t>
        </is>
      </c>
      <c r="B3852" s="2">
        <f>"10700338325"</f>
        <v/>
      </c>
      <c r="C3852" t="inlineStr">
        <is>
          <t>SCARLETT Glass Glow Tinted Lip Balm Juicy Cherry 3.8 gr</t>
        </is>
      </c>
      <c r="D3852" t="inlineStr">
        <is>
          <t>Miss Glam Jambi</t>
        </is>
      </c>
      <c r="E3852" t="n">
        <v>6</v>
      </c>
      <c r="F3852" t="n">
        <v>0.0231</v>
      </c>
      <c r="G3852" t="n">
        <v>0.33</v>
      </c>
      <c r="H3852" t="n">
        <v>4</v>
      </c>
      <c r="I3852" t="n">
        <v>8</v>
      </c>
      <c r="J3852" t="n">
        <v>1</v>
      </c>
      <c r="K3852" t="n">
        <v>0</v>
      </c>
      <c r="L3852" t="n">
        <v>48940</v>
      </c>
      <c r="M3852" t="n">
        <v>59000</v>
      </c>
      <c r="N3852" t="n">
        <v>33</v>
      </c>
      <c r="O3852" t="n">
        <v>0.33</v>
      </c>
      <c r="P3852" t="n">
        <v>1</v>
      </c>
      <c r="Q3852" t="n">
        <v>0.03</v>
      </c>
      <c r="R3852" t="n">
        <v>1</v>
      </c>
      <c r="S3852" t="n">
        <v>1362.9</v>
      </c>
      <c r="T3852" t="n">
        <v>3</v>
      </c>
      <c r="U3852" t="n">
        <v>4</v>
      </c>
      <c r="V3852" t="n">
        <v>30</v>
      </c>
      <c r="W3852" t="n">
        <v>1</v>
      </c>
      <c r="X3852" t="n">
        <v>259.7402597402597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10686</v>
      </c>
      <c r="AG3852" t="n">
        <v>2378</v>
      </c>
      <c r="AH3852" t="inlineStr">
        <is>
          <t>PT. KURNIA MAJU PERKASA - PPN (PDG)</t>
        </is>
      </c>
      <c r="AI3852" t="n">
        <v>22</v>
      </c>
      <c r="AJ3852" t="inlineStr">
        <is>
          <t>SCARLETT</t>
        </is>
      </c>
      <c r="AK3852" t="n">
        <v>9</v>
      </c>
      <c r="AL3852" t="inlineStr">
        <is>
          <t>Miss Glam Jambi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SCARLETT</t>
        </is>
      </c>
      <c r="B3853" s="2">
        <f>"10300720504"</f>
        <v/>
      </c>
      <c r="C3853" t="inlineStr">
        <is>
          <t>SCARLETT Glow Bright Gel Moisturizer 6% Niacin Peach 80ml</t>
        </is>
      </c>
      <c r="D3853" t="inlineStr">
        <is>
          <t>Miss Glam Jambi</t>
        </is>
      </c>
      <c r="E3853" t="n">
        <v>3</v>
      </c>
      <c r="F3853" t="n">
        <v>0.0297</v>
      </c>
      <c r="G3853" t="n">
        <v>0.33</v>
      </c>
      <c r="H3853" t="n">
        <v>4</v>
      </c>
      <c r="I3853" t="n">
        <v>8</v>
      </c>
      <c r="J3853" t="n">
        <v>3</v>
      </c>
      <c r="K3853" t="n">
        <v>0</v>
      </c>
      <c r="L3853" t="n">
        <v>54566</v>
      </c>
      <c r="M3853" t="n">
        <v>69000</v>
      </c>
      <c r="N3853" t="n">
        <v>33</v>
      </c>
      <c r="O3853" t="n">
        <v>0.33</v>
      </c>
      <c r="P3853" t="n">
        <v>1</v>
      </c>
      <c r="Q3853" t="n">
        <v>0.02</v>
      </c>
      <c r="R3853" t="n">
        <v>1</v>
      </c>
      <c r="S3853" t="n">
        <v>2049.3</v>
      </c>
      <c r="T3853" t="n">
        <v>3</v>
      </c>
      <c r="U3853" t="n">
        <v>4</v>
      </c>
      <c r="V3853" t="n">
        <v>30</v>
      </c>
      <c r="W3853" t="n">
        <v>1</v>
      </c>
      <c r="X3853" t="n">
        <v>101.010101010101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10686</v>
      </c>
      <c r="AG3853" t="n">
        <v>2378</v>
      </c>
      <c r="AH3853" t="inlineStr">
        <is>
          <t>PT. KURNIA MAJU PERKASA - PPN (PDG)</t>
        </is>
      </c>
      <c r="AI3853" t="n">
        <v>22</v>
      </c>
      <c r="AJ3853" t="inlineStr">
        <is>
          <t>SCARLETT</t>
        </is>
      </c>
      <c r="AK3853" t="n">
        <v>9</v>
      </c>
      <c r="AL3853" t="inlineStr">
        <is>
          <t>Miss Glam Jambi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SCARLETT</t>
        </is>
      </c>
      <c r="B3854" s="2">
        <f>"8997236030210"</f>
        <v/>
      </c>
      <c r="C3854" t="inlineStr">
        <is>
          <t>SCARLETT Glowtening Serum 15ml</t>
        </is>
      </c>
      <c r="D3854" t="inlineStr">
        <is>
          <t>Miss Glam Jambi</t>
        </is>
      </c>
      <c r="E3854" t="n">
        <v>6</v>
      </c>
      <c r="F3854" t="n">
        <v>0.03</v>
      </c>
      <c r="G3854" t="n">
        <v>1</v>
      </c>
      <c r="H3854" t="n">
        <v>4</v>
      </c>
      <c r="I3854" t="n">
        <v>8</v>
      </c>
      <c r="J3854" t="n">
        <v>3</v>
      </c>
      <c r="K3854" t="n">
        <v>0</v>
      </c>
      <c r="L3854" t="n">
        <v>48154</v>
      </c>
      <c r="M3854" t="n">
        <v>55000</v>
      </c>
      <c r="N3854" t="n">
        <v>33</v>
      </c>
      <c r="O3854" t="n">
        <v>0.33</v>
      </c>
      <c r="P3854" t="n">
        <v>0</v>
      </c>
      <c r="Q3854" t="n">
        <v>0.03</v>
      </c>
      <c r="R3854" t="n">
        <v>1</v>
      </c>
      <c r="S3854" t="n">
        <v>1650</v>
      </c>
      <c r="T3854" t="n">
        <v>8</v>
      </c>
      <c r="U3854" t="n">
        <v>9</v>
      </c>
      <c r="V3854" t="n">
        <v>30</v>
      </c>
      <c r="W3854" t="n">
        <v>1</v>
      </c>
      <c r="X3854" t="n">
        <v>200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10686</v>
      </c>
      <c r="AG3854" t="n">
        <v>2378</v>
      </c>
      <c r="AH3854" t="inlineStr">
        <is>
          <t>PT. KURNIA MAJU PERKASA - PPN (PDG)</t>
        </is>
      </c>
      <c r="AI3854" t="n">
        <v>22</v>
      </c>
      <c r="AJ3854" t="inlineStr">
        <is>
          <t>SCARLETT</t>
        </is>
      </c>
      <c r="AK3854" t="n">
        <v>9</v>
      </c>
      <c r="AL3854" t="inlineStr">
        <is>
          <t>Miss Glam Jambi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SCARLETT</t>
        </is>
      </c>
      <c r="B3855" s="2">
        <f>"8997236030524"</f>
        <v/>
      </c>
      <c r="C3855" t="inlineStr">
        <is>
          <t>SCARLETT Hyalu B5+Reishi Mushroom &amp; Bifida Serum</t>
        </is>
      </c>
      <c r="D3855" t="inlineStr">
        <is>
          <t>Miss Glam Jambi</t>
        </is>
      </c>
      <c r="E3855" t="n">
        <v>1</v>
      </c>
      <c r="F3855" t="n">
        <v>0.02</v>
      </c>
      <c r="G3855" t="n">
        <v>1</v>
      </c>
      <c r="H3855" t="n">
        <v>4</v>
      </c>
      <c r="I3855" t="n">
        <v>8</v>
      </c>
      <c r="J3855" t="n">
        <v>3</v>
      </c>
      <c r="K3855" t="n">
        <v>0</v>
      </c>
      <c r="L3855" t="n">
        <v>48000</v>
      </c>
      <c r="M3855" t="n">
        <v>55000</v>
      </c>
      <c r="N3855" t="n">
        <v>33</v>
      </c>
      <c r="O3855" t="n">
        <v>0.33</v>
      </c>
      <c r="P3855" t="n">
        <v>0</v>
      </c>
      <c r="Q3855" t="n">
        <v>0.02</v>
      </c>
      <c r="R3855" t="n">
        <v>1</v>
      </c>
      <c r="S3855" t="n">
        <v>1100</v>
      </c>
      <c r="T3855" t="n">
        <v>8</v>
      </c>
      <c r="U3855" t="n">
        <v>9</v>
      </c>
      <c r="V3855" t="n">
        <v>30</v>
      </c>
      <c r="W3855" t="n">
        <v>1</v>
      </c>
      <c r="X3855" t="n">
        <v>50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10686</v>
      </c>
      <c r="AG3855" t="n">
        <v>2378</v>
      </c>
      <c r="AH3855" t="inlineStr">
        <is>
          <t>PT. KURNIA MAJU PERKASA - PPN (PDG)</t>
        </is>
      </c>
      <c r="AI3855" t="n">
        <v>22</v>
      </c>
      <c r="AJ3855" t="inlineStr">
        <is>
          <t>SCARLETT</t>
        </is>
      </c>
      <c r="AK3855" t="n">
        <v>9</v>
      </c>
      <c r="AL3855" t="inlineStr">
        <is>
          <t>Miss Glam Jambi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SCARLETT</t>
        </is>
      </c>
      <c r="B3856" s="2">
        <f>"8997236030685"</f>
        <v/>
      </c>
      <c r="C3856" t="inlineStr">
        <is>
          <t>SCARLETT Hydro Fresh Cleanser 100ml</t>
        </is>
      </c>
      <c r="D3856" t="inlineStr">
        <is>
          <t>Miss Glam Jambi</t>
        </is>
      </c>
      <c r="E3856" t="n">
        <v>2</v>
      </c>
      <c r="F3856" t="n">
        <v>0.006600000000000001</v>
      </c>
      <c r="G3856" t="n">
        <v>0.33</v>
      </c>
      <c r="H3856" t="n">
        <v>4</v>
      </c>
      <c r="I3856" t="n">
        <v>8</v>
      </c>
      <c r="J3856" t="n">
        <v>3</v>
      </c>
      <c r="K3856" t="n">
        <v>0</v>
      </c>
      <c r="L3856" t="n">
        <v>46147</v>
      </c>
      <c r="M3856" t="n">
        <v>55000</v>
      </c>
      <c r="N3856" t="n">
        <v>33</v>
      </c>
      <c r="O3856" t="n">
        <v>0.33</v>
      </c>
      <c r="P3856" t="n">
        <v>1</v>
      </c>
      <c r="Q3856" t="n">
        <v>0.02</v>
      </c>
      <c r="R3856" t="n">
        <v>1</v>
      </c>
      <c r="S3856" t="n">
        <v>363.0000000000001</v>
      </c>
      <c r="T3856" t="n">
        <v>3</v>
      </c>
      <c r="U3856" t="n">
        <v>4</v>
      </c>
      <c r="V3856" t="n">
        <v>30</v>
      </c>
      <c r="W3856" t="n">
        <v>1</v>
      </c>
      <c r="X3856" t="n">
        <v>303.030303030303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10686</v>
      </c>
      <c r="AG3856" t="n">
        <v>2378</v>
      </c>
      <c r="AH3856" t="inlineStr">
        <is>
          <t>PT. KURNIA MAJU PERKASA - PPN (PDG)</t>
        </is>
      </c>
      <c r="AI3856" t="n">
        <v>22</v>
      </c>
      <c r="AJ3856" t="inlineStr">
        <is>
          <t>SCARLETT</t>
        </is>
      </c>
      <c r="AK3856" t="n">
        <v>9</v>
      </c>
      <c r="AL3856" t="inlineStr">
        <is>
          <t>Miss Glam Jambi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SCARLETT</t>
        </is>
      </c>
      <c r="B3857" s="2">
        <f>"30200423744"</f>
        <v/>
      </c>
      <c r="C3857" t="inlineStr">
        <is>
          <t>SCARLETT Intense Brightening Aha Body Serum 250ml</t>
        </is>
      </c>
      <c r="D3857" t="inlineStr">
        <is>
          <t>Miss Glam Jambi</t>
        </is>
      </c>
      <c r="E3857" t="n">
        <v>6</v>
      </c>
      <c r="F3857" t="n">
        <v>0.1914</v>
      </c>
      <c r="G3857" t="n">
        <v>1.32</v>
      </c>
      <c r="H3857" t="n">
        <v>4</v>
      </c>
      <c r="I3857" t="n">
        <v>8</v>
      </c>
      <c r="J3857" t="n">
        <v>3</v>
      </c>
      <c r="K3857" t="n">
        <v>3</v>
      </c>
      <c r="L3857" t="n">
        <v>55448</v>
      </c>
      <c r="M3857" t="n">
        <v>60000</v>
      </c>
      <c r="N3857" t="n">
        <v>33</v>
      </c>
      <c r="O3857" t="n">
        <v>0.33</v>
      </c>
      <c r="P3857" t="n">
        <v>1</v>
      </c>
      <c r="Q3857" t="n">
        <v>0.12</v>
      </c>
      <c r="R3857" t="n">
        <v>1</v>
      </c>
      <c r="S3857" t="n">
        <v>11484</v>
      </c>
      <c r="T3857" t="n">
        <v>10</v>
      </c>
      <c r="U3857" t="n">
        <v>11</v>
      </c>
      <c r="V3857" t="n">
        <v>30</v>
      </c>
      <c r="W3857" t="n">
        <v>6</v>
      </c>
      <c r="X3857" t="n">
        <v>31.34796238244514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10686</v>
      </c>
      <c r="AG3857" t="n">
        <v>2378</v>
      </c>
      <c r="AH3857" t="inlineStr">
        <is>
          <t>PT. KURNIA MAJU PERKASA - PPN (PDG)</t>
        </is>
      </c>
      <c r="AI3857" t="n">
        <v>22</v>
      </c>
      <c r="AJ3857" t="inlineStr">
        <is>
          <t>SCARLETT</t>
        </is>
      </c>
      <c r="AK3857" t="n">
        <v>9</v>
      </c>
      <c r="AL3857" t="inlineStr">
        <is>
          <t>Miss Glam Jambi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SCARLETT</t>
        </is>
      </c>
      <c r="B3858" s="2">
        <f>"304002156819"</f>
        <v/>
      </c>
      <c r="C3858" t="inlineStr">
        <is>
          <t>SCARLETT Kilau Samudra Shimmer Liquid Body Perfume 30ml</t>
        </is>
      </c>
      <c r="D3858" t="inlineStr">
        <is>
          <t>Miss Glam Jambi</t>
        </is>
      </c>
      <c r="E3858" t="n">
        <v>8</v>
      </c>
      <c r="F3858" t="n">
        <v>0.0198</v>
      </c>
      <c r="G3858" t="n">
        <v>0.33</v>
      </c>
      <c r="H3858" t="n">
        <v>4</v>
      </c>
      <c r="I3858" t="n">
        <v>8</v>
      </c>
      <c r="J3858" t="n">
        <v>3</v>
      </c>
      <c r="K3858" t="n">
        <v>0</v>
      </c>
      <c r="L3858" t="n">
        <v>55385</v>
      </c>
      <c r="M3858" t="n">
        <v>65000</v>
      </c>
      <c r="N3858" t="n">
        <v>33</v>
      </c>
      <c r="O3858" t="n">
        <v>0.33</v>
      </c>
      <c r="P3858" t="n">
        <v>1</v>
      </c>
      <c r="Q3858" t="n">
        <v>0.03</v>
      </c>
      <c r="R3858" t="n">
        <v>1</v>
      </c>
      <c r="S3858" t="n">
        <v>1287</v>
      </c>
      <c r="T3858" t="n">
        <v>3</v>
      </c>
      <c r="U3858" t="n">
        <v>4</v>
      </c>
      <c r="V3858" t="n">
        <v>30</v>
      </c>
      <c r="W3858" t="n">
        <v>1</v>
      </c>
      <c r="X3858" t="n">
        <v>404.040404040404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10686</v>
      </c>
      <c r="AG3858" t="n">
        <v>2378</v>
      </c>
      <c r="AH3858" t="inlineStr">
        <is>
          <t>PT. KURNIA MAJU PERKASA - PPN (PDG)</t>
        </is>
      </c>
      <c r="AI3858" t="n">
        <v>22</v>
      </c>
      <c r="AJ3858" t="inlineStr">
        <is>
          <t>SCARLETT</t>
        </is>
      </c>
      <c r="AK3858" t="n">
        <v>9</v>
      </c>
      <c r="AL3858" t="inlineStr">
        <is>
          <t>Miss Glam Jambi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SCARLETT</t>
        </is>
      </c>
      <c r="B3859" s="2">
        <f>"8997236030517"</f>
        <v/>
      </c>
      <c r="C3859" t="inlineStr">
        <is>
          <t>SCARLETT Niacinamide 5% Beta Glucan 7 Phyto Extract Serum 15ml</t>
        </is>
      </c>
      <c r="D3859" t="inlineStr">
        <is>
          <t>Miss Glam Jambi</t>
        </is>
      </c>
      <c r="E3859" t="n">
        <v>6</v>
      </c>
      <c r="F3859" t="n">
        <v>0.02</v>
      </c>
      <c r="G3859" t="n">
        <v>1</v>
      </c>
      <c r="H3859" t="n">
        <v>4</v>
      </c>
      <c r="I3859" t="n">
        <v>8</v>
      </c>
      <c r="J3859" t="n">
        <v>3</v>
      </c>
      <c r="K3859" t="n">
        <v>0</v>
      </c>
      <c r="L3859" t="n">
        <v>47424</v>
      </c>
      <c r="M3859" t="n">
        <v>55000</v>
      </c>
      <c r="N3859" t="n">
        <v>33</v>
      </c>
      <c r="O3859" t="n">
        <v>0.33</v>
      </c>
      <c r="P3859" t="n">
        <v>0</v>
      </c>
      <c r="Q3859" t="n">
        <v>0.02</v>
      </c>
      <c r="R3859" t="n">
        <v>1</v>
      </c>
      <c r="S3859" t="n">
        <v>1100</v>
      </c>
      <c r="T3859" t="n">
        <v>8</v>
      </c>
      <c r="U3859" t="n">
        <v>9</v>
      </c>
      <c r="V3859" t="n">
        <v>30</v>
      </c>
      <c r="W3859" t="n">
        <v>1</v>
      </c>
      <c r="X3859" t="n">
        <v>300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10686</v>
      </c>
      <c r="AG3859" t="n">
        <v>2378</v>
      </c>
      <c r="AH3859" t="inlineStr">
        <is>
          <t>PT. KURNIA MAJU PERKASA - PPN (PDG)</t>
        </is>
      </c>
      <c r="AI3859" t="n">
        <v>22</v>
      </c>
      <c r="AJ3859" t="inlineStr">
        <is>
          <t>SCARLETT</t>
        </is>
      </c>
      <c r="AK3859" t="n">
        <v>9</v>
      </c>
      <c r="AL3859" t="inlineStr">
        <is>
          <t>Miss Glam Jambi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SCARLETT</t>
        </is>
      </c>
      <c r="B3860" s="2">
        <f>"8997236031002"</f>
        <v/>
      </c>
      <c r="C3860" t="inlineStr">
        <is>
          <t>SCARLETT Peeling So Good Brightening Peeling Gel 100ml</t>
        </is>
      </c>
      <c r="D3860" t="inlineStr">
        <is>
          <t>Miss Glam Jambi</t>
        </is>
      </c>
      <c r="E3860" t="n">
        <v>5</v>
      </c>
      <c r="F3860" t="n">
        <v>0.0561</v>
      </c>
      <c r="G3860" t="n">
        <v>0.33</v>
      </c>
      <c r="H3860" t="n">
        <v>4</v>
      </c>
      <c r="I3860" t="n">
        <v>8</v>
      </c>
      <c r="J3860" t="n">
        <v>3</v>
      </c>
      <c r="K3860" t="n">
        <v>0</v>
      </c>
      <c r="L3860" t="n">
        <v>48185</v>
      </c>
      <c r="M3860" t="n">
        <v>55000</v>
      </c>
      <c r="N3860" t="n">
        <v>33</v>
      </c>
      <c r="O3860" t="n">
        <v>0.33</v>
      </c>
      <c r="P3860" t="n">
        <v>1</v>
      </c>
      <c r="Q3860" t="n">
        <v>0.02</v>
      </c>
      <c r="R3860" t="n">
        <v>1</v>
      </c>
      <c r="S3860" t="n">
        <v>3085.5</v>
      </c>
      <c r="T3860" t="n">
        <v>3</v>
      </c>
      <c r="U3860" t="n">
        <v>4</v>
      </c>
      <c r="V3860" t="n">
        <v>30</v>
      </c>
      <c r="W3860" t="n">
        <v>2</v>
      </c>
      <c r="X3860" t="n">
        <v>89.12655971479501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10686</v>
      </c>
      <c r="AG3860" t="n">
        <v>2378</v>
      </c>
      <c r="AH3860" t="inlineStr">
        <is>
          <t>PT. KURNIA MAJU PERKASA - PPN (PDG)</t>
        </is>
      </c>
      <c r="AI3860" t="n">
        <v>22</v>
      </c>
      <c r="AJ3860" t="inlineStr">
        <is>
          <t>SCARLETT</t>
        </is>
      </c>
      <c r="AK3860" t="n">
        <v>9</v>
      </c>
      <c r="AL3860" t="inlineStr">
        <is>
          <t>Miss Glam Jambi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SCARLETT</t>
        </is>
      </c>
      <c r="B3861" s="2">
        <f>"8997236030692"</f>
        <v/>
      </c>
      <c r="C3861" t="inlineStr">
        <is>
          <t>SCARLETT Phyto Biotic Renewing Moisturizer 20gr</t>
        </is>
      </c>
      <c r="D3861" t="inlineStr">
        <is>
          <t>Miss Glam Jambi</t>
        </is>
      </c>
      <c r="E3861" t="n">
        <v>12</v>
      </c>
      <c r="F3861" t="n">
        <v>0.006600000000000001</v>
      </c>
      <c r="G3861" t="n">
        <v>0.66</v>
      </c>
      <c r="H3861" t="n">
        <v>4</v>
      </c>
      <c r="I3861" t="n">
        <v>8</v>
      </c>
      <c r="J3861" t="n">
        <v>3</v>
      </c>
      <c r="K3861" t="n">
        <v>0</v>
      </c>
      <c r="L3861" t="n">
        <v>49168</v>
      </c>
      <c r="M3861" t="n">
        <v>55000</v>
      </c>
      <c r="N3861" t="n">
        <v>33</v>
      </c>
      <c r="O3861" t="n">
        <v>0.33</v>
      </c>
      <c r="P3861" t="n">
        <v>1</v>
      </c>
      <c r="Q3861" t="n">
        <v>0.03</v>
      </c>
      <c r="R3861" t="n">
        <v>1</v>
      </c>
      <c r="S3861" t="n">
        <v>363.0000000000001</v>
      </c>
      <c r="T3861" t="n">
        <v>6</v>
      </c>
      <c r="U3861" t="n">
        <v>7</v>
      </c>
      <c r="V3861" t="n">
        <v>30</v>
      </c>
      <c r="W3861" t="n">
        <v>1</v>
      </c>
      <c r="X3861" t="n">
        <v>1818.181818181818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10686</v>
      </c>
      <c r="AG3861" t="n">
        <v>2378</v>
      </c>
      <c r="AH3861" t="inlineStr">
        <is>
          <t>PT. KURNIA MAJU PERKASA - PPN (PDG)</t>
        </is>
      </c>
      <c r="AI3861" t="n">
        <v>22</v>
      </c>
      <c r="AJ3861" t="inlineStr">
        <is>
          <t>SCARLETT</t>
        </is>
      </c>
      <c r="AK3861" t="n">
        <v>9</v>
      </c>
      <c r="AL3861" t="inlineStr">
        <is>
          <t>Miss Glam Jambi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SCARLETT</t>
        </is>
      </c>
      <c r="B3862" s="2">
        <f>"304002156753"</f>
        <v/>
      </c>
      <c r="C3862" t="inlineStr">
        <is>
          <t>SCARLETT Purple Kiss Fruity Citrus Oriental 30ml</t>
        </is>
      </c>
      <c r="D3862" t="inlineStr">
        <is>
          <t>Miss Glam Jambi</t>
        </is>
      </c>
      <c r="E3862" t="n">
        <v>4</v>
      </c>
      <c r="F3862" t="n">
        <v>0.3993</v>
      </c>
      <c r="G3862" t="n">
        <v>1.32</v>
      </c>
      <c r="H3862" t="n">
        <v>4</v>
      </c>
      <c r="I3862" t="n">
        <v>8</v>
      </c>
      <c r="J3862" t="n">
        <v>3</v>
      </c>
      <c r="K3862" t="n">
        <v>9</v>
      </c>
      <c r="L3862" t="n">
        <v>55596</v>
      </c>
      <c r="M3862" t="n">
        <v>65000</v>
      </c>
      <c r="N3862" t="n">
        <v>33</v>
      </c>
      <c r="O3862" t="n">
        <v>0.33</v>
      </c>
      <c r="P3862" t="n">
        <v>1</v>
      </c>
      <c r="Q3862" t="n">
        <v>0.19</v>
      </c>
      <c r="R3862" t="n">
        <v>1</v>
      </c>
      <c r="S3862" t="n">
        <v>25954.5</v>
      </c>
      <c r="T3862" t="n">
        <v>9</v>
      </c>
      <c r="U3862" t="n">
        <v>11</v>
      </c>
      <c r="V3862" t="n">
        <v>30</v>
      </c>
      <c r="W3862" t="n">
        <v>12</v>
      </c>
      <c r="X3862" t="n">
        <v>10.0175306786877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10686</v>
      </c>
      <c r="AG3862" t="n">
        <v>2378</v>
      </c>
      <c r="AH3862" t="inlineStr">
        <is>
          <t>PT. KURNIA MAJU PERKASA - PPN (PDG)</t>
        </is>
      </c>
      <c r="AI3862" t="n">
        <v>22</v>
      </c>
      <c r="AJ3862" t="inlineStr">
        <is>
          <t>SCARLETT</t>
        </is>
      </c>
      <c r="AK3862" t="n">
        <v>9</v>
      </c>
      <c r="AL3862" t="inlineStr">
        <is>
          <t>Miss Glam Jambi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SCARLETT</t>
        </is>
      </c>
      <c r="B3863" s="2">
        <f>"11200314239"</f>
        <v/>
      </c>
      <c r="C3863" t="inlineStr">
        <is>
          <t>SCARLETT Revive Red Exfo Serum 15ml</t>
        </is>
      </c>
      <c r="D3863" t="inlineStr">
        <is>
          <t>Miss Glam Jambi</t>
        </is>
      </c>
      <c r="E3863" t="n">
        <v>8</v>
      </c>
      <c r="F3863" t="n">
        <v>0.0495</v>
      </c>
      <c r="G3863" t="n">
        <v>0.66</v>
      </c>
      <c r="H3863" t="n">
        <v>4</v>
      </c>
      <c r="I3863" t="n">
        <v>8</v>
      </c>
      <c r="J3863" t="n">
        <v>1</v>
      </c>
      <c r="K3863" t="n">
        <v>0</v>
      </c>
      <c r="L3863" t="n">
        <v>34381</v>
      </c>
      <c r="M3863" t="n">
        <v>45000</v>
      </c>
      <c r="N3863" t="n">
        <v>33</v>
      </c>
      <c r="O3863" t="n">
        <v>0.33</v>
      </c>
      <c r="P3863" t="n">
        <v>1</v>
      </c>
      <c r="Q3863" t="n">
        <v>0.07000000000000001</v>
      </c>
      <c r="R3863" t="n">
        <v>1</v>
      </c>
      <c r="S3863" t="n">
        <v>2227.5</v>
      </c>
      <c r="T3863" t="n">
        <v>6</v>
      </c>
      <c r="U3863" t="n">
        <v>7</v>
      </c>
      <c r="V3863" t="n">
        <v>30</v>
      </c>
      <c r="W3863" t="n">
        <v>2</v>
      </c>
      <c r="X3863" t="n">
        <v>161.6161616161616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10686</v>
      </c>
      <c r="AG3863" t="n">
        <v>2378</v>
      </c>
      <c r="AH3863" t="inlineStr">
        <is>
          <t>PT. KURNIA MAJU PERKASA - PPN (PDG)</t>
        </is>
      </c>
      <c r="AI3863" t="n">
        <v>22</v>
      </c>
      <c r="AJ3863" t="inlineStr">
        <is>
          <t>SCARLETT</t>
        </is>
      </c>
      <c r="AK3863" t="n">
        <v>9</v>
      </c>
      <c r="AL3863" t="inlineStr">
        <is>
          <t>Miss Glam Jambi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SCARLETT</t>
        </is>
      </c>
      <c r="B3864" s="2">
        <f>"8997236030388"</f>
        <v/>
      </c>
      <c r="C3864" t="inlineStr">
        <is>
          <t>SCARLETT Seriously Soothing&amp;Hydrating Gel Mask 100gr</t>
        </is>
      </c>
      <c r="D3864" t="inlineStr">
        <is>
          <t>Miss Glam Jambi</t>
        </is>
      </c>
      <c r="E3864" t="n">
        <v>3</v>
      </c>
      <c r="F3864" t="n">
        <v>0.02</v>
      </c>
      <c r="G3864" t="n">
        <v>1</v>
      </c>
      <c r="H3864" t="n">
        <v>4</v>
      </c>
      <c r="I3864" t="n">
        <v>8</v>
      </c>
      <c r="J3864" t="n">
        <v>3</v>
      </c>
      <c r="K3864" t="n">
        <v>0</v>
      </c>
      <c r="L3864" t="n">
        <v>39655</v>
      </c>
      <c r="M3864" t="n">
        <v>60000</v>
      </c>
      <c r="N3864" t="n">
        <v>33</v>
      </c>
      <c r="O3864" t="n">
        <v>0.33</v>
      </c>
      <c r="P3864" t="n">
        <v>0</v>
      </c>
      <c r="Q3864" t="n">
        <v>0.02</v>
      </c>
      <c r="R3864" t="n">
        <v>1</v>
      </c>
      <c r="S3864" t="n">
        <v>1200</v>
      </c>
      <c r="T3864" t="n">
        <v>8</v>
      </c>
      <c r="U3864" t="n">
        <v>9</v>
      </c>
      <c r="V3864" t="n">
        <v>30</v>
      </c>
      <c r="W3864" t="n">
        <v>1</v>
      </c>
      <c r="X3864" t="n">
        <v>150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10686</v>
      </c>
      <c r="AG3864" t="n">
        <v>2378</v>
      </c>
      <c r="AH3864" t="inlineStr">
        <is>
          <t>PT. KURNIA MAJU PERKASA - PPN (PDG)</t>
        </is>
      </c>
      <c r="AI3864" t="n">
        <v>22</v>
      </c>
      <c r="AJ3864" t="inlineStr">
        <is>
          <t>SCARLETT</t>
        </is>
      </c>
      <c r="AK3864" t="n">
        <v>9</v>
      </c>
      <c r="AL3864" t="inlineStr">
        <is>
          <t>Miss Glam Jambi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SCARLETT</t>
        </is>
      </c>
      <c r="B3865" s="2">
        <f>"8997236031125"</f>
        <v/>
      </c>
      <c r="C3865" t="inlineStr">
        <is>
          <t>SCARLETT Sun Bright Daily Sunscreen SPF 50 PA+++ 50ml New</t>
        </is>
      </c>
      <c r="D3865" t="inlineStr">
        <is>
          <t>Miss Glam Jambi</t>
        </is>
      </c>
      <c r="E3865" t="n">
        <v>1</v>
      </c>
      <c r="F3865" t="n">
        <v>0.0726</v>
      </c>
      <c r="G3865" t="n">
        <v>0.66</v>
      </c>
      <c r="H3865" t="n">
        <v>4</v>
      </c>
      <c r="I3865" t="n">
        <v>8</v>
      </c>
      <c r="J3865" t="n">
        <v>3</v>
      </c>
      <c r="K3865" t="n">
        <v>3</v>
      </c>
      <c r="L3865" t="n">
        <v>49155</v>
      </c>
      <c r="M3865" t="n">
        <v>64000</v>
      </c>
      <c r="N3865" t="n">
        <v>33</v>
      </c>
      <c r="O3865" t="n">
        <v>0.33</v>
      </c>
      <c r="P3865" t="n">
        <v>1</v>
      </c>
      <c r="Q3865" t="n">
        <v>0.02</v>
      </c>
      <c r="R3865" t="n">
        <v>1</v>
      </c>
      <c r="S3865" t="n">
        <v>4646.4</v>
      </c>
      <c r="T3865" t="n">
        <v>5</v>
      </c>
      <c r="U3865" t="n">
        <v>6</v>
      </c>
      <c r="V3865" t="n">
        <v>30</v>
      </c>
      <c r="W3865" t="n">
        <v>3</v>
      </c>
      <c r="X3865" t="n">
        <v>13.77410468319559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10686</v>
      </c>
      <c r="AG3865" t="n">
        <v>2378</v>
      </c>
      <c r="AH3865" t="inlineStr">
        <is>
          <t>PT. KURNIA MAJU PERKASA - PPN (PDG)</t>
        </is>
      </c>
      <c r="AI3865" t="n">
        <v>22</v>
      </c>
      <c r="AJ3865" t="inlineStr">
        <is>
          <t>SCARLETT</t>
        </is>
      </c>
      <c r="AK3865" t="n">
        <v>9</v>
      </c>
      <c r="AL3865" t="inlineStr">
        <is>
          <t>Miss Glam Jambi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SCARLETT</t>
        </is>
      </c>
      <c r="B3866" s="2">
        <f>"8994455510004"</f>
        <v/>
      </c>
      <c r="C3866" t="inlineStr">
        <is>
          <t>SCARLETT Ultra Light Daily Sunscreen SPF 50 PA+++ 50ml</t>
        </is>
      </c>
      <c r="D3866" t="inlineStr">
        <is>
          <t>Miss Glam Jambi</t>
        </is>
      </c>
      <c r="E3866" t="n">
        <v>6</v>
      </c>
      <c r="F3866" t="n">
        <v>0.3465</v>
      </c>
      <c r="G3866" t="n">
        <v>1.32</v>
      </c>
      <c r="H3866" t="n">
        <v>4</v>
      </c>
      <c r="I3866" t="n">
        <v>8</v>
      </c>
      <c r="J3866" t="n">
        <v>3</v>
      </c>
      <c r="K3866" t="n">
        <v>5</v>
      </c>
      <c r="L3866" t="n">
        <v>48154</v>
      </c>
      <c r="M3866" t="n">
        <v>65000</v>
      </c>
      <c r="N3866" t="n">
        <v>33</v>
      </c>
      <c r="O3866" t="n">
        <v>0.33</v>
      </c>
      <c r="P3866" t="n">
        <v>1</v>
      </c>
      <c r="Q3866" t="n">
        <v>0.19</v>
      </c>
      <c r="R3866" t="n">
        <v>2</v>
      </c>
      <c r="S3866" t="n">
        <v>22522.5</v>
      </c>
      <c r="T3866" t="n">
        <v>10</v>
      </c>
      <c r="U3866" t="n">
        <v>12</v>
      </c>
      <c r="V3866" t="n">
        <v>30</v>
      </c>
      <c r="W3866" t="n">
        <v>11</v>
      </c>
      <c r="X3866" t="n">
        <v>17.31601731601732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10686</v>
      </c>
      <c r="AG3866" t="n">
        <v>2378</v>
      </c>
      <c r="AH3866" t="inlineStr">
        <is>
          <t>PT. KURNIA MAJU PERKASA - PPN (PDG)</t>
        </is>
      </c>
      <c r="AI3866" t="n">
        <v>22</v>
      </c>
      <c r="AJ3866" t="inlineStr">
        <is>
          <t>SCARLETT</t>
        </is>
      </c>
      <c r="AK3866" t="n">
        <v>9</v>
      </c>
      <c r="AL3866" t="inlineStr">
        <is>
          <t>Miss Glam Jambi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SCARLETT</t>
        </is>
      </c>
      <c r="B3867" s="2">
        <f>"8993002676897"</f>
        <v/>
      </c>
      <c r="C3867" t="inlineStr">
        <is>
          <t>SCARLETT Whitening Facial Wash 100ml</t>
        </is>
      </c>
      <c r="D3867" t="inlineStr">
        <is>
          <t>Miss Glam Jambi</t>
        </is>
      </c>
      <c r="E3867" t="n">
        <v>3</v>
      </c>
      <c r="F3867" t="n">
        <v>0.2574</v>
      </c>
      <c r="G3867" t="n">
        <v>0.99</v>
      </c>
      <c r="H3867" t="n">
        <v>4</v>
      </c>
      <c r="I3867" t="n">
        <v>8</v>
      </c>
      <c r="J3867" t="n">
        <v>3</v>
      </c>
      <c r="K3867" t="n">
        <v>5</v>
      </c>
      <c r="L3867" t="n">
        <v>48180</v>
      </c>
      <c r="M3867" t="n">
        <v>55000</v>
      </c>
      <c r="N3867" t="n">
        <v>33</v>
      </c>
      <c r="O3867" t="n">
        <v>0.33</v>
      </c>
      <c r="P3867" t="n">
        <v>1</v>
      </c>
      <c r="Q3867" t="n">
        <v>0.14</v>
      </c>
      <c r="R3867" t="n">
        <v>1</v>
      </c>
      <c r="S3867" t="n">
        <v>14157</v>
      </c>
      <c r="T3867" t="n">
        <v>7</v>
      </c>
      <c r="U3867" t="n">
        <v>9</v>
      </c>
      <c r="V3867" t="n">
        <v>30</v>
      </c>
      <c r="W3867" t="n">
        <v>8</v>
      </c>
      <c r="X3867" t="n">
        <v>11.65501165501165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10686</v>
      </c>
      <c r="AG3867" t="n">
        <v>2378</v>
      </c>
      <c r="AH3867" t="inlineStr">
        <is>
          <t>PT. KURNIA MAJU PERKASA - PPN (PDG)</t>
        </is>
      </c>
      <c r="AI3867" t="n">
        <v>22</v>
      </c>
      <c r="AJ3867" t="inlineStr">
        <is>
          <t>SCARLETT</t>
        </is>
      </c>
      <c r="AK3867" t="n">
        <v>9</v>
      </c>
      <c r="AL3867" t="inlineStr">
        <is>
          <t>Miss Glam Jambi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SCARLETT</t>
        </is>
      </c>
      <c r="B3868" s="2">
        <f>"8993002010301"</f>
        <v/>
      </c>
      <c r="C3868" t="inlineStr">
        <is>
          <t>SCARLETT Yordanian Sea Salt Shampoo 250ml</t>
        </is>
      </c>
      <c r="D3868" t="inlineStr">
        <is>
          <t>Miss Glam Jambi</t>
        </is>
      </c>
      <c r="E3868" t="n">
        <v>0</v>
      </c>
      <c r="F3868" t="n">
        <v>0.04</v>
      </c>
      <c r="G3868" t="n">
        <v>1</v>
      </c>
      <c r="H3868" t="n">
        <v>4</v>
      </c>
      <c r="I3868" t="n">
        <v>8</v>
      </c>
      <c r="J3868" t="n">
        <v>3</v>
      </c>
      <c r="K3868" t="n">
        <v>3</v>
      </c>
      <c r="L3868" t="n">
        <v>48702</v>
      </c>
      <c r="M3868" t="n">
        <v>55000</v>
      </c>
      <c r="N3868" t="n">
        <v>33</v>
      </c>
      <c r="O3868" t="n">
        <v>0.33</v>
      </c>
      <c r="P3868" t="n">
        <v>0</v>
      </c>
      <c r="Q3868" t="n">
        <v>0.04</v>
      </c>
      <c r="R3868" t="n">
        <v>1</v>
      </c>
      <c r="S3868" t="n">
        <v>2200</v>
      </c>
      <c r="T3868" t="n">
        <v>8</v>
      </c>
      <c r="U3868" t="n">
        <v>9</v>
      </c>
      <c r="V3868" t="n">
        <v>30</v>
      </c>
      <c r="W3868" t="n">
        <v>2</v>
      </c>
      <c r="X3868" t="n">
        <v>0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10686</v>
      </c>
      <c r="AG3868" t="n">
        <v>2378</v>
      </c>
      <c r="AH3868" t="inlineStr">
        <is>
          <t>PT. KURNIA MAJU PERKASA - PPN (PDG)</t>
        </is>
      </c>
      <c r="AI3868" t="n">
        <v>22</v>
      </c>
      <c r="AJ3868" t="inlineStr">
        <is>
          <t>SCARLETT</t>
        </is>
      </c>
      <c r="AK3868" t="n">
        <v>9</v>
      </c>
      <c r="AL3868" t="inlineStr">
        <is>
          <t>Miss Glam Jambi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SCION</t>
        </is>
      </c>
      <c r="B3869" s="2">
        <f>"30400519201"</f>
        <v/>
      </c>
      <c r="C3869" t="inlineStr">
        <is>
          <t>NU SCION Brightening Roll On Deodorant 75ml</t>
        </is>
      </c>
      <c r="D3869" t="inlineStr">
        <is>
          <t>Miss Glam Jambi</t>
        </is>
      </c>
      <c r="E3869" t="n">
        <v>80</v>
      </c>
      <c r="F3869" t="n">
        <v>1.8348</v>
      </c>
      <c r="G3869" t="n">
        <v>4.62</v>
      </c>
      <c r="H3869" t="n">
        <v>4</v>
      </c>
      <c r="I3869" t="n">
        <v>20</v>
      </c>
      <c r="J3869" t="n">
        <v>1</v>
      </c>
      <c r="K3869" t="n">
        <v>0</v>
      </c>
      <c r="L3869" t="n">
        <v>60440</v>
      </c>
      <c r="M3869" t="n">
        <v>72000</v>
      </c>
      <c r="N3869" t="n">
        <v>33</v>
      </c>
      <c r="O3869" t="n">
        <v>0.33</v>
      </c>
      <c r="P3869" t="n">
        <v>1</v>
      </c>
      <c r="Q3869" t="n">
        <v>1.95</v>
      </c>
      <c r="R3869" t="n">
        <v>6</v>
      </c>
      <c r="S3869" t="n">
        <v>132105.6</v>
      </c>
      <c r="T3869" t="n">
        <v>86</v>
      </c>
      <c r="U3869" t="n">
        <v>94</v>
      </c>
      <c r="V3869" t="n">
        <v>30</v>
      </c>
      <c r="W3869" t="n">
        <v>56</v>
      </c>
      <c r="X3869" t="n">
        <v>43.60148245040332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8353</v>
      </c>
      <c r="AG3869" t="n">
        <v>1</v>
      </c>
      <c r="AH3869" t="inlineStr">
        <is>
          <t>PT. BERSAMA DISTRIVERSA INDONESIA (DC CIPUTAT)</t>
        </is>
      </c>
      <c r="AI3869" t="n">
        <v>1667</v>
      </c>
      <c r="AJ3869" t="inlineStr">
        <is>
          <t>SCION</t>
        </is>
      </c>
      <c r="AK3869" t="n">
        <v>9</v>
      </c>
      <c r="AL3869" t="inlineStr">
        <is>
          <t>Miss Glam Jambi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SCORA</t>
        </is>
      </c>
      <c r="B3870" s="2">
        <f>"10800207242"</f>
        <v/>
      </c>
      <c r="C3870" t="inlineStr">
        <is>
          <t>SCORA 0,5% Actosome Retinol Eye Cream 20ml</t>
        </is>
      </c>
      <c r="D3870" t="inlineStr">
        <is>
          <t>Miss Glam Jambi</t>
        </is>
      </c>
      <c r="E3870" t="n">
        <v>7</v>
      </c>
      <c r="F3870" t="n">
        <v>0.05</v>
      </c>
      <c r="G3870" t="n">
        <v>1</v>
      </c>
      <c r="H3870" t="n">
        <v>4</v>
      </c>
      <c r="I3870" t="n">
        <v>20</v>
      </c>
      <c r="J3870" t="n">
        <v>1</v>
      </c>
      <c r="K3870" t="n">
        <v>0</v>
      </c>
      <c r="L3870" t="n">
        <v>16540</v>
      </c>
      <c r="M3870" t="n">
        <v>19500</v>
      </c>
      <c r="N3870" t="n">
        <v>33</v>
      </c>
      <c r="O3870" t="n">
        <v>0.33</v>
      </c>
      <c r="P3870" t="n">
        <v>0</v>
      </c>
      <c r="Q3870" t="n">
        <v>0.05</v>
      </c>
      <c r="R3870" t="n">
        <v>1</v>
      </c>
      <c r="S3870" t="n">
        <v>975</v>
      </c>
      <c r="T3870" t="n">
        <v>20</v>
      </c>
      <c r="U3870" t="n">
        <v>21</v>
      </c>
      <c r="V3870" t="n">
        <v>30</v>
      </c>
      <c r="W3870" t="n">
        <v>2</v>
      </c>
      <c r="X3870" t="n">
        <v>140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8385</v>
      </c>
      <c r="AG3870" t="n">
        <v>1</v>
      </c>
      <c r="AH3870" t="inlineStr">
        <is>
          <t>PT. BERSAMA DISTRIVERSA INDONESIA (DC CIPUTAT)</t>
        </is>
      </c>
      <c r="AI3870" t="n">
        <v>1721</v>
      </c>
      <c r="AJ3870" t="inlineStr">
        <is>
          <t>SCORA</t>
        </is>
      </c>
      <c r="AK3870" t="n">
        <v>9</v>
      </c>
      <c r="AL3870" t="inlineStr">
        <is>
          <t>Miss Glam Jambi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SCORA</t>
        </is>
      </c>
      <c r="B3871" s="2">
        <f>"8994460553096"</f>
        <v/>
      </c>
      <c r="C3871" t="inlineStr">
        <is>
          <t>SCORA 2.5% D-Panthenol Barrier Shield Moisturizer</t>
        </is>
      </c>
      <c r="D3871" t="inlineStr">
        <is>
          <t>Miss Glam Jambi</t>
        </is>
      </c>
      <c r="E3871" t="n">
        <v>11</v>
      </c>
      <c r="F3871" t="n">
        <v>1.7886</v>
      </c>
      <c r="G3871" t="n">
        <v>4.29</v>
      </c>
      <c r="H3871" t="n">
        <v>4</v>
      </c>
      <c r="I3871" t="n">
        <v>20</v>
      </c>
      <c r="J3871" t="n">
        <v>3</v>
      </c>
      <c r="K3871" t="n">
        <v>42</v>
      </c>
      <c r="L3871" t="n">
        <v>30561</v>
      </c>
      <c r="M3871" t="n">
        <v>37000</v>
      </c>
      <c r="N3871" t="n">
        <v>33</v>
      </c>
      <c r="O3871" t="n">
        <v>0.33</v>
      </c>
      <c r="P3871" t="n">
        <v>1</v>
      </c>
      <c r="Q3871" t="n">
        <v>0.42</v>
      </c>
      <c r="R3871" t="n">
        <v>3</v>
      </c>
      <c r="S3871" t="n">
        <v>66178.2</v>
      </c>
      <c r="T3871" t="n">
        <v>79</v>
      </c>
      <c r="U3871" t="n">
        <v>87</v>
      </c>
      <c r="V3871" t="n">
        <v>30</v>
      </c>
      <c r="W3871" t="n">
        <v>54</v>
      </c>
      <c r="X3871" t="n">
        <v>6.150061500615006</v>
      </c>
      <c r="Y3871" t="n">
        <v>1</v>
      </c>
      <c r="Z3871" t="n">
        <v>1</v>
      </c>
      <c r="AA3871" t="n">
        <v>24</v>
      </c>
      <c r="AB3871" t="n">
        <v>0</v>
      </c>
      <c r="AC3871" t="n">
        <v>0</v>
      </c>
      <c r="AD3871" t="n">
        <v>733464</v>
      </c>
      <c r="AE3871" t="n">
        <v>0</v>
      </c>
      <c r="AF3871" t="n">
        <v>8385</v>
      </c>
      <c r="AG3871" t="n">
        <v>1</v>
      </c>
      <c r="AH3871" t="inlineStr">
        <is>
          <t>PT. BERSAMA DISTRIVERSA INDONESIA (DC CIPUTAT)</t>
        </is>
      </c>
      <c r="AI3871" t="n">
        <v>1721</v>
      </c>
      <c r="AJ3871" t="inlineStr">
        <is>
          <t>SCORA</t>
        </is>
      </c>
      <c r="AK3871" t="n">
        <v>9</v>
      </c>
      <c r="AL3871" t="inlineStr">
        <is>
          <t>Miss Glam Jambi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SCORA</t>
        </is>
      </c>
      <c r="B3872" s="2">
        <f>"10300514942"</f>
        <v/>
      </c>
      <c r="C3872" t="inlineStr">
        <is>
          <t>SCORA 5% Niacinamide Hydramoist Gel with Alpha Arbutin &amp; Panthenol 100 ML</t>
        </is>
      </c>
      <c r="D3872" t="inlineStr">
        <is>
          <t>Miss Glam Jambi</t>
        </is>
      </c>
      <c r="E3872" t="n">
        <v>14</v>
      </c>
      <c r="F3872" t="n">
        <v>0.5709000000000001</v>
      </c>
      <c r="G3872" t="n">
        <v>2.64</v>
      </c>
      <c r="H3872" t="n">
        <v>4</v>
      </c>
      <c r="I3872" t="n">
        <v>20</v>
      </c>
      <c r="J3872" t="n">
        <v>1</v>
      </c>
      <c r="K3872" t="n">
        <v>3</v>
      </c>
      <c r="L3872" t="n">
        <v>55201</v>
      </c>
      <c r="M3872" t="n">
        <v>65000</v>
      </c>
      <c r="N3872" t="n">
        <v>33</v>
      </c>
      <c r="O3872" t="n">
        <v>0.33</v>
      </c>
      <c r="P3872" t="n">
        <v>1</v>
      </c>
      <c r="Q3872" t="n">
        <v>0.2</v>
      </c>
      <c r="R3872" t="n">
        <v>2</v>
      </c>
      <c r="S3872" t="n">
        <v>37108.50000000001</v>
      </c>
      <c r="T3872" t="n">
        <v>51</v>
      </c>
      <c r="U3872" t="n">
        <v>54</v>
      </c>
      <c r="V3872" t="n">
        <v>30</v>
      </c>
      <c r="W3872" t="n">
        <v>18</v>
      </c>
      <c r="X3872" t="n">
        <v>24.52268348222105</v>
      </c>
      <c r="Y3872" t="n">
        <v>1</v>
      </c>
      <c r="Z3872" t="n">
        <v>1</v>
      </c>
      <c r="AA3872" t="n">
        <v>0</v>
      </c>
      <c r="AB3872" t="n">
        <v>1</v>
      </c>
      <c r="AC3872" t="n">
        <v>1</v>
      </c>
      <c r="AD3872" t="n">
        <v>0</v>
      </c>
      <c r="AE3872" t="n">
        <v>55201</v>
      </c>
      <c r="AF3872" t="n">
        <v>8385</v>
      </c>
      <c r="AG3872" t="n">
        <v>1</v>
      </c>
      <c r="AH3872" t="inlineStr">
        <is>
          <t>PT. BERSAMA DISTRIVERSA INDONESIA (DC CIPUTAT)</t>
        </is>
      </c>
      <c r="AI3872" t="n">
        <v>1721</v>
      </c>
      <c r="AJ3872" t="inlineStr">
        <is>
          <t>SCORA</t>
        </is>
      </c>
      <c r="AK3872" t="n">
        <v>9</v>
      </c>
      <c r="AL3872" t="inlineStr">
        <is>
          <t>Miss Glam Jambi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SCORA</t>
        </is>
      </c>
      <c r="B3873" s="2">
        <f>"10400616953"</f>
        <v/>
      </c>
      <c r="C3873" t="inlineStr">
        <is>
          <t>SCORA Bright Me Up Sunscreen SPF 40 PA++ 40gr</t>
        </is>
      </c>
      <c r="D3873" t="inlineStr">
        <is>
          <t>Miss Glam Jambi</t>
        </is>
      </c>
      <c r="E3873" t="n">
        <v>12</v>
      </c>
      <c r="F3873" t="n">
        <v>1.9404</v>
      </c>
      <c r="G3873" t="n">
        <v>5.28</v>
      </c>
      <c r="H3873" t="n">
        <v>4</v>
      </c>
      <c r="I3873" t="n">
        <v>20</v>
      </c>
      <c r="J3873" t="n">
        <v>1</v>
      </c>
      <c r="K3873" t="n">
        <v>68</v>
      </c>
      <c r="L3873" t="n">
        <v>37283</v>
      </c>
      <c r="M3873" t="n">
        <v>52500</v>
      </c>
      <c r="N3873" t="n">
        <v>33</v>
      </c>
      <c r="O3873" t="n">
        <v>0.33</v>
      </c>
      <c r="P3873" t="n">
        <v>1</v>
      </c>
      <c r="Q3873" t="n">
        <v>0.37</v>
      </c>
      <c r="R3873" t="n">
        <v>2</v>
      </c>
      <c r="S3873" t="n">
        <v>101871</v>
      </c>
      <c r="T3873" t="n">
        <v>98</v>
      </c>
      <c r="U3873" t="n">
        <v>106</v>
      </c>
      <c r="V3873" t="n">
        <v>30</v>
      </c>
      <c r="W3873" t="n">
        <v>59</v>
      </c>
      <c r="X3873" t="n">
        <v>6.184291898577612</v>
      </c>
      <c r="Y3873" t="n">
        <v>1</v>
      </c>
      <c r="Z3873" t="n">
        <v>0</v>
      </c>
      <c r="AA3873" t="n">
        <v>26</v>
      </c>
      <c r="AB3873" t="n">
        <v>0</v>
      </c>
      <c r="AC3873" t="n">
        <v>0</v>
      </c>
      <c r="AD3873" t="n">
        <v>969358</v>
      </c>
      <c r="AE3873" t="n">
        <v>0</v>
      </c>
      <c r="AF3873" t="n">
        <v>8385</v>
      </c>
      <c r="AG3873" t="n">
        <v>1</v>
      </c>
      <c r="AH3873" t="inlineStr">
        <is>
          <t>PT. BERSAMA DISTRIVERSA INDONESIA (DC CIPUTAT)</t>
        </is>
      </c>
      <c r="AI3873" t="n">
        <v>1721</v>
      </c>
      <c r="AJ3873" t="inlineStr">
        <is>
          <t>SCORA</t>
        </is>
      </c>
      <c r="AK3873" t="n">
        <v>9</v>
      </c>
      <c r="AL3873" t="inlineStr">
        <is>
          <t>Miss Glam Jambi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SCORA</t>
        </is>
      </c>
      <c r="B3874" s="2">
        <f>"10100199813"</f>
        <v/>
      </c>
      <c r="C3874" t="inlineStr">
        <is>
          <t>SCORA D-Panthenol Gentle Low Ph Cleanser 100ml</t>
        </is>
      </c>
      <c r="D3874" t="inlineStr">
        <is>
          <t>Miss Glam Jambi</t>
        </is>
      </c>
      <c r="E3874" t="n">
        <v>9</v>
      </c>
      <c r="F3874" t="n">
        <v>1.1649</v>
      </c>
      <c r="G3874" t="n">
        <v>3.63</v>
      </c>
      <c r="H3874" t="n">
        <v>4</v>
      </c>
      <c r="I3874" t="n">
        <v>20</v>
      </c>
      <c r="J3874" t="n">
        <v>3</v>
      </c>
      <c r="K3874" t="n">
        <v>27</v>
      </c>
      <c r="L3874" t="n">
        <v>32683</v>
      </c>
      <c r="M3874" t="n">
        <v>39500</v>
      </c>
      <c r="N3874" t="n">
        <v>33</v>
      </c>
      <c r="O3874" t="n">
        <v>0.33</v>
      </c>
      <c r="P3874" t="n">
        <v>1</v>
      </c>
      <c r="Q3874" t="n">
        <v>0.64</v>
      </c>
      <c r="R3874" t="n">
        <v>4</v>
      </c>
      <c r="S3874" t="n">
        <v>46013.55</v>
      </c>
      <c r="T3874" t="n">
        <v>68</v>
      </c>
      <c r="U3874" t="n">
        <v>73</v>
      </c>
      <c r="V3874" t="n">
        <v>30</v>
      </c>
      <c r="W3874" t="n">
        <v>35</v>
      </c>
      <c r="X3874" t="n">
        <v>7.725985063095544</v>
      </c>
      <c r="Y3874" t="n">
        <v>1</v>
      </c>
      <c r="Z3874" t="n">
        <v>0</v>
      </c>
      <c r="AA3874" t="n">
        <v>14</v>
      </c>
      <c r="AB3874" t="n">
        <v>0</v>
      </c>
      <c r="AC3874" t="n">
        <v>0</v>
      </c>
      <c r="AD3874" t="n">
        <v>457562</v>
      </c>
      <c r="AE3874" t="n">
        <v>0</v>
      </c>
      <c r="AF3874" t="n">
        <v>8385</v>
      </c>
      <c r="AG3874" t="n">
        <v>1</v>
      </c>
      <c r="AH3874" t="inlineStr">
        <is>
          <t>PT. BERSAMA DISTRIVERSA INDONESIA (DC CIPUTAT)</t>
        </is>
      </c>
      <c r="AI3874" t="n">
        <v>1721</v>
      </c>
      <c r="AJ3874" t="inlineStr">
        <is>
          <t>SCORA</t>
        </is>
      </c>
      <c r="AK3874" t="n">
        <v>9</v>
      </c>
      <c r="AL3874" t="inlineStr">
        <is>
          <t>Miss Glam Jambi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SCORA</t>
        </is>
      </c>
      <c r="B3875" s="2">
        <f>"10100721911"</f>
        <v/>
      </c>
      <c r="C3875" t="inlineStr">
        <is>
          <t>SCORA Gentle &amp; Soothe Micellar Cleansing Water 100ml</t>
        </is>
      </c>
      <c r="D3875" t="inlineStr">
        <is>
          <t>Miss Glam Jambi</t>
        </is>
      </c>
      <c r="E3875" t="n">
        <v>7</v>
      </c>
      <c r="F3875" t="n">
        <v>0.5709000000000001</v>
      </c>
      <c r="G3875" t="n">
        <v>1.65</v>
      </c>
      <c r="H3875" t="n">
        <v>4</v>
      </c>
      <c r="I3875" t="n">
        <v>20</v>
      </c>
      <c r="J3875" t="n">
        <v>1</v>
      </c>
      <c r="K3875" t="n">
        <v>24</v>
      </c>
      <c r="L3875" t="n">
        <v>16752</v>
      </c>
      <c r="M3875" t="n">
        <v>19900</v>
      </c>
      <c r="N3875" t="n">
        <v>33</v>
      </c>
      <c r="O3875" t="n">
        <v>0.33</v>
      </c>
      <c r="P3875" t="n">
        <v>1</v>
      </c>
      <c r="Q3875" t="n">
        <v>0.59</v>
      </c>
      <c r="R3875" t="n">
        <v>3</v>
      </c>
      <c r="S3875" t="n">
        <v>11360.91</v>
      </c>
      <c r="T3875" t="n">
        <v>31</v>
      </c>
      <c r="U3875" t="n">
        <v>34</v>
      </c>
      <c r="V3875" t="n">
        <v>30</v>
      </c>
      <c r="W3875" t="n">
        <v>18</v>
      </c>
      <c r="X3875" t="n">
        <v>12.26134174111053</v>
      </c>
      <c r="Y3875" t="n">
        <v>1</v>
      </c>
      <c r="Z3875" t="n">
        <v>0</v>
      </c>
      <c r="AA3875" t="n">
        <v>4</v>
      </c>
      <c r="AB3875" t="n">
        <v>0</v>
      </c>
      <c r="AC3875" t="n">
        <v>0</v>
      </c>
      <c r="AD3875" t="n">
        <v>67008</v>
      </c>
      <c r="AE3875" t="n">
        <v>0</v>
      </c>
      <c r="AF3875" t="n">
        <v>8385</v>
      </c>
      <c r="AG3875" t="n">
        <v>1</v>
      </c>
      <c r="AH3875" t="inlineStr">
        <is>
          <t>PT. BERSAMA DISTRIVERSA INDONESIA (DC CIPUTAT)</t>
        </is>
      </c>
      <c r="AI3875" t="n">
        <v>1721</v>
      </c>
      <c r="AJ3875" t="inlineStr">
        <is>
          <t>SCORA</t>
        </is>
      </c>
      <c r="AK3875" t="n">
        <v>9</v>
      </c>
      <c r="AL3875" t="inlineStr">
        <is>
          <t>Miss Glam Jambi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SCORA</t>
        </is>
      </c>
      <c r="B3876" s="2">
        <f>"10700340534"</f>
        <v/>
      </c>
      <c r="C3876" t="inlineStr">
        <is>
          <t>SCORA Glossy Melting Lipbalm 02 Strawberry Mochi 2gr</t>
        </is>
      </c>
      <c r="D3876" t="inlineStr">
        <is>
          <t>Miss Glam Jambi</t>
        </is>
      </c>
      <c r="E3876" t="n">
        <v>13</v>
      </c>
      <c r="F3876" t="n">
        <v>0.8382000000000001</v>
      </c>
      <c r="G3876" t="n">
        <v>2.97</v>
      </c>
      <c r="H3876" t="n">
        <v>4</v>
      </c>
      <c r="I3876" t="n">
        <v>20</v>
      </c>
      <c r="J3876" t="n">
        <v>1</v>
      </c>
      <c r="K3876" t="n">
        <v>9</v>
      </c>
      <c r="L3876" t="n">
        <v>28790</v>
      </c>
      <c r="M3876" t="n">
        <v>33900</v>
      </c>
      <c r="N3876" t="n">
        <v>33</v>
      </c>
      <c r="O3876" t="n">
        <v>0.33</v>
      </c>
      <c r="P3876" t="n">
        <v>1</v>
      </c>
      <c r="Q3876" t="n">
        <v>0.25</v>
      </c>
      <c r="R3876" t="n">
        <v>3</v>
      </c>
      <c r="S3876" t="n">
        <v>28414.98</v>
      </c>
      <c r="T3876" t="n">
        <v>57</v>
      </c>
      <c r="U3876" t="n">
        <v>61</v>
      </c>
      <c r="V3876" t="n">
        <v>30</v>
      </c>
      <c r="W3876" t="n">
        <v>26</v>
      </c>
      <c r="X3876" t="n">
        <v>15.50942495824386</v>
      </c>
      <c r="Y3876" t="n">
        <v>1</v>
      </c>
      <c r="Z3876" t="n">
        <v>4</v>
      </c>
      <c r="AA3876" t="n">
        <v>3</v>
      </c>
      <c r="AB3876" t="n">
        <v>1</v>
      </c>
      <c r="AC3876" t="n">
        <v>1</v>
      </c>
      <c r="AD3876" t="n">
        <v>86370</v>
      </c>
      <c r="AE3876" t="n">
        <v>28790</v>
      </c>
      <c r="AF3876" t="n">
        <v>8385</v>
      </c>
      <c r="AG3876" t="n">
        <v>1</v>
      </c>
      <c r="AH3876" t="inlineStr">
        <is>
          <t>PT. BERSAMA DISTRIVERSA INDONESIA (DC CIPUTAT)</t>
        </is>
      </c>
      <c r="AI3876" t="n">
        <v>1721</v>
      </c>
      <c r="AJ3876" t="inlineStr">
        <is>
          <t>SCORA</t>
        </is>
      </c>
      <c r="AK3876" t="n">
        <v>9</v>
      </c>
      <c r="AL3876" t="inlineStr">
        <is>
          <t>Miss Glam Jambi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SCORA</t>
        </is>
      </c>
      <c r="B3877" s="2">
        <f>"10300722642"</f>
        <v/>
      </c>
      <c r="C3877" t="inlineStr">
        <is>
          <t>SCORA Hydramoist Gel 5% Niacinamide 45ml</t>
        </is>
      </c>
      <c r="D3877" t="inlineStr">
        <is>
          <t>Miss Glam Jambi</t>
        </is>
      </c>
      <c r="E3877" t="n">
        <v>36</v>
      </c>
      <c r="F3877" t="n">
        <v>1.6236</v>
      </c>
      <c r="G3877" t="n">
        <v>4.62</v>
      </c>
      <c r="H3877" t="n">
        <v>4</v>
      </c>
      <c r="I3877" t="n">
        <v>20</v>
      </c>
      <c r="J3877" t="n">
        <v>1</v>
      </c>
      <c r="K3877" t="n">
        <v>24</v>
      </c>
      <c r="L3877" t="n">
        <v>32972</v>
      </c>
      <c r="M3877" t="n">
        <v>38900</v>
      </c>
      <c r="N3877" t="n">
        <v>33</v>
      </c>
      <c r="O3877" t="n">
        <v>0.33</v>
      </c>
      <c r="P3877" t="n">
        <v>1</v>
      </c>
      <c r="Q3877" t="n">
        <v>1.19</v>
      </c>
      <c r="R3877" t="n">
        <v>6</v>
      </c>
      <c r="S3877" t="n">
        <v>63158.04000000001</v>
      </c>
      <c r="T3877" t="n">
        <v>86</v>
      </c>
      <c r="U3877" t="n">
        <v>93</v>
      </c>
      <c r="V3877" t="n">
        <v>30</v>
      </c>
      <c r="W3877" t="n">
        <v>49</v>
      </c>
      <c r="X3877" t="n">
        <v>22.17294900221729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8385</v>
      </c>
      <c r="AG3877" t="n">
        <v>1</v>
      </c>
      <c r="AH3877" t="inlineStr">
        <is>
          <t>PT. BERSAMA DISTRIVERSA INDONESIA (DC CIPUTAT)</t>
        </is>
      </c>
      <c r="AI3877" t="n">
        <v>1721</v>
      </c>
      <c r="AJ3877" t="inlineStr">
        <is>
          <t>SCORA</t>
        </is>
      </c>
      <c r="AK3877" t="n">
        <v>9</v>
      </c>
      <c r="AL3877" t="inlineStr">
        <is>
          <t>Miss Glam Jambi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SCORA</t>
        </is>
      </c>
      <c r="B3878" s="2">
        <f>"10700340449"</f>
        <v/>
      </c>
      <c r="C3878" t="inlineStr">
        <is>
          <t>SCORA Melting Glossy Lipbalm 01 Maple Drizzle 2gr</t>
        </is>
      </c>
      <c r="D3878" t="inlineStr">
        <is>
          <t>Miss Glam Jambi</t>
        </is>
      </c>
      <c r="E3878" t="n">
        <v>17</v>
      </c>
      <c r="F3878" t="n">
        <v>0.3135</v>
      </c>
      <c r="G3878" t="n">
        <v>1.32</v>
      </c>
      <c r="H3878" t="n">
        <v>4</v>
      </c>
      <c r="I3878" t="n">
        <v>20</v>
      </c>
      <c r="J3878" t="n">
        <v>1</v>
      </c>
      <c r="K3878" t="n">
        <v>0</v>
      </c>
      <c r="L3878" t="n">
        <v>28790</v>
      </c>
      <c r="M3878" t="n">
        <v>33900</v>
      </c>
      <c r="N3878" t="n">
        <v>33</v>
      </c>
      <c r="O3878" t="n">
        <v>0.33</v>
      </c>
      <c r="P3878" t="n">
        <v>1</v>
      </c>
      <c r="Q3878" t="n">
        <v>0.19</v>
      </c>
      <c r="R3878" t="n">
        <v>2</v>
      </c>
      <c r="S3878" t="n">
        <v>10627.65</v>
      </c>
      <c r="T3878" t="n">
        <v>26</v>
      </c>
      <c r="U3878" t="n">
        <v>28</v>
      </c>
      <c r="V3878" t="n">
        <v>30</v>
      </c>
      <c r="W3878" t="n">
        <v>10</v>
      </c>
      <c r="X3878" t="n">
        <v>54.22647527910686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8385</v>
      </c>
      <c r="AG3878" t="n">
        <v>1</v>
      </c>
      <c r="AH3878" t="inlineStr">
        <is>
          <t>PT. BERSAMA DISTRIVERSA INDONESIA (DC CIPUTAT)</t>
        </is>
      </c>
      <c r="AI3878" t="n">
        <v>1721</v>
      </c>
      <c r="AJ3878" t="inlineStr">
        <is>
          <t>SCORA</t>
        </is>
      </c>
      <c r="AK3878" t="n">
        <v>9</v>
      </c>
      <c r="AL3878" t="inlineStr">
        <is>
          <t>Miss Glam Jambi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SCORA</t>
        </is>
      </c>
      <c r="B3879" s="2">
        <f>"10700340616"</f>
        <v/>
      </c>
      <c r="C3879" t="inlineStr">
        <is>
          <t>SCORA Melting Glossy Lipbalm 03 Roseberry Cream 2gr</t>
        </is>
      </c>
      <c r="D3879" t="inlineStr">
        <is>
          <t>Miss Glam Jambi</t>
        </is>
      </c>
      <c r="E3879" t="n">
        <v>16</v>
      </c>
      <c r="F3879" t="n">
        <v>0.5709000000000001</v>
      </c>
      <c r="G3879" t="n">
        <v>1.98</v>
      </c>
      <c r="H3879" t="n">
        <v>4</v>
      </c>
      <c r="I3879" t="n">
        <v>20</v>
      </c>
      <c r="J3879" t="n">
        <v>1</v>
      </c>
      <c r="K3879" t="n">
        <v>2</v>
      </c>
      <c r="L3879" t="n">
        <v>28790</v>
      </c>
      <c r="M3879" t="n">
        <v>33900</v>
      </c>
      <c r="N3879" t="n">
        <v>33</v>
      </c>
      <c r="O3879" t="n">
        <v>0.33</v>
      </c>
      <c r="P3879" t="n">
        <v>1</v>
      </c>
      <c r="Q3879" t="n">
        <v>0.2</v>
      </c>
      <c r="R3879" t="n">
        <v>2</v>
      </c>
      <c r="S3879" t="n">
        <v>19353.51</v>
      </c>
      <c r="T3879" t="n">
        <v>38</v>
      </c>
      <c r="U3879" t="n">
        <v>41</v>
      </c>
      <c r="V3879" t="n">
        <v>30</v>
      </c>
      <c r="W3879" t="n">
        <v>18</v>
      </c>
      <c r="X3879" t="n">
        <v>28.0259239796812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8385</v>
      </c>
      <c r="AG3879" t="n">
        <v>1</v>
      </c>
      <c r="AH3879" t="inlineStr">
        <is>
          <t>PT. BERSAMA DISTRIVERSA INDONESIA (DC CIPUTAT)</t>
        </is>
      </c>
      <c r="AI3879" t="n">
        <v>1721</v>
      </c>
      <c r="AJ3879" t="inlineStr">
        <is>
          <t>SCORA</t>
        </is>
      </c>
      <c r="AK3879" t="n">
        <v>9</v>
      </c>
      <c r="AL3879" t="inlineStr">
        <is>
          <t>Miss Glam Jambi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SCORA</t>
        </is>
      </c>
      <c r="B3880" s="2">
        <f>"10700340755"</f>
        <v/>
      </c>
      <c r="C3880" t="inlineStr">
        <is>
          <t>SCORA Melting Glossy Lipbalm 04 Choco Crookie 2gr</t>
        </is>
      </c>
      <c r="D3880" t="inlineStr">
        <is>
          <t>Miss Glam Jambi</t>
        </is>
      </c>
      <c r="E3880" t="n">
        <v>17</v>
      </c>
      <c r="F3880" t="n">
        <v>0.264</v>
      </c>
      <c r="G3880" t="n">
        <v>1.32</v>
      </c>
      <c r="H3880" t="n">
        <v>4</v>
      </c>
      <c r="I3880" t="n">
        <v>20</v>
      </c>
      <c r="J3880" t="n">
        <v>1</v>
      </c>
      <c r="K3880" t="n">
        <v>0</v>
      </c>
      <c r="L3880" t="n">
        <v>28790</v>
      </c>
      <c r="M3880" t="n">
        <v>33900</v>
      </c>
      <c r="N3880" t="n">
        <v>33</v>
      </c>
      <c r="O3880" t="n">
        <v>0.33</v>
      </c>
      <c r="P3880" t="n">
        <v>1</v>
      </c>
      <c r="Q3880" t="n">
        <v>0.19</v>
      </c>
      <c r="R3880" t="n">
        <v>2</v>
      </c>
      <c r="S3880" t="n">
        <v>8949.6</v>
      </c>
      <c r="T3880" t="n">
        <v>26</v>
      </c>
      <c r="U3880" t="n">
        <v>28</v>
      </c>
      <c r="V3880" t="n">
        <v>30</v>
      </c>
      <c r="W3880" t="n">
        <v>8</v>
      </c>
      <c r="X3880" t="n">
        <v>64.39393939393939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8385</v>
      </c>
      <c r="AG3880" t="n">
        <v>1</v>
      </c>
      <c r="AH3880" t="inlineStr">
        <is>
          <t>PT. BERSAMA DISTRIVERSA INDONESIA (DC CIPUTAT)</t>
        </is>
      </c>
      <c r="AI3880" t="n">
        <v>1721</v>
      </c>
      <c r="AJ3880" t="inlineStr">
        <is>
          <t>SCORA</t>
        </is>
      </c>
      <c r="AK3880" t="n">
        <v>9</v>
      </c>
      <c r="AL3880" t="inlineStr">
        <is>
          <t>Miss Glam Jambi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SCORA</t>
        </is>
      </c>
      <c r="B3881" s="2">
        <f>"10700340835"</f>
        <v/>
      </c>
      <c r="C3881" t="inlineStr">
        <is>
          <t>SCORA Melting Glossy Lipbalm 05 Cherry Pie 2gr</t>
        </is>
      </c>
      <c r="D3881" t="inlineStr">
        <is>
          <t>Miss Glam Jambi</t>
        </is>
      </c>
      <c r="E3881" t="n">
        <v>15</v>
      </c>
      <c r="F3881" t="n">
        <v>0.297</v>
      </c>
      <c r="G3881" t="n">
        <v>1.65</v>
      </c>
      <c r="H3881" t="n">
        <v>4</v>
      </c>
      <c r="I3881" t="n">
        <v>20</v>
      </c>
      <c r="J3881" t="n">
        <v>1</v>
      </c>
      <c r="K3881" t="n">
        <v>0</v>
      </c>
      <c r="L3881" t="n">
        <v>28790</v>
      </c>
      <c r="M3881" t="n">
        <v>33900</v>
      </c>
      <c r="N3881" t="n">
        <v>33</v>
      </c>
      <c r="O3881" t="n">
        <v>0.33</v>
      </c>
      <c r="P3881" t="n">
        <v>1</v>
      </c>
      <c r="Q3881" t="n">
        <v>0.22</v>
      </c>
      <c r="R3881" t="n">
        <v>2</v>
      </c>
      <c r="S3881" t="n">
        <v>10068.3</v>
      </c>
      <c r="T3881" t="n">
        <v>32</v>
      </c>
      <c r="U3881" t="n">
        <v>34</v>
      </c>
      <c r="V3881" t="n">
        <v>30</v>
      </c>
      <c r="W3881" t="n">
        <v>9</v>
      </c>
      <c r="X3881" t="n">
        <v>50.5050505050505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8385</v>
      </c>
      <c r="AG3881" t="n">
        <v>1</v>
      </c>
      <c r="AH3881" t="inlineStr">
        <is>
          <t>PT. BERSAMA DISTRIVERSA INDONESIA (DC CIPUTAT)</t>
        </is>
      </c>
      <c r="AI3881" t="n">
        <v>1721</v>
      </c>
      <c r="AJ3881" t="inlineStr">
        <is>
          <t>SCORA</t>
        </is>
      </c>
      <c r="AK3881" t="n">
        <v>9</v>
      </c>
      <c r="AL3881" t="inlineStr">
        <is>
          <t>Miss Glam Jambi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SCORA</t>
        </is>
      </c>
      <c r="B3882" s="2">
        <f>"10100199706"</f>
        <v/>
      </c>
      <c r="C3882" t="inlineStr">
        <is>
          <t>SCORA Salicyclic Acid Gentle Low Ph Cleanser 100ml</t>
        </is>
      </c>
      <c r="D3882" t="inlineStr">
        <is>
          <t>Miss Glam Jambi</t>
        </is>
      </c>
      <c r="E3882" t="n">
        <v>95</v>
      </c>
      <c r="F3882" t="n">
        <v>4.224</v>
      </c>
      <c r="G3882" t="n">
        <v>9.24</v>
      </c>
      <c r="H3882" t="n">
        <v>4</v>
      </c>
      <c r="I3882" t="n">
        <v>20</v>
      </c>
      <c r="J3882" t="n">
        <v>3</v>
      </c>
      <c r="K3882" t="n">
        <v>112</v>
      </c>
      <c r="L3882" t="n">
        <v>33102</v>
      </c>
      <c r="M3882" t="n">
        <v>37000</v>
      </c>
      <c r="N3882" t="n">
        <v>33</v>
      </c>
      <c r="O3882" t="n">
        <v>0.33</v>
      </c>
      <c r="P3882" t="n">
        <v>1</v>
      </c>
      <c r="Q3882" t="n">
        <v>1.92</v>
      </c>
      <c r="R3882" t="n">
        <v>5</v>
      </c>
      <c r="S3882" t="n">
        <v>156288</v>
      </c>
      <c r="T3882" t="n">
        <v>168</v>
      </c>
      <c r="U3882" t="n">
        <v>185</v>
      </c>
      <c r="V3882" t="n">
        <v>30</v>
      </c>
      <c r="W3882" t="n">
        <v>127</v>
      </c>
      <c r="X3882" t="n">
        <v>22.4905303030303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8385</v>
      </c>
      <c r="AG3882" t="n">
        <v>1</v>
      </c>
      <c r="AH3882" t="inlineStr">
        <is>
          <t>PT. BERSAMA DISTRIVERSA INDONESIA (DC CIPUTAT)</t>
        </is>
      </c>
      <c r="AI3882" t="n">
        <v>1721</v>
      </c>
      <c r="AJ3882" t="inlineStr">
        <is>
          <t>SCORA</t>
        </is>
      </c>
      <c r="AK3882" t="n">
        <v>9</v>
      </c>
      <c r="AL3882" t="inlineStr">
        <is>
          <t>Miss Glam Jambi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SCORA</t>
        </is>
      </c>
      <c r="B3883" s="2">
        <f>"10300722958"</f>
        <v/>
      </c>
      <c r="C3883" t="inlineStr">
        <is>
          <t>SCORA Sheer Glow Tone Up Cream 30ml</t>
        </is>
      </c>
      <c r="D3883" t="inlineStr">
        <is>
          <t>Miss Glam Jambi</t>
        </is>
      </c>
      <c r="E3883" t="n">
        <v>56</v>
      </c>
      <c r="F3883" t="n">
        <v>4.4583</v>
      </c>
      <c r="G3883" t="n">
        <v>10.23</v>
      </c>
      <c r="H3883" t="n">
        <v>4</v>
      </c>
      <c r="I3883" t="n">
        <v>20</v>
      </c>
      <c r="J3883" t="n">
        <v>1</v>
      </c>
      <c r="K3883" t="n">
        <v>98</v>
      </c>
      <c r="L3883" t="n">
        <v>27948</v>
      </c>
      <c r="M3883" t="n">
        <v>32900</v>
      </c>
      <c r="N3883" t="n">
        <v>33</v>
      </c>
      <c r="O3883" t="n">
        <v>0.33</v>
      </c>
      <c r="P3883" t="n">
        <v>1</v>
      </c>
      <c r="Q3883" t="n">
        <v>1.68</v>
      </c>
      <c r="R3883" t="n">
        <v>7</v>
      </c>
      <c r="S3883" t="n">
        <v>146678.07</v>
      </c>
      <c r="T3883" t="n">
        <v>187</v>
      </c>
      <c r="U3883" t="n">
        <v>205</v>
      </c>
      <c r="V3883" t="n">
        <v>30</v>
      </c>
      <c r="W3883" t="n">
        <v>134</v>
      </c>
      <c r="X3883" t="n">
        <v>12.56084157638562</v>
      </c>
      <c r="Y3883" t="n">
        <v>1</v>
      </c>
      <c r="Z3883" t="n">
        <v>0</v>
      </c>
      <c r="AA3883" t="n">
        <v>33</v>
      </c>
      <c r="AB3883" t="n">
        <v>0</v>
      </c>
      <c r="AC3883" t="n">
        <v>0</v>
      </c>
      <c r="AD3883" t="n">
        <v>922284</v>
      </c>
      <c r="AE3883" t="n">
        <v>0</v>
      </c>
      <c r="AF3883" t="n">
        <v>8385</v>
      </c>
      <c r="AG3883" t="n">
        <v>1</v>
      </c>
      <c r="AH3883" t="inlineStr">
        <is>
          <t>PT. BERSAMA DISTRIVERSA INDONESIA (DC CIPUTAT)</t>
        </is>
      </c>
      <c r="AI3883" t="n">
        <v>1721</v>
      </c>
      <c r="AJ3883" t="inlineStr">
        <is>
          <t>SCORA</t>
        </is>
      </c>
      <c r="AK3883" t="n">
        <v>9</v>
      </c>
      <c r="AL3883" t="inlineStr">
        <is>
          <t>Miss Glam Jambi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SEA MAKEUP</t>
        </is>
      </c>
      <c r="B3884" s="2">
        <f>"769503433080"</f>
        <v/>
      </c>
      <c r="C3884" t="inlineStr">
        <is>
          <t>SEA MAKEUP Acne 24h Longwear Foundation Popcorn 30ml</t>
        </is>
      </c>
      <c r="D3884" t="inlineStr">
        <is>
          <t>Miss Glam Jambi</t>
        </is>
      </c>
      <c r="E3884" t="n">
        <v>5</v>
      </c>
      <c r="F3884" t="n">
        <v>0.0165</v>
      </c>
      <c r="G3884" t="n">
        <v>0.33</v>
      </c>
      <c r="H3884" t="n">
        <v>2</v>
      </c>
      <c r="I3884" t="n">
        <v>6</v>
      </c>
      <c r="J3884" t="n">
        <v>3</v>
      </c>
      <c r="K3884" t="n">
        <v>0</v>
      </c>
      <c r="L3884" t="n">
        <v>66300</v>
      </c>
      <c r="M3884" t="n">
        <v>78000</v>
      </c>
      <c r="N3884" t="n">
        <v>33</v>
      </c>
      <c r="O3884" t="n">
        <v>0.33</v>
      </c>
      <c r="P3884" t="n">
        <v>1</v>
      </c>
      <c r="Q3884" t="n">
        <v>0.02</v>
      </c>
      <c r="R3884" t="n">
        <v>1</v>
      </c>
      <c r="S3884" t="n">
        <v>1287</v>
      </c>
      <c r="T3884" t="n">
        <v>2</v>
      </c>
      <c r="U3884" t="n">
        <v>3</v>
      </c>
      <c r="V3884" t="n">
        <v>30</v>
      </c>
      <c r="W3884" t="n">
        <v>1</v>
      </c>
      <c r="X3884" t="n">
        <v>303.030303030303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1407</v>
      </c>
      <c r="AG3884" t="n">
        <v>2136</v>
      </c>
      <c r="AH3884" t="inlineStr">
        <is>
          <t>CV. SAMUDRA JAYA ABADI - PPN (JMB)</t>
        </is>
      </c>
      <c r="AI3884" t="n">
        <v>1164</v>
      </c>
      <c r="AJ3884" t="inlineStr">
        <is>
          <t>SEA MAKEUP</t>
        </is>
      </c>
      <c r="AK3884" t="n">
        <v>9</v>
      </c>
      <c r="AL3884" t="inlineStr">
        <is>
          <t>Miss Glam Jambi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SEA MAKEUP</t>
        </is>
      </c>
      <c r="B3885" s="2">
        <f>"769503433066"</f>
        <v/>
      </c>
      <c r="C3885" t="inlineStr">
        <is>
          <t>SEA MAKEUP Acne 24h Longwear Foundation Snow Cone 30ml</t>
        </is>
      </c>
      <c r="D3885" t="inlineStr">
        <is>
          <t>Miss Glam Jambi</t>
        </is>
      </c>
      <c r="E3885" t="n">
        <v>3</v>
      </c>
      <c r="F3885" t="n">
        <v>0.009900000000000001</v>
      </c>
      <c r="G3885" t="n">
        <v>0.33</v>
      </c>
      <c r="H3885" t="n">
        <v>2</v>
      </c>
      <c r="I3885" t="n">
        <v>6</v>
      </c>
      <c r="J3885" t="n">
        <v>3</v>
      </c>
      <c r="K3885" t="n">
        <v>0</v>
      </c>
      <c r="L3885" t="n">
        <v>79668</v>
      </c>
      <c r="M3885" t="n">
        <v>94000</v>
      </c>
      <c r="N3885" t="n">
        <v>33</v>
      </c>
      <c r="O3885" t="n">
        <v>0.33</v>
      </c>
      <c r="P3885" t="n">
        <v>1</v>
      </c>
      <c r="Q3885" t="n">
        <v>0.02</v>
      </c>
      <c r="R3885" t="n">
        <v>1</v>
      </c>
      <c r="S3885" t="n">
        <v>930.6</v>
      </c>
      <c r="T3885" t="n">
        <v>2</v>
      </c>
      <c r="U3885" t="n">
        <v>3</v>
      </c>
      <c r="V3885" t="n">
        <v>30</v>
      </c>
      <c r="W3885" t="n">
        <v>1</v>
      </c>
      <c r="X3885" t="n">
        <v>303.030303030303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1407</v>
      </c>
      <c r="AG3885" t="n">
        <v>2136</v>
      </c>
      <c r="AH3885" t="inlineStr">
        <is>
          <t>CV. SAMUDRA JAYA ABADI - PPN (JMB)</t>
        </is>
      </c>
      <c r="AI3885" t="n">
        <v>1164</v>
      </c>
      <c r="AJ3885" t="inlineStr">
        <is>
          <t>SEA MAKEUP</t>
        </is>
      </c>
      <c r="AK3885" t="n">
        <v>9</v>
      </c>
      <c r="AL3885" t="inlineStr">
        <is>
          <t>Miss Glam Jambi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SEA MAKEUP</t>
        </is>
      </c>
      <c r="B3886" s="2">
        <f>"20100638532"</f>
        <v/>
      </c>
      <c r="C3886" t="inlineStr">
        <is>
          <t>SEA MAKEUP Acne Blur And Set Loose Powder Gingersnap 12gr</t>
        </is>
      </c>
      <c r="D3886" t="inlineStr">
        <is>
          <t>Miss Glam Jambi</t>
        </is>
      </c>
      <c r="E3886" t="n">
        <v>2</v>
      </c>
      <c r="F3886" t="n">
        <v>0.264</v>
      </c>
      <c r="G3886" t="n">
        <v>1.32</v>
      </c>
      <c r="H3886" t="n">
        <v>2</v>
      </c>
      <c r="I3886" t="n">
        <v>6</v>
      </c>
      <c r="J3886" t="n">
        <v>1</v>
      </c>
      <c r="K3886" t="n">
        <v>6</v>
      </c>
      <c r="L3886" t="n">
        <v>66300</v>
      </c>
      <c r="M3886" t="n">
        <v>94000</v>
      </c>
      <c r="N3886" t="n">
        <v>33</v>
      </c>
      <c r="O3886" t="n">
        <v>0.33</v>
      </c>
      <c r="P3886" t="n">
        <v>1</v>
      </c>
      <c r="Q3886" t="n">
        <v>0.14</v>
      </c>
      <c r="R3886" t="n">
        <v>1</v>
      </c>
      <c r="S3886" t="n">
        <v>24816</v>
      </c>
      <c r="T3886" t="n">
        <v>8</v>
      </c>
      <c r="U3886" t="n">
        <v>9</v>
      </c>
      <c r="V3886" t="n">
        <v>30</v>
      </c>
      <c r="W3886" t="n">
        <v>8</v>
      </c>
      <c r="X3886" t="n">
        <v>7.575757575757575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1407</v>
      </c>
      <c r="AG3886" t="n">
        <v>2136</v>
      </c>
      <c r="AH3886" t="inlineStr">
        <is>
          <t>CV. SAMUDRA JAYA ABADI - PPN (JMB)</t>
        </is>
      </c>
      <c r="AI3886" t="n">
        <v>1164</v>
      </c>
      <c r="AJ3886" t="inlineStr">
        <is>
          <t>SEA MAKEUP</t>
        </is>
      </c>
      <c r="AK3886" t="n">
        <v>9</v>
      </c>
      <c r="AL3886" t="inlineStr">
        <is>
          <t>Miss Glam Jambi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SEA MAKEUP</t>
        </is>
      </c>
      <c r="B3887" s="2">
        <f>"769503433035"</f>
        <v/>
      </c>
      <c r="C3887" t="inlineStr">
        <is>
          <t>SEA MAKEUP Acne Butter Cleasing Balm 30gr</t>
        </is>
      </c>
      <c r="D3887" t="inlineStr">
        <is>
          <t>Miss Glam Jambi</t>
        </is>
      </c>
      <c r="E3887" t="n">
        <v>5</v>
      </c>
      <c r="F3887" t="n">
        <v>0.2904</v>
      </c>
      <c r="G3887" t="n">
        <v>1.98</v>
      </c>
      <c r="H3887" t="n">
        <v>2</v>
      </c>
      <c r="I3887" t="n">
        <v>6</v>
      </c>
      <c r="J3887" t="n">
        <v>3</v>
      </c>
      <c r="K3887" t="n">
        <v>4</v>
      </c>
      <c r="L3887" t="n">
        <v>40801</v>
      </c>
      <c r="M3887" t="n">
        <v>48000</v>
      </c>
      <c r="N3887" t="n">
        <v>33</v>
      </c>
      <c r="O3887" t="n">
        <v>0.33</v>
      </c>
      <c r="P3887" t="n">
        <v>1</v>
      </c>
      <c r="Q3887" t="n">
        <v>0.17</v>
      </c>
      <c r="R3887" t="n">
        <v>1</v>
      </c>
      <c r="S3887" t="n">
        <v>13939.2</v>
      </c>
      <c r="T3887" t="n">
        <v>12</v>
      </c>
      <c r="U3887" t="n">
        <v>13</v>
      </c>
      <c r="V3887" t="n">
        <v>30</v>
      </c>
      <c r="W3887" t="n">
        <v>9</v>
      </c>
      <c r="X3887" t="n">
        <v>17.21763085399449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1407</v>
      </c>
      <c r="AG3887" t="n">
        <v>2136</v>
      </c>
      <c r="AH3887" t="inlineStr">
        <is>
          <t>CV. SAMUDRA JAYA ABADI - PPN (JMB)</t>
        </is>
      </c>
      <c r="AI3887" t="n">
        <v>1164</v>
      </c>
      <c r="AJ3887" t="inlineStr">
        <is>
          <t>SEA MAKEUP</t>
        </is>
      </c>
      <c r="AK3887" t="n">
        <v>9</v>
      </c>
      <c r="AL3887" t="inlineStr">
        <is>
          <t>Miss Glam Jambi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SEA MAKEUP</t>
        </is>
      </c>
      <c r="B3888" s="2">
        <f>"725765154064"</f>
        <v/>
      </c>
      <c r="C3888" t="inlineStr">
        <is>
          <t>SEA MAKEUP Acne Clear  Micellar Water Salicylic Acid Bisabolol Mugwort 300ml</t>
        </is>
      </c>
      <c r="D3888" t="inlineStr">
        <is>
          <t>Miss Glam Jambi</t>
        </is>
      </c>
      <c r="E3888" t="n">
        <v>21</v>
      </c>
      <c r="F3888" t="n">
        <v>0.4752</v>
      </c>
      <c r="G3888" t="n">
        <v>1.32</v>
      </c>
      <c r="H3888" t="n">
        <v>2</v>
      </c>
      <c r="I3888" t="n">
        <v>6</v>
      </c>
      <c r="J3888" t="n">
        <v>3</v>
      </c>
      <c r="K3888" t="n">
        <v>0</v>
      </c>
      <c r="L3888" t="n">
        <v>57801</v>
      </c>
      <c r="M3888" t="n">
        <v>68000</v>
      </c>
      <c r="N3888" t="n">
        <v>33</v>
      </c>
      <c r="O3888" t="n">
        <v>0.33</v>
      </c>
      <c r="P3888" t="n">
        <v>1</v>
      </c>
      <c r="Q3888" t="n">
        <v>0.34</v>
      </c>
      <c r="R3888" t="n">
        <v>2</v>
      </c>
      <c r="S3888" t="n">
        <v>32313.6</v>
      </c>
      <c r="T3888" t="n">
        <v>7</v>
      </c>
      <c r="U3888" t="n">
        <v>8</v>
      </c>
      <c r="V3888" t="n">
        <v>30</v>
      </c>
      <c r="W3888" t="n">
        <v>15</v>
      </c>
      <c r="X3888" t="n">
        <v>44.19191919191919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1407</v>
      </c>
      <c r="AG3888" t="n">
        <v>2136</v>
      </c>
      <c r="AH3888" t="inlineStr">
        <is>
          <t>CV. SAMUDRA JAYA ABADI - PPN (JMB)</t>
        </is>
      </c>
      <c r="AI3888" t="n">
        <v>1164</v>
      </c>
      <c r="AJ3888" t="inlineStr">
        <is>
          <t>SEA MAKEUP</t>
        </is>
      </c>
      <c r="AK3888" t="n">
        <v>9</v>
      </c>
      <c r="AL3888" t="inlineStr">
        <is>
          <t>Miss Glam Jambi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SEA MAKEUP</t>
        </is>
      </c>
      <c r="B3889" s="2">
        <f>"725765154460"</f>
        <v/>
      </c>
      <c r="C3889" t="inlineStr">
        <is>
          <t>SEA MAKEUP Acne Cover &amp; Smooth Two Way Cake Brown Sugar 9gr</t>
        </is>
      </c>
      <c r="D3889" t="inlineStr">
        <is>
          <t>Miss Glam Jambi</t>
        </is>
      </c>
      <c r="E3889" t="n">
        <v>2</v>
      </c>
      <c r="F3889" t="n">
        <v>0.1</v>
      </c>
      <c r="G3889" t="n">
        <v>1</v>
      </c>
      <c r="H3889" t="n">
        <v>2</v>
      </c>
      <c r="I3889" t="n">
        <v>6</v>
      </c>
      <c r="J3889" t="n">
        <v>3</v>
      </c>
      <c r="K3889" t="n">
        <v>3</v>
      </c>
      <c r="L3889" t="n">
        <v>66301</v>
      </c>
      <c r="M3889" t="n">
        <v>85000</v>
      </c>
      <c r="N3889" t="n">
        <v>33</v>
      </c>
      <c r="O3889" t="n">
        <v>0.33</v>
      </c>
      <c r="P3889" t="n">
        <v>0</v>
      </c>
      <c r="Q3889" t="n">
        <v>0.1</v>
      </c>
      <c r="R3889" t="n">
        <v>1</v>
      </c>
      <c r="S3889" t="n">
        <v>8500</v>
      </c>
      <c r="T3889" t="n">
        <v>6</v>
      </c>
      <c r="U3889" t="n">
        <v>7</v>
      </c>
      <c r="V3889" t="n">
        <v>30</v>
      </c>
      <c r="W3889" t="n">
        <v>3</v>
      </c>
      <c r="X3889" t="n">
        <v>20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1407</v>
      </c>
      <c r="AG3889" t="n">
        <v>2136</v>
      </c>
      <c r="AH3889" t="inlineStr">
        <is>
          <t>CV. SAMUDRA JAYA ABADI - PPN (JMB)</t>
        </is>
      </c>
      <c r="AI3889" t="n">
        <v>1164</v>
      </c>
      <c r="AJ3889" t="inlineStr">
        <is>
          <t>SEA MAKEUP</t>
        </is>
      </c>
      <c r="AK3889" t="n">
        <v>9</v>
      </c>
      <c r="AL3889" t="inlineStr">
        <is>
          <t>Miss Glam Jambi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SEA MAKEUP</t>
        </is>
      </c>
      <c r="B3890" s="2">
        <f>"725765154446"</f>
        <v/>
      </c>
      <c r="C3890" t="inlineStr">
        <is>
          <t>SEA MAKEUP Acne Cover &amp; Smooth Two Way Cake Vanilla Milk 9gr</t>
        </is>
      </c>
      <c r="D3890" t="inlineStr">
        <is>
          <t>Miss Glam Jambi</t>
        </is>
      </c>
      <c r="E3890" t="n">
        <v>1</v>
      </c>
      <c r="F3890" t="n">
        <v>0.1782</v>
      </c>
      <c r="G3890" t="n">
        <v>0.99</v>
      </c>
      <c r="H3890" t="n">
        <v>2</v>
      </c>
      <c r="I3890" t="n">
        <v>6</v>
      </c>
      <c r="J3890" t="n">
        <v>3</v>
      </c>
      <c r="K3890" t="n">
        <v>4</v>
      </c>
      <c r="L3890" t="n">
        <v>66300</v>
      </c>
      <c r="M3890" t="n">
        <v>85000</v>
      </c>
      <c r="N3890" t="n">
        <v>33</v>
      </c>
      <c r="O3890" t="n">
        <v>0.33</v>
      </c>
      <c r="P3890" t="n">
        <v>1</v>
      </c>
      <c r="Q3890" t="n">
        <v>0.07000000000000001</v>
      </c>
      <c r="R3890" t="n">
        <v>1</v>
      </c>
      <c r="S3890" t="n">
        <v>15147</v>
      </c>
      <c r="T3890" t="n">
        <v>6</v>
      </c>
      <c r="U3890" t="n">
        <v>7</v>
      </c>
      <c r="V3890" t="n">
        <v>30</v>
      </c>
      <c r="W3890" t="n">
        <v>6</v>
      </c>
      <c r="X3890" t="n">
        <v>5.611672278338944</v>
      </c>
      <c r="Y3890" t="n">
        <v>1</v>
      </c>
      <c r="Z3890" t="n">
        <v>1</v>
      </c>
      <c r="AA3890" t="n">
        <v>0</v>
      </c>
      <c r="AB3890" t="n">
        <v>1</v>
      </c>
      <c r="AC3890" t="n">
        <v>3</v>
      </c>
      <c r="AD3890" t="n">
        <v>0</v>
      </c>
      <c r="AE3890" t="n">
        <v>198900</v>
      </c>
      <c r="AF3890" t="n">
        <v>1407</v>
      </c>
      <c r="AG3890" t="n">
        <v>2136</v>
      </c>
      <c r="AH3890" t="inlineStr">
        <is>
          <t>CV. SAMUDRA JAYA ABADI - PPN (JMB)</t>
        </is>
      </c>
      <c r="AI3890" t="n">
        <v>1164</v>
      </c>
      <c r="AJ3890" t="inlineStr">
        <is>
          <t>SEA MAKEUP</t>
        </is>
      </c>
      <c r="AK3890" t="n">
        <v>9</v>
      </c>
      <c r="AL3890" t="inlineStr">
        <is>
          <t>Miss Glam Jambi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SEA MAKEUP</t>
        </is>
      </c>
      <c r="B3891" s="2">
        <f>"10100204506"</f>
        <v/>
      </c>
      <c r="C3891" t="inlineStr">
        <is>
          <t>SEA MAKEUP All Out Cleansing Oil 120ml</t>
        </is>
      </c>
      <c r="D3891" t="inlineStr">
        <is>
          <t>Miss Glam Jambi</t>
        </is>
      </c>
      <c r="E3891" t="n">
        <v>1</v>
      </c>
      <c r="F3891" t="n">
        <v>0.0264</v>
      </c>
      <c r="G3891" t="n">
        <v>0.33</v>
      </c>
      <c r="H3891" t="n">
        <v>2</v>
      </c>
      <c r="I3891" t="n">
        <v>6</v>
      </c>
      <c r="J3891" t="n">
        <v>1</v>
      </c>
      <c r="K3891" t="n">
        <v>0</v>
      </c>
      <c r="L3891" t="n">
        <v>87167</v>
      </c>
      <c r="M3891" t="n">
        <v>103000</v>
      </c>
      <c r="N3891" t="n">
        <v>33</v>
      </c>
      <c r="O3891" t="n">
        <v>0.33</v>
      </c>
      <c r="P3891" t="n">
        <v>1</v>
      </c>
      <c r="Q3891" t="n">
        <v>0.03</v>
      </c>
      <c r="R3891" t="n">
        <v>1</v>
      </c>
      <c r="S3891" t="n">
        <v>2719.2</v>
      </c>
      <c r="T3891" t="n">
        <v>2</v>
      </c>
      <c r="U3891" t="n">
        <v>3</v>
      </c>
      <c r="V3891" t="n">
        <v>30</v>
      </c>
      <c r="W3891" t="n">
        <v>1</v>
      </c>
      <c r="X3891" t="n">
        <v>37.87878787878788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1407</v>
      </c>
      <c r="AG3891" t="n">
        <v>2136</v>
      </c>
      <c r="AH3891" t="inlineStr">
        <is>
          <t>CV. SAMUDRA JAYA ABADI - PPN (JMB)</t>
        </is>
      </c>
      <c r="AI3891" t="n">
        <v>1164</v>
      </c>
      <c r="AJ3891" t="inlineStr">
        <is>
          <t>SEA MAKEUP</t>
        </is>
      </c>
      <c r="AK3891" t="n">
        <v>9</v>
      </c>
      <c r="AL3891" t="inlineStr">
        <is>
          <t>Miss Glam Jambi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SEA MAKEUP</t>
        </is>
      </c>
      <c r="B3892" s="2">
        <f>"10700327011"</f>
        <v/>
      </c>
      <c r="C3892" t="inlineStr">
        <is>
          <t>SEA MAKEUP Hydrating Glossy Gleam Tinted Lip Balm Aurora 4.5g</t>
        </is>
      </c>
      <c r="D3892" t="inlineStr">
        <is>
          <t>Miss Glam Jambi</t>
        </is>
      </c>
      <c r="E3892" t="n">
        <v>3</v>
      </c>
      <c r="F3892" t="n">
        <v>0.2244</v>
      </c>
      <c r="G3892" t="n">
        <v>0.99</v>
      </c>
      <c r="H3892" t="n">
        <v>2</v>
      </c>
      <c r="I3892" t="n">
        <v>6</v>
      </c>
      <c r="J3892" t="n">
        <v>3</v>
      </c>
      <c r="K3892" t="n">
        <v>4</v>
      </c>
      <c r="L3892" t="n">
        <v>49301</v>
      </c>
      <c r="M3892" t="n">
        <v>65000</v>
      </c>
      <c r="N3892" t="n">
        <v>33</v>
      </c>
      <c r="O3892" t="n">
        <v>0.33</v>
      </c>
      <c r="P3892" t="n">
        <v>1</v>
      </c>
      <c r="Q3892" t="n">
        <v>0.12</v>
      </c>
      <c r="R3892" t="n">
        <v>1</v>
      </c>
      <c r="S3892" t="n">
        <v>14586</v>
      </c>
      <c r="T3892" t="n">
        <v>6</v>
      </c>
      <c r="U3892" t="n">
        <v>7</v>
      </c>
      <c r="V3892" t="n">
        <v>30</v>
      </c>
      <c r="W3892" t="n">
        <v>7</v>
      </c>
      <c r="X3892" t="n">
        <v>13.36898395721925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1407</v>
      </c>
      <c r="AG3892" t="n">
        <v>2136</v>
      </c>
      <c r="AH3892" t="inlineStr">
        <is>
          <t>CV. SAMUDRA JAYA ABADI - PPN (JMB)</t>
        </is>
      </c>
      <c r="AI3892" t="n">
        <v>1164</v>
      </c>
      <c r="AJ3892" t="inlineStr">
        <is>
          <t>SEA MAKEUP</t>
        </is>
      </c>
      <c r="AK3892" t="n">
        <v>9</v>
      </c>
      <c r="AL3892" t="inlineStr">
        <is>
          <t>Miss Glam Jambi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SEA MAKEUP</t>
        </is>
      </c>
      <c r="B3893" s="2">
        <f>"10700326759"</f>
        <v/>
      </c>
      <c r="C3893" t="inlineStr">
        <is>
          <t>SEA MAKEUP Hydrating Glossy Gleam Tinted Lip Balm Fae 4.5g</t>
        </is>
      </c>
      <c r="D3893" t="inlineStr">
        <is>
          <t>Miss Glam Jambi</t>
        </is>
      </c>
      <c r="E3893" t="n">
        <v>6</v>
      </c>
      <c r="F3893" t="n">
        <v>0.09569999999999999</v>
      </c>
      <c r="G3893" t="n">
        <v>0.99</v>
      </c>
      <c r="H3893" t="n">
        <v>2</v>
      </c>
      <c r="I3893" t="n">
        <v>6</v>
      </c>
      <c r="J3893" t="n">
        <v>3</v>
      </c>
      <c r="K3893" t="n">
        <v>0</v>
      </c>
      <c r="L3893" t="n">
        <v>59189</v>
      </c>
      <c r="M3893" t="n">
        <v>65000</v>
      </c>
      <c r="N3893" t="n">
        <v>33</v>
      </c>
      <c r="O3893" t="n">
        <v>0.33</v>
      </c>
      <c r="P3893" t="n">
        <v>1</v>
      </c>
      <c r="Q3893" t="n">
        <v>0.02</v>
      </c>
      <c r="R3893" t="n">
        <v>1</v>
      </c>
      <c r="S3893" t="n">
        <v>6220.5</v>
      </c>
      <c r="T3893" t="n">
        <v>6</v>
      </c>
      <c r="U3893" t="n">
        <v>7</v>
      </c>
      <c r="V3893" t="n">
        <v>30</v>
      </c>
      <c r="W3893" t="n">
        <v>3</v>
      </c>
      <c r="X3893" t="n">
        <v>62.69592476489029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1407</v>
      </c>
      <c r="AG3893" t="n">
        <v>2136</v>
      </c>
      <c r="AH3893" t="inlineStr">
        <is>
          <t>CV. SAMUDRA JAYA ABADI - PPN (JMB)</t>
        </is>
      </c>
      <c r="AI3893" t="n">
        <v>1164</v>
      </c>
      <c r="AJ3893" t="inlineStr">
        <is>
          <t>SEA MAKEUP</t>
        </is>
      </c>
      <c r="AK3893" t="n">
        <v>9</v>
      </c>
      <c r="AL3893" t="inlineStr">
        <is>
          <t>Miss Glam Jambi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SEA MAKEUP</t>
        </is>
      </c>
      <c r="B3894" s="2">
        <f>"10700326945"</f>
        <v/>
      </c>
      <c r="C3894" t="inlineStr">
        <is>
          <t>SEA MAKEUP Hydrating Glossy Gleam Tinted Lip Balm Luna 4.5g</t>
        </is>
      </c>
      <c r="D3894" t="inlineStr">
        <is>
          <t>Miss Glam Jambi</t>
        </is>
      </c>
      <c r="E3894" t="n">
        <v>1</v>
      </c>
      <c r="F3894" t="n">
        <v>0.066</v>
      </c>
      <c r="G3894" t="n">
        <v>0.33</v>
      </c>
      <c r="H3894" t="n">
        <v>2</v>
      </c>
      <c r="I3894" t="n">
        <v>6</v>
      </c>
      <c r="J3894" t="n">
        <v>3</v>
      </c>
      <c r="K3894" t="n">
        <v>3</v>
      </c>
      <c r="L3894" t="n">
        <v>51227</v>
      </c>
      <c r="M3894" t="n">
        <v>65000</v>
      </c>
      <c r="N3894" t="n">
        <v>33</v>
      </c>
      <c r="O3894" t="n">
        <v>0.33</v>
      </c>
      <c r="P3894" t="n">
        <v>1</v>
      </c>
      <c r="Q3894" t="n">
        <v>0.08</v>
      </c>
      <c r="R3894" t="n">
        <v>1</v>
      </c>
      <c r="S3894" t="n">
        <v>4290</v>
      </c>
      <c r="T3894" t="n">
        <v>2</v>
      </c>
      <c r="U3894" t="n">
        <v>3</v>
      </c>
      <c r="V3894" t="n">
        <v>30</v>
      </c>
      <c r="W3894" t="n">
        <v>2</v>
      </c>
      <c r="X3894" t="n">
        <v>15.15151515151515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1407</v>
      </c>
      <c r="AG3894" t="n">
        <v>2136</v>
      </c>
      <c r="AH3894" t="inlineStr">
        <is>
          <t>CV. SAMUDRA JAYA ABADI - PPN (JMB)</t>
        </is>
      </c>
      <c r="AI3894" t="n">
        <v>1164</v>
      </c>
      <c r="AJ3894" t="inlineStr">
        <is>
          <t>SEA MAKEUP</t>
        </is>
      </c>
      <c r="AK3894" t="n">
        <v>9</v>
      </c>
      <c r="AL3894" t="inlineStr">
        <is>
          <t>Miss Glam Jambi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SEA MAKEUP</t>
        </is>
      </c>
      <c r="B3895" s="2">
        <f>"745604686129"</f>
        <v/>
      </c>
      <c r="C3895" t="inlineStr">
        <is>
          <t>SEA MAKEUP Lacquer Shake Lip Ink Margarita 3,8ml</t>
        </is>
      </c>
      <c r="D3895" t="inlineStr">
        <is>
          <t>Miss Glam Jambi</t>
        </is>
      </c>
      <c r="E3895" t="n">
        <v>3</v>
      </c>
      <c r="F3895" t="n">
        <v>0.05280000000000001</v>
      </c>
      <c r="G3895" t="n">
        <v>0.33</v>
      </c>
      <c r="H3895" t="n">
        <v>2</v>
      </c>
      <c r="I3895" t="n">
        <v>6</v>
      </c>
      <c r="J3895" t="n">
        <v>3</v>
      </c>
      <c r="K3895" t="n">
        <v>0</v>
      </c>
      <c r="L3895" t="n">
        <v>49301</v>
      </c>
      <c r="M3895" t="n">
        <v>58000</v>
      </c>
      <c r="N3895" t="n">
        <v>33</v>
      </c>
      <c r="O3895" t="n">
        <v>0.33</v>
      </c>
      <c r="P3895" t="n">
        <v>1</v>
      </c>
      <c r="Q3895" t="n">
        <v>0.02</v>
      </c>
      <c r="R3895" t="n">
        <v>1</v>
      </c>
      <c r="S3895" t="n">
        <v>3062.400000000001</v>
      </c>
      <c r="T3895" t="n">
        <v>2</v>
      </c>
      <c r="U3895" t="n">
        <v>3</v>
      </c>
      <c r="V3895" t="n">
        <v>30</v>
      </c>
      <c r="W3895" t="n">
        <v>2</v>
      </c>
      <c r="X3895" t="n">
        <v>56.81818181818181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1407</v>
      </c>
      <c r="AG3895" t="n">
        <v>2136</v>
      </c>
      <c r="AH3895" t="inlineStr">
        <is>
          <t>CV. SAMUDRA JAYA ABADI - PPN (JMB)</t>
        </is>
      </c>
      <c r="AI3895" t="n">
        <v>1164</v>
      </c>
      <c r="AJ3895" t="inlineStr">
        <is>
          <t>SEA MAKEUP</t>
        </is>
      </c>
      <c r="AK3895" t="n">
        <v>9</v>
      </c>
      <c r="AL3895" t="inlineStr">
        <is>
          <t>Miss Glam Jambi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SEA MAKEUP</t>
        </is>
      </c>
      <c r="B3896" s="2">
        <f>"745604686105"</f>
        <v/>
      </c>
      <c r="C3896" t="inlineStr">
        <is>
          <t>SEA MAKEUP Lacquer Shake Lip Ink Negroni 3.8ml</t>
        </is>
      </c>
      <c r="D3896" t="inlineStr">
        <is>
          <t>Miss Glam Jambi</t>
        </is>
      </c>
      <c r="E3896" t="n">
        <v>0</v>
      </c>
      <c r="F3896" t="n">
        <v>0.1221</v>
      </c>
      <c r="G3896" t="n">
        <v>0.66</v>
      </c>
      <c r="H3896" t="n">
        <v>2</v>
      </c>
      <c r="I3896" t="n">
        <v>6</v>
      </c>
      <c r="J3896" t="n">
        <v>3</v>
      </c>
      <c r="K3896" t="n">
        <v>0</v>
      </c>
      <c r="L3896" t="n">
        <v>50720</v>
      </c>
      <c r="M3896" t="n">
        <v>70000</v>
      </c>
      <c r="N3896" t="n">
        <v>33</v>
      </c>
      <c r="O3896" t="n">
        <v>0.33</v>
      </c>
      <c r="P3896" t="n">
        <v>1</v>
      </c>
      <c r="Q3896" t="n">
        <v>0.07000000000000001</v>
      </c>
      <c r="R3896" t="n">
        <v>2</v>
      </c>
      <c r="S3896" t="n">
        <v>8547</v>
      </c>
      <c r="T3896" t="n">
        <v>4</v>
      </c>
      <c r="U3896" t="n">
        <v>5</v>
      </c>
      <c r="V3896" t="n">
        <v>30</v>
      </c>
      <c r="W3896" t="n">
        <v>4</v>
      </c>
      <c r="X3896" t="n">
        <v>0</v>
      </c>
      <c r="Y3896" t="n">
        <v>1</v>
      </c>
      <c r="Z3896" t="n">
        <v>4</v>
      </c>
      <c r="AA3896" t="n">
        <v>1</v>
      </c>
      <c r="AB3896" t="n">
        <v>3</v>
      </c>
      <c r="AC3896" t="n">
        <v>3</v>
      </c>
      <c r="AD3896" t="n">
        <v>50720</v>
      </c>
      <c r="AE3896" t="n">
        <v>152160</v>
      </c>
      <c r="AF3896" t="n">
        <v>1407</v>
      </c>
      <c r="AG3896" t="n">
        <v>2136</v>
      </c>
      <c r="AH3896" t="inlineStr">
        <is>
          <t>CV. SAMUDRA JAYA ABADI - PPN (JMB)</t>
        </is>
      </c>
      <c r="AI3896" t="n">
        <v>1164</v>
      </c>
      <c r="AJ3896" t="inlineStr">
        <is>
          <t>SEA MAKEUP</t>
        </is>
      </c>
      <c r="AK3896" t="n">
        <v>9</v>
      </c>
      <c r="AL3896" t="inlineStr">
        <is>
          <t>Miss Glam Jambi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SEA MAKEUP</t>
        </is>
      </c>
      <c r="B3897" s="2">
        <f>"745604686075"</f>
        <v/>
      </c>
      <c r="C3897" t="inlineStr">
        <is>
          <t>SEA MAKEUP Lacquer Shake Lip Ink Paloma 3.8ml</t>
        </is>
      </c>
      <c r="D3897" t="inlineStr">
        <is>
          <t>Miss Glam Jambi</t>
        </is>
      </c>
      <c r="E3897" t="n">
        <v>4</v>
      </c>
      <c r="F3897" t="n">
        <v>0.05280000000000001</v>
      </c>
      <c r="G3897" t="n">
        <v>0.66</v>
      </c>
      <c r="H3897" t="n">
        <v>2</v>
      </c>
      <c r="I3897" t="n">
        <v>6</v>
      </c>
      <c r="J3897" t="n">
        <v>3</v>
      </c>
      <c r="K3897" t="n">
        <v>0</v>
      </c>
      <c r="L3897" t="n">
        <v>49301</v>
      </c>
      <c r="M3897" t="n">
        <v>58000</v>
      </c>
      <c r="N3897" t="n">
        <v>33</v>
      </c>
      <c r="O3897" t="n">
        <v>0.33</v>
      </c>
      <c r="P3897" t="n">
        <v>1</v>
      </c>
      <c r="Q3897" t="n">
        <v>0.02</v>
      </c>
      <c r="R3897" t="n">
        <v>1</v>
      </c>
      <c r="S3897" t="n">
        <v>3062.400000000001</v>
      </c>
      <c r="T3897" t="n">
        <v>4</v>
      </c>
      <c r="U3897" t="n">
        <v>5</v>
      </c>
      <c r="V3897" t="n">
        <v>30</v>
      </c>
      <c r="W3897" t="n">
        <v>2</v>
      </c>
      <c r="X3897" t="n">
        <v>75.75757575757575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1407</v>
      </c>
      <c r="AG3897" t="n">
        <v>2136</v>
      </c>
      <c r="AH3897" t="inlineStr">
        <is>
          <t>CV. SAMUDRA JAYA ABADI - PPN (JMB)</t>
        </is>
      </c>
      <c r="AI3897" t="n">
        <v>1164</v>
      </c>
      <c r="AJ3897" t="inlineStr">
        <is>
          <t>SEA MAKEUP</t>
        </is>
      </c>
      <c r="AK3897" t="n">
        <v>9</v>
      </c>
      <c r="AL3897" t="inlineStr">
        <is>
          <t>Miss Glam Jambi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SEA MAKEUP</t>
        </is>
      </c>
      <c r="B3898" s="2">
        <f>"745604686099"</f>
        <v/>
      </c>
      <c r="C3898" t="inlineStr">
        <is>
          <t>SEA MAKEUP Lacquer Shake Lip Ink Sangria 3,8ml</t>
        </is>
      </c>
      <c r="D3898" t="inlineStr">
        <is>
          <t>Miss Glam Jambi</t>
        </is>
      </c>
      <c r="E3898" t="n">
        <v>4</v>
      </c>
      <c r="F3898" t="n">
        <v>0.033</v>
      </c>
      <c r="G3898" t="n">
        <v>0.33</v>
      </c>
      <c r="H3898" t="n">
        <v>2</v>
      </c>
      <c r="I3898" t="n">
        <v>6</v>
      </c>
      <c r="J3898" t="n">
        <v>3</v>
      </c>
      <c r="K3898" t="n">
        <v>0</v>
      </c>
      <c r="L3898" t="n">
        <v>53949</v>
      </c>
      <c r="M3898" t="n">
        <v>58000</v>
      </c>
      <c r="N3898" t="n">
        <v>33</v>
      </c>
      <c r="O3898" t="n">
        <v>0.33</v>
      </c>
      <c r="P3898" t="n">
        <v>1</v>
      </c>
      <c r="Q3898" t="n">
        <v>0.02</v>
      </c>
      <c r="R3898" t="n">
        <v>1</v>
      </c>
      <c r="S3898" t="n">
        <v>1914</v>
      </c>
      <c r="T3898" t="n">
        <v>2</v>
      </c>
      <c r="U3898" t="n">
        <v>3</v>
      </c>
      <c r="V3898" t="n">
        <v>30</v>
      </c>
      <c r="W3898" t="n">
        <v>1</v>
      </c>
      <c r="X3898" t="n">
        <v>121.2121212121212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1407</v>
      </c>
      <c r="AG3898" t="n">
        <v>2136</v>
      </c>
      <c r="AH3898" t="inlineStr">
        <is>
          <t>CV. SAMUDRA JAYA ABADI - PPN (JMB)</t>
        </is>
      </c>
      <c r="AI3898" t="n">
        <v>1164</v>
      </c>
      <c r="AJ3898" t="inlineStr">
        <is>
          <t>SEA MAKEUP</t>
        </is>
      </c>
      <c r="AK3898" t="n">
        <v>9</v>
      </c>
      <c r="AL3898" t="inlineStr">
        <is>
          <t>Miss Glam Jambi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SEA MAKEUP</t>
        </is>
      </c>
      <c r="B3899" s="2">
        <f>"725765154392"</f>
        <v/>
      </c>
      <c r="C3899" t="inlineStr">
        <is>
          <t>SEA MAKEUP Lock It Matte Acne Setting Spray 100ml</t>
        </is>
      </c>
      <c r="D3899" t="inlineStr">
        <is>
          <t>Miss Glam Jambi</t>
        </is>
      </c>
      <c r="E3899" t="n">
        <v>0</v>
      </c>
      <c r="F3899" t="n">
        <v>0.4686</v>
      </c>
      <c r="G3899" t="n">
        <v>1.65</v>
      </c>
      <c r="H3899" t="n">
        <v>2</v>
      </c>
      <c r="I3899" t="n">
        <v>6</v>
      </c>
      <c r="J3899" t="n">
        <v>3</v>
      </c>
      <c r="K3899" t="n">
        <v>0</v>
      </c>
      <c r="L3899" t="n">
        <v>57800</v>
      </c>
      <c r="M3899" t="n">
        <v>68000</v>
      </c>
      <c r="N3899" t="n">
        <v>33</v>
      </c>
      <c r="O3899" t="n">
        <v>0.33</v>
      </c>
      <c r="P3899" t="n">
        <v>1</v>
      </c>
      <c r="Q3899" t="n">
        <v>0.11</v>
      </c>
      <c r="R3899" t="n">
        <v>1</v>
      </c>
      <c r="S3899" t="n">
        <v>31864.8</v>
      </c>
      <c r="T3899" t="n">
        <v>9</v>
      </c>
      <c r="U3899" t="n">
        <v>10</v>
      </c>
      <c r="V3899" t="n">
        <v>30</v>
      </c>
      <c r="W3899" t="n">
        <v>15</v>
      </c>
      <c r="X3899" t="n">
        <v>0</v>
      </c>
      <c r="Y3899" t="n">
        <v>1</v>
      </c>
      <c r="Z3899" t="n">
        <v>15</v>
      </c>
      <c r="AA3899" t="n">
        <v>3</v>
      </c>
      <c r="AB3899" t="n">
        <v>12</v>
      </c>
      <c r="AC3899" t="n">
        <v>12</v>
      </c>
      <c r="AD3899" t="n">
        <v>173400</v>
      </c>
      <c r="AE3899" t="n">
        <v>693600</v>
      </c>
      <c r="AF3899" t="n">
        <v>1407</v>
      </c>
      <c r="AG3899" t="n">
        <v>2136</v>
      </c>
      <c r="AH3899" t="inlineStr">
        <is>
          <t>CV. SAMUDRA JAYA ABADI - PPN (JMB)</t>
        </is>
      </c>
      <c r="AI3899" t="n">
        <v>1164</v>
      </c>
      <c r="AJ3899" t="inlineStr">
        <is>
          <t>SEA MAKEUP</t>
        </is>
      </c>
      <c r="AK3899" t="n">
        <v>9</v>
      </c>
      <c r="AL3899" t="inlineStr">
        <is>
          <t>Miss Glam Jambi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SEA MAKEUP</t>
        </is>
      </c>
      <c r="B3900" s="2">
        <f>"20101207602"</f>
        <v/>
      </c>
      <c r="C3900" t="inlineStr">
        <is>
          <t>SEA MAKEUP Stayput Prime &amp; Set Acne Setting Spray 100ml</t>
        </is>
      </c>
      <c r="D3900" t="inlineStr">
        <is>
          <t>Miss Glam Jambi</t>
        </is>
      </c>
      <c r="E3900" t="n">
        <v>0</v>
      </c>
      <c r="F3900" t="n">
        <v>0.8349</v>
      </c>
      <c r="G3900" t="n">
        <v>1.98</v>
      </c>
      <c r="H3900" t="n">
        <v>2</v>
      </c>
      <c r="I3900" t="n">
        <v>6</v>
      </c>
      <c r="J3900" t="n">
        <v>1</v>
      </c>
      <c r="K3900" t="n">
        <v>20</v>
      </c>
      <c r="L3900" t="n">
        <v>68833</v>
      </c>
      <c r="M3900" t="n">
        <v>93500</v>
      </c>
      <c r="N3900" t="n">
        <v>33</v>
      </c>
      <c r="O3900" t="n">
        <v>0.33</v>
      </c>
      <c r="P3900" t="n">
        <v>1</v>
      </c>
      <c r="Q3900" t="n">
        <v>0.27</v>
      </c>
      <c r="R3900" t="n">
        <v>2</v>
      </c>
      <c r="S3900" t="n">
        <v>78063.14999999999</v>
      </c>
      <c r="T3900" t="n">
        <v>11</v>
      </c>
      <c r="U3900" t="n">
        <v>13</v>
      </c>
      <c r="V3900" t="n">
        <v>30</v>
      </c>
      <c r="W3900" t="n">
        <v>26</v>
      </c>
      <c r="X3900" t="n">
        <v>0</v>
      </c>
      <c r="Y3900" t="n">
        <v>1</v>
      </c>
      <c r="Z3900" t="n">
        <v>6</v>
      </c>
      <c r="AA3900" t="n">
        <v>5</v>
      </c>
      <c r="AB3900" t="n">
        <v>1</v>
      </c>
      <c r="AC3900" t="n">
        <v>1</v>
      </c>
      <c r="AD3900" t="n">
        <v>344165</v>
      </c>
      <c r="AE3900" t="n">
        <v>68833</v>
      </c>
      <c r="AF3900" t="n">
        <v>1407</v>
      </c>
      <c r="AG3900" t="n">
        <v>2136</v>
      </c>
      <c r="AH3900" t="inlineStr">
        <is>
          <t>CV. SAMUDRA JAYA ABADI - PPN (JMB)</t>
        </is>
      </c>
      <c r="AI3900" t="n">
        <v>1164</v>
      </c>
      <c r="AJ3900" t="inlineStr">
        <is>
          <t>SEA MAKEUP</t>
        </is>
      </c>
      <c r="AK3900" t="n">
        <v>9</v>
      </c>
      <c r="AL3900" t="inlineStr">
        <is>
          <t>Miss Glam Jambi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SEA MAKEUP</t>
        </is>
      </c>
      <c r="B3901" s="2">
        <f>"769503433349"</f>
        <v/>
      </c>
      <c r="C3901" t="inlineStr">
        <is>
          <t>SEA MAKEUP Stick Cover Jelly Tint Cherry Pie 3.2ml</t>
        </is>
      </c>
      <c r="D3901" t="inlineStr">
        <is>
          <t>Miss Glam Jambi</t>
        </is>
      </c>
      <c r="E3901" t="n">
        <v>4</v>
      </c>
      <c r="F3901" t="n">
        <v>0.05</v>
      </c>
      <c r="G3901" t="n">
        <v>1</v>
      </c>
      <c r="H3901" t="n">
        <v>2</v>
      </c>
      <c r="I3901" t="n">
        <v>6</v>
      </c>
      <c r="J3901" t="n">
        <v>3</v>
      </c>
      <c r="K3901" t="n">
        <v>0</v>
      </c>
      <c r="L3901" t="n">
        <v>43949</v>
      </c>
      <c r="M3901" t="n">
        <v>48000</v>
      </c>
      <c r="N3901" t="n">
        <v>33</v>
      </c>
      <c r="O3901" t="n">
        <v>0.33</v>
      </c>
      <c r="P3901" t="n">
        <v>0</v>
      </c>
      <c r="Q3901" t="n">
        <v>0.05</v>
      </c>
      <c r="R3901" t="n">
        <v>1</v>
      </c>
      <c r="S3901" t="n">
        <v>2400</v>
      </c>
      <c r="T3901" t="n">
        <v>6</v>
      </c>
      <c r="U3901" t="n">
        <v>7</v>
      </c>
      <c r="V3901" t="n">
        <v>30</v>
      </c>
      <c r="W3901" t="n">
        <v>2</v>
      </c>
      <c r="X3901" t="n">
        <v>80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1407</v>
      </c>
      <c r="AG3901" t="n">
        <v>2136</v>
      </c>
      <c r="AH3901" t="inlineStr">
        <is>
          <t>CV. SAMUDRA JAYA ABADI - PPN (JMB)</t>
        </is>
      </c>
      <c r="AI3901" t="n">
        <v>1164</v>
      </c>
      <c r="AJ3901" t="inlineStr">
        <is>
          <t>SEA MAKEUP</t>
        </is>
      </c>
      <c r="AK3901" t="n">
        <v>9</v>
      </c>
      <c r="AL3901" t="inlineStr">
        <is>
          <t>Miss Glam Jambi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SEA MAKEUP</t>
        </is>
      </c>
      <c r="B3902" s="2">
        <f>"769503433332"</f>
        <v/>
      </c>
      <c r="C3902" t="inlineStr">
        <is>
          <t>SEA MAKEUP Stick Cover Jelly Tint Peach Strudel 3.2ml</t>
        </is>
      </c>
      <c r="D3902" t="inlineStr">
        <is>
          <t>Miss Glam Jambi</t>
        </is>
      </c>
      <c r="E3902" t="n">
        <v>3</v>
      </c>
      <c r="F3902" t="n">
        <v>0.006600000000000001</v>
      </c>
      <c r="G3902" t="n">
        <v>0.33</v>
      </c>
      <c r="H3902" t="n">
        <v>2</v>
      </c>
      <c r="I3902" t="n">
        <v>6</v>
      </c>
      <c r="J3902" t="n">
        <v>3</v>
      </c>
      <c r="K3902" t="n">
        <v>0</v>
      </c>
      <c r="L3902" t="n">
        <v>40801</v>
      </c>
      <c r="M3902" t="n">
        <v>48000</v>
      </c>
      <c r="N3902" t="n">
        <v>33</v>
      </c>
      <c r="O3902" t="n">
        <v>0.33</v>
      </c>
      <c r="P3902" t="n">
        <v>1</v>
      </c>
      <c r="Q3902" t="n">
        <v>0.02</v>
      </c>
      <c r="R3902" t="n">
        <v>1</v>
      </c>
      <c r="S3902" t="n">
        <v>316.8000000000001</v>
      </c>
      <c r="T3902" t="n">
        <v>2</v>
      </c>
      <c r="U3902" t="n">
        <v>3</v>
      </c>
      <c r="V3902" t="n">
        <v>30</v>
      </c>
      <c r="W3902" t="n">
        <v>1</v>
      </c>
      <c r="X3902" t="n">
        <v>454.5454545454545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1407</v>
      </c>
      <c r="AG3902" t="n">
        <v>2136</v>
      </c>
      <c r="AH3902" t="inlineStr">
        <is>
          <t>CV. SAMUDRA JAYA ABADI - PPN (JMB)</t>
        </is>
      </c>
      <c r="AI3902" t="n">
        <v>1164</v>
      </c>
      <c r="AJ3902" t="inlineStr">
        <is>
          <t>SEA MAKEUP</t>
        </is>
      </c>
      <c r="AK3902" t="n">
        <v>9</v>
      </c>
      <c r="AL3902" t="inlineStr">
        <is>
          <t>Miss Glam Jambi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SEA MAKEUP</t>
        </is>
      </c>
      <c r="B3903" s="2">
        <f>"769503433363"</f>
        <v/>
      </c>
      <c r="C3903" t="inlineStr">
        <is>
          <t>SEA MAKEUP Stick Cover Jelly Tint Red Velvet 3.2ml</t>
        </is>
      </c>
      <c r="D3903" t="inlineStr">
        <is>
          <t>Miss Glam Jambi</t>
        </is>
      </c>
      <c r="E3903" t="n">
        <v>6</v>
      </c>
      <c r="F3903" t="n">
        <v>0.08</v>
      </c>
      <c r="G3903" t="n">
        <v>1</v>
      </c>
      <c r="H3903" t="n">
        <v>2</v>
      </c>
      <c r="I3903" t="n">
        <v>6</v>
      </c>
      <c r="J3903" t="n">
        <v>3</v>
      </c>
      <c r="K3903" t="n">
        <v>0</v>
      </c>
      <c r="L3903" t="n">
        <v>40800</v>
      </c>
      <c r="M3903" t="n">
        <v>48000</v>
      </c>
      <c r="N3903" t="n">
        <v>33</v>
      </c>
      <c r="O3903" t="n">
        <v>0.33</v>
      </c>
      <c r="P3903" t="n">
        <v>0</v>
      </c>
      <c r="Q3903" t="n">
        <v>0.08</v>
      </c>
      <c r="R3903" t="n">
        <v>1</v>
      </c>
      <c r="S3903" t="n">
        <v>3840</v>
      </c>
      <c r="T3903" t="n">
        <v>6</v>
      </c>
      <c r="U3903" t="n">
        <v>7</v>
      </c>
      <c r="V3903" t="n">
        <v>30</v>
      </c>
      <c r="W3903" t="n">
        <v>3</v>
      </c>
      <c r="X3903" t="n">
        <v>75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1407</v>
      </c>
      <c r="AG3903" t="n">
        <v>2136</v>
      </c>
      <c r="AH3903" t="inlineStr">
        <is>
          <t>CV. SAMUDRA JAYA ABADI - PPN (JMB)</t>
        </is>
      </c>
      <c r="AI3903" t="n">
        <v>1164</v>
      </c>
      <c r="AJ3903" t="inlineStr">
        <is>
          <t>SEA MAKEUP</t>
        </is>
      </c>
      <c r="AK3903" t="n">
        <v>9</v>
      </c>
      <c r="AL3903" t="inlineStr">
        <is>
          <t>Miss Glam Jambi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SEA MAKEUP</t>
        </is>
      </c>
      <c r="B3904" s="2">
        <f>"769503433370"</f>
        <v/>
      </c>
      <c r="C3904" t="inlineStr">
        <is>
          <t>SEA MAKEUP Stick Cover Jelly Tint Rosey Crumble 3.2ml</t>
        </is>
      </c>
      <c r="D3904" t="inlineStr">
        <is>
          <t>Miss Glam Jambi</t>
        </is>
      </c>
      <c r="E3904" t="n">
        <v>0</v>
      </c>
      <c r="F3904" t="n">
        <v>0.0825</v>
      </c>
      <c r="G3904" t="n">
        <v>0.66</v>
      </c>
      <c r="H3904" t="n">
        <v>2</v>
      </c>
      <c r="I3904" t="n">
        <v>6</v>
      </c>
      <c r="J3904" t="n">
        <v>3</v>
      </c>
      <c r="K3904" t="n">
        <v>3</v>
      </c>
      <c r="L3904" t="n">
        <v>40800</v>
      </c>
      <c r="M3904" t="n">
        <v>48000</v>
      </c>
      <c r="N3904" t="n">
        <v>33</v>
      </c>
      <c r="O3904" t="n">
        <v>0.33</v>
      </c>
      <c r="P3904" t="n">
        <v>1</v>
      </c>
      <c r="Q3904" t="n">
        <v>0.05</v>
      </c>
      <c r="R3904" t="n">
        <v>1</v>
      </c>
      <c r="S3904" t="n">
        <v>3960</v>
      </c>
      <c r="T3904" t="n">
        <v>4</v>
      </c>
      <c r="U3904" t="n">
        <v>5</v>
      </c>
      <c r="V3904" t="n">
        <v>30</v>
      </c>
      <c r="W3904" t="n">
        <v>3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1407</v>
      </c>
      <c r="AG3904" t="n">
        <v>2136</v>
      </c>
      <c r="AH3904" t="inlineStr">
        <is>
          <t>CV. SAMUDRA JAYA ABADI - PPN (JMB)</t>
        </is>
      </c>
      <c r="AI3904" t="n">
        <v>1164</v>
      </c>
      <c r="AJ3904" t="inlineStr">
        <is>
          <t>SEA MAKEUP</t>
        </is>
      </c>
      <c r="AK3904" t="n">
        <v>9</v>
      </c>
      <c r="AL3904" t="inlineStr">
        <is>
          <t>Miss Glam Jambi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SEA MAKEUP</t>
        </is>
      </c>
      <c r="B3905" s="2">
        <f>"769503433356"</f>
        <v/>
      </c>
      <c r="C3905" t="inlineStr">
        <is>
          <t>SEA MAKEUP Stick Cover Jelly Tint Strawberry Popsicle 3.2ml</t>
        </is>
      </c>
      <c r="D3905" t="inlineStr">
        <is>
          <t>Miss Glam Jambi</t>
        </is>
      </c>
      <c r="E3905" t="n">
        <v>0</v>
      </c>
      <c r="F3905" t="n">
        <v>0.09569999999999999</v>
      </c>
      <c r="G3905" t="n">
        <v>1.32</v>
      </c>
      <c r="H3905" t="n">
        <v>2</v>
      </c>
      <c r="I3905" t="n">
        <v>6</v>
      </c>
      <c r="J3905" t="n">
        <v>3</v>
      </c>
      <c r="K3905" t="n">
        <v>3</v>
      </c>
      <c r="L3905" t="n">
        <v>40801</v>
      </c>
      <c r="M3905" t="n">
        <v>48000</v>
      </c>
      <c r="N3905" t="n">
        <v>33</v>
      </c>
      <c r="O3905" t="n">
        <v>0.33</v>
      </c>
      <c r="P3905" t="n">
        <v>1</v>
      </c>
      <c r="Q3905" t="n">
        <v>0.03</v>
      </c>
      <c r="R3905" t="n">
        <v>1</v>
      </c>
      <c r="S3905" t="n">
        <v>4593.599999999999</v>
      </c>
      <c r="T3905" t="n">
        <v>8</v>
      </c>
      <c r="U3905" t="n">
        <v>9</v>
      </c>
      <c r="V3905" t="n">
        <v>30</v>
      </c>
      <c r="W3905" t="n">
        <v>3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1407</v>
      </c>
      <c r="AG3905" t="n">
        <v>2136</v>
      </c>
      <c r="AH3905" t="inlineStr">
        <is>
          <t>CV. SAMUDRA JAYA ABADI - PPN (JMB)</t>
        </is>
      </c>
      <c r="AI3905" t="n">
        <v>1164</v>
      </c>
      <c r="AJ3905" t="inlineStr">
        <is>
          <t>SEA MAKEUP</t>
        </is>
      </c>
      <c r="AK3905" t="n">
        <v>9</v>
      </c>
      <c r="AL3905" t="inlineStr">
        <is>
          <t>Miss Glam Jambi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SEA MAKEUP</t>
        </is>
      </c>
      <c r="B3906" s="2">
        <f>"745604686259"</f>
        <v/>
      </c>
      <c r="C3906" t="inlineStr">
        <is>
          <t>SEA MAKEUP Vibrant Flushed Liquid Blush Dahlia Sunset 6ml</t>
        </is>
      </c>
      <c r="D3906" t="inlineStr">
        <is>
          <t>Miss Glam Jambi</t>
        </is>
      </c>
      <c r="E3906" t="n">
        <v>2</v>
      </c>
      <c r="F3906" t="n">
        <v>0.033</v>
      </c>
      <c r="G3906" t="n">
        <v>0.33</v>
      </c>
      <c r="H3906" t="n">
        <v>2</v>
      </c>
      <c r="I3906" t="n">
        <v>6</v>
      </c>
      <c r="J3906" t="n">
        <v>3</v>
      </c>
      <c r="K3906" t="n">
        <v>0</v>
      </c>
      <c r="L3906" t="n">
        <v>57800</v>
      </c>
      <c r="M3906" t="n">
        <v>68000</v>
      </c>
      <c r="N3906" t="n">
        <v>33</v>
      </c>
      <c r="O3906" t="n">
        <v>0.33</v>
      </c>
      <c r="P3906" t="n">
        <v>1</v>
      </c>
      <c r="Q3906" t="n">
        <v>0.03</v>
      </c>
      <c r="R3906" t="n">
        <v>1</v>
      </c>
      <c r="S3906" t="n">
        <v>2244</v>
      </c>
      <c r="T3906" t="n">
        <v>2</v>
      </c>
      <c r="U3906" t="n">
        <v>3</v>
      </c>
      <c r="V3906" t="n">
        <v>30</v>
      </c>
      <c r="W3906" t="n">
        <v>1</v>
      </c>
      <c r="X3906" t="n">
        <v>60.6060606060606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1407</v>
      </c>
      <c r="AG3906" t="n">
        <v>2136</v>
      </c>
      <c r="AH3906" t="inlineStr">
        <is>
          <t>CV. SAMUDRA JAYA ABADI - PPN (JMB)</t>
        </is>
      </c>
      <c r="AI3906" t="n">
        <v>1164</v>
      </c>
      <c r="AJ3906" t="inlineStr">
        <is>
          <t>SEA MAKEUP</t>
        </is>
      </c>
      <c r="AK3906" t="n">
        <v>9</v>
      </c>
      <c r="AL3906" t="inlineStr">
        <is>
          <t>Miss Glam Jambi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SECRET CLEAN</t>
        </is>
      </c>
      <c r="B3907" s="2">
        <f>"8997226227279"</f>
        <v/>
      </c>
      <c r="C3907" t="inlineStr">
        <is>
          <t>SECRET CLEAN Propolis Antiseptic Mouthwash Green Tea 150ml</t>
        </is>
      </c>
      <c r="D3907" t="inlineStr">
        <is>
          <t>Miss Glam Jambi</t>
        </is>
      </c>
      <c r="E3907" t="n">
        <v>5</v>
      </c>
      <c r="F3907" t="n">
        <v>0.009900000000000001</v>
      </c>
      <c r="G3907" t="n">
        <v>0.33</v>
      </c>
      <c r="H3907" t="n">
        <v>2</v>
      </c>
      <c r="I3907" t="n">
        <v>6</v>
      </c>
      <c r="J3907" t="n">
        <v>3</v>
      </c>
      <c r="K3907" t="n">
        <v>0</v>
      </c>
      <c r="L3907" t="n">
        <v>23720</v>
      </c>
      <c r="M3907" t="n">
        <v>31000</v>
      </c>
      <c r="N3907" t="n">
        <v>33</v>
      </c>
      <c r="O3907" t="n">
        <v>0.33</v>
      </c>
      <c r="P3907" t="n">
        <v>1</v>
      </c>
      <c r="Q3907" t="n">
        <v>0.07000000000000001</v>
      </c>
      <c r="R3907" t="n">
        <v>1</v>
      </c>
      <c r="S3907" t="n">
        <v>306.9</v>
      </c>
      <c r="T3907" t="n">
        <v>2</v>
      </c>
      <c r="U3907" t="n">
        <v>3</v>
      </c>
      <c r="V3907" t="n">
        <v>30</v>
      </c>
      <c r="W3907" t="n">
        <v>1</v>
      </c>
      <c r="X3907" t="n">
        <v>505.050505050505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1411</v>
      </c>
      <c r="AG3907" t="n">
        <v>2136</v>
      </c>
      <c r="AH3907" t="inlineStr">
        <is>
          <t>CV. SAMUDRA JAYA ABADI - PPN (JMB)</t>
        </is>
      </c>
      <c r="AI3907" t="n">
        <v>927</v>
      </c>
      <c r="AJ3907" t="inlineStr">
        <is>
          <t>SECRET CLEAN</t>
        </is>
      </c>
      <c r="AK3907" t="n">
        <v>9</v>
      </c>
      <c r="AL3907" t="inlineStr">
        <is>
          <t>Miss Glam Jambi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SECRET CLEAN</t>
        </is>
      </c>
      <c r="B3908" s="2">
        <f>"8997226226555"</f>
        <v/>
      </c>
      <c r="C3908" t="inlineStr">
        <is>
          <t>SECRET CLEAN Propolis Antiseptic Mouthwash Orange Mint 150ml</t>
        </is>
      </c>
      <c r="D3908" t="inlineStr">
        <is>
          <t>Miss Glam Jambi</t>
        </is>
      </c>
      <c r="E3908" t="n">
        <v>6</v>
      </c>
      <c r="F3908" t="n">
        <v>0.0495</v>
      </c>
      <c r="G3908" t="n">
        <v>0.33</v>
      </c>
      <c r="H3908" t="n">
        <v>2</v>
      </c>
      <c r="I3908" t="n">
        <v>6</v>
      </c>
      <c r="J3908" t="n">
        <v>3</v>
      </c>
      <c r="K3908" t="n">
        <v>0</v>
      </c>
      <c r="L3908" t="n">
        <v>23720</v>
      </c>
      <c r="M3908" t="n">
        <v>41500</v>
      </c>
      <c r="N3908" t="n">
        <v>33</v>
      </c>
      <c r="O3908" t="n">
        <v>0.33</v>
      </c>
      <c r="P3908" t="n">
        <v>1</v>
      </c>
      <c r="Q3908" t="n">
        <v>0.02</v>
      </c>
      <c r="R3908" t="n">
        <v>1</v>
      </c>
      <c r="S3908" t="n">
        <v>2054.25</v>
      </c>
      <c r="T3908" t="n">
        <v>2</v>
      </c>
      <c r="U3908" t="n">
        <v>3</v>
      </c>
      <c r="V3908" t="n">
        <v>30</v>
      </c>
      <c r="W3908" t="n">
        <v>2</v>
      </c>
      <c r="X3908" t="n">
        <v>121.2121212121212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1411</v>
      </c>
      <c r="AG3908" t="n">
        <v>2136</v>
      </c>
      <c r="AH3908" t="inlineStr">
        <is>
          <t>CV. SAMUDRA JAYA ABADI - PPN (JMB)</t>
        </is>
      </c>
      <c r="AI3908" t="n">
        <v>927</v>
      </c>
      <c r="AJ3908" t="inlineStr">
        <is>
          <t>SECRET CLEAN</t>
        </is>
      </c>
      <c r="AK3908" t="n">
        <v>9</v>
      </c>
      <c r="AL3908" t="inlineStr">
        <is>
          <t>Miss Glam Jambi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SECRET CLEAN</t>
        </is>
      </c>
      <c r="B3909" s="2">
        <f>"8997226227026"</f>
        <v/>
      </c>
      <c r="C3909" t="inlineStr">
        <is>
          <t>SECRET CLEAN Propolis Antiseptic Mouthwash Orange Mint 500ml</t>
        </is>
      </c>
      <c r="D3909" t="inlineStr">
        <is>
          <t>Miss Glam Jambi</t>
        </is>
      </c>
      <c r="E3909" t="n">
        <v>2</v>
      </c>
      <c r="F3909" t="n">
        <v>0.0231</v>
      </c>
      <c r="G3909" t="n">
        <v>0.33</v>
      </c>
      <c r="H3909" t="n">
        <v>2</v>
      </c>
      <c r="I3909" t="n">
        <v>6</v>
      </c>
      <c r="J3909" t="n">
        <v>3</v>
      </c>
      <c r="K3909" t="n">
        <v>0</v>
      </c>
      <c r="L3909" t="n">
        <v>52520</v>
      </c>
      <c r="M3909" t="n">
        <v>70000</v>
      </c>
      <c r="N3909" t="n">
        <v>33</v>
      </c>
      <c r="O3909" t="n">
        <v>0.33</v>
      </c>
      <c r="P3909" t="n">
        <v>1</v>
      </c>
      <c r="Q3909" t="n">
        <v>0.05</v>
      </c>
      <c r="R3909" t="n">
        <v>1</v>
      </c>
      <c r="S3909" t="n">
        <v>1617</v>
      </c>
      <c r="T3909" t="n">
        <v>2</v>
      </c>
      <c r="U3909" t="n">
        <v>3</v>
      </c>
      <c r="V3909" t="n">
        <v>30</v>
      </c>
      <c r="W3909" t="n">
        <v>1</v>
      </c>
      <c r="X3909" t="n">
        <v>86.58008658008657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1411</v>
      </c>
      <c r="AG3909" t="n">
        <v>2136</v>
      </c>
      <c r="AH3909" t="inlineStr">
        <is>
          <t>CV. SAMUDRA JAYA ABADI - PPN (JMB)</t>
        </is>
      </c>
      <c r="AI3909" t="n">
        <v>927</v>
      </c>
      <c r="AJ3909" t="inlineStr">
        <is>
          <t>SECRET CLEAN</t>
        </is>
      </c>
      <c r="AK3909" t="n">
        <v>9</v>
      </c>
      <c r="AL3909" t="inlineStr">
        <is>
          <t>Miss Glam Jambi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SECRET CLEAN</t>
        </is>
      </c>
      <c r="B3910" s="2">
        <f>"8997226226562"</f>
        <v/>
      </c>
      <c r="C3910" t="inlineStr">
        <is>
          <t>SECRET CLEAN Propolis Antiseptic Mouthwash Peppermint 150ml</t>
        </is>
      </c>
      <c r="D3910" t="inlineStr">
        <is>
          <t>Miss Glam Jambi</t>
        </is>
      </c>
      <c r="E3910" t="n">
        <v>4</v>
      </c>
      <c r="F3910" t="n">
        <v>0.1221</v>
      </c>
      <c r="G3910" t="n">
        <v>0.66</v>
      </c>
      <c r="H3910" t="n">
        <v>2</v>
      </c>
      <c r="I3910" t="n">
        <v>6</v>
      </c>
      <c r="J3910" t="n">
        <v>3</v>
      </c>
      <c r="K3910" t="n">
        <v>0</v>
      </c>
      <c r="L3910" t="n">
        <v>23720</v>
      </c>
      <c r="M3910" t="n">
        <v>30000</v>
      </c>
      <c r="N3910" t="n">
        <v>33</v>
      </c>
      <c r="O3910" t="n">
        <v>0.33</v>
      </c>
      <c r="P3910" t="n">
        <v>1</v>
      </c>
      <c r="Q3910" t="n">
        <v>0.03</v>
      </c>
      <c r="R3910" t="n">
        <v>1</v>
      </c>
      <c r="S3910" t="n">
        <v>3663</v>
      </c>
      <c r="T3910" t="n">
        <v>4</v>
      </c>
      <c r="U3910" t="n">
        <v>5</v>
      </c>
      <c r="V3910" t="n">
        <v>30</v>
      </c>
      <c r="W3910" t="n">
        <v>4</v>
      </c>
      <c r="X3910" t="n">
        <v>32.76003276003276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1411</v>
      </c>
      <c r="AG3910" t="n">
        <v>2136</v>
      </c>
      <c r="AH3910" t="inlineStr">
        <is>
          <t>CV. SAMUDRA JAYA ABADI - PPN (JMB)</t>
        </is>
      </c>
      <c r="AI3910" t="n">
        <v>927</v>
      </c>
      <c r="AJ3910" t="inlineStr">
        <is>
          <t>SECRET CLEAN</t>
        </is>
      </c>
      <c r="AK3910" t="n">
        <v>9</v>
      </c>
      <c r="AL3910" t="inlineStr">
        <is>
          <t>Miss Glam Jambi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SECRET CLEAN</t>
        </is>
      </c>
      <c r="B3911" s="2">
        <f>"8997226227033"</f>
        <v/>
      </c>
      <c r="C3911" t="inlineStr">
        <is>
          <t>SECRET CLEAN Propolis Antiseptic Mouthwash Peppermint 500ml</t>
        </is>
      </c>
      <c r="D3911" t="inlineStr">
        <is>
          <t>Miss Glam Jambi</t>
        </is>
      </c>
      <c r="E3911" t="n">
        <v>3</v>
      </c>
      <c r="F3911" t="n">
        <v>0.0198</v>
      </c>
      <c r="G3911" t="n">
        <v>0.66</v>
      </c>
      <c r="H3911" t="n">
        <v>2</v>
      </c>
      <c r="I3911" t="n">
        <v>6</v>
      </c>
      <c r="J3911" t="n">
        <v>3</v>
      </c>
      <c r="K3911" t="n">
        <v>0</v>
      </c>
      <c r="L3911" t="n">
        <v>52520</v>
      </c>
      <c r="M3911" t="n">
        <v>70000</v>
      </c>
      <c r="N3911" t="n">
        <v>33</v>
      </c>
      <c r="O3911" t="n">
        <v>0.33</v>
      </c>
      <c r="P3911" t="n">
        <v>1</v>
      </c>
      <c r="Q3911" t="n">
        <v>0.03</v>
      </c>
      <c r="R3911" t="n">
        <v>1</v>
      </c>
      <c r="S3911" t="n">
        <v>1386</v>
      </c>
      <c r="T3911" t="n">
        <v>4</v>
      </c>
      <c r="U3911" t="n">
        <v>5</v>
      </c>
      <c r="V3911" t="n">
        <v>30</v>
      </c>
      <c r="W3911" t="n">
        <v>1</v>
      </c>
      <c r="X3911" t="n">
        <v>151.5151515151515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1411</v>
      </c>
      <c r="AG3911" t="n">
        <v>2136</v>
      </c>
      <c r="AH3911" t="inlineStr">
        <is>
          <t>CV. SAMUDRA JAYA ABADI - PPN (JMB)</t>
        </is>
      </c>
      <c r="AI3911" t="n">
        <v>927</v>
      </c>
      <c r="AJ3911" t="inlineStr">
        <is>
          <t>SECRET CLEAN</t>
        </is>
      </c>
      <c r="AK3911" t="n">
        <v>9</v>
      </c>
      <c r="AL3911" t="inlineStr">
        <is>
          <t>Miss Glam Jambi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SECRET CLEAN</t>
        </is>
      </c>
      <c r="B3912" s="2">
        <f>"30800115346"</f>
        <v/>
      </c>
      <c r="C3912" t="inlineStr">
        <is>
          <t>SECRET CLEAN Propolis Feminime Wash Something Clean Down There 100ml</t>
        </is>
      </c>
      <c r="D3912" t="inlineStr">
        <is>
          <t>Miss Glam Jambi</t>
        </is>
      </c>
      <c r="E3912" t="n">
        <v>24</v>
      </c>
      <c r="F3912" t="n">
        <v>0.5709000000000001</v>
      </c>
      <c r="G3912" t="n">
        <v>2.31</v>
      </c>
      <c r="H3912" t="n">
        <v>2</v>
      </c>
      <c r="I3912" t="n">
        <v>6</v>
      </c>
      <c r="J3912" t="n">
        <v>12</v>
      </c>
      <c r="K3912" t="n">
        <v>0</v>
      </c>
      <c r="L3912" t="n">
        <v>17520</v>
      </c>
      <c r="M3912" t="n">
        <v>22000</v>
      </c>
      <c r="N3912" t="n">
        <v>33</v>
      </c>
      <c r="O3912" t="n">
        <v>0.33</v>
      </c>
      <c r="P3912" t="n">
        <v>1</v>
      </c>
      <c r="Q3912" t="n">
        <v>0.42</v>
      </c>
      <c r="R3912" t="n">
        <v>3</v>
      </c>
      <c r="S3912" t="n">
        <v>12559.8</v>
      </c>
      <c r="T3912" t="n">
        <v>13</v>
      </c>
      <c r="U3912" t="n">
        <v>15</v>
      </c>
      <c r="V3912" t="n">
        <v>30</v>
      </c>
      <c r="W3912" t="n">
        <v>18</v>
      </c>
      <c r="X3912" t="n">
        <v>42.0388859695218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1411</v>
      </c>
      <c r="AG3912" t="n">
        <v>2136</v>
      </c>
      <c r="AH3912" t="inlineStr">
        <is>
          <t>CV. SAMUDRA JAYA ABADI - PPN (JMB)</t>
        </is>
      </c>
      <c r="AI3912" t="n">
        <v>927</v>
      </c>
      <c r="AJ3912" t="inlineStr">
        <is>
          <t>SECRET CLEAN</t>
        </is>
      </c>
      <c r="AK3912" t="n">
        <v>9</v>
      </c>
      <c r="AL3912" t="inlineStr">
        <is>
          <t>Miss Glam Jambi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SECRET CLEAN</t>
        </is>
      </c>
      <c r="B3913" s="2">
        <f>"30800115211"</f>
        <v/>
      </c>
      <c r="C3913" t="inlineStr">
        <is>
          <t>SECRET CLEAN Propolis Feminine Intimate Spray 8ml</t>
        </is>
      </c>
      <c r="D3913" t="inlineStr">
        <is>
          <t>Miss Glam Jambi</t>
        </is>
      </c>
      <c r="E3913" t="n">
        <v>8</v>
      </c>
      <c r="F3913" t="n">
        <v>0.1221</v>
      </c>
      <c r="G3913" t="n">
        <v>1.32</v>
      </c>
      <c r="H3913" t="n">
        <v>2</v>
      </c>
      <c r="I3913" t="n">
        <v>6</v>
      </c>
      <c r="J3913" t="n">
        <v>3</v>
      </c>
      <c r="K3913" t="n">
        <v>0</v>
      </c>
      <c r="L3913" t="n">
        <v>14120</v>
      </c>
      <c r="M3913" t="n">
        <v>29000</v>
      </c>
      <c r="N3913" t="n">
        <v>33</v>
      </c>
      <c r="O3913" t="n">
        <v>0.33</v>
      </c>
      <c r="P3913" t="n">
        <v>1</v>
      </c>
      <c r="Q3913" t="n">
        <v>0.05</v>
      </c>
      <c r="R3913" t="n">
        <v>2</v>
      </c>
      <c r="S3913" t="n">
        <v>3540.9</v>
      </c>
      <c r="T3913" t="n">
        <v>8</v>
      </c>
      <c r="U3913" t="n">
        <v>9</v>
      </c>
      <c r="V3913" t="n">
        <v>30</v>
      </c>
      <c r="W3913" t="n">
        <v>4</v>
      </c>
      <c r="X3913" t="n">
        <v>65.52006552006551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1411</v>
      </c>
      <c r="AG3913" t="n">
        <v>2136</v>
      </c>
      <c r="AH3913" t="inlineStr">
        <is>
          <t>CV. SAMUDRA JAYA ABADI - PPN (JMB)</t>
        </is>
      </c>
      <c r="AI3913" t="n">
        <v>927</v>
      </c>
      <c r="AJ3913" t="inlineStr">
        <is>
          <t>SECRET CLEAN</t>
        </is>
      </c>
      <c r="AK3913" t="n">
        <v>9</v>
      </c>
      <c r="AL3913" t="inlineStr">
        <is>
          <t>Miss Glam Jambi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SECRET CLEAN</t>
        </is>
      </c>
      <c r="B3914" s="2">
        <f>"30800115141"</f>
        <v/>
      </c>
      <c r="C3914" t="inlineStr">
        <is>
          <t>SECRET CLEAN Propolis Feminine Spray Happy Down 8ml</t>
        </is>
      </c>
      <c r="D3914" t="inlineStr">
        <is>
          <t>Miss Glam Jambi</t>
        </is>
      </c>
      <c r="E3914" t="n">
        <v>13</v>
      </c>
      <c r="F3914" t="n">
        <v>0.0825</v>
      </c>
      <c r="G3914" t="n">
        <v>0.66</v>
      </c>
      <c r="H3914" t="n">
        <v>2</v>
      </c>
      <c r="I3914" t="n">
        <v>6</v>
      </c>
      <c r="J3914" t="n">
        <v>1</v>
      </c>
      <c r="K3914" t="n">
        <v>0</v>
      </c>
      <c r="L3914" t="n">
        <v>14120</v>
      </c>
      <c r="M3914" t="n">
        <v>18000</v>
      </c>
      <c r="N3914" t="n">
        <v>33</v>
      </c>
      <c r="O3914" t="n">
        <v>0.33</v>
      </c>
      <c r="P3914" t="n">
        <v>1</v>
      </c>
      <c r="Q3914" t="n">
        <v>0.07000000000000001</v>
      </c>
      <c r="R3914" t="n">
        <v>2</v>
      </c>
      <c r="S3914" t="n">
        <v>1485</v>
      </c>
      <c r="T3914" t="n">
        <v>4</v>
      </c>
      <c r="U3914" t="n">
        <v>5</v>
      </c>
      <c r="V3914" t="n">
        <v>30</v>
      </c>
      <c r="W3914" t="n">
        <v>3</v>
      </c>
      <c r="X3914" t="n">
        <v>157.5757575757576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1411</v>
      </c>
      <c r="AG3914" t="n">
        <v>2136</v>
      </c>
      <c r="AH3914" t="inlineStr">
        <is>
          <t>CV. SAMUDRA JAYA ABADI - PPN (JMB)</t>
        </is>
      </c>
      <c r="AI3914" t="n">
        <v>927</v>
      </c>
      <c r="AJ3914" t="inlineStr">
        <is>
          <t>SECRET CLEAN</t>
        </is>
      </c>
      <c r="AK3914" t="n">
        <v>9</v>
      </c>
      <c r="AL3914" t="inlineStr">
        <is>
          <t>Miss Glam Jambi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SECRET CLEAN</t>
        </is>
      </c>
      <c r="B3915" s="2">
        <f>"30800116036"</f>
        <v/>
      </c>
      <c r="C3915" t="inlineStr">
        <is>
          <t>SECRET CLEAN Propolis Feminine Wash &amp; Spray + Glow Up Underarm 30gr</t>
        </is>
      </c>
      <c r="D3915" t="inlineStr">
        <is>
          <t>Miss Glam Jambi</t>
        </is>
      </c>
      <c r="E3915" t="n">
        <v>7</v>
      </c>
      <c r="F3915" t="n">
        <v>0.2838</v>
      </c>
      <c r="G3915" t="n">
        <v>1.32</v>
      </c>
      <c r="H3915" t="n">
        <v>2</v>
      </c>
      <c r="I3915" t="n">
        <v>6</v>
      </c>
      <c r="J3915" t="n">
        <v>1</v>
      </c>
      <c r="K3915" t="n">
        <v>0</v>
      </c>
      <c r="L3915" t="n">
        <v>23201</v>
      </c>
      <c r="M3915" t="n">
        <v>29000</v>
      </c>
      <c r="N3915" t="n">
        <v>33</v>
      </c>
      <c r="O3915" t="n">
        <v>0.33</v>
      </c>
      <c r="P3915" t="n">
        <v>1</v>
      </c>
      <c r="Q3915" t="n">
        <v>0.08</v>
      </c>
      <c r="R3915" t="n">
        <v>2</v>
      </c>
      <c r="S3915" t="n">
        <v>8230.200000000001</v>
      </c>
      <c r="T3915" t="n">
        <v>8</v>
      </c>
      <c r="U3915" t="n">
        <v>9</v>
      </c>
      <c r="V3915" t="n">
        <v>30</v>
      </c>
      <c r="W3915" t="n">
        <v>9</v>
      </c>
      <c r="X3915" t="n">
        <v>24.66525722339676</v>
      </c>
      <c r="Y3915" t="n">
        <v>1</v>
      </c>
      <c r="Z3915" t="n">
        <v>2</v>
      </c>
      <c r="AA3915" t="n">
        <v>0</v>
      </c>
      <c r="AB3915" t="n">
        <v>2</v>
      </c>
      <c r="AC3915" t="n">
        <v>2</v>
      </c>
      <c r="AD3915" t="n">
        <v>0</v>
      </c>
      <c r="AE3915" t="n">
        <v>46402</v>
      </c>
      <c r="AF3915" t="n">
        <v>1411</v>
      </c>
      <c r="AG3915" t="n">
        <v>2136</v>
      </c>
      <c r="AH3915" t="inlineStr">
        <is>
          <t>CV. SAMUDRA JAYA ABADI - PPN (JMB)</t>
        </is>
      </c>
      <c r="AI3915" t="n">
        <v>927</v>
      </c>
      <c r="AJ3915" t="inlineStr">
        <is>
          <t>SECRET CLEAN</t>
        </is>
      </c>
      <c r="AK3915" t="n">
        <v>9</v>
      </c>
      <c r="AL3915" t="inlineStr">
        <is>
          <t>Miss Glam Jambi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SECRET CLEAN</t>
        </is>
      </c>
      <c r="B3916" s="2">
        <f>"30800115325"</f>
        <v/>
      </c>
      <c r="C3916" t="inlineStr">
        <is>
          <t>SECRET CLEAN Propolis Feminine Wash Happy Down 100ml</t>
        </is>
      </c>
      <c r="D3916" t="inlineStr">
        <is>
          <t>Miss Glam Jambi</t>
        </is>
      </c>
      <c r="E3916" t="n">
        <v>0</v>
      </c>
      <c r="F3916" t="n">
        <v>0.297</v>
      </c>
      <c r="G3916" t="n">
        <v>1.32</v>
      </c>
      <c r="H3916" t="n">
        <v>2</v>
      </c>
      <c r="I3916" t="n">
        <v>6</v>
      </c>
      <c r="J3916" t="n">
        <v>1</v>
      </c>
      <c r="K3916" t="n">
        <v>0</v>
      </c>
      <c r="L3916" t="n">
        <v>17520</v>
      </c>
      <c r="M3916" t="n">
        <v>22000</v>
      </c>
      <c r="N3916" t="n">
        <v>33</v>
      </c>
      <c r="O3916" t="n">
        <v>0.33</v>
      </c>
      <c r="P3916" t="n">
        <v>1</v>
      </c>
      <c r="Q3916" t="n">
        <v>0.11</v>
      </c>
      <c r="R3916" t="n">
        <v>1</v>
      </c>
      <c r="S3916" t="n">
        <v>6534.000000000001</v>
      </c>
      <c r="T3916" t="n">
        <v>8</v>
      </c>
      <c r="U3916" t="n">
        <v>9</v>
      </c>
      <c r="V3916" t="n">
        <v>30</v>
      </c>
      <c r="W3916" t="n">
        <v>9</v>
      </c>
      <c r="X3916" t="n">
        <v>0</v>
      </c>
      <c r="Y3916" t="n">
        <v>1</v>
      </c>
      <c r="Z3916" t="n">
        <v>9</v>
      </c>
      <c r="AA3916" t="n">
        <v>2</v>
      </c>
      <c r="AB3916" t="n">
        <v>7</v>
      </c>
      <c r="AC3916" t="n">
        <v>7</v>
      </c>
      <c r="AD3916" t="n">
        <v>35040</v>
      </c>
      <c r="AE3916" t="n">
        <v>122640</v>
      </c>
      <c r="AF3916" t="n">
        <v>1411</v>
      </c>
      <c r="AG3916" t="n">
        <v>2136</v>
      </c>
      <c r="AH3916" t="inlineStr">
        <is>
          <t>CV. SAMUDRA JAYA ABADI - PPN (JMB)</t>
        </is>
      </c>
      <c r="AI3916" t="n">
        <v>927</v>
      </c>
      <c r="AJ3916" t="inlineStr">
        <is>
          <t>SECRET CLEAN</t>
        </is>
      </c>
      <c r="AK3916" t="n">
        <v>9</v>
      </c>
      <c r="AL3916" t="inlineStr">
        <is>
          <t>Miss Glam Jambi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SECRET CLEAN</t>
        </is>
      </c>
      <c r="B3917" s="2">
        <f>"30800115459"</f>
        <v/>
      </c>
      <c r="C3917" t="inlineStr">
        <is>
          <t>SECRET CLEAN Propolis Feminine Wash Romantic Love 100ml</t>
        </is>
      </c>
      <c r="D3917" t="inlineStr">
        <is>
          <t>Miss Glam Jambi</t>
        </is>
      </c>
      <c r="E3917" t="n">
        <v>0</v>
      </c>
      <c r="F3917" t="n">
        <v>0.5379</v>
      </c>
      <c r="G3917" t="n">
        <v>1.65</v>
      </c>
      <c r="H3917" t="n">
        <v>2</v>
      </c>
      <c r="I3917" t="n">
        <v>6</v>
      </c>
      <c r="J3917" t="n">
        <v>1</v>
      </c>
      <c r="K3917" t="n">
        <v>0</v>
      </c>
      <c r="L3917" t="n">
        <v>17520</v>
      </c>
      <c r="M3917" t="n">
        <v>21000</v>
      </c>
      <c r="N3917" t="n">
        <v>33</v>
      </c>
      <c r="O3917" t="n">
        <v>0.33</v>
      </c>
      <c r="P3917" t="n">
        <v>1</v>
      </c>
      <c r="Q3917" t="n">
        <v>0.12</v>
      </c>
      <c r="R3917" t="n">
        <v>2</v>
      </c>
      <c r="S3917" t="n">
        <v>11295.9</v>
      </c>
      <c r="T3917" t="n">
        <v>9</v>
      </c>
      <c r="U3917" t="n">
        <v>11</v>
      </c>
      <c r="V3917" t="n">
        <v>30</v>
      </c>
      <c r="W3917" t="n">
        <v>17</v>
      </c>
      <c r="X3917" t="n">
        <v>0</v>
      </c>
      <c r="Y3917" t="n">
        <v>1</v>
      </c>
      <c r="Z3917" t="n">
        <v>17</v>
      </c>
      <c r="AA3917" t="n">
        <v>4</v>
      </c>
      <c r="AB3917" t="n">
        <v>13</v>
      </c>
      <c r="AC3917" t="n">
        <v>13</v>
      </c>
      <c r="AD3917" t="n">
        <v>70080</v>
      </c>
      <c r="AE3917" t="n">
        <v>227760</v>
      </c>
      <c r="AF3917" t="n">
        <v>1411</v>
      </c>
      <c r="AG3917" t="n">
        <v>2136</v>
      </c>
      <c r="AH3917" t="inlineStr">
        <is>
          <t>CV. SAMUDRA JAYA ABADI - PPN (JMB)</t>
        </is>
      </c>
      <c r="AI3917" t="n">
        <v>927</v>
      </c>
      <c r="AJ3917" t="inlineStr">
        <is>
          <t>SECRET CLEAN</t>
        </is>
      </c>
      <c r="AK3917" t="n">
        <v>9</v>
      </c>
      <c r="AL3917" t="inlineStr">
        <is>
          <t>Miss Glam Jambi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SELECTION</t>
        </is>
      </c>
      <c r="B3918" s="2">
        <f>"8991038779094"</f>
        <v/>
      </c>
      <c r="C3918" t="inlineStr">
        <is>
          <t>SELECTION Baby Cotton Bud Isi 100 Refill</t>
        </is>
      </c>
      <c r="D3918" t="inlineStr">
        <is>
          <t>Miss Glam Jambi</t>
        </is>
      </c>
      <c r="E3918" t="n">
        <v>0</v>
      </c>
      <c r="F3918" t="n">
        <v>1.2639</v>
      </c>
      <c r="G3918" t="n">
        <v>3.63</v>
      </c>
      <c r="H3918" t="n">
        <v>1</v>
      </c>
      <c r="I3918" t="n">
        <v>2</v>
      </c>
      <c r="J3918" t="n">
        <v>12</v>
      </c>
      <c r="K3918" t="n">
        <v>0</v>
      </c>
      <c r="L3918" t="n">
        <v>3418</v>
      </c>
      <c r="M3918" t="n">
        <v>4300</v>
      </c>
      <c r="N3918" t="n">
        <v>33</v>
      </c>
      <c r="O3918" t="n">
        <v>0.33</v>
      </c>
      <c r="P3918" t="n">
        <v>1</v>
      </c>
      <c r="Q3918" t="n">
        <v>0.65</v>
      </c>
      <c r="R3918" t="n">
        <v>3</v>
      </c>
      <c r="S3918" t="n">
        <v>5434.77</v>
      </c>
      <c r="T3918" t="n">
        <v>6</v>
      </c>
      <c r="U3918" t="n">
        <v>8</v>
      </c>
      <c r="V3918" t="n">
        <v>30</v>
      </c>
      <c r="W3918" t="n">
        <v>38</v>
      </c>
      <c r="X3918" t="n">
        <v>0</v>
      </c>
      <c r="Y3918" t="n">
        <v>1</v>
      </c>
      <c r="Z3918" t="n">
        <v>38</v>
      </c>
      <c r="AA3918" t="n">
        <v>3</v>
      </c>
      <c r="AB3918" t="n">
        <v>35</v>
      </c>
      <c r="AC3918" t="n">
        <v>35</v>
      </c>
      <c r="AD3918" t="n">
        <v>10254</v>
      </c>
      <c r="AE3918" t="n">
        <v>119630</v>
      </c>
      <c r="AF3918" t="n">
        <v>10258</v>
      </c>
      <c r="AG3918" t="n">
        <v>2178</v>
      </c>
      <c r="AH3918" t="inlineStr">
        <is>
          <t>PT. INTERFOOD SUKSES JASINDO - PPN (JMB)</t>
        </is>
      </c>
      <c r="AI3918" t="n">
        <v>142</v>
      </c>
      <c r="AJ3918" t="inlineStr">
        <is>
          <t>SELECTION</t>
        </is>
      </c>
      <c r="AK3918" t="n">
        <v>9</v>
      </c>
      <c r="AL3918" t="inlineStr">
        <is>
          <t>Miss Glam Jambi</t>
        </is>
      </c>
      <c r="AM3918" t="n">
        <v>4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SELECTION</t>
        </is>
      </c>
      <c r="B3919" s="2">
        <f>"8991038775416"</f>
        <v/>
      </c>
      <c r="C3919" t="inlineStr">
        <is>
          <t>SELECTION Cotton Bud 180pcs</t>
        </is>
      </c>
      <c r="D3919" t="inlineStr">
        <is>
          <t>Miss Glam Jambi</t>
        </is>
      </c>
      <c r="E3919" t="n">
        <v>79</v>
      </c>
      <c r="F3919" t="n">
        <v>0.1617</v>
      </c>
      <c r="G3919" t="n">
        <v>0.99</v>
      </c>
      <c r="H3919" t="n">
        <v>1</v>
      </c>
      <c r="I3919" t="n">
        <v>2</v>
      </c>
      <c r="J3919" t="n">
        <v>12</v>
      </c>
      <c r="K3919" t="n">
        <v>0</v>
      </c>
      <c r="L3919" t="n">
        <v>8350</v>
      </c>
      <c r="M3919" t="n">
        <v>10500</v>
      </c>
      <c r="N3919" t="n">
        <v>33</v>
      </c>
      <c r="O3919" t="n">
        <v>0.33</v>
      </c>
      <c r="P3919" t="n">
        <v>1</v>
      </c>
      <c r="Q3919" t="n">
        <v>0.37</v>
      </c>
      <c r="R3919" t="n">
        <v>2</v>
      </c>
      <c r="S3919" t="n">
        <v>1697.85</v>
      </c>
      <c r="T3919" t="n">
        <v>2</v>
      </c>
      <c r="U3919" t="n">
        <v>3</v>
      </c>
      <c r="V3919" t="n">
        <v>30</v>
      </c>
      <c r="W3919" t="n">
        <v>5</v>
      </c>
      <c r="X3919" t="n">
        <v>488.5590599876314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10258</v>
      </c>
      <c r="AG3919" t="n">
        <v>2178</v>
      </c>
      <c r="AH3919" t="inlineStr">
        <is>
          <t>PT. INTERFOOD SUKSES JASINDO - PPN (JMB)</t>
        </is>
      </c>
      <c r="AI3919" t="n">
        <v>142</v>
      </c>
      <c r="AJ3919" t="inlineStr">
        <is>
          <t>SELECTION</t>
        </is>
      </c>
      <c r="AK3919" t="n">
        <v>9</v>
      </c>
      <c r="AL3919" t="inlineStr">
        <is>
          <t>Miss Glam Jambi</t>
        </is>
      </c>
      <c r="AM3919" t="n">
        <v>4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SELECTION</t>
        </is>
      </c>
      <c r="B3920" s="2">
        <f>"8991038775553"</f>
        <v/>
      </c>
      <c r="C3920" t="inlineStr">
        <is>
          <t>SELECTION Cotton Bud Isi 100 Refill</t>
        </is>
      </c>
      <c r="D3920" t="inlineStr">
        <is>
          <t>Miss Glam Jambi</t>
        </is>
      </c>
      <c r="E3920" t="n">
        <v>18</v>
      </c>
      <c r="F3920" t="n">
        <v>1.2144</v>
      </c>
      <c r="G3920" t="n">
        <v>2.64</v>
      </c>
      <c r="H3920" t="n">
        <v>1</v>
      </c>
      <c r="I3920" t="n">
        <v>2</v>
      </c>
      <c r="J3920" t="n">
        <v>24</v>
      </c>
      <c r="K3920" t="n">
        <v>0</v>
      </c>
      <c r="L3920" t="n">
        <v>3420</v>
      </c>
      <c r="M3920" t="n">
        <v>9500</v>
      </c>
      <c r="N3920" t="n">
        <v>33</v>
      </c>
      <c r="O3920" t="n">
        <v>0.33</v>
      </c>
      <c r="P3920" t="n">
        <v>1</v>
      </c>
      <c r="Q3920" t="n">
        <v>0.32</v>
      </c>
      <c r="R3920" t="n">
        <v>3</v>
      </c>
      <c r="S3920" t="n">
        <v>11536.8</v>
      </c>
      <c r="T3920" t="n">
        <v>5</v>
      </c>
      <c r="U3920" t="n">
        <v>7</v>
      </c>
      <c r="V3920" t="n">
        <v>30</v>
      </c>
      <c r="W3920" t="n">
        <v>37</v>
      </c>
      <c r="X3920" t="n">
        <v>14.82213438735178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10258</v>
      </c>
      <c r="AG3920" t="n">
        <v>2178</v>
      </c>
      <c r="AH3920" t="inlineStr">
        <is>
          <t>PT. INTERFOOD SUKSES JASINDO - PPN (JMB)</t>
        </is>
      </c>
      <c r="AI3920" t="n">
        <v>142</v>
      </c>
      <c r="AJ3920" t="inlineStr">
        <is>
          <t>SELECTION</t>
        </is>
      </c>
      <c r="AK3920" t="n">
        <v>9</v>
      </c>
      <c r="AL3920" t="inlineStr">
        <is>
          <t>Miss Glam Jambi</t>
        </is>
      </c>
      <c r="AM3920" t="n">
        <v>4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SELECTION</t>
        </is>
      </c>
      <c r="B3921" s="2">
        <f>"8991038110514"</f>
        <v/>
      </c>
      <c r="C3921" t="inlineStr">
        <is>
          <t>SELECTION Facial Cotton 50gr</t>
        </is>
      </c>
      <c r="D3921" t="inlineStr">
        <is>
          <t>Miss Glam Jambi</t>
        </is>
      </c>
      <c r="E3921" t="n">
        <v>86</v>
      </c>
      <c r="F3921" t="n">
        <v>3.428700000000001</v>
      </c>
      <c r="G3921" t="n">
        <v>7.260000000000001</v>
      </c>
      <c r="H3921" t="n">
        <v>1</v>
      </c>
      <c r="I3921" t="n">
        <v>2</v>
      </c>
      <c r="J3921" t="n">
        <v>96</v>
      </c>
      <c r="K3921" t="n">
        <v>0</v>
      </c>
      <c r="L3921" t="n">
        <v>6502</v>
      </c>
      <c r="M3921" t="n">
        <v>9500</v>
      </c>
      <c r="N3921" t="n">
        <v>33</v>
      </c>
      <c r="O3921" t="n">
        <v>0.33</v>
      </c>
      <c r="P3921" t="n">
        <v>1</v>
      </c>
      <c r="Q3921" t="n">
        <v>2.17</v>
      </c>
      <c r="R3921" t="n">
        <v>8</v>
      </c>
      <c r="S3921" t="n">
        <v>32572.65000000001</v>
      </c>
      <c r="T3921" t="n">
        <v>12</v>
      </c>
      <c r="U3921" t="n">
        <v>16</v>
      </c>
      <c r="V3921" t="n">
        <v>30</v>
      </c>
      <c r="W3921" t="n">
        <v>103</v>
      </c>
      <c r="X3921" t="n">
        <v>25.08239274360544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10258</v>
      </c>
      <c r="AG3921" t="n">
        <v>2178</v>
      </c>
      <c r="AH3921" t="inlineStr">
        <is>
          <t>PT. INTERFOOD SUKSES JASINDO - PPN (JMB)</t>
        </is>
      </c>
      <c r="AI3921" t="n">
        <v>142</v>
      </c>
      <c r="AJ3921" t="inlineStr">
        <is>
          <t>SELECTION</t>
        </is>
      </c>
      <c r="AK3921" t="n">
        <v>9</v>
      </c>
      <c r="AL3921" t="inlineStr">
        <is>
          <t>Miss Glam Jambi</t>
        </is>
      </c>
      <c r="AM3921" t="n">
        <v>4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SELECTION</t>
        </is>
      </c>
      <c r="B3922" s="2">
        <f>"8991038111757"</f>
        <v/>
      </c>
      <c r="C3922" t="inlineStr">
        <is>
          <t>SELECTION Facial Cotton 75gr</t>
        </is>
      </c>
      <c r="D3922" t="inlineStr">
        <is>
          <t>Miss Glam Jambi</t>
        </is>
      </c>
      <c r="E3922" t="n">
        <v>72</v>
      </c>
      <c r="F3922" t="n">
        <v>3.4518</v>
      </c>
      <c r="G3922" t="n">
        <v>7.590000000000001</v>
      </c>
      <c r="H3922" t="n">
        <v>1</v>
      </c>
      <c r="I3922" t="n">
        <v>2</v>
      </c>
      <c r="J3922" t="n">
        <v>72</v>
      </c>
      <c r="K3922" t="n">
        <v>0</v>
      </c>
      <c r="L3922" t="n">
        <v>9328</v>
      </c>
      <c r="M3922" t="n">
        <v>13000</v>
      </c>
      <c r="N3922" t="n">
        <v>33</v>
      </c>
      <c r="O3922" t="n">
        <v>0.33</v>
      </c>
      <c r="P3922" t="n">
        <v>1</v>
      </c>
      <c r="Q3922" t="n">
        <v>2.39</v>
      </c>
      <c r="R3922" t="n">
        <v>8</v>
      </c>
      <c r="S3922" t="n">
        <v>44873.40000000001</v>
      </c>
      <c r="T3922" t="n">
        <v>12</v>
      </c>
      <c r="U3922" t="n">
        <v>16</v>
      </c>
      <c r="V3922" t="n">
        <v>30</v>
      </c>
      <c r="W3922" t="n">
        <v>104</v>
      </c>
      <c r="X3922" t="n">
        <v>20.85868242656005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10258</v>
      </c>
      <c r="AG3922" t="n">
        <v>2178</v>
      </c>
      <c r="AH3922" t="inlineStr">
        <is>
          <t>PT. INTERFOOD SUKSES JASINDO - PPN (JMB)</t>
        </is>
      </c>
      <c r="AI3922" t="n">
        <v>142</v>
      </c>
      <c r="AJ3922" t="inlineStr">
        <is>
          <t>SELECTION</t>
        </is>
      </c>
      <c r="AK3922" t="n">
        <v>9</v>
      </c>
      <c r="AL3922" t="inlineStr">
        <is>
          <t>Miss Glam Jambi</t>
        </is>
      </c>
      <c r="AM3922" t="n">
        <v>4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SELECTION</t>
        </is>
      </c>
      <c r="B3923" s="2">
        <f>"8991038110354"</f>
        <v/>
      </c>
      <c r="C3923" t="inlineStr">
        <is>
          <t>SELECTION Kapas Mini Size 35gr</t>
        </is>
      </c>
      <c r="D3923" t="inlineStr">
        <is>
          <t>Miss Glam Jambi</t>
        </is>
      </c>
      <c r="E3923" t="n">
        <v>87</v>
      </c>
      <c r="F3923" t="n">
        <v>4.402200000000001</v>
      </c>
      <c r="G3923" t="n">
        <v>9.9</v>
      </c>
      <c r="H3923" t="n">
        <v>1</v>
      </c>
      <c r="I3923" t="n">
        <v>2</v>
      </c>
      <c r="J3923" t="n">
        <v>144</v>
      </c>
      <c r="K3923" t="n">
        <v>0</v>
      </c>
      <c r="L3923" t="n">
        <v>4696</v>
      </c>
      <c r="M3923" t="n">
        <v>6500</v>
      </c>
      <c r="N3923" t="n">
        <v>33</v>
      </c>
      <c r="O3923" t="n">
        <v>0.33</v>
      </c>
      <c r="P3923" t="n">
        <v>1</v>
      </c>
      <c r="Q3923" t="n">
        <v>3.46</v>
      </c>
      <c r="R3923" t="n">
        <v>7</v>
      </c>
      <c r="S3923" t="n">
        <v>28614.3</v>
      </c>
      <c r="T3923" t="n">
        <v>16</v>
      </c>
      <c r="U3923" t="n">
        <v>21</v>
      </c>
      <c r="V3923" t="n">
        <v>30</v>
      </c>
      <c r="W3923" t="n">
        <v>133</v>
      </c>
      <c r="X3923" t="n">
        <v>19.76284584980237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10258</v>
      </c>
      <c r="AG3923" t="n">
        <v>2178</v>
      </c>
      <c r="AH3923" t="inlineStr">
        <is>
          <t>PT. INTERFOOD SUKSES JASINDO - PPN (JMB)</t>
        </is>
      </c>
      <c r="AI3923" t="n">
        <v>142</v>
      </c>
      <c r="AJ3923" t="inlineStr">
        <is>
          <t>SELECTION</t>
        </is>
      </c>
      <c r="AK3923" t="n">
        <v>9</v>
      </c>
      <c r="AL3923" t="inlineStr">
        <is>
          <t>Miss Glam Jambi</t>
        </is>
      </c>
      <c r="AM3923" t="n">
        <v>4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SELECTION</t>
        </is>
      </c>
      <c r="B3924" s="2">
        <f>"8991038775997"</f>
        <v/>
      </c>
      <c r="C3924" t="inlineStr">
        <is>
          <t>SELECTION Kapas Tebal 60gr</t>
        </is>
      </c>
      <c r="D3924" t="inlineStr">
        <is>
          <t>Miss Glam Jambi</t>
        </is>
      </c>
      <c r="E3924" t="n">
        <v>28</v>
      </c>
      <c r="F3924" t="n">
        <v>0.7326000000000001</v>
      </c>
      <c r="G3924" t="n">
        <v>3.63</v>
      </c>
      <c r="H3924" t="n">
        <v>1</v>
      </c>
      <c r="I3924" t="n">
        <v>2</v>
      </c>
      <c r="J3924" t="n">
        <v>96</v>
      </c>
      <c r="K3924" t="n">
        <v>0</v>
      </c>
      <c r="L3924" t="n">
        <v>9604</v>
      </c>
      <c r="M3924" t="n">
        <v>13000</v>
      </c>
      <c r="N3924" t="n">
        <v>33</v>
      </c>
      <c r="O3924" t="n">
        <v>0.33</v>
      </c>
      <c r="P3924" t="n">
        <v>1</v>
      </c>
      <c r="Q3924" t="n">
        <v>0.83</v>
      </c>
      <c r="R3924" t="n">
        <v>5</v>
      </c>
      <c r="S3924" t="n">
        <v>9523.800000000001</v>
      </c>
      <c r="T3924" t="n">
        <v>7</v>
      </c>
      <c r="U3924" t="n">
        <v>8</v>
      </c>
      <c r="V3924" t="n">
        <v>30</v>
      </c>
      <c r="W3924" t="n">
        <v>22</v>
      </c>
      <c r="X3924" t="n">
        <v>38.22003822003821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10258</v>
      </c>
      <c r="AG3924" t="n">
        <v>2178</v>
      </c>
      <c r="AH3924" t="inlineStr">
        <is>
          <t>PT. INTERFOOD SUKSES JASINDO - PPN (JMB)</t>
        </is>
      </c>
      <c r="AI3924" t="n">
        <v>142</v>
      </c>
      <c r="AJ3924" t="inlineStr">
        <is>
          <t>SELECTION</t>
        </is>
      </c>
      <c r="AK3924" t="n">
        <v>9</v>
      </c>
      <c r="AL3924" t="inlineStr">
        <is>
          <t>Miss Glam Jambi</t>
        </is>
      </c>
      <c r="AM3924" t="n">
        <v>4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SELECTION</t>
        </is>
      </c>
      <c r="B3925" s="2">
        <f>"8991038775171"</f>
        <v/>
      </c>
      <c r="C3925" t="inlineStr">
        <is>
          <t>SELECTION Round 80s</t>
        </is>
      </c>
      <c r="D3925" t="inlineStr">
        <is>
          <t>Miss Glam Jambi</t>
        </is>
      </c>
      <c r="E3925" t="n">
        <v>124</v>
      </c>
      <c r="F3925" t="n">
        <v>6.164400000000001</v>
      </c>
      <c r="G3925" t="n">
        <v>11.22</v>
      </c>
      <c r="H3925" t="n">
        <v>1</v>
      </c>
      <c r="I3925" t="n">
        <v>2</v>
      </c>
      <c r="J3925" t="n">
        <v>144</v>
      </c>
      <c r="K3925" t="n">
        <v>0</v>
      </c>
      <c r="L3925" t="n">
        <v>11070</v>
      </c>
      <c r="M3925" t="n">
        <v>13500</v>
      </c>
      <c r="N3925" t="n">
        <v>33</v>
      </c>
      <c r="O3925" t="n">
        <v>0.33</v>
      </c>
      <c r="P3925" t="n">
        <v>1</v>
      </c>
      <c r="Q3925" t="n">
        <v>6.25</v>
      </c>
      <c r="R3925" t="n">
        <v>15</v>
      </c>
      <c r="S3925" t="n">
        <v>83219.40000000001</v>
      </c>
      <c r="T3925" t="n">
        <v>17</v>
      </c>
      <c r="U3925" t="n">
        <v>24</v>
      </c>
      <c r="V3925" t="n">
        <v>30</v>
      </c>
      <c r="W3925" t="n">
        <v>185</v>
      </c>
      <c r="X3925" t="n">
        <v>20.11550191421712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10258</v>
      </c>
      <c r="AG3925" t="n">
        <v>2178</v>
      </c>
      <c r="AH3925" t="inlineStr">
        <is>
          <t>PT. INTERFOOD SUKSES JASINDO - PPN (JMB)</t>
        </is>
      </c>
      <c r="AI3925" t="n">
        <v>142</v>
      </c>
      <c r="AJ3925" t="inlineStr">
        <is>
          <t>SELECTION</t>
        </is>
      </c>
      <c r="AK3925" t="n">
        <v>9</v>
      </c>
      <c r="AL3925" t="inlineStr">
        <is>
          <t>Miss Glam Jambi</t>
        </is>
      </c>
      <c r="AM3925" t="n">
        <v>4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SELECTION</t>
        </is>
      </c>
      <c r="B3926" s="2">
        <f>"8991038775133"</f>
        <v/>
      </c>
      <c r="C3926" t="inlineStr">
        <is>
          <t>SELECTION Special Lapis Tipis 175pcs</t>
        </is>
      </c>
      <c r="D3926" t="inlineStr">
        <is>
          <t>Miss Glam Jambi</t>
        </is>
      </c>
      <c r="E3926" t="n">
        <v>37</v>
      </c>
      <c r="F3926" t="n">
        <v>5.0391</v>
      </c>
      <c r="G3926" t="n">
        <v>9.9</v>
      </c>
      <c r="H3926" t="n">
        <v>1</v>
      </c>
      <c r="I3926" t="n">
        <v>2</v>
      </c>
      <c r="J3926" t="n">
        <v>72</v>
      </c>
      <c r="K3926" t="n">
        <v>0</v>
      </c>
      <c r="L3926" t="n">
        <v>11941</v>
      </c>
      <c r="M3926" t="n">
        <v>16500</v>
      </c>
      <c r="N3926" t="n">
        <v>33</v>
      </c>
      <c r="O3926" t="n">
        <v>0.33</v>
      </c>
      <c r="P3926" t="n">
        <v>1</v>
      </c>
      <c r="Q3926" t="n">
        <v>2.03</v>
      </c>
      <c r="R3926" t="n">
        <v>6</v>
      </c>
      <c r="S3926" t="n">
        <v>83145.15000000001</v>
      </c>
      <c r="T3926" t="n">
        <v>15</v>
      </c>
      <c r="U3926" t="n">
        <v>21</v>
      </c>
      <c r="V3926" t="n">
        <v>30</v>
      </c>
      <c r="W3926" t="n">
        <v>152</v>
      </c>
      <c r="X3926" t="n">
        <v>7.34258101645135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10258</v>
      </c>
      <c r="AG3926" t="n">
        <v>2178</v>
      </c>
      <c r="AH3926" t="inlineStr">
        <is>
          <t>PT. INTERFOOD SUKSES JASINDO - PPN (JMB)</t>
        </is>
      </c>
      <c r="AI3926" t="n">
        <v>142</v>
      </c>
      <c r="AJ3926" t="inlineStr">
        <is>
          <t>SELECTION</t>
        </is>
      </c>
      <c r="AK3926" t="n">
        <v>9</v>
      </c>
      <c r="AL3926" t="inlineStr">
        <is>
          <t>Miss Glam Jambi</t>
        </is>
      </c>
      <c r="AM3926" t="n">
        <v>4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SELECTION</t>
        </is>
      </c>
      <c r="B3927" s="2">
        <f>"8991038775089"</f>
        <v/>
      </c>
      <c r="C3927" t="inlineStr">
        <is>
          <t>SELECTION Special Tipis Lapis Tebal 120pcs</t>
        </is>
      </c>
      <c r="D3927" t="inlineStr">
        <is>
          <t>Miss Glam Jambi</t>
        </is>
      </c>
      <c r="E3927" t="n">
        <v>72</v>
      </c>
      <c r="F3927" t="n">
        <v>0.7655999999999999</v>
      </c>
      <c r="G3927" t="n">
        <v>2.97</v>
      </c>
      <c r="H3927" t="n">
        <v>1</v>
      </c>
      <c r="I3927" t="n">
        <v>2</v>
      </c>
      <c r="J3927" t="n">
        <v>72</v>
      </c>
      <c r="K3927" t="n">
        <v>0</v>
      </c>
      <c r="L3927" t="n">
        <v>11941</v>
      </c>
      <c r="M3927" t="n">
        <v>16500</v>
      </c>
      <c r="N3927" t="n">
        <v>33</v>
      </c>
      <c r="O3927" t="n">
        <v>0.33</v>
      </c>
      <c r="P3927" t="n">
        <v>1</v>
      </c>
      <c r="Q3927" t="n">
        <v>1.81</v>
      </c>
      <c r="R3927" t="n">
        <v>6</v>
      </c>
      <c r="S3927" t="n">
        <v>12632.4</v>
      </c>
      <c r="T3927" t="n">
        <v>6</v>
      </c>
      <c r="U3927" t="n">
        <v>7</v>
      </c>
      <c r="V3927" t="n">
        <v>30</v>
      </c>
      <c r="W3927" t="n">
        <v>23</v>
      </c>
      <c r="X3927" t="n">
        <v>94.04388714733543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10258</v>
      </c>
      <c r="AG3927" t="n">
        <v>2178</v>
      </c>
      <c r="AH3927" t="inlineStr">
        <is>
          <t>PT. INTERFOOD SUKSES JASINDO - PPN (JMB)</t>
        </is>
      </c>
      <c r="AI3927" t="n">
        <v>142</v>
      </c>
      <c r="AJ3927" t="inlineStr">
        <is>
          <t>SELECTION</t>
        </is>
      </c>
      <c r="AK3927" t="n">
        <v>9</v>
      </c>
      <c r="AL3927" t="inlineStr">
        <is>
          <t>Miss Glam Jambi</t>
        </is>
      </c>
      <c r="AM3927" t="n">
        <v>4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SELECTION</t>
        </is>
      </c>
      <c r="B3928" s="2">
        <f>"8991038775980"</f>
        <v/>
      </c>
      <c r="C3928" t="inlineStr">
        <is>
          <t>SELECTION Tipis 60gr</t>
        </is>
      </c>
      <c r="D3928" t="inlineStr">
        <is>
          <t>Miss Glam Jambi</t>
        </is>
      </c>
      <c r="E3928" t="n">
        <v>39</v>
      </c>
      <c r="F3928" t="n">
        <v>3.003</v>
      </c>
      <c r="G3928" t="n">
        <v>6.930000000000001</v>
      </c>
      <c r="H3928" t="n">
        <v>1</v>
      </c>
      <c r="I3928" t="n">
        <v>2</v>
      </c>
      <c r="J3928" t="n">
        <v>96</v>
      </c>
      <c r="K3928" t="n">
        <v>0</v>
      </c>
      <c r="L3928" t="n">
        <v>9604</v>
      </c>
      <c r="M3928" t="n">
        <v>12500</v>
      </c>
      <c r="N3928" t="n">
        <v>33</v>
      </c>
      <c r="O3928" t="n">
        <v>0.33</v>
      </c>
      <c r="P3928" t="n">
        <v>1</v>
      </c>
      <c r="Q3928" t="n">
        <v>1.42</v>
      </c>
      <c r="R3928" t="n">
        <v>4</v>
      </c>
      <c r="S3928" t="n">
        <v>37537.5</v>
      </c>
      <c r="T3928" t="n">
        <v>11</v>
      </c>
      <c r="U3928" t="n">
        <v>15</v>
      </c>
      <c r="V3928" t="n">
        <v>30</v>
      </c>
      <c r="W3928" t="n">
        <v>91</v>
      </c>
      <c r="X3928" t="n">
        <v>12.98701298701299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10258</v>
      </c>
      <c r="AG3928" t="n">
        <v>2178</v>
      </c>
      <c r="AH3928" t="inlineStr">
        <is>
          <t>PT. INTERFOOD SUKSES JASINDO - PPN (JMB)</t>
        </is>
      </c>
      <c r="AI3928" t="n">
        <v>142</v>
      </c>
      <c r="AJ3928" t="inlineStr">
        <is>
          <t>SELECTION</t>
        </is>
      </c>
      <c r="AK3928" t="n">
        <v>9</v>
      </c>
      <c r="AL3928" t="inlineStr">
        <is>
          <t>Miss Glam Jambi</t>
        </is>
      </c>
      <c r="AM3928" t="n">
        <v>4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SELSUN</t>
        </is>
      </c>
      <c r="B3929" s="2">
        <f>"8992821102297"</f>
        <v/>
      </c>
      <c r="C3929" t="inlineStr">
        <is>
          <t>SELSUN 7 Herbal 120ml</t>
        </is>
      </c>
      <c r="D3929" t="inlineStr">
        <is>
          <t>Miss Glam Jambi</t>
        </is>
      </c>
      <c r="E3929" t="n">
        <v>5</v>
      </c>
      <c r="F3929" t="n">
        <v>0.0462</v>
      </c>
      <c r="G3929" t="n">
        <v>0.33</v>
      </c>
      <c r="H3929" t="n">
        <v>4</v>
      </c>
      <c r="I3929" t="n">
        <v>15</v>
      </c>
      <c r="J3929" t="n">
        <v>3</v>
      </c>
      <c r="K3929" t="n">
        <v>0</v>
      </c>
      <c r="L3929" t="n">
        <v>36863</v>
      </c>
      <c r="M3929" t="n">
        <v>47000</v>
      </c>
      <c r="N3929" t="n">
        <v>33</v>
      </c>
      <c r="O3929" t="n">
        <v>0.33</v>
      </c>
      <c r="P3929" t="n">
        <v>1</v>
      </c>
      <c r="Q3929" t="n">
        <v>0.02</v>
      </c>
      <c r="R3929" t="n">
        <v>1</v>
      </c>
      <c r="S3929" t="n">
        <v>2171.4</v>
      </c>
      <c r="T3929" t="n">
        <v>5</v>
      </c>
      <c r="U3929" t="n">
        <v>6</v>
      </c>
      <c r="V3929" t="n">
        <v>30</v>
      </c>
      <c r="W3929" t="n">
        <v>2</v>
      </c>
      <c r="X3929" t="n">
        <v>108.2251082251082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10829</v>
      </c>
      <c r="AG3929" t="n">
        <v>2132</v>
      </c>
      <c r="AH3929" t="inlineStr">
        <is>
          <t>PT. MENSA BINA SUKSES - PPN (JMB)</t>
        </is>
      </c>
      <c r="AI3929" t="n">
        <v>303</v>
      </c>
      <c r="AJ3929" t="inlineStr">
        <is>
          <t>SELSUN</t>
        </is>
      </c>
      <c r="AK3929" t="n">
        <v>9</v>
      </c>
      <c r="AL3929" t="inlineStr">
        <is>
          <t>Miss Glam Jambi</t>
        </is>
      </c>
      <c r="AM3929" t="n">
        <v>3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SELSUN</t>
        </is>
      </c>
      <c r="B3930" s="2">
        <f>"8992821102303"</f>
        <v/>
      </c>
      <c r="C3930" t="inlineStr">
        <is>
          <t>SELSUN 7Flowers 60ml</t>
        </is>
      </c>
      <c r="D3930" t="inlineStr">
        <is>
          <t>Miss Glam Jambi</t>
        </is>
      </c>
      <c r="E3930" t="n">
        <v>4</v>
      </c>
      <c r="F3930" t="n">
        <v>0.08910000000000001</v>
      </c>
      <c r="G3930" t="n">
        <v>0.66</v>
      </c>
      <c r="H3930" t="n">
        <v>4</v>
      </c>
      <c r="I3930" t="n">
        <v>15</v>
      </c>
      <c r="J3930" t="n">
        <v>3</v>
      </c>
      <c r="K3930" t="n">
        <v>0</v>
      </c>
      <c r="L3930" t="n">
        <v>21708</v>
      </c>
      <c r="M3930" t="n">
        <v>28000</v>
      </c>
      <c r="N3930" t="n">
        <v>33</v>
      </c>
      <c r="O3930" t="n">
        <v>0.33</v>
      </c>
      <c r="P3930" t="n">
        <v>1</v>
      </c>
      <c r="Q3930" t="n">
        <v>0.03</v>
      </c>
      <c r="R3930" t="n">
        <v>1</v>
      </c>
      <c r="S3930" t="n">
        <v>2494.8</v>
      </c>
      <c r="T3930" t="n">
        <v>10</v>
      </c>
      <c r="U3930" t="n">
        <v>11</v>
      </c>
      <c r="V3930" t="n">
        <v>30</v>
      </c>
      <c r="W3930" t="n">
        <v>3</v>
      </c>
      <c r="X3930" t="n">
        <v>44.89337822671155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10829</v>
      </c>
      <c r="AG3930" t="n">
        <v>2132</v>
      </c>
      <c r="AH3930" t="inlineStr">
        <is>
          <t>PT. MENSA BINA SUKSES - PPN (JMB)</t>
        </is>
      </c>
      <c r="AI3930" t="n">
        <v>303</v>
      </c>
      <c r="AJ3930" t="inlineStr">
        <is>
          <t>SELSUN</t>
        </is>
      </c>
      <c r="AK3930" t="n">
        <v>9</v>
      </c>
      <c r="AL3930" t="inlineStr">
        <is>
          <t>Miss Glam Jambi</t>
        </is>
      </c>
      <c r="AM3930" t="n">
        <v>3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SELSUN</t>
        </is>
      </c>
      <c r="B3931" s="2">
        <f>"8992821101603"</f>
        <v/>
      </c>
      <c r="C3931" t="inlineStr">
        <is>
          <t>SELSUN 7Herbal Shampoo 60ml</t>
        </is>
      </c>
      <c r="D3931" t="inlineStr">
        <is>
          <t>Miss Glam Jambi</t>
        </is>
      </c>
      <c r="E3931" t="n">
        <v>2</v>
      </c>
      <c r="F3931" t="n">
        <v>0.0561</v>
      </c>
      <c r="G3931" t="n">
        <v>0.33</v>
      </c>
      <c r="H3931" t="n">
        <v>4</v>
      </c>
      <c r="I3931" t="n">
        <v>15</v>
      </c>
      <c r="J3931" t="n">
        <v>3</v>
      </c>
      <c r="K3931" t="n">
        <v>0</v>
      </c>
      <c r="L3931" t="n">
        <v>21708</v>
      </c>
      <c r="M3931" t="n">
        <v>28000</v>
      </c>
      <c r="N3931" t="n">
        <v>33</v>
      </c>
      <c r="O3931" t="n">
        <v>0.33</v>
      </c>
      <c r="P3931" t="n">
        <v>1</v>
      </c>
      <c r="Q3931" t="n">
        <v>0.03</v>
      </c>
      <c r="R3931" t="n">
        <v>1</v>
      </c>
      <c r="S3931" t="n">
        <v>1570.8</v>
      </c>
      <c r="T3931" t="n">
        <v>5</v>
      </c>
      <c r="U3931" t="n">
        <v>6</v>
      </c>
      <c r="V3931" t="n">
        <v>30</v>
      </c>
      <c r="W3931" t="n">
        <v>2</v>
      </c>
      <c r="X3931" t="n">
        <v>35.650623885918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10829</v>
      </c>
      <c r="AG3931" t="n">
        <v>2132</v>
      </c>
      <c r="AH3931" t="inlineStr">
        <is>
          <t>PT. MENSA BINA SUKSES - PPN (JMB)</t>
        </is>
      </c>
      <c r="AI3931" t="n">
        <v>303</v>
      </c>
      <c r="AJ3931" t="inlineStr">
        <is>
          <t>SELSUN</t>
        </is>
      </c>
      <c r="AK3931" t="n">
        <v>9</v>
      </c>
      <c r="AL3931" t="inlineStr">
        <is>
          <t>Miss Glam Jambi</t>
        </is>
      </c>
      <c r="AM3931" t="n">
        <v>3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SELSUN</t>
        </is>
      </c>
      <c r="B3932" s="2">
        <f>"8992821100743"</f>
        <v/>
      </c>
      <c r="C3932" t="inlineStr">
        <is>
          <t>SELSUN Blue  5 Leaves Hair Shampoo 120ml</t>
        </is>
      </c>
      <c r="D3932" t="inlineStr">
        <is>
          <t>Miss Glam Jambi</t>
        </is>
      </c>
      <c r="E3932" t="n">
        <v>14</v>
      </c>
      <c r="F3932" t="n">
        <v>0.07920000000000001</v>
      </c>
      <c r="G3932" t="n">
        <v>0.66</v>
      </c>
      <c r="H3932" t="n">
        <v>4</v>
      </c>
      <c r="I3932" t="n">
        <v>15</v>
      </c>
      <c r="J3932" t="n">
        <v>3</v>
      </c>
      <c r="K3932" t="n">
        <v>0</v>
      </c>
      <c r="L3932" t="n">
        <v>42188</v>
      </c>
      <c r="M3932" t="n">
        <v>53500</v>
      </c>
      <c r="N3932" t="n">
        <v>33</v>
      </c>
      <c r="O3932" t="n">
        <v>0.33</v>
      </c>
      <c r="P3932" t="n">
        <v>1</v>
      </c>
      <c r="Q3932" t="n">
        <v>0.05</v>
      </c>
      <c r="R3932" t="n">
        <v>2</v>
      </c>
      <c r="S3932" t="n">
        <v>4237.200000000001</v>
      </c>
      <c r="T3932" t="n">
        <v>10</v>
      </c>
      <c r="U3932" t="n">
        <v>11</v>
      </c>
      <c r="V3932" t="n">
        <v>30</v>
      </c>
      <c r="W3932" t="n">
        <v>3</v>
      </c>
      <c r="X3932" t="n">
        <v>176.7676767676768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10829</v>
      </c>
      <c r="AG3932" t="n">
        <v>2132</v>
      </c>
      <c r="AH3932" t="inlineStr">
        <is>
          <t>PT. MENSA BINA SUKSES - PPN (JMB)</t>
        </is>
      </c>
      <c r="AI3932" t="n">
        <v>303</v>
      </c>
      <c r="AJ3932" t="inlineStr">
        <is>
          <t>SELSUN</t>
        </is>
      </c>
      <c r="AK3932" t="n">
        <v>9</v>
      </c>
      <c r="AL3932" t="inlineStr">
        <is>
          <t>Miss Glam Jambi</t>
        </is>
      </c>
      <c r="AM3932" t="n">
        <v>3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SELSUN</t>
        </is>
      </c>
      <c r="B3933" s="2">
        <f>"8992821101092"</f>
        <v/>
      </c>
      <c r="C3933" t="inlineStr">
        <is>
          <t>SELSUN Blue Five Leaves Hair Shampoo 50ml</t>
        </is>
      </c>
      <c r="D3933" t="inlineStr">
        <is>
          <t>Miss Glam Jambi</t>
        </is>
      </c>
      <c r="E3933" t="n">
        <v>2</v>
      </c>
      <c r="F3933" t="n">
        <v>0.2112</v>
      </c>
      <c r="G3933" t="n">
        <v>0.99</v>
      </c>
      <c r="H3933" t="n">
        <v>4</v>
      </c>
      <c r="I3933" t="n">
        <v>15</v>
      </c>
      <c r="J3933" t="n">
        <v>3</v>
      </c>
      <c r="K3933" t="n">
        <v>3</v>
      </c>
      <c r="L3933" t="n">
        <v>20889</v>
      </c>
      <c r="M3933" t="n">
        <v>26500</v>
      </c>
      <c r="N3933" t="n">
        <v>33</v>
      </c>
      <c r="O3933" t="n">
        <v>0.33</v>
      </c>
      <c r="P3933" t="n">
        <v>1</v>
      </c>
      <c r="Q3933" t="n">
        <v>0.1</v>
      </c>
      <c r="R3933" t="n">
        <v>1</v>
      </c>
      <c r="S3933" t="n">
        <v>5596.800000000001</v>
      </c>
      <c r="T3933" t="n">
        <v>15</v>
      </c>
      <c r="U3933" t="n">
        <v>16</v>
      </c>
      <c r="V3933" t="n">
        <v>30</v>
      </c>
      <c r="W3933" t="n">
        <v>7</v>
      </c>
      <c r="X3933" t="n">
        <v>9.469696969696969</v>
      </c>
      <c r="Y3933" t="n">
        <v>1</v>
      </c>
      <c r="Z3933" t="n">
        <v>2</v>
      </c>
      <c r="AA3933" t="n">
        <v>1</v>
      </c>
      <c r="AB3933" t="n">
        <v>1</v>
      </c>
      <c r="AC3933" t="n">
        <v>3</v>
      </c>
      <c r="AD3933" t="n">
        <v>20889</v>
      </c>
      <c r="AE3933" t="n">
        <v>62667</v>
      </c>
      <c r="AF3933" t="n">
        <v>10829</v>
      </c>
      <c r="AG3933" t="n">
        <v>2132</v>
      </c>
      <c r="AH3933" t="inlineStr">
        <is>
          <t>PT. MENSA BINA SUKSES - PPN (JMB)</t>
        </is>
      </c>
      <c r="AI3933" t="n">
        <v>303</v>
      </c>
      <c r="AJ3933" t="inlineStr">
        <is>
          <t>SELSUN</t>
        </is>
      </c>
      <c r="AK3933" t="n">
        <v>9</v>
      </c>
      <c r="AL3933" t="inlineStr">
        <is>
          <t>Miss Glam Jambi</t>
        </is>
      </c>
      <c r="AM3933" t="n">
        <v>3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SELSUN</t>
        </is>
      </c>
      <c r="B3934" s="2">
        <f>"8992821100750"</f>
        <v/>
      </c>
      <c r="C3934" t="inlineStr">
        <is>
          <t>SELSUN Blue Five Shampoo 200ml</t>
        </is>
      </c>
      <c r="D3934" t="inlineStr">
        <is>
          <t>Miss Glam Jambi</t>
        </is>
      </c>
      <c r="E3934" t="n">
        <v>2</v>
      </c>
      <c r="F3934" t="n">
        <v>0.0561</v>
      </c>
      <c r="G3934" t="n">
        <v>0.66</v>
      </c>
      <c r="H3934" t="n">
        <v>4</v>
      </c>
      <c r="I3934" t="n">
        <v>15</v>
      </c>
      <c r="J3934" t="n">
        <v>3</v>
      </c>
      <c r="K3934" t="n">
        <v>0</v>
      </c>
      <c r="L3934" t="n">
        <v>56114</v>
      </c>
      <c r="M3934" t="n">
        <v>71000</v>
      </c>
      <c r="N3934" t="n">
        <v>33</v>
      </c>
      <c r="O3934" t="n">
        <v>0.33</v>
      </c>
      <c r="P3934" t="n">
        <v>1</v>
      </c>
      <c r="Q3934" t="n">
        <v>0.02</v>
      </c>
      <c r="R3934" t="n">
        <v>1</v>
      </c>
      <c r="S3934" t="n">
        <v>3983.1</v>
      </c>
      <c r="T3934" t="n">
        <v>10</v>
      </c>
      <c r="U3934" t="n">
        <v>11</v>
      </c>
      <c r="V3934" t="n">
        <v>30</v>
      </c>
      <c r="W3934" t="n">
        <v>2</v>
      </c>
      <c r="X3934" t="n">
        <v>35.650623885918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10829</v>
      </c>
      <c r="AG3934" t="n">
        <v>2132</v>
      </c>
      <c r="AH3934" t="inlineStr">
        <is>
          <t>PT. MENSA BINA SUKSES - PPN (JMB)</t>
        </is>
      </c>
      <c r="AI3934" t="n">
        <v>303</v>
      </c>
      <c r="AJ3934" t="inlineStr">
        <is>
          <t>SELSUN</t>
        </is>
      </c>
      <c r="AK3934" t="n">
        <v>9</v>
      </c>
      <c r="AL3934" t="inlineStr">
        <is>
          <t>Miss Glam Jambi</t>
        </is>
      </c>
      <c r="AM3934" t="n">
        <v>3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SELSUN</t>
        </is>
      </c>
      <c r="B3935" s="2">
        <f>"8992821100736"</f>
        <v/>
      </c>
      <c r="C3935" t="inlineStr">
        <is>
          <t>SELSUN Blue Hair Care Shampoo 120ml</t>
        </is>
      </c>
      <c r="D3935" t="inlineStr">
        <is>
          <t>Miss Glam Jambi</t>
        </is>
      </c>
      <c r="E3935" t="n">
        <v>15</v>
      </c>
      <c r="F3935" t="n">
        <v>0.1056</v>
      </c>
      <c r="G3935" t="n">
        <v>0.66</v>
      </c>
      <c r="H3935" t="n">
        <v>4</v>
      </c>
      <c r="I3935" t="n">
        <v>15</v>
      </c>
      <c r="J3935" t="n">
        <v>3</v>
      </c>
      <c r="K3935" t="n">
        <v>0</v>
      </c>
      <c r="L3935" t="n">
        <v>38911</v>
      </c>
      <c r="M3935" t="n">
        <v>51500</v>
      </c>
      <c r="N3935" t="n">
        <v>33</v>
      </c>
      <c r="O3935" t="n">
        <v>0.33</v>
      </c>
      <c r="P3935" t="n">
        <v>1</v>
      </c>
      <c r="Q3935" t="n">
        <v>0.14</v>
      </c>
      <c r="R3935" t="n">
        <v>1</v>
      </c>
      <c r="S3935" t="n">
        <v>5438.400000000001</v>
      </c>
      <c r="T3935" t="n">
        <v>10</v>
      </c>
      <c r="U3935" t="n">
        <v>11</v>
      </c>
      <c r="V3935" t="n">
        <v>30</v>
      </c>
      <c r="W3935" t="n">
        <v>4</v>
      </c>
      <c r="X3935" t="n">
        <v>142.0454545454545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10829</v>
      </c>
      <c r="AG3935" t="n">
        <v>2132</v>
      </c>
      <c r="AH3935" t="inlineStr">
        <is>
          <t>PT. MENSA BINA SUKSES - PPN (JMB)</t>
        </is>
      </c>
      <c r="AI3935" t="n">
        <v>303</v>
      </c>
      <c r="AJ3935" t="inlineStr">
        <is>
          <t>SELSUN</t>
        </is>
      </c>
      <c r="AK3935" t="n">
        <v>9</v>
      </c>
      <c r="AL3935" t="inlineStr">
        <is>
          <t>Miss Glam Jambi</t>
        </is>
      </c>
      <c r="AM3935" t="n">
        <v>3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SELSUN</t>
        </is>
      </c>
      <c r="B3936" s="2">
        <f>"8992821100729"</f>
        <v/>
      </c>
      <c r="C3936" t="inlineStr">
        <is>
          <t>SELSUN Blue Hair Care Shampoo 60ml</t>
        </is>
      </c>
      <c r="D3936" t="inlineStr">
        <is>
          <t>Miss Glam Jambi</t>
        </is>
      </c>
      <c r="E3936" t="n">
        <v>13</v>
      </c>
      <c r="F3936" t="n">
        <v>0.2244</v>
      </c>
      <c r="G3936" t="n">
        <v>0.99</v>
      </c>
      <c r="H3936" t="n">
        <v>4</v>
      </c>
      <c r="I3936" t="n">
        <v>15</v>
      </c>
      <c r="J3936" t="n">
        <v>3</v>
      </c>
      <c r="K3936" t="n">
        <v>0</v>
      </c>
      <c r="L3936" t="n">
        <v>22937</v>
      </c>
      <c r="M3936" t="n">
        <v>29000</v>
      </c>
      <c r="N3936" t="n">
        <v>33</v>
      </c>
      <c r="O3936" t="n">
        <v>0.33</v>
      </c>
      <c r="P3936" t="n">
        <v>1</v>
      </c>
      <c r="Q3936" t="n">
        <v>0.07000000000000001</v>
      </c>
      <c r="R3936" t="n">
        <v>1</v>
      </c>
      <c r="S3936" t="n">
        <v>6507.6</v>
      </c>
      <c r="T3936" t="n">
        <v>14</v>
      </c>
      <c r="U3936" t="n">
        <v>15</v>
      </c>
      <c r="V3936" t="n">
        <v>30</v>
      </c>
      <c r="W3936" t="n">
        <v>7</v>
      </c>
      <c r="X3936" t="n">
        <v>57.93226381461675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10829</v>
      </c>
      <c r="AG3936" t="n">
        <v>2132</v>
      </c>
      <c r="AH3936" t="inlineStr">
        <is>
          <t>PT. MENSA BINA SUKSES - PPN (JMB)</t>
        </is>
      </c>
      <c r="AI3936" t="n">
        <v>303</v>
      </c>
      <c r="AJ3936" t="inlineStr">
        <is>
          <t>SELSUN</t>
        </is>
      </c>
      <c r="AK3936" t="n">
        <v>9</v>
      </c>
      <c r="AL3936" t="inlineStr">
        <is>
          <t>Miss Glam Jambi</t>
        </is>
      </c>
      <c r="AM3936" t="n">
        <v>3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SELSUN</t>
        </is>
      </c>
      <c r="B3937" s="2">
        <f>"8992821100774"</f>
        <v/>
      </c>
      <c r="C3937" t="inlineStr">
        <is>
          <t>SELSUN Gold 120ml</t>
        </is>
      </c>
      <c r="D3937" t="inlineStr">
        <is>
          <t>Miss Glam Jambi</t>
        </is>
      </c>
      <c r="E3937" t="n">
        <v>11</v>
      </c>
      <c r="F3937" t="n">
        <v>0.1122</v>
      </c>
      <c r="G3937" t="n">
        <v>0.99</v>
      </c>
      <c r="H3937" t="n">
        <v>4</v>
      </c>
      <c r="I3937" t="n">
        <v>15</v>
      </c>
      <c r="J3937" t="n">
        <v>3</v>
      </c>
      <c r="K3937" t="n">
        <v>0</v>
      </c>
      <c r="L3937" t="n">
        <v>42188</v>
      </c>
      <c r="M3937" t="n">
        <v>53500</v>
      </c>
      <c r="N3937" t="n">
        <v>33</v>
      </c>
      <c r="O3937" t="n">
        <v>0.33</v>
      </c>
      <c r="P3937" t="n">
        <v>1</v>
      </c>
      <c r="Q3937" t="n">
        <v>0.1</v>
      </c>
      <c r="R3937" t="n">
        <v>2</v>
      </c>
      <c r="S3937" t="n">
        <v>6002.700000000001</v>
      </c>
      <c r="T3937" t="n">
        <v>15</v>
      </c>
      <c r="U3937" t="n">
        <v>16</v>
      </c>
      <c r="V3937" t="n">
        <v>30</v>
      </c>
      <c r="W3937" t="n">
        <v>4</v>
      </c>
      <c r="X3937" t="n">
        <v>98.0392156862745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10829</v>
      </c>
      <c r="AG3937" t="n">
        <v>2132</v>
      </c>
      <c r="AH3937" t="inlineStr">
        <is>
          <t>PT. MENSA BINA SUKSES - PPN (JMB)</t>
        </is>
      </c>
      <c r="AI3937" t="n">
        <v>303</v>
      </c>
      <c r="AJ3937" t="inlineStr">
        <is>
          <t>SELSUN</t>
        </is>
      </c>
      <c r="AK3937" t="n">
        <v>9</v>
      </c>
      <c r="AL3937" t="inlineStr">
        <is>
          <t>Miss Glam Jambi</t>
        </is>
      </c>
      <c r="AM3937" t="n">
        <v>3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SELSUN</t>
        </is>
      </c>
      <c r="B3938" s="2">
        <f>"8992821100767"</f>
        <v/>
      </c>
      <c r="C3938" t="inlineStr">
        <is>
          <t>SELSUN Gold Tab2 Shampoo 60ml</t>
        </is>
      </c>
      <c r="D3938" t="inlineStr">
        <is>
          <t>Miss Glam Jambi</t>
        </is>
      </c>
      <c r="E3938" t="n">
        <v>3</v>
      </c>
      <c r="F3938" t="n">
        <v>0.1056</v>
      </c>
      <c r="G3938" t="n">
        <v>0.99</v>
      </c>
      <c r="H3938" t="n">
        <v>4</v>
      </c>
      <c r="I3938" t="n">
        <v>15</v>
      </c>
      <c r="J3938" t="n">
        <v>3</v>
      </c>
      <c r="K3938" t="n">
        <v>3</v>
      </c>
      <c r="L3938" t="n">
        <v>25804</v>
      </c>
      <c r="M3938" t="n">
        <v>32500</v>
      </c>
      <c r="N3938" t="n">
        <v>33</v>
      </c>
      <c r="O3938" t="n">
        <v>0.33</v>
      </c>
      <c r="P3938" t="n">
        <v>1</v>
      </c>
      <c r="Q3938" t="n">
        <v>0.03</v>
      </c>
      <c r="R3938" t="n">
        <v>1</v>
      </c>
      <c r="S3938" t="n">
        <v>3432</v>
      </c>
      <c r="T3938" t="n">
        <v>15</v>
      </c>
      <c r="U3938" t="n">
        <v>16</v>
      </c>
      <c r="V3938" t="n">
        <v>30</v>
      </c>
      <c r="W3938" t="n">
        <v>4</v>
      </c>
      <c r="X3938" t="n">
        <v>28.40909090909091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10829</v>
      </c>
      <c r="AG3938" t="n">
        <v>2132</v>
      </c>
      <c r="AH3938" t="inlineStr">
        <is>
          <t>PT. MENSA BINA SUKSES - PPN (JMB)</t>
        </is>
      </c>
      <c r="AI3938" t="n">
        <v>303</v>
      </c>
      <c r="AJ3938" t="inlineStr">
        <is>
          <t>SELSUN</t>
        </is>
      </c>
      <c r="AK3938" t="n">
        <v>9</v>
      </c>
      <c r="AL3938" t="inlineStr">
        <is>
          <t>Miss Glam Jambi</t>
        </is>
      </c>
      <c r="AM3938" t="n">
        <v>3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SELSUN</t>
        </is>
      </c>
      <c r="B3939" s="2">
        <f>"8992821102280"</f>
        <v/>
      </c>
      <c r="C3939" t="inlineStr">
        <is>
          <t>SELSUN Shampoo 7 Flowers 120ml</t>
        </is>
      </c>
      <c r="D3939" t="inlineStr">
        <is>
          <t>Miss Glam Jambi</t>
        </is>
      </c>
      <c r="E3939" t="n">
        <v>4</v>
      </c>
      <c r="F3939" t="n">
        <v>0.07920000000000001</v>
      </c>
      <c r="G3939" t="n">
        <v>0.66</v>
      </c>
      <c r="H3939" t="n">
        <v>4</v>
      </c>
      <c r="I3939" t="n">
        <v>15</v>
      </c>
      <c r="J3939" t="n">
        <v>3</v>
      </c>
      <c r="K3939" t="n">
        <v>0</v>
      </c>
      <c r="L3939" t="n">
        <v>36863</v>
      </c>
      <c r="M3939" t="n">
        <v>46000</v>
      </c>
      <c r="N3939" t="n">
        <v>33</v>
      </c>
      <c r="O3939" t="n">
        <v>0.33</v>
      </c>
      <c r="P3939" t="n">
        <v>1</v>
      </c>
      <c r="Q3939" t="n">
        <v>0.02</v>
      </c>
      <c r="R3939" t="n">
        <v>1</v>
      </c>
      <c r="S3939" t="n">
        <v>3643.2</v>
      </c>
      <c r="T3939" t="n">
        <v>10</v>
      </c>
      <c r="U3939" t="n">
        <v>11</v>
      </c>
      <c r="V3939" t="n">
        <v>30</v>
      </c>
      <c r="W3939" t="n">
        <v>3</v>
      </c>
      <c r="X3939" t="n">
        <v>50.5050505050505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10829</v>
      </c>
      <c r="AG3939" t="n">
        <v>2132</v>
      </c>
      <c r="AH3939" t="inlineStr">
        <is>
          <t>PT. MENSA BINA SUKSES - PPN (JMB)</t>
        </is>
      </c>
      <c r="AI3939" t="n">
        <v>303</v>
      </c>
      <c r="AJ3939" t="inlineStr">
        <is>
          <t>SELSUN</t>
        </is>
      </c>
      <c r="AK3939" t="n">
        <v>9</v>
      </c>
      <c r="AL3939" t="inlineStr">
        <is>
          <t>Miss Glam Jambi</t>
        </is>
      </c>
      <c r="AM3939" t="n">
        <v>3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SELSUN</t>
        </is>
      </c>
      <c r="B3940" s="2">
        <f>"8992821101269"</f>
        <v/>
      </c>
      <c r="C3940" t="inlineStr">
        <is>
          <t>SELSUN Yellow Double Impact 100ml</t>
        </is>
      </c>
      <c r="D3940" t="inlineStr">
        <is>
          <t>Miss Glam Jambi</t>
        </is>
      </c>
      <c r="E3940" t="n">
        <v>12</v>
      </c>
      <c r="F3940" t="n">
        <v>0.3135</v>
      </c>
      <c r="G3940" t="n">
        <v>1.32</v>
      </c>
      <c r="H3940" t="n">
        <v>4</v>
      </c>
      <c r="I3940" t="n">
        <v>15</v>
      </c>
      <c r="J3940" t="n">
        <v>3</v>
      </c>
      <c r="K3940" t="n">
        <v>0</v>
      </c>
      <c r="L3940" t="n">
        <v>36863</v>
      </c>
      <c r="M3940" t="n">
        <v>47000</v>
      </c>
      <c r="N3940" t="n">
        <v>33</v>
      </c>
      <c r="O3940" t="n">
        <v>0.33</v>
      </c>
      <c r="P3940" t="n">
        <v>1</v>
      </c>
      <c r="Q3940" t="n">
        <v>0.27</v>
      </c>
      <c r="R3940" t="n">
        <v>2</v>
      </c>
      <c r="S3940" t="n">
        <v>14734.5</v>
      </c>
      <c r="T3940" t="n">
        <v>19</v>
      </c>
      <c r="U3940" t="n">
        <v>21</v>
      </c>
      <c r="V3940" t="n">
        <v>30</v>
      </c>
      <c r="W3940" t="n">
        <v>10</v>
      </c>
      <c r="X3940" t="n">
        <v>38.27751196172249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10829</v>
      </c>
      <c r="AG3940" t="n">
        <v>2132</v>
      </c>
      <c r="AH3940" t="inlineStr">
        <is>
          <t>PT. MENSA BINA SUKSES - PPN (JMB)</t>
        </is>
      </c>
      <c r="AI3940" t="n">
        <v>303</v>
      </c>
      <c r="AJ3940" t="inlineStr">
        <is>
          <t>SELSUN</t>
        </is>
      </c>
      <c r="AK3940" t="n">
        <v>9</v>
      </c>
      <c r="AL3940" t="inlineStr">
        <is>
          <t>Miss Glam Jambi</t>
        </is>
      </c>
      <c r="AM3940" t="n">
        <v>3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SELSUN</t>
        </is>
      </c>
      <c r="B3941" s="2">
        <f>"8992821101252"</f>
        <v/>
      </c>
      <c r="C3941" t="inlineStr">
        <is>
          <t>SELSUN Yellow Double Impact 50ml</t>
        </is>
      </c>
      <c r="D3941" t="inlineStr">
        <is>
          <t>Miss Glam Jambi</t>
        </is>
      </c>
      <c r="E3941" t="n">
        <v>8</v>
      </c>
      <c r="F3941" t="n">
        <v>0.4257</v>
      </c>
      <c r="G3941" t="n">
        <v>1.32</v>
      </c>
      <c r="H3941" t="n">
        <v>4</v>
      </c>
      <c r="I3941" t="n">
        <v>15</v>
      </c>
      <c r="J3941" t="n">
        <v>3</v>
      </c>
      <c r="K3941" t="n">
        <v>3</v>
      </c>
      <c r="L3941" t="n">
        <v>21708</v>
      </c>
      <c r="M3941" t="n">
        <v>28000</v>
      </c>
      <c r="N3941" t="n">
        <v>33</v>
      </c>
      <c r="O3941" t="n">
        <v>0.33</v>
      </c>
      <c r="P3941" t="n">
        <v>1</v>
      </c>
      <c r="Q3941" t="n">
        <v>0.22</v>
      </c>
      <c r="R3941" t="n">
        <v>1</v>
      </c>
      <c r="S3941" t="n">
        <v>11919.6</v>
      </c>
      <c r="T3941" t="n">
        <v>19</v>
      </c>
      <c r="U3941" t="n">
        <v>21</v>
      </c>
      <c r="V3941" t="n">
        <v>30</v>
      </c>
      <c r="W3941" t="n">
        <v>13</v>
      </c>
      <c r="X3941" t="n">
        <v>18.79257693211181</v>
      </c>
      <c r="Y3941" t="n">
        <v>1</v>
      </c>
      <c r="Z3941" t="n">
        <v>2</v>
      </c>
      <c r="AA3941" t="n">
        <v>0</v>
      </c>
      <c r="AB3941" t="n">
        <v>2</v>
      </c>
      <c r="AC3941" t="n">
        <v>3</v>
      </c>
      <c r="AD3941" t="n">
        <v>0</v>
      </c>
      <c r="AE3941" t="n">
        <v>65124</v>
      </c>
      <c r="AF3941" t="n">
        <v>10829</v>
      </c>
      <c r="AG3941" t="n">
        <v>2132</v>
      </c>
      <c r="AH3941" t="inlineStr">
        <is>
          <t>PT. MENSA BINA SUKSES - PPN (JMB)</t>
        </is>
      </c>
      <c r="AI3941" t="n">
        <v>303</v>
      </c>
      <c r="AJ3941" t="inlineStr">
        <is>
          <t>SELSUN</t>
        </is>
      </c>
      <c r="AK3941" t="n">
        <v>9</v>
      </c>
      <c r="AL3941" t="inlineStr">
        <is>
          <t>Miss Glam Jambi</t>
        </is>
      </c>
      <c r="AM3941" t="n">
        <v>3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SENKA</t>
        </is>
      </c>
      <c r="B3942" s="2">
        <f>"4550516474568"</f>
        <v/>
      </c>
      <c r="C3942" t="inlineStr">
        <is>
          <t>SENKA Perfect Whip A - 120gr New</t>
        </is>
      </c>
      <c r="D3942" t="inlineStr">
        <is>
          <t>Miss Glam Jambi</t>
        </is>
      </c>
      <c r="E3942" t="n">
        <v>2</v>
      </c>
      <c r="F3942" t="n">
        <v>0.03</v>
      </c>
      <c r="G3942" t="n">
        <v>1</v>
      </c>
      <c r="H3942" t="n">
        <v>7</v>
      </c>
      <c r="I3942" t="n">
        <v>19</v>
      </c>
      <c r="J3942" t="n">
        <v>3</v>
      </c>
      <c r="K3942" t="n">
        <v>0</v>
      </c>
      <c r="L3942" t="n">
        <v>50400</v>
      </c>
      <c r="M3942" t="n">
        <v>60000</v>
      </c>
      <c r="N3942" t="n">
        <v>33</v>
      </c>
      <c r="O3942" t="n">
        <v>0.33</v>
      </c>
      <c r="P3942" t="n">
        <v>0</v>
      </c>
      <c r="Q3942" t="n">
        <v>0.03</v>
      </c>
      <c r="R3942" t="n">
        <v>1</v>
      </c>
      <c r="S3942" t="n">
        <v>1800</v>
      </c>
      <c r="T3942" t="n">
        <v>19</v>
      </c>
      <c r="U3942" t="n">
        <v>20</v>
      </c>
      <c r="V3942" t="n">
        <v>30</v>
      </c>
      <c r="W3942" t="n">
        <v>1</v>
      </c>
      <c r="X3942" t="n">
        <v>66.66666666666667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11311</v>
      </c>
      <c r="AG3942" t="n">
        <v>2173</v>
      </c>
      <c r="AH3942" t="inlineStr">
        <is>
          <t>PT. OGAN SAKTI PRATAMA - PPN (JMB)</t>
        </is>
      </c>
      <c r="AI3942" t="n">
        <v>143</v>
      </c>
      <c r="AJ3942" t="inlineStr">
        <is>
          <t>SENKA</t>
        </is>
      </c>
      <c r="AK3942" t="n">
        <v>9</v>
      </c>
      <c r="AL3942" t="inlineStr">
        <is>
          <t>Miss Glam Jambi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SENKA</t>
        </is>
      </c>
      <c r="B3943" s="2">
        <f>"4550516705778"</f>
        <v/>
      </c>
      <c r="C3943" t="inlineStr">
        <is>
          <t>SENKA Perfect Whip A - 50gr New</t>
        </is>
      </c>
      <c r="D3943" t="inlineStr">
        <is>
          <t>Miss Glam Jambi</t>
        </is>
      </c>
      <c r="E3943" t="n">
        <v>1</v>
      </c>
      <c r="F3943" t="n">
        <v>0.1452</v>
      </c>
      <c r="G3943" t="n">
        <v>0.66</v>
      </c>
      <c r="H3943" t="n">
        <v>7</v>
      </c>
      <c r="I3943" t="n">
        <v>19</v>
      </c>
      <c r="J3943" t="n">
        <v>3</v>
      </c>
      <c r="K3943" t="n">
        <v>0</v>
      </c>
      <c r="L3943" t="n">
        <v>28800</v>
      </c>
      <c r="M3943" t="n">
        <v>35000</v>
      </c>
      <c r="N3943" t="n">
        <v>33</v>
      </c>
      <c r="O3943" t="n">
        <v>0.33</v>
      </c>
      <c r="P3943" t="n">
        <v>1</v>
      </c>
      <c r="Q3943" t="n">
        <v>0.14</v>
      </c>
      <c r="R3943" t="n">
        <v>2</v>
      </c>
      <c r="S3943" t="n">
        <v>5082</v>
      </c>
      <c r="T3943" t="n">
        <v>12</v>
      </c>
      <c r="U3943" t="n">
        <v>14</v>
      </c>
      <c r="V3943" t="n">
        <v>30</v>
      </c>
      <c r="W3943" t="n">
        <v>5</v>
      </c>
      <c r="X3943" t="n">
        <v>6.887052341597796</v>
      </c>
      <c r="Y3943" t="n">
        <v>1</v>
      </c>
      <c r="Z3943" t="n">
        <v>4</v>
      </c>
      <c r="AA3943" t="n">
        <v>2</v>
      </c>
      <c r="AB3943" t="n">
        <v>2</v>
      </c>
      <c r="AC3943" t="n">
        <v>3</v>
      </c>
      <c r="AD3943" t="n">
        <v>57600</v>
      </c>
      <c r="AE3943" t="n">
        <v>86400</v>
      </c>
      <c r="AF3943" t="n">
        <v>11311</v>
      </c>
      <c r="AG3943" t="n">
        <v>2173</v>
      </c>
      <c r="AH3943" t="inlineStr">
        <is>
          <t>PT. OGAN SAKTI PRATAMA - PPN (JMB)</t>
        </is>
      </c>
      <c r="AI3943" t="n">
        <v>143</v>
      </c>
      <c r="AJ3943" t="inlineStr">
        <is>
          <t>SENKA</t>
        </is>
      </c>
      <c r="AK3943" t="n">
        <v>9</v>
      </c>
      <c r="AL3943" t="inlineStr">
        <is>
          <t>Miss Glam Jambi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SENKA</t>
        </is>
      </c>
      <c r="B3944" s="2">
        <f>"4550516705969"</f>
        <v/>
      </c>
      <c r="C3944" t="inlineStr">
        <is>
          <t>SENKA Perfect Whip Acne Care A - 50gr New</t>
        </is>
      </c>
      <c r="D3944" t="inlineStr">
        <is>
          <t>Miss Glam Jambi</t>
        </is>
      </c>
      <c r="E3944" t="n">
        <v>24</v>
      </c>
      <c r="F3944" t="n">
        <v>0.1122</v>
      </c>
      <c r="G3944" t="n">
        <v>0.66</v>
      </c>
      <c r="H3944" t="n">
        <v>7</v>
      </c>
      <c r="I3944" t="n">
        <v>19</v>
      </c>
      <c r="J3944" t="n">
        <v>6</v>
      </c>
      <c r="K3944" t="n">
        <v>0</v>
      </c>
      <c r="L3944" t="n">
        <v>40457</v>
      </c>
      <c r="M3944" t="n">
        <v>48000</v>
      </c>
      <c r="N3944" t="n">
        <v>33</v>
      </c>
      <c r="O3944" t="n">
        <v>0.33</v>
      </c>
      <c r="P3944" t="n">
        <v>1</v>
      </c>
      <c r="Q3944" t="n">
        <v>0.08</v>
      </c>
      <c r="R3944" t="n">
        <v>1</v>
      </c>
      <c r="S3944" t="n">
        <v>5385.6</v>
      </c>
      <c r="T3944" t="n">
        <v>12</v>
      </c>
      <c r="U3944" t="n">
        <v>13</v>
      </c>
      <c r="V3944" t="n">
        <v>30</v>
      </c>
      <c r="W3944" t="n">
        <v>4</v>
      </c>
      <c r="X3944" t="n">
        <v>213.903743315508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11311</v>
      </c>
      <c r="AG3944" t="n">
        <v>2173</v>
      </c>
      <c r="AH3944" t="inlineStr">
        <is>
          <t>PT. OGAN SAKTI PRATAMA - PPN (JMB)</t>
        </is>
      </c>
      <c r="AI3944" t="n">
        <v>143</v>
      </c>
      <c r="AJ3944" t="inlineStr">
        <is>
          <t>SENKA</t>
        </is>
      </c>
      <c r="AK3944" t="n">
        <v>9</v>
      </c>
      <c r="AL3944" t="inlineStr">
        <is>
          <t>Miss Glam Jambi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SENKA</t>
        </is>
      </c>
      <c r="B3945" s="2">
        <f>"4550516705945"</f>
        <v/>
      </c>
      <c r="C3945" t="inlineStr">
        <is>
          <t>SENKA Perfect Whip Beauty Foam Acne Care 100gr New</t>
        </is>
      </c>
      <c r="D3945" t="inlineStr">
        <is>
          <t>Miss Glam Jambi</t>
        </is>
      </c>
      <c r="E3945" t="n">
        <v>2</v>
      </c>
      <c r="F3945" t="n">
        <v>0.0231</v>
      </c>
      <c r="G3945" t="n">
        <v>0.33</v>
      </c>
      <c r="H3945" t="n">
        <v>7</v>
      </c>
      <c r="I3945" t="n">
        <v>19</v>
      </c>
      <c r="J3945" t="n">
        <v>3</v>
      </c>
      <c r="K3945" t="n">
        <v>0</v>
      </c>
      <c r="L3945" t="n">
        <v>65369</v>
      </c>
      <c r="M3945" t="n">
        <v>90000</v>
      </c>
      <c r="N3945" t="n">
        <v>33</v>
      </c>
      <c r="O3945" t="n">
        <v>0.33</v>
      </c>
      <c r="P3945" t="n">
        <v>1</v>
      </c>
      <c r="Q3945" t="n">
        <v>0.07000000000000001</v>
      </c>
      <c r="R3945" t="n">
        <v>1</v>
      </c>
      <c r="S3945" t="n">
        <v>2079</v>
      </c>
      <c r="T3945" t="n">
        <v>7</v>
      </c>
      <c r="U3945" t="n">
        <v>8</v>
      </c>
      <c r="V3945" t="n">
        <v>30</v>
      </c>
      <c r="W3945" t="n">
        <v>1</v>
      </c>
      <c r="X3945" t="n">
        <v>86.58008658008657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11311</v>
      </c>
      <c r="AG3945" t="n">
        <v>2173</v>
      </c>
      <c r="AH3945" t="inlineStr">
        <is>
          <t>PT. OGAN SAKTI PRATAMA - PPN (JMB)</t>
        </is>
      </c>
      <c r="AI3945" t="n">
        <v>143</v>
      </c>
      <c r="AJ3945" t="inlineStr">
        <is>
          <t>SENKA</t>
        </is>
      </c>
      <c r="AK3945" t="n">
        <v>9</v>
      </c>
      <c r="AL3945" t="inlineStr">
        <is>
          <t>Miss Glam Jambi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SENKA</t>
        </is>
      </c>
      <c r="B3946" s="2">
        <f>"4550516474582"</f>
        <v/>
      </c>
      <c r="C3946" t="inlineStr">
        <is>
          <t>SENKA Perfect Whip Collagen In 120gr New</t>
        </is>
      </c>
      <c r="D3946" t="inlineStr">
        <is>
          <t>Miss Glam Jambi</t>
        </is>
      </c>
      <c r="E3946" t="n">
        <v>1</v>
      </c>
      <c r="F3946" t="n">
        <v>0.066</v>
      </c>
      <c r="G3946" t="n">
        <v>0.66</v>
      </c>
      <c r="H3946" t="n">
        <v>7</v>
      </c>
      <c r="I3946" t="n">
        <v>19</v>
      </c>
      <c r="J3946" t="n">
        <v>3</v>
      </c>
      <c r="K3946" t="n">
        <v>0</v>
      </c>
      <c r="L3946" t="n">
        <v>73643</v>
      </c>
      <c r="M3946" t="n">
        <v>98000</v>
      </c>
      <c r="N3946" t="n">
        <v>33</v>
      </c>
      <c r="O3946" t="n">
        <v>0.33</v>
      </c>
      <c r="P3946" t="n">
        <v>1</v>
      </c>
      <c r="Q3946" t="n">
        <v>0.03</v>
      </c>
      <c r="R3946" t="n">
        <v>1</v>
      </c>
      <c r="S3946" t="n">
        <v>6468</v>
      </c>
      <c r="T3946" t="n">
        <v>13</v>
      </c>
      <c r="U3946" t="n">
        <v>14</v>
      </c>
      <c r="V3946" t="n">
        <v>30</v>
      </c>
      <c r="W3946" t="n">
        <v>2</v>
      </c>
      <c r="X3946" t="n">
        <v>15.15151515151515</v>
      </c>
      <c r="Y3946" t="n">
        <v>1</v>
      </c>
      <c r="Z3946" t="n">
        <v>1</v>
      </c>
      <c r="AA3946" t="n">
        <v>1</v>
      </c>
      <c r="AB3946" t="n">
        <v>0</v>
      </c>
      <c r="AC3946" t="n">
        <v>0</v>
      </c>
      <c r="AD3946" t="n">
        <v>73643</v>
      </c>
      <c r="AE3946" t="n">
        <v>0</v>
      </c>
      <c r="AF3946" t="n">
        <v>11311</v>
      </c>
      <c r="AG3946" t="n">
        <v>2173</v>
      </c>
      <c r="AH3946" t="inlineStr">
        <is>
          <t>PT. OGAN SAKTI PRATAMA - PPN (JMB)</t>
        </is>
      </c>
      <c r="AI3946" t="n">
        <v>143</v>
      </c>
      <c r="AJ3946" t="inlineStr">
        <is>
          <t>SENKA</t>
        </is>
      </c>
      <c r="AK3946" t="n">
        <v>9</v>
      </c>
      <c r="AL3946" t="inlineStr">
        <is>
          <t>Miss Glam Jambi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SENKA</t>
        </is>
      </c>
      <c r="B3947" s="2">
        <f>"4550516705884"</f>
        <v/>
      </c>
      <c r="C3947" t="inlineStr">
        <is>
          <t>SENKA Perfect Whip Fresh Beauty Foam 100gr New</t>
        </is>
      </c>
      <c r="D3947" t="inlineStr">
        <is>
          <t>Miss Glam Jambi</t>
        </is>
      </c>
      <c r="E3947" t="n">
        <v>3</v>
      </c>
      <c r="F3947" t="n">
        <v>0.1122</v>
      </c>
      <c r="G3947" t="n">
        <v>0.66</v>
      </c>
      <c r="H3947" t="n">
        <v>7</v>
      </c>
      <c r="I3947" t="n">
        <v>19</v>
      </c>
      <c r="J3947" t="n">
        <v>3</v>
      </c>
      <c r="K3947" t="n">
        <v>0</v>
      </c>
      <c r="L3947" t="n">
        <v>45360</v>
      </c>
      <c r="M3947" t="n">
        <v>62000</v>
      </c>
      <c r="N3947" t="n">
        <v>33</v>
      </c>
      <c r="O3947" t="n">
        <v>0.33</v>
      </c>
      <c r="P3947" t="n">
        <v>1</v>
      </c>
      <c r="Q3947" t="n">
        <v>0.07000000000000001</v>
      </c>
      <c r="R3947" t="n">
        <v>1</v>
      </c>
      <c r="S3947" t="n">
        <v>6956.400000000001</v>
      </c>
      <c r="T3947" t="n">
        <v>12</v>
      </c>
      <c r="U3947" t="n">
        <v>13</v>
      </c>
      <c r="V3947" t="n">
        <v>30</v>
      </c>
      <c r="W3947" t="n">
        <v>4</v>
      </c>
      <c r="X3947" t="n">
        <v>26.7379679144385</v>
      </c>
      <c r="Y3947" t="n">
        <v>1</v>
      </c>
      <c r="Z3947" t="n">
        <v>1</v>
      </c>
      <c r="AA3947" t="n">
        <v>0</v>
      </c>
      <c r="AB3947" t="n">
        <v>1</v>
      </c>
      <c r="AC3947" t="n">
        <v>3</v>
      </c>
      <c r="AD3947" t="n">
        <v>0</v>
      </c>
      <c r="AE3947" t="n">
        <v>136080</v>
      </c>
      <c r="AF3947" t="n">
        <v>11311</v>
      </c>
      <c r="AG3947" t="n">
        <v>2173</v>
      </c>
      <c r="AH3947" t="inlineStr">
        <is>
          <t>PT. OGAN SAKTI PRATAMA - PPN (JMB)</t>
        </is>
      </c>
      <c r="AI3947" t="n">
        <v>143</v>
      </c>
      <c r="AJ3947" t="inlineStr">
        <is>
          <t>SENKA</t>
        </is>
      </c>
      <c r="AK3947" t="n">
        <v>9</v>
      </c>
      <c r="AL3947" t="inlineStr">
        <is>
          <t>Miss Glam Jambi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SENKA</t>
        </is>
      </c>
      <c r="B3948" s="2">
        <f>"4550516474636"</f>
        <v/>
      </c>
      <c r="C3948" t="inlineStr">
        <is>
          <t>SENKA Perfect Whip White Clay 120gr New</t>
        </is>
      </c>
      <c r="D3948" t="inlineStr">
        <is>
          <t>Miss Glam Jambi</t>
        </is>
      </c>
      <c r="E3948" t="n">
        <v>9</v>
      </c>
      <c r="F3948" t="n">
        <v>0.06270000000000001</v>
      </c>
      <c r="G3948" t="n">
        <v>0.66</v>
      </c>
      <c r="H3948" t="n">
        <v>7</v>
      </c>
      <c r="I3948" t="n">
        <v>19</v>
      </c>
      <c r="J3948" t="n">
        <v>3</v>
      </c>
      <c r="K3948" t="n">
        <v>0</v>
      </c>
      <c r="L3948" t="n">
        <v>57600</v>
      </c>
      <c r="M3948" t="n">
        <v>71000</v>
      </c>
      <c r="N3948" t="n">
        <v>33</v>
      </c>
      <c r="O3948" t="n">
        <v>0.33</v>
      </c>
      <c r="P3948" t="n">
        <v>1</v>
      </c>
      <c r="Q3948" t="n">
        <v>0.07000000000000001</v>
      </c>
      <c r="R3948" t="n">
        <v>2</v>
      </c>
      <c r="S3948" t="n">
        <v>4451.700000000001</v>
      </c>
      <c r="T3948" t="n">
        <v>13</v>
      </c>
      <c r="U3948" t="n">
        <v>14</v>
      </c>
      <c r="V3948" t="n">
        <v>30</v>
      </c>
      <c r="W3948" t="n">
        <v>2</v>
      </c>
      <c r="X3948" t="n">
        <v>143.5406698564593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11311</v>
      </c>
      <c r="AG3948" t="n">
        <v>2173</v>
      </c>
      <c r="AH3948" t="inlineStr">
        <is>
          <t>PT. OGAN SAKTI PRATAMA - PPN (JMB)</t>
        </is>
      </c>
      <c r="AI3948" t="n">
        <v>143</v>
      </c>
      <c r="AJ3948" t="inlineStr">
        <is>
          <t>SENKA</t>
        </is>
      </c>
      <c r="AK3948" t="n">
        <v>9</v>
      </c>
      <c r="AL3948" t="inlineStr">
        <is>
          <t>Miss Glam Jambi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SHANTOS ROMEO</t>
        </is>
      </c>
      <c r="B3949" s="2">
        <f>"8998183606435"</f>
        <v/>
      </c>
      <c r="C3949" t="inlineStr">
        <is>
          <t>SHANTOS ROMEO Classic Pomade Greasy &amp; Shines With Ginseng 75gr</t>
        </is>
      </c>
      <c r="D3949" t="inlineStr">
        <is>
          <t>Miss Glam Jambi</t>
        </is>
      </c>
      <c r="E3949" t="n">
        <v>1</v>
      </c>
      <c r="F3949" t="n">
        <v>0.0231</v>
      </c>
      <c r="G3949" t="n">
        <v>0.33</v>
      </c>
      <c r="H3949" t="n">
        <v>4</v>
      </c>
      <c r="I3949" t="n">
        <v>28</v>
      </c>
      <c r="J3949" t="n">
        <v>3</v>
      </c>
      <c r="K3949" t="n">
        <v>6</v>
      </c>
      <c r="L3949" t="n">
        <v>18021</v>
      </c>
      <c r="M3949" t="n">
        <v>21000</v>
      </c>
      <c r="N3949" t="n">
        <v>33</v>
      </c>
      <c r="O3949" t="n">
        <v>0.33</v>
      </c>
      <c r="P3949" t="n">
        <v>1</v>
      </c>
      <c r="Q3949" t="n">
        <v>0.03</v>
      </c>
      <c r="R3949" t="n">
        <v>1</v>
      </c>
      <c r="S3949" t="n">
        <v>485.1000000000001</v>
      </c>
      <c r="T3949" t="n">
        <v>10</v>
      </c>
      <c r="U3949" t="n">
        <v>11</v>
      </c>
      <c r="V3949" t="n">
        <v>30</v>
      </c>
      <c r="W3949" t="n">
        <v>1</v>
      </c>
      <c r="X3949" t="n">
        <v>43.29004329004329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10537</v>
      </c>
      <c r="AG3949" t="n">
        <v>2148</v>
      </c>
      <c r="AH3949" t="inlineStr">
        <is>
          <t>PT. JAYA PALEMBANG SUKSES - PPN (JMB)</t>
        </is>
      </c>
      <c r="AI3949" t="n">
        <v>1673</v>
      </c>
      <c r="AJ3949" t="inlineStr">
        <is>
          <t>SHANTOS ROMEO</t>
        </is>
      </c>
      <c r="AK3949" t="n">
        <v>9</v>
      </c>
      <c r="AL3949" t="inlineStr">
        <is>
          <t>Miss Glam Jambi</t>
        </is>
      </c>
      <c r="AM3949" t="n">
        <v>5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SHANTOS ROMEO</t>
        </is>
      </c>
      <c r="B3950" s="2">
        <f>"8998183604141"</f>
        <v/>
      </c>
      <c r="C3950" t="inlineStr">
        <is>
          <t>SHANTOS ROMEO Gentle Man 100ml</t>
        </is>
      </c>
      <c r="D3950" t="inlineStr">
        <is>
          <t>Miss Glam Jambi</t>
        </is>
      </c>
      <c r="E3950" t="n">
        <v>3</v>
      </c>
      <c r="F3950" t="n">
        <v>0.006600000000000001</v>
      </c>
      <c r="G3950" t="n">
        <v>0.33</v>
      </c>
      <c r="H3950" t="n">
        <v>4</v>
      </c>
      <c r="I3950" t="n">
        <v>28</v>
      </c>
      <c r="J3950" t="n">
        <v>3</v>
      </c>
      <c r="K3950" t="n">
        <v>0</v>
      </c>
      <c r="L3950" t="n">
        <v>44439</v>
      </c>
      <c r="M3950" t="n">
        <v>50000</v>
      </c>
      <c r="N3950" t="n">
        <v>33</v>
      </c>
      <c r="O3950" t="n">
        <v>0.33</v>
      </c>
      <c r="P3950" t="n">
        <v>1</v>
      </c>
      <c r="Q3950" t="n">
        <v>0.03</v>
      </c>
      <c r="R3950" t="n">
        <v>1</v>
      </c>
      <c r="S3950" t="n">
        <v>330.0000000000001</v>
      </c>
      <c r="T3950" t="n">
        <v>10</v>
      </c>
      <c r="U3950" t="n">
        <v>11</v>
      </c>
      <c r="V3950" t="n">
        <v>30</v>
      </c>
      <c r="W3950" t="n">
        <v>1</v>
      </c>
      <c r="X3950" t="n">
        <v>454.5454545454545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10537</v>
      </c>
      <c r="AG3950" t="n">
        <v>2148</v>
      </c>
      <c r="AH3950" t="inlineStr">
        <is>
          <t>PT. JAYA PALEMBANG SUKSES - PPN (JMB)</t>
        </is>
      </c>
      <c r="AI3950" t="n">
        <v>1673</v>
      </c>
      <c r="AJ3950" t="inlineStr">
        <is>
          <t>SHANTOS ROMEO</t>
        </is>
      </c>
      <c r="AK3950" t="n">
        <v>9</v>
      </c>
      <c r="AL3950" t="inlineStr">
        <is>
          <t>Miss Glam Jambi</t>
        </is>
      </c>
      <c r="AM3950" t="n">
        <v>5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SHANTOS ROMEO</t>
        </is>
      </c>
      <c r="B3951" s="2">
        <f>"8998183606428"</f>
        <v/>
      </c>
      <c r="C3951" t="inlineStr">
        <is>
          <t>SHANTOS ROMEO Supreme Pomade Oilbased 75gr</t>
        </is>
      </c>
      <c r="D3951" t="inlineStr">
        <is>
          <t>Miss Glam Jambi</t>
        </is>
      </c>
      <c r="E3951" t="n">
        <v>0</v>
      </c>
      <c r="F3951" t="n">
        <v>0.033</v>
      </c>
      <c r="G3951" t="n">
        <v>0.33</v>
      </c>
      <c r="H3951" t="n">
        <v>4</v>
      </c>
      <c r="I3951" t="n">
        <v>28</v>
      </c>
      <c r="J3951" t="n">
        <v>3</v>
      </c>
      <c r="K3951" t="n">
        <v>6</v>
      </c>
      <c r="L3951" t="n">
        <v>20852</v>
      </c>
      <c r="M3951" t="n">
        <v>27000</v>
      </c>
      <c r="N3951" t="n">
        <v>33</v>
      </c>
      <c r="O3951" t="n">
        <v>0.33</v>
      </c>
      <c r="P3951" t="n">
        <v>1</v>
      </c>
      <c r="Q3951" t="n">
        <v>0.04</v>
      </c>
      <c r="R3951" t="n">
        <v>1</v>
      </c>
      <c r="S3951" t="n">
        <v>891</v>
      </c>
      <c r="T3951" t="n">
        <v>10</v>
      </c>
      <c r="U3951" t="n">
        <v>11</v>
      </c>
      <c r="V3951" t="n">
        <v>30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10537</v>
      </c>
      <c r="AG3951" t="n">
        <v>2148</v>
      </c>
      <c r="AH3951" t="inlineStr">
        <is>
          <t>PT. JAYA PALEMBANG SUKSES - PPN (JMB)</t>
        </is>
      </c>
      <c r="AI3951" t="n">
        <v>1673</v>
      </c>
      <c r="AJ3951" t="inlineStr">
        <is>
          <t>SHANTOS ROMEO</t>
        </is>
      </c>
      <c r="AK3951" t="n">
        <v>9</v>
      </c>
      <c r="AL3951" t="inlineStr">
        <is>
          <t>Miss Glam Jambi</t>
        </is>
      </c>
      <c r="AM3951" t="n">
        <v>5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SHINZUI</t>
        </is>
      </c>
      <c r="B3952" s="2">
        <f>"8992946519383"</f>
        <v/>
      </c>
      <c r="C3952" t="inlineStr">
        <is>
          <t>SHINZUI Body Cleanser Hana 180ml</t>
        </is>
      </c>
      <c r="D3952" t="inlineStr">
        <is>
          <t>Miss Glam Jambi</t>
        </is>
      </c>
      <c r="E3952" t="n">
        <v>1</v>
      </c>
      <c r="F3952" t="n">
        <v>0.06270000000000001</v>
      </c>
      <c r="G3952" t="n">
        <v>0.66</v>
      </c>
      <c r="H3952" t="n">
        <v>4</v>
      </c>
      <c r="I3952" t="n">
        <v>21</v>
      </c>
      <c r="J3952" t="n">
        <v>3</v>
      </c>
      <c r="K3952" t="n">
        <v>0</v>
      </c>
      <c r="L3952" t="n">
        <v>14400</v>
      </c>
      <c r="M3952" t="n">
        <v>18000</v>
      </c>
      <c r="N3952" t="n">
        <v>33</v>
      </c>
      <c r="O3952" t="n">
        <v>0.33</v>
      </c>
      <c r="P3952" t="n">
        <v>1</v>
      </c>
      <c r="Q3952" t="n">
        <v>0.03</v>
      </c>
      <c r="R3952" t="n">
        <v>1</v>
      </c>
      <c r="S3952" t="n">
        <v>1128.6</v>
      </c>
      <c r="T3952" t="n">
        <v>14</v>
      </c>
      <c r="U3952" t="n">
        <v>15</v>
      </c>
      <c r="V3952" t="n">
        <v>30</v>
      </c>
      <c r="W3952" t="n">
        <v>2</v>
      </c>
      <c r="X3952" t="n">
        <v>15.94896331738437</v>
      </c>
      <c r="Y3952" t="n">
        <v>1</v>
      </c>
      <c r="Z3952" t="n">
        <v>1</v>
      </c>
      <c r="AA3952" t="n">
        <v>1</v>
      </c>
      <c r="AB3952" t="n">
        <v>0</v>
      </c>
      <c r="AC3952" t="n">
        <v>0</v>
      </c>
      <c r="AD3952" t="n">
        <v>14400</v>
      </c>
      <c r="AE3952" t="n">
        <v>0</v>
      </c>
      <c r="AF3952" t="n">
        <v>9426</v>
      </c>
      <c r="AG3952" t="n">
        <v>2194</v>
      </c>
      <c r="AH3952" t="inlineStr">
        <is>
          <t>PT. BINTANG MAS SURYA - PPN (JMB)</t>
        </is>
      </c>
      <c r="AI3952" t="n">
        <v>144</v>
      </c>
      <c r="AJ3952" t="inlineStr">
        <is>
          <t>SHINZUI</t>
        </is>
      </c>
      <c r="AK3952" t="n">
        <v>9</v>
      </c>
      <c r="AL3952" t="inlineStr">
        <is>
          <t>Miss Glam Jambi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SHINZUI</t>
        </is>
      </c>
      <c r="B3953" s="2">
        <f>"8992946523526"</f>
        <v/>
      </c>
      <c r="C3953" t="inlineStr">
        <is>
          <t>SHINZUI Body Cleanser Hana 400ml</t>
        </is>
      </c>
      <c r="D3953" t="inlineStr">
        <is>
          <t>Miss Glam Jambi</t>
        </is>
      </c>
      <c r="E3953" t="n">
        <v>4</v>
      </c>
      <c r="F3953" t="n">
        <v>0.0726</v>
      </c>
      <c r="G3953" t="n">
        <v>0.66</v>
      </c>
      <c r="H3953" t="n">
        <v>4</v>
      </c>
      <c r="I3953" t="n">
        <v>21</v>
      </c>
      <c r="J3953" t="n">
        <v>3</v>
      </c>
      <c r="K3953" t="n">
        <v>0</v>
      </c>
      <c r="L3953" t="n">
        <v>26000</v>
      </c>
      <c r="M3953" t="n">
        <v>32000</v>
      </c>
      <c r="N3953" t="n">
        <v>33</v>
      </c>
      <c r="O3953" t="n">
        <v>0.33</v>
      </c>
      <c r="P3953" t="n">
        <v>1</v>
      </c>
      <c r="Q3953" t="n">
        <v>0.03</v>
      </c>
      <c r="R3953" t="n">
        <v>1</v>
      </c>
      <c r="S3953" t="n">
        <v>2323.2</v>
      </c>
      <c r="T3953" t="n">
        <v>14</v>
      </c>
      <c r="U3953" t="n">
        <v>15</v>
      </c>
      <c r="V3953" t="n">
        <v>30</v>
      </c>
      <c r="W3953" t="n">
        <v>3</v>
      </c>
      <c r="X3953" t="n">
        <v>55.09641873278237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9426</v>
      </c>
      <c r="AG3953" t="n">
        <v>2194</v>
      </c>
      <c r="AH3953" t="inlineStr">
        <is>
          <t>PT. BINTANG MAS SURYA - PPN (JMB)</t>
        </is>
      </c>
      <c r="AI3953" t="n">
        <v>144</v>
      </c>
      <c r="AJ3953" t="inlineStr">
        <is>
          <t>SHINZUI</t>
        </is>
      </c>
      <c r="AK3953" t="n">
        <v>9</v>
      </c>
      <c r="AL3953" t="inlineStr">
        <is>
          <t>Miss Glam Jambi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SHINZUI</t>
        </is>
      </c>
      <c r="B3954" s="2">
        <f>"8992946522277"</f>
        <v/>
      </c>
      <c r="C3954" t="inlineStr">
        <is>
          <t>SHINZUI Body Cleanser Khenso 180ml</t>
        </is>
      </c>
      <c r="D3954" t="inlineStr">
        <is>
          <t>Miss Glam Jambi</t>
        </is>
      </c>
      <c r="E3954" t="n">
        <v>2</v>
      </c>
      <c r="F3954" t="n">
        <v>0.1914</v>
      </c>
      <c r="G3954" t="n">
        <v>1.32</v>
      </c>
      <c r="H3954" t="n">
        <v>4</v>
      </c>
      <c r="I3954" t="n">
        <v>21</v>
      </c>
      <c r="J3954" t="n">
        <v>3</v>
      </c>
      <c r="K3954" t="n">
        <v>3</v>
      </c>
      <c r="L3954" t="n">
        <v>13750</v>
      </c>
      <c r="M3954" t="n">
        <v>18000</v>
      </c>
      <c r="N3954" t="n">
        <v>33</v>
      </c>
      <c r="O3954" t="n">
        <v>0.33</v>
      </c>
      <c r="P3954" t="n">
        <v>1</v>
      </c>
      <c r="Q3954" t="n">
        <v>0.05</v>
      </c>
      <c r="R3954" t="n">
        <v>1</v>
      </c>
      <c r="S3954" t="n">
        <v>3445.2</v>
      </c>
      <c r="T3954" t="n">
        <v>27</v>
      </c>
      <c r="U3954" t="n">
        <v>28</v>
      </c>
      <c r="V3954" t="n">
        <v>30</v>
      </c>
      <c r="W3954" t="n">
        <v>6</v>
      </c>
      <c r="X3954" t="n">
        <v>10.44932079414838</v>
      </c>
      <c r="Y3954" t="n">
        <v>1</v>
      </c>
      <c r="Z3954" t="n">
        <v>1</v>
      </c>
      <c r="AA3954" t="n">
        <v>2</v>
      </c>
      <c r="AB3954" t="n">
        <v>0</v>
      </c>
      <c r="AC3954" t="n">
        <v>0</v>
      </c>
      <c r="AD3954" t="n">
        <v>27500</v>
      </c>
      <c r="AE3954" t="n">
        <v>0</v>
      </c>
      <c r="AF3954" t="n">
        <v>9426</v>
      </c>
      <c r="AG3954" t="n">
        <v>2194</v>
      </c>
      <c r="AH3954" t="inlineStr">
        <is>
          <t>PT. BINTANG MAS SURYA - PPN (JMB)</t>
        </is>
      </c>
      <c r="AI3954" t="n">
        <v>144</v>
      </c>
      <c r="AJ3954" t="inlineStr">
        <is>
          <t>SHINZUI</t>
        </is>
      </c>
      <c r="AK3954" t="n">
        <v>9</v>
      </c>
      <c r="AL3954" t="inlineStr">
        <is>
          <t>Miss Glam Jambi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SHINZUI</t>
        </is>
      </c>
      <c r="B3955" s="2">
        <f>"8992946519376"</f>
        <v/>
      </c>
      <c r="C3955" t="inlineStr">
        <is>
          <t>SHINZUI Body Cleanser Kirei 225ml</t>
        </is>
      </c>
      <c r="D3955" t="inlineStr">
        <is>
          <t>Miss Glam Jambi</t>
        </is>
      </c>
      <c r="E3955" t="n">
        <v>8</v>
      </c>
      <c r="F3955" t="n">
        <v>0.033</v>
      </c>
      <c r="G3955" t="n">
        <v>0.33</v>
      </c>
      <c r="H3955" t="n">
        <v>4</v>
      </c>
      <c r="I3955" t="n">
        <v>21</v>
      </c>
      <c r="J3955" t="n">
        <v>3</v>
      </c>
      <c r="K3955" t="n">
        <v>0</v>
      </c>
      <c r="L3955" t="n">
        <v>20000</v>
      </c>
      <c r="M3955" t="n">
        <v>27500</v>
      </c>
      <c r="N3955" t="n">
        <v>33</v>
      </c>
      <c r="O3955" t="n">
        <v>0.33</v>
      </c>
      <c r="P3955" t="n">
        <v>1</v>
      </c>
      <c r="Q3955" t="n">
        <v>0.07000000000000001</v>
      </c>
      <c r="R3955" t="n">
        <v>1</v>
      </c>
      <c r="S3955" t="n">
        <v>907.5</v>
      </c>
      <c r="T3955" t="n">
        <v>7</v>
      </c>
      <c r="U3955" t="n">
        <v>8</v>
      </c>
      <c r="V3955" t="n">
        <v>30</v>
      </c>
      <c r="W3955" t="n">
        <v>1</v>
      </c>
      <c r="X3955" t="n">
        <v>242.4242424242424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9426</v>
      </c>
      <c r="AG3955" t="n">
        <v>2194</v>
      </c>
      <c r="AH3955" t="inlineStr">
        <is>
          <t>PT. BINTANG MAS SURYA - PPN (JMB)</t>
        </is>
      </c>
      <c r="AI3955" t="n">
        <v>144</v>
      </c>
      <c r="AJ3955" t="inlineStr">
        <is>
          <t>SHINZUI</t>
        </is>
      </c>
      <c r="AK3955" t="n">
        <v>9</v>
      </c>
      <c r="AL3955" t="inlineStr">
        <is>
          <t>Miss Glam Jambi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SHINZUI</t>
        </is>
      </c>
      <c r="B3956" s="2">
        <f>"8992946523533"</f>
        <v/>
      </c>
      <c r="C3956" t="inlineStr">
        <is>
          <t>SHINZUI Body Cleanser Kirei 400ml</t>
        </is>
      </c>
      <c r="D3956" t="inlineStr">
        <is>
          <t>Miss Glam Jambi</t>
        </is>
      </c>
      <c r="E3956" t="n">
        <v>2</v>
      </c>
      <c r="F3956" t="n">
        <v>0.1188</v>
      </c>
      <c r="G3956" t="n">
        <v>0.66</v>
      </c>
      <c r="H3956" t="n">
        <v>4</v>
      </c>
      <c r="I3956" t="n">
        <v>21</v>
      </c>
      <c r="J3956" t="n">
        <v>3</v>
      </c>
      <c r="K3956" t="n">
        <v>3</v>
      </c>
      <c r="L3956" t="n">
        <v>25827</v>
      </c>
      <c r="M3956" t="n">
        <v>32000</v>
      </c>
      <c r="N3956" t="n">
        <v>33</v>
      </c>
      <c r="O3956" t="n">
        <v>0.33</v>
      </c>
      <c r="P3956" t="n">
        <v>1</v>
      </c>
      <c r="Q3956" t="n">
        <v>0.08</v>
      </c>
      <c r="R3956" t="n">
        <v>2</v>
      </c>
      <c r="S3956" t="n">
        <v>3801.6</v>
      </c>
      <c r="T3956" t="n">
        <v>14</v>
      </c>
      <c r="U3956" t="n">
        <v>15</v>
      </c>
      <c r="V3956" t="n">
        <v>30</v>
      </c>
      <c r="W3956" t="n">
        <v>4</v>
      </c>
      <c r="X3956" t="n">
        <v>16.83501683501683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9426</v>
      </c>
      <c r="AG3956" t="n">
        <v>2194</v>
      </c>
      <c r="AH3956" t="inlineStr">
        <is>
          <t>PT. BINTANG MAS SURYA - PPN (JMB)</t>
        </is>
      </c>
      <c r="AI3956" t="n">
        <v>144</v>
      </c>
      <c r="AJ3956" t="inlineStr">
        <is>
          <t>SHINZUI</t>
        </is>
      </c>
      <c r="AK3956" t="n">
        <v>9</v>
      </c>
      <c r="AL3956" t="inlineStr">
        <is>
          <t>Miss Glam Jambi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SHINZUI</t>
        </is>
      </c>
      <c r="B3957" s="2">
        <f>"8992946522253"</f>
        <v/>
      </c>
      <c r="C3957" t="inlineStr">
        <is>
          <t>SHINZUI Body Cleanser Myori 180ml</t>
        </is>
      </c>
      <c r="D3957" t="inlineStr">
        <is>
          <t>Miss Glam Jambi</t>
        </is>
      </c>
      <c r="E3957" t="n">
        <v>5</v>
      </c>
      <c r="F3957" t="n">
        <v>0.1122</v>
      </c>
      <c r="G3957" t="n">
        <v>0.99</v>
      </c>
      <c r="H3957" t="n">
        <v>4</v>
      </c>
      <c r="I3957" t="n">
        <v>21</v>
      </c>
      <c r="J3957" t="n">
        <v>3</v>
      </c>
      <c r="K3957" t="n">
        <v>0</v>
      </c>
      <c r="L3957" t="n">
        <v>13065</v>
      </c>
      <c r="M3957" t="n">
        <v>18000</v>
      </c>
      <c r="N3957" t="n">
        <v>33</v>
      </c>
      <c r="O3957" t="n">
        <v>0.33</v>
      </c>
      <c r="P3957" t="n">
        <v>1</v>
      </c>
      <c r="Q3957" t="n">
        <v>0.07000000000000001</v>
      </c>
      <c r="R3957" t="n">
        <v>1</v>
      </c>
      <c r="S3957" t="n">
        <v>2019.6</v>
      </c>
      <c r="T3957" t="n">
        <v>21</v>
      </c>
      <c r="U3957" t="n">
        <v>22</v>
      </c>
      <c r="V3957" t="n">
        <v>30</v>
      </c>
      <c r="W3957" t="n">
        <v>4</v>
      </c>
      <c r="X3957" t="n">
        <v>44.5632798573975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9426</v>
      </c>
      <c r="AG3957" t="n">
        <v>2194</v>
      </c>
      <c r="AH3957" t="inlineStr">
        <is>
          <t>PT. BINTANG MAS SURYA - PPN (JMB)</t>
        </is>
      </c>
      <c r="AI3957" t="n">
        <v>144</v>
      </c>
      <c r="AJ3957" t="inlineStr">
        <is>
          <t>SHINZUI</t>
        </is>
      </c>
      <c r="AK3957" t="n">
        <v>9</v>
      </c>
      <c r="AL3957" t="inlineStr">
        <is>
          <t>Miss Glam Jambi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SHINZUI</t>
        </is>
      </c>
      <c r="B3958" s="2">
        <f>"8992946522222"</f>
        <v/>
      </c>
      <c r="C3958" t="inlineStr">
        <is>
          <t>SHINZUI Body Cleanser Myori 225ml</t>
        </is>
      </c>
      <c r="D3958" t="inlineStr">
        <is>
          <t>Miss Glam Jambi</t>
        </is>
      </c>
      <c r="E3958" t="n">
        <v>5</v>
      </c>
      <c r="F3958" t="n">
        <v>0.0462</v>
      </c>
      <c r="G3958" t="n">
        <v>0.33</v>
      </c>
      <c r="H3958" t="n">
        <v>4</v>
      </c>
      <c r="I3958" t="n">
        <v>21</v>
      </c>
      <c r="J3958" t="n">
        <v>3</v>
      </c>
      <c r="K3958" t="n">
        <v>0</v>
      </c>
      <c r="L3958" t="n">
        <v>19786</v>
      </c>
      <c r="M3958" t="n">
        <v>27500</v>
      </c>
      <c r="N3958" t="n">
        <v>33</v>
      </c>
      <c r="O3958" t="n">
        <v>0.33</v>
      </c>
      <c r="P3958" t="n">
        <v>1</v>
      </c>
      <c r="Q3958" t="n">
        <v>0.05</v>
      </c>
      <c r="R3958" t="n">
        <v>2</v>
      </c>
      <c r="S3958" t="n">
        <v>1270.5</v>
      </c>
      <c r="T3958" t="n">
        <v>7</v>
      </c>
      <c r="U3958" t="n">
        <v>8</v>
      </c>
      <c r="V3958" t="n">
        <v>30</v>
      </c>
      <c r="W3958" t="n">
        <v>2</v>
      </c>
      <c r="X3958" t="n">
        <v>108.2251082251082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9426</v>
      </c>
      <c r="AG3958" t="n">
        <v>2194</v>
      </c>
      <c r="AH3958" t="inlineStr">
        <is>
          <t>PT. BINTANG MAS SURYA - PPN (JMB)</t>
        </is>
      </c>
      <c r="AI3958" t="n">
        <v>144</v>
      </c>
      <c r="AJ3958" t="inlineStr">
        <is>
          <t>SHINZUI</t>
        </is>
      </c>
      <c r="AK3958" t="n">
        <v>9</v>
      </c>
      <c r="AL3958" t="inlineStr">
        <is>
          <t>Miss Glam Jambi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SHINZUI</t>
        </is>
      </c>
      <c r="B3959" s="2">
        <f>"8992946522260"</f>
        <v/>
      </c>
      <c r="C3959" t="inlineStr">
        <is>
          <t>SHINZUI Body Cleanser Sakura 180ml</t>
        </is>
      </c>
      <c r="D3959" t="inlineStr">
        <is>
          <t>Miss Glam Jambi</t>
        </is>
      </c>
      <c r="E3959" t="n">
        <v>5</v>
      </c>
      <c r="F3959" t="n">
        <v>0.3234</v>
      </c>
      <c r="G3959" t="n">
        <v>0.99</v>
      </c>
      <c r="H3959" t="n">
        <v>4</v>
      </c>
      <c r="I3959" t="n">
        <v>21</v>
      </c>
      <c r="J3959" t="n">
        <v>3</v>
      </c>
      <c r="K3959" t="n">
        <v>3</v>
      </c>
      <c r="L3959" t="n">
        <v>13081</v>
      </c>
      <c r="M3959" t="n">
        <v>18000</v>
      </c>
      <c r="N3959" t="n">
        <v>33</v>
      </c>
      <c r="O3959" t="n">
        <v>0.33</v>
      </c>
      <c r="P3959" t="n">
        <v>1</v>
      </c>
      <c r="Q3959" t="n">
        <v>0.07000000000000001</v>
      </c>
      <c r="R3959" t="n">
        <v>2</v>
      </c>
      <c r="S3959" t="n">
        <v>5821.200000000001</v>
      </c>
      <c r="T3959" t="n">
        <v>20</v>
      </c>
      <c r="U3959" t="n">
        <v>22</v>
      </c>
      <c r="V3959" t="n">
        <v>30</v>
      </c>
      <c r="W3959" t="n">
        <v>10</v>
      </c>
      <c r="X3959" t="n">
        <v>15.46072974644403</v>
      </c>
      <c r="Y3959" t="n">
        <v>1</v>
      </c>
      <c r="Z3959" t="n">
        <v>2</v>
      </c>
      <c r="AA3959" t="n">
        <v>1</v>
      </c>
      <c r="AB3959" t="n">
        <v>1</v>
      </c>
      <c r="AC3959" t="n">
        <v>3</v>
      </c>
      <c r="AD3959" t="n">
        <v>13081</v>
      </c>
      <c r="AE3959" t="n">
        <v>39243</v>
      </c>
      <c r="AF3959" t="n">
        <v>9426</v>
      </c>
      <c r="AG3959" t="n">
        <v>2194</v>
      </c>
      <c r="AH3959" t="inlineStr">
        <is>
          <t>PT. BINTANG MAS SURYA - PPN (JMB)</t>
        </is>
      </c>
      <c r="AI3959" t="n">
        <v>144</v>
      </c>
      <c r="AJ3959" t="inlineStr">
        <is>
          <t>SHINZUI</t>
        </is>
      </c>
      <c r="AK3959" t="n">
        <v>9</v>
      </c>
      <c r="AL3959" t="inlineStr">
        <is>
          <t>Miss Glam Jambi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SHINZUI</t>
        </is>
      </c>
      <c r="B3960" s="2">
        <f>"8992946522239"</f>
        <v/>
      </c>
      <c r="C3960" t="inlineStr">
        <is>
          <t>SHINZUI Body Cleanser Sakura 225ml</t>
        </is>
      </c>
      <c r="D3960" t="inlineStr">
        <is>
          <t>Miss Glam Jambi</t>
        </is>
      </c>
      <c r="E3960" t="n">
        <v>0</v>
      </c>
      <c r="F3960" t="n">
        <v>0.1617</v>
      </c>
      <c r="G3960" t="n">
        <v>0.99</v>
      </c>
      <c r="H3960" t="n">
        <v>4</v>
      </c>
      <c r="I3960" t="n">
        <v>21</v>
      </c>
      <c r="J3960" t="n">
        <v>3</v>
      </c>
      <c r="K3960" t="n">
        <v>6</v>
      </c>
      <c r="L3960" t="n">
        <v>20000</v>
      </c>
      <c r="M3960" t="n">
        <v>27500</v>
      </c>
      <c r="N3960" t="n">
        <v>33</v>
      </c>
      <c r="O3960" t="n">
        <v>0.33</v>
      </c>
      <c r="P3960" t="n">
        <v>1</v>
      </c>
      <c r="Q3960" t="n">
        <v>0.15</v>
      </c>
      <c r="R3960" t="n">
        <v>2</v>
      </c>
      <c r="S3960" t="n">
        <v>4446.75</v>
      </c>
      <c r="T3960" t="n">
        <v>21</v>
      </c>
      <c r="U3960" t="n">
        <v>22</v>
      </c>
      <c r="V3960" t="n">
        <v>30</v>
      </c>
      <c r="W3960" t="n">
        <v>5</v>
      </c>
      <c r="X3960" t="n">
        <v>0</v>
      </c>
      <c r="Y3960" t="n">
        <v>1</v>
      </c>
      <c r="Z3960" t="n">
        <v>0</v>
      </c>
      <c r="AA3960" t="n">
        <v>3</v>
      </c>
      <c r="AB3960" t="n">
        <v>0</v>
      </c>
      <c r="AC3960" t="n">
        <v>0</v>
      </c>
      <c r="AD3960" t="n">
        <v>60000</v>
      </c>
      <c r="AE3960" t="n">
        <v>0</v>
      </c>
      <c r="AF3960" t="n">
        <v>9426</v>
      </c>
      <c r="AG3960" t="n">
        <v>2194</v>
      </c>
      <c r="AH3960" t="inlineStr">
        <is>
          <t>PT. BINTANG MAS SURYA - PPN (JMB)</t>
        </is>
      </c>
      <c r="AI3960" t="n">
        <v>144</v>
      </c>
      <c r="AJ3960" t="inlineStr">
        <is>
          <t>SHINZUI</t>
        </is>
      </c>
      <c r="AK3960" t="n">
        <v>9</v>
      </c>
      <c r="AL3960" t="inlineStr">
        <is>
          <t>Miss Glam Jambi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SHINZUI</t>
        </is>
      </c>
      <c r="B3961" s="2">
        <f>"8992946525575"</f>
        <v/>
      </c>
      <c r="C3961" t="inlineStr">
        <is>
          <t>SHINZUI Body Cleanser Skin Lightening Kirei Botol 500ml</t>
        </is>
      </c>
      <c r="D3961" t="inlineStr">
        <is>
          <t>Miss Glam Jambi</t>
        </is>
      </c>
      <c r="E3961" t="n">
        <v>6</v>
      </c>
      <c r="F3961" t="n">
        <v>0.033</v>
      </c>
      <c r="G3961" t="n">
        <v>0.33</v>
      </c>
      <c r="H3961" t="n">
        <v>4</v>
      </c>
      <c r="I3961" t="n">
        <v>21</v>
      </c>
      <c r="J3961" t="n">
        <v>3</v>
      </c>
      <c r="K3961" t="n">
        <v>0</v>
      </c>
      <c r="L3961" t="n">
        <v>38181</v>
      </c>
      <c r="M3961" t="n">
        <v>52500</v>
      </c>
      <c r="N3961" t="n">
        <v>33</v>
      </c>
      <c r="O3961" t="n">
        <v>0.33</v>
      </c>
      <c r="P3961" t="n">
        <v>1</v>
      </c>
      <c r="Q3961" t="n">
        <v>0.05</v>
      </c>
      <c r="R3961" t="n">
        <v>1</v>
      </c>
      <c r="S3961" t="n">
        <v>1732.5</v>
      </c>
      <c r="T3961" t="n">
        <v>7</v>
      </c>
      <c r="U3961" t="n">
        <v>8</v>
      </c>
      <c r="V3961" t="n">
        <v>30</v>
      </c>
      <c r="W3961" t="n">
        <v>1</v>
      </c>
      <c r="X3961" t="n">
        <v>181.8181818181818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9426</v>
      </c>
      <c r="AG3961" t="n">
        <v>2194</v>
      </c>
      <c r="AH3961" t="inlineStr">
        <is>
          <t>PT. BINTANG MAS SURYA - PPN (JMB)</t>
        </is>
      </c>
      <c r="AI3961" t="n">
        <v>144</v>
      </c>
      <c r="AJ3961" t="inlineStr">
        <is>
          <t>SHINZUI</t>
        </is>
      </c>
      <c r="AK3961" t="n">
        <v>9</v>
      </c>
      <c r="AL3961" t="inlineStr">
        <is>
          <t>Miss Glam Jambi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SHINZUI</t>
        </is>
      </c>
      <c r="B3962" s="2">
        <f>"8992946518812"</f>
        <v/>
      </c>
      <c r="C3962" t="inlineStr">
        <is>
          <t>SHINZUI Body Lotion Hana 210ml</t>
        </is>
      </c>
      <c r="D3962" t="inlineStr">
        <is>
          <t>Miss Glam Jambi</t>
        </is>
      </c>
      <c r="E3962" t="n">
        <v>0</v>
      </c>
      <c r="F3962" t="n">
        <v>0.033</v>
      </c>
      <c r="G3962" t="n">
        <v>0.33</v>
      </c>
      <c r="H3962" t="n">
        <v>4</v>
      </c>
      <c r="I3962" t="n">
        <v>21</v>
      </c>
      <c r="J3962" t="n">
        <v>3</v>
      </c>
      <c r="K3962" t="n">
        <v>3</v>
      </c>
      <c r="L3962" t="n">
        <v>20000</v>
      </c>
      <c r="M3962" t="n">
        <v>27500</v>
      </c>
      <c r="N3962" t="n">
        <v>33</v>
      </c>
      <c r="O3962" t="n">
        <v>0.33</v>
      </c>
      <c r="P3962" t="n">
        <v>1</v>
      </c>
      <c r="Q3962" t="n">
        <v>0.06</v>
      </c>
      <c r="R3962" t="n">
        <v>1</v>
      </c>
      <c r="S3962" t="n">
        <v>907.5</v>
      </c>
      <c r="T3962" t="n">
        <v>7</v>
      </c>
      <c r="U3962" t="n">
        <v>8</v>
      </c>
      <c r="V3962" t="n">
        <v>30</v>
      </c>
      <c r="W3962" t="n">
        <v>1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9426</v>
      </c>
      <c r="AG3962" t="n">
        <v>2194</v>
      </c>
      <c r="AH3962" t="inlineStr">
        <is>
          <t>PT. BINTANG MAS SURYA - PPN (JMB)</t>
        </is>
      </c>
      <c r="AI3962" t="n">
        <v>144</v>
      </c>
      <c r="AJ3962" t="inlineStr">
        <is>
          <t>SHINZUI</t>
        </is>
      </c>
      <c r="AK3962" t="n">
        <v>9</v>
      </c>
      <c r="AL3962" t="inlineStr">
        <is>
          <t>Miss Glam Jambi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SHINZUI</t>
        </is>
      </c>
      <c r="B3963" s="2">
        <f>"8992946513299"</f>
        <v/>
      </c>
      <c r="C3963" t="inlineStr">
        <is>
          <t>SHINZUI Body Lotion Kirei 100ml</t>
        </is>
      </c>
      <c r="D3963" t="inlineStr">
        <is>
          <t>Miss Glam Jambi</t>
        </is>
      </c>
      <c r="E3963" t="n">
        <v>3</v>
      </c>
      <c r="F3963" t="n">
        <v>0.0561</v>
      </c>
      <c r="G3963" t="n">
        <v>0.33</v>
      </c>
      <c r="H3963" t="n">
        <v>4</v>
      </c>
      <c r="I3963" t="n">
        <v>21</v>
      </c>
      <c r="J3963" t="n">
        <v>3</v>
      </c>
      <c r="K3963" t="n">
        <v>0</v>
      </c>
      <c r="L3963" t="n">
        <v>11000</v>
      </c>
      <c r="M3963" t="n">
        <v>15500</v>
      </c>
      <c r="N3963" t="n">
        <v>33</v>
      </c>
      <c r="O3963" t="n">
        <v>0.33</v>
      </c>
      <c r="P3963" t="n">
        <v>1</v>
      </c>
      <c r="Q3963" t="n">
        <v>0.07000000000000001</v>
      </c>
      <c r="R3963" t="n">
        <v>1</v>
      </c>
      <c r="S3963" t="n">
        <v>869.5500000000001</v>
      </c>
      <c r="T3963" t="n">
        <v>7</v>
      </c>
      <c r="U3963" t="n">
        <v>8</v>
      </c>
      <c r="V3963" t="n">
        <v>30</v>
      </c>
      <c r="W3963" t="n">
        <v>2</v>
      </c>
      <c r="X3963" t="n">
        <v>53.475935828877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9426</v>
      </c>
      <c r="AG3963" t="n">
        <v>2194</v>
      </c>
      <c r="AH3963" t="inlineStr">
        <is>
          <t>PT. BINTANG MAS SURYA - PPN (JMB)</t>
        </is>
      </c>
      <c r="AI3963" t="n">
        <v>144</v>
      </c>
      <c r="AJ3963" t="inlineStr">
        <is>
          <t>SHINZUI</t>
        </is>
      </c>
      <c r="AK3963" t="n">
        <v>9</v>
      </c>
      <c r="AL3963" t="inlineStr">
        <is>
          <t>Miss Glam Jambi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SHINZUI</t>
        </is>
      </c>
      <c r="B3964" s="2">
        <f>"8992946518805"</f>
        <v/>
      </c>
      <c r="C3964" t="inlineStr">
        <is>
          <t>SHINZUI Body Lotion Matsu Reg 210ml</t>
        </is>
      </c>
      <c r="D3964" t="inlineStr">
        <is>
          <t>Miss Glam Jambi</t>
        </is>
      </c>
      <c r="E3964" t="n">
        <v>1</v>
      </c>
      <c r="F3964" t="n">
        <v>0.033</v>
      </c>
      <c r="G3964" t="n">
        <v>0.33</v>
      </c>
      <c r="H3964" t="n">
        <v>4</v>
      </c>
      <c r="I3964" t="n">
        <v>21</v>
      </c>
      <c r="J3964" t="n">
        <v>3</v>
      </c>
      <c r="K3964" t="n">
        <v>0</v>
      </c>
      <c r="L3964" t="n">
        <v>20000</v>
      </c>
      <c r="M3964" t="n">
        <v>27500</v>
      </c>
      <c r="N3964" t="n">
        <v>33</v>
      </c>
      <c r="O3964" t="n">
        <v>0.33</v>
      </c>
      <c r="P3964" t="n">
        <v>1</v>
      </c>
      <c r="Q3964" t="n">
        <v>0.1</v>
      </c>
      <c r="R3964" t="n">
        <v>1</v>
      </c>
      <c r="S3964" t="n">
        <v>907.5</v>
      </c>
      <c r="T3964" t="n">
        <v>7</v>
      </c>
      <c r="U3964" t="n">
        <v>8</v>
      </c>
      <c r="V3964" t="n">
        <v>30</v>
      </c>
      <c r="W3964" t="n">
        <v>1</v>
      </c>
      <c r="X3964" t="n">
        <v>30.3030303030303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9426</v>
      </c>
      <c r="AG3964" t="n">
        <v>2194</v>
      </c>
      <c r="AH3964" t="inlineStr">
        <is>
          <t>PT. BINTANG MAS SURYA - PPN (JMB)</t>
        </is>
      </c>
      <c r="AI3964" t="n">
        <v>144</v>
      </c>
      <c r="AJ3964" t="inlineStr">
        <is>
          <t>SHINZUI</t>
        </is>
      </c>
      <c r="AK3964" t="n">
        <v>9</v>
      </c>
      <c r="AL3964" t="inlineStr">
        <is>
          <t>Miss Glam Jambi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SHINZUI</t>
        </is>
      </c>
      <c r="B3965" s="2">
        <f>"8992946522291"</f>
        <v/>
      </c>
      <c r="C3965" t="inlineStr">
        <is>
          <t>SHINZUI Body Lotion Sakura 100 ml</t>
        </is>
      </c>
      <c r="D3965" t="inlineStr">
        <is>
          <t>Miss Glam Jambi</t>
        </is>
      </c>
      <c r="E3965" t="n">
        <v>6</v>
      </c>
      <c r="F3965" t="n">
        <v>0.0726</v>
      </c>
      <c r="G3965" t="n">
        <v>0.66</v>
      </c>
      <c r="H3965" t="n">
        <v>4</v>
      </c>
      <c r="I3965" t="n">
        <v>21</v>
      </c>
      <c r="J3965" t="n">
        <v>3</v>
      </c>
      <c r="K3965" t="n">
        <v>0</v>
      </c>
      <c r="L3965" t="n">
        <v>11000</v>
      </c>
      <c r="M3965" t="n">
        <v>15000</v>
      </c>
      <c r="N3965" t="n">
        <v>33</v>
      </c>
      <c r="O3965" t="n">
        <v>0.33</v>
      </c>
      <c r="P3965" t="n">
        <v>1</v>
      </c>
      <c r="Q3965" t="n">
        <v>0.05</v>
      </c>
      <c r="R3965" t="n">
        <v>1</v>
      </c>
      <c r="S3965" t="n">
        <v>1089</v>
      </c>
      <c r="T3965" t="n">
        <v>14</v>
      </c>
      <c r="U3965" t="n">
        <v>15</v>
      </c>
      <c r="V3965" t="n">
        <v>30</v>
      </c>
      <c r="W3965" t="n">
        <v>3</v>
      </c>
      <c r="X3965" t="n">
        <v>82.64462809917356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9426</v>
      </c>
      <c r="AG3965" t="n">
        <v>2194</v>
      </c>
      <c r="AH3965" t="inlineStr">
        <is>
          <t>PT. BINTANG MAS SURYA - PPN (JMB)</t>
        </is>
      </c>
      <c r="AI3965" t="n">
        <v>144</v>
      </c>
      <c r="AJ3965" t="inlineStr">
        <is>
          <t>SHINZUI</t>
        </is>
      </c>
      <c r="AK3965" t="n">
        <v>9</v>
      </c>
      <c r="AL3965" t="inlineStr">
        <is>
          <t>Miss Glam Jambi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SHINZUI</t>
        </is>
      </c>
      <c r="B3966" s="2">
        <f>"8992946522321"</f>
        <v/>
      </c>
      <c r="C3966" t="inlineStr">
        <is>
          <t>SHINZUI Body Lotion Sakura 210ml</t>
        </is>
      </c>
      <c r="D3966" t="inlineStr">
        <is>
          <t>Miss Glam Jambi</t>
        </is>
      </c>
      <c r="E3966" t="n">
        <v>0</v>
      </c>
      <c r="F3966" t="n">
        <v>0.066</v>
      </c>
      <c r="G3966" t="n">
        <v>0.66</v>
      </c>
      <c r="H3966" t="n">
        <v>4</v>
      </c>
      <c r="I3966" t="n">
        <v>21</v>
      </c>
      <c r="J3966" t="n">
        <v>3</v>
      </c>
      <c r="K3966" t="n">
        <v>6</v>
      </c>
      <c r="L3966" t="n">
        <v>19982</v>
      </c>
      <c r="M3966" t="n">
        <v>26000</v>
      </c>
      <c r="N3966" t="n">
        <v>33</v>
      </c>
      <c r="O3966" t="n">
        <v>0.33</v>
      </c>
      <c r="P3966" t="n">
        <v>1</v>
      </c>
      <c r="Q3966" t="n">
        <v>0.19</v>
      </c>
      <c r="R3966" t="n">
        <v>1</v>
      </c>
      <c r="S3966" t="n">
        <v>1716</v>
      </c>
      <c r="T3966" t="n">
        <v>14</v>
      </c>
      <c r="U3966" t="n">
        <v>15</v>
      </c>
      <c r="V3966" t="n">
        <v>30</v>
      </c>
      <c r="W3966" t="n">
        <v>2</v>
      </c>
      <c r="X3966" t="n">
        <v>0</v>
      </c>
      <c r="Y3966" t="n">
        <v>1</v>
      </c>
      <c r="Z3966" t="n">
        <v>0</v>
      </c>
      <c r="AA3966" t="n">
        <v>1</v>
      </c>
      <c r="AB3966" t="n">
        <v>0</v>
      </c>
      <c r="AC3966" t="n">
        <v>0</v>
      </c>
      <c r="AD3966" t="n">
        <v>19982</v>
      </c>
      <c r="AE3966" t="n">
        <v>0</v>
      </c>
      <c r="AF3966" t="n">
        <v>9426</v>
      </c>
      <c r="AG3966" t="n">
        <v>2194</v>
      </c>
      <c r="AH3966" t="inlineStr">
        <is>
          <t>PT. BINTANG MAS SURYA - PPN (JMB)</t>
        </is>
      </c>
      <c r="AI3966" t="n">
        <v>144</v>
      </c>
      <c r="AJ3966" t="inlineStr">
        <is>
          <t>SHINZUI</t>
        </is>
      </c>
      <c r="AK3966" t="n">
        <v>9</v>
      </c>
      <c r="AL3966" t="inlineStr">
        <is>
          <t>Miss Glam Jambi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SHINZUI</t>
        </is>
      </c>
      <c r="B3967" s="2">
        <f>"8992946522178"</f>
        <v/>
      </c>
      <c r="C3967" t="inlineStr">
        <is>
          <t>SHINZUI Body Scrub Hana 110gr</t>
        </is>
      </c>
      <c r="D3967" t="inlineStr">
        <is>
          <t>Miss Glam Jambi</t>
        </is>
      </c>
      <c r="E3967" t="n">
        <v>5</v>
      </c>
      <c r="F3967" t="n">
        <v>0.1782</v>
      </c>
      <c r="G3967" t="n">
        <v>0.66</v>
      </c>
      <c r="H3967" t="n">
        <v>4</v>
      </c>
      <c r="I3967" t="n">
        <v>21</v>
      </c>
      <c r="J3967" t="n">
        <v>3</v>
      </c>
      <c r="K3967" t="n">
        <v>3</v>
      </c>
      <c r="L3967" t="n">
        <v>8840</v>
      </c>
      <c r="M3967" t="n">
        <v>11500</v>
      </c>
      <c r="N3967" t="n">
        <v>33</v>
      </c>
      <c r="O3967" t="n">
        <v>0.33</v>
      </c>
      <c r="P3967" t="n">
        <v>1</v>
      </c>
      <c r="Q3967" t="n">
        <v>0.07000000000000001</v>
      </c>
      <c r="R3967" t="n">
        <v>1</v>
      </c>
      <c r="S3967" t="n">
        <v>2049.3</v>
      </c>
      <c r="T3967" t="n">
        <v>14</v>
      </c>
      <c r="U3967" t="n">
        <v>15</v>
      </c>
      <c r="V3967" t="n">
        <v>30</v>
      </c>
      <c r="W3967" t="n">
        <v>6</v>
      </c>
      <c r="X3967" t="n">
        <v>28.05836139169472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9426</v>
      </c>
      <c r="AG3967" t="n">
        <v>2194</v>
      </c>
      <c r="AH3967" t="inlineStr">
        <is>
          <t>PT. BINTANG MAS SURYA - PPN (JMB)</t>
        </is>
      </c>
      <c r="AI3967" t="n">
        <v>144</v>
      </c>
      <c r="AJ3967" t="inlineStr">
        <is>
          <t>SHINZUI</t>
        </is>
      </c>
      <c r="AK3967" t="n">
        <v>9</v>
      </c>
      <c r="AL3967" t="inlineStr">
        <is>
          <t>Miss Glam Jambi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SHINZUI</t>
        </is>
      </c>
      <c r="B3968" s="2">
        <f>"8992946519345"</f>
        <v/>
      </c>
      <c r="C3968" t="inlineStr">
        <is>
          <t>SHINZUI Body Scrub Hanna 200gr</t>
        </is>
      </c>
      <c r="D3968" t="inlineStr">
        <is>
          <t>Miss Glam Jambi</t>
        </is>
      </c>
      <c r="E3968" t="n">
        <v>0</v>
      </c>
      <c r="F3968" t="n">
        <v>0.3564000000000001</v>
      </c>
      <c r="G3968" t="n">
        <v>1.65</v>
      </c>
      <c r="H3968" t="n">
        <v>4</v>
      </c>
      <c r="I3968" t="n">
        <v>21</v>
      </c>
      <c r="J3968" t="n">
        <v>3</v>
      </c>
      <c r="K3968" t="n">
        <v>12</v>
      </c>
      <c r="L3968" t="n">
        <v>13093</v>
      </c>
      <c r="M3968" t="n">
        <v>17500</v>
      </c>
      <c r="N3968" t="n">
        <v>33</v>
      </c>
      <c r="O3968" t="n">
        <v>0.33</v>
      </c>
      <c r="P3968" t="n">
        <v>1</v>
      </c>
      <c r="Q3968" t="n">
        <v>0.09</v>
      </c>
      <c r="R3968" t="n">
        <v>1</v>
      </c>
      <c r="S3968" t="n">
        <v>6237.000000000001</v>
      </c>
      <c r="T3968" t="n">
        <v>34</v>
      </c>
      <c r="U3968" t="n">
        <v>36</v>
      </c>
      <c r="V3968" t="n">
        <v>30</v>
      </c>
      <c r="W3968" t="n">
        <v>11</v>
      </c>
      <c r="X3968" t="n">
        <v>0</v>
      </c>
      <c r="Y3968" t="n">
        <v>1</v>
      </c>
      <c r="Z3968" t="n">
        <v>0</v>
      </c>
      <c r="AA3968" t="n">
        <v>7</v>
      </c>
      <c r="AB3968" t="n">
        <v>0</v>
      </c>
      <c r="AC3968" t="n">
        <v>0</v>
      </c>
      <c r="AD3968" t="n">
        <v>91651</v>
      </c>
      <c r="AE3968" t="n">
        <v>0</v>
      </c>
      <c r="AF3968" t="n">
        <v>9426</v>
      </c>
      <c r="AG3968" t="n">
        <v>2194</v>
      </c>
      <c r="AH3968" t="inlineStr">
        <is>
          <t>PT. BINTANG MAS SURYA - PPN (JMB)</t>
        </is>
      </c>
      <c r="AI3968" t="n">
        <v>144</v>
      </c>
      <c r="AJ3968" t="inlineStr">
        <is>
          <t>SHINZUI</t>
        </is>
      </c>
      <c r="AK3968" t="n">
        <v>9</v>
      </c>
      <c r="AL3968" t="inlineStr">
        <is>
          <t>Miss Glam Jambi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SHINZUI</t>
        </is>
      </c>
      <c r="B3969" s="2">
        <f>"8992946522215"</f>
        <v/>
      </c>
      <c r="C3969" t="inlineStr">
        <is>
          <t>SHINZUI Body Scrub Kensho 120gr</t>
        </is>
      </c>
      <c r="D3969" t="inlineStr">
        <is>
          <t>Miss Glam Jambi</t>
        </is>
      </c>
      <c r="E3969" t="n">
        <v>3</v>
      </c>
      <c r="F3969" t="n">
        <v>0.1452</v>
      </c>
      <c r="G3969" t="n">
        <v>1.98</v>
      </c>
      <c r="H3969" t="n">
        <v>4</v>
      </c>
      <c r="I3969" t="n">
        <v>21</v>
      </c>
      <c r="J3969" t="n">
        <v>3</v>
      </c>
      <c r="K3969" t="n">
        <v>3</v>
      </c>
      <c r="L3969" t="n">
        <v>8632</v>
      </c>
      <c r="M3969" t="n">
        <v>12000</v>
      </c>
      <c r="N3969" t="n">
        <v>33</v>
      </c>
      <c r="O3969" t="n">
        <v>0.33</v>
      </c>
      <c r="P3969" t="n">
        <v>1</v>
      </c>
      <c r="Q3969" t="n">
        <v>0.14</v>
      </c>
      <c r="R3969" t="n">
        <v>2</v>
      </c>
      <c r="S3969" t="n">
        <v>1742.4</v>
      </c>
      <c r="T3969" t="n">
        <v>41</v>
      </c>
      <c r="U3969" t="n">
        <v>42</v>
      </c>
      <c r="V3969" t="n">
        <v>30</v>
      </c>
      <c r="W3969" t="n">
        <v>5</v>
      </c>
      <c r="X3969" t="n">
        <v>20.66115702479339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9426</v>
      </c>
      <c r="AG3969" t="n">
        <v>2194</v>
      </c>
      <c r="AH3969" t="inlineStr">
        <is>
          <t>PT. BINTANG MAS SURYA - PPN (JMB)</t>
        </is>
      </c>
      <c r="AI3969" t="n">
        <v>144</v>
      </c>
      <c r="AJ3969" t="inlineStr">
        <is>
          <t>SHINZUI</t>
        </is>
      </c>
      <c r="AK3969" t="n">
        <v>9</v>
      </c>
      <c r="AL3969" t="inlineStr">
        <is>
          <t>Miss Glam Jambi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SHINZUI</t>
        </is>
      </c>
      <c r="B3970" s="2">
        <f>"8992946522185"</f>
        <v/>
      </c>
      <c r="C3970" t="inlineStr">
        <is>
          <t>SHINZUI Body Scrub Kerai 110gr</t>
        </is>
      </c>
      <c r="D3970" t="inlineStr">
        <is>
          <t>Miss Glam Jambi</t>
        </is>
      </c>
      <c r="E3970" t="n">
        <v>3</v>
      </c>
      <c r="F3970" t="n">
        <v>0.3366</v>
      </c>
      <c r="G3970" t="n">
        <v>1.65</v>
      </c>
      <c r="H3970" t="n">
        <v>4</v>
      </c>
      <c r="I3970" t="n">
        <v>21</v>
      </c>
      <c r="J3970" t="n">
        <v>3</v>
      </c>
      <c r="K3970" t="n">
        <v>9</v>
      </c>
      <c r="L3970" t="n">
        <v>8800</v>
      </c>
      <c r="M3970" t="n">
        <v>11500</v>
      </c>
      <c r="N3970" t="n">
        <v>33</v>
      </c>
      <c r="O3970" t="n">
        <v>0.33</v>
      </c>
      <c r="P3970" t="n">
        <v>1</v>
      </c>
      <c r="Q3970" t="n">
        <v>0.19</v>
      </c>
      <c r="R3970" t="n">
        <v>1</v>
      </c>
      <c r="S3970" t="n">
        <v>3870.9</v>
      </c>
      <c r="T3970" t="n">
        <v>34</v>
      </c>
      <c r="U3970" t="n">
        <v>36</v>
      </c>
      <c r="V3970" t="n">
        <v>30</v>
      </c>
      <c r="W3970" t="n">
        <v>11</v>
      </c>
      <c r="X3970" t="n">
        <v>8.9126559714795</v>
      </c>
      <c r="Y3970" t="n">
        <v>1</v>
      </c>
      <c r="Z3970" t="n">
        <v>0</v>
      </c>
      <c r="AA3970" t="n">
        <v>4</v>
      </c>
      <c r="AB3970" t="n">
        <v>0</v>
      </c>
      <c r="AC3970" t="n">
        <v>0</v>
      </c>
      <c r="AD3970" t="n">
        <v>35200</v>
      </c>
      <c r="AE3970" t="n">
        <v>0</v>
      </c>
      <c r="AF3970" t="n">
        <v>9426</v>
      </c>
      <c r="AG3970" t="n">
        <v>2194</v>
      </c>
      <c r="AH3970" t="inlineStr">
        <is>
          <t>PT. BINTANG MAS SURYA - PPN (JMB)</t>
        </is>
      </c>
      <c r="AI3970" t="n">
        <v>144</v>
      </c>
      <c r="AJ3970" t="inlineStr">
        <is>
          <t>SHINZUI</t>
        </is>
      </c>
      <c r="AK3970" t="n">
        <v>9</v>
      </c>
      <c r="AL3970" t="inlineStr">
        <is>
          <t>Miss Glam Jambi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SHINZUI</t>
        </is>
      </c>
      <c r="B3971" s="2">
        <f>"8992946513398"</f>
        <v/>
      </c>
      <c r="C3971" t="inlineStr">
        <is>
          <t>SHINZUI Body Scrub Kesho 200ml</t>
        </is>
      </c>
      <c r="D3971" t="inlineStr">
        <is>
          <t>Miss Glam Jambi</t>
        </is>
      </c>
      <c r="E3971" t="n">
        <v>4</v>
      </c>
      <c r="F3971" t="n">
        <v>0.5313000000000001</v>
      </c>
      <c r="G3971" t="n">
        <v>2.31</v>
      </c>
      <c r="H3971" t="n">
        <v>4</v>
      </c>
      <c r="I3971" t="n">
        <v>21</v>
      </c>
      <c r="J3971" t="n">
        <v>3</v>
      </c>
      <c r="K3971" t="n">
        <v>5</v>
      </c>
      <c r="L3971" t="n">
        <v>13097</v>
      </c>
      <c r="M3971" t="n">
        <v>17500</v>
      </c>
      <c r="N3971" t="n">
        <v>33</v>
      </c>
      <c r="O3971" t="n">
        <v>0.33</v>
      </c>
      <c r="P3971" t="n">
        <v>1</v>
      </c>
      <c r="Q3971" t="n">
        <v>0.14</v>
      </c>
      <c r="R3971" t="n">
        <v>1</v>
      </c>
      <c r="S3971" t="n">
        <v>9297.750000000002</v>
      </c>
      <c r="T3971" t="n">
        <v>47</v>
      </c>
      <c r="U3971" t="n">
        <v>50</v>
      </c>
      <c r="V3971" t="n">
        <v>30</v>
      </c>
      <c r="W3971" t="n">
        <v>16</v>
      </c>
      <c r="X3971" t="n">
        <v>7.528703180877092</v>
      </c>
      <c r="Y3971" t="n">
        <v>1</v>
      </c>
      <c r="Z3971" t="n">
        <v>7</v>
      </c>
      <c r="AA3971" t="n">
        <v>7</v>
      </c>
      <c r="AB3971" t="n">
        <v>0</v>
      </c>
      <c r="AC3971" t="n">
        <v>0</v>
      </c>
      <c r="AD3971" t="n">
        <v>91679</v>
      </c>
      <c r="AE3971" t="n">
        <v>0</v>
      </c>
      <c r="AF3971" t="n">
        <v>9426</v>
      </c>
      <c r="AG3971" t="n">
        <v>2194</v>
      </c>
      <c r="AH3971" t="inlineStr">
        <is>
          <t>PT. BINTANG MAS SURYA - PPN (JMB)</t>
        </is>
      </c>
      <c r="AI3971" t="n">
        <v>144</v>
      </c>
      <c r="AJ3971" t="inlineStr">
        <is>
          <t>SHINZUI</t>
        </is>
      </c>
      <c r="AK3971" t="n">
        <v>9</v>
      </c>
      <c r="AL3971" t="inlineStr">
        <is>
          <t>Miss Glam Jambi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SHINZUI</t>
        </is>
      </c>
      <c r="B3972" s="2">
        <f>"8992946519352"</f>
        <v/>
      </c>
      <c r="C3972" t="inlineStr">
        <is>
          <t>SHINZUI Body Scrub Kirei 200g</t>
        </is>
      </c>
      <c r="D3972" t="inlineStr">
        <is>
          <t>Miss Glam Jambi</t>
        </is>
      </c>
      <c r="E3972" t="n">
        <v>2</v>
      </c>
      <c r="F3972" t="n">
        <v>0.9075000000000001</v>
      </c>
      <c r="G3972" t="n">
        <v>2.64</v>
      </c>
      <c r="H3972" t="n">
        <v>4</v>
      </c>
      <c r="I3972" t="n">
        <v>21</v>
      </c>
      <c r="J3972" t="n">
        <v>3</v>
      </c>
      <c r="K3972" t="n">
        <v>26</v>
      </c>
      <c r="L3972" t="n">
        <v>13049</v>
      </c>
      <c r="M3972" t="n">
        <v>17500</v>
      </c>
      <c r="N3972" t="n">
        <v>33</v>
      </c>
      <c r="O3972" t="n">
        <v>0.33</v>
      </c>
      <c r="P3972" t="n">
        <v>1</v>
      </c>
      <c r="Q3972" t="n">
        <v>0.19</v>
      </c>
      <c r="R3972" t="n">
        <v>2</v>
      </c>
      <c r="S3972" t="n">
        <v>15881.25</v>
      </c>
      <c r="T3972" t="n">
        <v>52</v>
      </c>
      <c r="U3972" t="n">
        <v>56</v>
      </c>
      <c r="V3972" t="n">
        <v>30</v>
      </c>
      <c r="W3972" t="n">
        <v>28</v>
      </c>
      <c r="X3972" t="n">
        <v>2.203856749311294</v>
      </c>
      <c r="Y3972" t="n">
        <v>1</v>
      </c>
      <c r="Z3972" t="n">
        <v>0</v>
      </c>
      <c r="AA3972" t="n">
        <v>17</v>
      </c>
      <c r="AB3972" t="n">
        <v>0</v>
      </c>
      <c r="AC3972" t="n">
        <v>0</v>
      </c>
      <c r="AD3972" t="n">
        <v>221833</v>
      </c>
      <c r="AE3972" t="n">
        <v>0</v>
      </c>
      <c r="AF3972" t="n">
        <v>9426</v>
      </c>
      <c r="AG3972" t="n">
        <v>2194</v>
      </c>
      <c r="AH3972" t="inlineStr">
        <is>
          <t>PT. BINTANG MAS SURYA - PPN (JMB)</t>
        </is>
      </c>
      <c r="AI3972" t="n">
        <v>144</v>
      </c>
      <c r="AJ3972" t="inlineStr">
        <is>
          <t>SHINZUI</t>
        </is>
      </c>
      <c r="AK3972" t="n">
        <v>9</v>
      </c>
      <c r="AL3972" t="inlineStr">
        <is>
          <t>Miss Glam Jambi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SHINZUI</t>
        </is>
      </c>
      <c r="B3973" s="2">
        <f>"8992946522161"</f>
        <v/>
      </c>
      <c r="C3973" t="inlineStr">
        <is>
          <t>SHINZUI Body Scrub Matsu 110ml</t>
        </is>
      </c>
      <c r="D3973" t="inlineStr">
        <is>
          <t>Miss Glam Jambi</t>
        </is>
      </c>
      <c r="E3973" t="n">
        <v>1</v>
      </c>
      <c r="F3973" t="n">
        <v>0.07920000000000001</v>
      </c>
      <c r="G3973" t="n">
        <v>0.66</v>
      </c>
      <c r="H3973" t="n">
        <v>4</v>
      </c>
      <c r="I3973" t="n">
        <v>21</v>
      </c>
      <c r="J3973" t="n">
        <v>3</v>
      </c>
      <c r="K3973" t="n">
        <v>3</v>
      </c>
      <c r="L3973" t="n">
        <v>8800</v>
      </c>
      <c r="M3973" t="n">
        <v>11500</v>
      </c>
      <c r="N3973" t="n">
        <v>33</v>
      </c>
      <c r="O3973" t="n">
        <v>0.33</v>
      </c>
      <c r="P3973" t="n">
        <v>1</v>
      </c>
      <c r="Q3973" t="n">
        <v>0.05</v>
      </c>
      <c r="R3973" t="n">
        <v>1</v>
      </c>
      <c r="S3973" t="n">
        <v>910.8000000000001</v>
      </c>
      <c r="T3973" t="n">
        <v>14</v>
      </c>
      <c r="U3973" t="n">
        <v>15</v>
      </c>
      <c r="V3973" t="n">
        <v>30</v>
      </c>
      <c r="W3973" t="n">
        <v>3</v>
      </c>
      <c r="X3973" t="n">
        <v>12.62626262626262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9426</v>
      </c>
      <c r="AG3973" t="n">
        <v>2194</v>
      </c>
      <c r="AH3973" t="inlineStr">
        <is>
          <t>PT. BINTANG MAS SURYA - PPN (JMB)</t>
        </is>
      </c>
      <c r="AI3973" t="n">
        <v>144</v>
      </c>
      <c r="AJ3973" t="inlineStr">
        <is>
          <t>SHINZUI</t>
        </is>
      </c>
      <c r="AK3973" t="n">
        <v>9</v>
      </c>
      <c r="AL3973" t="inlineStr">
        <is>
          <t>Miss Glam Jambi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SHINZUI</t>
        </is>
      </c>
      <c r="B3974" s="2">
        <f>"8992946519338"</f>
        <v/>
      </c>
      <c r="C3974" t="inlineStr">
        <is>
          <t>SHINZUI Body Scrub Matsu 200gr</t>
        </is>
      </c>
      <c r="D3974" t="inlineStr">
        <is>
          <t>Miss Glam Jambi</t>
        </is>
      </c>
      <c r="E3974" t="n">
        <v>11</v>
      </c>
      <c r="F3974" t="n">
        <v>0.4257</v>
      </c>
      <c r="G3974" t="n">
        <v>1.65</v>
      </c>
      <c r="H3974" t="n">
        <v>4</v>
      </c>
      <c r="I3974" t="n">
        <v>21</v>
      </c>
      <c r="J3974" t="n">
        <v>3</v>
      </c>
      <c r="K3974" t="n">
        <v>3</v>
      </c>
      <c r="L3974" t="n">
        <v>13036</v>
      </c>
      <c r="M3974" t="n">
        <v>17500</v>
      </c>
      <c r="N3974" t="n">
        <v>33</v>
      </c>
      <c r="O3974" t="n">
        <v>0.33</v>
      </c>
      <c r="P3974" t="n">
        <v>1</v>
      </c>
      <c r="Q3974" t="n">
        <v>0.17</v>
      </c>
      <c r="R3974" t="n">
        <v>2</v>
      </c>
      <c r="S3974" t="n">
        <v>7449.75</v>
      </c>
      <c r="T3974" t="n">
        <v>33</v>
      </c>
      <c r="U3974" t="n">
        <v>35</v>
      </c>
      <c r="V3974" t="n">
        <v>30</v>
      </c>
      <c r="W3974" t="n">
        <v>13</v>
      </c>
      <c r="X3974" t="n">
        <v>25.83979328165374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9426</v>
      </c>
      <c r="AG3974" t="n">
        <v>2194</v>
      </c>
      <c r="AH3974" t="inlineStr">
        <is>
          <t>PT. BINTANG MAS SURYA - PPN (JMB)</t>
        </is>
      </c>
      <c r="AI3974" t="n">
        <v>144</v>
      </c>
      <c r="AJ3974" t="inlineStr">
        <is>
          <t>SHINZUI</t>
        </is>
      </c>
      <c r="AK3974" t="n">
        <v>9</v>
      </c>
      <c r="AL3974" t="inlineStr">
        <is>
          <t>Miss Glam Jambi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SHINZUI</t>
        </is>
      </c>
      <c r="B3975" s="2">
        <f>"8992946522192"</f>
        <v/>
      </c>
      <c r="C3975" t="inlineStr">
        <is>
          <t>SHINZUI Body Scrub Myori 110gr</t>
        </is>
      </c>
      <c r="D3975" t="inlineStr">
        <is>
          <t>Miss Glam Jambi</t>
        </is>
      </c>
      <c r="E3975" t="n">
        <v>6</v>
      </c>
      <c r="F3975" t="n">
        <v>0.2805</v>
      </c>
      <c r="G3975" t="n">
        <v>1.32</v>
      </c>
      <c r="H3975" t="n">
        <v>4</v>
      </c>
      <c r="I3975" t="n">
        <v>21</v>
      </c>
      <c r="J3975" t="n">
        <v>3</v>
      </c>
      <c r="K3975" t="n">
        <v>3</v>
      </c>
      <c r="L3975" t="n">
        <v>8800</v>
      </c>
      <c r="M3975" t="n">
        <v>11500</v>
      </c>
      <c r="N3975" t="n">
        <v>33</v>
      </c>
      <c r="O3975" t="n">
        <v>0.33</v>
      </c>
      <c r="P3975" t="n">
        <v>1</v>
      </c>
      <c r="Q3975" t="n">
        <v>0.17</v>
      </c>
      <c r="R3975" t="n">
        <v>1</v>
      </c>
      <c r="S3975" t="n">
        <v>3225.75</v>
      </c>
      <c r="T3975" t="n">
        <v>27</v>
      </c>
      <c r="U3975" t="n">
        <v>29</v>
      </c>
      <c r="V3975" t="n">
        <v>30</v>
      </c>
      <c r="W3975" t="n">
        <v>9</v>
      </c>
      <c r="X3975" t="n">
        <v>21.3903743315508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9426</v>
      </c>
      <c r="AG3975" t="n">
        <v>2194</v>
      </c>
      <c r="AH3975" t="inlineStr">
        <is>
          <t>PT. BINTANG MAS SURYA - PPN (JMB)</t>
        </is>
      </c>
      <c r="AI3975" t="n">
        <v>144</v>
      </c>
      <c r="AJ3975" t="inlineStr">
        <is>
          <t>SHINZUI</t>
        </is>
      </c>
      <c r="AK3975" t="n">
        <v>9</v>
      </c>
      <c r="AL3975" t="inlineStr">
        <is>
          <t>Miss Glam Jambi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SHINZUI</t>
        </is>
      </c>
      <c r="B3976" s="2">
        <f>"8992946521812"</f>
        <v/>
      </c>
      <c r="C3976" t="inlineStr">
        <is>
          <t>SHINZUI Body Scrub Myori 200ml</t>
        </is>
      </c>
      <c r="D3976" t="inlineStr">
        <is>
          <t>Miss Glam Jambi</t>
        </is>
      </c>
      <c r="E3976" t="n">
        <v>34</v>
      </c>
      <c r="F3976" t="n">
        <v>0.7062</v>
      </c>
      <c r="G3976" t="n">
        <v>2.97</v>
      </c>
      <c r="H3976" t="n">
        <v>4</v>
      </c>
      <c r="I3976" t="n">
        <v>21</v>
      </c>
      <c r="J3976" t="n">
        <v>36</v>
      </c>
      <c r="K3976" t="n">
        <v>0</v>
      </c>
      <c r="L3976" t="n">
        <v>13300</v>
      </c>
      <c r="M3976" t="n">
        <v>17500</v>
      </c>
      <c r="N3976" t="n">
        <v>33</v>
      </c>
      <c r="O3976" t="n">
        <v>0.33</v>
      </c>
      <c r="P3976" t="n">
        <v>1</v>
      </c>
      <c r="Q3976" t="n">
        <v>0.34</v>
      </c>
      <c r="R3976" t="n">
        <v>4</v>
      </c>
      <c r="S3976" t="n">
        <v>12358.5</v>
      </c>
      <c r="T3976" t="n">
        <v>60</v>
      </c>
      <c r="U3976" t="n">
        <v>63</v>
      </c>
      <c r="V3976" t="n">
        <v>30</v>
      </c>
      <c r="W3976" t="n">
        <v>22</v>
      </c>
      <c r="X3976" t="n">
        <v>48.14500141602945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9426</v>
      </c>
      <c r="AG3976" t="n">
        <v>2194</v>
      </c>
      <c r="AH3976" t="inlineStr">
        <is>
          <t>PT. BINTANG MAS SURYA - PPN (JMB)</t>
        </is>
      </c>
      <c r="AI3976" t="n">
        <v>144</v>
      </c>
      <c r="AJ3976" t="inlineStr">
        <is>
          <t>SHINZUI</t>
        </is>
      </c>
      <c r="AK3976" t="n">
        <v>9</v>
      </c>
      <c r="AL3976" t="inlineStr">
        <is>
          <t>Miss Glam Jambi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SHINZUI</t>
        </is>
      </c>
      <c r="B3977" s="2">
        <f>"8992946522208"</f>
        <v/>
      </c>
      <c r="C3977" t="inlineStr">
        <is>
          <t>SHINZUI Body Scrub Sakura 110ml</t>
        </is>
      </c>
      <c r="D3977" t="inlineStr">
        <is>
          <t>Miss Glam Jambi</t>
        </is>
      </c>
      <c r="E3977" t="n">
        <v>2</v>
      </c>
      <c r="F3977" t="n">
        <v>0.6698999999999999</v>
      </c>
      <c r="G3977" t="n">
        <v>3.3</v>
      </c>
      <c r="H3977" t="n">
        <v>4</v>
      </c>
      <c r="I3977" t="n">
        <v>21</v>
      </c>
      <c r="J3977" t="n">
        <v>36</v>
      </c>
      <c r="K3977" t="n">
        <v>36</v>
      </c>
      <c r="L3977" t="n">
        <v>8625</v>
      </c>
      <c r="M3977" t="n">
        <v>11500</v>
      </c>
      <c r="N3977" t="n">
        <v>33</v>
      </c>
      <c r="O3977" t="n">
        <v>0.33</v>
      </c>
      <c r="P3977" t="n">
        <v>1</v>
      </c>
      <c r="Q3977" t="n">
        <v>0.24</v>
      </c>
      <c r="R3977" t="n">
        <v>2</v>
      </c>
      <c r="S3977" t="n">
        <v>7703.849999999999</v>
      </c>
      <c r="T3977" t="n">
        <v>67</v>
      </c>
      <c r="U3977" t="n">
        <v>70</v>
      </c>
      <c r="V3977" t="n">
        <v>30</v>
      </c>
      <c r="W3977" t="n">
        <v>21</v>
      </c>
      <c r="X3977" t="n">
        <v>2.985520226899538</v>
      </c>
      <c r="Y3977" t="n">
        <v>1</v>
      </c>
      <c r="Z3977" t="n">
        <v>0</v>
      </c>
      <c r="AA3977" t="n">
        <v>12</v>
      </c>
      <c r="AB3977" t="n">
        <v>0</v>
      </c>
      <c r="AC3977" t="n">
        <v>0</v>
      </c>
      <c r="AD3977" t="n">
        <v>103500</v>
      </c>
      <c r="AE3977" t="n">
        <v>0</v>
      </c>
      <c r="AF3977" t="n">
        <v>9426</v>
      </c>
      <c r="AG3977" t="n">
        <v>2194</v>
      </c>
      <c r="AH3977" t="inlineStr">
        <is>
          <t>PT. BINTANG MAS SURYA - PPN (JMB)</t>
        </is>
      </c>
      <c r="AI3977" t="n">
        <v>144</v>
      </c>
      <c r="AJ3977" t="inlineStr">
        <is>
          <t>SHINZUI</t>
        </is>
      </c>
      <c r="AK3977" t="n">
        <v>9</v>
      </c>
      <c r="AL3977" t="inlineStr">
        <is>
          <t>Miss Glam Jambi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SHINZUI</t>
        </is>
      </c>
      <c r="B3978" s="2">
        <f>"8992946521829"</f>
        <v/>
      </c>
      <c r="C3978" t="inlineStr">
        <is>
          <t>SHINZUI Body Scrub Sakura 200ml</t>
        </is>
      </c>
      <c r="D3978" t="inlineStr">
        <is>
          <t>Miss Glam Jambi</t>
        </is>
      </c>
      <c r="E3978" t="n">
        <v>1</v>
      </c>
      <c r="F3978" t="n">
        <v>1.2375</v>
      </c>
      <c r="G3978" t="n">
        <v>3.3</v>
      </c>
      <c r="H3978" t="n">
        <v>4</v>
      </c>
      <c r="I3978" t="n">
        <v>21</v>
      </c>
      <c r="J3978" t="n">
        <v>3</v>
      </c>
      <c r="K3978" t="n">
        <v>36</v>
      </c>
      <c r="L3978" t="n">
        <v>13300</v>
      </c>
      <c r="M3978" t="n">
        <v>17500</v>
      </c>
      <c r="N3978" t="n">
        <v>33</v>
      </c>
      <c r="O3978" t="n">
        <v>0.33</v>
      </c>
      <c r="P3978" t="n">
        <v>1</v>
      </c>
      <c r="Q3978" t="n">
        <v>0.19</v>
      </c>
      <c r="R3978" t="n">
        <v>2</v>
      </c>
      <c r="S3978" t="n">
        <v>21656.25</v>
      </c>
      <c r="T3978" t="n">
        <v>65</v>
      </c>
      <c r="U3978" t="n">
        <v>70</v>
      </c>
      <c r="V3978" t="n">
        <v>30</v>
      </c>
      <c r="W3978" t="n">
        <v>38</v>
      </c>
      <c r="X3978" t="n">
        <v>0.8080808080808081</v>
      </c>
      <c r="Y3978" t="n">
        <v>1</v>
      </c>
      <c r="Z3978" t="n">
        <v>1</v>
      </c>
      <c r="AA3978" t="n">
        <v>24</v>
      </c>
      <c r="AB3978" t="n">
        <v>0</v>
      </c>
      <c r="AC3978" t="n">
        <v>0</v>
      </c>
      <c r="AD3978" t="n">
        <v>319200</v>
      </c>
      <c r="AE3978" t="n">
        <v>0</v>
      </c>
      <c r="AF3978" t="n">
        <v>9426</v>
      </c>
      <c r="AG3978" t="n">
        <v>2194</v>
      </c>
      <c r="AH3978" t="inlineStr">
        <is>
          <t>PT. BINTANG MAS SURYA - PPN (JMB)</t>
        </is>
      </c>
      <c r="AI3978" t="n">
        <v>144</v>
      </c>
      <c r="AJ3978" t="inlineStr">
        <is>
          <t>SHINZUI</t>
        </is>
      </c>
      <c r="AK3978" t="n">
        <v>9</v>
      </c>
      <c r="AL3978" t="inlineStr">
        <is>
          <t>Miss Glam Jambi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SHINZUI</t>
        </is>
      </c>
      <c r="B3979" s="2">
        <f>"8992946533723"</f>
        <v/>
      </c>
      <c r="C3979" t="inlineStr">
        <is>
          <t>SHINZUI Exfoliating Gel Honey 260ml</t>
        </is>
      </c>
      <c r="D3979" t="inlineStr">
        <is>
          <t>Miss Glam Jambi</t>
        </is>
      </c>
      <c r="E3979" t="n">
        <v>4</v>
      </c>
      <c r="F3979" t="n">
        <v>0.02</v>
      </c>
      <c r="G3979" t="n">
        <v>1</v>
      </c>
      <c r="H3979" t="n">
        <v>4</v>
      </c>
      <c r="I3979" t="n">
        <v>21</v>
      </c>
      <c r="J3979" t="n">
        <v>3</v>
      </c>
      <c r="K3979" t="n">
        <v>0</v>
      </c>
      <c r="L3979" t="n">
        <v>18900</v>
      </c>
      <c r="M3979" t="n">
        <v>24500</v>
      </c>
      <c r="N3979" t="n">
        <v>33</v>
      </c>
      <c r="O3979" t="n">
        <v>0.33</v>
      </c>
      <c r="P3979" t="n">
        <v>0</v>
      </c>
      <c r="Q3979" t="n">
        <v>0.02</v>
      </c>
      <c r="R3979" t="n">
        <v>1</v>
      </c>
      <c r="S3979" t="n">
        <v>490</v>
      </c>
      <c r="T3979" t="n">
        <v>21</v>
      </c>
      <c r="U3979" t="n">
        <v>22</v>
      </c>
      <c r="V3979" t="n">
        <v>30</v>
      </c>
      <c r="W3979" t="n">
        <v>1</v>
      </c>
      <c r="X3979" t="n">
        <v>200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9426</v>
      </c>
      <c r="AG3979" t="n">
        <v>2194</v>
      </c>
      <c r="AH3979" t="inlineStr">
        <is>
          <t>PT. BINTANG MAS SURYA - PPN (JMB)</t>
        </is>
      </c>
      <c r="AI3979" t="n">
        <v>144</v>
      </c>
      <c r="AJ3979" t="inlineStr">
        <is>
          <t>SHINZUI</t>
        </is>
      </c>
      <c r="AK3979" t="n">
        <v>9</v>
      </c>
      <c r="AL3979" t="inlineStr">
        <is>
          <t>Miss Glam Jambi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SHINZUI</t>
        </is>
      </c>
      <c r="B3980" s="2">
        <f>"8992946533709"</f>
        <v/>
      </c>
      <c r="C3980" t="inlineStr">
        <is>
          <t>SHINZUI Exfoliating Gel Ichigo 260ml</t>
        </is>
      </c>
      <c r="D3980" t="inlineStr">
        <is>
          <t>Miss Glam Jambi</t>
        </is>
      </c>
      <c r="E3980" t="n">
        <v>7</v>
      </c>
      <c r="F3980" t="n">
        <v>0.02</v>
      </c>
      <c r="G3980" t="n">
        <v>1</v>
      </c>
      <c r="H3980" t="n">
        <v>4</v>
      </c>
      <c r="I3980" t="n">
        <v>21</v>
      </c>
      <c r="J3980" t="n">
        <v>3</v>
      </c>
      <c r="K3980" t="n">
        <v>0</v>
      </c>
      <c r="L3980" t="n">
        <v>20800</v>
      </c>
      <c r="M3980" t="n">
        <v>24500</v>
      </c>
      <c r="N3980" t="n">
        <v>33</v>
      </c>
      <c r="O3980" t="n">
        <v>0.33</v>
      </c>
      <c r="P3980" t="n">
        <v>0</v>
      </c>
      <c r="Q3980" t="n">
        <v>0.02</v>
      </c>
      <c r="R3980" t="n">
        <v>1</v>
      </c>
      <c r="S3980" t="n">
        <v>490</v>
      </c>
      <c r="T3980" t="n">
        <v>21</v>
      </c>
      <c r="U3980" t="n">
        <v>22</v>
      </c>
      <c r="V3980" t="n">
        <v>30</v>
      </c>
      <c r="W3980" t="n">
        <v>1</v>
      </c>
      <c r="X3980" t="n">
        <v>350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9426</v>
      </c>
      <c r="AG3980" t="n">
        <v>2194</v>
      </c>
      <c r="AH3980" t="inlineStr">
        <is>
          <t>PT. BINTANG MAS SURYA - PPN (JMB)</t>
        </is>
      </c>
      <c r="AI3980" t="n">
        <v>144</v>
      </c>
      <c r="AJ3980" t="inlineStr">
        <is>
          <t>SHINZUI</t>
        </is>
      </c>
      <c r="AK3980" t="n">
        <v>9</v>
      </c>
      <c r="AL3980" t="inlineStr">
        <is>
          <t>Miss Glam Jambi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SHINZUI</t>
        </is>
      </c>
      <c r="B3981" s="2">
        <f>"8992946514296"</f>
        <v/>
      </c>
      <c r="C3981" t="inlineStr">
        <is>
          <t>SHINZUI Lightening Facial Wash 80ml</t>
        </is>
      </c>
      <c r="D3981" t="inlineStr">
        <is>
          <t>Miss Glam Jambi</t>
        </is>
      </c>
      <c r="E3981" t="n">
        <v>3</v>
      </c>
      <c r="F3981" t="n">
        <v>0.297</v>
      </c>
      <c r="G3981" t="n">
        <v>1.32</v>
      </c>
      <c r="H3981" t="n">
        <v>4</v>
      </c>
      <c r="I3981" t="n">
        <v>21</v>
      </c>
      <c r="J3981" t="n">
        <v>3</v>
      </c>
      <c r="K3981" t="n">
        <v>3</v>
      </c>
      <c r="L3981" t="n">
        <v>21351</v>
      </c>
      <c r="M3981" t="n">
        <v>31000</v>
      </c>
      <c r="N3981" t="n">
        <v>33</v>
      </c>
      <c r="O3981" t="n">
        <v>0.33</v>
      </c>
      <c r="P3981" t="n">
        <v>1</v>
      </c>
      <c r="Q3981" t="n">
        <v>0.03</v>
      </c>
      <c r="R3981" t="n">
        <v>1</v>
      </c>
      <c r="S3981" t="n">
        <v>9207.000000000002</v>
      </c>
      <c r="T3981" t="n">
        <v>27</v>
      </c>
      <c r="U3981" t="n">
        <v>29</v>
      </c>
      <c r="V3981" t="n">
        <v>30</v>
      </c>
      <c r="W3981" t="n">
        <v>9</v>
      </c>
      <c r="X3981" t="n">
        <v>10.1010101010101</v>
      </c>
      <c r="Y3981" t="n">
        <v>1</v>
      </c>
      <c r="Z3981" t="n">
        <v>3</v>
      </c>
      <c r="AA3981" t="n">
        <v>3</v>
      </c>
      <c r="AB3981" t="n">
        <v>0</v>
      </c>
      <c r="AC3981" t="n">
        <v>0</v>
      </c>
      <c r="AD3981" t="n">
        <v>64053</v>
      </c>
      <c r="AE3981" t="n">
        <v>0</v>
      </c>
      <c r="AF3981" t="n">
        <v>9426</v>
      </c>
      <c r="AG3981" t="n">
        <v>2194</v>
      </c>
      <c r="AH3981" t="inlineStr">
        <is>
          <t>PT. BINTANG MAS SURYA - PPN (JMB)</t>
        </is>
      </c>
      <c r="AI3981" t="n">
        <v>144</v>
      </c>
      <c r="AJ3981" t="inlineStr">
        <is>
          <t>SHINZUI</t>
        </is>
      </c>
      <c r="AK3981" t="n">
        <v>9</v>
      </c>
      <c r="AL3981" t="inlineStr">
        <is>
          <t>Miss Glam Jambi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SILCOT</t>
        </is>
      </c>
      <c r="B3982" s="2">
        <f>"8993189329333"</f>
        <v/>
      </c>
      <c r="C3982" t="inlineStr">
        <is>
          <t>SILCOT Maximizer Cotton Kapas Isi 40</t>
        </is>
      </c>
      <c r="D3982" t="inlineStr">
        <is>
          <t>Miss Glam Jambi</t>
        </is>
      </c>
      <c r="E3982" t="n">
        <v>0</v>
      </c>
      <c r="F3982" t="n">
        <v>0.07920000000000001</v>
      </c>
      <c r="G3982" t="n">
        <v>0.66</v>
      </c>
      <c r="H3982" t="n">
        <v>1</v>
      </c>
      <c r="I3982" t="n">
        <v>2</v>
      </c>
      <c r="J3982" t="n">
        <v>3</v>
      </c>
      <c r="K3982" t="n">
        <v>0</v>
      </c>
      <c r="L3982" t="n">
        <v>25619</v>
      </c>
      <c r="M3982" t="n">
        <v>30500</v>
      </c>
      <c r="N3982" t="n">
        <v>33</v>
      </c>
      <c r="O3982" t="n">
        <v>0.33</v>
      </c>
      <c r="P3982" t="n">
        <v>1</v>
      </c>
      <c r="Q3982" t="n">
        <v>0.06</v>
      </c>
      <c r="R3982" t="n">
        <v>2</v>
      </c>
      <c r="S3982" t="n">
        <v>2415.6</v>
      </c>
      <c r="T3982" t="n">
        <v>2</v>
      </c>
      <c r="U3982" t="n">
        <v>3</v>
      </c>
      <c r="V3982" t="n">
        <v>30</v>
      </c>
      <c r="W3982" t="n">
        <v>3</v>
      </c>
      <c r="X3982" t="n">
        <v>0</v>
      </c>
      <c r="Y3982" t="n">
        <v>1</v>
      </c>
      <c r="Z3982" t="n">
        <v>3</v>
      </c>
      <c r="AA3982" t="n">
        <v>1</v>
      </c>
      <c r="AB3982" t="n">
        <v>2</v>
      </c>
      <c r="AC3982" t="n">
        <v>3</v>
      </c>
      <c r="AD3982" t="n">
        <v>25619</v>
      </c>
      <c r="AE3982" t="n">
        <v>76857</v>
      </c>
      <c r="AF3982" t="n">
        <v>12270</v>
      </c>
      <c r="AG3982" t="n">
        <v>3301</v>
      </c>
      <c r="AH3982" t="inlineStr">
        <is>
          <t>PT. RIMBUN PADI BERJAYA - PPN (PDG)</t>
        </is>
      </c>
      <c r="AI3982" t="n">
        <v>360</v>
      </c>
      <c r="AJ3982" t="inlineStr">
        <is>
          <t>SILCOT</t>
        </is>
      </c>
      <c r="AK3982" t="n">
        <v>9</v>
      </c>
      <c r="AL3982" t="inlineStr">
        <is>
          <t>Miss Glam Jambi</t>
        </is>
      </c>
      <c r="AM3982" t="n">
        <v>5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SILKORO</t>
        </is>
      </c>
      <c r="B3983" s="2">
        <f>"9555135302419"</f>
        <v/>
      </c>
      <c r="C3983" t="inlineStr">
        <is>
          <t>SILKORO Color Care Hair Serum Blue 200ml</t>
        </is>
      </c>
      <c r="D3983" t="inlineStr">
        <is>
          <t>Miss Glam Jambi</t>
        </is>
      </c>
      <c r="E3983" t="n">
        <v>1</v>
      </c>
      <c r="F3983" t="n">
        <v>0.009900000000000001</v>
      </c>
      <c r="G3983" t="n">
        <v>0.33</v>
      </c>
      <c r="H3983" t="n">
        <v>6</v>
      </c>
      <c r="I3983" t="n">
        <v>6</v>
      </c>
      <c r="J3983" t="n">
        <v>3</v>
      </c>
      <c r="K3983" t="n">
        <v>0</v>
      </c>
      <c r="L3983" t="n">
        <v>42000</v>
      </c>
      <c r="M3983" t="n">
        <v>50000</v>
      </c>
      <c r="N3983" t="n">
        <v>33</v>
      </c>
      <c r="O3983" t="n">
        <v>0.33</v>
      </c>
      <c r="P3983" t="n">
        <v>1</v>
      </c>
      <c r="Q3983" t="n">
        <v>0.05</v>
      </c>
      <c r="R3983" t="n">
        <v>1</v>
      </c>
      <c r="S3983" t="n">
        <v>495.0000000000001</v>
      </c>
      <c r="T3983" t="n">
        <v>2</v>
      </c>
      <c r="U3983" t="n">
        <v>3</v>
      </c>
      <c r="V3983" t="n">
        <v>30</v>
      </c>
      <c r="W3983" t="n">
        <v>1</v>
      </c>
      <c r="X3983" t="n">
        <v>101.010101010101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13574</v>
      </c>
      <c r="AG3983" t="n">
        <v>3433</v>
      </c>
      <c r="AH3983" t="inlineStr">
        <is>
          <t>UD. WIRA JAYA SUKSES - NON PPN - SILKORO/SUMMER (PKU)</t>
        </is>
      </c>
      <c r="AI3983" t="n">
        <v>357</v>
      </c>
      <c r="AJ3983" t="inlineStr">
        <is>
          <t>SILKORO</t>
        </is>
      </c>
      <c r="AK3983" t="n">
        <v>9</v>
      </c>
      <c r="AL3983" t="inlineStr">
        <is>
          <t>Miss Glam Jambi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SILKORO</t>
        </is>
      </c>
      <c r="B3984" s="2">
        <f>"9555135304062"</f>
        <v/>
      </c>
      <c r="C3984" t="inlineStr">
        <is>
          <t>SILKORO Color Care Serum Bening 200ml</t>
        </is>
      </c>
      <c r="D3984" t="inlineStr">
        <is>
          <t>Miss Glam Jambi</t>
        </is>
      </c>
      <c r="E3984" t="n">
        <v>4</v>
      </c>
      <c r="F3984" t="n">
        <v>0.0396</v>
      </c>
      <c r="G3984" t="n">
        <v>0.33</v>
      </c>
      <c r="H3984" t="n">
        <v>6</v>
      </c>
      <c r="I3984" t="n">
        <v>6</v>
      </c>
      <c r="J3984" t="n">
        <v>3</v>
      </c>
      <c r="K3984" t="n">
        <v>0</v>
      </c>
      <c r="L3984" t="n">
        <v>38700</v>
      </c>
      <c r="M3984" t="n">
        <v>50000</v>
      </c>
      <c r="N3984" t="n">
        <v>33</v>
      </c>
      <c r="O3984" t="n">
        <v>0.33</v>
      </c>
      <c r="P3984" t="n">
        <v>1</v>
      </c>
      <c r="Q3984" t="n">
        <v>0.02</v>
      </c>
      <c r="R3984" t="n">
        <v>1</v>
      </c>
      <c r="S3984" t="n">
        <v>1980</v>
      </c>
      <c r="T3984" t="n">
        <v>2</v>
      </c>
      <c r="U3984" t="n">
        <v>3</v>
      </c>
      <c r="V3984" t="n">
        <v>30</v>
      </c>
      <c r="W3984" t="n">
        <v>2</v>
      </c>
      <c r="X3984" t="n">
        <v>101.010101010101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13574</v>
      </c>
      <c r="AG3984" t="n">
        <v>3433</v>
      </c>
      <c r="AH3984" t="inlineStr">
        <is>
          <t>UD. WIRA JAYA SUKSES - NON PPN - SILKORO/SUMMER (PKU)</t>
        </is>
      </c>
      <c r="AI3984" t="n">
        <v>357</v>
      </c>
      <c r="AJ3984" t="inlineStr">
        <is>
          <t>SILKORO</t>
        </is>
      </c>
      <c r="AK3984" t="n">
        <v>9</v>
      </c>
      <c r="AL3984" t="inlineStr">
        <is>
          <t>Miss Glam Jambi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SILKORO</t>
        </is>
      </c>
      <c r="B3985" s="2">
        <f>"9555135304055"</f>
        <v/>
      </c>
      <c r="C3985" t="inlineStr">
        <is>
          <t>SILKORO Color Care Serum Bening 80ml</t>
        </is>
      </c>
      <c r="D3985" t="inlineStr">
        <is>
          <t>Miss Glam Jambi</t>
        </is>
      </c>
      <c r="E3985" t="n">
        <v>7</v>
      </c>
      <c r="F3985" t="n">
        <v>0.1122</v>
      </c>
      <c r="G3985" t="n">
        <v>0.66</v>
      </c>
      <c r="H3985" t="n">
        <v>6</v>
      </c>
      <c r="I3985" t="n">
        <v>6</v>
      </c>
      <c r="J3985" t="n">
        <v>3</v>
      </c>
      <c r="K3985" t="n">
        <v>0</v>
      </c>
      <c r="L3985" t="n">
        <v>24500</v>
      </c>
      <c r="M3985" t="n">
        <v>30000</v>
      </c>
      <c r="N3985" t="n">
        <v>33</v>
      </c>
      <c r="O3985" t="n">
        <v>0.33</v>
      </c>
      <c r="P3985" t="n">
        <v>1</v>
      </c>
      <c r="Q3985" t="n">
        <v>0.03</v>
      </c>
      <c r="R3985" t="n">
        <v>1</v>
      </c>
      <c r="S3985" t="n">
        <v>3366</v>
      </c>
      <c r="T3985" t="n">
        <v>4</v>
      </c>
      <c r="U3985" t="n">
        <v>5</v>
      </c>
      <c r="V3985" t="n">
        <v>30</v>
      </c>
      <c r="W3985" t="n">
        <v>4</v>
      </c>
      <c r="X3985" t="n">
        <v>62.3885918003565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13574</v>
      </c>
      <c r="AG3985" t="n">
        <v>3433</v>
      </c>
      <c r="AH3985" t="inlineStr">
        <is>
          <t>UD. WIRA JAYA SUKSES - NON PPN - SILKORO/SUMMER (PKU)</t>
        </is>
      </c>
      <c r="AI3985" t="n">
        <v>357</v>
      </c>
      <c r="AJ3985" t="inlineStr">
        <is>
          <t>SILKORO</t>
        </is>
      </c>
      <c r="AK3985" t="n">
        <v>9</v>
      </c>
      <c r="AL3985" t="inlineStr">
        <is>
          <t>Miss Glam Jambi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SILKORO</t>
        </is>
      </c>
      <c r="B3986" s="2">
        <f>"9555135304086"</f>
        <v/>
      </c>
      <c r="C3986" t="inlineStr">
        <is>
          <t>SILKORO Color Care Serum Hijab 80ml</t>
        </is>
      </c>
      <c r="D3986" t="inlineStr">
        <is>
          <t>Miss Glam Jambi</t>
        </is>
      </c>
      <c r="E3986" t="n">
        <v>6</v>
      </c>
      <c r="F3986" t="n">
        <v>0.0561</v>
      </c>
      <c r="G3986" t="n">
        <v>0.66</v>
      </c>
      <c r="H3986" t="n">
        <v>6</v>
      </c>
      <c r="I3986" t="n">
        <v>6</v>
      </c>
      <c r="J3986" t="n">
        <v>3</v>
      </c>
      <c r="K3986" t="n">
        <v>0</v>
      </c>
      <c r="L3986" t="n">
        <v>24500</v>
      </c>
      <c r="M3986" t="n">
        <v>30500</v>
      </c>
      <c r="N3986" t="n">
        <v>33</v>
      </c>
      <c r="O3986" t="n">
        <v>0.33</v>
      </c>
      <c r="P3986" t="n">
        <v>1</v>
      </c>
      <c r="Q3986" t="n">
        <v>0.03</v>
      </c>
      <c r="R3986" t="n">
        <v>1</v>
      </c>
      <c r="S3986" t="n">
        <v>1711.05</v>
      </c>
      <c r="T3986" t="n">
        <v>4</v>
      </c>
      <c r="U3986" t="n">
        <v>5</v>
      </c>
      <c r="V3986" t="n">
        <v>30</v>
      </c>
      <c r="W3986" t="n">
        <v>2</v>
      </c>
      <c r="X3986" t="n">
        <v>106.951871657754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13574</v>
      </c>
      <c r="AG3986" t="n">
        <v>3433</v>
      </c>
      <c r="AH3986" t="inlineStr">
        <is>
          <t>UD. WIRA JAYA SUKSES - NON PPN - SILKORO/SUMMER (PKU)</t>
        </is>
      </c>
      <c r="AI3986" t="n">
        <v>357</v>
      </c>
      <c r="AJ3986" t="inlineStr">
        <is>
          <t>SILKORO</t>
        </is>
      </c>
      <c r="AK3986" t="n">
        <v>9</v>
      </c>
      <c r="AL3986" t="inlineStr">
        <is>
          <t>Miss Glam Jambi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SILKORO</t>
        </is>
      </c>
      <c r="B3987" s="2">
        <f>"9555135302983"</f>
        <v/>
      </c>
      <c r="C3987" t="inlineStr">
        <is>
          <t>SILKORO Color Care Serum Hijau 80ml</t>
        </is>
      </c>
      <c r="D3987" t="inlineStr">
        <is>
          <t>Miss Glam Jambi</t>
        </is>
      </c>
      <c r="E3987" t="n">
        <v>3</v>
      </c>
      <c r="F3987" t="n">
        <v>0.0231</v>
      </c>
      <c r="G3987" t="n">
        <v>0.66</v>
      </c>
      <c r="H3987" t="n">
        <v>6</v>
      </c>
      <c r="I3987" t="n">
        <v>6</v>
      </c>
      <c r="J3987" t="n">
        <v>3</v>
      </c>
      <c r="K3987" t="n">
        <v>0</v>
      </c>
      <c r="L3987" t="n">
        <v>24500</v>
      </c>
      <c r="M3987" t="n">
        <v>30500</v>
      </c>
      <c r="N3987" t="n">
        <v>33</v>
      </c>
      <c r="O3987" t="n">
        <v>0.33</v>
      </c>
      <c r="P3987" t="n">
        <v>1</v>
      </c>
      <c r="Q3987" t="n">
        <v>0.02</v>
      </c>
      <c r="R3987" t="n">
        <v>1</v>
      </c>
      <c r="S3987" t="n">
        <v>704.5500000000001</v>
      </c>
      <c r="T3987" t="n">
        <v>4</v>
      </c>
      <c r="U3987" t="n">
        <v>5</v>
      </c>
      <c r="V3987" t="n">
        <v>30</v>
      </c>
      <c r="W3987" t="n">
        <v>1</v>
      </c>
      <c r="X3987" t="n">
        <v>129.8701298701299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13574</v>
      </c>
      <c r="AG3987" t="n">
        <v>3433</v>
      </c>
      <c r="AH3987" t="inlineStr">
        <is>
          <t>UD. WIRA JAYA SUKSES - NON PPN - SILKORO/SUMMER (PKU)</t>
        </is>
      </c>
      <c r="AI3987" t="n">
        <v>357</v>
      </c>
      <c r="AJ3987" t="inlineStr">
        <is>
          <t>SILKORO</t>
        </is>
      </c>
      <c r="AK3987" t="n">
        <v>9</v>
      </c>
      <c r="AL3987" t="inlineStr">
        <is>
          <t>Miss Glam Jambi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SILKORO</t>
        </is>
      </c>
      <c r="B3988" s="2">
        <f>"9555135303003"</f>
        <v/>
      </c>
      <c r="C3988" t="inlineStr">
        <is>
          <t>SILKORO Color Care Serum Merah 80ml</t>
        </is>
      </c>
      <c r="D3988" t="inlineStr">
        <is>
          <t>Miss Glam Jambi</t>
        </is>
      </c>
      <c r="E3988" t="n">
        <v>3</v>
      </c>
      <c r="F3988" t="n">
        <v>0.066</v>
      </c>
      <c r="G3988" t="n">
        <v>0.66</v>
      </c>
      <c r="H3988" t="n">
        <v>6</v>
      </c>
      <c r="I3988" t="n">
        <v>6</v>
      </c>
      <c r="J3988" t="n">
        <v>3</v>
      </c>
      <c r="K3988" t="n">
        <v>0</v>
      </c>
      <c r="L3988" t="n">
        <v>24500</v>
      </c>
      <c r="M3988" t="n">
        <v>30000</v>
      </c>
      <c r="N3988" t="n">
        <v>33</v>
      </c>
      <c r="O3988" t="n">
        <v>0.33</v>
      </c>
      <c r="P3988" t="n">
        <v>1</v>
      </c>
      <c r="Q3988" t="n">
        <v>0.03</v>
      </c>
      <c r="R3988" t="n">
        <v>1</v>
      </c>
      <c r="S3988" t="n">
        <v>1980</v>
      </c>
      <c r="T3988" t="n">
        <v>4</v>
      </c>
      <c r="U3988" t="n">
        <v>5</v>
      </c>
      <c r="V3988" t="n">
        <v>30</v>
      </c>
      <c r="W3988" t="n">
        <v>2</v>
      </c>
      <c r="X3988" t="n">
        <v>45.45454545454545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13574</v>
      </c>
      <c r="AG3988" t="n">
        <v>3433</v>
      </c>
      <c r="AH3988" t="inlineStr">
        <is>
          <t>UD. WIRA JAYA SUKSES - NON PPN - SILKORO/SUMMER (PKU)</t>
        </is>
      </c>
      <c r="AI3988" t="n">
        <v>357</v>
      </c>
      <c r="AJ3988" t="inlineStr">
        <is>
          <t>SILKORO</t>
        </is>
      </c>
      <c r="AK3988" t="n">
        <v>9</v>
      </c>
      <c r="AL3988" t="inlineStr">
        <is>
          <t>Miss Glam Jambi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SILKORO</t>
        </is>
      </c>
      <c r="B3989" s="2">
        <f>"9555135302990"</f>
        <v/>
      </c>
      <c r="C3989" t="inlineStr">
        <is>
          <t>SILKORO Color Care Serum Vitamin Rambut Biru 80 ml</t>
        </is>
      </c>
      <c r="D3989" t="inlineStr">
        <is>
          <t>Miss Glam Jambi</t>
        </is>
      </c>
      <c r="E3989" t="n">
        <v>10</v>
      </c>
      <c r="F3989" t="n">
        <v>0.0231</v>
      </c>
      <c r="G3989" t="n">
        <v>0.33</v>
      </c>
      <c r="H3989" t="n">
        <v>6</v>
      </c>
      <c r="I3989" t="n">
        <v>6</v>
      </c>
      <c r="J3989" t="n">
        <v>3</v>
      </c>
      <c r="K3989" t="n">
        <v>0</v>
      </c>
      <c r="L3989" t="n">
        <v>23346</v>
      </c>
      <c r="M3989" t="n">
        <v>30000</v>
      </c>
      <c r="N3989" t="n">
        <v>33</v>
      </c>
      <c r="O3989" t="n">
        <v>0.33</v>
      </c>
      <c r="P3989" t="n">
        <v>1</v>
      </c>
      <c r="Q3989" t="n">
        <v>0.05</v>
      </c>
      <c r="R3989" t="n">
        <v>2</v>
      </c>
      <c r="S3989" t="n">
        <v>693.0000000000001</v>
      </c>
      <c r="T3989" t="n">
        <v>2</v>
      </c>
      <c r="U3989" t="n">
        <v>3</v>
      </c>
      <c r="V3989" t="n">
        <v>30</v>
      </c>
      <c r="W3989" t="n">
        <v>1</v>
      </c>
      <c r="X3989" t="n">
        <v>432.9004329004329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13574</v>
      </c>
      <c r="AG3989" t="n">
        <v>3433</v>
      </c>
      <c r="AH3989" t="inlineStr">
        <is>
          <t>UD. WIRA JAYA SUKSES - NON PPN - SILKORO/SUMMER (PKU)</t>
        </is>
      </c>
      <c r="AI3989" t="n">
        <v>357</v>
      </c>
      <c r="AJ3989" t="inlineStr">
        <is>
          <t>SILKORO</t>
        </is>
      </c>
      <c r="AK3989" t="n">
        <v>9</v>
      </c>
      <c r="AL3989" t="inlineStr">
        <is>
          <t>Miss Glam Jambi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SKIN AQUA</t>
        </is>
      </c>
      <c r="B3990" s="2">
        <f>"8992821103454"</f>
        <v/>
      </c>
      <c r="C3990" t="inlineStr">
        <is>
          <t>SKIN AQUA Lavender Tone Up UV Essence SPF 50+ Pa++++ 40gr</t>
        </is>
      </c>
      <c r="D3990" t="inlineStr">
        <is>
          <t>Miss Glam Jambi</t>
        </is>
      </c>
      <c r="E3990" t="n">
        <v>12</v>
      </c>
      <c r="F3990" t="n">
        <v>0.1221</v>
      </c>
      <c r="G3990" t="n">
        <v>0.99</v>
      </c>
      <c r="H3990" t="n">
        <v>4</v>
      </c>
      <c r="I3990" t="n">
        <v>15</v>
      </c>
      <c r="J3990" t="n">
        <v>3</v>
      </c>
      <c r="K3990" t="n">
        <v>0</v>
      </c>
      <c r="L3990" t="n">
        <v>63486</v>
      </c>
      <c r="M3990" t="n">
        <v>74500</v>
      </c>
      <c r="N3990" t="n">
        <v>33</v>
      </c>
      <c r="O3990" t="n">
        <v>0.33</v>
      </c>
      <c r="P3990" t="n">
        <v>1</v>
      </c>
      <c r="Q3990" t="n">
        <v>0.08</v>
      </c>
      <c r="R3990" t="n">
        <v>1</v>
      </c>
      <c r="S3990" t="n">
        <v>9096.450000000001</v>
      </c>
      <c r="T3990" t="n">
        <v>15</v>
      </c>
      <c r="U3990" t="n">
        <v>16</v>
      </c>
      <c r="V3990" t="n">
        <v>30</v>
      </c>
      <c r="W3990" t="n">
        <v>4</v>
      </c>
      <c r="X3990" t="n">
        <v>98.28009828009829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10833</v>
      </c>
      <c r="AG3990" t="n">
        <v>2132</v>
      </c>
      <c r="AH3990" t="inlineStr">
        <is>
          <t>PT. MENSA BINA SUKSES - PPN (JMB)</t>
        </is>
      </c>
      <c r="AI3990" t="n">
        <v>302</v>
      </c>
      <c r="AJ3990" t="inlineStr">
        <is>
          <t>SKIN AQUA</t>
        </is>
      </c>
      <c r="AK3990" t="n">
        <v>9</v>
      </c>
      <c r="AL3990" t="inlineStr">
        <is>
          <t>Miss Glam Jambi</t>
        </is>
      </c>
      <c r="AM3990" t="n">
        <v>3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SKIN AQUA</t>
        </is>
      </c>
      <c r="B3991" s="2">
        <f>"8992821104024"</f>
        <v/>
      </c>
      <c r="C3991" t="inlineStr">
        <is>
          <t>SKIN AQUA Sunscreen Serum Spf50+ 40gr</t>
        </is>
      </c>
      <c r="D3991" t="inlineStr">
        <is>
          <t>Miss Glam Jambi</t>
        </is>
      </c>
      <c r="E3991" t="n">
        <v>5</v>
      </c>
      <c r="F3991" t="n">
        <v>0.006600000000000001</v>
      </c>
      <c r="G3991" t="n">
        <v>0.33</v>
      </c>
      <c r="H3991" t="n">
        <v>4</v>
      </c>
      <c r="I3991" t="n">
        <v>15</v>
      </c>
      <c r="J3991" t="n">
        <v>3</v>
      </c>
      <c r="K3991" t="n">
        <v>0</v>
      </c>
      <c r="L3991" t="n">
        <v>65534</v>
      </c>
      <c r="M3991" t="n">
        <v>84000</v>
      </c>
      <c r="N3991" t="n">
        <v>33</v>
      </c>
      <c r="O3991" t="n">
        <v>0.33</v>
      </c>
      <c r="P3991" t="n">
        <v>1</v>
      </c>
      <c r="Q3991" t="n">
        <v>0.02</v>
      </c>
      <c r="R3991" t="n">
        <v>1</v>
      </c>
      <c r="S3991" t="n">
        <v>554.4000000000001</v>
      </c>
      <c r="T3991" t="n">
        <v>5</v>
      </c>
      <c r="U3991" t="n">
        <v>6</v>
      </c>
      <c r="V3991" t="n">
        <v>30</v>
      </c>
      <c r="W3991" t="n">
        <v>1</v>
      </c>
      <c r="X3991" t="n">
        <v>757.5757575757575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10833</v>
      </c>
      <c r="AG3991" t="n">
        <v>2132</v>
      </c>
      <c r="AH3991" t="inlineStr">
        <is>
          <t>PT. MENSA BINA SUKSES - PPN (JMB)</t>
        </is>
      </c>
      <c r="AI3991" t="n">
        <v>302</v>
      </c>
      <c r="AJ3991" t="inlineStr">
        <is>
          <t>SKIN AQUA</t>
        </is>
      </c>
      <c r="AK3991" t="n">
        <v>9</v>
      </c>
      <c r="AL3991" t="inlineStr">
        <is>
          <t>Miss Glam Jambi</t>
        </is>
      </c>
      <c r="AM3991" t="n">
        <v>3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SKIN AQUA</t>
        </is>
      </c>
      <c r="B3992" s="2">
        <f>"8992821103683"</f>
        <v/>
      </c>
      <c r="C3992" t="inlineStr">
        <is>
          <t>SKIN AQUA Tone Up UV Essences Mint Green SPF 50+ PA++++</t>
        </is>
      </c>
      <c r="D3992" t="inlineStr">
        <is>
          <t>Miss Glam Jambi</t>
        </is>
      </c>
      <c r="E3992" t="n">
        <v>13</v>
      </c>
      <c r="F3992" t="n">
        <v>0.0561</v>
      </c>
      <c r="G3992" t="n">
        <v>0.66</v>
      </c>
      <c r="H3992" t="n">
        <v>4</v>
      </c>
      <c r="I3992" t="n">
        <v>15</v>
      </c>
      <c r="J3992" t="n">
        <v>3</v>
      </c>
      <c r="K3992" t="n">
        <v>0</v>
      </c>
      <c r="L3992" t="n">
        <v>63486</v>
      </c>
      <c r="M3992" t="n">
        <v>74500</v>
      </c>
      <c r="N3992" t="n">
        <v>33</v>
      </c>
      <c r="O3992" t="n">
        <v>0.33</v>
      </c>
      <c r="P3992" t="n">
        <v>1</v>
      </c>
      <c r="Q3992" t="n">
        <v>0.07000000000000001</v>
      </c>
      <c r="R3992" t="n">
        <v>1</v>
      </c>
      <c r="S3992" t="n">
        <v>4179.450000000001</v>
      </c>
      <c r="T3992" t="n">
        <v>10</v>
      </c>
      <c r="U3992" t="n">
        <v>11</v>
      </c>
      <c r="V3992" t="n">
        <v>30</v>
      </c>
      <c r="W3992" t="n">
        <v>2</v>
      </c>
      <c r="X3992" t="n">
        <v>231.729055258467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10833</v>
      </c>
      <c r="AG3992" t="n">
        <v>2132</v>
      </c>
      <c r="AH3992" t="inlineStr">
        <is>
          <t>PT. MENSA BINA SUKSES - PPN (JMB)</t>
        </is>
      </c>
      <c r="AI3992" t="n">
        <v>302</v>
      </c>
      <c r="AJ3992" t="inlineStr">
        <is>
          <t>SKIN AQUA</t>
        </is>
      </c>
      <c r="AK3992" t="n">
        <v>9</v>
      </c>
      <c r="AL3992" t="inlineStr">
        <is>
          <t>Miss Glam Jambi</t>
        </is>
      </c>
      <c r="AM3992" t="n">
        <v>3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SKIN AQUA</t>
        </is>
      </c>
      <c r="B3993" s="2">
        <f>"8992821101290"</f>
        <v/>
      </c>
      <c r="C3993" t="inlineStr">
        <is>
          <t>SKIN AQUA UV Mild Milk SPF 25 40gr</t>
        </is>
      </c>
      <c r="D3993" t="inlineStr">
        <is>
          <t>Miss Glam Jambi</t>
        </is>
      </c>
      <c r="E3993" t="n">
        <v>3</v>
      </c>
      <c r="F3993" t="n">
        <v>0.1518</v>
      </c>
      <c r="G3993" t="n">
        <v>0.66</v>
      </c>
      <c r="H3993" t="n">
        <v>4</v>
      </c>
      <c r="I3993" t="n">
        <v>15</v>
      </c>
      <c r="J3993" t="n">
        <v>3</v>
      </c>
      <c r="K3993" t="n">
        <v>3</v>
      </c>
      <c r="L3993" t="n">
        <v>50789</v>
      </c>
      <c r="M3993" t="n">
        <v>59500</v>
      </c>
      <c r="N3993" t="n">
        <v>33</v>
      </c>
      <c r="O3993" t="n">
        <v>0.33</v>
      </c>
      <c r="P3993" t="n">
        <v>1</v>
      </c>
      <c r="Q3993" t="n">
        <v>0.03</v>
      </c>
      <c r="R3993" t="n">
        <v>1</v>
      </c>
      <c r="S3993" t="n">
        <v>9032.1</v>
      </c>
      <c r="T3993" t="n">
        <v>10</v>
      </c>
      <c r="U3993" t="n">
        <v>11</v>
      </c>
      <c r="V3993" t="n">
        <v>30</v>
      </c>
      <c r="W3993" t="n">
        <v>5</v>
      </c>
      <c r="X3993" t="n">
        <v>19.76284584980237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10833</v>
      </c>
      <c r="AG3993" t="n">
        <v>2132</v>
      </c>
      <c r="AH3993" t="inlineStr">
        <is>
          <t>PT. MENSA BINA SUKSES - PPN (JMB)</t>
        </is>
      </c>
      <c r="AI3993" t="n">
        <v>302</v>
      </c>
      <c r="AJ3993" t="inlineStr">
        <is>
          <t>SKIN AQUA</t>
        </is>
      </c>
      <c r="AK3993" t="n">
        <v>9</v>
      </c>
      <c r="AL3993" t="inlineStr">
        <is>
          <t>Miss Glam Jambi</t>
        </is>
      </c>
      <c r="AM3993" t="n">
        <v>3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SKIN AQUA</t>
        </is>
      </c>
      <c r="B3994" s="2">
        <f>"8992821101276"</f>
        <v/>
      </c>
      <c r="C3994" t="inlineStr">
        <is>
          <t>SKIN AQUA UV Moisture Gel SPF 30 40gr</t>
        </is>
      </c>
      <c r="D3994" t="inlineStr">
        <is>
          <t>Miss Glam Jambi</t>
        </is>
      </c>
      <c r="E3994" t="n">
        <v>23</v>
      </c>
      <c r="F3994" t="n">
        <v>0.3135</v>
      </c>
      <c r="G3994" t="n">
        <v>0.99</v>
      </c>
      <c r="H3994" t="n">
        <v>4</v>
      </c>
      <c r="I3994" t="n">
        <v>15</v>
      </c>
      <c r="J3994" t="n">
        <v>3</v>
      </c>
      <c r="K3994" t="n">
        <v>0</v>
      </c>
      <c r="L3994" t="n">
        <v>50789</v>
      </c>
      <c r="M3994" t="n">
        <v>59000</v>
      </c>
      <c r="N3994" t="n">
        <v>33</v>
      </c>
      <c r="O3994" t="n">
        <v>0.33</v>
      </c>
      <c r="P3994" t="n">
        <v>1</v>
      </c>
      <c r="Q3994" t="n">
        <v>0.24</v>
      </c>
      <c r="R3994" t="n">
        <v>2</v>
      </c>
      <c r="S3994" t="n">
        <v>18496.5</v>
      </c>
      <c r="T3994" t="n">
        <v>14</v>
      </c>
      <c r="U3994" t="n">
        <v>16</v>
      </c>
      <c r="V3994" t="n">
        <v>30</v>
      </c>
      <c r="W3994" t="n">
        <v>10</v>
      </c>
      <c r="X3994" t="n">
        <v>73.3652312599681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10833</v>
      </c>
      <c r="AG3994" t="n">
        <v>2132</v>
      </c>
      <c r="AH3994" t="inlineStr">
        <is>
          <t>PT. MENSA BINA SUKSES - PPN (JMB)</t>
        </is>
      </c>
      <c r="AI3994" t="n">
        <v>302</v>
      </c>
      <c r="AJ3994" t="inlineStr">
        <is>
          <t>SKIN AQUA</t>
        </is>
      </c>
      <c r="AK3994" t="n">
        <v>9</v>
      </c>
      <c r="AL3994" t="inlineStr">
        <is>
          <t>Miss Glam Jambi</t>
        </is>
      </c>
      <c r="AM3994" t="n">
        <v>3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SKIN AQUA</t>
        </is>
      </c>
      <c r="B3995" s="2">
        <f>"8992821101283"</f>
        <v/>
      </c>
      <c r="C3995" t="inlineStr">
        <is>
          <t>SKIN AQUA Uv Moisture Milk Spf 50 40gr</t>
        </is>
      </c>
      <c r="D3995" t="inlineStr">
        <is>
          <t>Miss Glam Jambi</t>
        </is>
      </c>
      <c r="E3995" t="n">
        <v>7</v>
      </c>
      <c r="F3995" t="n">
        <v>0.6666000000000001</v>
      </c>
      <c r="G3995" t="n">
        <v>2.31</v>
      </c>
      <c r="H3995" t="n">
        <v>4</v>
      </c>
      <c r="I3995" t="n">
        <v>15</v>
      </c>
      <c r="J3995" t="n">
        <v>3</v>
      </c>
      <c r="K3995" t="n">
        <v>10</v>
      </c>
      <c r="L3995" t="n">
        <v>50789</v>
      </c>
      <c r="M3995" t="n">
        <v>59000</v>
      </c>
      <c r="N3995" t="n">
        <v>33</v>
      </c>
      <c r="O3995" t="n">
        <v>0.33</v>
      </c>
      <c r="P3995" t="n">
        <v>1</v>
      </c>
      <c r="Q3995" t="n">
        <v>0.29</v>
      </c>
      <c r="R3995" t="n">
        <v>2</v>
      </c>
      <c r="S3995" t="n">
        <v>39329.4</v>
      </c>
      <c r="T3995" t="n">
        <v>32</v>
      </c>
      <c r="U3995" t="n">
        <v>35</v>
      </c>
      <c r="V3995" t="n">
        <v>30</v>
      </c>
      <c r="W3995" t="n">
        <v>20</v>
      </c>
      <c r="X3995" t="n">
        <v>10.5010501050105</v>
      </c>
      <c r="Y3995" t="n">
        <v>1</v>
      </c>
      <c r="Z3995" t="n">
        <v>3</v>
      </c>
      <c r="AA3995" t="n">
        <v>2</v>
      </c>
      <c r="AB3995" t="n">
        <v>1</v>
      </c>
      <c r="AC3995" t="n">
        <v>3</v>
      </c>
      <c r="AD3995" t="n">
        <v>101578</v>
      </c>
      <c r="AE3995" t="n">
        <v>152367</v>
      </c>
      <c r="AF3995" t="n">
        <v>10833</v>
      </c>
      <c r="AG3995" t="n">
        <v>2132</v>
      </c>
      <c r="AH3995" t="inlineStr">
        <is>
          <t>PT. MENSA BINA SUKSES - PPN (JMB)</t>
        </is>
      </c>
      <c r="AI3995" t="n">
        <v>302</v>
      </c>
      <c r="AJ3995" t="inlineStr">
        <is>
          <t>SKIN AQUA</t>
        </is>
      </c>
      <c r="AK3995" t="n">
        <v>9</v>
      </c>
      <c r="AL3995" t="inlineStr">
        <is>
          <t>Miss Glam Jambi</t>
        </is>
      </c>
      <c r="AM3995" t="n">
        <v>3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SKIN AQUA</t>
        </is>
      </c>
      <c r="B3996" s="2">
        <f>"8992821101306"</f>
        <v/>
      </c>
      <c r="C3996" t="inlineStr">
        <is>
          <t>SKIN AQUA UV Whitening Milk SPF 50 PA++++ 40gr</t>
        </is>
      </c>
      <c r="D3996" t="inlineStr">
        <is>
          <t>Miss Glam Jambi</t>
        </is>
      </c>
      <c r="E3996" t="n">
        <v>21</v>
      </c>
      <c r="F3996" t="n">
        <v>3.0162</v>
      </c>
      <c r="G3996" t="n">
        <v>6.600000000000001</v>
      </c>
      <c r="H3996" t="n">
        <v>4</v>
      </c>
      <c r="I3996" t="n">
        <v>15</v>
      </c>
      <c r="J3996" t="n">
        <v>3</v>
      </c>
      <c r="K3996" t="n">
        <v>45</v>
      </c>
      <c r="L3996" t="n">
        <v>50789</v>
      </c>
      <c r="M3996" t="n">
        <v>56500</v>
      </c>
      <c r="N3996" t="n">
        <v>33</v>
      </c>
      <c r="O3996" t="n">
        <v>0.33</v>
      </c>
      <c r="P3996" t="n">
        <v>1</v>
      </c>
      <c r="Q3996" t="n">
        <v>1.71</v>
      </c>
      <c r="R3996" t="n">
        <v>7</v>
      </c>
      <c r="S3996" t="n">
        <v>170415.3</v>
      </c>
      <c r="T3996" t="n">
        <v>87</v>
      </c>
      <c r="U3996" t="n">
        <v>100</v>
      </c>
      <c r="V3996" t="n">
        <v>30</v>
      </c>
      <c r="W3996" t="n">
        <v>91</v>
      </c>
      <c r="X3996" t="n">
        <v>6.962403023672169</v>
      </c>
      <c r="Y3996" t="n">
        <v>1</v>
      </c>
      <c r="Z3996" t="n">
        <v>25</v>
      </c>
      <c r="AA3996" t="n">
        <v>24</v>
      </c>
      <c r="AB3996" t="n">
        <v>1</v>
      </c>
      <c r="AC3996" t="n">
        <v>3</v>
      </c>
      <c r="AD3996" t="n">
        <v>1218936</v>
      </c>
      <c r="AE3996" t="n">
        <v>152367</v>
      </c>
      <c r="AF3996" t="n">
        <v>10833</v>
      </c>
      <c r="AG3996" t="n">
        <v>2132</v>
      </c>
      <c r="AH3996" t="inlineStr">
        <is>
          <t>PT. MENSA BINA SUKSES - PPN (JMB)</t>
        </is>
      </c>
      <c r="AI3996" t="n">
        <v>302</v>
      </c>
      <c r="AJ3996" t="inlineStr">
        <is>
          <t>SKIN AQUA</t>
        </is>
      </c>
      <c r="AK3996" t="n">
        <v>9</v>
      </c>
      <c r="AL3996" t="inlineStr">
        <is>
          <t>Miss Glam Jambi</t>
        </is>
      </c>
      <c r="AM3996" t="n">
        <v>3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SKIN SANE</t>
        </is>
      </c>
      <c r="B3997" s="2">
        <f>"30200416004"</f>
        <v/>
      </c>
      <c r="C3997" t="inlineStr">
        <is>
          <t>SKIN SANE Body Serum Playing At The Garden 250ml</t>
        </is>
      </c>
      <c r="D3997" t="inlineStr">
        <is>
          <t>Miss Glam Jambi</t>
        </is>
      </c>
      <c r="E3997" t="n">
        <v>0</v>
      </c>
      <c r="F3997" t="n">
        <v>0.006600000000000001</v>
      </c>
      <c r="G3997" t="n">
        <v>0.33</v>
      </c>
      <c r="H3997" t="n">
        <v>7</v>
      </c>
      <c r="I3997" t="n">
        <v>12</v>
      </c>
      <c r="J3997" t="n">
        <v>3</v>
      </c>
      <c r="K3997" t="n">
        <v>0</v>
      </c>
      <c r="L3997" t="n">
        <v>55200</v>
      </c>
      <c r="M3997" t="n">
        <v>69000</v>
      </c>
      <c r="N3997" t="n">
        <v>33</v>
      </c>
      <c r="O3997" t="n">
        <v>0.33</v>
      </c>
      <c r="P3997" t="n">
        <v>1</v>
      </c>
      <c r="Q3997" t="n">
        <v>0.02</v>
      </c>
      <c r="R3997" t="n">
        <v>1</v>
      </c>
      <c r="S3997" t="n">
        <v>455.4</v>
      </c>
      <c r="T3997" t="n">
        <v>4</v>
      </c>
      <c r="U3997" t="n">
        <v>5</v>
      </c>
      <c r="V3997" t="n">
        <v>30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n">
        <v>0</v>
      </c>
      <c r="AC3997" t="n">
        <v>0</v>
      </c>
      <c r="AD3997" t="n">
        <v>55200</v>
      </c>
      <c r="AE3997" t="n">
        <v>0</v>
      </c>
      <c r="AF3997" t="n">
        <v>13417</v>
      </c>
      <c r="AG3997" t="n">
        <v>2217</v>
      </c>
      <c r="AH3997" t="inlineStr">
        <is>
          <t>SR12 (PST)</t>
        </is>
      </c>
      <c r="AI3997" t="n">
        <v>1734</v>
      </c>
      <c r="AJ3997" t="inlineStr">
        <is>
          <t>SKIN SANE</t>
        </is>
      </c>
      <c r="AK3997" t="n">
        <v>9</v>
      </c>
      <c r="AL3997" t="inlineStr">
        <is>
          <t>Miss Glam Jambi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SKIN SANE</t>
        </is>
      </c>
      <c r="B3998" s="2">
        <f>"30200415854"</f>
        <v/>
      </c>
      <c r="C3998" t="inlineStr">
        <is>
          <t>SKIN SANE Body Serum Sweet Berry Crush 250ml</t>
        </is>
      </c>
      <c r="D3998" t="inlineStr">
        <is>
          <t>Miss Glam Jambi</t>
        </is>
      </c>
      <c r="E3998" t="n">
        <v>1</v>
      </c>
      <c r="F3998" t="n">
        <v>0.033</v>
      </c>
      <c r="G3998" t="n">
        <v>0.66</v>
      </c>
      <c r="H3998" t="n">
        <v>7</v>
      </c>
      <c r="I3998" t="n">
        <v>12</v>
      </c>
      <c r="J3998" t="n">
        <v>3</v>
      </c>
      <c r="K3998" t="n">
        <v>0</v>
      </c>
      <c r="L3998" t="n">
        <v>55200</v>
      </c>
      <c r="M3998" t="n">
        <v>69000</v>
      </c>
      <c r="N3998" t="n">
        <v>33</v>
      </c>
      <c r="O3998" t="n">
        <v>0.33</v>
      </c>
      <c r="P3998" t="n">
        <v>1</v>
      </c>
      <c r="Q3998" t="n">
        <v>0.02</v>
      </c>
      <c r="R3998" t="n">
        <v>1</v>
      </c>
      <c r="S3998" t="n">
        <v>2277</v>
      </c>
      <c r="T3998" t="n">
        <v>8</v>
      </c>
      <c r="U3998" t="n">
        <v>9</v>
      </c>
      <c r="V3998" t="n">
        <v>30</v>
      </c>
      <c r="W3998" t="n">
        <v>1</v>
      </c>
      <c r="X3998" t="n">
        <v>30.3030303030303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13417</v>
      </c>
      <c r="AG3998" t="n">
        <v>2217</v>
      </c>
      <c r="AH3998" t="inlineStr">
        <is>
          <t>SR12 (PST)</t>
        </is>
      </c>
      <c r="AI3998" t="n">
        <v>1734</v>
      </c>
      <c r="AJ3998" t="inlineStr">
        <is>
          <t>SKIN SANE</t>
        </is>
      </c>
      <c r="AK3998" t="n">
        <v>9</v>
      </c>
      <c r="AL3998" t="inlineStr">
        <is>
          <t>Miss Glam Jambi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SKIN1004</t>
        </is>
      </c>
      <c r="B3999" s="2">
        <f>"8809576261301"</f>
        <v/>
      </c>
      <c r="C3999" t="inlineStr">
        <is>
          <t>SKIN1004 Madagascar Centella Air-Fit Suncream Plus 50+ PA+++ 50ml</t>
        </is>
      </c>
      <c r="D3999" t="inlineStr">
        <is>
          <t>Miss Glam Jambi</t>
        </is>
      </c>
      <c r="E3999" t="n">
        <v>2</v>
      </c>
      <c r="F3999" t="n">
        <v>0.0198</v>
      </c>
      <c r="G3999" t="n">
        <v>0.66</v>
      </c>
      <c r="H3999" t="n">
        <v>4</v>
      </c>
      <c r="I3999" t="n">
        <v>20</v>
      </c>
      <c r="J3999" t="n">
        <v>3</v>
      </c>
      <c r="K3999" t="n">
        <v>0</v>
      </c>
      <c r="L3999" t="n">
        <v>101970</v>
      </c>
      <c r="M3999" t="n">
        <v>160500</v>
      </c>
      <c r="N3999" t="n">
        <v>33</v>
      </c>
      <c r="O3999" t="n">
        <v>0.33</v>
      </c>
      <c r="P3999" t="n">
        <v>1</v>
      </c>
      <c r="Q3999" t="n">
        <v>0.07000000000000001</v>
      </c>
      <c r="R3999" t="n">
        <v>1</v>
      </c>
      <c r="S3999" t="n">
        <v>3177.9</v>
      </c>
      <c r="T3999" t="n">
        <v>14</v>
      </c>
      <c r="U3999" t="n">
        <v>15</v>
      </c>
      <c r="V3999" t="n">
        <v>30</v>
      </c>
      <c r="W3999" t="n">
        <v>1</v>
      </c>
      <c r="X3999" t="n">
        <v>101.010101010101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8511</v>
      </c>
      <c r="AG3999" t="n">
        <v>1</v>
      </c>
      <c r="AH3999" t="inlineStr">
        <is>
          <t>PT. BERSAMA DISTRIVERSA INDONESIA (DC CIPUTAT)</t>
        </is>
      </c>
      <c r="AI3999" t="n">
        <v>2098</v>
      </c>
      <c r="AJ3999" t="inlineStr">
        <is>
          <t>SKIN1004</t>
        </is>
      </c>
      <c r="AK3999" t="n">
        <v>9</v>
      </c>
      <c r="AL3999" t="inlineStr">
        <is>
          <t>Miss Glam Jambi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SKIN1004</t>
        </is>
      </c>
      <c r="B4000" s="2">
        <f>"8809576260663"</f>
        <v/>
      </c>
      <c r="C4000" t="inlineStr">
        <is>
          <t>SKIN1004 Madagascar Centella Ampoule 100ml</t>
        </is>
      </c>
      <c r="D4000" t="inlineStr">
        <is>
          <t>Miss Glam Jambi</t>
        </is>
      </c>
      <c r="E4000" t="n">
        <v>9</v>
      </c>
      <c r="F4000" t="n">
        <v>0.03</v>
      </c>
      <c r="G4000" t="n">
        <v>1</v>
      </c>
      <c r="H4000" t="n">
        <v>4</v>
      </c>
      <c r="I4000" t="n">
        <v>20</v>
      </c>
      <c r="J4000" t="n">
        <v>3</v>
      </c>
      <c r="K4000" t="n">
        <v>0</v>
      </c>
      <c r="L4000" t="n">
        <v>133355</v>
      </c>
      <c r="M4000" t="n">
        <v>232000</v>
      </c>
      <c r="N4000" t="n">
        <v>33</v>
      </c>
      <c r="O4000" t="n">
        <v>0.33</v>
      </c>
      <c r="P4000" t="n">
        <v>0</v>
      </c>
      <c r="Q4000" t="n">
        <v>0.03</v>
      </c>
      <c r="R4000" t="n">
        <v>1</v>
      </c>
      <c r="S4000" t="n">
        <v>6960</v>
      </c>
      <c r="T4000" t="n">
        <v>20</v>
      </c>
      <c r="U4000" t="n">
        <v>21</v>
      </c>
      <c r="V4000" t="n">
        <v>30</v>
      </c>
      <c r="W4000" t="n">
        <v>1</v>
      </c>
      <c r="X4000" t="n">
        <v>300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8511</v>
      </c>
      <c r="AG4000" t="n">
        <v>1</v>
      </c>
      <c r="AH4000" t="inlineStr">
        <is>
          <t>PT. BERSAMA DISTRIVERSA INDONESIA (DC CIPUTAT)</t>
        </is>
      </c>
      <c r="AI4000" t="n">
        <v>2098</v>
      </c>
      <c r="AJ4000" t="inlineStr">
        <is>
          <t>SKIN1004</t>
        </is>
      </c>
      <c r="AK4000" t="n">
        <v>9</v>
      </c>
      <c r="AL4000" t="inlineStr">
        <is>
          <t>Miss Glam Jambi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SKIN1004</t>
        </is>
      </c>
      <c r="B4001" s="2">
        <f>"8809576260618"</f>
        <v/>
      </c>
      <c r="C4001" t="inlineStr">
        <is>
          <t>SKIN1004 Madagascar Centella Ampoule 30ml</t>
        </is>
      </c>
      <c r="D4001" t="inlineStr">
        <is>
          <t>Miss Glam Jambi</t>
        </is>
      </c>
      <c r="E4001" t="n">
        <v>2</v>
      </c>
      <c r="F4001" t="n">
        <v>0.12</v>
      </c>
      <c r="G4001" t="n">
        <v>1</v>
      </c>
      <c r="H4001" t="n">
        <v>4</v>
      </c>
      <c r="I4001" t="n">
        <v>20</v>
      </c>
      <c r="J4001" t="n">
        <v>3</v>
      </c>
      <c r="K4001" t="n">
        <v>3</v>
      </c>
      <c r="L4001" t="n">
        <v>54000</v>
      </c>
      <c r="M4001" t="n">
        <v>81500</v>
      </c>
      <c r="N4001" t="n">
        <v>33</v>
      </c>
      <c r="O4001" t="n">
        <v>0.33</v>
      </c>
      <c r="P4001" t="n">
        <v>0</v>
      </c>
      <c r="Q4001" t="n">
        <v>0.12</v>
      </c>
      <c r="R4001" t="n">
        <v>1</v>
      </c>
      <c r="S4001" t="n">
        <v>9780</v>
      </c>
      <c r="T4001" t="n">
        <v>20</v>
      </c>
      <c r="U4001" t="n">
        <v>21</v>
      </c>
      <c r="V4001" t="n">
        <v>30</v>
      </c>
      <c r="W4001" t="n">
        <v>4</v>
      </c>
      <c r="X4001" t="n">
        <v>16.66666666666667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8511</v>
      </c>
      <c r="AG4001" t="n">
        <v>1</v>
      </c>
      <c r="AH4001" t="inlineStr">
        <is>
          <t>PT. BERSAMA DISTRIVERSA INDONESIA (DC CIPUTAT)</t>
        </is>
      </c>
      <c r="AI4001" t="n">
        <v>2098</v>
      </c>
      <c r="AJ4001" t="inlineStr">
        <is>
          <t>SKIN1004</t>
        </is>
      </c>
      <c r="AK4001" t="n">
        <v>9</v>
      </c>
      <c r="AL4001" t="inlineStr">
        <is>
          <t>Miss Glam Jambi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SKIN1004</t>
        </is>
      </c>
      <c r="B4002" s="2">
        <f>"8809576260601"</f>
        <v/>
      </c>
      <c r="C4002" t="inlineStr">
        <is>
          <t>SKIN1004 Madagascar Centella Ampoule 55ml</t>
        </is>
      </c>
      <c r="D4002" t="inlineStr">
        <is>
          <t>Miss Glam Jambi</t>
        </is>
      </c>
      <c r="E4002" t="n">
        <v>2</v>
      </c>
      <c r="F4002" t="n">
        <v>0.1221</v>
      </c>
      <c r="G4002" t="n">
        <v>0.66</v>
      </c>
      <c r="H4002" t="n">
        <v>4</v>
      </c>
      <c r="I4002" t="n">
        <v>20</v>
      </c>
      <c r="J4002" t="n">
        <v>3</v>
      </c>
      <c r="K4002" t="n">
        <v>3</v>
      </c>
      <c r="L4002" t="n">
        <v>92256</v>
      </c>
      <c r="M4002" t="n">
        <v>135000</v>
      </c>
      <c r="N4002" t="n">
        <v>33</v>
      </c>
      <c r="O4002" t="n">
        <v>0.33</v>
      </c>
      <c r="P4002" t="n">
        <v>1</v>
      </c>
      <c r="Q4002" t="n">
        <v>0.1</v>
      </c>
      <c r="R4002" t="n">
        <v>1</v>
      </c>
      <c r="S4002" t="n">
        <v>16483.5</v>
      </c>
      <c r="T4002" t="n">
        <v>13</v>
      </c>
      <c r="U4002" t="n">
        <v>14</v>
      </c>
      <c r="V4002" t="n">
        <v>30</v>
      </c>
      <c r="W4002" t="n">
        <v>4</v>
      </c>
      <c r="X4002" t="n">
        <v>16.38001638001638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8511</v>
      </c>
      <c r="AG4002" t="n">
        <v>1</v>
      </c>
      <c r="AH4002" t="inlineStr">
        <is>
          <t>PT. BERSAMA DISTRIVERSA INDONESIA (DC CIPUTAT)</t>
        </is>
      </c>
      <c r="AI4002" t="n">
        <v>2098</v>
      </c>
      <c r="AJ4002" t="inlineStr">
        <is>
          <t>SKIN1004</t>
        </is>
      </c>
      <c r="AK4002" t="n">
        <v>9</v>
      </c>
      <c r="AL4002" t="inlineStr">
        <is>
          <t>Miss Glam Jambi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SKIN1004</t>
        </is>
      </c>
      <c r="B4003" s="2">
        <f>"8809576261127"</f>
        <v/>
      </c>
      <c r="C4003" t="inlineStr">
        <is>
          <t>SKIN1004 Madagascar Centella Ampoule Foam 125ml</t>
        </is>
      </c>
      <c r="D4003" t="inlineStr">
        <is>
          <t>Miss Glam Jambi</t>
        </is>
      </c>
      <c r="E4003" t="n">
        <v>1</v>
      </c>
      <c r="F4003" t="n">
        <v>0.0231</v>
      </c>
      <c r="G4003" t="n">
        <v>0.33</v>
      </c>
      <c r="H4003" t="n">
        <v>4</v>
      </c>
      <c r="I4003" t="n">
        <v>20</v>
      </c>
      <c r="J4003" t="n">
        <v>3</v>
      </c>
      <c r="K4003" t="n">
        <v>0</v>
      </c>
      <c r="L4003" t="n">
        <v>88580</v>
      </c>
      <c r="M4003" t="n">
        <v>129500</v>
      </c>
      <c r="N4003" t="n">
        <v>33</v>
      </c>
      <c r="O4003" t="n">
        <v>0.33</v>
      </c>
      <c r="P4003" t="n">
        <v>1</v>
      </c>
      <c r="Q4003" t="n">
        <v>0.14</v>
      </c>
      <c r="R4003" t="n">
        <v>3</v>
      </c>
      <c r="S4003" t="n">
        <v>2991.45</v>
      </c>
      <c r="T4003" t="n">
        <v>7</v>
      </c>
      <c r="U4003" t="n">
        <v>8</v>
      </c>
      <c r="V4003" t="n">
        <v>30</v>
      </c>
      <c r="W4003" t="n">
        <v>1</v>
      </c>
      <c r="X4003" t="n">
        <v>43.29004329004329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8511</v>
      </c>
      <c r="AG4003" t="n">
        <v>1</v>
      </c>
      <c r="AH4003" t="inlineStr">
        <is>
          <t>PT. BERSAMA DISTRIVERSA INDONESIA (DC CIPUTAT)</t>
        </is>
      </c>
      <c r="AI4003" t="n">
        <v>2098</v>
      </c>
      <c r="AJ4003" t="inlineStr">
        <is>
          <t>SKIN1004</t>
        </is>
      </c>
      <c r="AK4003" t="n">
        <v>9</v>
      </c>
      <c r="AL4003" t="inlineStr">
        <is>
          <t>Miss Glam Jambi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SKIN1004</t>
        </is>
      </c>
      <c r="B4004" s="2">
        <f>"11200432514"</f>
        <v/>
      </c>
      <c r="C4004" t="inlineStr">
        <is>
          <t>SKIN1004 Madagascar Centella Hyalu-Cica Blue Serum 30ml</t>
        </is>
      </c>
      <c r="D4004" t="inlineStr">
        <is>
          <t>Miss Glam Jambi</t>
        </is>
      </c>
      <c r="E4004" t="n">
        <v>4</v>
      </c>
      <c r="F4004" t="n">
        <v>0.02</v>
      </c>
      <c r="G4004" t="n">
        <v>1</v>
      </c>
      <c r="H4004" t="n">
        <v>4</v>
      </c>
      <c r="I4004" t="n">
        <v>20</v>
      </c>
      <c r="J4004" t="n">
        <v>1</v>
      </c>
      <c r="K4004" t="n">
        <v>0</v>
      </c>
      <c r="L4004" t="n">
        <v>60616</v>
      </c>
      <c r="M4004" t="n">
        <v>81500</v>
      </c>
      <c r="N4004" t="n">
        <v>33</v>
      </c>
      <c r="O4004" t="n">
        <v>0.33</v>
      </c>
      <c r="P4004" t="n">
        <v>0</v>
      </c>
      <c r="Q4004" t="n">
        <v>0.02</v>
      </c>
      <c r="R4004" t="n">
        <v>1</v>
      </c>
      <c r="S4004" t="n">
        <v>1630</v>
      </c>
      <c r="T4004" t="n">
        <v>20</v>
      </c>
      <c r="U4004" t="n">
        <v>21</v>
      </c>
      <c r="V4004" t="n">
        <v>30</v>
      </c>
      <c r="W4004" t="n">
        <v>1</v>
      </c>
      <c r="X4004" t="n">
        <v>200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8511</v>
      </c>
      <c r="AG4004" t="n">
        <v>1</v>
      </c>
      <c r="AH4004" t="inlineStr">
        <is>
          <t>PT. BERSAMA DISTRIVERSA INDONESIA (DC CIPUTAT)</t>
        </is>
      </c>
      <c r="AI4004" t="n">
        <v>2098</v>
      </c>
      <c r="AJ4004" t="inlineStr">
        <is>
          <t>SKIN1004</t>
        </is>
      </c>
      <c r="AK4004" t="n">
        <v>9</v>
      </c>
      <c r="AL4004" t="inlineStr">
        <is>
          <t>Miss Glam Jambi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SKIN1004</t>
        </is>
      </c>
      <c r="B4005" s="2">
        <f>"8809576261073"</f>
        <v/>
      </c>
      <c r="C4005" t="inlineStr">
        <is>
          <t>SKIN1004 MADAGASCAR Centella Hyalu-Cica Brightening Toner 30ml</t>
        </is>
      </c>
      <c r="D4005" t="inlineStr">
        <is>
          <t>Miss Glam Jambi</t>
        </is>
      </c>
      <c r="E4005" t="n">
        <v>1</v>
      </c>
      <c r="F4005" t="n">
        <v>0.006600000000000001</v>
      </c>
      <c r="G4005" t="n">
        <v>0.33</v>
      </c>
      <c r="H4005" t="n">
        <v>4</v>
      </c>
      <c r="I4005" t="n">
        <v>20</v>
      </c>
      <c r="J4005" t="n">
        <v>3</v>
      </c>
      <c r="K4005" t="n">
        <v>0</v>
      </c>
      <c r="L4005" t="n">
        <v>45800</v>
      </c>
      <c r="M4005" t="n">
        <v>72000</v>
      </c>
      <c r="N4005" t="n">
        <v>33</v>
      </c>
      <c r="O4005" t="n">
        <v>0.33</v>
      </c>
      <c r="P4005" t="n">
        <v>1</v>
      </c>
      <c r="Q4005" t="n">
        <v>0.02</v>
      </c>
      <c r="R4005" t="n">
        <v>1</v>
      </c>
      <c r="S4005" t="n">
        <v>475.2</v>
      </c>
      <c r="T4005" t="n">
        <v>7</v>
      </c>
      <c r="U4005" t="n">
        <v>8</v>
      </c>
      <c r="V4005" t="n">
        <v>30</v>
      </c>
      <c r="W4005" t="n">
        <v>1</v>
      </c>
      <c r="X4005" t="n">
        <v>151.5151515151515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8511</v>
      </c>
      <c r="AG4005" t="n">
        <v>1</v>
      </c>
      <c r="AH4005" t="inlineStr">
        <is>
          <t>PT. BERSAMA DISTRIVERSA INDONESIA (DC CIPUTAT)</t>
        </is>
      </c>
      <c r="AI4005" t="n">
        <v>2098</v>
      </c>
      <c r="AJ4005" t="inlineStr">
        <is>
          <t>SKIN1004</t>
        </is>
      </c>
      <c r="AK4005" t="n">
        <v>9</v>
      </c>
      <c r="AL4005" t="inlineStr">
        <is>
          <t>Miss Glam Jambi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SKIN1004</t>
        </is>
      </c>
      <c r="B4006" s="2">
        <f>"8809576261462"</f>
        <v/>
      </c>
      <c r="C4006" t="inlineStr">
        <is>
          <t>SKIN1004 Madagascar Centella Poremizing Fresh Ampoule 100ml</t>
        </is>
      </c>
      <c r="D4006" t="inlineStr">
        <is>
          <t>Miss Glam Jambi</t>
        </is>
      </c>
      <c r="E4006" t="n">
        <v>1</v>
      </c>
      <c r="F4006" t="n">
        <v>0.02</v>
      </c>
      <c r="G4006" t="n">
        <v>1</v>
      </c>
      <c r="H4006" t="n">
        <v>4</v>
      </c>
      <c r="I4006" t="n">
        <v>20</v>
      </c>
      <c r="J4006" t="n">
        <v>3</v>
      </c>
      <c r="K4006" t="n">
        <v>0</v>
      </c>
      <c r="L4006" t="n">
        <v>99667</v>
      </c>
      <c r="M4006" t="n">
        <v>201000</v>
      </c>
      <c r="N4006" t="n">
        <v>33</v>
      </c>
      <c r="O4006" t="n">
        <v>0.33</v>
      </c>
      <c r="P4006" t="n">
        <v>0</v>
      </c>
      <c r="Q4006" t="n">
        <v>0.02</v>
      </c>
      <c r="R4006" t="n">
        <v>1</v>
      </c>
      <c r="S4006" t="n">
        <v>4020</v>
      </c>
      <c r="T4006" t="n">
        <v>20</v>
      </c>
      <c r="U4006" t="n">
        <v>21</v>
      </c>
      <c r="V4006" t="n">
        <v>30</v>
      </c>
      <c r="W4006" t="n">
        <v>1</v>
      </c>
      <c r="X4006" t="n">
        <v>50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8511</v>
      </c>
      <c r="AG4006" t="n">
        <v>1</v>
      </c>
      <c r="AH4006" t="inlineStr">
        <is>
          <t>PT. BERSAMA DISTRIVERSA INDONESIA (DC CIPUTAT)</t>
        </is>
      </c>
      <c r="AI4006" t="n">
        <v>2098</v>
      </c>
      <c r="AJ4006" t="inlineStr">
        <is>
          <t>SKIN1004</t>
        </is>
      </c>
      <c r="AK4006" t="n">
        <v>9</v>
      </c>
      <c r="AL4006" t="inlineStr">
        <is>
          <t>Miss Glam Jambi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SKIN1004</t>
        </is>
      </c>
      <c r="B4007" s="2">
        <f>"8809576261202"</f>
        <v/>
      </c>
      <c r="C4007" t="inlineStr">
        <is>
          <t>SKIN1004 MADAGASCAR Centella Shooting Cream 30ml</t>
        </is>
      </c>
      <c r="D4007" t="inlineStr">
        <is>
          <t>Miss Glam Jambi</t>
        </is>
      </c>
      <c r="E4007" t="n">
        <v>3</v>
      </c>
      <c r="F4007" t="n">
        <v>0.05</v>
      </c>
      <c r="G4007" t="n">
        <v>1</v>
      </c>
      <c r="H4007" t="n">
        <v>4</v>
      </c>
      <c r="I4007" t="n">
        <v>20</v>
      </c>
      <c r="J4007" t="n">
        <v>3</v>
      </c>
      <c r="K4007" t="n">
        <v>0</v>
      </c>
      <c r="L4007" t="n">
        <v>39400</v>
      </c>
      <c r="M4007" t="n">
        <v>53000</v>
      </c>
      <c r="N4007" t="n">
        <v>33</v>
      </c>
      <c r="O4007" t="n">
        <v>0.33</v>
      </c>
      <c r="P4007" t="n">
        <v>0</v>
      </c>
      <c r="Q4007" t="n">
        <v>0.05</v>
      </c>
      <c r="R4007" t="n">
        <v>1</v>
      </c>
      <c r="S4007" t="n">
        <v>2650</v>
      </c>
      <c r="T4007" t="n">
        <v>20</v>
      </c>
      <c r="U4007" t="n">
        <v>21</v>
      </c>
      <c r="V4007" t="n">
        <v>30</v>
      </c>
      <c r="W4007" t="n">
        <v>2</v>
      </c>
      <c r="X4007" t="n">
        <v>60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8511</v>
      </c>
      <c r="AG4007" t="n">
        <v>1</v>
      </c>
      <c r="AH4007" t="inlineStr">
        <is>
          <t>PT. BERSAMA DISTRIVERSA INDONESIA (DC CIPUTAT)</t>
        </is>
      </c>
      <c r="AI4007" t="n">
        <v>2098</v>
      </c>
      <c r="AJ4007" t="inlineStr">
        <is>
          <t>SKIN1004</t>
        </is>
      </c>
      <c r="AK4007" t="n">
        <v>9</v>
      </c>
      <c r="AL4007" t="inlineStr">
        <is>
          <t>Miss Glam Jambi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SKIN1004</t>
        </is>
      </c>
      <c r="B4008" s="2">
        <f>"8809576261134"</f>
        <v/>
      </c>
      <c r="C4008" t="inlineStr">
        <is>
          <t>SKIN1004 MADAGASCAR Centella Shooting Cream 75ml</t>
        </is>
      </c>
      <c r="D4008" t="inlineStr">
        <is>
          <t>Miss Glam Jambi</t>
        </is>
      </c>
      <c r="E4008" t="n">
        <v>2</v>
      </c>
      <c r="F4008" t="n">
        <v>0.0462</v>
      </c>
      <c r="G4008" t="n">
        <v>0.66</v>
      </c>
      <c r="H4008" t="n">
        <v>4</v>
      </c>
      <c r="I4008" t="n">
        <v>20</v>
      </c>
      <c r="J4008" t="n">
        <v>3</v>
      </c>
      <c r="K4008" t="n">
        <v>0</v>
      </c>
      <c r="L4008" t="n">
        <v>113300</v>
      </c>
      <c r="M4008" t="n">
        <v>193000</v>
      </c>
      <c r="N4008" t="n">
        <v>33</v>
      </c>
      <c r="O4008" t="n">
        <v>0.33</v>
      </c>
      <c r="P4008" t="n">
        <v>1</v>
      </c>
      <c r="Q4008" t="n">
        <v>0.02</v>
      </c>
      <c r="R4008" t="n">
        <v>0</v>
      </c>
      <c r="S4008" t="n">
        <v>8916.6</v>
      </c>
      <c r="T4008" t="n">
        <v>14</v>
      </c>
      <c r="U4008" t="n">
        <v>15</v>
      </c>
      <c r="V4008" t="n">
        <v>30</v>
      </c>
      <c r="W4008" t="n">
        <v>2</v>
      </c>
      <c r="X4008" t="n">
        <v>43.29004329004329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8511</v>
      </c>
      <c r="AG4008" t="n">
        <v>1</v>
      </c>
      <c r="AH4008" t="inlineStr">
        <is>
          <t>PT. BERSAMA DISTRIVERSA INDONESIA (DC CIPUTAT)</t>
        </is>
      </c>
      <c r="AI4008" t="n">
        <v>2098</v>
      </c>
      <c r="AJ4008" t="inlineStr">
        <is>
          <t>SKIN1004</t>
        </is>
      </c>
      <c r="AK4008" t="n">
        <v>9</v>
      </c>
      <c r="AL4008" t="inlineStr">
        <is>
          <t>Miss Glam Jambi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SKIN1004</t>
        </is>
      </c>
      <c r="B4009" s="2">
        <f>"8809576261165"</f>
        <v/>
      </c>
      <c r="C4009" t="inlineStr">
        <is>
          <t>SKIN1004 MADAGASCAR Centella Tone Brightening Boosting Toner 210ml</t>
        </is>
      </c>
      <c r="D4009" t="inlineStr">
        <is>
          <t>Miss Glam Jambi</t>
        </is>
      </c>
      <c r="E4009" t="n">
        <v>1</v>
      </c>
      <c r="F4009" t="n">
        <v>0.05280000000000001</v>
      </c>
      <c r="G4009" t="n">
        <v>0.66</v>
      </c>
      <c r="H4009" t="n">
        <v>4</v>
      </c>
      <c r="I4009" t="n">
        <v>20</v>
      </c>
      <c r="J4009" t="n">
        <v>3</v>
      </c>
      <c r="K4009" t="n">
        <v>0</v>
      </c>
      <c r="L4009" t="n">
        <v>110210</v>
      </c>
      <c r="M4009" t="n">
        <v>162500</v>
      </c>
      <c r="N4009" t="n">
        <v>33</v>
      </c>
      <c r="O4009" t="n">
        <v>0.33</v>
      </c>
      <c r="P4009" t="n">
        <v>1</v>
      </c>
      <c r="Q4009" t="n">
        <v>0.03</v>
      </c>
      <c r="R4009" t="n">
        <v>1</v>
      </c>
      <c r="S4009" t="n">
        <v>8580.000000000002</v>
      </c>
      <c r="T4009" t="n">
        <v>13</v>
      </c>
      <c r="U4009" t="n">
        <v>14</v>
      </c>
      <c r="V4009" t="n">
        <v>30</v>
      </c>
      <c r="W4009" t="n">
        <v>2</v>
      </c>
      <c r="X4009" t="n">
        <v>18.93939393939394</v>
      </c>
      <c r="Y4009" t="n">
        <v>1</v>
      </c>
      <c r="Z4009" t="n">
        <v>1</v>
      </c>
      <c r="AA4009" t="n">
        <v>1</v>
      </c>
      <c r="AB4009" t="n">
        <v>0</v>
      </c>
      <c r="AC4009" t="n">
        <v>0</v>
      </c>
      <c r="AD4009" t="n">
        <v>110210</v>
      </c>
      <c r="AE4009" t="n">
        <v>0</v>
      </c>
      <c r="AF4009" t="n">
        <v>8511</v>
      </c>
      <c r="AG4009" t="n">
        <v>1</v>
      </c>
      <c r="AH4009" t="inlineStr">
        <is>
          <t>PT. BERSAMA DISTRIVERSA INDONESIA (DC CIPUTAT)</t>
        </is>
      </c>
      <c r="AI4009" t="n">
        <v>2098</v>
      </c>
      <c r="AJ4009" t="inlineStr">
        <is>
          <t>SKIN1004</t>
        </is>
      </c>
      <c r="AK4009" t="n">
        <v>9</v>
      </c>
      <c r="AL4009" t="inlineStr">
        <is>
          <t>Miss Glam Jambi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SKIN1004</t>
        </is>
      </c>
      <c r="B4010" s="2">
        <f>"8809576261189"</f>
        <v/>
      </c>
      <c r="C4010" t="inlineStr">
        <is>
          <t>SKIN1004 MADAGASCAR Centella Tone Brightening Cleansing Gel Foam 125ml</t>
        </is>
      </c>
      <c r="D4010" t="inlineStr">
        <is>
          <t>Miss Glam Jambi</t>
        </is>
      </c>
      <c r="E4010" t="n">
        <v>7</v>
      </c>
      <c r="F4010" t="n">
        <v>0.15</v>
      </c>
      <c r="G4010" t="n">
        <v>1</v>
      </c>
      <c r="H4010" t="n">
        <v>4</v>
      </c>
      <c r="I4010" t="n">
        <v>20</v>
      </c>
      <c r="J4010" t="n">
        <v>3</v>
      </c>
      <c r="K4010" t="n">
        <v>0</v>
      </c>
      <c r="L4010" t="n">
        <v>81370</v>
      </c>
      <c r="M4010" t="n">
        <v>118500</v>
      </c>
      <c r="N4010" t="n">
        <v>33</v>
      </c>
      <c r="O4010" t="n">
        <v>0.33</v>
      </c>
      <c r="P4010" t="n">
        <v>0</v>
      </c>
      <c r="Q4010" t="n">
        <v>0.15</v>
      </c>
      <c r="R4010" t="n">
        <v>1</v>
      </c>
      <c r="S4010" t="n">
        <v>17775</v>
      </c>
      <c r="T4010" t="n">
        <v>20</v>
      </c>
      <c r="U4010" t="n">
        <v>21</v>
      </c>
      <c r="V4010" t="n">
        <v>30</v>
      </c>
      <c r="W4010" t="n">
        <v>5</v>
      </c>
      <c r="X4010" t="n">
        <v>46.66666666666667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8511</v>
      </c>
      <c r="AG4010" t="n">
        <v>1</v>
      </c>
      <c r="AH4010" t="inlineStr">
        <is>
          <t>PT. BERSAMA DISTRIVERSA INDONESIA (DC CIPUTAT)</t>
        </is>
      </c>
      <c r="AI4010" t="n">
        <v>2098</v>
      </c>
      <c r="AJ4010" t="inlineStr">
        <is>
          <t>SKIN1004</t>
        </is>
      </c>
      <c r="AK4010" t="n">
        <v>9</v>
      </c>
      <c r="AL4010" t="inlineStr">
        <is>
          <t>Miss Glam Jambi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SKIN1004</t>
        </is>
      </c>
      <c r="B4011" s="2">
        <f>"8809576261196"</f>
        <v/>
      </c>
      <c r="C4011" t="inlineStr">
        <is>
          <t>SKIN1004 MADAGASCAR Centella Toner  30 ml</t>
        </is>
      </c>
      <c r="D4011" t="inlineStr">
        <is>
          <t>Miss Glam Jambi</t>
        </is>
      </c>
      <c r="E4011" t="n">
        <v>6</v>
      </c>
      <c r="F4011" t="n">
        <v>0.0396</v>
      </c>
      <c r="G4011" t="n">
        <v>0.33</v>
      </c>
      <c r="H4011" t="n">
        <v>4</v>
      </c>
      <c r="I4011" t="n">
        <v>20</v>
      </c>
      <c r="J4011" t="n">
        <v>3</v>
      </c>
      <c r="K4011" t="n">
        <v>0</v>
      </c>
      <c r="L4011" t="n">
        <v>46350</v>
      </c>
      <c r="M4011" t="n">
        <v>72000</v>
      </c>
      <c r="N4011" t="n">
        <v>33</v>
      </c>
      <c r="O4011" t="n">
        <v>0.33</v>
      </c>
      <c r="P4011" t="n">
        <v>1</v>
      </c>
      <c r="Q4011" t="n">
        <v>0.03</v>
      </c>
      <c r="R4011" t="n">
        <v>1</v>
      </c>
      <c r="S4011" t="n">
        <v>2851.2</v>
      </c>
      <c r="T4011" t="n">
        <v>7</v>
      </c>
      <c r="U4011" t="n">
        <v>8</v>
      </c>
      <c r="V4011" t="n">
        <v>30</v>
      </c>
      <c r="W4011" t="n">
        <v>2</v>
      </c>
      <c r="X4011" t="n">
        <v>151.5151515151515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8511</v>
      </c>
      <c r="AG4011" t="n">
        <v>1</v>
      </c>
      <c r="AH4011" t="inlineStr">
        <is>
          <t>PT. BERSAMA DISTRIVERSA INDONESIA (DC CIPUTAT)</t>
        </is>
      </c>
      <c r="AI4011" t="n">
        <v>2098</v>
      </c>
      <c r="AJ4011" t="inlineStr">
        <is>
          <t>SKIN1004</t>
        </is>
      </c>
      <c r="AK4011" t="n">
        <v>9</v>
      </c>
      <c r="AL4011" t="inlineStr">
        <is>
          <t>Miss Glam Jambi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SKINDIVORE</t>
        </is>
      </c>
      <c r="B4012" s="2">
        <f>"10500174350"</f>
        <v/>
      </c>
      <c r="C4012" t="inlineStr">
        <is>
          <t>SKINDIVORE Masker Organik Avocado 60gr</t>
        </is>
      </c>
      <c r="D4012" t="inlineStr">
        <is>
          <t>Miss Glam Jambi</t>
        </is>
      </c>
      <c r="E4012" t="n">
        <v>4</v>
      </c>
      <c r="F4012" t="n">
        <v>0.0231</v>
      </c>
      <c r="G4012" t="n">
        <v>0.33</v>
      </c>
      <c r="H4012" t="n">
        <v>4</v>
      </c>
      <c r="I4012" t="n">
        <v>20</v>
      </c>
      <c r="J4012" t="n">
        <v>1</v>
      </c>
      <c r="K4012" t="n">
        <v>0</v>
      </c>
      <c r="L4012" t="n">
        <v>21350</v>
      </c>
      <c r="M4012" t="n">
        <v>38000</v>
      </c>
      <c r="N4012" t="n">
        <v>33</v>
      </c>
      <c r="O4012" t="n">
        <v>0.33</v>
      </c>
      <c r="P4012" t="n">
        <v>1</v>
      </c>
      <c r="Q4012" t="n">
        <v>0.03</v>
      </c>
      <c r="R4012" t="n">
        <v>1</v>
      </c>
      <c r="S4012" t="n">
        <v>877.8000000000001</v>
      </c>
      <c r="T4012" t="n">
        <v>7</v>
      </c>
      <c r="U4012" t="n">
        <v>8</v>
      </c>
      <c r="V4012" t="n">
        <v>30</v>
      </c>
      <c r="W4012" t="n">
        <v>1</v>
      </c>
      <c r="X4012" t="n">
        <v>173.1601731601731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8544</v>
      </c>
      <c r="AG4012" t="n">
        <v>1</v>
      </c>
      <c r="AH4012" t="inlineStr">
        <is>
          <t>PT. BERSAMA DISTRIVERSA INDONESIA (DC CIPUTAT)</t>
        </is>
      </c>
      <c r="AI4012" t="n">
        <v>2291</v>
      </c>
      <c r="AJ4012" t="inlineStr">
        <is>
          <t>SKINDIVORE</t>
        </is>
      </c>
      <c r="AK4012" t="n">
        <v>9</v>
      </c>
      <c r="AL4012" t="inlineStr">
        <is>
          <t>Miss Glam Jambi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SKINDIVORE</t>
        </is>
      </c>
      <c r="B4013" s="2">
        <f>"10500174559"</f>
        <v/>
      </c>
      <c r="C4013" t="inlineStr">
        <is>
          <t>SKINDIVORE Masker Organik Coffe 60gr</t>
        </is>
      </c>
      <c r="D4013" t="inlineStr">
        <is>
          <t>Miss Glam Jambi</t>
        </is>
      </c>
      <c r="E4013" t="n">
        <v>10</v>
      </c>
      <c r="F4013" t="n">
        <v>0.0165</v>
      </c>
      <c r="G4013" t="n">
        <v>0.33</v>
      </c>
      <c r="H4013" t="n">
        <v>4</v>
      </c>
      <c r="I4013" t="n">
        <v>20</v>
      </c>
      <c r="J4013" t="n">
        <v>1</v>
      </c>
      <c r="K4013" t="n">
        <v>0</v>
      </c>
      <c r="L4013" t="n">
        <v>25370</v>
      </c>
      <c r="M4013" t="n">
        <v>38000</v>
      </c>
      <c r="N4013" t="n">
        <v>33</v>
      </c>
      <c r="O4013" t="n">
        <v>0.33</v>
      </c>
      <c r="P4013" t="n">
        <v>1</v>
      </c>
      <c r="Q4013" t="n">
        <v>0.03</v>
      </c>
      <c r="R4013" t="n">
        <v>1</v>
      </c>
      <c r="S4013" t="n">
        <v>627</v>
      </c>
      <c r="T4013" t="n">
        <v>7</v>
      </c>
      <c r="U4013" t="n">
        <v>8</v>
      </c>
      <c r="V4013" t="n">
        <v>30</v>
      </c>
      <c r="W4013" t="n">
        <v>1</v>
      </c>
      <c r="X4013" t="n">
        <v>606.060606060606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8544</v>
      </c>
      <c r="AG4013" t="n">
        <v>1</v>
      </c>
      <c r="AH4013" t="inlineStr">
        <is>
          <t>PT. BERSAMA DISTRIVERSA INDONESIA (DC CIPUTAT)</t>
        </is>
      </c>
      <c r="AI4013" t="n">
        <v>2291</v>
      </c>
      <c r="AJ4013" t="inlineStr">
        <is>
          <t>SKINDIVORE</t>
        </is>
      </c>
      <c r="AK4013" t="n">
        <v>9</v>
      </c>
      <c r="AL4013" t="inlineStr">
        <is>
          <t>Miss Glam Jambi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SKINDIVORE</t>
        </is>
      </c>
      <c r="B4014" s="2">
        <f>"10500174257"</f>
        <v/>
      </c>
      <c r="C4014" t="inlineStr">
        <is>
          <t>SKINDIVORE Masker Organik Greentea 60gr</t>
        </is>
      </c>
      <c r="D4014" t="inlineStr">
        <is>
          <t>Miss Glam Jambi</t>
        </is>
      </c>
      <c r="E4014" t="n">
        <v>5</v>
      </c>
      <c r="F4014" t="n">
        <v>0.0462</v>
      </c>
      <c r="G4014" t="n">
        <v>0.66</v>
      </c>
      <c r="H4014" t="n">
        <v>4</v>
      </c>
      <c r="I4014" t="n">
        <v>20</v>
      </c>
      <c r="J4014" t="n">
        <v>1</v>
      </c>
      <c r="K4014" t="n">
        <v>0</v>
      </c>
      <c r="L4014" t="n">
        <v>23561</v>
      </c>
      <c r="M4014" t="n">
        <v>38000</v>
      </c>
      <c r="N4014" t="n">
        <v>33</v>
      </c>
      <c r="O4014" t="n">
        <v>0.33</v>
      </c>
      <c r="P4014" t="n">
        <v>1</v>
      </c>
      <c r="Q4014" t="n">
        <v>0.05</v>
      </c>
      <c r="R4014" t="n">
        <v>1</v>
      </c>
      <c r="S4014" t="n">
        <v>1755.6</v>
      </c>
      <c r="T4014" t="n">
        <v>14</v>
      </c>
      <c r="U4014" t="n">
        <v>15</v>
      </c>
      <c r="V4014" t="n">
        <v>30</v>
      </c>
      <c r="W4014" t="n">
        <v>2</v>
      </c>
      <c r="X4014" t="n">
        <v>108.2251082251082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8544</v>
      </c>
      <c r="AG4014" t="n">
        <v>1</v>
      </c>
      <c r="AH4014" t="inlineStr">
        <is>
          <t>PT. BERSAMA DISTRIVERSA INDONESIA (DC CIPUTAT)</t>
        </is>
      </c>
      <c r="AI4014" t="n">
        <v>2291</v>
      </c>
      <c r="AJ4014" t="inlineStr">
        <is>
          <t>SKINDIVORE</t>
        </is>
      </c>
      <c r="AK4014" t="n">
        <v>9</v>
      </c>
      <c r="AL4014" t="inlineStr">
        <is>
          <t>Miss Glam Jambi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SKINDIVORE</t>
        </is>
      </c>
      <c r="B4015" s="2">
        <f>"10500174428"</f>
        <v/>
      </c>
      <c r="C4015" t="inlineStr">
        <is>
          <t>SKINDIVORE Masker Organik Hibiscus 60gr</t>
        </is>
      </c>
      <c r="D4015" t="inlineStr">
        <is>
          <t>Miss Glam Jambi</t>
        </is>
      </c>
      <c r="E4015" t="n">
        <v>8</v>
      </c>
      <c r="F4015" t="n">
        <v>0.0165</v>
      </c>
      <c r="G4015" t="n">
        <v>0.33</v>
      </c>
      <c r="H4015" t="n">
        <v>4</v>
      </c>
      <c r="I4015" t="n">
        <v>20</v>
      </c>
      <c r="J4015" t="n">
        <v>1</v>
      </c>
      <c r="K4015" t="n">
        <v>0</v>
      </c>
      <c r="L4015" t="n">
        <v>24298</v>
      </c>
      <c r="M4015" t="n">
        <v>38000</v>
      </c>
      <c r="N4015" t="n">
        <v>33</v>
      </c>
      <c r="O4015" t="n">
        <v>0.33</v>
      </c>
      <c r="P4015" t="n">
        <v>1</v>
      </c>
      <c r="Q4015" t="n">
        <v>0.02</v>
      </c>
      <c r="R4015" t="n">
        <v>1</v>
      </c>
      <c r="S4015" t="n">
        <v>627</v>
      </c>
      <c r="T4015" t="n">
        <v>7</v>
      </c>
      <c r="U4015" t="n">
        <v>8</v>
      </c>
      <c r="V4015" t="n">
        <v>30</v>
      </c>
      <c r="W4015" t="n">
        <v>1</v>
      </c>
      <c r="X4015" t="n">
        <v>484.8484848484848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8544</v>
      </c>
      <c r="AG4015" t="n">
        <v>1</v>
      </c>
      <c r="AH4015" t="inlineStr">
        <is>
          <t>PT. BERSAMA DISTRIVERSA INDONESIA (DC CIPUTAT)</t>
        </is>
      </c>
      <c r="AI4015" t="n">
        <v>2291</v>
      </c>
      <c r="AJ4015" t="inlineStr">
        <is>
          <t>SKINDIVORE</t>
        </is>
      </c>
      <c r="AK4015" t="n">
        <v>9</v>
      </c>
      <c r="AL4015" t="inlineStr">
        <is>
          <t>Miss Glam Jambi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SKINDIVORE</t>
        </is>
      </c>
      <c r="B4016" s="2">
        <f>"10500174630"</f>
        <v/>
      </c>
      <c r="C4016" t="inlineStr">
        <is>
          <t>SKINDIVORE Masker Organik Milk 60gr</t>
        </is>
      </c>
      <c r="D4016" t="inlineStr">
        <is>
          <t>Miss Glam Jambi</t>
        </is>
      </c>
      <c r="E4016" t="n">
        <v>7</v>
      </c>
      <c r="F4016" t="n">
        <v>0.033</v>
      </c>
      <c r="G4016" t="n">
        <v>0.66</v>
      </c>
      <c r="H4016" t="n">
        <v>4</v>
      </c>
      <c r="I4016" t="n">
        <v>20</v>
      </c>
      <c r="J4016" t="n">
        <v>1</v>
      </c>
      <c r="K4016" t="n">
        <v>0</v>
      </c>
      <c r="L4016" t="n">
        <v>25370</v>
      </c>
      <c r="M4016" t="n">
        <v>38000</v>
      </c>
      <c r="N4016" t="n">
        <v>33</v>
      </c>
      <c r="O4016" t="n">
        <v>0.33</v>
      </c>
      <c r="P4016" t="n">
        <v>1</v>
      </c>
      <c r="Q4016" t="n">
        <v>0.07000000000000001</v>
      </c>
      <c r="R4016" t="n">
        <v>1</v>
      </c>
      <c r="S4016" t="n">
        <v>1254</v>
      </c>
      <c r="T4016" t="n">
        <v>14</v>
      </c>
      <c r="U4016" t="n">
        <v>15</v>
      </c>
      <c r="V4016" t="n">
        <v>30</v>
      </c>
      <c r="W4016" t="n">
        <v>1</v>
      </c>
      <c r="X4016" t="n">
        <v>212.1212121212121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8544</v>
      </c>
      <c r="AG4016" t="n">
        <v>1</v>
      </c>
      <c r="AH4016" t="inlineStr">
        <is>
          <t>PT. BERSAMA DISTRIVERSA INDONESIA (DC CIPUTAT)</t>
        </is>
      </c>
      <c r="AI4016" t="n">
        <v>2291</v>
      </c>
      <c r="AJ4016" t="inlineStr">
        <is>
          <t>SKINDIVORE</t>
        </is>
      </c>
      <c r="AK4016" t="n">
        <v>9</v>
      </c>
      <c r="AL4016" t="inlineStr">
        <is>
          <t>Miss Glam Jambi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SKINFLAIR</t>
        </is>
      </c>
      <c r="B4017" s="2">
        <f>"10500638238"</f>
        <v/>
      </c>
      <c r="C4017" t="inlineStr">
        <is>
          <t>SKINFLAIR  Mask White Glow Perfect Mask Masker Wajah 50gr</t>
        </is>
      </c>
      <c r="D4017" t="inlineStr">
        <is>
          <t>Miss Glam Jambi</t>
        </is>
      </c>
      <c r="E4017" t="n">
        <v>6</v>
      </c>
      <c r="F4017" t="n">
        <v>0.2376</v>
      </c>
      <c r="G4017" t="n">
        <v>0.99</v>
      </c>
      <c r="H4017" t="n">
        <v>4</v>
      </c>
      <c r="I4017" t="n">
        <v>20</v>
      </c>
      <c r="J4017" t="n">
        <v>1</v>
      </c>
      <c r="K4017" t="n">
        <v>0</v>
      </c>
      <c r="L4017" t="n">
        <v>34706</v>
      </c>
      <c r="M4017" t="n">
        <v>45000</v>
      </c>
      <c r="N4017" t="n">
        <v>33</v>
      </c>
      <c r="O4017" t="n">
        <v>0.33</v>
      </c>
      <c r="P4017" t="n">
        <v>1</v>
      </c>
      <c r="Q4017" t="n">
        <v>0.47</v>
      </c>
      <c r="R4017" t="n">
        <v>2</v>
      </c>
      <c r="S4017" t="n">
        <v>10692</v>
      </c>
      <c r="T4017" t="n">
        <v>19</v>
      </c>
      <c r="U4017" t="n">
        <v>20</v>
      </c>
      <c r="V4017" t="n">
        <v>30</v>
      </c>
      <c r="W4017" t="n">
        <v>8</v>
      </c>
      <c r="X4017" t="n">
        <v>25.25252525252525</v>
      </c>
      <c r="Y4017" t="n">
        <v>1</v>
      </c>
      <c r="Z4017" t="n">
        <v>2</v>
      </c>
      <c r="AA4017" t="n">
        <v>0</v>
      </c>
      <c r="AB4017" t="n">
        <v>2</v>
      </c>
      <c r="AC4017" t="n">
        <v>2</v>
      </c>
      <c r="AD4017" t="n">
        <v>0</v>
      </c>
      <c r="AE4017" t="n">
        <v>69412</v>
      </c>
      <c r="AF4017" t="n">
        <v>8577</v>
      </c>
      <c r="AG4017" t="n">
        <v>1</v>
      </c>
      <c r="AH4017" t="inlineStr">
        <is>
          <t>PT. BERSAMA DISTRIVERSA INDONESIA (DC CIPUTAT)</t>
        </is>
      </c>
      <c r="AI4017" t="n">
        <v>2326</v>
      </c>
      <c r="AJ4017" t="inlineStr">
        <is>
          <t>SKINFLAIR</t>
        </is>
      </c>
      <c r="AK4017" t="n">
        <v>9</v>
      </c>
      <c r="AL4017" t="inlineStr">
        <is>
          <t>Miss Glam Jambi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SKINFLAIR</t>
        </is>
      </c>
      <c r="B4018" s="2">
        <f>"10600307634"</f>
        <v/>
      </c>
      <c r="C4018" t="inlineStr">
        <is>
          <t>SKINFLAIR Acne Spot Treatment 30ml</t>
        </is>
      </c>
      <c r="D4018" t="inlineStr">
        <is>
          <t>Miss Glam Jambi</t>
        </is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6</v>
      </c>
      <c r="L4018" t="n">
        <v>0</v>
      </c>
      <c r="M4018" t="n">
        <v>0</v>
      </c>
      <c r="N4018" t="n">
        <v>33</v>
      </c>
      <c r="O4018" t="n">
        <v>0.33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30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8577</v>
      </c>
      <c r="AG4018" t="n">
        <v>1</v>
      </c>
      <c r="AH4018" t="inlineStr">
        <is>
          <t>PT. BERSAMA DISTRIVERSA INDONESIA (DC CIPUTAT)</t>
        </is>
      </c>
      <c r="AI4018" t="n">
        <v>2326</v>
      </c>
      <c r="AJ4018" t="inlineStr">
        <is>
          <t>SKINFLAIR</t>
        </is>
      </c>
      <c r="AK4018" t="n">
        <v>9</v>
      </c>
      <c r="AL4018" t="inlineStr">
        <is>
          <t>Miss Glam Jambi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SKINFLAIR</t>
        </is>
      </c>
      <c r="B4019" s="2">
        <f>"30100244441"</f>
        <v/>
      </c>
      <c r="C4019" t="inlineStr">
        <is>
          <t>SKINFLAIR Glutathione Body Scrub Tone Up Booster</t>
        </is>
      </c>
      <c r="D4019" t="inlineStr">
        <is>
          <t>Miss Glam Jambi</t>
        </is>
      </c>
      <c r="E4019" t="n">
        <v>4</v>
      </c>
      <c r="F4019" t="n">
        <v>0.033</v>
      </c>
      <c r="G4019" t="n">
        <v>0.33</v>
      </c>
      <c r="H4019" t="n">
        <v>4</v>
      </c>
      <c r="I4019" t="n">
        <v>20</v>
      </c>
      <c r="J4019" t="n">
        <v>1</v>
      </c>
      <c r="K4019" t="n">
        <v>0</v>
      </c>
      <c r="L4019" t="n">
        <v>62149</v>
      </c>
      <c r="M4019" t="n">
        <v>82000</v>
      </c>
      <c r="N4019" t="n">
        <v>33</v>
      </c>
      <c r="O4019" t="n">
        <v>0.33</v>
      </c>
      <c r="P4019" t="n">
        <v>1</v>
      </c>
      <c r="Q4019" t="n">
        <v>0.17</v>
      </c>
      <c r="R4019" t="n">
        <v>2</v>
      </c>
      <c r="S4019" t="n">
        <v>2706</v>
      </c>
      <c r="T4019" t="n">
        <v>7</v>
      </c>
      <c r="U4019" t="n">
        <v>8</v>
      </c>
      <c r="V4019" t="n">
        <v>30</v>
      </c>
      <c r="W4019" t="n">
        <v>1</v>
      </c>
      <c r="X4019" t="n">
        <v>121.2121212121212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8577</v>
      </c>
      <c r="AG4019" t="n">
        <v>1</v>
      </c>
      <c r="AH4019" t="inlineStr">
        <is>
          <t>PT. BERSAMA DISTRIVERSA INDONESIA (DC CIPUTAT)</t>
        </is>
      </c>
      <c r="AI4019" t="n">
        <v>2326</v>
      </c>
      <c r="AJ4019" t="inlineStr">
        <is>
          <t>SKINFLAIR</t>
        </is>
      </c>
      <c r="AK4019" t="n">
        <v>9</v>
      </c>
      <c r="AL4019" t="inlineStr">
        <is>
          <t>Miss Glam Jambi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SKINFLAIR</t>
        </is>
      </c>
      <c r="B4020" s="2">
        <f>"30200193012"</f>
        <v/>
      </c>
      <c r="C4020" t="inlineStr">
        <is>
          <t>SKINFLAIR Glutawhite Milky Lotion 150ml</t>
        </is>
      </c>
      <c r="D4020" t="inlineStr">
        <is>
          <t>Miss Glam Jambi</t>
        </is>
      </c>
      <c r="E4020" t="n">
        <v>5</v>
      </c>
      <c r="F4020" t="n">
        <v>0.1188</v>
      </c>
      <c r="G4020" t="n">
        <v>1.65</v>
      </c>
      <c r="H4020" t="n">
        <v>4</v>
      </c>
      <c r="I4020" t="n">
        <v>20</v>
      </c>
      <c r="J4020" t="n">
        <v>1</v>
      </c>
      <c r="K4020" t="n">
        <v>10</v>
      </c>
      <c r="L4020" t="n">
        <v>73196</v>
      </c>
      <c r="M4020" t="n">
        <v>92000</v>
      </c>
      <c r="N4020" t="n">
        <v>33</v>
      </c>
      <c r="O4020" t="n">
        <v>0.33</v>
      </c>
      <c r="P4020" t="n">
        <v>1</v>
      </c>
      <c r="Q4020" t="n">
        <v>0.36</v>
      </c>
      <c r="R4020" t="n">
        <v>2</v>
      </c>
      <c r="S4020" t="n">
        <v>10929.6</v>
      </c>
      <c r="T4020" t="n">
        <v>33</v>
      </c>
      <c r="U4020" t="n">
        <v>34</v>
      </c>
      <c r="V4020" t="n">
        <v>30</v>
      </c>
      <c r="W4020" t="n">
        <v>4</v>
      </c>
      <c r="X4020" t="n">
        <v>42.08754208754209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8577</v>
      </c>
      <c r="AG4020" t="n">
        <v>1</v>
      </c>
      <c r="AH4020" t="inlineStr">
        <is>
          <t>PT. BERSAMA DISTRIVERSA INDONESIA (DC CIPUTAT)</t>
        </is>
      </c>
      <c r="AI4020" t="n">
        <v>2326</v>
      </c>
      <c r="AJ4020" t="inlineStr">
        <is>
          <t>SKINFLAIR</t>
        </is>
      </c>
      <c r="AK4020" t="n">
        <v>9</v>
      </c>
      <c r="AL4020" t="inlineStr">
        <is>
          <t>Miss Glam Jambi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SKINMURCH</t>
        </is>
      </c>
      <c r="B4021" s="2">
        <f>"8994451460037"</f>
        <v/>
      </c>
      <c r="C4021" t="inlineStr">
        <is>
          <t>SKINMURCH Cloud Skin Sunscare 40ml</t>
        </is>
      </c>
      <c r="D4021" t="inlineStr">
        <is>
          <t>Miss Glam Jambi</t>
        </is>
      </c>
      <c r="E4021" t="n">
        <v>5</v>
      </c>
      <c r="F4021" t="n">
        <v>0.009900000000000001</v>
      </c>
      <c r="G4021" t="n">
        <v>0.33</v>
      </c>
      <c r="H4021" t="n">
        <v>4</v>
      </c>
      <c r="I4021" t="n">
        <v>20</v>
      </c>
      <c r="J4021" t="n">
        <v>3</v>
      </c>
      <c r="K4021" t="n">
        <v>0</v>
      </c>
      <c r="L4021" t="n">
        <v>81794</v>
      </c>
      <c r="M4021" t="n">
        <v>104000</v>
      </c>
      <c r="N4021" t="n">
        <v>33</v>
      </c>
      <c r="O4021" t="n">
        <v>0.33</v>
      </c>
      <c r="P4021" t="n">
        <v>1</v>
      </c>
      <c r="Q4021" t="n">
        <v>0.02</v>
      </c>
      <c r="R4021" t="n">
        <v>1</v>
      </c>
      <c r="S4021" t="n">
        <v>1029.6</v>
      </c>
      <c r="T4021" t="n">
        <v>7</v>
      </c>
      <c r="U4021" t="n">
        <v>8</v>
      </c>
      <c r="V4021" t="n">
        <v>30</v>
      </c>
      <c r="W4021" t="n">
        <v>1</v>
      </c>
      <c r="X4021" t="n">
        <v>505.050505050505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8610</v>
      </c>
      <c r="AG4021" t="n">
        <v>1</v>
      </c>
      <c r="AH4021" t="inlineStr">
        <is>
          <t>PT. BERSAMA DISTRIVERSA INDONESIA (DC CIPUTAT)</t>
        </is>
      </c>
      <c r="AI4021" t="n">
        <v>1719</v>
      </c>
      <c r="AJ4021" t="inlineStr">
        <is>
          <t>SKINMURCH</t>
        </is>
      </c>
      <c r="AK4021" t="n">
        <v>9</v>
      </c>
      <c r="AL4021" t="inlineStr">
        <is>
          <t>Miss Glam Jambi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SKINTIFIC</t>
        </is>
      </c>
      <c r="B4022" s="2">
        <f>"7554411565328"</f>
        <v/>
      </c>
      <c r="C4022" t="inlineStr">
        <is>
          <t>SKINTIFIC 10% Niacinamide Brightening Serum 20ml</t>
        </is>
      </c>
      <c r="D4022" t="inlineStr">
        <is>
          <t>Miss Glam Jambi</t>
        </is>
      </c>
      <c r="E4022" t="n">
        <v>7</v>
      </c>
      <c r="F4022" t="n">
        <v>0.4257</v>
      </c>
      <c r="G4022" t="n">
        <v>1.32</v>
      </c>
      <c r="H4022" t="n">
        <v>2</v>
      </c>
      <c r="I4022" t="n">
        <v>12</v>
      </c>
      <c r="J4022" t="n">
        <v>3</v>
      </c>
      <c r="K4022" t="n">
        <v>6</v>
      </c>
      <c r="L4022" t="n">
        <v>109055</v>
      </c>
      <c r="M4022" t="n">
        <v>143200</v>
      </c>
      <c r="N4022" t="n">
        <v>33</v>
      </c>
      <c r="O4022" t="n">
        <v>0.33</v>
      </c>
      <c r="P4022" t="n">
        <v>1</v>
      </c>
      <c r="Q4022" t="n">
        <v>0.39</v>
      </c>
      <c r="R4022" t="n">
        <v>2</v>
      </c>
      <c r="S4022" t="n">
        <v>60960.24000000001</v>
      </c>
      <c r="T4022" t="n">
        <v>15</v>
      </c>
      <c r="U4022" t="n">
        <v>16</v>
      </c>
      <c r="V4022" t="n">
        <v>30</v>
      </c>
      <c r="W4022" t="n">
        <v>13</v>
      </c>
      <c r="X4022" t="n">
        <v>16.44350481559784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12725</v>
      </c>
      <c r="AG4022" t="n">
        <v>2137</v>
      </c>
      <c r="AH4022" t="inlineStr">
        <is>
          <t>PT. SAMUDRA JAYA ANUGRAH - PPN (JMB)</t>
        </is>
      </c>
      <c r="AI4022" t="n">
        <v>1017</v>
      </c>
      <c r="AJ4022" t="inlineStr">
        <is>
          <t>SKINTIFIC</t>
        </is>
      </c>
      <c r="AK4022" t="n">
        <v>9</v>
      </c>
      <c r="AL4022" t="inlineStr">
        <is>
          <t>Miss Glam Jambi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SKINTIFIC</t>
        </is>
      </c>
      <c r="B4023" s="2">
        <f>"11200151409"</f>
        <v/>
      </c>
      <c r="C4023" t="inlineStr">
        <is>
          <t>SKINTIFIC 10% Pure Vitamin C Brightening Serum (1g+9g)</t>
        </is>
      </c>
      <c r="D4023" t="inlineStr">
        <is>
          <t>Miss Glam Jambi</t>
        </is>
      </c>
      <c r="E4023" t="n">
        <v>75</v>
      </c>
      <c r="F4023" t="n">
        <v>0.1617</v>
      </c>
      <c r="G4023" t="n">
        <v>0.99</v>
      </c>
      <c r="H4023" t="n">
        <v>2</v>
      </c>
      <c r="I4023" t="n">
        <v>12</v>
      </c>
      <c r="J4023" t="n">
        <v>1</v>
      </c>
      <c r="K4023" t="n">
        <v>0</v>
      </c>
      <c r="L4023" t="n">
        <v>112100</v>
      </c>
      <c r="M4023" t="n">
        <v>148000</v>
      </c>
      <c r="N4023" t="n">
        <v>33</v>
      </c>
      <c r="O4023" t="n">
        <v>0.33</v>
      </c>
      <c r="P4023" t="n">
        <v>1</v>
      </c>
      <c r="Q4023" t="n">
        <v>0.29</v>
      </c>
      <c r="R4023" t="n">
        <v>2</v>
      </c>
      <c r="S4023" t="n">
        <v>23931.6</v>
      </c>
      <c r="T4023" t="n">
        <v>12</v>
      </c>
      <c r="U4023" t="n">
        <v>13</v>
      </c>
      <c r="V4023" t="n">
        <v>30</v>
      </c>
      <c r="W4023" t="n">
        <v>5</v>
      </c>
      <c r="X4023" t="n">
        <v>463.8218923933209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12725</v>
      </c>
      <c r="AG4023" t="n">
        <v>2137</v>
      </c>
      <c r="AH4023" t="inlineStr">
        <is>
          <t>PT. SAMUDRA JAYA ANUGRAH - PPN (JMB)</t>
        </is>
      </c>
      <c r="AI4023" t="n">
        <v>1017</v>
      </c>
      <c r="AJ4023" t="inlineStr">
        <is>
          <t>SKINTIFIC</t>
        </is>
      </c>
      <c r="AK4023" t="n">
        <v>9</v>
      </c>
      <c r="AL4023" t="inlineStr">
        <is>
          <t>Miss Glam Jambi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SKINTIFIC</t>
        </is>
      </c>
      <c r="B4024" s="2">
        <f>"810114871843"</f>
        <v/>
      </c>
      <c r="C4024" t="inlineStr">
        <is>
          <t>SKINTIFIC 12% AHA BHA PHA LHA Peeling Solution 30ml</t>
        </is>
      </c>
      <c r="D4024" t="inlineStr">
        <is>
          <t>Miss Glam Jambi</t>
        </is>
      </c>
      <c r="E4024" t="n">
        <v>6</v>
      </c>
      <c r="F4024" t="n">
        <v>0.3036</v>
      </c>
      <c r="G4024" t="n">
        <v>0.99</v>
      </c>
      <c r="H4024" t="n">
        <v>2</v>
      </c>
      <c r="I4024" t="n">
        <v>12</v>
      </c>
      <c r="J4024" t="n">
        <v>24</v>
      </c>
      <c r="K4024" t="n">
        <v>24</v>
      </c>
      <c r="L4024" t="n">
        <v>115686</v>
      </c>
      <c r="M4024" t="n">
        <v>154200</v>
      </c>
      <c r="N4024" t="n">
        <v>33</v>
      </c>
      <c r="O4024" t="n">
        <v>0.33</v>
      </c>
      <c r="P4024" t="n">
        <v>1</v>
      </c>
      <c r="Q4024" t="n">
        <v>0.29</v>
      </c>
      <c r="R4024" t="n">
        <v>2</v>
      </c>
      <c r="S4024" t="n">
        <v>46815.12</v>
      </c>
      <c r="T4024" t="n">
        <v>12</v>
      </c>
      <c r="U4024" t="n">
        <v>13</v>
      </c>
      <c r="V4024" t="n">
        <v>30</v>
      </c>
      <c r="W4024" t="n">
        <v>10</v>
      </c>
      <c r="X4024" t="n">
        <v>19.76284584980237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12725</v>
      </c>
      <c r="AG4024" t="n">
        <v>2137</v>
      </c>
      <c r="AH4024" t="inlineStr">
        <is>
          <t>PT. SAMUDRA JAYA ANUGRAH - PPN (JMB)</t>
        </is>
      </c>
      <c r="AI4024" t="n">
        <v>1017</v>
      </c>
      <c r="AJ4024" t="inlineStr">
        <is>
          <t>SKINTIFIC</t>
        </is>
      </c>
      <c r="AK4024" t="n">
        <v>9</v>
      </c>
      <c r="AL4024" t="inlineStr">
        <is>
          <t>Miss Glam Jambi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SKINTIFIC</t>
        </is>
      </c>
      <c r="B4025" s="2">
        <f>"6974388210013"</f>
        <v/>
      </c>
      <c r="C4025" t="inlineStr">
        <is>
          <t>SKINTIFIC 2% Salicylic Acid Anti Acne Serum 20ml</t>
        </is>
      </c>
      <c r="D4025" t="inlineStr">
        <is>
          <t>Miss Glam Jambi</t>
        </is>
      </c>
      <c r="E4025" t="n">
        <v>5</v>
      </c>
      <c r="F4025" t="n">
        <v>0.1122</v>
      </c>
      <c r="G4025" t="n">
        <v>0.66</v>
      </c>
      <c r="H4025" t="n">
        <v>2</v>
      </c>
      <c r="I4025" t="n">
        <v>12</v>
      </c>
      <c r="J4025" t="n">
        <v>3</v>
      </c>
      <c r="K4025" t="n">
        <v>0</v>
      </c>
      <c r="L4025" t="n">
        <v>108647</v>
      </c>
      <c r="M4025" t="n">
        <v>142000</v>
      </c>
      <c r="N4025" t="n">
        <v>33</v>
      </c>
      <c r="O4025" t="n">
        <v>0.33</v>
      </c>
      <c r="P4025" t="n">
        <v>1</v>
      </c>
      <c r="Q4025" t="n">
        <v>0.08</v>
      </c>
      <c r="R4025" t="n">
        <v>1</v>
      </c>
      <c r="S4025" t="n">
        <v>15932.4</v>
      </c>
      <c r="T4025" t="n">
        <v>8</v>
      </c>
      <c r="U4025" t="n">
        <v>9</v>
      </c>
      <c r="V4025" t="n">
        <v>30</v>
      </c>
      <c r="W4025" t="n">
        <v>4</v>
      </c>
      <c r="X4025" t="n">
        <v>44.5632798573975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12725</v>
      </c>
      <c r="AG4025" t="n">
        <v>2137</v>
      </c>
      <c r="AH4025" t="inlineStr">
        <is>
          <t>PT. SAMUDRA JAYA ANUGRAH - PPN (JMB)</t>
        </is>
      </c>
      <c r="AI4025" t="n">
        <v>1017</v>
      </c>
      <c r="AJ4025" t="inlineStr">
        <is>
          <t>SKINTIFIC</t>
        </is>
      </c>
      <c r="AK4025" t="n">
        <v>9</v>
      </c>
      <c r="AL4025" t="inlineStr">
        <is>
          <t>Miss Glam Jambi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SKINTIFIC</t>
        </is>
      </c>
      <c r="B4026" s="2">
        <f>"810114870457"</f>
        <v/>
      </c>
      <c r="C4026" t="inlineStr">
        <is>
          <t>SKINTIFIC 3% Tranexamic Acid Advanced Bright Serum 20ml</t>
        </is>
      </c>
      <c r="D4026" t="inlineStr">
        <is>
          <t>Miss Glam Jambi</t>
        </is>
      </c>
      <c r="E4026" t="n">
        <v>4</v>
      </c>
      <c r="F4026" t="n">
        <v>0.0396</v>
      </c>
      <c r="G4026" t="n">
        <v>0.33</v>
      </c>
      <c r="H4026" t="n">
        <v>2</v>
      </c>
      <c r="I4026" t="n">
        <v>12</v>
      </c>
      <c r="J4026" t="n">
        <v>3</v>
      </c>
      <c r="K4026" t="n">
        <v>0</v>
      </c>
      <c r="L4026" t="n">
        <v>118734</v>
      </c>
      <c r="M4026" t="n">
        <v>148500</v>
      </c>
      <c r="N4026" t="n">
        <v>33</v>
      </c>
      <c r="O4026" t="n">
        <v>0.33</v>
      </c>
      <c r="P4026" t="n">
        <v>1</v>
      </c>
      <c r="Q4026" t="n">
        <v>0.08</v>
      </c>
      <c r="R4026" t="n">
        <v>1</v>
      </c>
      <c r="S4026" t="n">
        <v>5880.6</v>
      </c>
      <c r="T4026" t="n">
        <v>4</v>
      </c>
      <c r="U4026" t="n">
        <v>5</v>
      </c>
      <c r="V4026" t="n">
        <v>30</v>
      </c>
      <c r="W4026" t="n">
        <v>2</v>
      </c>
      <c r="X4026" t="n">
        <v>101.010101010101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12725</v>
      </c>
      <c r="AG4026" t="n">
        <v>2137</v>
      </c>
      <c r="AH4026" t="inlineStr">
        <is>
          <t>PT. SAMUDRA JAYA ANUGRAH - PPN (JMB)</t>
        </is>
      </c>
      <c r="AI4026" t="n">
        <v>1017</v>
      </c>
      <c r="AJ4026" t="inlineStr">
        <is>
          <t>SKINTIFIC</t>
        </is>
      </c>
      <c r="AK4026" t="n">
        <v>9</v>
      </c>
      <c r="AL4026" t="inlineStr">
        <is>
          <t>Miss Glam Jambi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SKINTIFIC</t>
        </is>
      </c>
      <c r="B4027" s="2">
        <f>"10200162158"</f>
        <v/>
      </c>
      <c r="C4027" t="inlineStr">
        <is>
          <t>SKINTIFIC 377 Dark Spot Essence Toner 80ml</t>
        </is>
      </c>
      <c r="D4027" t="inlineStr">
        <is>
          <t>Miss Glam Jambi</t>
        </is>
      </c>
      <c r="E4027" t="n">
        <v>5</v>
      </c>
      <c r="F4027" t="n">
        <v>0.09569999999999999</v>
      </c>
      <c r="G4027" t="n">
        <v>0.66</v>
      </c>
      <c r="H4027" t="n">
        <v>2</v>
      </c>
      <c r="I4027" t="n">
        <v>12</v>
      </c>
      <c r="J4027" t="n">
        <v>1</v>
      </c>
      <c r="K4027" t="n">
        <v>0</v>
      </c>
      <c r="L4027" t="n">
        <v>91949</v>
      </c>
      <c r="M4027" t="n">
        <v>135000</v>
      </c>
      <c r="N4027" t="n">
        <v>33</v>
      </c>
      <c r="O4027" t="n">
        <v>0.33</v>
      </c>
      <c r="P4027" t="n">
        <v>1</v>
      </c>
      <c r="Q4027" t="n">
        <v>0.15</v>
      </c>
      <c r="R4027" t="n">
        <v>2</v>
      </c>
      <c r="S4027" t="n">
        <v>12919.5</v>
      </c>
      <c r="T4027" t="n">
        <v>8</v>
      </c>
      <c r="U4027" t="n">
        <v>9</v>
      </c>
      <c r="V4027" t="n">
        <v>30</v>
      </c>
      <c r="W4027" t="n">
        <v>3</v>
      </c>
      <c r="X4027" t="n">
        <v>52.24660397074191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12725</v>
      </c>
      <c r="AG4027" t="n">
        <v>2137</v>
      </c>
      <c r="AH4027" t="inlineStr">
        <is>
          <t>PT. SAMUDRA JAYA ANUGRAH - PPN (JMB)</t>
        </is>
      </c>
      <c r="AI4027" t="n">
        <v>1017</v>
      </c>
      <c r="AJ4027" t="inlineStr">
        <is>
          <t>SKINTIFIC</t>
        </is>
      </c>
      <c r="AK4027" t="n">
        <v>9</v>
      </c>
      <c r="AL4027" t="inlineStr">
        <is>
          <t>Miss Glam Jambi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SKINTIFIC</t>
        </is>
      </c>
      <c r="B4028" s="2">
        <f>"810114871799"</f>
        <v/>
      </c>
      <c r="C4028" t="inlineStr">
        <is>
          <t>SKINTIFIC 3x Acid Acne Gel Cleanser 120ml</t>
        </is>
      </c>
      <c r="D4028" t="inlineStr">
        <is>
          <t>Miss Glam Jambi</t>
        </is>
      </c>
      <c r="E4028" t="n">
        <v>7</v>
      </c>
      <c r="F4028" t="n">
        <v>0.2343</v>
      </c>
      <c r="G4028" t="n">
        <v>0.99</v>
      </c>
      <c r="H4028" t="n">
        <v>2</v>
      </c>
      <c r="I4028" t="n">
        <v>12</v>
      </c>
      <c r="J4028" t="n">
        <v>3</v>
      </c>
      <c r="K4028" t="n">
        <v>0</v>
      </c>
      <c r="L4028" t="n">
        <v>77189</v>
      </c>
      <c r="M4028" t="n">
        <v>106000</v>
      </c>
      <c r="N4028" t="n">
        <v>33</v>
      </c>
      <c r="O4028" t="n">
        <v>0.33</v>
      </c>
      <c r="P4028" t="n">
        <v>1</v>
      </c>
      <c r="Q4028" t="n">
        <v>0.36</v>
      </c>
      <c r="R4028" t="n">
        <v>2</v>
      </c>
      <c r="S4028" t="n">
        <v>24835.8</v>
      </c>
      <c r="T4028" t="n">
        <v>12</v>
      </c>
      <c r="U4028" t="n">
        <v>13</v>
      </c>
      <c r="V4028" t="n">
        <v>30</v>
      </c>
      <c r="W4028" t="n">
        <v>8</v>
      </c>
      <c r="X4028" t="n">
        <v>29.87622705932565</v>
      </c>
      <c r="Y4028" t="n">
        <v>1</v>
      </c>
      <c r="Z4028" t="n">
        <v>1</v>
      </c>
      <c r="AA4028" t="n">
        <v>0</v>
      </c>
      <c r="AB4028" t="n">
        <v>1</v>
      </c>
      <c r="AC4028" t="n">
        <v>3</v>
      </c>
      <c r="AD4028" t="n">
        <v>0</v>
      </c>
      <c r="AE4028" t="n">
        <v>231567</v>
      </c>
      <c r="AF4028" t="n">
        <v>12725</v>
      </c>
      <c r="AG4028" t="n">
        <v>2137</v>
      </c>
      <c r="AH4028" t="inlineStr">
        <is>
          <t>PT. SAMUDRA JAYA ANUGRAH - PPN (JMB)</t>
        </is>
      </c>
      <c r="AI4028" t="n">
        <v>1017</v>
      </c>
      <c r="AJ4028" t="inlineStr">
        <is>
          <t>SKINTIFIC</t>
        </is>
      </c>
      <c r="AK4028" t="n">
        <v>9</v>
      </c>
      <c r="AL4028" t="inlineStr">
        <is>
          <t>Miss Glam Jambi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SKINTIFIC</t>
        </is>
      </c>
      <c r="B4029" s="2">
        <f>"810114871461"</f>
        <v/>
      </c>
      <c r="C4029" t="inlineStr">
        <is>
          <t>SKINTIFIC 3x Acid Anti Acne Gel Moisturizer 30gr</t>
        </is>
      </c>
      <c r="D4029" t="inlineStr">
        <is>
          <t>Miss Glam Jambi</t>
        </is>
      </c>
      <c r="E4029" t="n">
        <v>13</v>
      </c>
      <c r="F4029" t="n">
        <v>0.2013</v>
      </c>
      <c r="G4029" t="n">
        <v>0.99</v>
      </c>
      <c r="H4029" t="n">
        <v>2</v>
      </c>
      <c r="I4029" t="n">
        <v>12</v>
      </c>
      <c r="J4029" t="n">
        <v>3</v>
      </c>
      <c r="K4029" t="n">
        <v>0</v>
      </c>
      <c r="L4029" t="n">
        <v>107042</v>
      </c>
      <c r="M4029" t="n">
        <v>148500</v>
      </c>
      <c r="N4029" t="n">
        <v>33</v>
      </c>
      <c r="O4029" t="n">
        <v>0.33</v>
      </c>
      <c r="P4029" t="n">
        <v>1</v>
      </c>
      <c r="Q4029" t="n">
        <v>0.27</v>
      </c>
      <c r="R4029" t="n">
        <v>3</v>
      </c>
      <c r="S4029" t="n">
        <v>29893.05</v>
      </c>
      <c r="T4029" t="n">
        <v>12</v>
      </c>
      <c r="U4029" t="n">
        <v>13</v>
      </c>
      <c r="V4029" t="n">
        <v>30</v>
      </c>
      <c r="W4029" t="n">
        <v>7</v>
      </c>
      <c r="X4029" t="n">
        <v>64.58022851465475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12725</v>
      </c>
      <c r="AG4029" t="n">
        <v>2137</v>
      </c>
      <c r="AH4029" t="inlineStr">
        <is>
          <t>PT. SAMUDRA JAYA ANUGRAH - PPN (JMB)</t>
        </is>
      </c>
      <c r="AI4029" t="n">
        <v>1017</v>
      </c>
      <c r="AJ4029" t="inlineStr">
        <is>
          <t>SKINTIFIC</t>
        </is>
      </c>
      <c r="AK4029" t="n">
        <v>9</v>
      </c>
      <c r="AL4029" t="inlineStr">
        <is>
          <t>Miss Glam Jambi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SKINTIFIC</t>
        </is>
      </c>
      <c r="B4030" s="2">
        <f>"10600406553"</f>
        <v/>
      </c>
      <c r="C4030" t="inlineStr">
        <is>
          <t>SKINTIFIC 3X Acid Intensive Acne Spot 11gr</t>
        </is>
      </c>
      <c r="D4030" t="inlineStr">
        <is>
          <t>Miss Glam Jambi</t>
        </is>
      </c>
      <c r="E4030" t="n">
        <v>6</v>
      </c>
      <c r="F4030" t="n">
        <v>0.07000000000000001</v>
      </c>
      <c r="G4030" t="n">
        <v>1</v>
      </c>
      <c r="H4030" t="n">
        <v>2</v>
      </c>
      <c r="I4030" t="n">
        <v>12</v>
      </c>
      <c r="J4030" t="n">
        <v>1</v>
      </c>
      <c r="K4030" t="n">
        <v>0</v>
      </c>
      <c r="L4030" t="n">
        <v>78327</v>
      </c>
      <c r="M4030" t="n">
        <v>106000</v>
      </c>
      <c r="N4030" t="n">
        <v>33</v>
      </c>
      <c r="O4030" t="n">
        <v>0.33</v>
      </c>
      <c r="P4030" t="n">
        <v>0</v>
      </c>
      <c r="Q4030" t="n">
        <v>0.07000000000000001</v>
      </c>
      <c r="R4030" t="n">
        <v>1</v>
      </c>
      <c r="S4030" t="n">
        <v>7420.000000000001</v>
      </c>
      <c r="T4030" t="n">
        <v>12</v>
      </c>
      <c r="U4030" t="n">
        <v>13</v>
      </c>
      <c r="V4030" t="n">
        <v>30</v>
      </c>
      <c r="W4030" t="n">
        <v>3</v>
      </c>
      <c r="X4030" t="n">
        <v>85.71428571428571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12725</v>
      </c>
      <c r="AG4030" t="n">
        <v>2137</v>
      </c>
      <c r="AH4030" t="inlineStr">
        <is>
          <t>PT. SAMUDRA JAYA ANUGRAH - PPN (JMB)</t>
        </is>
      </c>
      <c r="AI4030" t="n">
        <v>1017</v>
      </c>
      <c r="AJ4030" t="inlineStr">
        <is>
          <t>SKINTIFIC</t>
        </is>
      </c>
      <c r="AK4030" t="n">
        <v>9</v>
      </c>
      <c r="AL4030" t="inlineStr">
        <is>
          <t>Miss Glam Jambi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SKINTIFIC</t>
        </is>
      </c>
      <c r="B4031" s="2">
        <f>"7554411565946"</f>
        <v/>
      </c>
      <c r="C4031" t="inlineStr">
        <is>
          <t>SKINTIFIC 4D Hyaluronic Acid Barrier Essence Toner 100ml</t>
        </is>
      </c>
      <c r="D4031" t="inlineStr">
        <is>
          <t>Miss Glam Jambi</t>
        </is>
      </c>
      <c r="E4031" t="n">
        <v>5</v>
      </c>
      <c r="F4031" t="n">
        <v>0.0726</v>
      </c>
      <c r="G4031" t="n">
        <v>0.66</v>
      </c>
      <c r="H4031" t="n">
        <v>2</v>
      </c>
      <c r="I4031" t="n">
        <v>12</v>
      </c>
      <c r="J4031" t="n">
        <v>3</v>
      </c>
      <c r="K4031" t="n">
        <v>0</v>
      </c>
      <c r="L4031" t="n">
        <v>99176</v>
      </c>
      <c r="M4031" t="n">
        <v>124000</v>
      </c>
      <c r="N4031" t="n">
        <v>33</v>
      </c>
      <c r="O4031" t="n">
        <v>0.33</v>
      </c>
      <c r="P4031" t="n">
        <v>1</v>
      </c>
      <c r="Q4031" t="n">
        <v>0.08</v>
      </c>
      <c r="R4031" t="n">
        <v>2</v>
      </c>
      <c r="S4031" t="n">
        <v>9002.4</v>
      </c>
      <c r="T4031" t="n">
        <v>8</v>
      </c>
      <c r="U4031" t="n">
        <v>9</v>
      </c>
      <c r="V4031" t="n">
        <v>30</v>
      </c>
      <c r="W4031" t="n">
        <v>3</v>
      </c>
      <c r="X4031" t="n">
        <v>68.87052341597796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12725</v>
      </c>
      <c r="AG4031" t="n">
        <v>2137</v>
      </c>
      <c r="AH4031" t="inlineStr">
        <is>
          <t>PT. SAMUDRA JAYA ANUGRAH - PPN (JMB)</t>
        </is>
      </c>
      <c r="AI4031" t="n">
        <v>1017</v>
      </c>
      <c r="AJ4031" t="inlineStr">
        <is>
          <t>SKINTIFIC</t>
        </is>
      </c>
      <c r="AK4031" t="n">
        <v>9</v>
      </c>
      <c r="AL4031" t="inlineStr">
        <is>
          <t>Miss Glam Jambi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SKINTIFIC</t>
        </is>
      </c>
      <c r="B4032" s="2">
        <f>"810114870693"</f>
        <v/>
      </c>
      <c r="C4032" t="inlineStr">
        <is>
          <t>SKINTIFIC 5% Panthenol Acne Calming Water Gel 45gr</t>
        </is>
      </c>
      <c r="D4032" t="inlineStr">
        <is>
          <t>Miss Glam Jambi</t>
        </is>
      </c>
      <c r="E4032" t="n">
        <v>4</v>
      </c>
      <c r="F4032" t="n">
        <v>0.2013</v>
      </c>
      <c r="G4032" t="n">
        <v>0.99</v>
      </c>
      <c r="H4032" t="n">
        <v>2</v>
      </c>
      <c r="I4032" t="n">
        <v>12</v>
      </c>
      <c r="J4032" t="n">
        <v>3</v>
      </c>
      <c r="K4032" t="n">
        <v>3</v>
      </c>
      <c r="L4032" t="n">
        <v>118734</v>
      </c>
      <c r="M4032" t="n">
        <v>148500</v>
      </c>
      <c r="N4032" t="n">
        <v>33</v>
      </c>
      <c r="O4032" t="n">
        <v>0.33</v>
      </c>
      <c r="P4032" t="n">
        <v>1</v>
      </c>
      <c r="Q4032" t="n">
        <v>0.19</v>
      </c>
      <c r="R4032" t="n">
        <v>1</v>
      </c>
      <c r="S4032" t="n">
        <v>29893.05</v>
      </c>
      <c r="T4032" t="n">
        <v>12</v>
      </c>
      <c r="U4032" t="n">
        <v>13</v>
      </c>
      <c r="V4032" t="n">
        <v>30</v>
      </c>
      <c r="W4032" t="n">
        <v>7</v>
      </c>
      <c r="X4032" t="n">
        <v>19.87083954297069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12725</v>
      </c>
      <c r="AG4032" t="n">
        <v>2137</v>
      </c>
      <c r="AH4032" t="inlineStr">
        <is>
          <t>PT. SAMUDRA JAYA ANUGRAH - PPN (JMB)</t>
        </is>
      </c>
      <c r="AI4032" t="n">
        <v>1017</v>
      </c>
      <c r="AJ4032" t="inlineStr">
        <is>
          <t>SKINTIFIC</t>
        </is>
      </c>
      <c r="AK4032" t="n">
        <v>9</v>
      </c>
      <c r="AL4032" t="inlineStr">
        <is>
          <t>Miss Glam Jambi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SKINTIFIC</t>
        </is>
      </c>
      <c r="B4033" s="2">
        <f>"10300514242"</f>
        <v/>
      </c>
      <c r="C4033" t="inlineStr">
        <is>
          <t>SKINTIFIC 5X Ceramide Barrier Moisture Gel Light Texture 30gr</t>
        </is>
      </c>
      <c r="D4033" t="inlineStr">
        <is>
          <t>Miss Glam Jambi</t>
        </is>
      </c>
      <c r="E4033" t="n">
        <v>13</v>
      </c>
      <c r="F4033" t="n">
        <v>0.3696</v>
      </c>
      <c r="G4033" t="n">
        <v>1.65</v>
      </c>
      <c r="H4033" t="n">
        <v>2</v>
      </c>
      <c r="I4033" t="n">
        <v>12</v>
      </c>
      <c r="J4033" t="n">
        <v>1</v>
      </c>
      <c r="K4033" t="n">
        <v>0</v>
      </c>
      <c r="L4033" t="n">
        <v>86073</v>
      </c>
      <c r="M4033" t="n">
        <v>139000</v>
      </c>
      <c r="N4033" t="n">
        <v>33</v>
      </c>
      <c r="O4033" t="n">
        <v>0.33</v>
      </c>
      <c r="P4033" t="n">
        <v>1</v>
      </c>
      <c r="Q4033" t="n">
        <v>0.64</v>
      </c>
      <c r="R4033" t="n">
        <v>4</v>
      </c>
      <c r="S4033" t="n">
        <v>51374.40000000001</v>
      </c>
      <c r="T4033" t="n">
        <v>20</v>
      </c>
      <c r="U4033" t="n">
        <v>21</v>
      </c>
      <c r="V4033" t="n">
        <v>30</v>
      </c>
      <c r="W4033" t="n">
        <v>12</v>
      </c>
      <c r="X4033" t="n">
        <v>35.17316017316017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12725</v>
      </c>
      <c r="AG4033" t="n">
        <v>2137</v>
      </c>
      <c r="AH4033" t="inlineStr">
        <is>
          <t>PT. SAMUDRA JAYA ANUGRAH - PPN (JMB)</t>
        </is>
      </c>
      <c r="AI4033" t="n">
        <v>1017</v>
      </c>
      <c r="AJ4033" t="inlineStr">
        <is>
          <t>SKINTIFIC</t>
        </is>
      </c>
      <c r="AK4033" t="n">
        <v>9</v>
      </c>
      <c r="AL4033" t="inlineStr">
        <is>
          <t>Miss Glam Jambi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SKINTIFIC</t>
        </is>
      </c>
      <c r="B4034" s="2">
        <f>"7554411569838"</f>
        <v/>
      </c>
      <c r="C4034" t="inlineStr">
        <is>
          <t>SKINTIFIC 5X Ceramide Barrier Moisturi Gel 6gr</t>
        </is>
      </c>
      <c r="D4034" t="inlineStr">
        <is>
          <t>Miss Glam Jambi</t>
        </is>
      </c>
      <c r="E4034" t="n">
        <v>5</v>
      </c>
      <c r="F4034" t="n">
        <v>0.1353</v>
      </c>
      <c r="G4034" t="n">
        <v>1.65</v>
      </c>
      <c r="H4034" t="n">
        <v>2</v>
      </c>
      <c r="I4034" t="n">
        <v>12</v>
      </c>
      <c r="J4034" t="n">
        <v>3</v>
      </c>
      <c r="K4034" t="n">
        <v>0</v>
      </c>
      <c r="L4034" t="n">
        <v>33341</v>
      </c>
      <c r="M4034" t="n">
        <v>42000</v>
      </c>
      <c r="N4034" t="n">
        <v>33</v>
      </c>
      <c r="O4034" t="n">
        <v>0.33</v>
      </c>
      <c r="P4034" t="n">
        <v>1</v>
      </c>
      <c r="Q4034" t="n">
        <v>0.19</v>
      </c>
      <c r="R4034" t="n">
        <v>2</v>
      </c>
      <c r="S4034" t="n">
        <v>5682.6</v>
      </c>
      <c r="T4034" t="n">
        <v>20</v>
      </c>
      <c r="U4034" t="n">
        <v>21</v>
      </c>
      <c r="V4034" t="n">
        <v>30</v>
      </c>
      <c r="W4034" t="n">
        <v>5</v>
      </c>
      <c r="X4034" t="n">
        <v>36.95491500369549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12725</v>
      </c>
      <c r="AG4034" t="n">
        <v>2137</v>
      </c>
      <c r="AH4034" t="inlineStr">
        <is>
          <t>PT. SAMUDRA JAYA ANUGRAH - PPN (JMB)</t>
        </is>
      </c>
      <c r="AI4034" t="n">
        <v>1017</v>
      </c>
      <c r="AJ4034" t="inlineStr">
        <is>
          <t>SKINTIFIC</t>
        </is>
      </c>
      <c r="AK4034" t="n">
        <v>9</v>
      </c>
      <c r="AL4034" t="inlineStr">
        <is>
          <t>Miss Glam Jambi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SKINTIFIC</t>
        </is>
      </c>
      <c r="B4035" s="2">
        <f>"7554411566554"</f>
        <v/>
      </c>
      <c r="C4035" t="inlineStr">
        <is>
          <t>SKINTIFIC 5X Ceramide Barrier Repair Moisture Gel 30gr</t>
        </is>
      </c>
      <c r="D4035" t="inlineStr">
        <is>
          <t>Miss Glam Jambi</t>
        </is>
      </c>
      <c r="E4035" t="n">
        <v>12</v>
      </c>
      <c r="F4035" t="n">
        <v>1.3134</v>
      </c>
      <c r="G4035" t="n">
        <v>5.61</v>
      </c>
      <c r="H4035" t="n">
        <v>2</v>
      </c>
      <c r="I4035" t="n">
        <v>12</v>
      </c>
      <c r="J4035" t="n">
        <v>12</v>
      </c>
      <c r="K4035" t="n">
        <v>60</v>
      </c>
      <c r="L4035" t="n">
        <v>107328</v>
      </c>
      <c r="M4035" t="n">
        <v>152000</v>
      </c>
      <c r="N4035" t="n">
        <v>33</v>
      </c>
      <c r="O4035" t="n">
        <v>0.33</v>
      </c>
      <c r="P4035" t="n">
        <v>1</v>
      </c>
      <c r="Q4035" t="n">
        <v>1.41</v>
      </c>
      <c r="R4035" t="n">
        <v>9</v>
      </c>
      <c r="S4035" t="n">
        <v>199636.8</v>
      </c>
      <c r="T4035" t="n">
        <v>65</v>
      </c>
      <c r="U4035" t="n">
        <v>68</v>
      </c>
      <c r="V4035" t="n">
        <v>30</v>
      </c>
      <c r="W4035" t="n">
        <v>40</v>
      </c>
      <c r="X4035" t="n">
        <v>9.136592051164914</v>
      </c>
      <c r="Y4035" t="n">
        <v>1</v>
      </c>
      <c r="Z4035" t="n">
        <v>0</v>
      </c>
      <c r="AA4035" t="n">
        <v>3</v>
      </c>
      <c r="AB4035" t="n">
        <v>0</v>
      </c>
      <c r="AC4035" t="n">
        <v>0</v>
      </c>
      <c r="AD4035" t="n">
        <v>321984</v>
      </c>
      <c r="AE4035" t="n">
        <v>0</v>
      </c>
      <c r="AF4035" t="n">
        <v>12725</v>
      </c>
      <c r="AG4035" t="n">
        <v>2137</v>
      </c>
      <c r="AH4035" t="inlineStr">
        <is>
          <t>PT. SAMUDRA JAYA ANUGRAH - PPN (JMB)</t>
        </is>
      </c>
      <c r="AI4035" t="n">
        <v>1017</v>
      </c>
      <c r="AJ4035" t="inlineStr">
        <is>
          <t>SKINTIFIC</t>
        </is>
      </c>
      <c r="AK4035" t="n">
        <v>9</v>
      </c>
      <c r="AL4035" t="inlineStr">
        <is>
          <t>Miss Glam Jambi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SKINTIFIC</t>
        </is>
      </c>
      <c r="B4036" s="2">
        <f>"7554411571336"</f>
        <v/>
      </c>
      <c r="C4036" t="inlineStr">
        <is>
          <t>SKINTIFIC 5X Ceramide Barrier Repair Moisture Gel 80g</t>
        </is>
      </c>
      <c r="D4036" t="inlineStr">
        <is>
          <t>Miss Glam Jambi</t>
        </is>
      </c>
      <c r="E4036" t="n">
        <v>4</v>
      </c>
      <c r="F4036" t="n">
        <v>0.0561</v>
      </c>
      <c r="G4036" t="n">
        <v>0.66</v>
      </c>
      <c r="H4036" t="n">
        <v>2</v>
      </c>
      <c r="I4036" t="n">
        <v>12</v>
      </c>
      <c r="J4036" t="n">
        <v>3</v>
      </c>
      <c r="K4036" t="n">
        <v>0</v>
      </c>
      <c r="L4036" t="n">
        <v>232772</v>
      </c>
      <c r="M4036" t="n">
        <v>321000</v>
      </c>
      <c r="N4036" t="n">
        <v>33</v>
      </c>
      <c r="O4036" t="n">
        <v>0.33</v>
      </c>
      <c r="P4036" t="n">
        <v>1</v>
      </c>
      <c r="Q4036" t="n">
        <v>0.19</v>
      </c>
      <c r="R4036" t="n">
        <v>2</v>
      </c>
      <c r="S4036" t="n">
        <v>18008.1</v>
      </c>
      <c r="T4036" t="n">
        <v>8</v>
      </c>
      <c r="U4036" t="n">
        <v>9</v>
      </c>
      <c r="V4036" t="n">
        <v>30</v>
      </c>
      <c r="W4036" t="n">
        <v>2</v>
      </c>
      <c r="X4036" t="n">
        <v>71.301247771836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12725</v>
      </c>
      <c r="AG4036" t="n">
        <v>2137</v>
      </c>
      <c r="AH4036" t="inlineStr">
        <is>
          <t>PT. SAMUDRA JAYA ANUGRAH - PPN (JMB)</t>
        </is>
      </c>
      <c r="AI4036" t="n">
        <v>1017</v>
      </c>
      <c r="AJ4036" t="inlineStr">
        <is>
          <t>SKINTIFIC</t>
        </is>
      </c>
      <c r="AK4036" t="n">
        <v>9</v>
      </c>
      <c r="AL4036" t="inlineStr">
        <is>
          <t>Miss Glam Jambi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SKINTIFIC</t>
        </is>
      </c>
      <c r="B4037" s="2">
        <f>"7554411568916"</f>
        <v/>
      </c>
      <c r="C4037" t="inlineStr">
        <is>
          <t>SKINTIFIC 5X Ceramide Barrier Repair Serum 20ml</t>
        </is>
      </c>
      <c r="D4037" t="inlineStr">
        <is>
          <t>Miss Glam Jambi</t>
        </is>
      </c>
      <c r="E4037" t="n">
        <v>3</v>
      </c>
      <c r="F4037" t="n">
        <v>0.0825</v>
      </c>
      <c r="G4037" t="n">
        <v>0.99</v>
      </c>
      <c r="H4037" t="n">
        <v>2</v>
      </c>
      <c r="I4037" t="n">
        <v>12</v>
      </c>
      <c r="J4037" t="n">
        <v>24</v>
      </c>
      <c r="K4037" t="n">
        <v>0</v>
      </c>
      <c r="L4037" t="n">
        <v>103704</v>
      </c>
      <c r="M4037" t="n">
        <v>138000</v>
      </c>
      <c r="N4037" t="n">
        <v>33</v>
      </c>
      <c r="O4037" t="n">
        <v>0.33</v>
      </c>
      <c r="P4037" t="n">
        <v>1</v>
      </c>
      <c r="Q4037" t="n">
        <v>0.1</v>
      </c>
      <c r="R4037" t="n">
        <v>1</v>
      </c>
      <c r="S4037" t="n">
        <v>11385</v>
      </c>
      <c r="T4037" t="n">
        <v>12</v>
      </c>
      <c r="U4037" t="n">
        <v>13</v>
      </c>
      <c r="V4037" t="n">
        <v>30</v>
      </c>
      <c r="W4037" t="n">
        <v>3</v>
      </c>
      <c r="X4037" t="n">
        <v>36.36363636363636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12725</v>
      </c>
      <c r="AG4037" t="n">
        <v>2137</v>
      </c>
      <c r="AH4037" t="inlineStr">
        <is>
          <t>PT. SAMUDRA JAYA ANUGRAH - PPN (JMB)</t>
        </is>
      </c>
      <c r="AI4037" t="n">
        <v>1017</v>
      </c>
      <c r="AJ4037" t="inlineStr">
        <is>
          <t>SKINTIFIC</t>
        </is>
      </c>
      <c r="AK4037" t="n">
        <v>9</v>
      </c>
      <c r="AL4037" t="inlineStr">
        <is>
          <t>Miss Glam Jambi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SKINTIFIC</t>
        </is>
      </c>
      <c r="B4038" s="2">
        <f>"810114870310"</f>
        <v/>
      </c>
      <c r="C4038" t="inlineStr">
        <is>
          <t>SKINTIFIC 5X Ceramide Barrier Repair Serum 50ml</t>
        </is>
      </c>
      <c r="D4038" t="inlineStr">
        <is>
          <t>Miss Glam Jambi</t>
        </is>
      </c>
      <c r="E4038" t="n">
        <v>0</v>
      </c>
      <c r="F4038" t="n">
        <v>0.009900000000000001</v>
      </c>
      <c r="G4038" t="n">
        <v>0.33</v>
      </c>
      <c r="H4038" t="n">
        <v>2</v>
      </c>
      <c r="I4038" t="n">
        <v>12</v>
      </c>
      <c r="J4038" t="n">
        <v>3</v>
      </c>
      <c r="K4038" t="n">
        <v>0</v>
      </c>
      <c r="L4038" t="n">
        <v>212820</v>
      </c>
      <c r="M4038" t="n">
        <v>266500</v>
      </c>
      <c r="N4038" t="n">
        <v>33</v>
      </c>
      <c r="O4038" t="n">
        <v>0.33</v>
      </c>
      <c r="P4038" t="n">
        <v>1</v>
      </c>
      <c r="Q4038" t="n">
        <v>0.03</v>
      </c>
      <c r="R4038" t="n">
        <v>1</v>
      </c>
      <c r="S4038" t="n">
        <v>2638.35</v>
      </c>
      <c r="T4038" t="n">
        <v>4</v>
      </c>
      <c r="U4038" t="n">
        <v>5</v>
      </c>
      <c r="V4038" t="n">
        <v>30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n">
        <v>0</v>
      </c>
      <c r="AC4038" t="n">
        <v>0</v>
      </c>
      <c r="AD4038" t="n">
        <v>212820</v>
      </c>
      <c r="AE4038" t="n">
        <v>0</v>
      </c>
      <c r="AF4038" t="n">
        <v>12725</v>
      </c>
      <c r="AG4038" t="n">
        <v>2137</v>
      </c>
      <c r="AH4038" t="inlineStr">
        <is>
          <t>PT. SAMUDRA JAYA ANUGRAH - PPN (JMB)</t>
        </is>
      </c>
      <c r="AI4038" t="n">
        <v>1017</v>
      </c>
      <c r="AJ4038" t="inlineStr">
        <is>
          <t>SKINTIFIC</t>
        </is>
      </c>
      <c r="AK4038" t="n">
        <v>9</v>
      </c>
      <c r="AL4038" t="inlineStr">
        <is>
          <t>Miss Glam Jambi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SKINTIFIC</t>
        </is>
      </c>
      <c r="B4039" s="2">
        <f>"7554411570414"</f>
        <v/>
      </c>
      <c r="C4039" t="inlineStr">
        <is>
          <t>SKINTIFIC 5X Ceramide Low PH Cleanser 15ml</t>
        </is>
      </c>
      <c r="D4039" t="inlineStr">
        <is>
          <t>Miss Glam Jambi</t>
        </is>
      </c>
      <c r="E4039" t="n">
        <v>3</v>
      </c>
      <c r="F4039" t="n">
        <v>0.03</v>
      </c>
      <c r="G4039" t="n">
        <v>1</v>
      </c>
      <c r="H4039" t="n">
        <v>2</v>
      </c>
      <c r="I4039" t="n">
        <v>12</v>
      </c>
      <c r="J4039" t="n">
        <v>3</v>
      </c>
      <c r="K4039" t="n">
        <v>0</v>
      </c>
      <c r="L4039" t="n">
        <v>33341</v>
      </c>
      <c r="M4039" t="n">
        <v>42000</v>
      </c>
      <c r="N4039" t="n">
        <v>33</v>
      </c>
      <c r="O4039" t="n">
        <v>0.33</v>
      </c>
      <c r="P4039" t="n">
        <v>0</v>
      </c>
      <c r="Q4039" t="n">
        <v>0.03</v>
      </c>
      <c r="R4039" t="n">
        <v>1</v>
      </c>
      <c r="S4039" t="n">
        <v>1260</v>
      </c>
      <c r="T4039" t="n">
        <v>12</v>
      </c>
      <c r="U4039" t="n">
        <v>13</v>
      </c>
      <c r="V4039" t="n">
        <v>30</v>
      </c>
      <c r="W4039" t="n">
        <v>1</v>
      </c>
      <c r="X4039" t="n">
        <v>100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12725</v>
      </c>
      <c r="AG4039" t="n">
        <v>2137</v>
      </c>
      <c r="AH4039" t="inlineStr">
        <is>
          <t>PT. SAMUDRA JAYA ANUGRAH - PPN (JMB)</t>
        </is>
      </c>
      <c r="AI4039" t="n">
        <v>1017</v>
      </c>
      <c r="AJ4039" t="inlineStr">
        <is>
          <t>SKINTIFIC</t>
        </is>
      </c>
      <c r="AK4039" t="n">
        <v>9</v>
      </c>
      <c r="AL4039" t="inlineStr">
        <is>
          <t>Miss Glam Jambi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SKINTIFIC</t>
        </is>
      </c>
      <c r="B4040" s="2">
        <f>"6974388210037"</f>
        <v/>
      </c>
      <c r="C4040" t="inlineStr">
        <is>
          <t>SKINTIFIC 5X Ceramide Low PH Cleanser 80ml</t>
        </is>
      </c>
      <c r="D4040" t="inlineStr">
        <is>
          <t>Miss Glam Jambi</t>
        </is>
      </c>
      <c r="E4040" t="n">
        <v>10</v>
      </c>
      <c r="F4040" t="n">
        <v>0.4257</v>
      </c>
      <c r="G4040" t="n">
        <v>1.32</v>
      </c>
      <c r="H4040" t="n">
        <v>2</v>
      </c>
      <c r="I4040" t="n">
        <v>12</v>
      </c>
      <c r="J4040" t="n">
        <v>3</v>
      </c>
      <c r="K4040" t="n">
        <v>15</v>
      </c>
      <c r="L4040" t="n">
        <v>82525</v>
      </c>
      <c r="M4040" t="n">
        <v>103500</v>
      </c>
      <c r="N4040" t="n">
        <v>33</v>
      </c>
      <c r="O4040" t="n">
        <v>0.33</v>
      </c>
      <c r="P4040" t="n">
        <v>1</v>
      </c>
      <c r="Q4040" t="n">
        <v>0.44</v>
      </c>
      <c r="R4040" t="n">
        <v>3</v>
      </c>
      <c r="S4040" t="n">
        <v>44059.95</v>
      </c>
      <c r="T4040" t="n">
        <v>15</v>
      </c>
      <c r="U4040" t="n">
        <v>16</v>
      </c>
      <c r="V4040" t="n">
        <v>30</v>
      </c>
      <c r="W4040" t="n">
        <v>13</v>
      </c>
      <c r="X4040" t="n">
        <v>23.49072116513977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12725</v>
      </c>
      <c r="AG4040" t="n">
        <v>2137</v>
      </c>
      <c r="AH4040" t="inlineStr">
        <is>
          <t>PT. SAMUDRA JAYA ANUGRAH - PPN (JMB)</t>
        </is>
      </c>
      <c r="AI4040" t="n">
        <v>1017</v>
      </c>
      <c r="AJ4040" t="inlineStr">
        <is>
          <t>SKINTIFIC</t>
        </is>
      </c>
      <c r="AK4040" t="n">
        <v>9</v>
      </c>
      <c r="AL4040" t="inlineStr">
        <is>
          <t>Miss Glam Jambi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SKINTIFIC</t>
        </is>
      </c>
      <c r="B4041" s="2">
        <f>"810114870044"</f>
        <v/>
      </c>
      <c r="C4041" t="inlineStr">
        <is>
          <t>SKINTIFIC 5x Ceramide Serum Sunscreen SPF 50 30ml</t>
        </is>
      </c>
      <c r="D4041" t="inlineStr">
        <is>
          <t>Miss Glam Jambi</t>
        </is>
      </c>
      <c r="E4041" t="n">
        <v>9</v>
      </c>
      <c r="F4041" t="n">
        <v>0.3861</v>
      </c>
      <c r="G4041" t="n">
        <v>1.32</v>
      </c>
      <c r="H4041" t="n">
        <v>2</v>
      </c>
      <c r="I4041" t="n">
        <v>12</v>
      </c>
      <c r="J4041" t="n">
        <v>3</v>
      </c>
      <c r="K4041" t="n">
        <v>9</v>
      </c>
      <c r="L4041" t="n">
        <v>76995</v>
      </c>
      <c r="M4041" t="n">
        <v>109900</v>
      </c>
      <c r="N4041" t="n">
        <v>33</v>
      </c>
      <c r="O4041" t="n">
        <v>0.33</v>
      </c>
      <c r="P4041" t="n">
        <v>1</v>
      </c>
      <c r="Q4041" t="n">
        <v>0.41</v>
      </c>
      <c r="R4041" t="n">
        <v>3</v>
      </c>
      <c r="S4041" t="n">
        <v>42432.39</v>
      </c>
      <c r="T4041" t="n">
        <v>16</v>
      </c>
      <c r="U4041" t="n">
        <v>17</v>
      </c>
      <c r="V4041" t="n">
        <v>30</v>
      </c>
      <c r="W4041" t="n">
        <v>12</v>
      </c>
      <c r="X4041" t="n">
        <v>23.31002331002331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12725</v>
      </c>
      <c r="AG4041" t="n">
        <v>2137</v>
      </c>
      <c r="AH4041" t="inlineStr">
        <is>
          <t>PT. SAMUDRA JAYA ANUGRAH - PPN (JMB)</t>
        </is>
      </c>
      <c r="AI4041" t="n">
        <v>1017</v>
      </c>
      <c r="AJ4041" t="inlineStr">
        <is>
          <t>SKINTIFIC</t>
        </is>
      </c>
      <c r="AK4041" t="n">
        <v>9</v>
      </c>
      <c r="AL4041" t="inlineStr">
        <is>
          <t>Miss Glam Jambi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SKINTIFIC</t>
        </is>
      </c>
      <c r="B4042" s="2">
        <f>"10400618143"</f>
        <v/>
      </c>
      <c r="C4042" t="inlineStr">
        <is>
          <t>SKINTIFIC 5X Ceramide Serum Sunscreen SPF 50 PA++++ 50ml</t>
        </is>
      </c>
      <c r="D4042" t="inlineStr">
        <is>
          <t>Miss Glam Jambi</t>
        </is>
      </c>
      <c r="E4042" t="n">
        <v>1</v>
      </c>
      <c r="F4042" t="n">
        <v>0.1518</v>
      </c>
      <c r="G4042" t="n">
        <v>0.99</v>
      </c>
      <c r="H4042" t="n">
        <v>2</v>
      </c>
      <c r="I4042" t="n">
        <v>12</v>
      </c>
      <c r="J4042" t="n">
        <v>1</v>
      </c>
      <c r="K4042" t="n">
        <v>3</v>
      </c>
      <c r="L4042" t="n">
        <v>84615</v>
      </c>
      <c r="M4042" t="n">
        <v>110000</v>
      </c>
      <c r="N4042" t="n">
        <v>33</v>
      </c>
      <c r="O4042" t="n">
        <v>0.33</v>
      </c>
      <c r="P4042" t="n">
        <v>1</v>
      </c>
      <c r="Q4042" t="n">
        <v>0.08</v>
      </c>
      <c r="R4042" t="n">
        <v>1</v>
      </c>
      <c r="S4042" t="n">
        <v>16698</v>
      </c>
      <c r="T4042" t="n">
        <v>12</v>
      </c>
      <c r="U4042" t="n">
        <v>13</v>
      </c>
      <c r="V4042" t="n">
        <v>30</v>
      </c>
      <c r="W4042" t="n">
        <v>5</v>
      </c>
      <c r="X4042" t="n">
        <v>6.587615283267456</v>
      </c>
      <c r="Y4042" t="n">
        <v>1</v>
      </c>
      <c r="Z4042" t="n">
        <v>1</v>
      </c>
      <c r="AA4042" t="n">
        <v>0</v>
      </c>
      <c r="AB4042" t="n">
        <v>1</v>
      </c>
      <c r="AC4042" t="n">
        <v>1</v>
      </c>
      <c r="AD4042" t="n">
        <v>0</v>
      </c>
      <c r="AE4042" t="n">
        <v>84615</v>
      </c>
      <c r="AF4042" t="n">
        <v>12725</v>
      </c>
      <c r="AG4042" t="n">
        <v>2137</v>
      </c>
      <c r="AH4042" t="inlineStr">
        <is>
          <t>PT. SAMUDRA JAYA ANUGRAH - PPN (JMB)</t>
        </is>
      </c>
      <c r="AI4042" t="n">
        <v>1017</v>
      </c>
      <c r="AJ4042" t="inlineStr">
        <is>
          <t>SKINTIFIC</t>
        </is>
      </c>
      <c r="AK4042" t="n">
        <v>9</v>
      </c>
      <c r="AL4042" t="inlineStr">
        <is>
          <t>Miss Glam Jambi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SKINTIFIC</t>
        </is>
      </c>
      <c r="B4043" s="2">
        <f>"810114870099"</f>
        <v/>
      </c>
      <c r="C4043" t="inlineStr">
        <is>
          <t>SKINTIFIC 5x Ceramide Shooting Sheet Mask 26ml</t>
        </is>
      </c>
      <c r="D4043" t="inlineStr">
        <is>
          <t>Miss Glam Jambi</t>
        </is>
      </c>
      <c r="E4043" t="n">
        <v>41</v>
      </c>
      <c r="F4043" t="n">
        <v>0.4686</v>
      </c>
      <c r="G4043" t="n">
        <v>3.3</v>
      </c>
      <c r="H4043" t="n">
        <v>2</v>
      </c>
      <c r="I4043" t="n">
        <v>12</v>
      </c>
      <c r="J4043" t="n">
        <v>3</v>
      </c>
      <c r="K4043" t="n">
        <v>0</v>
      </c>
      <c r="L4043" t="n">
        <v>21368</v>
      </c>
      <c r="M4043" t="n">
        <v>27000</v>
      </c>
      <c r="N4043" t="n">
        <v>33</v>
      </c>
      <c r="O4043" t="n">
        <v>0.33</v>
      </c>
      <c r="P4043" t="n">
        <v>1</v>
      </c>
      <c r="Q4043" t="n">
        <v>1.63</v>
      </c>
      <c r="R4043" t="n">
        <v>8</v>
      </c>
      <c r="S4043" t="n">
        <v>12652.2</v>
      </c>
      <c r="T4043" t="n">
        <v>39</v>
      </c>
      <c r="U4043" t="n">
        <v>40</v>
      </c>
      <c r="V4043" t="n">
        <v>30</v>
      </c>
      <c r="W4043" t="n">
        <v>15</v>
      </c>
      <c r="X4043" t="n">
        <v>87.49466495945369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12725</v>
      </c>
      <c r="AG4043" t="n">
        <v>2137</v>
      </c>
      <c r="AH4043" t="inlineStr">
        <is>
          <t>PT. SAMUDRA JAYA ANUGRAH - PPN (JMB)</t>
        </is>
      </c>
      <c r="AI4043" t="n">
        <v>1017</v>
      </c>
      <c r="AJ4043" t="inlineStr">
        <is>
          <t>SKINTIFIC</t>
        </is>
      </c>
      <c r="AK4043" t="n">
        <v>9</v>
      </c>
      <c r="AL4043" t="inlineStr">
        <is>
          <t>Miss Glam Jambi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SKINTIFIC</t>
        </is>
      </c>
      <c r="B4044" s="2">
        <f>"7554411568398"</f>
        <v/>
      </c>
      <c r="C4044" t="inlineStr">
        <is>
          <t>SKINTIFIC 5X Ceramide Shooting Toner 80ml</t>
        </is>
      </c>
      <c r="D4044" t="inlineStr">
        <is>
          <t>Miss Glam Jambi</t>
        </is>
      </c>
      <c r="E4044" t="n">
        <v>5</v>
      </c>
      <c r="F4044" t="n">
        <v>0.1683</v>
      </c>
      <c r="G4044" t="n">
        <v>0.66</v>
      </c>
      <c r="H4044" t="n">
        <v>2</v>
      </c>
      <c r="I4044" t="n">
        <v>12</v>
      </c>
      <c r="J4044" t="n">
        <v>3</v>
      </c>
      <c r="K4044" t="n">
        <v>3</v>
      </c>
      <c r="L4044" t="n">
        <v>96231</v>
      </c>
      <c r="M4044" t="n">
        <v>124000</v>
      </c>
      <c r="N4044" t="n">
        <v>33</v>
      </c>
      <c r="O4044" t="n">
        <v>0.33</v>
      </c>
      <c r="P4044" t="n">
        <v>1</v>
      </c>
      <c r="Q4044" t="n">
        <v>0.2</v>
      </c>
      <c r="R4044" t="n">
        <v>2</v>
      </c>
      <c r="S4044" t="n">
        <v>20869.2</v>
      </c>
      <c r="T4044" t="n">
        <v>8</v>
      </c>
      <c r="U4044" t="n">
        <v>9</v>
      </c>
      <c r="V4044" t="n">
        <v>30</v>
      </c>
      <c r="W4044" t="n">
        <v>6</v>
      </c>
      <c r="X4044" t="n">
        <v>29.708853238265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12725</v>
      </c>
      <c r="AG4044" t="n">
        <v>2137</v>
      </c>
      <c r="AH4044" t="inlineStr">
        <is>
          <t>PT. SAMUDRA JAYA ANUGRAH - PPN (JMB)</t>
        </is>
      </c>
      <c r="AI4044" t="n">
        <v>1017</v>
      </c>
      <c r="AJ4044" t="inlineStr">
        <is>
          <t>SKINTIFIC</t>
        </is>
      </c>
      <c r="AK4044" t="n">
        <v>9</v>
      </c>
      <c r="AL4044" t="inlineStr">
        <is>
          <t>Miss Glam Jambi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SKINTIFIC</t>
        </is>
      </c>
      <c r="B4045" s="2">
        <f>"7554411571640"</f>
        <v/>
      </c>
      <c r="C4045" t="inlineStr">
        <is>
          <t>SKINTIFIC 5X Ceramide Soothing Toner 20ml</t>
        </is>
      </c>
      <c r="D4045" t="inlineStr">
        <is>
          <t>Miss Glam Jambi</t>
        </is>
      </c>
      <c r="E4045" t="n">
        <v>2</v>
      </c>
      <c r="F4045" t="n">
        <v>0.03</v>
      </c>
      <c r="G4045" t="n">
        <v>1</v>
      </c>
      <c r="H4045" t="n">
        <v>2</v>
      </c>
      <c r="I4045" t="n">
        <v>12</v>
      </c>
      <c r="J4045" t="n">
        <v>3</v>
      </c>
      <c r="K4045" t="n">
        <v>0</v>
      </c>
      <c r="L4045" t="n">
        <v>33341</v>
      </c>
      <c r="M4045" t="n">
        <v>42000</v>
      </c>
      <c r="N4045" t="n">
        <v>33</v>
      </c>
      <c r="O4045" t="n">
        <v>0.33</v>
      </c>
      <c r="P4045" t="n">
        <v>0</v>
      </c>
      <c r="Q4045" t="n">
        <v>0.03</v>
      </c>
      <c r="R4045" t="n">
        <v>1</v>
      </c>
      <c r="S4045" t="n">
        <v>1260</v>
      </c>
      <c r="T4045" t="n">
        <v>12</v>
      </c>
      <c r="U4045" t="n">
        <v>13</v>
      </c>
      <c r="V4045" t="n">
        <v>30</v>
      </c>
      <c r="W4045" t="n">
        <v>1</v>
      </c>
      <c r="X4045" t="n">
        <v>66.66666666666667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12725</v>
      </c>
      <c r="AG4045" t="n">
        <v>2137</v>
      </c>
      <c r="AH4045" t="inlineStr">
        <is>
          <t>PT. SAMUDRA JAYA ANUGRAH - PPN (JMB)</t>
        </is>
      </c>
      <c r="AI4045" t="n">
        <v>1017</v>
      </c>
      <c r="AJ4045" t="inlineStr">
        <is>
          <t>SKINTIFIC</t>
        </is>
      </c>
      <c r="AK4045" t="n">
        <v>9</v>
      </c>
      <c r="AL4045" t="inlineStr">
        <is>
          <t>Miss Glam Jambi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SKINTIFIC</t>
        </is>
      </c>
      <c r="B4046" s="2">
        <f>"810114870037"</f>
        <v/>
      </c>
      <c r="C4046" t="inlineStr">
        <is>
          <t>SKINTIFIC Alaska Volcano Clay Mask 55g</t>
        </is>
      </c>
      <c r="D4046" t="inlineStr">
        <is>
          <t>Miss Glam Jambi</t>
        </is>
      </c>
      <c r="E4046" t="n">
        <v>2</v>
      </c>
      <c r="F4046" t="n">
        <v>0.006600000000000001</v>
      </c>
      <c r="G4046" t="n">
        <v>0</v>
      </c>
      <c r="H4046" t="n">
        <v>2</v>
      </c>
      <c r="I4046" t="n">
        <v>12</v>
      </c>
      <c r="J4046" t="n">
        <v>3</v>
      </c>
      <c r="K4046" t="n">
        <v>0</v>
      </c>
      <c r="L4046" t="n">
        <v>76076</v>
      </c>
      <c r="M4046" t="n">
        <v>95500</v>
      </c>
      <c r="N4046" t="n">
        <v>33</v>
      </c>
      <c r="O4046" t="n">
        <v>0.33</v>
      </c>
      <c r="P4046" t="n">
        <v>1</v>
      </c>
      <c r="Q4046" t="n">
        <v>0.02</v>
      </c>
      <c r="R4046" t="n">
        <v>1</v>
      </c>
      <c r="S4046" t="n">
        <v>630.3000000000001</v>
      </c>
      <c r="T4046" t="n">
        <v>0</v>
      </c>
      <c r="U4046" t="n">
        <v>1</v>
      </c>
      <c r="V4046" t="n">
        <v>30</v>
      </c>
      <c r="W4046" t="n">
        <v>1</v>
      </c>
      <c r="X4046" t="n">
        <v>303.030303030303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12725</v>
      </c>
      <c r="AG4046" t="n">
        <v>2137</v>
      </c>
      <c r="AH4046" t="inlineStr">
        <is>
          <t>PT. SAMUDRA JAYA ANUGRAH - PPN (JMB)</t>
        </is>
      </c>
      <c r="AI4046" t="n">
        <v>1017</v>
      </c>
      <c r="AJ4046" t="inlineStr">
        <is>
          <t>SKINTIFIC</t>
        </is>
      </c>
      <c r="AK4046" t="n">
        <v>9</v>
      </c>
      <c r="AL4046" t="inlineStr">
        <is>
          <t>Miss Glam Jambi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SKINTIFIC</t>
        </is>
      </c>
      <c r="B4047" s="2">
        <f>"810114870259"</f>
        <v/>
      </c>
      <c r="C4047" t="inlineStr">
        <is>
          <t>SKINTIFIC Alaska Volcano Clay Pore Detox Clay Stick 40gr</t>
        </is>
      </c>
      <c r="D4047" t="inlineStr">
        <is>
          <t>Miss Glam Jambi</t>
        </is>
      </c>
      <c r="E4047" t="n">
        <v>1</v>
      </c>
      <c r="F4047" t="n">
        <v>0.2343</v>
      </c>
      <c r="G4047" t="n">
        <v>0.99</v>
      </c>
      <c r="H4047" t="n">
        <v>2</v>
      </c>
      <c r="I4047" t="n">
        <v>12</v>
      </c>
      <c r="J4047" t="n">
        <v>3</v>
      </c>
      <c r="K4047" t="n">
        <v>17</v>
      </c>
      <c r="L4047" t="n">
        <v>71046</v>
      </c>
      <c r="M4047" t="n">
        <v>95500</v>
      </c>
      <c r="N4047" t="n">
        <v>33</v>
      </c>
      <c r="O4047" t="n">
        <v>0.33</v>
      </c>
      <c r="P4047" t="n">
        <v>1</v>
      </c>
      <c r="Q4047" t="n">
        <v>0.27</v>
      </c>
      <c r="R4047" t="n">
        <v>3</v>
      </c>
      <c r="S4047" t="n">
        <v>22375.65</v>
      </c>
      <c r="T4047" t="n">
        <v>12</v>
      </c>
      <c r="U4047" t="n">
        <v>13</v>
      </c>
      <c r="V4047" t="n">
        <v>30</v>
      </c>
      <c r="W4047" t="n">
        <v>8</v>
      </c>
      <c r="X4047" t="n">
        <v>4.268032437046521</v>
      </c>
      <c r="Y4047" t="n">
        <v>1</v>
      </c>
      <c r="Z4047" t="n">
        <v>0</v>
      </c>
      <c r="AA4047" t="n">
        <v>1</v>
      </c>
      <c r="AB4047" t="n">
        <v>0</v>
      </c>
      <c r="AC4047" t="n">
        <v>0</v>
      </c>
      <c r="AD4047" t="n">
        <v>71046</v>
      </c>
      <c r="AE4047" t="n">
        <v>0</v>
      </c>
      <c r="AF4047" t="n">
        <v>12725</v>
      </c>
      <c r="AG4047" t="n">
        <v>2137</v>
      </c>
      <c r="AH4047" t="inlineStr">
        <is>
          <t>PT. SAMUDRA JAYA ANUGRAH - PPN (JMB)</t>
        </is>
      </c>
      <c r="AI4047" t="n">
        <v>1017</v>
      </c>
      <c r="AJ4047" t="inlineStr">
        <is>
          <t>SKINTIFIC</t>
        </is>
      </c>
      <c r="AK4047" t="n">
        <v>9</v>
      </c>
      <c r="AL4047" t="inlineStr">
        <is>
          <t>Miss Glam Jambi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SKINTIFIC</t>
        </is>
      </c>
      <c r="B4048" s="2">
        <f>"810114870471"</f>
        <v/>
      </c>
      <c r="C4048" t="inlineStr">
        <is>
          <t>SKINTIFIC All Day Light Sunscreen Mist SPF 50 PA++++ 120ml</t>
        </is>
      </c>
      <c r="D4048" t="inlineStr">
        <is>
          <t>Miss Glam Jambi</t>
        </is>
      </c>
      <c r="E4048" t="n">
        <v>4</v>
      </c>
      <c r="F4048" t="n">
        <v>0.1452</v>
      </c>
      <c r="G4048" t="n">
        <v>1.65</v>
      </c>
      <c r="H4048" t="n">
        <v>2</v>
      </c>
      <c r="I4048" t="n">
        <v>12</v>
      </c>
      <c r="J4048" t="n">
        <v>3</v>
      </c>
      <c r="K4048" t="n">
        <v>9</v>
      </c>
      <c r="L4048" t="n">
        <v>78327</v>
      </c>
      <c r="M4048" t="n">
        <v>106000</v>
      </c>
      <c r="N4048" t="n">
        <v>33</v>
      </c>
      <c r="O4048" t="n">
        <v>0.33</v>
      </c>
      <c r="P4048" t="n">
        <v>1</v>
      </c>
      <c r="Q4048" t="n">
        <v>0.27</v>
      </c>
      <c r="R4048" t="n">
        <v>3</v>
      </c>
      <c r="S4048" t="n">
        <v>15391.2</v>
      </c>
      <c r="T4048" t="n">
        <v>20</v>
      </c>
      <c r="U4048" t="n">
        <v>21</v>
      </c>
      <c r="V4048" t="n">
        <v>30</v>
      </c>
      <c r="W4048" t="n">
        <v>5</v>
      </c>
      <c r="X4048" t="n">
        <v>27.54820936639118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12725</v>
      </c>
      <c r="AG4048" t="n">
        <v>2137</v>
      </c>
      <c r="AH4048" t="inlineStr">
        <is>
          <t>PT. SAMUDRA JAYA ANUGRAH - PPN (JMB)</t>
        </is>
      </c>
      <c r="AI4048" t="n">
        <v>1017</v>
      </c>
      <c r="AJ4048" t="inlineStr">
        <is>
          <t>SKINTIFIC</t>
        </is>
      </c>
      <c r="AK4048" t="n">
        <v>9</v>
      </c>
      <c r="AL4048" t="inlineStr">
        <is>
          <t>Miss Glam Jambi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SKINTIFIC</t>
        </is>
      </c>
      <c r="B4049" s="2">
        <f>"10400206554"</f>
        <v/>
      </c>
      <c r="C4049" t="inlineStr">
        <is>
          <t>SKINTIFIC All Day Light Sunscreen Mist SPF 50 PA++++ 70ml</t>
        </is>
      </c>
      <c r="D4049" t="inlineStr">
        <is>
          <t>Miss Glam Jambi</t>
        </is>
      </c>
      <c r="E4049" t="n">
        <v>0</v>
      </c>
      <c r="F4049" t="n">
        <v>0.2079</v>
      </c>
      <c r="G4049" t="n">
        <v>0.99</v>
      </c>
      <c r="H4049" t="n">
        <v>2</v>
      </c>
      <c r="I4049" t="n">
        <v>12</v>
      </c>
      <c r="J4049" t="n">
        <v>3</v>
      </c>
      <c r="K4049" t="n">
        <v>10</v>
      </c>
      <c r="L4049" t="n">
        <v>64176</v>
      </c>
      <c r="M4049" t="n">
        <v>84500</v>
      </c>
      <c r="N4049" t="n">
        <v>33</v>
      </c>
      <c r="O4049" t="n">
        <v>0.33</v>
      </c>
      <c r="P4049" t="n">
        <v>1</v>
      </c>
      <c r="Q4049" t="n">
        <v>0.28</v>
      </c>
      <c r="R4049" t="n">
        <v>2</v>
      </c>
      <c r="S4049" t="n">
        <v>17567.55</v>
      </c>
      <c r="T4049" t="n">
        <v>12</v>
      </c>
      <c r="U4049" t="n">
        <v>13</v>
      </c>
      <c r="V4049" t="n">
        <v>30</v>
      </c>
      <c r="W4049" t="n">
        <v>7</v>
      </c>
      <c r="X4049" t="n">
        <v>0</v>
      </c>
      <c r="Y4049" t="n">
        <v>1</v>
      </c>
      <c r="Z4049" t="n">
        <v>0</v>
      </c>
      <c r="AA4049" t="n">
        <v>2</v>
      </c>
      <c r="AB4049" t="n">
        <v>0</v>
      </c>
      <c r="AC4049" t="n">
        <v>0</v>
      </c>
      <c r="AD4049" t="n">
        <v>128352</v>
      </c>
      <c r="AE4049" t="n">
        <v>0</v>
      </c>
      <c r="AF4049" t="n">
        <v>12725</v>
      </c>
      <c r="AG4049" t="n">
        <v>2137</v>
      </c>
      <c r="AH4049" t="inlineStr">
        <is>
          <t>PT. SAMUDRA JAYA ANUGRAH - PPN (JMB)</t>
        </is>
      </c>
      <c r="AI4049" t="n">
        <v>1017</v>
      </c>
      <c r="AJ4049" t="inlineStr">
        <is>
          <t>SKINTIFIC</t>
        </is>
      </c>
      <c r="AK4049" t="n">
        <v>9</v>
      </c>
      <c r="AL4049" t="inlineStr">
        <is>
          <t>Miss Glam Jambi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SKINTIFIC</t>
        </is>
      </c>
      <c r="B4050" s="2">
        <f>"810114870174"</f>
        <v/>
      </c>
      <c r="C4050" t="inlineStr">
        <is>
          <t>SKINTIFIC All Perfect Cushion Ivory 11ml</t>
        </is>
      </c>
      <c r="D4050" t="inlineStr">
        <is>
          <t>Miss Glam Jambi</t>
        </is>
      </c>
      <c r="E4050" t="n">
        <v>6</v>
      </c>
      <c r="F4050" t="n">
        <v>0.2079</v>
      </c>
      <c r="G4050" t="n">
        <v>0.99</v>
      </c>
      <c r="H4050" t="n">
        <v>2</v>
      </c>
      <c r="I4050" t="n">
        <v>12</v>
      </c>
      <c r="J4050" t="n">
        <v>3</v>
      </c>
      <c r="K4050" t="n">
        <v>3</v>
      </c>
      <c r="L4050" t="n">
        <v>137291</v>
      </c>
      <c r="M4050" t="n">
        <v>185000</v>
      </c>
      <c r="N4050" t="n">
        <v>33</v>
      </c>
      <c r="O4050" t="n">
        <v>0.33</v>
      </c>
      <c r="P4050" t="n">
        <v>1</v>
      </c>
      <c r="Q4050" t="n">
        <v>0.22</v>
      </c>
      <c r="R4050" t="n">
        <v>2</v>
      </c>
      <c r="S4050" t="n">
        <v>38461.5</v>
      </c>
      <c r="T4050" t="n">
        <v>12</v>
      </c>
      <c r="U4050" t="n">
        <v>13</v>
      </c>
      <c r="V4050" t="n">
        <v>30</v>
      </c>
      <c r="W4050" t="n">
        <v>7</v>
      </c>
      <c r="X4050" t="n">
        <v>28.86002886002886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12725</v>
      </c>
      <c r="AG4050" t="n">
        <v>2137</v>
      </c>
      <c r="AH4050" t="inlineStr">
        <is>
          <t>PT. SAMUDRA JAYA ANUGRAH - PPN (JMB)</t>
        </is>
      </c>
      <c r="AI4050" t="n">
        <v>1017</v>
      </c>
      <c r="AJ4050" t="inlineStr">
        <is>
          <t>SKINTIFIC</t>
        </is>
      </c>
      <c r="AK4050" t="n">
        <v>9</v>
      </c>
      <c r="AL4050" t="inlineStr">
        <is>
          <t>Miss Glam Jambi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SKINTIFIC</t>
        </is>
      </c>
      <c r="B4051" s="2">
        <f>"810114870198"</f>
        <v/>
      </c>
      <c r="C4051" t="inlineStr">
        <is>
          <t>SKINTIFIC All Perfect Cushion Petal 11ml</t>
        </is>
      </c>
      <c r="D4051" t="inlineStr">
        <is>
          <t>Miss Glam Jambi</t>
        </is>
      </c>
      <c r="E4051" t="n">
        <v>4</v>
      </c>
      <c r="F4051" t="n">
        <v>0.1551</v>
      </c>
      <c r="G4051" t="n">
        <v>0.99</v>
      </c>
      <c r="H4051" t="n">
        <v>2</v>
      </c>
      <c r="I4051" t="n">
        <v>12</v>
      </c>
      <c r="J4051" t="n">
        <v>3</v>
      </c>
      <c r="K4051" t="n">
        <v>3</v>
      </c>
      <c r="L4051" t="n">
        <v>130130</v>
      </c>
      <c r="M4051" t="n">
        <v>185000</v>
      </c>
      <c r="N4051" t="n">
        <v>33</v>
      </c>
      <c r="O4051" t="n">
        <v>0.33</v>
      </c>
      <c r="P4051" t="n">
        <v>1</v>
      </c>
      <c r="Q4051" t="n">
        <v>0.2</v>
      </c>
      <c r="R4051" t="n">
        <v>2</v>
      </c>
      <c r="S4051" t="n">
        <v>28693.5</v>
      </c>
      <c r="T4051" t="n">
        <v>12</v>
      </c>
      <c r="U4051" t="n">
        <v>13</v>
      </c>
      <c r="V4051" t="n">
        <v>30</v>
      </c>
      <c r="W4051" t="n">
        <v>5</v>
      </c>
      <c r="X4051" t="n">
        <v>25.78981302385558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12725</v>
      </c>
      <c r="AG4051" t="n">
        <v>2137</v>
      </c>
      <c r="AH4051" t="inlineStr">
        <is>
          <t>PT. SAMUDRA JAYA ANUGRAH - PPN (JMB)</t>
        </is>
      </c>
      <c r="AI4051" t="n">
        <v>1017</v>
      </c>
      <c r="AJ4051" t="inlineStr">
        <is>
          <t>SKINTIFIC</t>
        </is>
      </c>
      <c r="AK4051" t="n">
        <v>9</v>
      </c>
      <c r="AL4051" t="inlineStr">
        <is>
          <t>Miss Glam Jambi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SKINTIFIC</t>
        </is>
      </c>
      <c r="B4052" s="2">
        <f>"810114870150"</f>
        <v/>
      </c>
      <c r="C4052" t="inlineStr">
        <is>
          <t>SKINTIFIC All Perfect Cushion Vanilla 11ml</t>
        </is>
      </c>
      <c r="D4052" t="inlineStr">
        <is>
          <t>Miss Glam Jambi</t>
        </is>
      </c>
      <c r="E4052" t="n">
        <v>4</v>
      </c>
      <c r="F4052" t="n">
        <v>0.07920000000000001</v>
      </c>
      <c r="G4052" t="n">
        <v>0.99</v>
      </c>
      <c r="H4052" t="n">
        <v>2</v>
      </c>
      <c r="I4052" t="n">
        <v>12</v>
      </c>
      <c r="J4052" t="n">
        <v>3</v>
      </c>
      <c r="K4052" t="n">
        <v>0</v>
      </c>
      <c r="L4052" t="n">
        <v>137291</v>
      </c>
      <c r="M4052" t="n">
        <v>185000</v>
      </c>
      <c r="N4052" t="n">
        <v>33</v>
      </c>
      <c r="O4052" t="n">
        <v>0.33</v>
      </c>
      <c r="P4052" t="n">
        <v>1</v>
      </c>
      <c r="Q4052" t="n">
        <v>0.12</v>
      </c>
      <c r="R4052" t="n">
        <v>1</v>
      </c>
      <c r="S4052" t="n">
        <v>14652</v>
      </c>
      <c r="T4052" t="n">
        <v>12</v>
      </c>
      <c r="U4052" t="n">
        <v>13</v>
      </c>
      <c r="V4052" t="n">
        <v>30</v>
      </c>
      <c r="W4052" t="n">
        <v>3</v>
      </c>
      <c r="X4052" t="n">
        <v>50.5050505050505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12725</v>
      </c>
      <c r="AG4052" t="n">
        <v>2137</v>
      </c>
      <c r="AH4052" t="inlineStr">
        <is>
          <t>PT. SAMUDRA JAYA ANUGRAH - PPN (JMB)</t>
        </is>
      </c>
      <c r="AI4052" t="n">
        <v>1017</v>
      </c>
      <c r="AJ4052" t="inlineStr">
        <is>
          <t>SKINTIFIC</t>
        </is>
      </c>
      <c r="AK4052" t="n">
        <v>9</v>
      </c>
      <c r="AL4052" t="inlineStr">
        <is>
          <t>Miss Glam Jambi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SKINTIFIC</t>
        </is>
      </c>
      <c r="B4053" s="2">
        <f>"7554411572258"</f>
        <v/>
      </c>
      <c r="C4053" t="inlineStr">
        <is>
          <t>SKINTIFIC Amino Acid Ultra Gentle Cleansing Mousse 100ml</t>
        </is>
      </c>
      <c r="D4053" t="inlineStr">
        <is>
          <t>Miss Glam Jambi</t>
        </is>
      </c>
      <c r="E4053" t="n">
        <v>4</v>
      </c>
      <c r="F4053" t="n">
        <v>0.1386</v>
      </c>
      <c r="G4053" t="n">
        <v>0.66</v>
      </c>
      <c r="H4053" t="n">
        <v>2</v>
      </c>
      <c r="I4053" t="n">
        <v>12</v>
      </c>
      <c r="J4053" t="n">
        <v>3</v>
      </c>
      <c r="K4053" t="n">
        <v>3</v>
      </c>
      <c r="L4053" t="n">
        <v>77573</v>
      </c>
      <c r="M4053" t="n">
        <v>109000</v>
      </c>
      <c r="N4053" t="n">
        <v>33</v>
      </c>
      <c r="O4053" t="n">
        <v>0.33</v>
      </c>
      <c r="P4053" t="n">
        <v>1</v>
      </c>
      <c r="Q4053" t="n">
        <v>0.14</v>
      </c>
      <c r="R4053" t="n">
        <v>1</v>
      </c>
      <c r="S4053" t="n">
        <v>15107.4</v>
      </c>
      <c r="T4053" t="n">
        <v>8</v>
      </c>
      <c r="U4053" t="n">
        <v>9</v>
      </c>
      <c r="V4053" t="n">
        <v>30</v>
      </c>
      <c r="W4053" t="n">
        <v>5</v>
      </c>
      <c r="X4053" t="n">
        <v>28.86002886002886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12725</v>
      </c>
      <c r="AG4053" t="n">
        <v>2137</v>
      </c>
      <c r="AH4053" t="inlineStr">
        <is>
          <t>PT. SAMUDRA JAYA ANUGRAH - PPN (JMB)</t>
        </is>
      </c>
      <c r="AI4053" t="n">
        <v>1017</v>
      </c>
      <c r="AJ4053" t="inlineStr">
        <is>
          <t>SKINTIFIC</t>
        </is>
      </c>
      <c r="AK4053" t="n">
        <v>9</v>
      </c>
      <c r="AL4053" t="inlineStr">
        <is>
          <t>Miss Glam Jambi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SKINTIFIC</t>
        </is>
      </c>
      <c r="B4054" s="2">
        <f>"810114870983"</f>
        <v/>
      </c>
      <c r="C4054" t="inlineStr">
        <is>
          <t>SKINTIFIC Aqua Light Daily Sunscreen SPF 35 PA+++ 30gr</t>
        </is>
      </c>
      <c r="D4054" t="inlineStr">
        <is>
          <t>Miss Glam Jambi</t>
        </is>
      </c>
      <c r="E4054" t="n">
        <v>4</v>
      </c>
      <c r="F4054" t="n">
        <v>0.2673</v>
      </c>
      <c r="G4054" t="n">
        <v>1.32</v>
      </c>
      <c r="H4054" t="n">
        <v>2</v>
      </c>
      <c r="I4054" t="n">
        <v>12</v>
      </c>
      <c r="J4054" t="n">
        <v>3</v>
      </c>
      <c r="K4054" t="n">
        <v>11</v>
      </c>
      <c r="L4054" t="n">
        <v>64689</v>
      </c>
      <c r="M4054" t="n">
        <v>97000</v>
      </c>
      <c r="N4054" t="n">
        <v>33</v>
      </c>
      <c r="O4054" t="n">
        <v>0.33</v>
      </c>
      <c r="P4054" t="n">
        <v>1</v>
      </c>
      <c r="Q4054" t="n">
        <v>0.24</v>
      </c>
      <c r="R4054" t="n">
        <v>2</v>
      </c>
      <c r="S4054" t="n">
        <v>25928.1</v>
      </c>
      <c r="T4054" t="n">
        <v>16</v>
      </c>
      <c r="U4054" t="n">
        <v>17</v>
      </c>
      <c r="V4054" t="n">
        <v>30</v>
      </c>
      <c r="W4054" t="n">
        <v>9</v>
      </c>
      <c r="X4054" t="n">
        <v>14.96445940890385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12725</v>
      </c>
      <c r="AG4054" t="n">
        <v>2137</v>
      </c>
      <c r="AH4054" t="inlineStr">
        <is>
          <t>PT. SAMUDRA JAYA ANUGRAH - PPN (JMB)</t>
        </is>
      </c>
      <c r="AI4054" t="n">
        <v>1017</v>
      </c>
      <c r="AJ4054" t="inlineStr">
        <is>
          <t>SKINTIFIC</t>
        </is>
      </c>
      <c r="AK4054" t="n">
        <v>9</v>
      </c>
      <c r="AL4054" t="inlineStr">
        <is>
          <t>Miss Glam Jambi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SKINTIFIC</t>
        </is>
      </c>
      <c r="B4055" s="2">
        <f>"10400617402"</f>
        <v/>
      </c>
      <c r="C4055" t="inlineStr">
        <is>
          <t>SKINTIFIC Bright Fit Serum Suncreen 30ml</t>
        </is>
      </c>
      <c r="D4055" t="inlineStr">
        <is>
          <t>Miss Glam Jambi</t>
        </is>
      </c>
      <c r="E4055" t="n">
        <v>9</v>
      </c>
      <c r="F4055" t="n">
        <v>0.2904</v>
      </c>
      <c r="G4055" t="n">
        <v>1.32</v>
      </c>
      <c r="H4055" t="n">
        <v>2</v>
      </c>
      <c r="I4055" t="n">
        <v>12</v>
      </c>
      <c r="J4055" t="n">
        <v>1</v>
      </c>
      <c r="K4055" t="n">
        <v>0</v>
      </c>
      <c r="L4055" t="n">
        <v>76371</v>
      </c>
      <c r="M4055" t="n">
        <v>110500</v>
      </c>
      <c r="N4055" t="n">
        <v>33</v>
      </c>
      <c r="O4055" t="n">
        <v>0.33</v>
      </c>
      <c r="P4055" t="n">
        <v>1</v>
      </c>
      <c r="Q4055" t="n">
        <v>0.34</v>
      </c>
      <c r="R4055" t="n">
        <v>2</v>
      </c>
      <c r="S4055" t="n">
        <v>32089.2</v>
      </c>
      <c r="T4055" t="n">
        <v>16</v>
      </c>
      <c r="U4055" t="n">
        <v>17</v>
      </c>
      <c r="V4055" t="n">
        <v>30</v>
      </c>
      <c r="W4055" t="n">
        <v>9</v>
      </c>
      <c r="X4055" t="n">
        <v>30.99173553719008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12725</v>
      </c>
      <c r="AG4055" t="n">
        <v>2137</v>
      </c>
      <c r="AH4055" t="inlineStr">
        <is>
          <t>PT. SAMUDRA JAYA ANUGRAH - PPN (JMB)</t>
        </is>
      </c>
      <c r="AI4055" t="n">
        <v>1017</v>
      </c>
      <c r="AJ4055" t="inlineStr">
        <is>
          <t>SKINTIFIC</t>
        </is>
      </c>
      <c r="AK4055" t="n">
        <v>9</v>
      </c>
      <c r="AL4055" t="inlineStr">
        <is>
          <t>Miss Glam Jambi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SKINTIFIC</t>
        </is>
      </c>
      <c r="B4056" s="2">
        <f>"10400617519"</f>
        <v/>
      </c>
      <c r="C4056" t="inlineStr">
        <is>
          <t>SKINTIFIC Bright Fit Serum Suncreen 50ml</t>
        </is>
      </c>
      <c r="D4056" t="inlineStr">
        <is>
          <t>Miss Glam Jambi</t>
        </is>
      </c>
      <c r="E4056" t="n">
        <v>5</v>
      </c>
      <c r="F4056" t="n">
        <v>0.2739</v>
      </c>
      <c r="G4056" t="n">
        <v>1.65</v>
      </c>
      <c r="H4056" t="n">
        <v>2</v>
      </c>
      <c r="I4056" t="n">
        <v>12</v>
      </c>
      <c r="J4056" t="n">
        <v>1</v>
      </c>
      <c r="K4056" t="n">
        <v>4</v>
      </c>
      <c r="L4056" t="n">
        <v>109388</v>
      </c>
      <c r="M4056" t="n">
        <v>149000</v>
      </c>
      <c r="N4056" t="n">
        <v>33</v>
      </c>
      <c r="O4056" t="n">
        <v>0.33</v>
      </c>
      <c r="P4056" t="n">
        <v>1</v>
      </c>
      <c r="Q4056" t="n">
        <v>0.14</v>
      </c>
      <c r="R4056" t="n">
        <v>2</v>
      </c>
      <c r="S4056" t="n">
        <v>40811.1</v>
      </c>
      <c r="T4056" t="n">
        <v>20</v>
      </c>
      <c r="U4056" t="n">
        <v>21</v>
      </c>
      <c r="V4056" t="n">
        <v>30</v>
      </c>
      <c r="W4056" t="n">
        <v>9</v>
      </c>
      <c r="X4056" t="n">
        <v>18.25483753194597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12725</v>
      </c>
      <c r="AG4056" t="n">
        <v>2137</v>
      </c>
      <c r="AH4056" t="inlineStr">
        <is>
          <t>PT. SAMUDRA JAYA ANUGRAH - PPN (JMB)</t>
        </is>
      </c>
      <c r="AI4056" t="n">
        <v>1017</v>
      </c>
      <c r="AJ4056" t="inlineStr">
        <is>
          <t>SKINTIFIC</t>
        </is>
      </c>
      <c r="AK4056" t="n">
        <v>9</v>
      </c>
      <c r="AL4056" t="inlineStr">
        <is>
          <t>Miss Glam Jambi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SKINTIFIC</t>
        </is>
      </c>
      <c r="B4057" s="2">
        <f>"10700513117"</f>
        <v/>
      </c>
      <c r="C4057" t="inlineStr">
        <is>
          <t>SKINTIFIC Brightening Lip Serum Cherry Red 6.5ml</t>
        </is>
      </c>
      <c r="D4057" t="inlineStr">
        <is>
          <t>Miss Glam Jambi</t>
        </is>
      </c>
      <c r="E4057" t="n">
        <v>13</v>
      </c>
      <c r="F4057" t="n">
        <v>0.2178</v>
      </c>
      <c r="G4057" t="n">
        <v>1.32</v>
      </c>
      <c r="H4057" t="n">
        <v>2</v>
      </c>
      <c r="I4057" t="n">
        <v>12</v>
      </c>
      <c r="J4057" t="n">
        <v>1</v>
      </c>
      <c r="K4057" t="n">
        <v>0</v>
      </c>
      <c r="L4057" t="n">
        <v>77017</v>
      </c>
      <c r="M4057" t="n">
        <v>116000</v>
      </c>
      <c r="N4057" t="n">
        <v>33</v>
      </c>
      <c r="O4057" t="n">
        <v>0.33</v>
      </c>
      <c r="P4057" t="n">
        <v>1</v>
      </c>
      <c r="Q4057" t="n">
        <v>0.27</v>
      </c>
      <c r="R4057" t="n">
        <v>2</v>
      </c>
      <c r="S4057" t="n">
        <v>25264.8</v>
      </c>
      <c r="T4057" t="n">
        <v>16</v>
      </c>
      <c r="U4057" t="n">
        <v>17</v>
      </c>
      <c r="V4057" t="n">
        <v>30</v>
      </c>
      <c r="W4057" t="n">
        <v>7</v>
      </c>
      <c r="X4057" t="n">
        <v>59.68778696051423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12725</v>
      </c>
      <c r="AG4057" t="n">
        <v>2137</v>
      </c>
      <c r="AH4057" t="inlineStr">
        <is>
          <t>PT. SAMUDRA JAYA ANUGRAH - PPN (JMB)</t>
        </is>
      </c>
      <c r="AI4057" t="n">
        <v>1017</v>
      </c>
      <c r="AJ4057" t="inlineStr">
        <is>
          <t>SKINTIFIC</t>
        </is>
      </c>
      <c r="AK4057" t="n">
        <v>9</v>
      </c>
      <c r="AL4057" t="inlineStr">
        <is>
          <t>Miss Glam Jambi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SKINTIFIC</t>
        </is>
      </c>
      <c r="B4058" s="2">
        <f>"10700513044"</f>
        <v/>
      </c>
      <c r="C4058" t="inlineStr">
        <is>
          <t>SKINTIFIC Brightening Lip Serum Peach Rose 6.5ml</t>
        </is>
      </c>
      <c r="D4058" t="inlineStr">
        <is>
          <t>Miss Glam Jambi</t>
        </is>
      </c>
      <c r="E4058" t="n">
        <v>4</v>
      </c>
      <c r="F4058" t="n">
        <v>0.0264</v>
      </c>
      <c r="G4058" t="n">
        <v>0.33</v>
      </c>
      <c r="H4058" t="n">
        <v>2</v>
      </c>
      <c r="I4058" t="n">
        <v>12</v>
      </c>
      <c r="J4058" t="n">
        <v>1</v>
      </c>
      <c r="K4058" t="n">
        <v>0</v>
      </c>
      <c r="L4058" t="n">
        <v>80984</v>
      </c>
      <c r="M4058" t="n">
        <v>116000</v>
      </c>
      <c r="N4058" t="n">
        <v>33</v>
      </c>
      <c r="O4058" t="n">
        <v>0.33</v>
      </c>
      <c r="P4058" t="n">
        <v>1</v>
      </c>
      <c r="Q4058" t="n">
        <v>0.05</v>
      </c>
      <c r="R4058" t="n">
        <v>1</v>
      </c>
      <c r="S4058" t="n">
        <v>3062.400000000001</v>
      </c>
      <c r="T4058" t="n">
        <v>4</v>
      </c>
      <c r="U4058" t="n">
        <v>5</v>
      </c>
      <c r="V4058" t="n">
        <v>30</v>
      </c>
      <c r="W4058" t="n">
        <v>1</v>
      </c>
      <c r="X4058" t="n">
        <v>151.5151515151515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12725</v>
      </c>
      <c r="AG4058" t="n">
        <v>2137</v>
      </c>
      <c r="AH4058" t="inlineStr">
        <is>
          <t>PT. SAMUDRA JAYA ANUGRAH - PPN (JMB)</t>
        </is>
      </c>
      <c r="AI4058" t="n">
        <v>1017</v>
      </c>
      <c r="AJ4058" t="inlineStr">
        <is>
          <t>SKINTIFIC</t>
        </is>
      </c>
      <c r="AK4058" t="n">
        <v>9</v>
      </c>
      <c r="AL4058" t="inlineStr">
        <is>
          <t>Miss Glam Jambi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SKINTIFIC</t>
        </is>
      </c>
      <c r="B4059" s="2">
        <f>"10700512901"</f>
        <v/>
      </c>
      <c r="C4059" t="inlineStr">
        <is>
          <t>SKINTIFIC Brightening Lip Serum Pink Berry 6.5ml</t>
        </is>
      </c>
      <c r="D4059" t="inlineStr">
        <is>
          <t>Miss Glam Jambi</t>
        </is>
      </c>
      <c r="E4059" t="n">
        <v>9</v>
      </c>
      <c r="F4059" t="n">
        <v>0.2475</v>
      </c>
      <c r="G4059" t="n">
        <v>1.32</v>
      </c>
      <c r="H4059" t="n">
        <v>2</v>
      </c>
      <c r="I4059" t="n">
        <v>12</v>
      </c>
      <c r="J4059" t="n">
        <v>1</v>
      </c>
      <c r="K4059" t="n">
        <v>0</v>
      </c>
      <c r="L4059" t="n">
        <v>77293</v>
      </c>
      <c r="M4059" t="n">
        <v>116000</v>
      </c>
      <c r="N4059" t="n">
        <v>33</v>
      </c>
      <c r="O4059" t="n">
        <v>0.33</v>
      </c>
      <c r="P4059" t="n">
        <v>1</v>
      </c>
      <c r="Q4059" t="n">
        <v>0.29</v>
      </c>
      <c r="R4059" t="n">
        <v>4</v>
      </c>
      <c r="S4059" t="n">
        <v>28710</v>
      </c>
      <c r="T4059" t="n">
        <v>16</v>
      </c>
      <c r="U4059" t="n">
        <v>17</v>
      </c>
      <c r="V4059" t="n">
        <v>30</v>
      </c>
      <c r="W4059" t="n">
        <v>8</v>
      </c>
      <c r="X4059" t="n">
        <v>36.36363636363637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12725</v>
      </c>
      <c r="AG4059" t="n">
        <v>2137</v>
      </c>
      <c r="AH4059" t="inlineStr">
        <is>
          <t>PT. SAMUDRA JAYA ANUGRAH - PPN (JMB)</t>
        </is>
      </c>
      <c r="AI4059" t="n">
        <v>1017</v>
      </c>
      <c r="AJ4059" t="inlineStr">
        <is>
          <t>SKINTIFIC</t>
        </is>
      </c>
      <c r="AK4059" t="n">
        <v>9</v>
      </c>
      <c r="AL4059" t="inlineStr">
        <is>
          <t>Miss Glam Jambi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SKINTIFIC</t>
        </is>
      </c>
      <c r="B4060" s="2">
        <f>"10100205219"</f>
        <v/>
      </c>
      <c r="C4060" t="inlineStr">
        <is>
          <t>SKINTIFIC Centella Deep Cleansing Oil 200ml</t>
        </is>
      </c>
      <c r="D4060" t="inlineStr">
        <is>
          <t>Miss Glam Jambi</t>
        </is>
      </c>
      <c r="E4060" t="n">
        <v>4</v>
      </c>
      <c r="F4060" t="n">
        <v>0.033</v>
      </c>
      <c r="G4060" t="n">
        <v>0.33</v>
      </c>
      <c r="H4060" t="n">
        <v>2</v>
      </c>
      <c r="I4060" t="n">
        <v>12</v>
      </c>
      <c r="J4060" t="n">
        <v>1</v>
      </c>
      <c r="K4060" t="n">
        <v>0</v>
      </c>
      <c r="L4060" t="n">
        <v>89321</v>
      </c>
      <c r="M4060" t="n">
        <v>116000</v>
      </c>
      <c r="N4060" t="n">
        <v>33</v>
      </c>
      <c r="O4060" t="n">
        <v>0.33</v>
      </c>
      <c r="P4060" t="n">
        <v>1</v>
      </c>
      <c r="Q4060" t="n">
        <v>0.03</v>
      </c>
      <c r="R4060" t="n">
        <v>1</v>
      </c>
      <c r="S4060" t="n">
        <v>3828</v>
      </c>
      <c r="T4060" t="n">
        <v>4</v>
      </c>
      <c r="U4060" t="n">
        <v>5</v>
      </c>
      <c r="V4060" t="n">
        <v>30</v>
      </c>
      <c r="W4060" t="n">
        <v>1</v>
      </c>
      <c r="X4060" t="n">
        <v>121.2121212121212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12725</v>
      </c>
      <c r="AG4060" t="n">
        <v>2137</v>
      </c>
      <c r="AH4060" t="inlineStr">
        <is>
          <t>PT. SAMUDRA JAYA ANUGRAH - PPN (JMB)</t>
        </is>
      </c>
      <c r="AI4060" t="n">
        <v>1017</v>
      </c>
      <c r="AJ4060" t="inlineStr">
        <is>
          <t>SKINTIFIC</t>
        </is>
      </c>
      <c r="AK4060" t="n">
        <v>9</v>
      </c>
      <c r="AL4060" t="inlineStr">
        <is>
          <t>Miss Glam Jambi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SKINTIFIC</t>
        </is>
      </c>
      <c r="B4061" s="2">
        <f>"810114870167"</f>
        <v/>
      </c>
      <c r="C4061" t="inlineStr">
        <is>
          <t>SKINTIFIC Cover All Perfect Cushion 01 Vanilla Refill</t>
        </is>
      </c>
      <c r="D4061" t="inlineStr">
        <is>
          <t>Miss Glam Jambi</t>
        </is>
      </c>
      <c r="E4061" t="n">
        <v>7</v>
      </c>
      <c r="F4061" t="n">
        <v>0.0726</v>
      </c>
      <c r="G4061" t="n">
        <v>0.66</v>
      </c>
      <c r="H4061" t="n">
        <v>2</v>
      </c>
      <c r="I4061" t="n">
        <v>12</v>
      </c>
      <c r="J4061" t="n">
        <v>3</v>
      </c>
      <c r="K4061" t="n">
        <v>0</v>
      </c>
      <c r="L4061" t="n">
        <v>95663</v>
      </c>
      <c r="M4061" t="n">
        <v>129000</v>
      </c>
      <c r="N4061" t="n">
        <v>33</v>
      </c>
      <c r="O4061" t="n">
        <v>0.33</v>
      </c>
      <c r="P4061" t="n">
        <v>1</v>
      </c>
      <c r="Q4061" t="n">
        <v>0.27</v>
      </c>
      <c r="R4061" t="n">
        <v>2</v>
      </c>
      <c r="S4061" t="n">
        <v>9365.4</v>
      </c>
      <c r="T4061" t="n">
        <v>8</v>
      </c>
      <c r="U4061" t="n">
        <v>9</v>
      </c>
      <c r="V4061" t="n">
        <v>30</v>
      </c>
      <c r="W4061" t="n">
        <v>3</v>
      </c>
      <c r="X4061" t="n">
        <v>96.41873278236915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12725</v>
      </c>
      <c r="AG4061" t="n">
        <v>2137</v>
      </c>
      <c r="AH4061" t="inlineStr">
        <is>
          <t>PT. SAMUDRA JAYA ANUGRAH - PPN (JMB)</t>
        </is>
      </c>
      <c r="AI4061" t="n">
        <v>1017</v>
      </c>
      <c r="AJ4061" t="inlineStr">
        <is>
          <t>SKINTIFIC</t>
        </is>
      </c>
      <c r="AK4061" t="n">
        <v>9</v>
      </c>
      <c r="AL4061" t="inlineStr">
        <is>
          <t>Miss Glam Jambi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SKINTIFIC</t>
        </is>
      </c>
      <c r="B4062" s="2">
        <f>"810114870181"</f>
        <v/>
      </c>
      <c r="C4062" t="inlineStr">
        <is>
          <t>SKINTIFIC Cover All Perfect Cushion 02 Ivory Refill</t>
        </is>
      </c>
      <c r="D4062" t="inlineStr">
        <is>
          <t>Miss Glam Jambi</t>
        </is>
      </c>
      <c r="E4062" t="n">
        <v>20</v>
      </c>
      <c r="F4062" t="n">
        <v>0.297</v>
      </c>
      <c r="G4062" t="n">
        <v>0.99</v>
      </c>
      <c r="H4062" t="n">
        <v>2</v>
      </c>
      <c r="I4062" t="n">
        <v>12</v>
      </c>
      <c r="J4062" t="n">
        <v>3</v>
      </c>
      <c r="K4062" t="n">
        <v>0</v>
      </c>
      <c r="L4062" t="n">
        <v>91983</v>
      </c>
      <c r="M4062" t="n">
        <v>129000</v>
      </c>
      <c r="N4062" t="n">
        <v>33</v>
      </c>
      <c r="O4062" t="n">
        <v>0.33</v>
      </c>
      <c r="P4062" t="n">
        <v>1</v>
      </c>
      <c r="Q4062" t="n">
        <v>0.29</v>
      </c>
      <c r="R4062" t="n">
        <v>2</v>
      </c>
      <c r="S4062" t="n">
        <v>38313.00000000001</v>
      </c>
      <c r="T4062" t="n">
        <v>12</v>
      </c>
      <c r="U4062" t="n">
        <v>13</v>
      </c>
      <c r="V4062" t="n">
        <v>30</v>
      </c>
      <c r="W4062" t="n">
        <v>9</v>
      </c>
      <c r="X4062" t="n">
        <v>67.34006734006734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12725</v>
      </c>
      <c r="AG4062" t="n">
        <v>2137</v>
      </c>
      <c r="AH4062" t="inlineStr">
        <is>
          <t>PT. SAMUDRA JAYA ANUGRAH - PPN (JMB)</t>
        </is>
      </c>
      <c r="AI4062" t="n">
        <v>1017</v>
      </c>
      <c r="AJ4062" t="inlineStr">
        <is>
          <t>SKINTIFIC</t>
        </is>
      </c>
      <c r="AK4062" t="n">
        <v>9</v>
      </c>
      <c r="AL4062" t="inlineStr">
        <is>
          <t>Miss Glam Jambi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SKINTIFIC</t>
        </is>
      </c>
      <c r="B4063" s="2">
        <f>"810114871560"</f>
        <v/>
      </c>
      <c r="C4063" t="inlineStr">
        <is>
          <t>SKINTIFIC Cover All Perfect Cushion 02N Natural Ivory 11gr</t>
        </is>
      </c>
      <c r="D4063" t="inlineStr">
        <is>
          <t>Miss Glam Jambi</t>
        </is>
      </c>
      <c r="E4063" t="n">
        <v>4</v>
      </c>
      <c r="F4063" t="n">
        <v>0.08</v>
      </c>
      <c r="G4063" t="n">
        <v>1</v>
      </c>
      <c r="H4063" t="n">
        <v>2</v>
      </c>
      <c r="I4063" t="n">
        <v>12</v>
      </c>
      <c r="J4063" t="n">
        <v>3</v>
      </c>
      <c r="K4063" t="n">
        <v>0</v>
      </c>
      <c r="L4063" t="n">
        <v>130130</v>
      </c>
      <c r="M4063" t="n">
        <v>202000</v>
      </c>
      <c r="N4063" t="n">
        <v>33</v>
      </c>
      <c r="O4063" t="n">
        <v>0.33</v>
      </c>
      <c r="P4063" t="n">
        <v>0</v>
      </c>
      <c r="Q4063" t="n">
        <v>0.08</v>
      </c>
      <c r="R4063" t="n">
        <v>1</v>
      </c>
      <c r="S4063" t="n">
        <v>16160</v>
      </c>
      <c r="T4063" t="n">
        <v>12</v>
      </c>
      <c r="U4063" t="n">
        <v>13</v>
      </c>
      <c r="V4063" t="n">
        <v>30</v>
      </c>
      <c r="W4063" t="n">
        <v>3</v>
      </c>
      <c r="X4063" t="n">
        <v>50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12725</v>
      </c>
      <c r="AG4063" t="n">
        <v>2137</v>
      </c>
      <c r="AH4063" t="inlineStr">
        <is>
          <t>PT. SAMUDRA JAYA ANUGRAH - PPN (JMB)</t>
        </is>
      </c>
      <c r="AI4063" t="n">
        <v>1017</v>
      </c>
      <c r="AJ4063" t="inlineStr">
        <is>
          <t>SKINTIFIC</t>
        </is>
      </c>
      <c r="AK4063" t="n">
        <v>9</v>
      </c>
      <c r="AL4063" t="inlineStr">
        <is>
          <t>Miss Glam Jambi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SKINTIFIC</t>
        </is>
      </c>
      <c r="B4064" s="2">
        <f>"810114870204"</f>
        <v/>
      </c>
      <c r="C4064" t="inlineStr">
        <is>
          <t>SKINTIFIC Cover All Perfect Cushion 03 Petal Refill</t>
        </is>
      </c>
      <c r="D4064" t="inlineStr">
        <is>
          <t>Miss Glam Jambi</t>
        </is>
      </c>
      <c r="E4064" t="n">
        <v>8</v>
      </c>
      <c r="F4064" t="n">
        <v>0.1947</v>
      </c>
      <c r="G4064" t="n">
        <v>0.99</v>
      </c>
      <c r="H4064" t="n">
        <v>2</v>
      </c>
      <c r="I4064" t="n">
        <v>12</v>
      </c>
      <c r="J4064" t="n">
        <v>3</v>
      </c>
      <c r="K4064" t="n">
        <v>0</v>
      </c>
      <c r="L4064" t="n">
        <v>92092</v>
      </c>
      <c r="M4064" t="n">
        <v>129000</v>
      </c>
      <c r="N4064" t="n">
        <v>33</v>
      </c>
      <c r="O4064" t="n">
        <v>0.33</v>
      </c>
      <c r="P4064" t="n">
        <v>1</v>
      </c>
      <c r="Q4064" t="n">
        <v>0.34</v>
      </c>
      <c r="R4064" t="n">
        <v>2</v>
      </c>
      <c r="S4064" t="n">
        <v>25116.3</v>
      </c>
      <c r="T4064" t="n">
        <v>12</v>
      </c>
      <c r="U4064" t="n">
        <v>13</v>
      </c>
      <c r="V4064" t="n">
        <v>30</v>
      </c>
      <c r="W4064" t="n">
        <v>6</v>
      </c>
      <c r="X4064" t="n">
        <v>41.08885464817668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12725</v>
      </c>
      <c r="AG4064" t="n">
        <v>2137</v>
      </c>
      <c r="AH4064" t="inlineStr">
        <is>
          <t>PT. SAMUDRA JAYA ANUGRAH - PPN (JMB)</t>
        </is>
      </c>
      <c r="AI4064" t="n">
        <v>1017</v>
      </c>
      <c r="AJ4064" t="inlineStr">
        <is>
          <t>SKINTIFIC</t>
        </is>
      </c>
      <c r="AK4064" t="n">
        <v>9</v>
      </c>
      <c r="AL4064" t="inlineStr">
        <is>
          <t>Miss Glam Jambi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SKINTIFIC</t>
        </is>
      </c>
      <c r="B4065" s="2">
        <f>"810114870488"</f>
        <v/>
      </c>
      <c r="C4065" t="inlineStr">
        <is>
          <t>SKINTIFIC Cover All Perfect Cushion Spf 35 PA++++ 03A Almond 11ml</t>
        </is>
      </c>
      <c r="D4065" t="inlineStr">
        <is>
          <t>Miss Glam Jambi</t>
        </is>
      </c>
      <c r="E4065" t="n">
        <v>7</v>
      </c>
      <c r="F4065" t="n">
        <v>0.0231</v>
      </c>
      <c r="G4065" t="n">
        <v>0.33</v>
      </c>
      <c r="H4065" t="n">
        <v>2</v>
      </c>
      <c r="I4065" t="n">
        <v>12</v>
      </c>
      <c r="J4065" t="n">
        <v>3</v>
      </c>
      <c r="K4065" t="n">
        <v>0</v>
      </c>
      <c r="L4065" t="n">
        <v>138314</v>
      </c>
      <c r="M4065" t="n">
        <v>181000</v>
      </c>
      <c r="N4065" t="n">
        <v>33</v>
      </c>
      <c r="O4065" t="n">
        <v>0.33</v>
      </c>
      <c r="P4065" t="n">
        <v>1</v>
      </c>
      <c r="Q4065" t="n">
        <v>0.03</v>
      </c>
      <c r="R4065" t="n">
        <v>1</v>
      </c>
      <c r="S4065" t="n">
        <v>4181.1</v>
      </c>
      <c r="T4065" t="n">
        <v>4</v>
      </c>
      <c r="U4065" t="n">
        <v>5</v>
      </c>
      <c r="V4065" t="n">
        <v>30</v>
      </c>
      <c r="W4065" t="n">
        <v>1</v>
      </c>
      <c r="X4065" t="n">
        <v>303.030303030303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12725</v>
      </c>
      <c r="AG4065" t="n">
        <v>2137</v>
      </c>
      <c r="AH4065" t="inlineStr">
        <is>
          <t>PT. SAMUDRA JAYA ANUGRAH - PPN (JMB)</t>
        </is>
      </c>
      <c r="AI4065" t="n">
        <v>1017</v>
      </c>
      <c r="AJ4065" t="inlineStr">
        <is>
          <t>SKINTIFIC</t>
        </is>
      </c>
      <c r="AK4065" t="n">
        <v>9</v>
      </c>
      <c r="AL4065" t="inlineStr">
        <is>
          <t>Miss Glam Jambi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SKINTIFIC</t>
        </is>
      </c>
      <c r="B4066" s="2">
        <f>"20100493443"</f>
        <v/>
      </c>
      <c r="C4066" t="inlineStr">
        <is>
          <t>SKINTIFIC Cover Glow Perfect Cushion 01 Vanilla 30gr</t>
        </is>
      </c>
      <c r="D4066" t="inlineStr">
        <is>
          <t>Miss Glam Jambi</t>
        </is>
      </c>
      <c r="E4066" t="n">
        <v>1</v>
      </c>
      <c r="F4066" t="n">
        <v>0.066</v>
      </c>
      <c r="G4066" t="n">
        <v>0.66</v>
      </c>
      <c r="H4066" t="n">
        <v>2</v>
      </c>
      <c r="I4066" t="n">
        <v>12</v>
      </c>
      <c r="J4066" t="n">
        <v>1</v>
      </c>
      <c r="K4066" t="n">
        <v>7</v>
      </c>
      <c r="L4066" t="n">
        <v>125000</v>
      </c>
      <c r="M4066" t="n">
        <v>154000</v>
      </c>
      <c r="N4066" t="n">
        <v>33</v>
      </c>
      <c r="O4066" t="n">
        <v>0.33</v>
      </c>
      <c r="P4066" t="n">
        <v>1</v>
      </c>
      <c r="Q4066" t="n">
        <v>0.03</v>
      </c>
      <c r="R4066" t="n">
        <v>2</v>
      </c>
      <c r="S4066" t="n">
        <v>10164</v>
      </c>
      <c r="T4066" t="n">
        <v>8</v>
      </c>
      <c r="U4066" t="n">
        <v>9</v>
      </c>
      <c r="V4066" t="n">
        <v>30</v>
      </c>
      <c r="W4066" t="n">
        <v>2</v>
      </c>
      <c r="X4066" t="n">
        <v>15.15151515151515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12725</v>
      </c>
      <c r="AG4066" t="n">
        <v>2137</v>
      </c>
      <c r="AH4066" t="inlineStr">
        <is>
          <t>PT. SAMUDRA JAYA ANUGRAH - PPN (JMB)</t>
        </is>
      </c>
      <c r="AI4066" t="n">
        <v>1017</v>
      </c>
      <c r="AJ4066" t="inlineStr">
        <is>
          <t>SKINTIFIC</t>
        </is>
      </c>
      <c r="AK4066" t="n">
        <v>9</v>
      </c>
      <c r="AL4066" t="inlineStr">
        <is>
          <t>Miss Glam Jambi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SKINTIFIC</t>
        </is>
      </c>
      <c r="B4067" s="2">
        <f>"20100493552"</f>
        <v/>
      </c>
      <c r="C4067" t="inlineStr">
        <is>
          <t>SKINTIFIC Cover Glow Perfect Cushion 02 Ivory 30gr</t>
        </is>
      </c>
      <c r="D4067" t="inlineStr">
        <is>
          <t>Miss Glam Jambi</t>
        </is>
      </c>
      <c r="E4067" t="n">
        <v>1</v>
      </c>
      <c r="F4067" t="n">
        <v>0.1848</v>
      </c>
      <c r="G4067" t="n">
        <v>0.99</v>
      </c>
      <c r="H4067" t="n">
        <v>2</v>
      </c>
      <c r="I4067" t="n">
        <v>12</v>
      </c>
      <c r="J4067" t="n">
        <v>1</v>
      </c>
      <c r="K4067" t="n">
        <v>15</v>
      </c>
      <c r="L4067" t="n">
        <v>130131</v>
      </c>
      <c r="M4067" t="n">
        <v>154000</v>
      </c>
      <c r="N4067" t="n">
        <v>33</v>
      </c>
      <c r="O4067" t="n">
        <v>0.33</v>
      </c>
      <c r="P4067" t="n">
        <v>1</v>
      </c>
      <c r="Q4067" t="n">
        <v>0.17</v>
      </c>
      <c r="R4067" t="n">
        <v>2</v>
      </c>
      <c r="S4067" t="n">
        <v>28459.2</v>
      </c>
      <c r="T4067" t="n">
        <v>12</v>
      </c>
      <c r="U4067" t="n">
        <v>13</v>
      </c>
      <c r="V4067" t="n">
        <v>30</v>
      </c>
      <c r="W4067" t="n">
        <v>6</v>
      </c>
      <c r="X4067" t="n">
        <v>5.411255411255411</v>
      </c>
      <c r="Y4067" t="n">
        <v>1</v>
      </c>
      <c r="Z4067" t="n">
        <v>0</v>
      </c>
      <c r="AA4067" t="n">
        <v>1</v>
      </c>
      <c r="AB4067" t="n">
        <v>0</v>
      </c>
      <c r="AC4067" t="n">
        <v>0</v>
      </c>
      <c r="AD4067" t="n">
        <v>130131</v>
      </c>
      <c r="AE4067" t="n">
        <v>0</v>
      </c>
      <c r="AF4067" t="n">
        <v>12725</v>
      </c>
      <c r="AG4067" t="n">
        <v>2137</v>
      </c>
      <c r="AH4067" t="inlineStr">
        <is>
          <t>PT. SAMUDRA JAYA ANUGRAH - PPN (JMB)</t>
        </is>
      </c>
      <c r="AI4067" t="n">
        <v>1017</v>
      </c>
      <c r="AJ4067" t="inlineStr">
        <is>
          <t>SKINTIFIC</t>
        </is>
      </c>
      <c r="AK4067" t="n">
        <v>9</v>
      </c>
      <c r="AL4067" t="inlineStr">
        <is>
          <t>Miss Glam Jambi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SKINTIFIC</t>
        </is>
      </c>
      <c r="B4068" s="2">
        <f>"20100493603"</f>
        <v/>
      </c>
      <c r="C4068" t="inlineStr">
        <is>
          <t>SKINTIFIC Cover Glow Perfect Cushion 03 Petal 30gr</t>
        </is>
      </c>
      <c r="D4068" t="inlineStr">
        <is>
          <t>Miss Glam Jambi</t>
        </is>
      </c>
      <c r="E4068" t="n">
        <v>0</v>
      </c>
      <c r="F4068" t="n">
        <v>0.1683</v>
      </c>
      <c r="G4068" t="n">
        <v>1.32</v>
      </c>
      <c r="H4068" t="n">
        <v>2</v>
      </c>
      <c r="I4068" t="n">
        <v>12</v>
      </c>
      <c r="J4068" t="n">
        <v>1</v>
      </c>
      <c r="K4068" t="n">
        <v>27</v>
      </c>
      <c r="L4068" t="n">
        <v>130131</v>
      </c>
      <c r="M4068" t="n">
        <v>154000</v>
      </c>
      <c r="N4068" t="n">
        <v>33</v>
      </c>
      <c r="O4068" t="n">
        <v>0.33</v>
      </c>
      <c r="P4068" t="n">
        <v>1</v>
      </c>
      <c r="Q4068" t="n">
        <v>0.15</v>
      </c>
      <c r="R4068" t="n">
        <v>2</v>
      </c>
      <c r="S4068" t="n">
        <v>25918.2</v>
      </c>
      <c r="T4068" t="n">
        <v>16</v>
      </c>
      <c r="U4068" t="n">
        <v>17</v>
      </c>
      <c r="V4068" t="n">
        <v>30</v>
      </c>
      <c r="W4068" t="n">
        <v>6</v>
      </c>
      <c r="X4068" t="n">
        <v>0</v>
      </c>
      <c r="Y4068" t="n">
        <v>1</v>
      </c>
      <c r="Z4068" t="n">
        <v>0</v>
      </c>
      <c r="AA4068" t="n">
        <v>2</v>
      </c>
      <c r="AB4068" t="n">
        <v>0</v>
      </c>
      <c r="AC4068" t="n">
        <v>0</v>
      </c>
      <c r="AD4068" t="n">
        <v>260262</v>
      </c>
      <c r="AE4068" t="n">
        <v>0</v>
      </c>
      <c r="AF4068" t="n">
        <v>12725</v>
      </c>
      <c r="AG4068" t="n">
        <v>2137</v>
      </c>
      <c r="AH4068" t="inlineStr">
        <is>
          <t>PT. SAMUDRA JAYA ANUGRAH - PPN (JMB)</t>
        </is>
      </c>
      <c r="AI4068" t="n">
        <v>1017</v>
      </c>
      <c r="AJ4068" t="inlineStr">
        <is>
          <t>SKINTIFIC</t>
        </is>
      </c>
      <c r="AK4068" t="n">
        <v>9</v>
      </c>
      <c r="AL4068" t="inlineStr">
        <is>
          <t>Miss Glam Jambi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SKINTIFIC</t>
        </is>
      </c>
      <c r="B4069" s="2">
        <f>"7554411567476"</f>
        <v/>
      </c>
      <c r="C4069" t="inlineStr">
        <is>
          <t>SKINTIFIC Crystal Massager Lifting Eye Cream</t>
        </is>
      </c>
      <c r="D4069" t="inlineStr">
        <is>
          <t>Miss Glam Jambi</t>
        </is>
      </c>
      <c r="E4069" t="n">
        <v>0</v>
      </c>
      <c r="F4069" t="n">
        <v>0.033</v>
      </c>
      <c r="G4069" t="n">
        <v>0.66</v>
      </c>
      <c r="H4069" t="n">
        <v>2</v>
      </c>
      <c r="I4069" t="n">
        <v>12</v>
      </c>
      <c r="J4069" t="n">
        <v>3</v>
      </c>
      <c r="K4069" t="n">
        <v>0</v>
      </c>
      <c r="L4069" t="n">
        <v>144452</v>
      </c>
      <c r="M4069" t="n">
        <v>181000</v>
      </c>
      <c r="N4069" t="n">
        <v>33</v>
      </c>
      <c r="O4069" t="n">
        <v>0.33</v>
      </c>
      <c r="P4069" t="n">
        <v>1</v>
      </c>
      <c r="Q4069" t="n">
        <v>0.03</v>
      </c>
      <c r="R4069" t="n">
        <v>1</v>
      </c>
      <c r="S4069" t="n">
        <v>5973</v>
      </c>
      <c r="T4069" t="n">
        <v>8</v>
      </c>
      <c r="U4069" t="n">
        <v>9</v>
      </c>
      <c r="V4069" t="n">
        <v>30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n">
        <v>0</v>
      </c>
      <c r="AC4069" t="n">
        <v>0</v>
      </c>
      <c r="AD4069" t="n">
        <v>144452</v>
      </c>
      <c r="AE4069" t="n">
        <v>0</v>
      </c>
      <c r="AF4069" t="n">
        <v>12725</v>
      </c>
      <c r="AG4069" t="n">
        <v>2137</v>
      </c>
      <c r="AH4069" t="inlineStr">
        <is>
          <t>PT. SAMUDRA JAYA ANUGRAH - PPN (JMB)</t>
        </is>
      </c>
      <c r="AI4069" t="n">
        <v>1017</v>
      </c>
      <c r="AJ4069" t="inlineStr">
        <is>
          <t>SKINTIFIC</t>
        </is>
      </c>
      <c r="AK4069" t="n">
        <v>9</v>
      </c>
      <c r="AL4069" t="inlineStr">
        <is>
          <t>Miss Glam Jambi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SKINTIFIC</t>
        </is>
      </c>
      <c r="B4070" s="2">
        <f>"20100177959"</f>
        <v/>
      </c>
      <c r="C4070" t="inlineStr">
        <is>
          <t>SKINTIFIC Daily Filter Perfect Skin Tint 00 Porcelain 28gr</t>
        </is>
      </c>
      <c r="D4070" t="inlineStr">
        <is>
          <t>Miss Glam Jambi</t>
        </is>
      </c>
      <c r="E4070" t="n">
        <v>4</v>
      </c>
      <c r="F4070" t="n">
        <v>0.0231</v>
      </c>
      <c r="G4070" t="n">
        <v>0.33</v>
      </c>
      <c r="H4070" t="n">
        <v>2</v>
      </c>
      <c r="I4070" t="n">
        <v>12</v>
      </c>
      <c r="J4070" t="n">
        <v>1</v>
      </c>
      <c r="K4070" t="n">
        <v>0</v>
      </c>
      <c r="L4070" t="n">
        <v>75011</v>
      </c>
      <c r="M4070" t="n">
        <v>99000</v>
      </c>
      <c r="N4070" t="n">
        <v>33</v>
      </c>
      <c r="O4070" t="n">
        <v>0.33</v>
      </c>
      <c r="P4070" t="n">
        <v>1</v>
      </c>
      <c r="Q4070" t="n">
        <v>0.1</v>
      </c>
      <c r="R4070" t="n">
        <v>2</v>
      </c>
      <c r="S4070" t="n">
        <v>2286.9</v>
      </c>
      <c r="T4070" t="n">
        <v>4</v>
      </c>
      <c r="U4070" t="n">
        <v>5</v>
      </c>
      <c r="V4070" t="n">
        <v>30</v>
      </c>
      <c r="W4070" t="n">
        <v>1</v>
      </c>
      <c r="X4070" t="n">
        <v>173.1601731601731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12725</v>
      </c>
      <c r="AG4070" t="n">
        <v>2137</v>
      </c>
      <c r="AH4070" t="inlineStr">
        <is>
          <t>PT. SAMUDRA JAYA ANUGRAH - PPN (JMB)</t>
        </is>
      </c>
      <c r="AI4070" t="n">
        <v>1017</v>
      </c>
      <c r="AJ4070" t="inlineStr">
        <is>
          <t>SKINTIFIC</t>
        </is>
      </c>
      <c r="AK4070" t="n">
        <v>9</v>
      </c>
      <c r="AL4070" t="inlineStr">
        <is>
          <t>Miss Glam Jambi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SKINTIFIC</t>
        </is>
      </c>
      <c r="B4071" s="2">
        <f>"20100178034"</f>
        <v/>
      </c>
      <c r="C4071" t="inlineStr">
        <is>
          <t>SKINTIFIC Daily Filter Perfect Skin Tint 01 Vanilla 28gr</t>
        </is>
      </c>
      <c r="D4071" t="inlineStr">
        <is>
          <t>Miss Glam Jambi</t>
        </is>
      </c>
      <c r="E4071" t="n">
        <v>4</v>
      </c>
      <c r="F4071" t="n">
        <v>0.07920000000000001</v>
      </c>
      <c r="G4071" t="n">
        <v>0.66</v>
      </c>
      <c r="H4071" t="n">
        <v>2</v>
      </c>
      <c r="I4071" t="n">
        <v>12</v>
      </c>
      <c r="J4071" t="n">
        <v>1</v>
      </c>
      <c r="K4071" t="n">
        <v>0</v>
      </c>
      <c r="L4071" t="n">
        <v>68764</v>
      </c>
      <c r="M4071" t="n">
        <v>99000</v>
      </c>
      <c r="N4071" t="n">
        <v>33</v>
      </c>
      <c r="O4071" t="n">
        <v>0.33</v>
      </c>
      <c r="P4071" t="n">
        <v>1</v>
      </c>
      <c r="Q4071" t="n">
        <v>0.15</v>
      </c>
      <c r="R4071" t="n">
        <v>2</v>
      </c>
      <c r="S4071" t="n">
        <v>7840.800000000001</v>
      </c>
      <c r="T4071" t="n">
        <v>8</v>
      </c>
      <c r="U4071" t="n">
        <v>9</v>
      </c>
      <c r="V4071" t="n">
        <v>30</v>
      </c>
      <c r="W4071" t="n">
        <v>3</v>
      </c>
      <c r="X4071" t="n">
        <v>50.5050505050505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12725</v>
      </c>
      <c r="AG4071" t="n">
        <v>2137</v>
      </c>
      <c r="AH4071" t="inlineStr">
        <is>
          <t>PT. SAMUDRA JAYA ANUGRAH - PPN (JMB)</t>
        </is>
      </c>
      <c r="AI4071" t="n">
        <v>1017</v>
      </c>
      <c r="AJ4071" t="inlineStr">
        <is>
          <t>SKINTIFIC</t>
        </is>
      </c>
      <c r="AK4071" t="n">
        <v>9</v>
      </c>
      <c r="AL4071" t="inlineStr">
        <is>
          <t>Miss Glam Jambi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SKINTIFIC</t>
        </is>
      </c>
      <c r="B4072" s="2">
        <f>"20100178122"</f>
        <v/>
      </c>
      <c r="C4072" t="inlineStr">
        <is>
          <t>SKINTIFIC Daily Filter Perfect Skin Tint 02 Ivory 28gr</t>
        </is>
      </c>
      <c r="D4072" t="inlineStr">
        <is>
          <t>Miss Glam Jambi</t>
        </is>
      </c>
      <c r="E4072" t="n">
        <v>14</v>
      </c>
      <c r="F4072" t="n">
        <v>0.264</v>
      </c>
      <c r="G4072" t="n">
        <v>1.32</v>
      </c>
      <c r="H4072" t="n">
        <v>2</v>
      </c>
      <c r="I4072" t="n">
        <v>12</v>
      </c>
      <c r="J4072" t="n">
        <v>1</v>
      </c>
      <c r="K4072" t="n">
        <v>0</v>
      </c>
      <c r="L4072" t="n">
        <v>68607</v>
      </c>
      <c r="M4072" t="n">
        <v>99000</v>
      </c>
      <c r="N4072" t="n">
        <v>33</v>
      </c>
      <c r="O4072" t="n">
        <v>0.33</v>
      </c>
      <c r="P4072" t="n">
        <v>1</v>
      </c>
      <c r="Q4072" t="n">
        <v>0.39</v>
      </c>
      <c r="R4072" t="n">
        <v>4</v>
      </c>
      <c r="S4072" t="n">
        <v>26136</v>
      </c>
      <c r="T4072" t="n">
        <v>16</v>
      </c>
      <c r="U4072" t="n">
        <v>17</v>
      </c>
      <c r="V4072" t="n">
        <v>30</v>
      </c>
      <c r="W4072" t="n">
        <v>8</v>
      </c>
      <c r="X4072" t="n">
        <v>53.03030303030303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12725</v>
      </c>
      <c r="AG4072" t="n">
        <v>2137</v>
      </c>
      <c r="AH4072" t="inlineStr">
        <is>
          <t>PT. SAMUDRA JAYA ANUGRAH - PPN (JMB)</t>
        </is>
      </c>
      <c r="AI4072" t="n">
        <v>1017</v>
      </c>
      <c r="AJ4072" t="inlineStr">
        <is>
          <t>SKINTIFIC</t>
        </is>
      </c>
      <c r="AK4072" t="n">
        <v>9</v>
      </c>
      <c r="AL4072" t="inlineStr">
        <is>
          <t>Miss Glam Jambi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SKINTIFIC</t>
        </is>
      </c>
      <c r="B4073" s="2">
        <f>"20100178346"</f>
        <v/>
      </c>
      <c r="C4073" t="inlineStr">
        <is>
          <t>SKINTIFIC Daily Filter Perfect Skin Tint 03 Petal 28gr</t>
        </is>
      </c>
      <c r="D4073" t="inlineStr">
        <is>
          <t>Miss Glam Jambi</t>
        </is>
      </c>
      <c r="E4073" t="n">
        <v>12</v>
      </c>
      <c r="F4073" t="n">
        <v>0.2112</v>
      </c>
      <c r="G4073" t="n">
        <v>0.99</v>
      </c>
      <c r="H4073" t="n">
        <v>2</v>
      </c>
      <c r="I4073" t="n">
        <v>12</v>
      </c>
      <c r="J4073" t="n">
        <v>1</v>
      </c>
      <c r="K4073" t="n">
        <v>0</v>
      </c>
      <c r="L4073" t="n">
        <v>68656</v>
      </c>
      <c r="M4073" t="n">
        <v>99000</v>
      </c>
      <c r="N4073" t="n">
        <v>33</v>
      </c>
      <c r="O4073" t="n">
        <v>0.33</v>
      </c>
      <c r="P4073" t="n">
        <v>1</v>
      </c>
      <c r="Q4073" t="n">
        <v>0.25</v>
      </c>
      <c r="R4073" t="n">
        <v>3</v>
      </c>
      <c r="S4073" t="n">
        <v>20908.8</v>
      </c>
      <c r="T4073" t="n">
        <v>12</v>
      </c>
      <c r="U4073" t="n">
        <v>13</v>
      </c>
      <c r="V4073" t="n">
        <v>30</v>
      </c>
      <c r="W4073" t="n">
        <v>7</v>
      </c>
      <c r="X4073" t="n">
        <v>56.81818181818181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12725</v>
      </c>
      <c r="AG4073" t="n">
        <v>2137</v>
      </c>
      <c r="AH4073" t="inlineStr">
        <is>
          <t>PT. SAMUDRA JAYA ANUGRAH - PPN (JMB)</t>
        </is>
      </c>
      <c r="AI4073" t="n">
        <v>1017</v>
      </c>
      <c r="AJ4073" t="inlineStr">
        <is>
          <t>SKINTIFIC</t>
        </is>
      </c>
      <c r="AK4073" t="n">
        <v>9</v>
      </c>
      <c r="AL4073" t="inlineStr">
        <is>
          <t>Miss Glam Jambi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SKINTIFIC</t>
        </is>
      </c>
      <c r="B4074" s="2">
        <f>"20100178228"</f>
        <v/>
      </c>
      <c r="C4074" t="inlineStr">
        <is>
          <t>SKINTIFIC Daily Filter Perfect Skin Tint 03A Almond 28gr</t>
        </is>
      </c>
      <c r="D4074" t="inlineStr">
        <is>
          <t>Miss Glam Jambi</t>
        </is>
      </c>
      <c r="E4074" t="n">
        <v>10</v>
      </c>
      <c r="F4074" t="n">
        <v>0.1782</v>
      </c>
      <c r="G4074" t="n">
        <v>0.99</v>
      </c>
      <c r="H4074" t="n">
        <v>2</v>
      </c>
      <c r="I4074" t="n">
        <v>12</v>
      </c>
      <c r="J4074" t="n">
        <v>1</v>
      </c>
      <c r="K4074" t="n">
        <v>0</v>
      </c>
      <c r="L4074" t="n">
        <v>76230</v>
      </c>
      <c r="M4074" t="n">
        <v>99000</v>
      </c>
      <c r="N4074" t="n">
        <v>33</v>
      </c>
      <c r="O4074" t="n">
        <v>0.33</v>
      </c>
      <c r="P4074" t="n">
        <v>1</v>
      </c>
      <c r="Q4074" t="n">
        <v>0.03</v>
      </c>
      <c r="R4074" t="n">
        <v>1</v>
      </c>
      <c r="S4074" t="n">
        <v>17641.8</v>
      </c>
      <c r="T4074" t="n">
        <v>12</v>
      </c>
      <c r="U4074" t="n">
        <v>13</v>
      </c>
      <c r="V4074" t="n">
        <v>30</v>
      </c>
      <c r="W4074" t="n">
        <v>6</v>
      </c>
      <c r="X4074" t="n">
        <v>56.11672278338944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12725</v>
      </c>
      <c r="AG4074" t="n">
        <v>2137</v>
      </c>
      <c r="AH4074" t="inlineStr">
        <is>
          <t>PT. SAMUDRA JAYA ANUGRAH - PPN (JMB)</t>
        </is>
      </c>
      <c r="AI4074" t="n">
        <v>1017</v>
      </c>
      <c r="AJ4074" t="inlineStr">
        <is>
          <t>SKINTIFIC</t>
        </is>
      </c>
      <c r="AK4074" t="n">
        <v>9</v>
      </c>
      <c r="AL4074" t="inlineStr">
        <is>
          <t>Miss Glam Jambi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SKINTIFIC</t>
        </is>
      </c>
      <c r="B4075" s="2">
        <f>"7554411572562"</f>
        <v/>
      </c>
      <c r="C4075" t="inlineStr">
        <is>
          <t>SKINTIFIC Glycolic Acid Daily Clarifying Toner 80ml</t>
        </is>
      </c>
      <c r="D4075" t="inlineStr">
        <is>
          <t>Miss Glam Jambi</t>
        </is>
      </c>
      <c r="E4075" t="n">
        <v>0</v>
      </c>
      <c r="F4075" t="n">
        <v>0.0198</v>
      </c>
      <c r="G4075" t="n">
        <v>0.33</v>
      </c>
      <c r="H4075" t="n">
        <v>2</v>
      </c>
      <c r="I4075" t="n">
        <v>12</v>
      </c>
      <c r="J4075" t="n">
        <v>3</v>
      </c>
      <c r="K4075" t="n">
        <v>12</v>
      </c>
      <c r="L4075" t="n">
        <v>99176</v>
      </c>
      <c r="M4075" t="n">
        <v>124000</v>
      </c>
      <c r="N4075" t="n">
        <v>33</v>
      </c>
      <c r="O4075" t="n">
        <v>0.33</v>
      </c>
      <c r="P4075" t="n">
        <v>1</v>
      </c>
      <c r="Q4075" t="n">
        <v>0.11</v>
      </c>
      <c r="R4075" t="n">
        <v>2</v>
      </c>
      <c r="S4075" t="n">
        <v>2455.2</v>
      </c>
      <c r="T4075" t="n">
        <v>4</v>
      </c>
      <c r="U4075" t="n">
        <v>5</v>
      </c>
      <c r="V4075" t="n">
        <v>30</v>
      </c>
      <c r="W4075" t="n">
        <v>1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12725</v>
      </c>
      <c r="AG4075" t="n">
        <v>2137</v>
      </c>
      <c r="AH4075" t="inlineStr">
        <is>
          <t>PT. SAMUDRA JAYA ANUGRAH - PPN (JMB)</t>
        </is>
      </c>
      <c r="AI4075" t="n">
        <v>1017</v>
      </c>
      <c r="AJ4075" t="inlineStr">
        <is>
          <t>SKINTIFIC</t>
        </is>
      </c>
      <c r="AK4075" t="n">
        <v>9</v>
      </c>
      <c r="AL4075" t="inlineStr">
        <is>
          <t>Miss Glam Jambi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SKINTIFIC</t>
        </is>
      </c>
      <c r="B4076" s="2">
        <f>"7554411571022"</f>
        <v/>
      </c>
      <c r="C4076" t="inlineStr">
        <is>
          <t>SKINTIFIC Ice Cream Cleansing Balm 40g</t>
        </is>
      </c>
      <c r="D4076" t="inlineStr">
        <is>
          <t>Miss Glam Jambi</t>
        </is>
      </c>
      <c r="E4076" t="n">
        <v>0</v>
      </c>
      <c r="F4076" t="n">
        <v>0.0231</v>
      </c>
      <c r="G4076" t="n">
        <v>0.33</v>
      </c>
      <c r="H4076" t="n">
        <v>2</v>
      </c>
      <c r="I4076" t="n">
        <v>12</v>
      </c>
      <c r="J4076" t="n">
        <v>3</v>
      </c>
      <c r="K4076" t="n">
        <v>0</v>
      </c>
      <c r="L4076" t="n">
        <v>110264</v>
      </c>
      <c r="M4076" t="n">
        <v>138000</v>
      </c>
      <c r="N4076" t="n">
        <v>33</v>
      </c>
      <c r="O4076" t="n">
        <v>0.33</v>
      </c>
      <c r="P4076" t="n">
        <v>1</v>
      </c>
      <c r="Q4076" t="n">
        <v>0.03</v>
      </c>
      <c r="R4076" t="n">
        <v>1</v>
      </c>
      <c r="S4076" t="n">
        <v>3187.8</v>
      </c>
      <c r="T4076" t="n">
        <v>4</v>
      </c>
      <c r="U4076" t="n">
        <v>5</v>
      </c>
      <c r="V4076" t="n">
        <v>30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n">
        <v>0</v>
      </c>
      <c r="AC4076" t="n">
        <v>0</v>
      </c>
      <c r="AD4076" t="n">
        <v>110264</v>
      </c>
      <c r="AE4076" t="n">
        <v>0</v>
      </c>
      <c r="AF4076" t="n">
        <v>12725</v>
      </c>
      <c r="AG4076" t="n">
        <v>2137</v>
      </c>
      <c r="AH4076" t="inlineStr">
        <is>
          <t>PT. SAMUDRA JAYA ANUGRAH - PPN (JMB)</t>
        </is>
      </c>
      <c r="AI4076" t="n">
        <v>1017</v>
      </c>
      <c r="AJ4076" t="inlineStr">
        <is>
          <t>SKINTIFIC</t>
        </is>
      </c>
      <c r="AK4076" t="n">
        <v>9</v>
      </c>
      <c r="AL4076" t="inlineStr">
        <is>
          <t>Miss Glam Jambi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SKINTIFIC</t>
        </is>
      </c>
      <c r="B4077" s="2">
        <f>"20100471447"</f>
        <v/>
      </c>
      <c r="C4077" t="inlineStr">
        <is>
          <t>SKINTIFIC Invisiblur All Day Loose Powder 01 Vanilla 11gr</t>
        </is>
      </c>
      <c r="D4077" t="inlineStr">
        <is>
          <t>Miss Glam Jambi</t>
        </is>
      </c>
      <c r="E4077" t="n">
        <v>1</v>
      </c>
      <c r="F4077" t="n">
        <v>0.009900000000000001</v>
      </c>
      <c r="G4077" t="n">
        <v>0.33</v>
      </c>
      <c r="H4077" t="n">
        <v>2</v>
      </c>
      <c r="I4077" t="n">
        <v>12</v>
      </c>
      <c r="J4077" t="n">
        <v>1</v>
      </c>
      <c r="K4077" t="n">
        <v>0</v>
      </c>
      <c r="L4077" t="n">
        <v>118580</v>
      </c>
      <c r="M4077" t="n">
        <v>154000</v>
      </c>
      <c r="N4077" t="n">
        <v>33</v>
      </c>
      <c r="O4077" t="n">
        <v>0.33</v>
      </c>
      <c r="P4077" t="n">
        <v>1</v>
      </c>
      <c r="Q4077" t="n">
        <v>0.03</v>
      </c>
      <c r="R4077" t="n">
        <v>1</v>
      </c>
      <c r="S4077" t="n">
        <v>1524.6</v>
      </c>
      <c r="T4077" t="n">
        <v>4</v>
      </c>
      <c r="U4077" t="n">
        <v>5</v>
      </c>
      <c r="V4077" t="n">
        <v>30</v>
      </c>
      <c r="W4077" t="n">
        <v>1</v>
      </c>
      <c r="X4077" t="n">
        <v>101.010101010101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12725</v>
      </c>
      <c r="AG4077" t="n">
        <v>2137</v>
      </c>
      <c r="AH4077" t="inlineStr">
        <is>
          <t>PT. SAMUDRA JAYA ANUGRAH - PPN (JMB)</t>
        </is>
      </c>
      <c r="AI4077" t="n">
        <v>1017</v>
      </c>
      <c r="AJ4077" t="inlineStr">
        <is>
          <t>SKINTIFIC</t>
        </is>
      </c>
      <c r="AK4077" t="n">
        <v>9</v>
      </c>
      <c r="AL4077" t="inlineStr">
        <is>
          <t>Miss Glam Jambi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SKINTIFIC</t>
        </is>
      </c>
      <c r="B4078" s="2">
        <f>"20100471559"</f>
        <v/>
      </c>
      <c r="C4078" t="inlineStr">
        <is>
          <t>SKINTIFIC Invisiblur All Day Loose Powder 02 Ivory 11gr</t>
        </is>
      </c>
      <c r="D4078" t="inlineStr">
        <is>
          <t>Miss Glam Jambi</t>
        </is>
      </c>
      <c r="E4078" t="n">
        <v>1</v>
      </c>
      <c r="F4078" t="n">
        <v>0.0825</v>
      </c>
      <c r="G4078" t="n">
        <v>0.66</v>
      </c>
      <c r="H4078" t="n">
        <v>2</v>
      </c>
      <c r="I4078" t="n">
        <v>12</v>
      </c>
      <c r="J4078" t="n">
        <v>1</v>
      </c>
      <c r="K4078" t="n">
        <v>8</v>
      </c>
      <c r="L4078" t="n">
        <v>114731</v>
      </c>
      <c r="M4078" t="n">
        <v>154000</v>
      </c>
      <c r="N4078" t="n">
        <v>33</v>
      </c>
      <c r="O4078" t="n">
        <v>0.33</v>
      </c>
      <c r="P4078" t="n">
        <v>1</v>
      </c>
      <c r="Q4078" t="n">
        <v>0.2</v>
      </c>
      <c r="R4078" t="n">
        <v>3</v>
      </c>
      <c r="S4078" t="n">
        <v>12705</v>
      </c>
      <c r="T4078" t="n">
        <v>8</v>
      </c>
      <c r="U4078" t="n">
        <v>9</v>
      </c>
      <c r="V4078" t="n">
        <v>30</v>
      </c>
      <c r="W4078" t="n">
        <v>3</v>
      </c>
      <c r="X4078" t="n">
        <v>12.12121212121212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12725</v>
      </c>
      <c r="AG4078" t="n">
        <v>2137</v>
      </c>
      <c r="AH4078" t="inlineStr">
        <is>
          <t>PT. SAMUDRA JAYA ANUGRAH - PPN (JMB)</t>
        </is>
      </c>
      <c r="AI4078" t="n">
        <v>1017</v>
      </c>
      <c r="AJ4078" t="inlineStr">
        <is>
          <t>SKINTIFIC</t>
        </is>
      </c>
      <c r="AK4078" t="n">
        <v>9</v>
      </c>
      <c r="AL4078" t="inlineStr">
        <is>
          <t>Miss Glam Jambi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SKINTIFIC</t>
        </is>
      </c>
      <c r="B4079" s="2">
        <f>"20100641135"</f>
        <v/>
      </c>
      <c r="C4079" t="inlineStr">
        <is>
          <t>SKINTIFIC Invisiblur All Day Loose Powder 03 Petal 10gr</t>
        </is>
      </c>
      <c r="D4079" t="inlineStr">
        <is>
          <t>Miss Glam Jambi</t>
        </is>
      </c>
      <c r="E4079" t="n">
        <v>3</v>
      </c>
      <c r="F4079" t="n">
        <v>0.066</v>
      </c>
      <c r="G4079" t="n">
        <v>0.99</v>
      </c>
      <c r="H4079" t="n">
        <v>2</v>
      </c>
      <c r="I4079" t="n">
        <v>12</v>
      </c>
      <c r="J4079" t="n">
        <v>1</v>
      </c>
      <c r="K4079" t="n">
        <v>0</v>
      </c>
      <c r="L4079" t="n">
        <v>116271</v>
      </c>
      <c r="M4079" t="n">
        <v>154000</v>
      </c>
      <c r="N4079" t="n">
        <v>33</v>
      </c>
      <c r="O4079" t="n">
        <v>0.33</v>
      </c>
      <c r="P4079" t="n">
        <v>1</v>
      </c>
      <c r="Q4079" t="n">
        <v>0.08</v>
      </c>
      <c r="R4079" t="n">
        <v>2</v>
      </c>
      <c r="S4079" t="n">
        <v>10164</v>
      </c>
      <c r="T4079" t="n">
        <v>12</v>
      </c>
      <c r="U4079" t="n">
        <v>13</v>
      </c>
      <c r="V4079" t="n">
        <v>30</v>
      </c>
      <c r="W4079" t="n">
        <v>2</v>
      </c>
      <c r="X4079" t="n">
        <v>45.45454545454545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12725</v>
      </c>
      <c r="AG4079" t="n">
        <v>2137</v>
      </c>
      <c r="AH4079" t="inlineStr">
        <is>
          <t>PT. SAMUDRA JAYA ANUGRAH - PPN (JMB)</t>
        </is>
      </c>
      <c r="AI4079" t="n">
        <v>1017</v>
      </c>
      <c r="AJ4079" t="inlineStr">
        <is>
          <t>SKINTIFIC</t>
        </is>
      </c>
      <c r="AK4079" t="n">
        <v>9</v>
      </c>
      <c r="AL4079" t="inlineStr">
        <is>
          <t>Miss Glam Jambi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SKINTIFIC</t>
        </is>
      </c>
      <c r="B4080" s="2">
        <f>"20100471722"</f>
        <v/>
      </c>
      <c r="C4080" t="inlineStr">
        <is>
          <t>SKINTIFIC Invisiblur All Day Loose Powder 04 Beige 11gr</t>
        </is>
      </c>
      <c r="D4080" t="inlineStr">
        <is>
          <t>Miss Glam Jambi</t>
        </is>
      </c>
      <c r="E4080" t="n">
        <v>1</v>
      </c>
      <c r="F4080" t="n">
        <v>0.0165</v>
      </c>
      <c r="G4080" t="n">
        <v>0.33</v>
      </c>
      <c r="H4080" t="n">
        <v>2</v>
      </c>
      <c r="I4080" t="n">
        <v>12</v>
      </c>
      <c r="J4080" t="n">
        <v>1</v>
      </c>
      <c r="K4080" t="n">
        <v>0</v>
      </c>
      <c r="L4080" t="n">
        <v>118580</v>
      </c>
      <c r="M4080" t="n">
        <v>154000</v>
      </c>
      <c r="N4080" t="n">
        <v>33</v>
      </c>
      <c r="O4080" t="n">
        <v>0.33</v>
      </c>
      <c r="P4080" t="n">
        <v>1</v>
      </c>
      <c r="Q4080" t="n">
        <v>0.03</v>
      </c>
      <c r="R4080" t="n">
        <v>1</v>
      </c>
      <c r="S4080" t="n">
        <v>2541</v>
      </c>
      <c r="T4080" t="n">
        <v>4</v>
      </c>
      <c r="U4080" t="n">
        <v>5</v>
      </c>
      <c r="V4080" t="n">
        <v>30</v>
      </c>
      <c r="W4080" t="n">
        <v>1</v>
      </c>
      <c r="X4080" t="n">
        <v>60.6060606060606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12725</v>
      </c>
      <c r="AG4080" t="n">
        <v>2137</v>
      </c>
      <c r="AH4080" t="inlineStr">
        <is>
          <t>PT. SAMUDRA JAYA ANUGRAH - PPN (JMB)</t>
        </is>
      </c>
      <c r="AI4080" t="n">
        <v>1017</v>
      </c>
      <c r="AJ4080" t="inlineStr">
        <is>
          <t>SKINTIFIC</t>
        </is>
      </c>
      <c r="AK4080" t="n">
        <v>9</v>
      </c>
      <c r="AL4080" t="inlineStr">
        <is>
          <t>Miss Glam Jambi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SKINTIFIC</t>
        </is>
      </c>
      <c r="B4081" s="2">
        <f>"20100471810"</f>
        <v/>
      </c>
      <c r="C4081" t="inlineStr">
        <is>
          <t>SKINTIFIC Invisiblur All Day Loose Powder 05 Sand 11gr</t>
        </is>
      </c>
      <c r="D4081" t="inlineStr">
        <is>
          <t>Miss Glam Jambi</t>
        </is>
      </c>
      <c r="E4081" t="n">
        <v>4</v>
      </c>
      <c r="F4081" t="n">
        <v>0.009900000000000001</v>
      </c>
      <c r="G4081" t="n">
        <v>0.66</v>
      </c>
      <c r="H4081" t="n">
        <v>2</v>
      </c>
      <c r="I4081" t="n">
        <v>12</v>
      </c>
      <c r="J4081" t="n">
        <v>1</v>
      </c>
      <c r="K4081" t="n">
        <v>0</v>
      </c>
      <c r="L4081" t="n">
        <v>118580</v>
      </c>
      <c r="M4081" t="n">
        <v>154000</v>
      </c>
      <c r="N4081" t="n">
        <v>33</v>
      </c>
      <c r="O4081" t="n">
        <v>0.33</v>
      </c>
      <c r="P4081" t="n">
        <v>1</v>
      </c>
      <c r="Q4081" t="n">
        <v>0.02</v>
      </c>
      <c r="R4081" t="n">
        <v>1</v>
      </c>
      <c r="S4081" t="n">
        <v>1524.6</v>
      </c>
      <c r="T4081" t="n">
        <v>8</v>
      </c>
      <c r="U4081" t="n">
        <v>9</v>
      </c>
      <c r="V4081" t="n">
        <v>30</v>
      </c>
      <c r="W4081" t="n">
        <v>1</v>
      </c>
      <c r="X4081" t="n">
        <v>404.040404040404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12725</v>
      </c>
      <c r="AG4081" t="n">
        <v>2137</v>
      </c>
      <c r="AH4081" t="inlineStr">
        <is>
          <t>PT. SAMUDRA JAYA ANUGRAH - PPN (JMB)</t>
        </is>
      </c>
      <c r="AI4081" t="n">
        <v>1017</v>
      </c>
      <c r="AJ4081" t="inlineStr">
        <is>
          <t>SKINTIFIC</t>
        </is>
      </c>
      <c r="AK4081" t="n">
        <v>9</v>
      </c>
      <c r="AL4081" t="inlineStr">
        <is>
          <t>Miss Glam Jambi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SKINTIFIC</t>
        </is>
      </c>
      <c r="B4082" s="2">
        <f>"810114870006"</f>
        <v/>
      </c>
      <c r="C4082" t="inlineStr">
        <is>
          <t>SKINTIFIC Light Serum Suncreen SPF 50 PA+++ 25ml</t>
        </is>
      </c>
      <c r="D4082" t="inlineStr">
        <is>
          <t>Miss Glam Jambi</t>
        </is>
      </c>
      <c r="E4082" t="n">
        <v>3</v>
      </c>
      <c r="F4082" t="n">
        <v>0.24</v>
      </c>
      <c r="G4082" t="n">
        <v>2</v>
      </c>
      <c r="H4082" t="n">
        <v>2</v>
      </c>
      <c r="I4082" t="n">
        <v>12</v>
      </c>
      <c r="J4082" t="n">
        <v>3</v>
      </c>
      <c r="K4082" t="n">
        <v>17</v>
      </c>
      <c r="L4082" t="n">
        <v>76566</v>
      </c>
      <c r="M4082" t="n">
        <v>124000</v>
      </c>
      <c r="N4082" t="n">
        <v>33</v>
      </c>
      <c r="O4082" t="n">
        <v>0.33</v>
      </c>
      <c r="P4082" t="n">
        <v>0</v>
      </c>
      <c r="Q4082" t="n">
        <v>0.24</v>
      </c>
      <c r="R4082" t="n">
        <v>2</v>
      </c>
      <c r="S4082" t="n">
        <v>29760</v>
      </c>
      <c r="T4082" t="n">
        <v>24</v>
      </c>
      <c r="U4082" t="n">
        <v>25</v>
      </c>
      <c r="V4082" t="n">
        <v>30</v>
      </c>
      <c r="W4082" t="n">
        <v>8</v>
      </c>
      <c r="X4082" t="n">
        <v>12.5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12725</v>
      </c>
      <c r="AG4082" t="n">
        <v>2137</v>
      </c>
      <c r="AH4082" t="inlineStr">
        <is>
          <t>PT. SAMUDRA JAYA ANUGRAH - PPN (JMB)</t>
        </is>
      </c>
      <c r="AI4082" t="n">
        <v>1017</v>
      </c>
      <c r="AJ4082" t="inlineStr">
        <is>
          <t>SKINTIFIC</t>
        </is>
      </c>
      <c r="AK4082" t="n">
        <v>9</v>
      </c>
      <c r="AL4082" t="inlineStr">
        <is>
          <t>Miss Glam Jambi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SKINTIFIC</t>
        </is>
      </c>
      <c r="B4083" s="2">
        <f>"810114871478"</f>
        <v/>
      </c>
      <c r="C4083" t="inlineStr">
        <is>
          <t>SKINTIFIC Lock The Look Setting Spray 80ml</t>
        </is>
      </c>
      <c r="D4083" t="inlineStr">
        <is>
          <t>Miss Glam Jambi</t>
        </is>
      </c>
      <c r="E4083" t="n">
        <v>6</v>
      </c>
      <c r="F4083" t="n">
        <v>0.1452</v>
      </c>
      <c r="G4083" t="n">
        <v>0.66</v>
      </c>
      <c r="H4083" t="n">
        <v>2</v>
      </c>
      <c r="I4083" t="n">
        <v>12</v>
      </c>
      <c r="J4083" t="n">
        <v>3</v>
      </c>
      <c r="K4083" t="n">
        <v>0</v>
      </c>
      <c r="L4083" t="n">
        <v>110256</v>
      </c>
      <c r="M4083" t="n">
        <v>138000</v>
      </c>
      <c r="N4083" t="n">
        <v>33</v>
      </c>
      <c r="O4083" t="n">
        <v>0.33</v>
      </c>
      <c r="P4083" t="n">
        <v>1</v>
      </c>
      <c r="Q4083" t="n">
        <v>0.07000000000000001</v>
      </c>
      <c r="R4083" t="n">
        <v>2</v>
      </c>
      <c r="S4083" t="n">
        <v>20037.6</v>
      </c>
      <c r="T4083" t="n">
        <v>8</v>
      </c>
      <c r="U4083" t="n">
        <v>9</v>
      </c>
      <c r="V4083" t="n">
        <v>30</v>
      </c>
      <c r="W4083" t="n">
        <v>5</v>
      </c>
      <c r="X4083" t="n">
        <v>41.32231404958678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12725</v>
      </c>
      <c r="AG4083" t="n">
        <v>2137</v>
      </c>
      <c r="AH4083" t="inlineStr">
        <is>
          <t>PT. SAMUDRA JAYA ANUGRAH - PPN (JMB)</t>
        </is>
      </c>
      <c r="AI4083" t="n">
        <v>1017</v>
      </c>
      <c r="AJ4083" t="inlineStr">
        <is>
          <t>SKINTIFIC</t>
        </is>
      </c>
      <c r="AK4083" t="n">
        <v>9</v>
      </c>
      <c r="AL4083" t="inlineStr">
        <is>
          <t>Miss Glam Jambi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SKINTIFIC</t>
        </is>
      </c>
      <c r="B4084" s="2">
        <f>"810114871867"</f>
        <v/>
      </c>
      <c r="C4084" t="inlineStr">
        <is>
          <t>SKINTIFIC Matte Fit Serum Sunscreen SPF 50+ PA++++ 30gr</t>
        </is>
      </c>
      <c r="D4084" t="inlineStr">
        <is>
          <t>Miss Glam Jambi</t>
        </is>
      </c>
      <c r="E4084" t="n">
        <v>9</v>
      </c>
      <c r="F4084" t="n">
        <v>0.2112</v>
      </c>
      <c r="G4084" t="n">
        <v>0.99</v>
      </c>
      <c r="H4084" t="n">
        <v>2</v>
      </c>
      <c r="I4084" t="n">
        <v>12</v>
      </c>
      <c r="J4084" t="n">
        <v>3</v>
      </c>
      <c r="K4084" t="n">
        <v>0</v>
      </c>
      <c r="L4084" t="n">
        <v>84614</v>
      </c>
      <c r="M4084" t="n">
        <v>106000</v>
      </c>
      <c r="N4084" t="n">
        <v>33</v>
      </c>
      <c r="O4084" t="n">
        <v>0.33</v>
      </c>
      <c r="P4084" t="n">
        <v>1</v>
      </c>
      <c r="Q4084" t="n">
        <v>0.1</v>
      </c>
      <c r="R4084" t="n">
        <v>2</v>
      </c>
      <c r="S4084" t="n">
        <v>22387.2</v>
      </c>
      <c r="T4084" t="n">
        <v>12</v>
      </c>
      <c r="U4084" t="n">
        <v>13</v>
      </c>
      <c r="V4084" t="n">
        <v>30</v>
      </c>
      <c r="W4084" t="n">
        <v>7</v>
      </c>
      <c r="X4084" t="n">
        <v>42.61363636363636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12725</v>
      </c>
      <c r="AG4084" t="n">
        <v>2137</v>
      </c>
      <c r="AH4084" t="inlineStr">
        <is>
          <t>PT. SAMUDRA JAYA ANUGRAH - PPN (JMB)</t>
        </is>
      </c>
      <c r="AI4084" t="n">
        <v>1017</v>
      </c>
      <c r="AJ4084" t="inlineStr">
        <is>
          <t>SKINTIFIC</t>
        </is>
      </c>
      <c r="AK4084" t="n">
        <v>9</v>
      </c>
      <c r="AL4084" t="inlineStr">
        <is>
          <t>Miss Glam Jambi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SKINTIFIC</t>
        </is>
      </c>
      <c r="B4085" s="2">
        <f>"810114871874"</f>
        <v/>
      </c>
      <c r="C4085" t="inlineStr">
        <is>
          <t>SKINTIFIC Matte Fit Serum Sunscreen SPF 50+ PA++++ 50gr</t>
        </is>
      </c>
      <c r="D4085" t="inlineStr">
        <is>
          <t>Miss Glam Jambi</t>
        </is>
      </c>
      <c r="E4085" t="n">
        <v>6</v>
      </c>
      <c r="F4085" t="n">
        <v>0.1188</v>
      </c>
      <c r="G4085" t="n">
        <v>0.99</v>
      </c>
      <c r="H4085" t="n">
        <v>2</v>
      </c>
      <c r="I4085" t="n">
        <v>12</v>
      </c>
      <c r="J4085" t="n">
        <v>3</v>
      </c>
      <c r="K4085" t="n">
        <v>0</v>
      </c>
      <c r="L4085" t="n">
        <v>108100</v>
      </c>
      <c r="M4085" t="n">
        <v>149000</v>
      </c>
      <c r="N4085" t="n">
        <v>33</v>
      </c>
      <c r="O4085" t="n">
        <v>0.33</v>
      </c>
      <c r="P4085" t="n">
        <v>1</v>
      </c>
      <c r="Q4085" t="n">
        <v>0.19</v>
      </c>
      <c r="R4085" t="n">
        <v>1</v>
      </c>
      <c r="S4085" t="n">
        <v>17701.2</v>
      </c>
      <c r="T4085" t="n">
        <v>12</v>
      </c>
      <c r="U4085" t="n">
        <v>13</v>
      </c>
      <c r="V4085" t="n">
        <v>30</v>
      </c>
      <c r="W4085" t="n">
        <v>4</v>
      </c>
      <c r="X4085" t="n">
        <v>50.50505050505051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12725</v>
      </c>
      <c r="AG4085" t="n">
        <v>2137</v>
      </c>
      <c r="AH4085" t="inlineStr">
        <is>
          <t>PT. SAMUDRA JAYA ANUGRAH - PPN (JMB)</t>
        </is>
      </c>
      <c r="AI4085" t="n">
        <v>1017</v>
      </c>
      <c r="AJ4085" t="inlineStr">
        <is>
          <t>SKINTIFIC</t>
        </is>
      </c>
      <c r="AK4085" t="n">
        <v>9</v>
      </c>
      <c r="AL4085" t="inlineStr">
        <is>
          <t>Miss Glam Jambi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SKINTIFIC</t>
        </is>
      </c>
      <c r="B4086" s="2">
        <f>"810114870136"</f>
        <v/>
      </c>
      <c r="C4086" t="inlineStr">
        <is>
          <t>SKINTIFIC MSH Niacinamide Brightening Moisture Gel 30gr</t>
        </is>
      </c>
      <c r="D4086" t="inlineStr">
        <is>
          <t>Miss Glam Jambi</t>
        </is>
      </c>
      <c r="E4086" t="n">
        <v>4</v>
      </c>
      <c r="F4086" t="n">
        <v>0.9669000000000001</v>
      </c>
      <c r="G4086" t="n">
        <v>3.3</v>
      </c>
      <c r="H4086" t="n">
        <v>2</v>
      </c>
      <c r="I4086" t="n">
        <v>12</v>
      </c>
      <c r="J4086" t="n">
        <v>12</v>
      </c>
      <c r="K4086" t="n">
        <v>42</v>
      </c>
      <c r="L4086" t="n">
        <v>114479</v>
      </c>
      <c r="M4086" t="n">
        <v>154200</v>
      </c>
      <c r="N4086" t="n">
        <v>33</v>
      </c>
      <c r="O4086" t="n">
        <v>0.33</v>
      </c>
      <c r="P4086" t="n">
        <v>1</v>
      </c>
      <c r="Q4086" t="n">
        <v>0.98</v>
      </c>
      <c r="R4086" t="n">
        <v>3</v>
      </c>
      <c r="S4086" t="n">
        <v>149095.98</v>
      </c>
      <c r="T4086" t="n">
        <v>38</v>
      </c>
      <c r="U4086" t="n">
        <v>40</v>
      </c>
      <c r="V4086" t="n">
        <v>30</v>
      </c>
      <c r="W4086" t="n">
        <v>30</v>
      </c>
      <c r="X4086" t="n">
        <v>4.136932464577515</v>
      </c>
      <c r="Y4086" t="n">
        <v>1</v>
      </c>
      <c r="Z4086" t="n">
        <v>0</v>
      </c>
      <c r="AA4086" t="n">
        <v>7</v>
      </c>
      <c r="AB4086" t="n">
        <v>0</v>
      </c>
      <c r="AC4086" t="n">
        <v>0</v>
      </c>
      <c r="AD4086" t="n">
        <v>801353</v>
      </c>
      <c r="AE4086" t="n">
        <v>0</v>
      </c>
      <c r="AF4086" t="n">
        <v>12725</v>
      </c>
      <c r="AG4086" t="n">
        <v>2137</v>
      </c>
      <c r="AH4086" t="inlineStr">
        <is>
          <t>PT. SAMUDRA JAYA ANUGRAH - PPN (JMB)</t>
        </is>
      </c>
      <c r="AI4086" t="n">
        <v>1017</v>
      </c>
      <c r="AJ4086" t="inlineStr">
        <is>
          <t>SKINTIFIC</t>
        </is>
      </c>
      <c r="AK4086" t="n">
        <v>9</v>
      </c>
      <c r="AL4086" t="inlineStr">
        <is>
          <t>Miss Glam Jambi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SKINTIFIC</t>
        </is>
      </c>
      <c r="B4087" s="2">
        <f>"810114870402"</f>
        <v/>
      </c>
      <c r="C4087" t="inlineStr">
        <is>
          <t>SKINTIFIC MSH Niacinamide Brightening Moisture Gel 6gr</t>
        </is>
      </c>
      <c r="D4087" t="inlineStr">
        <is>
          <t>Miss Glam Jambi</t>
        </is>
      </c>
      <c r="E4087" t="n">
        <v>4</v>
      </c>
      <c r="F4087" t="n">
        <v>0.0396</v>
      </c>
      <c r="G4087" t="n">
        <v>0.33</v>
      </c>
      <c r="H4087" t="n">
        <v>2</v>
      </c>
      <c r="I4087" t="n">
        <v>12</v>
      </c>
      <c r="J4087" t="n">
        <v>3</v>
      </c>
      <c r="K4087" t="n">
        <v>0</v>
      </c>
      <c r="L4087" t="n">
        <v>33341</v>
      </c>
      <c r="M4087" t="n">
        <v>42000</v>
      </c>
      <c r="N4087" t="n">
        <v>33</v>
      </c>
      <c r="O4087" t="n">
        <v>0.33</v>
      </c>
      <c r="P4087" t="n">
        <v>1</v>
      </c>
      <c r="Q4087" t="n">
        <v>0.1</v>
      </c>
      <c r="R4087" t="n">
        <v>1</v>
      </c>
      <c r="S4087" t="n">
        <v>1663.2</v>
      </c>
      <c r="T4087" t="n">
        <v>4</v>
      </c>
      <c r="U4087" t="n">
        <v>5</v>
      </c>
      <c r="V4087" t="n">
        <v>30</v>
      </c>
      <c r="W4087" t="n">
        <v>2</v>
      </c>
      <c r="X4087" t="n">
        <v>101.010101010101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12725</v>
      </c>
      <c r="AG4087" t="n">
        <v>2137</v>
      </c>
      <c r="AH4087" t="inlineStr">
        <is>
          <t>PT. SAMUDRA JAYA ANUGRAH - PPN (JMB)</t>
        </is>
      </c>
      <c r="AI4087" t="n">
        <v>1017</v>
      </c>
      <c r="AJ4087" t="inlineStr">
        <is>
          <t>SKINTIFIC</t>
        </is>
      </c>
      <c r="AK4087" t="n">
        <v>9</v>
      </c>
      <c r="AL4087" t="inlineStr">
        <is>
          <t>Miss Glam Jambi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SKINTIFIC</t>
        </is>
      </c>
      <c r="B4088" s="2">
        <f>"810114870396"</f>
        <v/>
      </c>
      <c r="C4088" t="inlineStr">
        <is>
          <t>SKINTIFIC MSH Niacinamide Brightening Moisture Gel 80gr</t>
        </is>
      </c>
      <c r="D4088" t="inlineStr">
        <is>
          <t>Miss Glam Jambi</t>
        </is>
      </c>
      <c r="E4088" t="n">
        <v>8</v>
      </c>
      <c r="F4088" t="n">
        <v>0.0495</v>
      </c>
      <c r="G4088" t="n">
        <v>0.66</v>
      </c>
      <c r="H4088" t="n">
        <v>2</v>
      </c>
      <c r="I4088" t="n">
        <v>12</v>
      </c>
      <c r="J4088" t="n">
        <v>3</v>
      </c>
      <c r="K4088" t="n">
        <v>0</v>
      </c>
      <c r="L4088" t="n">
        <v>227356</v>
      </c>
      <c r="M4088" t="n">
        <v>320000</v>
      </c>
      <c r="N4088" t="n">
        <v>33</v>
      </c>
      <c r="O4088" t="n">
        <v>0.33</v>
      </c>
      <c r="P4088" t="n">
        <v>1</v>
      </c>
      <c r="Q4088" t="n">
        <v>0.05</v>
      </c>
      <c r="R4088" t="n">
        <v>1</v>
      </c>
      <c r="S4088" t="n">
        <v>15840</v>
      </c>
      <c r="T4088" t="n">
        <v>8</v>
      </c>
      <c r="U4088" t="n">
        <v>9</v>
      </c>
      <c r="V4088" t="n">
        <v>30</v>
      </c>
      <c r="W4088" t="n">
        <v>2</v>
      </c>
      <c r="X4088" t="n">
        <v>161.6161616161616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12725</v>
      </c>
      <c r="AG4088" t="n">
        <v>2137</v>
      </c>
      <c r="AH4088" t="inlineStr">
        <is>
          <t>PT. SAMUDRA JAYA ANUGRAH - PPN (JMB)</t>
        </is>
      </c>
      <c r="AI4088" t="n">
        <v>1017</v>
      </c>
      <c r="AJ4088" t="inlineStr">
        <is>
          <t>SKINTIFIC</t>
        </is>
      </c>
      <c r="AK4088" t="n">
        <v>9</v>
      </c>
      <c r="AL4088" t="inlineStr">
        <is>
          <t>Miss Glam Jambi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SKINTIFIC</t>
        </is>
      </c>
      <c r="B4089" s="2">
        <f>"6974388210044"</f>
        <v/>
      </c>
      <c r="C4089" t="inlineStr">
        <is>
          <t>SKINTIFIC Mugwort Anti Pores &amp; Acne Clay Mask 55gr</t>
        </is>
      </c>
      <c r="D4089" t="inlineStr">
        <is>
          <t>Miss Glam Jambi</t>
        </is>
      </c>
      <c r="E4089" t="n">
        <v>7</v>
      </c>
      <c r="F4089" t="n">
        <v>0.05</v>
      </c>
      <c r="G4089" t="n">
        <v>1</v>
      </c>
      <c r="H4089" t="n">
        <v>2</v>
      </c>
      <c r="I4089" t="n">
        <v>12</v>
      </c>
      <c r="J4089" t="n">
        <v>3</v>
      </c>
      <c r="K4089" t="n">
        <v>0</v>
      </c>
      <c r="L4089" t="n">
        <v>76076</v>
      </c>
      <c r="M4089" t="n">
        <v>103500</v>
      </c>
      <c r="N4089" t="n">
        <v>33</v>
      </c>
      <c r="O4089" t="n">
        <v>0.33</v>
      </c>
      <c r="P4089" t="n">
        <v>0</v>
      </c>
      <c r="Q4089" t="n">
        <v>0.05</v>
      </c>
      <c r="R4089" t="n">
        <v>1</v>
      </c>
      <c r="S4089" t="n">
        <v>5175</v>
      </c>
      <c r="T4089" t="n">
        <v>12</v>
      </c>
      <c r="U4089" t="n">
        <v>13</v>
      </c>
      <c r="V4089" t="n">
        <v>30</v>
      </c>
      <c r="W4089" t="n">
        <v>2</v>
      </c>
      <c r="X4089" t="n">
        <v>140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12725</v>
      </c>
      <c r="AG4089" t="n">
        <v>2137</v>
      </c>
      <c r="AH4089" t="inlineStr">
        <is>
          <t>PT. SAMUDRA JAYA ANUGRAH - PPN (JMB)</t>
        </is>
      </c>
      <c r="AI4089" t="n">
        <v>1017</v>
      </c>
      <c r="AJ4089" t="inlineStr">
        <is>
          <t>SKINTIFIC</t>
        </is>
      </c>
      <c r="AK4089" t="n">
        <v>9</v>
      </c>
      <c r="AL4089" t="inlineStr">
        <is>
          <t>Miss Glam Jambi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SKINTIFIC</t>
        </is>
      </c>
      <c r="B4090" s="2">
        <f>"810114870341"</f>
        <v/>
      </c>
      <c r="C4090" t="inlineStr">
        <is>
          <t>SKINTIFIC Mugwort Anti Pores &amp; Acne Clay Stick 40gr</t>
        </is>
      </c>
      <c r="D4090" t="inlineStr">
        <is>
          <t>Miss Glam Jambi</t>
        </is>
      </c>
      <c r="E4090" t="n">
        <v>1</v>
      </c>
      <c r="F4090" t="n">
        <v>0.3762</v>
      </c>
      <c r="G4090" t="n">
        <v>1.65</v>
      </c>
      <c r="H4090" t="n">
        <v>2</v>
      </c>
      <c r="I4090" t="n">
        <v>12</v>
      </c>
      <c r="J4090" t="n">
        <v>3</v>
      </c>
      <c r="K4090" t="n">
        <v>13</v>
      </c>
      <c r="L4090" t="n">
        <v>73829</v>
      </c>
      <c r="M4090" t="n">
        <v>98800</v>
      </c>
      <c r="N4090" t="n">
        <v>33</v>
      </c>
      <c r="O4090" t="n">
        <v>0.33</v>
      </c>
      <c r="P4090" t="n">
        <v>1</v>
      </c>
      <c r="Q4090" t="n">
        <v>0.32</v>
      </c>
      <c r="R4090" t="n">
        <v>3</v>
      </c>
      <c r="S4090" t="n">
        <v>37168.56</v>
      </c>
      <c r="T4090" t="n">
        <v>20</v>
      </c>
      <c r="U4090" t="n">
        <v>21</v>
      </c>
      <c r="V4090" t="n">
        <v>30</v>
      </c>
      <c r="W4090" t="n">
        <v>12</v>
      </c>
      <c r="X4090" t="n">
        <v>2.658160552897395</v>
      </c>
      <c r="Y4090" t="n">
        <v>1</v>
      </c>
      <c r="Z4090" t="n">
        <v>0</v>
      </c>
      <c r="AA4090" t="n">
        <v>3</v>
      </c>
      <c r="AB4090" t="n">
        <v>0</v>
      </c>
      <c r="AC4090" t="n">
        <v>0</v>
      </c>
      <c r="AD4090" t="n">
        <v>221487</v>
      </c>
      <c r="AE4090" t="n">
        <v>0</v>
      </c>
      <c r="AF4090" t="n">
        <v>12725</v>
      </c>
      <c r="AG4090" t="n">
        <v>2137</v>
      </c>
      <c r="AH4090" t="inlineStr">
        <is>
          <t>PT. SAMUDRA JAYA ANUGRAH - PPN (JMB)</t>
        </is>
      </c>
      <c r="AI4090" t="n">
        <v>1017</v>
      </c>
      <c r="AJ4090" t="inlineStr">
        <is>
          <t>SKINTIFIC</t>
        </is>
      </c>
      <c r="AK4090" t="n">
        <v>9</v>
      </c>
      <c r="AL4090" t="inlineStr">
        <is>
          <t>Miss Glam Jambi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SKINTIFIC</t>
        </is>
      </c>
      <c r="B4091" s="2">
        <f>"810114870938"</f>
        <v/>
      </c>
      <c r="C4091" t="inlineStr">
        <is>
          <t>SKINTIFIC Mugwort Purifying Micellar Water 300ml</t>
        </is>
      </c>
      <c r="D4091" t="inlineStr">
        <is>
          <t>Miss Glam Jambi</t>
        </is>
      </c>
      <c r="E4091" t="n">
        <v>14</v>
      </c>
      <c r="F4091" t="n">
        <v>0.1353</v>
      </c>
      <c r="G4091" t="n">
        <v>0.99</v>
      </c>
      <c r="H4091" t="n">
        <v>2</v>
      </c>
      <c r="I4091" t="n">
        <v>12</v>
      </c>
      <c r="J4091" t="n">
        <v>3</v>
      </c>
      <c r="K4091" t="n">
        <v>0</v>
      </c>
      <c r="L4091" t="n">
        <v>76979</v>
      </c>
      <c r="M4091" t="n">
        <v>109900</v>
      </c>
      <c r="N4091" t="n">
        <v>33</v>
      </c>
      <c r="O4091" t="n">
        <v>0.33</v>
      </c>
      <c r="P4091" t="n">
        <v>1</v>
      </c>
      <c r="Q4091" t="n">
        <v>0.17</v>
      </c>
      <c r="R4091" t="n">
        <v>2</v>
      </c>
      <c r="S4091" t="n">
        <v>14869.47</v>
      </c>
      <c r="T4091" t="n">
        <v>12</v>
      </c>
      <c r="U4091" t="n">
        <v>13</v>
      </c>
      <c r="V4091" t="n">
        <v>30</v>
      </c>
      <c r="W4091" t="n">
        <v>5</v>
      </c>
      <c r="X4091" t="n">
        <v>103.4737620103474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12725</v>
      </c>
      <c r="AG4091" t="n">
        <v>2137</v>
      </c>
      <c r="AH4091" t="inlineStr">
        <is>
          <t>PT. SAMUDRA JAYA ANUGRAH - PPN (JMB)</t>
        </is>
      </c>
      <c r="AI4091" t="n">
        <v>1017</v>
      </c>
      <c r="AJ4091" t="inlineStr">
        <is>
          <t>SKINTIFIC</t>
        </is>
      </c>
      <c r="AK4091" t="n">
        <v>9</v>
      </c>
      <c r="AL4091" t="inlineStr">
        <is>
          <t>Miss Glam Jambi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SKINTIFIC</t>
        </is>
      </c>
      <c r="B4092" s="2">
        <f>"810114871423"</f>
        <v/>
      </c>
      <c r="C4092" t="inlineStr">
        <is>
          <t>SKINTIFIC Niacinamaide Bright Boost Clay Stick 40gr</t>
        </is>
      </c>
      <c r="D4092" t="inlineStr">
        <is>
          <t>Miss Glam Jambi</t>
        </is>
      </c>
      <c r="E4092" t="n">
        <v>4</v>
      </c>
      <c r="F4092" t="n">
        <v>0.2574</v>
      </c>
      <c r="G4092" t="n">
        <v>0.99</v>
      </c>
      <c r="H4092" t="n">
        <v>2</v>
      </c>
      <c r="I4092" t="n">
        <v>12</v>
      </c>
      <c r="J4092" t="n">
        <v>3</v>
      </c>
      <c r="K4092" t="n">
        <v>3</v>
      </c>
      <c r="L4092" t="n">
        <v>84615</v>
      </c>
      <c r="M4092" t="n">
        <v>109900</v>
      </c>
      <c r="N4092" t="n">
        <v>33</v>
      </c>
      <c r="O4092" t="n">
        <v>0.33</v>
      </c>
      <c r="P4092" t="n">
        <v>1</v>
      </c>
      <c r="Q4092" t="n">
        <v>0.2</v>
      </c>
      <c r="R4092" t="n">
        <v>2</v>
      </c>
      <c r="S4092" t="n">
        <v>28288.26</v>
      </c>
      <c r="T4092" t="n">
        <v>12</v>
      </c>
      <c r="U4092" t="n">
        <v>13</v>
      </c>
      <c r="V4092" t="n">
        <v>30</v>
      </c>
      <c r="W4092" t="n">
        <v>8</v>
      </c>
      <c r="X4092" t="n">
        <v>15.54001554001554</v>
      </c>
      <c r="Y4092" t="n">
        <v>1</v>
      </c>
      <c r="Z4092" t="n">
        <v>1</v>
      </c>
      <c r="AA4092" t="n">
        <v>0</v>
      </c>
      <c r="AB4092" t="n">
        <v>1</v>
      </c>
      <c r="AC4092" t="n">
        <v>3</v>
      </c>
      <c r="AD4092" t="n">
        <v>0</v>
      </c>
      <c r="AE4092" t="n">
        <v>253845</v>
      </c>
      <c r="AF4092" t="n">
        <v>12725</v>
      </c>
      <c r="AG4092" t="n">
        <v>2137</v>
      </c>
      <c r="AH4092" t="inlineStr">
        <is>
          <t>PT. SAMUDRA JAYA ANUGRAH - PPN (JMB)</t>
        </is>
      </c>
      <c r="AI4092" t="n">
        <v>1017</v>
      </c>
      <c r="AJ4092" t="inlineStr">
        <is>
          <t>SKINTIFIC</t>
        </is>
      </c>
      <c r="AK4092" t="n">
        <v>9</v>
      </c>
      <c r="AL4092" t="inlineStr">
        <is>
          <t>Miss Glam Jambi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SKINTIFIC</t>
        </is>
      </c>
      <c r="B4093" s="2">
        <f>"810114870389"</f>
        <v/>
      </c>
      <c r="C4093" t="inlineStr">
        <is>
          <t>SKINTIFIC Niacinamide Brightening Cleanser 80ml</t>
        </is>
      </c>
      <c r="D4093" t="inlineStr">
        <is>
          <t>Miss Glam Jambi</t>
        </is>
      </c>
      <c r="E4093" t="n">
        <v>7</v>
      </c>
      <c r="F4093" t="n">
        <v>0.4686</v>
      </c>
      <c r="G4093" t="n">
        <v>1.32</v>
      </c>
      <c r="H4093" t="n">
        <v>2</v>
      </c>
      <c r="I4093" t="n">
        <v>12</v>
      </c>
      <c r="J4093" t="n">
        <v>3</v>
      </c>
      <c r="K4093" t="n">
        <v>8</v>
      </c>
      <c r="L4093" t="n">
        <v>83483</v>
      </c>
      <c r="M4093" t="n">
        <v>109900</v>
      </c>
      <c r="N4093" t="n">
        <v>33</v>
      </c>
      <c r="O4093" t="n">
        <v>0.33</v>
      </c>
      <c r="P4093" t="n">
        <v>1</v>
      </c>
      <c r="Q4093" t="n">
        <v>0.29</v>
      </c>
      <c r="R4093" t="n">
        <v>3</v>
      </c>
      <c r="S4093" t="n">
        <v>51499.14</v>
      </c>
      <c r="T4093" t="n">
        <v>15</v>
      </c>
      <c r="U4093" t="n">
        <v>16</v>
      </c>
      <c r="V4093" t="n">
        <v>30</v>
      </c>
      <c r="W4093" t="n">
        <v>15</v>
      </c>
      <c r="X4093" t="n">
        <v>14.93811352966283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12725</v>
      </c>
      <c r="AG4093" t="n">
        <v>2137</v>
      </c>
      <c r="AH4093" t="inlineStr">
        <is>
          <t>PT. SAMUDRA JAYA ANUGRAH - PPN (JMB)</t>
        </is>
      </c>
      <c r="AI4093" t="n">
        <v>1017</v>
      </c>
      <c r="AJ4093" t="inlineStr">
        <is>
          <t>SKINTIFIC</t>
        </is>
      </c>
      <c r="AK4093" t="n">
        <v>9</v>
      </c>
      <c r="AL4093" t="inlineStr">
        <is>
          <t>Miss Glam Jambi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SKINTIFIC</t>
        </is>
      </c>
      <c r="B4094" s="2">
        <f>"810114870143"</f>
        <v/>
      </c>
      <c r="C4094" t="inlineStr">
        <is>
          <t>SKINTIFIC Niacinamide Brightening Essence Toner 80ml</t>
        </is>
      </c>
      <c r="D4094" t="inlineStr">
        <is>
          <t>Miss Glam Jambi</t>
        </is>
      </c>
      <c r="E4094" t="n">
        <v>14</v>
      </c>
      <c r="F4094" t="n">
        <v>0.2178</v>
      </c>
      <c r="G4094" t="n">
        <v>0.66</v>
      </c>
      <c r="H4094" t="n">
        <v>2</v>
      </c>
      <c r="I4094" t="n">
        <v>12</v>
      </c>
      <c r="J4094" t="n">
        <v>3</v>
      </c>
      <c r="K4094" t="n">
        <v>0</v>
      </c>
      <c r="L4094" t="n">
        <v>89788</v>
      </c>
      <c r="M4094" t="n">
        <v>124000</v>
      </c>
      <c r="N4094" t="n">
        <v>33</v>
      </c>
      <c r="O4094" t="n">
        <v>0.33</v>
      </c>
      <c r="P4094" t="n">
        <v>1</v>
      </c>
      <c r="Q4094" t="n">
        <v>0.34</v>
      </c>
      <c r="R4094" t="n">
        <v>2</v>
      </c>
      <c r="S4094" t="n">
        <v>27007.2</v>
      </c>
      <c r="T4094" t="n">
        <v>8</v>
      </c>
      <c r="U4094" t="n">
        <v>9</v>
      </c>
      <c r="V4094" t="n">
        <v>30</v>
      </c>
      <c r="W4094" t="n">
        <v>7</v>
      </c>
      <c r="X4094" t="n">
        <v>64.27915518824609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12725</v>
      </c>
      <c r="AG4094" t="n">
        <v>2137</v>
      </c>
      <c r="AH4094" t="inlineStr">
        <is>
          <t>PT. SAMUDRA JAYA ANUGRAH - PPN (JMB)</t>
        </is>
      </c>
      <c r="AI4094" t="n">
        <v>1017</v>
      </c>
      <c r="AJ4094" t="inlineStr">
        <is>
          <t>SKINTIFIC</t>
        </is>
      </c>
      <c r="AK4094" t="n">
        <v>9</v>
      </c>
      <c r="AL4094" t="inlineStr">
        <is>
          <t>Miss Glam Jambi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SKINTIFIC</t>
        </is>
      </c>
      <c r="B4095" s="2">
        <f>"810114870327"</f>
        <v/>
      </c>
      <c r="C4095" t="inlineStr">
        <is>
          <t>SKINTIFIC Outdoor Sun Spray SPF50+ PA ++++ 250ml</t>
        </is>
      </c>
      <c r="D4095" t="inlineStr">
        <is>
          <t>Miss Glam Jambi</t>
        </is>
      </c>
      <c r="E4095" t="n">
        <v>10</v>
      </c>
      <c r="F4095" t="n">
        <v>0.033</v>
      </c>
      <c r="G4095" t="n">
        <v>0.33</v>
      </c>
      <c r="H4095" t="n">
        <v>2</v>
      </c>
      <c r="I4095" t="n">
        <v>12</v>
      </c>
      <c r="J4095" t="n">
        <v>3</v>
      </c>
      <c r="K4095" t="n">
        <v>0</v>
      </c>
      <c r="L4095" t="n">
        <v>127350</v>
      </c>
      <c r="M4095" t="n">
        <v>159500</v>
      </c>
      <c r="N4095" t="n">
        <v>33</v>
      </c>
      <c r="O4095" t="n">
        <v>0.33</v>
      </c>
      <c r="P4095" t="n">
        <v>1</v>
      </c>
      <c r="Q4095" t="n">
        <v>0.05</v>
      </c>
      <c r="R4095" t="n">
        <v>1</v>
      </c>
      <c r="S4095" t="n">
        <v>5263.5</v>
      </c>
      <c r="T4095" t="n">
        <v>4</v>
      </c>
      <c r="U4095" t="n">
        <v>5</v>
      </c>
      <c r="V4095" t="n">
        <v>30</v>
      </c>
      <c r="W4095" t="n">
        <v>1</v>
      </c>
      <c r="X4095" t="n">
        <v>303.030303030303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12725</v>
      </c>
      <c r="AG4095" t="n">
        <v>2137</v>
      </c>
      <c r="AH4095" t="inlineStr">
        <is>
          <t>PT. SAMUDRA JAYA ANUGRAH - PPN (JMB)</t>
        </is>
      </c>
      <c r="AI4095" t="n">
        <v>1017</v>
      </c>
      <c r="AJ4095" t="inlineStr">
        <is>
          <t>SKINTIFIC</t>
        </is>
      </c>
      <c r="AK4095" t="n">
        <v>9</v>
      </c>
      <c r="AL4095" t="inlineStr">
        <is>
          <t>Miss Glam Jambi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SKINTIFIC</t>
        </is>
      </c>
      <c r="B4096" s="2">
        <f>"810114870723"</f>
        <v/>
      </c>
      <c r="C4096" t="inlineStr">
        <is>
          <t>SKINTIFIC Panthenol Gentle Gel Cleanser 120ml</t>
        </is>
      </c>
      <c r="D4096" t="inlineStr">
        <is>
          <t>Miss Glam Jambi</t>
        </is>
      </c>
      <c r="E4096" t="n">
        <v>12</v>
      </c>
      <c r="F4096" t="n">
        <v>0.4686</v>
      </c>
      <c r="G4096" t="n">
        <v>1.32</v>
      </c>
      <c r="H4096" t="n">
        <v>2</v>
      </c>
      <c r="I4096" t="n">
        <v>12</v>
      </c>
      <c r="J4096" t="n">
        <v>3</v>
      </c>
      <c r="K4096" t="n">
        <v>9</v>
      </c>
      <c r="L4096" t="n">
        <v>78188</v>
      </c>
      <c r="M4096" t="n">
        <v>109900</v>
      </c>
      <c r="N4096" t="n">
        <v>33</v>
      </c>
      <c r="O4096" t="n">
        <v>0.33</v>
      </c>
      <c r="P4096" t="n">
        <v>1</v>
      </c>
      <c r="Q4096" t="n">
        <v>0.42</v>
      </c>
      <c r="R4096" t="n">
        <v>3</v>
      </c>
      <c r="S4096" t="n">
        <v>51499.14</v>
      </c>
      <c r="T4096" t="n">
        <v>15</v>
      </c>
      <c r="U4096" t="n">
        <v>16</v>
      </c>
      <c r="V4096" t="n">
        <v>30</v>
      </c>
      <c r="W4096" t="n">
        <v>15</v>
      </c>
      <c r="X4096" t="n">
        <v>25.60819462227913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12725</v>
      </c>
      <c r="AG4096" t="n">
        <v>2137</v>
      </c>
      <c r="AH4096" t="inlineStr">
        <is>
          <t>PT. SAMUDRA JAYA ANUGRAH - PPN (JMB)</t>
        </is>
      </c>
      <c r="AI4096" t="n">
        <v>1017</v>
      </c>
      <c r="AJ4096" t="inlineStr">
        <is>
          <t>SKINTIFIC</t>
        </is>
      </c>
      <c r="AK4096" t="n">
        <v>9</v>
      </c>
      <c r="AL4096" t="inlineStr">
        <is>
          <t>Miss Glam Jambi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SKINTIFIC</t>
        </is>
      </c>
      <c r="B4097" s="2">
        <f>"810114871515"</f>
        <v/>
      </c>
      <c r="C4097" t="inlineStr">
        <is>
          <t>SKINTIFIC Peptide Nourishing Lip Serum 6.5ml</t>
        </is>
      </c>
      <c r="D4097" t="inlineStr">
        <is>
          <t>Miss Glam Jambi</t>
        </is>
      </c>
      <c r="E4097" t="n">
        <v>2</v>
      </c>
      <c r="F4097" t="n">
        <v>0.3564000000000001</v>
      </c>
      <c r="G4097" t="n">
        <v>0.99</v>
      </c>
      <c r="H4097" t="n">
        <v>2</v>
      </c>
      <c r="I4097" t="n">
        <v>12</v>
      </c>
      <c r="J4097" t="n">
        <v>3</v>
      </c>
      <c r="K4097" t="n">
        <v>18</v>
      </c>
      <c r="L4097" t="n">
        <v>84615</v>
      </c>
      <c r="M4097" t="n">
        <v>105000</v>
      </c>
      <c r="N4097" t="n">
        <v>33</v>
      </c>
      <c r="O4097" t="n">
        <v>0.33</v>
      </c>
      <c r="P4097" t="n">
        <v>1</v>
      </c>
      <c r="Q4097" t="n">
        <v>0.29</v>
      </c>
      <c r="R4097" t="n">
        <v>2</v>
      </c>
      <c r="S4097" t="n">
        <v>37422.00000000001</v>
      </c>
      <c r="T4097" t="n">
        <v>12</v>
      </c>
      <c r="U4097" t="n">
        <v>13</v>
      </c>
      <c r="V4097" t="n">
        <v>30</v>
      </c>
      <c r="W4097" t="n">
        <v>11</v>
      </c>
      <c r="X4097" t="n">
        <v>5.611672278338944</v>
      </c>
      <c r="Y4097" t="n">
        <v>1</v>
      </c>
      <c r="Z4097" t="n">
        <v>0</v>
      </c>
      <c r="AA4097" t="n">
        <v>2</v>
      </c>
      <c r="AB4097" t="n">
        <v>0</v>
      </c>
      <c r="AC4097" t="n">
        <v>0</v>
      </c>
      <c r="AD4097" t="n">
        <v>169230</v>
      </c>
      <c r="AE4097" t="n">
        <v>0</v>
      </c>
      <c r="AF4097" t="n">
        <v>12725</v>
      </c>
      <c r="AG4097" t="n">
        <v>2137</v>
      </c>
      <c r="AH4097" t="inlineStr">
        <is>
          <t>PT. SAMUDRA JAYA ANUGRAH - PPN (JMB)</t>
        </is>
      </c>
      <c r="AI4097" t="n">
        <v>1017</v>
      </c>
      <c r="AJ4097" t="inlineStr">
        <is>
          <t>SKINTIFIC</t>
        </is>
      </c>
      <c r="AK4097" t="n">
        <v>9</v>
      </c>
      <c r="AL4097" t="inlineStr">
        <is>
          <t>Miss Glam Jambi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SKINTIFIC</t>
        </is>
      </c>
      <c r="B4098" s="2">
        <f>"20100326918"</f>
        <v/>
      </c>
      <c r="C4098" t="inlineStr">
        <is>
          <t>SKINTIFIC Perfect Serum Concealer 01 Vanilla 5ml</t>
        </is>
      </c>
      <c r="D4098" t="inlineStr">
        <is>
          <t>Miss Glam Jambi</t>
        </is>
      </c>
      <c r="E4098" t="n">
        <v>4</v>
      </c>
      <c r="F4098" t="n">
        <v>0.0231</v>
      </c>
      <c r="G4098" t="n">
        <v>0.33</v>
      </c>
      <c r="H4098" t="n">
        <v>2</v>
      </c>
      <c r="I4098" t="n">
        <v>12</v>
      </c>
      <c r="J4098" t="n">
        <v>3</v>
      </c>
      <c r="K4098" t="n">
        <v>0</v>
      </c>
      <c r="L4098" t="n">
        <v>53130</v>
      </c>
      <c r="M4098" t="n">
        <v>106000</v>
      </c>
      <c r="N4098" t="n">
        <v>33</v>
      </c>
      <c r="O4098" t="n">
        <v>0.33</v>
      </c>
      <c r="P4098" t="n">
        <v>1</v>
      </c>
      <c r="Q4098" t="n">
        <v>0.08</v>
      </c>
      <c r="R4098" t="n">
        <v>1</v>
      </c>
      <c r="S4098" t="n">
        <v>2448.6</v>
      </c>
      <c r="T4098" t="n">
        <v>4</v>
      </c>
      <c r="U4098" t="n">
        <v>5</v>
      </c>
      <c r="V4098" t="n">
        <v>30</v>
      </c>
      <c r="W4098" t="n">
        <v>1</v>
      </c>
      <c r="X4098" t="n">
        <v>173.1601731601731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12725</v>
      </c>
      <c r="AG4098" t="n">
        <v>2137</v>
      </c>
      <c r="AH4098" t="inlineStr">
        <is>
          <t>PT. SAMUDRA JAYA ANUGRAH - PPN (JMB)</t>
        </is>
      </c>
      <c r="AI4098" t="n">
        <v>1017</v>
      </c>
      <c r="AJ4098" t="inlineStr">
        <is>
          <t>SKINTIFIC</t>
        </is>
      </c>
      <c r="AK4098" t="n">
        <v>9</v>
      </c>
      <c r="AL4098" t="inlineStr">
        <is>
          <t>Miss Glam Jambi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SKINTIFIC</t>
        </is>
      </c>
      <c r="B4099" s="2">
        <f>"20100327056"</f>
        <v/>
      </c>
      <c r="C4099" t="inlineStr">
        <is>
          <t>SKINTIFIC Perfect Serum Concealer 02 Ivory 5ml</t>
        </is>
      </c>
      <c r="D4099" t="inlineStr">
        <is>
          <t>Miss Glam Jambi</t>
        </is>
      </c>
      <c r="E4099" t="n">
        <v>4</v>
      </c>
      <c r="F4099" t="n">
        <v>0.05</v>
      </c>
      <c r="G4099" t="n">
        <v>1</v>
      </c>
      <c r="H4099" t="n">
        <v>2</v>
      </c>
      <c r="I4099" t="n">
        <v>12</v>
      </c>
      <c r="J4099" t="n">
        <v>3</v>
      </c>
      <c r="K4099" t="n">
        <v>0</v>
      </c>
      <c r="L4099" t="n">
        <v>53130</v>
      </c>
      <c r="M4099" t="n">
        <v>106000</v>
      </c>
      <c r="N4099" t="n">
        <v>33</v>
      </c>
      <c r="O4099" t="n">
        <v>0.33</v>
      </c>
      <c r="P4099" t="n">
        <v>0</v>
      </c>
      <c r="Q4099" t="n">
        <v>0.05</v>
      </c>
      <c r="R4099" t="n">
        <v>1</v>
      </c>
      <c r="S4099" t="n">
        <v>5300</v>
      </c>
      <c r="T4099" t="n">
        <v>12</v>
      </c>
      <c r="U4099" t="n">
        <v>13</v>
      </c>
      <c r="V4099" t="n">
        <v>30</v>
      </c>
      <c r="W4099" t="n">
        <v>2</v>
      </c>
      <c r="X4099" t="n">
        <v>80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12725</v>
      </c>
      <c r="AG4099" t="n">
        <v>2137</v>
      </c>
      <c r="AH4099" t="inlineStr">
        <is>
          <t>PT. SAMUDRA JAYA ANUGRAH - PPN (JMB)</t>
        </is>
      </c>
      <c r="AI4099" t="n">
        <v>1017</v>
      </c>
      <c r="AJ4099" t="inlineStr">
        <is>
          <t>SKINTIFIC</t>
        </is>
      </c>
      <c r="AK4099" t="n">
        <v>9</v>
      </c>
      <c r="AL4099" t="inlineStr">
        <is>
          <t>Miss Glam Jambi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SKINTIFIC</t>
        </is>
      </c>
      <c r="B4100" s="2">
        <f>"20100327241"</f>
        <v/>
      </c>
      <c r="C4100" t="inlineStr">
        <is>
          <t>SKINTIFIC Perfect Serum Concealer 03W Warm Almond 5ml</t>
        </is>
      </c>
      <c r="D4100" t="inlineStr">
        <is>
          <t>Miss Glam Jambi</t>
        </is>
      </c>
      <c r="E4100" t="n">
        <v>3</v>
      </c>
      <c r="F4100" t="n">
        <v>0.05</v>
      </c>
      <c r="G4100" t="n">
        <v>1</v>
      </c>
      <c r="H4100" t="n">
        <v>2</v>
      </c>
      <c r="I4100" t="n">
        <v>12</v>
      </c>
      <c r="J4100" t="n">
        <v>3</v>
      </c>
      <c r="K4100" t="n">
        <v>0</v>
      </c>
      <c r="L4100" t="n">
        <v>84615</v>
      </c>
      <c r="M4100" t="n">
        <v>106000</v>
      </c>
      <c r="N4100" t="n">
        <v>33</v>
      </c>
      <c r="O4100" t="n">
        <v>0.33</v>
      </c>
      <c r="P4100" t="n">
        <v>0</v>
      </c>
      <c r="Q4100" t="n">
        <v>0.05</v>
      </c>
      <c r="R4100" t="n">
        <v>1</v>
      </c>
      <c r="S4100" t="n">
        <v>5300</v>
      </c>
      <c r="T4100" t="n">
        <v>12</v>
      </c>
      <c r="U4100" t="n">
        <v>13</v>
      </c>
      <c r="V4100" t="n">
        <v>30</v>
      </c>
      <c r="W4100" t="n">
        <v>2</v>
      </c>
      <c r="X4100" t="n">
        <v>60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12725</v>
      </c>
      <c r="AG4100" t="n">
        <v>2137</v>
      </c>
      <c r="AH4100" t="inlineStr">
        <is>
          <t>PT. SAMUDRA JAYA ANUGRAH - PPN (JMB)</t>
        </is>
      </c>
      <c r="AI4100" t="n">
        <v>1017</v>
      </c>
      <c r="AJ4100" t="inlineStr">
        <is>
          <t>SKINTIFIC</t>
        </is>
      </c>
      <c r="AK4100" t="n">
        <v>9</v>
      </c>
      <c r="AL4100" t="inlineStr">
        <is>
          <t>Miss Glam Jambi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SKINTIFIC</t>
        </is>
      </c>
      <c r="B4101" s="2">
        <f>"20100327310"</f>
        <v/>
      </c>
      <c r="C4101" t="inlineStr">
        <is>
          <t>SKINTIFIC Perfect Serum Concealer 04 Beige 5ml</t>
        </is>
      </c>
      <c r="D4101" t="inlineStr">
        <is>
          <t>Miss Glam Jambi</t>
        </is>
      </c>
      <c r="E4101" t="n">
        <v>7</v>
      </c>
      <c r="F4101" t="n">
        <v>0.009900000000000001</v>
      </c>
      <c r="G4101" t="n">
        <v>0.33</v>
      </c>
      <c r="H4101" t="n">
        <v>2</v>
      </c>
      <c r="I4101" t="n">
        <v>12</v>
      </c>
      <c r="J4101" t="n">
        <v>3</v>
      </c>
      <c r="K4101" t="n">
        <v>0</v>
      </c>
      <c r="L4101" t="n">
        <v>84582</v>
      </c>
      <c r="M4101" t="n">
        <v>106000</v>
      </c>
      <c r="N4101" t="n">
        <v>33</v>
      </c>
      <c r="O4101" t="n">
        <v>0.33</v>
      </c>
      <c r="P4101" t="n">
        <v>1</v>
      </c>
      <c r="Q4101" t="n">
        <v>0.03</v>
      </c>
      <c r="R4101" t="n">
        <v>1</v>
      </c>
      <c r="S4101" t="n">
        <v>1049.4</v>
      </c>
      <c r="T4101" t="n">
        <v>4</v>
      </c>
      <c r="U4101" t="n">
        <v>5</v>
      </c>
      <c r="V4101" t="n">
        <v>30</v>
      </c>
      <c r="W4101" t="n">
        <v>1</v>
      </c>
      <c r="X4101" t="n">
        <v>707.070707070707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12725</v>
      </c>
      <c r="AG4101" t="n">
        <v>2137</v>
      </c>
      <c r="AH4101" t="inlineStr">
        <is>
          <t>PT. SAMUDRA JAYA ANUGRAH - PPN (JMB)</t>
        </is>
      </c>
      <c r="AI4101" t="n">
        <v>1017</v>
      </c>
      <c r="AJ4101" t="inlineStr">
        <is>
          <t>SKINTIFIC</t>
        </is>
      </c>
      <c r="AK4101" t="n">
        <v>9</v>
      </c>
      <c r="AL4101" t="inlineStr">
        <is>
          <t>Miss Glam Jambi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SKINTIFIC</t>
        </is>
      </c>
      <c r="B4102" s="2">
        <f>"810114871249"</f>
        <v/>
      </c>
      <c r="C4102" t="inlineStr">
        <is>
          <t>SKINTIFIC Perfect Stay Velvet Matte Cushion 01 Vanilla 11gr</t>
        </is>
      </c>
      <c r="D4102" t="inlineStr">
        <is>
          <t>Miss Glam Jambi</t>
        </is>
      </c>
      <c r="E4102" t="n">
        <v>7</v>
      </c>
      <c r="F4102" t="n">
        <v>0.09569999999999999</v>
      </c>
      <c r="G4102" t="n">
        <v>0.66</v>
      </c>
      <c r="H4102" t="n">
        <v>2</v>
      </c>
      <c r="I4102" t="n">
        <v>12</v>
      </c>
      <c r="J4102" t="n">
        <v>3</v>
      </c>
      <c r="K4102" t="n">
        <v>0</v>
      </c>
      <c r="L4102" t="n">
        <v>135990</v>
      </c>
      <c r="M4102" t="n">
        <v>185000</v>
      </c>
      <c r="N4102" t="n">
        <v>33</v>
      </c>
      <c r="O4102" t="n">
        <v>0.33</v>
      </c>
      <c r="P4102" t="n">
        <v>1</v>
      </c>
      <c r="Q4102" t="n">
        <v>0.12</v>
      </c>
      <c r="R4102" t="n">
        <v>2</v>
      </c>
      <c r="S4102" t="n">
        <v>17704.5</v>
      </c>
      <c r="T4102" t="n">
        <v>8</v>
      </c>
      <c r="U4102" t="n">
        <v>9</v>
      </c>
      <c r="V4102" t="n">
        <v>30</v>
      </c>
      <c r="W4102" t="n">
        <v>3</v>
      </c>
      <c r="X4102" t="n">
        <v>73.14524555903867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12725</v>
      </c>
      <c r="AG4102" t="n">
        <v>2137</v>
      </c>
      <c r="AH4102" t="inlineStr">
        <is>
          <t>PT. SAMUDRA JAYA ANUGRAH - PPN (JMB)</t>
        </is>
      </c>
      <c r="AI4102" t="n">
        <v>1017</v>
      </c>
      <c r="AJ4102" t="inlineStr">
        <is>
          <t>SKINTIFIC</t>
        </is>
      </c>
      <c r="AK4102" t="n">
        <v>9</v>
      </c>
      <c r="AL4102" t="inlineStr">
        <is>
          <t>Miss Glam Jambi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SKINTIFIC</t>
        </is>
      </c>
      <c r="B4103" s="2">
        <f>"810114871256"</f>
        <v/>
      </c>
      <c r="C4103" t="inlineStr">
        <is>
          <t>SKINTIFIC Perfect Stay Velvet Matte Cushion 02 Ivory 11gr</t>
        </is>
      </c>
      <c r="D4103" t="inlineStr">
        <is>
          <t>Miss Glam Jambi</t>
        </is>
      </c>
      <c r="E4103" t="n">
        <v>8</v>
      </c>
      <c r="F4103" t="n">
        <v>0.1947</v>
      </c>
      <c r="G4103" t="n">
        <v>0.66</v>
      </c>
      <c r="H4103" t="n">
        <v>2</v>
      </c>
      <c r="I4103" t="n">
        <v>12</v>
      </c>
      <c r="J4103" t="n">
        <v>3</v>
      </c>
      <c r="K4103" t="n">
        <v>0</v>
      </c>
      <c r="L4103" t="n">
        <v>139866</v>
      </c>
      <c r="M4103" t="n">
        <v>185000</v>
      </c>
      <c r="N4103" t="n">
        <v>33</v>
      </c>
      <c r="O4103" t="n">
        <v>0.33</v>
      </c>
      <c r="P4103" t="n">
        <v>1</v>
      </c>
      <c r="Q4103" t="n">
        <v>0.12</v>
      </c>
      <c r="R4103" t="n">
        <v>2</v>
      </c>
      <c r="S4103" t="n">
        <v>36019.5</v>
      </c>
      <c r="T4103" t="n">
        <v>8</v>
      </c>
      <c r="U4103" t="n">
        <v>9</v>
      </c>
      <c r="V4103" t="n">
        <v>30</v>
      </c>
      <c r="W4103" t="n">
        <v>6</v>
      </c>
      <c r="X4103" t="n">
        <v>41.08885464817668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12725</v>
      </c>
      <c r="AG4103" t="n">
        <v>2137</v>
      </c>
      <c r="AH4103" t="inlineStr">
        <is>
          <t>PT. SAMUDRA JAYA ANUGRAH - PPN (JMB)</t>
        </is>
      </c>
      <c r="AI4103" t="n">
        <v>1017</v>
      </c>
      <c r="AJ4103" t="inlineStr">
        <is>
          <t>SKINTIFIC</t>
        </is>
      </c>
      <c r="AK4103" t="n">
        <v>9</v>
      </c>
      <c r="AL4103" t="inlineStr">
        <is>
          <t>Miss Glam Jambi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SKINTIFIC</t>
        </is>
      </c>
      <c r="B4104" s="2">
        <f>"810114871263"</f>
        <v/>
      </c>
      <c r="C4104" t="inlineStr">
        <is>
          <t>SKINTIFIC Perfect Stay Velvet Matte Cushion 03 Petal 11gr</t>
        </is>
      </c>
      <c r="D4104" t="inlineStr">
        <is>
          <t>Miss Glam Jambi</t>
        </is>
      </c>
      <c r="E4104" t="n">
        <v>14</v>
      </c>
      <c r="F4104" t="n">
        <v>0.2112</v>
      </c>
      <c r="G4104" t="n">
        <v>1.32</v>
      </c>
      <c r="H4104" t="n">
        <v>2</v>
      </c>
      <c r="I4104" t="n">
        <v>12</v>
      </c>
      <c r="J4104" t="n">
        <v>3</v>
      </c>
      <c r="K4104" t="n">
        <v>0</v>
      </c>
      <c r="L4104" t="n">
        <v>130662</v>
      </c>
      <c r="M4104" t="n">
        <v>185000</v>
      </c>
      <c r="N4104" t="n">
        <v>33</v>
      </c>
      <c r="O4104" t="n">
        <v>0.33</v>
      </c>
      <c r="P4104" t="n">
        <v>1</v>
      </c>
      <c r="Q4104" t="n">
        <v>0.25</v>
      </c>
      <c r="R4104" t="n">
        <v>3</v>
      </c>
      <c r="S4104" t="n">
        <v>39072.00000000001</v>
      </c>
      <c r="T4104" t="n">
        <v>16</v>
      </c>
      <c r="U4104" t="n">
        <v>17</v>
      </c>
      <c r="V4104" t="n">
        <v>30</v>
      </c>
      <c r="W4104" t="n">
        <v>7</v>
      </c>
      <c r="X4104" t="n">
        <v>66.28787878787878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12725</v>
      </c>
      <c r="AG4104" t="n">
        <v>2137</v>
      </c>
      <c r="AH4104" t="inlineStr">
        <is>
          <t>PT. SAMUDRA JAYA ANUGRAH - PPN (JMB)</t>
        </is>
      </c>
      <c r="AI4104" t="n">
        <v>1017</v>
      </c>
      <c r="AJ4104" t="inlineStr">
        <is>
          <t>SKINTIFIC</t>
        </is>
      </c>
      <c r="AK4104" t="n">
        <v>9</v>
      </c>
      <c r="AL4104" t="inlineStr">
        <is>
          <t>Miss Glam Jambi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SKINTIFIC</t>
        </is>
      </c>
      <c r="B4105" s="2">
        <f>"810114871270"</f>
        <v/>
      </c>
      <c r="C4105" t="inlineStr">
        <is>
          <t>SKINTIFIC Perfect Stay Velvet Matte Cushion 03A Almond 11gr</t>
        </is>
      </c>
      <c r="D4105" t="inlineStr">
        <is>
          <t>Miss Glam Jambi</t>
        </is>
      </c>
      <c r="E4105" t="n">
        <v>6</v>
      </c>
      <c r="F4105" t="n">
        <v>0.0561</v>
      </c>
      <c r="G4105" t="n">
        <v>0.66</v>
      </c>
      <c r="H4105" t="n">
        <v>2</v>
      </c>
      <c r="I4105" t="n">
        <v>12</v>
      </c>
      <c r="J4105" t="n">
        <v>3</v>
      </c>
      <c r="K4105" t="n">
        <v>0</v>
      </c>
      <c r="L4105" t="n">
        <v>144444</v>
      </c>
      <c r="M4105" t="n">
        <v>185000</v>
      </c>
      <c r="N4105" t="n">
        <v>33</v>
      </c>
      <c r="O4105" t="n">
        <v>0.33</v>
      </c>
      <c r="P4105" t="n">
        <v>1</v>
      </c>
      <c r="Q4105" t="n">
        <v>0.05</v>
      </c>
      <c r="R4105" t="n">
        <v>1</v>
      </c>
      <c r="S4105" t="n">
        <v>10378.5</v>
      </c>
      <c r="T4105" t="n">
        <v>8</v>
      </c>
      <c r="U4105" t="n">
        <v>9</v>
      </c>
      <c r="V4105" t="n">
        <v>30</v>
      </c>
      <c r="W4105" t="n">
        <v>2</v>
      </c>
      <c r="X4105" t="n">
        <v>106.951871657754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12725</v>
      </c>
      <c r="AG4105" t="n">
        <v>2137</v>
      </c>
      <c r="AH4105" t="inlineStr">
        <is>
          <t>PT. SAMUDRA JAYA ANUGRAH - PPN (JMB)</t>
        </is>
      </c>
      <c r="AI4105" t="n">
        <v>1017</v>
      </c>
      <c r="AJ4105" t="inlineStr">
        <is>
          <t>SKINTIFIC</t>
        </is>
      </c>
      <c r="AK4105" t="n">
        <v>9</v>
      </c>
      <c r="AL4105" t="inlineStr">
        <is>
          <t>Miss Glam Jambi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SKINTIFIC</t>
        </is>
      </c>
      <c r="B4106" s="2">
        <f>"810114871331"</f>
        <v/>
      </c>
      <c r="C4106" t="inlineStr">
        <is>
          <t>SKINTIFIC Perfect Velvet Matte Cushion Refill 01 Vanila 11gr</t>
        </is>
      </c>
      <c r="D4106" t="inlineStr">
        <is>
          <t>Miss Glam Jambi</t>
        </is>
      </c>
      <c r="E4106" t="n">
        <v>2</v>
      </c>
      <c r="F4106" t="n">
        <v>0.1386</v>
      </c>
      <c r="G4106" t="n">
        <v>0.99</v>
      </c>
      <c r="H4106" t="n">
        <v>2</v>
      </c>
      <c r="I4106" t="n">
        <v>12</v>
      </c>
      <c r="J4106" t="n">
        <v>3</v>
      </c>
      <c r="K4106" t="n">
        <v>9</v>
      </c>
      <c r="L4106" t="n">
        <v>97394</v>
      </c>
      <c r="M4106" t="n">
        <v>129000</v>
      </c>
      <c r="N4106" t="n">
        <v>33</v>
      </c>
      <c r="O4106" t="n">
        <v>0.33</v>
      </c>
      <c r="P4106" t="n">
        <v>1</v>
      </c>
      <c r="Q4106" t="n">
        <v>0.19</v>
      </c>
      <c r="R4106" t="n">
        <v>1</v>
      </c>
      <c r="S4106" t="n">
        <v>17879.4</v>
      </c>
      <c r="T4106" t="n">
        <v>12</v>
      </c>
      <c r="U4106" t="n">
        <v>13</v>
      </c>
      <c r="V4106" t="n">
        <v>30</v>
      </c>
      <c r="W4106" t="n">
        <v>5</v>
      </c>
      <c r="X4106" t="n">
        <v>14.43001443001443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12725</v>
      </c>
      <c r="AG4106" t="n">
        <v>2137</v>
      </c>
      <c r="AH4106" t="inlineStr">
        <is>
          <t>PT. SAMUDRA JAYA ANUGRAH - PPN (JMB)</t>
        </is>
      </c>
      <c r="AI4106" t="n">
        <v>1017</v>
      </c>
      <c r="AJ4106" t="inlineStr">
        <is>
          <t>SKINTIFIC</t>
        </is>
      </c>
      <c r="AK4106" t="n">
        <v>9</v>
      </c>
      <c r="AL4106" t="inlineStr">
        <is>
          <t>Miss Glam Jambi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SKINTIFIC</t>
        </is>
      </c>
      <c r="B4107" s="2">
        <f>"810114871348"</f>
        <v/>
      </c>
      <c r="C4107" t="inlineStr">
        <is>
          <t>SKINTIFIC Perfect Velvet Matte Cushion Refill 02 Ivory 11gr</t>
        </is>
      </c>
      <c r="D4107" t="inlineStr">
        <is>
          <t>Miss Glam Jambi</t>
        </is>
      </c>
      <c r="E4107" t="n">
        <v>0</v>
      </c>
      <c r="F4107" t="n">
        <v>0.2574</v>
      </c>
      <c r="G4107" t="n">
        <v>0.99</v>
      </c>
      <c r="H4107" t="n">
        <v>2</v>
      </c>
      <c r="I4107" t="n">
        <v>12</v>
      </c>
      <c r="J4107" t="n">
        <v>3</v>
      </c>
      <c r="K4107" t="n">
        <v>10</v>
      </c>
      <c r="L4107" t="n">
        <v>93277</v>
      </c>
      <c r="M4107" t="n">
        <v>129000</v>
      </c>
      <c r="N4107" t="n">
        <v>33</v>
      </c>
      <c r="O4107" t="n">
        <v>0.33</v>
      </c>
      <c r="P4107" t="n">
        <v>1</v>
      </c>
      <c r="Q4107" t="n">
        <v>0.31</v>
      </c>
      <c r="R4107" t="n">
        <v>2</v>
      </c>
      <c r="S4107" t="n">
        <v>33204.60000000001</v>
      </c>
      <c r="T4107" t="n">
        <v>12</v>
      </c>
      <c r="U4107" t="n">
        <v>13</v>
      </c>
      <c r="V4107" t="n">
        <v>30</v>
      </c>
      <c r="W4107" t="n">
        <v>8</v>
      </c>
      <c r="X4107" t="n">
        <v>0</v>
      </c>
      <c r="Y4107" t="n">
        <v>1</v>
      </c>
      <c r="Z4107" t="n">
        <v>0</v>
      </c>
      <c r="AA4107" t="n">
        <v>3</v>
      </c>
      <c r="AB4107" t="n">
        <v>0</v>
      </c>
      <c r="AC4107" t="n">
        <v>0</v>
      </c>
      <c r="AD4107" t="n">
        <v>279831</v>
      </c>
      <c r="AE4107" t="n">
        <v>0</v>
      </c>
      <c r="AF4107" t="n">
        <v>12725</v>
      </c>
      <c r="AG4107" t="n">
        <v>2137</v>
      </c>
      <c r="AH4107" t="inlineStr">
        <is>
          <t>PT. SAMUDRA JAYA ANUGRAH - PPN (JMB)</t>
        </is>
      </c>
      <c r="AI4107" t="n">
        <v>1017</v>
      </c>
      <c r="AJ4107" t="inlineStr">
        <is>
          <t>SKINTIFIC</t>
        </is>
      </c>
      <c r="AK4107" t="n">
        <v>9</v>
      </c>
      <c r="AL4107" t="inlineStr">
        <is>
          <t>Miss Glam Jambi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SKINTIFIC</t>
        </is>
      </c>
      <c r="B4108" s="2">
        <f>"810114871355"</f>
        <v/>
      </c>
      <c r="C4108" t="inlineStr">
        <is>
          <t>SKINTIFIC Perfect Velvet Matte Cushion Refill 03 Petal 11gr</t>
        </is>
      </c>
      <c r="D4108" t="inlineStr">
        <is>
          <t>Miss Glam Jambi</t>
        </is>
      </c>
      <c r="E4108" t="n">
        <v>4</v>
      </c>
      <c r="F4108" t="n">
        <v>0.3465</v>
      </c>
      <c r="G4108" t="n">
        <v>1.65</v>
      </c>
      <c r="H4108" t="n">
        <v>2</v>
      </c>
      <c r="I4108" t="n">
        <v>12</v>
      </c>
      <c r="J4108" t="n">
        <v>3</v>
      </c>
      <c r="K4108" t="n">
        <v>6</v>
      </c>
      <c r="L4108" t="n">
        <v>96215</v>
      </c>
      <c r="M4108" t="n">
        <v>129000</v>
      </c>
      <c r="N4108" t="n">
        <v>33</v>
      </c>
      <c r="O4108" t="n">
        <v>0.33</v>
      </c>
      <c r="P4108" t="n">
        <v>1</v>
      </c>
      <c r="Q4108" t="n">
        <v>0.27</v>
      </c>
      <c r="R4108" t="n">
        <v>2</v>
      </c>
      <c r="S4108" t="n">
        <v>44698.50000000001</v>
      </c>
      <c r="T4108" t="n">
        <v>20</v>
      </c>
      <c r="U4108" t="n">
        <v>21</v>
      </c>
      <c r="V4108" t="n">
        <v>30</v>
      </c>
      <c r="W4108" t="n">
        <v>11</v>
      </c>
      <c r="X4108" t="n">
        <v>11.54401154401154</v>
      </c>
      <c r="Y4108" t="n">
        <v>1</v>
      </c>
      <c r="Z4108" t="n">
        <v>1</v>
      </c>
      <c r="AA4108" t="n">
        <v>0</v>
      </c>
      <c r="AB4108" t="n">
        <v>1</v>
      </c>
      <c r="AC4108" t="n">
        <v>3</v>
      </c>
      <c r="AD4108" t="n">
        <v>0</v>
      </c>
      <c r="AE4108" t="n">
        <v>288645</v>
      </c>
      <c r="AF4108" t="n">
        <v>12725</v>
      </c>
      <c r="AG4108" t="n">
        <v>2137</v>
      </c>
      <c r="AH4108" t="inlineStr">
        <is>
          <t>PT. SAMUDRA JAYA ANUGRAH - PPN (JMB)</t>
        </is>
      </c>
      <c r="AI4108" t="n">
        <v>1017</v>
      </c>
      <c r="AJ4108" t="inlineStr">
        <is>
          <t>SKINTIFIC</t>
        </is>
      </c>
      <c r="AK4108" t="n">
        <v>9</v>
      </c>
      <c r="AL4108" t="inlineStr">
        <is>
          <t>Miss Glam Jambi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SKINTIFIC</t>
        </is>
      </c>
      <c r="B4109" s="2">
        <f>"810114871362"</f>
        <v/>
      </c>
      <c r="C4109" t="inlineStr">
        <is>
          <t>SKINTIFIC Perfect Velvet Matte Cushion Refill 03A  Almond 11gr</t>
        </is>
      </c>
      <c r="D4109" t="inlineStr">
        <is>
          <t>Miss Glam Jambi</t>
        </is>
      </c>
      <c r="E4109" t="n">
        <v>3</v>
      </c>
      <c r="F4109" t="n">
        <v>0.1683</v>
      </c>
      <c r="G4109" t="n">
        <v>0.99</v>
      </c>
      <c r="H4109" t="n">
        <v>2</v>
      </c>
      <c r="I4109" t="n">
        <v>12</v>
      </c>
      <c r="J4109" t="n">
        <v>3</v>
      </c>
      <c r="K4109" t="n">
        <v>3</v>
      </c>
      <c r="L4109" t="n">
        <v>101717</v>
      </c>
      <c r="M4109" t="n">
        <v>129000</v>
      </c>
      <c r="N4109" t="n">
        <v>33</v>
      </c>
      <c r="O4109" t="n">
        <v>0.33</v>
      </c>
      <c r="P4109" t="n">
        <v>1</v>
      </c>
      <c r="Q4109" t="n">
        <v>0.07000000000000001</v>
      </c>
      <c r="R4109" t="n">
        <v>1</v>
      </c>
      <c r="S4109" t="n">
        <v>21710.7</v>
      </c>
      <c r="T4109" t="n">
        <v>12</v>
      </c>
      <c r="U4109" t="n">
        <v>13</v>
      </c>
      <c r="V4109" t="n">
        <v>30</v>
      </c>
      <c r="W4109" t="n">
        <v>6</v>
      </c>
      <c r="X4109" t="n">
        <v>17.825311942959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12725</v>
      </c>
      <c r="AG4109" t="n">
        <v>2137</v>
      </c>
      <c r="AH4109" t="inlineStr">
        <is>
          <t>PT. SAMUDRA JAYA ANUGRAH - PPN (JMB)</t>
        </is>
      </c>
      <c r="AI4109" t="n">
        <v>1017</v>
      </c>
      <c r="AJ4109" t="inlineStr">
        <is>
          <t>SKINTIFIC</t>
        </is>
      </c>
      <c r="AK4109" t="n">
        <v>9</v>
      </c>
      <c r="AL4109" t="inlineStr">
        <is>
          <t>Miss Glam Jambi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SKINTIFIC</t>
        </is>
      </c>
      <c r="B4110" s="2">
        <f>"810114871379"</f>
        <v/>
      </c>
      <c r="C4110" t="inlineStr">
        <is>
          <t>SKINTIFIC Perfect Velvet Matte Cushion Refill 04 Beige 11gr</t>
        </is>
      </c>
      <c r="D4110" t="inlineStr">
        <is>
          <t>Miss Glam Jambi</t>
        </is>
      </c>
      <c r="E4110" t="n">
        <v>4</v>
      </c>
      <c r="F4110" t="n">
        <v>0.08910000000000001</v>
      </c>
      <c r="G4110" t="n">
        <v>0.66</v>
      </c>
      <c r="H4110" t="n">
        <v>2</v>
      </c>
      <c r="I4110" t="n">
        <v>12</v>
      </c>
      <c r="J4110" t="n">
        <v>3</v>
      </c>
      <c r="K4110" t="n">
        <v>0</v>
      </c>
      <c r="L4110" t="n">
        <v>101717</v>
      </c>
      <c r="M4110" t="n">
        <v>129000</v>
      </c>
      <c r="N4110" t="n">
        <v>33</v>
      </c>
      <c r="O4110" t="n">
        <v>0.33</v>
      </c>
      <c r="P4110" t="n">
        <v>1</v>
      </c>
      <c r="Q4110" t="n">
        <v>0.03</v>
      </c>
      <c r="R4110" t="n">
        <v>1</v>
      </c>
      <c r="S4110" t="n">
        <v>11493.9</v>
      </c>
      <c r="T4110" t="n">
        <v>8</v>
      </c>
      <c r="U4110" t="n">
        <v>9</v>
      </c>
      <c r="V4110" t="n">
        <v>30</v>
      </c>
      <c r="W4110" t="n">
        <v>3</v>
      </c>
      <c r="X4110" t="n">
        <v>44.89337822671155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12725</v>
      </c>
      <c r="AG4110" t="n">
        <v>2137</v>
      </c>
      <c r="AH4110" t="inlineStr">
        <is>
          <t>PT. SAMUDRA JAYA ANUGRAH - PPN (JMB)</t>
        </is>
      </c>
      <c r="AI4110" t="n">
        <v>1017</v>
      </c>
      <c r="AJ4110" t="inlineStr">
        <is>
          <t>SKINTIFIC</t>
        </is>
      </c>
      <c r="AK4110" t="n">
        <v>9</v>
      </c>
      <c r="AL4110" t="inlineStr">
        <is>
          <t>Miss Glam Jambi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SKINTIFIC</t>
        </is>
      </c>
      <c r="B4111" s="2">
        <f>"810114870686"</f>
        <v/>
      </c>
      <c r="C4111" t="inlineStr">
        <is>
          <t>SKINTIFIC Pure Centella Acne Calming Toner 80ml</t>
        </is>
      </c>
      <c r="D4111" t="inlineStr">
        <is>
          <t>Miss Glam Jambi</t>
        </is>
      </c>
      <c r="E4111" t="n">
        <v>3</v>
      </c>
      <c r="F4111" t="n">
        <v>0.06270000000000001</v>
      </c>
      <c r="G4111" t="n">
        <v>0.99</v>
      </c>
      <c r="H4111" t="n">
        <v>2</v>
      </c>
      <c r="I4111" t="n">
        <v>12</v>
      </c>
      <c r="J4111" t="n">
        <v>3</v>
      </c>
      <c r="K4111" t="n">
        <v>0</v>
      </c>
      <c r="L4111" t="n">
        <v>99176</v>
      </c>
      <c r="M4111" t="n">
        <v>128800</v>
      </c>
      <c r="N4111" t="n">
        <v>33</v>
      </c>
      <c r="O4111" t="n">
        <v>0.33</v>
      </c>
      <c r="P4111" t="n">
        <v>1</v>
      </c>
      <c r="Q4111" t="n">
        <v>0.02</v>
      </c>
      <c r="R4111" t="n">
        <v>1</v>
      </c>
      <c r="S4111" t="n">
        <v>8075.760000000001</v>
      </c>
      <c r="T4111" t="n">
        <v>12</v>
      </c>
      <c r="U4111" t="n">
        <v>13</v>
      </c>
      <c r="V4111" t="n">
        <v>30</v>
      </c>
      <c r="W4111" t="n">
        <v>2</v>
      </c>
      <c r="X4111" t="n">
        <v>47.84688995215311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12725</v>
      </c>
      <c r="AG4111" t="n">
        <v>2137</v>
      </c>
      <c r="AH4111" t="inlineStr">
        <is>
          <t>PT. SAMUDRA JAYA ANUGRAH - PPN (JMB)</t>
        </is>
      </c>
      <c r="AI4111" t="n">
        <v>1017</v>
      </c>
      <c r="AJ4111" t="inlineStr">
        <is>
          <t>SKINTIFIC</t>
        </is>
      </c>
      <c r="AK4111" t="n">
        <v>9</v>
      </c>
      <c r="AL4111" t="inlineStr">
        <is>
          <t>Miss Glam Jambi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SKINTIFIC</t>
        </is>
      </c>
      <c r="B4112" s="2">
        <f>"20101208205"</f>
        <v/>
      </c>
      <c r="C4112" t="inlineStr">
        <is>
          <t>SKINTIFIC Radiance Booster Serum Spray 100ml</t>
        </is>
      </c>
      <c r="D4112" t="inlineStr">
        <is>
          <t>Miss Glam Jambi</t>
        </is>
      </c>
      <c r="E4112" t="n">
        <v>12</v>
      </c>
      <c r="F4112" t="n">
        <v>0.6039000000000001</v>
      </c>
      <c r="G4112" t="n">
        <v>1.98</v>
      </c>
      <c r="H4112" t="n">
        <v>2</v>
      </c>
      <c r="I4112" t="n">
        <v>12</v>
      </c>
      <c r="J4112" t="n">
        <v>1</v>
      </c>
      <c r="K4112" t="n">
        <v>12</v>
      </c>
      <c r="L4112" t="n">
        <v>102517</v>
      </c>
      <c r="M4112" t="n">
        <v>134000</v>
      </c>
      <c r="N4112" t="n">
        <v>33</v>
      </c>
      <c r="O4112" t="n">
        <v>0.33</v>
      </c>
      <c r="P4112" t="n">
        <v>1</v>
      </c>
      <c r="Q4112" t="n">
        <v>0.78</v>
      </c>
      <c r="R4112" t="n">
        <v>5</v>
      </c>
      <c r="S4112" t="n">
        <v>80922.60000000002</v>
      </c>
      <c r="T4112" t="n">
        <v>23</v>
      </c>
      <c r="U4112" t="n">
        <v>25</v>
      </c>
      <c r="V4112" t="n">
        <v>30</v>
      </c>
      <c r="W4112" t="n">
        <v>19</v>
      </c>
      <c r="X4112" t="n">
        <v>19.87083954297069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12725</v>
      </c>
      <c r="AG4112" t="n">
        <v>2137</v>
      </c>
      <c r="AH4112" t="inlineStr">
        <is>
          <t>PT. SAMUDRA JAYA ANUGRAH - PPN (JMB)</t>
        </is>
      </c>
      <c r="AI4112" t="n">
        <v>1017</v>
      </c>
      <c r="AJ4112" t="inlineStr">
        <is>
          <t>SKINTIFIC</t>
        </is>
      </c>
      <c r="AK4112" t="n">
        <v>9</v>
      </c>
      <c r="AL4112" t="inlineStr">
        <is>
          <t>Miss Glam Jambi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SKINTIFIC</t>
        </is>
      </c>
      <c r="B4113" s="2">
        <f>"810114871409"</f>
        <v/>
      </c>
      <c r="C4113" t="inlineStr">
        <is>
          <t>SKINTIFIC Retinol SKin Renewal Moisturizer 30gr</t>
        </is>
      </c>
      <c r="D4113" t="inlineStr">
        <is>
          <t>Miss Glam Jambi</t>
        </is>
      </c>
      <c r="E4113" t="n">
        <v>4</v>
      </c>
      <c r="F4113" t="n">
        <v>0.033</v>
      </c>
      <c r="G4113" t="n">
        <v>0.33</v>
      </c>
      <c r="H4113" t="n">
        <v>2</v>
      </c>
      <c r="I4113" t="n">
        <v>12</v>
      </c>
      <c r="J4113" t="n">
        <v>3</v>
      </c>
      <c r="K4113" t="n">
        <v>0</v>
      </c>
      <c r="L4113" t="n">
        <v>114650</v>
      </c>
      <c r="M4113" t="n">
        <v>154200</v>
      </c>
      <c r="N4113" t="n">
        <v>33</v>
      </c>
      <c r="O4113" t="n">
        <v>0.33</v>
      </c>
      <c r="P4113" t="n">
        <v>1</v>
      </c>
      <c r="Q4113" t="n">
        <v>0.24</v>
      </c>
      <c r="R4113" t="n">
        <v>1</v>
      </c>
      <c r="S4113" t="n">
        <v>5088.6</v>
      </c>
      <c r="T4113" t="n">
        <v>4</v>
      </c>
      <c r="U4113" t="n">
        <v>5</v>
      </c>
      <c r="V4113" t="n">
        <v>30</v>
      </c>
      <c r="W4113" t="n">
        <v>1</v>
      </c>
      <c r="X4113" t="n">
        <v>121.2121212121212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12725</v>
      </c>
      <c r="AG4113" t="n">
        <v>2137</v>
      </c>
      <c r="AH4113" t="inlineStr">
        <is>
          <t>PT. SAMUDRA JAYA ANUGRAH - PPN (JMB)</t>
        </is>
      </c>
      <c r="AI4113" t="n">
        <v>1017</v>
      </c>
      <c r="AJ4113" t="inlineStr">
        <is>
          <t>SKINTIFIC</t>
        </is>
      </c>
      <c r="AK4113" t="n">
        <v>9</v>
      </c>
      <c r="AL4113" t="inlineStr">
        <is>
          <t>Miss Glam Jambi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SKINTIFIC</t>
        </is>
      </c>
      <c r="B4114" s="2">
        <f>"810114871201"</f>
        <v/>
      </c>
      <c r="C4114" t="inlineStr">
        <is>
          <t>SKINTIFIC Retinol Skin Renewal Serum 20ml</t>
        </is>
      </c>
      <c r="D4114" t="inlineStr">
        <is>
          <t>Miss Glam Jambi</t>
        </is>
      </c>
      <c r="E4114" t="n">
        <v>12</v>
      </c>
      <c r="F4114" t="n">
        <v>0.2343</v>
      </c>
      <c r="G4114" t="n">
        <v>1.32</v>
      </c>
      <c r="H4114" t="n">
        <v>2</v>
      </c>
      <c r="I4114" t="n">
        <v>12</v>
      </c>
      <c r="J4114" t="n">
        <v>3</v>
      </c>
      <c r="K4114" t="n">
        <v>0</v>
      </c>
      <c r="L4114" t="n">
        <v>107171</v>
      </c>
      <c r="M4114" t="n">
        <v>148500</v>
      </c>
      <c r="N4114" t="n">
        <v>33</v>
      </c>
      <c r="O4114" t="n">
        <v>0.33</v>
      </c>
      <c r="P4114" t="n">
        <v>1</v>
      </c>
      <c r="Q4114" t="n">
        <v>0.32</v>
      </c>
      <c r="R4114" t="n">
        <v>2</v>
      </c>
      <c r="S4114" t="n">
        <v>34793.55</v>
      </c>
      <c r="T4114" t="n">
        <v>16</v>
      </c>
      <c r="U4114" t="n">
        <v>17</v>
      </c>
      <c r="V4114" t="n">
        <v>30</v>
      </c>
      <c r="W4114" t="n">
        <v>8</v>
      </c>
      <c r="X4114" t="n">
        <v>51.21638924455826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12725</v>
      </c>
      <c r="AG4114" t="n">
        <v>2137</v>
      </c>
      <c r="AH4114" t="inlineStr">
        <is>
          <t>PT. SAMUDRA JAYA ANUGRAH - PPN (JMB)</t>
        </is>
      </c>
      <c r="AI4114" t="n">
        <v>1017</v>
      </c>
      <c r="AJ4114" t="inlineStr">
        <is>
          <t>SKINTIFIC</t>
        </is>
      </c>
      <c r="AK4114" t="n">
        <v>9</v>
      </c>
      <c r="AL4114" t="inlineStr">
        <is>
          <t>Miss Glam Jambi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SKINTIFIC</t>
        </is>
      </c>
      <c r="B4115" s="2">
        <f>"10300722716"</f>
        <v/>
      </c>
      <c r="C4115" t="inlineStr">
        <is>
          <t>SKINTIFIC Sensitive Moisture Gel 40ml</t>
        </is>
      </c>
      <c r="D4115" t="inlineStr">
        <is>
          <t>Miss Glam Jambi</t>
        </is>
      </c>
      <c r="E4115" t="n">
        <v>6</v>
      </c>
      <c r="F4115" t="n">
        <v>0.0495</v>
      </c>
      <c r="G4115" t="n">
        <v>0.66</v>
      </c>
      <c r="H4115" t="n">
        <v>2</v>
      </c>
      <c r="I4115" t="n">
        <v>12</v>
      </c>
      <c r="J4115" t="n">
        <v>1</v>
      </c>
      <c r="K4115" t="n">
        <v>0</v>
      </c>
      <c r="L4115" t="n">
        <v>127350</v>
      </c>
      <c r="M4115" t="n">
        <v>159500</v>
      </c>
      <c r="N4115" t="n">
        <v>33</v>
      </c>
      <c r="O4115" t="n">
        <v>0.33</v>
      </c>
      <c r="P4115" t="n">
        <v>1</v>
      </c>
      <c r="Q4115" t="n">
        <v>0.1</v>
      </c>
      <c r="R4115" t="n">
        <v>2</v>
      </c>
      <c r="S4115" t="n">
        <v>7895.25</v>
      </c>
      <c r="T4115" t="n">
        <v>8</v>
      </c>
      <c r="U4115" t="n">
        <v>9</v>
      </c>
      <c r="V4115" t="n">
        <v>30</v>
      </c>
      <c r="W4115" t="n">
        <v>2</v>
      </c>
      <c r="X4115" t="n">
        <v>121.2121212121212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12725</v>
      </c>
      <c r="AG4115" t="n">
        <v>2137</v>
      </c>
      <c r="AH4115" t="inlineStr">
        <is>
          <t>PT. SAMUDRA JAYA ANUGRAH - PPN (JMB)</t>
        </is>
      </c>
      <c r="AI4115" t="n">
        <v>1017</v>
      </c>
      <c r="AJ4115" t="inlineStr">
        <is>
          <t>SKINTIFIC</t>
        </is>
      </c>
      <c r="AK4115" t="n">
        <v>9</v>
      </c>
      <c r="AL4115" t="inlineStr">
        <is>
          <t>Miss Glam Jambi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SKINTIFIC</t>
        </is>
      </c>
      <c r="B4116" s="2">
        <f>"7554411569524"</f>
        <v/>
      </c>
      <c r="C4116" t="inlineStr">
        <is>
          <t>SKINTIFIC SymWhite 377 Dark Spot Eraser Serum 20ml</t>
        </is>
      </c>
      <c r="D4116" t="inlineStr">
        <is>
          <t>Miss Glam Jambi</t>
        </is>
      </c>
      <c r="E4116" t="n">
        <v>10</v>
      </c>
      <c r="F4116" t="n">
        <v>0.4125</v>
      </c>
      <c r="G4116" t="n">
        <v>1.32</v>
      </c>
      <c r="H4116" t="n">
        <v>2</v>
      </c>
      <c r="I4116" t="n">
        <v>12</v>
      </c>
      <c r="J4116" t="n">
        <v>3</v>
      </c>
      <c r="K4116" t="n">
        <v>9</v>
      </c>
      <c r="L4116" t="n">
        <v>118733</v>
      </c>
      <c r="M4116" t="n">
        <v>154200</v>
      </c>
      <c r="N4116" t="n">
        <v>33</v>
      </c>
      <c r="O4116" t="n">
        <v>0.33</v>
      </c>
      <c r="P4116" t="n">
        <v>1</v>
      </c>
      <c r="Q4116" t="n">
        <v>0.51</v>
      </c>
      <c r="R4116" t="n">
        <v>2</v>
      </c>
      <c r="S4116" t="n">
        <v>63607.50000000001</v>
      </c>
      <c r="T4116" t="n">
        <v>16</v>
      </c>
      <c r="U4116" t="n">
        <v>17</v>
      </c>
      <c r="V4116" t="n">
        <v>30</v>
      </c>
      <c r="W4116" t="n">
        <v>13</v>
      </c>
      <c r="X4116" t="n">
        <v>24.24242424242424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12725</v>
      </c>
      <c r="AG4116" t="n">
        <v>2137</v>
      </c>
      <c r="AH4116" t="inlineStr">
        <is>
          <t>PT. SAMUDRA JAYA ANUGRAH - PPN (JMB)</t>
        </is>
      </c>
      <c r="AI4116" t="n">
        <v>1017</v>
      </c>
      <c r="AJ4116" t="inlineStr">
        <is>
          <t>SKINTIFIC</t>
        </is>
      </c>
      <c r="AK4116" t="n">
        <v>9</v>
      </c>
      <c r="AL4116" t="inlineStr">
        <is>
          <t>Miss Glam Jambi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SKINTIFIC</t>
        </is>
      </c>
      <c r="B4117" s="2">
        <f>"810114870716"</f>
        <v/>
      </c>
      <c r="C4117" t="inlineStr">
        <is>
          <t>SKINTIFIC Symwhite 377 Dark Spot Moisture Gel 30gr</t>
        </is>
      </c>
      <c r="D4117" t="inlineStr">
        <is>
          <t>Miss Glam Jambi</t>
        </is>
      </c>
      <c r="E4117" t="n">
        <v>18</v>
      </c>
      <c r="F4117" t="n">
        <v>0.7722</v>
      </c>
      <c r="G4117" t="n">
        <v>3.3</v>
      </c>
      <c r="H4117" t="n">
        <v>2</v>
      </c>
      <c r="I4117" t="n">
        <v>12</v>
      </c>
      <c r="J4117" t="n">
        <v>3</v>
      </c>
      <c r="K4117" t="n">
        <v>29</v>
      </c>
      <c r="L4117" t="n">
        <v>114731</v>
      </c>
      <c r="M4117" t="n">
        <v>154200</v>
      </c>
      <c r="N4117" t="n">
        <v>33</v>
      </c>
      <c r="O4117" t="n">
        <v>0.33</v>
      </c>
      <c r="P4117" t="n">
        <v>1</v>
      </c>
      <c r="Q4117" t="n">
        <v>0.97</v>
      </c>
      <c r="R4117" t="n">
        <v>5</v>
      </c>
      <c r="S4117" t="n">
        <v>119073.24</v>
      </c>
      <c r="T4117" t="n">
        <v>39</v>
      </c>
      <c r="U4117" t="n">
        <v>41</v>
      </c>
      <c r="V4117" t="n">
        <v>30</v>
      </c>
      <c r="W4117" t="n">
        <v>24</v>
      </c>
      <c r="X4117" t="n">
        <v>23.31002331002331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12725</v>
      </c>
      <c r="AG4117" t="n">
        <v>2137</v>
      </c>
      <c r="AH4117" t="inlineStr">
        <is>
          <t>PT. SAMUDRA JAYA ANUGRAH - PPN (JMB)</t>
        </is>
      </c>
      <c r="AI4117" t="n">
        <v>1017</v>
      </c>
      <c r="AJ4117" t="inlineStr">
        <is>
          <t>SKINTIFIC</t>
        </is>
      </c>
      <c r="AK4117" t="n">
        <v>9</v>
      </c>
      <c r="AL4117" t="inlineStr">
        <is>
          <t>Miss Glam Jambi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SKINTIFIC</t>
        </is>
      </c>
      <c r="B4118" s="2">
        <f>"810114870464"</f>
        <v/>
      </c>
      <c r="C4118" t="inlineStr">
        <is>
          <t>SKINTIFIC Truffle Biome Skin Cream Gel Moisturizer 30gr</t>
        </is>
      </c>
      <c r="D4118" t="inlineStr">
        <is>
          <t>Miss Glam Jambi</t>
        </is>
      </c>
      <c r="E4118" t="n">
        <v>2</v>
      </c>
      <c r="F4118" t="n">
        <v>0.066</v>
      </c>
      <c r="G4118" t="n">
        <v>0.66</v>
      </c>
      <c r="H4118" t="n">
        <v>2</v>
      </c>
      <c r="I4118" t="n">
        <v>12</v>
      </c>
      <c r="J4118" t="n">
        <v>3</v>
      </c>
      <c r="K4118" t="n">
        <v>6</v>
      </c>
      <c r="L4118" t="n">
        <v>127350</v>
      </c>
      <c r="M4118" t="n">
        <v>165400</v>
      </c>
      <c r="N4118" t="n">
        <v>33</v>
      </c>
      <c r="O4118" t="n">
        <v>0.33</v>
      </c>
      <c r="P4118" t="n">
        <v>1</v>
      </c>
      <c r="Q4118" t="n">
        <v>0.1</v>
      </c>
      <c r="R4118" t="n">
        <v>2</v>
      </c>
      <c r="S4118" t="n">
        <v>10916.4</v>
      </c>
      <c r="T4118" t="n">
        <v>8</v>
      </c>
      <c r="U4118" t="n">
        <v>9</v>
      </c>
      <c r="V4118" t="n">
        <v>30</v>
      </c>
      <c r="W4118" t="n">
        <v>2</v>
      </c>
      <c r="X4118" t="n">
        <v>30.3030303030303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12725</v>
      </c>
      <c r="AG4118" t="n">
        <v>2137</v>
      </c>
      <c r="AH4118" t="inlineStr">
        <is>
          <t>PT. SAMUDRA JAYA ANUGRAH - PPN (JMB)</t>
        </is>
      </c>
      <c r="AI4118" t="n">
        <v>1017</v>
      </c>
      <c r="AJ4118" t="inlineStr">
        <is>
          <t>SKINTIFIC</t>
        </is>
      </c>
      <c r="AK4118" t="n">
        <v>9</v>
      </c>
      <c r="AL4118" t="inlineStr">
        <is>
          <t>Miss Glam Jambi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SKINTIFIC</t>
        </is>
      </c>
      <c r="B4119" s="2">
        <f>"810114872451"</f>
        <v/>
      </c>
      <c r="C4119" t="inlineStr">
        <is>
          <t>SKINTIFIC Ultra Cover Powder Foundation 01 Vanilla 9gr</t>
        </is>
      </c>
      <c r="D4119" t="inlineStr">
        <is>
          <t>Miss Glam Jambi</t>
        </is>
      </c>
      <c r="E4119" t="n">
        <v>6</v>
      </c>
      <c r="F4119" t="n">
        <v>0.07920000000000001</v>
      </c>
      <c r="G4119" t="n">
        <v>0.66</v>
      </c>
      <c r="H4119" t="n">
        <v>2</v>
      </c>
      <c r="I4119" t="n">
        <v>12</v>
      </c>
      <c r="J4119" t="n">
        <v>3</v>
      </c>
      <c r="K4119" t="n">
        <v>0</v>
      </c>
      <c r="L4119" t="n">
        <v>127350</v>
      </c>
      <c r="M4119" t="n">
        <v>159500</v>
      </c>
      <c r="N4119" t="n">
        <v>33</v>
      </c>
      <c r="O4119" t="n">
        <v>0.33</v>
      </c>
      <c r="P4119" t="n">
        <v>1</v>
      </c>
      <c r="Q4119" t="n">
        <v>0.08</v>
      </c>
      <c r="R4119" t="n">
        <v>2</v>
      </c>
      <c r="S4119" t="n">
        <v>12632.4</v>
      </c>
      <c r="T4119" t="n">
        <v>8</v>
      </c>
      <c r="U4119" t="n">
        <v>9</v>
      </c>
      <c r="V4119" t="n">
        <v>30</v>
      </c>
      <c r="W4119" t="n">
        <v>3</v>
      </c>
      <c r="X4119" t="n">
        <v>75.75757575757575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12725</v>
      </c>
      <c r="AG4119" t="n">
        <v>2137</v>
      </c>
      <c r="AH4119" t="inlineStr">
        <is>
          <t>PT. SAMUDRA JAYA ANUGRAH - PPN (JMB)</t>
        </is>
      </c>
      <c r="AI4119" t="n">
        <v>1017</v>
      </c>
      <c r="AJ4119" t="inlineStr">
        <is>
          <t>SKINTIFIC</t>
        </is>
      </c>
      <c r="AK4119" t="n">
        <v>9</v>
      </c>
      <c r="AL4119" t="inlineStr">
        <is>
          <t>Miss Glam Jambi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SKINTIFIC</t>
        </is>
      </c>
      <c r="B4120" s="2">
        <f>"810114872468"</f>
        <v/>
      </c>
      <c r="C4120" t="inlineStr">
        <is>
          <t>SKINTIFIC Ultra Cover Powder Foundation 02 Ivory 9gr</t>
        </is>
      </c>
      <c r="D4120" t="inlineStr">
        <is>
          <t>Miss Glam Jambi</t>
        </is>
      </c>
      <c r="E4120" t="n">
        <v>8</v>
      </c>
      <c r="F4120" t="n">
        <v>0.1848</v>
      </c>
      <c r="G4120" t="n">
        <v>1.32</v>
      </c>
      <c r="H4120" t="n">
        <v>2</v>
      </c>
      <c r="I4120" t="n">
        <v>12</v>
      </c>
      <c r="J4120" t="n">
        <v>3</v>
      </c>
      <c r="K4120" t="n">
        <v>0</v>
      </c>
      <c r="L4120" t="n">
        <v>114731</v>
      </c>
      <c r="M4120" t="n">
        <v>159500</v>
      </c>
      <c r="N4120" t="n">
        <v>33</v>
      </c>
      <c r="O4120" t="n">
        <v>0.33</v>
      </c>
      <c r="P4120" t="n">
        <v>1</v>
      </c>
      <c r="Q4120" t="n">
        <v>0.36</v>
      </c>
      <c r="R4120" t="n">
        <v>3</v>
      </c>
      <c r="S4120" t="n">
        <v>29475.6</v>
      </c>
      <c r="T4120" t="n">
        <v>16</v>
      </c>
      <c r="U4120" t="n">
        <v>17</v>
      </c>
      <c r="V4120" t="n">
        <v>30</v>
      </c>
      <c r="W4120" t="n">
        <v>6</v>
      </c>
      <c r="X4120" t="n">
        <v>43.29004329004329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12725</v>
      </c>
      <c r="AG4120" t="n">
        <v>2137</v>
      </c>
      <c r="AH4120" t="inlineStr">
        <is>
          <t>PT. SAMUDRA JAYA ANUGRAH - PPN (JMB)</t>
        </is>
      </c>
      <c r="AI4120" t="n">
        <v>1017</v>
      </c>
      <c r="AJ4120" t="inlineStr">
        <is>
          <t>SKINTIFIC</t>
        </is>
      </c>
      <c r="AK4120" t="n">
        <v>9</v>
      </c>
      <c r="AL4120" t="inlineStr">
        <is>
          <t>Miss Glam Jambi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SKINTIFIC</t>
        </is>
      </c>
      <c r="B4121" s="2">
        <f>"810114872475"</f>
        <v/>
      </c>
      <c r="C4121" t="inlineStr">
        <is>
          <t>SKINTIFIC Ultra Cover Powder Foundation 03 Petal 9gr</t>
        </is>
      </c>
      <c r="D4121" t="inlineStr">
        <is>
          <t>Miss Glam Jambi</t>
        </is>
      </c>
      <c r="E4121" t="n">
        <v>0</v>
      </c>
      <c r="F4121" t="n">
        <v>0.3663000000000001</v>
      </c>
      <c r="G4121" t="n">
        <v>1.32</v>
      </c>
      <c r="H4121" t="n">
        <v>2</v>
      </c>
      <c r="I4121" t="n">
        <v>12</v>
      </c>
      <c r="J4121" t="n">
        <v>3</v>
      </c>
      <c r="K4121" t="n">
        <v>12</v>
      </c>
      <c r="L4121" t="n">
        <v>127391</v>
      </c>
      <c r="M4121" t="n">
        <v>159500</v>
      </c>
      <c r="N4121" t="n">
        <v>33</v>
      </c>
      <c r="O4121" t="n">
        <v>0.33</v>
      </c>
      <c r="P4121" t="n">
        <v>1</v>
      </c>
      <c r="Q4121" t="n">
        <v>0.15</v>
      </c>
      <c r="R4121" t="n">
        <v>1</v>
      </c>
      <c r="S4121" t="n">
        <v>58424.85000000001</v>
      </c>
      <c r="T4121" t="n">
        <v>16</v>
      </c>
      <c r="U4121" t="n">
        <v>17</v>
      </c>
      <c r="V4121" t="n">
        <v>30</v>
      </c>
      <c r="W4121" t="n">
        <v>11</v>
      </c>
      <c r="X4121" t="n">
        <v>0</v>
      </c>
      <c r="Y4121" t="n">
        <v>1</v>
      </c>
      <c r="Z4121" t="n">
        <v>0</v>
      </c>
      <c r="AA4121" t="n">
        <v>4</v>
      </c>
      <c r="AB4121" t="n">
        <v>0</v>
      </c>
      <c r="AC4121" t="n">
        <v>0</v>
      </c>
      <c r="AD4121" t="n">
        <v>509564</v>
      </c>
      <c r="AE4121" t="n">
        <v>0</v>
      </c>
      <c r="AF4121" t="n">
        <v>12725</v>
      </c>
      <c r="AG4121" t="n">
        <v>2137</v>
      </c>
      <c r="AH4121" t="inlineStr">
        <is>
          <t>PT. SAMUDRA JAYA ANUGRAH - PPN (JMB)</t>
        </is>
      </c>
      <c r="AI4121" t="n">
        <v>1017</v>
      </c>
      <c r="AJ4121" t="inlineStr">
        <is>
          <t>SKINTIFIC</t>
        </is>
      </c>
      <c r="AK4121" t="n">
        <v>9</v>
      </c>
      <c r="AL4121" t="inlineStr">
        <is>
          <t>Miss Glam Jambi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SKINTIFIC</t>
        </is>
      </c>
      <c r="B4122" s="2">
        <f>"810114872482"</f>
        <v/>
      </c>
      <c r="C4122" t="inlineStr">
        <is>
          <t>SKINTIFIC Ultra Cover Powder Foundation 03A Almond 9gr</t>
        </is>
      </c>
      <c r="D4122" t="inlineStr">
        <is>
          <t>Miss Glam Jambi</t>
        </is>
      </c>
      <c r="E4122" t="n">
        <v>4</v>
      </c>
      <c r="F4122" t="n">
        <v>0.1122</v>
      </c>
      <c r="G4122" t="n">
        <v>0.66</v>
      </c>
      <c r="H4122" t="n">
        <v>2</v>
      </c>
      <c r="I4122" t="n">
        <v>12</v>
      </c>
      <c r="J4122" t="n">
        <v>3</v>
      </c>
      <c r="K4122" t="n">
        <v>0</v>
      </c>
      <c r="L4122" t="n">
        <v>117878</v>
      </c>
      <c r="M4122" t="n">
        <v>159500</v>
      </c>
      <c r="N4122" t="n">
        <v>33</v>
      </c>
      <c r="O4122" t="n">
        <v>0.33</v>
      </c>
      <c r="P4122" t="n">
        <v>1</v>
      </c>
      <c r="Q4122" t="n">
        <v>0.1</v>
      </c>
      <c r="R4122" t="n">
        <v>1</v>
      </c>
      <c r="S4122" t="n">
        <v>17895.9</v>
      </c>
      <c r="T4122" t="n">
        <v>8</v>
      </c>
      <c r="U4122" t="n">
        <v>9</v>
      </c>
      <c r="V4122" t="n">
        <v>30</v>
      </c>
      <c r="W4122" t="n">
        <v>4</v>
      </c>
      <c r="X4122" t="n">
        <v>35.650623885918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12725</v>
      </c>
      <c r="AG4122" t="n">
        <v>2137</v>
      </c>
      <c r="AH4122" t="inlineStr">
        <is>
          <t>PT. SAMUDRA JAYA ANUGRAH - PPN (JMB)</t>
        </is>
      </c>
      <c r="AI4122" t="n">
        <v>1017</v>
      </c>
      <c r="AJ4122" t="inlineStr">
        <is>
          <t>SKINTIFIC</t>
        </is>
      </c>
      <c r="AK4122" t="n">
        <v>9</v>
      </c>
      <c r="AL4122" t="inlineStr">
        <is>
          <t>Miss Glam Jambi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SKINTIFIC</t>
        </is>
      </c>
      <c r="B4123" s="2">
        <f>"7554411572876"</f>
        <v/>
      </c>
      <c r="C4123" t="inlineStr">
        <is>
          <t>SKINTIFIC White Truffle Cleansing Essence 80ml</t>
        </is>
      </c>
      <c r="D4123" t="inlineStr">
        <is>
          <t>Miss Glam Jambi</t>
        </is>
      </c>
      <c r="E4123" t="n">
        <v>7</v>
      </c>
      <c r="F4123" t="n">
        <v>0.1617</v>
      </c>
      <c r="G4123" t="n">
        <v>0.66</v>
      </c>
      <c r="H4123" t="n">
        <v>2</v>
      </c>
      <c r="I4123" t="n">
        <v>12</v>
      </c>
      <c r="J4123" t="n">
        <v>3</v>
      </c>
      <c r="K4123" t="n">
        <v>0</v>
      </c>
      <c r="L4123" t="n">
        <v>78467</v>
      </c>
      <c r="M4123" t="n">
        <v>109900</v>
      </c>
      <c r="N4123" t="n">
        <v>33</v>
      </c>
      <c r="O4123" t="n">
        <v>0.33</v>
      </c>
      <c r="P4123" t="n">
        <v>1</v>
      </c>
      <c r="Q4123" t="n">
        <v>0.24</v>
      </c>
      <c r="R4123" t="n">
        <v>3</v>
      </c>
      <c r="S4123" t="n">
        <v>17770.83</v>
      </c>
      <c r="T4123" t="n">
        <v>8</v>
      </c>
      <c r="U4123" t="n">
        <v>9</v>
      </c>
      <c r="V4123" t="n">
        <v>30</v>
      </c>
      <c r="W4123" t="n">
        <v>5</v>
      </c>
      <c r="X4123" t="n">
        <v>43.29004329004329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12725</v>
      </c>
      <c r="AG4123" t="n">
        <v>2137</v>
      </c>
      <c r="AH4123" t="inlineStr">
        <is>
          <t>PT. SAMUDRA JAYA ANUGRAH - PPN (JMB)</t>
        </is>
      </c>
      <c r="AI4123" t="n">
        <v>1017</v>
      </c>
      <c r="AJ4123" t="inlineStr">
        <is>
          <t>SKINTIFIC</t>
        </is>
      </c>
      <c r="AK4123" t="n">
        <v>9</v>
      </c>
      <c r="AL4123" t="inlineStr">
        <is>
          <t>Miss Glam Jambi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SKINTIFIC</t>
        </is>
      </c>
      <c r="B4124" s="2">
        <f>"101001109824"</f>
        <v/>
      </c>
      <c r="C4124" t="inlineStr">
        <is>
          <t>SKINTIFlC Sensitive Soothe Cleanser 120ml</t>
        </is>
      </c>
      <c r="D4124" t="inlineStr">
        <is>
          <t>Miss Glam Jambi</t>
        </is>
      </c>
      <c r="E4124" t="n">
        <v>4</v>
      </c>
      <c r="F4124" t="n">
        <v>0.009900000000000001</v>
      </c>
      <c r="G4124" t="n">
        <v>0.33</v>
      </c>
      <c r="H4124" t="n">
        <v>2</v>
      </c>
      <c r="I4124" t="n">
        <v>12</v>
      </c>
      <c r="J4124" t="n">
        <v>1</v>
      </c>
      <c r="K4124" t="n">
        <v>0</v>
      </c>
      <c r="L4124" t="n">
        <v>84615</v>
      </c>
      <c r="M4124" t="n">
        <v>99000</v>
      </c>
      <c r="N4124" t="n">
        <v>33</v>
      </c>
      <c r="O4124" t="n">
        <v>0.33</v>
      </c>
      <c r="P4124" t="n">
        <v>1</v>
      </c>
      <c r="Q4124" t="n">
        <v>0.08</v>
      </c>
      <c r="R4124" t="n">
        <v>2</v>
      </c>
      <c r="S4124" t="n">
        <v>980.1000000000001</v>
      </c>
      <c r="T4124" t="n">
        <v>4</v>
      </c>
      <c r="U4124" t="n">
        <v>5</v>
      </c>
      <c r="V4124" t="n">
        <v>30</v>
      </c>
      <c r="W4124" t="n">
        <v>1</v>
      </c>
      <c r="X4124" t="n">
        <v>404.040404040404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12725</v>
      </c>
      <c r="AG4124" t="n">
        <v>2137</v>
      </c>
      <c r="AH4124" t="inlineStr">
        <is>
          <t>PT. SAMUDRA JAYA ANUGRAH - PPN (JMB)</t>
        </is>
      </c>
      <c r="AI4124" t="n">
        <v>1017</v>
      </c>
      <c r="AJ4124" t="inlineStr">
        <is>
          <t>SKINTIFIC</t>
        </is>
      </c>
      <c r="AK4124" t="n">
        <v>9</v>
      </c>
      <c r="AL4124" t="inlineStr">
        <is>
          <t>Miss Glam Jambi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SKINVU</t>
        </is>
      </c>
      <c r="B4125" s="2">
        <f>"30100241744"</f>
        <v/>
      </c>
      <c r="C4125" t="inlineStr">
        <is>
          <t>SKINVU Whitening Body Scrub 100ml</t>
        </is>
      </c>
      <c r="D4125" t="inlineStr">
        <is>
          <t>Miss Glam Jambi</t>
        </is>
      </c>
      <c r="E4125" t="n">
        <v>29</v>
      </c>
      <c r="F4125" t="n">
        <v>0.0825</v>
      </c>
      <c r="G4125" t="n">
        <v>0.66</v>
      </c>
      <c r="H4125" t="n">
        <v>4</v>
      </c>
      <c r="I4125" t="n">
        <v>20</v>
      </c>
      <c r="J4125" t="n">
        <v>3</v>
      </c>
      <c r="K4125" t="n">
        <v>0</v>
      </c>
      <c r="L4125" t="n">
        <v>80982</v>
      </c>
      <c r="M4125" t="n">
        <v>99000</v>
      </c>
      <c r="N4125" t="n">
        <v>33</v>
      </c>
      <c r="O4125" t="n">
        <v>0.33</v>
      </c>
      <c r="P4125" t="n">
        <v>1</v>
      </c>
      <c r="Q4125" t="n">
        <v>0.15</v>
      </c>
      <c r="R4125" t="n">
        <v>1</v>
      </c>
      <c r="S4125" t="n">
        <v>8167.5</v>
      </c>
      <c r="T4125" t="n">
        <v>13</v>
      </c>
      <c r="U4125" t="n">
        <v>14</v>
      </c>
      <c r="V4125" t="n">
        <v>30</v>
      </c>
      <c r="W4125" t="n">
        <v>3</v>
      </c>
      <c r="X4125" t="n">
        <v>351.5151515151515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8643</v>
      </c>
      <c r="AG4125" t="n">
        <v>1</v>
      </c>
      <c r="AH4125" t="inlineStr">
        <is>
          <t>PT. BERSAMA DISTRIVERSA INDONESIA (DC CIPUTAT)</t>
        </is>
      </c>
      <c r="AI4125" t="n">
        <v>2223</v>
      </c>
      <c r="AJ4125" t="inlineStr">
        <is>
          <t>SKINVU</t>
        </is>
      </c>
      <c r="AK4125" t="n">
        <v>9</v>
      </c>
      <c r="AL4125" t="inlineStr">
        <is>
          <t>Miss Glam Jambi</t>
        </is>
      </c>
      <c r="AM4125" t="n">
        <v>3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SKINVU</t>
        </is>
      </c>
      <c r="B4126" s="2">
        <f>"30200186137"</f>
        <v/>
      </c>
      <c r="C4126" t="inlineStr">
        <is>
          <t>SKINVU Whitening Glowing Body Lotion 100ml</t>
        </is>
      </c>
      <c r="D4126" t="inlineStr">
        <is>
          <t>Miss Glam Jambi</t>
        </is>
      </c>
      <c r="E4126" t="n">
        <v>36</v>
      </c>
      <c r="F4126" t="n">
        <v>0.2277</v>
      </c>
      <c r="G4126" t="n">
        <v>1.98</v>
      </c>
      <c r="H4126" t="n">
        <v>4</v>
      </c>
      <c r="I4126" t="n">
        <v>20</v>
      </c>
      <c r="J4126" t="n">
        <v>3</v>
      </c>
      <c r="K4126" t="n">
        <v>0</v>
      </c>
      <c r="L4126" t="n">
        <v>81919</v>
      </c>
      <c r="M4126" t="n">
        <v>99000</v>
      </c>
      <c r="N4126" t="n">
        <v>33</v>
      </c>
      <c r="O4126" t="n">
        <v>0.33</v>
      </c>
      <c r="P4126" t="n">
        <v>1</v>
      </c>
      <c r="Q4126" t="n">
        <v>0.46</v>
      </c>
      <c r="R4126" t="n">
        <v>4</v>
      </c>
      <c r="S4126" t="n">
        <v>22542.3</v>
      </c>
      <c r="T4126" t="n">
        <v>39</v>
      </c>
      <c r="U4126" t="n">
        <v>40</v>
      </c>
      <c r="V4126" t="n">
        <v>30</v>
      </c>
      <c r="W4126" t="n">
        <v>7</v>
      </c>
      <c r="X4126" t="n">
        <v>158.102766798419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8643</v>
      </c>
      <c r="AG4126" t="n">
        <v>1</v>
      </c>
      <c r="AH4126" t="inlineStr">
        <is>
          <t>PT. BERSAMA DISTRIVERSA INDONESIA (DC CIPUTAT)</t>
        </is>
      </c>
      <c r="AI4126" t="n">
        <v>2223</v>
      </c>
      <c r="AJ4126" t="inlineStr">
        <is>
          <t>SKINVU</t>
        </is>
      </c>
      <c r="AK4126" t="n">
        <v>9</v>
      </c>
      <c r="AL4126" t="inlineStr">
        <is>
          <t>Miss Glam Jambi</t>
        </is>
      </c>
      <c r="AM4126" t="n">
        <v>3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SLAVINA</t>
        </is>
      </c>
      <c r="B4127" s="2">
        <f>"30400256149"</f>
        <v/>
      </c>
      <c r="C4127" t="inlineStr">
        <is>
          <t>SLAVINA Body Mist Crush On You 300ml</t>
        </is>
      </c>
      <c r="D4127" t="inlineStr">
        <is>
          <t>Miss Glam Jambi</t>
        </is>
      </c>
      <c r="E4127" t="n">
        <v>8</v>
      </c>
      <c r="F4127" t="n">
        <v>0.0231</v>
      </c>
      <c r="G4127" t="n">
        <v>0.66</v>
      </c>
      <c r="H4127" t="n">
        <v>4</v>
      </c>
      <c r="I4127" t="n">
        <v>8</v>
      </c>
      <c r="J4127" t="n">
        <v>1</v>
      </c>
      <c r="K4127" t="n">
        <v>0</v>
      </c>
      <c r="L4127" t="n">
        <v>74099</v>
      </c>
      <c r="M4127" t="n">
        <v>89000</v>
      </c>
      <c r="N4127" t="n">
        <v>33</v>
      </c>
      <c r="O4127" t="n">
        <v>0.33</v>
      </c>
      <c r="P4127" t="n">
        <v>1</v>
      </c>
      <c r="Q4127" t="n">
        <v>0.17</v>
      </c>
      <c r="R4127" t="n">
        <v>2</v>
      </c>
      <c r="S4127" t="n">
        <v>2055.9</v>
      </c>
      <c r="T4127" t="n">
        <v>6</v>
      </c>
      <c r="U4127" t="n">
        <v>7</v>
      </c>
      <c r="V4127" t="n">
        <v>30</v>
      </c>
      <c r="W4127" t="n">
        <v>1</v>
      </c>
      <c r="X4127" t="n">
        <v>346.3203463203463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10700</v>
      </c>
      <c r="AG4127" t="n">
        <v>2378</v>
      </c>
      <c r="AH4127" t="inlineStr">
        <is>
          <t>PT. KURNIA MAJU PERKASA - PPN (PDG)</t>
        </is>
      </c>
      <c r="AI4127" t="n">
        <v>1720</v>
      </c>
      <c r="AJ4127" t="inlineStr">
        <is>
          <t>SLAVINA</t>
        </is>
      </c>
      <c r="AK4127" t="n">
        <v>9</v>
      </c>
      <c r="AL4127" t="inlineStr">
        <is>
          <t>Miss Glam Jambi</t>
        </is>
      </c>
      <c r="AM4127" t="n">
        <v>4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SLAVINA</t>
        </is>
      </c>
      <c r="B4128" s="2">
        <f>"30400256351"</f>
        <v/>
      </c>
      <c r="C4128" t="inlineStr">
        <is>
          <t>SLAVINA Body Mist First Kiss 300ml</t>
        </is>
      </c>
      <c r="D4128" t="inlineStr">
        <is>
          <t>Miss Glam Jambi</t>
        </is>
      </c>
      <c r="E4128" t="n">
        <v>17</v>
      </c>
      <c r="F4128" t="n">
        <v>0.1386</v>
      </c>
      <c r="G4128" t="n">
        <v>0.66</v>
      </c>
      <c r="H4128" t="n">
        <v>4</v>
      </c>
      <c r="I4128" t="n">
        <v>8</v>
      </c>
      <c r="J4128" t="n">
        <v>1</v>
      </c>
      <c r="K4128" t="n">
        <v>0</v>
      </c>
      <c r="L4128" t="n">
        <v>72207</v>
      </c>
      <c r="M4128" t="n">
        <v>89000</v>
      </c>
      <c r="N4128" t="n">
        <v>33</v>
      </c>
      <c r="O4128" t="n">
        <v>0.33</v>
      </c>
      <c r="P4128" t="n">
        <v>1</v>
      </c>
      <c r="Q4128" t="n">
        <v>0.31</v>
      </c>
      <c r="R4128" t="n">
        <v>4</v>
      </c>
      <c r="S4128" t="n">
        <v>12335.4</v>
      </c>
      <c r="T4128" t="n">
        <v>5</v>
      </c>
      <c r="U4128" t="n">
        <v>6</v>
      </c>
      <c r="V4128" t="n">
        <v>30</v>
      </c>
      <c r="W4128" t="n">
        <v>5</v>
      </c>
      <c r="X4128" t="n">
        <v>122.6551226551227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10700</v>
      </c>
      <c r="AG4128" t="n">
        <v>2378</v>
      </c>
      <c r="AH4128" t="inlineStr">
        <is>
          <t>PT. KURNIA MAJU PERKASA - PPN (PDG)</t>
        </is>
      </c>
      <c r="AI4128" t="n">
        <v>1720</v>
      </c>
      <c r="AJ4128" t="inlineStr">
        <is>
          <t>SLAVINA</t>
        </is>
      </c>
      <c r="AK4128" t="n">
        <v>9</v>
      </c>
      <c r="AL4128" t="inlineStr">
        <is>
          <t>Miss Glam Jambi</t>
        </is>
      </c>
      <c r="AM4128" t="n">
        <v>4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SLAVINA</t>
        </is>
      </c>
      <c r="B4129" s="2">
        <f>"30400256416"</f>
        <v/>
      </c>
      <c r="C4129" t="inlineStr">
        <is>
          <t>SLAVINA Body Mist Love Journey 300ML</t>
        </is>
      </c>
      <c r="D4129" t="inlineStr">
        <is>
          <t>Miss Glam Jambi</t>
        </is>
      </c>
      <c r="E4129" t="n">
        <v>7</v>
      </c>
      <c r="F4129" t="n">
        <v>0.033</v>
      </c>
      <c r="G4129" t="n">
        <v>0.66</v>
      </c>
      <c r="H4129" t="n">
        <v>4</v>
      </c>
      <c r="I4129" t="n">
        <v>8</v>
      </c>
      <c r="J4129" t="n">
        <v>1</v>
      </c>
      <c r="K4129" t="n">
        <v>0</v>
      </c>
      <c r="L4129" t="n">
        <v>72302</v>
      </c>
      <c r="M4129" t="n">
        <v>89000</v>
      </c>
      <c r="N4129" t="n">
        <v>33</v>
      </c>
      <c r="O4129" t="n">
        <v>0.33</v>
      </c>
      <c r="P4129" t="n">
        <v>1</v>
      </c>
      <c r="Q4129" t="n">
        <v>0.03</v>
      </c>
      <c r="R4129" t="n">
        <v>1</v>
      </c>
      <c r="S4129" t="n">
        <v>2937</v>
      </c>
      <c r="T4129" t="n">
        <v>6</v>
      </c>
      <c r="U4129" t="n">
        <v>7</v>
      </c>
      <c r="V4129" t="n">
        <v>30</v>
      </c>
      <c r="W4129" t="n">
        <v>1</v>
      </c>
      <c r="X4129" t="n">
        <v>212.1212121212121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10700</v>
      </c>
      <c r="AG4129" t="n">
        <v>2378</v>
      </c>
      <c r="AH4129" t="inlineStr">
        <is>
          <t>PT. KURNIA MAJU PERKASA - PPN (PDG)</t>
        </is>
      </c>
      <c r="AI4129" t="n">
        <v>1720</v>
      </c>
      <c r="AJ4129" t="inlineStr">
        <is>
          <t>SLAVINA</t>
        </is>
      </c>
      <c r="AK4129" t="n">
        <v>9</v>
      </c>
      <c r="AL4129" t="inlineStr">
        <is>
          <t>Miss Glam Jambi</t>
        </is>
      </c>
      <c r="AM4129" t="n">
        <v>4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SLAVINA</t>
        </is>
      </c>
      <c r="B4130" s="2">
        <f>"30400256506"</f>
        <v/>
      </c>
      <c r="C4130" t="inlineStr">
        <is>
          <t>SLAVINA Body Mist Red Opium 300ML</t>
        </is>
      </c>
      <c r="D4130" t="inlineStr">
        <is>
          <t>Miss Glam Jambi</t>
        </is>
      </c>
      <c r="E4130" t="n">
        <v>13</v>
      </c>
      <c r="F4130" t="n">
        <v>0.066</v>
      </c>
      <c r="G4130" t="n">
        <v>0.66</v>
      </c>
      <c r="H4130" t="n">
        <v>4</v>
      </c>
      <c r="I4130" t="n">
        <v>8</v>
      </c>
      <c r="J4130" t="n">
        <v>1</v>
      </c>
      <c r="K4130" t="n">
        <v>0</v>
      </c>
      <c r="L4130" t="n">
        <v>72200</v>
      </c>
      <c r="M4130" t="n">
        <v>89000</v>
      </c>
      <c r="N4130" t="n">
        <v>33</v>
      </c>
      <c r="O4130" t="n">
        <v>0.33</v>
      </c>
      <c r="P4130" t="n">
        <v>1</v>
      </c>
      <c r="Q4130" t="n">
        <v>0.24</v>
      </c>
      <c r="R4130" t="n">
        <v>2</v>
      </c>
      <c r="S4130" t="n">
        <v>5874</v>
      </c>
      <c r="T4130" t="n">
        <v>6</v>
      </c>
      <c r="U4130" t="n">
        <v>7</v>
      </c>
      <c r="V4130" t="n">
        <v>30</v>
      </c>
      <c r="W4130" t="n">
        <v>2</v>
      </c>
      <c r="X4130" t="n">
        <v>196.969696969697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10700</v>
      </c>
      <c r="AG4130" t="n">
        <v>2378</v>
      </c>
      <c r="AH4130" t="inlineStr">
        <is>
          <t>PT. KURNIA MAJU PERKASA - PPN (PDG)</t>
        </is>
      </c>
      <c r="AI4130" t="n">
        <v>1720</v>
      </c>
      <c r="AJ4130" t="inlineStr">
        <is>
          <t>SLAVINA</t>
        </is>
      </c>
      <c r="AK4130" t="n">
        <v>9</v>
      </c>
      <c r="AL4130" t="inlineStr">
        <is>
          <t>Miss Glam Jambi</t>
        </is>
      </c>
      <c r="AM4130" t="n">
        <v>4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SLAVINA</t>
        </is>
      </c>
      <c r="B4131" s="2">
        <f>"30400256651"</f>
        <v/>
      </c>
      <c r="C4131" t="inlineStr">
        <is>
          <t>SLAVINA Body Mist Shooting Star 300ML</t>
        </is>
      </c>
      <c r="D4131" t="inlineStr">
        <is>
          <t>Miss Glam Jambi</t>
        </is>
      </c>
      <c r="E4131" t="n">
        <v>5</v>
      </c>
      <c r="F4131" t="n">
        <v>0.066</v>
      </c>
      <c r="G4131" t="n">
        <v>0.99</v>
      </c>
      <c r="H4131" t="n">
        <v>4</v>
      </c>
      <c r="I4131" t="n">
        <v>8</v>
      </c>
      <c r="J4131" t="n">
        <v>1</v>
      </c>
      <c r="K4131" t="n">
        <v>0</v>
      </c>
      <c r="L4131" t="n">
        <v>72996</v>
      </c>
      <c r="M4131" t="n">
        <v>89000</v>
      </c>
      <c r="N4131" t="n">
        <v>33</v>
      </c>
      <c r="O4131" t="n">
        <v>0.33</v>
      </c>
      <c r="P4131" t="n">
        <v>1</v>
      </c>
      <c r="Q4131" t="n">
        <v>0.07000000000000001</v>
      </c>
      <c r="R4131" t="n">
        <v>1</v>
      </c>
      <c r="S4131" t="n">
        <v>5874</v>
      </c>
      <c r="T4131" t="n">
        <v>8</v>
      </c>
      <c r="U4131" t="n">
        <v>9</v>
      </c>
      <c r="V4131" t="n">
        <v>30</v>
      </c>
      <c r="W4131" t="n">
        <v>2</v>
      </c>
      <c r="X4131" t="n">
        <v>75.75757575757575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10700</v>
      </c>
      <c r="AG4131" t="n">
        <v>2378</v>
      </c>
      <c r="AH4131" t="inlineStr">
        <is>
          <t>PT. KURNIA MAJU PERKASA - PPN (PDG)</t>
        </is>
      </c>
      <c r="AI4131" t="n">
        <v>1720</v>
      </c>
      <c r="AJ4131" t="inlineStr">
        <is>
          <t>SLAVINA</t>
        </is>
      </c>
      <c r="AK4131" t="n">
        <v>9</v>
      </c>
      <c r="AL4131" t="inlineStr">
        <is>
          <t>Miss Glam Jambi</t>
        </is>
      </c>
      <c r="AM4131" t="n">
        <v>4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SLAVINA</t>
        </is>
      </c>
      <c r="B4132" s="2">
        <f>"30400256710"</f>
        <v/>
      </c>
      <c r="C4132" t="inlineStr">
        <is>
          <t>SLAVINA Body Mist Spill The Night 300ML</t>
        </is>
      </c>
      <c r="D4132" t="inlineStr">
        <is>
          <t>Miss Glam Jambi</t>
        </is>
      </c>
      <c r="E4132" t="n">
        <v>7</v>
      </c>
      <c r="F4132" t="n">
        <v>0.0396</v>
      </c>
      <c r="G4132" t="n">
        <v>0.66</v>
      </c>
      <c r="H4132" t="n">
        <v>4</v>
      </c>
      <c r="I4132" t="n">
        <v>8</v>
      </c>
      <c r="J4132" t="n">
        <v>1</v>
      </c>
      <c r="K4132" t="n">
        <v>0</v>
      </c>
      <c r="L4132" t="n">
        <v>73880</v>
      </c>
      <c r="M4132" t="n">
        <v>89000</v>
      </c>
      <c r="N4132" t="n">
        <v>33</v>
      </c>
      <c r="O4132" t="n">
        <v>0.33</v>
      </c>
      <c r="P4132" t="n">
        <v>1</v>
      </c>
      <c r="Q4132" t="n">
        <v>0.15</v>
      </c>
      <c r="R4132" t="n">
        <v>2</v>
      </c>
      <c r="S4132" t="n">
        <v>3524.4</v>
      </c>
      <c r="T4132" t="n">
        <v>6</v>
      </c>
      <c r="U4132" t="n">
        <v>7</v>
      </c>
      <c r="V4132" t="n">
        <v>30</v>
      </c>
      <c r="W4132" t="n">
        <v>2</v>
      </c>
      <c r="X4132" t="n">
        <v>176.7676767676768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10700</v>
      </c>
      <c r="AG4132" t="n">
        <v>2378</v>
      </c>
      <c r="AH4132" t="inlineStr">
        <is>
          <t>PT. KURNIA MAJU PERKASA - PPN (PDG)</t>
        </is>
      </c>
      <c r="AI4132" t="n">
        <v>1720</v>
      </c>
      <c r="AJ4132" t="inlineStr">
        <is>
          <t>SLAVINA</t>
        </is>
      </c>
      <c r="AK4132" t="n">
        <v>9</v>
      </c>
      <c r="AL4132" t="inlineStr">
        <is>
          <t>Miss Glam Jambi</t>
        </is>
      </c>
      <c r="AM4132" t="n">
        <v>4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SLAVINA</t>
        </is>
      </c>
      <c r="B4133" s="2">
        <f>"30100241252"</f>
        <v/>
      </c>
      <c r="C4133" t="inlineStr">
        <is>
          <t>SLAVINA Body Scrub Crush On You 300ml</t>
        </is>
      </c>
      <c r="D4133" t="inlineStr">
        <is>
          <t>Miss Glam Jambi</t>
        </is>
      </c>
      <c r="E4133" t="n">
        <v>7</v>
      </c>
      <c r="F4133" t="n">
        <v>0.0231</v>
      </c>
      <c r="G4133" t="n">
        <v>0.33</v>
      </c>
      <c r="H4133" t="n">
        <v>4</v>
      </c>
      <c r="I4133" t="n">
        <v>8</v>
      </c>
      <c r="J4133" t="n">
        <v>1</v>
      </c>
      <c r="K4133" t="n">
        <v>0</v>
      </c>
      <c r="L4133" t="n">
        <v>59940</v>
      </c>
      <c r="M4133" t="n">
        <v>79000</v>
      </c>
      <c r="N4133" t="n">
        <v>33</v>
      </c>
      <c r="O4133" t="n">
        <v>0.33</v>
      </c>
      <c r="P4133" t="n">
        <v>1</v>
      </c>
      <c r="Q4133" t="n">
        <v>0.07000000000000001</v>
      </c>
      <c r="R4133" t="n">
        <v>1</v>
      </c>
      <c r="S4133" t="n">
        <v>1824.9</v>
      </c>
      <c r="T4133" t="n">
        <v>3</v>
      </c>
      <c r="U4133" t="n">
        <v>4</v>
      </c>
      <c r="V4133" t="n">
        <v>30</v>
      </c>
      <c r="W4133" t="n">
        <v>1</v>
      </c>
      <c r="X4133" t="n">
        <v>303.030303030303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10700</v>
      </c>
      <c r="AG4133" t="n">
        <v>2378</v>
      </c>
      <c r="AH4133" t="inlineStr">
        <is>
          <t>PT. KURNIA MAJU PERKASA - PPN (PDG)</t>
        </is>
      </c>
      <c r="AI4133" t="n">
        <v>1720</v>
      </c>
      <c r="AJ4133" t="inlineStr">
        <is>
          <t>SLAVINA</t>
        </is>
      </c>
      <c r="AK4133" t="n">
        <v>9</v>
      </c>
      <c r="AL4133" t="inlineStr">
        <is>
          <t>Miss Glam Jambi</t>
        </is>
      </c>
      <c r="AM4133" t="n">
        <v>4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SLAVINA</t>
        </is>
      </c>
      <c r="B4134" s="2">
        <f>"30100241451"</f>
        <v/>
      </c>
      <c r="C4134" t="inlineStr">
        <is>
          <t>SLAVINA Body Scrub Endless Blossom 300ml</t>
        </is>
      </c>
      <c r="D4134" t="inlineStr">
        <is>
          <t>Miss Glam Jambi</t>
        </is>
      </c>
      <c r="E4134" t="n">
        <v>6</v>
      </c>
      <c r="F4134" t="n">
        <v>0.0165</v>
      </c>
      <c r="G4134" t="n">
        <v>0.33</v>
      </c>
      <c r="H4134" t="n">
        <v>4</v>
      </c>
      <c r="I4134" t="n">
        <v>8</v>
      </c>
      <c r="J4134" t="n">
        <v>1</v>
      </c>
      <c r="K4134" t="n">
        <v>0</v>
      </c>
      <c r="L4134" t="n">
        <v>60393</v>
      </c>
      <c r="M4134" t="n">
        <v>79000</v>
      </c>
      <c r="N4134" t="n">
        <v>33</v>
      </c>
      <c r="O4134" t="n">
        <v>0.33</v>
      </c>
      <c r="P4134" t="n">
        <v>1</v>
      </c>
      <c r="Q4134" t="n">
        <v>0.07000000000000001</v>
      </c>
      <c r="R4134" t="n">
        <v>2</v>
      </c>
      <c r="S4134" t="n">
        <v>1303.5</v>
      </c>
      <c r="T4134" t="n">
        <v>3</v>
      </c>
      <c r="U4134" t="n">
        <v>4</v>
      </c>
      <c r="V4134" t="n">
        <v>30</v>
      </c>
      <c r="W4134" t="n">
        <v>1</v>
      </c>
      <c r="X4134" t="n">
        <v>363.6363636363636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10700</v>
      </c>
      <c r="AG4134" t="n">
        <v>2378</v>
      </c>
      <c r="AH4134" t="inlineStr">
        <is>
          <t>PT. KURNIA MAJU PERKASA - PPN (PDG)</t>
        </is>
      </c>
      <c r="AI4134" t="n">
        <v>1720</v>
      </c>
      <c r="AJ4134" t="inlineStr">
        <is>
          <t>SLAVINA</t>
        </is>
      </c>
      <c r="AK4134" t="n">
        <v>9</v>
      </c>
      <c r="AL4134" t="inlineStr">
        <is>
          <t>Miss Glam Jambi</t>
        </is>
      </c>
      <c r="AM4134" t="n">
        <v>4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SLAVINA</t>
        </is>
      </c>
      <c r="B4135" s="2">
        <f>"30100241525"</f>
        <v/>
      </c>
      <c r="C4135" t="inlineStr">
        <is>
          <t>SLAVINA Body Scrub First Kiss 300ml</t>
        </is>
      </c>
      <c r="D4135" t="inlineStr">
        <is>
          <t>Miss Glam Jambi</t>
        </is>
      </c>
      <c r="E4135" t="n">
        <v>9</v>
      </c>
      <c r="F4135" t="n">
        <v>0.1023</v>
      </c>
      <c r="G4135" t="n">
        <v>0.66</v>
      </c>
      <c r="H4135" t="n">
        <v>4</v>
      </c>
      <c r="I4135" t="n">
        <v>8</v>
      </c>
      <c r="J4135" t="n">
        <v>1</v>
      </c>
      <c r="K4135" t="n">
        <v>0</v>
      </c>
      <c r="L4135" t="n">
        <v>59873</v>
      </c>
      <c r="M4135" t="n">
        <v>79000</v>
      </c>
      <c r="N4135" t="n">
        <v>33</v>
      </c>
      <c r="O4135" t="n">
        <v>0.33</v>
      </c>
      <c r="P4135" t="n">
        <v>1</v>
      </c>
      <c r="Q4135" t="n">
        <v>0.15</v>
      </c>
      <c r="R4135" t="n">
        <v>2</v>
      </c>
      <c r="S4135" t="n">
        <v>8081.7</v>
      </c>
      <c r="T4135" t="n">
        <v>5</v>
      </c>
      <c r="U4135" t="n">
        <v>6</v>
      </c>
      <c r="V4135" t="n">
        <v>30</v>
      </c>
      <c r="W4135" t="n">
        <v>4</v>
      </c>
      <c r="X4135" t="n">
        <v>87.97653958944281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10700</v>
      </c>
      <c r="AG4135" t="n">
        <v>2378</v>
      </c>
      <c r="AH4135" t="inlineStr">
        <is>
          <t>PT. KURNIA MAJU PERKASA - PPN (PDG)</t>
        </is>
      </c>
      <c r="AI4135" t="n">
        <v>1720</v>
      </c>
      <c r="AJ4135" t="inlineStr">
        <is>
          <t>SLAVINA</t>
        </is>
      </c>
      <c r="AK4135" t="n">
        <v>9</v>
      </c>
      <c r="AL4135" t="inlineStr">
        <is>
          <t>Miss Glam Jambi</t>
        </is>
      </c>
      <c r="AM4135" t="n">
        <v>4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SLAVINA</t>
        </is>
      </c>
      <c r="B4136" s="2">
        <f>"30100241325"</f>
        <v/>
      </c>
      <c r="C4136" t="inlineStr">
        <is>
          <t>SLAVINA Body Scrub Love Journey 300ml</t>
        </is>
      </c>
      <c r="D4136" t="inlineStr">
        <is>
          <t>Miss Glam Jambi</t>
        </is>
      </c>
      <c r="E4136" t="n">
        <v>3</v>
      </c>
      <c r="F4136" t="n">
        <v>0.009900000000000001</v>
      </c>
      <c r="G4136" t="n">
        <v>0.33</v>
      </c>
      <c r="H4136" t="n">
        <v>4</v>
      </c>
      <c r="I4136" t="n">
        <v>8</v>
      </c>
      <c r="J4136" t="n">
        <v>1</v>
      </c>
      <c r="K4136" t="n">
        <v>0</v>
      </c>
      <c r="L4136" t="n">
        <v>61122</v>
      </c>
      <c r="M4136" t="n">
        <v>79000</v>
      </c>
      <c r="N4136" t="n">
        <v>33</v>
      </c>
      <c r="O4136" t="n">
        <v>0.33</v>
      </c>
      <c r="P4136" t="n">
        <v>1</v>
      </c>
      <c r="Q4136" t="n">
        <v>0.02</v>
      </c>
      <c r="R4136" t="n">
        <v>1</v>
      </c>
      <c r="S4136" t="n">
        <v>782.1</v>
      </c>
      <c r="T4136" t="n">
        <v>3</v>
      </c>
      <c r="U4136" t="n">
        <v>4</v>
      </c>
      <c r="V4136" t="n">
        <v>30</v>
      </c>
      <c r="W4136" t="n">
        <v>1</v>
      </c>
      <c r="X4136" t="n">
        <v>303.030303030303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10700</v>
      </c>
      <c r="AG4136" t="n">
        <v>2378</v>
      </c>
      <c r="AH4136" t="inlineStr">
        <is>
          <t>PT. KURNIA MAJU PERKASA - PPN (PDG)</t>
        </is>
      </c>
      <c r="AI4136" t="n">
        <v>1720</v>
      </c>
      <c r="AJ4136" t="inlineStr">
        <is>
          <t>SLAVINA</t>
        </is>
      </c>
      <c r="AK4136" t="n">
        <v>9</v>
      </c>
      <c r="AL4136" t="inlineStr">
        <is>
          <t>Miss Glam Jambi</t>
        </is>
      </c>
      <c r="AM4136" t="n">
        <v>4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SLAVINA</t>
        </is>
      </c>
      <c r="B4137" s="2">
        <f>"30100241723"</f>
        <v/>
      </c>
      <c r="C4137" t="inlineStr">
        <is>
          <t>SLAVINA Body Scrub Red Opium 300ml</t>
        </is>
      </c>
      <c r="D4137" t="inlineStr">
        <is>
          <t>Miss Glam Jambi</t>
        </is>
      </c>
      <c r="E4137" t="n">
        <v>8</v>
      </c>
      <c r="F4137" t="n">
        <v>0.0495</v>
      </c>
      <c r="G4137" t="n">
        <v>0.33</v>
      </c>
      <c r="H4137" t="n">
        <v>4</v>
      </c>
      <c r="I4137" t="n">
        <v>8</v>
      </c>
      <c r="J4137" t="n">
        <v>1</v>
      </c>
      <c r="K4137" t="n">
        <v>0</v>
      </c>
      <c r="L4137" t="n">
        <v>59891</v>
      </c>
      <c r="M4137" t="n">
        <v>79000</v>
      </c>
      <c r="N4137" t="n">
        <v>33</v>
      </c>
      <c r="O4137" t="n">
        <v>0.33</v>
      </c>
      <c r="P4137" t="n">
        <v>1</v>
      </c>
      <c r="Q4137" t="n">
        <v>0.15</v>
      </c>
      <c r="R4137" t="n">
        <v>2</v>
      </c>
      <c r="S4137" t="n">
        <v>3910.5</v>
      </c>
      <c r="T4137" t="n">
        <v>3</v>
      </c>
      <c r="U4137" t="n">
        <v>4</v>
      </c>
      <c r="V4137" t="n">
        <v>30</v>
      </c>
      <c r="W4137" t="n">
        <v>2</v>
      </c>
      <c r="X4137" t="n">
        <v>161.6161616161616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10700</v>
      </c>
      <c r="AG4137" t="n">
        <v>2378</v>
      </c>
      <c r="AH4137" t="inlineStr">
        <is>
          <t>PT. KURNIA MAJU PERKASA - PPN (PDG)</t>
        </is>
      </c>
      <c r="AI4137" t="n">
        <v>1720</v>
      </c>
      <c r="AJ4137" t="inlineStr">
        <is>
          <t>SLAVINA</t>
        </is>
      </c>
      <c r="AK4137" t="n">
        <v>9</v>
      </c>
      <c r="AL4137" t="inlineStr">
        <is>
          <t>Miss Glam Jambi</t>
        </is>
      </c>
      <c r="AM4137" t="n">
        <v>4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SLAVINA</t>
        </is>
      </c>
      <c r="B4138" s="2">
        <f>"30100241852"</f>
        <v/>
      </c>
      <c r="C4138" t="inlineStr">
        <is>
          <t>SLAVINA Body Scrub Shooting Stars 300ml</t>
        </is>
      </c>
      <c r="D4138" t="inlineStr">
        <is>
          <t>Miss Glam Jambi</t>
        </is>
      </c>
      <c r="E4138" t="n">
        <v>2</v>
      </c>
      <c r="F4138" t="n">
        <v>0.0264</v>
      </c>
      <c r="G4138" t="n">
        <v>0.33</v>
      </c>
      <c r="H4138" t="n">
        <v>4</v>
      </c>
      <c r="I4138" t="n">
        <v>8</v>
      </c>
      <c r="J4138" t="n">
        <v>1</v>
      </c>
      <c r="K4138" t="n">
        <v>0</v>
      </c>
      <c r="L4138" t="n">
        <v>66751</v>
      </c>
      <c r="M4138" t="n">
        <v>79000</v>
      </c>
      <c r="N4138" t="n">
        <v>33</v>
      </c>
      <c r="O4138" t="n">
        <v>0.33</v>
      </c>
      <c r="P4138" t="n">
        <v>1</v>
      </c>
      <c r="Q4138" t="n">
        <v>0.03</v>
      </c>
      <c r="R4138" t="n">
        <v>1</v>
      </c>
      <c r="S4138" t="n">
        <v>2085.6</v>
      </c>
      <c r="T4138" t="n">
        <v>3</v>
      </c>
      <c r="U4138" t="n">
        <v>4</v>
      </c>
      <c r="V4138" t="n">
        <v>30</v>
      </c>
      <c r="W4138" t="n">
        <v>1</v>
      </c>
      <c r="X4138" t="n">
        <v>75.75757575757575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10700</v>
      </c>
      <c r="AG4138" t="n">
        <v>2378</v>
      </c>
      <c r="AH4138" t="inlineStr">
        <is>
          <t>PT. KURNIA MAJU PERKASA - PPN (PDG)</t>
        </is>
      </c>
      <c r="AI4138" t="n">
        <v>1720</v>
      </c>
      <c r="AJ4138" t="inlineStr">
        <is>
          <t>SLAVINA</t>
        </is>
      </c>
      <c r="AK4138" t="n">
        <v>9</v>
      </c>
      <c r="AL4138" t="inlineStr">
        <is>
          <t>Miss Glam Jambi</t>
        </is>
      </c>
      <c r="AM4138" t="n">
        <v>4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SLAVINA</t>
        </is>
      </c>
      <c r="B4139" s="2">
        <f>"30100241920"</f>
        <v/>
      </c>
      <c r="C4139" t="inlineStr">
        <is>
          <t>SLAVINA Body Scrub Spill The Night 300ml</t>
        </is>
      </c>
      <c r="D4139" t="inlineStr">
        <is>
          <t>Miss Glam Jambi</t>
        </is>
      </c>
      <c r="E4139" t="n">
        <v>7</v>
      </c>
      <c r="F4139" t="n">
        <v>0.066</v>
      </c>
      <c r="G4139" t="n">
        <v>0.66</v>
      </c>
      <c r="H4139" t="n">
        <v>4</v>
      </c>
      <c r="I4139" t="n">
        <v>8</v>
      </c>
      <c r="J4139" t="n">
        <v>1</v>
      </c>
      <c r="K4139" t="n">
        <v>0</v>
      </c>
      <c r="L4139" t="n">
        <v>59951</v>
      </c>
      <c r="M4139" t="n">
        <v>79000</v>
      </c>
      <c r="N4139" t="n">
        <v>33</v>
      </c>
      <c r="O4139" t="n">
        <v>0.33</v>
      </c>
      <c r="P4139" t="n">
        <v>1</v>
      </c>
      <c r="Q4139" t="n">
        <v>0.08</v>
      </c>
      <c r="R4139" t="n">
        <v>1</v>
      </c>
      <c r="S4139" t="n">
        <v>5214</v>
      </c>
      <c r="T4139" t="n">
        <v>6</v>
      </c>
      <c r="U4139" t="n">
        <v>7</v>
      </c>
      <c r="V4139" t="n">
        <v>30</v>
      </c>
      <c r="W4139" t="n">
        <v>2</v>
      </c>
      <c r="X4139" t="n">
        <v>106.0606060606061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10700</v>
      </c>
      <c r="AG4139" t="n">
        <v>2378</v>
      </c>
      <c r="AH4139" t="inlineStr">
        <is>
          <t>PT. KURNIA MAJU PERKASA - PPN (PDG)</t>
        </is>
      </c>
      <c r="AI4139" t="n">
        <v>1720</v>
      </c>
      <c r="AJ4139" t="inlineStr">
        <is>
          <t>SLAVINA</t>
        </is>
      </c>
      <c r="AK4139" t="n">
        <v>9</v>
      </c>
      <c r="AL4139" t="inlineStr">
        <is>
          <t>Miss Glam Jambi</t>
        </is>
      </c>
      <c r="AM4139" t="n">
        <v>4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SLAVINA</t>
        </is>
      </c>
      <c r="B4140" s="2">
        <f>"8994452870132"</f>
        <v/>
      </c>
      <c r="C4140" t="inlineStr">
        <is>
          <t>SLAVINA Crush On You Body Lotion 350ml</t>
        </is>
      </c>
      <c r="D4140" t="inlineStr">
        <is>
          <t>Miss Glam Jambi</t>
        </is>
      </c>
      <c r="E4140" t="n">
        <v>7</v>
      </c>
      <c r="F4140" t="n">
        <v>0.1056</v>
      </c>
      <c r="G4140" t="n">
        <v>0.66</v>
      </c>
      <c r="H4140" t="n">
        <v>4</v>
      </c>
      <c r="I4140" t="n">
        <v>8</v>
      </c>
      <c r="J4140" t="n">
        <v>3</v>
      </c>
      <c r="K4140" t="n">
        <v>0</v>
      </c>
      <c r="L4140" t="n">
        <v>61703</v>
      </c>
      <c r="M4140" t="n">
        <v>77000</v>
      </c>
      <c r="N4140" t="n">
        <v>33</v>
      </c>
      <c r="O4140" t="n">
        <v>0.33</v>
      </c>
      <c r="P4140" t="n">
        <v>1</v>
      </c>
      <c r="Q4140" t="n">
        <v>0.12</v>
      </c>
      <c r="R4140" t="n">
        <v>2</v>
      </c>
      <c r="S4140" t="n">
        <v>8131.200000000001</v>
      </c>
      <c r="T4140" t="n">
        <v>5</v>
      </c>
      <c r="U4140" t="n">
        <v>6</v>
      </c>
      <c r="V4140" t="n">
        <v>30</v>
      </c>
      <c r="W4140" t="n">
        <v>4</v>
      </c>
      <c r="X4140" t="n">
        <v>66.28787878787878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10700</v>
      </c>
      <c r="AG4140" t="n">
        <v>2378</v>
      </c>
      <c r="AH4140" t="inlineStr">
        <is>
          <t>PT. KURNIA MAJU PERKASA - PPN (PDG)</t>
        </is>
      </c>
      <c r="AI4140" t="n">
        <v>1720</v>
      </c>
      <c r="AJ4140" t="inlineStr">
        <is>
          <t>SLAVINA</t>
        </is>
      </c>
      <c r="AK4140" t="n">
        <v>9</v>
      </c>
      <c r="AL4140" t="inlineStr">
        <is>
          <t>Miss Glam Jambi</t>
        </is>
      </c>
      <c r="AM4140" t="n">
        <v>4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SLAVINA</t>
        </is>
      </c>
      <c r="B4141" s="2">
        <f>"8994452870057"</f>
        <v/>
      </c>
      <c r="C4141" t="inlineStr">
        <is>
          <t>SLAVINA Endless Blossom Body Lotion 350ml</t>
        </is>
      </c>
      <c r="D4141" t="inlineStr">
        <is>
          <t>Miss Glam Jambi</t>
        </is>
      </c>
      <c r="E4141" t="n">
        <v>13</v>
      </c>
      <c r="F4141" t="n">
        <v>0.2112</v>
      </c>
      <c r="G4141" t="n">
        <v>0.99</v>
      </c>
      <c r="H4141" t="n">
        <v>4</v>
      </c>
      <c r="I4141" t="n">
        <v>8</v>
      </c>
      <c r="J4141" t="n">
        <v>3</v>
      </c>
      <c r="K4141" t="n">
        <v>0</v>
      </c>
      <c r="L4141" t="n">
        <v>62091</v>
      </c>
      <c r="M4141" t="n">
        <v>77000</v>
      </c>
      <c r="N4141" t="n">
        <v>33</v>
      </c>
      <c r="O4141" t="n">
        <v>0.33</v>
      </c>
      <c r="P4141" t="n">
        <v>1</v>
      </c>
      <c r="Q4141" t="n">
        <v>0.25</v>
      </c>
      <c r="R4141" t="n">
        <v>1</v>
      </c>
      <c r="S4141" t="n">
        <v>16262.4</v>
      </c>
      <c r="T4141" t="n">
        <v>8</v>
      </c>
      <c r="U4141" t="n">
        <v>9</v>
      </c>
      <c r="V4141" t="n">
        <v>30</v>
      </c>
      <c r="W4141" t="n">
        <v>7</v>
      </c>
      <c r="X4141" t="n">
        <v>61.5530303030303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10700</v>
      </c>
      <c r="AG4141" t="n">
        <v>2378</v>
      </c>
      <c r="AH4141" t="inlineStr">
        <is>
          <t>PT. KURNIA MAJU PERKASA - PPN (PDG)</t>
        </is>
      </c>
      <c r="AI4141" t="n">
        <v>1720</v>
      </c>
      <c r="AJ4141" t="inlineStr">
        <is>
          <t>SLAVINA</t>
        </is>
      </c>
      <c r="AK4141" t="n">
        <v>9</v>
      </c>
      <c r="AL4141" t="inlineStr">
        <is>
          <t>Miss Glam Jambi</t>
        </is>
      </c>
      <c r="AM4141" t="n">
        <v>4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SLAVINA</t>
        </is>
      </c>
      <c r="B4142" s="2">
        <f>"8994452870040"</f>
        <v/>
      </c>
      <c r="C4142" t="inlineStr">
        <is>
          <t>SLAVINA Endless Blossom Body Wash 350ml</t>
        </is>
      </c>
      <c r="D4142" t="inlineStr">
        <is>
          <t>Miss Glam Jambi</t>
        </is>
      </c>
      <c r="E4142" t="n">
        <v>4</v>
      </c>
      <c r="F4142" t="n">
        <v>0.033</v>
      </c>
      <c r="G4142" t="n">
        <v>0.33</v>
      </c>
      <c r="H4142" t="n">
        <v>4</v>
      </c>
      <c r="I4142" t="n">
        <v>8</v>
      </c>
      <c r="J4142" t="n">
        <v>3</v>
      </c>
      <c r="K4142" t="n">
        <v>0</v>
      </c>
      <c r="L4142" t="n">
        <v>61421</v>
      </c>
      <c r="M4142" t="n">
        <v>79000</v>
      </c>
      <c r="N4142" t="n">
        <v>33</v>
      </c>
      <c r="O4142" t="n">
        <v>0.33</v>
      </c>
      <c r="P4142" t="n">
        <v>1</v>
      </c>
      <c r="Q4142" t="n">
        <v>0.07000000000000001</v>
      </c>
      <c r="R4142" t="n">
        <v>1</v>
      </c>
      <c r="S4142" t="n">
        <v>2607</v>
      </c>
      <c r="T4142" t="n">
        <v>3</v>
      </c>
      <c r="U4142" t="n">
        <v>4</v>
      </c>
      <c r="V4142" t="n">
        <v>30</v>
      </c>
      <c r="W4142" t="n">
        <v>1</v>
      </c>
      <c r="X4142" t="n">
        <v>121.2121212121212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10700</v>
      </c>
      <c r="AG4142" t="n">
        <v>2378</v>
      </c>
      <c r="AH4142" t="inlineStr">
        <is>
          <t>PT. KURNIA MAJU PERKASA - PPN (PDG)</t>
        </is>
      </c>
      <c r="AI4142" t="n">
        <v>1720</v>
      </c>
      <c r="AJ4142" t="inlineStr">
        <is>
          <t>SLAVINA</t>
        </is>
      </c>
      <c r="AK4142" t="n">
        <v>9</v>
      </c>
      <c r="AL4142" t="inlineStr">
        <is>
          <t>Miss Glam Jambi</t>
        </is>
      </c>
      <c r="AM4142" t="n">
        <v>4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SLAVINA</t>
        </is>
      </c>
      <c r="B4143" s="2">
        <f>"8994452870071"</f>
        <v/>
      </c>
      <c r="C4143" t="inlineStr">
        <is>
          <t>SLAVINA First Kiss Body Lotion 350ml</t>
        </is>
      </c>
      <c r="D4143" t="inlineStr">
        <is>
          <t>Miss Glam Jambi</t>
        </is>
      </c>
      <c r="E4143" t="n">
        <v>10</v>
      </c>
      <c r="F4143" t="n">
        <v>0.4653</v>
      </c>
      <c r="G4143" t="n">
        <v>1.65</v>
      </c>
      <c r="H4143" t="n">
        <v>4</v>
      </c>
      <c r="I4143" t="n">
        <v>8</v>
      </c>
      <c r="J4143" t="n">
        <v>3</v>
      </c>
      <c r="K4143" t="n">
        <v>0</v>
      </c>
      <c r="L4143" t="n">
        <v>59861</v>
      </c>
      <c r="M4143" t="n">
        <v>77000</v>
      </c>
      <c r="N4143" t="n">
        <v>33</v>
      </c>
      <c r="O4143" t="n">
        <v>0.33</v>
      </c>
      <c r="P4143" t="n">
        <v>1</v>
      </c>
      <c r="Q4143" t="n">
        <v>0.31</v>
      </c>
      <c r="R4143" t="n">
        <v>2</v>
      </c>
      <c r="S4143" t="n">
        <v>35828.1</v>
      </c>
      <c r="T4143" t="n">
        <v>12</v>
      </c>
      <c r="U4143" t="n">
        <v>14</v>
      </c>
      <c r="V4143" t="n">
        <v>30</v>
      </c>
      <c r="W4143" t="n">
        <v>14</v>
      </c>
      <c r="X4143" t="n">
        <v>21.49151085321298</v>
      </c>
      <c r="Y4143" t="n">
        <v>1</v>
      </c>
      <c r="Z4143" t="n">
        <v>4</v>
      </c>
      <c r="AA4143" t="n">
        <v>0</v>
      </c>
      <c r="AB4143" t="n">
        <v>4</v>
      </c>
      <c r="AC4143" t="n">
        <v>4</v>
      </c>
      <c r="AD4143" t="n">
        <v>0</v>
      </c>
      <c r="AE4143" t="n">
        <v>239444</v>
      </c>
      <c r="AF4143" t="n">
        <v>10700</v>
      </c>
      <c r="AG4143" t="n">
        <v>2378</v>
      </c>
      <c r="AH4143" t="inlineStr">
        <is>
          <t>PT. KURNIA MAJU PERKASA - PPN (PDG)</t>
        </is>
      </c>
      <c r="AI4143" t="n">
        <v>1720</v>
      </c>
      <c r="AJ4143" t="inlineStr">
        <is>
          <t>SLAVINA</t>
        </is>
      </c>
      <c r="AK4143" t="n">
        <v>9</v>
      </c>
      <c r="AL4143" t="inlineStr">
        <is>
          <t>Miss Glam Jambi</t>
        </is>
      </c>
      <c r="AM4143" t="n">
        <v>4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SLAVINA</t>
        </is>
      </c>
      <c r="B4144" s="2">
        <f>"8994452870064"</f>
        <v/>
      </c>
      <c r="C4144" t="inlineStr">
        <is>
          <t>SLAVINA First Kiss Body Wash 350ml</t>
        </is>
      </c>
      <c r="D4144" t="inlineStr">
        <is>
          <t>Miss Glam Jambi</t>
        </is>
      </c>
      <c r="E4144" t="n">
        <v>5</v>
      </c>
      <c r="F4144" t="n">
        <v>0.1056</v>
      </c>
      <c r="G4144" t="n">
        <v>0.99</v>
      </c>
      <c r="H4144" t="n">
        <v>4</v>
      </c>
      <c r="I4144" t="n">
        <v>8</v>
      </c>
      <c r="J4144" t="n">
        <v>3</v>
      </c>
      <c r="K4144" t="n">
        <v>0</v>
      </c>
      <c r="L4144" t="n">
        <v>61849</v>
      </c>
      <c r="M4144" t="n">
        <v>79000</v>
      </c>
      <c r="N4144" t="n">
        <v>33</v>
      </c>
      <c r="O4144" t="n">
        <v>0.33</v>
      </c>
      <c r="P4144" t="n">
        <v>1</v>
      </c>
      <c r="Q4144" t="n">
        <v>0.17</v>
      </c>
      <c r="R4144" t="n">
        <v>2</v>
      </c>
      <c r="S4144" t="n">
        <v>8342.400000000001</v>
      </c>
      <c r="T4144" t="n">
        <v>8</v>
      </c>
      <c r="U4144" t="n">
        <v>9</v>
      </c>
      <c r="V4144" t="n">
        <v>30</v>
      </c>
      <c r="W4144" t="n">
        <v>4</v>
      </c>
      <c r="X4144" t="n">
        <v>47.34848484848484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10700</v>
      </c>
      <c r="AG4144" t="n">
        <v>2378</v>
      </c>
      <c r="AH4144" t="inlineStr">
        <is>
          <t>PT. KURNIA MAJU PERKASA - PPN (PDG)</t>
        </is>
      </c>
      <c r="AI4144" t="n">
        <v>1720</v>
      </c>
      <c r="AJ4144" t="inlineStr">
        <is>
          <t>SLAVINA</t>
        </is>
      </c>
      <c r="AK4144" t="n">
        <v>9</v>
      </c>
      <c r="AL4144" t="inlineStr">
        <is>
          <t>Miss Glam Jambi</t>
        </is>
      </c>
      <c r="AM4144" t="n">
        <v>4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SLAVINA</t>
        </is>
      </c>
      <c r="B4145" s="2">
        <f>"8994452870095"</f>
        <v/>
      </c>
      <c r="C4145" t="inlineStr">
        <is>
          <t>SLAVINA Love Journey  Body Lotion 350ml</t>
        </is>
      </c>
      <c r="D4145" t="inlineStr">
        <is>
          <t>Miss Glam Jambi</t>
        </is>
      </c>
      <c r="E4145" t="n">
        <v>3</v>
      </c>
      <c r="F4145" t="n">
        <v>0.0231</v>
      </c>
      <c r="G4145" t="n">
        <v>0.33</v>
      </c>
      <c r="H4145" t="n">
        <v>4</v>
      </c>
      <c r="I4145" t="n">
        <v>8</v>
      </c>
      <c r="J4145" t="n">
        <v>3</v>
      </c>
      <c r="K4145" t="n">
        <v>0</v>
      </c>
      <c r="L4145" t="n">
        <v>61828</v>
      </c>
      <c r="M4145" t="n">
        <v>79000</v>
      </c>
      <c r="N4145" t="n">
        <v>33</v>
      </c>
      <c r="O4145" t="n">
        <v>0.33</v>
      </c>
      <c r="P4145" t="n">
        <v>1</v>
      </c>
      <c r="Q4145" t="n">
        <v>0.02</v>
      </c>
      <c r="R4145" t="n">
        <v>1</v>
      </c>
      <c r="S4145" t="n">
        <v>1824.9</v>
      </c>
      <c r="T4145" t="n">
        <v>3</v>
      </c>
      <c r="U4145" t="n">
        <v>4</v>
      </c>
      <c r="V4145" t="n">
        <v>30</v>
      </c>
      <c r="W4145" t="n">
        <v>1</v>
      </c>
      <c r="X4145" t="n">
        <v>129.8701298701299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10700</v>
      </c>
      <c r="AG4145" t="n">
        <v>2378</v>
      </c>
      <c r="AH4145" t="inlineStr">
        <is>
          <t>PT. KURNIA MAJU PERKASA - PPN (PDG)</t>
        </is>
      </c>
      <c r="AI4145" t="n">
        <v>1720</v>
      </c>
      <c r="AJ4145" t="inlineStr">
        <is>
          <t>SLAVINA</t>
        </is>
      </c>
      <c r="AK4145" t="n">
        <v>9</v>
      </c>
      <c r="AL4145" t="inlineStr">
        <is>
          <t>Miss Glam Jambi</t>
        </is>
      </c>
      <c r="AM4145" t="n">
        <v>4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SLAVINA</t>
        </is>
      </c>
      <c r="B4146" s="2">
        <f>"8994452870088"</f>
        <v/>
      </c>
      <c r="C4146" t="inlineStr">
        <is>
          <t>SLAVINA Love Journey  Body Wash 350ml</t>
        </is>
      </c>
      <c r="D4146" t="inlineStr">
        <is>
          <t>Miss Glam Jambi</t>
        </is>
      </c>
      <c r="E4146" t="n">
        <v>6</v>
      </c>
      <c r="F4146" t="n">
        <v>0.03</v>
      </c>
      <c r="G4146" t="n">
        <v>1</v>
      </c>
      <c r="H4146" t="n">
        <v>4</v>
      </c>
      <c r="I4146" t="n">
        <v>8</v>
      </c>
      <c r="J4146" t="n">
        <v>3</v>
      </c>
      <c r="K4146" t="n">
        <v>0</v>
      </c>
      <c r="L4146" t="n">
        <v>66751</v>
      </c>
      <c r="M4146" t="n">
        <v>79000</v>
      </c>
      <c r="N4146" t="n">
        <v>33</v>
      </c>
      <c r="O4146" t="n">
        <v>0.33</v>
      </c>
      <c r="P4146" t="n">
        <v>0</v>
      </c>
      <c r="Q4146" t="n">
        <v>0.03</v>
      </c>
      <c r="R4146" t="n">
        <v>1</v>
      </c>
      <c r="S4146" t="n">
        <v>2370</v>
      </c>
      <c r="T4146" t="n">
        <v>8</v>
      </c>
      <c r="U4146" t="n">
        <v>9</v>
      </c>
      <c r="V4146" t="n">
        <v>30</v>
      </c>
      <c r="W4146" t="n">
        <v>1</v>
      </c>
      <c r="X4146" t="n">
        <v>200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10700</v>
      </c>
      <c r="AG4146" t="n">
        <v>2378</v>
      </c>
      <c r="AH4146" t="inlineStr">
        <is>
          <t>PT. KURNIA MAJU PERKASA - PPN (PDG)</t>
        </is>
      </c>
      <c r="AI4146" t="n">
        <v>1720</v>
      </c>
      <c r="AJ4146" t="inlineStr">
        <is>
          <t>SLAVINA</t>
        </is>
      </c>
      <c r="AK4146" t="n">
        <v>9</v>
      </c>
      <c r="AL4146" t="inlineStr">
        <is>
          <t>Miss Glam Jambi</t>
        </is>
      </c>
      <c r="AM4146" t="n">
        <v>4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SLAVINA</t>
        </is>
      </c>
      <c r="B4147" s="2">
        <f>"8994452870118"</f>
        <v/>
      </c>
      <c r="C4147" t="inlineStr">
        <is>
          <t>SLAVINA Ocean Dream Body Lotion 350ml</t>
        </is>
      </c>
      <c r="D4147" t="inlineStr">
        <is>
          <t>Miss Glam Jambi</t>
        </is>
      </c>
      <c r="E4147" t="n">
        <v>6</v>
      </c>
      <c r="F4147" t="n">
        <v>0.0396</v>
      </c>
      <c r="G4147" t="n">
        <v>0.66</v>
      </c>
      <c r="H4147" t="n">
        <v>4</v>
      </c>
      <c r="I4147" t="n">
        <v>8</v>
      </c>
      <c r="J4147" t="n">
        <v>3</v>
      </c>
      <c r="K4147" t="n">
        <v>0</v>
      </c>
      <c r="L4147" t="n">
        <v>62067</v>
      </c>
      <c r="M4147" t="n">
        <v>79000</v>
      </c>
      <c r="N4147" t="n">
        <v>33</v>
      </c>
      <c r="O4147" t="n">
        <v>0.33</v>
      </c>
      <c r="P4147" t="n">
        <v>1</v>
      </c>
      <c r="Q4147" t="n">
        <v>0.1</v>
      </c>
      <c r="R4147" t="n">
        <v>1</v>
      </c>
      <c r="S4147" t="n">
        <v>3128.4</v>
      </c>
      <c r="T4147" t="n">
        <v>6</v>
      </c>
      <c r="U4147" t="n">
        <v>7</v>
      </c>
      <c r="V4147" t="n">
        <v>30</v>
      </c>
      <c r="W4147" t="n">
        <v>2</v>
      </c>
      <c r="X4147" t="n">
        <v>151.5151515151515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10700</v>
      </c>
      <c r="AG4147" t="n">
        <v>2378</v>
      </c>
      <c r="AH4147" t="inlineStr">
        <is>
          <t>PT. KURNIA MAJU PERKASA - PPN (PDG)</t>
        </is>
      </c>
      <c r="AI4147" t="n">
        <v>1720</v>
      </c>
      <c r="AJ4147" t="inlineStr">
        <is>
          <t>SLAVINA</t>
        </is>
      </c>
      <c r="AK4147" t="n">
        <v>9</v>
      </c>
      <c r="AL4147" t="inlineStr">
        <is>
          <t>Miss Glam Jambi</t>
        </is>
      </c>
      <c r="AM4147" t="n">
        <v>4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SLAVINA</t>
        </is>
      </c>
      <c r="B4148" s="2">
        <f>"8994452870101"</f>
        <v/>
      </c>
      <c r="C4148" t="inlineStr">
        <is>
          <t>SLAVINA Ocean Dream Body Wash 350ml</t>
        </is>
      </c>
      <c r="D4148" t="inlineStr">
        <is>
          <t>Miss Glam Jambi</t>
        </is>
      </c>
      <c r="E4148" t="n">
        <v>2</v>
      </c>
      <c r="F4148" t="n">
        <v>0.0264</v>
      </c>
      <c r="G4148" t="n">
        <v>0.33</v>
      </c>
      <c r="H4148" t="n">
        <v>4</v>
      </c>
      <c r="I4148" t="n">
        <v>8</v>
      </c>
      <c r="J4148" t="n">
        <v>3</v>
      </c>
      <c r="K4148" t="n">
        <v>0</v>
      </c>
      <c r="L4148" t="n">
        <v>66751</v>
      </c>
      <c r="M4148" t="n">
        <v>79000</v>
      </c>
      <c r="N4148" t="n">
        <v>33</v>
      </c>
      <c r="O4148" t="n">
        <v>0.33</v>
      </c>
      <c r="P4148" t="n">
        <v>1</v>
      </c>
      <c r="Q4148" t="n">
        <v>0.02</v>
      </c>
      <c r="R4148" t="n">
        <v>1</v>
      </c>
      <c r="S4148" t="n">
        <v>2085.6</v>
      </c>
      <c r="T4148" t="n">
        <v>3</v>
      </c>
      <c r="U4148" t="n">
        <v>4</v>
      </c>
      <c r="V4148" t="n">
        <v>30</v>
      </c>
      <c r="W4148" t="n">
        <v>1</v>
      </c>
      <c r="X4148" t="n">
        <v>75.75757575757575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10700</v>
      </c>
      <c r="AG4148" t="n">
        <v>2378</v>
      </c>
      <c r="AH4148" t="inlineStr">
        <is>
          <t>PT. KURNIA MAJU PERKASA - PPN (PDG)</t>
        </is>
      </c>
      <c r="AI4148" t="n">
        <v>1720</v>
      </c>
      <c r="AJ4148" t="inlineStr">
        <is>
          <t>SLAVINA</t>
        </is>
      </c>
      <c r="AK4148" t="n">
        <v>9</v>
      </c>
      <c r="AL4148" t="inlineStr">
        <is>
          <t>Miss Glam Jambi</t>
        </is>
      </c>
      <c r="AM4148" t="n">
        <v>4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SLAVINA</t>
        </is>
      </c>
      <c r="B4149" s="2">
        <f>"8994452870149"</f>
        <v/>
      </c>
      <c r="C4149" t="inlineStr">
        <is>
          <t>SLAVINA Red Opium Body Lotion 350ml</t>
        </is>
      </c>
      <c r="D4149" t="inlineStr">
        <is>
          <t>Miss Glam Jambi</t>
        </is>
      </c>
      <c r="E4149" t="n">
        <v>16</v>
      </c>
      <c r="F4149" t="n">
        <v>0.4587</v>
      </c>
      <c r="G4149" t="n">
        <v>1.65</v>
      </c>
      <c r="H4149" t="n">
        <v>4</v>
      </c>
      <c r="I4149" t="n">
        <v>8</v>
      </c>
      <c r="J4149" t="n">
        <v>3</v>
      </c>
      <c r="K4149" t="n">
        <v>0</v>
      </c>
      <c r="L4149" t="n">
        <v>60468</v>
      </c>
      <c r="M4149" t="n">
        <v>77000</v>
      </c>
      <c r="N4149" t="n">
        <v>33</v>
      </c>
      <c r="O4149" t="n">
        <v>0.33</v>
      </c>
      <c r="P4149" t="n">
        <v>1</v>
      </c>
      <c r="Q4149" t="n">
        <v>0.49</v>
      </c>
      <c r="R4149" t="n">
        <v>2</v>
      </c>
      <c r="S4149" t="n">
        <v>35319.9</v>
      </c>
      <c r="T4149" t="n">
        <v>12</v>
      </c>
      <c r="U4149" t="n">
        <v>14</v>
      </c>
      <c r="V4149" t="n">
        <v>30</v>
      </c>
      <c r="W4149" t="n">
        <v>14</v>
      </c>
      <c r="X4149" t="n">
        <v>34.88118596032265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10700</v>
      </c>
      <c r="AG4149" t="n">
        <v>2378</v>
      </c>
      <c r="AH4149" t="inlineStr">
        <is>
          <t>PT. KURNIA MAJU PERKASA - PPN (PDG)</t>
        </is>
      </c>
      <c r="AI4149" t="n">
        <v>1720</v>
      </c>
      <c r="AJ4149" t="inlineStr">
        <is>
          <t>SLAVINA</t>
        </is>
      </c>
      <c r="AK4149" t="n">
        <v>9</v>
      </c>
      <c r="AL4149" t="inlineStr">
        <is>
          <t>Miss Glam Jambi</t>
        </is>
      </c>
      <c r="AM4149" t="n">
        <v>4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SLAVINA</t>
        </is>
      </c>
      <c r="B4150" s="2">
        <f>"8994452870156"</f>
        <v/>
      </c>
      <c r="C4150" t="inlineStr">
        <is>
          <t>SLAVINA Red Opium Body Wash 350ml</t>
        </is>
      </c>
      <c r="D4150" t="inlineStr">
        <is>
          <t>Miss Glam Jambi</t>
        </is>
      </c>
      <c r="E4150" t="n">
        <v>10</v>
      </c>
      <c r="F4150" t="n">
        <v>0.0561</v>
      </c>
      <c r="G4150" t="n">
        <v>0.66</v>
      </c>
      <c r="H4150" t="n">
        <v>4</v>
      </c>
      <c r="I4150" t="n">
        <v>8</v>
      </c>
      <c r="J4150" t="n">
        <v>3</v>
      </c>
      <c r="K4150" t="n">
        <v>0</v>
      </c>
      <c r="L4150" t="n">
        <v>59861</v>
      </c>
      <c r="M4150" t="n">
        <v>79000</v>
      </c>
      <c r="N4150" t="n">
        <v>33</v>
      </c>
      <c r="O4150" t="n">
        <v>0.33</v>
      </c>
      <c r="P4150" t="n">
        <v>1</v>
      </c>
      <c r="Q4150" t="n">
        <v>0.14</v>
      </c>
      <c r="R4150" t="n">
        <v>2</v>
      </c>
      <c r="S4150" t="n">
        <v>4431.900000000001</v>
      </c>
      <c r="T4150" t="n">
        <v>6</v>
      </c>
      <c r="U4150" t="n">
        <v>7</v>
      </c>
      <c r="V4150" t="n">
        <v>30</v>
      </c>
      <c r="W4150" t="n">
        <v>2</v>
      </c>
      <c r="X4150" t="n">
        <v>178.25311942959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10700</v>
      </c>
      <c r="AG4150" t="n">
        <v>2378</v>
      </c>
      <c r="AH4150" t="inlineStr">
        <is>
          <t>PT. KURNIA MAJU PERKASA - PPN (PDG)</t>
        </is>
      </c>
      <c r="AI4150" t="n">
        <v>1720</v>
      </c>
      <c r="AJ4150" t="inlineStr">
        <is>
          <t>SLAVINA</t>
        </is>
      </c>
      <c r="AK4150" t="n">
        <v>9</v>
      </c>
      <c r="AL4150" t="inlineStr">
        <is>
          <t>Miss Glam Jambi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SLAVINA</t>
        </is>
      </c>
      <c r="B4151" s="2">
        <f>"8994452870019"</f>
        <v/>
      </c>
      <c r="C4151" t="inlineStr">
        <is>
          <t>SLAVINA Shooting Star Body Lotion 350ml</t>
        </is>
      </c>
      <c r="D4151" t="inlineStr">
        <is>
          <t>Miss Glam Jambi</t>
        </is>
      </c>
      <c r="E4151" t="n">
        <v>6</v>
      </c>
      <c r="F4151" t="n">
        <v>0.1188</v>
      </c>
      <c r="G4151" t="n">
        <v>0.99</v>
      </c>
      <c r="H4151" t="n">
        <v>4</v>
      </c>
      <c r="I4151" t="n">
        <v>8</v>
      </c>
      <c r="J4151" t="n">
        <v>3</v>
      </c>
      <c r="K4151" t="n">
        <v>0</v>
      </c>
      <c r="L4151" t="n">
        <v>63085</v>
      </c>
      <c r="M4151" t="n">
        <v>77000</v>
      </c>
      <c r="N4151" t="n">
        <v>33</v>
      </c>
      <c r="O4151" t="n">
        <v>0.33</v>
      </c>
      <c r="P4151" t="n">
        <v>1</v>
      </c>
      <c r="Q4151" t="n">
        <v>0.05</v>
      </c>
      <c r="R4151" t="n">
        <v>2</v>
      </c>
      <c r="S4151" t="n">
        <v>9147.6</v>
      </c>
      <c r="T4151" t="n">
        <v>8</v>
      </c>
      <c r="U4151" t="n">
        <v>9</v>
      </c>
      <c r="V4151" t="n">
        <v>30</v>
      </c>
      <c r="W4151" t="n">
        <v>4</v>
      </c>
      <c r="X4151" t="n">
        <v>50.50505050505051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10700</v>
      </c>
      <c r="AG4151" t="n">
        <v>2378</v>
      </c>
      <c r="AH4151" t="inlineStr">
        <is>
          <t>PT. KURNIA MAJU PERKASA - PPN (PDG)</t>
        </is>
      </c>
      <c r="AI4151" t="n">
        <v>1720</v>
      </c>
      <c r="AJ4151" t="inlineStr">
        <is>
          <t>SLAVINA</t>
        </is>
      </c>
      <c r="AK4151" t="n">
        <v>9</v>
      </c>
      <c r="AL4151" t="inlineStr">
        <is>
          <t>Miss Glam Jambi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SLAVINA</t>
        </is>
      </c>
      <c r="B4152" s="2">
        <f>"8994452870033"</f>
        <v/>
      </c>
      <c r="C4152" t="inlineStr">
        <is>
          <t>SLAVINA Spill The Night Body Lotion 350ml</t>
        </is>
      </c>
      <c r="D4152" t="inlineStr">
        <is>
          <t>Miss Glam Jambi</t>
        </is>
      </c>
      <c r="E4152" t="n">
        <v>10</v>
      </c>
      <c r="F4152" t="n">
        <v>0.2178</v>
      </c>
      <c r="G4152" t="n">
        <v>0.99</v>
      </c>
      <c r="H4152" t="n">
        <v>4</v>
      </c>
      <c r="I4152" t="n">
        <v>8</v>
      </c>
      <c r="J4152" t="n">
        <v>3</v>
      </c>
      <c r="K4152" t="n">
        <v>0</v>
      </c>
      <c r="L4152" t="n">
        <v>62030</v>
      </c>
      <c r="M4152" t="n">
        <v>77000</v>
      </c>
      <c r="N4152" t="n">
        <v>33</v>
      </c>
      <c r="O4152" t="n">
        <v>0.33</v>
      </c>
      <c r="P4152" t="n">
        <v>1</v>
      </c>
      <c r="Q4152" t="n">
        <v>0.27</v>
      </c>
      <c r="R4152" t="n">
        <v>1</v>
      </c>
      <c r="S4152" t="n">
        <v>16770.6</v>
      </c>
      <c r="T4152" t="n">
        <v>8</v>
      </c>
      <c r="U4152" t="n">
        <v>9</v>
      </c>
      <c r="V4152" t="n">
        <v>30</v>
      </c>
      <c r="W4152" t="n">
        <v>7</v>
      </c>
      <c r="X4152" t="n">
        <v>45.91368227731864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10700</v>
      </c>
      <c r="AG4152" t="n">
        <v>2378</v>
      </c>
      <c r="AH4152" t="inlineStr">
        <is>
          <t>PT. KURNIA MAJU PERKASA - PPN (PDG)</t>
        </is>
      </c>
      <c r="AI4152" t="n">
        <v>1720</v>
      </c>
      <c r="AJ4152" t="inlineStr">
        <is>
          <t>SLAVINA</t>
        </is>
      </c>
      <c r="AK4152" t="n">
        <v>9</v>
      </c>
      <c r="AL4152" t="inlineStr">
        <is>
          <t>Miss Glam Jambi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SLAVINA</t>
        </is>
      </c>
      <c r="B4153" s="2">
        <f>"8994452870026"</f>
        <v/>
      </c>
      <c r="C4153" t="inlineStr">
        <is>
          <t>SLAVINA Spill The Night Body Wash 350ml</t>
        </is>
      </c>
      <c r="D4153" t="inlineStr">
        <is>
          <t>Miss Glam Jambi</t>
        </is>
      </c>
      <c r="E4153" t="n">
        <v>7</v>
      </c>
      <c r="F4153" t="n">
        <v>0.0462</v>
      </c>
      <c r="G4153" t="n">
        <v>0.66</v>
      </c>
      <c r="H4153" t="n">
        <v>4</v>
      </c>
      <c r="I4153" t="n">
        <v>8</v>
      </c>
      <c r="J4153" t="n">
        <v>3</v>
      </c>
      <c r="K4153" t="n">
        <v>0</v>
      </c>
      <c r="L4153" t="n">
        <v>60303</v>
      </c>
      <c r="M4153" t="n">
        <v>79000</v>
      </c>
      <c r="N4153" t="n">
        <v>33</v>
      </c>
      <c r="O4153" t="n">
        <v>0.33</v>
      </c>
      <c r="P4153" t="n">
        <v>1</v>
      </c>
      <c r="Q4153" t="n">
        <v>0.15</v>
      </c>
      <c r="R4153" t="n">
        <v>2</v>
      </c>
      <c r="S4153" t="n">
        <v>3649.8</v>
      </c>
      <c r="T4153" t="n">
        <v>6</v>
      </c>
      <c r="U4153" t="n">
        <v>7</v>
      </c>
      <c r="V4153" t="n">
        <v>30</v>
      </c>
      <c r="W4153" t="n">
        <v>2</v>
      </c>
      <c r="X4153" t="n">
        <v>151.5151515151515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10700</v>
      </c>
      <c r="AG4153" t="n">
        <v>2378</v>
      </c>
      <c r="AH4153" t="inlineStr">
        <is>
          <t>PT. KURNIA MAJU PERKASA - PPN (PDG)</t>
        </is>
      </c>
      <c r="AI4153" t="n">
        <v>1720</v>
      </c>
      <c r="AJ4153" t="inlineStr">
        <is>
          <t>SLAVINA</t>
        </is>
      </c>
      <c r="AK4153" t="n">
        <v>9</v>
      </c>
      <c r="AL4153" t="inlineStr">
        <is>
          <t>Miss Glam Jambi</t>
        </is>
      </c>
      <c r="AM4153" t="n">
        <v>4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SOMETHINC</t>
        </is>
      </c>
      <c r="B4154" s="2">
        <f>"8997209270186"</f>
        <v/>
      </c>
      <c r="C4154" t="inlineStr">
        <is>
          <t>SOMETHINC  Copy Paste Breathable Cushion Perle 15g</t>
        </is>
      </c>
      <c r="D4154" t="inlineStr">
        <is>
          <t>Miss Glam Jambi</t>
        </is>
      </c>
      <c r="E4154" t="n">
        <v>2</v>
      </c>
      <c r="F4154" t="n">
        <v>0.009900000000000001</v>
      </c>
      <c r="G4154" t="n">
        <v>0.33</v>
      </c>
      <c r="H4154" t="n">
        <v>2</v>
      </c>
      <c r="I4154" t="n">
        <v>13</v>
      </c>
      <c r="J4154" t="n">
        <v>3</v>
      </c>
      <c r="K4154" t="n">
        <v>0</v>
      </c>
      <c r="L4154" t="n">
        <v>141750</v>
      </c>
      <c r="M4154" t="n">
        <v>163000</v>
      </c>
      <c r="N4154" t="n">
        <v>33</v>
      </c>
      <c r="O4154" t="n">
        <v>0.33</v>
      </c>
      <c r="P4154" t="n">
        <v>1</v>
      </c>
      <c r="Q4154" t="n">
        <v>0.12</v>
      </c>
      <c r="R4154" t="n">
        <v>2</v>
      </c>
      <c r="S4154" t="n">
        <v>1613.7</v>
      </c>
      <c r="T4154" t="n">
        <v>5</v>
      </c>
      <c r="U4154" t="n">
        <v>6</v>
      </c>
      <c r="V4154" t="n">
        <v>30</v>
      </c>
      <c r="W4154" t="n">
        <v>1</v>
      </c>
      <c r="X4154" t="n">
        <v>202.020202020202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1081</v>
      </c>
      <c r="AG4154" t="n">
        <v>2318</v>
      </c>
      <c r="AH4154" t="inlineStr">
        <is>
          <t>CV. KIANO SUKSES MANDIRI - PPN (JMB)</t>
        </is>
      </c>
      <c r="AI4154" t="n">
        <v>54</v>
      </c>
      <c r="AJ4154" t="inlineStr">
        <is>
          <t>SOMETHINC</t>
        </is>
      </c>
      <c r="AK4154" t="n">
        <v>9</v>
      </c>
      <c r="AL4154" t="inlineStr">
        <is>
          <t>Miss Glam Jambi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SOMETHINC</t>
        </is>
      </c>
      <c r="B4155" s="2">
        <f>"8991752001679"</f>
        <v/>
      </c>
      <c r="C4155" t="inlineStr">
        <is>
          <t>SOMETHINC (REFILL) Ceramic Skin Saviour Moisturizer Gel - 50ml</t>
        </is>
      </c>
      <c r="D4155" t="inlineStr">
        <is>
          <t>Miss Glam Jambi</t>
        </is>
      </c>
      <c r="E4155" t="n">
        <v>1</v>
      </c>
      <c r="F4155" t="n">
        <v>0.03</v>
      </c>
      <c r="G4155" t="n">
        <v>1</v>
      </c>
      <c r="H4155" t="n">
        <v>2</v>
      </c>
      <c r="I4155" t="n">
        <v>13</v>
      </c>
      <c r="J4155" t="n">
        <v>3</v>
      </c>
      <c r="K4155" t="n">
        <v>0</v>
      </c>
      <c r="L4155" t="n">
        <v>171750</v>
      </c>
      <c r="M4155" t="n">
        <v>203000</v>
      </c>
      <c r="N4155" t="n">
        <v>33</v>
      </c>
      <c r="O4155" t="n">
        <v>0.33</v>
      </c>
      <c r="P4155" t="n">
        <v>0</v>
      </c>
      <c r="Q4155" t="n">
        <v>0.03</v>
      </c>
      <c r="R4155" t="n">
        <v>1</v>
      </c>
      <c r="S4155" t="n">
        <v>6090</v>
      </c>
      <c r="T4155" t="n">
        <v>13</v>
      </c>
      <c r="U4155" t="n">
        <v>14</v>
      </c>
      <c r="V4155" t="n">
        <v>30</v>
      </c>
      <c r="W4155" t="n">
        <v>1</v>
      </c>
      <c r="X4155" t="n">
        <v>33.33333333333334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1081</v>
      </c>
      <c r="AG4155" t="n">
        <v>2318</v>
      </c>
      <c r="AH4155" t="inlineStr">
        <is>
          <t>CV. KIANO SUKSES MANDIRI - PPN (JMB)</t>
        </is>
      </c>
      <c r="AI4155" t="n">
        <v>54</v>
      </c>
      <c r="AJ4155" t="inlineStr">
        <is>
          <t>SOMETHINC</t>
        </is>
      </c>
      <c r="AK4155" t="n">
        <v>9</v>
      </c>
      <c r="AL4155" t="inlineStr">
        <is>
          <t>Miss Glam Jambi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SOMETHINC</t>
        </is>
      </c>
      <c r="B4156" s="2">
        <f>"8997209271282"</f>
        <v/>
      </c>
      <c r="C4156" t="inlineStr">
        <is>
          <t>SOMETHINC A.S.A.P  Eyelash &amp; Brow Treatment Serum 3.5ml</t>
        </is>
      </c>
      <c r="D4156" t="inlineStr">
        <is>
          <t>Miss Glam Jambi</t>
        </is>
      </c>
      <c r="E4156" t="n">
        <v>0</v>
      </c>
      <c r="F4156" t="n">
        <v>0.009900000000000001</v>
      </c>
      <c r="G4156" t="n">
        <v>0.33</v>
      </c>
      <c r="H4156" t="n">
        <v>2</v>
      </c>
      <c r="I4156" t="n">
        <v>13</v>
      </c>
      <c r="J4156" t="n">
        <v>3</v>
      </c>
      <c r="K4156" t="n">
        <v>0</v>
      </c>
      <c r="L4156" t="n">
        <v>63750</v>
      </c>
      <c r="M4156" t="n">
        <v>85000</v>
      </c>
      <c r="N4156" t="n">
        <v>33</v>
      </c>
      <c r="O4156" t="n">
        <v>0.33</v>
      </c>
      <c r="P4156" t="n">
        <v>1</v>
      </c>
      <c r="Q4156" t="n">
        <v>0.09</v>
      </c>
      <c r="R4156" t="n">
        <v>2</v>
      </c>
      <c r="S4156" t="n">
        <v>841.5000000000001</v>
      </c>
      <c r="T4156" t="n">
        <v>5</v>
      </c>
      <c r="U4156" t="n">
        <v>6</v>
      </c>
      <c r="V4156" t="n">
        <v>30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n">
        <v>0</v>
      </c>
      <c r="AC4156" t="n">
        <v>0</v>
      </c>
      <c r="AD4156" t="n">
        <v>63750</v>
      </c>
      <c r="AE4156" t="n">
        <v>0</v>
      </c>
      <c r="AF4156" t="n">
        <v>1081</v>
      </c>
      <c r="AG4156" t="n">
        <v>2318</v>
      </c>
      <c r="AH4156" t="inlineStr">
        <is>
          <t>CV. KIANO SUKSES MANDIRI - PPN (JMB)</t>
        </is>
      </c>
      <c r="AI4156" t="n">
        <v>54</v>
      </c>
      <c r="AJ4156" t="inlineStr">
        <is>
          <t>SOMETHINC</t>
        </is>
      </c>
      <c r="AK4156" t="n">
        <v>9</v>
      </c>
      <c r="AL4156" t="inlineStr">
        <is>
          <t>Miss Glam Jambi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SOMETHINC</t>
        </is>
      </c>
      <c r="B4157" s="2">
        <f>"8991752000771"</f>
        <v/>
      </c>
      <c r="C4157" t="inlineStr">
        <is>
          <t>SOMETHINC Acnedot Low PH Jelly  Cleanser 100 ml</t>
        </is>
      </c>
      <c r="D4157" t="inlineStr">
        <is>
          <t>Miss Glam Jambi</t>
        </is>
      </c>
      <c r="E4157" t="n">
        <v>0</v>
      </c>
      <c r="F4157" t="n">
        <v>0.0561</v>
      </c>
      <c r="G4157" t="n">
        <v>0.66</v>
      </c>
      <c r="H4157" t="n">
        <v>2</v>
      </c>
      <c r="I4157" t="n">
        <v>13</v>
      </c>
      <c r="J4157" t="n">
        <v>3</v>
      </c>
      <c r="K4157" t="n">
        <v>3</v>
      </c>
      <c r="L4157" t="n">
        <v>76500</v>
      </c>
      <c r="M4157" t="n">
        <v>102000</v>
      </c>
      <c r="N4157" t="n">
        <v>33</v>
      </c>
      <c r="O4157" t="n">
        <v>0.33</v>
      </c>
      <c r="P4157" t="n">
        <v>1</v>
      </c>
      <c r="Q4157" t="n">
        <v>0.03</v>
      </c>
      <c r="R4157" t="n">
        <v>1</v>
      </c>
      <c r="S4157" t="n">
        <v>5722.200000000001</v>
      </c>
      <c r="T4157" t="n">
        <v>9</v>
      </c>
      <c r="U4157" t="n">
        <v>10</v>
      </c>
      <c r="V4157" t="n">
        <v>30</v>
      </c>
      <c r="W4157" t="n">
        <v>2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1081</v>
      </c>
      <c r="AG4157" t="n">
        <v>2318</v>
      </c>
      <c r="AH4157" t="inlineStr">
        <is>
          <t>CV. KIANO SUKSES MANDIRI - PPN (JMB)</t>
        </is>
      </c>
      <c r="AI4157" t="n">
        <v>54</v>
      </c>
      <c r="AJ4157" t="inlineStr">
        <is>
          <t>SOMETHINC</t>
        </is>
      </c>
      <c r="AK4157" t="n">
        <v>9</v>
      </c>
      <c r="AL4157" t="inlineStr">
        <is>
          <t>Miss Glam Jambi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SOMETHINC</t>
        </is>
      </c>
      <c r="B4158" s="2">
        <f>"11200315115"</f>
        <v/>
      </c>
      <c r="C4158" t="inlineStr">
        <is>
          <t>SOMETHINC Advanced Peeling 20% AHA BHA PHA LHA Serum - 20ml</t>
        </is>
      </c>
      <c r="D4158" t="inlineStr">
        <is>
          <t>Miss Glam Jambi</t>
        </is>
      </c>
      <c r="E4158" t="n">
        <v>7</v>
      </c>
      <c r="F4158" t="n">
        <v>0.0495</v>
      </c>
      <c r="G4158" t="n">
        <v>0.33</v>
      </c>
      <c r="H4158" t="n">
        <v>2</v>
      </c>
      <c r="I4158" t="n">
        <v>13</v>
      </c>
      <c r="J4158" t="n">
        <v>1</v>
      </c>
      <c r="K4158" t="n">
        <v>0</v>
      </c>
      <c r="L4158" t="n">
        <v>104250</v>
      </c>
      <c r="M4158" t="n">
        <v>139000</v>
      </c>
      <c r="N4158" t="n">
        <v>33</v>
      </c>
      <c r="O4158" t="n">
        <v>0.33</v>
      </c>
      <c r="P4158" t="n">
        <v>1</v>
      </c>
      <c r="Q4158" t="n">
        <v>0.07000000000000001</v>
      </c>
      <c r="R4158" t="n">
        <v>1</v>
      </c>
      <c r="S4158" t="n">
        <v>6880.5</v>
      </c>
      <c r="T4158" t="n">
        <v>5</v>
      </c>
      <c r="U4158" t="n">
        <v>6</v>
      </c>
      <c r="V4158" t="n">
        <v>30</v>
      </c>
      <c r="W4158" t="n">
        <v>2</v>
      </c>
      <c r="X4158" t="n">
        <v>141.4141414141414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1081</v>
      </c>
      <c r="AG4158" t="n">
        <v>2318</v>
      </c>
      <c r="AH4158" t="inlineStr">
        <is>
          <t>CV. KIANO SUKSES MANDIRI - PPN (JMB)</t>
        </is>
      </c>
      <c r="AI4158" t="n">
        <v>54</v>
      </c>
      <c r="AJ4158" t="inlineStr">
        <is>
          <t>SOMETHINC</t>
        </is>
      </c>
      <c r="AK4158" t="n">
        <v>9</v>
      </c>
      <c r="AL4158" t="inlineStr">
        <is>
          <t>Miss Glam Jambi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SOMETHINC</t>
        </is>
      </c>
      <c r="B4159" s="2">
        <f>"8997209278625"</f>
        <v/>
      </c>
      <c r="C4159" t="inlineStr">
        <is>
          <t>SOMETHINC Axillary Brightening Cream 15ml</t>
        </is>
      </c>
      <c r="D4159" t="inlineStr">
        <is>
          <t>Miss Glam Jambi</t>
        </is>
      </c>
      <c r="E4159" t="n">
        <v>0</v>
      </c>
      <c r="F4159" t="n">
        <v>0.03</v>
      </c>
      <c r="G4159" t="n">
        <v>1</v>
      </c>
      <c r="H4159" t="n">
        <v>2</v>
      </c>
      <c r="I4159" t="n">
        <v>13</v>
      </c>
      <c r="J4159" t="n">
        <v>3</v>
      </c>
      <c r="K4159" t="n">
        <v>0</v>
      </c>
      <c r="L4159" t="n">
        <v>59250</v>
      </c>
      <c r="M4159" t="n">
        <v>70000</v>
      </c>
      <c r="N4159" t="n">
        <v>33</v>
      </c>
      <c r="O4159" t="n">
        <v>0.33</v>
      </c>
      <c r="P4159" t="n">
        <v>0</v>
      </c>
      <c r="Q4159" t="n">
        <v>0.03</v>
      </c>
      <c r="R4159" t="n">
        <v>1</v>
      </c>
      <c r="S4159" t="n">
        <v>2100</v>
      </c>
      <c r="T4159" t="n">
        <v>13</v>
      </c>
      <c r="U4159" t="n">
        <v>14</v>
      </c>
      <c r="V4159" t="n">
        <v>30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n">
        <v>0</v>
      </c>
      <c r="AC4159" t="n">
        <v>0</v>
      </c>
      <c r="AD4159" t="n">
        <v>59250</v>
      </c>
      <c r="AE4159" t="n">
        <v>0</v>
      </c>
      <c r="AF4159" t="n">
        <v>1081</v>
      </c>
      <c r="AG4159" t="n">
        <v>2318</v>
      </c>
      <c r="AH4159" t="inlineStr">
        <is>
          <t>CV. KIANO SUKSES MANDIRI - PPN (JMB)</t>
        </is>
      </c>
      <c r="AI4159" t="n">
        <v>54</v>
      </c>
      <c r="AJ4159" t="inlineStr">
        <is>
          <t>SOMETHINC</t>
        </is>
      </c>
      <c r="AK4159" t="n">
        <v>9</v>
      </c>
      <c r="AL4159" t="inlineStr">
        <is>
          <t>Miss Glam Jambi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SOMETHINC</t>
        </is>
      </c>
      <c r="B4160" s="2">
        <f>"20200469941"</f>
        <v/>
      </c>
      <c r="C4160" t="inlineStr">
        <is>
          <t>SOMETHINC Brow Filler Slim Retractable Eyebrow Chocolate</t>
        </is>
      </c>
      <c r="D4160" t="inlineStr">
        <is>
          <t>Miss Glam Jambi</t>
        </is>
      </c>
      <c r="E4160" t="n">
        <v>2</v>
      </c>
      <c r="F4160" t="n">
        <v>0.02</v>
      </c>
      <c r="G4160" t="n">
        <v>1</v>
      </c>
      <c r="H4160" t="n">
        <v>2</v>
      </c>
      <c r="I4160" t="n">
        <v>13</v>
      </c>
      <c r="J4160" t="n">
        <v>1</v>
      </c>
      <c r="K4160" t="n">
        <v>0</v>
      </c>
      <c r="L4160" t="n">
        <v>51750</v>
      </c>
      <c r="M4160" t="n">
        <v>69000</v>
      </c>
      <c r="N4160" t="n">
        <v>33</v>
      </c>
      <c r="O4160" t="n">
        <v>0.33</v>
      </c>
      <c r="P4160" t="n">
        <v>0</v>
      </c>
      <c r="Q4160" t="n">
        <v>0.02</v>
      </c>
      <c r="R4160" t="n">
        <v>1</v>
      </c>
      <c r="S4160" t="n">
        <v>1380</v>
      </c>
      <c r="T4160" t="n">
        <v>13</v>
      </c>
      <c r="U4160" t="n">
        <v>14</v>
      </c>
      <c r="V4160" t="n">
        <v>30</v>
      </c>
      <c r="W4160" t="n">
        <v>1</v>
      </c>
      <c r="X4160" t="n">
        <v>100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1081</v>
      </c>
      <c r="AG4160" t="n">
        <v>2318</v>
      </c>
      <c r="AH4160" t="inlineStr">
        <is>
          <t>CV. KIANO SUKSES MANDIRI - PPN (JMB)</t>
        </is>
      </c>
      <c r="AI4160" t="n">
        <v>54</v>
      </c>
      <c r="AJ4160" t="inlineStr">
        <is>
          <t>SOMETHINC</t>
        </is>
      </c>
      <c r="AK4160" t="n">
        <v>9</v>
      </c>
      <c r="AL4160" t="inlineStr">
        <is>
          <t>Miss Glam Jambi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SOMETHINC</t>
        </is>
      </c>
      <c r="B4161" s="2">
        <f>"20200470134"</f>
        <v/>
      </c>
      <c r="C4161" t="inlineStr">
        <is>
          <t>SOMETHINC Brow Filler Slim Retractable Eyebrow Dark Brown</t>
        </is>
      </c>
      <c r="D4161" t="inlineStr">
        <is>
          <t>Miss Glam Jambi</t>
        </is>
      </c>
      <c r="E4161" t="n">
        <v>7</v>
      </c>
      <c r="F4161" t="n">
        <v>0.009900000000000001</v>
      </c>
      <c r="G4161" t="n">
        <v>0.33</v>
      </c>
      <c r="H4161" t="n">
        <v>2</v>
      </c>
      <c r="I4161" t="n">
        <v>13</v>
      </c>
      <c r="J4161" t="n">
        <v>1</v>
      </c>
      <c r="K4161" t="n">
        <v>0</v>
      </c>
      <c r="L4161" t="n">
        <v>51750</v>
      </c>
      <c r="M4161" t="n">
        <v>69000</v>
      </c>
      <c r="N4161" t="n">
        <v>33</v>
      </c>
      <c r="O4161" t="n">
        <v>0.33</v>
      </c>
      <c r="P4161" t="n">
        <v>1</v>
      </c>
      <c r="Q4161" t="n">
        <v>0.14</v>
      </c>
      <c r="R4161" t="n">
        <v>1</v>
      </c>
      <c r="S4161" t="n">
        <v>683.1</v>
      </c>
      <c r="T4161" t="n">
        <v>5</v>
      </c>
      <c r="U4161" t="n">
        <v>6</v>
      </c>
      <c r="V4161" t="n">
        <v>30</v>
      </c>
      <c r="W4161" t="n">
        <v>1</v>
      </c>
      <c r="X4161" t="n">
        <v>707.070707070707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1081</v>
      </c>
      <c r="AG4161" t="n">
        <v>2318</v>
      </c>
      <c r="AH4161" t="inlineStr">
        <is>
          <t>CV. KIANO SUKSES MANDIRI - PPN (JMB)</t>
        </is>
      </c>
      <c r="AI4161" t="n">
        <v>54</v>
      </c>
      <c r="AJ4161" t="inlineStr">
        <is>
          <t>SOMETHINC</t>
        </is>
      </c>
      <c r="AK4161" t="n">
        <v>9</v>
      </c>
      <c r="AL4161" t="inlineStr">
        <is>
          <t>Miss Glam Jambi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SOMETHINC</t>
        </is>
      </c>
      <c r="B4162" s="2">
        <f>"20200470041"</f>
        <v/>
      </c>
      <c r="C4162" t="inlineStr">
        <is>
          <t>SOMETHINC Brow Filler Slim Retractable Eyebrow Grey Brown</t>
        </is>
      </c>
      <c r="D4162" t="inlineStr">
        <is>
          <t>Miss Glam Jambi</t>
        </is>
      </c>
      <c r="E4162" t="n">
        <v>6</v>
      </c>
      <c r="F4162" t="n">
        <v>0.0264</v>
      </c>
      <c r="G4162" t="n">
        <v>0.33</v>
      </c>
      <c r="H4162" t="n">
        <v>2</v>
      </c>
      <c r="I4162" t="n">
        <v>13</v>
      </c>
      <c r="J4162" t="n">
        <v>1</v>
      </c>
      <c r="K4162" t="n">
        <v>0</v>
      </c>
      <c r="L4162" t="n">
        <v>51750</v>
      </c>
      <c r="M4162" t="n">
        <v>69000</v>
      </c>
      <c r="N4162" t="n">
        <v>33</v>
      </c>
      <c r="O4162" t="n">
        <v>0.33</v>
      </c>
      <c r="P4162" t="n">
        <v>1</v>
      </c>
      <c r="Q4162" t="n">
        <v>0.14</v>
      </c>
      <c r="R4162" t="n">
        <v>1</v>
      </c>
      <c r="S4162" t="n">
        <v>1821.6</v>
      </c>
      <c r="T4162" t="n">
        <v>5</v>
      </c>
      <c r="U4162" t="n">
        <v>6</v>
      </c>
      <c r="V4162" t="n">
        <v>30</v>
      </c>
      <c r="W4162" t="n">
        <v>1</v>
      </c>
      <c r="X4162" t="n">
        <v>227.2727272727273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1081</v>
      </c>
      <c r="AG4162" t="n">
        <v>2318</v>
      </c>
      <c r="AH4162" t="inlineStr">
        <is>
          <t>CV. KIANO SUKSES MANDIRI - PPN (JMB)</t>
        </is>
      </c>
      <c r="AI4162" t="n">
        <v>54</v>
      </c>
      <c r="AJ4162" t="inlineStr">
        <is>
          <t>SOMETHINC</t>
        </is>
      </c>
      <c r="AK4162" t="n">
        <v>9</v>
      </c>
      <c r="AL4162" t="inlineStr">
        <is>
          <t>Miss Glam Jambi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SOMETHINC</t>
        </is>
      </c>
      <c r="B4163" s="2">
        <f>"8997209270506"</f>
        <v/>
      </c>
      <c r="C4163" t="inlineStr">
        <is>
          <t>SOMETHINC Brow Matters Dark Brown</t>
        </is>
      </c>
      <c r="D4163" t="inlineStr">
        <is>
          <t>Miss Glam Jambi</t>
        </is>
      </c>
      <c r="E4163" t="n">
        <v>2</v>
      </c>
      <c r="F4163" t="n">
        <v>0.15</v>
      </c>
      <c r="G4163" t="n">
        <v>2</v>
      </c>
      <c r="H4163" t="n">
        <v>2</v>
      </c>
      <c r="I4163" t="n">
        <v>13</v>
      </c>
      <c r="J4163" t="n">
        <v>3</v>
      </c>
      <c r="K4163" t="n">
        <v>3</v>
      </c>
      <c r="L4163" t="n">
        <v>46607</v>
      </c>
      <c r="M4163" t="n">
        <v>65000</v>
      </c>
      <c r="N4163" t="n">
        <v>33</v>
      </c>
      <c r="O4163" t="n">
        <v>0.33</v>
      </c>
      <c r="P4163" t="n">
        <v>0</v>
      </c>
      <c r="Q4163" t="n">
        <v>0.15</v>
      </c>
      <c r="R4163" t="n">
        <v>2</v>
      </c>
      <c r="S4163" t="n">
        <v>9750</v>
      </c>
      <c r="T4163" t="n">
        <v>26</v>
      </c>
      <c r="U4163" t="n">
        <v>27</v>
      </c>
      <c r="V4163" t="n">
        <v>30</v>
      </c>
      <c r="W4163" t="n">
        <v>5</v>
      </c>
      <c r="X4163" t="n">
        <v>13.33333333333333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1081</v>
      </c>
      <c r="AG4163" t="n">
        <v>2318</v>
      </c>
      <c r="AH4163" t="inlineStr">
        <is>
          <t>CV. KIANO SUKSES MANDIRI - PPN (JMB)</t>
        </is>
      </c>
      <c r="AI4163" t="n">
        <v>54</v>
      </c>
      <c r="AJ4163" t="inlineStr">
        <is>
          <t>SOMETHINC</t>
        </is>
      </c>
      <c r="AK4163" t="n">
        <v>9</v>
      </c>
      <c r="AL4163" t="inlineStr">
        <is>
          <t>Miss Glam Jambi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SOMETHINC</t>
        </is>
      </c>
      <c r="B4164" s="2">
        <f>"8997209270438"</f>
        <v/>
      </c>
      <c r="C4164" t="inlineStr">
        <is>
          <t>SOMETHINC Brow Wiz Dark Chocolate</t>
        </is>
      </c>
      <c r="D4164" t="inlineStr">
        <is>
          <t>Miss Glam Jambi</t>
        </is>
      </c>
      <c r="E4164" t="n">
        <v>1</v>
      </c>
      <c r="F4164" t="n">
        <v>0.02</v>
      </c>
      <c r="G4164" t="n">
        <v>1</v>
      </c>
      <c r="H4164" t="n">
        <v>2</v>
      </c>
      <c r="I4164" t="n">
        <v>13</v>
      </c>
      <c r="J4164" t="n">
        <v>3</v>
      </c>
      <c r="K4164" t="n">
        <v>0</v>
      </c>
      <c r="L4164" t="n">
        <v>48750</v>
      </c>
      <c r="M4164" t="n">
        <v>69000</v>
      </c>
      <c r="N4164" t="n">
        <v>33</v>
      </c>
      <c r="O4164" t="n">
        <v>0.33</v>
      </c>
      <c r="P4164" t="n">
        <v>0</v>
      </c>
      <c r="Q4164" t="n">
        <v>0.02</v>
      </c>
      <c r="R4164" t="n">
        <v>1</v>
      </c>
      <c r="S4164" t="n">
        <v>1380</v>
      </c>
      <c r="T4164" t="n">
        <v>13</v>
      </c>
      <c r="U4164" t="n">
        <v>14</v>
      </c>
      <c r="V4164" t="n">
        <v>30</v>
      </c>
      <c r="W4164" t="n">
        <v>1</v>
      </c>
      <c r="X4164" t="n">
        <v>50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1081</v>
      </c>
      <c r="AG4164" t="n">
        <v>2318</v>
      </c>
      <c r="AH4164" t="inlineStr">
        <is>
          <t>CV. KIANO SUKSES MANDIRI - PPN (JMB)</t>
        </is>
      </c>
      <c r="AI4164" t="n">
        <v>54</v>
      </c>
      <c r="AJ4164" t="inlineStr">
        <is>
          <t>SOMETHINC</t>
        </is>
      </c>
      <c r="AK4164" t="n">
        <v>9</v>
      </c>
      <c r="AL4164" t="inlineStr">
        <is>
          <t>Miss Glam Jambi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SOMETHINC</t>
        </is>
      </c>
      <c r="B4165" s="2">
        <f>"8997209270445"</f>
        <v/>
      </c>
      <c r="C4165" t="inlineStr">
        <is>
          <t>SOMETHINC Brow Wiz Gray Brown</t>
        </is>
      </c>
      <c r="D4165" t="inlineStr">
        <is>
          <t>Miss Glam Jambi</t>
        </is>
      </c>
      <c r="E4165" t="n">
        <v>3</v>
      </c>
      <c r="F4165" t="n">
        <v>0.0396</v>
      </c>
      <c r="G4165" t="n">
        <v>0.33</v>
      </c>
      <c r="H4165" t="n">
        <v>2</v>
      </c>
      <c r="I4165" t="n">
        <v>13</v>
      </c>
      <c r="J4165" t="n">
        <v>3</v>
      </c>
      <c r="K4165" t="n">
        <v>0</v>
      </c>
      <c r="L4165" t="n">
        <v>51750</v>
      </c>
      <c r="M4165" t="n">
        <v>69000</v>
      </c>
      <c r="N4165" t="n">
        <v>33</v>
      </c>
      <c r="O4165" t="n">
        <v>0.33</v>
      </c>
      <c r="P4165" t="n">
        <v>1</v>
      </c>
      <c r="Q4165" t="n">
        <v>0.14</v>
      </c>
      <c r="R4165" t="n">
        <v>1</v>
      </c>
      <c r="S4165" t="n">
        <v>2732.4</v>
      </c>
      <c r="T4165" t="n">
        <v>5</v>
      </c>
      <c r="U4165" t="n">
        <v>6</v>
      </c>
      <c r="V4165" t="n">
        <v>30</v>
      </c>
      <c r="W4165" t="n">
        <v>2</v>
      </c>
      <c r="X4165" t="n">
        <v>75.75757575757575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1081</v>
      </c>
      <c r="AG4165" t="n">
        <v>2318</v>
      </c>
      <c r="AH4165" t="inlineStr">
        <is>
          <t>CV. KIANO SUKSES MANDIRI - PPN (JMB)</t>
        </is>
      </c>
      <c r="AI4165" t="n">
        <v>54</v>
      </c>
      <c r="AJ4165" t="inlineStr">
        <is>
          <t>SOMETHINC</t>
        </is>
      </c>
      <c r="AK4165" t="n">
        <v>9</v>
      </c>
      <c r="AL4165" t="inlineStr">
        <is>
          <t>Miss Glam Jambi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SOMETHINC</t>
        </is>
      </c>
      <c r="B4166" s="2">
        <f>"20200469510"</f>
        <v/>
      </c>
      <c r="C4166" t="inlineStr">
        <is>
          <t>SOMETHINC Browcara 24 Hold Waterproof Brow Gel Blonde 3ml</t>
        </is>
      </c>
      <c r="D4166" t="inlineStr">
        <is>
          <t>Miss Glam Jambi</t>
        </is>
      </c>
      <c r="E4166" t="n">
        <v>0</v>
      </c>
      <c r="F4166" t="n">
        <v>0.006600000000000001</v>
      </c>
      <c r="G4166" t="n">
        <v>0</v>
      </c>
      <c r="H4166" t="n">
        <v>2</v>
      </c>
      <c r="I4166" t="n">
        <v>13</v>
      </c>
      <c r="J4166" t="n">
        <v>1</v>
      </c>
      <c r="K4166" t="n">
        <v>0</v>
      </c>
      <c r="L4166" t="n">
        <v>66750</v>
      </c>
      <c r="M4166" t="n">
        <v>89000</v>
      </c>
      <c r="N4166" t="n">
        <v>33</v>
      </c>
      <c r="O4166" t="n">
        <v>0.33</v>
      </c>
      <c r="P4166" t="n">
        <v>1</v>
      </c>
      <c r="Q4166" t="n">
        <v>0.04</v>
      </c>
      <c r="R4166" t="n">
        <v>1</v>
      </c>
      <c r="S4166" t="n">
        <v>587.4000000000001</v>
      </c>
      <c r="T4166" t="n">
        <v>0</v>
      </c>
      <c r="U4166" t="n">
        <v>1</v>
      </c>
      <c r="V4166" t="n">
        <v>30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n">
        <v>0</v>
      </c>
      <c r="AC4166" t="n">
        <v>0</v>
      </c>
      <c r="AD4166" t="n">
        <v>66750</v>
      </c>
      <c r="AE4166" t="n">
        <v>0</v>
      </c>
      <c r="AF4166" t="n">
        <v>1081</v>
      </c>
      <c r="AG4166" t="n">
        <v>2318</v>
      </c>
      <c r="AH4166" t="inlineStr">
        <is>
          <t>CV. KIANO SUKSES MANDIRI - PPN (JMB)</t>
        </is>
      </c>
      <c r="AI4166" t="n">
        <v>54</v>
      </c>
      <c r="AJ4166" t="inlineStr">
        <is>
          <t>SOMETHINC</t>
        </is>
      </c>
      <c r="AK4166" t="n">
        <v>9</v>
      </c>
      <c r="AL4166" t="inlineStr">
        <is>
          <t>Miss Glam Jambi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SOMETHINC</t>
        </is>
      </c>
      <c r="B4167" s="2">
        <f>"20200469820"</f>
        <v/>
      </c>
      <c r="C4167" t="inlineStr">
        <is>
          <t>SOMETHINC Browcara 24 Hold Waterproof Brow Gel Clear 3ml</t>
        </is>
      </c>
      <c r="D4167" t="inlineStr">
        <is>
          <t>Miss Glam Jambi</t>
        </is>
      </c>
      <c r="E4167" t="n">
        <v>0</v>
      </c>
      <c r="F4167" t="n">
        <v>0.0297</v>
      </c>
      <c r="G4167" t="n">
        <v>0.33</v>
      </c>
      <c r="H4167" t="n">
        <v>2</v>
      </c>
      <c r="I4167" t="n">
        <v>13</v>
      </c>
      <c r="J4167" t="n">
        <v>1</v>
      </c>
      <c r="K4167" t="n">
        <v>0</v>
      </c>
      <c r="L4167" t="n">
        <v>66750</v>
      </c>
      <c r="M4167" t="n">
        <v>89000</v>
      </c>
      <c r="N4167" t="n">
        <v>33</v>
      </c>
      <c r="O4167" t="n">
        <v>0.33</v>
      </c>
      <c r="P4167" t="n">
        <v>1</v>
      </c>
      <c r="Q4167" t="n">
        <v>0.09</v>
      </c>
      <c r="R4167" t="n">
        <v>2</v>
      </c>
      <c r="S4167" t="n">
        <v>2643.3</v>
      </c>
      <c r="T4167" t="n">
        <v>5</v>
      </c>
      <c r="U4167" t="n">
        <v>6</v>
      </c>
      <c r="V4167" t="n">
        <v>30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n">
        <v>0</v>
      </c>
      <c r="AC4167" t="n">
        <v>0</v>
      </c>
      <c r="AD4167" t="n">
        <v>66750</v>
      </c>
      <c r="AE4167" t="n">
        <v>0</v>
      </c>
      <c r="AF4167" t="n">
        <v>1081</v>
      </c>
      <c r="AG4167" t="n">
        <v>2318</v>
      </c>
      <c r="AH4167" t="inlineStr">
        <is>
          <t>CV. KIANO SUKSES MANDIRI - PPN (JMB)</t>
        </is>
      </c>
      <c r="AI4167" t="n">
        <v>54</v>
      </c>
      <c r="AJ4167" t="inlineStr">
        <is>
          <t>SOMETHINC</t>
        </is>
      </c>
      <c r="AK4167" t="n">
        <v>9</v>
      </c>
      <c r="AL4167" t="inlineStr">
        <is>
          <t>Miss Glam Jambi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SOMETHINC</t>
        </is>
      </c>
      <c r="B4168" s="2">
        <f>"20200469727"</f>
        <v/>
      </c>
      <c r="C4168" t="inlineStr">
        <is>
          <t>SOMETHINC Browcara 24 Hold Waterproof Brow Gel Dark Brown 3ml</t>
        </is>
      </c>
      <c r="D4168" t="inlineStr">
        <is>
          <t>Miss Glam Jambi</t>
        </is>
      </c>
      <c r="E4168" t="n">
        <v>1</v>
      </c>
      <c r="F4168" t="n">
        <v>0.08910000000000001</v>
      </c>
      <c r="G4168" t="n">
        <v>0.66</v>
      </c>
      <c r="H4168" t="n">
        <v>2</v>
      </c>
      <c r="I4168" t="n">
        <v>13</v>
      </c>
      <c r="J4168" t="n">
        <v>1</v>
      </c>
      <c r="K4168" t="n">
        <v>1</v>
      </c>
      <c r="L4168" t="n">
        <v>66750</v>
      </c>
      <c r="M4168" t="n">
        <v>89000</v>
      </c>
      <c r="N4168" t="n">
        <v>33</v>
      </c>
      <c r="O4168" t="n">
        <v>0.33</v>
      </c>
      <c r="P4168" t="n">
        <v>1</v>
      </c>
      <c r="Q4168" t="n">
        <v>0.32</v>
      </c>
      <c r="R4168" t="n">
        <v>3</v>
      </c>
      <c r="S4168" t="n">
        <v>7929.900000000001</v>
      </c>
      <c r="T4168" t="n">
        <v>9</v>
      </c>
      <c r="U4168" t="n">
        <v>10</v>
      </c>
      <c r="V4168" t="n">
        <v>30</v>
      </c>
      <c r="W4168" t="n">
        <v>3</v>
      </c>
      <c r="X4168" t="n">
        <v>11.22334455667789</v>
      </c>
      <c r="Y4168" t="n">
        <v>1</v>
      </c>
      <c r="Z4168" t="n">
        <v>1</v>
      </c>
      <c r="AA4168" t="n">
        <v>0</v>
      </c>
      <c r="AB4168" t="n">
        <v>1</v>
      </c>
      <c r="AC4168" t="n">
        <v>1</v>
      </c>
      <c r="AD4168" t="n">
        <v>0</v>
      </c>
      <c r="AE4168" t="n">
        <v>66750</v>
      </c>
      <c r="AF4168" t="n">
        <v>1081</v>
      </c>
      <c r="AG4168" t="n">
        <v>2318</v>
      </c>
      <c r="AH4168" t="inlineStr">
        <is>
          <t>CV. KIANO SUKSES MANDIRI - PPN (JMB)</t>
        </is>
      </c>
      <c r="AI4168" t="n">
        <v>54</v>
      </c>
      <c r="AJ4168" t="inlineStr">
        <is>
          <t>SOMETHINC</t>
        </is>
      </c>
      <c r="AK4168" t="n">
        <v>9</v>
      </c>
      <c r="AL4168" t="inlineStr">
        <is>
          <t>Miss Glam Jambi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SOMETHINC</t>
        </is>
      </c>
      <c r="B4169" s="2">
        <f>"20200469638"</f>
        <v/>
      </c>
      <c r="C4169" t="inlineStr">
        <is>
          <t>SOMETHINC Browcara 24 Hold Waterproof Brow Gel Medium Brown 3ml</t>
        </is>
      </c>
      <c r="D4169" t="inlineStr">
        <is>
          <t>Miss Glam Jambi</t>
        </is>
      </c>
      <c r="E4169" t="n">
        <v>0</v>
      </c>
      <c r="F4169" t="n">
        <v>0.0132</v>
      </c>
      <c r="G4169" t="n">
        <v>0.33</v>
      </c>
      <c r="H4169" t="n">
        <v>2</v>
      </c>
      <c r="I4169" t="n">
        <v>13</v>
      </c>
      <c r="J4169" t="n">
        <v>1</v>
      </c>
      <c r="K4169" t="n">
        <v>0</v>
      </c>
      <c r="L4169" t="n">
        <v>66750</v>
      </c>
      <c r="M4169" t="n">
        <v>89000</v>
      </c>
      <c r="N4169" t="n">
        <v>33</v>
      </c>
      <c r="O4169" t="n">
        <v>0.33</v>
      </c>
      <c r="P4169" t="n">
        <v>1</v>
      </c>
      <c r="Q4169" t="n">
        <v>0.1</v>
      </c>
      <c r="R4169" t="n">
        <v>1</v>
      </c>
      <c r="S4169" t="n">
        <v>1174.8</v>
      </c>
      <c r="T4169" t="n">
        <v>5</v>
      </c>
      <c r="U4169" t="n">
        <v>6</v>
      </c>
      <c r="V4169" t="n">
        <v>30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n">
        <v>0</v>
      </c>
      <c r="AC4169" t="n">
        <v>0</v>
      </c>
      <c r="AD4169" t="n">
        <v>66750</v>
      </c>
      <c r="AE4169" t="n">
        <v>0</v>
      </c>
      <c r="AF4169" t="n">
        <v>1081</v>
      </c>
      <c r="AG4169" t="n">
        <v>2318</v>
      </c>
      <c r="AH4169" t="inlineStr">
        <is>
          <t>CV. KIANO SUKSES MANDIRI - PPN (JMB)</t>
        </is>
      </c>
      <c r="AI4169" t="n">
        <v>54</v>
      </c>
      <c r="AJ4169" t="inlineStr">
        <is>
          <t>SOMETHINC</t>
        </is>
      </c>
      <c r="AK4169" t="n">
        <v>9</v>
      </c>
      <c r="AL4169" t="inlineStr">
        <is>
          <t>Miss Glam Jambi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SOMETHINC</t>
        </is>
      </c>
      <c r="B4170" s="2">
        <f>"10100720948"</f>
        <v/>
      </c>
      <c r="C4170" t="inlineStr">
        <is>
          <t>SOMETHINC Calm Down Gentel Micellar Water 100ml</t>
        </is>
      </c>
      <c r="D4170" t="inlineStr">
        <is>
          <t>Miss Glam Jambi</t>
        </is>
      </c>
      <c r="E4170" t="n">
        <v>3</v>
      </c>
      <c r="F4170" t="n">
        <v>0.033</v>
      </c>
      <c r="G4170" t="n">
        <v>0.33</v>
      </c>
      <c r="H4170" t="n">
        <v>2</v>
      </c>
      <c r="I4170" t="n">
        <v>13</v>
      </c>
      <c r="J4170" t="n">
        <v>3</v>
      </c>
      <c r="K4170" t="n">
        <v>0</v>
      </c>
      <c r="L4170" t="n">
        <v>29925</v>
      </c>
      <c r="M4170" t="n">
        <v>40000</v>
      </c>
      <c r="N4170" t="n">
        <v>33</v>
      </c>
      <c r="O4170" t="n">
        <v>0.33</v>
      </c>
      <c r="P4170" t="n">
        <v>1</v>
      </c>
      <c r="Q4170" t="n">
        <v>0.07000000000000001</v>
      </c>
      <c r="R4170" t="n">
        <v>1</v>
      </c>
      <c r="S4170" t="n">
        <v>1320</v>
      </c>
      <c r="T4170" t="n">
        <v>5</v>
      </c>
      <c r="U4170" t="n">
        <v>6</v>
      </c>
      <c r="V4170" t="n">
        <v>30</v>
      </c>
      <c r="W4170" t="n">
        <v>1</v>
      </c>
      <c r="X4170" t="n">
        <v>90.90909090909091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1081</v>
      </c>
      <c r="AG4170" t="n">
        <v>2318</v>
      </c>
      <c r="AH4170" t="inlineStr">
        <is>
          <t>CV. KIANO SUKSES MANDIRI - PPN (JMB)</t>
        </is>
      </c>
      <c r="AI4170" t="n">
        <v>54</v>
      </c>
      <c r="AJ4170" t="inlineStr">
        <is>
          <t>SOMETHINC</t>
        </is>
      </c>
      <c r="AK4170" t="n">
        <v>9</v>
      </c>
      <c r="AL4170" t="inlineStr">
        <is>
          <t>Miss Glam Jambi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SOMETHINC</t>
        </is>
      </c>
      <c r="B4171" s="2">
        <f>"10100720819"</f>
        <v/>
      </c>
      <c r="C4171" t="inlineStr">
        <is>
          <t>SOMETHINC Calm Down Gentel Micellar Water 400ml</t>
        </is>
      </c>
      <c r="D4171" t="inlineStr">
        <is>
          <t>Miss Glam Jambi</t>
        </is>
      </c>
      <c r="E4171" t="n">
        <v>0</v>
      </c>
      <c r="F4171" t="n">
        <v>0.0396</v>
      </c>
      <c r="G4171" t="n">
        <v>0.33</v>
      </c>
      <c r="H4171" t="n">
        <v>2</v>
      </c>
      <c r="I4171" t="n">
        <v>13</v>
      </c>
      <c r="J4171" t="n">
        <v>3</v>
      </c>
      <c r="K4171" t="n">
        <v>3</v>
      </c>
      <c r="L4171" t="n">
        <v>74925</v>
      </c>
      <c r="M4171" t="n">
        <v>99900</v>
      </c>
      <c r="N4171" t="n">
        <v>33</v>
      </c>
      <c r="O4171" t="n">
        <v>0.33</v>
      </c>
      <c r="P4171" t="n">
        <v>1</v>
      </c>
      <c r="Q4171" t="n">
        <v>0.08</v>
      </c>
      <c r="R4171" t="n">
        <v>1</v>
      </c>
      <c r="S4171" t="n">
        <v>3956.04</v>
      </c>
      <c r="T4171" t="n">
        <v>5</v>
      </c>
      <c r="U4171" t="n">
        <v>6</v>
      </c>
      <c r="V4171" t="n">
        <v>30</v>
      </c>
      <c r="W4171" t="n">
        <v>2</v>
      </c>
      <c r="X4171" t="n">
        <v>0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1081</v>
      </c>
      <c r="AG4171" t="n">
        <v>2318</v>
      </c>
      <c r="AH4171" t="inlineStr">
        <is>
          <t>CV. KIANO SUKSES MANDIRI - PPN (JMB)</t>
        </is>
      </c>
      <c r="AI4171" t="n">
        <v>54</v>
      </c>
      <c r="AJ4171" t="inlineStr">
        <is>
          <t>SOMETHINC</t>
        </is>
      </c>
      <c r="AK4171" t="n">
        <v>9</v>
      </c>
      <c r="AL4171" t="inlineStr">
        <is>
          <t>Miss Glam Jambi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SOMETHINC</t>
        </is>
      </c>
      <c r="B4172" s="2">
        <f>"8991752002034"</f>
        <v/>
      </c>
      <c r="C4172" t="inlineStr">
        <is>
          <t>SOMETHINC Calm Down PHA 3% Every Toner 100ml</t>
        </is>
      </c>
      <c r="D4172" t="inlineStr">
        <is>
          <t>Miss Glam Jambi</t>
        </is>
      </c>
      <c r="E4172" t="n">
        <v>2</v>
      </c>
      <c r="F4172" t="n">
        <v>0.03</v>
      </c>
      <c r="G4172" t="n">
        <v>1</v>
      </c>
      <c r="H4172" t="n">
        <v>2</v>
      </c>
      <c r="I4172" t="n">
        <v>13</v>
      </c>
      <c r="J4172" t="n">
        <v>3</v>
      </c>
      <c r="K4172" t="n">
        <v>0</v>
      </c>
      <c r="L4172" t="n">
        <v>86250</v>
      </c>
      <c r="M4172" t="n">
        <v>115000</v>
      </c>
      <c r="N4172" t="n">
        <v>33</v>
      </c>
      <c r="O4172" t="n">
        <v>0.33</v>
      </c>
      <c r="P4172" t="n">
        <v>0</v>
      </c>
      <c r="Q4172" t="n">
        <v>0.03</v>
      </c>
      <c r="R4172" t="n">
        <v>1</v>
      </c>
      <c r="S4172" t="n">
        <v>3450</v>
      </c>
      <c r="T4172" t="n">
        <v>13</v>
      </c>
      <c r="U4172" t="n">
        <v>14</v>
      </c>
      <c r="V4172" t="n">
        <v>30</v>
      </c>
      <c r="W4172" t="n">
        <v>1</v>
      </c>
      <c r="X4172" t="n">
        <v>66.66666666666667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1081</v>
      </c>
      <c r="AG4172" t="n">
        <v>2318</v>
      </c>
      <c r="AH4172" t="inlineStr">
        <is>
          <t>CV. KIANO SUKSES MANDIRI - PPN (JMB)</t>
        </is>
      </c>
      <c r="AI4172" t="n">
        <v>54</v>
      </c>
      <c r="AJ4172" t="inlineStr">
        <is>
          <t>SOMETHINC</t>
        </is>
      </c>
      <c r="AK4172" t="n">
        <v>9</v>
      </c>
      <c r="AL4172" t="inlineStr">
        <is>
          <t>Miss Glam Jambi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SOMETHINC</t>
        </is>
      </c>
      <c r="B4173" s="2">
        <f>"8991752004687"</f>
        <v/>
      </c>
      <c r="C4173" t="inlineStr">
        <is>
          <t>SOMETHINC Calm Down Skinpair Bubble Cleanser 120ml</t>
        </is>
      </c>
      <c r="D4173" t="inlineStr">
        <is>
          <t>Miss Glam Jambi</t>
        </is>
      </c>
      <c r="E4173" t="n">
        <v>4</v>
      </c>
      <c r="F4173" t="n">
        <v>0.0396</v>
      </c>
      <c r="G4173" t="n">
        <v>0.33</v>
      </c>
      <c r="H4173" t="n">
        <v>2</v>
      </c>
      <c r="I4173" t="n">
        <v>13</v>
      </c>
      <c r="J4173" t="n">
        <v>3</v>
      </c>
      <c r="K4173" t="n">
        <v>0</v>
      </c>
      <c r="L4173" t="n">
        <v>76500</v>
      </c>
      <c r="M4173" t="n">
        <v>102000</v>
      </c>
      <c r="N4173" t="n">
        <v>33</v>
      </c>
      <c r="O4173" t="n">
        <v>0.33</v>
      </c>
      <c r="P4173" t="n">
        <v>1</v>
      </c>
      <c r="Q4173" t="n">
        <v>0.1</v>
      </c>
      <c r="R4173" t="n">
        <v>2</v>
      </c>
      <c r="S4173" t="n">
        <v>4039.2</v>
      </c>
      <c r="T4173" t="n">
        <v>5</v>
      </c>
      <c r="U4173" t="n">
        <v>6</v>
      </c>
      <c r="V4173" t="n">
        <v>30</v>
      </c>
      <c r="W4173" t="n">
        <v>2</v>
      </c>
      <c r="X4173" t="n">
        <v>101.010101010101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1081</v>
      </c>
      <c r="AG4173" t="n">
        <v>2318</v>
      </c>
      <c r="AH4173" t="inlineStr">
        <is>
          <t>CV. KIANO SUKSES MANDIRI - PPN (JMB)</t>
        </is>
      </c>
      <c r="AI4173" t="n">
        <v>54</v>
      </c>
      <c r="AJ4173" t="inlineStr">
        <is>
          <t>SOMETHINC</t>
        </is>
      </c>
      <c r="AK4173" t="n">
        <v>9</v>
      </c>
      <c r="AL4173" t="inlineStr">
        <is>
          <t>Miss Glam Jambi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SOMETHINC</t>
        </is>
      </c>
      <c r="B4174" s="2">
        <f>"8991752004724"</f>
        <v/>
      </c>
      <c r="C4174" t="inlineStr">
        <is>
          <t>SOMETHINC Calm Down Skinpair R-Cover Cream 30gr</t>
        </is>
      </c>
      <c r="D4174" t="inlineStr">
        <is>
          <t>Miss Glam Jambi</t>
        </is>
      </c>
      <c r="E4174" t="n">
        <v>12</v>
      </c>
      <c r="F4174" t="n">
        <v>0.4488</v>
      </c>
      <c r="G4174" t="n">
        <v>1.98</v>
      </c>
      <c r="H4174" t="n">
        <v>2</v>
      </c>
      <c r="I4174" t="n">
        <v>13</v>
      </c>
      <c r="J4174" t="n">
        <v>3</v>
      </c>
      <c r="K4174" t="n">
        <v>3</v>
      </c>
      <c r="L4174" t="n">
        <v>96750</v>
      </c>
      <c r="M4174" t="n">
        <v>129000</v>
      </c>
      <c r="N4174" t="n">
        <v>33</v>
      </c>
      <c r="O4174" t="n">
        <v>0.33</v>
      </c>
      <c r="P4174" t="n">
        <v>1</v>
      </c>
      <c r="Q4174" t="n">
        <v>0.6899999999999999</v>
      </c>
      <c r="R4174" t="n">
        <v>4</v>
      </c>
      <c r="S4174" t="n">
        <v>57895.2</v>
      </c>
      <c r="T4174" t="n">
        <v>25</v>
      </c>
      <c r="U4174" t="n">
        <v>26</v>
      </c>
      <c r="V4174" t="n">
        <v>30</v>
      </c>
      <c r="W4174" t="n">
        <v>14</v>
      </c>
      <c r="X4174" t="n">
        <v>26.7379679144385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1081</v>
      </c>
      <c r="AG4174" t="n">
        <v>2318</v>
      </c>
      <c r="AH4174" t="inlineStr">
        <is>
          <t>CV. KIANO SUKSES MANDIRI - PPN (JMB)</t>
        </is>
      </c>
      <c r="AI4174" t="n">
        <v>54</v>
      </c>
      <c r="AJ4174" t="inlineStr">
        <is>
          <t>SOMETHINC</t>
        </is>
      </c>
      <c r="AK4174" t="n">
        <v>9</v>
      </c>
      <c r="AL4174" t="inlineStr">
        <is>
          <t>Miss Glam Jambi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SOMETHINC</t>
        </is>
      </c>
      <c r="B4175" s="2">
        <f>"8991752005134"</f>
        <v/>
      </c>
      <c r="C4175" t="inlineStr">
        <is>
          <t>SOMETHINC Calm Down Skinpair R-Cover Cream 50ml</t>
        </is>
      </c>
      <c r="D4175" t="inlineStr">
        <is>
          <t>Miss Glam Jambi</t>
        </is>
      </c>
      <c r="E4175" t="n">
        <v>2</v>
      </c>
      <c r="F4175" t="n">
        <v>0.0231</v>
      </c>
      <c r="G4175" t="n">
        <v>0.33</v>
      </c>
      <c r="H4175" t="n">
        <v>2</v>
      </c>
      <c r="I4175" t="n">
        <v>13</v>
      </c>
      <c r="J4175" t="n">
        <v>3</v>
      </c>
      <c r="K4175" t="n">
        <v>0</v>
      </c>
      <c r="L4175" t="n">
        <v>149250</v>
      </c>
      <c r="M4175" t="n">
        <v>199000</v>
      </c>
      <c r="N4175" t="n">
        <v>33</v>
      </c>
      <c r="O4175" t="n">
        <v>0.33</v>
      </c>
      <c r="P4175" t="n">
        <v>1</v>
      </c>
      <c r="Q4175" t="n">
        <v>0.05</v>
      </c>
      <c r="R4175" t="n">
        <v>1</v>
      </c>
      <c r="S4175" t="n">
        <v>4596.900000000001</v>
      </c>
      <c r="T4175" t="n">
        <v>5</v>
      </c>
      <c r="U4175" t="n">
        <v>6</v>
      </c>
      <c r="V4175" t="n">
        <v>30</v>
      </c>
      <c r="W4175" t="n">
        <v>1</v>
      </c>
      <c r="X4175" t="n">
        <v>86.58008658008657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1081</v>
      </c>
      <c r="AG4175" t="n">
        <v>2318</v>
      </c>
      <c r="AH4175" t="inlineStr">
        <is>
          <t>CV. KIANO SUKSES MANDIRI - PPN (JMB)</t>
        </is>
      </c>
      <c r="AI4175" t="n">
        <v>54</v>
      </c>
      <c r="AJ4175" t="inlineStr">
        <is>
          <t>SOMETHINC</t>
        </is>
      </c>
      <c r="AK4175" t="n">
        <v>9</v>
      </c>
      <c r="AL4175" t="inlineStr">
        <is>
          <t>Miss Glam Jambi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SOMETHINC</t>
        </is>
      </c>
      <c r="B4176" s="2">
        <f>"8991752005141"</f>
        <v/>
      </c>
      <c r="C4176" t="inlineStr">
        <is>
          <t>SOMETHINC Calm Down Skinpair R-Cover Cream 50ml Refill</t>
        </is>
      </c>
      <c r="D4176" t="inlineStr">
        <is>
          <t>Miss Glam Jambi</t>
        </is>
      </c>
      <c r="E4176" t="n">
        <v>6</v>
      </c>
      <c r="F4176" t="n">
        <v>0.1848</v>
      </c>
      <c r="G4176" t="n">
        <v>1.32</v>
      </c>
      <c r="H4176" t="n">
        <v>2</v>
      </c>
      <c r="I4176" t="n">
        <v>13</v>
      </c>
      <c r="J4176" t="n">
        <v>3</v>
      </c>
      <c r="K4176" t="n">
        <v>0</v>
      </c>
      <c r="L4176" t="n">
        <v>134250</v>
      </c>
      <c r="M4176" t="n">
        <v>179000</v>
      </c>
      <c r="N4176" t="n">
        <v>33</v>
      </c>
      <c r="O4176" t="n">
        <v>0.33</v>
      </c>
      <c r="P4176" t="n">
        <v>1</v>
      </c>
      <c r="Q4176" t="n">
        <v>0.22</v>
      </c>
      <c r="R4176" t="n">
        <v>2</v>
      </c>
      <c r="S4176" t="n">
        <v>33079.2</v>
      </c>
      <c r="T4176" t="n">
        <v>17</v>
      </c>
      <c r="U4176" t="n">
        <v>18</v>
      </c>
      <c r="V4176" t="n">
        <v>30</v>
      </c>
      <c r="W4176" t="n">
        <v>6</v>
      </c>
      <c r="X4176" t="n">
        <v>32.46753246753246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1081</v>
      </c>
      <c r="AG4176" t="n">
        <v>2318</v>
      </c>
      <c r="AH4176" t="inlineStr">
        <is>
          <t>CV. KIANO SUKSES MANDIRI - PPN (JMB)</t>
        </is>
      </c>
      <c r="AI4176" t="n">
        <v>54</v>
      </c>
      <c r="AJ4176" t="inlineStr">
        <is>
          <t>SOMETHINC</t>
        </is>
      </c>
      <c r="AK4176" t="n">
        <v>9</v>
      </c>
      <c r="AL4176" t="inlineStr">
        <is>
          <t>Miss Glam Jambi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SOMETHINC</t>
        </is>
      </c>
      <c r="B4177" s="2">
        <f>"11200219215"</f>
        <v/>
      </c>
      <c r="C4177" t="inlineStr">
        <is>
          <t>SOMETHINC Calm Down! Skinpair Barrier Serum - 20ml (V2)</t>
        </is>
      </c>
      <c r="D4177" t="inlineStr">
        <is>
          <t>Miss Glam Jambi</t>
        </is>
      </c>
      <c r="E4177" t="n">
        <v>6</v>
      </c>
      <c r="F4177" t="n">
        <v>0.0165</v>
      </c>
      <c r="G4177" t="n">
        <v>0.66</v>
      </c>
      <c r="H4177" t="n">
        <v>2</v>
      </c>
      <c r="I4177" t="n">
        <v>13</v>
      </c>
      <c r="J4177" t="n">
        <v>1</v>
      </c>
      <c r="K4177" t="n">
        <v>0</v>
      </c>
      <c r="L4177" t="n">
        <v>96750</v>
      </c>
      <c r="M4177" t="n">
        <v>129000</v>
      </c>
      <c r="N4177" t="n">
        <v>33</v>
      </c>
      <c r="O4177" t="n">
        <v>0.33</v>
      </c>
      <c r="P4177" t="n">
        <v>1</v>
      </c>
      <c r="Q4177" t="n">
        <v>0.02</v>
      </c>
      <c r="R4177" t="n">
        <v>1</v>
      </c>
      <c r="S4177" t="n">
        <v>2128.5</v>
      </c>
      <c r="T4177" t="n">
        <v>9</v>
      </c>
      <c r="U4177" t="n">
        <v>10</v>
      </c>
      <c r="V4177" t="n">
        <v>30</v>
      </c>
      <c r="W4177" t="n">
        <v>1</v>
      </c>
      <c r="X4177" t="n">
        <v>363.6363636363636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1081</v>
      </c>
      <c r="AG4177" t="n">
        <v>2318</v>
      </c>
      <c r="AH4177" t="inlineStr">
        <is>
          <t>CV. KIANO SUKSES MANDIRI - PPN (JMB)</t>
        </is>
      </c>
      <c r="AI4177" t="n">
        <v>54</v>
      </c>
      <c r="AJ4177" t="inlineStr">
        <is>
          <t>SOMETHINC</t>
        </is>
      </c>
      <c r="AK4177" t="n">
        <v>9</v>
      </c>
      <c r="AL4177" t="inlineStr">
        <is>
          <t>Miss Glam Jambi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SOMETHINC</t>
        </is>
      </c>
      <c r="B4178" s="2">
        <f>"8991752006193"</f>
        <v/>
      </c>
      <c r="C4178" t="inlineStr">
        <is>
          <t>SOMETHINC Ceraplump Tinted Lip Balm 04 Lace 2gr</t>
        </is>
      </c>
      <c r="D4178" t="inlineStr">
        <is>
          <t>Miss Glam Jambi</t>
        </is>
      </c>
      <c r="E4178" t="n">
        <v>8</v>
      </c>
      <c r="F4178" t="n">
        <v>0.006600000000000001</v>
      </c>
      <c r="G4178" t="n">
        <v>0.33</v>
      </c>
      <c r="H4178" t="n">
        <v>2</v>
      </c>
      <c r="I4178" t="n">
        <v>13</v>
      </c>
      <c r="J4178" t="n">
        <v>3</v>
      </c>
      <c r="K4178" t="n">
        <v>0</v>
      </c>
      <c r="L4178" t="n">
        <v>66750</v>
      </c>
      <c r="M4178" t="n">
        <v>89000</v>
      </c>
      <c r="N4178" t="n">
        <v>33</v>
      </c>
      <c r="O4178" t="n">
        <v>0.33</v>
      </c>
      <c r="P4178" t="n">
        <v>1</v>
      </c>
      <c r="Q4178" t="n">
        <v>0.14</v>
      </c>
      <c r="R4178" t="n">
        <v>1</v>
      </c>
      <c r="S4178" t="n">
        <v>587.4000000000001</v>
      </c>
      <c r="T4178" t="n">
        <v>5</v>
      </c>
      <c r="U4178" t="n">
        <v>6</v>
      </c>
      <c r="V4178" t="n">
        <v>30</v>
      </c>
      <c r="W4178" t="n">
        <v>1</v>
      </c>
      <c r="X4178" t="n">
        <v>1212.121212121212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1081</v>
      </c>
      <c r="AG4178" t="n">
        <v>2318</v>
      </c>
      <c r="AH4178" t="inlineStr">
        <is>
          <t>CV. KIANO SUKSES MANDIRI - PPN (JMB)</t>
        </is>
      </c>
      <c r="AI4178" t="n">
        <v>54</v>
      </c>
      <c r="AJ4178" t="inlineStr">
        <is>
          <t>SOMETHINC</t>
        </is>
      </c>
      <c r="AK4178" t="n">
        <v>9</v>
      </c>
      <c r="AL4178" t="inlineStr">
        <is>
          <t>Miss Glam Jambi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SOMETHINC</t>
        </is>
      </c>
      <c r="B4179" s="2">
        <f>"8991752006209"</f>
        <v/>
      </c>
      <c r="C4179" t="inlineStr">
        <is>
          <t>SOMETHINC Ceraplump Tinted Lip Balm 05 Sangria 2gr</t>
        </is>
      </c>
      <c r="D4179" t="inlineStr">
        <is>
          <t>Miss Glam Jambi</t>
        </is>
      </c>
      <c r="E4179" t="n">
        <v>9</v>
      </c>
      <c r="F4179" t="n">
        <v>0.006600000000000001</v>
      </c>
      <c r="G4179" t="n">
        <v>0.33</v>
      </c>
      <c r="H4179" t="n">
        <v>2</v>
      </c>
      <c r="I4179" t="n">
        <v>13</v>
      </c>
      <c r="J4179" t="n">
        <v>3</v>
      </c>
      <c r="K4179" t="n">
        <v>0</v>
      </c>
      <c r="L4179" t="n">
        <v>66750</v>
      </c>
      <c r="M4179" t="n">
        <v>89000</v>
      </c>
      <c r="N4179" t="n">
        <v>33</v>
      </c>
      <c r="O4179" t="n">
        <v>0.33</v>
      </c>
      <c r="P4179" t="n">
        <v>1</v>
      </c>
      <c r="Q4179" t="n">
        <v>0.25</v>
      </c>
      <c r="R4179" t="n">
        <v>1</v>
      </c>
      <c r="S4179" t="n">
        <v>587.4000000000001</v>
      </c>
      <c r="T4179" t="n">
        <v>5</v>
      </c>
      <c r="U4179" t="n">
        <v>6</v>
      </c>
      <c r="V4179" t="n">
        <v>30</v>
      </c>
      <c r="W4179" t="n">
        <v>1</v>
      </c>
      <c r="X4179" t="n">
        <v>1363.636363636364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1081</v>
      </c>
      <c r="AG4179" t="n">
        <v>2318</v>
      </c>
      <c r="AH4179" t="inlineStr">
        <is>
          <t>CV. KIANO SUKSES MANDIRI - PPN (JMB)</t>
        </is>
      </c>
      <c r="AI4179" t="n">
        <v>54</v>
      </c>
      <c r="AJ4179" t="inlineStr">
        <is>
          <t>SOMETHINC</t>
        </is>
      </c>
      <c r="AK4179" t="n">
        <v>9</v>
      </c>
      <c r="AL4179" t="inlineStr">
        <is>
          <t>Miss Glam Jambi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SOMETHINC</t>
        </is>
      </c>
      <c r="B4180" s="2">
        <f>"8991752006216"</f>
        <v/>
      </c>
      <c r="C4180" t="inlineStr">
        <is>
          <t>SOMETHINC Ceraplump Tinted Lip Balm 06 Valentine 2gr</t>
        </is>
      </c>
      <c r="D4180" t="inlineStr">
        <is>
          <t>Miss Glam Jambi</t>
        </is>
      </c>
      <c r="E4180" t="n">
        <v>7</v>
      </c>
      <c r="F4180" t="n">
        <v>0.006600000000000001</v>
      </c>
      <c r="G4180" t="n">
        <v>0.33</v>
      </c>
      <c r="H4180" t="n">
        <v>2</v>
      </c>
      <c r="I4180" t="n">
        <v>13</v>
      </c>
      <c r="J4180" t="n">
        <v>3</v>
      </c>
      <c r="K4180" t="n">
        <v>0</v>
      </c>
      <c r="L4180" t="n">
        <v>66750</v>
      </c>
      <c r="M4180" t="n">
        <v>89000</v>
      </c>
      <c r="N4180" t="n">
        <v>33</v>
      </c>
      <c r="O4180" t="n">
        <v>0.33</v>
      </c>
      <c r="P4180" t="n">
        <v>1</v>
      </c>
      <c r="Q4180" t="n">
        <v>0.03</v>
      </c>
      <c r="R4180" t="n">
        <v>1</v>
      </c>
      <c r="S4180" t="n">
        <v>587.4000000000001</v>
      </c>
      <c r="T4180" t="n">
        <v>5</v>
      </c>
      <c r="U4180" t="n">
        <v>6</v>
      </c>
      <c r="V4180" t="n">
        <v>30</v>
      </c>
      <c r="W4180" t="n">
        <v>1</v>
      </c>
      <c r="X4180" t="n">
        <v>1060.606060606061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1081</v>
      </c>
      <c r="AG4180" t="n">
        <v>2318</v>
      </c>
      <c r="AH4180" t="inlineStr">
        <is>
          <t>CV. KIANO SUKSES MANDIRI - PPN (JMB)</t>
        </is>
      </c>
      <c r="AI4180" t="n">
        <v>54</v>
      </c>
      <c r="AJ4180" t="inlineStr">
        <is>
          <t>SOMETHINC</t>
        </is>
      </c>
      <c r="AK4180" t="n">
        <v>9</v>
      </c>
      <c r="AL4180" t="inlineStr">
        <is>
          <t>Miss Glam Jambi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SOMETHINC</t>
        </is>
      </c>
      <c r="B4181" s="2">
        <f>"8991752006643"</f>
        <v/>
      </c>
      <c r="C4181" t="inlineStr">
        <is>
          <t>SOMETHINC Ceraplump Tinted Lip Balm 07 Ballet 2gr</t>
        </is>
      </c>
      <c r="D4181" t="inlineStr">
        <is>
          <t>Miss Glam Jambi</t>
        </is>
      </c>
      <c r="E4181" t="n">
        <v>3</v>
      </c>
      <c r="F4181" t="n">
        <v>0.03</v>
      </c>
      <c r="G4181" t="n">
        <v>1</v>
      </c>
      <c r="H4181" t="n">
        <v>2</v>
      </c>
      <c r="I4181" t="n">
        <v>13</v>
      </c>
      <c r="J4181" t="n">
        <v>3</v>
      </c>
      <c r="K4181" t="n">
        <v>0</v>
      </c>
      <c r="L4181" t="n">
        <v>66750</v>
      </c>
      <c r="M4181" t="n">
        <v>89000</v>
      </c>
      <c r="N4181" t="n">
        <v>33</v>
      </c>
      <c r="O4181" t="n">
        <v>0.33</v>
      </c>
      <c r="P4181" t="n">
        <v>0</v>
      </c>
      <c r="Q4181" t="n">
        <v>0.03</v>
      </c>
      <c r="R4181" t="n">
        <v>1</v>
      </c>
      <c r="S4181" t="n">
        <v>2670</v>
      </c>
      <c r="T4181" t="n">
        <v>13</v>
      </c>
      <c r="U4181" t="n">
        <v>14</v>
      </c>
      <c r="V4181" t="n">
        <v>30</v>
      </c>
      <c r="W4181" t="n">
        <v>1</v>
      </c>
      <c r="X4181" t="n">
        <v>100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1081</v>
      </c>
      <c r="AG4181" t="n">
        <v>2318</v>
      </c>
      <c r="AH4181" t="inlineStr">
        <is>
          <t>CV. KIANO SUKSES MANDIRI - PPN (JMB)</t>
        </is>
      </c>
      <c r="AI4181" t="n">
        <v>54</v>
      </c>
      <c r="AJ4181" t="inlineStr">
        <is>
          <t>SOMETHINC</t>
        </is>
      </c>
      <c r="AK4181" t="n">
        <v>9</v>
      </c>
      <c r="AL4181" t="inlineStr">
        <is>
          <t>Miss Glam Jambi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SOMETHINC</t>
        </is>
      </c>
      <c r="B4182" s="2">
        <f>"8991752006650"</f>
        <v/>
      </c>
      <c r="C4182" t="inlineStr">
        <is>
          <t>SOMETHINC Ceraplump Tinted Lip Balm 08 Ribbon 2gr</t>
        </is>
      </c>
      <c r="D4182" t="inlineStr">
        <is>
          <t>Miss Glam Jambi</t>
        </is>
      </c>
      <c r="E4182" t="n">
        <v>13</v>
      </c>
      <c r="F4182" t="n">
        <v>0.033</v>
      </c>
      <c r="G4182" t="n">
        <v>0.33</v>
      </c>
      <c r="H4182" t="n">
        <v>2</v>
      </c>
      <c r="I4182" t="n">
        <v>13</v>
      </c>
      <c r="J4182" t="n">
        <v>3</v>
      </c>
      <c r="K4182" t="n">
        <v>0</v>
      </c>
      <c r="L4182" t="n">
        <v>66750</v>
      </c>
      <c r="M4182" t="n">
        <v>89000</v>
      </c>
      <c r="N4182" t="n">
        <v>33</v>
      </c>
      <c r="O4182" t="n">
        <v>0.33</v>
      </c>
      <c r="P4182" t="n">
        <v>1</v>
      </c>
      <c r="Q4182" t="n">
        <v>0.2</v>
      </c>
      <c r="R4182" t="n">
        <v>3</v>
      </c>
      <c r="S4182" t="n">
        <v>2937</v>
      </c>
      <c r="T4182" t="n">
        <v>5</v>
      </c>
      <c r="U4182" t="n">
        <v>6</v>
      </c>
      <c r="V4182" t="n">
        <v>30</v>
      </c>
      <c r="W4182" t="n">
        <v>1</v>
      </c>
      <c r="X4182" t="n">
        <v>393.9393939393939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1081</v>
      </c>
      <c r="AG4182" t="n">
        <v>2318</v>
      </c>
      <c r="AH4182" t="inlineStr">
        <is>
          <t>CV. KIANO SUKSES MANDIRI - PPN (JMB)</t>
        </is>
      </c>
      <c r="AI4182" t="n">
        <v>54</v>
      </c>
      <c r="AJ4182" t="inlineStr">
        <is>
          <t>SOMETHINC</t>
        </is>
      </c>
      <c r="AK4182" t="n">
        <v>9</v>
      </c>
      <c r="AL4182" t="inlineStr">
        <is>
          <t>Miss Glam Jambi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SOMETHINC</t>
        </is>
      </c>
      <c r="B4183" s="2">
        <f>"8991752006681"</f>
        <v/>
      </c>
      <c r="C4183" t="inlineStr">
        <is>
          <t>SOMETHINC Ceraplump Tinted Lip Balm 11 Raisin 2gr</t>
        </is>
      </c>
      <c r="D4183" t="inlineStr">
        <is>
          <t>Miss Glam Jambi</t>
        </is>
      </c>
      <c r="E4183" t="n">
        <v>6</v>
      </c>
      <c r="F4183" t="n">
        <v>0.05</v>
      </c>
      <c r="G4183" t="n">
        <v>1</v>
      </c>
      <c r="H4183" t="n">
        <v>2</v>
      </c>
      <c r="I4183" t="n">
        <v>13</v>
      </c>
      <c r="J4183" t="n">
        <v>3</v>
      </c>
      <c r="K4183" t="n">
        <v>0</v>
      </c>
      <c r="L4183" t="n">
        <v>66750</v>
      </c>
      <c r="M4183" t="n">
        <v>89000</v>
      </c>
      <c r="N4183" t="n">
        <v>33</v>
      </c>
      <c r="O4183" t="n">
        <v>0.33</v>
      </c>
      <c r="P4183" t="n">
        <v>0</v>
      </c>
      <c r="Q4183" t="n">
        <v>0.05</v>
      </c>
      <c r="R4183" t="n">
        <v>1</v>
      </c>
      <c r="S4183" t="n">
        <v>4450</v>
      </c>
      <c r="T4183" t="n">
        <v>13</v>
      </c>
      <c r="U4183" t="n">
        <v>14</v>
      </c>
      <c r="V4183" t="n">
        <v>30</v>
      </c>
      <c r="W4183" t="n">
        <v>2</v>
      </c>
      <c r="X4183" t="n">
        <v>120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1081</v>
      </c>
      <c r="AG4183" t="n">
        <v>2318</v>
      </c>
      <c r="AH4183" t="inlineStr">
        <is>
          <t>CV. KIANO SUKSES MANDIRI - PPN (JMB)</t>
        </is>
      </c>
      <c r="AI4183" t="n">
        <v>54</v>
      </c>
      <c r="AJ4183" t="inlineStr">
        <is>
          <t>SOMETHINC</t>
        </is>
      </c>
      <c r="AK4183" t="n">
        <v>9</v>
      </c>
      <c r="AL4183" t="inlineStr">
        <is>
          <t>Miss Glam Jambi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SOMETHINC</t>
        </is>
      </c>
      <c r="B4184" s="2">
        <f>"8991752006698"</f>
        <v/>
      </c>
      <c r="C4184" t="inlineStr">
        <is>
          <t>SOMETHINC Ceraplump Tinted Lip Balm Spf25  12 Couquette 2gr</t>
        </is>
      </c>
      <c r="D4184" t="inlineStr">
        <is>
          <t>Miss Glam Jambi</t>
        </is>
      </c>
      <c r="E4184" t="n">
        <v>3</v>
      </c>
      <c r="F4184" t="n">
        <v>0.0264</v>
      </c>
      <c r="G4184" t="n">
        <v>0.33</v>
      </c>
      <c r="H4184" t="n">
        <v>2</v>
      </c>
      <c r="I4184" t="n">
        <v>13</v>
      </c>
      <c r="J4184" t="n">
        <v>3</v>
      </c>
      <c r="K4184" t="n">
        <v>0</v>
      </c>
      <c r="L4184" t="n">
        <v>66750</v>
      </c>
      <c r="M4184" t="n">
        <v>89000</v>
      </c>
      <c r="N4184" t="n">
        <v>33</v>
      </c>
      <c r="O4184" t="n">
        <v>0.33</v>
      </c>
      <c r="P4184" t="n">
        <v>1</v>
      </c>
      <c r="Q4184" t="n">
        <v>0.12</v>
      </c>
      <c r="R4184" t="n">
        <v>1</v>
      </c>
      <c r="S4184" t="n">
        <v>2349.6</v>
      </c>
      <c r="T4184" t="n">
        <v>5</v>
      </c>
      <c r="U4184" t="n">
        <v>6</v>
      </c>
      <c r="V4184" t="n">
        <v>30</v>
      </c>
      <c r="W4184" t="n">
        <v>1</v>
      </c>
      <c r="X4184" t="n">
        <v>113.6363636363636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1081</v>
      </c>
      <c r="AG4184" t="n">
        <v>2318</v>
      </c>
      <c r="AH4184" t="inlineStr">
        <is>
          <t>CV. KIANO SUKSES MANDIRI - PPN (JMB)</t>
        </is>
      </c>
      <c r="AI4184" t="n">
        <v>54</v>
      </c>
      <c r="AJ4184" t="inlineStr">
        <is>
          <t>SOMETHINC</t>
        </is>
      </c>
      <c r="AK4184" t="n">
        <v>9</v>
      </c>
      <c r="AL4184" t="inlineStr">
        <is>
          <t>Miss Glam Jambi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SOMETHINC</t>
        </is>
      </c>
      <c r="B4185" s="2">
        <f>"8991752006162"</f>
        <v/>
      </c>
      <c r="C4185" t="inlineStr">
        <is>
          <t>SOMETHINC Ceraplump Tinted Lip Balm Spf25 01 Rabbit 2gr</t>
        </is>
      </c>
      <c r="D4185" t="inlineStr">
        <is>
          <t>Miss Glam Jambi</t>
        </is>
      </c>
      <c r="E4185" t="n">
        <v>5</v>
      </c>
      <c r="F4185" t="n">
        <v>0.0396</v>
      </c>
      <c r="G4185" t="n">
        <v>0.33</v>
      </c>
      <c r="H4185" t="n">
        <v>2</v>
      </c>
      <c r="I4185" t="n">
        <v>13</v>
      </c>
      <c r="J4185" t="n">
        <v>3</v>
      </c>
      <c r="K4185" t="n">
        <v>0</v>
      </c>
      <c r="L4185" t="n">
        <v>66750</v>
      </c>
      <c r="M4185" t="n">
        <v>89000</v>
      </c>
      <c r="N4185" t="n">
        <v>33</v>
      </c>
      <c r="O4185" t="n">
        <v>0.33</v>
      </c>
      <c r="P4185" t="n">
        <v>1</v>
      </c>
      <c r="Q4185" t="n">
        <v>0.03</v>
      </c>
      <c r="R4185" t="n">
        <v>1</v>
      </c>
      <c r="S4185" t="n">
        <v>3524.4</v>
      </c>
      <c r="T4185" t="n">
        <v>5</v>
      </c>
      <c r="U4185" t="n">
        <v>6</v>
      </c>
      <c r="V4185" t="n">
        <v>30</v>
      </c>
      <c r="W4185" t="n">
        <v>2</v>
      </c>
      <c r="X4185" t="n">
        <v>126.2626262626263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1081</v>
      </c>
      <c r="AG4185" t="n">
        <v>2318</v>
      </c>
      <c r="AH4185" t="inlineStr">
        <is>
          <t>CV. KIANO SUKSES MANDIRI - PPN (JMB)</t>
        </is>
      </c>
      <c r="AI4185" t="n">
        <v>54</v>
      </c>
      <c r="AJ4185" t="inlineStr">
        <is>
          <t>SOMETHINC</t>
        </is>
      </c>
      <c r="AK4185" t="n">
        <v>9</v>
      </c>
      <c r="AL4185" t="inlineStr">
        <is>
          <t>Miss Glam Jambi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SOMETHINC</t>
        </is>
      </c>
      <c r="B4186" s="2">
        <f>"8991752006179"</f>
        <v/>
      </c>
      <c r="C4186" t="inlineStr">
        <is>
          <t>SOMETHINC Ceraplump Tinted Lip Balm Spf25 02 Sorbat 2gr</t>
        </is>
      </c>
      <c r="D4186" t="inlineStr">
        <is>
          <t>Miss Glam Jambi</t>
        </is>
      </c>
      <c r="E4186" t="n">
        <v>2</v>
      </c>
      <c r="F4186" t="n">
        <v>0.02</v>
      </c>
      <c r="G4186" t="n">
        <v>1</v>
      </c>
      <c r="H4186" t="n">
        <v>2</v>
      </c>
      <c r="I4186" t="n">
        <v>13</v>
      </c>
      <c r="J4186" t="n">
        <v>3</v>
      </c>
      <c r="K4186" t="n">
        <v>0</v>
      </c>
      <c r="L4186" t="n">
        <v>66750</v>
      </c>
      <c r="M4186" t="n">
        <v>89000</v>
      </c>
      <c r="N4186" t="n">
        <v>33</v>
      </c>
      <c r="O4186" t="n">
        <v>0.33</v>
      </c>
      <c r="P4186" t="n">
        <v>0</v>
      </c>
      <c r="Q4186" t="n">
        <v>0.02</v>
      </c>
      <c r="R4186" t="n">
        <v>1</v>
      </c>
      <c r="S4186" t="n">
        <v>1780</v>
      </c>
      <c r="T4186" t="n">
        <v>13</v>
      </c>
      <c r="U4186" t="n">
        <v>14</v>
      </c>
      <c r="V4186" t="n">
        <v>30</v>
      </c>
      <c r="W4186" t="n">
        <v>1</v>
      </c>
      <c r="X4186" t="n">
        <v>100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1081</v>
      </c>
      <c r="AG4186" t="n">
        <v>2318</v>
      </c>
      <c r="AH4186" t="inlineStr">
        <is>
          <t>CV. KIANO SUKSES MANDIRI - PPN (JMB)</t>
        </is>
      </c>
      <c r="AI4186" t="n">
        <v>54</v>
      </c>
      <c r="AJ4186" t="inlineStr">
        <is>
          <t>SOMETHINC</t>
        </is>
      </c>
      <c r="AK4186" t="n">
        <v>9</v>
      </c>
      <c r="AL4186" t="inlineStr">
        <is>
          <t>Miss Glam Jambi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SOMETHINC</t>
        </is>
      </c>
      <c r="B4187" s="2">
        <f>"8991752006186"</f>
        <v/>
      </c>
      <c r="C4187" t="inlineStr">
        <is>
          <t>SOMETHINC Ceraplump Tinted Lip Balm Spf25 03 Pecan 2gr</t>
        </is>
      </c>
      <c r="D4187" t="inlineStr">
        <is>
          <t>Miss Glam Jambi</t>
        </is>
      </c>
      <c r="E4187" t="n">
        <v>2</v>
      </c>
      <c r="F4187" t="n">
        <v>0.006600000000000001</v>
      </c>
      <c r="G4187" t="n">
        <v>0.33</v>
      </c>
      <c r="H4187" t="n">
        <v>2</v>
      </c>
      <c r="I4187" t="n">
        <v>13</v>
      </c>
      <c r="J4187" t="n">
        <v>3</v>
      </c>
      <c r="K4187" t="n">
        <v>0</v>
      </c>
      <c r="L4187" t="n">
        <v>66750</v>
      </c>
      <c r="M4187" t="n">
        <v>89000</v>
      </c>
      <c r="N4187" t="n">
        <v>33</v>
      </c>
      <c r="O4187" t="n">
        <v>0.33</v>
      </c>
      <c r="P4187" t="n">
        <v>1</v>
      </c>
      <c r="Q4187" t="n">
        <v>0.02</v>
      </c>
      <c r="R4187" t="n">
        <v>1</v>
      </c>
      <c r="S4187" t="n">
        <v>587.4000000000001</v>
      </c>
      <c r="T4187" t="n">
        <v>5</v>
      </c>
      <c r="U4187" t="n">
        <v>6</v>
      </c>
      <c r="V4187" t="n">
        <v>30</v>
      </c>
      <c r="W4187" t="n">
        <v>1</v>
      </c>
      <c r="X4187" t="n">
        <v>303.030303030303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1081</v>
      </c>
      <c r="AG4187" t="n">
        <v>2318</v>
      </c>
      <c r="AH4187" t="inlineStr">
        <is>
          <t>CV. KIANO SUKSES MANDIRI - PPN (JMB)</t>
        </is>
      </c>
      <c r="AI4187" t="n">
        <v>54</v>
      </c>
      <c r="AJ4187" t="inlineStr">
        <is>
          <t>SOMETHINC</t>
        </is>
      </c>
      <c r="AK4187" t="n">
        <v>9</v>
      </c>
      <c r="AL4187" t="inlineStr">
        <is>
          <t>Miss Glam Jambi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SOMETHINC</t>
        </is>
      </c>
      <c r="B4188" s="2">
        <f>"8991752006667"</f>
        <v/>
      </c>
      <c r="C4188" t="inlineStr">
        <is>
          <t>SOMETHINC Ceraplump Tinted Lip Balm Spf25 09 Sakura 2gr</t>
        </is>
      </c>
      <c r="D4188" t="inlineStr">
        <is>
          <t>Miss Glam Jambi</t>
        </is>
      </c>
      <c r="E4188" t="n">
        <v>4</v>
      </c>
      <c r="F4188" t="n">
        <v>0.0231</v>
      </c>
      <c r="G4188" t="n">
        <v>0.33</v>
      </c>
      <c r="H4188" t="n">
        <v>2</v>
      </c>
      <c r="I4188" t="n">
        <v>13</v>
      </c>
      <c r="J4188" t="n">
        <v>3</v>
      </c>
      <c r="K4188" t="n">
        <v>0</v>
      </c>
      <c r="L4188" t="n">
        <v>66750</v>
      </c>
      <c r="M4188" t="n">
        <v>89000</v>
      </c>
      <c r="N4188" t="n">
        <v>33</v>
      </c>
      <c r="O4188" t="n">
        <v>0.33</v>
      </c>
      <c r="P4188" t="n">
        <v>1</v>
      </c>
      <c r="Q4188" t="n">
        <v>0.12</v>
      </c>
      <c r="R4188" t="n">
        <v>1</v>
      </c>
      <c r="S4188" t="n">
        <v>2055.9</v>
      </c>
      <c r="T4188" t="n">
        <v>5</v>
      </c>
      <c r="U4188" t="n">
        <v>6</v>
      </c>
      <c r="V4188" t="n">
        <v>30</v>
      </c>
      <c r="W4188" t="n">
        <v>1</v>
      </c>
      <c r="X4188" t="n">
        <v>173.1601731601731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1081</v>
      </c>
      <c r="AG4188" t="n">
        <v>2318</v>
      </c>
      <c r="AH4188" t="inlineStr">
        <is>
          <t>CV. KIANO SUKSES MANDIRI - PPN (JMB)</t>
        </is>
      </c>
      <c r="AI4188" t="n">
        <v>54</v>
      </c>
      <c r="AJ4188" t="inlineStr">
        <is>
          <t>SOMETHINC</t>
        </is>
      </c>
      <c r="AK4188" t="n">
        <v>9</v>
      </c>
      <c r="AL4188" t="inlineStr">
        <is>
          <t>Miss Glam Jambi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SOMETHINC</t>
        </is>
      </c>
      <c r="B4189" s="2">
        <f>"10700341802"</f>
        <v/>
      </c>
      <c r="C4189" t="inlineStr">
        <is>
          <t>SOMETHINC Ceraplump Tinted Lip Balm Spf25 16 Cherry 2gr</t>
        </is>
      </c>
      <c r="D4189" t="inlineStr">
        <is>
          <t>Miss Glam Jambi</t>
        </is>
      </c>
      <c r="E4189" t="n">
        <v>6</v>
      </c>
      <c r="F4189" t="n">
        <v>0.006600000000000001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66750</v>
      </c>
      <c r="M4189" t="n">
        <v>89000</v>
      </c>
      <c r="N4189" t="n">
        <v>33</v>
      </c>
      <c r="O4189" t="n">
        <v>0.33</v>
      </c>
      <c r="P4189" t="n">
        <v>1</v>
      </c>
      <c r="Q4189" t="n">
        <v>0</v>
      </c>
      <c r="R4189" t="n">
        <v>0</v>
      </c>
      <c r="S4189" t="n">
        <v>587.4000000000001</v>
      </c>
      <c r="T4189" t="n">
        <v>0</v>
      </c>
      <c r="U4189" t="n">
        <v>0</v>
      </c>
      <c r="V4189" t="n">
        <v>30</v>
      </c>
      <c r="W4189" t="n">
        <v>1</v>
      </c>
      <c r="X4189" t="n">
        <v>909.090909090909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1081</v>
      </c>
      <c r="AG4189" t="n">
        <v>2318</v>
      </c>
      <c r="AH4189" t="inlineStr">
        <is>
          <t>CV. KIANO SUKSES MANDIRI - PPN (JMB)</t>
        </is>
      </c>
      <c r="AI4189" t="n">
        <v>54</v>
      </c>
      <c r="AJ4189" t="inlineStr">
        <is>
          <t>SOMETHINC</t>
        </is>
      </c>
      <c r="AK4189" t="n">
        <v>9</v>
      </c>
      <c r="AL4189" t="inlineStr">
        <is>
          <t>Miss Glam Jambi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SOMETHINC</t>
        </is>
      </c>
      <c r="B4190" s="2">
        <f>"8991752004861"</f>
        <v/>
      </c>
      <c r="C4190" t="inlineStr">
        <is>
          <t>SOMETHINC Checkmate Transferproof Lipstick 01 Bishop 3.8gr</t>
        </is>
      </c>
      <c r="D4190" t="inlineStr">
        <is>
          <t>Miss Glam Jambi</t>
        </is>
      </c>
      <c r="E4190" t="n">
        <v>3</v>
      </c>
      <c r="F4190" t="n">
        <v>0.006600000000000001</v>
      </c>
      <c r="G4190" t="n">
        <v>0.33</v>
      </c>
      <c r="H4190" t="n">
        <v>2</v>
      </c>
      <c r="I4190" t="n">
        <v>13</v>
      </c>
      <c r="J4190" t="n">
        <v>3</v>
      </c>
      <c r="K4190" t="n">
        <v>0</v>
      </c>
      <c r="L4190" t="n">
        <v>74250</v>
      </c>
      <c r="M4190" t="n">
        <v>99000</v>
      </c>
      <c r="N4190" t="n">
        <v>33</v>
      </c>
      <c r="O4190" t="n">
        <v>0.33</v>
      </c>
      <c r="P4190" t="n">
        <v>1</v>
      </c>
      <c r="Q4190" t="n">
        <v>0.03</v>
      </c>
      <c r="R4190" t="n">
        <v>1</v>
      </c>
      <c r="S4190" t="n">
        <v>653.4000000000001</v>
      </c>
      <c r="T4190" t="n">
        <v>5</v>
      </c>
      <c r="U4190" t="n">
        <v>6</v>
      </c>
      <c r="V4190" t="n">
        <v>30</v>
      </c>
      <c r="W4190" t="n">
        <v>1</v>
      </c>
      <c r="X4190" t="n">
        <v>454.5454545454545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1081</v>
      </c>
      <c r="AG4190" t="n">
        <v>2318</v>
      </c>
      <c r="AH4190" t="inlineStr">
        <is>
          <t>CV. KIANO SUKSES MANDIRI - PPN (JMB)</t>
        </is>
      </c>
      <c r="AI4190" t="n">
        <v>54</v>
      </c>
      <c r="AJ4190" t="inlineStr">
        <is>
          <t>SOMETHINC</t>
        </is>
      </c>
      <c r="AK4190" t="n">
        <v>9</v>
      </c>
      <c r="AL4190" t="inlineStr">
        <is>
          <t>Miss Glam Jambi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SOMETHINC</t>
        </is>
      </c>
      <c r="B4191" s="2">
        <f>"8991752004915"</f>
        <v/>
      </c>
      <c r="C4191" t="inlineStr">
        <is>
          <t>SOMETHINC Checkmate Transferproof Lipstick 06 Mage 3.8gr</t>
        </is>
      </c>
      <c r="D4191" t="inlineStr">
        <is>
          <t>Miss Glam Jambi</t>
        </is>
      </c>
      <c r="E4191" t="n">
        <v>4</v>
      </c>
      <c r="F4191" t="n">
        <v>0.009900000000000001</v>
      </c>
      <c r="G4191" t="n">
        <v>0.33</v>
      </c>
      <c r="H4191" t="n">
        <v>2</v>
      </c>
      <c r="I4191" t="n">
        <v>13</v>
      </c>
      <c r="J4191" t="n">
        <v>3</v>
      </c>
      <c r="K4191" t="n">
        <v>0</v>
      </c>
      <c r="L4191" t="n">
        <v>74250</v>
      </c>
      <c r="M4191" t="n">
        <v>99000</v>
      </c>
      <c r="N4191" t="n">
        <v>33</v>
      </c>
      <c r="O4191" t="n">
        <v>0.33</v>
      </c>
      <c r="P4191" t="n">
        <v>1</v>
      </c>
      <c r="Q4191" t="n">
        <v>0.03</v>
      </c>
      <c r="R4191" t="n">
        <v>1</v>
      </c>
      <c r="S4191" t="n">
        <v>980.1000000000001</v>
      </c>
      <c r="T4191" t="n">
        <v>5</v>
      </c>
      <c r="U4191" t="n">
        <v>6</v>
      </c>
      <c r="V4191" t="n">
        <v>30</v>
      </c>
      <c r="W4191" t="n">
        <v>1</v>
      </c>
      <c r="X4191" t="n">
        <v>404.040404040404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1081</v>
      </c>
      <c r="AG4191" t="n">
        <v>2318</v>
      </c>
      <c r="AH4191" t="inlineStr">
        <is>
          <t>CV. KIANO SUKSES MANDIRI - PPN (JMB)</t>
        </is>
      </c>
      <c r="AI4191" t="n">
        <v>54</v>
      </c>
      <c r="AJ4191" t="inlineStr">
        <is>
          <t>SOMETHINC</t>
        </is>
      </c>
      <c r="AK4191" t="n">
        <v>9</v>
      </c>
      <c r="AL4191" t="inlineStr">
        <is>
          <t>Miss Glam Jambi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SOMETHINC</t>
        </is>
      </c>
      <c r="B4192" s="2">
        <f>"8991752004977"</f>
        <v/>
      </c>
      <c r="C4192" t="inlineStr">
        <is>
          <t>SOMETHINC Checkmate Transferproof Lipstick 12 Queen 3.8gr</t>
        </is>
      </c>
      <c r="D4192" t="inlineStr">
        <is>
          <t>Miss Glam Jambi</t>
        </is>
      </c>
      <c r="E4192" t="n">
        <v>7</v>
      </c>
      <c r="F4192" t="n">
        <v>0.009900000000000001</v>
      </c>
      <c r="G4192" t="n">
        <v>0.33</v>
      </c>
      <c r="H4192" t="n">
        <v>2</v>
      </c>
      <c r="I4192" t="n">
        <v>13</v>
      </c>
      <c r="J4192" t="n">
        <v>3</v>
      </c>
      <c r="K4192" t="n">
        <v>0</v>
      </c>
      <c r="L4192" t="n">
        <v>74250</v>
      </c>
      <c r="M4192" t="n">
        <v>99000</v>
      </c>
      <c r="N4192" t="n">
        <v>33</v>
      </c>
      <c r="O4192" t="n">
        <v>0.33</v>
      </c>
      <c r="P4192" t="n">
        <v>1</v>
      </c>
      <c r="Q4192" t="n">
        <v>0.03</v>
      </c>
      <c r="R4192" t="n">
        <v>1</v>
      </c>
      <c r="S4192" t="n">
        <v>980.1000000000001</v>
      </c>
      <c r="T4192" t="n">
        <v>5</v>
      </c>
      <c r="U4192" t="n">
        <v>6</v>
      </c>
      <c r="V4192" t="n">
        <v>30</v>
      </c>
      <c r="W4192" t="n">
        <v>1</v>
      </c>
      <c r="X4192" t="n">
        <v>707.070707070707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1081</v>
      </c>
      <c r="AG4192" t="n">
        <v>2318</v>
      </c>
      <c r="AH4192" t="inlineStr">
        <is>
          <t>CV. KIANO SUKSES MANDIRI - PPN (JMB)</t>
        </is>
      </c>
      <c r="AI4192" t="n">
        <v>54</v>
      </c>
      <c r="AJ4192" t="inlineStr">
        <is>
          <t>SOMETHINC</t>
        </is>
      </c>
      <c r="AK4192" t="n">
        <v>9</v>
      </c>
      <c r="AL4192" t="inlineStr">
        <is>
          <t>Miss Glam Jambi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SOMETHINC</t>
        </is>
      </c>
      <c r="B4193" s="2">
        <f>"8991752004984"</f>
        <v/>
      </c>
      <c r="C4193" t="inlineStr">
        <is>
          <t>SOMETHINC Checkmate Transferproof Lipstick 13 Swipe 3.8gr</t>
        </is>
      </c>
      <c r="D4193" t="inlineStr">
        <is>
          <t>Miss Glam Jambi</t>
        </is>
      </c>
      <c r="E4193" t="n">
        <v>2</v>
      </c>
      <c r="F4193" t="n">
        <v>0.006600000000000001</v>
      </c>
      <c r="G4193" t="n">
        <v>0.33</v>
      </c>
      <c r="H4193" t="n">
        <v>2</v>
      </c>
      <c r="I4193" t="n">
        <v>13</v>
      </c>
      <c r="J4193" t="n">
        <v>3</v>
      </c>
      <c r="K4193" t="n">
        <v>0</v>
      </c>
      <c r="L4193" t="n">
        <v>74250</v>
      </c>
      <c r="M4193" t="n">
        <v>99000</v>
      </c>
      <c r="N4193" t="n">
        <v>33</v>
      </c>
      <c r="O4193" t="n">
        <v>0.33</v>
      </c>
      <c r="P4193" t="n">
        <v>1</v>
      </c>
      <c r="Q4193" t="n">
        <v>0.03</v>
      </c>
      <c r="R4193" t="n">
        <v>1</v>
      </c>
      <c r="S4193" t="n">
        <v>653.4000000000001</v>
      </c>
      <c r="T4193" t="n">
        <v>5</v>
      </c>
      <c r="U4193" t="n">
        <v>6</v>
      </c>
      <c r="V4193" t="n">
        <v>30</v>
      </c>
      <c r="W4193" t="n">
        <v>1</v>
      </c>
      <c r="X4193" t="n">
        <v>303.030303030303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1081</v>
      </c>
      <c r="AG4193" t="n">
        <v>2318</v>
      </c>
      <c r="AH4193" t="inlineStr">
        <is>
          <t>CV. KIANO SUKSES MANDIRI - PPN (JMB)</t>
        </is>
      </c>
      <c r="AI4193" t="n">
        <v>54</v>
      </c>
      <c r="AJ4193" t="inlineStr">
        <is>
          <t>SOMETHINC</t>
        </is>
      </c>
      <c r="AK4193" t="n">
        <v>9</v>
      </c>
      <c r="AL4193" t="inlineStr">
        <is>
          <t>Miss Glam Jambi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SOMETHINC</t>
        </is>
      </c>
      <c r="B4194" s="2">
        <f>"8991752004922"</f>
        <v/>
      </c>
      <c r="C4194" t="inlineStr">
        <is>
          <t>SOMETHINC Checkmatte Transferproof Lipstick 07 Cold 3,8gr</t>
        </is>
      </c>
      <c r="D4194" t="inlineStr">
        <is>
          <t>Miss Glam Jambi</t>
        </is>
      </c>
      <c r="E4194" t="n">
        <v>6</v>
      </c>
      <c r="F4194" t="n">
        <v>0.0165</v>
      </c>
      <c r="G4194" t="n">
        <v>0.33</v>
      </c>
      <c r="H4194" t="n">
        <v>2</v>
      </c>
      <c r="I4194" t="n">
        <v>13</v>
      </c>
      <c r="J4194" t="n">
        <v>3</v>
      </c>
      <c r="K4194" t="n">
        <v>0</v>
      </c>
      <c r="L4194" t="n">
        <v>74250</v>
      </c>
      <c r="M4194" t="n">
        <v>99000</v>
      </c>
      <c r="N4194" t="n">
        <v>33</v>
      </c>
      <c r="O4194" t="n">
        <v>0.33</v>
      </c>
      <c r="P4194" t="n">
        <v>1</v>
      </c>
      <c r="Q4194" t="n">
        <v>0.07000000000000001</v>
      </c>
      <c r="R4194" t="n">
        <v>1</v>
      </c>
      <c r="S4194" t="n">
        <v>1633.5</v>
      </c>
      <c r="T4194" t="n">
        <v>5</v>
      </c>
      <c r="U4194" t="n">
        <v>6</v>
      </c>
      <c r="V4194" t="n">
        <v>30</v>
      </c>
      <c r="W4194" t="n">
        <v>1</v>
      </c>
      <c r="X4194" t="n">
        <v>363.6363636363636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1081</v>
      </c>
      <c r="AG4194" t="n">
        <v>2318</v>
      </c>
      <c r="AH4194" t="inlineStr">
        <is>
          <t>CV. KIANO SUKSES MANDIRI - PPN (JMB)</t>
        </is>
      </c>
      <c r="AI4194" t="n">
        <v>54</v>
      </c>
      <c r="AJ4194" t="inlineStr">
        <is>
          <t>SOMETHINC</t>
        </is>
      </c>
      <c r="AK4194" t="n">
        <v>9</v>
      </c>
      <c r="AL4194" t="inlineStr">
        <is>
          <t>Miss Glam Jambi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SOMETHINC</t>
        </is>
      </c>
      <c r="B4195" s="2">
        <f>"8991752006292"</f>
        <v/>
      </c>
      <c r="C4195" t="inlineStr">
        <is>
          <t>SOMETHINC Checkmatte Transferproof Lipstick 08 Priest 3,8gr</t>
        </is>
      </c>
      <c r="D4195" t="inlineStr">
        <is>
          <t>Miss Glam Jambi</t>
        </is>
      </c>
      <c r="E4195" t="n">
        <v>2</v>
      </c>
      <c r="F4195" t="n">
        <v>0.009900000000000001</v>
      </c>
      <c r="G4195" t="n">
        <v>0.33</v>
      </c>
      <c r="H4195" t="n">
        <v>2</v>
      </c>
      <c r="I4195" t="n">
        <v>13</v>
      </c>
      <c r="J4195" t="n">
        <v>3</v>
      </c>
      <c r="K4195" t="n">
        <v>0</v>
      </c>
      <c r="L4195" t="n">
        <v>74250</v>
      </c>
      <c r="M4195" t="n">
        <v>99000</v>
      </c>
      <c r="N4195" t="n">
        <v>33</v>
      </c>
      <c r="O4195" t="n">
        <v>0.33</v>
      </c>
      <c r="P4195" t="n">
        <v>1</v>
      </c>
      <c r="Q4195" t="n">
        <v>0.1</v>
      </c>
      <c r="R4195" t="n">
        <v>1</v>
      </c>
      <c r="S4195" t="n">
        <v>980.1000000000001</v>
      </c>
      <c r="T4195" t="n">
        <v>5</v>
      </c>
      <c r="U4195" t="n">
        <v>6</v>
      </c>
      <c r="V4195" t="n">
        <v>30</v>
      </c>
      <c r="W4195" t="n">
        <v>1</v>
      </c>
      <c r="X4195" t="n">
        <v>202.020202020202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1081</v>
      </c>
      <c r="AG4195" t="n">
        <v>2318</v>
      </c>
      <c r="AH4195" t="inlineStr">
        <is>
          <t>CV. KIANO SUKSES MANDIRI - PPN (JMB)</t>
        </is>
      </c>
      <c r="AI4195" t="n">
        <v>54</v>
      </c>
      <c r="AJ4195" t="inlineStr">
        <is>
          <t>SOMETHINC</t>
        </is>
      </c>
      <c r="AK4195" t="n">
        <v>9</v>
      </c>
      <c r="AL4195" t="inlineStr">
        <is>
          <t>Miss Glam Jambi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SOMETHINC</t>
        </is>
      </c>
      <c r="B4196" s="2">
        <f>"8991752004946"</f>
        <v/>
      </c>
      <c r="C4196" t="inlineStr">
        <is>
          <t>SOMETHINC Checkmatte Transferproof Lipstick 09 Soleyn 3,8gr</t>
        </is>
      </c>
      <c r="D4196" t="inlineStr">
        <is>
          <t>Miss Glam Jambi</t>
        </is>
      </c>
      <c r="E4196" t="n">
        <v>2</v>
      </c>
      <c r="F4196" t="n">
        <v>0.02</v>
      </c>
      <c r="G4196" t="n">
        <v>1</v>
      </c>
      <c r="H4196" t="n">
        <v>2</v>
      </c>
      <c r="I4196" t="n">
        <v>13</v>
      </c>
      <c r="J4196" t="n">
        <v>3</v>
      </c>
      <c r="K4196" t="n">
        <v>0</v>
      </c>
      <c r="L4196" t="n">
        <v>74250</v>
      </c>
      <c r="M4196" t="n">
        <v>99000</v>
      </c>
      <c r="N4196" t="n">
        <v>33</v>
      </c>
      <c r="O4196" t="n">
        <v>0.33</v>
      </c>
      <c r="P4196" t="n">
        <v>0</v>
      </c>
      <c r="Q4196" t="n">
        <v>0.02</v>
      </c>
      <c r="R4196" t="n">
        <v>1</v>
      </c>
      <c r="S4196" t="n">
        <v>1980</v>
      </c>
      <c r="T4196" t="n">
        <v>13</v>
      </c>
      <c r="U4196" t="n">
        <v>14</v>
      </c>
      <c r="V4196" t="n">
        <v>30</v>
      </c>
      <c r="W4196" t="n">
        <v>1</v>
      </c>
      <c r="X4196" t="n">
        <v>100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1081</v>
      </c>
      <c r="AG4196" t="n">
        <v>2318</v>
      </c>
      <c r="AH4196" t="inlineStr">
        <is>
          <t>CV. KIANO SUKSES MANDIRI - PPN (JMB)</t>
        </is>
      </c>
      <c r="AI4196" t="n">
        <v>54</v>
      </c>
      <c r="AJ4196" t="inlineStr">
        <is>
          <t>SOMETHINC</t>
        </is>
      </c>
      <c r="AK4196" t="n">
        <v>9</v>
      </c>
      <c r="AL4196" t="inlineStr">
        <is>
          <t>Miss Glam Jambi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SOMETHINC</t>
        </is>
      </c>
      <c r="B4197" s="2">
        <f>"8991752004991"</f>
        <v/>
      </c>
      <c r="C4197" t="inlineStr">
        <is>
          <t>SOMETHINC Checkmatte Transferproof Lipstick 14 Witty 3,8gr</t>
        </is>
      </c>
      <c r="D4197" t="inlineStr">
        <is>
          <t>Miss Glam Jambi</t>
        </is>
      </c>
      <c r="E4197" t="n">
        <v>5</v>
      </c>
      <c r="F4197" t="n">
        <v>0.0165</v>
      </c>
      <c r="G4197" t="n">
        <v>0.33</v>
      </c>
      <c r="H4197" t="n">
        <v>2</v>
      </c>
      <c r="I4197" t="n">
        <v>13</v>
      </c>
      <c r="J4197" t="n">
        <v>3</v>
      </c>
      <c r="K4197" t="n">
        <v>0</v>
      </c>
      <c r="L4197" t="n">
        <v>74250</v>
      </c>
      <c r="M4197" t="n">
        <v>99000</v>
      </c>
      <c r="N4197" t="n">
        <v>33</v>
      </c>
      <c r="O4197" t="n">
        <v>0.33</v>
      </c>
      <c r="P4197" t="n">
        <v>1</v>
      </c>
      <c r="Q4197" t="n">
        <v>0.08</v>
      </c>
      <c r="R4197" t="n">
        <v>2</v>
      </c>
      <c r="S4197" t="n">
        <v>1633.5</v>
      </c>
      <c r="T4197" t="n">
        <v>5</v>
      </c>
      <c r="U4197" t="n">
        <v>6</v>
      </c>
      <c r="V4197" t="n">
        <v>30</v>
      </c>
      <c r="W4197" t="n">
        <v>1</v>
      </c>
      <c r="X4197" t="n">
        <v>303.030303030303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1081</v>
      </c>
      <c r="AG4197" t="n">
        <v>2318</v>
      </c>
      <c r="AH4197" t="inlineStr">
        <is>
          <t>CV. KIANO SUKSES MANDIRI - PPN (JMB)</t>
        </is>
      </c>
      <c r="AI4197" t="n">
        <v>54</v>
      </c>
      <c r="AJ4197" t="inlineStr">
        <is>
          <t>SOMETHINC</t>
        </is>
      </c>
      <c r="AK4197" t="n">
        <v>9</v>
      </c>
      <c r="AL4197" t="inlineStr">
        <is>
          <t>Miss Glam Jambi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SOMETHINC</t>
        </is>
      </c>
      <c r="B4198" s="2">
        <f>"8991752006285"</f>
        <v/>
      </c>
      <c r="C4198" t="inlineStr">
        <is>
          <t>SOMETHINC Checkmatte Transferproof Lipstick 15 Capture 3,8gr</t>
        </is>
      </c>
      <c r="D4198" t="inlineStr">
        <is>
          <t>Miss Glam Jambi</t>
        </is>
      </c>
      <c r="E4198" t="n">
        <v>3</v>
      </c>
      <c r="F4198" t="n">
        <v>0.009900000000000001</v>
      </c>
      <c r="G4198" t="n">
        <v>0.33</v>
      </c>
      <c r="H4198" t="n">
        <v>2</v>
      </c>
      <c r="I4198" t="n">
        <v>13</v>
      </c>
      <c r="J4198" t="n">
        <v>3</v>
      </c>
      <c r="K4198" t="n">
        <v>0</v>
      </c>
      <c r="L4198" t="n">
        <v>74250</v>
      </c>
      <c r="M4198" t="n">
        <v>99000</v>
      </c>
      <c r="N4198" t="n">
        <v>33</v>
      </c>
      <c r="O4198" t="n">
        <v>0.33</v>
      </c>
      <c r="P4198" t="n">
        <v>1</v>
      </c>
      <c r="Q4198" t="n">
        <v>0.08</v>
      </c>
      <c r="R4198" t="n">
        <v>3</v>
      </c>
      <c r="S4198" t="n">
        <v>980.1000000000001</v>
      </c>
      <c r="T4198" t="n">
        <v>5</v>
      </c>
      <c r="U4198" t="n">
        <v>6</v>
      </c>
      <c r="V4198" t="n">
        <v>30</v>
      </c>
      <c r="W4198" t="n">
        <v>1</v>
      </c>
      <c r="X4198" t="n">
        <v>303.030303030303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1081</v>
      </c>
      <c r="AG4198" t="n">
        <v>2318</v>
      </c>
      <c r="AH4198" t="inlineStr">
        <is>
          <t>CV. KIANO SUKSES MANDIRI - PPN (JMB)</t>
        </is>
      </c>
      <c r="AI4198" t="n">
        <v>54</v>
      </c>
      <c r="AJ4198" t="inlineStr">
        <is>
          <t>SOMETHINC</t>
        </is>
      </c>
      <c r="AK4198" t="n">
        <v>9</v>
      </c>
      <c r="AL4198" t="inlineStr">
        <is>
          <t>Miss Glam Jambi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SOMETHINC</t>
        </is>
      </c>
      <c r="B4199" s="2">
        <f>"8991752005011"</f>
        <v/>
      </c>
      <c r="C4199" t="inlineStr">
        <is>
          <t>SOMETHINC Checkmatte Transferproof Lipstick 16 Paladin 3,8gr</t>
        </is>
      </c>
      <c r="D4199" t="inlineStr">
        <is>
          <t>Miss Glam Jambi</t>
        </is>
      </c>
      <c r="E4199" t="n">
        <v>2</v>
      </c>
      <c r="F4199" t="n">
        <v>0.05</v>
      </c>
      <c r="G4199" t="n">
        <v>1</v>
      </c>
      <c r="H4199" t="n">
        <v>2</v>
      </c>
      <c r="I4199" t="n">
        <v>13</v>
      </c>
      <c r="J4199" t="n">
        <v>3</v>
      </c>
      <c r="K4199" t="n">
        <v>0</v>
      </c>
      <c r="L4199" t="n">
        <v>74250</v>
      </c>
      <c r="M4199" t="n">
        <v>99000</v>
      </c>
      <c r="N4199" t="n">
        <v>33</v>
      </c>
      <c r="O4199" t="n">
        <v>0.33</v>
      </c>
      <c r="P4199" t="n">
        <v>0</v>
      </c>
      <c r="Q4199" t="n">
        <v>0.05</v>
      </c>
      <c r="R4199" t="n">
        <v>1</v>
      </c>
      <c r="S4199" t="n">
        <v>4950</v>
      </c>
      <c r="T4199" t="n">
        <v>13</v>
      </c>
      <c r="U4199" t="n">
        <v>14</v>
      </c>
      <c r="V4199" t="n">
        <v>30</v>
      </c>
      <c r="W4199" t="n">
        <v>2</v>
      </c>
      <c r="X4199" t="n">
        <v>40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1081</v>
      </c>
      <c r="AG4199" t="n">
        <v>2318</v>
      </c>
      <c r="AH4199" t="inlineStr">
        <is>
          <t>CV. KIANO SUKSES MANDIRI - PPN (JMB)</t>
        </is>
      </c>
      <c r="AI4199" t="n">
        <v>54</v>
      </c>
      <c r="AJ4199" t="inlineStr">
        <is>
          <t>SOMETHINC</t>
        </is>
      </c>
      <c r="AK4199" t="n">
        <v>9</v>
      </c>
      <c r="AL4199" t="inlineStr">
        <is>
          <t>Miss Glam Jambi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SOMETHINC</t>
        </is>
      </c>
      <c r="B4200" s="2">
        <f>"8991752006278"</f>
        <v/>
      </c>
      <c r="C4200" t="inlineStr">
        <is>
          <t>SOMETHINC Checkmatte Transferproof Lipstick 17 Castle 3,8gr</t>
        </is>
      </c>
      <c r="D4200" t="inlineStr">
        <is>
          <t>Miss Glam Jambi</t>
        </is>
      </c>
      <c r="E4200" t="n">
        <v>3</v>
      </c>
      <c r="F4200" t="n">
        <v>0.009900000000000001</v>
      </c>
      <c r="G4200" t="n">
        <v>0.33</v>
      </c>
      <c r="H4200" t="n">
        <v>2</v>
      </c>
      <c r="I4200" t="n">
        <v>13</v>
      </c>
      <c r="J4200" t="n">
        <v>3</v>
      </c>
      <c r="K4200" t="n">
        <v>0</v>
      </c>
      <c r="L4200" t="n">
        <v>74249</v>
      </c>
      <c r="M4200" t="n">
        <v>99000</v>
      </c>
      <c r="N4200" t="n">
        <v>33</v>
      </c>
      <c r="O4200" t="n">
        <v>0.33</v>
      </c>
      <c r="P4200" t="n">
        <v>1</v>
      </c>
      <c r="Q4200" t="n">
        <v>0.03</v>
      </c>
      <c r="R4200" t="n">
        <v>1</v>
      </c>
      <c r="S4200" t="n">
        <v>980.1000000000001</v>
      </c>
      <c r="T4200" t="n">
        <v>5</v>
      </c>
      <c r="U4200" t="n">
        <v>6</v>
      </c>
      <c r="V4200" t="n">
        <v>30</v>
      </c>
      <c r="W4200" t="n">
        <v>1</v>
      </c>
      <c r="X4200" t="n">
        <v>303.030303030303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1081</v>
      </c>
      <c r="AG4200" t="n">
        <v>2318</v>
      </c>
      <c r="AH4200" t="inlineStr">
        <is>
          <t>CV. KIANO SUKSES MANDIRI - PPN (JMB)</t>
        </is>
      </c>
      <c r="AI4200" t="n">
        <v>54</v>
      </c>
      <c r="AJ4200" t="inlineStr">
        <is>
          <t>SOMETHINC</t>
        </is>
      </c>
      <c r="AK4200" t="n">
        <v>9</v>
      </c>
      <c r="AL4200" t="inlineStr">
        <is>
          <t>Miss Glam Jambi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SOMETHINC</t>
        </is>
      </c>
      <c r="B4201" s="2">
        <f>"8991752006247"</f>
        <v/>
      </c>
      <c r="C4201" t="inlineStr">
        <is>
          <t>SOMETHINC Checkmatte Transferproof Lipstick 21 Clover 3.8gr</t>
        </is>
      </c>
      <c r="D4201" t="inlineStr">
        <is>
          <t>Miss Glam Jambi</t>
        </is>
      </c>
      <c r="E4201" t="n">
        <v>0</v>
      </c>
      <c r="F4201" t="n">
        <v>0.009900000000000001</v>
      </c>
      <c r="G4201" t="n">
        <v>0.33</v>
      </c>
      <c r="H4201" t="n">
        <v>2</v>
      </c>
      <c r="I4201" t="n">
        <v>13</v>
      </c>
      <c r="J4201" t="n">
        <v>3</v>
      </c>
      <c r="K4201" t="n">
        <v>0</v>
      </c>
      <c r="L4201" t="n">
        <v>74250</v>
      </c>
      <c r="M4201" t="n">
        <v>99000</v>
      </c>
      <c r="N4201" t="n">
        <v>33</v>
      </c>
      <c r="O4201" t="n">
        <v>0.33</v>
      </c>
      <c r="P4201" t="n">
        <v>1</v>
      </c>
      <c r="Q4201" t="n">
        <v>0.08</v>
      </c>
      <c r="R4201" t="n">
        <v>1</v>
      </c>
      <c r="S4201" t="n">
        <v>980.1000000000001</v>
      </c>
      <c r="T4201" t="n">
        <v>5</v>
      </c>
      <c r="U4201" t="n">
        <v>6</v>
      </c>
      <c r="V4201" t="n">
        <v>30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n">
        <v>0</v>
      </c>
      <c r="AC4201" t="n">
        <v>0</v>
      </c>
      <c r="AD4201" t="n">
        <v>74250</v>
      </c>
      <c r="AE4201" t="n">
        <v>0</v>
      </c>
      <c r="AF4201" t="n">
        <v>1081</v>
      </c>
      <c r="AG4201" t="n">
        <v>2318</v>
      </c>
      <c r="AH4201" t="inlineStr">
        <is>
          <t>CV. KIANO SUKSES MANDIRI - PPN (JMB)</t>
        </is>
      </c>
      <c r="AI4201" t="n">
        <v>54</v>
      </c>
      <c r="AJ4201" t="inlineStr">
        <is>
          <t>SOMETHINC</t>
        </is>
      </c>
      <c r="AK4201" t="n">
        <v>9</v>
      </c>
      <c r="AL4201" t="inlineStr">
        <is>
          <t>Miss Glam Jambi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SOMETHINC</t>
        </is>
      </c>
      <c r="B4202" s="2">
        <f>"8991752002973"</f>
        <v/>
      </c>
      <c r="C4202" t="inlineStr">
        <is>
          <t>SOMETHINC Copy Paste Breathable Cushion N02.5 Linen</t>
        </is>
      </c>
      <c r="D4202" t="inlineStr">
        <is>
          <t>Miss Glam Jambi</t>
        </is>
      </c>
      <c r="E4202" t="n">
        <v>5</v>
      </c>
      <c r="F4202" t="n">
        <v>0.006600000000000001</v>
      </c>
      <c r="G4202" t="n">
        <v>0.33</v>
      </c>
      <c r="H4202" t="n">
        <v>2</v>
      </c>
      <c r="I4202" t="n">
        <v>13</v>
      </c>
      <c r="J4202" t="n">
        <v>3</v>
      </c>
      <c r="K4202" t="n">
        <v>0</v>
      </c>
      <c r="L4202" t="n">
        <v>141750</v>
      </c>
      <c r="M4202" t="n">
        <v>167000</v>
      </c>
      <c r="N4202" t="n">
        <v>33</v>
      </c>
      <c r="O4202" t="n">
        <v>0.33</v>
      </c>
      <c r="P4202" t="n">
        <v>1</v>
      </c>
      <c r="Q4202" t="n">
        <v>0.02</v>
      </c>
      <c r="R4202" t="n">
        <v>1</v>
      </c>
      <c r="S4202" t="n">
        <v>1102.2</v>
      </c>
      <c r="T4202" t="n">
        <v>5</v>
      </c>
      <c r="U4202" t="n">
        <v>6</v>
      </c>
      <c r="V4202" t="n">
        <v>30</v>
      </c>
      <c r="W4202" t="n">
        <v>1</v>
      </c>
      <c r="X4202" t="n">
        <v>757.5757575757575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1081</v>
      </c>
      <c r="AG4202" t="n">
        <v>2318</v>
      </c>
      <c r="AH4202" t="inlineStr">
        <is>
          <t>CV. KIANO SUKSES MANDIRI - PPN (JMB)</t>
        </is>
      </c>
      <c r="AI4202" t="n">
        <v>54</v>
      </c>
      <c r="AJ4202" t="inlineStr">
        <is>
          <t>SOMETHINC</t>
        </is>
      </c>
      <c r="AK4202" t="n">
        <v>9</v>
      </c>
      <c r="AL4202" t="inlineStr">
        <is>
          <t>Miss Glam Jambi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SOMETHINC</t>
        </is>
      </c>
      <c r="B4203" s="2">
        <f>"8991752002966"</f>
        <v/>
      </c>
      <c r="C4203" t="inlineStr">
        <is>
          <t>SOMETHINC Copy Paste Breathable Cushion Refill C01.5 Butter 15gr</t>
        </is>
      </c>
      <c r="D4203" t="inlineStr">
        <is>
          <t>Miss Glam Jambi</t>
        </is>
      </c>
      <c r="E4203" t="n">
        <v>3</v>
      </c>
      <c r="F4203" t="n">
        <v>0.0561</v>
      </c>
      <c r="G4203" t="n">
        <v>0.33</v>
      </c>
      <c r="H4203" t="n">
        <v>2</v>
      </c>
      <c r="I4203" t="n">
        <v>13</v>
      </c>
      <c r="J4203" t="n">
        <v>3</v>
      </c>
      <c r="K4203" t="n">
        <v>0</v>
      </c>
      <c r="L4203" t="n">
        <v>101250</v>
      </c>
      <c r="M4203" t="n">
        <v>129000</v>
      </c>
      <c r="N4203" t="n">
        <v>33</v>
      </c>
      <c r="O4203" t="n">
        <v>0.33</v>
      </c>
      <c r="P4203" t="n">
        <v>1</v>
      </c>
      <c r="Q4203" t="n">
        <v>0.02</v>
      </c>
      <c r="R4203" t="n">
        <v>1</v>
      </c>
      <c r="S4203" t="n">
        <v>7236.900000000001</v>
      </c>
      <c r="T4203" t="n">
        <v>5</v>
      </c>
      <c r="U4203" t="n">
        <v>6</v>
      </c>
      <c r="V4203" t="n">
        <v>30</v>
      </c>
      <c r="W4203" t="n">
        <v>2</v>
      </c>
      <c r="X4203" t="n">
        <v>53.475935828877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1081</v>
      </c>
      <c r="AG4203" t="n">
        <v>2318</v>
      </c>
      <c r="AH4203" t="inlineStr">
        <is>
          <t>CV. KIANO SUKSES MANDIRI - PPN (JMB)</t>
        </is>
      </c>
      <c r="AI4203" t="n">
        <v>54</v>
      </c>
      <c r="AJ4203" t="inlineStr">
        <is>
          <t>SOMETHINC</t>
        </is>
      </c>
      <c r="AK4203" t="n">
        <v>9</v>
      </c>
      <c r="AL4203" t="inlineStr">
        <is>
          <t>Miss Glam Jambi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SOMETHINC</t>
        </is>
      </c>
      <c r="B4204" s="2">
        <f>"8991752002980"</f>
        <v/>
      </c>
      <c r="C4204" t="inlineStr">
        <is>
          <t>SOMETHINC Copy Paste Breathable Cushion Refill N02.5 Linen 15gr</t>
        </is>
      </c>
      <c r="D4204" t="inlineStr">
        <is>
          <t>Miss Glam Jambi</t>
        </is>
      </c>
      <c r="E4204" t="n">
        <v>3</v>
      </c>
      <c r="F4204" t="n">
        <v>0.009900000000000001</v>
      </c>
      <c r="G4204" t="n">
        <v>0.33</v>
      </c>
      <c r="H4204" t="n">
        <v>2</v>
      </c>
      <c r="I4204" t="n">
        <v>13</v>
      </c>
      <c r="J4204" t="n">
        <v>3</v>
      </c>
      <c r="K4204" t="n">
        <v>0</v>
      </c>
      <c r="L4204" t="n">
        <v>50625</v>
      </c>
      <c r="M4204" t="n">
        <v>129000</v>
      </c>
      <c r="N4204" t="n">
        <v>33</v>
      </c>
      <c r="O4204" t="n">
        <v>0.33</v>
      </c>
      <c r="P4204" t="n">
        <v>1</v>
      </c>
      <c r="Q4204" t="n">
        <v>0.02</v>
      </c>
      <c r="R4204" t="n">
        <v>1</v>
      </c>
      <c r="S4204" t="n">
        <v>1277.1</v>
      </c>
      <c r="T4204" t="n">
        <v>5</v>
      </c>
      <c r="U4204" t="n">
        <v>6</v>
      </c>
      <c r="V4204" t="n">
        <v>30</v>
      </c>
      <c r="W4204" t="n">
        <v>1</v>
      </c>
      <c r="X4204" t="n">
        <v>303.030303030303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1081</v>
      </c>
      <c r="AG4204" t="n">
        <v>2318</v>
      </c>
      <c r="AH4204" t="inlineStr">
        <is>
          <t>CV. KIANO SUKSES MANDIRI - PPN (JMB)</t>
        </is>
      </c>
      <c r="AI4204" t="n">
        <v>54</v>
      </c>
      <c r="AJ4204" t="inlineStr">
        <is>
          <t>SOMETHINC</t>
        </is>
      </c>
      <c r="AK4204" t="n">
        <v>9</v>
      </c>
      <c r="AL4204" t="inlineStr">
        <is>
          <t>Miss Glam Jambi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SOMETHINC</t>
        </is>
      </c>
      <c r="B4205" s="2">
        <f>"8997209270278"</f>
        <v/>
      </c>
      <c r="C4205" t="inlineStr">
        <is>
          <t>SOMETHINC Copy Paste Breathable Cushion SPF 33 PA++  Refill Perle 15g</t>
        </is>
      </c>
      <c r="D4205" t="inlineStr">
        <is>
          <t>Miss Glam Jambi</t>
        </is>
      </c>
      <c r="E4205" t="n">
        <v>9</v>
      </c>
      <c r="F4205" t="n">
        <v>0.0462</v>
      </c>
      <c r="G4205" t="n">
        <v>0.66</v>
      </c>
      <c r="H4205" t="n">
        <v>2</v>
      </c>
      <c r="I4205" t="n">
        <v>13</v>
      </c>
      <c r="J4205" t="n">
        <v>3</v>
      </c>
      <c r="K4205" t="n">
        <v>0</v>
      </c>
      <c r="L4205" t="n">
        <v>101250</v>
      </c>
      <c r="M4205" t="n">
        <v>135000</v>
      </c>
      <c r="N4205" t="n">
        <v>33</v>
      </c>
      <c r="O4205" t="n">
        <v>0.33</v>
      </c>
      <c r="P4205" t="n">
        <v>1</v>
      </c>
      <c r="Q4205" t="n">
        <v>0.15</v>
      </c>
      <c r="R4205" t="n">
        <v>2</v>
      </c>
      <c r="S4205" t="n">
        <v>6237.000000000001</v>
      </c>
      <c r="T4205" t="n">
        <v>9</v>
      </c>
      <c r="U4205" t="n">
        <v>10</v>
      </c>
      <c r="V4205" t="n">
        <v>30</v>
      </c>
      <c r="W4205" t="n">
        <v>2</v>
      </c>
      <c r="X4205" t="n">
        <v>194.8051948051948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1081</v>
      </c>
      <c r="AG4205" t="n">
        <v>2318</v>
      </c>
      <c r="AH4205" t="inlineStr">
        <is>
          <t>CV. KIANO SUKSES MANDIRI - PPN (JMB)</t>
        </is>
      </c>
      <c r="AI4205" t="n">
        <v>54</v>
      </c>
      <c r="AJ4205" t="inlineStr">
        <is>
          <t>SOMETHINC</t>
        </is>
      </c>
      <c r="AK4205" t="n">
        <v>9</v>
      </c>
      <c r="AL4205" t="inlineStr">
        <is>
          <t>Miss Glam Jambi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SOMETHINC</t>
        </is>
      </c>
      <c r="B4206" s="2">
        <f>"8997209270209"</f>
        <v/>
      </c>
      <c r="C4206" t="inlineStr">
        <is>
          <t>SOMETHINC Copy Paste Breathable Cushion SPF 33 PA++ Bijoux 15gr</t>
        </is>
      </c>
      <c r="D4206" t="inlineStr">
        <is>
          <t>Miss Glam Jambi</t>
        </is>
      </c>
      <c r="E4206" t="n">
        <v>3</v>
      </c>
      <c r="F4206" t="n">
        <v>0.0165</v>
      </c>
      <c r="G4206" t="n">
        <v>0.66</v>
      </c>
      <c r="H4206" t="n">
        <v>2</v>
      </c>
      <c r="I4206" t="n">
        <v>13</v>
      </c>
      <c r="J4206" t="n">
        <v>3</v>
      </c>
      <c r="K4206" t="n">
        <v>0</v>
      </c>
      <c r="L4206" t="n">
        <v>141750</v>
      </c>
      <c r="M4206" t="n">
        <v>189000</v>
      </c>
      <c r="N4206" t="n">
        <v>33</v>
      </c>
      <c r="O4206" t="n">
        <v>0.33</v>
      </c>
      <c r="P4206" t="n">
        <v>1</v>
      </c>
      <c r="Q4206" t="n">
        <v>0.05</v>
      </c>
      <c r="R4206" t="n">
        <v>2</v>
      </c>
      <c r="S4206" t="n">
        <v>3118.5</v>
      </c>
      <c r="T4206" t="n">
        <v>9</v>
      </c>
      <c r="U4206" t="n">
        <v>10</v>
      </c>
      <c r="V4206" t="n">
        <v>30</v>
      </c>
      <c r="W4206" t="n">
        <v>1</v>
      </c>
      <c r="X4206" t="n">
        <v>181.8181818181818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1081</v>
      </c>
      <c r="AG4206" t="n">
        <v>2318</v>
      </c>
      <c r="AH4206" t="inlineStr">
        <is>
          <t>CV. KIANO SUKSES MANDIRI - PPN (JMB)</t>
        </is>
      </c>
      <c r="AI4206" t="n">
        <v>54</v>
      </c>
      <c r="AJ4206" t="inlineStr">
        <is>
          <t>SOMETHINC</t>
        </is>
      </c>
      <c r="AK4206" t="n">
        <v>9</v>
      </c>
      <c r="AL4206" t="inlineStr">
        <is>
          <t>Miss Glam Jambi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SOMETHINC</t>
        </is>
      </c>
      <c r="B4207" s="2">
        <f>"8997209270179"</f>
        <v/>
      </c>
      <c r="C4207" t="inlineStr">
        <is>
          <t>SOMETHINC Copy Paste Breathable Cushion SPF 33 PA++ Nina 15g</t>
        </is>
      </c>
      <c r="D4207" t="inlineStr">
        <is>
          <t>Miss Glam Jambi</t>
        </is>
      </c>
      <c r="E4207" t="n">
        <v>3</v>
      </c>
      <c r="F4207" t="n">
        <v>0.0231</v>
      </c>
      <c r="G4207" t="n">
        <v>0.33</v>
      </c>
      <c r="H4207" t="n">
        <v>2</v>
      </c>
      <c r="I4207" t="n">
        <v>13</v>
      </c>
      <c r="J4207" t="n">
        <v>3</v>
      </c>
      <c r="K4207" t="n">
        <v>0</v>
      </c>
      <c r="L4207" t="n">
        <v>141750</v>
      </c>
      <c r="M4207" t="n">
        <v>189000</v>
      </c>
      <c r="N4207" t="n">
        <v>33</v>
      </c>
      <c r="O4207" t="n">
        <v>0.33</v>
      </c>
      <c r="P4207" t="n">
        <v>1</v>
      </c>
      <c r="Q4207" t="n">
        <v>0.08</v>
      </c>
      <c r="R4207" t="n">
        <v>1</v>
      </c>
      <c r="S4207" t="n">
        <v>4365.900000000001</v>
      </c>
      <c r="T4207" t="n">
        <v>5</v>
      </c>
      <c r="U4207" t="n">
        <v>6</v>
      </c>
      <c r="V4207" t="n">
        <v>30</v>
      </c>
      <c r="W4207" t="n">
        <v>1</v>
      </c>
      <c r="X4207" t="n">
        <v>129.8701298701299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1081</v>
      </c>
      <c r="AG4207" t="n">
        <v>2318</v>
      </c>
      <c r="AH4207" t="inlineStr">
        <is>
          <t>CV. KIANO SUKSES MANDIRI - PPN (JMB)</t>
        </is>
      </c>
      <c r="AI4207" t="n">
        <v>54</v>
      </c>
      <c r="AJ4207" t="inlineStr">
        <is>
          <t>SOMETHINC</t>
        </is>
      </c>
      <c r="AK4207" t="n">
        <v>9</v>
      </c>
      <c r="AL4207" t="inlineStr">
        <is>
          <t>Miss Glam Jambi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SOMETHINC</t>
        </is>
      </c>
      <c r="B4208" s="2">
        <f>"8997209270223"</f>
        <v/>
      </c>
      <c r="C4208" t="inlineStr">
        <is>
          <t>SOMETHINC Copy Paste Breathable Cushion SPF 33 PA++ Refill Charlotte 15g</t>
        </is>
      </c>
      <c r="D4208" t="inlineStr">
        <is>
          <t>Miss Glam Jambi</t>
        </is>
      </c>
      <c r="E4208" t="n">
        <v>4</v>
      </c>
      <c r="F4208" t="n">
        <v>0.0462</v>
      </c>
      <c r="G4208" t="n">
        <v>0.33</v>
      </c>
      <c r="H4208" t="n">
        <v>2</v>
      </c>
      <c r="I4208" t="n">
        <v>13</v>
      </c>
      <c r="J4208" t="n">
        <v>3</v>
      </c>
      <c r="K4208" t="n">
        <v>0</v>
      </c>
      <c r="L4208" t="n">
        <v>101250</v>
      </c>
      <c r="M4208" t="n">
        <v>135000</v>
      </c>
      <c r="N4208" t="n">
        <v>33</v>
      </c>
      <c r="O4208" t="n">
        <v>0.33</v>
      </c>
      <c r="P4208" t="n">
        <v>1</v>
      </c>
      <c r="Q4208" t="n">
        <v>0.03</v>
      </c>
      <c r="R4208" t="n">
        <v>1</v>
      </c>
      <c r="S4208" t="n">
        <v>6237.000000000001</v>
      </c>
      <c r="T4208" t="n">
        <v>5</v>
      </c>
      <c r="U4208" t="n">
        <v>6</v>
      </c>
      <c r="V4208" t="n">
        <v>30</v>
      </c>
      <c r="W4208" t="n">
        <v>2</v>
      </c>
      <c r="X4208" t="n">
        <v>86.58008658008657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1081</v>
      </c>
      <c r="AG4208" t="n">
        <v>2318</v>
      </c>
      <c r="AH4208" t="inlineStr">
        <is>
          <t>CV. KIANO SUKSES MANDIRI - PPN (JMB)</t>
        </is>
      </c>
      <c r="AI4208" t="n">
        <v>54</v>
      </c>
      <c r="AJ4208" t="inlineStr">
        <is>
          <t>SOMETHINC</t>
        </is>
      </c>
      <c r="AK4208" t="n">
        <v>9</v>
      </c>
      <c r="AL4208" t="inlineStr">
        <is>
          <t>Miss Glam Jambi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SOMETHINC</t>
        </is>
      </c>
      <c r="B4209" s="2">
        <f>"8997209270292"</f>
        <v/>
      </c>
      <c r="C4209" t="inlineStr">
        <is>
          <t>SOMETHINC Copy Paste Breathable Cushion SPF 3E PA++ Refill Bijoux 15g</t>
        </is>
      </c>
      <c r="D4209" t="inlineStr">
        <is>
          <t>Miss Glam Jambi</t>
        </is>
      </c>
      <c r="E4209" t="n">
        <v>4</v>
      </c>
      <c r="F4209" t="n">
        <v>0.0561</v>
      </c>
      <c r="G4209" t="n">
        <v>0.66</v>
      </c>
      <c r="H4209" t="n">
        <v>2</v>
      </c>
      <c r="I4209" t="n">
        <v>13</v>
      </c>
      <c r="J4209" t="n">
        <v>3</v>
      </c>
      <c r="K4209" t="n">
        <v>0</v>
      </c>
      <c r="L4209" t="n">
        <v>101250</v>
      </c>
      <c r="M4209" t="n">
        <v>135000</v>
      </c>
      <c r="N4209" t="n">
        <v>33</v>
      </c>
      <c r="O4209" t="n">
        <v>0.33</v>
      </c>
      <c r="P4209" t="n">
        <v>1</v>
      </c>
      <c r="Q4209" t="n">
        <v>0.08</v>
      </c>
      <c r="R4209" t="n">
        <v>1</v>
      </c>
      <c r="S4209" t="n">
        <v>7573.500000000001</v>
      </c>
      <c r="T4209" t="n">
        <v>9</v>
      </c>
      <c r="U4209" t="n">
        <v>10</v>
      </c>
      <c r="V4209" t="n">
        <v>30</v>
      </c>
      <c r="W4209" t="n">
        <v>2</v>
      </c>
      <c r="X4209" t="n">
        <v>71.301247771836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1081</v>
      </c>
      <c r="AG4209" t="n">
        <v>2318</v>
      </c>
      <c r="AH4209" t="inlineStr">
        <is>
          <t>CV. KIANO SUKSES MANDIRI - PPN (JMB)</t>
        </is>
      </c>
      <c r="AI4209" t="n">
        <v>54</v>
      </c>
      <c r="AJ4209" t="inlineStr">
        <is>
          <t>SOMETHINC</t>
        </is>
      </c>
      <c r="AK4209" t="n">
        <v>9</v>
      </c>
      <c r="AL4209" t="inlineStr">
        <is>
          <t>Miss Glam Jambi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SOMETHINC</t>
        </is>
      </c>
      <c r="B4210" s="2">
        <f>"8997209270261"</f>
        <v/>
      </c>
      <c r="C4210" t="inlineStr">
        <is>
          <t>SOMETHINC Copy Paste Breathable Cushion SPF 3E PA++ Refill Nina 15g</t>
        </is>
      </c>
      <c r="D4210" t="inlineStr">
        <is>
          <t>Miss Glam Jambi</t>
        </is>
      </c>
      <c r="E4210" t="n">
        <v>10</v>
      </c>
      <c r="F4210" t="n">
        <v>0.06270000000000001</v>
      </c>
      <c r="G4210" t="n">
        <v>0.66</v>
      </c>
      <c r="H4210" t="n">
        <v>2</v>
      </c>
      <c r="I4210" t="n">
        <v>13</v>
      </c>
      <c r="J4210" t="n">
        <v>3</v>
      </c>
      <c r="K4210" t="n">
        <v>0</v>
      </c>
      <c r="L4210" t="n">
        <v>101250</v>
      </c>
      <c r="M4210" t="n">
        <v>135000</v>
      </c>
      <c r="N4210" t="n">
        <v>33</v>
      </c>
      <c r="O4210" t="n">
        <v>0.33</v>
      </c>
      <c r="P4210" t="n">
        <v>1</v>
      </c>
      <c r="Q4210" t="n">
        <v>0.15</v>
      </c>
      <c r="R4210" t="n">
        <v>2</v>
      </c>
      <c r="S4210" t="n">
        <v>8464.5</v>
      </c>
      <c r="T4210" t="n">
        <v>9</v>
      </c>
      <c r="U4210" t="n">
        <v>10</v>
      </c>
      <c r="V4210" t="n">
        <v>30</v>
      </c>
      <c r="W4210" t="n">
        <v>2</v>
      </c>
      <c r="X4210" t="n">
        <v>159.4896331738437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1081</v>
      </c>
      <c r="AG4210" t="n">
        <v>2318</v>
      </c>
      <c r="AH4210" t="inlineStr">
        <is>
          <t>CV. KIANO SUKSES MANDIRI - PPN (JMB)</t>
        </is>
      </c>
      <c r="AI4210" t="n">
        <v>54</v>
      </c>
      <c r="AJ4210" t="inlineStr">
        <is>
          <t>SOMETHINC</t>
        </is>
      </c>
      <c r="AK4210" t="n">
        <v>9</v>
      </c>
      <c r="AL4210" t="inlineStr">
        <is>
          <t>Miss Glam Jambi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SOMETHINC</t>
        </is>
      </c>
      <c r="B4211" s="2">
        <f>"20100176437"</f>
        <v/>
      </c>
      <c r="C4211" t="inlineStr">
        <is>
          <t>SOMETHINC Copy Paste Coverblur Powder Foundation C02 Serene Refill</t>
        </is>
      </c>
      <c r="D4211" t="inlineStr">
        <is>
          <t>Miss Glam Jambi</t>
        </is>
      </c>
      <c r="E4211" t="n">
        <v>2</v>
      </c>
      <c r="F4211" t="n">
        <v>0.02</v>
      </c>
      <c r="G4211" t="n">
        <v>1</v>
      </c>
      <c r="H4211" t="n">
        <v>2</v>
      </c>
      <c r="I4211" t="n">
        <v>13</v>
      </c>
      <c r="J4211" t="n">
        <v>1</v>
      </c>
      <c r="K4211" t="n">
        <v>0</v>
      </c>
      <c r="L4211" t="n">
        <v>89250</v>
      </c>
      <c r="M4211" t="n">
        <v>119000</v>
      </c>
      <c r="N4211" t="n">
        <v>33</v>
      </c>
      <c r="O4211" t="n">
        <v>0.33</v>
      </c>
      <c r="P4211" t="n">
        <v>0</v>
      </c>
      <c r="Q4211" t="n">
        <v>0.02</v>
      </c>
      <c r="R4211" t="n">
        <v>1</v>
      </c>
      <c r="S4211" t="n">
        <v>2380</v>
      </c>
      <c r="T4211" t="n">
        <v>13</v>
      </c>
      <c r="U4211" t="n">
        <v>14</v>
      </c>
      <c r="V4211" t="n">
        <v>30</v>
      </c>
      <c r="W4211" t="n">
        <v>1</v>
      </c>
      <c r="X4211" t="n">
        <v>100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1081</v>
      </c>
      <c r="AG4211" t="n">
        <v>2318</v>
      </c>
      <c r="AH4211" t="inlineStr">
        <is>
          <t>CV. KIANO SUKSES MANDIRI - PPN (JMB)</t>
        </is>
      </c>
      <c r="AI4211" t="n">
        <v>54</v>
      </c>
      <c r="AJ4211" t="inlineStr">
        <is>
          <t>SOMETHINC</t>
        </is>
      </c>
      <c r="AK4211" t="n">
        <v>9</v>
      </c>
      <c r="AL4211" t="inlineStr">
        <is>
          <t>Miss Glam Jambi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SOMETHINC</t>
        </is>
      </c>
      <c r="B4212" s="2">
        <f>"20100176608"</f>
        <v/>
      </c>
      <c r="C4212" t="inlineStr">
        <is>
          <t>SOMETHINC Copy Paste Coverblur Powder Foundation N02 Charlotte Refill 12g</t>
        </is>
      </c>
      <c r="D4212" t="inlineStr">
        <is>
          <t>Miss Glam Jambi</t>
        </is>
      </c>
      <c r="E4212" t="n">
        <v>3</v>
      </c>
      <c r="F4212" t="n">
        <v>0.03</v>
      </c>
      <c r="G4212" t="n">
        <v>1</v>
      </c>
      <c r="H4212" t="n">
        <v>2</v>
      </c>
      <c r="I4212" t="n">
        <v>13</v>
      </c>
      <c r="J4212" t="n">
        <v>1</v>
      </c>
      <c r="K4212" t="n">
        <v>0</v>
      </c>
      <c r="L4212" t="n">
        <v>89250</v>
      </c>
      <c r="M4212" t="n">
        <v>119000</v>
      </c>
      <c r="N4212" t="n">
        <v>33</v>
      </c>
      <c r="O4212" t="n">
        <v>0.33</v>
      </c>
      <c r="P4212" t="n">
        <v>0</v>
      </c>
      <c r="Q4212" t="n">
        <v>0.03</v>
      </c>
      <c r="R4212" t="n">
        <v>1</v>
      </c>
      <c r="S4212" t="n">
        <v>3570</v>
      </c>
      <c r="T4212" t="n">
        <v>13</v>
      </c>
      <c r="U4212" t="n">
        <v>14</v>
      </c>
      <c r="V4212" t="n">
        <v>30</v>
      </c>
      <c r="W4212" t="n">
        <v>1</v>
      </c>
      <c r="X4212" t="n">
        <v>100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1081</v>
      </c>
      <c r="AG4212" t="n">
        <v>2318</v>
      </c>
      <c r="AH4212" t="inlineStr">
        <is>
          <t>CV. KIANO SUKSES MANDIRI - PPN (JMB)</t>
        </is>
      </c>
      <c r="AI4212" t="n">
        <v>54</v>
      </c>
      <c r="AJ4212" t="inlineStr">
        <is>
          <t>SOMETHINC</t>
        </is>
      </c>
      <c r="AK4212" t="n">
        <v>9</v>
      </c>
      <c r="AL4212" t="inlineStr">
        <is>
          <t>Miss Glam Jambi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SOMETHINC</t>
        </is>
      </c>
      <c r="B4213" s="2">
        <f>"8991752007084"</f>
        <v/>
      </c>
      <c r="C4213" t="inlineStr">
        <is>
          <t>SOMETHINC Copy Paste Tinted Sunscreen SPF 40 PA++++ 10ml - C00 Cotton</t>
        </is>
      </c>
      <c r="D4213" t="inlineStr">
        <is>
          <t>Miss Glam Jambi</t>
        </is>
      </c>
      <c r="E4213" t="n">
        <v>6</v>
      </c>
      <c r="F4213" t="n">
        <v>0.033</v>
      </c>
      <c r="G4213" t="n">
        <v>0.33</v>
      </c>
      <c r="H4213" t="n">
        <v>2</v>
      </c>
      <c r="I4213" t="n">
        <v>13</v>
      </c>
      <c r="J4213" t="n">
        <v>3</v>
      </c>
      <c r="K4213" t="n">
        <v>0</v>
      </c>
      <c r="L4213" t="n">
        <v>39750</v>
      </c>
      <c r="M4213" t="n">
        <v>53000</v>
      </c>
      <c r="N4213" t="n">
        <v>33</v>
      </c>
      <c r="O4213" t="n">
        <v>0.33</v>
      </c>
      <c r="P4213" t="n">
        <v>1</v>
      </c>
      <c r="Q4213" t="n">
        <v>0.02</v>
      </c>
      <c r="R4213" t="n">
        <v>1</v>
      </c>
      <c r="S4213" t="n">
        <v>1749</v>
      </c>
      <c r="T4213" t="n">
        <v>5</v>
      </c>
      <c r="U4213" t="n">
        <v>6</v>
      </c>
      <c r="V4213" t="n">
        <v>30</v>
      </c>
      <c r="W4213" t="n">
        <v>1</v>
      </c>
      <c r="X4213" t="n">
        <v>181.8181818181818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1081</v>
      </c>
      <c r="AG4213" t="n">
        <v>2318</v>
      </c>
      <c r="AH4213" t="inlineStr">
        <is>
          <t>CV. KIANO SUKSES MANDIRI - PPN (JMB)</t>
        </is>
      </c>
      <c r="AI4213" t="n">
        <v>54</v>
      </c>
      <c r="AJ4213" t="inlineStr">
        <is>
          <t>SOMETHINC</t>
        </is>
      </c>
      <c r="AK4213" t="n">
        <v>9</v>
      </c>
      <c r="AL4213" t="inlineStr">
        <is>
          <t>Miss Glam Jambi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SOMETHINC</t>
        </is>
      </c>
      <c r="B4214" s="2">
        <f>"8991752007107"</f>
        <v/>
      </c>
      <c r="C4214" t="inlineStr">
        <is>
          <t>SOMETHINC Copy Paste Tinted Sunscreen SPF 40 PA++++ 10ml - W01.5 Cashew</t>
        </is>
      </c>
      <c r="D4214" t="inlineStr">
        <is>
          <t>Miss Glam Jambi</t>
        </is>
      </c>
      <c r="E4214" t="n">
        <v>6</v>
      </c>
      <c r="F4214" t="n">
        <v>0.0495</v>
      </c>
      <c r="G4214" t="n">
        <v>0.33</v>
      </c>
      <c r="H4214" t="n">
        <v>2</v>
      </c>
      <c r="I4214" t="n">
        <v>13</v>
      </c>
      <c r="J4214" t="n">
        <v>3</v>
      </c>
      <c r="K4214" t="n">
        <v>0</v>
      </c>
      <c r="L4214" t="n">
        <v>39750</v>
      </c>
      <c r="M4214" t="n">
        <v>53000</v>
      </c>
      <c r="N4214" t="n">
        <v>33</v>
      </c>
      <c r="O4214" t="n">
        <v>0.33</v>
      </c>
      <c r="P4214" t="n">
        <v>1</v>
      </c>
      <c r="Q4214" t="n">
        <v>0.02</v>
      </c>
      <c r="R4214" t="n">
        <v>1</v>
      </c>
      <c r="S4214" t="n">
        <v>2623.5</v>
      </c>
      <c r="T4214" t="n">
        <v>5</v>
      </c>
      <c r="U4214" t="n">
        <v>6</v>
      </c>
      <c r="V4214" t="n">
        <v>30</v>
      </c>
      <c r="W4214" t="n">
        <v>2</v>
      </c>
      <c r="X4214" t="n">
        <v>121.2121212121212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1081</v>
      </c>
      <c r="AG4214" t="n">
        <v>2318</v>
      </c>
      <c r="AH4214" t="inlineStr">
        <is>
          <t>CV. KIANO SUKSES MANDIRI - PPN (JMB)</t>
        </is>
      </c>
      <c r="AI4214" t="n">
        <v>54</v>
      </c>
      <c r="AJ4214" t="inlineStr">
        <is>
          <t>SOMETHINC</t>
        </is>
      </c>
      <c r="AK4214" t="n">
        <v>9</v>
      </c>
      <c r="AL4214" t="inlineStr">
        <is>
          <t>Miss Glam Jambi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SOMETHINC</t>
        </is>
      </c>
      <c r="B4215" s="2">
        <f>"8991752007077"</f>
        <v/>
      </c>
      <c r="C4215" t="inlineStr">
        <is>
          <t>SOMETHINC Copy Paste Tinted Sunscreen SPF 40 PA++++ 50ml - C00 Cotton</t>
        </is>
      </c>
      <c r="D4215" t="inlineStr">
        <is>
          <t>Miss Glam Jambi</t>
        </is>
      </c>
      <c r="E4215" t="n">
        <v>7</v>
      </c>
      <c r="F4215" t="n">
        <v>0.006600000000000001</v>
      </c>
      <c r="G4215" t="n">
        <v>0.33</v>
      </c>
      <c r="H4215" t="n">
        <v>2</v>
      </c>
      <c r="I4215" t="n">
        <v>13</v>
      </c>
      <c r="J4215" t="n">
        <v>3</v>
      </c>
      <c r="K4215" t="n">
        <v>0</v>
      </c>
      <c r="L4215" t="n">
        <v>125679</v>
      </c>
      <c r="M4215" t="n">
        <v>169000</v>
      </c>
      <c r="N4215" t="n">
        <v>33</v>
      </c>
      <c r="O4215" t="n">
        <v>0.33</v>
      </c>
      <c r="P4215" t="n">
        <v>1</v>
      </c>
      <c r="Q4215" t="n">
        <v>0.03</v>
      </c>
      <c r="R4215" t="n">
        <v>1</v>
      </c>
      <c r="S4215" t="n">
        <v>1115.4</v>
      </c>
      <c r="T4215" t="n">
        <v>5</v>
      </c>
      <c r="U4215" t="n">
        <v>6</v>
      </c>
      <c r="V4215" t="n">
        <v>30</v>
      </c>
      <c r="W4215" t="n">
        <v>1</v>
      </c>
      <c r="X4215" t="n">
        <v>1060.606060606061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1081</v>
      </c>
      <c r="AG4215" t="n">
        <v>2318</v>
      </c>
      <c r="AH4215" t="inlineStr">
        <is>
          <t>CV. KIANO SUKSES MANDIRI - PPN (JMB)</t>
        </is>
      </c>
      <c r="AI4215" t="n">
        <v>54</v>
      </c>
      <c r="AJ4215" t="inlineStr">
        <is>
          <t>SOMETHINC</t>
        </is>
      </c>
      <c r="AK4215" t="n">
        <v>9</v>
      </c>
      <c r="AL4215" t="inlineStr">
        <is>
          <t>Miss Glam Jambi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SOMETHINC</t>
        </is>
      </c>
      <c r="B4216" s="2">
        <f>"8991752005523"</f>
        <v/>
      </c>
      <c r="C4216" t="inlineStr">
        <is>
          <t>SOMETHINC Copy Paste Tinted Sunscreen SPF 40 PA++++ 50ml C01 Perle</t>
        </is>
      </c>
      <c r="D4216" t="inlineStr">
        <is>
          <t>Miss Glam Jambi</t>
        </is>
      </c>
      <c r="E4216" t="n">
        <v>1</v>
      </c>
      <c r="F4216" t="n">
        <v>0.03</v>
      </c>
      <c r="G4216" t="n">
        <v>1</v>
      </c>
      <c r="H4216" t="n">
        <v>2</v>
      </c>
      <c r="I4216" t="n">
        <v>13</v>
      </c>
      <c r="J4216" t="n">
        <v>3</v>
      </c>
      <c r="K4216" t="n">
        <v>0</v>
      </c>
      <c r="L4216" t="n">
        <v>126750</v>
      </c>
      <c r="M4216" t="n">
        <v>169000</v>
      </c>
      <c r="N4216" t="n">
        <v>33</v>
      </c>
      <c r="O4216" t="n">
        <v>0.33</v>
      </c>
      <c r="P4216" t="n">
        <v>0</v>
      </c>
      <c r="Q4216" t="n">
        <v>0.03</v>
      </c>
      <c r="R4216" t="n">
        <v>1</v>
      </c>
      <c r="S4216" t="n">
        <v>5070</v>
      </c>
      <c r="T4216" t="n">
        <v>13</v>
      </c>
      <c r="U4216" t="n">
        <v>14</v>
      </c>
      <c r="V4216" t="n">
        <v>30</v>
      </c>
      <c r="W4216" t="n">
        <v>1</v>
      </c>
      <c r="X4216" t="n">
        <v>33.33333333333334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1081</v>
      </c>
      <c r="AG4216" t="n">
        <v>2318</v>
      </c>
      <c r="AH4216" t="inlineStr">
        <is>
          <t>CV. KIANO SUKSES MANDIRI - PPN (JMB)</t>
        </is>
      </c>
      <c r="AI4216" t="n">
        <v>54</v>
      </c>
      <c r="AJ4216" t="inlineStr">
        <is>
          <t>SOMETHINC</t>
        </is>
      </c>
      <c r="AK4216" t="n">
        <v>9</v>
      </c>
      <c r="AL4216" t="inlineStr">
        <is>
          <t>Miss Glam Jambi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SOMETHINC</t>
        </is>
      </c>
      <c r="B4217" s="2">
        <f>"8991752005899"</f>
        <v/>
      </c>
      <c r="C4217" t="inlineStr">
        <is>
          <t>SOMETHINC Copy Paste Tinted Sunscreen SPF 40 PA++++ 50ml C01.5 Butter</t>
        </is>
      </c>
      <c r="D4217" t="inlineStr">
        <is>
          <t>Miss Glam Jambi</t>
        </is>
      </c>
      <c r="E4217" t="n">
        <v>6</v>
      </c>
      <c r="F4217" t="n">
        <v>0.009900000000000001</v>
      </c>
      <c r="G4217" t="n">
        <v>0.66</v>
      </c>
      <c r="H4217" t="n">
        <v>2</v>
      </c>
      <c r="I4217" t="n">
        <v>13</v>
      </c>
      <c r="J4217" t="n">
        <v>3</v>
      </c>
      <c r="K4217" t="n">
        <v>0</v>
      </c>
      <c r="L4217" t="n">
        <v>126750</v>
      </c>
      <c r="M4217" t="n">
        <v>169000</v>
      </c>
      <c r="N4217" t="n">
        <v>33</v>
      </c>
      <c r="O4217" t="n">
        <v>0.33</v>
      </c>
      <c r="P4217" t="n">
        <v>1</v>
      </c>
      <c r="Q4217" t="n">
        <v>0.02</v>
      </c>
      <c r="R4217" t="n">
        <v>1</v>
      </c>
      <c r="S4217" t="n">
        <v>1673.1</v>
      </c>
      <c r="T4217" t="n">
        <v>9</v>
      </c>
      <c r="U4217" t="n">
        <v>10</v>
      </c>
      <c r="V4217" t="n">
        <v>30</v>
      </c>
      <c r="W4217" t="n">
        <v>1</v>
      </c>
      <c r="X4217" t="n">
        <v>606.060606060606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1081</v>
      </c>
      <c r="AG4217" t="n">
        <v>2318</v>
      </c>
      <c r="AH4217" t="inlineStr">
        <is>
          <t>CV. KIANO SUKSES MANDIRI - PPN (JMB)</t>
        </is>
      </c>
      <c r="AI4217" t="n">
        <v>54</v>
      </c>
      <c r="AJ4217" t="inlineStr">
        <is>
          <t>SOMETHINC</t>
        </is>
      </c>
      <c r="AK4217" t="n">
        <v>9</v>
      </c>
      <c r="AL4217" t="inlineStr">
        <is>
          <t>Miss Glam Jambi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SOMETHINC</t>
        </is>
      </c>
      <c r="B4218" s="2">
        <f>"8991752005530"</f>
        <v/>
      </c>
      <c r="C4218" t="inlineStr">
        <is>
          <t>SOMETHINC Copy Paste Tinted Sunscreen SPF 40 PA++++ 50ml C02 Serene</t>
        </is>
      </c>
      <c r="D4218" t="inlineStr">
        <is>
          <t>Miss Glam Jambi</t>
        </is>
      </c>
      <c r="E4218" t="n">
        <v>4</v>
      </c>
      <c r="F4218" t="n">
        <v>0.0165</v>
      </c>
      <c r="G4218" t="n">
        <v>0.33</v>
      </c>
      <c r="H4218" t="n">
        <v>2</v>
      </c>
      <c r="I4218" t="n">
        <v>13</v>
      </c>
      <c r="J4218" t="n">
        <v>3</v>
      </c>
      <c r="K4218" t="n">
        <v>0</v>
      </c>
      <c r="L4218" t="n">
        <v>119250</v>
      </c>
      <c r="M4218" t="n">
        <v>169000</v>
      </c>
      <c r="N4218" t="n">
        <v>33</v>
      </c>
      <c r="O4218" t="n">
        <v>0.33</v>
      </c>
      <c r="P4218" t="n">
        <v>1</v>
      </c>
      <c r="Q4218" t="n">
        <v>0.02</v>
      </c>
      <c r="R4218" t="n">
        <v>1</v>
      </c>
      <c r="S4218" t="n">
        <v>2788.5</v>
      </c>
      <c r="T4218" t="n">
        <v>5</v>
      </c>
      <c r="U4218" t="n">
        <v>6</v>
      </c>
      <c r="V4218" t="n">
        <v>30</v>
      </c>
      <c r="W4218" t="n">
        <v>1</v>
      </c>
      <c r="X4218" t="n">
        <v>242.4242424242424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1081</v>
      </c>
      <c r="AG4218" t="n">
        <v>2318</v>
      </c>
      <c r="AH4218" t="inlineStr">
        <is>
          <t>CV. KIANO SUKSES MANDIRI - PPN (JMB)</t>
        </is>
      </c>
      <c r="AI4218" t="n">
        <v>54</v>
      </c>
      <c r="AJ4218" t="inlineStr">
        <is>
          <t>SOMETHINC</t>
        </is>
      </c>
      <c r="AK4218" t="n">
        <v>9</v>
      </c>
      <c r="AL4218" t="inlineStr">
        <is>
          <t>Miss Glam Jambi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SOMETHINC</t>
        </is>
      </c>
      <c r="B4219" s="2">
        <f>"8991752005554"</f>
        <v/>
      </c>
      <c r="C4219" t="inlineStr">
        <is>
          <t>SOMETHINC Copy Paste Tinted Sunscreen SPF 40 PA++++ 50ml N01 Nina</t>
        </is>
      </c>
      <c r="D4219" t="inlineStr">
        <is>
          <t>Miss Glam Jambi</t>
        </is>
      </c>
      <c r="E4219" t="n">
        <v>2</v>
      </c>
      <c r="F4219" t="n">
        <v>0.0495</v>
      </c>
      <c r="G4219" t="n">
        <v>0.99</v>
      </c>
      <c r="H4219" t="n">
        <v>2</v>
      </c>
      <c r="I4219" t="n">
        <v>13</v>
      </c>
      <c r="J4219" t="n">
        <v>3</v>
      </c>
      <c r="K4219" t="n">
        <v>0</v>
      </c>
      <c r="L4219" t="n">
        <v>126750</v>
      </c>
      <c r="M4219" t="n">
        <v>169000</v>
      </c>
      <c r="N4219" t="n">
        <v>33</v>
      </c>
      <c r="O4219" t="n">
        <v>0.33</v>
      </c>
      <c r="P4219" t="n">
        <v>1</v>
      </c>
      <c r="Q4219" t="n">
        <v>0.03</v>
      </c>
      <c r="R4219" t="n">
        <v>1</v>
      </c>
      <c r="S4219" t="n">
        <v>8365.5</v>
      </c>
      <c r="T4219" t="n">
        <v>13</v>
      </c>
      <c r="U4219" t="n">
        <v>14</v>
      </c>
      <c r="V4219" t="n">
        <v>30</v>
      </c>
      <c r="W4219" t="n">
        <v>2</v>
      </c>
      <c r="X4219" t="n">
        <v>40.4040404040404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1081</v>
      </c>
      <c r="AG4219" t="n">
        <v>2318</v>
      </c>
      <c r="AH4219" t="inlineStr">
        <is>
          <t>CV. KIANO SUKSES MANDIRI - PPN (JMB)</t>
        </is>
      </c>
      <c r="AI4219" t="n">
        <v>54</v>
      </c>
      <c r="AJ4219" t="inlineStr">
        <is>
          <t>SOMETHINC</t>
        </is>
      </c>
      <c r="AK4219" t="n">
        <v>9</v>
      </c>
      <c r="AL4219" t="inlineStr">
        <is>
          <t>Miss Glam Jambi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SOMETHINC</t>
        </is>
      </c>
      <c r="B4220" s="2">
        <f>"8991752005561"</f>
        <v/>
      </c>
      <c r="C4220" t="inlineStr">
        <is>
          <t>SOMETHINC Copy Paste Tinted Sunscreen SPF 40 PA++++ 50ml N02 Charlotte</t>
        </is>
      </c>
      <c r="D4220" t="inlineStr">
        <is>
          <t>Miss Glam Jambi</t>
        </is>
      </c>
      <c r="E4220" t="n">
        <v>7</v>
      </c>
      <c r="F4220" t="n">
        <v>0.006600000000000001</v>
      </c>
      <c r="G4220" t="n">
        <v>0.33</v>
      </c>
      <c r="H4220" t="n">
        <v>2</v>
      </c>
      <c r="I4220" t="n">
        <v>13</v>
      </c>
      <c r="J4220" t="n">
        <v>3</v>
      </c>
      <c r="K4220" t="n">
        <v>0</v>
      </c>
      <c r="L4220" t="n">
        <v>126321</v>
      </c>
      <c r="M4220" t="n">
        <v>140500</v>
      </c>
      <c r="N4220" t="n">
        <v>33</v>
      </c>
      <c r="O4220" t="n">
        <v>0.33</v>
      </c>
      <c r="P4220" t="n">
        <v>1</v>
      </c>
      <c r="Q4220" t="n">
        <v>0.07000000000000001</v>
      </c>
      <c r="R4220" t="n">
        <v>1</v>
      </c>
      <c r="S4220" t="n">
        <v>927.3000000000001</v>
      </c>
      <c r="T4220" t="n">
        <v>5</v>
      </c>
      <c r="U4220" t="n">
        <v>6</v>
      </c>
      <c r="V4220" t="n">
        <v>30</v>
      </c>
      <c r="W4220" t="n">
        <v>1</v>
      </c>
      <c r="X4220" t="n">
        <v>1060.606060606061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1081</v>
      </c>
      <c r="AG4220" t="n">
        <v>2318</v>
      </c>
      <c r="AH4220" t="inlineStr">
        <is>
          <t>CV. KIANO SUKSES MANDIRI - PPN (JMB)</t>
        </is>
      </c>
      <c r="AI4220" t="n">
        <v>54</v>
      </c>
      <c r="AJ4220" t="inlineStr">
        <is>
          <t>SOMETHINC</t>
        </is>
      </c>
      <c r="AK4220" t="n">
        <v>9</v>
      </c>
      <c r="AL4220" t="inlineStr">
        <is>
          <t>Miss Glam Jambi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SOMETHINC</t>
        </is>
      </c>
      <c r="B4221" s="2">
        <f>"8991752005578"</f>
        <v/>
      </c>
      <c r="C4221" t="inlineStr">
        <is>
          <t>SOMETHINC Copy Paste Tinted Sunscreen SPF 40 PA++++ 50ml N03 Alter</t>
        </is>
      </c>
      <c r="D4221" t="inlineStr">
        <is>
          <t>Miss Glam Jambi</t>
        </is>
      </c>
      <c r="E4221" t="n">
        <v>3</v>
      </c>
      <c r="F4221" t="n">
        <v>0.03</v>
      </c>
      <c r="G4221" t="n">
        <v>1</v>
      </c>
      <c r="H4221" t="n">
        <v>2</v>
      </c>
      <c r="I4221" t="n">
        <v>13</v>
      </c>
      <c r="J4221" t="n">
        <v>3</v>
      </c>
      <c r="K4221" t="n">
        <v>0</v>
      </c>
      <c r="L4221" t="n">
        <v>125400</v>
      </c>
      <c r="M4221" t="n">
        <v>159000</v>
      </c>
      <c r="N4221" t="n">
        <v>33</v>
      </c>
      <c r="O4221" t="n">
        <v>0.33</v>
      </c>
      <c r="P4221" t="n">
        <v>0</v>
      </c>
      <c r="Q4221" t="n">
        <v>0.03</v>
      </c>
      <c r="R4221" t="n">
        <v>1</v>
      </c>
      <c r="S4221" t="n">
        <v>4770</v>
      </c>
      <c r="T4221" t="n">
        <v>13</v>
      </c>
      <c r="U4221" t="n">
        <v>14</v>
      </c>
      <c r="V4221" t="n">
        <v>30</v>
      </c>
      <c r="W4221" t="n">
        <v>1</v>
      </c>
      <c r="X4221" t="n">
        <v>100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1081</v>
      </c>
      <c r="AG4221" t="n">
        <v>2318</v>
      </c>
      <c r="AH4221" t="inlineStr">
        <is>
          <t>CV. KIANO SUKSES MANDIRI - PPN (JMB)</t>
        </is>
      </c>
      <c r="AI4221" t="n">
        <v>54</v>
      </c>
      <c r="AJ4221" t="inlineStr">
        <is>
          <t>SOMETHINC</t>
        </is>
      </c>
      <c r="AK4221" t="n">
        <v>9</v>
      </c>
      <c r="AL4221" t="inlineStr">
        <is>
          <t>Miss Glam Jambi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SOMETHINC</t>
        </is>
      </c>
      <c r="B4222" s="2">
        <f>"8991752005585"</f>
        <v/>
      </c>
      <c r="C4222" t="inlineStr">
        <is>
          <t>SOMETHINC Copy Paste Tinted Sunscreen SPF 40 PA++++ 50ml W01 Bijoux</t>
        </is>
      </c>
      <c r="D4222" t="inlineStr">
        <is>
          <t>Miss Glam Jambi</t>
        </is>
      </c>
      <c r="E4222" t="n">
        <v>6</v>
      </c>
      <c r="F4222" t="n">
        <v>0.0231</v>
      </c>
      <c r="G4222" t="n">
        <v>0.33</v>
      </c>
      <c r="H4222" t="n">
        <v>2</v>
      </c>
      <c r="I4222" t="n">
        <v>13</v>
      </c>
      <c r="J4222" t="n">
        <v>3</v>
      </c>
      <c r="K4222" t="n">
        <v>0</v>
      </c>
      <c r="L4222" t="n">
        <v>126750</v>
      </c>
      <c r="M4222" t="n">
        <v>169000</v>
      </c>
      <c r="N4222" t="n">
        <v>33</v>
      </c>
      <c r="O4222" t="n">
        <v>0.33</v>
      </c>
      <c r="P4222" t="n">
        <v>1</v>
      </c>
      <c r="Q4222" t="n">
        <v>0.12</v>
      </c>
      <c r="R4222" t="n">
        <v>1</v>
      </c>
      <c r="S4222" t="n">
        <v>3903.900000000001</v>
      </c>
      <c r="T4222" t="n">
        <v>5</v>
      </c>
      <c r="U4222" t="n">
        <v>6</v>
      </c>
      <c r="V4222" t="n">
        <v>30</v>
      </c>
      <c r="W4222" t="n">
        <v>1</v>
      </c>
      <c r="X4222" t="n">
        <v>259.7402597402597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1081</v>
      </c>
      <c r="AG4222" t="n">
        <v>2318</v>
      </c>
      <c r="AH4222" t="inlineStr">
        <is>
          <t>CV. KIANO SUKSES MANDIRI - PPN (JMB)</t>
        </is>
      </c>
      <c r="AI4222" t="n">
        <v>54</v>
      </c>
      <c r="AJ4222" t="inlineStr">
        <is>
          <t>SOMETHINC</t>
        </is>
      </c>
      <c r="AK4222" t="n">
        <v>9</v>
      </c>
      <c r="AL4222" t="inlineStr">
        <is>
          <t>Miss Glam Jambi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SOMETHINC</t>
        </is>
      </c>
      <c r="B4223" s="2">
        <f>"8991752005615"</f>
        <v/>
      </c>
      <c r="C4223" t="inlineStr">
        <is>
          <t>SOMETHINC Copy Paste Tinted Sunscreen SPF 40 PA++++ 50ml W03 Goddess</t>
        </is>
      </c>
      <c r="D4223" t="inlineStr">
        <is>
          <t>Miss Glam Jambi</t>
        </is>
      </c>
      <c r="E4223" t="n">
        <v>3</v>
      </c>
      <c r="F4223" t="n">
        <v>0.02</v>
      </c>
      <c r="G4223" t="n">
        <v>1</v>
      </c>
      <c r="H4223" t="n">
        <v>2</v>
      </c>
      <c r="I4223" t="n">
        <v>13</v>
      </c>
      <c r="J4223" t="n">
        <v>3</v>
      </c>
      <c r="K4223" t="n">
        <v>0</v>
      </c>
      <c r="L4223" t="n">
        <v>124875</v>
      </c>
      <c r="M4223" t="n">
        <v>169000</v>
      </c>
      <c r="N4223" t="n">
        <v>33</v>
      </c>
      <c r="O4223" t="n">
        <v>0.33</v>
      </c>
      <c r="P4223" t="n">
        <v>0</v>
      </c>
      <c r="Q4223" t="n">
        <v>0.02</v>
      </c>
      <c r="R4223" t="n">
        <v>1</v>
      </c>
      <c r="S4223" t="n">
        <v>3380</v>
      </c>
      <c r="T4223" t="n">
        <v>13</v>
      </c>
      <c r="U4223" t="n">
        <v>14</v>
      </c>
      <c r="V4223" t="n">
        <v>30</v>
      </c>
      <c r="W4223" t="n">
        <v>1</v>
      </c>
      <c r="X4223" t="n">
        <v>150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1081</v>
      </c>
      <c r="AG4223" t="n">
        <v>2318</v>
      </c>
      <c r="AH4223" t="inlineStr">
        <is>
          <t>CV. KIANO SUKSES MANDIRI - PPN (JMB)</t>
        </is>
      </c>
      <c r="AI4223" t="n">
        <v>54</v>
      </c>
      <c r="AJ4223" t="inlineStr">
        <is>
          <t>SOMETHINC</t>
        </is>
      </c>
      <c r="AK4223" t="n">
        <v>9</v>
      </c>
      <c r="AL4223" t="inlineStr">
        <is>
          <t>Miss Glam Jambi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SOMETHINC</t>
        </is>
      </c>
      <c r="B4224" s="2">
        <f>"8991752005684"</f>
        <v/>
      </c>
      <c r="C4224" t="inlineStr">
        <is>
          <t>SOMETHINC Copy Paste Tinted Sunscreen SPF 40 PA++++ Bijoux 10ml</t>
        </is>
      </c>
      <c r="D4224" t="inlineStr">
        <is>
          <t>Miss Glam Jambi</t>
        </is>
      </c>
      <c r="E4224" t="n">
        <v>3</v>
      </c>
      <c r="F4224" t="n">
        <v>0.0495</v>
      </c>
      <c r="G4224" t="n">
        <v>0.66</v>
      </c>
      <c r="H4224" t="n">
        <v>2</v>
      </c>
      <c r="I4224" t="n">
        <v>13</v>
      </c>
      <c r="J4224" t="n">
        <v>3</v>
      </c>
      <c r="K4224" t="n">
        <v>0</v>
      </c>
      <c r="L4224" t="n">
        <v>39750</v>
      </c>
      <c r="M4224" t="n">
        <v>53000</v>
      </c>
      <c r="N4224" t="n">
        <v>33</v>
      </c>
      <c r="O4224" t="n">
        <v>0.33</v>
      </c>
      <c r="P4224" t="n">
        <v>1</v>
      </c>
      <c r="Q4224" t="n">
        <v>0.1</v>
      </c>
      <c r="R4224" t="n">
        <v>1</v>
      </c>
      <c r="S4224" t="n">
        <v>2623.5</v>
      </c>
      <c r="T4224" t="n">
        <v>9</v>
      </c>
      <c r="U4224" t="n">
        <v>10</v>
      </c>
      <c r="V4224" t="n">
        <v>30</v>
      </c>
      <c r="W4224" t="n">
        <v>2</v>
      </c>
      <c r="X4224" t="n">
        <v>60.6060606060606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1081</v>
      </c>
      <c r="AG4224" t="n">
        <v>2318</v>
      </c>
      <c r="AH4224" t="inlineStr">
        <is>
          <t>CV. KIANO SUKSES MANDIRI - PPN (JMB)</t>
        </is>
      </c>
      <c r="AI4224" t="n">
        <v>54</v>
      </c>
      <c r="AJ4224" t="inlineStr">
        <is>
          <t>SOMETHINC</t>
        </is>
      </c>
      <c r="AK4224" t="n">
        <v>9</v>
      </c>
      <c r="AL4224" t="inlineStr">
        <is>
          <t>Miss Glam Jambi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SOMETHINC</t>
        </is>
      </c>
      <c r="B4225" s="2">
        <f>"8991752005905"</f>
        <v/>
      </c>
      <c r="C4225" t="inlineStr">
        <is>
          <t>SOMETHINC Copy Paste Tinted Sunscreen SPF 40 PA++++ Butter 10ml</t>
        </is>
      </c>
      <c r="D4225" t="inlineStr">
        <is>
          <t>Miss Glam Jambi</t>
        </is>
      </c>
      <c r="E4225" t="n">
        <v>6</v>
      </c>
      <c r="F4225" t="n">
        <v>0.1551</v>
      </c>
      <c r="G4225" t="n">
        <v>0.99</v>
      </c>
      <c r="H4225" t="n">
        <v>2</v>
      </c>
      <c r="I4225" t="n">
        <v>13</v>
      </c>
      <c r="J4225" t="n">
        <v>3</v>
      </c>
      <c r="K4225" t="n">
        <v>0</v>
      </c>
      <c r="L4225" t="n">
        <v>39750</v>
      </c>
      <c r="M4225" t="n">
        <v>53000</v>
      </c>
      <c r="N4225" t="n">
        <v>33</v>
      </c>
      <c r="O4225" t="n">
        <v>0.33</v>
      </c>
      <c r="P4225" t="n">
        <v>1</v>
      </c>
      <c r="Q4225" t="n">
        <v>0.15</v>
      </c>
      <c r="R4225" t="n">
        <v>2</v>
      </c>
      <c r="S4225" t="n">
        <v>8220.299999999999</v>
      </c>
      <c r="T4225" t="n">
        <v>13</v>
      </c>
      <c r="U4225" t="n">
        <v>14</v>
      </c>
      <c r="V4225" t="n">
        <v>30</v>
      </c>
      <c r="W4225" t="n">
        <v>5</v>
      </c>
      <c r="X4225" t="n">
        <v>38.68471953578337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1081</v>
      </c>
      <c r="AG4225" t="n">
        <v>2318</v>
      </c>
      <c r="AH4225" t="inlineStr">
        <is>
          <t>CV. KIANO SUKSES MANDIRI - PPN (JMB)</t>
        </is>
      </c>
      <c r="AI4225" t="n">
        <v>54</v>
      </c>
      <c r="AJ4225" t="inlineStr">
        <is>
          <t>SOMETHINC</t>
        </is>
      </c>
      <c r="AK4225" t="n">
        <v>9</v>
      </c>
      <c r="AL4225" t="inlineStr">
        <is>
          <t>Miss Glam Jambi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SOMETHINC</t>
        </is>
      </c>
      <c r="B4226" s="2">
        <f>"8991752005660"</f>
        <v/>
      </c>
      <c r="C4226" t="inlineStr">
        <is>
          <t>SOMETHINC Copy Paste Tinted Sunscreen SPF 40 PA++++ Charlotte10ml</t>
        </is>
      </c>
      <c r="D4226" t="inlineStr">
        <is>
          <t>Miss Glam Jambi</t>
        </is>
      </c>
      <c r="E4226" t="n">
        <v>1</v>
      </c>
      <c r="F4226" t="n">
        <v>0.1023</v>
      </c>
      <c r="G4226" t="n">
        <v>0.66</v>
      </c>
      <c r="H4226" t="n">
        <v>2</v>
      </c>
      <c r="I4226" t="n">
        <v>13</v>
      </c>
      <c r="J4226" t="n">
        <v>3</v>
      </c>
      <c r="K4226" t="n">
        <v>3</v>
      </c>
      <c r="L4226" t="n">
        <v>39750</v>
      </c>
      <c r="M4226" t="n">
        <v>53000</v>
      </c>
      <c r="N4226" t="n">
        <v>33</v>
      </c>
      <c r="O4226" t="n">
        <v>0.33</v>
      </c>
      <c r="P4226" t="n">
        <v>1</v>
      </c>
      <c r="Q4226" t="n">
        <v>0.03</v>
      </c>
      <c r="R4226" t="n">
        <v>1</v>
      </c>
      <c r="S4226" t="n">
        <v>5421.900000000001</v>
      </c>
      <c r="T4226" t="n">
        <v>9</v>
      </c>
      <c r="U4226" t="n">
        <v>10</v>
      </c>
      <c r="V4226" t="n">
        <v>30</v>
      </c>
      <c r="W4226" t="n">
        <v>4</v>
      </c>
      <c r="X4226" t="n">
        <v>9.775171065493646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1081</v>
      </c>
      <c r="AG4226" t="n">
        <v>2318</v>
      </c>
      <c r="AH4226" t="inlineStr">
        <is>
          <t>CV. KIANO SUKSES MANDIRI - PPN (JMB)</t>
        </is>
      </c>
      <c r="AI4226" t="n">
        <v>54</v>
      </c>
      <c r="AJ4226" t="inlineStr">
        <is>
          <t>SOMETHINC</t>
        </is>
      </c>
      <c r="AK4226" t="n">
        <v>9</v>
      </c>
      <c r="AL4226" t="inlineStr">
        <is>
          <t>Miss Glam Jambi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SOMETHINC</t>
        </is>
      </c>
      <c r="B4227" s="2">
        <f>"8991752005912"</f>
        <v/>
      </c>
      <c r="C4227" t="inlineStr">
        <is>
          <t>SOMETHINC Copy Paste Tinted Sunscreen SPF 40 PA++++ Linen 10ml</t>
        </is>
      </c>
      <c r="D4227" t="inlineStr">
        <is>
          <t>Miss Glam Jambi</t>
        </is>
      </c>
      <c r="E4227" t="n">
        <v>2</v>
      </c>
      <c r="F4227" t="n">
        <v>0.0396</v>
      </c>
      <c r="G4227" t="n">
        <v>0.33</v>
      </c>
      <c r="H4227" t="n">
        <v>2</v>
      </c>
      <c r="I4227" t="n">
        <v>13</v>
      </c>
      <c r="J4227" t="n">
        <v>3</v>
      </c>
      <c r="K4227" t="n">
        <v>0</v>
      </c>
      <c r="L4227" t="n">
        <v>39750</v>
      </c>
      <c r="M4227" t="n">
        <v>53000</v>
      </c>
      <c r="N4227" t="n">
        <v>33</v>
      </c>
      <c r="O4227" t="n">
        <v>0.33</v>
      </c>
      <c r="P4227" t="n">
        <v>1</v>
      </c>
      <c r="Q4227" t="n">
        <v>0.02</v>
      </c>
      <c r="R4227" t="n">
        <v>1</v>
      </c>
      <c r="S4227" t="n">
        <v>2098.8</v>
      </c>
      <c r="T4227" t="n">
        <v>5</v>
      </c>
      <c r="U4227" t="n">
        <v>6</v>
      </c>
      <c r="V4227" t="n">
        <v>30</v>
      </c>
      <c r="W4227" t="n">
        <v>2</v>
      </c>
      <c r="X4227" t="n">
        <v>50.5050505050505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1081</v>
      </c>
      <c r="AG4227" t="n">
        <v>2318</v>
      </c>
      <c r="AH4227" t="inlineStr">
        <is>
          <t>CV. KIANO SUKSES MANDIRI - PPN (JMB)</t>
        </is>
      </c>
      <c r="AI4227" t="n">
        <v>54</v>
      </c>
      <c r="AJ4227" t="inlineStr">
        <is>
          <t>SOMETHINC</t>
        </is>
      </c>
      <c r="AK4227" t="n">
        <v>9</v>
      </c>
      <c r="AL4227" t="inlineStr">
        <is>
          <t>Miss Glam Jambi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SOMETHINC</t>
        </is>
      </c>
      <c r="B4228" s="2">
        <f>"8991752005653"</f>
        <v/>
      </c>
      <c r="C4228" t="inlineStr">
        <is>
          <t>SOMETHINC Copy Paste Tinted Sunscreen SPF 40 PA++++ Nina 10ml</t>
        </is>
      </c>
      <c r="D4228" t="inlineStr">
        <is>
          <t>Miss Glam Jambi</t>
        </is>
      </c>
      <c r="E4228" t="n">
        <v>13</v>
      </c>
      <c r="F4228" t="n">
        <v>0.2838</v>
      </c>
      <c r="G4228" t="n">
        <v>0.99</v>
      </c>
      <c r="H4228" t="n">
        <v>2</v>
      </c>
      <c r="I4228" t="n">
        <v>13</v>
      </c>
      <c r="J4228" t="n">
        <v>3</v>
      </c>
      <c r="K4228" t="n">
        <v>0</v>
      </c>
      <c r="L4228" t="n">
        <v>39750</v>
      </c>
      <c r="M4228" t="n">
        <v>53000</v>
      </c>
      <c r="N4228" t="n">
        <v>33</v>
      </c>
      <c r="O4228" t="n">
        <v>0.33</v>
      </c>
      <c r="P4228" t="n">
        <v>1</v>
      </c>
      <c r="Q4228" t="n">
        <v>0.15</v>
      </c>
      <c r="R4228" t="n">
        <v>2</v>
      </c>
      <c r="S4228" t="n">
        <v>15041.4</v>
      </c>
      <c r="T4228" t="n">
        <v>13</v>
      </c>
      <c r="U4228" t="n">
        <v>14</v>
      </c>
      <c r="V4228" t="n">
        <v>30</v>
      </c>
      <c r="W4228" t="n">
        <v>9</v>
      </c>
      <c r="X4228" t="n">
        <v>45.80690627202255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1081</v>
      </c>
      <c r="AG4228" t="n">
        <v>2318</v>
      </c>
      <c r="AH4228" t="inlineStr">
        <is>
          <t>CV. KIANO SUKSES MANDIRI - PPN (JMB)</t>
        </is>
      </c>
      <c r="AI4228" t="n">
        <v>54</v>
      </c>
      <c r="AJ4228" t="inlineStr">
        <is>
          <t>SOMETHINC</t>
        </is>
      </c>
      <c r="AK4228" t="n">
        <v>9</v>
      </c>
      <c r="AL4228" t="inlineStr">
        <is>
          <t>Miss Glam Jambi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SOMETHINC</t>
        </is>
      </c>
      <c r="B4229" s="2">
        <f>"8991752005622"</f>
        <v/>
      </c>
      <c r="C4229" t="inlineStr">
        <is>
          <t>SOMETHINC Copy Paste Tinted Sunscreen SPF 40 PA++++ Perle 10ml</t>
        </is>
      </c>
      <c r="D4229" t="inlineStr">
        <is>
          <t>Miss Glam Jambi</t>
        </is>
      </c>
      <c r="E4229" t="n">
        <v>5</v>
      </c>
      <c r="F4229" t="n">
        <v>0.0726</v>
      </c>
      <c r="G4229" t="n">
        <v>0.66</v>
      </c>
      <c r="H4229" t="n">
        <v>2</v>
      </c>
      <c r="I4229" t="n">
        <v>13</v>
      </c>
      <c r="J4229" t="n">
        <v>3</v>
      </c>
      <c r="K4229" t="n">
        <v>0</v>
      </c>
      <c r="L4229" t="n">
        <v>39707</v>
      </c>
      <c r="M4229" t="n">
        <v>53000</v>
      </c>
      <c r="N4229" t="n">
        <v>33</v>
      </c>
      <c r="O4229" t="n">
        <v>0.33</v>
      </c>
      <c r="P4229" t="n">
        <v>1</v>
      </c>
      <c r="Q4229" t="n">
        <v>0.08</v>
      </c>
      <c r="R4229" t="n">
        <v>2</v>
      </c>
      <c r="S4229" t="n">
        <v>3847.8</v>
      </c>
      <c r="T4229" t="n">
        <v>9</v>
      </c>
      <c r="U4229" t="n">
        <v>10</v>
      </c>
      <c r="V4229" t="n">
        <v>30</v>
      </c>
      <c r="W4229" t="n">
        <v>3</v>
      </c>
      <c r="X4229" t="n">
        <v>68.87052341597796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1081</v>
      </c>
      <c r="AG4229" t="n">
        <v>2318</v>
      </c>
      <c r="AH4229" t="inlineStr">
        <is>
          <t>CV. KIANO SUKSES MANDIRI - PPN (JMB)</t>
        </is>
      </c>
      <c r="AI4229" t="n">
        <v>54</v>
      </c>
      <c r="AJ4229" t="inlineStr">
        <is>
          <t>SOMETHINC</t>
        </is>
      </c>
      <c r="AK4229" t="n">
        <v>9</v>
      </c>
      <c r="AL4229" t="inlineStr">
        <is>
          <t>Miss Glam Jambi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SOMETHINC</t>
        </is>
      </c>
      <c r="B4230" s="2">
        <f>"8991752006407"</f>
        <v/>
      </c>
      <c r="C4230" t="inlineStr">
        <is>
          <t>SOMETHINC Cover Blur Copy Paste Foundation C01 Perle 12gr</t>
        </is>
      </c>
      <c r="D4230" t="inlineStr">
        <is>
          <t>Miss Glam Jambi</t>
        </is>
      </c>
      <c r="E4230" t="n">
        <v>1</v>
      </c>
      <c r="F4230" t="n">
        <v>0.0165</v>
      </c>
      <c r="G4230" t="n">
        <v>0.33</v>
      </c>
      <c r="H4230" t="n">
        <v>2</v>
      </c>
      <c r="I4230" t="n">
        <v>13</v>
      </c>
      <c r="J4230" t="n">
        <v>3</v>
      </c>
      <c r="K4230" t="n">
        <v>0</v>
      </c>
      <c r="L4230" t="n">
        <v>126750</v>
      </c>
      <c r="M4230" t="n">
        <v>169000</v>
      </c>
      <c r="N4230" t="n">
        <v>33</v>
      </c>
      <c r="O4230" t="n">
        <v>0.33</v>
      </c>
      <c r="P4230" t="n">
        <v>1</v>
      </c>
      <c r="Q4230" t="n">
        <v>0.03</v>
      </c>
      <c r="R4230" t="n">
        <v>1</v>
      </c>
      <c r="S4230" t="n">
        <v>2788.5</v>
      </c>
      <c r="T4230" t="n">
        <v>5</v>
      </c>
      <c r="U4230" t="n">
        <v>6</v>
      </c>
      <c r="V4230" t="n">
        <v>30</v>
      </c>
      <c r="W4230" t="n">
        <v>1</v>
      </c>
      <c r="X4230" t="n">
        <v>60.6060606060606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1081</v>
      </c>
      <c r="AG4230" t="n">
        <v>2318</v>
      </c>
      <c r="AH4230" t="inlineStr">
        <is>
          <t>CV. KIANO SUKSES MANDIRI - PPN (JMB)</t>
        </is>
      </c>
      <c r="AI4230" t="n">
        <v>54</v>
      </c>
      <c r="AJ4230" t="inlineStr">
        <is>
          <t>SOMETHINC</t>
        </is>
      </c>
      <c r="AK4230" t="n">
        <v>9</v>
      </c>
      <c r="AL4230" t="inlineStr">
        <is>
          <t>Miss Glam Jambi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SOMETHINC</t>
        </is>
      </c>
      <c r="B4231" s="2">
        <f>"8991752006353"</f>
        <v/>
      </c>
      <c r="C4231" t="inlineStr">
        <is>
          <t>SOMETHINC Cover Blur Copy Paste Foundation C01.5 Butter 12gr</t>
        </is>
      </c>
      <c r="D4231" t="inlineStr">
        <is>
          <t>Miss Glam Jambi</t>
        </is>
      </c>
      <c r="E4231" t="n">
        <v>2</v>
      </c>
      <c r="F4231" t="n">
        <v>0.02</v>
      </c>
      <c r="G4231" t="n">
        <v>1</v>
      </c>
      <c r="H4231" t="n">
        <v>2</v>
      </c>
      <c r="I4231" t="n">
        <v>13</v>
      </c>
      <c r="J4231" t="n">
        <v>3</v>
      </c>
      <c r="K4231" t="n">
        <v>0</v>
      </c>
      <c r="L4231" t="n">
        <v>126750</v>
      </c>
      <c r="M4231" t="n">
        <v>169000</v>
      </c>
      <c r="N4231" t="n">
        <v>33</v>
      </c>
      <c r="O4231" t="n">
        <v>0.33</v>
      </c>
      <c r="P4231" t="n">
        <v>0</v>
      </c>
      <c r="Q4231" t="n">
        <v>0.02</v>
      </c>
      <c r="R4231" t="n">
        <v>1</v>
      </c>
      <c r="S4231" t="n">
        <v>3380</v>
      </c>
      <c r="T4231" t="n">
        <v>13</v>
      </c>
      <c r="U4231" t="n">
        <v>14</v>
      </c>
      <c r="V4231" t="n">
        <v>30</v>
      </c>
      <c r="W4231" t="n">
        <v>1</v>
      </c>
      <c r="X4231" t="n">
        <v>100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1081</v>
      </c>
      <c r="AG4231" t="n">
        <v>2318</v>
      </c>
      <c r="AH4231" t="inlineStr">
        <is>
          <t>CV. KIANO SUKSES MANDIRI - PPN (JMB)</t>
        </is>
      </c>
      <c r="AI4231" t="n">
        <v>54</v>
      </c>
      <c r="AJ4231" t="inlineStr">
        <is>
          <t>SOMETHINC</t>
        </is>
      </c>
      <c r="AK4231" t="n">
        <v>9</v>
      </c>
      <c r="AL4231" t="inlineStr">
        <is>
          <t>Miss Glam Jambi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SOMETHINC</t>
        </is>
      </c>
      <c r="B4232" s="2">
        <f>"8991752006360"</f>
        <v/>
      </c>
      <c r="C4232" t="inlineStr">
        <is>
          <t>SOMETHINC Cover Blur Copy Paste Foundation C02 Serene 12gr</t>
        </is>
      </c>
      <c r="D4232" t="inlineStr">
        <is>
          <t>Miss Glam Jambi</t>
        </is>
      </c>
      <c r="E4232" t="n">
        <v>2</v>
      </c>
      <c r="F4232" t="n">
        <v>0.07000000000000001</v>
      </c>
      <c r="G4232" t="n">
        <v>1</v>
      </c>
      <c r="H4232" t="n">
        <v>2</v>
      </c>
      <c r="I4232" t="n">
        <v>13</v>
      </c>
      <c r="J4232" t="n">
        <v>3</v>
      </c>
      <c r="K4232" t="n">
        <v>3</v>
      </c>
      <c r="L4232" t="n">
        <v>126000</v>
      </c>
      <c r="M4232" t="n">
        <v>169000</v>
      </c>
      <c r="N4232" t="n">
        <v>33</v>
      </c>
      <c r="O4232" t="n">
        <v>0.33</v>
      </c>
      <c r="P4232" t="n">
        <v>0</v>
      </c>
      <c r="Q4232" t="n">
        <v>0.07000000000000001</v>
      </c>
      <c r="R4232" t="n">
        <v>1</v>
      </c>
      <c r="S4232" t="n">
        <v>11830</v>
      </c>
      <c r="T4232" t="n">
        <v>13</v>
      </c>
      <c r="U4232" t="n">
        <v>14</v>
      </c>
      <c r="V4232" t="n">
        <v>30</v>
      </c>
      <c r="W4232" t="n">
        <v>3</v>
      </c>
      <c r="X4232" t="n">
        <v>28.57142857142857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1081</v>
      </c>
      <c r="AG4232" t="n">
        <v>2318</v>
      </c>
      <c r="AH4232" t="inlineStr">
        <is>
          <t>CV. KIANO SUKSES MANDIRI - PPN (JMB)</t>
        </is>
      </c>
      <c r="AI4232" t="n">
        <v>54</v>
      </c>
      <c r="AJ4232" t="inlineStr">
        <is>
          <t>SOMETHINC</t>
        </is>
      </c>
      <c r="AK4232" t="n">
        <v>9</v>
      </c>
      <c r="AL4232" t="inlineStr">
        <is>
          <t>Miss Glam Jambi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SOMETHINC</t>
        </is>
      </c>
      <c r="B4233" s="2">
        <f>"8991752006377"</f>
        <v/>
      </c>
      <c r="C4233" t="inlineStr">
        <is>
          <t>SOMETHINC Cover Blur Copy Paste Foundation C03 Éclair 12gr</t>
        </is>
      </c>
      <c r="D4233" t="inlineStr">
        <is>
          <t>Miss Glam Jambi</t>
        </is>
      </c>
      <c r="E4233" t="n">
        <v>1</v>
      </c>
      <c r="F4233" t="n">
        <v>0.02</v>
      </c>
      <c r="G4233" t="n">
        <v>1</v>
      </c>
      <c r="H4233" t="n">
        <v>2</v>
      </c>
      <c r="I4233" t="n">
        <v>13</v>
      </c>
      <c r="J4233" t="n">
        <v>3</v>
      </c>
      <c r="K4233" t="n">
        <v>0</v>
      </c>
      <c r="L4233" t="n">
        <v>119250</v>
      </c>
      <c r="M4233" t="n">
        <v>169000</v>
      </c>
      <c r="N4233" t="n">
        <v>33</v>
      </c>
      <c r="O4233" t="n">
        <v>0.33</v>
      </c>
      <c r="P4233" t="n">
        <v>0</v>
      </c>
      <c r="Q4233" t="n">
        <v>0.02</v>
      </c>
      <c r="R4233" t="n">
        <v>1</v>
      </c>
      <c r="S4233" t="n">
        <v>3380</v>
      </c>
      <c r="T4233" t="n">
        <v>13</v>
      </c>
      <c r="U4233" t="n">
        <v>14</v>
      </c>
      <c r="V4233" t="n">
        <v>30</v>
      </c>
      <c r="W4233" t="n">
        <v>1</v>
      </c>
      <c r="X4233" t="n">
        <v>50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1081</v>
      </c>
      <c r="AG4233" t="n">
        <v>2318</v>
      </c>
      <c r="AH4233" t="inlineStr">
        <is>
          <t>CV. KIANO SUKSES MANDIRI - PPN (JMB)</t>
        </is>
      </c>
      <c r="AI4233" t="n">
        <v>54</v>
      </c>
      <c r="AJ4233" t="inlineStr">
        <is>
          <t>SOMETHINC</t>
        </is>
      </c>
      <c r="AK4233" t="n">
        <v>9</v>
      </c>
      <c r="AL4233" t="inlineStr">
        <is>
          <t>Miss Glam Jambi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SOMETHINC</t>
        </is>
      </c>
      <c r="B4234" s="2">
        <f>"8991752006391"</f>
        <v/>
      </c>
      <c r="C4234" t="inlineStr">
        <is>
          <t>SOMETHINC Cover Blur Copy Paste Foundation N01 Nina 12gr</t>
        </is>
      </c>
      <c r="D4234" t="inlineStr">
        <is>
          <t>Miss Glam Jambi</t>
        </is>
      </c>
      <c r="E4234" t="n">
        <v>5</v>
      </c>
      <c r="F4234" t="n">
        <v>0.1023</v>
      </c>
      <c r="G4234" t="n">
        <v>0.66</v>
      </c>
      <c r="H4234" t="n">
        <v>2</v>
      </c>
      <c r="I4234" t="n">
        <v>13</v>
      </c>
      <c r="J4234" t="n">
        <v>3</v>
      </c>
      <c r="K4234" t="n">
        <v>0</v>
      </c>
      <c r="L4234" t="n">
        <v>114075</v>
      </c>
      <c r="M4234" t="n">
        <v>169000</v>
      </c>
      <c r="N4234" t="n">
        <v>33</v>
      </c>
      <c r="O4234" t="n">
        <v>0.33</v>
      </c>
      <c r="P4234" t="n">
        <v>1</v>
      </c>
      <c r="Q4234" t="n">
        <v>0.03</v>
      </c>
      <c r="R4234" t="n">
        <v>1</v>
      </c>
      <c r="S4234" t="n">
        <v>17288.7</v>
      </c>
      <c r="T4234" t="n">
        <v>9</v>
      </c>
      <c r="U4234" t="n">
        <v>10</v>
      </c>
      <c r="V4234" t="n">
        <v>30</v>
      </c>
      <c r="W4234" t="n">
        <v>4</v>
      </c>
      <c r="X4234" t="n">
        <v>48.87585532746823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1081</v>
      </c>
      <c r="AG4234" t="n">
        <v>2318</v>
      </c>
      <c r="AH4234" t="inlineStr">
        <is>
          <t>CV. KIANO SUKSES MANDIRI - PPN (JMB)</t>
        </is>
      </c>
      <c r="AI4234" t="n">
        <v>54</v>
      </c>
      <c r="AJ4234" t="inlineStr">
        <is>
          <t>SOMETHINC</t>
        </is>
      </c>
      <c r="AK4234" t="n">
        <v>9</v>
      </c>
      <c r="AL4234" t="inlineStr">
        <is>
          <t>Miss Glam Jambi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SOMETHINC</t>
        </is>
      </c>
      <c r="B4235" s="2">
        <f>"8991752006384"</f>
        <v/>
      </c>
      <c r="C4235" t="inlineStr">
        <is>
          <t>SOMETHINC Cover Blur Copy Paste Foundation N02 Charlotte 12gr</t>
        </is>
      </c>
      <c r="D4235" t="inlineStr">
        <is>
          <t>Miss Glam Jambi</t>
        </is>
      </c>
      <c r="E4235" t="n">
        <v>2</v>
      </c>
      <c r="F4235" t="n">
        <v>0.009900000000000001</v>
      </c>
      <c r="G4235" t="n">
        <v>0.33</v>
      </c>
      <c r="H4235" t="n">
        <v>2</v>
      </c>
      <c r="I4235" t="n">
        <v>13</v>
      </c>
      <c r="J4235" t="n">
        <v>3</v>
      </c>
      <c r="K4235" t="n">
        <v>0</v>
      </c>
      <c r="L4235" t="n">
        <v>126750</v>
      </c>
      <c r="M4235" t="n">
        <v>169000</v>
      </c>
      <c r="N4235" t="n">
        <v>33</v>
      </c>
      <c r="O4235" t="n">
        <v>0.33</v>
      </c>
      <c r="P4235" t="n">
        <v>1</v>
      </c>
      <c r="Q4235" t="n">
        <v>0.03</v>
      </c>
      <c r="R4235" t="n">
        <v>1</v>
      </c>
      <c r="S4235" t="n">
        <v>1673.1</v>
      </c>
      <c r="T4235" t="n">
        <v>5</v>
      </c>
      <c r="U4235" t="n">
        <v>6</v>
      </c>
      <c r="V4235" t="n">
        <v>30</v>
      </c>
      <c r="W4235" t="n">
        <v>1</v>
      </c>
      <c r="X4235" t="n">
        <v>202.020202020202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1081</v>
      </c>
      <c r="AG4235" t="n">
        <v>2318</v>
      </c>
      <c r="AH4235" t="inlineStr">
        <is>
          <t>CV. KIANO SUKSES MANDIRI - PPN (JMB)</t>
        </is>
      </c>
      <c r="AI4235" t="n">
        <v>54</v>
      </c>
      <c r="AJ4235" t="inlineStr">
        <is>
          <t>SOMETHINC</t>
        </is>
      </c>
      <c r="AK4235" t="n">
        <v>9</v>
      </c>
      <c r="AL4235" t="inlineStr">
        <is>
          <t>Miss Glam Jambi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SOMETHINC</t>
        </is>
      </c>
      <c r="B4236" s="2">
        <f>"8991752006414"</f>
        <v/>
      </c>
      <c r="C4236" t="inlineStr">
        <is>
          <t>SOMETHINC Cover Blur Copy Paste Foundation W01 Bijoux 12gr</t>
        </is>
      </c>
      <c r="D4236" t="inlineStr">
        <is>
          <t>Miss Glam Jambi</t>
        </is>
      </c>
      <c r="E4236" t="n">
        <v>2</v>
      </c>
      <c r="F4236" t="n">
        <v>0.009900000000000001</v>
      </c>
      <c r="G4236" t="n">
        <v>0.33</v>
      </c>
      <c r="H4236" t="n">
        <v>2</v>
      </c>
      <c r="I4236" t="n">
        <v>13</v>
      </c>
      <c r="J4236" t="n">
        <v>3</v>
      </c>
      <c r="K4236" t="n">
        <v>0</v>
      </c>
      <c r="L4236" t="n">
        <v>126750</v>
      </c>
      <c r="M4236" t="n">
        <v>169000</v>
      </c>
      <c r="N4236" t="n">
        <v>33</v>
      </c>
      <c r="O4236" t="n">
        <v>0.33</v>
      </c>
      <c r="P4236" t="n">
        <v>1</v>
      </c>
      <c r="Q4236" t="n">
        <v>0.02</v>
      </c>
      <c r="R4236" t="n">
        <v>1</v>
      </c>
      <c r="S4236" t="n">
        <v>1673.1</v>
      </c>
      <c r="T4236" t="n">
        <v>5</v>
      </c>
      <c r="U4236" t="n">
        <v>6</v>
      </c>
      <c r="V4236" t="n">
        <v>30</v>
      </c>
      <c r="W4236" t="n">
        <v>1</v>
      </c>
      <c r="X4236" t="n">
        <v>202.020202020202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1081</v>
      </c>
      <c r="AG4236" t="n">
        <v>2318</v>
      </c>
      <c r="AH4236" t="inlineStr">
        <is>
          <t>CV. KIANO SUKSES MANDIRI - PPN (JMB)</t>
        </is>
      </c>
      <c r="AI4236" t="n">
        <v>54</v>
      </c>
      <c r="AJ4236" t="inlineStr">
        <is>
          <t>SOMETHINC</t>
        </is>
      </c>
      <c r="AK4236" t="n">
        <v>9</v>
      </c>
      <c r="AL4236" t="inlineStr">
        <is>
          <t>Miss Glam Jambi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SOMETHINC</t>
        </is>
      </c>
      <c r="B4237" s="2">
        <f>"20100176224"</f>
        <v/>
      </c>
      <c r="C4237" t="inlineStr">
        <is>
          <t>SOMETHINC CoverBlur Cushion Refill C01 Perle 12gr</t>
        </is>
      </c>
      <c r="D4237" t="inlineStr">
        <is>
          <t>Miss Glam Jambi</t>
        </is>
      </c>
      <c r="E4237" t="n">
        <v>1</v>
      </c>
      <c r="F4237" t="n">
        <v>0.009900000000000001</v>
      </c>
      <c r="G4237" t="n">
        <v>0.33</v>
      </c>
      <c r="H4237" t="n">
        <v>2</v>
      </c>
      <c r="I4237" t="n">
        <v>13</v>
      </c>
      <c r="J4237" t="n">
        <v>1</v>
      </c>
      <c r="K4237" t="n">
        <v>0</v>
      </c>
      <c r="L4237" t="n">
        <v>101250</v>
      </c>
      <c r="M4237" t="n">
        <v>135000</v>
      </c>
      <c r="N4237" t="n">
        <v>33</v>
      </c>
      <c r="O4237" t="n">
        <v>0.33</v>
      </c>
      <c r="P4237" t="n">
        <v>1</v>
      </c>
      <c r="Q4237" t="n">
        <v>0.03</v>
      </c>
      <c r="R4237" t="n">
        <v>1</v>
      </c>
      <c r="S4237" t="n">
        <v>1336.5</v>
      </c>
      <c r="T4237" t="n">
        <v>5</v>
      </c>
      <c r="U4237" t="n">
        <v>6</v>
      </c>
      <c r="V4237" t="n">
        <v>30</v>
      </c>
      <c r="W4237" t="n">
        <v>1</v>
      </c>
      <c r="X4237" t="n">
        <v>101.010101010101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1081</v>
      </c>
      <c r="AG4237" t="n">
        <v>2318</v>
      </c>
      <c r="AH4237" t="inlineStr">
        <is>
          <t>CV. KIANO SUKSES MANDIRI - PPN (JMB)</t>
        </is>
      </c>
      <c r="AI4237" t="n">
        <v>54</v>
      </c>
      <c r="AJ4237" t="inlineStr">
        <is>
          <t>SOMETHINC</t>
        </is>
      </c>
      <c r="AK4237" t="n">
        <v>9</v>
      </c>
      <c r="AL4237" t="inlineStr">
        <is>
          <t>Miss Glam Jambi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SOMETHINC</t>
        </is>
      </c>
      <c r="B4238" s="2">
        <f>"20100176339"</f>
        <v/>
      </c>
      <c r="C4238" t="inlineStr">
        <is>
          <t>SOMETHINC CoverBlur Cushion Refill C01.5 Butter 12gr</t>
        </is>
      </c>
      <c r="D4238" t="inlineStr">
        <is>
          <t>Miss Glam Jambi</t>
        </is>
      </c>
      <c r="E4238" t="n">
        <v>3</v>
      </c>
      <c r="F4238" t="n">
        <v>0.02</v>
      </c>
      <c r="G4238" t="n">
        <v>1</v>
      </c>
      <c r="H4238" t="n">
        <v>2</v>
      </c>
      <c r="I4238" t="n">
        <v>13</v>
      </c>
      <c r="J4238" t="n">
        <v>1</v>
      </c>
      <c r="K4238" t="n">
        <v>0</v>
      </c>
      <c r="L4238" t="n">
        <v>101250</v>
      </c>
      <c r="M4238" t="n">
        <v>135000</v>
      </c>
      <c r="N4238" t="n">
        <v>33</v>
      </c>
      <c r="O4238" t="n">
        <v>0.33</v>
      </c>
      <c r="P4238" t="n">
        <v>0</v>
      </c>
      <c r="Q4238" t="n">
        <v>0.02</v>
      </c>
      <c r="R4238" t="n">
        <v>1</v>
      </c>
      <c r="S4238" t="n">
        <v>2700</v>
      </c>
      <c r="T4238" t="n">
        <v>13</v>
      </c>
      <c r="U4238" t="n">
        <v>14</v>
      </c>
      <c r="V4238" t="n">
        <v>30</v>
      </c>
      <c r="W4238" t="n">
        <v>1</v>
      </c>
      <c r="X4238" t="n">
        <v>150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1081</v>
      </c>
      <c r="AG4238" t="n">
        <v>2318</v>
      </c>
      <c r="AH4238" t="inlineStr">
        <is>
          <t>CV. KIANO SUKSES MANDIRI - PPN (JMB)</t>
        </is>
      </c>
      <c r="AI4238" t="n">
        <v>54</v>
      </c>
      <c r="AJ4238" t="inlineStr">
        <is>
          <t>SOMETHINC</t>
        </is>
      </c>
      <c r="AK4238" t="n">
        <v>9</v>
      </c>
      <c r="AL4238" t="inlineStr">
        <is>
          <t>Miss Glam Jambi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SOMETHINC</t>
        </is>
      </c>
      <c r="B4239" s="2">
        <f>"20100176558"</f>
        <v/>
      </c>
      <c r="C4239" t="inlineStr">
        <is>
          <t>SOMETHINC CoverBlur Cushion Refill N01 Nina 12gr</t>
        </is>
      </c>
      <c r="D4239" t="inlineStr">
        <is>
          <t>Miss Glam Jambi</t>
        </is>
      </c>
      <c r="E4239" t="n">
        <v>1</v>
      </c>
      <c r="F4239" t="n">
        <v>0.009900000000000001</v>
      </c>
      <c r="G4239" t="n">
        <v>0.33</v>
      </c>
      <c r="H4239" t="n">
        <v>2</v>
      </c>
      <c r="I4239" t="n">
        <v>13</v>
      </c>
      <c r="J4239" t="n">
        <v>1</v>
      </c>
      <c r="K4239" t="n">
        <v>0</v>
      </c>
      <c r="L4239" t="n">
        <v>101250</v>
      </c>
      <c r="M4239" t="n">
        <v>135000</v>
      </c>
      <c r="N4239" t="n">
        <v>33</v>
      </c>
      <c r="O4239" t="n">
        <v>0.33</v>
      </c>
      <c r="P4239" t="n">
        <v>1</v>
      </c>
      <c r="Q4239" t="n">
        <v>0.02</v>
      </c>
      <c r="R4239" t="n">
        <v>1</v>
      </c>
      <c r="S4239" t="n">
        <v>1336.5</v>
      </c>
      <c r="T4239" t="n">
        <v>5</v>
      </c>
      <c r="U4239" t="n">
        <v>6</v>
      </c>
      <c r="V4239" t="n">
        <v>30</v>
      </c>
      <c r="W4239" t="n">
        <v>1</v>
      </c>
      <c r="X4239" t="n">
        <v>101.010101010101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1081</v>
      </c>
      <c r="AG4239" t="n">
        <v>2318</v>
      </c>
      <c r="AH4239" t="inlineStr">
        <is>
          <t>CV. KIANO SUKSES MANDIRI - PPN (JMB)</t>
        </is>
      </c>
      <c r="AI4239" t="n">
        <v>54</v>
      </c>
      <c r="AJ4239" t="inlineStr">
        <is>
          <t>SOMETHINC</t>
        </is>
      </c>
      <c r="AK4239" t="n">
        <v>9</v>
      </c>
      <c r="AL4239" t="inlineStr">
        <is>
          <t>Miss Glam Jambi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SOMETHINC</t>
        </is>
      </c>
      <c r="B4240" s="2">
        <f>"20100176610"</f>
        <v/>
      </c>
      <c r="C4240" t="inlineStr">
        <is>
          <t>SOMETHINC CoverBlur Cushion Refill W01 Bijoux 12gr</t>
        </is>
      </c>
      <c r="D4240" t="inlineStr">
        <is>
          <t>Miss Glam Jambi</t>
        </is>
      </c>
      <c r="E4240" t="n">
        <v>1</v>
      </c>
      <c r="F4240" t="n">
        <v>0.006600000000000001</v>
      </c>
      <c r="G4240" t="n">
        <v>0.33</v>
      </c>
      <c r="H4240" t="n">
        <v>2</v>
      </c>
      <c r="I4240" t="n">
        <v>13</v>
      </c>
      <c r="J4240" t="n">
        <v>1</v>
      </c>
      <c r="K4240" t="n">
        <v>0</v>
      </c>
      <c r="L4240" t="n">
        <v>101250</v>
      </c>
      <c r="M4240" t="n">
        <v>135000</v>
      </c>
      <c r="N4240" t="n">
        <v>33</v>
      </c>
      <c r="O4240" t="n">
        <v>0.33</v>
      </c>
      <c r="P4240" t="n">
        <v>1</v>
      </c>
      <c r="Q4240" t="n">
        <v>0.03</v>
      </c>
      <c r="R4240" t="n">
        <v>1</v>
      </c>
      <c r="S4240" t="n">
        <v>891.0000000000001</v>
      </c>
      <c r="T4240" t="n">
        <v>5</v>
      </c>
      <c r="U4240" t="n">
        <v>6</v>
      </c>
      <c r="V4240" t="n">
        <v>30</v>
      </c>
      <c r="W4240" t="n">
        <v>1</v>
      </c>
      <c r="X4240" t="n">
        <v>151.5151515151515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1081</v>
      </c>
      <c r="AG4240" t="n">
        <v>2318</v>
      </c>
      <c r="AH4240" t="inlineStr">
        <is>
          <t>CV. KIANO SUKSES MANDIRI - PPN (JMB)</t>
        </is>
      </c>
      <c r="AI4240" t="n">
        <v>54</v>
      </c>
      <c r="AJ4240" t="inlineStr">
        <is>
          <t>SOMETHINC</t>
        </is>
      </c>
      <c r="AK4240" t="n">
        <v>9</v>
      </c>
      <c r="AL4240" t="inlineStr">
        <is>
          <t>Miss Glam Jambi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SOMETHINC</t>
        </is>
      </c>
      <c r="B4241" s="2">
        <f>"20100477254"</f>
        <v/>
      </c>
      <c r="C4241" t="inlineStr">
        <is>
          <t>SOMETHINC CoverBlur Pro Filter Breathable Cushion SPF 40 PA++++ - C01.5 Butter 12gr</t>
        </is>
      </c>
      <c r="D4241" t="inlineStr">
        <is>
          <t>Miss Glam Jambi</t>
        </is>
      </c>
      <c r="E4241" t="n">
        <v>4</v>
      </c>
      <c r="F4241" t="n">
        <v>0.006600000000000001</v>
      </c>
      <c r="G4241" t="n">
        <v>0.33</v>
      </c>
      <c r="H4241" t="n">
        <v>2</v>
      </c>
      <c r="I4241" t="n">
        <v>13</v>
      </c>
      <c r="J4241" t="n">
        <v>1</v>
      </c>
      <c r="K4241" t="n">
        <v>0</v>
      </c>
      <c r="L4241" t="n">
        <v>141750</v>
      </c>
      <c r="M4241" t="n">
        <v>189000</v>
      </c>
      <c r="N4241" t="n">
        <v>33</v>
      </c>
      <c r="O4241" t="n">
        <v>0.33</v>
      </c>
      <c r="P4241" t="n">
        <v>1</v>
      </c>
      <c r="Q4241" t="n">
        <v>0.03</v>
      </c>
      <c r="R4241" t="n">
        <v>1</v>
      </c>
      <c r="S4241" t="n">
        <v>1247.4</v>
      </c>
      <c r="T4241" t="n">
        <v>5</v>
      </c>
      <c r="U4241" t="n">
        <v>6</v>
      </c>
      <c r="V4241" t="n">
        <v>30</v>
      </c>
      <c r="W4241" t="n">
        <v>1</v>
      </c>
      <c r="X4241" t="n">
        <v>606.060606060606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1081</v>
      </c>
      <c r="AG4241" t="n">
        <v>2318</v>
      </c>
      <c r="AH4241" t="inlineStr">
        <is>
          <t>CV. KIANO SUKSES MANDIRI - PPN (JMB)</t>
        </is>
      </c>
      <c r="AI4241" t="n">
        <v>54</v>
      </c>
      <c r="AJ4241" t="inlineStr">
        <is>
          <t>SOMETHINC</t>
        </is>
      </c>
      <c r="AK4241" t="n">
        <v>9</v>
      </c>
      <c r="AL4241" t="inlineStr">
        <is>
          <t>Miss Glam Jambi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SOMETHINC</t>
        </is>
      </c>
      <c r="B4242" s="2">
        <f>"20100477324"</f>
        <v/>
      </c>
      <c r="C4242" t="inlineStr">
        <is>
          <t>SOMETHINC CoverBlur Pro Filter Breathable Cushion SPF 40 PA++++ - N01 Nina 12gr</t>
        </is>
      </c>
      <c r="D4242" t="inlineStr">
        <is>
          <t>Miss Glam Jambi</t>
        </is>
      </c>
      <c r="E4242" t="n">
        <v>14</v>
      </c>
      <c r="F4242" t="n">
        <v>0.009900000000000001</v>
      </c>
      <c r="G4242" t="n">
        <v>0.33</v>
      </c>
      <c r="H4242" t="n">
        <v>2</v>
      </c>
      <c r="I4242" t="n">
        <v>13</v>
      </c>
      <c r="J4242" t="n">
        <v>1</v>
      </c>
      <c r="K4242" t="n">
        <v>0</v>
      </c>
      <c r="L4242" t="n">
        <v>141750</v>
      </c>
      <c r="M4242" t="n">
        <v>189000</v>
      </c>
      <c r="N4242" t="n">
        <v>33</v>
      </c>
      <c r="O4242" t="n">
        <v>0.33</v>
      </c>
      <c r="P4242" t="n">
        <v>1</v>
      </c>
      <c r="Q4242" t="n">
        <v>0.05</v>
      </c>
      <c r="R4242" t="n">
        <v>1</v>
      </c>
      <c r="S4242" t="n">
        <v>1871.1</v>
      </c>
      <c r="T4242" t="n">
        <v>5</v>
      </c>
      <c r="U4242" t="n">
        <v>6</v>
      </c>
      <c r="V4242" t="n">
        <v>30</v>
      </c>
      <c r="W4242" t="n">
        <v>1</v>
      </c>
      <c r="X4242" t="n">
        <v>1414.141414141414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1081</v>
      </c>
      <c r="AG4242" t="n">
        <v>2318</v>
      </c>
      <c r="AH4242" t="inlineStr">
        <is>
          <t>CV. KIANO SUKSES MANDIRI - PPN (JMB)</t>
        </is>
      </c>
      <c r="AI4242" t="n">
        <v>54</v>
      </c>
      <c r="AJ4242" t="inlineStr">
        <is>
          <t>SOMETHINC</t>
        </is>
      </c>
      <c r="AK4242" t="n">
        <v>9</v>
      </c>
      <c r="AL4242" t="inlineStr">
        <is>
          <t>Miss Glam Jambi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SOMETHINC</t>
        </is>
      </c>
      <c r="B4243" s="2">
        <f>"20100477523"</f>
        <v/>
      </c>
      <c r="C4243" t="inlineStr">
        <is>
          <t>SOMETHINC CoverBlur Pro Filter Breathable Cushion SPF 40 PA++++ - N02 Charlotte 12gr</t>
        </is>
      </c>
      <c r="D4243" t="inlineStr">
        <is>
          <t>Miss Glam Jambi</t>
        </is>
      </c>
      <c r="E4243" t="n">
        <v>13</v>
      </c>
      <c r="F4243" t="n">
        <v>0.009900000000000001</v>
      </c>
      <c r="G4243" t="n">
        <v>0.33</v>
      </c>
      <c r="H4243" t="n">
        <v>2</v>
      </c>
      <c r="I4243" t="n">
        <v>13</v>
      </c>
      <c r="J4243" t="n">
        <v>1</v>
      </c>
      <c r="K4243" t="n">
        <v>0</v>
      </c>
      <c r="L4243" t="n">
        <v>141750</v>
      </c>
      <c r="M4243" t="n">
        <v>189000</v>
      </c>
      <c r="N4243" t="n">
        <v>33</v>
      </c>
      <c r="O4243" t="n">
        <v>0.33</v>
      </c>
      <c r="P4243" t="n">
        <v>1</v>
      </c>
      <c r="Q4243" t="n">
        <v>0.02</v>
      </c>
      <c r="R4243" t="n">
        <v>1</v>
      </c>
      <c r="S4243" t="n">
        <v>1871.1</v>
      </c>
      <c r="T4243" t="n">
        <v>5</v>
      </c>
      <c r="U4243" t="n">
        <v>6</v>
      </c>
      <c r="V4243" t="n">
        <v>30</v>
      </c>
      <c r="W4243" t="n">
        <v>1</v>
      </c>
      <c r="X4243" t="n">
        <v>1313.131313131313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1081</v>
      </c>
      <c r="AG4243" t="n">
        <v>2318</v>
      </c>
      <c r="AH4243" t="inlineStr">
        <is>
          <t>CV. KIANO SUKSES MANDIRI - PPN (JMB)</t>
        </is>
      </c>
      <c r="AI4243" t="n">
        <v>54</v>
      </c>
      <c r="AJ4243" t="inlineStr">
        <is>
          <t>SOMETHINC</t>
        </is>
      </c>
      <c r="AK4243" t="n">
        <v>9</v>
      </c>
      <c r="AL4243" t="inlineStr">
        <is>
          <t>Miss Glam Jambi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SOMETHINC</t>
        </is>
      </c>
      <c r="B4244" s="2">
        <f>"20100477657"</f>
        <v/>
      </c>
      <c r="C4244" t="inlineStr">
        <is>
          <t>SOMETHINC CoverBlur Pro Filter Breathable Cushion SPF 40 PA++++ - N02.5 Linen 12gr</t>
        </is>
      </c>
      <c r="D4244" t="inlineStr">
        <is>
          <t>Miss Glam Jambi</t>
        </is>
      </c>
      <c r="E4244" t="n">
        <v>9</v>
      </c>
      <c r="F4244" t="n">
        <v>0.009900000000000001</v>
      </c>
      <c r="G4244" t="n">
        <v>0.33</v>
      </c>
      <c r="H4244" t="n">
        <v>2</v>
      </c>
      <c r="I4244" t="n">
        <v>13</v>
      </c>
      <c r="J4244" t="n">
        <v>1</v>
      </c>
      <c r="K4244" t="n">
        <v>0</v>
      </c>
      <c r="L4244" t="n">
        <v>141750</v>
      </c>
      <c r="M4244" t="n">
        <v>189000</v>
      </c>
      <c r="N4244" t="n">
        <v>33</v>
      </c>
      <c r="O4244" t="n">
        <v>0.33</v>
      </c>
      <c r="P4244" t="n">
        <v>1</v>
      </c>
      <c r="Q4244" t="n">
        <v>0.02</v>
      </c>
      <c r="R4244" t="n">
        <v>1</v>
      </c>
      <c r="S4244" t="n">
        <v>1871.1</v>
      </c>
      <c r="T4244" t="n">
        <v>5</v>
      </c>
      <c r="U4244" t="n">
        <v>6</v>
      </c>
      <c r="V4244" t="n">
        <v>30</v>
      </c>
      <c r="W4244" t="n">
        <v>1</v>
      </c>
      <c r="X4244" t="n">
        <v>909.090909090909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1081</v>
      </c>
      <c r="AG4244" t="n">
        <v>2318</v>
      </c>
      <c r="AH4244" t="inlineStr">
        <is>
          <t>CV. KIANO SUKSES MANDIRI - PPN (JMB)</t>
        </is>
      </c>
      <c r="AI4244" t="n">
        <v>54</v>
      </c>
      <c r="AJ4244" t="inlineStr">
        <is>
          <t>SOMETHINC</t>
        </is>
      </c>
      <c r="AK4244" t="n">
        <v>9</v>
      </c>
      <c r="AL4244" t="inlineStr">
        <is>
          <t>Miss Glam Jambi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SOMETHINC</t>
        </is>
      </c>
      <c r="B4245" s="2">
        <f>"11200150639"</f>
        <v/>
      </c>
      <c r="C4245" t="inlineStr">
        <is>
          <t>SOMETHINC Diamond Glow PhytoCell Serum - 20ml</t>
        </is>
      </c>
      <c r="D4245" t="inlineStr">
        <is>
          <t>Miss Glam Jambi</t>
        </is>
      </c>
      <c r="E4245" t="n">
        <v>3</v>
      </c>
      <c r="F4245" t="n">
        <v>0.033</v>
      </c>
      <c r="G4245" t="n">
        <v>0.66</v>
      </c>
      <c r="H4245" t="n">
        <v>2</v>
      </c>
      <c r="I4245" t="n">
        <v>13</v>
      </c>
      <c r="J4245" t="n">
        <v>1</v>
      </c>
      <c r="K4245" t="n">
        <v>0</v>
      </c>
      <c r="L4245" t="n">
        <v>126750</v>
      </c>
      <c r="M4245" t="n">
        <v>169000</v>
      </c>
      <c r="N4245" t="n">
        <v>33</v>
      </c>
      <c r="O4245" t="n">
        <v>0.33</v>
      </c>
      <c r="P4245" t="n">
        <v>1</v>
      </c>
      <c r="Q4245" t="n">
        <v>0.03</v>
      </c>
      <c r="R4245" t="n">
        <v>1</v>
      </c>
      <c r="S4245" t="n">
        <v>5577</v>
      </c>
      <c r="T4245" t="n">
        <v>9</v>
      </c>
      <c r="U4245" t="n">
        <v>10</v>
      </c>
      <c r="V4245" t="n">
        <v>30</v>
      </c>
      <c r="W4245" t="n">
        <v>1</v>
      </c>
      <c r="X4245" t="n">
        <v>90.90909090909091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1081</v>
      </c>
      <c r="AG4245" t="n">
        <v>2318</v>
      </c>
      <c r="AH4245" t="inlineStr">
        <is>
          <t>CV. KIANO SUKSES MANDIRI - PPN (JMB)</t>
        </is>
      </c>
      <c r="AI4245" t="n">
        <v>54</v>
      </c>
      <c r="AJ4245" t="inlineStr">
        <is>
          <t>SOMETHINC</t>
        </is>
      </c>
      <c r="AK4245" t="n">
        <v>9</v>
      </c>
      <c r="AL4245" t="inlineStr">
        <is>
          <t>Miss Glam Jambi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SOMETHINC</t>
        </is>
      </c>
      <c r="B4246" s="2">
        <f>"8997209272449"</f>
        <v/>
      </c>
      <c r="C4246" t="inlineStr">
        <is>
          <t>SOMETHINC Eggo 3D Contour Bronzer Dragon 1,5gr</t>
        </is>
      </c>
      <c r="D4246" t="inlineStr">
        <is>
          <t>Miss Glam Jambi</t>
        </is>
      </c>
      <c r="E4246" t="n">
        <v>0</v>
      </c>
      <c r="F4246" t="n">
        <v>0.006600000000000001</v>
      </c>
      <c r="G4246" t="n">
        <v>0.33</v>
      </c>
      <c r="H4246" t="n">
        <v>2</v>
      </c>
      <c r="I4246" t="n">
        <v>13</v>
      </c>
      <c r="J4246" t="n">
        <v>3</v>
      </c>
      <c r="K4246" t="n">
        <v>0</v>
      </c>
      <c r="L4246" t="n">
        <v>46500</v>
      </c>
      <c r="M4246" t="n">
        <v>54500</v>
      </c>
      <c r="N4246" t="n">
        <v>33</v>
      </c>
      <c r="O4246" t="n">
        <v>0.33</v>
      </c>
      <c r="P4246" t="n">
        <v>1</v>
      </c>
      <c r="Q4246" t="n">
        <v>0.04</v>
      </c>
      <c r="R4246" t="n">
        <v>1</v>
      </c>
      <c r="S4246" t="n">
        <v>359.7</v>
      </c>
      <c r="T4246" t="n">
        <v>5</v>
      </c>
      <c r="U4246" t="n">
        <v>6</v>
      </c>
      <c r="V4246" t="n">
        <v>30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n">
        <v>0</v>
      </c>
      <c r="AC4246" t="n">
        <v>0</v>
      </c>
      <c r="AD4246" t="n">
        <v>46500</v>
      </c>
      <c r="AE4246" t="n">
        <v>0</v>
      </c>
      <c r="AF4246" t="n">
        <v>1081</v>
      </c>
      <c r="AG4246" t="n">
        <v>2318</v>
      </c>
      <c r="AH4246" t="inlineStr">
        <is>
          <t>CV. KIANO SUKSES MANDIRI - PPN (JMB)</t>
        </is>
      </c>
      <c r="AI4246" t="n">
        <v>54</v>
      </c>
      <c r="AJ4246" t="inlineStr">
        <is>
          <t>SOMETHINC</t>
        </is>
      </c>
      <c r="AK4246" t="n">
        <v>9</v>
      </c>
      <c r="AL4246" t="inlineStr">
        <is>
          <t>Miss Glam Jambi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SOMETHINC</t>
        </is>
      </c>
      <c r="B4247" s="2">
        <f>"20300443815"</f>
        <v/>
      </c>
      <c r="C4247" t="inlineStr">
        <is>
          <t>SOMETHINC Forever Stay Comfort Lip Glaze 01 Uno 3gr</t>
        </is>
      </c>
      <c r="D4247" t="inlineStr">
        <is>
          <t>Miss Glam Jambi</t>
        </is>
      </c>
      <c r="E4247" t="n">
        <v>2</v>
      </c>
      <c r="F4247" t="n">
        <v>0.006600000000000001</v>
      </c>
      <c r="G4247" t="n">
        <v>0.33</v>
      </c>
      <c r="H4247" t="n">
        <v>2</v>
      </c>
      <c r="I4247" t="n">
        <v>13</v>
      </c>
      <c r="J4247" t="n">
        <v>1</v>
      </c>
      <c r="K4247" t="n">
        <v>0</v>
      </c>
      <c r="L4247" t="n">
        <v>74250</v>
      </c>
      <c r="M4247" t="n">
        <v>99000</v>
      </c>
      <c r="N4247" t="n">
        <v>33</v>
      </c>
      <c r="O4247" t="n">
        <v>0.33</v>
      </c>
      <c r="P4247" t="n">
        <v>1</v>
      </c>
      <c r="Q4247" t="n">
        <v>0.12</v>
      </c>
      <c r="R4247" t="n">
        <v>2</v>
      </c>
      <c r="S4247" t="n">
        <v>653.4000000000001</v>
      </c>
      <c r="T4247" t="n">
        <v>5</v>
      </c>
      <c r="U4247" t="n">
        <v>6</v>
      </c>
      <c r="V4247" t="n">
        <v>30</v>
      </c>
      <c r="W4247" t="n">
        <v>1</v>
      </c>
      <c r="X4247" t="n">
        <v>303.030303030303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1081</v>
      </c>
      <c r="AG4247" t="n">
        <v>2318</v>
      </c>
      <c r="AH4247" t="inlineStr">
        <is>
          <t>CV. KIANO SUKSES MANDIRI - PPN (JMB)</t>
        </is>
      </c>
      <c r="AI4247" t="n">
        <v>54</v>
      </c>
      <c r="AJ4247" t="inlineStr">
        <is>
          <t>SOMETHINC</t>
        </is>
      </c>
      <c r="AK4247" t="n">
        <v>9</v>
      </c>
      <c r="AL4247" t="inlineStr">
        <is>
          <t>Miss Glam Jambi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SOMETHINC</t>
        </is>
      </c>
      <c r="B4248" s="2">
        <f>"20300443954"</f>
        <v/>
      </c>
      <c r="C4248" t="inlineStr">
        <is>
          <t>SOMETHINC Forever Stay Comfort Lip Glaze 02 Hustle 3gr</t>
        </is>
      </c>
      <c r="D4248" t="inlineStr">
        <is>
          <t>Miss Glam Jambi</t>
        </is>
      </c>
      <c r="E4248" t="n">
        <v>7</v>
      </c>
      <c r="F4248" t="n">
        <v>0.0165</v>
      </c>
      <c r="G4248" t="n">
        <v>0.33</v>
      </c>
      <c r="H4248" t="n">
        <v>2</v>
      </c>
      <c r="I4248" t="n">
        <v>13</v>
      </c>
      <c r="J4248" t="n">
        <v>1</v>
      </c>
      <c r="K4248" t="n">
        <v>0</v>
      </c>
      <c r="L4248" t="n">
        <v>74250</v>
      </c>
      <c r="M4248" t="n">
        <v>99000</v>
      </c>
      <c r="N4248" t="n">
        <v>33</v>
      </c>
      <c r="O4248" t="n">
        <v>0.33</v>
      </c>
      <c r="P4248" t="n">
        <v>1</v>
      </c>
      <c r="Q4248" t="n">
        <v>0.03</v>
      </c>
      <c r="R4248" t="n">
        <v>1</v>
      </c>
      <c r="S4248" t="n">
        <v>1633.5</v>
      </c>
      <c r="T4248" t="n">
        <v>5</v>
      </c>
      <c r="U4248" t="n">
        <v>6</v>
      </c>
      <c r="V4248" t="n">
        <v>30</v>
      </c>
      <c r="W4248" t="n">
        <v>1</v>
      </c>
      <c r="X4248" t="n">
        <v>424.2424242424242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1081</v>
      </c>
      <c r="AG4248" t="n">
        <v>2318</v>
      </c>
      <c r="AH4248" t="inlineStr">
        <is>
          <t>CV. KIANO SUKSES MANDIRI - PPN (JMB)</t>
        </is>
      </c>
      <c r="AI4248" t="n">
        <v>54</v>
      </c>
      <c r="AJ4248" t="inlineStr">
        <is>
          <t>SOMETHINC</t>
        </is>
      </c>
      <c r="AK4248" t="n">
        <v>9</v>
      </c>
      <c r="AL4248" t="inlineStr">
        <is>
          <t>Miss Glam Jambi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SOMETHINC</t>
        </is>
      </c>
      <c r="B4249" s="2">
        <f>"20300444049"</f>
        <v/>
      </c>
      <c r="C4249" t="inlineStr">
        <is>
          <t>SOMETHINC Forever Stay Comfort Lip Glaze 03 Treschic 3gr</t>
        </is>
      </c>
      <c r="D4249" t="inlineStr">
        <is>
          <t>Miss Glam Jambi</t>
        </is>
      </c>
      <c r="E4249" t="n">
        <v>5</v>
      </c>
      <c r="F4249" t="n">
        <v>0.0495</v>
      </c>
      <c r="G4249" t="n">
        <v>0.66</v>
      </c>
      <c r="H4249" t="n">
        <v>2</v>
      </c>
      <c r="I4249" t="n">
        <v>13</v>
      </c>
      <c r="J4249" t="n">
        <v>1</v>
      </c>
      <c r="K4249" t="n">
        <v>0</v>
      </c>
      <c r="L4249" t="n">
        <v>74250</v>
      </c>
      <c r="M4249" t="n">
        <v>99000</v>
      </c>
      <c r="N4249" t="n">
        <v>33</v>
      </c>
      <c r="O4249" t="n">
        <v>0.33</v>
      </c>
      <c r="P4249" t="n">
        <v>1</v>
      </c>
      <c r="Q4249" t="n">
        <v>0.08</v>
      </c>
      <c r="R4249" t="n">
        <v>1</v>
      </c>
      <c r="S4249" t="n">
        <v>4900.5</v>
      </c>
      <c r="T4249" t="n">
        <v>9</v>
      </c>
      <c r="U4249" t="n">
        <v>10</v>
      </c>
      <c r="V4249" t="n">
        <v>30</v>
      </c>
      <c r="W4249" t="n">
        <v>2</v>
      </c>
      <c r="X4249" t="n">
        <v>101.010101010101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1081</v>
      </c>
      <c r="AG4249" t="n">
        <v>2318</v>
      </c>
      <c r="AH4249" t="inlineStr">
        <is>
          <t>CV. KIANO SUKSES MANDIRI - PPN (JMB)</t>
        </is>
      </c>
      <c r="AI4249" t="n">
        <v>54</v>
      </c>
      <c r="AJ4249" t="inlineStr">
        <is>
          <t>SOMETHINC</t>
        </is>
      </c>
      <c r="AK4249" t="n">
        <v>9</v>
      </c>
      <c r="AL4249" t="inlineStr">
        <is>
          <t>Miss Glam Jambi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SOMETHINC</t>
        </is>
      </c>
      <c r="B4250" s="2">
        <f>"20300444222"</f>
        <v/>
      </c>
      <c r="C4250" t="inlineStr">
        <is>
          <t>SOMETHINC Forever Stay Comfort Lip Glaze 04 Pwr 3gr</t>
        </is>
      </c>
      <c r="D4250" t="inlineStr">
        <is>
          <t>Miss Glam Jambi</t>
        </is>
      </c>
      <c r="E4250" t="n">
        <v>11</v>
      </c>
      <c r="F4250" t="n">
        <v>0.0726</v>
      </c>
      <c r="G4250" t="n">
        <v>0.99</v>
      </c>
      <c r="H4250" t="n">
        <v>2</v>
      </c>
      <c r="I4250" t="n">
        <v>13</v>
      </c>
      <c r="J4250" t="n">
        <v>1</v>
      </c>
      <c r="K4250" t="n">
        <v>0</v>
      </c>
      <c r="L4250" t="n">
        <v>74250</v>
      </c>
      <c r="M4250" t="n">
        <v>99000</v>
      </c>
      <c r="N4250" t="n">
        <v>33</v>
      </c>
      <c r="O4250" t="n">
        <v>0.33</v>
      </c>
      <c r="P4250" t="n">
        <v>1</v>
      </c>
      <c r="Q4250" t="n">
        <v>0.22</v>
      </c>
      <c r="R4250" t="n">
        <v>2</v>
      </c>
      <c r="S4250" t="n">
        <v>7187.4</v>
      </c>
      <c r="T4250" t="n">
        <v>13</v>
      </c>
      <c r="U4250" t="n">
        <v>14</v>
      </c>
      <c r="V4250" t="n">
        <v>30</v>
      </c>
      <c r="W4250" t="n">
        <v>3</v>
      </c>
      <c r="X4250" t="n">
        <v>151.5151515151515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1081</v>
      </c>
      <c r="AG4250" t="n">
        <v>2318</v>
      </c>
      <c r="AH4250" t="inlineStr">
        <is>
          <t>CV. KIANO SUKSES MANDIRI - PPN (JMB)</t>
        </is>
      </c>
      <c r="AI4250" t="n">
        <v>54</v>
      </c>
      <c r="AJ4250" t="inlineStr">
        <is>
          <t>SOMETHINC</t>
        </is>
      </c>
      <c r="AK4250" t="n">
        <v>9</v>
      </c>
      <c r="AL4250" t="inlineStr">
        <is>
          <t>Miss Glam Jambi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SOMETHINC</t>
        </is>
      </c>
      <c r="B4251" s="2">
        <f>"20300446553"</f>
        <v/>
      </c>
      <c r="C4251" t="inlineStr">
        <is>
          <t>SOMETHINC Forever Stay Comfort Lip Glaze 05 Unreal 3gr</t>
        </is>
      </c>
      <c r="D4251" t="inlineStr">
        <is>
          <t>Miss Glam Jambi</t>
        </is>
      </c>
      <c r="E4251" t="n">
        <v>9</v>
      </c>
      <c r="F4251" t="n">
        <v>0.0165</v>
      </c>
      <c r="G4251" t="n">
        <v>0.33</v>
      </c>
      <c r="H4251" t="n">
        <v>2</v>
      </c>
      <c r="I4251" t="n">
        <v>13</v>
      </c>
      <c r="J4251" t="n">
        <v>1</v>
      </c>
      <c r="K4251" t="n">
        <v>0</v>
      </c>
      <c r="L4251" t="n">
        <v>74250</v>
      </c>
      <c r="M4251" t="n">
        <v>99000</v>
      </c>
      <c r="N4251" t="n">
        <v>33</v>
      </c>
      <c r="O4251" t="n">
        <v>0.33</v>
      </c>
      <c r="P4251" t="n">
        <v>1</v>
      </c>
      <c r="Q4251" t="n">
        <v>0.07000000000000001</v>
      </c>
      <c r="R4251" t="n">
        <v>1</v>
      </c>
      <c r="S4251" t="n">
        <v>1633.5</v>
      </c>
      <c r="T4251" t="n">
        <v>5</v>
      </c>
      <c r="U4251" t="n">
        <v>6</v>
      </c>
      <c r="V4251" t="n">
        <v>30</v>
      </c>
      <c r="W4251" t="n">
        <v>1</v>
      </c>
      <c r="X4251" t="n">
        <v>545.4545454545454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1081</v>
      </c>
      <c r="AG4251" t="n">
        <v>2318</v>
      </c>
      <c r="AH4251" t="inlineStr">
        <is>
          <t>CV. KIANO SUKSES MANDIRI - PPN (JMB)</t>
        </is>
      </c>
      <c r="AI4251" t="n">
        <v>54</v>
      </c>
      <c r="AJ4251" t="inlineStr">
        <is>
          <t>SOMETHINC</t>
        </is>
      </c>
      <c r="AK4251" t="n">
        <v>9</v>
      </c>
      <c r="AL4251" t="inlineStr">
        <is>
          <t>Miss Glam Jambi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SOMETHINC</t>
        </is>
      </c>
      <c r="B4252" s="2">
        <f>"20300444112"</f>
        <v/>
      </c>
      <c r="C4252" t="inlineStr">
        <is>
          <t>SOMETHINC Forever Stay Comfort Lip Glaze 06 Mantra 3gr</t>
        </is>
      </c>
      <c r="D4252" t="inlineStr">
        <is>
          <t>Miss Glam Jambi</t>
        </is>
      </c>
      <c r="E4252" t="n">
        <v>9</v>
      </c>
      <c r="F4252" t="n">
        <v>0.0561</v>
      </c>
      <c r="G4252" t="n">
        <v>0.66</v>
      </c>
      <c r="H4252" t="n">
        <v>2</v>
      </c>
      <c r="I4252" t="n">
        <v>13</v>
      </c>
      <c r="J4252" t="n">
        <v>1</v>
      </c>
      <c r="K4252" t="n">
        <v>0</v>
      </c>
      <c r="L4252" t="n">
        <v>74250</v>
      </c>
      <c r="M4252" t="n">
        <v>99000</v>
      </c>
      <c r="N4252" t="n">
        <v>33</v>
      </c>
      <c r="O4252" t="n">
        <v>0.33</v>
      </c>
      <c r="P4252" t="n">
        <v>1</v>
      </c>
      <c r="Q4252" t="n">
        <v>0.15</v>
      </c>
      <c r="R4252" t="n">
        <v>2</v>
      </c>
      <c r="S4252" t="n">
        <v>5553.900000000001</v>
      </c>
      <c r="T4252" t="n">
        <v>9</v>
      </c>
      <c r="U4252" t="n">
        <v>10</v>
      </c>
      <c r="V4252" t="n">
        <v>30</v>
      </c>
      <c r="W4252" t="n">
        <v>2</v>
      </c>
      <c r="X4252" t="n">
        <v>160.427807486631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1081</v>
      </c>
      <c r="AG4252" t="n">
        <v>2318</v>
      </c>
      <c r="AH4252" t="inlineStr">
        <is>
          <t>CV. KIANO SUKSES MANDIRI - PPN (JMB)</t>
        </is>
      </c>
      <c r="AI4252" t="n">
        <v>54</v>
      </c>
      <c r="AJ4252" t="inlineStr">
        <is>
          <t>SOMETHINC</t>
        </is>
      </c>
      <c r="AK4252" t="n">
        <v>9</v>
      </c>
      <c r="AL4252" t="inlineStr">
        <is>
          <t>Miss Glam Jambi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SOMETHINC</t>
        </is>
      </c>
      <c r="B4253" s="2">
        <f>"20300444315"</f>
        <v/>
      </c>
      <c r="C4253" t="inlineStr">
        <is>
          <t>SOMETHINC Forever Stay Comfort Lip Glaze 07 Sassy 3gr</t>
        </is>
      </c>
      <c r="D4253" t="inlineStr">
        <is>
          <t>Miss Glam Jambi</t>
        </is>
      </c>
      <c r="E4253" t="n">
        <v>10</v>
      </c>
      <c r="F4253" t="n">
        <v>0.1188</v>
      </c>
      <c r="G4253" t="n">
        <v>0.99</v>
      </c>
      <c r="H4253" t="n">
        <v>2</v>
      </c>
      <c r="I4253" t="n">
        <v>13</v>
      </c>
      <c r="J4253" t="n">
        <v>1</v>
      </c>
      <c r="K4253" t="n">
        <v>0</v>
      </c>
      <c r="L4253" t="n">
        <v>74250</v>
      </c>
      <c r="M4253" t="n">
        <v>99000</v>
      </c>
      <c r="N4253" t="n">
        <v>33</v>
      </c>
      <c r="O4253" t="n">
        <v>0.33</v>
      </c>
      <c r="P4253" t="n">
        <v>1</v>
      </c>
      <c r="Q4253" t="n">
        <v>0.2</v>
      </c>
      <c r="R4253" t="n">
        <v>4</v>
      </c>
      <c r="S4253" t="n">
        <v>11761.2</v>
      </c>
      <c r="T4253" t="n">
        <v>13</v>
      </c>
      <c r="U4253" t="n">
        <v>14</v>
      </c>
      <c r="V4253" t="n">
        <v>30</v>
      </c>
      <c r="W4253" t="n">
        <v>4</v>
      </c>
      <c r="X4253" t="n">
        <v>84.17508417508418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1081</v>
      </c>
      <c r="AG4253" t="n">
        <v>2318</v>
      </c>
      <c r="AH4253" t="inlineStr">
        <is>
          <t>CV. KIANO SUKSES MANDIRI - PPN (JMB)</t>
        </is>
      </c>
      <c r="AI4253" t="n">
        <v>54</v>
      </c>
      <c r="AJ4253" t="inlineStr">
        <is>
          <t>SOMETHINC</t>
        </is>
      </c>
      <c r="AK4253" t="n">
        <v>9</v>
      </c>
      <c r="AL4253" t="inlineStr">
        <is>
          <t>Miss Glam Jambi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SOMETHINC</t>
        </is>
      </c>
      <c r="B4254" s="2">
        <f>"20300444439"</f>
        <v/>
      </c>
      <c r="C4254" t="inlineStr">
        <is>
          <t>SOMETHINC Forever Stay Comfort Lip Glaze 08 Notty 3gr</t>
        </is>
      </c>
      <c r="D4254" t="inlineStr">
        <is>
          <t>Miss Glam Jambi</t>
        </is>
      </c>
      <c r="E4254" t="n">
        <v>7</v>
      </c>
      <c r="F4254" t="n">
        <v>0.0264</v>
      </c>
      <c r="G4254" t="n">
        <v>0.33</v>
      </c>
      <c r="H4254" t="n">
        <v>2</v>
      </c>
      <c r="I4254" t="n">
        <v>13</v>
      </c>
      <c r="J4254" t="n">
        <v>1</v>
      </c>
      <c r="K4254" t="n">
        <v>0</v>
      </c>
      <c r="L4254" t="n">
        <v>74250</v>
      </c>
      <c r="M4254" t="n">
        <v>99000</v>
      </c>
      <c r="N4254" t="n">
        <v>33</v>
      </c>
      <c r="O4254" t="n">
        <v>0.33</v>
      </c>
      <c r="P4254" t="n">
        <v>1</v>
      </c>
      <c r="Q4254" t="n">
        <v>0.02</v>
      </c>
      <c r="R4254" t="n">
        <v>1</v>
      </c>
      <c r="S4254" t="n">
        <v>2613.6</v>
      </c>
      <c r="T4254" t="n">
        <v>5</v>
      </c>
      <c r="U4254" t="n">
        <v>6</v>
      </c>
      <c r="V4254" t="n">
        <v>30</v>
      </c>
      <c r="W4254" t="n">
        <v>1</v>
      </c>
      <c r="X4254" t="n">
        <v>265.1515151515151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1081</v>
      </c>
      <c r="AG4254" t="n">
        <v>2318</v>
      </c>
      <c r="AH4254" t="inlineStr">
        <is>
          <t>CV. KIANO SUKSES MANDIRI - PPN (JMB)</t>
        </is>
      </c>
      <c r="AI4254" t="n">
        <v>54</v>
      </c>
      <c r="AJ4254" t="inlineStr">
        <is>
          <t>SOMETHINC</t>
        </is>
      </c>
      <c r="AK4254" t="n">
        <v>9</v>
      </c>
      <c r="AL4254" t="inlineStr">
        <is>
          <t>Miss Glam Jambi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SOMETHINC</t>
        </is>
      </c>
      <c r="B4255" s="2">
        <f>"20300444502"</f>
        <v/>
      </c>
      <c r="C4255" t="inlineStr">
        <is>
          <t>SOMETHINC Forever Stay Comfort Lip Glaze 09 Selfmade 3gr</t>
        </is>
      </c>
      <c r="D4255" t="inlineStr">
        <is>
          <t>Miss Glam Jambi</t>
        </is>
      </c>
      <c r="E4255" t="n">
        <v>4</v>
      </c>
      <c r="F4255" t="n">
        <v>0.03</v>
      </c>
      <c r="G4255" t="n">
        <v>1</v>
      </c>
      <c r="H4255" t="n">
        <v>2</v>
      </c>
      <c r="I4255" t="n">
        <v>13</v>
      </c>
      <c r="J4255" t="n">
        <v>1</v>
      </c>
      <c r="K4255" t="n">
        <v>0</v>
      </c>
      <c r="L4255" t="n">
        <v>74250</v>
      </c>
      <c r="M4255" t="n">
        <v>99000</v>
      </c>
      <c r="N4255" t="n">
        <v>33</v>
      </c>
      <c r="O4255" t="n">
        <v>0.33</v>
      </c>
      <c r="P4255" t="n">
        <v>0</v>
      </c>
      <c r="Q4255" t="n">
        <v>0.03</v>
      </c>
      <c r="R4255" t="n">
        <v>1</v>
      </c>
      <c r="S4255" t="n">
        <v>2970</v>
      </c>
      <c r="T4255" t="n">
        <v>13</v>
      </c>
      <c r="U4255" t="n">
        <v>14</v>
      </c>
      <c r="V4255" t="n">
        <v>30</v>
      </c>
      <c r="W4255" t="n">
        <v>1</v>
      </c>
      <c r="X4255" t="n">
        <v>133.3333333333333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1081</v>
      </c>
      <c r="AG4255" t="n">
        <v>2318</v>
      </c>
      <c r="AH4255" t="inlineStr">
        <is>
          <t>CV. KIANO SUKSES MANDIRI - PPN (JMB)</t>
        </is>
      </c>
      <c r="AI4255" t="n">
        <v>54</v>
      </c>
      <c r="AJ4255" t="inlineStr">
        <is>
          <t>SOMETHINC</t>
        </is>
      </c>
      <c r="AK4255" t="n">
        <v>9</v>
      </c>
      <c r="AL4255" t="inlineStr">
        <is>
          <t>Miss Glam Jambi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SOMETHINC</t>
        </is>
      </c>
      <c r="B4256" s="2">
        <f>"8997209270414"</f>
        <v/>
      </c>
      <c r="C4256" t="inlineStr">
        <is>
          <t>SOMETHINC Forever Stay Eyeliner 0.5ml</t>
        </is>
      </c>
      <c r="D4256" t="inlineStr">
        <is>
          <t>Miss Glam Jambi</t>
        </is>
      </c>
      <c r="E4256" t="n">
        <v>9</v>
      </c>
      <c r="F4256" t="n">
        <v>0.0462</v>
      </c>
      <c r="G4256" t="n">
        <v>0.66</v>
      </c>
      <c r="H4256" t="n">
        <v>2</v>
      </c>
      <c r="I4256" t="n">
        <v>13</v>
      </c>
      <c r="J4256" t="n">
        <v>3</v>
      </c>
      <c r="K4256" t="n">
        <v>0</v>
      </c>
      <c r="L4256" t="n">
        <v>59250</v>
      </c>
      <c r="M4256" t="n">
        <v>79000</v>
      </c>
      <c r="N4256" t="n">
        <v>33</v>
      </c>
      <c r="O4256" t="n">
        <v>0.33</v>
      </c>
      <c r="P4256" t="n">
        <v>1</v>
      </c>
      <c r="Q4256" t="n">
        <v>0.2</v>
      </c>
      <c r="R4256" t="n">
        <v>2</v>
      </c>
      <c r="S4256" t="n">
        <v>3649.8</v>
      </c>
      <c r="T4256" t="n">
        <v>9</v>
      </c>
      <c r="U4256" t="n">
        <v>10</v>
      </c>
      <c r="V4256" t="n">
        <v>30</v>
      </c>
      <c r="W4256" t="n">
        <v>2</v>
      </c>
      <c r="X4256" t="n">
        <v>194.8051948051948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1081</v>
      </c>
      <c r="AG4256" t="n">
        <v>2318</v>
      </c>
      <c r="AH4256" t="inlineStr">
        <is>
          <t>CV. KIANO SUKSES MANDIRI - PPN (JMB)</t>
        </is>
      </c>
      <c r="AI4256" t="n">
        <v>54</v>
      </c>
      <c r="AJ4256" t="inlineStr">
        <is>
          <t>SOMETHINC</t>
        </is>
      </c>
      <c r="AK4256" t="n">
        <v>9</v>
      </c>
      <c r="AL4256" t="inlineStr">
        <is>
          <t>Miss Glam Jambi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SOMETHINC</t>
        </is>
      </c>
      <c r="B4257" s="2">
        <f>"11200150851"</f>
        <v/>
      </c>
      <c r="C4257" t="inlineStr">
        <is>
          <t>SOMETHINC Gentle Bright Niacinamide + Alpha Arbutin Serum - 20ml</t>
        </is>
      </c>
      <c r="D4257" t="inlineStr">
        <is>
          <t>Miss Glam Jambi</t>
        </is>
      </c>
      <c r="E4257" t="n">
        <v>7</v>
      </c>
      <c r="F4257" t="n">
        <v>0.1188</v>
      </c>
      <c r="G4257" t="n">
        <v>0.99</v>
      </c>
      <c r="H4257" t="n">
        <v>2</v>
      </c>
      <c r="I4257" t="n">
        <v>13</v>
      </c>
      <c r="J4257" t="n">
        <v>1</v>
      </c>
      <c r="K4257" t="n">
        <v>0</v>
      </c>
      <c r="L4257" t="n">
        <v>104250</v>
      </c>
      <c r="M4257" t="n">
        <v>139000</v>
      </c>
      <c r="N4257" t="n">
        <v>33</v>
      </c>
      <c r="O4257" t="n">
        <v>0.33</v>
      </c>
      <c r="P4257" t="n">
        <v>1</v>
      </c>
      <c r="Q4257" t="n">
        <v>0.2</v>
      </c>
      <c r="R4257" t="n">
        <v>2</v>
      </c>
      <c r="S4257" t="n">
        <v>16513.2</v>
      </c>
      <c r="T4257" t="n">
        <v>13</v>
      </c>
      <c r="U4257" t="n">
        <v>14</v>
      </c>
      <c r="V4257" t="n">
        <v>30</v>
      </c>
      <c r="W4257" t="n">
        <v>4</v>
      </c>
      <c r="X4257" t="n">
        <v>58.92255892255892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1081</v>
      </c>
      <c r="AG4257" t="n">
        <v>2318</v>
      </c>
      <c r="AH4257" t="inlineStr">
        <is>
          <t>CV. KIANO SUKSES MANDIRI - PPN (JMB)</t>
        </is>
      </c>
      <c r="AI4257" t="n">
        <v>54</v>
      </c>
      <c r="AJ4257" t="inlineStr">
        <is>
          <t>SOMETHINC</t>
        </is>
      </c>
      <c r="AK4257" t="n">
        <v>9</v>
      </c>
      <c r="AL4257" t="inlineStr">
        <is>
          <t>Miss Glam Jambi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SOMETHINC</t>
        </is>
      </c>
      <c r="B4258" s="2">
        <f>"11200150726"</f>
        <v/>
      </c>
      <c r="C4258" t="inlineStr">
        <is>
          <t>SOMETHINC Glass-C 12% Vitamin C + GlutaBright + Ferulic Serum - 20ml</t>
        </is>
      </c>
      <c r="D4258" t="inlineStr">
        <is>
          <t>Miss Glam Jambi</t>
        </is>
      </c>
      <c r="E4258" t="n">
        <v>10</v>
      </c>
      <c r="F4258" t="n">
        <v>0.0462</v>
      </c>
      <c r="G4258" t="n">
        <v>0.33</v>
      </c>
      <c r="H4258" t="n">
        <v>2</v>
      </c>
      <c r="I4258" t="n">
        <v>13</v>
      </c>
      <c r="J4258" t="n">
        <v>1</v>
      </c>
      <c r="K4258" t="n">
        <v>0</v>
      </c>
      <c r="L4258" t="n">
        <v>149250</v>
      </c>
      <c r="M4258" t="n">
        <v>199000</v>
      </c>
      <c r="N4258" t="n">
        <v>33</v>
      </c>
      <c r="O4258" t="n">
        <v>0.33</v>
      </c>
      <c r="P4258" t="n">
        <v>1</v>
      </c>
      <c r="Q4258" t="n">
        <v>0.12</v>
      </c>
      <c r="R4258" t="n">
        <v>2</v>
      </c>
      <c r="S4258" t="n">
        <v>9193.800000000001</v>
      </c>
      <c r="T4258" t="n">
        <v>5</v>
      </c>
      <c r="U4258" t="n">
        <v>6</v>
      </c>
      <c r="V4258" t="n">
        <v>30</v>
      </c>
      <c r="W4258" t="n">
        <v>2</v>
      </c>
      <c r="X4258" t="n">
        <v>216.4502164502164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1081</v>
      </c>
      <c r="AG4258" t="n">
        <v>2318</v>
      </c>
      <c r="AH4258" t="inlineStr">
        <is>
          <t>CV. KIANO SUKSES MANDIRI - PPN (JMB)</t>
        </is>
      </c>
      <c r="AI4258" t="n">
        <v>54</v>
      </c>
      <c r="AJ4258" t="inlineStr">
        <is>
          <t>SOMETHINC</t>
        </is>
      </c>
      <c r="AK4258" t="n">
        <v>9</v>
      </c>
      <c r="AL4258" t="inlineStr">
        <is>
          <t>Miss Glam Jambi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SOMETHINC</t>
        </is>
      </c>
      <c r="B4259" s="2">
        <f>"8997209278502"</f>
        <v/>
      </c>
      <c r="C4259" t="inlineStr">
        <is>
          <t>SOMETHINC Hangover Voluminous Fiber Lash Smudgeproof Mascara 7g</t>
        </is>
      </c>
      <c r="D4259" t="inlineStr">
        <is>
          <t>Miss Glam Jambi</t>
        </is>
      </c>
      <c r="E4259" t="n">
        <v>3</v>
      </c>
      <c r="F4259" t="n">
        <v>0.08910000000000001</v>
      </c>
      <c r="G4259" t="n">
        <v>0.99</v>
      </c>
      <c r="H4259" t="n">
        <v>2</v>
      </c>
      <c r="I4259" t="n">
        <v>13</v>
      </c>
      <c r="J4259" t="n">
        <v>3</v>
      </c>
      <c r="K4259" t="n">
        <v>0</v>
      </c>
      <c r="L4259" t="n">
        <v>63750</v>
      </c>
      <c r="M4259" t="n">
        <v>85000</v>
      </c>
      <c r="N4259" t="n">
        <v>33</v>
      </c>
      <c r="O4259" t="n">
        <v>0.33</v>
      </c>
      <c r="P4259" t="n">
        <v>1</v>
      </c>
      <c r="Q4259" t="n">
        <v>0.05</v>
      </c>
      <c r="R4259" t="n">
        <v>0</v>
      </c>
      <c r="S4259" t="n">
        <v>7573.500000000001</v>
      </c>
      <c r="T4259" t="n">
        <v>13</v>
      </c>
      <c r="U4259" t="n">
        <v>14</v>
      </c>
      <c r="V4259" t="n">
        <v>30</v>
      </c>
      <c r="W4259" t="n">
        <v>3</v>
      </c>
      <c r="X4259" t="n">
        <v>33.67003367003367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1081</v>
      </c>
      <c r="AG4259" t="n">
        <v>2318</v>
      </c>
      <c r="AH4259" t="inlineStr">
        <is>
          <t>CV. KIANO SUKSES MANDIRI - PPN (JMB)</t>
        </is>
      </c>
      <c r="AI4259" t="n">
        <v>54</v>
      </c>
      <c r="AJ4259" t="inlineStr">
        <is>
          <t>SOMETHINC</t>
        </is>
      </c>
      <c r="AK4259" t="n">
        <v>9</v>
      </c>
      <c r="AL4259" t="inlineStr">
        <is>
          <t>Miss Glam Jambi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SOMETHINC</t>
        </is>
      </c>
      <c r="B4260" s="2">
        <f>"8991752001105"</f>
        <v/>
      </c>
      <c r="C4260" t="inlineStr">
        <is>
          <t>SOMETHINC Holyshield Sunscreen Shake Mist SPF 46Pa++ 50ml</t>
        </is>
      </c>
      <c r="D4260" t="inlineStr">
        <is>
          <t>Miss Glam Jambi</t>
        </is>
      </c>
      <c r="E4260" t="n">
        <v>2</v>
      </c>
      <c r="F4260" t="n">
        <v>0.02</v>
      </c>
      <c r="G4260" t="n">
        <v>1</v>
      </c>
      <c r="H4260" t="n">
        <v>2</v>
      </c>
      <c r="I4260" t="n">
        <v>13</v>
      </c>
      <c r="J4260" t="n">
        <v>3</v>
      </c>
      <c r="K4260" t="n">
        <v>0</v>
      </c>
      <c r="L4260" t="n">
        <v>81750</v>
      </c>
      <c r="M4260" t="n">
        <v>109000</v>
      </c>
      <c r="N4260" t="n">
        <v>33</v>
      </c>
      <c r="O4260" t="n">
        <v>0.33</v>
      </c>
      <c r="P4260" t="n">
        <v>0</v>
      </c>
      <c r="Q4260" t="n">
        <v>0.02</v>
      </c>
      <c r="R4260" t="n">
        <v>1</v>
      </c>
      <c r="S4260" t="n">
        <v>2180</v>
      </c>
      <c r="T4260" t="n">
        <v>13</v>
      </c>
      <c r="U4260" t="n">
        <v>14</v>
      </c>
      <c r="V4260" t="n">
        <v>30</v>
      </c>
      <c r="W4260" t="n">
        <v>1</v>
      </c>
      <c r="X4260" t="n">
        <v>100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1081</v>
      </c>
      <c r="AG4260" t="n">
        <v>2318</v>
      </c>
      <c r="AH4260" t="inlineStr">
        <is>
          <t>CV. KIANO SUKSES MANDIRI - PPN (JMB)</t>
        </is>
      </c>
      <c r="AI4260" t="n">
        <v>54</v>
      </c>
      <c r="AJ4260" t="inlineStr">
        <is>
          <t>SOMETHINC</t>
        </is>
      </c>
      <c r="AK4260" t="n">
        <v>9</v>
      </c>
      <c r="AL4260" t="inlineStr">
        <is>
          <t>Miss Glam Jambi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SOMETHINC</t>
        </is>
      </c>
      <c r="B4261" s="2">
        <f>"8991752001839"</f>
        <v/>
      </c>
      <c r="C4261" t="inlineStr">
        <is>
          <t>SOMETHINC Holyshield UV Water Sunscreen Gel Spf 50+ PA++++ 15gr</t>
        </is>
      </c>
      <c r="D4261" t="inlineStr">
        <is>
          <t>Miss Glam Jambi</t>
        </is>
      </c>
      <c r="E4261" t="n">
        <v>4</v>
      </c>
      <c r="F4261" t="n">
        <v>0.07920000000000001</v>
      </c>
      <c r="G4261" t="n">
        <v>0.99</v>
      </c>
      <c r="H4261" t="n">
        <v>2</v>
      </c>
      <c r="I4261" t="n">
        <v>13</v>
      </c>
      <c r="J4261" t="n">
        <v>3</v>
      </c>
      <c r="K4261" t="n">
        <v>0</v>
      </c>
      <c r="L4261" t="n">
        <v>36750</v>
      </c>
      <c r="M4261" t="n">
        <v>49000</v>
      </c>
      <c r="N4261" t="n">
        <v>33</v>
      </c>
      <c r="O4261" t="n">
        <v>0.33</v>
      </c>
      <c r="P4261" t="n">
        <v>1</v>
      </c>
      <c r="Q4261" t="n">
        <v>0.02</v>
      </c>
      <c r="R4261" t="n">
        <v>0</v>
      </c>
      <c r="S4261" t="n">
        <v>3880.8</v>
      </c>
      <c r="T4261" t="n">
        <v>13</v>
      </c>
      <c r="U4261" t="n">
        <v>14</v>
      </c>
      <c r="V4261" t="n">
        <v>30</v>
      </c>
      <c r="W4261" t="n">
        <v>3</v>
      </c>
      <c r="X4261" t="n">
        <v>50.5050505050505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1081</v>
      </c>
      <c r="AG4261" t="n">
        <v>2318</v>
      </c>
      <c r="AH4261" t="inlineStr">
        <is>
          <t>CV. KIANO SUKSES MANDIRI - PPN (JMB)</t>
        </is>
      </c>
      <c r="AI4261" t="n">
        <v>54</v>
      </c>
      <c r="AJ4261" t="inlineStr">
        <is>
          <t>SOMETHINC</t>
        </is>
      </c>
      <c r="AK4261" t="n">
        <v>9</v>
      </c>
      <c r="AL4261" t="inlineStr">
        <is>
          <t>Miss Glam Jambi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SOMETHINC</t>
        </is>
      </c>
      <c r="B4262" s="2">
        <f>"8991752001846"</f>
        <v/>
      </c>
      <c r="C4262" t="inlineStr">
        <is>
          <t>SOMETHINC Holyshield UV Water Sunscreen Gel Spf 50+ PA++++ 50gr</t>
        </is>
      </c>
      <c r="D4262" t="inlineStr">
        <is>
          <t>Miss Glam Jambi</t>
        </is>
      </c>
      <c r="E4262" t="n">
        <v>3</v>
      </c>
      <c r="F4262" t="n">
        <v>0.0825</v>
      </c>
      <c r="G4262" t="n">
        <v>0.66</v>
      </c>
      <c r="H4262" t="n">
        <v>2</v>
      </c>
      <c r="I4262" t="n">
        <v>13</v>
      </c>
      <c r="J4262" t="n">
        <v>3</v>
      </c>
      <c r="K4262" t="n">
        <v>0</v>
      </c>
      <c r="L4262" t="n">
        <v>93750</v>
      </c>
      <c r="M4262" t="n">
        <v>125000</v>
      </c>
      <c r="N4262" t="n">
        <v>33</v>
      </c>
      <c r="O4262" t="n">
        <v>0.33</v>
      </c>
      <c r="P4262" t="n">
        <v>1</v>
      </c>
      <c r="Q4262" t="n">
        <v>0.08</v>
      </c>
      <c r="R4262" t="n">
        <v>1</v>
      </c>
      <c r="S4262" t="n">
        <v>10312.5</v>
      </c>
      <c r="T4262" t="n">
        <v>9</v>
      </c>
      <c r="U4262" t="n">
        <v>10</v>
      </c>
      <c r="V4262" t="n">
        <v>30</v>
      </c>
      <c r="W4262" t="n">
        <v>3</v>
      </c>
      <c r="X4262" t="n">
        <v>36.36363636363636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1081</v>
      </c>
      <c r="AG4262" t="n">
        <v>2318</v>
      </c>
      <c r="AH4262" t="inlineStr">
        <is>
          <t>CV. KIANO SUKSES MANDIRI - PPN (JMB)</t>
        </is>
      </c>
      <c r="AI4262" t="n">
        <v>54</v>
      </c>
      <c r="AJ4262" t="inlineStr">
        <is>
          <t>SOMETHINC</t>
        </is>
      </c>
      <c r="AK4262" t="n">
        <v>9</v>
      </c>
      <c r="AL4262" t="inlineStr">
        <is>
          <t>Miss Glam Jambi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SOMETHINC</t>
        </is>
      </c>
      <c r="B4263" s="2">
        <f>"8991752002997"</f>
        <v/>
      </c>
      <c r="C4263" t="inlineStr">
        <is>
          <t>SOMETHINC Hooman Breathable UV Cushion Cover Spf 35 PA++++ C01.5 Butter</t>
        </is>
      </c>
      <c r="D4263" t="inlineStr">
        <is>
          <t>Miss Glam Jambi</t>
        </is>
      </c>
      <c r="E4263" t="n">
        <v>5</v>
      </c>
      <c r="F4263" t="n">
        <v>0.02</v>
      </c>
      <c r="G4263" t="n">
        <v>1</v>
      </c>
      <c r="H4263" t="n">
        <v>2</v>
      </c>
      <c r="I4263" t="n">
        <v>13</v>
      </c>
      <c r="J4263" t="n">
        <v>3</v>
      </c>
      <c r="K4263" t="n">
        <v>0</v>
      </c>
      <c r="L4263" t="n">
        <v>141750</v>
      </c>
      <c r="M4263" t="n">
        <v>169000</v>
      </c>
      <c r="N4263" t="n">
        <v>33</v>
      </c>
      <c r="O4263" t="n">
        <v>0.33</v>
      </c>
      <c r="P4263" t="n">
        <v>0</v>
      </c>
      <c r="Q4263" t="n">
        <v>0.02</v>
      </c>
      <c r="R4263" t="n">
        <v>1</v>
      </c>
      <c r="S4263" t="n">
        <v>3380</v>
      </c>
      <c r="T4263" t="n">
        <v>13</v>
      </c>
      <c r="U4263" t="n">
        <v>14</v>
      </c>
      <c r="V4263" t="n">
        <v>30</v>
      </c>
      <c r="W4263" t="n">
        <v>1</v>
      </c>
      <c r="X4263" t="n">
        <v>250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1081</v>
      </c>
      <c r="AG4263" t="n">
        <v>2318</v>
      </c>
      <c r="AH4263" t="inlineStr">
        <is>
          <t>CV. KIANO SUKSES MANDIRI - PPN (JMB)</t>
        </is>
      </c>
      <c r="AI4263" t="n">
        <v>54</v>
      </c>
      <c r="AJ4263" t="inlineStr">
        <is>
          <t>SOMETHINC</t>
        </is>
      </c>
      <c r="AK4263" t="n">
        <v>9</v>
      </c>
      <c r="AL4263" t="inlineStr">
        <is>
          <t>Miss Glam Jambi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SOMETHINC</t>
        </is>
      </c>
      <c r="B4264" s="2">
        <f>"8991752000160"</f>
        <v/>
      </c>
      <c r="C4264" t="inlineStr">
        <is>
          <t>SOMETHINC Hooman Breathable UV Cushion Cover SPF 35PA+++ C03 Eclair 15g</t>
        </is>
      </c>
      <c r="D4264" t="inlineStr">
        <is>
          <t>Miss Glam Jambi</t>
        </is>
      </c>
      <c r="E4264" t="n">
        <v>1</v>
      </c>
      <c r="F4264" t="n">
        <v>0.02</v>
      </c>
      <c r="G4264" t="n">
        <v>1</v>
      </c>
      <c r="H4264" t="n">
        <v>2</v>
      </c>
      <c r="I4264" t="n">
        <v>13</v>
      </c>
      <c r="J4264" t="n">
        <v>3</v>
      </c>
      <c r="K4264" t="n">
        <v>0</v>
      </c>
      <c r="L4264" t="n">
        <v>141750</v>
      </c>
      <c r="M4264" t="n">
        <v>189000</v>
      </c>
      <c r="N4264" t="n">
        <v>33</v>
      </c>
      <c r="O4264" t="n">
        <v>0.33</v>
      </c>
      <c r="P4264" t="n">
        <v>0</v>
      </c>
      <c r="Q4264" t="n">
        <v>0.02</v>
      </c>
      <c r="R4264" t="n">
        <v>1</v>
      </c>
      <c r="S4264" t="n">
        <v>3780</v>
      </c>
      <c r="T4264" t="n">
        <v>13</v>
      </c>
      <c r="U4264" t="n">
        <v>14</v>
      </c>
      <c r="V4264" t="n">
        <v>30</v>
      </c>
      <c r="W4264" t="n">
        <v>1</v>
      </c>
      <c r="X4264" t="n">
        <v>50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1081</v>
      </c>
      <c r="AG4264" t="n">
        <v>2318</v>
      </c>
      <c r="AH4264" t="inlineStr">
        <is>
          <t>CV. KIANO SUKSES MANDIRI - PPN (JMB)</t>
        </is>
      </c>
      <c r="AI4264" t="n">
        <v>54</v>
      </c>
      <c r="AJ4264" t="inlineStr">
        <is>
          <t>SOMETHINC</t>
        </is>
      </c>
      <c r="AK4264" t="n">
        <v>9</v>
      </c>
      <c r="AL4264" t="inlineStr">
        <is>
          <t>Miss Glam Jambi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SOMETHINC</t>
        </is>
      </c>
      <c r="B4265" s="2">
        <f>"8991752000313"</f>
        <v/>
      </c>
      <c r="C4265" t="inlineStr">
        <is>
          <t>SOMETHINC Hooman Breathable UV Cushion Cover SPF 35PA+++ N01 Nina 15g</t>
        </is>
      </c>
      <c r="D4265" t="inlineStr">
        <is>
          <t>Miss Glam Jambi</t>
        </is>
      </c>
      <c r="E4265" t="n">
        <v>2</v>
      </c>
      <c r="F4265" t="n">
        <v>0.0165</v>
      </c>
      <c r="G4265" t="n">
        <v>0.33</v>
      </c>
      <c r="H4265" t="n">
        <v>2</v>
      </c>
      <c r="I4265" t="n">
        <v>13</v>
      </c>
      <c r="J4265" t="n">
        <v>3</v>
      </c>
      <c r="K4265" t="n">
        <v>0</v>
      </c>
      <c r="L4265" t="n">
        <v>141750</v>
      </c>
      <c r="M4265" t="n">
        <v>169000</v>
      </c>
      <c r="N4265" t="n">
        <v>33</v>
      </c>
      <c r="O4265" t="n">
        <v>0.33</v>
      </c>
      <c r="P4265" t="n">
        <v>1</v>
      </c>
      <c r="Q4265" t="n">
        <v>0.02</v>
      </c>
      <c r="R4265" t="n">
        <v>1</v>
      </c>
      <c r="S4265" t="n">
        <v>2788.5</v>
      </c>
      <c r="T4265" t="n">
        <v>5</v>
      </c>
      <c r="U4265" t="n">
        <v>6</v>
      </c>
      <c r="V4265" t="n">
        <v>30</v>
      </c>
      <c r="W4265" t="n">
        <v>1</v>
      </c>
      <c r="X4265" t="n">
        <v>121.2121212121212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1081</v>
      </c>
      <c r="AG4265" t="n">
        <v>2318</v>
      </c>
      <c r="AH4265" t="inlineStr">
        <is>
          <t>CV. KIANO SUKSES MANDIRI - PPN (JMB)</t>
        </is>
      </c>
      <c r="AI4265" t="n">
        <v>54</v>
      </c>
      <c r="AJ4265" t="inlineStr">
        <is>
          <t>SOMETHINC</t>
        </is>
      </c>
      <c r="AK4265" t="n">
        <v>9</v>
      </c>
      <c r="AL4265" t="inlineStr">
        <is>
          <t>Miss Glam Jambi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SOMETHINC</t>
        </is>
      </c>
      <c r="B4266" s="2">
        <f>"8991752003024"</f>
        <v/>
      </c>
      <c r="C4266" t="inlineStr">
        <is>
          <t>SOMETHINC Hooman Breathable UV Cushion Refill N02.5 Linen 15gr</t>
        </is>
      </c>
      <c r="D4266" t="inlineStr">
        <is>
          <t>Miss Glam Jambi</t>
        </is>
      </c>
      <c r="E4266" t="n">
        <v>1</v>
      </c>
      <c r="F4266" t="n">
        <v>0.006600000000000001</v>
      </c>
      <c r="G4266" t="n">
        <v>0.33</v>
      </c>
      <c r="H4266" t="n">
        <v>2</v>
      </c>
      <c r="I4266" t="n">
        <v>13</v>
      </c>
      <c r="J4266" t="n">
        <v>3</v>
      </c>
      <c r="K4266" t="n">
        <v>0</v>
      </c>
      <c r="L4266" t="n">
        <v>101250</v>
      </c>
      <c r="M4266" t="n">
        <v>135000</v>
      </c>
      <c r="N4266" t="n">
        <v>33</v>
      </c>
      <c r="O4266" t="n">
        <v>0.33</v>
      </c>
      <c r="P4266" t="n">
        <v>1</v>
      </c>
      <c r="Q4266" t="n">
        <v>0.02</v>
      </c>
      <c r="R4266" t="n">
        <v>1</v>
      </c>
      <c r="S4266" t="n">
        <v>891.0000000000001</v>
      </c>
      <c r="T4266" t="n">
        <v>5</v>
      </c>
      <c r="U4266" t="n">
        <v>6</v>
      </c>
      <c r="V4266" t="n">
        <v>30</v>
      </c>
      <c r="W4266" t="n">
        <v>1</v>
      </c>
      <c r="X4266" t="n">
        <v>151.5151515151515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1081</v>
      </c>
      <c r="AG4266" t="n">
        <v>2318</v>
      </c>
      <c r="AH4266" t="inlineStr">
        <is>
          <t>CV. KIANO SUKSES MANDIRI - PPN (JMB)</t>
        </is>
      </c>
      <c r="AI4266" t="n">
        <v>54</v>
      </c>
      <c r="AJ4266" t="inlineStr">
        <is>
          <t>SOMETHINC</t>
        </is>
      </c>
      <c r="AK4266" t="n">
        <v>9</v>
      </c>
      <c r="AL4266" t="inlineStr">
        <is>
          <t>Miss Glam Jambi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SOMETHINC</t>
        </is>
      </c>
      <c r="B4267" s="2">
        <f>"8991752004489"</f>
        <v/>
      </c>
      <c r="C4267" t="inlineStr">
        <is>
          <t>SOMETHINC Hooman Under Control HD Blur Loose Powder Fair Light 13gr</t>
        </is>
      </c>
      <c r="D4267" t="inlineStr">
        <is>
          <t>Miss Glam Jambi</t>
        </is>
      </c>
      <c r="E4267" t="n">
        <v>5</v>
      </c>
      <c r="F4267" t="n">
        <v>0.06270000000000001</v>
      </c>
      <c r="G4267" t="n">
        <v>0.66</v>
      </c>
      <c r="H4267" t="n">
        <v>2</v>
      </c>
      <c r="I4267" t="n">
        <v>13</v>
      </c>
      <c r="J4267" t="n">
        <v>3</v>
      </c>
      <c r="K4267" t="n">
        <v>0</v>
      </c>
      <c r="L4267" t="n">
        <v>104250</v>
      </c>
      <c r="M4267" t="n">
        <v>139000</v>
      </c>
      <c r="N4267" t="n">
        <v>33</v>
      </c>
      <c r="O4267" t="n">
        <v>0.33</v>
      </c>
      <c r="P4267" t="n">
        <v>1</v>
      </c>
      <c r="Q4267" t="n">
        <v>0.12</v>
      </c>
      <c r="R4267" t="n">
        <v>1</v>
      </c>
      <c r="S4267" t="n">
        <v>8715.300000000001</v>
      </c>
      <c r="T4267" t="n">
        <v>9</v>
      </c>
      <c r="U4267" t="n">
        <v>10</v>
      </c>
      <c r="V4267" t="n">
        <v>30</v>
      </c>
      <c r="W4267" t="n">
        <v>2</v>
      </c>
      <c r="X4267" t="n">
        <v>79.74481658692184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1081</v>
      </c>
      <c r="AG4267" t="n">
        <v>2318</v>
      </c>
      <c r="AH4267" t="inlineStr">
        <is>
          <t>CV. KIANO SUKSES MANDIRI - PPN (JMB)</t>
        </is>
      </c>
      <c r="AI4267" t="n">
        <v>54</v>
      </c>
      <c r="AJ4267" t="inlineStr">
        <is>
          <t>SOMETHINC</t>
        </is>
      </c>
      <c r="AK4267" t="n">
        <v>9</v>
      </c>
      <c r="AL4267" t="inlineStr">
        <is>
          <t>Miss Glam Jambi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SOMETHINC</t>
        </is>
      </c>
      <c r="B4268" s="2">
        <f>"8991752004663"</f>
        <v/>
      </c>
      <c r="C4268" t="inlineStr">
        <is>
          <t>SOMETHINC Hooman Under Control HD Blur Loose Powder Light 13gr</t>
        </is>
      </c>
      <c r="D4268" t="inlineStr">
        <is>
          <t>Miss Glam Jambi</t>
        </is>
      </c>
      <c r="E4268" t="n">
        <v>6</v>
      </c>
      <c r="F4268" t="n">
        <v>0.1551</v>
      </c>
      <c r="G4268" t="n">
        <v>0.99</v>
      </c>
      <c r="H4268" t="n">
        <v>2</v>
      </c>
      <c r="I4268" t="n">
        <v>13</v>
      </c>
      <c r="J4268" t="n">
        <v>3</v>
      </c>
      <c r="K4268" t="n">
        <v>0</v>
      </c>
      <c r="L4268" t="n">
        <v>104250</v>
      </c>
      <c r="M4268" t="n">
        <v>139000</v>
      </c>
      <c r="N4268" t="n">
        <v>33</v>
      </c>
      <c r="O4268" t="n">
        <v>0.33</v>
      </c>
      <c r="P4268" t="n">
        <v>1</v>
      </c>
      <c r="Q4268" t="n">
        <v>0.17</v>
      </c>
      <c r="R4268" t="n">
        <v>1</v>
      </c>
      <c r="S4268" t="n">
        <v>21558.9</v>
      </c>
      <c r="T4268" t="n">
        <v>13</v>
      </c>
      <c r="U4268" t="n">
        <v>14</v>
      </c>
      <c r="V4268" t="n">
        <v>30</v>
      </c>
      <c r="W4268" t="n">
        <v>5</v>
      </c>
      <c r="X4268" t="n">
        <v>38.68471953578337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1081</v>
      </c>
      <c r="AG4268" t="n">
        <v>2318</v>
      </c>
      <c r="AH4268" t="inlineStr">
        <is>
          <t>CV. KIANO SUKSES MANDIRI - PPN (JMB)</t>
        </is>
      </c>
      <c r="AI4268" t="n">
        <v>54</v>
      </c>
      <c r="AJ4268" t="inlineStr">
        <is>
          <t>SOMETHINC</t>
        </is>
      </c>
      <c r="AK4268" t="n">
        <v>9</v>
      </c>
      <c r="AL4268" t="inlineStr">
        <is>
          <t>Miss Glam Jambi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SOMETHINC</t>
        </is>
      </c>
      <c r="B4269" s="2">
        <f>"8991752004625"</f>
        <v/>
      </c>
      <c r="C4269" t="inlineStr">
        <is>
          <t>SOMETHINC Hooman Under Control HD Blur Loose Powder Medium 13gr</t>
        </is>
      </c>
      <c r="D4269" t="inlineStr">
        <is>
          <t>Miss Glam Jambi</t>
        </is>
      </c>
      <c r="E4269" t="n">
        <v>3</v>
      </c>
      <c r="F4269" t="n">
        <v>0.09569999999999999</v>
      </c>
      <c r="G4269" t="n">
        <v>0.66</v>
      </c>
      <c r="H4269" t="n">
        <v>2</v>
      </c>
      <c r="I4269" t="n">
        <v>13</v>
      </c>
      <c r="J4269" t="n">
        <v>3</v>
      </c>
      <c r="K4269" t="n">
        <v>0</v>
      </c>
      <c r="L4269" t="n">
        <v>104010</v>
      </c>
      <c r="M4269" t="n">
        <v>139000</v>
      </c>
      <c r="N4269" t="n">
        <v>33</v>
      </c>
      <c r="O4269" t="n">
        <v>0.33</v>
      </c>
      <c r="P4269" t="n">
        <v>1</v>
      </c>
      <c r="Q4269" t="n">
        <v>0.08</v>
      </c>
      <c r="R4269" t="n">
        <v>1</v>
      </c>
      <c r="S4269" t="n">
        <v>13302.3</v>
      </c>
      <c r="T4269" t="n">
        <v>9</v>
      </c>
      <c r="U4269" t="n">
        <v>10</v>
      </c>
      <c r="V4269" t="n">
        <v>30</v>
      </c>
      <c r="W4269" t="n">
        <v>3</v>
      </c>
      <c r="X4269" t="n">
        <v>31.34796238244514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1081</v>
      </c>
      <c r="AG4269" t="n">
        <v>2318</v>
      </c>
      <c r="AH4269" t="inlineStr">
        <is>
          <t>CV. KIANO SUKSES MANDIRI - PPN (JMB)</t>
        </is>
      </c>
      <c r="AI4269" t="n">
        <v>54</v>
      </c>
      <c r="AJ4269" t="inlineStr">
        <is>
          <t>SOMETHINC</t>
        </is>
      </c>
      <c r="AK4269" t="n">
        <v>9</v>
      </c>
      <c r="AL4269" t="inlineStr">
        <is>
          <t>Miss Glam Jambi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SOMETHINC</t>
        </is>
      </c>
      <c r="B4270" s="2">
        <f>"8991752004649"</f>
        <v/>
      </c>
      <c r="C4270" t="inlineStr">
        <is>
          <t>SOMETHINC Hooman Under Control HD Blur Loose Powder Neutral 13gr</t>
        </is>
      </c>
      <c r="D4270" t="inlineStr">
        <is>
          <t>Miss Glam Jambi</t>
        </is>
      </c>
      <c r="E4270" t="n">
        <v>8</v>
      </c>
      <c r="F4270" t="n">
        <v>0.2079</v>
      </c>
      <c r="G4270" t="n">
        <v>1.65</v>
      </c>
      <c r="H4270" t="n">
        <v>2</v>
      </c>
      <c r="I4270" t="n">
        <v>13</v>
      </c>
      <c r="J4270" t="n">
        <v>3</v>
      </c>
      <c r="K4270" t="n">
        <v>0</v>
      </c>
      <c r="L4270" t="n">
        <v>104250</v>
      </c>
      <c r="M4270" t="n">
        <v>139000</v>
      </c>
      <c r="N4270" t="n">
        <v>33</v>
      </c>
      <c r="O4270" t="n">
        <v>0.33</v>
      </c>
      <c r="P4270" t="n">
        <v>1</v>
      </c>
      <c r="Q4270" t="n">
        <v>0.19</v>
      </c>
      <c r="R4270" t="n">
        <v>2</v>
      </c>
      <c r="S4270" t="n">
        <v>28898.1</v>
      </c>
      <c r="T4270" t="n">
        <v>22</v>
      </c>
      <c r="U4270" t="n">
        <v>23</v>
      </c>
      <c r="V4270" t="n">
        <v>30</v>
      </c>
      <c r="W4270" t="n">
        <v>7</v>
      </c>
      <c r="X4270" t="n">
        <v>38.48003848003848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1081</v>
      </c>
      <c r="AG4270" t="n">
        <v>2318</v>
      </c>
      <c r="AH4270" t="inlineStr">
        <is>
          <t>CV. KIANO SUKSES MANDIRI - PPN (JMB)</t>
        </is>
      </c>
      <c r="AI4270" t="n">
        <v>54</v>
      </c>
      <c r="AJ4270" t="inlineStr">
        <is>
          <t>SOMETHINC</t>
        </is>
      </c>
      <c r="AK4270" t="n">
        <v>9</v>
      </c>
      <c r="AL4270" t="inlineStr">
        <is>
          <t>Miss Glam Jambi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SOMETHINC</t>
        </is>
      </c>
      <c r="B4271" s="2">
        <f>"8991752005110"</f>
        <v/>
      </c>
      <c r="C4271" t="inlineStr">
        <is>
          <t>SOMETHINC Hooman Under Control HD Blur Loose Powder Translucent 13gr</t>
        </is>
      </c>
      <c r="D4271" t="inlineStr">
        <is>
          <t>Miss Glam Jambi</t>
        </is>
      </c>
      <c r="E4271" t="n">
        <v>7</v>
      </c>
      <c r="F4271" t="n">
        <v>0.1914</v>
      </c>
      <c r="G4271" t="n">
        <v>0.99</v>
      </c>
      <c r="H4271" t="n">
        <v>2</v>
      </c>
      <c r="I4271" t="n">
        <v>13</v>
      </c>
      <c r="J4271" t="n">
        <v>3</v>
      </c>
      <c r="K4271" t="n">
        <v>0</v>
      </c>
      <c r="L4271" t="n">
        <v>104250</v>
      </c>
      <c r="M4271" t="n">
        <v>139000</v>
      </c>
      <c r="N4271" t="n">
        <v>33</v>
      </c>
      <c r="O4271" t="n">
        <v>0.33</v>
      </c>
      <c r="P4271" t="n">
        <v>1</v>
      </c>
      <c r="Q4271" t="n">
        <v>0.12</v>
      </c>
      <c r="R4271" t="n">
        <v>1</v>
      </c>
      <c r="S4271" t="n">
        <v>26604.6</v>
      </c>
      <c r="T4271" t="n">
        <v>13</v>
      </c>
      <c r="U4271" t="n">
        <v>14</v>
      </c>
      <c r="V4271" t="n">
        <v>30</v>
      </c>
      <c r="W4271" t="n">
        <v>6</v>
      </c>
      <c r="X4271" t="n">
        <v>36.57262277951934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1081</v>
      </c>
      <c r="AG4271" t="n">
        <v>2318</v>
      </c>
      <c r="AH4271" t="inlineStr">
        <is>
          <t>CV. KIANO SUKSES MANDIRI - PPN (JMB)</t>
        </is>
      </c>
      <c r="AI4271" t="n">
        <v>54</v>
      </c>
      <c r="AJ4271" t="inlineStr">
        <is>
          <t>SOMETHINC</t>
        </is>
      </c>
      <c r="AK4271" t="n">
        <v>9</v>
      </c>
      <c r="AL4271" t="inlineStr">
        <is>
          <t>Miss Glam Jambi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SOMETHINC</t>
        </is>
      </c>
      <c r="B4272" s="2">
        <f>"8997209278434"</f>
        <v/>
      </c>
      <c r="C4272" t="inlineStr">
        <is>
          <t>SOMETHINC Immortal Highlighter Champion 1.5gr</t>
        </is>
      </c>
      <c r="D4272" t="inlineStr">
        <is>
          <t>Miss Glam Jambi</t>
        </is>
      </c>
      <c r="E4272" t="n">
        <v>0</v>
      </c>
      <c r="F4272" t="n">
        <v>0.07000000000000001</v>
      </c>
      <c r="G4272" t="n">
        <v>1</v>
      </c>
      <c r="H4272" t="n">
        <v>2</v>
      </c>
      <c r="I4272" t="n">
        <v>13</v>
      </c>
      <c r="J4272" t="n">
        <v>3</v>
      </c>
      <c r="K4272" t="n">
        <v>3</v>
      </c>
      <c r="L4272" t="n">
        <v>63750</v>
      </c>
      <c r="M4272" t="n">
        <v>85000</v>
      </c>
      <c r="N4272" t="n">
        <v>33</v>
      </c>
      <c r="O4272" t="n">
        <v>0.33</v>
      </c>
      <c r="P4272" t="n">
        <v>0</v>
      </c>
      <c r="Q4272" t="n">
        <v>0.07000000000000001</v>
      </c>
      <c r="R4272" t="n">
        <v>1</v>
      </c>
      <c r="S4272" t="n">
        <v>5950.000000000001</v>
      </c>
      <c r="T4272" t="n">
        <v>13</v>
      </c>
      <c r="U4272" t="n">
        <v>14</v>
      </c>
      <c r="V4272" t="n">
        <v>30</v>
      </c>
      <c r="W4272" t="n">
        <v>3</v>
      </c>
      <c r="X4272" t="n">
        <v>0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1081</v>
      </c>
      <c r="AG4272" t="n">
        <v>2318</v>
      </c>
      <c r="AH4272" t="inlineStr">
        <is>
          <t>CV. KIANO SUKSES MANDIRI - PPN (JMB)</t>
        </is>
      </c>
      <c r="AI4272" t="n">
        <v>54</v>
      </c>
      <c r="AJ4272" t="inlineStr">
        <is>
          <t>SOMETHINC</t>
        </is>
      </c>
      <c r="AK4272" t="n">
        <v>9</v>
      </c>
      <c r="AL4272" t="inlineStr">
        <is>
          <t>Miss Glam Jambi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SOMETHINC</t>
        </is>
      </c>
      <c r="B4273" s="2">
        <f>"11200315212"</f>
        <v/>
      </c>
      <c r="C4273" t="inlineStr">
        <is>
          <t>SOMETHINC Level 1% Encapsulated Retinol Serum- 20ml (V2)</t>
        </is>
      </c>
      <c r="D4273" t="inlineStr">
        <is>
          <t>Miss Glam Jambi</t>
        </is>
      </c>
      <c r="E4273" t="n">
        <v>7</v>
      </c>
      <c r="F4273" t="n">
        <v>0.0396</v>
      </c>
      <c r="G4273" t="n">
        <v>0.33</v>
      </c>
      <c r="H4273" t="n">
        <v>2</v>
      </c>
      <c r="I4273" t="n">
        <v>13</v>
      </c>
      <c r="J4273" t="n">
        <v>1</v>
      </c>
      <c r="K4273" t="n">
        <v>0</v>
      </c>
      <c r="L4273" t="n">
        <v>126750</v>
      </c>
      <c r="M4273" t="n">
        <v>169000</v>
      </c>
      <c r="N4273" t="n">
        <v>33</v>
      </c>
      <c r="O4273" t="n">
        <v>0.33</v>
      </c>
      <c r="P4273" t="n">
        <v>1</v>
      </c>
      <c r="Q4273" t="n">
        <v>0.03</v>
      </c>
      <c r="R4273" t="n">
        <v>2</v>
      </c>
      <c r="S4273" t="n">
        <v>6692.400000000001</v>
      </c>
      <c r="T4273" t="n">
        <v>5</v>
      </c>
      <c r="U4273" t="n">
        <v>6</v>
      </c>
      <c r="V4273" t="n">
        <v>30</v>
      </c>
      <c r="W4273" t="n">
        <v>2</v>
      </c>
      <c r="X4273" t="n">
        <v>176.7676767676768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1081</v>
      </c>
      <c r="AG4273" t="n">
        <v>2318</v>
      </c>
      <c r="AH4273" t="inlineStr">
        <is>
          <t>CV. KIANO SUKSES MANDIRI - PPN (JMB)</t>
        </is>
      </c>
      <c r="AI4273" t="n">
        <v>54</v>
      </c>
      <c r="AJ4273" t="inlineStr">
        <is>
          <t>SOMETHINC</t>
        </is>
      </c>
      <c r="AK4273" t="n">
        <v>9</v>
      </c>
      <c r="AL4273" t="inlineStr">
        <is>
          <t>Miss Glam Jambi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SOMETHINC</t>
        </is>
      </c>
      <c r="B4274" s="2">
        <f>"8997209270650"</f>
        <v/>
      </c>
      <c r="C4274" t="inlineStr">
        <is>
          <t>SOMETHINC Low PH Gentle Jelly Cleanser 100ml</t>
        </is>
      </c>
      <c r="D4274" t="inlineStr">
        <is>
          <t>Miss Glam Jambi</t>
        </is>
      </c>
      <c r="E4274" t="n">
        <v>12</v>
      </c>
      <c r="F4274" t="n">
        <v>0.1782</v>
      </c>
      <c r="G4274" t="n">
        <v>0.99</v>
      </c>
      <c r="H4274" t="n">
        <v>2</v>
      </c>
      <c r="I4274" t="n">
        <v>13</v>
      </c>
      <c r="J4274" t="n">
        <v>3</v>
      </c>
      <c r="K4274" t="n">
        <v>0</v>
      </c>
      <c r="L4274" t="n">
        <v>84000</v>
      </c>
      <c r="M4274" t="n">
        <v>112000</v>
      </c>
      <c r="N4274" t="n">
        <v>33</v>
      </c>
      <c r="O4274" t="n">
        <v>0.33</v>
      </c>
      <c r="P4274" t="n">
        <v>1</v>
      </c>
      <c r="Q4274" t="n">
        <v>0.46</v>
      </c>
      <c r="R4274" t="n">
        <v>2</v>
      </c>
      <c r="S4274" t="n">
        <v>19958.4</v>
      </c>
      <c r="T4274" t="n">
        <v>13</v>
      </c>
      <c r="U4274" t="n">
        <v>14</v>
      </c>
      <c r="V4274" t="n">
        <v>30</v>
      </c>
      <c r="W4274" t="n">
        <v>6</v>
      </c>
      <c r="X4274" t="n">
        <v>67.34006734006734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1081</v>
      </c>
      <c r="AG4274" t="n">
        <v>2318</v>
      </c>
      <c r="AH4274" t="inlineStr">
        <is>
          <t>CV. KIANO SUKSES MANDIRI - PPN (JMB)</t>
        </is>
      </c>
      <c r="AI4274" t="n">
        <v>54</v>
      </c>
      <c r="AJ4274" t="inlineStr">
        <is>
          <t>SOMETHINC</t>
        </is>
      </c>
      <c r="AK4274" t="n">
        <v>9</v>
      </c>
      <c r="AL4274" t="inlineStr">
        <is>
          <t>Miss Glam Jambi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SOMETHINC</t>
        </is>
      </c>
      <c r="B4275" s="2">
        <f>"8997209270872"</f>
        <v/>
      </c>
      <c r="C4275" t="inlineStr">
        <is>
          <t>SOMETHINC Low PH Gentle Jelly Cleanser 15ml</t>
        </is>
      </c>
      <c r="D4275" t="inlineStr">
        <is>
          <t>Miss Glam Jambi</t>
        </is>
      </c>
      <c r="E4275" t="n">
        <v>4</v>
      </c>
      <c r="F4275" t="n">
        <v>0.009900000000000001</v>
      </c>
      <c r="G4275" t="n">
        <v>0.33</v>
      </c>
      <c r="H4275" t="n">
        <v>2</v>
      </c>
      <c r="I4275" t="n">
        <v>13</v>
      </c>
      <c r="J4275" t="n">
        <v>3</v>
      </c>
      <c r="K4275" t="n">
        <v>0</v>
      </c>
      <c r="L4275" t="n">
        <v>29250</v>
      </c>
      <c r="M4275" t="n">
        <v>39000</v>
      </c>
      <c r="N4275" t="n">
        <v>33</v>
      </c>
      <c r="O4275" t="n">
        <v>0.33</v>
      </c>
      <c r="P4275" t="n">
        <v>1</v>
      </c>
      <c r="Q4275" t="n">
        <v>0.08</v>
      </c>
      <c r="R4275" t="n">
        <v>1</v>
      </c>
      <c r="S4275" t="n">
        <v>386.1</v>
      </c>
      <c r="T4275" t="n">
        <v>5</v>
      </c>
      <c r="U4275" t="n">
        <v>6</v>
      </c>
      <c r="V4275" t="n">
        <v>30</v>
      </c>
      <c r="W4275" t="n">
        <v>1</v>
      </c>
      <c r="X4275" t="n">
        <v>404.040404040404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1081</v>
      </c>
      <c r="AG4275" t="n">
        <v>2318</v>
      </c>
      <c r="AH4275" t="inlineStr">
        <is>
          <t>CV. KIANO SUKSES MANDIRI - PPN (JMB)</t>
        </is>
      </c>
      <c r="AI4275" t="n">
        <v>54</v>
      </c>
      <c r="AJ4275" t="inlineStr">
        <is>
          <t>SOMETHINC</t>
        </is>
      </c>
      <c r="AK4275" t="n">
        <v>9</v>
      </c>
      <c r="AL4275" t="inlineStr">
        <is>
          <t>Miss Glam Jambi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SOMETHINC</t>
        </is>
      </c>
      <c r="B4276" s="2">
        <f>"8991752003116"</f>
        <v/>
      </c>
      <c r="C4276" t="inlineStr">
        <is>
          <t>SOMETHINC Low PH Gentle Jelly Cleanser 350ml</t>
        </is>
      </c>
      <c r="D4276" t="inlineStr">
        <is>
          <t>Miss Glam Jambi</t>
        </is>
      </c>
      <c r="E4276" t="n">
        <v>2</v>
      </c>
      <c r="F4276" t="n">
        <v>0.0396</v>
      </c>
      <c r="G4276" t="n">
        <v>0.33</v>
      </c>
      <c r="H4276" t="n">
        <v>2</v>
      </c>
      <c r="I4276" t="n">
        <v>13</v>
      </c>
      <c r="J4276" t="n">
        <v>3</v>
      </c>
      <c r="K4276" t="n">
        <v>0</v>
      </c>
      <c r="L4276" t="n">
        <v>164250</v>
      </c>
      <c r="M4276" t="n">
        <v>219000</v>
      </c>
      <c r="N4276" t="n">
        <v>33</v>
      </c>
      <c r="O4276" t="n">
        <v>0.33</v>
      </c>
      <c r="P4276" t="n">
        <v>1</v>
      </c>
      <c r="Q4276" t="n">
        <v>0.02</v>
      </c>
      <c r="R4276" t="n">
        <v>1</v>
      </c>
      <c r="S4276" t="n">
        <v>8672.400000000001</v>
      </c>
      <c r="T4276" t="n">
        <v>5</v>
      </c>
      <c r="U4276" t="n">
        <v>6</v>
      </c>
      <c r="V4276" t="n">
        <v>30</v>
      </c>
      <c r="W4276" t="n">
        <v>2</v>
      </c>
      <c r="X4276" t="n">
        <v>50.5050505050505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1081</v>
      </c>
      <c r="AG4276" t="n">
        <v>2318</v>
      </c>
      <c r="AH4276" t="inlineStr">
        <is>
          <t>CV. KIANO SUKSES MANDIRI - PPN (JMB)</t>
        </is>
      </c>
      <c r="AI4276" t="n">
        <v>54</v>
      </c>
      <c r="AJ4276" t="inlineStr">
        <is>
          <t>SOMETHINC</t>
        </is>
      </c>
      <c r="AK4276" t="n">
        <v>9</v>
      </c>
      <c r="AL4276" t="inlineStr">
        <is>
          <t>Miss Glam Jambi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SOMETHINC</t>
        </is>
      </c>
      <c r="B4277" s="2">
        <f>"8991752000726"</f>
        <v/>
      </c>
      <c r="C4277" t="inlineStr">
        <is>
          <t>SOMETHINC Manuka Sugar Wax Home Kit 200gr</t>
        </is>
      </c>
      <c r="D4277" t="inlineStr">
        <is>
          <t>Miss Glam Jambi</t>
        </is>
      </c>
      <c r="E4277" t="n">
        <v>3</v>
      </c>
      <c r="F4277" t="n">
        <v>0.0396</v>
      </c>
      <c r="G4277" t="n">
        <v>0.33</v>
      </c>
      <c r="H4277" t="n">
        <v>2</v>
      </c>
      <c r="I4277" t="n">
        <v>13</v>
      </c>
      <c r="J4277" t="n">
        <v>3</v>
      </c>
      <c r="K4277" t="n">
        <v>0</v>
      </c>
      <c r="L4277" t="n">
        <v>66750</v>
      </c>
      <c r="M4277" t="n">
        <v>89000</v>
      </c>
      <c r="N4277" t="n">
        <v>33</v>
      </c>
      <c r="O4277" t="n">
        <v>0.33</v>
      </c>
      <c r="P4277" t="n">
        <v>1</v>
      </c>
      <c r="Q4277" t="n">
        <v>0.05</v>
      </c>
      <c r="R4277" t="n">
        <v>2</v>
      </c>
      <c r="S4277" t="n">
        <v>3524.4</v>
      </c>
      <c r="T4277" t="n">
        <v>5</v>
      </c>
      <c r="U4277" t="n">
        <v>6</v>
      </c>
      <c r="V4277" t="n">
        <v>30</v>
      </c>
      <c r="W4277" t="n">
        <v>2</v>
      </c>
      <c r="X4277" t="n">
        <v>75.75757575757575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1081</v>
      </c>
      <c r="AG4277" t="n">
        <v>2318</v>
      </c>
      <c r="AH4277" t="inlineStr">
        <is>
          <t>CV. KIANO SUKSES MANDIRI - PPN (JMB)</t>
        </is>
      </c>
      <c r="AI4277" t="n">
        <v>54</v>
      </c>
      <c r="AJ4277" t="inlineStr">
        <is>
          <t>SOMETHINC</t>
        </is>
      </c>
      <c r="AK4277" t="n">
        <v>9</v>
      </c>
      <c r="AL4277" t="inlineStr">
        <is>
          <t>Miss Glam Jambi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SOMETHINC</t>
        </is>
      </c>
      <c r="B4278" s="2">
        <f>"10100606248"</f>
        <v/>
      </c>
      <c r="C4278" t="inlineStr">
        <is>
          <t>SOMETHINC Omega Butter Deep Cleansing Balm 80gr</t>
        </is>
      </c>
      <c r="D4278" t="inlineStr">
        <is>
          <t>Miss Glam Jambi</t>
        </is>
      </c>
      <c r="E4278" t="n">
        <v>3</v>
      </c>
      <c r="F4278" t="n">
        <v>0.0165</v>
      </c>
      <c r="G4278" t="n">
        <v>0.33</v>
      </c>
      <c r="H4278" t="n">
        <v>2</v>
      </c>
      <c r="I4278" t="n">
        <v>13</v>
      </c>
      <c r="J4278" t="n">
        <v>1</v>
      </c>
      <c r="K4278" t="n">
        <v>0</v>
      </c>
      <c r="L4278" t="n">
        <v>156750</v>
      </c>
      <c r="M4278" t="n">
        <v>209000</v>
      </c>
      <c r="N4278" t="n">
        <v>33</v>
      </c>
      <c r="O4278" t="n">
        <v>0.33</v>
      </c>
      <c r="P4278" t="n">
        <v>1</v>
      </c>
      <c r="Q4278" t="n">
        <v>0.03</v>
      </c>
      <c r="R4278" t="n">
        <v>1</v>
      </c>
      <c r="S4278" t="n">
        <v>3448.5</v>
      </c>
      <c r="T4278" t="n">
        <v>5</v>
      </c>
      <c r="U4278" t="n">
        <v>6</v>
      </c>
      <c r="V4278" t="n">
        <v>30</v>
      </c>
      <c r="W4278" t="n">
        <v>1</v>
      </c>
      <c r="X4278" t="n">
        <v>181.8181818181818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1081</v>
      </c>
      <c r="AG4278" t="n">
        <v>2318</v>
      </c>
      <c r="AH4278" t="inlineStr">
        <is>
          <t>CV. KIANO SUKSES MANDIRI - PPN (JMB)</t>
        </is>
      </c>
      <c r="AI4278" t="n">
        <v>54</v>
      </c>
      <c r="AJ4278" t="inlineStr">
        <is>
          <t>SOMETHINC</t>
        </is>
      </c>
      <c r="AK4278" t="n">
        <v>9</v>
      </c>
      <c r="AL4278" t="inlineStr">
        <is>
          <t>Miss Glam Jambi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SOMETHINC</t>
        </is>
      </c>
      <c r="B4279" s="2">
        <f>"10100606109"</f>
        <v/>
      </c>
      <c r="C4279" t="inlineStr">
        <is>
          <t>SOMETHINC Omega Jelly Deep Cleansing Balm 100ml</t>
        </is>
      </c>
      <c r="D4279" t="inlineStr">
        <is>
          <t>Miss Glam Jambi</t>
        </is>
      </c>
      <c r="E4279" t="n">
        <v>4</v>
      </c>
      <c r="F4279" t="n">
        <v>0.03</v>
      </c>
      <c r="G4279" t="n">
        <v>1</v>
      </c>
      <c r="H4279" t="n">
        <v>2</v>
      </c>
      <c r="I4279" t="n">
        <v>13</v>
      </c>
      <c r="J4279" t="n">
        <v>1</v>
      </c>
      <c r="K4279" t="n">
        <v>0</v>
      </c>
      <c r="L4279" t="n">
        <v>104250</v>
      </c>
      <c r="M4279" t="n">
        <v>139000</v>
      </c>
      <c r="N4279" t="n">
        <v>33</v>
      </c>
      <c r="O4279" t="n">
        <v>0.33</v>
      </c>
      <c r="P4279" t="n">
        <v>0</v>
      </c>
      <c r="Q4279" t="n">
        <v>0.03</v>
      </c>
      <c r="R4279" t="n">
        <v>1</v>
      </c>
      <c r="S4279" t="n">
        <v>4170</v>
      </c>
      <c r="T4279" t="n">
        <v>13</v>
      </c>
      <c r="U4279" t="n">
        <v>14</v>
      </c>
      <c r="V4279" t="n">
        <v>30</v>
      </c>
      <c r="W4279" t="n">
        <v>1</v>
      </c>
      <c r="X4279" t="n">
        <v>133.3333333333333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1081</v>
      </c>
      <c r="AG4279" t="n">
        <v>2318</v>
      </c>
      <c r="AH4279" t="inlineStr">
        <is>
          <t>CV. KIANO SUKSES MANDIRI - PPN (JMB)</t>
        </is>
      </c>
      <c r="AI4279" t="n">
        <v>54</v>
      </c>
      <c r="AJ4279" t="inlineStr">
        <is>
          <t>SOMETHINC</t>
        </is>
      </c>
      <c r="AK4279" t="n">
        <v>9</v>
      </c>
      <c r="AL4279" t="inlineStr">
        <is>
          <t>Miss Glam Jambi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SOMETHINC</t>
        </is>
      </c>
      <c r="B4280" s="2">
        <f>"10100606032"</f>
        <v/>
      </c>
      <c r="C4280" t="inlineStr">
        <is>
          <t>SOMETHINC Omega Jelly Deep Cleansing Balm 30ml</t>
        </is>
      </c>
      <c r="D4280" t="inlineStr">
        <is>
          <t>Miss Glam Jambi</t>
        </is>
      </c>
      <c r="E4280" t="n">
        <v>1</v>
      </c>
      <c r="F4280" t="n">
        <v>0.0231</v>
      </c>
      <c r="G4280" t="n">
        <v>0.33</v>
      </c>
      <c r="H4280" t="n">
        <v>2</v>
      </c>
      <c r="I4280" t="n">
        <v>13</v>
      </c>
      <c r="J4280" t="n">
        <v>1</v>
      </c>
      <c r="K4280" t="n">
        <v>0</v>
      </c>
      <c r="L4280" t="n">
        <v>44250</v>
      </c>
      <c r="M4280" t="n">
        <v>59000</v>
      </c>
      <c r="N4280" t="n">
        <v>33</v>
      </c>
      <c r="O4280" t="n">
        <v>0.33</v>
      </c>
      <c r="P4280" t="n">
        <v>1</v>
      </c>
      <c r="Q4280" t="n">
        <v>0.12</v>
      </c>
      <c r="R4280" t="n">
        <v>2</v>
      </c>
      <c r="S4280" t="n">
        <v>1362.9</v>
      </c>
      <c r="T4280" t="n">
        <v>5</v>
      </c>
      <c r="U4280" t="n">
        <v>6</v>
      </c>
      <c r="V4280" t="n">
        <v>30</v>
      </c>
      <c r="W4280" t="n">
        <v>1</v>
      </c>
      <c r="X4280" t="n">
        <v>43.29004329004329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1081</v>
      </c>
      <c r="AG4280" t="n">
        <v>2318</v>
      </c>
      <c r="AH4280" t="inlineStr">
        <is>
          <t>CV. KIANO SUKSES MANDIRI - PPN (JMB)</t>
        </is>
      </c>
      <c r="AI4280" t="n">
        <v>54</v>
      </c>
      <c r="AJ4280" t="inlineStr">
        <is>
          <t>SOMETHINC</t>
        </is>
      </c>
      <c r="AK4280" t="n">
        <v>9</v>
      </c>
      <c r="AL4280" t="inlineStr">
        <is>
          <t>Miss Glam Jambi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SOMETHINC</t>
        </is>
      </c>
      <c r="B4281" s="2">
        <f>"8997209270247"</f>
        <v/>
      </c>
      <c r="C4281" t="inlineStr">
        <is>
          <t>SOMETHINC Ref C.Paste Breathable Serene 15gr Refill</t>
        </is>
      </c>
      <c r="D4281" t="inlineStr">
        <is>
          <t>Miss Glam Jambi</t>
        </is>
      </c>
      <c r="E4281" t="n">
        <v>4</v>
      </c>
      <c r="F4281" t="n">
        <v>0.0231</v>
      </c>
      <c r="G4281" t="n">
        <v>0.33</v>
      </c>
      <c r="H4281" t="n">
        <v>2</v>
      </c>
      <c r="I4281" t="n">
        <v>13</v>
      </c>
      <c r="J4281" t="n">
        <v>3</v>
      </c>
      <c r="K4281" t="n">
        <v>0</v>
      </c>
      <c r="L4281" t="n">
        <v>101250</v>
      </c>
      <c r="M4281" t="n">
        <v>129000</v>
      </c>
      <c r="N4281" t="n">
        <v>33</v>
      </c>
      <c r="O4281" t="n">
        <v>0.33</v>
      </c>
      <c r="P4281" t="n">
        <v>1</v>
      </c>
      <c r="Q4281" t="n">
        <v>0.02</v>
      </c>
      <c r="R4281" t="n">
        <v>1</v>
      </c>
      <c r="S4281" t="n">
        <v>2979.900000000001</v>
      </c>
      <c r="T4281" t="n">
        <v>5</v>
      </c>
      <c r="U4281" t="n">
        <v>6</v>
      </c>
      <c r="V4281" t="n">
        <v>30</v>
      </c>
      <c r="W4281" t="n">
        <v>1</v>
      </c>
      <c r="X4281" t="n">
        <v>173.1601731601731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1081</v>
      </c>
      <c r="AG4281" t="n">
        <v>2318</v>
      </c>
      <c r="AH4281" t="inlineStr">
        <is>
          <t>CV. KIANO SUKSES MANDIRI - PPN (JMB)</t>
        </is>
      </c>
      <c r="AI4281" t="n">
        <v>54</v>
      </c>
      <c r="AJ4281" t="inlineStr">
        <is>
          <t>SOMETHINC</t>
        </is>
      </c>
      <c r="AK4281" t="n">
        <v>9</v>
      </c>
      <c r="AL4281" t="inlineStr">
        <is>
          <t>Miss Glam Jambi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SOMETHINC</t>
        </is>
      </c>
      <c r="B4282" s="2">
        <f>"8991752006582"</f>
        <v/>
      </c>
      <c r="C4282" t="inlineStr">
        <is>
          <t>SOMETHINC Refill Copy Paste Breathable Cushion  - Cotton 15gr</t>
        </is>
      </c>
      <c r="D4282" t="inlineStr">
        <is>
          <t>Miss Glam Jambi</t>
        </is>
      </c>
      <c r="E4282" t="n">
        <v>4</v>
      </c>
      <c r="F4282" t="n">
        <v>0.009900000000000001</v>
      </c>
      <c r="G4282" t="n">
        <v>0.33</v>
      </c>
      <c r="H4282" t="n">
        <v>2</v>
      </c>
      <c r="I4282" t="n">
        <v>13</v>
      </c>
      <c r="J4282" t="n">
        <v>3</v>
      </c>
      <c r="K4282" t="n">
        <v>0</v>
      </c>
      <c r="L4282" t="n">
        <v>101250</v>
      </c>
      <c r="M4282" t="n">
        <v>129000</v>
      </c>
      <c r="N4282" t="n">
        <v>33</v>
      </c>
      <c r="O4282" t="n">
        <v>0.33</v>
      </c>
      <c r="P4282" t="n">
        <v>1</v>
      </c>
      <c r="Q4282" t="n">
        <v>0.03</v>
      </c>
      <c r="R4282" t="n">
        <v>1</v>
      </c>
      <c r="S4282" t="n">
        <v>1277.1</v>
      </c>
      <c r="T4282" t="n">
        <v>5</v>
      </c>
      <c r="U4282" t="n">
        <v>6</v>
      </c>
      <c r="V4282" t="n">
        <v>30</v>
      </c>
      <c r="W4282" t="n">
        <v>1</v>
      </c>
      <c r="X4282" t="n">
        <v>404.040404040404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1081</v>
      </c>
      <c r="AG4282" t="n">
        <v>2318</v>
      </c>
      <c r="AH4282" t="inlineStr">
        <is>
          <t>CV. KIANO SUKSES MANDIRI - PPN (JMB)</t>
        </is>
      </c>
      <c r="AI4282" t="n">
        <v>54</v>
      </c>
      <c r="AJ4282" t="inlineStr">
        <is>
          <t>SOMETHINC</t>
        </is>
      </c>
      <c r="AK4282" t="n">
        <v>9</v>
      </c>
      <c r="AL4282" t="inlineStr">
        <is>
          <t>Miss Glam Jambi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SOMETHINC</t>
        </is>
      </c>
      <c r="B4283" s="2">
        <f>"8991752001358"</f>
        <v/>
      </c>
      <c r="C4283" t="inlineStr">
        <is>
          <t>SOMETHINC Refill Hooman Breathable UV Cushion Cover SPF 35 PA++++ - C01 Perle 15g</t>
        </is>
      </c>
      <c r="D4283" t="inlineStr">
        <is>
          <t>Miss Glam Jambi</t>
        </is>
      </c>
      <c r="E4283" t="n">
        <v>4</v>
      </c>
      <c r="F4283" t="n">
        <v>0.006600000000000001</v>
      </c>
      <c r="G4283" t="n">
        <v>0.33</v>
      </c>
      <c r="H4283" t="n">
        <v>2</v>
      </c>
      <c r="I4283" t="n">
        <v>13</v>
      </c>
      <c r="J4283" t="n">
        <v>3</v>
      </c>
      <c r="K4283" t="n">
        <v>0</v>
      </c>
      <c r="L4283" t="n">
        <v>101250</v>
      </c>
      <c r="M4283" t="n">
        <v>135000</v>
      </c>
      <c r="N4283" t="n">
        <v>33</v>
      </c>
      <c r="O4283" t="n">
        <v>0.33</v>
      </c>
      <c r="P4283" t="n">
        <v>1</v>
      </c>
      <c r="Q4283" t="n">
        <v>0.03</v>
      </c>
      <c r="R4283" t="n">
        <v>1</v>
      </c>
      <c r="S4283" t="n">
        <v>891.0000000000001</v>
      </c>
      <c r="T4283" t="n">
        <v>5</v>
      </c>
      <c r="U4283" t="n">
        <v>6</v>
      </c>
      <c r="V4283" t="n">
        <v>30</v>
      </c>
      <c r="W4283" t="n">
        <v>1</v>
      </c>
      <c r="X4283" t="n">
        <v>606.060606060606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1081</v>
      </c>
      <c r="AG4283" t="n">
        <v>2318</v>
      </c>
      <c r="AH4283" t="inlineStr">
        <is>
          <t>CV. KIANO SUKSES MANDIRI - PPN (JMB)</t>
        </is>
      </c>
      <c r="AI4283" t="n">
        <v>54</v>
      </c>
      <c r="AJ4283" t="inlineStr">
        <is>
          <t>SOMETHINC</t>
        </is>
      </c>
      <c r="AK4283" t="n">
        <v>9</v>
      </c>
      <c r="AL4283" t="inlineStr">
        <is>
          <t>Miss Glam Jambi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SOMETHINC</t>
        </is>
      </c>
      <c r="B4284" s="2">
        <f>"8991752001372"</f>
        <v/>
      </c>
      <c r="C4284" t="inlineStr">
        <is>
          <t>SOMETHINC Refill Hooman Breathable UV Cushion Cover SPF 35 PA++++ - N01 Nina 15g</t>
        </is>
      </c>
      <c r="D4284" t="inlineStr">
        <is>
          <t>Miss Glam Jambi</t>
        </is>
      </c>
      <c r="E4284" t="n">
        <v>3</v>
      </c>
      <c r="F4284" t="n">
        <v>0.06270000000000001</v>
      </c>
      <c r="G4284" t="n">
        <v>0.33</v>
      </c>
      <c r="H4284" t="n">
        <v>2</v>
      </c>
      <c r="I4284" t="n">
        <v>13</v>
      </c>
      <c r="J4284" t="n">
        <v>3</v>
      </c>
      <c r="K4284" t="n">
        <v>0</v>
      </c>
      <c r="L4284" t="n">
        <v>101250</v>
      </c>
      <c r="M4284" t="n">
        <v>135000</v>
      </c>
      <c r="N4284" t="n">
        <v>33</v>
      </c>
      <c r="O4284" t="n">
        <v>0.33</v>
      </c>
      <c r="P4284" t="n">
        <v>1</v>
      </c>
      <c r="Q4284" t="n">
        <v>0.08</v>
      </c>
      <c r="R4284" t="n">
        <v>1</v>
      </c>
      <c r="S4284" t="n">
        <v>8464.5</v>
      </c>
      <c r="T4284" t="n">
        <v>5</v>
      </c>
      <c r="U4284" t="n">
        <v>6</v>
      </c>
      <c r="V4284" t="n">
        <v>30</v>
      </c>
      <c r="W4284" t="n">
        <v>2</v>
      </c>
      <c r="X4284" t="n">
        <v>47.84688995215311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1081</v>
      </c>
      <c r="AG4284" t="n">
        <v>2318</v>
      </c>
      <c r="AH4284" t="inlineStr">
        <is>
          <t>CV. KIANO SUKSES MANDIRI - PPN (JMB)</t>
        </is>
      </c>
      <c r="AI4284" t="n">
        <v>54</v>
      </c>
      <c r="AJ4284" t="inlineStr">
        <is>
          <t>SOMETHINC</t>
        </is>
      </c>
      <c r="AK4284" t="n">
        <v>9</v>
      </c>
      <c r="AL4284" t="inlineStr">
        <is>
          <t>Miss Glam Jambi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SOMETHINC</t>
        </is>
      </c>
      <c r="B4285" s="2">
        <f>"8991752001365"</f>
        <v/>
      </c>
      <c r="C4285" t="inlineStr">
        <is>
          <t>SOMETHINC Refill Hooman Breathable UV Cushion Cover SPF 35 PA++++ - W01 Bijoux 15g</t>
        </is>
      </c>
      <c r="D4285" t="inlineStr">
        <is>
          <t>Miss Glam Jambi</t>
        </is>
      </c>
      <c r="E4285" t="n">
        <v>2</v>
      </c>
      <c r="F4285" t="n">
        <v>0.009900000000000001</v>
      </c>
      <c r="G4285" t="n">
        <v>0.33</v>
      </c>
      <c r="H4285" t="n">
        <v>2</v>
      </c>
      <c r="I4285" t="n">
        <v>13</v>
      </c>
      <c r="J4285" t="n">
        <v>3</v>
      </c>
      <c r="K4285" t="n">
        <v>0</v>
      </c>
      <c r="L4285" t="n">
        <v>101250</v>
      </c>
      <c r="M4285" t="n">
        <v>135000</v>
      </c>
      <c r="N4285" t="n">
        <v>33</v>
      </c>
      <c r="O4285" t="n">
        <v>0.33</v>
      </c>
      <c r="P4285" t="n">
        <v>1</v>
      </c>
      <c r="Q4285" t="n">
        <v>0.02</v>
      </c>
      <c r="R4285" t="n">
        <v>1</v>
      </c>
      <c r="S4285" t="n">
        <v>1336.5</v>
      </c>
      <c r="T4285" t="n">
        <v>5</v>
      </c>
      <c r="U4285" t="n">
        <v>6</v>
      </c>
      <c r="V4285" t="n">
        <v>30</v>
      </c>
      <c r="W4285" t="n">
        <v>1</v>
      </c>
      <c r="X4285" t="n">
        <v>202.020202020202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1081</v>
      </c>
      <c r="AG4285" t="n">
        <v>2318</v>
      </c>
      <c r="AH4285" t="inlineStr">
        <is>
          <t>CV. KIANO SUKSES MANDIRI - PPN (JMB)</t>
        </is>
      </c>
      <c r="AI4285" t="n">
        <v>54</v>
      </c>
      <c r="AJ4285" t="inlineStr">
        <is>
          <t>SOMETHINC</t>
        </is>
      </c>
      <c r="AK4285" t="n">
        <v>9</v>
      </c>
      <c r="AL4285" t="inlineStr">
        <is>
          <t>Miss Glam Jambi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SOMETHINC</t>
        </is>
      </c>
      <c r="B4286" s="2">
        <f>"8991752000047"</f>
        <v/>
      </c>
      <c r="C4286" t="inlineStr">
        <is>
          <t>SOMETHINC Scandal Waterproof Retracatable Liner Dark Choco 0.3g</t>
        </is>
      </c>
      <c r="D4286" t="inlineStr">
        <is>
          <t>Miss Glam Jambi</t>
        </is>
      </c>
      <c r="E4286" t="n">
        <v>3</v>
      </c>
      <c r="F4286" t="n">
        <v>0.0264</v>
      </c>
      <c r="G4286" t="n">
        <v>0.33</v>
      </c>
      <c r="H4286" t="n">
        <v>2</v>
      </c>
      <c r="I4286" t="n">
        <v>13</v>
      </c>
      <c r="J4286" t="n">
        <v>3</v>
      </c>
      <c r="K4286" t="n">
        <v>0</v>
      </c>
      <c r="L4286" t="n">
        <v>54750</v>
      </c>
      <c r="M4286" t="n">
        <v>73000</v>
      </c>
      <c r="N4286" t="n">
        <v>33</v>
      </c>
      <c r="O4286" t="n">
        <v>0.33</v>
      </c>
      <c r="P4286" t="n">
        <v>1</v>
      </c>
      <c r="Q4286" t="n">
        <v>0.05</v>
      </c>
      <c r="R4286" t="n">
        <v>1</v>
      </c>
      <c r="S4286" t="n">
        <v>1927.2</v>
      </c>
      <c r="T4286" t="n">
        <v>5</v>
      </c>
      <c r="U4286" t="n">
        <v>6</v>
      </c>
      <c r="V4286" t="n">
        <v>30</v>
      </c>
      <c r="W4286" t="n">
        <v>1</v>
      </c>
      <c r="X4286" t="n">
        <v>113.6363636363636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1081</v>
      </c>
      <c r="AG4286" t="n">
        <v>2318</v>
      </c>
      <c r="AH4286" t="inlineStr">
        <is>
          <t>CV. KIANO SUKSES MANDIRI - PPN (JMB)</t>
        </is>
      </c>
      <c r="AI4286" t="n">
        <v>54</v>
      </c>
      <c r="AJ4286" t="inlineStr">
        <is>
          <t>SOMETHINC</t>
        </is>
      </c>
      <c r="AK4286" t="n">
        <v>9</v>
      </c>
      <c r="AL4286" t="inlineStr">
        <is>
          <t>Miss Glam Jambi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SOMETHINC</t>
        </is>
      </c>
      <c r="B4287" s="2">
        <f>"8991752000016"</f>
        <v/>
      </c>
      <c r="C4287" t="inlineStr">
        <is>
          <t>SOMETHINC Srsly Balancer Makeup Setting Spray 50ml</t>
        </is>
      </c>
      <c r="D4287" t="inlineStr">
        <is>
          <t>Miss Glam Jambi</t>
        </is>
      </c>
      <c r="E4287" t="n">
        <v>3</v>
      </c>
      <c r="F4287" t="n">
        <v>0.0495</v>
      </c>
      <c r="G4287" t="n">
        <v>0.33</v>
      </c>
      <c r="H4287" t="n">
        <v>2</v>
      </c>
      <c r="I4287" t="n">
        <v>13</v>
      </c>
      <c r="J4287" t="n">
        <v>3</v>
      </c>
      <c r="K4287" t="n">
        <v>0</v>
      </c>
      <c r="L4287" t="n">
        <v>55500</v>
      </c>
      <c r="M4287" t="n">
        <v>74000</v>
      </c>
      <c r="N4287" t="n">
        <v>33</v>
      </c>
      <c r="O4287" t="n">
        <v>0.33</v>
      </c>
      <c r="P4287" t="n">
        <v>1</v>
      </c>
      <c r="Q4287" t="n">
        <v>0.05</v>
      </c>
      <c r="R4287" t="n">
        <v>1</v>
      </c>
      <c r="S4287" t="n">
        <v>3663</v>
      </c>
      <c r="T4287" t="n">
        <v>5</v>
      </c>
      <c r="U4287" t="n">
        <v>6</v>
      </c>
      <c r="V4287" t="n">
        <v>30</v>
      </c>
      <c r="W4287" t="n">
        <v>2</v>
      </c>
      <c r="X4287" t="n">
        <v>60.6060606060606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1081</v>
      </c>
      <c r="AG4287" t="n">
        <v>2318</v>
      </c>
      <c r="AH4287" t="inlineStr">
        <is>
          <t>CV. KIANO SUKSES MANDIRI - PPN (JMB)</t>
        </is>
      </c>
      <c r="AI4287" t="n">
        <v>54</v>
      </c>
      <c r="AJ4287" t="inlineStr">
        <is>
          <t>SOMETHINC</t>
        </is>
      </c>
      <c r="AK4287" t="n">
        <v>9</v>
      </c>
      <c r="AL4287" t="inlineStr">
        <is>
          <t>Miss Glam Jambi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SOMETHINC</t>
        </is>
      </c>
      <c r="B4288" s="2">
        <f>"8997209271145"</f>
        <v/>
      </c>
      <c r="C4288" t="inlineStr">
        <is>
          <t>SOMETHINC The Nobles Pro Pocket Eyeshadow Palette  Volume 1</t>
        </is>
      </c>
      <c r="D4288" t="inlineStr">
        <is>
          <t>Miss Glam Jambi</t>
        </is>
      </c>
      <c r="E4288" t="n">
        <v>0</v>
      </c>
      <c r="F4288" t="n">
        <v>0.033</v>
      </c>
      <c r="G4288" t="n">
        <v>0.66</v>
      </c>
      <c r="H4288" t="n">
        <v>2</v>
      </c>
      <c r="I4288" t="n">
        <v>13</v>
      </c>
      <c r="J4288" t="n">
        <v>3</v>
      </c>
      <c r="K4288" t="n">
        <v>0</v>
      </c>
      <c r="L4288" t="n">
        <v>100050</v>
      </c>
      <c r="M4288" t="n">
        <v>139000</v>
      </c>
      <c r="N4288" t="n">
        <v>33</v>
      </c>
      <c r="O4288" t="n">
        <v>0.33</v>
      </c>
      <c r="P4288" t="n">
        <v>1</v>
      </c>
      <c r="Q4288" t="n">
        <v>0.09</v>
      </c>
      <c r="R4288" t="n">
        <v>2</v>
      </c>
      <c r="S4288" t="n">
        <v>4587</v>
      </c>
      <c r="T4288" t="n">
        <v>9</v>
      </c>
      <c r="U4288" t="n">
        <v>10</v>
      </c>
      <c r="V4288" t="n">
        <v>30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n">
        <v>0</v>
      </c>
      <c r="AC4288" t="n">
        <v>0</v>
      </c>
      <c r="AD4288" t="n">
        <v>100050</v>
      </c>
      <c r="AE4288" t="n">
        <v>0</v>
      </c>
      <c r="AF4288" t="n">
        <v>1081</v>
      </c>
      <c r="AG4288" t="n">
        <v>2318</v>
      </c>
      <c r="AH4288" t="inlineStr">
        <is>
          <t>CV. KIANO SUKSES MANDIRI - PPN (JMB)</t>
        </is>
      </c>
      <c r="AI4288" t="n">
        <v>54</v>
      </c>
      <c r="AJ4288" t="inlineStr">
        <is>
          <t>SOMETHINC</t>
        </is>
      </c>
      <c r="AK4288" t="n">
        <v>9</v>
      </c>
      <c r="AL4288" t="inlineStr">
        <is>
          <t>Miss Glam Jambi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SOMETHINC</t>
        </is>
      </c>
      <c r="B4289" s="2">
        <f>"8991752006131"</f>
        <v/>
      </c>
      <c r="C4289" t="inlineStr">
        <is>
          <t>SOMETHINC Tipsy Lash Lift Lenghtening Mascara 7gr</t>
        </is>
      </c>
      <c r="D4289" t="inlineStr">
        <is>
          <t>Miss Glam Jambi</t>
        </is>
      </c>
      <c r="E4289" t="n">
        <v>0</v>
      </c>
      <c r="F4289" t="n">
        <v>0.2673</v>
      </c>
      <c r="G4289" t="n">
        <v>1.65</v>
      </c>
      <c r="H4289" t="n">
        <v>2</v>
      </c>
      <c r="I4289" t="n">
        <v>13</v>
      </c>
      <c r="J4289" t="n">
        <v>3</v>
      </c>
      <c r="K4289" t="n">
        <v>5</v>
      </c>
      <c r="L4289" t="n">
        <v>71250</v>
      </c>
      <c r="M4289" t="n">
        <v>95000</v>
      </c>
      <c r="N4289" t="n">
        <v>33</v>
      </c>
      <c r="O4289" t="n">
        <v>0.33</v>
      </c>
      <c r="P4289" t="n">
        <v>1</v>
      </c>
      <c r="Q4289" t="n">
        <v>0.5</v>
      </c>
      <c r="R4289" t="n">
        <v>2</v>
      </c>
      <c r="S4289" t="n">
        <v>25393.5</v>
      </c>
      <c r="T4289" t="n">
        <v>21</v>
      </c>
      <c r="U4289" t="n">
        <v>22</v>
      </c>
      <c r="V4289" t="n">
        <v>30</v>
      </c>
      <c r="W4289" t="n">
        <v>9</v>
      </c>
      <c r="X4289" t="n">
        <v>0</v>
      </c>
      <c r="Y4289" t="n">
        <v>1</v>
      </c>
      <c r="Z4289" t="n">
        <v>4</v>
      </c>
      <c r="AA4289" t="n">
        <v>3</v>
      </c>
      <c r="AB4289" t="n">
        <v>1</v>
      </c>
      <c r="AC4289" t="n">
        <v>3</v>
      </c>
      <c r="AD4289" t="n">
        <v>213750</v>
      </c>
      <c r="AE4289" t="n">
        <v>213750</v>
      </c>
      <c r="AF4289" t="n">
        <v>1081</v>
      </c>
      <c r="AG4289" t="n">
        <v>2318</v>
      </c>
      <c r="AH4289" t="inlineStr">
        <is>
          <t>CV. KIANO SUKSES MANDIRI - PPN (JMB)</t>
        </is>
      </c>
      <c r="AI4289" t="n">
        <v>54</v>
      </c>
      <c r="AJ4289" t="inlineStr">
        <is>
          <t>SOMETHINC</t>
        </is>
      </c>
      <c r="AK4289" t="n">
        <v>9</v>
      </c>
      <c r="AL4289" t="inlineStr">
        <is>
          <t>Miss Glam Jambi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SOULYU</t>
        </is>
      </c>
      <c r="B4290" s="2">
        <f>"20300196810"</f>
        <v/>
      </c>
      <c r="C4290" t="inlineStr">
        <is>
          <t>SOULYU Fluffy Haze Lip Velvet - 02 Almond Rose 30ml</t>
        </is>
      </c>
      <c r="D4290" t="inlineStr">
        <is>
          <t>Miss Glam Jambi</t>
        </is>
      </c>
      <c r="E4290" t="n">
        <v>3</v>
      </c>
      <c r="F4290" t="n">
        <v>0.009900000000000001</v>
      </c>
      <c r="G4290" t="n">
        <v>0.66</v>
      </c>
      <c r="H4290" t="n">
        <v>5</v>
      </c>
      <c r="I4290" t="n">
        <v>5</v>
      </c>
      <c r="J4290" t="n">
        <v>3</v>
      </c>
      <c r="K4290" t="n">
        <v>0</v>
      </c>
      <c r="L4290" t="n">
        <v>55200</v>
      </c>
      <c r="M4290" t="n">
        <v>69000</v>
      </c>
      <c r="N4290" t="n">
        <v>33</v>
      </c>
      <c r="O4290" t="n">
        <v>0.33</v>
      </c>
      <c r="P4290" t="n">
        <v>1</v>
      </c>
      <c r="Q4290" t="n">
        <v>0.02</v>
      </c>
      <c r="R4290" t="n">
        <v>1</v>
      </c>
      <c r="S4290" t="n">
        <v>683.1</v>
      </c>
      <c r="T4290" t="n">
        <v>4</v>
      </c>
      <c r="U4290" t="n">
        <v>5</v>
      </c>
      <c r="V4290" t="n">
        <v>30</v>
      </c>
      <c r="W4290" t="n">
        <v>1</v>
      </c>
      <c r="X4290" t="n">
        <v>303.030303030303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2125</v>
      </c>
      <c r="AG4290" t="n">
        <v>3342</v>
      </c>
      <c r="AH4290" t="inlineStr">
        <is>
          <t>PT NUSANTARA SARANA OUTLET (KNS)</t>
        </is>
      </c>
      <c r="AI4290" t="n">
        <v>2187</v>
      </c>
      <c r="AJ4290" t="inlineStr">
        <is>
          <t>SOULYU</t>
        </is>
      </c>
      <c r="AK4290" t="n">
        <v>9</v>
      </c>
      <c r="AL4290" t="inlineStr">
        <is>
          <t>Miss Glam Jambi</t>
        </is>
      </c>
      <c r="AM4290" t="n">
        <v>4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SOULYU</t>
        </is>
      </c>
      <c r="B4291" s="2">
        <f>"20300197105"</f>
        <v/>
      </c>
      <c r="C4291" t="inlineStr">
        <is>
          <t>SOULYU Fluffy Haze Lip Velvet - 05 Pink Punch 30ml</t>
        </is>
      </c>
      <c r="D4291" t="inlineStr">
        <is>
          <t>Miss Glam Jambi</t>
        </is>
      </c>
      <c r="E4291" t="n">
        <v>4</v>
      </c>
      <c r="F4291" t="n">
        <v>0.006600000000000001</v>
      </c>
      <c r="G4291" t="n">
        <v>0.33</v>
      </c>
      <c r="H4291" t="n">
        <v>5</v>
      </c>
      <c r="I4291" t="n">
        <v>5</v>
      </c>
      <c r="J4291" t="n">
        <v>3</v>
      </c>
      <c r="K4291" t="n">
        <v>0</v>
      </c>
      <c r="L4291" t="n">
        <v>51750</v>
      </c>
      <c r="M4291" t="n">
        <v>69000</v>
      </c>
      <c r="N4291" t="n">
        <v>33</v>
      </c>
      <c r="O4291" t="n">
        <v>0.33</v>
      </c>
      <c r="P4291" t="n">
        <v>1</v>
      </c>
      <c r="Q4291" t="n">
        <v>0.02</v>
      </c>
      <c r="R4291" t="n">
        <v>1</v>
      </c>
      <c r="S4291" t="n">
        <v>455.4</v>
      </c>
      <c r="T4291" t="n">
        <v>2</v>
      </c>
      <c r="U4291" t="n">
        <v>3</v>
      </c>
      <c r="V4291" t="n">
        <v>30</v>
      </c>
      <c r="W4291" t="n">
        <v>1</v>
      </c>
      <c r="X4291" t="n">
        <v>606.060606060606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2125</v>
      </c>
      <c r="AG4291" t="n">
        <v>3342</v>
      </c>
      <c r="AH4291" t="inlineStr">
        <is>
          <t>PT NUSANTARA SARANA OUTLET (KNS)</t>
        </is>
      </c>
      <c r="AI4291" t="n">
        <v>2187</v>
      </c>
      <c r="AJ4291" t="inlineStr">
        <is>
          <t>SOULYU</t>
        </is>
      </c>
      <c r="AK4291" t="n">
        <v>9</v>
      </c>
      <c r="AL4291" t="inlineStr">
        <is>
          <t>Miss Glam Jambi</t>
        </is>
      </c>
      <c r="AM4291" t="n">
        <v>4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SOULYU</t>
        </is>
      </c>
      <c r="B4292" s="2">
        <f>"20300388604"</f>
        <v/>
      </c>
      <c r="C4292" t="inlineStr">
        <is>
          <t>SOULYU Intense Stay Lip Stain - Honesty 26gr</t>
        </is>
      </c>
      <c r="D4292" t="inlineStr">
        <is>
          <t>Miss Glam Jambi</t>
        </is>
      </c>
      <c r="E4292" t="n">
        <v>2</v>
      </c>
      <c r="F4292" t="n">
        <v>0.009900000000000001</v>
      </c>
      <c r="G4292" t="n">
        <v>0.33</v>
      </c>
      <c r="H4292" t="n">
        <v>5</v>
      </c>
      <c r="I4292" t="n">
        <v>5</v>
      </c>
      <c r="J4292" t="n">
        <v>3</v>
      </c>
      <c r="K4292" t="n">
        <v>0</v>
      </c>
      <c r="L4292" t="n">
        <v>51750</v>
      </c>
      <c r="M4292" t="n">
        <v>69000</v>
      </c>
      <c r="N4292" t="n">
        <v>33</v>
      </c>
      <c r="O4292" t="n">
        <v>0.33</v>
      </c>
      <c r="P4292" t="n">
        <v>1</v>
      </c>
      <c r="Q4292" t="n">
        <v>0.1</v>
      </c>
      <c r="R4292" t="n">
        <v>6</v>
      </c>
      <c r="S4292" t="n">
        <v>683.1</v>
      </c>
      <c r="T4292" t="n">
        <v>2</v>
      </c>
      <c r="U4292" t="n">
        <v>3</v>
      </c>
      <c r="V4292" t="n">
        <v>30</v>
      </c>
      <c r="W4292" t="n">
        <v>1</v>
      </c>
      <c r="X4292" t="n">
        <v>202.020202020202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2125</v>
      </c>
      <c r="AG4292" t="n">
        <v>3342</v>
      </c>
      <c r="AH4292" t="inlineStr">
        <is>
          <t>PT NUSANTARA SARANA OUTLET (KNS)</t>
        </is>
      </c>
      <c r="AI4292" t="n">
        <v>2187</v>
      </c>
      <c r="AJ4292" t="inlineStr">
        <is>
          <t>SOULYU</t>
        </is>
      </c>
      <c r="AK4292" t="n">
        <v>9</v>
      </c>
      <c r="AL4292" t="inlineStr">
        <is>
          <t>Miss Glam Jambi</t>
        </is>
      </c>
      <c r="AM4292" t="n">
        <v>4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SOULYU</t>
        </is>
      </c>
      <c r="B4293" s="2">
        <f>"20200218548"</f>
        <v/>
      </c>
      <c r="C4293" t="inlineStr">
        <is>
          <t>SOULYU Soulyu ANTI-DROP Mascara 8.9ml</t>
        </is>
      </c>
      <c r="D4293" t="inlineStr">
        <is>
          <t>Miss Glam Jambi</t>
        </is>
      </c>
      <c r="E4293" t="n">
        <v>0</v>
      </c>
      <c r="F4293" t="n">
        <v>0.06</v>
      </c>
      <c r="G4293" t="n">
        <v>2</v>
      </c>
      <c r="H4293" t="n">
        <v>5</v>
      </c>
      <c r="I4293" t="n">
        <v>5</v>
      </c>
      <c r="J4293" t="n">
        <v>3</v>
      </c>
      <c r="K4293" t="n">
        <v>0</v>
      </c>
      <c r="L4293" t="n">
        <v>53250</v>
      </c>
      <c r="M4293" t="n">
        <v>89000</v>
      </c>
      <c r="N4293" t="n">
        <v>33</v>
      </c>
      <c r="O4293" t="n">
        <v>0.33</v>
      </c>
      <c r="P4293" t="n">
        <v>0</v>
      </c>
      <c r="Q4293" t="n">
        <v>0.06</v>
      </c>
      <c r="R4293" t="n">
        <v>2</v>
      </c>
      <c r="S4293" t="n">
        <v>5340</v>
      </c>
      <c r="T4293" t="n">
        <v>10</v>
      </c>
      <c r="U4293" t="n">
        <v>11</v>
      </c>
      <c r="V4293" t="n">
        <v>30</v>
      </c>
      <c r="W4293" t="n">
        <v>2</v>
      </c>
      <c r="X4293" t="n">
        <v>0</v>
      </c>
      <c r="Y4293" t="n">
        <v>1</v>
      </c>
      <c r="Z4293" t="n">
        <v>2</v>
      </c>
      <c r="AA4293" t="n">
        <v>1</v>
      </c>
      <c r="AB4293" t="n">
        <v>1</v>
      </c>
      <c r="AC4293" t="n">
        <v>3</v>
      </c>
      <c r="AD4293" t="n">
        <v>53250</v>
      </c>
      <c r="AE4293" t="n">
        <v>159750</v>
      </c>
      <c r="AF4293" t="n">
        <v>2125</v>
      </c>
      <c r="AG4293" t="n">
        <v>3342</v>
      </c>
      <c r="AH4293" t="inlineStr">
        <is>
          <t>PT NUSANTARA SARANA OUTLET (KNS)</t>
        </is>
      </c>
      <c r="AI4293" t="n">
        <v>2187</v>
      </c>
      <c r="AJ4293" t="inlineStr">
        <is>
          <t>SOULYU</t>
        </is>
      </c>
      <c r="AK4293" t="n">
        <v>9</v>
      </c>
      <c r="AL4293" t="inlineStr">
        <is>
          <t>Miss Glam Jambi</t>
        </is>
      </c>
      <c r="AM4293" t="n">
        <v>4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SOWSO</t>
        </is>
      </c>
      <c r="B4294" s="2">
        <f>"10100821847"</f>
        <v/>
      </c>
      <c r="C4294" t="inlineStr">
        <is>
          <t>SOWSO Extra Pure Brightening Body Soap + Niacinamide 30gr</t>
        </is>
      </c>
      <c r="D4294" t="inlineStr">
        <is>
          <t>Miss Glam Jambi</t>
        </is>
      </c>
      <c r="E4294" t="n">
        <v>0</v>
      </c>
      <c r="F4294" t="n">
        <v>0.05</v>
      </c>
      <c r="G4294" t="n">
        <v>1</v>
      </c>
      <c r="H4294" t="n">
        <v>4</v>
      </c>
      <c r="I4294" t="n">
        <v>20</v>
      </c>
      <c r="J4294" t="n">
        <v>3</v>
      </c>
      <c r="K4294" t="n">
        <v>0</v>
      </c>
      <c r="L4294" t="n">
        <v>13272</v>
      </c>
      <c r="M4294" t="n">
        <v>17500</v>
      </c>
      <c r="N4294" t="n">
        <v>33</v>
      </c>
      <c r="O4294" t="n">
        <v>0.33</v>
      </c>
      <c r="P4294" t="n">
        <v>0</v>
      </c>
      <c r="Q4294" t="n">
        <v>0.05</v>
      </c>
      <c r="R4294" t="n">
        <v>1</v>
      </c>
      <c r="S4294" t="n">
        <v>875</v>
      </c>
      <c r="T4294" t="n">
        <v>20</v>
      </c>
      <c r="U4294" t="n">
        <v>21</v>
      </c>
      <c r="V4294" t="n">
        <v>30</v>
      </c>
      <c r="W4294" t="n">
        <v>2</v>
      </c>
      <c r="X4294" t="n">
        <v>0</v>
      </c>
      <c r="Y4294" t="n">
        <v>1</v>
      </c>
      <c r="Z4294" t="n">
        <v>2</v>
      </c>
      <c r="AA4294" t="n">
        <v>1</v>
      </c>
      <c r="AB4294" t="n">
        <v>1</v>
      </c>
      <c r="AC4294" t="n">
        <v>3</v>
      </c>
      <c r="AD4294" t="n">
        <v>13272</v>
      </c>
      <c r="AE4294" t="n">
        <v>39816</v>
      </c>
      <c r="AF4294" t="n">
        <v>8676</v>
      </c>
      <c r="AG4294" t="n">
        <v>1</v>
      </c>
      <c r="AH4294" t="inlineStr">
        <is>
          <t>PT. BERSAMA DISTRIVERSA INDONESIA (DC CIPUTAT)</t>
        </is>
      </c>
      <c r="AI4294" t="n">
        <v>1940</v>
      </c>
      <c r="AJ4294" t="inlineStr">
        <is>
          <t>SOWSO</t>
        </is>
      </c>
      <c r="AK4294" t="n">
        <v>9</v>
      </c>
      <c r="AL4294" t="inlineStr">
        <is>
          <t>Miss Glam Jambi</t>
        </is>
      </c>
      <c r="AM4294" t="n">
        <v>4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SR 12</t>
        </is>
      </c>
      <c r="B4295" s="2">
        <f>"30400411305"</f>
        <v/>
      </c>
      <c r="C4295" t="inlineStr">
        <is>
          <t>SR12 Deodorant Spray 60ml</t>
        </is>
      </c>
      <c r="D4295" t="inlineStr">
        <is>
          <t>Miss Glam Jambi</t>
        </is>
      </c>
      <c r="E4295" t="n">
        <v>7</v>
      </c>
      <c r="F4295" t="n">
        <v>1.1583</v>
      </c>
      <c r="G4295" t="n">
        <v>2.97</v>
      </c>
      <c r="H4295" t="n">
        <v>7</v>
      </c>
      <c r="I4295" t="n">
        <v>12</v>
      </c>
      <c r="J4295" t="n">
        <v>3</v>
      </c>
      <c r="K4295" t="n">
        <v>21</v>
      </c>
      <c r="L4295" t="n">
        <v>33600</v>
      </c>
      <c r="M4295" t="n">
        <v>42000</v>
      </c>
      <c r="N4295" t="n">
        <v>33</v>
      </c>
      <c r="O4295" t="n">
        <v>0.33</v>
      </c>
      <c r="P4295" t="n">
        <v>1</v>
      </c>
      <c r="Q4295" t="n">
        <v>0.34</v>
      </c>
      <c r="R4295" t="n">
        <v>3</v>
      </c>
      <c r="S4295" t="n">
        <v>48648.6</v>
      </c>
      <c r="T4295" t="n">
        <v>28</v>
      </c>
      <c r="U4295" t="n">
        <v>37</v>
      </c>
      <c r="V4295" t="n">
        <v>30</v>
      </c>
      <c r="W4295" t="n">
        <v>35</v>
      </c>
      <c r="X4295" t="n">
        <v>6.04333937667271</v>
      </c>
      <c r="Y4295" t="n">
        <v>1</v>
      </c>
      <c r="Z4295" t="n">
        <v>7</v>
      </c>
      <c r="AA4295" t="n">
        <v>6</v>
      </c>
      <c r="AB4295" t="n">
        <v>1</v>
      </c>
      <c r="AC4295" t="n">
        <v>3</v>
      </c>
      <c r="AD4295" t="n">
        <v>201600</v>
      </c>
      <c r="AE4295" t="n">
        <v>100800</v>
      </c>
      <c r="AF4295" t="n">
        <v>13450</v>
      </c>
      <c r="AG4295" t="n">
        <v>2217</v>
      </c>
      <c r="AH4295" t="inlineStr">
        <is>
          <t>SR12 (PST)</t>
        </is>
      </c>
      <c r="AI4295" t="n">
        <v>149</v>
      </c>
      <c r="AJ4295" t="inlineStr">
        <is>
          <t>SR 12</t>
        </is>
      </c>
      <c r="AK4295" t="n">
        <v>9</v>
      </c>
      <c r="AL4295" t="inlineStr">
        <is>
          <t>Miss Glam Jambi</t>
        </is>
      </c>
      <c r="AM4295" t="n">
        <v>4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SR 12</t>
        </is>
      </c>
      <c r="B4296" s="2">
        <f>"30400425846"</f>
        <v/>
      </c>
      <c r="C4296" t="inlineStr">
        <is>
          <t>SR12 Deodorant Spray Premium 60ml</t>
        </is>
      </c>
      <c r="D4296" t="inlineStr">
        <is>
          <t>Miss Glam Jambi</t>
        </is>
      </c>
      <c r="E4296" t="n">
        <v>14</v>
      </c>
      <c r="F4296" t="n">
        <v>0.4356</v>
      </c>
      <c r="G4296" t="n">
        <v>1.65</v>
      </c>
      <c r="H4296" t="n">
        <v>7</v>
      </c>
      <c r="I4296" t="n">
        <v>12</v>
      </c>
      <c r="J4296" t="n">
        <v>3</v>
      </c>
      <c r="K4296" t="n">
        <v>0</v>
      </c>
      <c r="L4296" t="n">
        <v>50400</v>
      </c>
      <c r="M4296" t="n">
        <v>63000</v>
      </c>
      <c r="N4296" t="n">
        <v>33</v>
      </c>
      <c r="O4296" t="n">
        <v>0.33</v>
      </c>
      <c r="P4296" t="n">
        <v>1</v>
      </c>
      <c r="Q4296" t="n">
        <v>0.08</v>
      </c>
      <c r="R4296" t="n">
        <v>2</v>
      </c>
      <c r="S4296" t="n">
        <v>27442.8</v>
      </c>
      <c r="T4296" t="n">
        <v>17</v>
      </c>
      <c r="U4296" t="n">
        <v>21</v>
      </c>
      <c r="V4296" t="n">
        <v>30</v>
      </c>
      <c r="W4296" t="n">
        <v>14</v>
      </c>
      <c r="X4296" t="n">
        <v>32.13957759412305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13450</v>
      </c>
      <c r="AG4296" t="n">
        <v>2217</v>
      </c>
      <c r="AH4296" t="inlineStr">
        <is>
          <t>SR12 (PST)</t>
        </is>
      </c>
      <c r="AI4296" t="n">
        <v>149</v>
      </c>
      <c r="AJ4296" t="inlineStr">
        <is>
          <t>SR 12</t>
        </is>
      </c>
      <c r="AK4296" t="n">
        <v>9</v>
      </c>
      <c r="AL4296" t="inlineStr">
        <is>
          <t>Miss Glam Jambi</t>
        </is>
      </c>
      <c r="AM4296" t="n">
        <v>4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SR 12</t>
        </is>
      </c>
      <c r="B4297" s="2">
        <f>"20300423258"</f>
        <v/>
      </c>
      <c r="C4297" t="inlineStr">
        <is>
          <t>SR12 Lip Care Cherry 5gr</t>
        </is>
      </c>
      <c r="D4297" t="inlineStr">
        <is>
          <t>Miss Glam Jambi</t>
        </is>
      </c>
      <c r="E4297" t="n">
        <v>21</v>
      </c>
      <c r="F4297" t="n">
        <v>0.4752</v>
      </c>
      <c r="G4297" t="n">
        <v>1.98</v>
      </c>
      <c r="H4297" t="n">
        <v>7</v>
      </c>
      <c r="I4297" t="n">
        <v>12</v>
      </c>
      <c r="J4297" t="n">
        <v>6</v>
      </c>
      <c r="K4297" t="n">
        <v>0</v>
      </c>
      <c r="L4297" t="n">
        <v>21200</v>
      </c>
      <c r="M4297" t="n">
        <v>26500</v>
      </c>
      <c r="N4297" t="n">
        <v>33</v>
      </c>
      <c r="O4297" t="n">
        <v>0.33</v>
      </c>
      <c r="P4297" t="n">
        <v>1</v>
      </c>
      <c r="Q4297" t="n">
        <v>0.12</v>
      </c>
      <c r="R4297" t="n">
        <v>2</v>
      </c>
      <c r="S4297" t="n">
        <v>12592.8</v>
      </c>
      <c r="T4297" t="n">
        <v>21</v>
      </c>
      <c r="U4297" t="n">
        <v>25</v>
      </c>
      <c r="V4297" t="n">
        <v>30</v>
      </c>
      <c r="W4297" t="n">
        <v>15</v>
      </c>
      <c r="X4297" t="n">
        <v>44.19191919191919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13450</v>
      </c>
      <c r="AG4297" t="n">
        <v>2217</v>
      </c>
      <c r="AH4297" t="inlineStr">
        <is>
          <t>SR12 (PST)</t>
        </is>
      </c>
      <c r="AI4297" t="n">
        <v>149</v>
      </c>
      <c r="AJ4297" t="inlineStr">
        <is>
          <t>SR 12</t>
        </is>
      </c>
      <c r="AK4297" t="n">
        <v>9</v>
      </c>
      <c r="AL4297" t="inlineStr">
        <is>
          <t>Miss Glam Jambi</t>
        </is>
      </c>
      <c r="AM4297" t="n">
        <v>4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SR 12</t>
        </is>
      </c>
      <c r="B4298" s="2">
        <f>"20300423218"</f>
        <v/>
      </c>
      <c r="C4298" t="inlineStr">
        <is>
          <t>SR12 Lip Care Natural 5gr</t>
        </is>
      </c>
      <c r="D4298" t="inlineStr">
        <is>
          <t>Miss Glam Jambi</t>
        </is>
      </c>
      <c r="E4298" t="n">
        <v>3</v>
      </c>
      <c r="F4298" t="n">
        <v>0.0165</v>
      </c>
      <c r="G4298" t="n">
        <v>0.33</v>
      </c>
      <c r="H4298" t="n">
        <v>7</v>
      </c>
      <c r="I4298" t="n">
        <v>12</v>
      </c>
      <c r="J4298" t="n">
        <v>3</v>
      </c>
      <c r="K4298" t="n">
        <v>0</v>
      </c>
      <c r="L4298" t="n">
        <v>21200</v>
      </c>
      <c r="M4298" t="n">
        <v>26500</v>
      </c>
      <c r="N4298" t="n">
        <v>33</v>
      </c>
      <c r="O4298" t="n">
        <v>0.33</v>
      </c>
      <c r="P4298" t="n">
        <v>1</v>
      </c>
      <c r="Q4298" t="n">
        <v>0.03</v>
      </c>
      <c r="R4298" t="n">
        <v>1</v>
      </c>
      <c r="S4298" t="n">
        <v>437.25</v>
      </c>
      <c r="T4298" t="n">
        <v>4</v>
      </c>
      <c r="U4298" t="n">
        <v>5</v>
      </c>
      <c r="V4298" t="n">
        <v>30</v>
      </c>
      <c r="W4298" t="n">
        <v>1</v>
      </c>
      <c r="X4298" t="n">
        <v>181.8181818181818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13450</v>
      </c>
      <c r="AG4298" t="n">
        <v>2217</v>
      </c>
      <c r="AH4298" t="inlineStr">
        <is>
          <t>SR12 (PST)</t>
        </is>
      </c>
      <c r="AI4298" t="n">
        <v>149</v>
      </c>
      <c r="AJ4298" t="inlineStr">
        <is>
          <t>SR 12</t>
        </is>
      </c>
      <c r="AK4298" t="n">
        <v>9</v>
      </c>
      <c r="AL4298" t="inlineStr">
        <is>
          <t>Miss Glam Jambi</t>
        </is>
      </c>
      <c r="AM4298" t="n">
        <v>4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SR 12</t>
        </is>
      </c>
      <c r="B4299" s="2">
        <f>"10700203322"</f>
        <v/>
      </c>
      <c r="C4299" t="inlineStr">
        <is>
          <t>SR12 Lip Scrub Exfoliator &amp; Moisturizer 6gr</t>
        </is>
      </c>
      <c r="D4299" t="inlineStr">
        <is>
          <t>Miss Glam Jambi</t>
        </is>
      </c>
      <c r="E4299" t="n">
        <v>3</v>
      </c>
      <c r="F4299" t="n">
        <v>0.1221</v>
      </c>
      <c r="G4299" t="n">
        <v>1.32</v>
      </c>
      <c r="H4299" t="n">
        <v>7</v>
      </c>
      <c r="I4299" t="n">
        <v>12</v>
      </c>
      <c r="J4299" t="n">
        <v>3</v>
      </c>
      <c r="K4299" t="n">
        <v>3</v>
      </c>
      <c r="L4299" t="n">
        <v>31200</v>
      </c>
      <c r="M4299" t="n">
        <v>39000</v>
      </c>
      <c r="N4299" t="n">
        <v>33</v>
      </c>
      <c r="O4299" t="n">
        <v>0.33</v>
      </c>
      <c r="P4299" t="n">
        <v>1</v>
      </c>
      <c r="Q4299" t="n">
        <v>0.19</v>
      </c>
      <c r="R4299" t="n">
        <v>2</v>
      </c>
      <c r="S4299" t="n">
        <v>4761.9</v>
      </c>
      <c r="T4299" t="n">
        <v>15</v>
      </c>
      <c r="U4299" t="n">
        <v>16</v>
      </c>
      <c r="V4299" t="n">
        <v>30</v>
      </c>
      <c r="W4299" t="n">
        <v>4</v>
      </c>
      <c r="X4299" t="n">
        <v>24.57002457002457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13450</v>
      </c>
      <c r="AG4299" t="n">
        <v>2217</v>
      </c>
      <c r="AH4299" t="inlineStr">
        <is>
          <t>SR12 (PST)</t>
        </is>
      </c>
      <c r="AI4299" t="n">
        <v>149</v>
      </c>
      <c r="AJ4299" t="inlineStr">
        <is>
          <t>SR 12</t>
        </is>
      </c>
      <c r="AK4299" t="n">
        <v>9</v>
      </c>
      <c r="AL4299" t="inlineStr">
        <is>
          <t>Miss Glam Jambi</t>
        </is>
      </c>
      <c r="AM4299" t="n">
        <v>4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STRIPER</t>
        </is>
      </c>
      <c r="B4300" s="2">
        <f>"30300405408"</f>
        <v/>
      </c>
      <c r="C4300" t="inlineStr">
        <is>
          <t>STRIPER Wax Strip Paper (Kain Waxing) isi 10 Lembar</t>
        </is>
      </c>
      <c r="D4300" t="inlineStr">
        <is>
          <t>Miss Glam Jambi</t>
        </is>
      </c>
      <c r="E4300" t="n">
        <v>0</v>
      </c>
      <c r="F4300" t="n">
        <v>0.09</v>
      </c>
      <c r="G4300" t="n">
        <v>2</v>
      </c>
      <c r="H4300" t="n">
        <v>4</v>
      </c>
      <c r="I4300" t="n">
        <v>20</v>
      </c>
      <c r="J4300" t="n">
        <v>3</v>
      </c>
      <c r="K4300" t="n">
        <v>0</v>
      </c>
      <c r="L4300" t="n">
        <v>5585</v>
      </c>
      <c r="M4300" t="n">
        <v>12000</v>
      </c>
      <c r="N4300" t="n">
        <v>33</v>
      </c>
      <c r="O4300" t="n">
        <v>0.33</v>
      </c>
      <c r="P4300" t="n">
        <v>0</v>
      </c>
      <c r="Q4300" t="n">
        <v>0.09</v>
      </c>
      <c r="R4300" t="n">
        <v>2</v>
      </c>
      <c r="S4300" t="n">
        <v>1080</v>
      </c>
      <c r="T4300" t="n">
        <v>40</v>
      </c>
      <c r="U4300" t="n">
        <v>41</v>
      </c>
      <c r="V4300" t="n">
        <v>30</v>
      </c>
      <c r="W4300" t="n">
        <v>3</v>
      </c>
      <c r="X4300" t="n">
        <v>0</v>
      </c>
      <c r="Y4300" t="n">
        <v>1</v>
      </c>
      <c r="Z4300" t="n">
        <v>3</v>
      </c>
      <c r="AA4300" t="n">
        <v>2</v>
      </c>
      <c r="AB4300" t="n">
        <v>1</v>
      </c>
      <c r="AC4300" t="n">
        <v>3</v>
      </c>
      <c r="AD4300" t="n">
        <v>11170</v>
      </c>
      <c r="AE4300" t="n">
        <v>16755</v>
      </c>
      <c r="AF4300" t="n">
        <v>8709</v>
      </c>
      <c r="AG4300" t="n">
        <v>1</v>
      </c>
      <c r="AH4300" t="inlineStr">
        <is>
          <t>PT. BERSAMA DISTRIVERSA INDONESIA (DC CIPUTAT)</t>
        </is>
      </c>
      <c r="AI4300" t="n">
        <v>1531</v>
      </c>
      <c r="AJ4300" t="inlineStr">
        <is>
          <t>STRIPER</t>
        </is>
      </c>
      <c r="AK4300" t="n">
        <v>9</v>
      </c>
      <c r="AL4300" t="inlineStr">
        <is>
          <t>Miss Glam Jambi</t>
        </is>
      </c>
      <c r="AM4300" t="n">
        <v>4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STRIPER</t>
        </is>
      </c>
      <c r="B4301" s="2">
        <f>"30300405342"</f>
        <v/>
      </c>
      <c r="C4301" t="inlineStr">
        <is>
          <t>STRIPER Wax Strip Paper (Kain Waxing) isi 50 Lembar</t>
        </is>
      </c>
      <c r="D4301" t="inlineStr">
        <is>
          <t>Miss Glam Jambi</t>
        </is>
      </c>
      <c r="E4301" t="n">
        <v>0</v>
      </c>
      <c r="F4301" t="n">
        <v>0.1122</v>
      </c>
      <c r="G4301" t="n">
        <v>0.99</v>
      </c>
      <c r="H4301" t="n">
        <v>4</v>
      </c>
      <c r="I4301" t="n">
        <v>20</v>
      </c>
      <c r="J4301" t="n">
        <v>3</v>
      </c>
      <c r="K4301" t="n">
        <v>0</v>
      </c>
      <c r="L4301" t="n">
        <v>10452</v>
      </c>
      <c r="M4301" t="n">
        <v>20000</v>
      </c>
      <c r="N4301" t="n">
        <v>33</v>
      </c>
      <c r="O4301" t="n">
        <v>0.33</v>
      </c>
      <c r="P4301" t="n">
        <v>1</v>
      </c>
      <c r="Q4301" t="n">
        <v>0.12</v>
      </c>
      <c r="R4301" t="n">
        <v>3</v>
      </c>
      <c r="S4301" t="n">
        <v>2244</v>
      </c>
      <c r="T4301" t="n">
        <v>20</v>
      </c>
      <c r="U4301" t="n">
        <v>21</v>
      </c>
      <c r="V4301" t="n">
        <v>30</v>
      </c>
      <c r="W4301" t="n">
        <v>4</v>
      </c>
      <c r="X4301" t="n">
        <v>0</v>
      </c>
      <c r="Y4301" t="n">
        <v>1</v>
      </c>
      <c r="Z4301" t="n">
        <v>4</v>
      </c>
      <c r="AA4301" t="n">
        <v>3</v>
      </c>
      <c r="AB4301" t="n">
        <v>1</v>
      </c>
      <c r="AC4301" t="n">
        <v>3</v>
      </c>
      <c r="AD4301" t="n">
        <v>31356</v>
      </c>
      <c r="AE4301" t="n">
        <v>31356</v>
      </c>
      <c r="AF4301" t="n">
        <v>8709</v>
      </c>
      <c r="AG4301" t="n">
        <v>1</v>
      </c>
      <c r="AH4301" t="inlineStr">
        <is>
          <t>PT. BERSAMA DISTRIVERSA INDONESIA (DC CIPUTAT)</t>
        </is>
      </c>
      <c r="AI4301" t="n">
        <v>1531</v>
      </c>
      <c r="AJ4301" t="inlineStr">
        <is>
          <t>STRIPER</t>
        </is>
      </c>
      <c r="AK4301" t="n">
        <v>9</v>
      </c>
      <c r="AL4301" t="inlineStr">
        <is>
          <t>Miss Glam Jambi</t>
        </is>
      </c>
      <c r="AM4301" t="n">
        <v>4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STUDIO TROPIK</t>
        </is>
      </c>
      <c r="B4302" s="2">
        <f>"8997217750076"</f>
        <v/>
      </c>
      <c r="C4302" t="inlineStr">
        <is>
          <t>STUDIO TROPIK Balance Priming Water 150ml</t>
        </is>
      </c>
      <c r="D4302" t="inlineStr">
        <is>
          <t>Miss Glam Jambi</t>
        </is>
      </c>
      <c r="E4302" t="n">
        <v>3</v>
      </c>
      <c r="F4302" t="n">
        <v>0.0495</v>
      </c>
      <c r="G4302" t="n">
        <v>0.66</v>
      </c>
      <c r="H4302" t="n">
        <v>6</v>
      </c>
      <c r="I4302" t="n">
        <v>12</v>
      </c>
      <c r="J4302" t="n">
        <v>3</v>
      </c>
      <c r="K4302" t="n">
        <v>0</v>
      </c>
      <c r="L4302" t="n">
        <v>79200</v>
      </c>
      <c r="M4302" t="n">
        <v>99000</v>
      </c>
      <c r="N4302" t="n">
        <v>33</v>
      </c>
      <c r="O4302" t="n">
        <v>0.33</v>
      </c>
      <c r="P4302" t="n">
        <v>1</v>
      </c>
      <c r="Q4302" t="n">
        <v>0.02</v>
      </c>
      <c r="R4302" t="n">
        <v>1</v>
      </c>
      <c r="S4302" t="n">
        <v>4900.5</v>
      </c>
      <c r="T4302" t="n">
        <v>8</v>
      </c>
      <c r="U4302" t="n">
        <v>9</v>
      </c>
      <c r="V4302" t="n">
        <v>30</v>
      </c>
      <c r="W4302" t="n">
        <v>2</v>
      </c>
      <c r="X4302" t="n">
        <v>60.6060606060606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697</v>
      </c>
      <c r="AG4302" t="n">
        <v>107</v>
      </c>
      <c r="AH4302" t="inlineStr">
        <is>
          <t xml:space="preserve">CV. DAHLIA - PPN (PDG) </t>
        </is>
      </c>
      <c r="AI4302" t="n">
        <v>287</v>
      </c>
      <c r="AJ4302" t="inlineStr">
        <is>
          <t>STUDIO TROPIK</t>
        </is>
      </c>
      <c r="AK4302" t="n">
        <v>9</v>
      </c>
      <c r="AL4302" t="inlineStr">
        <is>
          <t>Miss Glam Jambi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STUDIO TROPIK</t>
        </is>
      </c>
      <c r="B4303" s="2">
        <f>"8997217750410"</f>
        <v/>
      </c>
      <c r="C4303" t="inlineStr">
        <is>
          <t>STUDIO TROPIK Balance Priming Water 30ml</t>
        </is>
      </c>
      <c r="D4303" t="inlineStr">
        <is>
          <t>Miss Glam Jambi</t>
        </is>
      </c>
      <c r="E4303" t="n">
        <v>2</v>
      </c>
      <c r="F4303" t="n">
        <v>0.0396</v>
      </c>
      <c r="G4303" t="n">
        <v>0.66</v>
      </c>
      <c r="H4303" t="n">
        <v>6</v>
      </c>
      <c r="I4303" t="n">
        <v>12</v>
      </c>
      <c r="J4303" t="n">
        <v>3</v>
      </c>
      <c r="K4303" t="n">
        <v>0</v>
      </c>
      <c r="L4303" t="n">
        <v>31200</v>
      </c>
      <c r="M4303" t="n">
        <v>43300</v>
      </c>
      <c r="N4303" t="n">
        <v>33</v>
      </c>
      <c r="O4303" t="n">
        <v>0.33</v>
      </c>
      <c r="P4303" t="n">
        <v>1</v>
      </c>
      <c r="Q4303" t="n">
        <v>0.03</v>
      </c>
      <c r="R4303" t="n">
        <v>1</v>
      </c>
      <c r="S4303" t="n">
        <v>1714.68</v>
      </c>
      <c r="T4303" t="n">
        <v>8</v>
      </c>
      <c r="U4303" t="n">
        <v>9</v>
      </c>
      <c r="V4303" t="n">
        <v>30</v>
      </c>
      <c r="W4303" t="n">
        <v>2</v>
      </c>
      <c r="X4303" t="n">
        <v>50.5050505050505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697</v>
      </c>
      <c r="AG4303" t="n">
        <v>107</v>
      </c>
      <c r="AH4303" t="inlineStr">
        <is>
          <t xml:space="preserve">CV. DAHLIA - PPN (PDG) </t>
        </is>
      </c>
      <c r="AI4303" t="n">
        <v>287</v>
      </c>
      <c r="AJ4303" t="inlineStr">
        <is>
          <t>STUDIO TROPIK</t>
        </is>
      </c>
      <c r="AK4303" t="n">
        <v>9</v>
      </c>
      <c r="AL4303" t="inlineStr">
        <is>
          <t>Miss Glam Jambi</t>
        </is>
      </c>
      <c r="AM4303" t="n">
        <v>3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STUDIO TROPIK</t>
        </is>
      </c>
      <c r="B4304" s="2">
        <f>"8997217750632"</f>
        <v/>
      </c>
      <c r="C4304" t="inlineStr">
        <is>
          <t>STUDIO TROPIK Daily Priming Water With Peptides + Uv Filter 150ml</t>
        </is>
      </c>
      <c r="D4304" t="inlineStr">
        <is>
          <t>Miss Glam Jambi</t>
        </is>
      </c>
      <c r="E4304" t="n">
        <v>8</v>
      </c>
      <c r="F4304" t="n">
        <v>0.02</v>
      </c>
      <c r="G4304" t="n">
        <v>1</v>
      </c>
      <c r="H4304" t="n">
        <v>6</v>
      </c>
      <c r="I4304" t="n">
        <v>12</v>
      </c>
      <c r="J4304" t="n">
        <v>3</v>
      </c>
      <c r="K4304" t="n">
        <v>0</v>
      </c>
      <c r="L4304" t="n">
        <v>79200</v>
      </c>
      <c r="M4304" t="n">
        <v>98000</v>
      </c>
      <c r="N4304" t="n">
        <v>33</v>
      </c>
      <c r="O4304" t="n">
        <v>0.33</v>
      </c>
      <c r="P4304" t="n">
        <v>0</v>
      </c>
      <c r="Q4304" t="n">
        <v>0.02</v>
      </c>
      <c r="R4304" t="n">
        <v>1</v>
      </c>
      <c r="S4304" t="n">
        <v>1960</v>
      </c>
      <c r="T4304" t="n">
        <v>12</v>
      </c>
      <c r="U4304" t="n">
        <v>13</v>
      </c>
      <c r="V4304" t="n">
        <v>30</v>
      </c>
      <c r="W4304" t="n">
        <v>1</v>
      </c>
      <c r="X4304" t="n">
        <v>400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697</v>
      </c>
      <c r="AG4304" t="n">
        <v>107</v>
      </c>
      <c r="AH4304" t="inlineStr">
        <is>
          <t xml:space="preserve">CV. DAHLIA - PPN (PDG) </t>
        </is>
      </c>
      <c r="AI4304" t="n">
        <v>287</v>
      </c>
      <c r="AJ4304" t="inlineStr">
        <is>
          <t>STUDIO TROPIK</t>
        </is>
      </c>
      <c r="AK4304" t="n">
        <v>9</v>
      </c>
      <c r="AL4304" t="inlineStr">
        <is>
          <t>Miss Glam Jambi</t>
        </is>
      </c>
      <c r="AM4304" t="n">
        <v>3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STUDIO TROPIK</t>
        </is>
      </c>
      <c r="B4305" s="2">
        <f>"8997217750618"</f>
        <v/>
      </c>
      <c r="C4305" t="inlineStr">
        <is>
          <t>STUDIO TROPIK Dream Setter Satin 130ml</t>
        </is>
      </c>
      <c r="D4305" t="inlineStr">
        <is>
          <t>Miss Glam Jambi</t>
        </is>
      </c>
      <c r="E4305" t="n">
        <v>3</v>
      </c>
      <c r="F4305" t="n">
        <v>0.0264</v>
      </c>
      <c r="G4305" t="n">
        <v>0.33</v>
      </c>
      <c r="H4305" t="n">
        <v>6</v>
      </c>
      <c r="I4305" t="n">
        <v>12</v>
      </c>
      <c r="J4305" t="n">
        <v>3</v>
      </c>
      <c r="K4305" t="n">
        <v>0</v>
      </c>
      <c r="L4305" t="n">
        <v>140000</v>
      </c>
      <c r="M4305" t="n">
        <v>174000</v>
      </c>
      <c r="N4305" t="n">
        <v>33</v>
      </c>
      <c r="O4305" t="n">
        <v>0.33</v>
      </c>
      <c r="P4305" t="n">
        <v>1</v>
      </c>
      <c r="Q4305" t="n">
        <v>0.03</v>
      </c>
      <c r="R4305" t="n">
        <v>1</v>
      </c>
      <c r="S4305" t="n">
        <v>4593.6</v>
      </c>
      <c r="T4305" t="n">
        <v>4</v>
      </c>
      <c r="U4305" t="n">
        <v>5</v>
      </c>
      <c r="V4305" t="n">
        <v>30</v>
      </c>
      <c r="W4305" t="n">
        <v>1</v>
      </c>
      <c r="X4305" t="n">
        <v>113.6363636363636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697</v>
      </c>
      <c r="AG4305" t="n">
        <v>107</v>
      </c>
      <c r="AH4305" t="inlineStr">
        <is>
          <t xml:space="preserve">CV. DAHLIA - PPN (PDG) </t>
        </is>
      </c>
      <c r="AI4305" t="n">
        <v>287</v>
      </c>
      <c r="AJ4305" t="inlineStr">
        <is>
          <t>STUDIO TROPIK</t>
        </is>
      </c>
      <c r="AK4305" t="n">
        <v>9</v>
      </c>
      <c r="AL4305" t="inlineStr">
        <is>
          <t>Miss Glam Jambi</t>
        </is>
      </c>
      <c r="AM4305" t="n">
        <v>3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STUDIO TROPIK</t>
        </is>
      </c>
      <c r="B4306" s="2">
        <f>"8997217750090"</f>
        <v/>
      </c>
      <c r="C4306" t="inlineStr">
        <is>
          <t>STUDIO TROPIK DreamSetter 130ml</t>
        </is>
      </c>
      <c r="D4306" t="inlineStr">
        <is>
          <t>Miss Glam Jambi</t>
        </is>
      </c>
      <c r="E4306" t="n">
        <v>0</v>
      </c>
      <c r="F4306" t="n">
        <v>0.0231</v>
      </c>
      <c r="G4306" t="n">
        <v>0.33</v>
      </c>
      <c r="H4306" t="n">
        <v>6</v>
      </c>
      <c r="I4306" t="n">
        <v>12</v>
      </c>
      <c r="J4306" t="n">
        <v>3</v>
      </c>
      <c r="K4306" t="n">
        <v>4</v>
      </c>
      <c r="L4306" t="n">
        <v>140000</v>
      </c>
      <c r="M4306" t="n">
        <v>175000</v>
      </c>
      <c r="N4306" t="n">
        <v>33</v>
      </c>
      <c r="O4306" t="n">
        <v>0.33</v>
      </c>
      <c r="P4306" t="n">
        <v>1</v>
      </c>
      <c r="Q4306" t="n">
        <v>0.07000000000000001</v>
      </c>
      <c r="R4306" t="n">
        <v>1</v>
      </c>
      <c r="S4306" t="n">
        <v>4042.5</v>
      </c>
      <c r="T4306" t="n">
        <v>4</v>
      </c>
      <c r="U4306" t="n">
        <v>5</v>
      </c>
      <c r="V4306" t="n">
        <v>30</v>
      </c>
      <c r="W4306" t="n">
        <v>1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697</v>
      </c>
      <c r="AG4306" t="n">
        <v>107</v>
      </c>
      <c r="AH4306" t="inlineStr">
        <is>
          <t xml:space="preserve">CV. DAHLIA - PPN (PDG) </t>
        </is>
      </c>
      <c r="AI4306" t="n">
        <v>287</v>
      </c>
      <c r="AJ4306" t="inlineStr">
        <is>
          <t>STUDIO TROPIK</t>
        </is>
      </c>
      <c r="AK4306" t="n">
        <v>9</v>
      </c>
      <c r="AL4306" t="inlineStr">
        <is>
          <t>Miss Glam Jambi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STUDIO TROPIK</t>
        </is>
      </c>
      <c r="B4307" s="2">
        <f>"8997217750199"</f>
        <v/>
      </c>
      <c r="C4307" t="inlineStr">
        <is>
          <t>STUDIO TROPIK DreamSetter Glowy Pollution Protection 130ml</t>
        </is>
      </c>
      <c r="D4307" t="inlineStr">
        <is>
          <t>Miss Glam Jambi</t>
        </is>
      </c>
      <c r="E4307" t="n">
        <v>8</v>
      </c>
      <c r="F4307" t="n">
        <v>0.0396</v>
      </c>
      <c r="G4307" t="n">
        <v>0.33</v>
      </c>
      <c r="H4307" t="n">
        <v>6</v>
      </c>
      <c r="I4307" t="n">
        <v>12</v>
      </c>
      <c r="J4307" t="n">
        <v>3</v>
      </c>
      <c r="K4307" t="n">
        <v>0</v>
      </c>
      <c r="L4307" t="n">
        <v>140000</v>
      </c>
      <c r="M4307" t="n">
        <v>175000</v>
      </c>
      <c r="N4307" t="n">
        <v>33</v>
      </c>
      <c r="O4307" t="n">
        <v>0.33</v>
      </c>
      <c r="P4307" t="n">
        <v>1</v>
      </c>
      <c r="Q4307" t="n">
        <v>0.05</v>
      </c>
      <c r="R4307" t="n">
        <v>1</v>
      </c>
      <c r="S4307" t="n">
        <v>6930.000000000001</v>
      </c>
      <c r="T4307" t="n">
        <v>4</v>
      </c>
      <c r="U4307" t="n">
        <v>5</v>
      </c>
      <c r="V4307" t="n">
        <v>30</v>
      </c>
      <c r="W4307" t="n">
        <v>2</v>
      </c>
      <c r="X4307" t="n">
        <v>202.020202020202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697</v>
      </c>
      <c r="AG4307" t="n">
        <v>107</v>
      </c>
      <c r="AH4307" t="inlineStr">
        <is>
          <t xml:space="preserve">CV. DAHLIA - PPN (PDG) </t>
        </is>
      </c>
      <c r="AI4307" t="n">
        <v>287</v>
      </c>
      <c r="AJ4307" t="inlineStr">
        <is>
          <t>STUDIO TROPIK</t>
        </is>
      </c>
      <c r="AK4307" t="n">
        <v>9</v>
      </c>
      <c r="AL4307" t="inlineStr">
        <is>
          <t>Miss Glam Jambi</t>
        </is>
      </c>
      <c r="AM4307" t="n">
        <v>3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STUDIO TROPIK</t>
        </is>
      </c>
      <c r="B4308" s="2">
        <f>"8997217750120"</f>
        <v/>
      </c>
      <c r="C4308" t="inlineStr">
        <is>
          <t>STUDIO TROPIK DreamSetter Glowy Pollution Protection 30ml</t>
        </is>
      </c>
      <c r="D4308" t="inlineStr">
        <is>
          <t>Miss Glam Jambi</t>
        </is>
      </c>
      <c r="E4308" t="n">
        <v>4</v>
      </c>
      <c r="F4308" t="n">
        <v>0.1122</v>
      </c>
      <c r="G4308" t="n">
        <v>0.66</v>
      </c>
      <c r="H4308" t="n">
        <v>6</v>
      </c>
      <c r="I4308" t="n">
        <v>12</v>
      </c>
      <c r="J4308" t="n">
        <v>3</v>
      </c>
      <c r="K4308" t="n">
        <v>4</v>
      </c>
      <c r="L4308" t="n">
        <v>47200</v>
      </c>
      <c r="M4308" t="n">
        <v>65700</v>
      </c>
      <c r="N4308" t="n">
        <v>33</v>
      </c>
      <c r="O4308" t="n">
        <v>0.33</v>
      </c>
      <c r="P4308" t="n">
        <v>1</v>
      </c>
      <c r="Q4308" t="n">
        <v>0.17</v>
      </c>
      <c r="R4308" t="n">
        <v>2</v>
      </c>
      <c r="S4308" t="n">
        <v>7371.540000000001</v>
      </c>
      <c r="T4308" t="n">
        <v>8</v>
      </c>
      <c r="U4308" t="n">
        <v>9</v>
      </c>
      <c r="V4308" t="n">
        <v>30</v>
      </c>
      <c r="W4308" t="n">
        <v>4</v>
      </c>
      <c r="X4308" t="n">
        <v>35.650623885918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697</v>
      </c>
      <c r="AG4308" t="n">
        <v>107</v>
      </c>
      <c r="AH4308" t="inlineStr">
        <is>
          <t xml:space="preserve">CV. DAHLIA - PPN (PDG) </t>
        </is>
      </c>
      <c r="AI4308" t="n">
        <v>287</v>
      </c>
      <c r="AJ4308" t="inlineStr">
        <is>
          <t>STUDIO TROPIK</t>
        </is>
      </c>
      <c r="AK4308" t="n">
        <v>9</v>
      </c>
      <c r="AL4308" t="inlineStr">
        <is>
          <t>Miss Glam Jambi</t>
        </is>
      </c>
      <c r="AM4308" t="n">
        <v>3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STUDIO TROPIK</t>
        </is>
      </c>
      <c r="B4309" s="2">
        <f>"8997217750427"</f>
        <v/>
      </c>
      <c r="C4309" t="inlineStr">
        <is>
          <t>STUDIO TROPIK Flawles  Priming  Water 30</t>
        </is>
      </c>
      <c r="D4309" t="inlineStr">
        <is>
          <t>Miss Glam Jambi</t>
        </is>
      </c>
      <c r="E4309" t="n">
        <v>2</v>
      </c>
      <c r="F4309" t="n">
        <v>0.1551</v>
      </c>
      <c r="G4309" t="n">
        <v>0.99</v>
      </c>
      <c r="H4309" t="n">
        <v>6</v>
      </c>
      <c r="I4309" t="n">
        <v>12</v>
      </c>
      <c r="J4309" t="n">
        <v>3</v>
      </c>
      <c r="K4309" t="n">
        <v>4</v>
      </c>
      <c r="L4309" t="n">
        <v>31200</v>
      </c>
      <c r="M4309" t="n">
        <v>43300</v>
      </c>
      <c r="N4309" t="n">
        <v>33</v>
      </c>
      <c r="O4309" t="n">
        <v>0.33</v>
      </c>
      <c r="P4309" t="n">
        <v>1</v>
      </c>
      <c r="Q4309" t="n">
        <v>0.15</v>
      </c>
      <c r="R4309" t="n">
        <v>1</v>
      </c>
      <c r="S4309" t="n">
        <v>6715.83</v>
      </c>
      <c r="T4309" t="n">
        <v>11</v>
      </c>
      <c r="U4309" t="n">
        <v>12</v>
      </c>
      <c r="V4309" t="n">
        <v>30</v>
      </c>
      <c r="W4309" t="n">
        <v>5</v>
      </c>
      <c r="X4309" t="n">
        <v>12.89490651192779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697</v>
      </c>
      <c r="AG4309" t="n">
        <v>107</v>
      </c>
      <c r="AH4309" t="inlineStr">
        <is>
          <t xml:space="preserve">CV. DAHLIA - PPN (PDG) </t>
        </is>
      </c>
      <c r="AI4309" t="n">
        <v>287</v>
      </c>
      <c r="AJ4309" t="inlineStr">
        <is>
          <t>STUDIO TROPIK</t>
        </is>
      </c>
      <c r="AK4309" t="n">
        <v>9</v>
      </c>
      <c r="AL4309" t="inlineStr">
        <is>
          <t>Miss Glam Jambi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STUDIO TROPIK</t>
        </is>
      </c>
      <c r="B4310" s="2">
        <f>"8997217750021"</f>
        <v/>
      </c>
      <c r="C4310" t="inlineStr">
        <is>
          <t>STUDIO TROPIK Flawless Priming Water 150ml</t>
        </is>
      </c>
      <c r="D4310" t="inlineStr">
        <is>
          <t>Miss Glam Jambi</t>
        </is>
      </c>
      <c r="E4310" t="n">
        <v>5</v>
      </c>
      <c r="F4310" t="n">
        <v>0.0825</v>
      </c>
      <c r="G4310" t="n">
        <v>0.33</v>
      </c>
      <c r="H4310" t="n">
        <v>6</v>
      </c>
      <c r="I4310" t="n">
        <v>12</v>
      </c>
      <c r="J4310" t="n">
        <v>3</v>
      </c>
      <c r="K4310" t="n">
        <v>0</v>
      </c>
      <c r="L4310" t="n">
        <v>79200</v>
      </c>
      <c r="M4310" t="n">
        <v>99000</v>
      </c>
      <c r="N4310" t="n">
        <v>33</v>
      </c>
      <c r="O4310" t="n">
        <v>0.33</v>
      </c>
      <c r="P4310" t="n">
        <v>1</v>
      </c>
      <c r="Q4310" t="n">
        <v>0.05</v>
      </c>
      <c r="R4310" t="n">
        <v>1</v>
      </c>
      <c r="S4310" t="n">
        <v>8167.5</v>
      </c>
      <c r="T4310" t="n">
        <v>4</v>
      </c>
      <c r="U4310" t="n">
        <v>5</v>
      </c>
      <c r="V4310" t="n">
        <v>30</v>
      </c>
      <c r="W4310" t="n">
        <v>3</v>
      </c>
      <c r="X4310" t="n">
        <v>60.6060606060606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697</v>
      </c>
      <c r="AG4310" t="n">
        <v>107</v>
      </c>
      <c r="AH4310" t="inlineStr">
        <is>
          <t xml:space="preserve">CV. DAHLIA - PPN (PDG) </t>
        </is>
      </c>
      <c r="AI4310" t="n">
        <v>287</v>
      </c>
      <c r="AJ4310" t="inlineStr">
        <is>
          <t>STUDIO TROPIK</t>
        </is>
      </c>
      <c r="AK4310" t="n">
        <v>9</v>
      </c>
      <c r="AL4310" t="inlineStr">
        <is>
          <t>Miss Glam Jambi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STUDIO TROPIK</t>
        </is>
      </c>
      <c r="B4311" s="2">
        <f>"8997217750014"</f>
        <v/>
      </c>
      <c r="C4311" t="inlineStr">
        <is>
          <t>STUDIO TROPIK Original Priming Water 150ml</t>
        </is>
      </c>
      <c r="D4311" t="inlineStr">
        <is>
          <t>Miss Glam Jambi</t>
        </is>
      </c>
      <c r="E4311" t="n">
        <v>2</v>
      </c>
      <c r="F4311" t="n">
        <v>0.0165</v>
      </c>
      <c r="G4311" t="n">
        <v>0.33</v>
      </c>
      <c r="H4311" t="n">
        <v>6</v>
      </c>
      <c r="I4311" t="n">
        <v>12</v>
      </c>
      <c r="J4311" t="n">
        <v>3</v>
      </c>
      <c r="K4311" t="n">
        <v>0</v>
      </c>
      <c r="L4311" t="n">
        <v>79200</v>
      </c>
      <c r="M4311" t="n">
        <v>99000</v>
      </c>
      <c r="N4311" t="n">
        <v>33</v>
      </c>
      <c r="O4311" t="n">
        <v>0.33</v>
      </c>
      <c r="P4311" t="n">
        <v>1</v>
      </c>
      <c r="Q4311" t="n">
        <v>0.02</v>
      </c>
      <c r="R4311" t="n">
        <v>1</v>
      </c>
      <c r="S4311" t="n">
        <v>1633.5</v>
      </c>
      <c r="T4311" t="n">
        <v>4</v>
      </c>
      <c r="U4311" t="n">
        <v>5</v>
      </c>
      <c r="V4311" t="n">
        <v>30</v>
      </c>
      <c r="W4311" t="n">
        <v>1</v>
      </c>
      <c r="X4311" t="n">
        <v>121.2121212121212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697</v>
      </c>
      <c r="AG4311" t="n">
        <v>107</v>
      </c>
      <c r="AH4311" t="inlineStr">
        <is>
          <t xml:space="preserve">CV. DAHLIA - PPN (PDG) </t>
        </is>
      </c>
      <c r="AI4311" t="n">
        <v>287</v>
      </c>
      <c r="AJ4311" t="inlineStr">
        <is>
          <t>STUDIO TROPIK</t>
        </is>
      </c>
      <c r="AK4311" t="n">
        <v>9</v>
      </c>
      <c r="AL4311" t="inlineStr">
        <is>
          <t>Miss Glam Jambi</t>
        </is>
      </c>
      <c r="AM4311" t="n">
        <v>3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STUDIO TROPIK</t>
        </is>
      </c>
      <c r="B4312" s="2">
        <f>"8997217750434"</f>
        <v/>
      </c>
      <c r="C4312" t="inlineStr">
        <is>
          <t>STUDIO TROPIK Original Priming Water 30ml</t>
        </is>
      </c>
      <c r="D4312" t="inlineStr">
        <is>
          <t>Miss Glam Jambi</t>
        </is>
      </c>
      <c r="E4312" t="n">
        <v>2</v>
      </c>
      <c r="F4312" t="n">
        <v>0.009900000000000001</v>
      </c>
      <c r="G4312" t="n">
        <v>0.33</v>
      </c>
      <c r="H4312" t="n">
        <v>6</v>
      </c>
      <c r="I4312" t="n">
        <v>12</v>
      </c>
      <c r="J4312" t="n">
        <v>3</v>
      </c>
      <c r="K4312" t="n">
        <v>0</v>
      </c>
      <c r="L4312" t="n">
        <v>31200</v>
      </c>
      <c r="M4312" t="n">
        <v>44000</v>
      </c>
      <c r="N4312" t="n">
        <v>33</v>
      </c>
      <c r="O4312" t="n">
        <v>0.33</v>
      </c>
      <c r="P4312" t="n">
        <v>1</v>
      </c>
      <c r="Q4312" t="n">
        <v>0.02</v>
      </c>
      <c r="R4312" t="n">
        <v>1</v>
      </c>
      <c r="S4312" t="n">
        <v>435.6</v>
      </c>
      <c r="T4312" t="n">
        <v>4</v>
      </c>
      <c r="U4312" t="n">
        <v>5</v>
      </c>
      <c r="V4312" t="n">
        <v>30</v>
      </c>
      <c r="W4312" t="n">
        <v>1</v>
      </c>
      <c r="X4312" t="n">
        <v>202.020202020202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697</v>
      </c>
      <c r="AG4312" t="n">
        <v>107</v>
      </c>
      <c r="AH4312" t="inlineStr">
        <is>
          <t xml:space="preserve">CV. DAHLIA - PPN (PDG) </t>
        </is>
      </c>
      <c r="AI4312" t="n">
        <v>287</v>
      </c>
      <c r="AJ4312" t="inlineStr">
        <is>
          <t>STUDIO TROPIK</t>
        </is>
      </c>
      <c r="AK4312" t="n">
        <v>9</v>
      </c>
      <c r="AL4312" t="inlineStr">
        <is>
          <t>Miss Glam Jambi</t>
        </is>
      </c>
      <c r="AM4312" t="n">
        <v>3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STUDIO TROPIK</t>
        </is>
      </c>
      <c r="B4313" s="2">
        <f>"8997217750625"</f>
        <v/>
      </c>
      <c r="C4313" t="inlineStr">
        <is>
          <t>STUDIO TROPIK Satin 30ml</t>
        </is>
      </c>
      <c r="D4313" t="inlineStr">
        <is>
          <t>Miss Glam Jambi</t>
        </is>
      </c>
      <c r="E4313" t="n">
        <v>7</v>
      </c>
      <c r="F4313" t="n">
        <v>0.1914</v>
      </c>
      <c r="G4313" t="n">
        <v>2.31</v>
      </c>
      <c r="H4313" t="n">
        <v>6</v>
      </c>
      <c r="I4313" t="n">
        <v>12</v>
      </c>
      <c r="J4313" t="n">
        <v>3</v>
      </c>
      <c r="K4313" t="n">
        <v>0</v>
      </c>
      <c r="L4313" t="n">
        <v>47200</v>
      </c>
      <c r="M4313" t="n">
        <v>58000</v>
      </c>
      <c r="N4313" t="n">
        <v>33</v>
      </c>
      <c r="O4313" t="n">
        <v>0.33</v>
      </c>
      <c r="P4313" t="n">
        <v>1</v>
      </c>
      <c r="Q4313" t="n">
        <v>0.1</v>
      </c>
      <c r="R4313" t="n">
        <v>1</v>
      </c>
      <c r="S4313" t="n">
        <v>11101.2</v>
      </c>
      <c r="T4313" t="n">
        <v>27</v>
      </c>
      <c r="U4313" t="n">
        <v>29</v>
      </c>
      <c r="V4313" t="n">
        <v>30</v>
      </c>
      <c r="W4313" t="n">
        <v>6</v>
      </c>
      <c r="X4313" t="n">
        <v>36.57262277951934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697</v>
      </c>
      <c r="AG4313" t="n">
        <v>107</v>
      </c>
      <c r="AH4313" t="inlineStr">
        <is>
          <t xml:space="preserve">CV. DAHLIA - PPN (PDG) </t>
        </is>
      </c>
      <c r="AI4313" t="n">
        <v>287</v>
      </c>
      <c r="AJ4313" t="inlineStr">
        <is>
          <t>STUDIO TROPIK</t>
        </is>
      </c>
      <c r="AK4313" t="n">
        <v>9</v>
      </c>
      <c r="AL4313" t="inlineStr">
        <is>
          <t>Miss Glam Jambi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STUDIO TROPIK</t>
        </is>
      </c>
      <c r="B4314" s="2">
        <f>"8997217750113"</f>
        <v/>
      </c>
      <c r="C4314" t="inlineStr">
        <is>
          <t>STUDIO TROPIK Setting Spray Dream Setter 30ml</t>
        </is>
      </c>
      <c r="D4314" t="inlineStr">
        <is>
          <t>Miss Glam Jambi</t>
        </is>
      </c>
      <c r="E4314" t="n">
        <v>2</v>
      </c>
      <c r="F4314" t="n">
        <v>0.1023</v>
      </c>
      <c r="G4314" t="n">
        <v>0.99</v>
      </c>
      <c r="H4314" t="n">
        <v>6</v>
      </c>
      <c r="I4314" t="n">
        <v>12</v>
      </c>
      <c r="J4314" t="n">
        <v>3</v>
      </c>
      <c r="K4314" t="n">
        <v>0</v>
      </c>
      <c r="L4314" t="n">
        <v>47200</v>
      </c>
      <c r="M4314" t="n">
        <v>83000</v>
      </c>
      <c r="N4314" t="n">
        <v>33</v>
      </c>
      <c r="O4314" t="n">
        <v>0.33</v>
      </c>
      <c r="P4314" t="n">
        <v>1</v>
      </c>
      <c r="Q4314" t="n">
        <v>0.15</v>
      </c>
      <c r="R4314" t="n">
        <v>1</v>
      </c>
      <c r="S4314" t="n">
        <v>8490.9</v>
      </c>
      <c r="T4314" t="n">
        <v>12</v>
      </c>
      <c r="U4314" t="n">
        <v>13</v>
      </c>
      <c r="V4314" t="n">
        <v>30</v>
      </c>
      <c r="W4314" t="n">
        <v>4</v>
      </c>
      <c r="X4314" t="n">
        <v>19.55034213098729</v>
      </c>
      <c r="Y4314" t="n">
        <v>1</v>
      </c>
      <c r="Z4314" t="n">
        <v>2</v>
      </c>
      <c r="AA4314" t="n">
        <v>0</v>
      </c>
      <c r="AB4314" t="n">
        <v>2</v>
      </c>
      <c r="AC4314" t="n">
        <v>3</v>
      </c>
      <c r="AD4314" t="n">
        <v>0</v>
      </c>
      <c r="AE4314" t="n">
        <v>141600</v>
      </c>
      <c r="AF4314" t="n">
        <v>697</v>
      </c>
      <c r="AG4314" t="n">
        <v>107</v>
      </c>
      <c r="AH4314" t="inlineStr">
        <is>
          <t xml:space="preserve">CV. DAHLIA - PPN (PDG) </t>
        </is>
      </c>
      <c r="AI4314" t="n">
        <v>287</v>
      </c>
      <c r="AJ4314" t="inlineStr">
        <is>
          <t>STUDIO TROPIK</t>
        </is>
      </c>
      <c r="AK4314" t="n">
        <v>9</v>
      </c>
      <c r="AL4314" t="inlineStr">
        <is>
          <t>Miss Glam Jambi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STUDIO TROPIK</t>
        </is>
      </c>
      <c r="B4315" s="2">
        <f>"8997217750649"</f>
        <v/>
      </c>
      <c r="C4315" t="inlineStr">
        <is>
          <t>STUDIO TROPIK x Female Daily Priming Water Fiming + Makeup Base Spray 30ml</t>
        </is>
      </c>
      <c r="D4315" t="inlineStr">
        <is>
          <t>Miss Glam Jambi</t>
        </is>
      </c>
      <c r="E4315" t="n">
        <v>2</v>
      </c>
      <c r="F4315" t="n">
        <v>0.0495</v>
      </c>
      <c r="G4315" t="n">
        <v>0.33</v>
      </c>
      <c r="H4315" t="n">
        <v>6</v>
      </c>
      <c r="I4315" t="n">
        <v>12</v>
      </c>
      <c r="J4315" t="n">
        <v>3</v>
      </c>
      <c r="K4315" t="n">
        <v>0</v>
      </c>
      <c r="L4315" t="n">
        <v>31200</v>
      </c>
      <c r="M4315" t="n">
        <v>38000</v>
      </c>
      <c r="N4315" t="n">
        <v>33</v>
      </c>
      <c r="O4315" t="n">
        <v>0.33</v>
      </c>
      <c r="P4315" t="n">
        <v>1</v>
      </c>
      <c r="Q4315" t="n">
        <v>0.02</v>
      </c>
      <c r="R4315" t="n">
        <v>0</v>
      </c>
      <c r="S4315" t="n">
        <v>1881</v>
      </c>
      <c r="T4315" t="n">
        <v>4</v>
      </c>
      <c r="U4315" t="n">
        <v>5</v>
      </c>
      <c r="V4315" t="n">
        <v>30</v>
      </c>
      <c r="W4315" t="n">
        <v>2</v>
      </c>
      <c r="X4315" t="n">
        <v>40.4040404040404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697</v>
      </c>
      <c r="AG4315" t="n">
        <v>107</v>
      </c>
      <c r="AH4315" t="inlineStr">
        <is>
          <t xml:space="preserve">CV. DAHLIA - PPN (PDG) </t>
        </is>
      </c>
      <c r="AI4315" t="n">
        <v>287</v>
      </c>
      <c r="AJ4315" t="inlineStr">
        <is>
          <t>STUDIO TROPIK</t>
        </is>
      </c>
      <c r="AK4315" t="n">
        <v>9</v>
      </c>
      <c r="AL4315" t="inlineStr">
        <is>
          <t>Miss Glam Jambi</t>
        </is>
      </c>
      <c r="AM4315" t="n">
        <v>3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SUNSILK</t>
        </is>
      </c>
      <c r="B4316" s="2">
        <f>"40200808005"</f>
        <v/>
      </c>
      <c r="C4316" t="inlineStr">
        <is>
          <t>SUNSILK Multivitamin Hair Parfume 50 ml</t>
        </is>
      </c>
      <c r="D4316" t="inlineStr">
        <is>
          <t>Miss Glam Jambi</t>
        </is>
      </c>
      <c r="E4316" t="n">
        <v>4</v>
      </c>
      <c r="F4316" t="n">
        <v>0.02</v>
      </c>
      <c r="G4316" t="n">
        <v>1</v>
      </c>
      <c r="H4316" t="n">
        <v>3</v>
      </c>
      <c r="I4316" t="n">
        <v>19</v>
      </c>
      <c r="J4316" t="n">
        <v>1</v>
      </c>
      <c r="K4316" t="n">
        <v>0</v>
      </c>
      <c r="L4316" t="n">
        <v>18488</v>
      </c>
      <c r="M4316" t="n">
        <v>22000</v>
      </c>
      <c r="N4316" t="n">
        <v>33</v>
      </c>
      <c r="O4316" t="n">
        <v>0.33</v>
      </c>
      <c r="P4316" t="n">
        <v>0</v>
      </c>
      <c r="Q4316" t="n">
        <v>0.02</v>
      </c>
      <c r="R4316" t="n">
        <v>1</v>
      </c>
      <c r="S4316" t="n">
        <v>440</v>
      </c>
      <c r="T4316" t="n">
        <v>19</v>
      </c>
      <c r="U4316" t="n">
        <v>20</v>
      </c>
      <c r="V4316" t="n">
        <v>30</v>
      </c>
      <c r="W4316" t="n">
        <v>1</v>
      </c>
      <c r="X4316" t="n">
        <v>200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9786</v>
      </c>
      <c r="AG4316" t="n">
        <v>2206</v>
      </c>
      <c r="AH4316" t="inlineStr">
        <is>
          <t>PT. ENHA PUTRA (ONLINE CASH)</t>
        </is>
      </c>
      <c r="AI4316" t="n">
        <v>1581</v>
      </c>
      <c r="AJ4316" t="inlineStr">
        <is>
          <t>SUNSILK</t>
        </is>
      </c>
      <c r="AK4316" t="n">
        <v>9</v>
      </c>
      <c r="AL4316" t="inlineStr">
        <is>
          <t>Miss Glam Jambi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SUNSILK</t>
        </is>
      </c>
      <c r="B4317" s="2">
        <f>"40200509242"</f>
        <v/>
      </c>
      <c r="C4317" t="inlineStr">
        <is>
          <t>SUNSILK Multivitamin Hair Parfume Kuning 100ml</t>
        </is>
      </c>
      <c r="D4317" t="inlineStr">
        <is>
          <t>Miss Glam Jambi</t>
        </is>
      </c>
      <c r="E4317" t="n">
        <v>4</v>
      </c>
      <c r="F4317" t="n">
        <v>0.0462</v>
      </c>
      <c r="G4317" t="n">
        <v>0.66</v>
      </c>
      <c r="H4317" t="n">
        <v>3</v>
      </c>
      <c r="I4317" t="n">
        <v>19</v>
      </c>
      <c r="J4317" t="n">
        <v>1</v>
      </c>
      <c r="K4317" t="n">
        <v>0</v>
      </c>
      <c r="L4317" t="n">
        <v>27230</v>
      </c>
      <c r="M4317" t="n">
        <v>33000</v>
      </c>
      <c r="N4317" t="n">
        <v>33</v>
      </c>
      <c r="O4317" t="n">
        <v>0.33</v>
      </c>
      <c r="P4317" t="n">
        <v>1</v>
      </c>
      <c r="Q4317" t="n">
        <v>0.02</v>
      </c>
      <c r="R4317" t="n">
        <v>1</v>
      </c>
      <c r="S4317" t="n">
        <v>1524.6</v>
      </c>
      <c r="T4317" t="n">
        <v>13</v>
      </c>
      <c r="U4317" t="n">
        <v>14</v>
      </c>
      <c r="V4317" t="n">
        <v>30</v>
      </c>
      <c r="W4317" t="n">
        <v>2</v>
      </c>
      <c r="X4317" t="n">
        <v>86.58008658008657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9786</v>
      </c>
      <c r="AG4317" t="n">
        <v>2206</v>
      </c>
      <c r="AH4317" t="inlineStr">
        <is>
          <t>PT. ENHA PUTRA (ONLINE CASH)</t>
        </is>
      </c>
      <c r="AI4317" t="n">
        <v>1581</v>
      </c>
      <c r="AJ4317" t="inlineStr">
        <is>
          <t>SUNSILK</t>
        </is>
      </c>
      <c r="AK4317" t="n">
        <v>9</v>
      </c>
      <c r="AL4317" t="inlineStr">
        <is>
          <t>Miss Glam Jambi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SUNSILK</t>
        </is>
      </c>
      <c r="B4318" s="2">
        <f>"40200509458"</f>
        <v/>
      </c>
      <c r="C4318" t="inlineStr">
        <is>
          <t>SUNSILK Multivitamin Hair Parfume Pink 100ml</t>
        </is>
      </c>
      <c r="D4318" t="inlineStr">
        <is>
          <t>Miss Glam Jambi</t>
        </is>
      </c>
      <c r="E4318" t="n">
        <v>5</v>
      </c>
      <c r="F4318" t="n">
        <v>0.0726</v>
      </c>
      <c r="G4318" t="n">
        <v>0.66</v>
      </c>
      <c r="H4318" t="n">
        <v>3</v>
      </c>
      <c r="I4318" t="n">
        <v>19</v>
      </c>
      <c r="J4318" t="n">
        <v>1</v>
      </c>
      <c r="K4318" t="n">
        <v>0</v>
      </c>
      <c r="L4318" t="n">
        <v>27230</v>
      </c>
      <c r="M4318" t="n">
        <v>33000</v>
      </c>
      <c r="N4318" t="n">
        <v>33</v>
      </c>
      <c r="O4318" t="n">
        <v>0.33</v>
      </c>
      <c r="P4318" t="n">
        <v>1</v>
      </c>
      <c r="Q4318" t="n">
        <v>0.02</v>
      </c>
      <c r="R4318" t="n">
        <v>1</v>
      </c>
      <c r="S4318" t="n">
        <v>2395.8</v>
      </c>
      <c r="T4318" t="n">
        <v>13</v>
      </c>
      <c r="U4318" t="n">
        <v>14</v>
      </c>
      <c r="V4318" t="n">
        <v>30</v>
      </c>
      <c r="W4318" t="n">
        <v>3</v>
      </c>
      <c r="X4318" t="n">
        <v>68.87052341597796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9786</v>
      </c>
      <c r="AG4318" t="n">
        <v>2206</v>
      </c>
      <c r="AH4318" t="inlineStr">
        <is>
          <t>PT. ENHA PUTRA (ONLINE CASH)</t>
        </is>
      </c>
      <c r="AI4318" t="n">
        <v>1581</v>
      </c>
      <c r="AJ4318" t="inlineStr">
        <is>
          <t>SUNSILK</t>
        </is>
      </c>
      <c r="AK4318" t="n">
        <v>9</v>
      </c>
      <c r="AL4318" t="inlineStr">
        <is>
          <t>Miss Glam Jambi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SUNSILK</t>
        </is>
      </c>
      <c r="B4319" s="2">
        <f>"40200509360"</f>
        <v/>
      </c>
      <c r="C4319" t="inlineStr">
        <is>
          <t>SUNSILK Multivitamin Hair Parfume Ungu 100ml</t>
        </is>
      </c>
      <c r="D4319" t="inlineStr">
        <is>
          <t>Miss Glam Jambi</t>
        </is>
      </c>
      <c r="E4319" t="n">
        <v>4</v>
      </c>
      <c r="F4319" t="n">
        <v>0.0165</v>
      </c>
      <c r="G4319" t="n">
        <v>0.66</v>
      </c>
      <c r="H4319" t="n">
        <v>3</v>
      </c>
      <c r="I4319" t="n">
        <v>19</v>
      </c>
      <c r="J4319" t="n">
        <v>1</v>
      </c>
      <c r="K4319" t="n">
        <v>0</v>
      </c>
      <c r="L4319" t="n">
        <v>27230</v>
      </c>
      <c r="M4319" t="n">
        <v>33000</v>
      </c>
      <c r="N4319" t="n">
        <v>33</v>
      </c>
      <c r="O4319" t="n">
        <v>0.33</v>
      </c>
      <c r="P4319" t="n">
        <v>1</v>
      </c>
      <c r="Q4319" t="n">
        <v>0.02</v>
      </c>
      <c r="R4319" t="n">
        <v>1</v>
      </c>
      <c r="S4319" t="n">
        <v>544.5</v>
      </c>
      <c r="T4319" t="n">
        <v>13</v>
      </c>
      <c r="U4319" t="n">
        <v>14</v>
      </c>
      <c r="V4319" t="n">
        <v>30</v>
      </c>
      <c r="W4319" t="n">
        <v>1</v>
      </c>
      <c r="X4319" t="n">
        <v>242.4242424242424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9786</v>
      </c>
      <c r="AG4319" t="n">
        <v>2206</v>
      </c>
      <c r="AH4319" t="inlineStr">
        <is>
          <t>PT. ENHA PUTRA (ONLINE CASH)</t>
        </is>
      </c>
      <c r="AI4319" t="n">
        <v>1581</v>
      </c>
      <c r="AJ4319" t="inlineStr">
        <is>
          <t>SUNSILK</t>
        </is>
      </c>
      <c r="AK4319" t="n">
        <v>9</v>
      </c>
      <c r="AL4319" t="inlineStr">
        <is>
          <t>Miss Glam Jambi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SYUGA</t>
        </is>
      </c>
      <c r="B4320" s="2">
        <f>"8998183909154"</f>
        <v/>
      </c>
      <c r="C4320" t="inlineStr">
        <is>
          <t>SYUGA Minyak Jojoba 150ml</t>
        </is>
      </c>
      <c r="D4320" t="inlineStr">
        <is>
          <t>Miss Glam Jambi</t>
        </is>
      </c>
      <c r="E4320" t="n">
        <v>0</v>
      </c>
      <c r="F4320" t="n">
        <v>0.1023</v>
      </c>
      <c r="G4320" t="n">
        <v>0.66</v>
      </c>
      <c r="H4320" t="n">
        <v>4</v>
      </c>
      <c r="I4320" t="n">
        <v>28</v>
      </c>
      <c r="J4320" t="n">
        <v>3</v>
      </c>
      <c r="K4320" t="n">
        <v>0</v>
      </c>
      <c r="L4320" t="n">
        <v>24908</v>
      </c>
      <c r="M4320" t="n">
        <v>27500</v>
      </c>
      <c r="N4320" t="n">
        <v>33</v>
      </c>
      <c r="O4320" t="n">
        <v>0.33</v>
      </c>
      <c r="P4320" t="n">
        <v>1</v>
      </c>
      <c r="Q4320" t="n">
        <v>0.11</v>
      </c>
      <c r="R4320" t="n">
        <v>2</v>
      </c>
      <c r="S4320" t="n">
        <v>2813.25</v>
      </c>
      <c r="T4320" t="n">
        <v>19</v>
      </c>
      <c r="U4320" t="n">
        <v>20</v>
      </c>
      <c r="V4320" t="n">
        <v>30</v>
      </c>
      <c r="W4320" t="n">
        <v>4</v>
      </c>
      <c r="X4320" t="n">
        <v>0</v>
      </c>
      <c r="Y4320" t="n">
        <v>1</v>
      </c>
      <c r="Z4320" t="n">
        <v>4</v>
      </c>
      <c r="AA4320" t="n">
        <v>3</v>
      </c>
      <c r="AB4320" t="n">
        <v>1</v>
      </c>
      <c r="AC4320" t="n">
        <v>3</v>
      </c>
      <c r="AD4320" t="n">
        <v>74724</v>
      </c>
      <c r="AE4320" t="n">
        <v>74724</v>
      </c>
      <c r="AF4320" t="n">
        <v>10539</v>
      </c>
      <c r="AG4320" t="n">
        <v>2148</v>
      </c>
      <c r="AH4320" t="inlineStr">
        <is>
          <t>PT. JAYA PALEMBANG SUKSES - PPN (JMB)</t>
        </is>
      </c>
      <c r="AI4320" t="n">
        <v>1939</v>
      </c>
      <c r="AJ4320" t="inlineStr">
        <is>
          <t>SYUGA</t>
        </is>
      </c>
      <c r="AK4320" t="n">
        <v>9</v>
      </c>
      <c r="AL4320" t="inlineStr">
        <is>
          <t>Miss Glam Jambi</t>
        </is>
      </c>
      <c r="AM4320" t="n">
        <v>5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TALK ME</t>
        </is>
      </c>
      <c r="B4321" s="2">
        <f>"304002105829"</f>
        <v/>
      </c>
      <c r="C4321" t="inlineStr">
        <is>
          <t>TALK ME Eau De Parfume Black OP 35ml</t>
        </is>
      </c>
      <c r="D4321" t="inlineStr">
        <is>
          <t>Miss Glam Jambi</t>
        </is>
      </c>
      <c r="E4321" t="n">
        <v>0</v>
      </c>
      <c r="F4321" t="n">
        <v>0.02</v>
      </c>
      <c r="G4321" t="n">
        <v>1</v>
      </c>
      <c r="H4321" t="n">
        <v>15</v>
      </c>
      <c r="I4321" t="n">
        <v>15</v>
      </c>
      <c r="J4321" t="n">
        <v>3</v>
      </c>
      <c r="K4321" t="n">
        <v>0</v>
      </c>
      <c r="L4321" t="n">
        <v>14572</v>
      </c>
      <c r="M4321" t="n">
        <v>19000</v>
      </c>
      <c r="N4321" t="n">
        <v>33</v>
      </c>
      <c r="O4321" t="n">
        <v>0.33</v>
      </c>
      <c r="P4321" t="n">
        <v>0</v>
      </c>
      <c r="Q4321" t="n">
        <v>0.02</v>
      </c>
      <c r="R4321" t="n">
        <v>1</v>
      </c>
      <c r="S4321" t="n">
        <v>380</v>
      </c>
      <c r="T4321" t="n">
        <v>15</v>
      </c>
      <c r="U4321" t="n">
        <v>16</v>
      </c>
      <c r="V4321" t="n">
        <v>30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n">
        <v>0</v>
      </c>
      <c r="AC4321" t="n">
        <v>0</v>
      </c>
      <c r="AD4321" t="n">
        <v>14572</v>
      </c>
      <c r="AE4321" t="n">
        <v>0</v>
      </c>
      <c r="AF4321" t="n">
        <v>13508</v>
      </c>
      <c r="AG4321" t="n">
        <v>2764</v>
      </c>
      <c r="AH4321" t="inlineStr">
        <is>
          <t>TALK ME PUSAT (ONLINE)</t>
        </is>
      </c>
      <c r="AI4321" t="n">
        <v>1343</v>
      </c>
      <c r="AJ4321" t="inlineStr">
        <is>
          <t>TALK ME</t>
        </is>
      </c>
      <c r="AK4321" t="n">
        <v>9</v>
      </c>
      <c r="AL4321" t="inlineStr">
        <is>
          <t>Miss Glam Jambi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TALK ME</t>
        </is>
      </c>
      <c r="B4322" s="2">
        <f>"30400275637"</f>
        <v/>
      </c>
      <c r="C4322" t="inlineStr">
        <is>
          <t>TALK ME Eau De Parfume Coco Moiselle 30ml</t>
        </is>
      </c>
      <c r="D4322" t="inlineStr">
        <is>
          <t>Miss Glam Jambi</t>
        </is>
      </c>
      <c r="E4322" t="n">
        <v>4</v>
      </c>
      <c r="F4322" t="n">
        <v>0.02</v>
      </c>
      <c r="G4322" t="n">
        <v>1</v>
      </c>
      <c r="H4322" t="n">
        <v>15</v>
      </c>
      <c r="I4322" t="n">
        <v>15</v>
      </c>
      <c r="J4322" t="n">
        <v>3</v>
      </c>
      <c r="K4322" t="n">
        <v>0</v>
      </c>
      <c r="L4322" t="n">
        <v>13906</v>
      </c>
      <c r="M4322" t="n">
        <v>20000</v>
      </c>
      <c r="N4322" t="n">
        <v>33</v>
      </c>
      <c r="O4322" t="n">
        <v>0.33</v>
      </c>
      <c r="P4322" t="n">
        <v>0</v>
      </c>
      <c r="Q4322" t="n">
        <v>0.02</v>
      </c>
      <c r="R4322" t="n">
        <v>1</v>
      </c>
      <c r="S4322" t="n">
        <v>400</v>
      </c>
      <c r="T4322" t="n">
        <v>15</v>
      </c>
      <c r="U4322" t="n">
        <v>16</v>
      </c>
      <c r="V4322" t="n">
        <v>30</v>
      </c>
      <c r="W4322" t="n">
        <v>1</v>
      </c>
      <c r="X4322" t="n">
        <v>200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13508</v>
      </c>
      <c r="AG4322" t="n">
        <v>2764</v>
      </c>
      <c r="AH4322" t="inlineStr">
        <is>
          <t>TALK ME PUSAT (ONLINE)</t>
        </is>
      </c>
      <c r="AI4322" t="n">
        <v>1343</v>
      </c>
      <c r="AJ4322" t="inlineStr">
        <is>
          <t>TALK ME</t>
        </is>
      </c>
      <c r="AK4322" t="n">
        <v>9</v>
      </c>
      <c r="AL4322" t="inlineStr">
        <is>
          <t>Miss Glam Jambi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TALK ME</t>
        </is>
      </c>
      <c r="B4323" s="2">
        <f>"304002100053"</f>
        <v/>
      </c>
      <c r="C4323" t="inlineStr">
        <is>
          <t>TALK ME Eau De Parfume Vanilla Cream 35ml</t>
        </is>
      </c>
      <c r="D4323" t="inlineStr">
        <is>
          <t>Miss Glam Jambi</t>
        </is>
      </c>
      <c r="E4323" t="n">
        <v>1</v>
      </c>
      <c r="F4323" t="n">
        <v>0.02</v>
      </c>
      <c r="G4323" t="n">
        <v>1</v>
      </c>
      <c r="H4323" t="n">
        <v>15</v>
      </c>
      <c r="I4323" t="n">
        <v>15</v>
      </c>
      <c r="J4323" t="n">
        <v>3</v>
      </c>
      <c r="K4323" t="n">
        <v>0</v>
      </c>
      <c r="L4323" t="n">
        <v>14767</v>
      </c>
      <c r="M4323" t="n">
        <v>20000</v>
      </c>
      <c r="N4323" t="n">
        <v>33</v>
      </c>
      <c r="O4323" t="n">
        <v>0.33</v>
      </c>
      <c r="P4323" t="n">
        <v>0</v>
      </c>
      <c r="Q4323" t="n">
        <v>0.02</v>
      </c>
      <c r="R4323" t="n">
        <v>1</v>
      </c>
      <c r="S4323" t="n">
        <v>400</v>
      </c>
      <c r="T4323" t="n">
        <v>15</v>
      </c>
      <c r="U4323" t="n">
        <v>16</v>
      </c>
      <c r="V4323" t="n">
        <v>30</v>
      </c>
      <c r="W4323" t="n">
        <v>1</v>
      </c>
      <c r="X4323" t="n">
        <v>50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13508</v>
      </c>
      <c r="AG4323" t="n">
        <v>2764</v>
      </c>
      <c r="AH4323" t="inlineStr">
        <is>
          <t>TALK ME PUSAT (ONLINE)</t>
        </is>
      </c>
      <c r="AI4323" t="n">
        <v>1343</v>
      </c>
      <c r="AJ4323" t="inlineStr">
        <is>
          <t>TALK ME</t>
        </is>
      </c>
      <c r="AK4323" t="n">
        <v>9</v>
      </c>
      <c r="AL4323" t="inlineStr">
        <is>
          <t>Miss Glam Jambi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TALK ME</t>
        </is>
      </c>
      <c r="B4324" s="2">
        <f>"304002106137"</f>
        <v/>
      </c>
      <c r="C4324" t="inlineStr">
        <is>
          <t>TALK ME Eau De Parfume VIP Black 35ml</t>
        </is>
      </c>
      <c r="D4324" t="inlineStr">
        <is>
          <t>Miss Glam Jambi</t>
        </is>
      </c>
      <c r="E4324" t="n">
        <v>2</v>
      </c>
      <c r="F4324" t="n">
        <v>0.009900000000000001</v>
      </c>
      <c r="G4324" t="n">
        <v>0.33</v>
      </c>
      <c r="H4324" t="n">
        <v>15</v>
      </c>
      <c r="I4324" t="n">
        <v>15</v>
      </c>
      <c r="J4324" t="n">
        <v>3</v>
      </c>
      <c r="K4324" t="n">
        <v>0</v>
      </c>
      <c r="L4324" t="n">
        <v>14686</v>
      </c>
      <c r="M4324" t="n">
        <v>20000</v>
      </c>
      <c r="N4324" t="n">
        <v>33</v>
      </c>
      <c r="O4324" t="n">
        <v>0.33</v>
      </c>
      <c r="P4324" t="n">
        <v>1</v>
      </c>
      <c r="Q4324" t="n">
        <v>0.02</v>
      </c>
      <c r="R4324" t="n">
        <v>1</v>
      </c>
      <c r="S4324" t="n">
        <v>198</v>
      </c>
      <c r="T4324" t="n">
        <v>5</v>
      </c>
      <c r="U4324" t="n">
        <v>6</v>
      </c>
      <c r="V4324" t="n">
        <v>30</v>
      </c>
      <c r="W4324" t="n">
        <v>1</v>
      </c>
      <c r="X4324" t="n">
        <v>202.020202020202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13508</v>
      </c>
      <c r="AG4324" t="n">
        <v>2764</v>
      </c>
      <c r="AH4324" t="inlineStr">
        <is>
          <t>TALK ME PUSAT (ONLINE)</t>
        </is>
      </c>
      <c r="AI4324" t="n">
        <v>1343</v>
      </c>
      <c r="AJ4324" t="inlineStr">
        <is>
          <t>TALK ME</t>
        </is>
      </c>
      <c r="AK4324" t="n">
        <v>9</v>
      </c>
      <c r="AL4324" t="inlineStr">
        <is>
          <t>Miss Glam Jambi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TALK ME</t>
        </is>
      </c>
      <c r="B4325" s="2">
        <f>"304002124853"</f>
        <v/>
      </c>
      <c r="C4325" t="inlineStr">
        <is>
          <t>TALKME Eau De Parfum Jo Peony 35ml</t>
        </is>
      </c>
      <c r="D4325" t="inlineStr">
        <is>
          <t>Miss Glam Jambi</t>
        </is>
      </c>
      <c r="E4325" t="n">
        <v>2</v>
      </c>
      <c r="F4325" t="n">
        <v>0.03</v>
      </c>
      <c r="G4325" t="n">
        <v>1</v>
      </c>
      <c r="H4325" t="n">
        <v>15</v>
      </c>
      <c r="I4325" t="n">
        <v>15</v>
      </c>
      <c r="J4325" t="n">
        <v>3</v>
      </c>
      <c r="K4325" t="n">
        <v>0</v>
      </c>
      <c r="L4325" t="n">
        <v>14767</v>
      </c>
      <c r="M4325" t="n">
        <v>20000</v>
      </c>
      <c r="N4325" t="n">
        <v>33</v>
      </c>
      <c r="O4325" t="n">
        <v>0.33</v>
      </c>
      <c r="P4325" t="n">
        <v>0</v>
      </c>
      <c r="Q4325" t="n">
        <v>0.03</v>
      </c>
      <c r="R4325" t="n">
        <v>1</v>
      </c>
      <c r="S4325" t="n">
        <v>600</v>
      </c>
      <c r="T4325" t="n">
        <v>15</v>
      </c>
      <c r="U4325" t="n">
        <v>16</v>
      </c>
      <c r="V4325" t="n">
        <v>30</v>
      </c>
      <c r="W4325" t="n">
        <v>1</v>
      </c>
      <c r="X4325" t="n">
        <v>66.66666666666667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13508</v>
      </c>
      <c r="AG4325" t="n">
        <v>2764</v>
      </c>
      <c r="AH4325" t="inlineStr">
        <is>
          <t>TALK ME PUSAT (ONLINE)</t>
        </is>
      </c>
      <c r="AI4325" t="n">
        <v>1343</v>
      </c>
      <c r="AJ4325" t="inlineStr">
        <is>
          <t>TALK ME</t>
        </is>
      </c>
      <c r="AK4325" t="n">
        <v>9</v>
      </c>
      <c r="AL4325" t="inlineStr">
        <is>
          <t>Miss Glam Jambi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TALK ME</t>
        </is>
      </c>
      <c r="B4326" s="2">
        <f>"304002134818"</f>
        <v/>
      </c>
      <c r="C4326" t="inlineStr">
        <is>
          <t>TALKME Eau De Parfum Kzo Flower 35ml</t>
        </is>
      </c>
      <c r="D4326" t="inlineStr">
        <is>
          <t>Miss Glam Jambi</t>
        </is>
      </c>
      <c r="E4326" t="n">
        <v>0</v>
      </c>
      <c r="F4326" t="n">
        <v>0.03</v>
      </c>
      <c r="G4326" t="n">
        <v>1</v>
      </c>
      <c r="H4326" t="n">
        <v>15</v>
      </c>
      <c r="I4326" t="n">
        <v>15</v>
      </c>
      <c r="J4326" t="n">
        <v>3</v>
      </c>
      <c r="K4326" t="n">
        <v>0</v>
      </c>
      <c r="L4326" t="n">
        <v>16167</v>
      </c>
      <c r="M4326" t="n">
        <v>20000</v>
      </c>
      <c r="N4326" t="n">
        <v>33</v>
      </c>
      <c r="O4326" t="n">
        <v>0.33</v>
      </c>
      <c r="P4326" t="n">
        <v>0</v>
      </c>
      <c r="Q4326" t="n">
        <v>0.03</v>
      </c>
      <c r="R4326" t="n">
        <v>1</v>
      </c>
      <c r="S4326" t="n">
        <v>600</v>
      </c>
      <c r="T4326" t="n">
        <v>15</v>
      </c>
      <c r="U4326" t="n">
        <v>16</v>
      </c>
      <c r="V4326" t="n">
        <v>30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n">
        <v>0</v>
      </c>
      <c r="AC4326" t="n">
        <v>0</v>
      </c>
      <c r="AD4326" t="n">
        <v>16167</v>
      </c>
      <c r="AE4326" t="n">
        <v>0</v>
      </c>
      <c r="AF4326" t="n">
        <v>13508</v>
      </c>
      <c r="AG4326" t="n">
        <v>2764</v>
      </c>
      <c r="AH4326" t="inlineStr">
        <is>
          <t>TALK ME PUSAT (ONLINE)</t>
        </is>
      </c>
      <c r="AI4326" t="n">
        <v>1343</v>
      </c>
      <c r="AJ4326" t="inlineStr">
        <is>
          <t>TALK ME</t>
        </is>
      </c>
      <c r="AK4326" t="n">
        <v>9</v>
      </c>
      <c r="AL4326" t="inlineStr">
        <is>
          <t>Miss Glam Jambi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TALK ME</t>
        </is>
      </c>
      <c r="B4327" s="2">
        <f>"30400275915"</f>
        <v/>
      </c>
      <c r="C4327" t="inlineStr">
        <is>
          <t>TALKME Eu De Parfume De Savage 30ml</t>
        </is>
      </c>
      <c r="D4327" t="inlineStr">
        <is>
          <t>Miss Glam Jambi</t>
        </is>
      </c>
      <c r="E4327" t="n">
        <v>5</v>
      </c>
      <c r="F4327" t="n">
        <v>0.009900000000000001</v>
      </c>
      <c r="G4327" t="n">
        <v>0.33</v>
      </c>
      <c r="H4327" t="n">
        <v>15</v>
      </c>
      <c r="I4327" t="n">
        <v>15</v>
      </c>
      <c r="J4327" t="n">
        <v>3</v>
      </c>
      <c r="K4327" t="n">
        <v>0</v>
      </c>
      <c r="L4327" t="n">
        <v>13004</v>
      </c>
      <c r="M4327" t="n">
        <v>20000</v>
      </c>
      <c r="N4327" t="n">
        <v>33</v>
      </c>
      <c r="O4327" t="n">
        <v>0.33</v>
      </c>
      <c r="P4327" t="n">
        <v>1</v>
      </c>
      <c r="Q4327" t="n">
        <v>0.02</v>
      </c>
      <c r="R4327" t="n">
        <v>1</v>
      </c>
      <c r="S4327" t="n">
        <v>198</v>
      </c>
      <c r="T4327" t="n">
        <v>5</v>
      </c>
      <c r="U4327" t="n">
        <v>6</v>
      </c>
      <c r="V4327" t="n">
        <v>30</v>
      </c>
      <c r="W4327" t="n">
        <v>1</v>
      </c>
      <c r="X4327" t="n">
        <v>505.050505050505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13508</v>
      </c>
      <c r="AG4327" t="n">
        <v>2764</v>
      </c>
      <c r="AH4327" t="inlineStr">
        <is>
          <t>TALK ME PUSAT (ONLINE)</t>
        </is>
      </c>
      <c r="AI4327" t="n">
        <v>1343</v>
      </c>
      <c r="AJ4327" t="inlineStr">
        <is>
          <t>TALK ME</t>
        </is>
      </c>
      <c r="AK4327" t="n">
        <v>9</v>
      </c>
      <c r="AL4327" t="inlineStr">
        <is>
          <t>Miss Glam Jambi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TALK ME</t>
        </is>
      </c>
      <c r="B4328" s="2">
        <f>"30400291542"</f>
        <v/>
      </c>
      <c r="C4328" t="inlineStr">
        <is>
          <t>TALKME Eu De Parfume Jo English 30ml</t>
        </is>
      </c>
      <c r="D4328" t="inlineStr">
        <is>
          <t>Miss Glam Jambi</t>
        </is>
      </c>
      <c r="E4328" t="n">
        <v>1</v>
      </c>
      <c r="F4328" t="n">
        <v>0.02</v>
      </c>
      <c r="G4328" t="n">
        <v>1</v>
      </c>
      <c r="H4328" t="n">
        <v>15</v>
      </c>
      <c r="I4328" t="n">
        <v>15</v>
      </c>
      <c r="J4328" t="n">
        <v>3</v>
      </c>
      <c r="K4328" t="n">
        <v>0</v>
      </c>
      <c r="L4328" t="n">
        <v>12556</v>
      </c>
      <c r="M4328" t="n">
        <v>20000</v>
      </c>
      <c r="N4328" t="n">
        <v>33</v>
      </c>
      <c r="O4328" t="n">
        <v>0.33</v>
      </c>
      <c r="P4328" t="n">
        <v>0</v>
      </c>
      <c r="Q4328" t="n">
        <v>0.02</v>
      </c>
      <c r="R4328" t="n">
        <v>1</v>
      </c>
      <c r="S4328" t="n">
        <v>400</v>
      </c>
      <c r="T4328" t="n">
        <v>15</v>
      </c>
      <c r="U4328" t="n">
        <v>16</v>
      </c>
      <c r="V4328" t="n">
        <v>30</v>
      </c>
      <c r="W4328" t="n">
        <v>1</v>
      </c>
      <c r="X4328" t="n">
        <v>50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13508</v>
      </c>
      <c r="AG4328" t="n">
        <v>2764</v>
      </c>
      <c r="AH4328" t="inlineStr">
        <is>
          <t>TALK ME PUSAT (ONLINE)</t>
        </is>
      </c>
      <c r="AI4328" t="n">
        <v>1343</v>
      </c>
      <c r="AJ4328" t="inlineStr">
        <is>
          <t>TALK ME</t>
        </is>
      </c>
      <c r="AK4328" t="n">
        <v>9</v>
      </c>
      <c r="AL4328" t="inlineStr">
        <is>
          <t>Miss Glam Jambi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THE BODY CULTURE</t>
        </is>
      </c>
      <c r="B4329" s="2">
        <f>"8997211620481"</f>
        <v/>
      </c>
      <c r="C4329" t="inlineStr">
        <is>
          <t>THE BODY CULTURE My Topping Balm Plus Orange</t>
        </is>
      </c>
      <c r="D4329" t="inlineStr">
        <is>
          <t>Miss Glam Jambi</t>
        </is>
      </c>
      <c r="E4329" t="n">
        <v>10</v>
      </c>
      <c r="F4329" t="n">
        <v>0.0396</v>
      </c>
      <c r="G4329" t="n">
        <v>0.66</v>
      </c>
      <c r="H4329" t="n">
        <v>4</v>
      </c>
      <c r="I4329" t="n">
        <v>20</v>
      </c>
      <c r="J4329" t="n">
        <v>3</v>
      </c>
      <c r="K4329" t="n">
        <v>0</v>
      </c>
      <c r="L4329" t="n">
        <v>33121</v>
      </c>
      <c r="M4329" t="n">
        <v>45000</v>
      </c>
      <c r="N4329" t="n">
        <v>33</v>
      </c>
      <c r="O4329" t="n">
        <v>0.33</v>
      </c>
      <c r="P4329" t="n">
        <v>1</v>
      </c>
      <c r="Q4329" t="n">
        <v>0.03</v>
      </c>
      <c r="R4329" t="n">
        <v>1</v>
      </c>
      <c r="S4329" t="n">
        <v>1782</v>
      </c>
      <c r="T4329" t="n">
        <v>14</v>
      </c>
      <c r="U4329" t="n">
        <v>15</v>
      </c>
      <c r="V4329" t="n">
        <v>30</v>
      </c>
      <c r="W4329" t="n">
        <v>2</v>
      </c>
      <c r="X4329" t="n">
        <v>252.5252525252525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8841</v>
      </c>
      <c r="AG4329" t="n">
        <v>1</v>
      </c>
      <c r="AH4329" t="inlineStr">
        <is>
          <t>PT. BERSAMA DISTRIVERSA INDONESIA (DC CIPUTAT)</t>
        </is>
      </c>
      <c r="AI4329" t="n">
        <v>347</v>
      </c>
      <c r="AJ4329" t="inlineStr">
        <is>
          <t>THE BODY CULTURE</t>
        </is>
      </c>
      <c r="AK4329" t="n">
        <v>9</v>
      </c>
      <c r="AL4329" t="inlineStr">
        <is>
          <t>Miss Glam Jambi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THE BODY CULTURE</t>
        </is>
      </c>
      <c r="B4330" s="2">
        <f>"8997211620276"</f>
        <v/>
      </c>
      <c r="C4330" t="inlineStr">
        <is>
          <t>THE BODY CULTURE Sexy Boobs Breast Cream</t>
        </is>
      </c>
      <c r="D4330" t="inlineStr">
        <is>
          <t>Miss Glam Jambi</t>
        </is>
      </c>
      <c r="E4330" t="n">
        <v>10</v>
      </c>
      <c r="F4330" t="n">
        <v>0.0297</v>
      </c>
      <c r="G4330" t="n">
        <v>0.33</v>
      </c>
      <c r="H4330" t="n">
        <v>4</v>
      </c>
      <c r="I4330" t="n">
        <v>20</v>
      </c>
      <c r="J4330" t="n">
        <v>3</v>
      </c>
      <c r="K4330" t="n">
        <v>0</v>
      </c>
      <c r="L4330" t="n">
        <v>33121</v>
      </c>
      <c r="M4330" t="n">
        <v>46300</v>
      </c>
      <c r="N4330" t="n">
        <v>33</v>
      </c>
      <c r="O4330" t="n">
        <v>0.33</v>
      </c>
      <c r="P4330" t="n">
        <v>1</v>
      </c>
      <c r="Q4330" t="n">
        <v>0.03</v>
      </c>
      <c r="R4330" t="n">
        <v>1</v>
      </c>
      <c r="S4330" t="n">
        <v>1375.11</v>
      </c>
      <c r="T4330" t="n">
        <v>7</v>
      </c>
      <c r="U4330" t="n">
        <v>8</v>
      </c>
      <c r="V4330" t="n">
        <v>30</v>
      </c>
      <c r="W4330" t="n">
        <v>1</v>
      </c>
      <c r="X4330" t="n">
        <v>336.7003367003367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8841</v>
      </c>
      <c r="AG4330" t="n">
        <v>1</v>
      </c>
      <c r="AH4330" t="inlineStr">
        <is>
          <t>PT. BERSAMA DISTRIVERSA INDONESIA (DC CIPUTAT)</t>
        </is>
      </c>
      <c r="AI4330" t="n">
        <v>347</v>
      </c>
      <c r="AJ4330" t="inlineStr">
        <is>
          <t>THE BODY CULTURE</t>
        </is>
      </c>
      <c r="AK4330" t="n">
        <v>9</v>
      </c>
      <c r="AL4330" t="inlineStr">
        <is>
          <t>Miss Glam Jambi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THE ORIGINOTE</t>
        </is>
      </c>
      <c r="B4331" s="2">
        <f>"725765154293"</f>
        <v/>
      </c>
      <c r="C4331" t="inlineStr">
        <is>
          <t>THE ORIGINOTE 2 in 1 Lash &amp; Brow Serum 7ml</t>
        </is>
      </c>
      <c r="D4331" t="inlineStr">
        <is>
          <t>Miss Glam Jambi</t>
        </is>
      </c>
      <c r="E4331" t="n">
        <v>6</v>
      </c>
      <c r="F4331" t="n">
        <v>0.2112</v>
      </c>
      <c r="G4331" t="n">
        <v>0.99</v>
      </c>
      <c r="H4331" t="n">
        <v>4</v>
      </c>
      <c r="I4331" t="n">
        <v>11</v>
      </c>
      <c r="J4331" t="n">
        <v>3</v>
      </c>
      <c r="K4331" t="n">
        <v>3</v>
      </c>
      <c r="L4331" t="n">
        <v>30600</v>
      </c>
      <c r="M4331" t="n">
        <v>36000</v>
      </c>
      <c r="N4331" t="n">
        <v>33</v>
      </c>
      <c r="O4331" t="n">
        <v>0.33</v>
      </c>
      <c r="P4331" t="n">
        <v>1</v>
      </c>
      <c r="Q4331" t="n">
        <v>0.12</v>
      </c>
      <c r="R4331" t="n">
        <v>1</v>
      </c>
      <c r="S4331" t="n">
        <v>7603.200000000001</v>
      </c>
      <c r="T4331" t="n">
        <v>11</v>
      </c>
      <c r="U4331" t="n">
        <v>12</v>
      </c>
      <c r="V4331" t="n">
        <v>30</v>
      </c>
      <c r="W4331" t="n">
        <v>7</v>
      </c>
      <c r="X4331" t="n">
        <v>28.40909090909091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10195</v>
      </c>
      <c r="AG4331" t="n">
        <v>78</v>
      </c>
      <c r="AH4331" t="inlineStr">
        <is>
          <t>PT. GLORIENTA P.H - PPN (PDG)</t>
        </is>
      </c>
      <c r="AI4331" t="n">
        <v>1304</v>
      </c>
      <c r="AJ4331" t="inlineStr">
        <is>
          <t>THE ORIGINOTE</t>
        </is>
      </c>
      <c r="AK4331" t="n">
        <v>9</v>
      </c>
      <c r="AL4331" t="inlineStr">
        <is>
          <t>Miss Glam Jambi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THE ORIGINOTE</t>
        </is>
      </c>
      <c r="B4332" s="2">
        <f>"745314015721"</f>
        <v/>
      </c>
      <c r="C4332" t="inlineStr">
        <is>
          <t>THE ORIGINOTE 40 Spf PA+++ Hyalucera gel Sunscreen 30ml</t>
        </is>
      </c>
      <c r="D4332" t="inlineStr">
        <is>
          <t>Miss Glam Jambi</t>
        </is>
      </c>
      <c r="E4332" t="n">
        <v>2</v>
      </c>
      <c r="F4332" t="n">
        <v>0.0726</v>
      </c>
      <c r="G4332" t="n">
        <v>0.66</v>
      </c>
      <c r="H4332" t="n">
        <v>4</v>
      </c>
      <c r="I4332" t="n">
        <v>11</v>
      </c>
      <c r="J4332" t="n">
        <v>3</v>
      </c>
      <c r="K4332" t="n">
        <v>3</v>
      </c>
      <c r="L4332" t="n">
        <v>32300</v>
      </c>
      <c r="M4332" t="n">
        <v>47500</v>
      </c>
      <c r="N4332" t="n">
        <v>33</v>
      </c>
      <c r="O4332" t="n">
        <v>0.33</v>
      </c>
      <c r="P4332" t="n">
        <v>1</v>
      </c>
      <c r="Q4332" t="n">
        <v>0.02</v>
      </c>
      <c r="R4332" t="n">
        <v>1</v>
      </c>
      <c r="S4332" t="n">
        <v>3448.5</v>
      </c>
      <c r="T4332" t="n">
        <v>7</v>
      </c>
      <c r="U4332" t="n">
        <v>8</v>
      </c>
      <c r="V4332" t="n">
        <v>30</v>
      </c>
      <c r="W4332" t="n">
        <v>3</v>
      </c>
      <c r="X4332" t="n">
        <v>27.54820936639118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10195</v>
      </c>
      <c r="AG4332" t="n">
        <v>78</v>
      </c>
      <c r="AH4332" t="inlineStr">
        <is>
          <t>PT. GLORIENTA P.H - PPN (PDG)</t>
        </is>
      </c>
      <c r="AI4332" t="n">
        <v>1304</v>
      </c>
      <c r="AJ4332" t="inlineStr">
        <is>
          <t>THE ORIGINOTE</t>
        </is>
      </c>
      <c r="AK4332" t="n">
        <v>9</v>
      </c>
      <c r="AL4332" t="inlineStr">
        <is>
          <t>Miss Glam Jambi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THE ORIGINOTE</t>
        </is>
      </c>
      <c r="B4333" s="2">
        <f>"764460290875"</f>
        <v/>
      </c>
      <c r="C4333" t="inlineStr">
        <is>
          <t>THE ORIGINOTE Acne B5 Serum 20ml</t>
        </is>
      </c>
      <c r="D4333" t="inlineStr">
        <is>
          <t>Miss Glam Jambi</t>
        </is>
      </c>
      <c r="E4333" t="n">
        <v>4</v>
      </c>
      <c r="F4333" t="n">
        <v>0.1683</v>
      </c>
      <c r="G4333" t="n">
        <v>0.99</v>
      </c>
      <c r="H4333" t="n">
        <v>4</v>
      </c>
      <c r="I4333" t="n">
        <v>11</v>
      </c>
      <c r="J4333" t="n">
        <v>3</v>
      </c>
      <c r="K4333" t="n">
        <v>3</v>
      </c>
      <c r="L4333" t="n">
        <v>32300</v>
      </c>
      <c r="M4333" t="n">
        <v>37000</v>
      </c>
      <c r="N4333" t="n">
        <v>33</v>
      </c>
      <c r="O4333" t="n">
        <v>0.33</v>
      </c>
      <c r="P4333" t="n">
        <v>1</v>
      </c>
      <c r="Q4333" t="n">
        <v>0.07000000000000001</v>
      </c>
      <c r="R4333" t="n">
        <v>2</v>
      </c>
      <c r="S4333" t="n">
        <v>6227.1</v>
      </c>
      <c r="T4333" t="n">
        <v>11</v>
      </c>
      <c r="U4333" t="n">
        <v>12</v>
      </c>
      <c r="V4333" t="n">
        <v>30</v>
      </c>
      <c r="W4333" t="n">
        <v>6</v>
      </c>
      <c r="X4333" t="n">
        <v>23.767082590612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10195</v>
      </c>
      <c r="AG4333" t="n">
        <v>78</v>
      </c>
      <c r="AH4333" t="inlineStr">
        <is>
          <t>PT. GLORIENTA P.H - PPN (PDG)</t>
        </is>
      </c>
      <c r="AI4333" t="n">
        <v>1304</v>
      </c>
      <c r="AJ4333" t="inlineStr">
        <is>
          <t>THE ORIGINOTE</t>
        </is>
      </c>
      <c r="AK4333" t="n">
        <v>9</v>
      </c>
      <c r="AL4333" t="inlineStr">
        <is>
          <t>Miss Glam Jambi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THE ORIGINOTE</t>
        </is>
      </c>
      <c r="B4334" s="2">
        <f>"764460290691"</f>
        <v/>
      </c>
      <c r="C4334" t="inlineStr">
        <is>
          <t>THE ORIGINOTE Acne Spot Cream 10gr</t>
        </is>
      </c>
      <c r="D4334" t="inlineStr">
        <is>
          <t>Miss Glam Jambi</t>
        </is>
      </c>
      <c r="E4334" t="n">
        <v>1</v>
      </c>
      <c r="F4334" t="n">
        <v>0.07000000000000001</v>
      </c>
      <c r="G4334" t="n">
        <v>2</v>
      </c>
      <c r="H4334" t="n">
        <v>4</v>
      </c>
      <c r="I4334" t="n">
        <v>11</v>
      </c>
      <c r="J4334" t="n">
        <v>3</v>
      </c>
      <c r="K4334" t="n">
        <v>3</v>
      </c>
      <c r="L4334" t="n">
        <v>25500</v>
      </c>
      <c r="M4334" t="n">
        <v>30000</v>
      </c>
      <c r="N4334" t="n">
        <v>33</v>
      </c>
      <c r="O4334" t="n">
        <v>0.33</v>
      </c>
      <c r="P4334" t="n">
        <v>0</v>
      </c>
      <c r="Q4334" t="n">
        <v>0.07000000000000001</v>
      </c>
      <c r="R4334" t="n">
        <v>2</v>
      </c>
      <c r="S4334" t="n">
        <v>2100</v>
      </c>
      <c r="T4334" t="n">
        <v>22</v>
      </c>
      <c r="U4334" t="n">
        <v>23</v>
      </c>
      <c r="V4334" t="n">
        <v>30</v>
      </c>
      <c r="W4334" t="n">
        <v>3</v>
      </c>
      <c r="X4334" t="n">
        <v>14.28571428571428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10195</v>
      </c>
      <c r="AG4334" t="n">
        <v>78</v>
      </c>
      <c r="AH4334" t="inlineStr">
        <is>
          <t>PT. GLORIENTA P.H - PPN (PDG)</t>
        </is>
      </c>
      <c r="AI4334" t="n">
        <v>1304</v>
      </c>
      <c r="AJ4334" t="inlineStr">
        <is>
          <t>THE ORIGINOTE</t>
        </is>
      </c>
      <c r="AK4334" t="n">
        <v>9</v>
      </c>
      <c r="AL4334" t="inlineStr">
        <is>
          <t>Miss Glam Jambi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THE ORIGINOTE</t>
        </is>
      </c>
      <c r="B4335" s="2">
        <f>"745314015714"</f>
        <v/>
      </c>
      <c r="C4335" t="inlineStr">
        <is>
          <t>THE ORIGINOTE B5 Peeling Solution AHA+BHA+PHA Panthenol 20ml</t>
        </is>
      </c>
      <c r="D4335" t="inlineStr">
        <is>
          <t>Miss Glam Jambi</t>
        </is>
      </c>
      <c r="E4335" t="n">
        <v>2</v>
      </c>
      <c r="F4335" t="n">
        <v>0.02</v>
      </c>
      <c r="G4335" t="n">
        <v>1</v>
      </c>
      <c r="H4335" t="n">
        <v>4</v>
      </c>
      <c r="I4335" t="n">
        <v>11</v>
      </c>
      <c r="J4335" t="n">
        <v>3</v>
      </c>
      <c r="K4335" t="n">
        <v>0</v>
      </c>
      <c r="L4335" t="n">
        <v>35700</v>
      </c>
      <c r="M4335" t="n">
        <v>42000</v>
      </c>
      <c r="N4335" t="n">
        <v>33</v>
      </c>
      <c r="O4335" t="n">
        <v>0.33</v>
      </c>
      <c r="P4335" t="n">
        <v>0</v>
      </c>
      <c r="Q4335" t="n">
        <v>0.02</v>
      </c>
      <c r="R4335" t="n">
        <v>1</v>
      </c>
      <c r="S4335" t="n">
        <v>840</v>
      </c>
      <c r="T4335" t="n">
        <v>11</v>
      </c>
      <c r="U4335" t="n">
        <v>12</v>
      </c>
      <c r="V4335" t="n">
        <v>30</v>
      </c>
      <c r="W4335" t="n">
        <v>1</v>
      </c>
      <c r="X4335" t="n">
        <v>100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10195</v>
      </c>
      <c r="AG4335" t="n">
        <v>78</v>
      </c>
      <c r="AH4335" t="inlineStr">
        <is>
          <t>PT. GLORIENTA P.H - PPN (PDG)</t>
        </is>
      </c>
      <c r="AI4335" t="n">
        <v>1304</v>
      </c>
      <c r="AJ4335" t="inlineStr">
        <is>
          <t>THE ORIGINOTE</t>
        </is>
      </c>
      <c r="AK4335" t="n">
        <v>9</v>
      </c>
      <c r="AL4335" t="inlineStr">
        <is>
          <t>Miss Glam Jambi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THE ORIGINOTE</t>
        </is>
      </c>
      <c r="B4336" s="2">
        <f>"769503433165"</f>
        <v/>
      </c>
      <c r="C4336" t="inlineStr">
        <is>
          <t>THE ORIGINOTE Beauty In Unity Bha Charcoal Clay Mask 50gr</t>
        </is>
      </c>
      <c r="D4336" t="inlineStr">
        <is>
          <t>Miss Glam Jambi</t>
        </is>
      </c>
      <c r="E4336" t="n">
        <v>0</v>
      </c>
      <c r="F4336" t="n">
        <v>0.08</v>
      </c>
      <c r="G4336" t="n">
        <v>1</v>
      </c>
      <c r="H4336" t="n">
        <v>4</v>
      </c>
      <c r="I4336" t="n">
        <v>11</v>
      </c>
      <c r="J4336" t="n">
        <v>3</v>
      </c>
      <c r="K4336" t="n">
        <v>3</v>
      </c>
      <c r="L4336" t="n">
        <v>30601</v>
      </c>
      <c r="M4336" t="n">
        <v>35500</v>
      </c>
      <c r="N4336" t="n">
        <v>33</v>
      </c>
      <c r="O4336" t="n">
        <v>0.33</v>
      </c>
      <c r="P4336" t="n">
        <v>0</v>
      </c>
      <c r="Q4336" t="n">
        <v>0.08</v>
      </c>
      <c r="R4336" t="n">
        <v>1</v>
      </c>
      <c r="S4336" t="n">
        <v>2840</v>
      </c>
      <c r="T4336" t="n">
        <v>11</v>
      </c>
      <c r="U4336" t="n">
        <v>12</v>
      </c>
      <c r="V4336" t="n">
        <v>30</v>
      </c>
      <c r="W4336" t="n">
        <v>3</v>
      </c>
      <c r="X4336" t="n">
        <v>0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10195</v>
      </c>
      <c r="AG4336" t="n">
        <v>78</v>
      </c>
      <c r="AH4336" t="inlineStr">
        <is>
          <t>PT. GLORIENTA P.H - PPN (PDG)</t>
        </is>
      </c>
      <c r="AI4336" t="n">
        <v>1304</v>
      </c>
      <c r="AJ4336" t="inlineStr">
        <is>
          <t>THE ORIGINOTE</t>
        </is>
      </c>
      <c r="AK4336" t="n">
        <v>9</v>
      </c>
      <c r="AL4336" t="inlineStr">
        <is>
          <t>Miss Glam Jambi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THE ORIGINOTE</t>
        </is>
      </c>
      <c r="B4337" s="2">
        <f>"745604685900"</f>
        <v/>
      </c>
      <c r="C4337" t="inlineStr">
        <is>
          <t>THE ORIGINOTE Brightening Moisturizer 50ml</t>
        </is>
      </c>
      <c r="D4337" t="inlineStr">
        <is>
          <t>Miss Glam Jambi</t>
        </is>
      </c>
      <c r="E4337" t="n">
        <v>27</v>
      </c>
      <c r="F4337" t="n">
        <v>1.0164</v>
      </c>
      <c r="G4337" t="n">
        <v>2.31</v>
      </c>
      <c r="H4337" t="n">
        <v>4</v>
      </c>
      <c r="I4337" t="n">
        <v>11</v>
      </c>
      <c r="J4337" t="n">
        <v>12</v>
      </c>
      <c r="K4337" t="n">
        <v>0</v>
      </c>
      <c r="L4337" t="n">
        <v>40800</v>
      </c>
      <c r="M4337" t="n">
        <v>48000</v>
      </c>
      <c r="N4337" t="n">
        <v>33</v>
      </c>
      <c r="O4337" t="n">
        <v>0.33</v>
      </c>
      <c r="P4337" t="n">
        <v>1</v>
      </c>
      <c r="Q4337" t="n">
        <v>0.63</v>
      </c>
      <c r="R4337" t="n">
        <v>3</v>
      </c>
      <c r="S4337" t="n">
        <v>48787.2</v>
      </c>
      <c r="T4337" t="n">
        <v>22</v>
      </c>
      <c r="U4337" t="n">
        <v>27</v>
      </c>
      <c r="V4337" t="n">
        <v>30</v>
      </c>
      <c r="W4337" t="n">
        <v>31</v>
      </c>
      <c r="X4337" t="n">
        <v>26.56434474616293</v>
      </c>
      <c r="Y4337" t="n">
        <v>1</v>
      </c>
      <c r="Z4337" t="n">
        <v>4</v>
      </c>
      <c r="AA4337" t="n">
        <v>0</v>
      </c>
      <c r="AB4337" t="n">
        <v>4</v>
      </c>
      <c r="AC4337" t="n">
        <v>12</v>
      </c>
      <c r="AD4337" t="n">
        <v>0</v>
      </c>
      <c r="AE4337" t="n">
        <v>489600</v>
      </c>
      <c r="AF4337" t="n">
        <v>10195</v>
      </c>
      <c r="AG4337" t="n">
        <v>78</v>
      </c>
      <c r="AH4337" t="inlineStr">
        <is>
          <t>PT. GLORIENTA P.H - PPN (PDG)</t>
        </is>
      </c>
      <c r="AI4337" t="n">
        <v>1304</v>
      </c>
      <c r="AJ4337" t="inlineStr">
        <is>
          <t>THE ORIGINOTE</t>
        </is>
      </c>
      <c r="AK4337" t="n">
        <v>9</v>
      </c>
      <c r="AL4337" t="inlineStr">
        <is>
          <t>Miss Glam Jambi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THE ORIGINOTE</t>
        </is>
      </c>
      <c r="B4338" s="2">
        <f>"725765154125"</f>
        <v/>
      </c>
      <c r="C4338" t="inlineStr">
        <is>
          <t>THE ORIGINOTE Celaluronic Essence Toner 80ml</t>
        </is>
      </c>
      <c r="D4338" t="inlineStr">
        <is>
          <t>Miss Glam Jambi</t>
        </is>
      </c>
      <c r="E4338" t="n">
        <v>9</v>
      </c>
      <c r="F4338" t="n">
        <v>0.1122</v>
      </c>
      <c r="G4338" t="n">
        <v>0.66</v>
      </c>
      <c r="H4338" t="n">
        <v>4</v>
      </c>
      <c r="I4338" t="n">
        <v>11</v>
      </c>
      <c r="J4338" t="n">
        <v>3</v>
      </c>
      <c r="K4338" t="n">
        <v>0</v>
      </c>
      <c r="L4338" t="n">
        <v>30600</v>
      </c>
      <c r="M4338" t="n">
        <v>37000</v>
      </c>
      <c r="N4338" t="n">
        <v>33</v>
      </c>
      <c r="O4338" t="n">
        <v>0.33</v>
      </c>
      <c r="P4338" t="n">
        <v>1</v>
      </c>
      <c r="Q4338" t="n">
        <v>0.14</v>
      </c>
      <c r="R4338" t="n">
        <v>1</v>
      </c>
      <c r="S4338" t="n">
        <v>4151.400000000001</v>
      </c>
      <c r="T4338" t="n">
        <v>7</v>
      </c>
      <c r="U4338" t="n">
        <v>8</v>
      </c>
      <c r="V4338" t="n">
        <v>30</v>
      </c>
      <c r="W4338" t="n">
        <v>4</v>
      </c>
      <c r="X4338" t="n">
        <v>80.2139037433155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10195</v>
      </c>
      <c r="AG4338" t="n">
        <v>78</v>
      </c>
      <c r="AH4338" t="inlineStr">
        <is>
          <t>PT. GLORIENTA P.H - PPN (PDG)</t>
        </is>
      </c>
      <c r="AI4338" t="n">
        <v>1304</v>
      </c>
      <c r="AJ4338" t="inlineStr">
        <is>
          <t>THE ORIGINOTE</t>
        </is>
      </c>
      <c r="AK4338" t="n">
        <v>9</v>
      </c>
      <c r="AL4338" t="inlineStr">
        <is>
          <t>Miss Glam Jambi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THE ORIGINOTE</t>
        </is>
      </c>
      <c r="B4339" s="2">
        <f>"725765154477"</f>
        <v/>
      </c>
      <c r="C4339" t="inlineStr">
        <is>
          <t>THE ORIGINOTE Ceramella Sunscreen Spf 50 PA++++ 50gr</t>
        </is>
      </c>
      <c r="D4339" t="inlineStr">
        <is>
          <t>Miss Glam Jambi</t>
        </is>
      </c>
      <c r="E4339" t="n">
        <v>23</v>
      </c>
      <c r="F4339" t="n">
        <v>0.8382000000000001</v>
      </c>
      <c r="G4339" t="n">
        <v>2.31</v>
      </c>
      <c r="H4339" t="n">
        <v>4</v>
      </c>
      <c r="I4339" t="n">
        <v>11</v>
      </c>
      <c r="J4339" t="n">
        <v>3</v>
      </c>
      <c r="K4339" t="n">
        <v>3</v>
      </c>
      <c r="L4339" t="n">
        <v>35700</v>
      </c>
      <c r="M4339" t="n">
        <v>41500</v>
      </c>
      <c r="N4339" t="n">
        <v>33</v>
      </c>
      <c r="O4339" t="n">
        <v>0.33</v>
      </c>
      <c r="P4339" t="n">
        <v>1</v>
      </c>
      <c r="Q4339" t="n">
        <v>0.47</v>
      </c>
      <c r="R4339" t="n">
        <v>2</v>
      </c>
      <c r="S4339" t="n">
        <v>34785.3</v>
      </c>
      <c r="T4339" t="n">
        <v>23</v>
      </c>
      <c r="U4339" t="n">
        <v>27</v>
      </c>
      <c r="V4339" t="n">
        <v>30</v>
      </c>
      <c r="W4339" t="n">
        <v>26</v>
      </c>
      <c r="X4339" t="n">
        <v>27.43975184920066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10195</v>
      </c>
      <c r="AG4339" t="n">
        <v>78</v>
      </c>
      <c r="AH4339" t="inlineStr">
        <is>
          <t>PT. GLORIENTA P.H - PPN (PDG)</t>
        </is>
      </c>
      <c r="AI4339" t="n">
        <v>1304</v>
      </c>
      <c r="AJ4339" t="inlineStr">
        <is>
          <t>THE ORIGINOTE</t>
        </is>
      </c>
      <c r="AK4339" t="n">
        <v>9</v>
      </c>
      <c r="AL4339" t="inlineStr">
        <is>
          <t>Miss Glam Jambi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THE ORIGINOTE</t>
        </is>
      </c>
      <c r="B4340" s="2">
        <f>"745604685917"</f>
        <v/>
      </c>
      <c r="C4340" t="inlineStr">
        <is>
          <t>THE ORIGINOTE Cica-B5 Soothing Essence Toner 80ml</t>
        </is>
      </c>
      <c r="D4340" t="inlineStr">
        <is>
          <t>Miss Glam Jambi</t>
        </is>
      </c>
      <c r="E4340" t="n">
        <v>6</v>
      </c>
      <c r="F4340" t="n">
        <v>0.1551</v>
      </c>
      <c r="G4340" t="n">
        <v>0.99</v>
      </c>
      <c r="H4340" t="n">
        <v>4</v>
      </c>
      <c r="I4340" t="n">
        <v>11</v>
      </c>
      <c r="J4340" t="n">
        <v>3</v>
      </c>
      <c r="K4340" t="n">
        <v>0</v>
      </c>
      <c r="L4340" t="n">
        <v>32300</v>
      </c>
      <c r="M4340" t="n">
        <v>37000</v>
      </c>
      <c r="N4340" t="n">
        <v>33</v>
      </c>
      <c r="O4340" t="n">
        <v>0.33</v>
      </c>
      <c r="P4340" t="n">
        <v>1</v>
      </c>
      <c r="Q4340" t="n">
        <v>0.14</v>
      </c>
      <c r="R4340" t="n">
        <v>2</v>
      </c>
      <c r="S4340" t="n">
        <v>5738.7</v>
      </c>
      <c r="T4340" t="n">
        <v>11</v>
      </c>
      <c r="U4340" t="n">
        <v>12</v>
      </c>
      <c r="V4340" t="n">
        <v>30</v>
      </c>
      <c r="W4340" t="n">
        <v>5</v>
      </c>
      <c r="X4340" t="n">
        <v>38.68471953578337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10195</v>
      </c>
      <c r="AG4340" t="n">
        <v>78</v>
      </c>
      <c r="AH4340" t="inlineStr">
        <is>
          <t>PT. GLORIENTA P.H - PPN (PDG)</t>
        </is>
      </c>
      <c r="AI4340" t="n">
        <v>1304</v>
      </c>
      <c r="AJ4340" t="inlineStr">
        <is>
          <t>THE ORIGINOTE</t>
        </is>
      </c>
      <c r="AK4340" t="n">
        <v>9</v>
      </c>
      <c r="AL4340" t="inlineStr">
        <is>
          <t>Miss Glam Jambi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THE ORIGINOTE</t>
        </is>
      </c>
      <c r="B4341" s="2">
        <f>"745604685924"</f>
        <v/>
      </c>
      <c r="C4341" t="inlineStr">
        <is>
          <t>THE ORIGINOTE Cica-B5 Soothing Moisturizer 50ml</t>
        </is>
      </c>
      <c r="D4341" t="inlineStr">
        <is>
          <t>Miss Glam Jambi</t>
        </is>
      </c>
      <c r="E4341" t="n">
        <v>1</v>
      </c>
      <c r="F4341" t="n">
        <v>0.7095</v>
      </c>
      <c r="G4341" t="n">
        <v>2.31</v>
      </c>
      <c r="H4341" t="n">
        <v>4</v>
      </c>
      <c r="I4341" t="n">
        <v>11</v>
      </c>
      <c r="J4341" t="n">
        <v>3</v>
      </c>
      <c r="K4341" t="n">
        <v>26</v>
      </c>
      <c r="L4341" t="n">
        <v>40800</v>
      </c>
      <c r="M4341" t="n">
        <v>48000</v>
      </c>
      <c r="N4341" t="n">
        <v>33</v>
      </c>
      <c r="O4341" t="n">
        <v>0.33</v>
      </c>
      <c r="P4341" t="n">
        <v>1</v>
      </c>
      <c r="Q4341" t="n">
        <v>0.39</v>
      </c>
      <c r="R4341" t="n">
        <v>2</v>
      </c>
      <c r="S4341" t="n">
        <v>34056</v>
      </c>
      <c r="T4341" t="n">
        <v>23</v>
      </c>
      <c r="U4341" t="n">
        <v>26</v>
      </c>
      <c r="V4341" t="n">
        <v>30</v>
      </c>
      <c r="W4341" t="n">
        <v>22</v>
      </c>
      <c r="X4341" t="n">
        <v>1.409443269908386</v>
      </c>
      <c r="Y4341" t="n">
        <v>1</v>
      </c>
      <c r="Z4341" t="n">
        <v>0</v>
      </c>
      <c r="AA4341" t="n">
        <v>6</v>
      </c>
      <c r="AB4341" t="n">
        <v>0</v>
      </c>
      <c r="AC4341" t="n">
        <v>0</v>
      </c>
      <c r="AD4341" t="n">
        <v>244800</v>
      </c>
      <c r="AE4341" t="n">
        <v>0</v>
      </c>
      <c r="AF4341" t="n">
        <v>10195</v>
      </c>
      <c r="AG4341" t="n">
        <v>78</v>
      </c>
      <c r="AH4341" t="inlineStr">
        <is>
          <t>PT. GLORIENTA P.H - PPN (PDG)</t>
        </is>
      </c>
      <c r="AI4341" t="n">
        <v>1304</v>
      </c>
      <c r="AJ4341" t="inlineStr">
        <is>
          <t>THE ORIGINOTE</t>
        </is>
      </c>
      <c r="AK4341" t="n">
        <v>9</v>
      </c>
      <c r="AL4341" t="inlineStr">
        <is>
          <t>Miss Glam Jambi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THE ORIGINOTE</t>
        </is>
      </c>
      <c r="B4342" s="2">
        <f>"10100205059"</f>
        <v/>
      </c>
      <c r="C4342" t="inlineStr">
        <is>
          <t>THE ORIGINOTE Cleansing Oil Centella Asiatica Licorice Root Extract 100 ml</t>
        </is>
      </c>
      <c r="D4342" t="inlineStr">
        <is>
          <t>Miss Glam Jambi</t>
        </is>
      </c>
      <c r="E4342" t="n">
        <v>9</v>
      </c>
      <c r="F4342" t="n">
        <v>0.06270000000000001</v>
      </c>
      <c r="G4342" t="n">
        <v>0.99</v>
      </c>
      <c r="H4342" t="n">
        <v>4</v>
      </c>
      <c r="I4342" t="n">
        <v>11</v>
      </c>
      <c r="J4342" t="n">
        <v>1</v>
      </c>
      <c r="K4342" t="n">
        <v>0</v>
      </c>
      <c r="L4342" t="n">
        <v>49301</v>
      </c>
      <c r="M4342" t="n">
        <v>58000</v>
      </c>
      <c r="N4342" t="n">
        <v>33</v>
      </c>
      <c r="O4342" t="n">
        <v>0.33</v>
      </c>
      <c r="P4342" t="n">
        <v>1</v>
      </c>
      <c r="Q4342" t="n">
        <v>0.03</v>
      </c>
      <c r="R4342" t="n">
        <v>1</v>
      </c>
      <c r="S4342" t="n">
        <v>3636.6</v>
      </c>
      <c r="T4342" t="n">
        <v>11</v>
      </c>
      <c r="U4342" t="n">
        <v>12</v>
      </c>
      <c r="V4342" t="n">
        <v>30</v>
      </c>
      <c r="W4342" t="n">
        <v>2</v>
      </c>
      <c r="X4342" t="n">
        <v>143.5406698564593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10195</v>
      </c>
      <c r="AG4342" t="n">
        <v>78</v>
      </c>
      <c r="AH4342" t="inlineStr">
        <is>
          <t>PT. GLORIENTA P.H - PPN (PDG)</t>
        </is>
      </c>
      <c r="AI4342" t="n">
        <v>1304</v>
      </c>
      <c r="AJ4342" t="inlineStr">
        <is>
          <t>THE ORIGINOTE</t>
        </is>
      </c>
      <c r="AK4342" t="n">
        <v>9</v>
      </c>
      <c r="AL4342" t="inlineStr">
        <is>
          <t>Miss Glam Jambi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THE ORIGINOTE</t>
        </is>
      </c>
      <c r="B4343" s="2">
        <f>"764460290929"</f>
        <v/>
      </c>
      <c r="C4343" t="inlineStr">
        <is>
          <t>THE ORIGINOTE Eye Serum Caffeine + Peptides 15g</t>
        </is>
      </c>
      <c r="D4343" t="inlineStr">
        <is>
          <t>Miss Glam Jambi</t>
        </is>
      </c>
      <c r="E4343" t="n">
        <v>0</v>
      </c>
      <c r="F4343" t="n">
        <v>0.03</v>
      </c>
      <c r="G4343" t="n">
        <v>1</v>
      </c>
      <c r="H4343" t="n">
        <v>4</v>
      </c>
      <c r="I4343" t="n">
        <v>11</v>
      </c>
      <c r="J4343" t="n">
        <v>3</v>
      </c>
      <c r="K4343" t="n">
        <v>0</v>
      </c>
      <c r="L4343" t="n">
        <v>31450</v>
      </c>
      <c r="M4343" t="n">
        <v>37000</v>
      </c>
      <c r="N4343" t="n">
        <v>33</v>
      </c>
      <c r="O4343" t="n">
        <v>0.33</v>
      </c>
      <c r="P4343" t="n">
        <v>0</v>
      </c>
      <c r="Q4343" t="n">
        <v>0.03</v>
      </c>
      <c r="R4343" t="n">
        <v>1</v>
      </c>
      <c r="S4343" t="n">
        <v>1110</v>
      </c>
      <c r="T4343" t="n">
        <v>11</v>
      </c>
      <c r="U4343" t="n">
        <v>12</v>
      </c>
      <c r="V4343" t="n">
        <v>30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n">
        <v>0</v>
      </c>
      <c r="AC4343" t="n">
        <v>0</v>
      </c>
      <c r="AD4343" t="n">
        <v>31450</v>
      </c>
      <c r="AE4343" t="n">
        <v>0</v>
      </c>
      <c r="AF4343" t="n">
        <v>10195</v>
      </c>
      <c r="AG4343" t="n">
        <v>78</v>
      </c>
      <c r="AH4343" t="inlineStr">
        <is>
          <t>PT. GLORIENTA P.H - PPN (PDG)</t>
        </is>
      </c>
      <c r="AI4343" t="n">
        <v>1304</v>
      </c>
      <c r="AJ4343" t="inlineStr">
        <is>
          <t>THE ORIGINOTE</t>
        </is>
      </c>
      <c r="AK4343" t="n">
        <v>9</v>
      </c>
      <c r="AL4343" t="inlineStr">
        <is>
          <t>Miss Glam Jambi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THE ORIGINOTE</t>
        </is>
      </c>
      <c r="B4344" s="2">
        <f>"725765154132"</f>
        <v/>
      </c>
      <c r="C4344" t="inlineStr">
        <is>
          <t>THE ORIGINOTE H-llow Clarifying Toner 80ml</t>
        </is>
      </c>
      <c r="D4344" t="inlineStr">
        <is>
          <t>Miss Glam Jambi</t>
        </is>
      </c>
      <c r="E4344" t="n">
        <v>34</v>
      </c>
      <c r="F4344" t="n">
        <v>0.0231</v>
      </c>
      <c r="G4344" t="n">
        <v>0.33</v>
      </c>
      <c r="H4344" t="n">
        <v>4</v>
      </c>
      <c r="I4344" t="n">
        <v>11</v>
      </c>
      <c r="J4344" t="n">
        <v>3</v>
      </c>
      <c r="K4344" t="n">
        <v>0</v>
      </c>
      <c r="L4344" t="n">
        <v>30600</v>
      </c>
      <c r="M4344" t="n">
        <v>37000</v>
      </c>
      <c r="N4344" t="n">
        <v>33</v>
      </c>
      <c r="O4344" t="n">
        <v>0.33</v>
      </c>
      <c r="P4344" t="n">
        <v>1</v>
      </c>
      <c r="Q4344" t="n">
        <v>0.07000000000000001</v>
      </c>
      <c r="R4344" t="n">
        <v>1</v>
      </c>
      <c r="S4344" t="n">
        <v>854.7</v>
      </c>
      <c r="T4344" t="n">
        <v>4</v>
      </c>
      <c r="U4344" t="n">
        <v>5</v>
      </c>
      <c r="V4344" t="n">
        <v>30</v>
      </c>
      <c r="W4344" t="n">
        <v>1</v>
      </c>
      <c r="X4344" t="n">
        <v>1471.861471861472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10195</v>
      </c>
      <c r="AG4344" t="n">
        <v>78</v>
      </c>
      <c r="AH4344" t="inlineStr">
        <is>
          <t>PT. GLORIENTA P.H - PPN (PDG)</t>
        </is>
      </c>
      <c r="AI4344" t="n">
        <v>1304</v>
      </c>
      <c r="AJ4344" t="inlineStr">
        <is>
          <t>THE ORIGINOTE</t>
        </is>
      </c>
      <c r="AK4344" t="n">
        <v>9</v>
      </c>
      <c r="AL4344" t="inlineStr">
        <is>
          <t>Miss Glam Jambi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THE ORIGINOTE</t>
        </is>
      </c>
      <c r="B4345" s="2">
        <f>"792649847442"</f>
        <v/>
      </c>
      <c r="C4345" t="inlineStr">
        <is>
          <t>THE ORIGINOTE High Cover Serum Cushion Deep Warm 13gr</t>
        </is>
      </c>
      <c r="D4345" t="inlineStr">
        <is>
          <t>Miss Glam Jambi</t>
        </is>
      </c>
      <c r="E4345" t="n">
        <v>4</v>
      </c>
      <c r="F4345" t="n">
        <v>0.02</v>
      </c>
      <c r="G4345" t="n">
        <v>1</v>
      </c>
      <c r="H4345" t="n">
        <v>4</v>
      </c>
      <c r="I4345" t="n">
        <v>11</v>
      </c>
      <c r="J4345" t="n">
        <v>3</v>
      </c>
      <c r="K4345" t="n">
        <v>0</v>
      </c>
      <c r="L4345" t="n">
        <v>78200</v>
      </c>
      <c r="M4345" t="n">
        <v>88500</v>
      </c>
      <c r="N4345" t="n">
        <v>33</v>
      </c>
      <c r="O4345" t="n">
        <v>0.33</v>
      </c>
      <c r="P4345" t="n">
        <v>0</v>
      </c>
      <c r="Q4345" t="n">
        <v>0.02</v>
      </c>
      <c r="R4345" t="n">
        <v>1</v>
      </c>
      <c r="S4345" t="n">
        <v>1770</v>
      </c>
      <c r="T4345" t="n">
        <v>11</v>
      </c>
      <c r="U4345" t="n">
        <v>12</v>
      </c>
      <c r="V4345" t="n">
        <v>30</v>
      </c>
      <c r="W4345" t="n">
        <v>1</v>
      </c>
      <c r="X4345" t="n">
        <v>200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10195</v>
      </c>
      <c r="AG4345" t="n">
        <v>78</v>
      </c>
      <c r="AH4345" t="inlineStr">
        <is>
          <t>PT. GLORIENTA P.H - PPN (PDG)</t>
        </is>
      </c>
      <c r="AI4345" t="n">
        <v>1304</v>
      </c>
      <c r="AJ4345" t="inlineStr">
        <is>
          <t>THE ORIGINOTE</t>
        </is>
      </c>
      <c r="AK4345" t="n">
        <v>9</v>
      </c>
      <c r="AL4345" t="inlineStr">
        <is>
          <t>Miss Glam Jambi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THE ORIGINOTE</t>
        </is>
      </c>
      <c r="B4346" s="2">
        <f>"792649847350"</f>
        <v/>
      </c>
      <c r="C4346" t="inlineStr">
        <is>
          <t>THE ORIGINOTE High Cover Serum Cushion Fair 13gr</t>
        </is>
      </c>
      <c r="D4346" t="inlineStr">
        <is>
          <t>Miss Glam Jambi</t>
        </is>
      </c>
      <c r="E4346" t="n">
        <v>3</v>
      </c>
      <c r="F4346" t="n">
        <v>0.02</v>
      </c>
      <c r="G4346" t="n">
        <v>1</v>
      </c>
      <c r="H4346" t="n">
        <v>4</v>
      </c>
      <c r="I4346" t="n">
        <v>11</v>
      </c>
      <c r="J4346" t="n">
        <v>3</v>
      </c>
      <c r="K4346" t="n">
        <v>0</v>
      </c>
      <c r="L4346" t="n">
        <v>78200</v>
      </c>
      <c r="M4346" t="n">
        <v>88500</v>
      </c>
      <c r="N4346" t="n">
        <v>33</v>
      </c>
      <c r="O4346" t="n">
        <v>0.33</v>
      </c>
      <c r="P4346" t="n">
        <v>0</v>
      </c>
      <c r="Q4346" t="n">
        <v>0.02</v>
      </c>
      <c r="R4346" t="n">
        <v>1</v>
      </c>
      <c r="S4346" t="n">
        <v>1770</v>
      </c>
      <c r="T4346" t="n">
        <v>11</v>
      </c>
      <c r="U4346" t="n">
        <v>12</v>
      </c>
      <c r="V4346" t="n">
        <v>30</v>
      </c>
      <c r="W4346" t="n">
        <v>1</v>
      </c>
      <c r="X4346" t="n">
        <v>150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10195</v>
      </c>
      <c r="AG4346" t="n">
        <v>78</v>
      </c>
      <c r="AH4346" t="inlineStr">
        <is>
          <t>PT. GLORIENTA P.H - PPN (PDG)</t>
        </is>
      </c>
      <c r="AI4346" t="n">
        <v>1304</v>
      </c>
      <c r="AJ4346" t="inlineStr">
        <is>
          <t>THE ORIGINOTE</t>
        </is>
      </c>
      <c r="AK4346" t="n">
        <v>9</v>
      </c>
      <c r="AL4346" t="inlineStr">
        <is>
          <t>Miss Glam Jambi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THE ORIGINOTE</t>
        </is>
      </c>
      <c r="B4347" s="2">
        <f>"792649847367"</f>
        <v/>
      </c>
      <c r="C4347" t="inlineStr">
        <is>
          <t>THE ORIGINOTE High Cover Serum Cushion Fair Beige 13gr</t>
        </is>
      </c>
      <c r="D4347" t="inlineStr">
        <is>
          <t>Miss Glam Jambi</t>
        </is>
      </c>
      <c r="E4347" t="n">
        <v>0</v>
      </c>
      <c r="F4347" t="n">
        <v>0.02</v>
      </c>
      <c r="G4347" t="n">
        <v>1</v>
      </c>
      <c r="H4347" t="n">
        <v>4</v>
      </c>
      <c r="I4347" t="n">
        <v>11</v>
      </c>
      <c r="J4347" t="n">
        <v>3</v>
      </c>
      <c r="K4347" t="n">
        <v>0</v>
      </c>
      <c r="L4347" t="n">
        <v>78200</v>
      </c>
      <c r="M4347" t="n">
        <v>88500</v>
      </c>
      <c r="N4347" t="n">
        <v>33</v>
      </c>
      <c r="O4347" t="n">
        <v>0.33</v>
      </c>
      <c r="P4347" t="n">
        <v>0</v>
      </c>
      <c r="Q4347" t="n">
        <v>0.02</v>
      </c>
      <c r="R4347" t="n">
        <v>1</v>
      </c>
      <c r="S4347" t="n">
        <v>1770</v>
      </c>
      <c r="T4347" t="n">
        <v>11</v>
      </c>
      <c r="U4347" t="n">
        <v>12</v>
      </c>
      <c r="V4347" t="n">
        <v>30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n">
        <v>0</v>
      </c>
      <c r="AC4347" t="n">
        <v>0</v>
      </c>
      <c r="AD4347" t="n">
        <v>78200</v>
      </c>
      <c r="AE4347" t="n">
        <v>0</v>
      </c>
      <c r="AF4347" t="n">
        <v>10195</v>
      </c>
      <c r="AG4347" t="n">
        <v>78</v>
      </c>
      <c r="AH4347" t="inlineStr">
        <is>
          <t>PT. GLORIENTA P.H - PPN (PDG)</t>
        </is>
      </c>
      <c r="AI4347" t="n">
        <v>1304</v>
      </c>
      <c r="AJ4347" t="inlineStr">
        <is>
          <t>THE ORIGINOTE</t>
        </is>
      </c>
      <c r="AK4347" t="n">
        <v>9</v>
      </c>
      <c r="AL4347" t="inlineStr">
        <is>
          <t>Miss Glam Jambi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THE ORIGINOTE</t>
        </is>
      </c>
      <c r="B4348" s="2">
        <f>"792649847435"</f>
        <v/>
      </c>
      <c r="C4348" t="inlineStr">
        <is>
          <t>THE ORIGINOTE High Cover Serum Cushion Tan Warm 13gr</t>
        </is>
      </c>
      <c r="D4348" t="inlineStr">
        <is>
          <t>Miss Glam Jambi</t>
        </is>
      </c>
      <c r="E4348" t="n">
        <v>3</v>
      </c>
      <c r="F4348" t="n">
        <v>0.02</v>
      </c>
      <c r="G4348" t="n">
        <v>1</v>
      </c>
      <c r="H4348" t="n">
        <v>4</v>
      </c>
      <c r="I4348" t="n">
        <v>11</v>
      </c>
      <c r="J4348" t="n">
        <v>3</v>
      </c>
      <c r="K4348" t="n">
        <v>0</v>
      </c>
      <c r="L4348" t="n">
        <v>78200</v>
      </c>
      <c r="M4348" t="n">
        <v>88500</v>
      </c>
      <c r="N4348" t="n">
        <v>33</v>
      </c>
      <c r="O4348" t="n">
        <v>0.33</v>
      </c>
      <c r="P4348" t="n">
        <v>0</v>
      </c>
      <c r="Q4348" t="n">
        <v>0.02</v>
      </c>
      <c r="R4348" t="n">
        <v>1</v>
      </c>
      <c r="S4348" t="n">
        <v>1770</v>
      </c>
      <c r="T4348" t="n">
        <v>11</v>
      </c>
      <c r="U4348" t="n">
        <v>12</v>
      </c>
      <c r="V4348" t="n">
        <v>30</v>
      </c>
      <c r="W4348" t="n">
        <v>1</v>
      </c>
      <c r="X4348" t="n">
        <v>150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10195</v>
      </c>
      <c r="AG4348" t="n">
        <v>78</v>
      </c>
      <c r="AH4348" t="inlineStr">
        <is>
          <t>PT. GLORIENTA P.H - PPN (PDG)</t>
        </is>
      </c>
      <c r="AI4348" t="n">
        <v>1304</v>
      </c>
      <c r="AJ4348" t="inlineStr">
        <is>
          <t>THE ORIGINOTE</t>
        </is>
      </c>
      <c r="AK4348" t="n">
        <v>9</v>
      </c>
      <c r="AL4348" t="inlineStr">
        <is>
          <t>Miss Glam Jambi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THE ORIGINOTE</t>
        </is>
      </c>
      <c r="B4349" s="2">
        <f>"769503433141"</f>
        <v/>
      </c>
      <c r="C4349" t="inlineStr">
        <is>
          <t>THE ORIGINOTE Hyalu C-Serum 20ml</t>
        </is>
      </c>
      <c r="D4349" t="inlineStr">
        <is>
          <t>Miss Glam Jambi</t>
        </is>
      </c>
      <c r="E4349" t="n">
        <v>9</v>
      </c>
      <c r="F4349" t="n">
        <v>0.3036</v>
      </c>
      <c r="G4349" t="n">
        <v>1.65</v>
      </c>
      <c r="H4349" t="n">
        <v>4</v>
      </c>
      <c r="I4349" t="n">
        <v>11</v>
      </c>
      <c r="J4349" t="n">
        <v>3</v>
      </c>
      <c r="K4349" t="n">
        <v>3</v>
      </c>
      <c r="L4349" t="n">
        <v>32302</v>
      </c>
      <c r="M4349" t="n">
        <v>37000</v>
      </c>
      <c r="N4349" t="n">
        <v>33</v>
      </c>
      <c r="O4349" t="n">
        <v>0.33</v>
      </c>
      <c r="P4349" t="n">
        <v>1</v>
      </c>
      <c r="Q4349" t="n">
        <v>0.24</v>
      </c>
      <c r="R4349" t="n">
        <v>2</v>
      </c>
      <c r="S4349" t="n">
        <v>11233.2</v>
      </c>
      <c r="T4349" t="n">
        <v>17</v>
      </c>
      <c r="U4349" t="n">
        <v>19</v>
      </c>
      <c r="V4349" t="n">
        <v>30</v>
      </c>
      <c r="W4349" t="n">
        <v>10</v>
      </c>
      <c r="X4349" t="n">
        <v>29.64426877470355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10195</v>
      </c>
      <c r="AG4349" t="n">
        <v>78</v>
      </c>
      <c r="AH4349" t="inlineStr">
        <is>
          <t>PT. GLORIENTA P.H - PPN (PDG)</t>
        </is>
      </c>
      <c r="AI4349" t="n">
        <v>1304</v>
      </c>
      <c r="AJ4349" t="inlineStr">
        <is>
          <t>THE ORIGINOTE</t>
        </is>
      </c>
      <c r="AK4349" t="n">
        <v>9</v>
      </c>
      <c r="AL4349" t="inlineStr">
        <is>
          <t>Miss Glam Jambi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THE ORIGINOTE</t>
        </is>
      </c>
      <c r="B4350" s="2">
        <f>"10500638842"</f>
        <v/>
      </c>
      <c r="C4350" t="inlineStr">
        <is>
          <t>THE ORIGINOTE Hyalu-C Clay Stick 40gr</t>
        </is>
      </c>
      <c r="D4350" t="inlineStr">
        <is>
          <t>Miss Glam Jambi</t>
        </is>
      </c>
      <c r="E4350" t="n">
        <v>9</v>
      </c>
      <c r="F4350" t="n">
        <v>0.0264</v>
      </c>
      <c r="G4350" t="n">
        <v>0.33</v>
      </c>
      <c r="H4350" t="n">
        <v>4</v>
      </c>
      <c r="I4350" t="n">
        <v>11</v>
      </c>
      <c r="J4350" t="n">
        <v>1</v>
      </c>
      <c r="K4350" t="n">
        <v>0</v>
      </c>
      <c r="L4350" t="n">
        <v>64563</v>
      </c>
      <c r="M4350" t="n">
        <v>76000</v>
      </c>
      <c r="N4350" t="n">
        <v>33</v>
      </c>
      <c r="O4350" t="n">
        <v>0.33</v>
      </c>
      <c r="P4350" t="n">
        <v>1</v>
      </c>
      <c r="Q4350" t="n">
        <v>0.02</v>
      </c>
      <c r="R4350" t="n">
        <v>1</v>
      </c>
      <c r="S4350" t="n">
        <v>2006.4</v>
      </c>
      <c r="T4350" t="n">
        <v>4</v>
      </c>
      <c r="U4350" t="n">
        <v>5</v>
      </c>
      <c r="V4350" t="n">
        <v>30</v>
      </c>
      <c r="W4350" t="n">
        <v>1</v>
      </c>
      <c r="X4350" t="n">
        <v>340.9090909090909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10195</v>
      </c>
      <c r="AG4350" t="n">
        <v>78</v>
      </c>
      <c r="AH4350" t="inlineStr">
        <is>
          <t>PT. GLORIENTA P.H - PPN (PDG)</t>
        </is>
      </c>
      <c r="AI4350" t="n">
        <v>1304</v>
      </c>
      <c r="AJ4350" t="inlineStr">
        <is>
          <t>THE ORIGINOTE</t>
        </is>
      </c>
      <c r="AK4350" t="n">
        <v>9</v>
      </c>
      <c r="AL4350" t="inlineStr">
        <is>
          <t>Miss Glam Jambi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THE ORIGINOTE</t>
        </is>
      </c>
      <c r="B4351" s="2">
        <f>"10700512817"</f>
        <v/>
      </c>
      <c r="C4351" t="inlineStr">
        <is>
          <t>THE ORIGINOTE Hyaluberry Lip Protect Serum SPF 50 PA+++10ml</t>
        </is>
      </c>
      <c r="D4351" t="inlineStr">
        <is>
          <t>Miss Glam Jambi</t>
        </is>
      </c>
      <c r="E4351" t="n">
        <v>10</v>
      </c>
      <c r="F4351" t="n">
        <v>0.3036</v>
      </c>
      <c r="G4351" t="n">
        <v>1.65</v>
      </c>
      <c r="H4351" t="n">
        <v>4</v>
      </c>
      <c r="I4351" t="n">
        <v>11</v>
      </c>
      <c r="J4351" t="n">
        <v>1</v>
      </c>
      <c r="K4351" t="n">
        <v>0</v>
      </c>
      <c r="L4351" t="n">
        <v>32300</v>
      </c>
      <c r="M4351" t="n">
        <v>41000</v>
      </c>
      <c r="N4351" t="n">
        <v>33</v>
      </c>
      <c r="O4351" t="n">
        <v>0.33</v>
      </c>
      <c r="P4351" t="n">
        <v>1</v>
      </c>
      <c r="Q4351" t="n">
        <v>0.14</v>
      </c>
      <c r="R4351" t="n">
        <v>3</v>
      </c>
      <c r="S4351" t="n">
        <v>12447.6</v>
      </c>
      <c r="T4351" t="n">
        <v>17</v>
      </c>
      <c r="U4351" t="n">
        <v>19</v>
      </c>
      <c r="V4351" t="n">
        <v>30</v>
      </c>
      <c r="W4351" t="n">
        <v>10</v>
      </c>
      <c r="X4351" t="n">
        <v>32.93807641633728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10195</v>
      </c>
      <c r="AG4351" t="n">
        <v>78</v>
      </c>
      <c r="AH4351" t="inlineStr">
        <is>
          <t>PT. GLORIENTA P.H - PPN (PDG)</t>
        </is>
      </c>
      <c r="AI4351" t="n">
        <v>1304</v>
      </c>
      <c r="AJ4351" t="inlineStr">
        <is>
          <t>THE ORIGINOTE</t>
        </is>
      </c>
      <c r="AK4351" t="n">
        <v>9</v>
      </c>
      <c r="AL4351" t="inlineStr">
        <is>
          <t>Miss Glam Jambi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THE ORIGINOTE</t>
        </is>
      </c>
      <c r="B4352" s="2">
        <f>"764460291056"</f>
        <v/>
      </c>
      <c r="C4352" t="inlineStr">
        <is>
          <t>THE ORIGINOTE Hyalucera Moisturizer 50gr</t>
        </is>
      </c>
      <c r="D4352" t="inlineStr">
        <is>
          <t>Miss Glam Jambi</t>
        </is>
      </c>
      <c r="E4352" t="n">
        <v>19</v>
      </c>
      <c r="F4352" t="n">
        <v>1.8117</v>
      </c>
      <c r="G4352" t="n">
        <v>4.62</v>
      </c>
      <c r="H4352" t="n">
        <v>4</v>
      </c>
      <c r="I4352" t="n">
        <v>11</v>
      </c>
      <c r="J4352" t="n">
        <v>24</v>
      </c>
      <c r="K4352" t="n">
        <v>46</v>
      </c>
      <c r="L4352" t="n">
        <v>35699</v>
      </c>
      <c r="M4352" t="n">
        <v>40500</v>
      </c>
      <c r="N4352" t="n">
        <v>33</v>
      </c>
      <c r="O4352" t="n">
        <v>0.33</v>
      </c>
      <c r="P4352" t="n">
        <v>1</v>
      </c>
      <c r="Q4352" t="n">
        <v>1.03</v>
      </c>
      <c r="R4352" t="n">
        <v>4</v>
      </c>
      <c r="S4352" t="n">
        <v>73373.85000000001</v>
      </c>
      <c r="T4352" t="n">
        <v>44</v>
      </c>
      <c r="U4352" t="n">
        <v>52</v>
      </c>
      <c r="V4352" t="n">
        <v>30</v>
      </c>
      <c r="W4352" t="n">
        <v>55</v>
      </c>
      <c r="X4352" t="n">
        <v>10.48738753656786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10195</v>
      </c>
      <c r="AG4352" t="n">
        <v>78</v>
      </c>
      <c r="AH4352" t="inlineStr">
        <is>
          <t>PT. GLORIENTA P.H - PPN (PDG)</t>
        </is>
      </c>
      <c r="AI4352" t="n">
        <v>1304</v>
      </c>
      <c r="AJ4352" t="inlineStr">
        <is>
          <t>THE ORIGINOTE</t>
        </is>
      </c>
      <c r="AK4352" t="n">
        <v>9</v>
      </c>
      <c r="AL4352" t="inlineStr">
        <is>
          <t>Miss Glam Jambi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THE ORIGINOTE</t>
        </is>
      </c>
      <c r="B4353" s="2">
        <f>"792649503379"</f>
        <v/>
      </c>
      <c r="C4353" t="inlineStr">
        <is>
          <t>THE ORIGINOTE Hyalurose Micellar Water 300ml</t>
        </is>
      </c>
      <c r="D4353" t="inlineStr">
        <is>
          <t>Miss Glam Jambi</t>
        </is>
      </c>
      <c r="E4353" t="n">
        <v>38</v>
      </c>
      <c r="F4353" t="n">
        <v>2.1912</v>
      </c>
      <c r="G4353" t="n">
        <v>4.95</v>
      </c>
      <c r="H4353" t="n">
        <v>4</v>
      </c>
      <c r="I4353" t="n">
        <v>11</v>
      </c>
      <c r="J4353" t="n">
        <v>36</v>
      </c>
      <c r="K4353" t="n">
        <v>36</v>
      </c>
      <c r="L4353" t="n">
        <v>40800</v>
      </c>
      <c r="M4353" t="n">
        <v>46000</v>
      </c>
      <c r="N4353" t="n">
        <v>33</v>
      </c>
      <c r="O4353" t="n">
        <v>0.33</v>
      </c>
      <c r="P4353" t="n">
        <v>1</v>
      </c>
      <c r="Q4353" t="n">
        <v>1.29</v>
      </c>
      <c r="R4353" t="n">
        <v>5</v>
      </c>
      <c r="S4353" t="n">
        <v>100795.2</v>
      </c>
      <c r="T4353" t="n">
        <v>46</v>
      </c>
      <c r="U4353" t="n">
        <v>55</v>
      </c>
      <c r="V4353" t="n">
        <v>30</v>
      </c>
      <c r="W4353" t="n">
        <v>66</v>
      </c>
      <c r="X4353" t="n">
        <v>17.34209565534867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10195</v>
      </c>
      <c r="AG4353" t="n">
        <v>78</v>
      </c>
      <c r="AH4353" t="inlineStr">
        <is>
          <t>PT. GLORIENTA P.H - PPN (PDG)</t>
        </is>
      </c>
      <c r="AI4353" t="n">
        <v>1304</v>
      </c>
      <c r="AJ4353" t="inlineStr">
        <is>
          <t>THE ORIGINOTE</t>
        </is>
      </c>
      <c r="AK4353" t="n">
        <v>9</v>
      </c>
      <c r="AL4353" t="inlineStr">
        <is>
          <t>Miss Glam Jambi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THE ORIGINOTE</t>
        </is>
      </c>
      <c r="B4354" s="2">
        <f>"769503433202"</f>
        <v/>
      </c>
      <c r="C4354" t="inlineStr">
        <is>
          <t>THE ORIGINOTE Lip Oil Serum Ceramide, Vit C, &amp; Grapefruit Extract With Uv Filter 3.2ml</t>
        </is>
      </c>
      <c r="D4354" t="inlineStr">
        <is>
          <t>Miss Glam Jambi</t>
        </is>
      </c>
      <c r="E4354" t="n">
        <v>2</v>
      </c>
      <c r="F4354" t="n">
        <v>0.2079</v>
      </c>
      <c r="G4354" t="n">
        <v>1.32</v>
      </c>
      <c r="H4354" t="n">
        <v>4</v>
      </c>
      <c r="I4354" t="n">
        <v>11</v>
      </c>
      <c r="J4354" t="n">
        <v>3</v>
      </c>
      <c r="K4354" t="n">
        <v>5</v>
      </c>
      <c r="L4354" t="n">
        <v>30600</v>
      </c>
      <c r="M4354" t="n">
        <v>36000</v>
      </c>
      <c r="N4354" t="n">
        <v>33</v>
      </c>
      <c r="O4354" t="n">
        <v>0.33</v>
      </c>
      <c r="P4354" t="n">
        <v>1</v>
      </c>
      <c r="Q4354" t="n">
        <v>0.14</v>
      </c>
      <c r="R4354" t="n">
        <v>1</v>
      </c>
      <c r="S4354" t="n">
        <v>7484.4</v>
      </c>
      <c r="T4354" t="n">
        <v>14</v>
      </c>
      <c r="U4354" t="n">
        <v>15</v>
      </c>
      <c r="V4354" t="n">
        <v>30</v>
      </c>
      <c r="W4354" t="n">
        <v>7</v>
      </c>
      <c r="X4354" t="n">
        <v>9.62000962000962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10195</v>
      </c>
      <c r="AG4354" t="n">
        <v>78</v>
      </c>
      <c r="AH4354" t="inlineStr">
        <is>
          <t>PT. GLORIENTA P.H - PPN (PDG)</t>
        </is>
      </c>
      <c r="AI4354" t="n">
        <v>1304</v>
      </c>
      <c r="AJ4354" t="inlineStr">
        <is>
          <t>THE ORIGINOTE</t>
        </is>
      </c>
      <c r="AK4354" t="n">
        <v>9</v>
      </c>
      <c r="AL4354" t="inlineStr">
        <is>
          <t>Miss Glam Jambi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THE ORIGINOTE</t>
        </is>
      </c>
      <c r="B4355" s="2">
        <f>"792649106730"</f>
        <v/>
      </c>
      <c r="C4355" t="inlineStr">
        <is>
          <t>THE ORIGINOTE Low Ph Cicamide Facial Cleanser 150ml</t>
        </is>
      </c>
      <c r="D4355" t="inlineStr">
        <is>
          <t>Miss Glam Jambi</t>
        </is>
      </c>
      <c r="E4355" t="n">
        <v>13</v>
      </c>
      <c r="F4355" t="n">
        <v>0.4851</v>
      </c>
      <c r="G4355" t="n">
        <v>1.32</v>
      </c>
      <c r="H4355" t="n">
        <v>4</v>
      </c>
      <c r="I4355" t="n">
        <v>11</v>
      </c>
      <c r="J4355" t="n">
        <v>3</v>
      </c>
      <c r="K4355" t="n">
        <v>3</v>
      </c>
      <c r="L4355" t="n">
        <v>35700</v>
      </c>
      <c r="M4355" t="n">
        <v>42000</v>
      </c>
      <c r="N4355" t="n">
        <v>33</v>
      </c>
      <c r="O4355" t="n">
        <v>0.33</v>
      </c>
      <c r="P4355" t="n">
        <v>1</v>
      </c>
      <c r="Q4355" t="n">
        <v>0.25</v>
      </c>
      <c r="R4355" t="n">
        <v>2</v>
      </c>
      <c r="S4355" t="n">
        <v>20374.2</v>
      </c>
      <c r="T4355" t="n">
        <v>13</v>
      </c>
      <c r="U4355" t="n">
        <v>15</v>
      </c>
      <c r="V4355" t="n">
        <v>30</v>
      </c>
      <c r="W4355" t="n">
        <v>15</v>
      </c>
      <c r="X4355" t="n">
        <v>26.79859822716966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10195</v>
      </c>
      <c r="AG4355" t="n">
        <v>78</v>
      </c>
      <c r="AH4355" t="inlineStr">
        <is>
          <t>PT. GLORIENTA P.H - PPN (PDG)</t>
        </is>
      </c>
      <c r="AI4355" t="n">
        <v>1304</v>
      </c>
      <c r="AJ4355" t="inlineStr">
        <is>
          <t>THE ORIGINOTE</t>
        </is>
      </c>
      <c r="AK4355" t="n">
        <v>9</v>
      </c>
      <c r="AL4355" t="inlineStr">
        <is>
          <t>Miss Glam Jambi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THE ORIGINOTE</t>
        </is>
      </c>
      <c r="B4356" s="2">
        <f>"769503433042"</f>
        <v/>
      </c>
      <c r="C4356" t="inlineStr">
        <is>
          <t>THE ORIGINOTE Micellar Foam Cleanser 100ml</t>
        </is>
      </c>
      <c r="D4356" t="inlineStr">
        <is>
          <t>Miss Glam Jambi</t>
        </is>
      </c>
      <c r="E4356" t="n">
        <v>5</v>
      </c>
      <c r="F4356" t="n">
        <v>0.006600000000000001</v>
      </c>
      <c r="G4356" t="n">
        <v>0.33</v>
      </c>
      <c r="H4356" t="n">
        <v>4</v>
      </c>
      <c r="I4356" t="n">
        <v>11</v>
      </c>
      <c r="J4356" t="n">
        <v>3</v>
      </c>
      <c r="K4356" t="n">
        <v>0</v>
      </c>
      <c r="L4356" t="n">
        <v>35700</v>
      </c>
      <c r="M4356" t="n">
        <v>42000</v>
      </c>
      <c r="N4356" t="n">
        <v>33</v>
      </c>
      <c r="O4356" t="n">
        <v>0.33</v>
      </c>
      <c r="P4356" t="n">
        <v>1</v>
      </c>
      <c r="Q4356" t="n">
        <v>0.02</v>
      </c>
      <c r="R4356" t="n">
        <v>1</v>
      </c>
      <c r="S4356" t="n">
        <v>277.2</v>
      </c>
      <c r="T4356" t="n">
        <v>4</v>
      </c>
      <c r="U4356" t="n">
        <v>5</v>
      </c>
      <c r="V4356" t="n">
        <v>30</v>
      </c>
      <c r="W4356" t="n">
        <v>1</v>
      </c>
      <c r="X4356" t="n">
        <v>757.5757575757575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10195</v>
      </c>
      <c r="AG4356" t="n">
        <v>78</v>
      </c>
      <c r="AH4356" t="inlineStr">
        <is>
          <t>PT. GLORIENTA P.H - PPN (PDG)</t>
        </is>
      </c>
      <c r="AI4356" t="n">
        <v>1304</v>
      </c>
      <c r="AJ4356" t="inlineStr">
        <is>
          <t>THE ORIGINOTE</t>
        </is>
      </c>
      <c r="AK4356" t="n">
        <v>9</v>
      </c>
      <c r="AL4356" t="inlineStr">
        <is>
          <t>Miss Glam Jambi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THE ORIGINOTE</t>
        </is>
      </c>
      <c r="B4357" s="2">
        <f>"745604686068"</f>
        <v/>
      </c>
      <c r="C4357" t="inlineStr">
        <is>
          <t>THE ORIGINOTE Mugwort B3 Clay Stick 40gr</t>
        </is>
      </c>
      <c r="D4357" t="inlineStr">
        <is>
          <t>Miss Glam Jambi</t>
        </is>
      </c>
      <c r="E4357" t="n">
        <v>9</v>
      </c>
      <c r="F4357" t="n">
        <v>0.7260000000000001</v>
      </c>
      <c r="G4357" t="n">
        <v>1.98</v>
      </c>
      <c r="H4357" t="n">
        <v>4</v>
      </c>
      <c r="I4357" t="n">
        <v>11</v>
      </c>
      <c r="J4357" t="n">
        <v>3</v>
      </c>
      <c r="K4357" t="n">
        <v>25</v>
      </c>
      <c r="L4357" t="n">
        <v>32300</v>
      </c>
      <c r="M4357" t="n">
        <v>36000</v>
      </c>
      <c r="N4357" t="n">
        <v>33</v>
      </c>
      <c r="O4357" t="n">
        <v>0.33</v>
      </c>
      <c r="P4357" t="n">
        <v>1</v>
      </c>
      <c r="Q4357" t="n">
        <v>0.25</v>
      </c>
      <c r="R4357" t="n">
        <v>2</v>
      </c>
      <c r="S4357" t="n">
        <v>26136</v>
      </c>
      <c r="T4357" t="n">
        <v>19</v>
      </c>
      <c r="U4357" t="n">
        <v>22</v>
      </c>
      <c r="V4357" t="n">
        <v>30</v>
      </c>
      <c r="W4357" t="n">
        <v>22</v>
      </c>
      <c r="X4357" t="n">
        <v>12.39669421487603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10195</v>
      </c>
      <c r="AG4357" t="n">
        <v>78</v>
      </c>
      <c r="AH4357" t="inlineStr">
        <is>
          <t>PT. GLORIENTA P.H - PPN (PDG)</t>
        </is>
      </c>
      <c r="AI4357" t="n">
        <v>1304</v>
      </c>
      <c r="AJ4357" t="inlineStr">
        <is>
          <t>THE ORIGINOTE</t>
        </is>
      </c>
      <c r="AK4357" t="n">
        <v>9</v>
      </c>
      <c r="AL4357" t="inlineStr">
        <is>
          <t>Miss Glam Jambi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THE ORIGINOTE</t>
        </is>
      </c>
      <c r="B4358" s="2">
        <f>"11200149144"</f>
        <v/>
      </c>
      <c r="C4358" t="inlineStr">
        <is>
          <t>THE ORIGINOTE Niacinamide 10% serum 20ml</t>
        </is>
      </c>
      <c r="D4358" t="inlineStr">
        <is>
          <t>Miss Glam Jambi</t>
        </is>
      </c>
      <c r="E4358" t="n">
        <v>0</v>
      </c>
      <c r="F4358" t="n">
        <v>0.07000000000000001</v>
      </c>
      <c r="G4358" t="n">
        <v>1</v>
      </c>
      <c r="H4358" t="n">
        <v>4</v>
      </c>
      <c r="I4358" t="n">
        <v>11</v>
      </c>
      <c r="J4358" t="n">
        <v>1</v>
      </c>
      <c r="K4358" t="n">
        <v>2</v>
      </c>
      <c r="L4358" t="n">
        <v>32300</v>
      </c>
      <c r="M4358" t="n">
        <v>38000</v>
      </c>
      <c r="N4358" t="n">
        <v>33</v>
      </c>
      <c r="O4358" t="n">
        <v>0.33</v>
      </c>
      <c r="P4358" t="n">
        <v>0</v>
      </c>
      <c r="Q4358" t="n">
        <v>0.07000000000000001</v>
      </c>
      <c r="R4358" t="n">
        <v>1</v>
      </c>
      <c r="S4358" t="n">
        <v>2660</v>
      </c>
      <c r="T4358" t="n">
        <v>11</v>
      </c>
      <c r="U4358" t="n">
        <v>12</v>
      </c>
      <c r="V4358" t="n">
        <v>30</v>
      </c>
      <c r="W4358" t="n">
        <v>3</v>
      </c>
      <c r="X4358" t="n">
        <v>0</v>
      </c>
      <c r="Y4358" t="n">
        <v>1</v>
      </c>
      <c r="Z4358" t="n">
        <v>1</v>
      </c>
      <c r="AA4358" t="n">
        <v>0</v>
      </c>
      <c r="AB4358" t="n">
        <v>1</v>
      </c>
      <c r="AC4358" t="n">
        <v>1</v>
      </c>
      <c r="AD4358" t="n">
        <v>0</v>
      </c>
      <c r="AE4358" t="n">
        <v>32300</v>
      </c>
      <c r="AF4358" t="n">
        <v>10195</v>
      </c>
      <c r="AG4358" t="n">
        <v>78</v>
      </c>
      <c r="AH4358" t="inlineStr">
        <is>
          <t>PT. GLORIENTA P.H - PPN (PDG)</t>
        </is>
      </c>
      <c r="AI4358" t="n">
        <v>1304</v>
      </c>
      <c r="AJ4358" t="inlineStr">
        <is>
          <t>THE ORIGINOTE</t>
        </is>
      </c>
      <c r="AK4358" t="n">
        <v>9</v>
      </c>
      <c r="AL4358" t="inlineStr">
        <is>
          <t>Miss Glam Jambi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THE ORIGINOTE</t>
        </is>
      </c>
      <c r="B4359" s="2">
        <f>"725765154484"</f>
        <v/>
      </c>
      <c r="C4359" t="inlineStr">
        <is>
          <t>THE ORIGINOTE Rose B3 Brightening Jelly Mask 50gr</t>
        </is>
      </c>
      <c r="D4359" t="inlineStr">
        <is>
          <t>Miss Glam Jambi</t>
        </is>
      </c>
      <c r="E4359" t="n">
        <v>2</v>
      </c>
      <c r="F4359" t="n">
        <v>0.006600000000000001</v>
      </c>
      <c r="G4359" t="n">
        <v>0.33</v>
      </c>
      <c r="H4359" t="n">
        <v>4</v>
      </c>
      <c r="I4359" t="n">
        <v>11</v>
      </c>
      <c r="J4359" t="n">
        <v>3</v>
      </c>
      <c r="K4359" t="n">
        <v>0</v>
      </c>
      <c r="L4359" t="n">
        <v>30600</v>
      </c>
      <c r="M4359" t="n">
        <v>36000</v>
      </c>
      <c r="N4359" t="n">
        <v>33</v>
      </c>
      <c r="O4359" t="n">
        <v>0.33</v>
      </c>
      <c r="P4359" t="n">
        <v>1</v>
      </c>
      <c r="Q4359" t="n">
        <v>0.08</v>
      </c>
      <c r="R4359" t="n">
        <v>1</v>
      </c>
      <c r="S4359" t="n">
        <v>237.6</v>
      </c>
      <c r="T4359" t="n">
        <v>4</v>
      </c>
      <c r="U4359" t="n">
        <v>5</v>
      </c>
      <c r="V4359" t="n">
        <v>30</v>
      </c>
      <c r="W4359" t="n">
        <v>1</v>
      </c>
      <c r="X4359" t="n">
        <v>303.030303030303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10195</v>
      </c>
      <c r="AG4359" t="n">
        <v>78</v>
      </c>
      <c r="AH4359" t="inlineStr">
        <is>
          <t>PT. GLORIENTA P.H - PPN (PDG)</t>
        </is>
      </c>
      <c r="AI4359" t="n">
        <v>1304</v>
      </c>
      <c r="AJ4359" t="inlineStr">
        <is>
          <t>THE ORIGINOTE</t>
        </is>
      </c>
      <c r="AK4359" t="n">
        <v>9</v>
      </c>
      <c r="AL4359" t="inlineStr">
        <is>
          <t>Miss Glam Jambi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THE ORIGINOTE</t>
        </is>
      </c>
      <c r="B4360" s="2">
        <f>"10400206618"</f>
        <v/>
      </c>
      <c r="C4360" t="inlineStr">
        <is>
          <t>THE ORIGINOTE Spf 50 pa++ Ceracinamade Sunscreen Mist 120ml</t>
        </is>
      </c>
      <c r="D4360" t="inlineStr">
        <is>
          <t>Miss Glam Jambi</t>
        </is>
      </c>
      <c r="E4360" t="n">
        <v>10</v>
      </c>
      <c r="F4360" t="n">
        <v>0.2013</v>
      </c>
      <c r="G4360" t="n">
        <v>1.32</v>
      </c>
      <c r="H4360" t="n">
        <v>4</v>
      </c>
      <c r="I4360" t="n">
        <v>11</v>
      </c>
      <c r="J4360" t="n">
        <v>1</v>
      </c>
      <c r="K4360" t="n">
        <v>0</v>
      </c>
      <c r="L4360" t="n">
        <v>49301</v>
      </c>
      <c r="M4360" t="n">
        <v>58000</v>
      </c>
      <c r="N4360" t="n">
        <v>33</v>
      </c>
      <c r="O4360" t="n">
        <v>0.33</v>
      </c>
      <c r="P4360" t="n">
        <v>1</v>
      </c>
      <c r="Q4360" t="n">
        <v>0.29</v>
      </c>
      <c r="R4360" t="n">
        <v>2</v>
      </c>
      <c r="S4360" t="n">
        <v>11675.4</v>
      </c>
      <c r="T4360" t="n">
        <v>14</v>
      </c>
      <c r="U4360" t="n">
        <v>15</v>
      </c>
      <c r="V4360" t="n">
        <v>30</v>
      </c>
      <c r="W4360" t="n">
        <v>7</v>
      </c>
      <c r="X4360" t="n">
        <v>49.67709885742673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10195</v>
      </c>
      <c r="AG4360" t="n">
        <v>78</v>
      </c>
      <c r="AH4360" t="inlineStr">
        <is>
          <t>PT. GLORIENTA P.H - PPN (PDG)</t>
        </is>
      </c>
      <c r="AI4360" t="n">
        <v>1304</v>
      </c>
      <c r="AJ4360" t="inlineStr">
        <is>
          <t>THE ORIGINOTE</t>
        </is>
      </c>
      <c r="AK4360" t="n">
        <v>9</v>
      </c>
      <c r="AL4360" t="inlineStr">
        <is>
          <t>Miss Glam Jambi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THE ORIGINOTE</t>
        </is>
      </c>
      <c r="B4361" s="2">
        <f>"745604685955"</f>
        <v/>
      </c>
      <c r="C4361" t="inlineStr">
        <is>
          <t>THE ORIGINOTE TXA 377 Dark Spot Serum 20ml</t>
        </is>
      </c>
      <c r="D4361" t="inlineStr">
        <is>
          <t>Miss Glam Jambi</t>
        </is>
      </c>
      <c r="E4361" t="n">
        <v>0</v>
      </c>
      <c r="F4361" t="n">
        <v>0.07920000000000001</v>
      </c>
      <c r="G4361" t="n">
        <v>0.66</v>
      </c>
      <c r="H4361" t="n">
        <v>4</v>
      </c>
      <c r="I4361" t="n">
        <v>11</v>
      </c>
      <c r="J4361" t="n">
        <v>3</v>
      </c>
      <c r="K4361" t="n">
        <v>4</v>
      </c>
      <c r="L4361" t="n">
        <v>35700</v>
      </c>
      <c r="M4361" t="n">
        <v>41000</v>
      </c>
      <c r="N4361" t="n">
        <v>33</v>
      </c>
      <c r="O4361" t="n">
        <v>0.33</v>
      </c>
      <c r="P4361" t="n">
        <v>1</v>
      </c>
      <c r="Q4361" t="n">
        <v>0.17</v>
      </c>
      <c r="R4361" t="n">
        <v>2</v>
      </c>
      <c r="S4361" t="n">
        <v>3247.2</v>
      </c>
      <c r="T4361" t="n">
        <v>7</v>
      </c>
      <c r="U4361" t="n">
        <v>8</v>
      </c>
      <c r="V4361" t="n">
        <v>30</v>
      </c>
      <c r="W4361" t="n">
        <v>3</v>
      </c>
      <c r="X4361" t="n">
        <v>0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10195</v>
      </c>
      <c r="AG4361" t="n">
        <v>78</v>
      </c>
      <c r="AH4361" t="inlineStr">
        <is>
          <t>PT. GLORIENTA P.H - PPN (PDG)</t>
        </is>
      </c>
      <c r="AI4361" t="n">
        <v>1304</v>
      </c>
      <c r="AJ4361" t="inlineStr">
        <is>
          <t>THE ORIGINOTE</t>
        </is>
      </c>
      <c r="AK4361" t="n">
        <v>9</v>
      </c>
      <c r="AL4361" t="inlineStr">
        <is>
          <t>Miss Glam Jambi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TIMEPHORIA</t>
        </is>
      </c>
      <c r="B4362" s="2">
        <f>"20101009730"</f>
        <v/>
      </c>
      <c r="C4362" t="inlineStr">
        <is>
          <t>TIMEPHORIA Eclipse Spark 2 in 1 Face Contur Umbra 7g</t>
        </is>
      </c>
      <c r="D4362" t="inlineStr">
        <is>
          <t>Miss Glam Jambi</t>
        </is>
      </c>
      <c r="E4362" t="n">
        <v>4</v>
      </c>
      <c r="F4362" t="n">
        <v>0.0165</v>
      </c>
      <c r="G4362" t="n">
        <v>0.33</v>
      </c>
      <c r="H4362" t="n">
        <v>2</v>
      </c>
      <c r="I4362" t="n">
        <v>12</v>
      </c>
      <c r="J4362" t="n">
        <v>1</v>
      </c>
      <c r="K4362" t="n">
        <v>0</v>
      </c>
      <c r="L4362" t="n">
        <v>119201</v>
      </c>
      <c r="M4362" t="n">
        <v>149000</v>
      </c>
      <c r="N4362" t="n">
        <v>33</v>
      </c>
      <c r="O4362" t="n">
        <v>0.33</v>
      </c>
      <c r="P4362" t="n">
        <v>1</v>
      </c>
      <c r="Q4362" t="n">
        <v>0.08</v>
      </c>
      <c r="R4362" t="n">
        <v>1</v>
      </c>
      <c r="S4362" t="n">
        <v>2458.5</v>
      </c>
      <c r="T4362" t="n">
        <v>4</v>
      </c>
      <c r="U4362" t="n">
        <v>5</v>
      </c>
      <c r="V4362" t="n">
        <v>30</v>
      </c>
      <c r="W4362" t="n">
        <v>1</v>
      </c>
      <c r="X4362" t="n">
        <v>242.4242424242424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12729</v>
      </c>
      <c r="AG4362" t="n">
        <v>2137</v>
      </c>
      <c r="AH4362" t="inlineStr">
        <is>
          <t>PT. SAMUDRA JAYA ANUGRAH - PPN (JMB)</t>
        </is>
      </c>
      <c r="AI4362" t="n">
        <v>2327</v>
      </c>
      <c r="AJ4362" t="inlineStr">
        <is>
          <t>TIMEPHORIA</t>
        </is>
      </c>
      <c r="AK4362" t="n">
        <v>9</v>
      </c>
      <c r="AL4362" t="inlineStr">
        <is>
          <t>Miss Glam Jambi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TIMEPHORIA</t>
        </is>
      </c>
      <c r="B4363" s="2">
        <f>"203001106129"</f>
        <v/>
      </c>
      <c r="C4363" t="inlineStr">
        <is>
          <t>TIMEPHORIA Eternal Lip Matte Oracle 4ml</t>
        </is>
      </c>
      <c r="D4363" t="inlineStr">
        <is>
          <t>Miss Glam Jambi</t>
        </is>
      </c>
      <c r="E4363" t="n">
        <v>0</v>
      </c>
      <c r="F4363" t="n">
        <v>0.0462</v>
      </c>
      <c r="G4363" t="n">
        <v>0.33</v>
      </c>
      <c r="H4363" t="n">
        <v>2</v>
      </c>
      <c r="I4363" t="n">
        <v>12</v>
      </c>
      <c r="J4363" t="n">
        <v>1</v>
      </c>
      <c r="K4363" t="n">
        <v>13</v>
      </c>
      <c r="L4363" t="n">
        <v>95200</v>
      </c>
      <c r="M4363" t="n">
        <v>119000</v>
      </c>
      <c r="N4363" t="n">
        <v>33</v>
      </c>
      <c r="O4363" t="n">
        <v>0.33</v>
      </c>
      <c r="P4363" t="n">
        <v>1</v>
      </c>
      <c r="Q4363" t="n">
        <v>0.07000000000000001</v>
      </c>
      <c r="R4363" t="n">
        <v>1</v>
      </c>
      <c r="S4363" t="n">
        <v>5497.8</v>
      </c>
      <c r="T4363" t="n">
        <v>4</v>
      </c>
      <c r="U4363" t="n">
        <v>5</v>
      </c>
      <c r="V4363" t="n">
        <v>30</v>
      </c>
      <c r="W4363" t="n">
        <v>2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12729</v>
      </c>
      <c r="AG4363" t="n">
        <v>2137</v>
      </c>
      <c r="AH4363" t="inlineStr">
        <is>
          <t>PT. SAMUDRA JAYA ANUGRAH - PPN (JMB)</t>
        </is>
      </c>
      <c r="AI4363" t="n">
        <v>2327</v>
      </c>
      <c r="AJ4363" t="inlineStr">
        <is>
          <t>TIMEPHORIA</t>
        </is>
      </c>
      <c r="AK4363" t="n">
        <v>9</v>
      </c>
      <c r="AL4363" t="inlineStr">
        <is>
          <t>Miss Glam Jambi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TIMEPHORIA</t>
        </is>
      </c>
      <c r="B4364" s="2">
        <f>"203002188833"</f>
        <v/>
      </c>
      <c r="C4364" t="inlineStr">
        <is>
          <t>TIMEPHORIA Forever Lip Matte Arcane 4ml</t>
        </is>
      </c>
      <c r="D4364" t="inlineStr">
        <is>
          <t>Miss Glam Jambi</t>
        </is>
      </c>
      <c r="E4364" t="n">
        <v>10</v>
      </c>
      <c r="F4364" t="n">
        <v>0.1518</v>
      </c>
      <c r="G4364" t="n">
        <v>0.66</v>
      </c>
      <c r="H4364" t="n">
        <v>2</v>
      </c>
      <c r="I4364" t="n">
        <v>12</v>
      </c>
      <c r="J4364" t="n">
        <v>1</v>
      </c>
      <c r="K4364" t="n">
        <v>0</v>
      </c>
      <c r="L4364" t="n">
        <v>89274</v>
      </c>
      <c r="M4364" t="n">
        <v>119000</v>
      </c>
      <c r="N4364" t="n">
        <v>33</v>
      </c>
      <c r="O4364" t="n">
        <v>0.33</v>
      </c>
      <c r="P4364" t="n">
        <v>1</v>
      </c>
      <c r="Q4364" t="n">
        <v>0.12</v>
      </c>
      <c r="R4364" t="n">
        <v>2</v>
      </c>
      <c r="S4364" t="n">
        <v>18064.2</v>
      </c>
      <c r="T4364" t="n">
        <v>8</v>
      </c>
      <c r="U4364" t="n">
        <v>9</v>
      </c>
      <c r="V4364" t="n">
        <v>30</v>
      </c>
      <c r="W4364" t="n">
        <v>5</v>
      </c>
      <c r="X4364" t="n">
        <v>65.87615283267456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12729</v>
      </c>
      <c r="AG4364" t="n">
        <v>2137</v>
      </c>
      <c r="AH4364" t="inlineStr">
        <is>
          <t>PT. SAMUDRA JAYA ANUGRAH - PPN (JMB)</t>
        </is>
      </c>
      <c r="AI4364" t="n">
        <v>2327</v>
      </c>
      <c r="AJ4364" t="inlineStr">
        <is>
          <t>TIMEPHORIA</t>
        </is>
      </c>
      <c r="AK4364" t="n">
        <v>9</v>
      </c>
      <c r="AL4364" t="inlineStr">
        <is>
          <t>Miss Glam Jambi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TIMEPHORIA</t>
        </is>
      </c>
      <c r="B4365" s="2">
        <f>"203002188719"</f>
        <v/>
      </c>
      <c r="C4365" t="inlineStr">
        <is>
          <t>TIMEPHORIA Forever Lip Matte Charm 4ml</t>
        </is>
      </c>
      <c r="D4365" t="inlineStr">
        <is>
          <t>Miss Glam Jambi</t>
        </is>
      </c>
      <c r="E4365" t="n">
        <v>2</v>
      </c>
      <c r="F4365" t="n">
        <v>0.2244</v>
      </c>
      <c r="G4365" t="n">
        <v>2.31</v>
      </c>
      <c r="H4365" t="n">
        <v>2</v>
      </c>
      <c r="I4365" t="n">
        <v>12</v>
      </c>
      <c r="J4365" t="n">
        <v>1</v>
      </c>
      <c r="K4365" t="n">
        <v>10</v>
      </c>
      <c r="L4365" t="n">
        <v>95200</v>
      </c>
      <c r="M4365" t="n">
        <v>119000</v>
      </c>
      <c r="N4365" t="n">
        <v>33</v>
      </c>
      <c r="O4365" t="n">
        <v>0.33</v>
      </c>
      <c r="P4365" t="n">
        <v>1</v>
      </c>
      <c r="Q4365" t="n">
        <v>0.17</v>
      </c>
      <c r="R4365" t="n">
        <v>2</v>
      </c>
      <c r="S4365" t="n">
        <v>26703.6</v>
      </c>
      <c r="T4365" t="n">
        <v>28</v>
      </c>
      <c r="U4365" t="n">
        <v>29</v>
      </c>
      <c r="V4365" t="n">
        <v>30</v>
      </c>
      <c r="W4365" t="n">
        <v>7</v>
      </c>
      <c r="X4365" t="n">
        <v>8.9126559714795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12729</v>
      </c>
      <c r="AG4365" t="n">
        <v>2137</v>
      </c>
      <c r="AH4365" t="inlineStr">
        <is>
          <t>PT. SAMUDRA JAYA ANUGRAH - PPN (JMB)</t>
        </is>
      </c>
      <c r="AI4365" t="n">
        <v>2327</v>
      </c>
      <c r="AJ4365" t="inlineStr">
        <is>
          <t>TIMEPHORIA</t>
        </is>
      </c>
      <c r="AK4365" t="n">
        <v>9</v>
      </c>
      <c r="AL4365" t="inlineStr">
        <is>
          <t>Miss Glam Jambi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TIMEPHORIA</t>
        </is>
      </c>
      <c r="B4366" s="2">
        <f>"203002188951"</f>
        <v/>
      </c>
      <c r="C4366" t="inlineStr">
        <is>
          <t>TIMEPHORIA Forever Lip Matte Hex 4ml</t>
        </is>
      </c>
      <c r="D4366" t="inlineStr">
        <is>
          <t>Miss Glam Jambi</t>
        </is>
      </c>
      <c r="E4366" t="n">
        <v>0</v>
      </c>
      <c r="F4366" t="n">
        <v>0.066</v>
      </c>
      <c r="G4366" t="n">
        <v>0.99</v>
      </c>
      <c r="H4366" t="n">
        <v>2</v>
      </c>
      <c r="I4366" t="n">
        <v>12</v>
      </c>
      <c r="J4366" t="n">
        <v>1</v>
      </c>
      <c r="K4366" t="n">
        <v>7</v>
      </c>
      <c r="L4366" t="n">
        <v>83317</v>
      </c>
      <c r="M4366" t="n">
        <v>119000</v>
      </c>
      <c r="N4366" t="n">
        <v>33</v>
      </c>
      <c r="O4366" t="n">
        <v>0.33</v>
      </c>
      <c r="P4366" t="n">
        <v>1</v>
      </c>
      <c r="Q4366" t="n">
        <v>0.17</v>
      </c>
      <c r="R4366" t="n">
        <v>2</v>
      </c>
      <c r="S4366" t="n">
        <v>7854</v>
      </c>
      <c r="T4366" t="n">
        <v>12</v>
      </c>
      <c r="U4366" t="n">
        <v>13</v>
      </c>
      <c r="V4366" t="n">
        <v>30</v>
      </c>
      <c r="W4366" t="n">
        <v>2</v>
      </c>
      <c r="X4366" t="n">
        <v>0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12729</v>
      </c>
      <c r="AG4366" t="n">
        <v>2137</v>
      </c>
      <c r="AH4366" t="inlineStr">
        <is>
          <t>PT. SAMUDRA JAYA ANUGRAH - PPN (JMB)</t>
        </is>
      </c>
      <c r="AI4366" t="n">
        <v>2327</v>
      </c>
      <c r="AJ4366" t="inlineStr">
        <is>
          <t>TIMEPHORIA</t>
        </is>
      </c>
      <c r="AK4366" t="n">
        <v>9</v>
      </c>
      <c r="AL4366" t="inlineStr">
        <is>
          <t>Miss Glam Jambi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TIMEPHORIA</t>
        </is>
      </c>
      <c r="B4367" s="2">
        <f>"203002188507"</f>
        <v/>
      </c>
      <c r="C4367" t="inlineStr">
        <is>
          <t>TIMEPHORIA Forever Lip Matte Hocus 4ml</t>
        </is>
      </c>
      <c r="D4367" t="inlineStr">
        <is>
          <t>Miss Glam Jambi</t>
        </is>
      </c>
      <c r="E4367" t="n">
        <v>12</v>
      </c>
      <c r="F4367" t="n">
        <v>0.0462</v>
      </c>
      <c r="G4367" t="n">
        <v>0.33</v>
      </c>
      <c r="H4367" t="n">
        <v>2</v>
      </c>
      <c r="I4367" t="n">
        <v>12</v>
      </c>
      <c r="J4367" t="n">
        <v>1</v>
      </c>
      <c r="K4367" t="n">
        <v>0</v>
      </c>
      <c r="L4367" t="n">
        <v>89047</v>
      </c>
      <c r="M4367" t="n">
        <v>119000</v>
      </c>
      <c r="N4367" t="n">
        <v>33</v>
      </c>
      <c r="O4367" t="n">
        <v>0.33</v>
      </c>
      <c r="P4367" t="n">
        <v>1</v>
      </c>
      <c r="Q4367" t="n">
        <v>0.07000000000000001</v>
      </c>
      <c r="R4367" t="n">
        <v>1</v>
      </c>
      <c r="S4367" t="n">
        <v>5497.8</v>
      </c>
      <c r="T4367" t="n">
        <v>4</v>
      </c>
      <c r="U4367" t="n">
        <v>5</v>
      </c>
      <c r="V4367" t="n">
        <v>30</v>
      </c>
      <c r="W4367" t="n">
        <v>2</v>
      </c>
      <c r="X4367" t="n">
        <v>259.7402597402597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12729</v>
      </c>
      <c r="AG4367" t="n">
        <v>2137</v>
      </c>
      <c r="AH4367" t="inlineStr">
        <is>
          <t>PT. SAMUDRA JAYA ANUGRAH - PPN (JMB)</t>
        </is>
      </c>
      <c r="AI4367" t="n">
        <v>2327</v>
      </c>
      <c r="AJ4367" t="inlineStr">
        <is>
          <t>TIMEPHORIA</t>
        </is>
      </c>
      <c r="AK4367" t="n">
        <v>9</v>
      </c>
      <c r="AL4367" t="inlineStr">
        <is>
          <t>Miss Glam Jambi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TIMEPHORIA</t>
        </is>
      </c>
      <c r="B4368" s="2">
        <f>"203002189056"</f>
        <v/>
      </c>
      <c r="C4368" t="inlineStr">
        <is>
          <t>TIMEPHORIA Forever Lip Matte Illusion 4ml</t>
        </is>
      </c>
      <c r="D4368" t="inlineStr">
        <is>
          <t>Miss Glam Jambi</t>
        </is>
      </c>
      <c r="E4368" t="n">
        <v>0</v>
      </c>
      <c r="F4368" t="n">
        <v>0.06270000000000001</v>
      </c>
      <c r="G4368" t="n">
        <v>0.66</v>
      </c>
      <c r="H4368" t="n">
        <v>2</v>
      </c>
      <c r="I4368" t="n">
        <v>12</v>
      </c>
      <c r="J4368" t="n">
        <v>1</v>
      </c>
      <c r="K4368" t="n">
        <v>1</v>
      </c>
      <c r="L4368" t="n">
        <v>95200</v>
      </c>
      <c r="M4368" t="n">
        <v>119000</v>
      </c>
      <c r="N4368" t="n">
        <v>33</v>
      </c>
      <c r="O4368" t="n">
        <v>0.33</v>
      </c>
      <c r="P4368" t="n">
        <v>1</v>
      </c>
      <c r="Q4368" t="n">
        <v>0.05</v>
      </c>
      <c r="R4368" t="n">
        <v>1</v>
      </c>
      <c r="S4368" t="n">
        <v>7461.300000000001</v>
      </c>
      <c r="T4368" t="n">
        <v>8</v>
      </c>
      <c r="U4368" t="n">
        <v>9</v>
      </c>
      <c r="V4368" t="n">
        <v>30</v>
      </c>
      <c r="W4368" t="n">
        <v>2</v>
      </c>
      <c r="X4368" t="n">
        <v>0</v>
      </c>
      <c r="Y4368" t="n">
        <v>1</v>
      </c>
      <c r="Z4368" t="n">
        <v>1</v>
      </c>
      <c r="AA4368" t="n">
        <v>0</v>
      </c>
      <c r="AB4368" t="n">
        <v>1</v>
      </c>
      <c r="AC4368" t="n">
        <v>1</v>
      </c>
      <c r="AD4368" t="n">
        <v>0</v>
      </c>
      <c r="AE4368" t="n">
        <v>95200</v>
      </c>
      <c r="AF4368" t="n">
        <v>12729</v>
      </c>
      <c r="AG4368" t="n">
        <v>2137</v>
      </c>
      <c r="AH4368" t="inlineStr">
        <is>
          <t>PT. SAMUDRA JAYA ANUGRAH - PPN (JMB)</t>
        </is>
      </c>
      <c r="AI4368" t="n">
        <v>2327</v>
      </c>
      <c r="AJ4368" t="inlineStr">
        <is>
          <t>TIMEPHORIA</t>
        </is>
      </c>
      <c r="AK4368" t="n">
        <v>9</v>
      </c>
      <c r="AL4368" t="inlineStr">
        <is>
          <t>Miss Glam Jambi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TIMEPHORIA</t>
        </is>
      </c>
      <c r="B4369" s="2">
        <f>"203002189352"</f>
        <v/>
      </c>
      <c r="C4369" t="inlineStr">
        <is>
          <t>TIMEPHORIA Forever Lip Matte Love Spell 4ml</t>
        </is>
      </c>
      <c r="D4369" t="inlineStr">
        <is>
          <t>Miss Glam Jambi</t>
        </is>
      </c>
      <c r="E4369" t="n">
        <v>2</v>
      </c>
      <c r="F4369" t="n">
        <v>0.0561</v>
      </c>
      <c r="G4369" t="n">
        <v>0.66</v>
      </c>
      <c r="H4369" t="n">
        <v>2</v>
      </c>
      <c r="I4369" t="n">
        <v>12</v>
      </c>
      <c r="J4369" t="n">
        <v>1</v>
      </c>
      <c r="K4369" t="n">
        <v>0</v>
      </c>
      <c r="L4369" t="n">
        <v>95200</v>
      </c>
      <c r="M4369" t="n">
        <v>119000</v>
      </c>
      <c r="N4369" t="n">
        <v>33</v>
      </c>
      <c r="O4369" t="n">
        <v>0.33</v>
      </c>
      <c r="P4369" t="n">
        <v>1</v>
      </c>
      <c r="Q4369" t="n">
        <v>0.05</v>
      </c>
      <c r="R4369" t="n">
        <v>1</v>
      </c>
      <c r="S4369" t="n">
        <v>6675.900000000001</v>
      </c>
      <c r="T4369" t="n">
        <v>8</v>
      </c>
      <c r="U4369" t="n">
        <v>9</v>
      </c>
      <c r="V4369" t="n">
        <v>30</v>
      </c>
      <c r="W4369" t="n">
        <v>2</v>
      </c>
      <c r="X4369" t="n">
        <v>35.650623885918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12729</v>
      </c>
      <c r="AG4369" t="n">
        <v>2137</v>
      </c>
      <c r="AH4369" t="inlineStr">
        <is>
          <t>PT. SAMUDRA JAYA ANUGRAH - PPN (JMB)</t>
        </is>
      </c>
      <c r="AI4369" t="n">
        <v>2327</v>
      </c>
      <c r="AJ4369" t="inlineStr">
        <is>
          <t>TIMEPHORIA</t>
        </is>
      </c>
      <c r="AK4369" t="n">
        <v>9</v>
      </c>
      <c r="AL4369" t="inlineStr">
        <is>
          <t>Miss Glam Jambi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TIMEPHORIA</t>
        </is>
      </c>
      <c r="B4370" s="2">
        <f>"203002189210"</f>
        <v/>
      </c>
      <c r="C4370" t="inlineStr">
        <is>
          <t>TIMEPHORIA Forever Lip Matte Pocus 4ml</t>
        </is>
      </c>
      <c r="D4370" t="inlineStr">
        <is>
          <t>Miss Glam Jambi</t>
        </is>
      </c>
      <c r="E4370" t="n">
        <v>3</v>
      </c>
      <c r="F4370" t="n">
        <v>0.0693</v>
      </c>
      <c r="G4370" t="n">
        <v>0.99</v>
      </c>
      <c r="H4370" t="n">
        <v>2</v>
      </c>
      <c r="I4370" t="n">
        <v>12</v>
      </c>
      <c r="J4370" t="n">
        <v>1</v>
      </c>
      <c r="K4370" t="n">
        <v>0</v>
      </c>
      <c r="L4370" t="n">
        <v>86061</v>
      </c>
      <c r="M4370" t="n">
        <v>119000</v>
      </c>
      <c r="N4370" t="n">
        <v>33</v>
      </c>
      <c r="O4370" t="n">
        <v>0.33</v>
      </c>
      <c r="P4370" t="n">
        <v>1</v>
      </c>
      <c r="Q4370" t="n">
        <v>0.12</v>
      </c>
      <c r="R4370" t="n">
        <v>2</v>
      </c>
      <c r="S4370" t="n">
        <v>8246.700000000001</v>
      </c>
      <c r="T4370" t="n">
        <v>12</v>
      </c>
      <c r="U4370" t="n">
        <v>13</v>
      </c>
      <c r="V4370" t="n">
        <v>30</v>
      </c>
      <c r="W4370" t="n">
        <v>3</v>
      </c>
      <c r="X4370" t="n">
        <v>43.29004329004329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12729</v>
      </c>
      <c r="AG4370" t="n">
        <v>2137</v>
      </c>
      <c r="AH4370" t="inlineStr">
        <is>
          <t>PT. SAMUDRA JAYA ANUGRAH - PPN (JMB)</t>
        </is>
      </c>
      <c r="AI4370" t="n">
        <v>2327</v>
      </c>
      <c r="AJ4370" t="inlineStr">
        <is>
          <t>TIMEPHORIA</t>
        </is>
      </c>
      <c r="AK4370" t="n">
        <v>9</v>
      </c>
      <c r="AL4370" t="inlineStr">
        <is>
          <t>Miss Glam Jambi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TIMEPHORIA</t>
        </is>
      </c>
      <c r="B4371" s="2">
        <f>"203002188615"</f>
        <v/>
      </c>
      <c r="C4371" t="inlineStr">
        <is>
          <t>TIMEPHORIA Forever Lip Matte Ritual 4ml</t>
        </is>
      </c>
      <c r="D4371" t="inlineStr">
        <is>
          <t>Miss Glam Jambi</t>
        </is>
      </c>
      <c r="E4371" t="n">
        <v>13</v>
      </c>
      <c r="F4371" t="n">
        <v>0.08910000000000001</v>
      </c>
      <c r="G4371" t="n">
        <v>0.66</v>
      </c>
      <c r="H4371" t="n">
        <v>2</v>
      </c>
      <c r="I4371" t="n">
        <v>12</v>
      </c>
      <c r="J4371" t="n">
        <v>1</v>
      </c>
      <c r="K4371" t="n">
        <v>0</v>
      </c>
      <c r="L4371" t="n">
        <v>95200</v>
      </c>
      <c r="M4371" t="n">
        <v>119000</v>
      </c>
      <c r="N4371" t="n">
        <v>33</v>
      </c>
      <c r="O4371" t="n">
        <v>0.33</v>
      </c>
      <c r="P4371" t="n">
        <v>1</v>
      </c>
      <c r="Q4371" t="n">
        <v>0.14</v>
      </c>
      <c r="R4371" t="n">
        <v>1</v>
      </c>
      <c r="S4371" t="n">
        <v>10602.9</v>
      </c>
      <c r="T4371" t="n">
        <v>8</v>
      </c>
      <c r="U4371" t="n">
        <v>9</v>
      </c>
      <c r="V4371" t="n">
        <v>30</v>
      </c>
      <c r="W4371" t="n">
        <v>3</v>
      </c>
      <c r="X4371" t="n">
        <v>145.9034792368126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12729</v>
      </c>
      <c r="AG4371" t="n">
        <v>2137</v>
      </c>
      <c r="AH4371" t="inlineStr">
        <is>
          <t>PT. SAMUDRA JAYA ANUGRAH - PPN (JMB)</t>
        </is>
      </c>
      <c r="AI4371" t="n">
        <v>2327</v>
      </c>
      <c r="AJ4371" t="inlineStr">
        <is>
          <t>TIMEPHORIA</t>
        </is>
      </c>
      <c r="AK4371" t="n">
        <v>9</v>
      </c>
      <c r="AL4371" t="inlineStr">
        <is>
          <t>Miss Glam Jambi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TIMEPHORIA</t>
        </is>
      </c>
      <c r="B4372" s="2">
        <f>"203002189104"</f>
        <v/>
      </c>
      <c r="C4372" t="inlineStr">
        <is>
          <t>TIMEPHORIA Forever Lip Matte Sun N Moon 4ml</t>
        </is>
      </c>
      <c r="D4372" t="inlineStr">
        <is>
          <t>Miss Glam Jambi</t>
        </is>
      </c>
      <c r="E4372" t="n">
        <v>9</v>
      </c>
      <c r="F4372" t="n">
        <v>0.0462</v>
      </c>
      <c r="G4372" t="n">
        <v>0.66</v>
      </c>
      <c r="H4372" t="n">
        <v>2</v>
      </c>
      <c r="I4372" t="n">
        <v>12</v>
      </c>
      <c r="J4372" t="n">
        <v>1</v>
      </c>
      <c r="K4372" t="n">
        <v>0</v>
      </c>
      <c r="L4372" t="n">
        <v>88534</v>
      </c>
      <c r="M4372" t="n">
        <v>119000</v>
      </c>
      <c r="N4372" t="n">
        <v>33</v>
      </c>
      <c r="O4372" t="n">
        <v>0.33</v>
      </c>
      <c r="P4372" t="n">
        <v>1</v>
      </c>
      <c r="Q4372" t="n">
        <v>0.1</v>
      </c>
      <c r="R4372" t="n">
        <v>2</v>
      </c>
      <c r="S4372" t="n">
        <v>5497.8</v>
      </c>
      <c r="T4372" t="n">
        <v>8</v>
      </c>
      <c r="U4372" t="n">
        <v>9</v>
      </c>
      <c r="V4372" t="n">
        <v>30</v>
      </c>
      <c r="W4372" t="n">
        <v>2</v>
      </c>
      <c r="X4372" t="n">
        <v>194.8051948051948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12729</v>
      </c>
      <c r="AG4372" t="n">
        <v>2137</v>
      </c>
      <c r="AH4372" t="inlineStr">
        <is>
          <t>PT. SAMUDRA JAYA ANUGRAH - PPN (JMB)</t>
        </is>
      </c>
      <c r="AI4372" t="n">
        <v>2327</v>
      </c>
      <c r="AJ4372" t="inlineStr">
        <is>
          <t>TIMEPHORIA</t>
        </is>
      </c>
      <c r="AK4372" t="n">
        <v>9</v>
      </c>
      <c r="AL4372" t="inlineStr">
        <is>
          <t>Miss Glam Jambi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TIMEPHORIA</t>
        </is>
      </c>
      <c r="B4373" s="2">
        <f>"203002188440"</f>
        <v/>
      </c>
      <c r="C4373" t="inlineStr">
        <is>
          <t>TIMEPHORIA Forever Lip Matte Trick 4ml</t>
        </is>
      </c>
      <c r="D4373" t="inlineStr">
        <is>
          <t>Miss Glam Jambi</t>
        </is>
      </c>
      <c r="E4373" t="n">
        <v>3</v>
      </c>
      <c r="F4373" t="n">
        <v>0.1023</v>
      </c>
      <c r="G4373" t="n">
        <v>0.99</v>
      </c>
      <c r="H4373" t="n">
        <v>2</v>
      </c>
      <c r="I4373" t="n">
        <v>12</v>
      </c>
      <c r="J4373" t="n">
        <v>1</v>
      </c>
      <c r="K4373" t="n">
        <v>0</v>
      </c>
      <c r="L4373" t="n">
        <v>85045</v>
      </c>
      <c r="M4373" t="n">
        <v>119000</v>
      </c>
      <c r="N4373" t="n">
        <v>33</v>
      </c>
      <c r="O4373" t="n">
        <v>0.33</v>
      </c>
      <c r="P4373" t="n">
        <v>1</v>
      </c>
      <c r="Q4373" t="n">
        <v>0.07000000000000001</v>
      </c>
      <c r="R4373" t="n">
        <v>1</v>
      </c>
      <c r="S4373" t="n">
        <v>12173.7</v>
      </c>
      <c r="T4373" t="n">
        <v>12</v>
      </c>
      <c r="U4373" t="n">
        <v>13</v>
      </c>
      <c r="V4373" t="n">
        <v>30</v>
      </c>
      <c r="W4373" t="n">
        <v>4</v>
      </c>
      <c r="X4373" t="n">
        <v>29.32551319648094</v>
      </c>
      <c r="Y4373" t="n">
        <v>1</v>
      </c>
      <c r="Z4373" t="n">
        <v>1</v>
      </c>
      <c r="AA4373" t="n">
        <v>0</v>
      </c>
      <c r="AB4373" t="n">
        <v>1</v>
      </c>
      <c r="AC4373" t="n">
        <v>1</v>
      </c>
      <c r="AD4373" t="n">
        <v>0</v>
      </c>
      <c r="AE4373" t="n">
        <v>85045</v>
      </c>
      <c r="AF4373" t="n">
        <v>12729</v>
      </c>
      <c r="AG4373" t="n">
        <v>2137</v>
      </c>
      <c r="AH4373" t="inlineStr">
        <is>
          <t>PT. SAMUDRA JAYA ANUGRAH - PPN (JMB)</t>
        </is>
      </c>
      <c r="AI4373" t="n">
        <v>2327</v>
      </c>
      <c r="AJ4373" t="inlineStr">
        <is>
          <t>TIMEPHORIA</t>
        </is>
      </c>
      <c r="AK4373" t="n">
        <v>9</v>
      </c>
      <c r="AL4373" t="inlineStr">
        <is>
          <t>Miss Glam Jambi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TIMEPHORIA</t>
        </is>
      </c>
      <c r="B4374" s="2">
        <f>"20300450804"</f>
        <v/>
      </c>
      <c r="C4374" t="inlineStr">
        <is>
          <t>TIMEPHORIA Luna Frost 3D LIP GLOSS 002 Celesta 4ml</t>
        </is>
      </c>
      <c r="D4374" t="inlineStr">
        <is>
          <t>Miss Glam Jambi</t>
        </is>
      </c>
      <c r="E4374" t="n">
        <v>3</v>
      </c>
      <c r="F4374" t="n">
        <v>0.1353</v>
      </c>
      <c r="G4374" t="n">
        <v>1.65</v>
      </c>
      <c r="H4374" t="n">
        <v>2</v>
      </c>
      <c r="I4374" t="n">
        <v>12</v>
      </c>
      <c r="J4374" t="n">
        <v>1</v>
      </c>
      <c r="K4374" t="n">
        <v>2</v>
      </c>
      <c r="L4374" t="n">
        <v>79201</v>
      </c>
      <c r="M4374" t="n">
        <v>99000</v>
      </c>
      <c r="N4374" t="n">
        <v>33</v>
      </c>
      <c r="O4374" t="n">
        <v>0.33</v>
      </c>
      <c r="P4374" t="n">
        <v>1</v>
      </c>
      <c r="Q4374" t="n">
        <v>0.03</v>
      </c>
      <c r="R4374" t="n">
        <v>1</v>
      </c>
      <c r="S4374" t="n">
        <v>13394.7</v>
      </c>
      <c r="T4374" t="n">
        <v>20</v>
      </c>
      <c r="U4374" t="n">
        <v>21</v>
      </c>
      <c r="V4374" t="n">
        <v>30</v>
      </c>
      <c r="W4374" t="n">
        <v>5</v>
      </c>
      <c r="X4374" t="n">
        <v>22.17294900221729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12729</v>
      </c>
      <c r="AG4374" t="n">
        <v>2137</v>
      </c>
      <c r="AH4374" t="inlineStr">
        <is>
          <t>PT. SAMUDRA JAYA ANUGRAH - PPN (JMB)</t>
        </is>
      </c>
      <c r="AI4374" t="n">
        <v>2327</v>
      </c>
      <c r="AJ4374" t="inlineStr">
        <is>
          <t>TIMEPHORIA</t>
        </is>
      </c>
      <c r="AK4374" t="n">
        <v>9</v>
      </c>
      <c r="AL4374" t="inlineStr">
        <is>
          <t>Miss Glam Jambi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TIMEPHORIA</t>
        </is>
      </c>
      <c r="B4375" s="2">
        <f>"20300450933"</f>
        <v/>
      </c>
      <c r="C4375" t="inlineStr">
        <is>
          <t>TIMEPHORIA Luna Frost 3D LIP GLOSS 004 Mauvilia 4ml</t>
        </is>
      </c>
      <c r="D4375" t="inlineStr">
        <is>
          <t>Miss Glam Jambi</t>
        </is>
      </c>
      <c r="E4375" t="n">
        <v>4</v>
      </c>
      <c r="F4375" t="n">
        <v>0.0165</v>
      </c>
      <c r="G4375" t="n">
        <v>0.66</v>
      </c>
      <c r="H4375" t="n">
        <v>2</v>
      </c>
      <c r="I4375" t="n">
        <v>12</v>
      </c>
      <c r="J4375" t="n">
        <v>1</v>
      </c>
      <c r="K4375" t="n">
        <v>0</v>
      </c>
      <c r="L4375" t="n">
        <v>79201</v>
      </c>
      <c r="M4375" t="n">
        <v>99000</v>
      </c>
      <c r="N4375" t="n">
        <v>33</v>
      </c>
      <c r="O4375" t="n">
        <v>0.33</v>
      </c>
      <c r="P4375" t="n">
        <v>1</v>
      </c>
      <c r="Q4375" t="n">
        <v>0.02</v>
      </c>
      <c r="R4375" t="n">
        <v>1</v>
      </c>
      <c r="S4375" t="n">
        <v>1633.5</v>
      </c>
      <c r="T4375" t="n">
        <v>8</v>
      </c>
      <c r="U4375" t="n">
        <v>9</v>
      </c>
      <c r="V4375" t="n">
        <v>30</v>
      </c>
      <c r="W4375" t="n">
        <v>1</v>
      </c>
      <c r="X4375" t="n">
        <v>242.4242424242424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12729</v>
      </c>
      <c r="AG4375" t="n">
        <v>2137</v>
      </c>
      <c r="AH4375" t="inlineStr">
        <is>
          <t>PT. SAMUDRA JAYA ANUGRAH - PPN (JMB)</t>
        </is>
      </c>
      <c r="AI4375" t="n">
        <v>2327</v>
      </c>
      <c r="AJ4375" t="inlineStr">
        <is>
          <t>TIMEPHORIA</t>
        </is>
      </c>
      <c r="AK4375" t="n">
        <v>9</v>
      </c>
      <c r="AL4375" t="inlineStr">
        <is>
          <t>Miss Glam Jambi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TIMEPHORIA</t>
        </is>
      </c>
      <c r="B4376" s="2">
        <f>"20300450722"</f>
        <v/>
      </c>
      <c r="C4376" t="inlineStr">
        <is>
          <t>TIMEPHORIA Luna Frost 3D LIP GLOSS 012 Dunara 4ml</t>
        </is>
      </c>
      <c r="D4376" t="inlineStr">
        <is>
          <t>Miss Glam Jambi</t>
        </is>
      </c>
      <c r="E4376" t="n">
        <v>11</v>
      </c>
      <c r="F4376" t="n">
        <v>0.0231</v>
      </c>
      <c r="G4376" t="n">
        <v>0.33</v>
      </c>
      <c r="H4376" t="n">
        <v>2</v>
      </c>
      <c r="I4376" t="n">
        <v>12</v>
      </c>
      <c r="J4376" t="n">
        <v>1</v>
      </c>
      <c r="K4376" t="n">
        <v>0</v>
      </c>
      <c r="L4376" t="n">
        <v>79201</v>
      </c>
      <c r="M4376" t="n">
        <v>99000</v>
      </c>
      <c r="N4376" t="n">
        <v>33</v>
      </c>
      <c r="O4376" t="n">
        <v>0.33</v>
      </c>
      <c r="P4376" t="n">
        <v>1</v>
      </c>
      <c r="Q4376" t="n">
        <v>0.02</v>
      </c>
      <c r="R4376" t="n">
        <v>1</v>
      </c>
      <c r="S4376" t="n">
        <v>2286.9</v>
      </c>
      <c r="T4376" t="n">
        <v>4</v>
      </c>
      <c r="U4376" t="n">
        <v>5</v>
      </c>
      <c r="V4376" t="n">
        <v>30</v>
      </c>
      <c r="W4376" t="n">
        <v>1</v>
      </c>
      <c r="X4376" t="n">
        <v>476.1904761904761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12729</v>
      </c>
      <c r="AG4376" t="n">
        <v>2137</v>
      </c>
      <c r="AH4376" t="inlineStr">
        <is>
          <t>PT. SAMUDRA JAYA ANUGRAH - PPN (JMB)</t>
        </is>
      </c>
      <c r="AI4376" t="n">
        <v>2327</v>
      </c>
      <c r="AJ4376" t="inlineStr">
        <is>
          <t>TIMEPHORIA</t>
        </is>
      </c>
      <c r="AK4376" t="n">
        <v>9</v>
      </c>
      <c r="AL4376" t="inlineStr">
        <is>
          <t>Miss Glam Jambi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TIMEPHORIA</t>
        </is>
      </c>
      <c r="B4377" s="2">
        <f>"203002187931"</f>
        <v/>
      </c>
      <c r="C4377" t="inlineStr">
        <is>
          <t>TIMEPHORIA Nebula Velvet Lip Cream Aurora 4ml</t>
        </is>
      </c>
      <c r="D4377" t="inlineStr">
        <is>
          <t>Miss Glam Jambi</t>
        </is>
      </c>
      <c r="E4377" t="n">
        <v>4</v>
      </c>
      <c r="F4377" t="n">
        <v>0.0561</v>
      </c>
      <c r="G4377" t="n">
        <v>0.33</v>
      </c>
      <c r="H4377" t="n">
        <v>2</v>
      </c>
      <c r="I4377" t="n">
        <v>12</v>
      </c>
      <c r="J4377" t="n">
        <v>1</v>
      </c>
      <c r="K4377" t="n">
        <v>0</v>
      </c>
      <c r="L4377" t="n">
        <v>95200</v>
      </c>
      <c r="M4377" t="n">
        <v>119000</v>
      </c>
      <c r="N4377" t="n">
        <v>33</v>
      </c>
      <c r="O4377" t="n">
        <v>0.33</v>
      </c>
      <c r="P4377" t="n">
        <v>1</v>
      </c>
      <c r="Q4377" t="n">
        <v>0.03</v>
      </c>
      <c r="R4377" t="n">
        <v>1</v>
      </c>
      <c r="S4377" t="n">
        <v>6675.900000000001</v>
      </c>
      <c r="T4377" t="n">
        <v>4</v>
      </c>
      <c r="U4377" t="n">
        <v>5</v>
      </c>
      <c r="V4377" t="n">
        <v>30</v>
      </c>
      <c r="W4377" t="n">
        <v>2</v>
      </c>
      <c r="X4377" t="n">
        <v>71.301247771836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12729</v>
      </c>
      <c r="AG4377" t="n">
        <v>2137</v>
      </c>
      <c r="AH4377" t="inlineStr">
        <is>
          <t>PT. SAMUDRA JAYA ANUGRAH - PPN (JMB)</t>
        </is>
      </c>
      <c r="AI4377" t="n">
        <v>2327</v>
      </c>
      <c r="AJ4377" t="inlineStr">
        <is>
          <t>TIMEPHORIA</t>
        </is>
      </c>
      <c r="AK4377" t="n">
        <v>9</v>
      </c>
      <c r="AL4377" t="inlineStr">
        <is>
          <t>Miss Glam Jambi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TIMEPHORIA</t>
        </is>
      </c>
      <c r="B4378" s="2">
        <f>"203002189807"</f>
        <v/>
      </c>
      <c r="C4378" t="inlineStr">
        <is>
          <t>TIMEPHORIA Nebula Velvet Lip Cream Bellatrix 4ml</t>
        </is>
      </c>
      <c r="D4378" t="inlineStr">
        <is>
          <t>Miss Glam Jambi</t>
        </is>
      </c>
      <c r="E4378" t="n">
        <v>1</v>
      </c>
      <c r="F4378" t="n">
        <v>0.06270000000000001</v>
      </c>
      <c r="G4378" t="n">
        <v>0.66</v>
      </c>
      <c r="H4378" t="n">
        <v>2</v>
      </c>
      <c r="I4378" t="n">
        <v>12</v>
      </c>
      <c r="J4378" t="n">
        <v>1</v>
      </c>
      <c r="K4378" t="n">
        <v>1</v>
      </c>
      <c r="L4378" t="n">
        <v>95200</v>
      </c>
      <c r="M4378" t="n">
        <v>119000</v>
      </c>
      <c r="N4378" t="n">
        <v>33</v>
      </c>
      <c r="O4378" t="n">
        <v>0.33</v>
      </c>
      <c r="P4378" t="n">
        <v>1</v>
      </c>
      <c r="Q4378" t="n">
        <v>0.02</v>
      </c>
      <c r="R4378" t="n">
        <v>1</v>
      </c>
      <c r="S4378" t="n">
        <v>7461.300000000001</v>
      </c>
      <c r="T4378" t="n">
        <v>8</v>
      </c>
      <c r="U4378" t="n">
        <v>9</v>
      </c>
      <c r="V4378" t="n">
        <v>30</v>
      </c>
      <c r="W4378" t="n">
        <v>2</v>
      </c>
      <c r="X4378" t="n">
        <v>15.94896331738437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12729</v>
      </c>
      <c r="AG4378" t="n">
        <v>2137</v>
      </c>
      <c r="AH4378" t="inlineStr">
        <is>
          <t>PT. SAMUDRA JAYA ANUGRAH - PPN (JMB)</t>
        </is>
      </c>
      <c r="AI4378" t="n">
        <v>2327</v>
      </c>
      <c r="AJ4378" t="inlineStr">
        <is>
          <t>TIMEPHORIA</t>
        </is>
      </c>
      <c r="AK4378" t="n">
        <v>9</v>
      </c>
      <c r="AL4378" t="inlineStr">
        <is>
          <t>Miss Glam Jambi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TIMEPHORIA</t>
        </is>
      </c>
      <c r="B4379" s="2">
        <f>"203002191813"</f>
        <v/>
      </c>
      <c r="C4379" t="inlineStr">
        <is>
          <t>TIMEPHORIA Nebula Velvet Lip Cream Cordelia 01 4ml</t>
        </is>
      </c>
      <c r="D4379" t="inlineStr">
        <is>
          <t>Miss Glam Jambi</t>
        </is>
      </c>
      <c r="E4379" t="n">
        <v>3</v>
      </c>
      <c r="F4379" t="n">
        <v>0.1188</v>
      </c>
      <c r="G4379" t="n">
        <v>0.99</v>
      </c>
      <c r="H4379" t="n">
        <v>2</v>
      </c>
      <c r="I4379" t="n">
        <v>12</v>
      </c>
      <c r="J4379" t="n">
        <v>1</v>
      </c>
      <c r="K4379" t="n">
        <v>0</v>
      </c>
      <c r="L4379" t="n">
        <v>95200</v>
      </c>
      <c r="M4379" t="n">
        <v>119000</v>
      </c>
      <c r="N4379" t="n">
        <v>33</v>
      </c>
      <c r="O4379" t="n">
        <v>0.33</v>
      </c>
      <c r="P4379" t="n">
        <v>1</v>
      </c>
      <c r="Q4379" t="n">
        <v>0.14</v>
      </c>
      <c r="R4379" t="n">
        <v>1</v>
      </c>
      <c r="S4379" t="n">
        <v>14137.2</v>
      </c>
      <c r="T4379" t="n">
        <v>12</v>
      </c>
      <c r="U4379" t="n">
        <v>13</v>
      </c>
      <c r="V4379" t="n">
        <v>30</v>
      </c>
      <c r="W4379" t="n">
        <v>4</v>
      </c>
      <c r="X4379" t="n">
        <v>25.25252525252525</v>
      </c>
      <c r="Y4379" t="n">
        <v>1</v>
      </c>
      <c r="Z4379" t="n">
        <v>1</v>
      </c>
      <c r="AA4379" t="n">
        <v>0</v>
      </c>
      <c r="AB4379" t="n">
        <v>1</v>
      </c>
      <c r="AC4379" t="n">
        <v>1</v>
      </c>
      <c r="AD4379" t="n">
        <v>0</v>
      </c>
      <c r="AE4379" t="n">
        <v>95200</v>
      </c>
      <c r="AF4379" t="n">
        <v>12729</v>
      </c>
      <c r="AG4379" t="n">
        <v>2137</v>
      </c>
      <c r="AH4379" t="inlineStr">
        <is>
          <t>PT. SAMUDRA JAYA ANUGRAH - PPN (JMB)</t>
        </is>
      </c>
      <c r="AI4379" t="n">
        <v>2327</v>
      </c>
      <c r="AJ4379" t="inlineStr">
        <is>
          <t>TIMEPHORIA</t>
        </is>
      </c>
      <c r="AK4379" t="n">
        <v>9</v>
      </c>
      <c r="AL4379" t="inlineStr">
        <is>
          <t>Miss Glam Jambi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TIMEPHORIA</t>
        </is>
      </c>
      <c r="B4380" s="2">
        <f>"203002189432"</f>
        <v/>
      </c>
      <c r="C4380" t="inlineStr">
        <is>
          <t>TIMEPHORIA Nebula Velvet Lip Cream Elara 4ml</t>
        </is>
      </c>
      <c r="D4380" t="inlineStr">
        <is>
          <t>Miss Glam Jambi</t>
        </is>
      </c>
      <c r="E4380" t="n">
        <v>2</v>
      </c>
      <c r="F4380" t="n">
        <v>0.1287</v>
      </c>
      <c r="G4380" t="n">
        <v>0.99</v>
      </c>
      <c r="H4380" t="n">
        <v>2</v>
      </c>
      <c r="I4380" t="n">
        <v>12</v>
      </c>
      <c r="J4380" t="n">
        <v>1</v>
      </c>
      <c r="K4380" t="n">
        <v>2</v>
      </c>
      <c r="L4380" t="n">
        <v>95200</v>
      </c>
      <c r="M4380" t="n">
        <v>119000</v>
      </c>
      <c r="N4380" t="n">
        <v>33</v>
      </c>
      <c r="O4380" t="n">
        <v>0.33</v>
      </c>
      <c r="P4380" t="n">
        <v>1</v>
      </c>
      <c r="Q4380" t="n">
        <v>0.05</v>
      </c>
      <c r="R4380" t="n">
        <v>1</v>
      </c>
      <c r="S4380" t="n">
        <v>15315.3</v>
      </c>
      <c r="T4380" t="n">
        <v>12</v>
      </c>
      <c r="U4380" t="n">
        <v>13</v>
      </c>
      <c r="V4380" t="n">
        <v>30</v>
      </c>
      <c r="W4380" t="n">
        <v>4</v>
      </c>
      <c r="X4380" t="n">
        <v>15.54001554001554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12729</v>
      </c>
      <c r="AG4380" t="n">
        <v>2137</v>
      </c>
      <c r="AH4380" t="inlineStr">
        <is>
          <t>PT. SAMUDRA JAYA ANUGRAH - PPN (JMB)</t>
        </is>
      </c>
      <c r="AI4380" t="n">
        <v>2327</v>
      </c>
      <c r="AJ4380" t="inlineStr">
        <is>
          <t>TIMEPHORIA</t>
        </is>
      </c>
      <c r="AK4380" t="n">
        <v>9</v>
      </c>
      <c r="AL4380" t="inlineStr">
        <is>
          <t>Miss Glam Jambi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TIMEPHORIA</t>
        </is>
      </c>
      <c r="B4381" s="2">
        <f>"203002188054"</f>
        <v/>
      </c>
      <c r="C4381" t="inlineStr">
        <is>
          <t>TIMEPHORIA Nebula Velvet Lip Cream Equinox 4ml</t>
        </is>
      </c>
      <c r="D4381" t="inlineStr">
        <is>
          <t>Miss Glam Jambi</t>
        </is>
      </c>
      <c r="E4381" t="n">
        <v>3</v>
      </c>
      <c r="F4381" t="n">
        <v>0.1056</v>
      </c>
      <c r="G4381" t="n">
        <v>0.33</v>
      </c>
      <c r="H4381" t="n">
        <v>2</v>
      </c>
      <c r="I4381" t="n">
        <v>12</v>
      </c>
      <c r="J4381" t="n">
        <v>1</v>
      </c>
      <c r="K4381" t="n">
        <v>1</v>
      </c>
      <c r="L4381" t="n">
        <v>95200</v>
      </c>
      <c r="M4381" t="n">
        <v>119000</v>
      </c>
      <c r="N4381" t="n">
        <v>33</v>
      </c>
      <c r="O4381" t="n">
        <v>0.33</v>
      </c>
      <c r="P4381" t="n">
        <v>1</v>
      </c>
      <c r="Q4381" t="n">
        <v>0.15</v>
      </c>
      <c r="R4381" t="n">
        <v>2</v>
      </c>
      <c r="S4381" t="n">
        <v>12566.4</v>
      </c>
      <c r="T4381" t="n">
        <v>4</v>
      </c>
      <c r="U4381" t="n">
        <v>5</v>
      </c>
      <c r="V4381" t="n">
        <v>30</v>
      </c>
      <c r="W4381" t="n">
        <v>4</v>
      </c>
      <c r="X4381" t="n">
        <v>28.40909090909091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12729</v>
      </c>
      <c r="AG4381" t="n">
        <v>2137</v>
      </c>
      <c r="AH4381" t="inlineStr">
        <is>
          <t>PT. SAMUDRA JAYA ANUGRAH - PPN (JMB)</t>
        </is>
      </c>
      <c r="AI4381" t="n">
        <v>2327</v>
      </c>
      <c r="AJ4381" t="inlineStr">
        <is>
          <t>TIMEPHORIA</t>
        </is>
      </c>
      <c r="AK4381" t="n">
        <v>9</v>
      </c>
      <c r="AL4381" t="inlineStr">
        <is>
          <t>Miss Glam Jambi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TIMEPHORIA</t>
        </is>
      </c>
      <c r="B4382" s="2">
        <f>"203002189941"</f>
        <v/>
      </c>
      <c r="C4382" t="inlineStr">
        <is>
          <t>TIMEPHORIA Nebula Velvet Lip Cream Estelle 4ml</t>
        </is>
      </c>
      <c r="D4382" t="inlineStr">
        <is>
          <t>Miss Glam Jambi</t>
        </is>
      </c>
      <c r="E4382" t="n">
        <v>5</v>
      </c>
      <c r="F4382" t="n">
        <v>0.0495</v>
      </c>
      <c r="G4382" t="n">
        <v>0.66</v>
      </c>
      <c r="H4382" t="n">
        <v>2</v>
      </c>
      <c r="I4382" t="n">
        <v>12</v>
      </c>
      <c r="J4382" t="n">
        <v>1</v>
      </c>
      <c r="K4382" t="n">
        <v>0</v>
      </c>
      <c r="L4382" t="n">
        <v>95200</v>
      </c>
      <c r="M4382" t="n">
        <v>119000</v>
      </c>
      <c r="N4382" t="n">
        <v>33</v>
      </c>
      <c r="O4382" t="n">
        <v>0.33</v>
      </c>
      <c r="P4382" t="n">
        <v>1</v>
      </c>
      <c r="Q4382" t="n">
        <v>0.08</v>
      </c>
      <c r="R4382" t="n">
        <v>1</v>
      </c>
      <c r="S4382" t="n">
        <v>5890.5</v>
      </c>
      <c r="T4382" t="n">
        <v>8</v>
      </c>
      <c r="U4382" t="n">
        <v>9</v>
      </c>
      <c r="V4382" t="n">
        <v>30</v>
      </c>
      <c r="W4382" t="n">
        <v>2</v>
      </c>
      <c r="X4382" t="n">
        <v>101.010101010101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12729</v>
      </c>
      <c r="AG4382" t="n">
        <v>2137</v>
      </c>
      <c r="AH4382" t="inlineStr">
        <is>
          <t>PT. SAMUDRA JAYA ANUGRAH - PPN (JMB)</t>
        </is>
      </c>
      <c r="AI4382" t="n">
        <v>2327</v>
      </c>
      <c r="AJ4382" t="inlineStr">
        <is>
          <t>TIMEPHORIA</t>
        </is>
      </c>
      <c r="AK4382" t="n">
        <v>9</v>
      </c>
      <c r="AL4382" t="inlineStr">
        <is>
          <t>Miss Glam Jambi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TIMEPHORIA</t>
        </is>
      </c>
      <c r="B4383" s="2">
        <f>"203002188140"</f>
        <v/>
      </c>
      <c r="C4383" t="inlineStr">
        <is>
          <t>TIMEPHORIA Nebula Velvet Lip Cream Helion 4ml</t>
        </is>
      </c>
      <c r="D4383" t="inlineStr">
        <is>
          <t>Miss Glam Jambi</t>
        </is>
      </c>
      <c r="E4383" t="n">
        <v>3</v>
      </c>
      <c r="F4383" t="n">
        <v>0.08910000000000001</v>
      </c>
      <c r="G4383" t="n">
        <v>0.99</v>
      </c>
      <c r="H4383" t="n">
        <v>2</v>
      </c>
      <c r="I4383" t="n">
        <v>12</v>
      </c>
      <c r="J4383" t="n">
        <v>1</v>
      </c>
      <c r="K4383" t="n">
        <v>0</v>
      </c>
      <c r="L4383" t="n">
        <v>95200</v>
      </c>
      <c r="M4383" t="n">
        <v>119000</v>
      </c>
      <c r="N4383" t="n">
        <v>33</v>
      </c>
      <c r="O4383" t="n">
        <v>0.33</v>
      </c>
      <c r="P4383" t="n">
        <v>1</v>
      </c>
      <c r="Q4383" t="n">
        <v>0.15</v>
      </c>
      <c r="R4383" t="n">
        <v>1</v>
      </c>
      <c r="S4383" t="n">
        <v>10602.9</v>
      </c>
      <c r="T4383" t="n">
        <v>12</v>
      </c>
      <c r="U4383" t="n">
        <v>13</v>
      </c>
      <c r="V4383" t="n">
        <v>30</v>
      </c>
      <c r="W4383" t="n">
        <v>3</v>
      </c>
      <c r="X4383" t="n">
        <v>33.67003367003367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12729</v>
      </c>
      <c r="AG4383" t="n">
        <v>2137</v>
      </c>
      <c r="AH4383" t="inlineStr">
        <is>
          <t>PT. SAMUDRA JAYA ANUGRAH - PPN (JMB)</t>
        </is>
      </c>
      <c r="AI4383" t="n">
        <v>2327</v>
      </c>
      <c r="AJ4383" t="inlineStr">
        <is>
          <t>TIMEPHORIA</t>
        </is>
      </c>
      <c r="AK4383" t="n">
        <v>9</v>
      </c>
      <c r="AL4383" t="inlineStr">
        <is>
          <t>Miss Glam Jambi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TIMEPHORIA</t>
        </is>
      </c>
      <c r="B4384" s="2">
        <f>"203002189709"</f>
        <v/>
      </c>
      <c r="C4384" t="inlineStr">
        <is>
          <t>TIMEPHORIA Nebula Velvet Lip Cream Milky Way 4ml</t>
        </is>
      </c>
      <c r="D4384" t="inlineStr">
        <is>
          <t>Miss Glam Jambi</t>
        </is>
      </c>
      <c r="E4384" t="n">
        <v>2</v>
      </c>
      <c r="F4384" t="n">
        <v>0.08910000000000001</v>
      </c>
      <c r="G4384" t="n">
        <v>0.66</v>
      </c>
      <c r="H4384" t="n">
        <v>2</v>
      </c>
      <c r="I4384" t="n">
        <v>12</v>
      </c>
      <c r="J4384" t="n">
        <v>1</v>
      </c>
      <c r="K4384" t="n">
        <v>4</v>
      </c>
      <c r="L4384" t="n">
        <v>95200</v>
      </c>
      <c r="M4384" t="n">
        <v>119000</v>
      </c>
      <c r="N4384" t="n">
        <v>33</v>
      </c>
      <c r="O4384" t="n">
        <v>0.33</v>
      </c>
      <c r="P4384" t="n">
        <v>1</v>
      </c>
      <c r="Q4384" t="n">
        <v>0.05</v>
      </c>
      <c r="R4384" t="n">
        <v>1</v>
      </c>
      <c r="S4384" t="n">
        <v>10602.9</v>
      </c>
      <c r="T4384" t="n">
        <v>8</v>
      </c>
      <c r="U4384" t="n">
        <v>9</v>
      </c>
      <c r="V4384" t="n">
        <v>30</v>
      </c>
      <c r="W4384" t="n">
        <v>3</v>
      </c>
      <c r="X4384" t="n">
        <v>22.44668911335578</v>
      </c>
      <c r="Y4384" t="n">
        <v>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12729</v>
      </c>
      <c r="AG4384" t="n">
        <v>2137</v>
      </c>
      <c r="AH4384" t="inlineStr">
        <is>
          <t>PT. SAMUDRA JAYA ANUGRAH - PPN (JMB)</t>
        </is>
      </c>
      <c r="AI4384" t="n">
        <v>2327</v>
      </c>
      <c r="AJ4384" t="inlineStr">
        <is>
          <t>TIMEPHORIA</t>
        </is>
      </c>
      <c r="AK4384" t="n">
        <v>9</v>
      </c>
      <c r="AL4384" t="inlineStr">
        <is>
          <t>Miss Glam Jambi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TIMEPHORIA</t>
        </is>
      </c>
      <c r="B4385" s="2">
        <f>"203002191929"</f>
        <v/>
      </c>
      <c r="C4385" t="inlineStr">
        <is>
          <t>TIMEPHORIA Nebula Velvet Lip Cream Polaris 05 4ml</t>
        </is>
      </c>
      <c r="D4385" t="inlineStr">
        <is>
          <t>Miss Glam Jambi</t>
        </is>
      </c>
      <c r="E4385" t="n">
        <v>4</v>
      </c>
      <c r="F4385" t="n">
        <v>0.009900000000000001</v>
      </c>
      <c r="G4385" t="n">
        <v>0.33</v>
      </c>
      <c r="H4385" t="n">
        <v>2</v>
      </c>
      <c r="I4385" t="n">
        <v>12</v>
      </c>
      <c r="J4385" t="n">
        <v>1</v>
      </c>
      <c r="K4385" t="n">
        <v>0</v>
      </c>
      <c r="L4385" t="n">
        <v>95200</v>
      </c>
      <c r="M4385" t="n">
        <v>119000</v>
      </c>
      <c r="N4385" t="n">
        <v>33</v>
      </c>
      <c r="O4385" t="n">
        <v>0.33</v>
      </c>
      <c r="P4385" t="n">
        <v>1</v>
      </c>
      <c r="Q4385" t="n">
        <v>0.02</v>
      </c>
      <c r="R4385" t="n">
        <v>1</v>
      </c>
      <c r="S4385" t="n">
        <v>1178.1</v>
      </c>
      <c r="T4385" t="n">
        <v>4</v>
      </c>
      <c r="U4385" t="n">
        <v>5</v>
      </c>
      <c r="V4385" t="n">
        <v>30</v>
      </c>
      <c r="W4385" t="n">
        <v>1</v>
      </c>
      <c r="X4385" t="n">
        <v>404.040404040404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12729</v>
      </c>
      <c r="AG4385" t="n">
        <v>2137</v>
      </c>
      <c r="AH4385" t="inlineStr">
        <is>
          <t>PT. SAMUDRA JAYA ANUGRAH - PPN (JMB)</t>
        </is>
      </c>
      <c r="AI4385" t="n">
        <v>2327</v>
      </c>
      <c r="AJ4385" t="inlineStr">
        <is>
          <t>TIMEPHORIA</t>
        </is>
      </c>
      <c r="AK4385" t="n">
        <v>9</v>
      </c>
      <c r="AL4385" t="inlineStr">
        <is>
          <t>Miss Glam Jambi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TIMEPHORIA</t>
        </is>
      </c>
      <c r="B4386" s="2">
        <f>"20100967425"</f>
        <v/>
      </c>
      <c r="C4386" t="inlineStr">
        <is>
          <t>TIMEPHORIA Pandora Cheek Liquid Blush 07 S.Desire 5gr</t>
        </is>
      </c>
      <c r="D4386" t="inlineStr">
        <is>
          <t>Miss Glam Jambi</t>
        </is>
      </c>
      <c r="E4386" t="n">
        <v>1</v>
      </c>
      <c r="F4386" t="n">
        <v>0.0462</v>
      </c>
      <c r="G4386" t="n">
        <v>0.33</v>
      </c>
      <c r="H4386" t="n">
        <v>2</v>
      </c>
      <c r="I4386" t="n">
        <v>12</v>
      </c>
      <c r="J4386" t="n">
        <v>1</v>
      </c>
      <c r="K4386" t="n">
        <v>7</v>
      </c>
      <c r="L4386" t="n">
        <v>74072</v>
      </c>
      <c r="M4386" t="n">
        <v>99000</v>
      </c>
      <c r="N4386" t="n">
        <v>33</v>
      </c>
      <c r="O4386" t="n">
        <v>0.33</v>
      </c>
      <c r="P4386" t="n">
        <v>1</v>
      </c>
      <c r="Q4386" t="n">
        <v>0.08</v>
      </c>
      <c r="R4386" t="n">
        <v>1</v>
      </c>
      <c r="S4386" t="n">
        <v>4573.8</v>
      </c>
      <c r="T4386" t="n">
        <v>4</v>
      </c>
      <c r="U4386" t="n">
        <v>5</v>
      </c>
      <c r="V4386" t="n">
        <v>30</v>
      </c>
      <c r="W4386" t="n">
        <v>2</v>
      </c>
      <c r="X4386" t="n">
        <v>21.64502164502164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12729</v>
      </c>
      <c r="AG4386" t="n">
        <v>2137</v>
      </c>
      <c r="AH4386" t="inlineStr">
        <is>
          <t>PT. SAMUDRA JAYA ANUGRAH - PPN (JMB)</t>
        </is>
      </c>
      <c r="AI4386" t="n">
        <v>2327</v>
      </c>
      <c r="AJ4386" t="inlineStr">
        <is>
          <t>TIMEPHORIA</t>
        </is>
      </c>
      <c r="AK4386" t="n">
        <v>9</v>
      </c>
      <c r="AL4386" t="inlineStr">
        <is>
          <t>Miss Glam Jambi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TIMEPHORIA</t>
        </is>
      </c>
      <c r="B4387" s="2">
        <f>"20100960820"</f>
        <v/>
      </c>
      <c r="C4387" t="inlineStr">
        <is>
          <t>TIMEPHORIA Pandora Cheek Liquid Blush Coral Treasure 5gr</t>
        </is>
      </c>
      <c r="D4387" t="inlineStr">
        <is>
          <t>Miss Glam Jambi</t>
        </is>
      </c>
      <c r="E4387" t="n">
        <v>5</v>
      </c>
      <c r="F4387" t="n">
        <v>0.0231</v>
      </c>
      <c r="G4387" t="n">
        <v>0.33</v>
      </c>
      <c r="H4387" t="n">
        <v>2</v>
      </c>
      <c r="I4387" t="n">
        <v>12</v>
      </c>
      <c r="J4387" t="n">
        <v>1</v>
      </c>
      <c r="K4387" t="n">
        <v>0</v>
      </c>
      <c r="L4387" t="n">
        <v>79201</v>
      </c>
      <c r="M4387" t="n">
        <v>99000</v>
      </c>
      <c r="N4387" t="n">
        <v>33</v>
      </c>
      <c r="O4387" t="n">
        <v>0.33</v>
      </c>
      <c r="P4387" t="n">
        <v>1</v>
      </c>
      <c r="Q4387" t="n">
        <v>0.02</v>
      </c>
      <c r="R4387" t="n">
        <v>1</v>
      </c>
      <c r="S4387" t="n">
        <v>2286.9</v>
      </c>
      <c r="T4387" t="n">
        <v>4</v>
      </c>
      <c r="U4387" t="n">
        <v>5</v>
      </c>
      <c r="V4387" t="n">
        <v>30</v>
      </c>
      <c r="W4387" t="n">
        <v>1</v>
      </c>
      <c r="X4387" t="n">
        <v>216.4502164502164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12729</v>
      </c>
      <c r="AG4387" t="n">
        <v>2137</v>
      </c>
      <c r="AH4387" t="inlineStr">
        <is>
          <t>PT. SAMUDRA JAYA ANUGRAH - PPN (JMB)</t>
        </is>
      </c>
      <c r="AI4387" t="n">
        <v>2327</v>
      </c>
      <c r="AJ4387" t="inlineStr">
        <is>
          <t>TIMEPHORIA</t>
        </is>
      </c>
      <c r="AK4387" t="n">
        <v>9</v>
      </c>
      <c r="AL4387" t="inlineStr">
        <is>
          <t>Miss Glam Jambi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TIMEPHORIA</t>
        </is>
      </c>
      <c r="B4388" s="2">
        <f>"20100960907"</f>
        <v/>
      </c>
      <c r="C4388" t="inlineStr">
        <is>
          <t>TIMEPHORIA Pandora Cheek Liquid Blush Fiery Flame 5gr</t>
        </is>
      </c>
      <c r="D4388" t="inlineStr">
        <is>
          <t>Miss Glam Jambi</t>
        </is>
      </c>
      <c r="E4388" t="n">
        <v>9</v>
      </c>
      <c r="F4388" t="n">
        <v>0.0264</v>
      </c>
      <c r="G4388" t="n">
        <v>0.33</v>
      </c>
      <c r="H4388" t="n">
        <v>2</v>
      </c>
      <c r="I4388" t="n">
        <v>12</v>
      </c>
      <c r="J4388" t="n">
        <v>1</v>
      </c>
      <c r="K4388" t="n">
        <v>0</v>
      </c>
      <c r="L4388" t="n">
        <v>72612</v>
      </c>
      <c r="M4388" t="n">
        <v>99000</v>
      </c>
      <c r="N4388" t="n">
        <v>33</v>
      </c>
      <c r="O4388" t="n">
        <v>0.33</v>
      </c>
      <c r="P4388" t="n">
        <v>1</v>
      </c>
      <c r="Q4388" t="n">
        <v>0.02</v>
      </c>
      <c r="R4388" t="n">
        <v>1</v>
      </c>
      <c r="S4388" t="n">
        <v>2613.6</v>
      </c>
      <c r="T4388" t="n">
        <v>4</v>
      </c>
      <c r="U4388" t="n">
        <v>5</v>
      </c>
      <c r="V4388" t="n">
        <v>30</v>
      </c>
      <c r="W4388" t="n">
        <v>1</v>
      </c>
      <c r="X4388" t="n">
        <v>340.9090909090909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12729</v>
      </c>
      <c r="AG4388" t="n">
        <v>2137</v>
      </c>
      <c r="AH4388" t="inlineStr">
        <is>
          <t>PT. SAMUDRA JAYA ANUGRAH - PPN (JMB)</t>
        </is>
      </c>
      <c r="AI4388" t="n">
        <v>2327</v>
      </c>
      <c r="AJ4388" t="inlineStr">
        <is>
          <t>TIMEPHORIA</t>
        </is>
      </c>
      <c r="AK4388" t="n">
        <v>9</v>
      </c>
      <c r="AL4388" t="inlineStr">
        <is>
          <t>Miss Glam Jambi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TIMEPHORIA</t>
        </is>
      </c>
      <c r="B4389" s="2">
        <f>"20100960760"</f>
        <v/>
      </c>
      <c r="C4389" t="inlineStr">
        <is>
          <t>TIMEPHORIA Pandora Cheek Liquid Blush Gentle Hue 5gr</t>
        </is>
      </c>
      <c r="D4389" t="inlineStr">
        <is>
          <t>Miss Glam Jambi</t>
        </is>
      </c>
      <c r="E4389" t="n">
        <v>8</v>
      </c>
      <c r="F4389" t="n">
        <v>0.0462</v>
      </c>
      <c r="G4389" t="n">
        <v>0.33</v>
      </c>
      <c r="H4389" t="n">
        <v>2</v>
      </c>
      <c r="I4389" t="n">
        <v>12</v>
      </c>
      <c r="J4389" t="n">
        <v>1</v>
      </c>
      <c r="K4389" t="n">
        <v>0</v>
      </c>
      <c r="L4389" t="n">
        <v>73200</v>
      </c>
      <c r="M4389" t="n">
        <v>99000</v>
      </c>
      <c r="N4389" t="n">
        <v>33</v>
      </c>
      <c r="O4389" t="n">
        <v>0.33</v>
      </c>
      <c r="P4389" t="n">
        <v>1</v>
      </c>
      <c r="Q4389" t="n">
        <v>0.03</v>
      </c>
      <c r="R4389" t="n">
        <v>1</v>
      </c>
      <c r="S4389" t="n">
        <v>4573.8</v>
      </c>
      <c r="T4389" t="n">
        <v>4</v>
      </c>
      <c r="U4389" t="n">
        <v>5</v>
      </c>
      <c r="V4389" t="n">
        <v>30</v>
      </c>
      <c r="W4389" t="n">
        <v>2</v>
      </c>
      <c r="X4389" t="n">
        <v>173.1601731601731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12729</v>
      </c>
      <c r="AG4389" t="n">
        <v>2137</v>
      </c>
      <c r="AH4389" t="inlineStr">
        <is>
          <t>PT. SAMUDRA JAYA ANUGRAH - PPN (JMB)</t>
        </is>
      </c>
      <c r="AI4389" t="n">
        <v>2327</v>
      </c>
      <c r="AJ4389" t="inlineStr">
        <is>
          <t>TIMEPHORIA</t>
        </is>
      </c>
      <c r="AK4389" t="n">
        <v>9</v>
      </c>
      <c r="AL4389" t="inlineStr">
        <is>
          <t>Miss Glam Jambi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TIMEPHORIA</t>
        </is>
      </c>
      <c r="B4390" s="2">
        <f>"20100960650"</f>
        <v/>
      </c>
      <c r="C4390" t="inlineStr">
        <is>
          <t>TIMEPHORIA Pandora Cheek Liquid Blush Love Lust 5gr</t>
        </is>
      </c>
      <c r="D4390" t="inlineStr">
        <is>
          <t>Miss Glam Jambi</t>
        </is>
      </c>
      <c r="E4390" t="n">
        <v>0</v>
      </c>
      <c r="F4390" t="n">
        <v>0.06270000000000001</v>
      </c>
      <c r="G4390" t="n">
        <v>0.99</v>
      </c>
      <c r="H4390" t="n">
        <v>2</v>
      </c>
      <c r="I4390" t="n">
        <v>12</v>
      </c>
      <c r="J4390" t="n">
        <v>1</v>
      </c>
      <c r="K4390" t="n">
        <v>13</v>
      </c>
      <c r="L4390" t="n">
        <v>79201</v>
      </c>
      <c r="M4390" t="n">
        <v>99000</v>
      </c>
      <c r="N4390" t="n">
        <v>33</v>
      </c>
      <c r="O4390" t="n">
        <v>0.33</v>
      </c>
      <c r="P4390" t="n">
        <v>1</v>
      </c>
      <c r="Q4390" t="n">
        <v>0.14</v>
      </c>
      <c r="R4390" t="n">
        <v>2</v>
      </c>
      <c r="S4390" t="n">
        <v>6207.3</v>
      </c>
      <c r="T4390" t="n">
        <v>12</v>
      </c>
      <c r="U4390" t="n">
        <v>13</v>
      </c>
      <c r="V4390" t="n">
        <v>30</v>
      </c>
      <c r="W4390" t="n">
        <v>2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12729</v>
      </c>
      <c r="AG4390" t="n">
        <v>2137</v>
      </c>
      <c r="AH4390" t="inlineStr">
        <is>
          <t>PT. SAMUDRA JAYA ANUGRAH - PPN (JMB)</t>
        </is>
      </c>
      <c r="AI4390" t="n">
        <v>2327</v>
      </c>
      <c r="AJ4390" t="inlineStr">
        <is>
          <t>TIMEPHORIA</t>
        </is>
      </c>
      <c r="AK4390" t="n">
        <v>9</v>
      </c>
      <c r="AL4390" t="inlineStr">
        <is>
          <t>Miss Glam Jambi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TIMEPHORIA</t>
        </is>
      </c>
      <c r="B4391" s="2">
        <f>"20100967912"</f>
        <v/>
      </c>
      <c r="C4391" t="inlineStr">
        <is>
          <t>TIMEPHORIA Pandora Cheek Liquid Blush Mystic Magic 5gr</t>
        </is>
      </c>
      <c r="D4391" t="inlineStr">
        <is>
          <t>Miss Glam Jambi</t>
        </is>
      </c>
      <c r="E4391" t="n">
        <v>1</v>
      </c>
      <c r="F4391" t="n">
        <v>0.0264</v>
      </c>
      <c r="G4391" t="n">
        <v>0.33</v>
      </c>
      <c r="H4391" t="n">
        <v>2</v>
      </c>
      <c r="I4391" t="n">
        <v>12</v>
      </c>
      <c r="J4391" t="n">
        <v>1</v>
      </c>
      <c r="K4391" t="n">
        <v>0</v>
      </c>
      <c r="L4391" t="n">
        <v>79201</v>
      </c>
      <c r="M4391" t="n">
        <v>99000</v>
      </c>
      <c r="N4391" t="n">
        <v>33</v>
      </c>
      <c r="O4391" t="n">
        <v>0.33</v>
      </c>
      <c r="P4391" t="n">
        <v>1</v>
      </c>
      <c r="Q4391" t="n">
        <v>0.03</v>
      </c>
      <c r="R4391" t="n">
        <v>1</v>
      </c>
      <c r="S4391" t="n">
        <v>2613.6</v>
      </c>
      <c r="T4391" t="n">
        <v>4</v>
      </c>
      <c r="U4391" t="n">
        <v>5</v>
      </c>
      <c r="V4391" t="n">
        <v>30</v>
      </c>
      <c r="W4391" t="n">
        <v>1</v>
      </c>
      <c r="X4391" t="n">
        <v>37.87878787878788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12729</v>
      </c>
      <c r="AG4391" t="n">
        <v>2137</v>
      </c>
      <c r="AH4391" t="inlineStr">
        <is>
          <t>PT. SAMUDRA JAYA ANUGRAH - PPN (JMB)</t>
        </is>
      </c>
      <c r="AI4391" t="n">
        <v>2327</v>
      </c>
      <c r="AJ4391" t="inlineStr">
        <is>
          <t>TIMEPHORIA</t>
        </is>
      </c>
      <c r="AK4391" t="n">
        <v>9</v>
      </c>
      <c r="AL4391" t="inlineStr">
        <is>
          <t>Miss Glam Jambi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TIMEPHORIA</t>
        </is>
      </c>
      <c r="B4392" s="2">
        <f>"20100960544"</f>
        <v/>
      </c>
      <c r="C4392" t="inlineStr">
        <is>
          <t>TIMEPHORIA Pandora Cheek Liquid Blush Serene Peace 5gr</t>
        </is>
      </c>
      <c r="D4392" t="inlineStr">
        <is>
          <t>Miss Glam Jambi</t>
        </is>
      </c>
      <c r="E4392" t="n">
        <v>2</v>
      </c>
      <c r="F4392" t="n">
        <v>0.0231</v>
      </c>
      <c r="G4392" t="n">
        <v>0.33</v>
      </c>
      <c r="H4392" t="n">
        <v>2</v>
      </c>
      <c r="I4392" t="n">
        <v>12</v>
      </c>
      <c r="J4392" t="n">
        <v>1</v>
      </c>
      <c r="K4392" t="n">
        <v>0</v>
      </c>
      <c r="L4392" t="n">
        <v>79200</v>
      </c>
      <c r="M4392" t="n">
        <v>99000</v>
      </c>
      <c r="N4392" t="n">
        <v>33</v>
      </c>
      <c r="O4392" t="n">
        <v>0.33</v>
      </c>
      <c r="P4392" t="n">
        <v>1</v>
      </c>
      <c r="Q4392" t="n">
        <v>0.03</v>
      </c>
      <c r="R4392" t="n">
        <v>1</v>
      </c>
      <c r="S4392" t="n">
        <v>2286.9</v>
      </c>
      <c r="T4392" t="n">
        <v>4</v>
      </c>
      <c r="U4392" t="n">
        <v>5</v>
      </c>
      <c r="V4392" t="n">
        <v>30</v>
      </c>
      <c r="W4392" t="n">
        <v>1</v>
      </c>
      <c r="X4392" t="n">
        <v>86.58008658008657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12729</v>
      </c>
      <c r="AG4392" t="n">
        <v>2137</v>
      </c>
      <c r="AH4392" t="inlineStr">
        <is>
          <t>PT. SAMUDRA JAYA ANUGRAH - PPN (JMB)</t>
        </is>
      </c>
      <c r="AI4392" t="n">
        <v>2327</v>
      </c>
      <c r="AJ4392" t="inlineStr">
        <is>
          <t>TIMEPHORIA</t>
        </is>
      </c>
      <c r="AK4392" t="n">
        <v>9</v>
      </c>
      <c r="AL4392" t="inlineStr">
        <is>
          <t>Miss Glam Jambi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TIMEPHORIA</t>
        </is>
      </c>
      <c r="B4393" s="2">
        <f>"203003105541"</f>
        <v/>
      </c>
      <c r="C4393" t="inlineStr">
        <is>
          <t>TIMEPHORIA Stellar Dust Lip Stain 003 Lynn 5ml</t>
        </is>
      </c>
      <c r="D4393" t="inlineStr">
        <is>
          <t>Miss Glam Jambi</t>
        </is>
      </c>
      <c r="E4393" t="n">
        <v>7</v>
      </c>
      <c r="F4393" t="n">
        <v>0.0231</v>
      </c>
      <c r="G4393" t="n">
        <v>0.33</v>
      </c>
      <c r="H4393" t="n">
        <v>2</v>
      </c>
      <c r="I4393" t="n">
        <v>12</v>
      </c>
      <c r="J4393" t="n">
        <v>1</v>
      </c>
      <c r="K4393" t="n">
        <v>0</v>
      </c>
      <c r="L4393" t="n">
        <v>95200</v>
      </c>
      <c r="M4393" t="n">
        <v>119000</v>
      </c>
      <c r="N4393" t="n">
        <v>33</v>
      </c>
      <c r="O4393" t="n">
        <v>0.33</v>
      </c>
      <c r="P4393" t="n">
        <v>1</v>
      </c>
      <c r="Q4393" t="n">
        <v>0.02</v>
      </c>
      <c r="R4393" t="n">
        <v>1</v>
      </c>
      <c r="S4393" t="n">
        <v>2748.9</v>
      </c>
      <c r="T4393" t="n">
        <v>4</v>
      </c>
      <c r="U4393" t="n">
        <v>5</v>
      </c>
      <c r="V4393" t="n">
        <v>30</v>
      </c>
      <c r="W4393" t="n">
        <v>1</v>
      </c>
      <c r="X4393" t="n">
        <v>303.030303030303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12729</v>
      </c>
      <c r="AG4393" t="n">
        <v>2137</v>
      </c>
      <c r="AH4393" t="inlineStr">
        <is>
          <t>PT. SAMUDRA JAYA ANUGRAH - PPN (JMB)</t>
        </is>
      </c>
      <c r="AI4393" t="n">
        <v>2327</v>
      </c>
      <c r="AJ4393" t="inlineStr">
        <is>
          <t>TIMEPHORIA</t>
        </is>
      </c>
      <c r="AK4393" t="n">
        <v>9</v>
      </c>
      <c r="AL4393" t="inlineStr">
        <is>
          <t>Miss Glam Jambi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TIMEPHORIA</t>
        </is>
      </c>
      <c r="B4394" s="2">
        <f>"203002191720"</f>
        <v/>
      </c>
      <c r="C4394" t="inlineStr">
        <is>
          <t>TIMEPHORIA Stellar Dust Lip Stain Axion 10 5ml</t>
        </is>
      </c>
      <c r="D4394" t="inlineStr">
        <is>
          <t>Miss Glam Jambi</t>
        </is>
      </c>
      <c r="E4394" t="n">
        <v>7</v>
      </c>
      <c r="F4394" t="n">
        <v>0.009900000000000001</v>
      </c>
      <c r="G4394" t="n">
        <v>0.33</v>
      </c>
      <c r="H4394" t="n">
        <v>2</v>
      </c>
      <c r="I4394" t="n">
        <v>12</v>
      </c>
      <c r="J4394" t="n">
        <v>1</v>
      </c>
      <c r="K4394" t="n">
        <v>0</v>
      </c>
      <c r="L4394" t="n">
        <v>95200</v>
      </c>
      <c r="M4394" t="n">
        <v>119000</v>
      </c>
      <c r="N4394" t="n">
        <v>33</v>
      </c>
      <c r="O4394" t="n">
        <v>0.33</v>
      </c>
      <c r="P4394" t="n">
        <v>1</v>
      </c>
      <c r="Q4394" t="n">
        <v>0.05</v>
      </c>
      <c r="R4394" t="n">
        <v>2</v>
      </c>
      <c r="S4394" t="n">
        <v>1178.1</v>
      </c>
      <c r="T4394" t="n">
        <v>4</v>
      </c>
      <c r="U4394" t="n">
        <v>5</v>
      </c>
      <c r="V4394" t="n">
        <v>30</v>
      </c>
      <c r="W4394" t="n">
        <v>1</v>
      </c>
      <c r="X4394" t="n">
        <v>707.070707070707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12729</v>
      </c>
      <c r="AG4394" t="n">
        <v>2137</v>
      </c>
      <c r="AH4394" t="inlineStr">
        <is>
          <t>PT. SAMUDRA JAYA ANUGRAH - PPN (JMB)</t>
        </is>
      </c>
      <c r="AI4394" t="n">
        <v>2327</v>
      </c>
      <c r="AJ4394" t="inlineStr">
        <is>
          <t>TIMEPHORIA</t>
        </is>
      </c>
      <c r="AK4394" t="n">
        <v>9</v>
      </c>
      <c r="AL4394" t="inlineStr">
        <is>
          <t>Miss Glam Jambi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TIMEPHORIA</t>
        </is>
      </c>
      <c r="B4395" s="2">
        <f>"203002190134"</f>
        <v/>
      </c>
      <c r="C4395" t="inlineStr">
        <is>
          <t>TIMEPHORIA Stellar Dust Lip Stain Calyptra 5ml</t>
        </is>
      </c>
      <c r="D4395" t="inlineStr">
        <is>
          <t>Miss Glam Jambi</t>
        </is>
      </c>
      <c r="E4395" t="n">
        <v>10</v>
      </c>
      <c r="F4395" t="n">
        <v>0.1122</v>
      </c>
      <c r="G4395" t="n">
        <v>0.66</v>
      </c>
      <c r="H4395" t="n">
        <v>2</v>
      </c>
      <c r="I4395" t="n">
        <v>12</v>
      </c>
      <c r="J4395" t="n">
        <v>1</v>
      </c>
      <c r="K4395" t="n">
        <v>0</v>
      </c>
      <c r="L4395" t="n">
        <v>95200</v>
      </c>
      <c r="M4395" t="n">
        <v>119000</v>
      </c>
      <c r="N4395" t="n">
        <v>33</v>
      </c>
      <c r="O4395" t="n">
        <v>0.33</v>
      </c>
      <c r="P4395" t="n">
        <v>1</v>
      </c>
      <c r="Q4395" t="n">
        <v>0.12</v>
      </c>
      <c r="R4395" t="n">
        <v>1</v>
      </c>
      <c r="S4395" t="n">
        <v>13351.8</v>
      </c>
      <c r="T4395" t="n">
        <v>8</v>
      </c>
      <c r="U4395" t="n">
        <v>9</v>
      </c>
      <c r="V4395" t="n">
        <v>30</v>
      </c>
      <c r="W4395" t="n">
        <v>4</v>
      </c>
      <c r="X4395" t="n">
        <v>89.12655971479501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12729</v>
      </c>
      <c r="AG4395" t="n">
        <v>2137</v>
      </c>
      <c r="AH4395" t="inlineStr">
        <is>
          <t>PT. SAMUDRA JAYA ANUGRAH - PPN (JMB)</t>
        </is>
      </c>
      <c r="AI4395" t="n">
        <v>2327</v>
      </c>
      <c r="AJ4395" t="inlineStr">
        <is>
          <t>TIMEPHORIA</t>
        </is>
      </c>
      <c r="AK4395" t="n">
        <v>9</v>
      </c>
      <c r="AL4395" t="inlineStr">
        <is>
          <t>Miss Glam Jambi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TIMEPHORIA</t>
        </is>
      </c>
      <c r="B4396" s="2">
        <f>"203002191353"</f>
        <v/>
      </c>
      <c r="C4396" t="inlineStr">
        <is>
          <t>TIMEPHORIA Stellar Dust Lip Stain Cherrion 04 5ml</t>
        </is>
      </c>
      <c r="D4396" t="inlineStr">
        <is>
          <t>Miss Glam Jambi</t>
        </is>
      </c>
      <c r="E4396" t="n">
        <v>1</v>
      </c>
      <c r="F4396" t="n">
        <v>0.0726</v>
      </c>
      <c r="G4396" t="n">
        <v>0.66</v>
      </c>
      <c r="H4396" t="n">
        <v>2</v>
      </c>
      <c r="I4396" t="n">
        <v>12</v>
      </c>
      <c r="J4396" t="n">
        <v>1</v>
      </c>
      <c r="K4396" t="n">
        <v>8</v>
      </c>
      <c r="L4396" t="n">
        <v>95200</v>
      </c>
      <c r="M4396" t="n">
        <v>119000</v>
      </c>
      <c r="N4396" t="n">
        <v>33</v>
      </c>
      <c r="O4396" t="n">
        <v>0.33</v>
      </c>
      <c r="P4396" t="n">
        <v>1</v>
      </c>
      <c r="Q4396" t="n">
        <v>0.12</v>
      </c>
      <c r="R4396" t="n">
        <v>2</v>
      </c>
      <c r="S4396" t="n">
        <v>8639.4</v>
      </c>
      <c r="T4396" t="n">
        <v>8</v>
      </c>
      <c r="U4396" t="n">
        <v>9</v>
      </c>
      <c r="V4396" t="n">
        <v>30</v>
      </c>
      <c r="W4396" t="n">
        <v>3</v>
      </c>
      <c r="X4396" t="n">
        <v>13.77410468319559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12729</v>
      </c>
      <c r="AG4396" t="n">
        <v>2137</v>
      </c>
      <c r="AH4396" t="inlineStr">
        <is>
          <t>PT. SAMUDRA JAYA ANUGRAH - PPN (JMB)</t>
        </is>
      </c>
      <c r="AI4396" t="n">
        <v>2327</v>
      </c>
      <c r="AJ4396" t="inlineStr">
        <is>
          <t>TIMEPHORIA</t>
        </is>
      </c>
      <c r="AK4396" t="n">
        <v>9</v>
      </c>
      <c r="AL4396" t="inlineStr">
        <is>
          <t>Miss Glam Jambi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TIMEPHORIA</t>
        </is>
      </c>
      <c r="B4397" s="2">
        <f>"203002187701"</f>
        <v/>
      </c>
      <c r="C4397" t="inlineStr">
        <is>
          <t>TIMEPHORIA Stellar Dust Lip Stain Enigma 5ml</t>
        </is>
      </c>
      <c r="D4397" t="inlineStr">
        <is>
          <t>Miss Glam Jambi</t>
        </is>
      </c>
      <c r="E4397" t="n">
        <v>4</v>
      </c>
      <c r="F4397" t="n">
        <v>0.07920000000000001</v>
      </c>
      <c r="G4397" t="n">
        <v>0.66</v>
      </c>
      <c r="H4397" t="n">
        <v>2</v>
      </c>
      <c r="I4397" t="n">
        <v>12</v>
      </c>
      <c r="J4397" t="n">
        <v>1</v>
      </c>
      <c r="K4397" t="n">
        <v>0</v>
      </c>
      <c r="L4397" t="n">
        <v>95200</v>
      </c>
      <c r="M4397" t="n">
        <v>119000</v>
      </c>
      <c r="N4397" t="n">
        <v>33</v>
      </c>
      <c r="O4397" t="n">
        <v>0.33</v>
      </c>
      <c r="P4397" t="n">
        <v>1</v>
      </c>
      <c r="Q4397" t="n">
        <v>0.05</v>
      </c>
      <c r="R4397" t="n">
        <v>1</v>
      </c>
      <c r="S4397" t="n">
        <v>9424.800000000001</v>
      </c>
      <c r="T4397" t="n">
        <v>8</v>
      </c>
      <c r="U4397" t="n">
        <v>9</v>
      </c>
      <c r="V4397" t="n">
        <v>30</v>
      </c>
      <c r="W4397" t="n">
        <v>3</v>
      </c>
      <c r="X4397" t="n">
        <v>50.5050505050505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12729</v>
      </c>
      <c r="AG4397" t="n">
        <v>2137</v>
      </c>
      <c r="AH4397" t="inlineStr">
        <is>
          <t>PT. SAMUDRA JAYA ANUGRAH - PPN (JMB)</t>
        </is>
      </c>
      <c r="AI4397" t="n">
        <v>2327</v>
      </c>
      <c r="AJ4397" t="inlineStr">
        <is>
          <t>TIMEPHORIA</t>
        </is>
      </c>
      <c r="AK4397" t="n">
        <v>9</v>
      </c>
      <c r="AL4397" t="inlineStr">
        <is>
          <t>Miss Glam Jambi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TIMEPHORIA</t>
        </is>
      </c>
      <c r="B4398" s="2">
        <f>"203002188218"</f>
        <v/>
      </c>
      <c r="C4398" t="inlineStr">
        <is>
          <t>TIMEPHORIA Stellar Dust Lip Stain Futura 5ml</t>
        </is>
      </c>
      <c r="D4398" t="inlineStr">
        <is>
          <t>Miss Glam Jambi</t>
        </is>
      </c>
      <c r="E4398" t="n">
        <v>6</v>
      </c>
      <c r="F4398" t="n">
        <v>0.1683</v>
      </c>
      <c r="G4398" t="n">
        <v>0.66</v>
      </c>
      <c r="H4398" t="n">
        <v>2</v>
      </c>
      <c r="I4398" t="n">
        <v>12</v>
      </c>
      <c r="J4398" t="n">
        <v>1</v>
      </c>
      <c r="K4398" t="n">
        <v>0</v>
      </c>
      <c r="L4398" t="n">
        <v>85601</v>
      </c>
      <c r="M4398" t="n">
        <v>119000</v>
      </c>
      <c r="N4398" t="n">
        <v>33</v>
      </c>
      <c r="O4398" t="n">
        <v>0.33</v>
      </c>
      <c r="P4398" t="n">
        <v>1</v>
      </c>
      <c r="Q4398" t="n">
        <v>0.1</v>
      </c>
      <c r="R4398" t="n">
        <v>1</v>
      </c>
      <c r="S4398" t="n">
        <v>20027.7</v>
      </c>
      <c r="T4398" t="n">
        <v>8</v>
      </c>
      <c r="U4398" t="n">
        <v>9</v>
      </c>
      <c r="V4398" t="n">
        <v>30</v>
      </c>
      <c r="W4398" t="n">
        <v>6</v>
      </c>
      <c r="X4398" t="n">
        <v>35.650623885918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12729</v>
      </c>
      <c r="AG4398" t="n">
        <v>2137</v>
      </c>
      <c r="AH4398" t="inlineStr">
        <is>
          <t>PT. SAMUDRA JAYA ANUGRAH - PPN (JMB)</t>
        </is>
      </c>
      <c r="AI4398" t="n">
        <v>2327</v>
      </c>
      <c r="AJ4398" t="inlineStr">
        <is>
          <t>TIMEPHORIA</t>
        </is>
      </c>
      <c r="AK4398" t="n">
        <v>9</v>
      </c>
      <c r="AL4398" t="inlineStr">
        <is>
          <t>Miss Glam Jambi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TIMEPHORIA</t>
        </is>
      </c>
      <c r="B4399" s="2">
        <f>"203002187807"</f>
        <v/>
      </c>
      <c r="C4399" t="inlineStr">
        <is>
          <t>TIMEPHORIA Stellar Dust Lip Stain Luxia 5ml</t>
        </is>
      </c>
      <c r="D4399" t="inlineStr">
        <is>
          <t>Miss Glam Jambi</t>
        </is>
      </c>
      <c r="E4399" t="n">
        <v>6</v>
      </c>
      <c r="F4399" t="n">
        <v>0.02</v>
      </c>
      <c r="G4399" t="n">
        <v>1</v>
      </c>
      <c r="H4399" t="n">
        <v>2</v>
      </c>
      <c r="I4399" t="n">
        <v>12</v>
      </c>
      <c r="J4399" t="n">
        <v>1</v>
      </c>
      <c r="K4399" t="n">
        <v>0</v>
      </c>
      <c r="L4399" t="n">
        <v>95200</v>
      </c>
      <c r="M4399" t="n">
        <v>119000</v>
      </c>
      <c r="N4399" t="n">
        <v>33</v>
      </c>
      <c r="O4399" t="n">
        <v>0.33</v>
      </c>
      <c r="P4399" t="n">
        <v>0</v>
      </c>
      <c r="Q4399" t="n">
        <v>0.02</v>
      </c>
      <c r="R4399" t="n">
        <v>1</v>
      </c>
      <c r="S4399" t="n">
        <v>2380</v>
      </c>
      <c r="T4399" t="n">
        <v>12</v>
      </c>
      <c r="U4399" t="n">
        <v>13</v>
      </c>
      <c r="V4399" t="n">
        <v>30</v>
      </c>
      <c r="W4399" t="n">
        <v>1</v>
      </c>
      <c r="X4399" t="n">
        <v>300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12729</v>
      </c>
      <c r="AG4399" t="n">
        <v>2137</v>
      </c>
      <c r="AH4399" t="inlineStr">
        <is>
          <t>PT. SAMUDRA JAYA ANUGRAH - PPN (JMB)</t>
        </is>
      </c>
      <c r="AI4399" t="n">
        <v>2327</v>
      </c>
      <c r="AJ4399" t="inlineStr">
        <is>
          <t>TIMEPHORIA</t>
        </is>
      </c>
      <c r="AK4399" t="n">
        <v>9</v>
      </c>
      <c r="AL4399" t="inlineStr">
        <is>
          <t>Miss Glam Jambi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TIMEPHORIA</t>
        </is>
      </c>
      <c r="B4400" s="2">
        <f>"203002191542"</f>
        <v/>
      </c>
      <c r="C4400" t="inlineStr">
        <is>
          <t>TIMEPHORIA Stellar Dust Lip Stain Nerose 06 5ml</t>
        </is>
      </c>
      <c r="D4400" t="inlineStr">
        <is>
          <t>Miss Glam Jambi</t>
        </is>
      </c>
      <c r="E4400" t="n">
        <v>1</v>
      </c>
      <c r="F4400" t="n">
        <v>0.7821</v>
      </c>
      <c r="G4400" t="n">
        <v>3.63</v>
      </c>
      <c r="H4400" t="n">
        <v>2</v>
      </c>
      <c r="I4400" t="n">
        <v>12</v>
      </c>
      <c r="J4400" t="n">
        <v>1</v>
      </c>
      <c r="K4400" t="n">
        <v>39</v>
      </c>
      <c r="L4400" t="n">
        <v>95200</v>
      </c>
      <c r="M4400" t="n">
        <v>119000</v>
      </c>
      <c r="N4400" t="n">
        <v>33</v>
      </c>
      <c r="O4400" t="n">
        <v>0.33</v>
      </c>
      <c r="P4400" t="n">
        <v>1</v>
      </c>
      <c r="Q4400" t="n">
        <v>0.73</v>
      </c>
      <c r="R4400" t="n">
        <v>4</v>
      </c>
      <c r="S4400" t="n">
        <v>93069.90000000001</v>
      </c>
      <c r="T4400" t="n">
        <v>42</v>
      </c>
      <c r="U4400" t="n">
        <v>44</v>
      </c>
      <c r="V4400" t="n">
        <v>30</v>
      </c>
      <c r="W4400" t="n">
        <v>24</v>
      </c>
      <c r="X4400" t="n">
        <v>1.278608873545582</v>
      </c>
      <c r="Y4400" t="n">
        <v>1</v>
      </c>
      <c r="Z4400" t="n">
        <v>0</v>
      </c>
      <c r="AA4400" t="n">
        <v>8</v>
      </c>
      <c r="AB4400" t="n">
        <v>0</v>
      </c>
      <c r="AC4400" t="n">
        <v>0</v>
      </c>
      <c r="AD4400" t="n">
        <v>761600</v>
      </c>
      <c r="AE4400" t="n">
        <v>0</v>
      </c>
      <c r="AF4400" t="n">
        <v>12729</v>
      </c>
      <c r="AG4400" t="n">
        <v>2137</v>
      </c>
      <c r="AH4400" t="inlineStr">
        <is>
          <t>PT. SAMUDRA JAYA ANUGRAH - PPN (JMB)</t>
        </is>
      </c>
      <c r="AI4400" t="n">
        <v>2327</v>
      </c>
      <c r="AJ4400" t="inlineStr">
        <is>
          <t>TIMEPHORIA</t>
        </is>
      </c>
      <c r="AK4400" t="n">
        <v>9</v>
      </c>
      <c r="AL4400" t="inlineStr">
        <is>
          <t>Miss Glam Jambi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TIMEPHORIA</t>
        </is>
      </c>
      <c r="B4401" s="2">
        <f>"203002188309"</f>
        <v/>
      </c>
      <c r="C4401" t="inlineStr">
        <is>
          <t>TIMEPHORIA Stellar Dust Lip Stain Pulse 5ml</t>
        </is>
      </c>
      <c r="D4401" t="inlineStr">
        <is>
          <t>Miss Glam Jambi</t>
        </is>
      </c>
      <c r="E4401" t="n">
        <v>5</v>
      </c>
      <c r="F4401" t="n">
        <v>0.0825</v>
      </c>
      <c r="G4401" t="n">
        <v>0.66</v>
      </c>
      <c r="H4401" t="n">
        <v>2</v>
      </c>
      <c r="I4401" t="n">
        <v>12</v>
      </c>
      <c r="J4401" t="n">
        <v>1</v>
      </c>
      <c r="K4401" t="n">
        <v>0</v>
      </c>
      <c r="L4401" t="n">
        <v>95200</v>
      </c>
      <c r="M4401" t="n">
        <v>119000</v>
      </c>
      <c r="N4401" t="n">
        <v>33</v>
      </c>
      <c r="O4401" t="n">
        <v>0.33</v>
      </c>
      <c r="P4401" t="n">
        <v>1</v>
      </c>
      <c r="Q4401" t="n">
        <v>0.02</v>
      </c>
      <c r="R4401" t="n">
        <v>1</v>
      </c>
      <c r="S4401" t="n">
        <v>9817.5</v>
      </c>
      <c r="T4401" t="n">
        <v>8</v>
      </c>
      <c r="U4401" t="n">
        <v>9</v>
      </c>
      <c r="V4401" t="n">
        <v>30</v>
      </c>
      <c r="W4401" t="n">
        <v>3</v>
      </c>
      <c r="X4401" t="n">
        <v>60.6060606060606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12729</v>
      </c>
      <c r="AG4401" t="n">
        <v>2137</v>
      </c>
      <c r="AH4401" t="inlineStr">
        <is>
          <t>PT. SAMUDRA JAYA ANUGRAH - PPN (JMB)</t>
        </is>
      </c>
      <c r="AI4401" t="n">
        <v>2327</v>
      </c>
      <c r="AJ4401" t="inlineStr">
        <is>
          <t>TIMEPHORIA</t>
        </is>
      </c>
      <c r="AK4401" t="n">
        <v>9</v>
      </c>
      <c r="AL4401" t="inlineStr">
        <is>
          <t>Miss Glam Jambi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TIMEPHORIA</t>
        </is>
      </c>
      <c r="B4402" s="2">
        <f>"203002187634"</f>
        <v/>
      </c>
      <c r="C4402" t="inlineStr">
        <is>
          <t>TIMEPHORIA Stellar Dust Lip Stain Quanta 5ml</t>
        </is>
      </c>
      <c r="D4402" t="inlineStr">
        <is>
          <t>Miss Glam Jambi</t>
        </is>
      </c>
      <c r="E4402" t="n">
        <v>6</v>
      </c>
      <c r="F4402" t="n">
        <v>0.396</v>
      </c>
      <c r="G4402" t="n">
        <v>2.64</v>
      </c>
      <c r="H4402" t="n">
        <v>2</v>
      </c>
      <c r="I4402" t="n">
        <v>12</v>
      </c>
      <c r="J4402" t="n">
        <v>1</v>
      </c>
      <c r="K4402" t="n">
        <v>6</v>
      </c>
      <c r="L4402" t="n">
        <v>95200</v>
      </c>
      <c r="M4402" t="n">
        <v>119000</v>
      </c>
      <c r="N4402" t="n">
        <v>33</v>
      </c>
      <c r="O4402" t="n">
        <v>0.33</v>
      </c>
      <c r="P4402" t="n">
        <v>1</v>
      </c>
      <c r="Q4402" t="n">
        <v>0.22</v>
      </c>
      <c r="R4402" t="n">
        <v>2</v>
      </c>
      <c r="S4402" t="n">
        <v>47124</v>
      </c>
      <c r="T4402" t="n">
        <v>31</v>
      </c>
      <c r="U4402" t="n">
        <v>32</v>
      </c>
      <c r="V4402" t="n">
        <v>30</v>
      </c>
      <c r="W4402" t="n">
        <v>12</v>
      </c>
      <c r="X4402" t="n">
        <v>15.15151515151515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12729</v>
      </c>
      <c r="AG4402" t="n">
        <v>2137</v>
      </c>
      <c r="AH4402" t="inlineStr">
        <is>
          <t>PT. SAMUDRA JAYA ANUGRAH - PPN (JMB)</t>
        </is>
      </c>
      <c r="AI4402" t="n">
        <v>2327</v>
      </c>
      <c r="AJ4402" t="inlineStr">
        <is>
          <t>TIMEPHORIA</t>
        </is>
      </c>
      <c r="AK4402" t="n">
        <v>9</v>
      </c>
      <c r="AL4402" t="inlineStr">
        <is>
          <t>Miss Glam Jambi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TIMEPHORIA</t>
        </is>
      </c>
      <c r="B4403" s="2">
        <f>"203002191601"</f>
        <v/>
      </c>
      <c r="C4403" t="inlineStr">
        <is>
          <t>TIMEPHORIA Stellar Dust Lip Stain Rubion 08 5ml</t>
        </is>
      </c>
      <c r="D4403" t="inlineStr">
        <is>
          <t>Miss Glam Jambi</t>
        </is>
      </c>
      <c r="E4403" t="n">
        <v>6</v>
      </c>
      <c r="F4403" t="n">
        <v>0.07920000000000001</v>
      </c>
      <c r="G4403" t="n">
        <v>0.66</v>
      </c>
      <c r="H4403" t="n">
        <v>2</v>
      </c>
      <c r="I4403" t="n">
        <v>12</v>
      </c>
      <c r="J4403" t="n">
        <v>1</v>
      </c>
      <c r="K4403" t="n">
        <v>0</v>
      </c>
      <c r="L4403" t="n">
        <v>95200</v>
      </c>
      <c r="M4403" t="n">
        <v>119000</v>
      </c>
      <c r="N4403" t="n">
        <v>33</v>
      </c>
      <c r="O4403" t="n">
        <v>0.33</v>
      </c>
      <c r="P4403" t="n">
        <v>1</v>
      </c>
      <c r="Q4403" t="n">
        <v>0.12</v>
      </c>
      <c r="R4403" t="n">
        <v>2</v>
      </c>
      <c r="S4403" t="n">
        <v>9424.800000000001</v>
      </c>
      <c r="T4403" t="n">
        <v>8</v>
      </c>
      <c r="U4403" t="n">
        <v>9</v>
      </c>
      <c r="V4403" t="n">
        <v>30</v>
      </c>
      <c r="W4403" t="n">
        <v>3</v>
      </c>
      <c r="X4403" t="n">
        <v>75.75757575757575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12729</v>
      </c>
      <c r="AG4403" t="n">
        <v>2137</v>
      </c>
      <c r="AH4403" t="inlineStr">
        <is>
          <t>PT. SAMUDRA JAYA ANUGRAH - PPN (JMB)</t>
        </is>
      </c>
      <c r="AI4403" t="n">
        <v>2327</v>
      </c>
      <c r="AJ4403" t="inlineStr">
        <is>
          <t>TIMEPHORIA</t>
        </is>
      </c>
      <c r="AK4403" t="n">
        <v>9</v>
      </c>
      <c r="AL4403" t="inlineStr">
        <is>
          <t>Miss Glam Jambi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TIMEPHORIA</t>
        </is>
      </c>
      <c r="B4404" s="2">
        <f>"203002191237"</f>
        <v/>
      </c>
      <c r="C4404" t="inlineStr">
        <is>
          <t>TIMEPHORIA Stellar Dust Lip Stain Solaris 02 5ml</t>
        </is>
      </c>
      <c r="D4404" t="inlineStr">
        <is>
          <t>Miss Glam Jambi</t>
        </is>
      </c>
      <c r="E4404" t="n">
        <v>3</v>
      </c>
      <c r="F4404" t="n">
        <v>0.0264</v>
      </c>
      <c r="G4404" t="n">
        <v>0.33</v>
      </c>
      <c r="H4404" t="n">
        <v>2</v>
      </c>
      <c r="I4404" t="n">
        <v>12</v>
      </c>
      <c r="J4404" t="n">
        <v>1</v>
      </c>
      <c r="K4404" t="n">
        <v>0</v>
      </c>
      <c r="L4404" t="n">
        <v>82401</v>
      </c>
      <c r="M4404" t="n">
        <v>119000</v>
      </c>
      <c r="N4404" t="n">
        <v>33</v>
      </c>
      <c r="O4404" t="n">
        <v>0.33</v>
      </c>
      <c r="P4404" t="n">
        <v>1</v>
      </c>
      <c r="Q4404" t="n">
        <v>0.08</v>
      </c>
      <c r="R4404" t="n">
        <v>1</v>
      </c>
      <c r="S4404" t="n">
        <v>3141.6</v>
      </c>
      <c r="T4404" t="n">
        <v>4</v>
      </c>
      <c r="U4404" t="n">
        <v>5</v>
      </c>
      <c r="V4404" t="n">
        <v>30</v>
      </c>
      <c r="W4404" t="n">
        <v>1</v>
      </c>
      <c r="X4404" t="n">
        <v>113.6363636363636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12729</v>
      </c>
      <c r="AG4404" t="n">
        <v>2137</v>
      </c>
      <c r="AH4404" t="inlineStr">
        <is>
          <t>PT. SAMUDRA JAYA ANUGRAH - PPN (JMB)</t>
        </is>
      </c>
      <c r="AI4404" t="n">
        <v>2327</v>
      </c>
      <c r="AJ4404" t="inlineStr">
        <is>
          <t>TIMEPHORIA</t>
        </is>
      </c>
      <c r="AK4404" t="n">
        <v>9</v>
      </c>
      <c r="AL4404" t="inlineStr">
        <is>
          <t>Miss Glam Jambi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TIMEPHORIA</t>
        </is>
      </c>
      <c r="B4405" s="2">
        <f>"20200335123"</f>
        <v/>
      </c>
      <c r="C4405" t="inlineStr">
        <is>
          <t>TIMEPHORIA Superstay Eyeliner Black 0.5g</t>
        </is>
      </c>
      <c r="D4405" t="inlineStr">
        <is>
          <t>Miss Glam Jambi</t>
        </is>
      </c>
      <c r="E4405" t="n">
        <v>3</v>
      </c>
      <c r="F4405" t="n">
        <v>0.0726</v>
      </c>
      <c r="G4405" t="n">
        <v>0.33</v>
      </c>
      <c r="H4405" t="n">
        <v>2</v>
      </c>
      <c r="I4405" t="n">
        <v>12</v>
      </c>
      <c r="J4405" t="n">
        <v>1</v>
      </c>
      <c r="K4405" t="n">
        <v>6</v>
      </c>
      <c r="L4405" t="n">
        <v>47206</v>
      </c>
      <c r="M4405" t="n">
        <v>99000</v>
      </c>
      <c r="N4405" t="n">
        <v>33</v>
      </c>
      <c r="O4405" t="n">
        <v>0.33</v>
      </c>
      <c r="P4405" t="n">
        <v>1</v>
      </c>
      <c r="Q4405" t="n">
        <v>0.24</v>
      </c>
      <c r="R4405" t="n">
        <v>2</v>
      </c>
      <c r="S4405" t="n">
        <v>7187.4</v>
      </c>
      <c r="T4405" t="n">
        <v>4</v>
      </c>
      <c r="U4405" t="n">
        <v>5</v>
      </c>
      <c r="V4405" t="n">
        <v>30</v>
      </c>
      <c r="W4405" t="n">
        <v>3</v>
      </c>
      <c r="X4405" t="n">
        <v>41.32231404958678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12729</v>
      </c>
      <c r="AG4405" t="n">
        <v>2137</v>
      </c>
      <c r="AH4405" t="inlineStr">
        <is>
          <t>PT. SAMUDRA JAYA ANUGRAH - PPN (JMB)</t>
        </is>
      </c>
      <c r="AI4405" t="n">
        <v>2327</v>
      </c>
      <c r="AJ4405" t="inlineStr">
        <is>
          <t>TIMEPHORIA</t>
        </is>
      </c>
      <c r="AK4405" t="n">
        <v>9</v>
      </c>
      <c r="AL4405" t="inlineStr">
        <is>
          <t>Miss Glam Jambi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TIMEPHORIA</t>
        </is>
      </c>
      <c r="B4406" s="2">
        <f>"20100470650"</f>
        <v/>
      </c>
      <c r="C4406" t="inlineStr">
        <is>
          <t>TIMEPHORIA Timeless Lumina Matte Perfection Cushion 00 Bare 11gr</t>
        </is>
      </c>
      <c r="D4406" t="inlineStr">
        <is>
          <t>Miss Glam Jambi</t>
        </is>
      </c>
      <c r="E4406" t="n">
        <v>2</v>
      </c>
      <c r="F4406" t="n">
        <v>0.0231</v>
      </c>
      <c r="G4406" t="n">
        <v>0.33</v>
      </c>
      <c r="H4406" t="n">
        <v>2</v>
      </c>
      <c r="I4406" t="n">
        <v>12</v>
      </c>
      <c r="J4406" t="n">
        <v>1</v>
      </c>
      <c r="K4406" t="n">
        <v>6</v>
      </c>
      <c r="L4406" t="n">
        <v>135200</v>
      </c>
      <c r="M4406" t="n">
        <v>169000</v>
      </c>
      <c r="N4406" t="n">
        <v>33</v>
      </c>
      <c r="O4406" t="n">
        <v>0.33</v>
      </c>
      <c r="P4406" t="n">
        <v>1</v>
      </c>
      <c r="Q4406" t="n">
        <v>0.15</v>
      </c>
      <c r="R4406" t="n">
        <v>2</v>
      </c>
      <c r="S4406" t="n">
        <v>3903.900000000001</v>
      </c>
      <c r="T4406" t="n">
        <v>4</v>
      </c>
      <c r="U4406" t="n">
        <v>5</v>
      </c>
      <c r="V4406" t="n">
        <v>30</v>
      </c>
      <c r="W4406" t="n">
        <v>1</v>
      </c>
      <c r="X4406" t="n">
        <v>86.58008658008657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12729</v>
      </c>
      <c r="AG4406" t="n">
        <v>2137</v>
      </c>
      <c r="AH4406" t="inlineStr">
        <is>
          <t>PT. SAMUDRA JAYA ANUGRAH - PPN (JMB)</t>
        </is>
      </c>
      <c r="AI4406" t="n">
        <v>2327</v>
      </c>
      <c r="AJ4406" t="inlineStr">
        <is>
          <t>TIMEPHORIA</t>
        </is>
      </c>
      <c r="AK4406" t="n">
        <v>9</v>
      </c>
      <c r="AL4406" t="inlineStr">
        <is>
          <t>Miss Glam Jambi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TIMEPHORIA</t>
        </is>
      </c>
      <c r="B4407" s="2">
        <f>"20100470758"</f>
        <v/>
      </c>
      <c r="C4407" t="inlineStr">
        <is>
          <t>TIMEPHORIA Timeless Lumina Matte Perfection Cushion 01 Creme 11gr</t>
        </is>
      </c>
      <c r="D4407" t="inlineStr">
        <is>
          <t>Miss Glam Jambi</t>
        </is>
      </c>
      <c r="E4407" t="n">
        <v>2</v>
      </c>
      <c r="F4407" t="n">
        <v>0.07590000000000001</v>
      </c>
      <c r="G4407" t="n">
        <v>0.66</v>
      </c>
      <c r="H4407" t="n">
        <v>2</v>
      </c>
      <c r="I4407" t="n">
        <v>12</v>
      </c>
      <c r="J4407" t="n">
        <v>1</v>
      </c>
      <c r="K4407" t="n">
        <v>7</v>
      </c>
      <c r="L4407" t="n">
        <v>135200</v>
      </c>
      <c r="M4407" t="n">
        <v>169000</v>
      </c>
      <c r="N4407" t="n">
        <v>33</v>
      </c>
      <c r="O4407" t="n">
        <v>0.33</v>
      </c>
      <c r="P4407" t="n">
        <v>1</v>
      </c>
      <c r="Q4407" t="n">
        <v>0.37</v>
      </c>
      <c r="R4407" t="n">
        <v>2</v>
      </c>
      <c r="S4407" t="n">
        <v>12827.1</v>
      </c>
      <c r="T4407" t="n">
        <v>8</v>
      </c>
      <c r="U4407" t="n">
        <v>9</v>
      </c>
      <c r="V4407" t="n">
        <v>30</v>
      </c>
      <c r="W4407" t="n">
        <v>3</v>
      </c>
      <c r="X4407" t="n">
        <v>26.35046113306982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12729</v>
      </c>
      <c r="AG4407" t="n">
        <v>2137</v>
      </c>
      <c r="AH4407" t="inlineStr">
        <is>
          <t>PT. SAMUDRA JAYA ANUGRAH - PPN (JMB)</t>
        </is>
      </c>
      <c r="AI4407" t="n">
        <v>2327</v>
      </c>
      <c r="AJ4407" t="inlineStr">
        <is>
          <t>TIMEPHORIA</t>
        </is>
      </c>
      <c r="AK4407" t="n">
        <v>9</v>
      </c>
      <c r="AL4407" t="inlineStr">
        <is>
          <t>Miss Glam Jambi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TIMEPHORIA</t>
        </is>
      </c>
      <c r="B4408" s="2">
        <f>"20100470803"</f>
        <v/>
      </c>
      <c r="C4408" t="inlineStr">
        <is>
          <t>TIMEPHORIA Timeless Lumina Matte Perfection Cushion 02 Birch 11gr</t>
        </is>
      </c>
      <c r="D4408" t="inlineStr">
        <is>
          <t>Miss Glam Jambi</t>
        </is>
      </c>
      <c r="E4408" t="n">
        <v>5</v>
      </c>
      <c r="F4408" t="n">
        <v>0.1287</v>
      </c>
      <c r="G4408" t="n">
        <v>0.66</v>
      </c>
      <c r="H4408" t="n">
        <v>2</v>
      </c>
      <c r="I4408" t="n">
        <v>12</v>
      </c>
      <c r="J4408" t="n">
        <v>1</v>
      </c>
      <c r="K4408" t="n">
        <v>0</v>
      </c>
      <c r="L4408" t="n">
        <v>135200</v>
      </c>
      <c r="M4408" t="n">
        <v>169000</v>
      </c>
      <c r="N4408" t="n">
        <v>33</v>
      </c>
      <c r="O4408" t="n">
        <v>0.33</v>
      </c>
      <c r="P4408" t="n">
        <v>1</v>
      </c>
      <c r="Q4408" t="n">
        <v>0.12</v>
      </c>
      <c r="R4408" t="n">
        <v>2</v>
      </c>
      <c r="S4408" t="n">
        <v>21750.3</v>
      </c>
      <c r="T4408" t="n">
        <v>8</v>
      </c>
      <c r="U4408" t="n">
        <v>9</v>
      </c>
      <c r="V4408" t="n">
        <v>30</v>
      </c>
      <c r="W4408" t="n">
        <v>4</v>
      </c>
      <c r="X4408" t="n">
        <v>38.85003885003885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12729</v>
      </c>
      <c r="AG4408" t="n">
        <v>2137</v>
      </c>
      <c r="AH4408" t="inlineStr">
        <is>
          <t>PT. SAMUDRA JAYA ANUGRAH - PPN (JMB)</t>
        </is>
      </c>
      <c r="AI4408" t="n">
        <v>2327</v>
      </c>
      <c r="AJ4408" t="inlineStr">
        <is>
          <t>TIMEPHORIA</t>
        </is>
      </c>
      <c r="AK4408" t="n">
        <v>9</v>
      </c>
      <c r="AL4408" t="inlineStr">
        <is>
          <t>Miss Glam Jambi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TIMEPHORIA</t>
        </is>
      </c>
      <c r="B4409" s="2">
        <f>"20100470911"</f>
        <v/>
      </c>
      <c r="C4409" t="inlineStr">
        <is>
          <t>TIMEPHORIA Timeless Lumina Matte Perfection Cushion 03 Fawn 11gr</t>
        </is>
      </c>
      <c r="D4409" t="inlineStr">
        <is>
          <t>Miss Glam Jambi</t>
        </is>
      </c>
      <c r="E4409" t="n">
        <v>6</v>
      </c>
      <c r="F4409" t="n">
        <v>0.1188</v>
      </c>
      <c r="G4409" t="n">
        <v>0.66</v>
      </c>
      <c r="H4409" t="n">
        <v>2</v>
      </c>
      <c r="I4409" t="n">
        <v>12</v>
      </c>
      <c r="J4409" t="n">
        <v>1</v>
      </c>
      <c r="K4409" t="n">
        <v>6</v>
      </c>
      <c r="L4409" t="n">
        <v>135200</v>
      </c>
      <c r="M4409" t="n">
        <v>169000</v>
      </c>
      <c r="N4409" t="n">
        <v>33</v>
      </c>
      <c r="O4409" t="n">
        <v>0.33</v>
      </c>
      <c r="P4409" t="n">
        <v>1</v>
      </c>
      <c r="Q4409" t="n">
        <v>0.32</v>
      </c>
      <c r="R4409" t="n">
        <v>2</v>
      </c>
      <c r="S4409" t="n">
        <v>20077.2</v>
      </c>
      <c r="T4409" t="n">
        <v>8</v>
      </c>
      <c r="U4409" t="n">
        <v>9</v>
      </c>
      <c r="V4409" t="n">
        <v>30</v>
      </c>
      <c r="W4409" t="n">
        <v>4</v>
      </c>
      <c r="X4409" t="n">
        <v>50.50505050505051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12729</v>
      </c>
      <c r="AG4409" t="n">
        <v>2137</v>
      </c>
      <c r="AH4409" t="inlineStr">
        <is>
          <t>PT. SAMUDRA JAYA ANUGRAH - PPN (JMB)</t>
        </is>
      </c>
      <c r="AI4409" t="n">
        <v>2327</v>
      </c>
      <c r="AJ4409" t="inlineStr">
        <is>
          <t>TIMEPHORIA</t>
        </is>
      </c>
      <c r="AK4409" t="n">
        <v>9</v>
      </c>
      <c r="AL4409" t="inlineStr">
        <is>
          <t>Miss Glam Jambi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TIMEPHORIA</t>
        </is>
      </c>
      <c r="B4410" s="2">
        <f>"20100471020"</f>
        <v/>
      </c>
      <c r="C4410" t="inlineStr">
        <is>
          <t>TIMEPHORIA Timeless Lumina Matte Perfection Cushion 03W Warm Fawn 11gr</t>
        </is>
      </c>
      <c r="D4410" t="inlineStr">
        <is>
          <t>Miss Glam Jambi</t>
        </is>
      </c>
      <c r="E4410" t="n">
        <v>4</v>
      </c>
      <c r="F4410" t="n">
        <v>0.08910000000000001</v>
      </c>
      <c r="G4410" t="n">
        <v>0.99</v>
      </c>
      <c r="H4410" t="n">
        <v>2</v>
      </c>
      <c r="I4410" t="n">
        <v>12</v>
      </c>
      <c r="J4410" t="n">
        <v>1</v>
      </c>
      <c r="K4410" t="n">
        <v>0</v>
      </c>
      <c r="L4410" t="n">
        <v>135200</v>
      </c>
      <c r="M4410" t="n">
        <v>169000</v>
      </c>
      <c r="N4410" t="n">
        <v>33</v>
      </c>
      <c r="O4410" t="n">
        <v>0.33</v>
      </c>
      <c r="P4410" t="n">
        <v>1</v>
      </c>
      <c r="Q4410" t="n">
        <v>0.1</v>
      </c>
      <c r="R4410" t="n">
        <v>1</v>
      </c>
      <c r="S4410" t="n">
        <v>15057.9</v>
      </c>
      <c r="T4410" t="n">
        <v>12</v>
      </c>
      <c r="U4410" t="n">
        <v>13</v>
      </c>
      <c r="V4410" t="n">
        <v>30</v>
      </c>
      <c r="W4410" t="n">
        <v>3</v>
      </c>
      <c r="X4410" t="n">
        <v>44.89337822671155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12729</v>
      </c>
      <c r="AG4410" t="n">
        <v>2137</v>
      </c>
      <c r="AH4410" t="inlineStr">
        <is>
          <t>PT. SAMUDRA JAYA ANUGRAH - PPN (JMB)</t>
        </is>
      </c>
      <c r="AI4410" t="n">
        <v>2327</v>
      </c>
      <c r="AJ4410" t="inlineStr">
        <is>
          <t>TIMEPHORIA</t>
        </is>
      </c>
      <c r="AK4410" t="n">
        <v>9</v>
      </c>
      <c r="AL4410" t="inlineStr">
        <is>
          <t>Miss Glam Jambi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TIMEPHORIA</t>
        </is>
      </c>
      <c r="B4411" s="2">
        <f>"20100471135"</f>
        <v/>
      </c>
      <c r="C4411" t="inlineStr">
        <is>
          <t>TIMEPHORIA Timeless Lumina Matte Perfection Cushion 04 Beige 11gr</t>
        </is>
      </c>
      <c r="D4411" t="inlineStr">
        <is>
          <t>Miss Glam Jambi</t>
        </is>
      </c>
      <c r="E4411" t="n">
        <v>9</v>
      </c>
      <c r="F4411" t="n">
        <v>0.08910000000000001</v>
      </c>
      <c r="G4411" t="n">
        <v>0.66</v>
      </c>
      <c r="H4411" t="n">
        <v>2</v>
      </c>
      <c r="I4411" t="n">
        <v>12</v>
      </c>
      <c r="J4411" t="n">
        <v>1</v>
      </c>
      <c r="K4411" t="n">
        <v>0</v>
      </c>
      <c r="L4411" t="n">
        <v>135200</v>
      </c>
      <c r="M4411" t="n">
        <v>169000</v>
      </c>
      <c r="N4411" t="n">
        <v>33</v>
      </c>
      <c r="O4411" t="n">
        <v>0.33</v>
      </c>
      <c r="P4411" t="n">
        <v>1</v>
      </c>
      <c r="Q4411" t="n">
        <v>0.03</v>
      </c>
      <c r="R4411" t="n">
        <v>1</v>
      </c>
      <c r="S4411" t="n">
        <v>15057.9</v>
      </c>
      <c r="T4411" t="n">
        <v>8</v>
      </c>
      <c r="U4411" t="n">
        <v>9</v>
      </c>
      <c r="V4411" t="n">
        <v>30</v>
      </c>
      <c r="W4411" t="n">
        <v>3</v>
      </c>
      <c r="X4411" t="n">
        <v>101.010101010101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12729</v>
      </c>
      <c r="AG4411" t="n">
        <v>2137</v>
      </c>
      <c r="AH4411" t="inlineStr">
        <is>
          <t>PT. SAMUDRA JAYA ANUGRAH - PPN (JMB)</t>
        </is>
      </c>
      <c r="AI4411" t="n">
        <v>2327</v>
      </c>
      <c r="AJ4411" t="inlineStr">
        <is>
          <t>TIMEPHORIA</t>
        </is>
      </c>
      <c r="AK4411" t="n">
        <v>9</v>
      </c>
      <c r="AL4411" t="inlineStr">
        <is>
          <t>Miss Glam Jambi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TIMEPHORIA</t>
        </is>
      </c>
      <c r="B4412" s="2">
        <f>"20101209657"</f>
        <v/>
      </c>
      <c r="C4412" t="inlineStr">
        <is>
          <t>TIMEPHORIA Timeless Supernova Setting Spray 60ml</t>
        </is>
      </c>
      <c r="D4412" t="inlineStr">
        <is>
          <t>Miss Glam Jambi</t>
        </is>
      </c>
      <c r="E4412" t="n">
        <v>5</v>
      </c>
      <c r="F4412" t="n">
        <v>0.0462</v>
      </c>
      <c r="G4412" t="n">
        <v>0.66</v>
      </c>
      <c r="H4412" t="n">
        <v>2</v>
      </c>
      <c r="I4412" t="n">
        <v>12</v>
      </c>
      <c r="J4412" t="n">
        <v>1</v>
      </c>
      <c r="K4412" t="n">
        <v>0</v>
      </c>
      <c r="L4412" t="n">
        <v>103200</v>
      </c>
      <c r="M4412" t="n">
        <v>129000</v>
      </c>
      <c r="N4412" t="n">
        <v>33</v>
      </c>
      <c r="O4412" t="n">
        <v>0.33</v>
      </c>
      <c r="P4412" t="n">
        <v>1</v>
      </c>
      <c r="Q4412" t="n">
        <v>0.02</v>
      </c>
      <c r="R4412" t="n">
        <v>1</v>
      </c>
      <c r="S4412" t="n">
        <v>5959.800000000001</v>
      </c>
      <c r="T4412" t="n">
        <v>8</v>
      </c>
      <c r="U4412" t="n">
        <v>9</v>
      </c>
      <c r="V4412" t="n">
        <v>30</v>
      </c>
      <c r="W4412" t="n">
        <v>2</v>
      </c>
      <c r="X4412" t="n">
        <v>108.2251082251082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12729</v>
      </c>
      <c r="AG4412" t="n">
        <v>2137</v>
      </c>
      <c r="AH4412" t="inlineStr">
        <is>
          <t>PT. SAMUDRA JAYA ANUGRAH - PPN (JMB)</t>
        </is>
      </c>
      <c r="AI4412" t="n">
        <v>2327</v>
      </c>
      <c r="AJ4412" t="inlineStr">
        <is>
          <t>TIMEPHORIA</t>
        </is>
      </c>
      <c r="AK4412" t="n">
        <v>9</v>
      </c>
      <c r="AL4412" t="inlineStr">
        <is>
          <t>Miss Glam Jambi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TOKYO NIGHT</t>
        </is>
      </c>
      <c r="B4413" s="2">
        <f>"8997001304133"</f>
        <v/>
      </c>
      <c r="C4413" t="inlineStr">
        <is>
          <t>TOKYO NIGHT Nail Polish Remover 40ml</t>
        </is>
      </c>
      <c r="D4413" t="inlineStr">
        <is>
          <t>Miss Glam Jambi</t>
        </is>
      </c>
      <c r="E4413" t="n">
        <v>39</v>
      </c>
      <c r="F4413" t="n">
        <v>1.7787</v>
      </c>
      <c r="G4413" t="n">
        <v>3.96</v>
      </c>
      <c r="H4413" t="n">
        <v>2</v>
      </c>
      <c r="I4413" t="n">
        <v>6</v>
      </c>
      <c r="J4413" t="n">
        <v>3</v>
      </c>
      <c r="K4413" t="n">
        <v>0</v>
      </c>
      <c r="L4413" t="n">
        <v>3826</v>
      </c>
      <c r="M4413" t="n">
        <v>5000</v>
      </c>
      <c r="N4413" t="n">
        <v>33</v>
      </c>
      <c r="O4413" t="n">
        <v>0.33</v>
      </c>
      <c r="P4413" t="n">
        <v>1</v>
      </c>
      <c r="Q4413" t="n">
        <v>0.5600000000000001</v>
      </c>
      <c r="R4413" t="n">
        <v>4</v>
      </c>
      <c r="S4413" t="n">
        <v>8893.5</v>
      </c>
      <c r="T4413" t="n">
        <v>21</v>
      </c>
      <c r="U4413" t="n">
        <v>25</v>
      </c>
      <c r="V4413" t="n">
        <v>30</v>
      </c>
      <c r="W4413" t="n">
        <v>54</v>
      </c>
      <c r="X4413" t="n">
        <v>21.92612582222972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1415</v>
      </c>
      <c r="AG4413" t="n">
        <v>2136</v>
      </c>
      <c r="AH4413" t="inlineStr">
        <is>
          <t>CV. SAMUDRA JAYA ABADI - PPN (JMB)</t>
        </is>
      </c>
      <c r="AI4413" t="n">
        <v>157</v>
      </c>
      <c r="AJ4413" t="inlineStr">
        <is>
          <t>TOKYO NIGHT</t>
        </is>
      </c>
      <c r="AK4413" t="n">
        <v>9</v>
      </c>
      <c r="AL4413" t="inlineStr">
        <is>
          <t>Miss Glam Jambi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TOKYO NIGHT</t>
        </is>
      </c>
      <c r="B4414" s="2">
        <f>"8997001300036"</f>
        <v/>
      </c>
      <c r="C4414" t="inlineStr">
        <is>
          <t>TOKYO NIGHT Nail Polish Remover 76ml</t>
        </is>
      </c>
      <c r="D4414" t="inlineStr">
        <is>
          <t>Miss Glam Jambi</t>
        </is>
      </c>
      <c r="E4414" t="n">
        <v>82</v>
      </c>
      <c r="F4414" t="n">
        <v>0.9107999999999999</v>
      </c>
      <c r="G4414" t="n">
        <v>4.29</v>
      </c>
      <c r="H4414" t="n">
        <v>2</v>
      </c>
      <c r="I4414" t="n">
        <v>6</v>
      </c>
      <c r="J4414" t="n">
        <v>60</v>
      </c>
      <c r="K4414" t="n">
        <v>0</v>
      </c>
      <c r="L4414" t="n">
        <v>5696</v>
      </c>
      <c r="M4414" t="n">
        <v>8000</v>
      </c>
      <c r="N4414" t="n">
        <v>33</v>
      </c>
      <c r="O4414" t="n">
        <v>0.33</v>
      </c>
      <c r="P4414" t="n">
        <v>1</v>
      </c>
      <c r="Q4414" t="n">
        <v>0.39</v>
      </c>
      <c r="R4414" t="n">
        <v>5</v>
      </c>
      <c r="S4414" t="n">
        <v>7286.4</v>
      </c>
      <c r="T4414" t="n">
        <v>24</v>
      </c>
      <c r="U4414" t="n">
        <v>26</v>
      </c>
      <c r="V4414" t="n">
        <v>30</v>
      </c>
      <c r="W4414" t="n">
        <v>28</v>
      </c>
      <c r="X4414" t="n">
        <v>90.03074220465525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1415</v>
      </c>
      <c r="AG4414" t="n">
        <v>2136</v>
      </c>
      <c r="AH4414" t="inlineStr">
        <is>
          <t>CV. SAMUDRA JAYA ABADI - PPN (JMB)</t>
        </is>
      </c>
      <c r="AI4414" t="n">
        <v>157</v>
      </c>
      <c r="AJ4414" t="inlineStr">
        <is>
          <t>TOKYO NIGHT</t>
        </is>
      </c>
      <c r="AK4414" t="n">
        <v>9</v>
      </c>
      <c r="AL4414" t="inlineStr">
        <is>
          <t>Miss Glam Jambi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TRESEMME</t>
        </is>
      </c>
      <c r="B4415" s="2">
        <f>"8999999526382"</f>
        <v/>
      </c>
      <c r="C4415" t="inlineStr">
        <is>
          <t>TRESEMME Conditioner Kratin Smooth 170ml</t>
        </is>
      </c>
      <c r="D4415" t="inlineStr">
        <is>
          <t>Miss Glam Jambi</t>
        </is>
      </c>
      <c r="E4415" t="n">
        <v>1</v>
      </c>
      <c r="F4415" t="n">
        <v>0.1122</v>
      </c>
      <c r="G4415" t="n">
        <v>0.66</v>
      </c>
      <c r="H4415" t="n">
        <v>3</v>
      </c>
      <c r="I4415" t="n">
        <v>19</v>
      </c>
      <c r="J4415" t="n">
        <v>3</v>
      </c>
      <c r="K4415" t="n">
        <v>3</v>
      </c>
      <c r="L4415" t="n">
        <v>34748</v>
      </c>
      <c r="M4415" t="n">
        <v>39000</v>
      </c>
      <c r="N4415" t="n">
        <v>33</v>
      </c>
      <c r="O4415" t="n">
        <v>0.33</v>
      </c>
      <c r="P4415" t="n">
        <v>1</v>
      </c>
      <c r="Q4415" t="n">
        <v>0.03</v>
      </c>
      <c r="R4415" t="n">
        <v>1</v>
      </c>
      <c r="S4415" t="n">
        <v>4375.8</v>
      </c>
      <c r="T4415" t="n">
        <v>13</v>
      </c>
      <c r="U4415" t="n">
        <v>14</v>
      </c>
      <c r="V4415" t="n">
        <v>30</v>
      </c>
      <c r="W4415" t="n">
        <v>4</v>
      </c>
      <c r="X4415" t="n">
        <v>8.9126559714795</v>
      </c>
      <c r="Y4415" t="n">
        <v>1</v>
      </c>
      <c r="Z4415" t="n">
        <v>0</v>
      </c>
      <c r="AA4415" t="n">
        <v>1</v>
      </c>
      <c r="AB4415" t="n">
        <v>0</v>
      </c>
      <c r="AC4415" t="n">
        <v>0</v>
      </c>
      <c r="AD4415" t="n">
        <v>34748</v>
      </c>
      <c r="AE4415" t="n">
        <v>0</v>
      </c>
      <c r="AF4415" t="n">
        <v>9790</v>
      </c>
      <c r="AG4415" t="n">
        <v>2206</v>
      </c>
      <c r="AH4415" t="inlineStr">
        <is>
          <t>PT. ENHA PUTRA (ONLINE CASH)</t>
        </is>
      </c>
      <c r="AI4415" t="n">
        <v>1598</v>
      </c>
      <c r="AJ4415" t="inlineStr">
        <is>
          <t>TRESEMME</t>
        </is>
      </c>
      <c r="AK4415" t="n">
        <v>9</v>
      </c>
      <c r="AL4415" t="inlineStr">
        <is>
          <t>Miss Glam Jambi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TRESEMME</t>
        </is>
      </c>
      <c r="B4416" s="2">
        <f>"8999999526344"</f>
        <v/>
      </c>
      <c r="C4416" t="inlineStr">
        <is>
          <t>TRESEMME Shampoo Hair Fall Tresplex 170ml</t>
        </is>
      </c>
      <c r="D4416" t="inlineStr">
        <is>
          <t>Miss Glam Jambi</t>
        </is>
      </c>
      <c r="E4416" t="n">
        <v>3</v>
      </c>
      <c r="F4416" t="n">
        <v>0.0462</v>
      </c>
      <c r="G4416" t="n">
        <v>0.66</v>
      </c>
      <c r="H4416" t="n">
        <v>3</v>
      </c>
      <c r="I4416" t="n">
        <v>19</v>
      </c>
      <c r="J4416" t="n">
        <v>3</v>
      </c>
      <c r="K4416" t="n">
        <v>0</v>
      </c>
      <c r="L4416" t="n">
        <v>33524</v>
      </c>
      <c r="M4416" t="n">
        <v>37000</v>
      </c>
      <c r="N4416" t="n">
        <v>33</v>
      </c>
      <c r="O4416" t="n">
        <v>0.33</v>
      </c>
      <c r="P4416" t="n">
        <v>1</v>
      </c>
      <c r="Q4416" t="n">
        <v>0.03</v>
      </c>
      <c r="R4416" t="n">
        <v>1</v>
      </c>
      <c r="S4416" t="n">
        <v>1709.4</v>
      </c>
      <c r="T4416" t="n">
        <v>13</v>
      </c>
      <c r="U4416" t="n">
        <v>14</v>
      </c>
      <c r="V4416" t="n">
        <v>30</v>
      </c>
      <c r="W4416" t="n">
        <v>2</v>
      </c>
      <c r="X4416" t="n">
        <v>64.93506493506493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9790</v>
      </c>
      <c r="AG4416" t="n">
        <v>2206</v>
      </c>
      <c r="AH4416" t="inlineStr">
        <is>
          <t>PT. ENHA PUTRA (ONLINE CASH)</t>
        </is>
      </c>
      <c r="AI4416" t="n">
        <v>1598</v>
      </c>
      <c r="AJ4416" t="inlineStr">
        <is>
          <t>TRESEMME</t>
        </is>
      </c>
      <c r="AK4416" t="n">
        <v>9</v>
      </c>
      <c r="AL4416" t="inlineStr">
        <is>
          <t>Miss Glam Jambi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TRESEMME</t>
        </is>
      </c>
      <c r="B4417" s="2">
        <f>"8999999526405"</f>
        <v/>
      </c>
      <c r="C4417" t="inlineStr">
        <is>
          <t>TRESEMME Shampoo Keratin Smooth Salon Quality Hydrolyzed Keratin 170ml</t>
        </is>
      </c>
      <c r="D4417" t="inlineStr">
        <is>
          <t>Miss Glam Jambi</t>
        </is>
      </c>
      <c r="E4417" t="n">
        <v>4</v>
      </c>
      <c r="F4417" t="n">
        <v>0.2079</v>
      </c>
      <c r="G4417" t="n">
        <v>0.66</v>
      </c>
      <c r="H4417" t="n">
        <v>3</v>
      </c>
      <c r="I4417" t="n">
        <v>19</v>
      </c>
      <c r="J4417" t="n">
        <v>3</v>
      </c>
      <c r="K4417" t="n">
        <v>3</v>
      </c>
      <c r="L4417" t="n">
        <v>32858</v>
      </c>
      <c r="M4417" t="n">
        <v>37000</v>
      </c>
      <c r="N4417" t="n">
        <v>33</v>
      </c>
      <c r="O4417" t="n">
        <v>0.33</v>
      </c>
      <c r="P4417" t="n">
        <v>1</v>
      </c>
      <c r="Q4417" t="n">
        <v>0.05</v>
      </c>
      <c r="R4417" t="n">
        <v>1</v>
      </c>
      <c r="S4417" t="n">
        <v>7692.3</v>
      </c>
      <c r="T4417" t="n">
        <v>12</v>
      </c>
      <c r="U4417" t="n">
        <v>13</v>
      </c>
      <c r="V4417" t="n">
        <v>30</v>
      </c>
      <c r="W4417" t="n">
        <v>7</v>
      </c>
      <c r="X4417" t="n">
        <v>19.24001924001924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9790</v>
      </c>
      <c r="AG4417" t="n">
        <v>2206</v>
      </c>
      <c r="AH4417" t="inlineStr">
        <is>
          <t>PT. ENHA PUTRA (ONLINE CASH)</t>
        </is>
      </c>
      <c r="AI4417" t="n">
        <v>1598</v>
      </c>
      <c r="AJ4417" t="inlineStr">
        <is>
          <t>TRESEMME</t>
        </is>
      </c>
      <c r="AK4417" t="n">
        <v>9</v>
      </c>
      <c r="AL4417" t="inlineStr">
        <is>
          <t>Miss Glam Jambi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TRESEMME</t>
        </is>
      </c>
      <c r="B4418" s="2">
        <f>"8999999582630"</f>
        <v/>
      </c>
      <c r="C4418" t="inlineStr">
        <is>
          <t>TRESEMME Texture Dry Texture Finishing Spray 141gr</t>
        </is>
      </c>
      <c r="D4418" t="inlineStr">
        <is>
          <t>Miss Glam Jambi</t>
        </is>
      </c>
      <c r="E4418" t="n">
        <v>1</v>
      </c>
      <c r="F4418" t="n">
        <v>0.03</v>
      </c>
      <c r="G4418" t="n">
        <v>1</v>
      </c>
      <c r="H4418" t="n">
        <v>3</v>
      </c>
      <c r="I4418" t="n">
        <v>19</v>
      </c>
      <c r="J4418" t="n">
        <v>3</v>
      </c>
      <c r="K4418" t="n">
        <v>0</v>
      </c>
      <c r="L4418" t="n">
        <v>117068</v>
      </c>
      <c r="M4418" t="n">
        <v>127000</v>
      </c>
      <c r="N4418" t="n">
        <v>33</v>
      </c>
      <c r="O4418" t="n">
        <v>0.33</v>
      </c>
      <c r="P4418" t="n">
        <v>0</v>
      </c>
      <c r="Q4418" t="n">
        <v>0.03</v>
      </c>
      <c r="R4418" t="n">
        <v>1</v>
      </c>
      <c r="S4418" t="n">
        <v>3810</v>
      </c>
      <c r="T4418" t="n">
        <v>19</v>
      </c>
      <c r="U4418" t="n">
        <v>20</v>
      </c>
      <c r="V4418" t="n">
        <v>30</v>
      </c>
      <c r="W4418" t="n">
        <v>1</v>
      </c>
      <c r="X4418" t="n">
        <v>33.33333333333334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9790</v>
      </c>
      <c r="AG4418" t="n">
        <v>2206</v>
      </c>
      <c r="AH4418" t="inlineStr">
        <is>
          <t>PT. ENHA PUTRA (ONLINE CASH)</t>
        </is>
      </c>
      <c r="AI4418" t="n">
        <v>1598</v>
      </c>
      <c r="AJ4418" t="inlineStr">
        <is>
          <t>TRESEMME</t>
        </is>
      </c>
      <c r="AK4418" t="n">
        <v>9</v>
      </c>
      <c r="AL4418" t="inlineStr">
        <is>
          <t>Miss Glam Jambi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UNITARY</t>
        </is>
      </c>
      <c r="B4419" s="2">
        <f>"6936711849857"</f>
        <v/>
      </c>
      <c r="C4419" t="inlineStr">
        <is>
          <t>UNITARY Global Suncare UV Protector S 50+ / PA++++ 30ml</t>
        </is>
      </c>
      <c r="D4419" t="inlineStr">
        <is>
          <t>Miss Glam Jambi</t>
        </is>
      </c>
      <c r="E4419" t="n">
        <v>5</v>
      </c>
      <c r="F4419" t="n">
        <v>0.08910000000000001</v>
      </c>
      <c r="G4419" t="n">
        <v>0.66</v>
      </c>
      <c r="H4419" t="n">
        <v>4</v>
      </c>
      <c r="I4419" t="n">
        <v>20</v>
      </c>
      <c r="J4419" t="n">
        <v>3</v>
      </c>
      <c r="K4419" t="n">
        <v>0</v>
      </c>
      <c r="L4419" t="n">
        <v>44098</v>
      </c>
      <c r="M4419" t="n">
        <v>72000</v>
      </c>
      <c r="N4419" t="n">
        <v>33</v>
      </c>
      <c r="O4419" t="n">
        <v>0.33</v>
      </c>
      <c r="P4419" t="n">
        <v>1</v>
      </c>
      <c r="Q4419" t="n">
        <v>0.12</v>
      </c>
      <c r="R4419" t="n">
        <v>2</v>
      </c>
      <c r="S4419" t="n">
        <v>6415.200000000001</v>
      </c>
      <c r="T4419" t="n">
        <v>13</v>
      </c>
      <c r="U4419" t="n">
        <v>14</v>
      </c>
      <c r="V4419" t="n">
        <v>30</v>
      </c>
      <c r="W4419" t="n">
        <v>3</v>
      </c>
      <c r="X4419" t="n">
        <v>56.11672278338944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9006</v>
      </c>
      <c r="AG4419" t="n">
        <v>1</v>
      </c>
      <c r="AH4419" t="inlineStr">
        <is>
          <t>PT. BERSAMA DISTRIVERSA INDONESIA (DC CIPUTAT)</t>
        </is>
      </c>
      <c r="AI4419" t="n">
        <v>1888</v>
      </c>
      <c r="AJ4419" t="inlineStr">
        <is>
          <t>UNITARY</t>
        </is>
      </c>
      <c r="AK4419" t="n">
        <v>9</v>
      </c>
      <c r="AL4419" t="inlineStr">
        <is>
          <t>Miss Glam Jambi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UNITARY</t>
        </is>
      </c>
      <c r="B4420" s="2">
        <f>"6936711849888"</f>
        <v/>
      </c>
      <c r="C4420" t="inlineStr">
        <is>
          <t>UNITARY Sun Block Moisturizer Facial 50+ PA++++ 50ml</t>
        </is>
      </c>
      <c r="D4420" t="inlineStr">
        <is>
          <t>Miss Glam Jambi</t>
        </is>
      </c>
      <c r="E4420" t="n">
        <v>6</v>
      </c>
      <c r="F4420" t="n">
        <v>0.0462</v>
      </c>
      <c r="G4420" t="n">
        <v>0.33</v>
      </c>
      <c r="H4420" t="n">
        <v>4</v>
      </c>
      <c r="I4420" t="n">
        <v>20</v>
      </c>
      <c r="J4420" t="n">
        <v>3</v>
      </c>
      <c r="K4420" t="n">
        <v>0</v>
      </c>
      <c r="L4420" t="n">
        <v>44100</v>
      </c>
      <c r="M4420" t="n">
        <v>67000</v>
      </c>
      <c r="N4420" t="n">
        <v>33</v>
      </c>
      <c r="O4420" t="n">
        <v>0.33</v>
      </c>
      <c r="P4420" t="n">
        <v>1</v>
      </c>
      <c r="Q4420" t="n">
        <v>0.05</v>
      </c>
      <c r="R4420" t="n">
        <v>2</v>
      </c>
      <c r="S4420" t="n">
        <v>3095.400000000001</v>
      </c>
      <c r="T4420" t="n">
        <v>7</v>
      </c>
      <c r="U4420" t="n">
        <v>8</v>
      </c>
      <c r="V4420" t="n">
        <v>30</v>
      </c>
      <c r="W4420" t="n">
        <v>2</v>
      </c>
      <c r="X4420" t="n">
        <v>129.8701298701299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9006</v>
      </c>
      <c r="AG4420" t="n">
        <v>1</v>
      </c>
      <c r="AH4420" t="inlineStr">
        <is>
          <t>PT. BERSAMA DISTRIVERSA INDONESIA (DC CIPUTAT)</t>
        </is>
      </c>
      <c r="AI4420" t="n">
        <v>1888</v>
      </c>
      <c r="AJ4420" t="inlineStr">
        <is>
          <t>UNITARY</t>
        </is>
      </c>
      <c r="AK4420" t="n">
        <v>9</v>
      </c>
      <c r="AL4420" t="inlineStr">
        <is>
          <t>Miss Glam Jambi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UNITARY</t>
        </is>
      </c>
      <c r="B4421" s="2">
        <f>"6936711849901"</f>
        <v/>
      </c>
      <c r="C4421" t="inlineStr">
        <is>
          <t>UNITARY Sun Face Protection Serum 30ml</t>
        </is>
      </c>
      <c r="D4421" t="inlineStr">
        <is>
          <t>Miss Glam Jambi</t>
        </is>
      </c>
      <c r="E4421" t="n">
        <v>6</v>
      </c>
      <c r="F4421" t="n">
        <v>0.0363</v>
      </c>
      <c r="G4421" t="n">
        <v>0.33</v>
      </c>
      <c r="H4421" t="n">
        <v>4</v>
      </c>
      <c r="I4421" t="n">
        <v>20</v>
      </c>
      <c r="J4421" t="n">
        <v>3</v>
      </c>
      <c r="K4421" t="n">
        <v>0</v>
      </c>
      <c r="L4421" t="n">
        <v>44100</v>
      </c>
      <c r="M4421" t="n">
        <v>67000</v>
      </c>
      <c r="N4421" t="n">
        <v>33</v>
      </c>
      <c r="O4421" t="n">
        <v>0.33</v>
      </c>
      <c r="P4421" t="n">
        <v>1</v>
      </c>
      <c r="Q4421" t="n">
        <v>0.03</v>
      </c>
      <c r="R4421" t="n">
        <v>1</v>
      </c>
      <c r="S4421" t="n">
        <v>2432.1</v>
      </c>
      <c r="T4421" t="n">
        <v>7</v>
      </c>
      <c r="U4421" t="n">
        <v>8</v>
      </c>
      <c r="V4421" t="n">
        <v>30</v>
      </c>
      <c r="W4421" t="n">
        <v>2</v>
      </c>
      <c r="X4421" t="n">
        <v>165.2892561983471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9006</v>
      </c>
      <c r="AG4421" t="n">
        <v>1</v>
      </c>
      <c r="AH4421" t="inlineStr">
        <is>
          <t>PT. BERSAMA DISTRIVERSA INDONESIA (DC CIPUTAT)</t>
        </is>
      </c>
      <c r="AI4421" t="n">
        <v>1888</v>
      </c>
      <c r="AJ4421" t="inlineStr">
        <is>
          <t>UNITARY</t>
        </is>
      </c>
      <c r="AK4421" t="n">
        <v>9</v>
      </c>
      <c r="AL4421" t="inlineStr">
        <is>
          <t>Miss Glam Jambi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UNITARY</t>
        </is>
      </c>
      <c r="B4422" s="2">
        <f>"6936711849871"</f>
        <v/>
      </c>
      <c r="C4422" t="inlineStr">
        <is>
          <t>UNITARY UV Watery Essense SPF 50+ PA+++ 50ml</t>
        </is>
      </c>
      <c r="D4422" t="inlineStr">
        <is>
          <t>Miss Glam Jambi</t>
        </is>
      </c>
      <c r="E4422" t="n">
        <v>8</v>
      </c>
      <c r="F4422" t="n">
        <v>0.08910000000000001</v>
      </c>
      <c r="G4422" t="n">
        <v>0.66</v>
      </c>
      <c r="H4422" t="n">
        <v>4</v>
      </c>
      <c r="I4422" t="n">
        <v>20</v>
      </c>
      <c r="J4422" t="n">
        <v>3</v>
      </c>
      <c r="K4422" t="n">
        <v>0</v>
      </c>
      <c r="L4422" t="n">
        <v>44100</v>
      </c>
      <c r="M4422" t="n">
        <v>79000</v>
      </c>
      <c r="N4422" t="n">
        <v>33</v>
      </c>
      <c r="O4422" t="n">
        <v>0.33</v>
      </c>
      <c r="P4422" t="n">
        <v>1</v>
      </c>
      <c r="Q4422" t="n">
        <v>0.07000000000000001</v>
      </c>
      <c r="R4422" t="n">
        <v>1</v>
      </c>
      <c r="S4422" t="n">
        <v>7038.900000000001</v>
      </c>
      <c r="T4422" t="n">
        <v>13</v>
      </c>
      <c r="U4422" t="n">
        <v>14</v>
      </c>
      <c r="V4422" t="n">
        <v>30</v>
      </c>
      <c r="W4422" t="n">
        <v>3</v>
      </c>
      <c r="X4422" t="n">
        <v>89.78675645342311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9006</v>
      </c>
      <c r="AG4422" t="n">
        <v>1</v>
      </c>
      <c r="AH4422" t="inlineStr">
        <is>
          <t>PT. BERSAMA DISTRIVERSA INDONESIA (DC CIPUTAT)</t>
        </is>
      </c>
      <c r="AI4422" t="n">
        <v>1888</v>
      </c>
      <c r="AJ4422" t="inlineStr">
        <is>
          <t>UNITARY</t>
        </is>
      </c>
      <c r="AK4422" t="n">
        <v>9</v>
      </c>
      <c r="AL4422" t="inlineStr">
        <is>
          <t>Miss Glam Jambi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USHAS</t>
        </is>
      </c>
      <c r="B4423" s="2">
        <f>"6924372600023"</f>
        <v/>
      </c>
      <c r="C4423" t="inlineStr">
        <is>
          <t>USHAS EB111E Eyebrow Pencil Black 1.3gr</t>
        </is>
      </c>
      <c r="D4423" t="inlineStr">
        <is>
          <t>Miss Glam Jambi</t>
        </is>
      </c>
      <c r="E4423" t="n">
        <v>0</v>
      </c>
      <c r="F4423" t="n">
        <v>0.0561</v>
      </c>
      <c r="G4423" t="n">
        <v>0.99</v>
      </c>
      <c r="H4423" t="n">
        <v>2</v>
      </c>
      <c r="I4423" t="n">
        <v>5</v>
      </c>
      <c r="J4423" t="n">
        <v>3</v>
      </c>
      <c r="K4423" t="n">
        <v>0</v>
      </c>
      <c r="L4423" t="n">
        <v>3565</v>
      </c>
      <c r="M4423" t="n">
        <v>5000</v>
      </c>
      <c r="N4423" t="n">
        <v>33</v>
      </c>
      <c r="O4423" t="n">
        <v>0.33</v>
      </c>
      <c r="P4423" t="n">
        <v>1</v>
      </c>
      <c r="Q4423" t="n">
        <v>0.08</v>
      </c>
      <c r="R4423" t="n">
        <v>2</v>
      </c>
      <c r="S4423" t="n">
        <v>280.5</v>
      </c>
      <c r="T4423" t="n">
        <v>5</v>
      </c>
      <c r="U4423" t="n">
        <v>6</v>
      </c>
      <c r="V4423" t="n">
        <v>30</v>
      </c>
      <c r="W4423" t="n">
        <v>2</v>
      </c>
      <c r="X4423" t="n">
        <v>0</v>
      </c>
      <c r="Y4423" t="n">
        <v>1</v>
      </c>
      <c r="Z4423" t="n">
        <v>2</v>
      </c>
      <c r="AA4423" t="n">
        <v>1</v>
      </c>
      <c r="AB4423" t="n">
        <v>1</v>
      </c>
      <c r="AC4423" t="n">
        <v>3</v>
      </c>
      <c r="AD4423" t="n">
        <v>3565</v>
      </c>
      <c r="AE4423" t="n">
        <v>10695</v>
      </c>
      <c r="AF4423" t="n">
        <v>1170</v>
      </c>
      <c r="AG4423" t="n">
        <v>2298</v>
      </c>
      <c r="AH4423" t="inlineStr">
        <is>
          <t>CV. MAKMUR SEJAHTERA LESTARI - PPN (JMB)</t>
        </is>
      </c>
      <c r="AI4423" t="n">
        <v>474</v>
      </c>
      <c r="AJ4423" t="inlineStr">
        <is>
          <t>USHAS</t>
        </is>
      </c>
      <c r="AK4423" t="n">
        <v>9</v>
      </c>
      <c r="AL4423" t="inlineStr">
        <is>
          <t>Miss Glam Jambi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USHAS</t>
        </is>
      </c>
      <c r="B4424" s="2">
        <f>"6924372622841"</f>
        <v/>
      </c>
      <c r="C4424" t="inlineStr">
        <is>
          <t>USHAS EG190 Eyebrow Gel 2in1 3.3gr &amp; Powder Brown 1.6gr</t>
        </is>
      </c>
      <c r="D4424" t="inlineStr">
        <is>
          <t>Miss Glam Jambi</t>
        </is>
      </c>
      <c r="E4424" t="n">
        <v>0</v>
      </c>
      <c r="F4424" t="n">
        <v>0.0165</v>
      </c>
      <c r="G4424" t="n">
        <v>0.66</v>
      </c>
      <c r="H4424" t="n">
        <v>2</v>
      </c>
      <c r="I4424" t="n">
        <v>5</v>
      </c>
      <c r="J4424" t="n">
        <v>3</v>
      </c>
      <c r="K4424" t="n">
        <v>0</v>
      </c>
      <c r="L4424" t="n">
        <v>32418</v>
      </c>
      <c r="M4424" t="n">
        <v>38500</v>
      </c>
      <c r="N4424" t="n">
        <v>33</v>
      </c>
      <c r="O4424" t="n">
        <v>0.33</v>
      </c>
      <c r="P4424" t="n">
        <v>1</v>
      </c>
      <c r="Q4424" t="n">
        <v>0.12</v>
      </c>
      <c r="R4424" t="n">
        <v>2</v>
      </c>
      <c r="S4424" t="n">
        <v>635.25</v>
      </c>
      <c r="T4424" t="n">
        <v>4</v>
      </c>
      <c r="U4424" t="n">
        <v>5</v>
      </c>
      <c r="V4424" t="n">
        <v>30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n">
        <v>0</v>
      </c>
      <c r="AC4424" t="n">
        <v>0</v>
      </c>
      <c r="AD4424" t="n">
        <v>32418</v>
      </c>
      <c r="AE4424" t="n">
        <v>0</v>
      </c>
      <c r="AF4424" t="n">
        <v>1170</v>
      </c>
      <c r="AG4424" t="n">
        <v>2298</v>
      </c>
      <c r="AH4424" t="inlineStr">
        <is>
          <t>CV. MAKMUR SEJAHTERA LESTARI - PPN (JMB)</t>
        </is>
      </c>
      <c r="AI4424" t="n">
        <v>474</v>
      </c>
      <c r="AJ4424" t="inlineStr">
        <is>
          <t>USHAS</t>
        </is>
      </c>
      <c r="AK4424" t="n">
        <v>9</v>
      </c>
      <c r="AL4424" t="inlineStr">
        <is>
          <t>Miss Glam Jambi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USHAS</t>
        </is>
      </c>
      <c r="B4425" s="2">
        <f>"6924372695241"</f>
        <v/>
      </c>
      <c r="C4425" t="inlineStr">
        <is>
          <t>USHAS ES2786 Eyebrow Pallete No.03 4.4gr</t>
        </is>
      </c>
      <c r="D4425" t="inlineStr">
        <is>
          <t>Miss Glam Jambi</t>
        </is>
      </c>
      <c r="E4425" t="n">
        <v>2</v>
      </c>
      <c r="F4425" t="n">
        <v>0.0231</v>
      </c>
      <c r="G4425" t="n">
        <v>0.33</v>
      </c>
      <c r="H4425" t="n">
        <v>2</v>
      </c>
      <c r="I4425" t="n">
        <v>5</v>
      </c>
      <c r="J4425" t="n">
        <v>3</v>
      </c>
      <c r="K4425" t="n">
        <v>0</v>
      </c>
      <c r="L4425" t="n">
        <v>21629</v>
      </c>
      <c r="M4425" t="n">
        <v>25500</v>
      </c>
      <c r="N4425" t="n">
        <v>33</v>
      </c>
      <c r="O4425" t="n">
        <v>0.33</v>
      </c>
      <c r="P4425" t="n">
        <v>1</v>
      </c>
      <c r="Q4425" t="n">
        <v>0.02</v>
      </c>
      <c r="R4425" t="n">
        <v>1</v>
      </c>
      <c r="S4425" t="n">
        <v>589.0500000000001</v>
      </c>
      <c r="T4425" t="n">
        <v>2</v>
      </c>
      <c r="U4425" t="n">
        <v>3</v>
      </c>
      <c r="V4425" t="n">
        <v>30</v>
      </c>
      <c r="W4425" t="n">
        <v>1</v>
      </c>
      <c r="X4425" t="n">
        <v>86.58008658008657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1170</v>
      </c>
      <c r="AG4425" t="n">
        <v>2298</v>
      </c>
      <c r="AH4425" t="inlineStr">
        <is>
          <t>CV. MAKMUR SEJAHTERA LESTARI - PPN (JMB)</t>
        </is>
      </c>
      <c r="AI4425" t="n">
        <v>474</v>
      </c>
      <c r="AJ4425" t="inlineStr">
        <is>
          <t>USHAS</t>
        </is>
      </c>
      <c r="AK4425" t="n">
        <v>9</v>
      </c>
      <c r="AL4425" t="inlineStr">
        <is>
          <t>Miss Glam Jambi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USHAS</t>
        </is>
      </c>
      <c r="B4426" s="2">
        <f>"6924372695227"</f>
        <v/>
      </c>
      <c r="C4426" t="inlineStr">
        <is>
          <t>USHAS ES2786 Eyeshadow Pallete No.01 4.4gr</t>
        </is>
      </c>
      <c r="D4426" t="inlineStr">
        <is>
          <t>Miss Glam Jambi</t>
        </is>
      </c>
      <c r="E4426" t="n">
        <v>4</v>
      </c>
      <c r="F4426" t="n">
        <v>0.0165</v>
      </c>
      <c r="G4426" t="n">
        <v>0.33</v>
      </c>
      <c r="H4426" t="n">
        <v>2</v>
      </c>
      <c r="I4426" t="n">
        <v>5</v>
      </c>
      <c r="J4426" t="n">
        <v>3</v>
      </c>
      <c r="K4426" t="n">
        <v>0</v>
      </c>
      <c r="L4426" t="n">
        <v>21629</v>
      </c>
      <c r="M4426" t="n">
        <v>25500</v>
      </c>
      <c r="N4426" t="n">
        <v>33</v>
      </c>
      <c r="O4426" t="n">
        <v>0.33</v>
      </c>
      <c r="P4426" t="n">
        <v>1</v>
      </c>
      <c r="Q4426" t="n">
        <v>0.03</v>
      </c>
      <c r="R4426" t="n">
        <v>1</v>
      </c>
      <c r="S4426" t="n">
        <v>420.75</v>
      </c>
      <c r="T4426" t="n">
        <v>2</v>
      </c>
      <c r="U4426" t="n">
        <v>3</v>
      </c>
      <c r="V4426" t="n">
        <v>30</v>
      </c>
      <c r="W4426" t="n">
        <v>1</v>
      </c>
      <c r="X4426" t="n">
        <v>242.4242424242424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1170</v>
      </c>
      <c r="AG4426" t="n">
        <v>2298</v>
      </c>
      <c r="AH4426" t="inlineStr">
        <is>
          <t>CV. MAKMUR SEJAHTERA LESTARI - PPN (JMB)</t>
        </is>
      </c>
      <c r="AI4426" t="n">
        <v>474</v>
      </c>
      <c r="AJ4426" t="inlineStr">
        <is>
          <t>USHAS</t>
        </is>
      </c>
      <c r="AK4426" t="n">
        <v>9</v>
      </c>
      <c r="AL4426" t="inlineStr">
        <is>
          <t>Miss Glam Jambi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USHAS</t>
        </is>
      </c>
      <c r="B4427" s="2">
        <f>"6924372695234"</f>
        <v/>
      </c>
      <c r="C4427" t="inlineStr">
        <is>
          <t>USHAS ES2786 Eyeshadow Pallete No.02 4.4gr</t>
        </is>
      </c>
      <c r="D4427" t="inlineStr">
        <is>
          <t>Miss Glam Jambi</t>
        </is>
      </c>
      <c r="E4427" t="n">
        <v>3</v>
      </c>
      <c r="F4427" t="n">
        <v>0.0264</v>
      </c>
      <c r="G4427" t="n">
        <v>0.33</v>
      </c>
      <c r="H4427" t="n">
        <v>2</v>
      </c>
      <c r="I4427" t="n">
        <v>5</v>
      </c>
      <c r="J4427" t="n">
        <v>3</v>
      </c>
      <c r="K4427" t="n">
        <v>0</v>
      </c>
      <c r="L4427" t="n">
        <v>21629</v>
      </c>
      <c r="M4427" t="n">
        <v>25500</v>
      </c>
      <c r="N4427" t="n">
        <v>33</v>
      </c>
      <c r="O4427" t="n">
        <v>0.33</v>
      </c>
      <c r="P4427" t="n">
        <v>1</v>
      </c>
      <c r="Q4427" t="n">
        <v>0.02</v>
      </c>
      <c r="R4427" t="n">
        <v>1</v>
      </c>
      <c r="S4427" t="n">
        <v>673.2</v>
      </c>
      <c r="T4427" t="n">
        <v>2</v>
      </c>
      <c r="U4427" t="n">
        <v>3</v>
      </c>
      <c r="V4427" t="n">
        <v>30</v>
      </c>
      <c r="W4427" t="n">
        <v>1</v>
      </c>
      <c r="X4427" t="n">
        <v>113.6363636363636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1170</v>
      </c>
      <c r="AG4427" t="n">
        <v>2298</v>
      </c>
      <c r="AH4427" t="inlineStr">
        <is>
          <t>CV. MAKMUR SEJAHTERA LESTARI - PPN (JMB)</t>
        </is>
      </c>
      <c r="AI4427" t="n">
        <v>474</v>
      </c>
      <c r="AJ4427" t="inlineStr">
        <is>
          <t>USHAS</t>
        </is>
      </c>
      <c r="AK4427" t="n">
        <v>9</v>
      </c>
      <c r="AL4427" t="inlineStr">
        <is>
          <t>Miss Glam Jambi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USHAS</t>
        </is>
      </c>
      <c r="B4428" s="2">
        <f>"6924372694312"</f>
        <v/>
      </c>
      <c r="C4428" t="inlineStr">
        <is>
          <t>USHAS ES2866 8 Color Eyeshadow &amp; 2 Color Blush On No.4 11.4gr</t>
        </is>
      </c>
      <c r="D4428" t="inlineStr">
        <is>
          <t>Miss Glam Jambi</t>
        </is>
      </c>
      <c r="E4428" t="n">
        <v>3</v>
      </c>
      <c r="F4428" t="n">
        <v>0.0231</v>
      </c>
      <c r="G4428" t="n">
        <v>0.33</v>
      </c>
      <c r="H4428" t="n">
        <v>2</v>
      </c>
      <c r="I4428" t="n">
        <v>5</v>
      </c>
      <c r="J4428" t="n">
        <v>3</v>
      </c>
      <c r="K4428" t="n">
        <v>0</v>
      </c>
      <c r="L4428" t="n">
        <v>25725</v>
      </c>
      <c r="M4428" t="n">
        <v>34000</v>
      </c>
      <c r="N4428" t="n">
        <v>33</v>
      </c>
      <c r="O4428" t="n">
        <v>0.33</v>
      </c>
      <c r="P4428" t="n">
        <v>1</v>
      </c>
      <c r="Q4428" t="n">
        <v>0.03</v>
      </c>
      <c r="R4428" t="n">
        <v>1</v>
      </c>
      <c r="S4428" t="n">
        <v>785.4000000000001</v>
      </c>
      <c r="T4428" t="n">
        <v>2</v>
      </c>
      <c r="U4428" t="n">
        <v>3</v>
      </c>
      <c r="V4428" t="n">
        <v>30</v>
      </c>
      <c r="W4428" t="n">
        <v>1</v>
      </c>
      <c r="X4428" t="n">
        <v>129.8701298701299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1170</v>
      </c>
      <c r="AG4428" t="n">
        <v>2298</v>
      </c>
      <c r="AH4428" t="inlineStr">
        <is>
          <t>CV. MAKMUR SEJAHTERA LESTARI - PPN (JMB)</t>
        </is>
      </c>
      <c r="AI4428" t="n">
        <v>474</v>
      </c>
      <c r="AJ4428" t="inlineStr">
        <is>
          <t>USHAS</t>
        </is>
      </c>
      <c r="AK4428" t="n">
        <v>9</v>
      </c>
      <c r="AL4428" t="inlineStr">
        <is>
          <t>Miss Glam Jambi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USHAS</t>
        </is>
      </c>
      <c r="B4429" s="2">
        <f>"6924376291814"</f>
        <v/>
      </c>
      <c r="C4429" t="inlineStr">
        <is>
          <t>USHAS ES2955 Matte 3 Color Blush And Highlight No. 1 Netto 4.2 gr</t>
        </is>
      </c>
      <c r="D4429" t="inlineStr">
        <is>
          <t>Miss Glam Jambi</t>
        </is>
      </c>
      <c r="E4429" t="n">
        <v>4</v>
      </c>
      <c r="F4429" t="n">
        <v>0.03</v>
      </c>
      <c r="G4429" t="n">
        <v>1</v>
      </c>
      <c r="H4429" t="n">
        <v>2</v>
      </c>
      <c r="I4429" t="n">
        <v>5</v>
      </c>
      <c r="J4429" t="n">
        <v>3</v>
      </c>
      <c r="K4429" t="n">
        <v>0</v>
      </c>
      <c r="L4429" t="n">
        <v>33766</v>
      </c>
      <c r="M4429" t="n">
        <v>40000</v>
      </c>
      <c r="N4429" t="n">
        <v>33</v>
      </c>
      <c r="O4429" t="n">
        <v>0.33</v>
      </c>
      <c r="P4429" t="n">
        <v>0</v>
      </c>
      <c r="Q4429" t="n">
        <v>0.03</v>
      </c>
      <c r="R4429" t="n">
        <v>1</v>
      </c>
      <c r="S4429" t="n">
        <v>1200</v>
      </c>
      <c r="T4429" t="n">
        <v>5</v>
      </c>
      <c r="U4429" t="n">
        <v>6</v>
      </c>
      <c r="V4429" t="n">
        <v>30</v>
      </c>
      <c r="W4429" t="n">
        <v>1</v>
      </c>
      <c r="X4429" t="n">
        <v>133.3333333333333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1170</v>
      </c>
      <c r="AG4429" t="n">
        <v>2298</v>
      </c>
      <c r="AH4429" t="inlineStr">
        <is>
          <t>CV. MAKMUR SEJAHTERA LESTARI - PPN (JMB)</t>
        </is>
      </c>
      <c r="AI4429" t="n">
        <v>474</v>
      </c>
      <c r="AJ4429" t="inlineStr">
        <is>
          <t>USHAS</t>
        </is>
      </c>
      <c r="AK4429" t="n">
        <v>9</v>
      </c>
      <c r="AL4429" t="inlineStr">
        <is>
          <t>Miss Glam Jambi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USHAS</t>
        </is>
      </c>
      <c r="B4430" s="2">
        <f>"6924372697290"</f>
        <v/>
      </c>
      <c r="C4430" t="inlineStr">
        <is>
          <t>USHAS ES2955 Matte 3 Color Blush And Highlight No. 2 Netto 4.2 gr</t>
        </is>
      </c>
      <c r="D4430" t="inlineStr">
        <is>
          <t>Miss Glam Jambi</t>
        </is>
      </c>
      <c r="E4430" t="n">
        <v>8</v>
      </c>
      <c r="F4430" t="n">
        <v>0.0231</v>
      </c>
      <c r="G4430" t="n">
        <v>0.33</v>
      </c>
      <c r="H4430" t="n">
        <v>2</v>
      </c>
      <c r="I4430" t="n">
        <v>5</v>
      </c>
      <c r="J4430" t="n">
        <v>3</v>
      </c>
      <c r="K4430" t="n">
        <v>0</v>
      </c>
      <c r="L4430" t="n">
        <v>33732</v>
      </c>
      <c r="M4430" t="n">
        <v>40000</v>
      </c>
      <c r="N4430" t="n">
        <v>33</v>
      </c>
      <c r="O4430" t="n">
        <v>0.33</v>
      </c>
      <c r="P4430" t="n">
        <v>1</v>
      </c>
      <c r="Q4430" t="n">
        <v>0.02</v>
      </c>
      <c r="R4430" t="n">
        <v>1</v>
      </c>
      <c r="S4430" t="n">
        <v>924.0000000000001</v>
      </c>
      <c r="T4430" t="n">
        <v>2</v>
      </c>
      <c r="U4430" t="n">
        <v>3</v>
      </c>
      <c r="V4430" t="n">
        <v>30</v>
      </c>
      <c r="W4430" t="n">
        <v>1</v>
      </c>
      <c r="X4430" t="n">
        <v>346.3203463203463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1170</v>
      </c>
      <c r="AG4430" t="n">
        <v>2298</v>
      </c>
      <c r="AH4430" t="inlineStr">
        <is>
          <t>CV. MAKMUR SEJAHTERA LESTARI - PPN (JMB)</t>
        </is>
      </c>
      <c r="AI4430" t="n">
        <v>474</v>
      </c>
      <c r="AJ4430" t="inlineStr">
        <is>
          <t>USHAS</t>
        </is>
      </c>
      <c r="AK4430" t="n">
        <v>9</v>
      </c>
      <c r="AL4430" t="inlineStr">
        <is>
          <t>Miss Glam Jambi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USHAS</t>
        </is>
      </c>
      <c r="B4431" s="2">
        <f>"6924372697306"</f>
        <v/>
      </c>
      <c r="C4431" t="inlineStr">
        <is>
          <t>USHAS ES2955 Matte 3 Color Blush And Highlight No. 3 Netto 4.2gr</t>
        </is>
      </c>
      <c r="D4431" t="inlineStr">
        <is>
          <t>Miss Glam Jambi</t>
        </is>
      </c>
      <c r="E4431" t="n">
        <v>3</v>
      </c>
      <c r="F4431" t="n">
        <v>0.02</v>
      </c>
      <c r="G4431" t="n">
        <v>1</v>
      </c>
      <c r="H4431" t="n">
        <v>2</v>
      </c>
      <c r="I4431" t="n">
        <v>5</v>
      </c>
      <c r="J4431" t="n">
        <v>3</v>
      </c>
      <c r="K4431" t="n">
        <v>0</v>
      </c>
      <c r="L4431" t="n">
        <v>33766</v>
      </c>
      <c r="M4431" t="n">
        <v>40000</v>
      </c>
      <c r="N4431" t="n">
        <v>33</v>
      </c>
      <c r="O4431" t="n">
        <v>0.33</v>
      </c>
      <c r="P4431" t="n">
        <v>0</v>
      </c>
      <c r="Q4431" t="n">
        <v>0.02</v>
      </c>
      <c r="R4431" t="n">
        <v>1</v>
      </c>
      <c r="S4431" t="n">
        <v>800</v>
      </c>
      <c r="T4431" t="n">
        <v>5</v>
      </c>
      <c r="U4431" t="n">
        <v>6</v>
      </c>
      <c r="V4431" t="n">
        <v>30</v>
      </c>
      <c r="W4431" t="n">
        <v>1</v>
      </c>
      <c r="X4431" t="n">
        <v>150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1170</v>
      </c>
      <c r="AG4431" t="n">
        <v>2298</v>
      </c>
      <c r="AH4431" t="inlineStr">
        <is>
          <t>CV. MAKMUR SEJAHTERA LESTARI - PPN (JMB)</t>
        </is>
      </c>
      <c r="AI4431" t="n">
        <v>474</v>
      </c>
      <c r="AJ4431" t="inlineStr">
        <is>
          <t>USHAS</t>
        </is>
      </c>
      <c r="AK4431" t="n">
        <v>9</v>
      </c>
      <c r="AL4431" t="inlineStr">
        <is>
          <t>Miss Glam Jambi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USHAS</t>
        </is>
      </c>
      <c r="B4432" s="2">
        <f>"6924372695180"</f>
        <v/>
      </c>
      <c r="C4432" t="inlineStr">
        <is>
          <t>USHAS Eyebrow Pencil Black 2,4gr</t>
        </is>
      </c>
      <c r="D4432" t="inlineStr">
        <is>
          <t>Miss Glam Jambi</t>
        </is>
      </c>
      <c r="E4432" t="n">
        <v>5</v>
      </c>
      <c r="F4432" t="n">
        <v>0.0264</v>
      </c>
      <c r="G4432" t="n">
        <v>0.66</v>
      </c>
      <c r="H4432" t="n">
        <v>2</v>
      </c>
      <c r="I4432" t="n">
        <v>5</v>
      </c>
      <c r="J4432" t="n">
        <v>3</v>
      </c>
      <c r="K4432" t="n">
        <v>0</v>
      </c>
      <c r="L4432" t="n">
        <v>4777</v>
      </c>
      <c r="M4432" t="n">
        <v>6000</v>
      </c>
      <c r="N4432" t="n">
        <v>33</v>
      </c>
      <c r="O4432" t="n">
        <v>0.33</v>
      </c>
      <c r="P4432" t="n">
        <v>1</v>
      </c>
      <c r="Q4432" t="n">
        <v>0.05</v>
      </c>
      <c r="R4432" t="n">
        <v>1</v>
      </c>
      <c r="S4432" t="n">
        <v>158.4</v>
      </c>
      <c r="T4432" t="n">
        <v>4</v>
      </c>
      <c r="U4432" t="n">
        <v>5</v>
      </c>
      <c r="V4432" t="n">
        <v>30</v>
      </c>
      <c r="W4432" t="n">
        <v>1</v>
      </c>
      <c r="X4432" t="n">
        <v>189.3939393939394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1170</v>
      </c>
      <c r="AG4432" t="n">
        <v>2298</v>
      </c>
      <c r="AH4432" t="inlineStr">
        <is>
          <t>CV. MAKMUR SEJAHTERA LESTARI - PPN (JMB)</t>
        </is>
      </c>
      <c r="AI4432" t="n">
        <v>474</v>
      </c>
      <c r="AJ4432" t="inlineStr">
        <is>
          <t>USHAS</t>
        </is>
      </c>
      <c r="AK4432" t="n">
        <v>9</v>
      </c>
      <c r="AL4432" t="inlineStr">
        <is>
          <t>Miss Glam Jambi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USHAS</t>
        </is>
      </c>
      <c r="B4433" s="2">
        <f>"6924372695197"</f>
        <v/>
      </c>
      <c r="C4433" t="inlineStr">
        <is>
          <t>USHAS Eyebrow Pencil Brown 2,4gr</t>
        </is>
      </c>
      <c r="D4433" t="inlineStr">
        <is>
          <t>Miss Glam Jambi</t>
        </is>
      </c>
      <c r="E4433" t="n">
        <v>1</v>
      </c>
      <c r="F4433" t="n">
        <v>0.4818</v>
      </c>
      <c r="G4433" t="n">
        <v>2.31</v>
      </c>
      <c r="H4433" t="n">
        <v>2</v>
      </c>
      <c r="I4433" t="n">
        <v>5</v>
      </c>
      <c r="J4433" t="n">
        <v>3</v>
      </c>
      <c r="K4433" t="n">
        <v>0</v>
      </c>
      <c r="L4433" t="n">
        <v>4774</v>
      </c>
      <c r="M4433" t="n">
        <v>6000</v>
      </c>
      <c r="N4433" t="n">
        <v>33</v>
      </c>
      <c r="O4433" t="n">
        <v>0.33</v>
      </c>
      <c r="P4433" t="n">
        <v>1</v>
      </c>
      <c r="Q4433" t="n">
        <v>0.1</v>
      </c>
      <c r="R4433" t="n">
        <v>2</v>
      </c>
      <c r="S4433" t="n">
        <v>2890.8</v>
      </c>
      <c r="T4433" t="n">
        <v>11</v>
      </c>
      <c r="U4433" t="n">
        <v>12</v>
      </c>
      <c r="V4433" t="n">
        <v>30</v>
      </c>
      <c r="W4433" t="n">
        <v>15</v>
      </c>
      <c r="X4433" t="n">
        <v>2.0755500207555</v>
      </c>
      <c r="Y4433" t="n">
        <v>1</v>
      </c>
      <c r="Z4433" t="n">
        <v>14</v>
      </c>
      <c r="AA4433" t="n">
        <v>2</v>
      </c>
      <c r="AB4433" t="n">
        <v>12</v>
      </c>
      <c r="AC4433" t="n">
        <v>12</v>
      </c>
      <c r="AD4433" t="n">
        <v>9548</v>
      </c>
      <c r="AE4433" t="n">
        <v>57288</v>
      </c>
      <c r="AF4433" t="n">
        <v>1170</v>
      </c>
      <c r="AG4433" t="n">
        <v>2298</v>
      </c>
      <c r="AH4433" t="inlineStr">
        <is>
          <t>CV. MAKMUR SEJAHTERA LESTARI - PPN (JMB)</t>
        </is>
      </c>
      <c r="AI4433" t="n">
        <v>474</v>
      </c>
      <c r="AJ4433" t="inlineStr">
        <is>
          <t>USHAS</t>
        </is>
      </c>
      <c r="AK4433" t="n">
        <v>9</v>
      </c>
      <c r="AL4433" t="inlineStr">
        <is>
          <t>Miss Glam Jambi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USHAS</t>
        </is>
      </c>
      <c r="B4434" s="2">
        <f>"6924372699416"</f>
        <v/>
      </c>
      <c r="C4434" t="inlineStr">
        <is>
          <t>USHAS Eyeshadow Nudes No 1 10,2gr NEW</t>
        </is>
      </c>
      <c r="D4434" t="inlineStr">
        <is>
          <t>Miss Glam Jambi</t>
        </is>
      </c>
      <c r="E4434" t="n">
        <v>4</v>
      </c>
      <c r="F4434" t="n">
        <v>0.006600000000000001</v>
      </c>
      <c r="G4434" t="n">
        <v>0.33</v>
      </c>
      <c r="H4434" t="n">
        <v>2</v>
      </c>
      <c r="I4434" t="n">
        <v>5</v>
      </c>
      <c r="J4434" t="n">
        <v>3</v>
      </c>
      <c r="K4434" t="n">
        <v>0</v>
      </c>
      <c r="L4434" t="n">
        <v>24775</v>
      </c>
      <c r="M4434" t="n">
        <v>31000</v>
      </c>
      <c r="N4434" t="n">
        <v>33</v>
      </c>
      <c r="O4434" t="n">
        <v>0.33</v>
      </c>
      <c r="P4434" t="n">
        <v>1</v>
      </c>
      <c r="Q4434" t="n">
        <v>0.05</v>
      </c>
      <c r="R4434" t="n">
        <v>1</v>
      </c>
      <c r="S4434" t="n">
        <v>204.6</v>
      </c>
      <c r="T4434" t="n">
        <v>2</v>
      </c>
      <c r="U4434" t="n">
        <v>3</v>
      </c>
      <c r="V4434" t="n">
        <v>30</v>
      </c>
      <c r="W4434" t="n">
        <v>1</v>
      </c>
      <c r="X4434" t="n">
        <v>606.060606060606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1170</v>
      </c>
      <c r="AG4434" t="n">
        <v>2298</v>
      </c>
      <c r="AH4434" t="inlineStr">
        <is>
          <t>CV. MAKMUR SEJAHTERA LESTARI - PPN (JMB)</t>
        </is>
      </c>
      <c r="AI4434" t="n">
        <v>474</v>
      </c>
      <c r="AJ4434" t="inlineStr">
        <is>
          <t>USHAS</t>
        </is>
      </c>
      <c r="AK4434" t="n">
        <v>9</v>
      </c>
      <c r="AL4434" t="inlineStr">
        <is>
          <t>Miss Glam Jambi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USHAS</t>
        </is>
      </c>
      <c r="B4435" s="2">
        <f>"6924372699423"</f>
        <v/>
      </c>
      <c r="C4435" t="inlineStr">
        <is>
          <t>USHAS Eyeshadow Nudes No 2 10,2gr NEW</t>
        </is>
      </c>
      <c r="D4435" t="inlineStr">
        <is>
          <t>Miss Glam Jambi</t>
        </is>
      </c>
      <c r="E4435" t="n">
        <v>0</v>
      </c>
      <c r="F4435" t="n">
        <v>0.0264</v>
      </c>
      <c r="G4435" t="n">
        <v>0.33</v>
      </c>
      <c r="H4435" t="n">
        <v>2</v>
      </c>
      <c r="I4435" t="n">
        <v>5</v>
      </c>
      <c r="J4435" t="n">
        <v>3</v>
      </c>
      <c r="K4435" t="n">
        <v>0</v>
      </c>
      <c r="L4435" t="n">
        <v>24775</v>
      </c>
      <c r="M4435" t="n">
        <v>31000</v>
      </c>
      <c r="N4435" t="n">
        <v>33</v>
      </c>
      <c r="O4435" t="n">
        <v>0.33</v>
      </c>
      <c r="P4435" t="n">
        <v>1</v>
      </c>
      <c r="Q4435" t="n">
        <v>0.02</v>
      </c>
      <c r="R4435" t="n">
        <v>1</v>
      </c>
      <c r="S4435" t="n">
        <v>818.4000000000001</v>
      </c>
      <c r="T4435" t="n">
        <v>2</v>
      </c>
      <c r="U4435" t="n">
        <v>3</v>
      </c>
      <c r="V4435" t="n">
        <v>30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n">
        <v>0</v>
      </c>
      <c r="AC4435" t="n">
        <v>0</v>
      </c>
      <c r="AD4435" t="n">
        <v>24775</v>
      </c>
      <c r="AE4435" t="n">
        <v>0</v>
      </c>
      <c r="AF4435" t="n">
        <v>1170</v>
      </c>
      <c r="AG4435" t="n">
        <v>2298</v>
      </c>
      <c r="AH4435" t="inlineStr">
        <is>
          <t>CV. MAKMUR SEJAHTERA LESTARI - PPN (JMB)</t>
        </is>
      </c>
      <c r="AI4435" t="n">
        <v>474</v>
      </c>
      <c r="AJ4435" t="inlineStr">
        <is>
          <t>USHAS</t>
        </is>
      </c>
      <c r="AK4435" t="n">
        <v>9</v>
      </c>
      <c r="AL4435" t="inlineStr">
        <is>
          <t>Miss Glam Jambi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USHAS</t>
        </is>
      </c>
      <c r="B4436" s="2">
        <f>"6924372610701"</f>
        <v/>
      </c>
      <c r="C4436" t="inlineStr">
        <is>
          <t>USHAS LG1930 Liquid Eye Shadow And Highlight No.01 3.5ml</t>
        </is>
      </c>
      <c r="D4436" t="inlineStr">
        <is>
          <t>Miss Glam Jambi</t>
        </is>
      </c>
      <c r="E4436" t="n">
        <v>0</v>
      </c>
      <c r="F4436" t="n">
        <v>0.0231</v>
      </c>
      <c r="G4436" t="n">
        <v>0.66</v>
      </c>
      <c r="H4436" t="n">
        <v>2</v>
      </c>
      <c r="I4436" t="n">
        <v>5</v>
      </c>
      <c r="J4436" t="n">
        <v>3</v>
      </c>
      <c r="K4436" t="n">
        <v>0</v>
      </c>
      <c r="L4436" t="n">
        <v>18732</v>
      </c>
      <c r="M4436" t="n">
        <v>26000</v>
      </c>
      <c r="N4436" t="n">
        <v>33</v>
      </c>
      <c r="O4436" t="n">
        <v>0.33</v>
      </c>
      <c r="P4436" t="n">
        <v>1</v>
      </c>
      <c r="Q4436" t="n">
        <v>0.05</v>
      </c>
      <c r="R4436" t="n">
        <v>1</v>
      </c>
      <c r="S4436" t="n">
        <v>600.6</v>
      </c>
      <c r="T4436" t="n">
        <v>4</v>
      </c>
      <c r="U4436" t="n">
        <v>5</v>
      </c>
      <c r="V4436" t="n">
        <v>30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n">
        <v>0</v>
      </c>
      <c r="AC4436" t="n">
        <v>0</v>
      </c>
      <c r="AD4436" t="n">
        <v>18732</v>
      </c>
      <c r="AE4436" t="n">
        <v>0</v>
      </c>
      <c r="AF4436" t="n">
        <v>1170</v>
      </c>
      <c r="AG4436" t="n">
        <v>2298</v>
      </c>
      <c r="AH4436" t="inlineStr">
        <is>
          <t>CV. MAKMUR SEJAHTERA LESTARI - PPN (JMB)</t>
        </is>
      </c>
      <c r="AI4436" t="n">
        <v>474</v>
      </c>
      <c r="AJ4436" t="inlineStr">
        <is>
          <t>USHAS</t>
        </is>
      </c>
      <c r="AK4436" t="n">
        <v>9</v>
      </c>
      <c r="AL4436" t="inlineStr">
        <is>
          <t>Miss Glam Jambi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USHAS</t>
        </is>
      </c>
      <c r="B4437" s="2">
        <f>"6924372695098"</f>
        <v/>
      </c>
      <c r="C4437" t="inlineStr">
        <is>
          <t>USHAS LG1930 Liquid Eye Shadow And Highlight No.02 3.5ml</t>
        </is>
      </c>
      <c r="D4437" t="inlineStr">
        <is>
          <t>Miss Glam Jambi</t>
        </is>
      </c>
      <c r="E4437" t="n">
        <v>3</v>
      </c>
      <c r="F4437" t="n">
        <v>0.006600000000000001</v>
      </c>
      <c r="G4437" t="n">
        <v>0.33</v>
      </c>
      <c r="H4437" t="n">
        <v>2</v>
      </c>
      <c r="I4437" t="n">
        <v>5</v>
      </c>
      <c r="J4437" t="n">
        <v>3</v>
      </c>
      <c r="K4437" t="n">
        <v>0</v>
      </c>
      <c r="L4437" t="n">
        <v>21533</v>
      </c>
      <c r="M4437" t="n">
        <v>26000</v>
      </c>
      <c r="N4437" t="n">
        <v>33</v>
      </c>
      <c r="O4437" t="n">
        <v>0.33</v>
      </c>
      <c r="P4437" t="n">
        <v>1</v>
      </c>
      <c r="Q4437" t="n">
        <v>0.02</v>
      </c>
      <c r="R4437" t="n">
        <v>1</v>
      </c>
      <c r="S4437" t="n">
        <v>171.6</v>
      </c>
      <c r="T4437" t="n">
        <v>2</v>
      </c>
      <c r="U4437" t="n">
        <v>3</v>
      </c>
      <c r="V4437" t="n">
        <v>30</v>
      </c>
      <c r="W4437" t="n">
        <v>1</v>
      </c>
      <c r="X4437" t="n">
        <v>454.5454545454545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1170</v>
      </c>
      <c r="AG4437" t="n">
        <v>2298</v>
      </c>
      <c r="AH4437" t="inlineStr">
        <is>
          <t>CV. MAKMUR SEJAHTERA LESTARI - PPN (JMB)</t>
        </is>
      </c>
      <c r="AI4437" t="n">
        <v>474</v>
      </c>
      <c r="AJ4437" t="inlineStr">
        <is>
          <t>USHAS</t>
        </is>
      </c>
      <c r="AK4437" t="n">
        <v>9</v>
      </c>
      <c r="AL4437" t="inlineStr">
        <is>
          <t>Miss Glam Jambi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USHAS</t>
        </is>
      </c>
      <c r="B4438" s="2">
        <f>"6924372695111"</f>
        <v/>
      </c>
      <c r="C4438" t="inlineStr">
        <is>
          <t>USHAS LG1930 Liquid Eye Shadow And Highlight No.04 3.5ml</t>
        </is>
      </c>
      <c r="D4438" t="inlineStr">
        <is>
          <t>Miss Glam Jambi</t>
        </is>
      </c>
      <c r="E4438" t="n">
        <v>1</v>
      </c>
      <c r="F4438" t="n">
        <v>0.009900000000000001</v>
      </c>
      <c r="G4438" t="n">
        <v>0.33</v>
      </c>
      <c r="H4438" t="n">
        <v>2</v>
      </c>
      <c r="I4438" t="n">
        <v>5</v>
      </c>
      <c r="J4438" t="n">
        <v>3</v>
      </c>
      <c r="K4438" t="n">
        <v>0</v>
      </c>
      <c r="L4438" t="n">
        <v>21533</v>
      </c>
      <c r="M4438" t="n">
        <v>26000</v>
      </c>
      <c r="N4438" t="n">
        <v>33</v>
      </c>
      <c r="O4438" t="n">
        <v>0.33</v>
      </c>
      <c r="P4438" t="n">
        <v>1</v>
      </c>
      <c r="Q4438" t="n">
        <v>0.03</v>
      </c>
      <c r="R4438" t="n">
        <v>1</v>
      </c>
      <c r="S4438" t="n">
        <v>257.4</v>
      </c>
      <c r="T4438" t="n">
        <v>2</v>
      </c>
      <c r="U4438" t="n">
        <v>3</v>
      </c>
      <c r="V4438" t="n">
        <v>30</v>
      </c>
      <c r="W4438" t="n">
        <v>1</v>
      </c>
      <c r="X4438" t="n">
        <v>101.010101010101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1170</v>
      </c>
      <c r="AG4438" t="n">
        <v>2298</v>
      </c>
      <c r="AH4438" t="inlineStr">
        <is>
          <t>CV. MAKMUR SEJAHTERA LESTARI - PPN (JMB)</t>
        </is>
      </c>
      <c r="AI4438" t="n">
        <v>474</v>
      </c>
      <c r="AJ4438" t="inlineStr">
        <is>
          <t>USHAS</t>
        </is>
      </c>
      <c r="AK4438" t="n">
        <v>9</v>
      </c>
      <c r="AL4438" t="inlineStr">
        <is>
          <t>Miss Glam Jambi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USHAS</t>
        </is>
      </c>
      <c r="B4439" s="2">
        <f>"6924372695128"</f>
        <v/>
      </c>
      <c r="C4439" t="inlineStr">
        <is>
          <t>USHAS LG1930 Liquid Eye Shadow And Highlight No.05 3.5ml</t>
        </is>
      </c>
      <c r="D4439" t="inlineStr">
        <is>
          <t>Miss Glam Jambi</t>
        </is>
      </c>
      <c r="E4439" t="n">
        <v>3</v>
      </c>
      <c r="F4439" t="n">
        <v>0.006600000000000001</v>
      </c>
      <c r="G4439" t="n">
        <v>0.33</v>
      </c>
      <c r="H4439" t="n">
        <v>2</v>
      </c>
      <c r="I4439" t="n">
        <v>5</v>
      </c>
      <c r="J4439" t="n">
        <v>3</v>
      </c>
      <c r="K4439" t="n">
        <v>0</v>
      </c>
      <c r="L4439" t="n">
        <v>21533</v>
      </c>
      <c r="M4439" t="n">
        <v>26000</v>
      </c>
      <c r="N4439" t="n">
        <v>33</v>
      </c>
      <c r="O4439" t="n">
        <v>0.33</v>
      </c>
      <c r="P4439" t="n">
        <v>1</v>
      </c>
      <c r="Q4439" t="n">
        <v>0.03</v>
      </c>
      <c r="R4439" t="n">
        <v>1</v>
      </c>
      <c r="S4439" t="n">
        <v>171.6</v>
      </c>
      <c r="T4439" t="n">
        <v>2</v>
      </c>
      <c r="U4439" t="n">
        <v>3</v>
      </c>
      <c r="V4439" t="n">
        <v>30</v>
      </c>
      <c r="W4439" t="n">
        <v>1</v>
      </c>
      <c r="X4439" t="n">
        <v>454.5454545454545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1170</v>
      </c>
      <c r="AG4439" t="n">
        <v>2298</v>
      </c>
      <c r="AH4439" t="inlineStr">
        <is>
          <t>CV. MAKMUR SEJAHTERA LESTARI - PPN (JMB)</t>
        </is>
      </c>
      <c r="AI4439" t="n">
        <v>474</v>
      </c>
      <c r="AJ4439" t="inlineStr">
        <is>
          <t>USHAS</t>
        </is>
      </c>
      <c r="AK4439" t="n">
        <v>9</v>
      </c>
      <c r="AL4439" t="inlineStr">
        <is>
          <t>Miss Glam Jambi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USHAS</t>
        </is>
      </c>
      <c r="B4440" s="2">
        <f>"6924372698471"</f>
        <v/>
      </c>
      <c r="C4440" t="inlineStr">
        <is>
          <t>USHAS LP2116 Aloe Vera Lip Tint 06 4ml</t>
        </is>
      </c>
      <c r="D4440" t="inlineStr">
        <is>
          <t>Miss Glam Jambi</t>
        </is>
      </c>
      <c r="E4440" t="n">
        <v>6</v>
      </c>
      <c r="F4440" t="n">
        <v>0.009900000000000001</v>
      </c>
      <c r="G4440" t="n">
        <v>0.33</v>
      </c>
      <c r="H4440" t="n">
        <v>2</v>
      </c>
      <c r="I4440" t="n">
        <v>5</v>
      </c>
      <c r="J4440" t="n">
        <v>3</v>
      </c>
      <c r="K4440" t="n">
        <v>0</v>
      </c>
      <c r="L4440" t="n">
        <v>14685</v>
      </c>
      <c r="M4440" t="n">
        <v>19000</v>
      </c>
      <c r="N4440" t="n">
        <v>33</v>
      </c>
      <c r="O4440" t="n">
        <v>0.33</v>
      </c>
      <c r="P4440" t="n">
        <v>1</v>
      </c>
      <c r="Q4440" t="n">
        <v>0.02</v>
      </c>
      <c r="R4440" t="n">
        <v>1</v>
      </c>
      <c r="S4440" t="n">
        <v>188.1</v>
      </c>
      <c r="T4440" t="n">
        <v>2</v>
      </c>
      <c r="U4440" t="n">
        <v>3</v>
      </c>
      <c r="V4440" t="n">
        <v>30</v>
      </c>
      <c r="W4440" t="n">
        <v>1</v>
      </c>
      <c r="X4440" t="n">
        <v>606.060606060606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1170</v>
      </c>
      <c r="AG4440" t="n">
        <v>2298</v>
      </c>
      <c r="AH4440" t="inlineStr">
        <is>
          <t>CV. MAKMUR SEJAHTERA LESTARI - PPN (JMB)</t>
        </is>
      </c>
      <c r="AI4440" t="n">
        <v>474</v>
      </c>
      <c r="AJ4440" t="inlineStr">
        <is>
          <t>USHAS</t>
        </is>
      </c>
      <c r="AK4440" t="n">
        <v>9</v>
      </c>
      <c r="AL4440" t="inlineStr">
        <is>
          <t>Miss Glam Jambi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USHAS</t>
        </is>
      </c>
      <c r="B4441" s="2">
        <f>"6924372670941"</f>
        <v/>
      </c>
      <c r="C4441" t="inlineStr">
        <is>
          <t>USHAS MA1025 Mascara &amp; Eyeliner 2in1 Waterproof 5ml + 5ml</t>
        </is>
      </c>
      <c r="D4441" t="inlineStr">
        <is>
          <t>Miss Glam Jambi</t>
        </is>
      </c>
      <c r="E4441" t="n">
        <v>7</v>
      </c>
      <c r="F4441" t="n">
        <v>0.0561</v>
      </c>
      <c r="G4441" t="n">
        <v>0.33</v>
      </c>
      <c r="H4441" t="n">
        <v>2</v>
      </c>
      <c r="I4441" t="n">
        <v>5</v>
      </c>
      <c r="J4441" t="n">
        <v>3</v>
      </c>
      <c r="K4441" t="n">
        <v>0</v>
      </c>
      <c r="L4441" t="n">
        <v>24271</v>
      </c>
      <c r="M4441" t="n">
        <v>31000</v>
      </c>
      <c r="N4441" t="n">
        <v>33</v>
      </c>
      <c r="O4441" t="n">
        <v>0.33</v>
      </c>
      <c r="P4441" t="n">
        <v>1</v>
      </c>
      <c r="Q4441" t="n">
        <v>0.02</v>
      </c>
      <c r="R4441" t="n">
        <v>1</v>
      </c>
      <c r="S4441" t="n">
        <v>1739.1</v>
      </c>
      <c r="T4441" t="n">
        <v>2</v>
      </c>
      <c r="U4441" t="n">
        <v>3</v>
      </c>
      <c r="V4441" t="n">
        <v>30</v>
      </c>
      <c r="W4441" t="n">
        <v>2</v>
      </c>
      <c r="X4441" t="n">
        <v>124.777183600713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1170</v>
      </c>
      <c r="AG4441" t="n">
        <v>2298</v>
      </c>
      <c r="AH4441" t="inlineStr">
        <is>
          <t>CV. MAKMUR SEJAHTERA LESTARI - PPN (JMB)</t>
        </is>
      </c>
      <c r="AI4441" t="n">
        <v>474</v>
      </c>
      <c r="AJ4441" t="inlineStr">
        <is>
          <t>USHAS</t>
        </is>
      </c>
      <c r="AK4441" t="n">
        <v>9</v>
      </c>
      <c r="AL4441" t="inlineStr">
        <is>
          <t>Miss Glam Jambi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VASELINE</t>
        </is>
      </c>
      <c r="B4442" s="2">
        <f>"8999999719418"</f>
        <v/>
      </c>
      <c r="C4442" t="inlineStr">
        <is>
          <t>VASELINE Body Lotion Healty Bright  Uv Extra Brightening 200ml</t>
        </is>
      </c>
      <c r="D4442" t="inlineStr">
        <is>
          <t>Miss Glam Jambi</t>
        </is>
      </c>
      <c r="E4442" t="n">
        <v>14</v>
      </c>
      <c r="F4442" t="n">
        <v>0.297</v>
      </c>
      <c r="G4442" t="n">
        <v>1.65</v>
      </c>
      <c r="H4442" t="n">
        <v>3</v>
      </c>
      <c r="I4442" t="n">
        <v>19</v>
      </c>
      <c r="J4442" t="n">
        <v>3</v>
      </c>
      <c r="K4442" t="n">
        <v>0</v>
      </c>
      <c r="L4442" t="n">
        <v>23074</v>
      </c>
      <c r="M4442" t="n">
        <v>35800</v>
      </c>
      <c r="N4442" t="n">
        <v>33</v>
      </c>
      <c r="O4442" t="n">
        <v>0.33</v>
      </c>
      <c r="P4442" t="n">
        <v>1</v>
      </c>
      <c r="Q4442" t="n">
        <v>0.2</v>
      </c>
      <c r="R4442" t="n">
        <v>2</v>
      </c>
      <c r="S4442" t="n">
        <v>10632.6</v>
      </c>
      <c r="T4442" t="n">
        <v>31</v>
      </c>
      <c r="U4442" t="n">
        <v>32</v>
      </c>
      <c r="V4442" t="n">
        <v>30</v>
      </c>
      <c r="W4442" t="n">
        <v>9</v>
      </c>
      <c r="X4442" t="n">
        <v>47.13804713804713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9794</v>
      </c>
      <c r="AG4442" t="n">
        <v>2206</v>
      </c>
      <c r="AH4442" t="inlineStr">
        <is>
          <t>PT. ENHA PUTRA (ONLINE CASH)</t>
        </is>
      </c>
      <c r="AI4442" t="n">
        <v>361</v>
      </c>
      <c r="AJ4442" t="inlineStr">
        <is>
          <t>VASELINE</t>
        </is>
      </c>
      <c r="AK4442" t="n">
        <v>9</v>
      </c>
      <c r="AL4442" t="inlineStr">
        <is>
          <t>Miss Glam Jambi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VASELINE</t>
        </is>
      </c>
      <c r="B4443" s="2">
        <f>"8999999559588"</f>
        <v/>
      </c>
      <c r="C4443" t="inlineStr">
        <is>
          <t>VASELINE Body Lotion Serum Soft Glow 180ml</t>
        </is>
      </c>
      <c r="D4443" t="inlineStr">
        <is>
          <t>Miss Glam Jambi</t>
        </is>
      </c>
      <c r="E4443" t="n">
        <v>6</v>
      </c>
      <c r="F4443" t="n">
        <v>0.4917</v>
      </c>
      <c r="G4443" t="n">
        <v>1.65</v>
      </c>
      <c r="H4443" t="n">
        <v>3</v>
      </c>
      <c r="I4443" t="n">
        <v>19</v>
      </c>
      <c r="J4443" t="n">
        <v>3</v>
      </c>
      <c r="K4443" t="n">
        <v>5</v>
      </c>
      <c r="L4443" t="n">
        <v>30000</v>
      </c>
      <c r="M4443" t="n">
        <v>35000</v>
      </c>
      <c r="N4443" t="n">
        <v>33</v>
      </c>
      <c r="O4443" t="n">
        <v>0.33</v>
      </c>
      <c r="P4443" t="n">
        <v>1</v>
      </c>
      <c r="Q4443" t="n">
        <v>0.27</v>
      </c>
      <c r="R4443" t="n">
        <v>2</v>
      </c>
      <c r="S4443" t="n">
        <v>17209.5</v>
      </c>
      <c r="T4443" t="n">
        <v>30</v>
      </c>
      <c r="U4443" t="n">
        <v>32</v>
      </c>
      <c r="V4443" t="n">
        <v>30</v>
      </c>
      <c r="W4443" t="n">
        <v>15</v>
      </c>
      <c r="X4443" t="n">
        <v>12.20256253813301</v>
      </c>
      <c r="Y4443" t="n">
        <v>1</v>
      </c>
      <c r="Z4443" t="n">
        <v>4</v>
      </c>
      <c r="AA4443" t="n">
        <v>3</v>
      </c>
      <c r="AB4443" t="n">
        <v>1</v>
      </c>
      <c r="AC4443" t="n">
        <v>3</v>
      </c>
      <c r="AD4443" t="n">
        <v>90000</v>
      </c>
      <c r="AE4443" t="n">
        <v>90000</v>
      </c>
      <c r="AF4443" t="n">
        <v>9794</v>
      </c>
      <c r="AG4443" t="n">
        <v>2206</v>
      </c>
      <c r="AH4443" t="inlineStr">
        <is>
          <t>PT. ENHA PUTRA (ONLINE CASH)</t>
        </is>
      </c>
      <c r="AI4443" t="n">
        <v>361</v>
      </c>
      <c r="AJ4443" t="inlineStr">
        <is>
          <t>VASELINE</t>
        </is>
      </c>
      <c r="AK4443" t="n">
        <v>9</v>
      </c>
      <c r="AL4443" t="inlineStr">
        <is>
          <t>Miss Glam Jambi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VASELINE</t>
        </is>
      </c>
      <c r="B4444" s="2">
        <f>"8999999568542"</f>
        <v/>
      </c>
      <c r="C4444" t="inlineStr">
        <is>
          <t>VASELINE Body Lotion Soft &amp; Glow Vitamin Body Serum 100ml</t>
        </is>
      </c>
      <c r="D4444" t="inlineStr">
        <is>
          <t>Miss Glam Jambi</t>
        </is>
      </c>
      <c r="E4444" t="n">
        <v>19</v>
      </c>
      <c r="F4444" t="n">
        <v>0.8679</v>
      </c>
      <c r="G4444" t="n">
        <v>2.97</v>
      </c>
      <c r="H4444" t="n">
        <v>3</v>
      </c>
      <c r="I4444" t="n">
        <v>19</v>
      </c>
      <c r="J4444" t="n">
        <v>3</v>
      </c>
      <c r="K4444" t="n">
        <v>8</v>
      </c>
      <c r="L4444" t="n">
        <v>17827</v>
      </c>
      <c r="M4444" t="n">
        <v>20000</v>
      </c>
      <c r="N4444" t="n">
        <v>33</v>
      </c>
      <c r="O4444" t="n">
        <v>0.33</v>
      </c>
      <c r="P4444" t="n">
        <v>1</v>
      </c>
      <c r="Q4444" t="n">
        <v>0.29</v>
      </c>
      <c r="R4444" t="n">
        <v>2</v>
      </c>
      <c r="S4444" t="n">
        <v>17358</v>
      </c>
      <c r="T4444" t="n">
        <v>54</v>
      </c>
      <c r="U4444" t="n">
        <v>57</v>
      </c>
      <c r="V4444" t="n">
        <v>30</v>
      </c>
      <c r="W4444" t="n">
        <v>27</v>
      </c>
      <c r="X4444" t="n">
        <v>21.89192303260744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9794</v>
      </c>
      <c r="AG4444" t="n">
        <v>2206</v>
      </c>
      <c r="AH4444" t="inlineStr">
        <is>
          <t>PT. ENHA PUTRA (ONLINE CASH)</t>
        </is>
      </c>
      <c r="AI4444" t="n">
        <v>361</v>
      </c>
      <c r="AJ4444" t="inlineStr">
        <is>
          <t>VASELINE</t>
        </is>
      </c>
      <c r="AK4444" t="n">
        <v>9</v>
      </c>
      <c r="AL4444" t="inlineStr">
        <is>
          <t>Miss Glam Jambi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VASELINE</t>
        </is>
      </c>
      <c r="B4445" s="2">
        <f>"8999999559595"</f>
        <v/>
      </c>
      <c r="C4445" t="inlineStr">
        <is>
          <t>VASELINE Body Serum Fiem Glow 180ml</t>
        </is>
      </c>
      <c r="D4445" t="inlineStr">
        <is>
          <t>Miss Glam Jambi</t>
        </is>
      </c>
      <c r="E4445" t="n">
        <v>2</v>
      </c>
      <c r="F4445" t="n">
        <v>0.1848</v>
      </c>
      <c r="G4445" t="n">
        <v>1.32</v>
      </c>
      <c r="H4445" t="n">
        <v>3</v>
      </c>
      <c r="I4445" t="n">
        <v>19</v>
      </c>
      <c r="J4445" t="n">
        <v>3</v>
      </c>
      <c r="K4445" t="n">
        <v>3</v>
      </c>
      <c r="L4445" t="n">
        <v>30181</v>
      </c>
      <c r="M4445" t="n">
        <v>35000</v>
      </c>
      <c r="N4445" t="n">
        <v>33</v>
      </c>
      <c r="O4445" t="n">
        <v>0.33</v>
      </c>
      <c r="P4445" t="n">
        <v>1</v>
      </c>
      <c r="Q4445" t="n">
        <v>0.08</v>
      </c>
      <c r="R4445" t="n">
        <v>2</v>
      </c>
      <c r="S4445" t="n">
        <v>6468.000000000001</v>
      </c>
      <c r="T4445" t="n">
        <v>25</v>
      </c>
      <c r="U4445" t="n">
        <v>26</v>
      </c>
      <c r="V4445" t="n">
        <v>30</v>
      </c>
      <c r="W4445" t="n">
        <v>6</v>
      </c>
      <c r="X4445" t="n">
        <v>10.82251082251082</v>
      </c>
      <c r="Y4445" t="n">
        <v>1</v>
      </c>
      <c r="Z4445" t="n">
        <v>1</v>
      </c>
      <c r="AA4445" t="n">
        <v>1</v>
      </c>
      <c r="AB4445" t="n">
        <v>0</v>
      </c>
      <c r="AC4445" t="n">
        <v>0</v>
      </c>
      <c r="AD4445" t="n">
        <v>30181</v>
      </c>
      <c r="AE4445" t="n">
        <v>0</v>
      </c>
      <c r="AF4445" t="n">
        <v>9794</v>
      </c>
      <c r="AG4445" t="n">
        <v>2206</v>
      </c>
      <c r="AH4445" t="inlineStr">
        <is>
          <t>PT. ENHA PUTRA (ONLINE CASH)</t>
        </is>
      </c>
      <c r="AI4445" t="n">
        <v>361</v>
      </c>
      <c r="AJ4445" t="inlineStr">
        <is>
          <t>VASELINE</t>
        </is>
      </c>
      <c r="AK4445" t="n">
        <v>9</v>
      </c>
      <c r="AL4445" t="inlineStr">
        <is>
          <t>Miss Glam Jambi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VASELINE</t>
        </is>
      </c>
      <c r="B4446" s="2">
        <f>"30200195237"</f>
        <v/>
      </c>
      <c r="C4446" t="inlineStr">
        <is>
          <t>VASELINE Gluta Hya Flawless Bright Serum Brust Lotion 100ml</t>
        </is>
      </c>
      <c r="D4446" t="inlineStr">
        <is>
          <t>Miss Glam Jambi</t>
        </is>
      </c>
      <c r="E4446" t="n">
        <v>3</v>
      </c>
      <c r="F4446" t="n">
        <v>0.2475</v>
      </c>
      <c r="G4446" t="n">
        <v>2.31</v>
      </c>
      <c r="H4446" t="n">
        <v>3</v>
      </c>
      <c r="I4446" t="n">
        <v>19</v>
      </c>
      <c r="J4446" t="n">
        <v>1</v>
      </c>
      <c r="K4446" t="n">
        <v>3</v>
      </c>
      <c r="L4446" t="n">
        <v>25069</v>
      </c>
      <c r="M4446" t="n">
        <v>27500</v>
      </c>
      <c r="N4446" t="n">
        <v>33</v>
      </c>
      <c r="O4446" t="n">
        <v>0.33</v>
      </c>
      <c r="P4446" t="n">
        <v>1</v>
      </c>
      <c r="Q4446" t="n">
        <v>0.39</v>
      </c>
      <c r="R4446" t="n">
        <v>2</v>
      </c>
      <c r="S4446" t="n">
        <v>6806.25</v>
      </c>
      <c r="T4446" t="n">
        <v>44</v>
      </c>
      <c r="U4446" t="n">
        <v>45</v>
      </c>
      <c r="V4446" t="n">
        <v>30</v>
      </c>
      <c r="W4446" t="n">
        <v>8</v>
      </c>
      <c r="X4446" t="n">
        <v>12.12121212121212</v>
      </c>
      <c r="Y4446" t="n">
        <v>1</v>
      </c>
      <c r="Z4446" t="n">
        <v>2</v>
      </c>
      <c r="AA4446" t="n">
        <v>1</v>
      </c>
      <c r="AB4446" t="n">
        <v>1</v>
      </c>
      <c r="AC4446" t="n">
        <v>1</v>
      </c>
      <c r="AD4446" t="n">
        <v>25069</v>
      </c>
      <c r="AE4446" t="n">
        <v>25069</v>
      </c>
      <c r="AF4446" t="n">
        <v>9794</v>
      </c>
      <c r="AG4446" t="n">
        <v>2206</v>
      </c>
      <c r="AH4446" t="inlineStr">
        <is>
          <t>PT. ENHA PUTRA (ONLINE CASH)</t>
        </is>
      </c>
      <c r="AI4446" t="n">
        <v>361</v>
      </c>
      <c r="AJ4446" t="inlineStr">
        <is>
          <t>VASELINE</t>
        </is>
      </c>
      <c r="AK4446" t="n">
        <v>9</v>
      </c>
      <c r="AL4446" t="inlineStr">
        <is>
          <t>Miss Glam Jambi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VASELINE</t>
        </is>
      </c>
      <c r="B4447" s="2">
        <f>"8999999602932"</f>
        <v/>
      </c>
      <c r="C4447" t="inlineStr">
        <is>
          <t>VASELINE Gluta Hya Serum Burst 200ml</t>
        </is>
      </c>
      <c r="D4447" t="inlineStr">
        <is>
          <t>Miss Glam Jambi</t>
        </is>
      </c>
      <c r="E4447" t="n">
        <v>6</v>
      </c>
      <c r="F4447" t="n">
        <v>0.0726</v>
      </c>
      <c r="G4447" t="n">
        <v>0.99</v>
      </c>
      <c r="H4447" t="n">
        <v>3</v>
      </c>
      <c r="I4447" t="n">
        <v>19</v>
      </c>
      <c r="J4447" t="n">
        <v>3</v>
      </c>
      <c r="K4447" t="n">
        <v>0</v>
      </c>
      <c r="L4447" t="n">
        <v>89359</v>
      </c>
      <c r="M4447" t="n">
        <v>109000</v>
      </c>
      <c r="N4447" t="n">
        <v>33</v>
      </c>
      <c r="O4447" t="n">
        <v>0.33</v>
      </c>
      <c r="P4447" t="n">
        <v>1</v>
      </c>
      <c r="Q4447" t="n">
        <v>0.25</v>
      </c>
      <c r="R4447" t="n">
        <v>2</v>
      </c>
      <c r="S4447" t="n">
        <v>7913.4</v>
      </c>
      <c r="T4447" t="n">
        <v>19</v>
      </c>
      <c r="U4447" t="n">
        <v>20</v>
      </c>
      <c r="V4447" t="n">
        <v>30</v>
      </c>
      <c r="W4447" t="n">
        <v>3</v>
      </c>
      <c r="X4447" t="n">
        <v>82.64462809917356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9794</v>
      </c>
      <c r="AG4447" t="n">
        <v>2206</v>
      </c>
      <c r="AH4447" t="inlineStr">
        <is>
          <t>PT. ENHA PUTRA (ONLINE CASH)</t>
        </is>
      </c>
      <c r="AI4447" t="n">
        <v>361</v>
      </c>
      <c r="AJ4447" t="inlineStr">
        <is>
          <t>VASELINE</t>
        </is>
      </c>
      <c r="AK4447" t="n">
        <v>9</v>
      </c>
      <c r="AL4447" t="inlineStr">
        <is>
          <t>Miss Glam Jambi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VASELINE</t>
        </is>
      </c>
      <c r="B4448" s="2">
        <f>"30200428544"</f>
        <v/>
      </c>
      <c r="C4448" t="inlineStr">
        <is>
          <t>VASELINE Gluta nya Smoothing Perfector 200ml</t>
        </is>
      </c>
      <c r="D4448" t="inlineStr">
        <is>
          <t>Miss Glam Jambi</t>
        </is>
      </c>
      <c r="E4448" t="n">
        <v>19</v>
      </c>
      <c r="F4448" t="n">
        <v>0.009900000000000001</v>
      </c>
      <c r="G4448" t="n">
        <v>0.33</v>
      </c>
      <c r="H4448" t="n">
        <v>3</v>
      </c>
      <c r="I4448" t="n">
        <v>19</v>
      </c>
      <c r="J4448" t="n">
        <v>1</v>
      </c>
      <c r="K4448" t="n">
        <v>0</v>
      </c>
      <c r="L4448" t="n">
        <v>45000</v>
      </c>
      <c r="M4448" t="n">
        <v>53000</v>
      </c>
      <c r="N4448" t="n">
        <v>33</v>
      </c>
      <c r="O4448" t="n">
        <v>0.33</v>
      </c>
      <c r="P4448" t="n">
        <v>1</v>
      </c>
      <c r="Q4448" t="n">
        <v>0.08</v>
      </c>
      <c r="R4448" t="n">
        <v>1</v>
      </c>
      <c r="S4448" t="n">
        <v>524.7</v>
      </c>
      <c r="T4448" t="n">
        <v>7</v>
      </c>
      <c r="U4448" t="n">
        <v>8</v>
      </c>
      <c r="V4448" t="n">
        <v>30</v>
      </c>
      <c r="W4448" t="n">
        <v>1</v>
      </c>
      <c r="X4448" t="n">
        <v>1919.191919191919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9794</v>
      </c>
      <c r="AG4448" t="n">
        <v>2206</v>
      </c>
      <c r="AH4448" t="inlineStr">
        <is>
          <t>PT. ENHA PUTRA (ONLINE CASH)</t>
        </is>
      </c>
      <c r="AI4448" t="n">
        <v>361</v>
      </c>
      <c r="AJ4448" t="inlineStr">
        <is>
          <t>VASELINE</t>
        </is>
      </c>
      <c r="AK4448" t="n">
        <v>9</v>
      </c>
      <c r="AL4448" t="inlineStr">
        <is>
          <t>Miss Glam Jambi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VASELINE</t>
        </is>
      </c>
      <c r="B4449" s="2">
        <f>"8851932439749"</f>
        <v/>
      </c>
      <c r="C4449" t="inlineStr">
        <is>
          <t>VASELINE Glutha Hya Serum Burst Lotion Over Night Radiance 200ml</t>
        </is>
      </c>
      <c r="D4449" t="inlineStr">
        <is>
          <t>Miss Glam Jambi</t>
        </is>
      </c>
      <c r="E4449" t="n">
        <v>6</v>
      </c>
      <c r="F4449" t="n">
        <v>0.17</v>
      </c>
      <c r="G4449" t="n">
        <v>1</v>
      </c>
      <c r="H4449" t="n">
        <v>3</v>
      </c>
      <c r="I4449" t="n">
        <v>19</v>
      </c>
      <c r="J4449" t="n">
        <v>3</v>
      </c>
      <c r="K4449" t="n">
        <v>0</v>
      </c>
      <c r="L4449" t="n">
        <v>52800</v>
      </c>
      <c r="M4449" t="n">
        <v>62500</v>
      </c>
      <c r="N4449" t="n">
        <v>33</v>
      </c>
      <c r="O4449" t="n">
        <v>0.33</v>
      </c>
      <c r="P4449" t="n">
        <v>0</v>
      </c>
      <c r="Q4449" t="n">
        <v>0.17</v>
      </c>
      <c r="R4449" t="n">
        <v>1</v>
      </c>
      <c r="S4449" t="n">
        <v>10625</v>
      </c>
      <c r="T4449" t="n">
        <v>19</v>
      </c>
      <c r="U4449" t="n">
        <v>20</v>
      </c>
      <c r="V4449" t="n">
        <v>30</v>
      </c>
      <c r="W4449" t="n">
        <v>6</v>
      </c>
      <c r="X4449" t="n">
        <v>35.29411764705882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9794</v>
      </c>
      <c r="AG4449" t="n">
        <v>2206</v>
      </c>
      <c r="AH4449" t="inlineStr">
        <is>
          <t>PT. ENHA PUTRA (ONLINE CASH)</t>
        </is>
      </c>
      <c r="AI4449" t="n">
        <v>361</v>
      </c>
      <c r="AJ4449" t="inlineStr">
        <is>
          <t>VASELINE</t>
        </is>
      </c>
      <c r="AK4449" t="n">
        <v>9</v>
      </c>
      <c r="AL4449" t="inlineStr">
        <is>
          <t>Miss Glam Jambi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VASELINE</t>
        </is>
      </c>
      <c r="B4450" s="2">
        <f>"8999999533366"</f>
        <v/>
      </c>
      <c r="C4450" t="inlineStr">
        <is>
          <t>VASELINE Healthy Bright Fresh &amp; Bright Cooling 100ml</t>
        </is>
      </c>
      <c r="D4450" t="inlineStr">
        <is>
          <t>Miss Glam Jambi</t>
        </is>
      </c>
      <c r="E4450" t="n">
        <v>5</v>
      </c>
      <c r="F4450" t="n">
        <v>0.1848</v>
      </c>
      <c r="G4450" t="n">
        <v>0.66</v>
      </c>
      <c r="H4450" t="n">
        <v>3</v>
      </c>
      <c r="I4450" t="n">
        <v>19</v>
      </c>
      <c r="J4450" t="n">
        <v>3</v>
      </c>
      <c r="K4450" t="n">
        <v>3</v>
      </c>
      <c r="L4450" t="n">
        <v>15000</v>
      </c>
      <c r="M4450" t="n">
        <v>17500</v>
      </c>
      <c r="N4450" t="n">
        <v>33</v>
      </c>
      <c r="O4450" t="n">
        <v>0.33</v>
      </c>
      <c r="P4450" t="n">
        <v>1</v>
      </c>
      <c r="Q4450" t="n">
        <v>0.05</v>
      </c>
      <c r="R4450" t="n">
        <v>1</v>
      </c>
      <c r="S4450" t="n">
        <v>3234</v>
      </c>
      <c r="T4450" t="n">
        <v>12</v>
      </c>
      <c r="U4450" t="n">
        <v>13</v>
      </c>
      <c r="V4450" t="n">
        <v>30</v>
      </c>
      <c r="W4450" t="n">
        <v>6</v>
      </c>
      <c r="X4450" t="n">
        <v>27.05627705627705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9794</v>
      </c>
      <c r="AG4450" t="n">
        <v>2206</v>
      </c>
      <c r="AH4450" t="inlineStr">
        <is>
          <t>PT. ENHA PUTRA (ONLINE CASH)</t>
        </is>
      </c>
      <c r="AI4450" t="n">
        <v>361</v>
      </c>
      <c r="AJ4450" t="inlineStr">
        <is>
          <t>VASELINE</t>
        </is>
      </c>
      <c r="AK4450" t="n">
        <v>9</v>
      </c>
      <c r="AL4450" t="inlineStr">
        <is>
          <t>Miss Glam Jambi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VASELINE</t>
        </is>
      </c>
      <c r="B4451" s="2">
        <f>"8999999533373"</f>
        <v/>
      </c>
      <c r="C4451" t="inlineStr">
        <is>
          <t>VASELINE Healthy Bright Fresh &amp; Bright Cooling 200ml</t>
        </is>
      </c>
      <c r="D4451" t="inlineStr">
        <is>
          <t>Miss Glam Jambi</t>
        </is>
      </c>
      <c r="E4451" t="n">
        <v>4</v>
      </c>
      <c r="F4451" t="n">
        <v>0.06270000000000001</v>
      </c>
      <c r="G4451" t="n">
        <v>0.99</v>
      </c>
      <c r="H4451" t="n">
        <v>3</v>
      </c>
      <c r="I4451" t="n">
        <v>19</v>
      </c>
      <c r="J4451" t="n">
        <v>3</v>
      </c>
      <c r="K4451" t="n">
        <v>0</v>
      </c>
      <c r="L4451" t="n">
        <v>25670</v>
      </c>
      <c r="M4451" t="n">
        <v>31500</v>
      </c>
      <c r="N4451" t="n">
        <v>33</v>
      </c>
      <c r="O4451" t="n">
        <v>0.33</v>
      </c>
      <c r="P4451" t="n">
        <v>1</v>
      </c>
      <c r="Q4451" t="n">
        <v>0.03</v>
      </c>
      <c r="R4451" t="n">
        <v>1</v>
      </c>
      <c r="S4451" t="n">
        <v>1975.05</v>
      </c>
      <c r="T4451" t="n">
        <v>19</v>
      </c>
      <c r="U4451" t="n">
        <v>20</v>
      </c>
      <c r="V4451" t="n">
        <v>30</v>
      </c>
      <c r="W4451" t="n">
        <v>2</v>
      </c>
      <c r="X4451" t="n">
        <v>63.79585326953747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9794</v>
      </c>
      <c r="AG4451" t="n">
        <v>2206</v>
      </c>
      <c r="AH4451" t="inlineStr">
        <is>
          <t>PT. ENHA PUTRA (ONLINE CASH)</t>
        </is>
      </c>
      <c r="AI4451" t="n">
        <v>361</v>
      </c>
      <c r="AJ4451" t="inlineStr">
        <is>
          <t>VASELINE</t>
        </is>
      </c>
      <c r="AK4451" t="n">
        <v>9</v>
      </c>
      <c r="AL4451" t="inlineStr">
        <is>
          <t>Miss Glam Jambi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VASELINE</t>
        </is>
      </c>
      <c r="B4452" s="2">
        <f>"8999999581947"</f>
        <v/>
      </c>
      <c r="C4452" t="inlineStr">
        <is>
          <t>VASELINE Healthy Bright Gluta-Hya Dewy Radiance 200ml</t>
        </is>
      </c>
      <c r="D4452" t="inlineStr">
        <is>
          <t>Miss Glam Jambi</t>
        </is>
      </c>
      <c r="E4452" t="n">
        <v>13</v>
      </c>
      <c r="F4452" t="n">
        <v>0.3861</v>
      </c>
      <c r="G4452" t="n">
        <v>1.98</v>
      </c>
      <c r="H4452" t="n">
        <v>3</v>
      </c>
      <c r="I4452" t="n">
        <v>19</v>
      </c>
      <c r="J4452" t="n">
        <v>3</v>
      </c>
      <c r="K4452" t="n">
        <v>0</v>
      </c>
      <c r="L4452" t="n">
        <v>48313</v>
      </c>
      <c r="M4452" t="n">
        <v>56000</v>
      </c>
      <c r="N4452" t="n">
        <v>33</v>
      </c>
      <c r="O4452" t="n">
        <v>0.33</v>
      </c>
      <c r="P4452" t="n">
        <v>1</v>
      </c>
      <c r="Q4452" t="n">
        <v>0.32</v>
      </c>
      <c r="R4452" t="n">
        <v>2</v>
      </c>
      <c r="S4452" t="n">
        <v>21621.6</v>
      </c>
      <c r="T4452" t="n">
        <v>37</v>
      </c>
      <c r="U4452" t="n">
        <v>39</v>
      </c>
      <c r="V4452" t="n">
        <v>30</v>
      </c>
      <c r="W4452" t="n">
        <v>12</v>
      </c>
      <c r="X4452" t="n">
        <v>33.67003367003367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9794</v>
      </c>
      <c r="AG4452" t="n">
        <v>2206</v>
      </c>
      <c r="AH4452" t="inlineStr">
        <is>
          <t>PT. ENHA PUTRA (ONLINE CASH)</t>
        </is>
      </c>
      <c r="AI4452" t="n">
        <v>361</v>
      </c>
      <c r="AJ4452" t="inlineStr">
        <is>
          <t>VASELINE</t>
        </is>
      </c>
      <c r="AK4452" t="n">
        <v>9</v>
      </c>
      <c r="AL4452" t="inlineStr">
        <is>
          <t>Miss Glam Jambi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VASELINE</t>
        </is>
      </c>
      <c r="B4453" s="2">
        <f>"9556126670661"</f>
        <v/>
      </c>
      <c r="C4453" t="inlineStr">
        <is>
          <t>VASELINE Healthy Bright Gluta-Hya Dewy Radiance 330ml</t>
        </is>
      </c>
      <c r="D4453" t="inlineStr">
        <is>
          <t>Miss Glam Jambi</t>
        </is>
      </c>
      <c r="E4453" t="n">
        <v>11</v>
      </c>
      <c r="F4453" t="n">
        <v>0.09569999999999999</v>
      </c>
      <c r="G4453" t="n">
        <v>0.66</v>
      </c>
      <c r="H4453" t="n">
        <v>3</v>
      </c>
      <c r="I4453" t="n">
        <v>19</v>
      </c>
      <c r="J4453" t="n">
        <v>3</v>
      </c>
      <c r="K4453" t="n">
        <v>0</v>
      </c>
      <c r="L4453" t="n">
        <v>67525</v>
      </c>
      <c r="M4453" t="n">
        <v>77000</v>
      </c>
      <c r="N4453" t="n">
        <v>33</v>
      </c>
      <c r="O4453" t="n">
        <v>0.33</v>
      </c>
      <c r="P4453" t="n">
        <v>1</v>
      </c>
      <c r="Q4453" t="n">
        <v>0.08</v>
      </c>
      <c r="R4453" t="n">
        <v>1</v>
      </c>
      <c r="S4453" t="n">
        <v>7368.9</v>
      </c>
      <c r="T4453" t="n">
        <v>13</v>
      </c>
      <c r="U4453" t="n">
        <v>14</v>
      </c>
      <c r="V4453" t="n">
        <v>30</v>
      </c>
      <c r="W4453" t="n">
        <v>3</v>
      </c>
      <c r="X4453" t="n">
        <v>114.9425287356322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9794</v>
      </c>
      <c r="AG4453" t="n">
        <v>2206</v>
      </c>
      <c r="AH4453" t="inlineStr">
        <is>
          <t>PT. ENHA PUTRA (ONLINE CASH)</t>
        </is>
      </c>
      <c r="AI4453" t="n">
        <v>361</v>
      </c>
      <c r="AJ4453" t="inlineStr">
        <is>
          <t>VASELINE</t>
        </is>
      </c>
      <c r="AK4453" t="n">
        <v>9</v>
      </c>
      <c r="AL4453" t="inlineStr">
        <is>
          <t>Miss Glam Jambi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VASELINE</t>
        </is>
      </c>
      <c r="B4454" s="2">
        <f>"8999999581930"</f>
        <v/>
      </c>
      <c r="C4454" t="inlineStr">
        <is>
          <t>VASELINE Healthy Bright Gluta-Hya Flawless Bright 200ml</t>
        </is>
      </c>
      <c r="D4454" t="inlineStr">
        <is>
          <t>Miss Glam Jambi</t>
        </is>
      </c>
      <c r="E4454" t="n">
        <v>9</v>
      </c>
      <c r="F4454" t="n">
        <v>0.6435</v>
      </c>
      <c r="G4454" t="n">
        <v>2.31</v>
      </c>
      <c r="H4454" t="n">
        <v>3</v>
      </c>
      <c r="I4454" t="n">
        <v>19</v>
      </c>
      <c r="J4454" t="n">
        <v>3</v>
      </c>
      <c r="K4454" t="n">
        <v>7</v>
      </c>
      <c r="L4454" t="n">
        <v>48386</v>
      </c>
      <c r="M4454" t="n">
        <v>56000</v>
      </c>
      <c r="N4454" t="n">
        <v>33</v>
      </c>
      <c r="O4454" t="n">
        <v>0.33</v>
      </c>
      <c r="P4454" t="n">
        <v>1</v>
      </c>
      <c r="Q4454" t="n">
        <v>0.29</v>
      </c>
      <c r="R4454" t="n">
        <v>3</v>
      </c>
      <c r="S4454" t="n">
        <v>36036</v>
      </c>
      <c r="T4454" t="n">
        <v>42</v>
      </c>
      <c r="U4454" t="n">
        <v>44</v>
      </c>
      <c r="V4454" t="n">
        <v>30</v>
      </c>
      <c r="W4454" t="n">
        <v>20</v>
      </c>
      <c r="X4454" t="n">
        <v>13.98601398601399</v>
      </c>
      <c r="Y4454" t="n">
        <v>1</v>
      </c>
      <c r="Z4454" t="n">
        <v>4</v>
      </c>
      <c r="AA4454" t="n">
        <v>3</v>
      </c>
      <c r="AB4454" t="n">
        <v>1</v>
      </c>
      <c r="AC4454" t="n">
        <v>3</v>
      </c>
      <c r="AD4454" t="n">
        <v>145158</v>
      </c>
      <c r="AE4454" t="n">
        <v>145158</v>
      </c>
      <c r="AF4454" t="n">
        <v>9794</v>
      </c>
      <c r="AG4454" t="n">
        <v>2206</v>
      </c>
      <c r="AH4454" t="inlineStr">
        <is>
          <t>PT. ENHA PUTRA (ONLINE CASH)</t>
        </is>
      </c>
      <c r="AI4454" t="n">
        <v>361</v>
      </c>
      <c r="AJ4454" t="inlineStr">
        <is>
          <t>VASELINE</t>
        </is>
      </c>
      <c r="AK4454" t="n">
        <v>9</v>
      </c>
      <c r="AL4454" t="inlineStr">
        <is>
          <t>Miss Glam Jambi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VASELINE</t>
        </is>
      </c>
      <c r="B4455" s="2">
        <f>"9556126670654"</f>
        <v/>
      </c>
      <c r="C4455" t="inlineStr">
        <is>
          <t>VASELINE Healthy Bright Gluta-Hya Flawless Glow 330ml</t>
        </is>
      </c>
      <c r="D4455" t="inlineStr">
        <is>
          <t>Miss Glam Jambi</t>
        </is>
      </c>
      <c r="E4455" t="n">
        <v>7</v>
      </c>
      <c r="F4455" t="n">
        <v>0.2244</v>
      </c>
      <c r="G4455" t="n">
        <v>1.32</v>
      </c>
      <c r="H4455" t="n">
        <v>3</v>
      </c>
      <c r="I4455" t="n">
        <v>19</v>
      </c>
      <c r="J4455" t="n">
        <v>3</v>
      </c>
      <c r="K4455" t="n">
        <v>0</v>
      </c>
      <c r="L4455" t="n">
        <v>65742</v>
      </c>
      <c r="M4455" t="n">
        <v>93500</v>
      </c>
      <c r="N4455" t="n">
        <v>33</v>
      </c>
      <c r="O4455" t="n">
        <v>0.33</v>
      </c>
      <c r="P4455" t="n">
        <v>1</v>
      </c>
      <c r="Q4455" t="n">
        <v>0.19</v>
      </c>
      <c r="R4455" t="n">
        <v>3</v>
      </c>
      <c r="S4455" t="n">
        <v>20981.4</v>
      </c>
      <c r="T4455" t="n">
        <v>25</v>
      </c>
      <c r="U4455" t="n">
        <v>26</v>
      </c>
      <c r="V4455" t="n">
        <v>30</v>
      </c>
      <c r="W4455" t="n">
        <v>7</v>
      </c>
      <c r="X4455" t="n">
        <v>31.19429590017825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9794</v>
      </c>
      <c r="AG4455" t="n">
        <v>2206</v>
      </c>
      <c r="AH4455" t="inlineStr">
        <is>
          <t>PT. ENHA PUTRA (ONLINE CASH)</t>
        </is>
      </c>
      <c r="AI4455" t="n">
        <v>361</v>
      </c>
      <c r="AJ4455" t="inlineStr">
        <is>
          <t>VASELINE</t>
        </is>
      </c>
      <c r="AK4455" t="n">
        <v>9</v>
      </c>
      <c r="AL4455" t="inlineStr">
        <is>
          <t>Miss Glam Jambi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VASELINE</t>
        </is>
      </c>
      <c r="B4456" s="2">
        <f>"8999999596972"</f>
        <v/>
      </c>
      <c r="C4456" t="inlineStr">
        <is>
          <t>VASELINE Healthy Bright Gluta-Hya Serum Burst Lotion Pro Age Restore 200ml</t>
        </is>
      </c>
      <c r="D4456" t="inlineStr">
        <is>
          <t>Miss Glam Jambi</t>
        </is>
      </c>
      <c r="E4456" t="n">
        <v>6</v>
      </c>
      <c r="F4456" t="n">
        <v>0.1221</v>
      </c>
      <c r="G4456" t="n">
        <v>0.66</v>
      </c>
      <c r="H4456" t="n">
        <v>3</v>
      </c>
      <c r="I4456" t="n">
        <v>19</v>
      </c>
      <c r="J4456" t="n">
        <v>3</v>
      </c>
      <c r="K4456" t="n">
        <v>0</v>
      </c>
      <c r="L4456" t="n">
        <v>51400</v>
      </c>
      <c r="M4456" t="n">
        <v>58500</v>
      </c>
      <c r="N4456" t="n">
        <v>33</v>
      </c>
      <c r="O4456" t="n">
        <v>0.33</v>
      </c>
      <c r="P4456" t="n">
        <v>1</v>
      </c>
      <c r="Q4456" t="n">
        <v>0.05</v>
      </c>
      <c r="R4456" t="n">
        <v>1</v>
      </c>
      <c r="S4456" t="n">
        <v>7142.85</v>
      </c>
      <c r="T4456" t="n">
        <v>13</v>
      </c>
      <c r="U4456" t="n">
        <v>14</v>
      </c>
      <c r="V4456" t="n">
        <v>30</v>
      </c>
      <c r="W4456" t="n">
        <v>4</v>
      </c>
      <c r="X4456" t="n">
        <v>49.14004914004914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9794</v>
      </c>
      <c r="AG4456" t="n">
        <v>2206</v>
      </c>
      <c r="AH4456" t="inlineStr">
        <is>
          <t>PT. ENHA PUTRA (ONLINE CASH)</t>
        </is>
      </c>
      <c r="AI4456" t="n">
        <v>361</v>
      </c>
      <c r="AJ4456" t="inlineStr">
        <is>
          <t>VASELINE</t>
        </is>
      </c>
      <c r="AK4456" t="n">
        <v>9</v>
      </c>
      <c r="AL4456" t="inlineStr">
        <is>
          <t>Miss Glam Jambi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VASELINE</t>
        </is>
      </c>
      <c r="B4457" s="2">
        <f>"8999999577421"</f>
        <v/>
      </c>
      <c r="C4457" t="inlineStr">
        <is>
          <t>VASELINE Healthy Bright Hijab Protect Gluta Vitamin 180ml</t>
        </is>
      </c>
      <c r="D4457" t="inlineStr">
        <is>
          <t>Miss Glam Jambi</t>
        </is>
      </c>
      <c r="E4457" t="n">
        <v>7</v>
      </c>
      <c r="F4457" t="n">
        <v>0.3564000000000001</v>
      </c>
      <c r="G4457" t="n">
        <v>0.99</v>
      </c>
      <c r="H4457" t="n">
        <v>3</v>
      </c>
      <c r="I4457" t="n">
        <v>19</v>
      </c>
      <c r="J4457" t="n">
        <v>3</v>
      </c>
      <c r="K4457" t="n">
        <v>4</v>
      </c>
      <c r="L4457" t="n">
        <v>29478</v>
      </c>
      <c r="M4457" t="n">
        <v>35500</v>
      </c>
      <c r="N4457" t="n">
        <v>33</v>
      </c>
      <c r="O4457" t="n">
        <v>0.33</v>
      </c>
      <c r="P4457" t="n">
        <v>1</v>
      </c>
      <c r="Q4457" t="n">
        <v>0.17</v>
      </c>
      <c r="R4457" t="n">
        <v>1</v>
      </c>
      <c r="S4457" t="n">
        <v>12652.2</v>
      </c>
      <c r="T4457" t="n">
        <v>18</v>
      </c>
      <c r="U4457" t="n">
        <v>20</v>
      </c>
      <c r="V4457" t="n">
        <v>30</v>
      </c>
      <c r="W4457" t="n">
        <v>11</v>
      </c>
      <c r="X4457" t="n">
        <v>19.64085297418631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9794</v>
      </c>
      <c r="AG4457" t="n">
        <v>2206</v>
      </c>
      <c r="AH4457" t="inlineStr">
        <is>
          <t>PT. ENHA PUTRA (ONLINE CASH)</t>
        </is>
      </c>
      <c r="AI4457" t="n">
        <v>361</v>
      </c>
      <c r="AJ4457" t="inlineStr">
        <is>
          <t>VASELINE</t>
        </is>
      </c>
      <c r="AK4457" t="n">
        <v>9</v>
      </c>
      <c r="AL4457" t="inlineStr">
        <is>
          <t>Miss Glam Jambi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VASELINE</t>
        </is>
      </c>
      <c r="B4458" s="2">
        <f>"8999999024789"</f>
        <v/>
      </c>
      <c r="C4458" t="inlineStr">
        <is>
          <t>VASELINE Healthy Bright Perfect10 200ml</t>
        </is>
      </c>
      <c r="D4458" t="inlineStr">
        <is>
          <t>Miss Glam Jambi</t>
        </is>
      </c>
      <c r="E4458" t="n">
        <v>1</v>
      </c>
      <c r="F4458" t="n">
        <v>0.0165</v>
      </c>
      <c r="G4458" t="n">
        <v>0.33</v>
      </c>
      <c r="H4458" t="n">
        <v>3</v>
      </c>
      <c r="I4458" t="n">
        <v>19</v>
      </c>
      <c r="J4458" t="n">
        <v>3</v>
      </c>
      <c r="K4458" t="n">
        <v>0</v>
      </c>
      <c r="L4458" t="n">
        <v>30676</v>
      </c>
      <c r="M4458" t="n">
        <v>46500</v>
      </c>
      <c r="N4458" t="n">
        <v>33</v>
      </c>
      <c r="O4458" t="n">
        <v>0.33</v>
      </c>
      <c r="P4458" t="n">
        <v>1</v>
      </c>
      <c r="Q4458" t="n">
        <v>0.03</v>
      </c>
      <c r="R4458" t="n">
        <v>1</v>
      </c>
      <c r="S4458" t="n">
        <v>767.25</v>
      </c>
      <c r="T4458" t="n">
        <v>7</v>
      </c>
      <c r="U4458" t="n">
        <v>8</v>
      </c>
      <c r="V4458" t="n">
        <v>30</v>
      </c>
      <c r="W4458" t="n">
        <v>1</v>
      </c>
      <c r="X4458" t="n">
        <v>60.6060606060606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9794</v>
      </c>
      <c r="AG4458" t="n">
        <v>2206</v>
      </c>
      <c r="AH4458" t="inlineStr">
        <is>
          <t>PT. ENHA PUTRA (ONLINE CASH)</t>
        </is>
      </c>
      <c r="AI4458" t="n">
        <v>361</v>
      </c>
      <c r="AJ4458" t="inlineStr">
        <is>
          <t>VASELINE</t>
        </is>
      </c>
      <c r="AK4458" t="n">
        <v>9</v>
      </c>
      <c r="AL4458" t="inlineStr">
        <is>
          <t>Miss Glam Jambi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VASELINE</t>
        </is>
      </c>
      <c r="B4459" s="2">
        <f>"8999999577407"</f>
        <v/>
      </c>
      <c r="C4459" t="inlineStr">
        <is>
          <t>VASELINE Healthy Bright Radiant Gluta Vitamin Cooling Serum 180ml</t>
        </is>
      </c>
      <c r="D4459" t="inlineStr">
        <is>
          <t>Miss Glam Jambi</t>
        </is>
      </c>
      <c r="E4459" t="n">
        <v>6</v>
      </c>
      <c r="F4459" t="n">
        <v>0.1122</v>
      </c>
      <c r="G4459" t="n">
        <v>0.66</v>
      </c>
      <c r="H4459" t="n">
        <v>3</v>
      </c>
      <c r="I4459" t="n">
        <v>19</v>
      </c>
      <c r="J4459" t="n">
        <v>3</v>
      </c>
      <c r="K4459" t="n">
        <v>0</v>
      </c>
      <c r="L4459" t="n">
        <v>24711</v>
      </c>
      <c r="M4459" t="n">
        <v>33000</v>
      </c>
      <c r="N4459" t="n">
        <v>33</v>
      </c>
      <c r="O4459" t="n">
        <v>0.33</v>
      </c>
      <c r="P4459" t="n">
        <v>1</v>
      </c>
      <c r="Q4459" t="n">
        <v>0.02</v>
      </c>
      <c r="R4459" t="n">
        <v>1</v>
      </c>
      <c r="S4459" t="n">
        <v>3702.6</v>
      </c>
      <c r="T4459" t="n">
        <v>13</v>
      </c>
      <c r="U4459" t="n">
        <v>14</v>
      </c>
      <c r="V4459" t="n">
        <v>30</v>
      </c>
      <c r="W4459" t="n">
        <v>4</v>
      </c>
      <c r="X4459" t="n">
        <v>53.475935828877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9794</v>
      </c>
      <c r="AG4459" t="n">
        <v>2206</v>
      </c>
      <c r="AH4459" t="inlineStr">
        <is>
          <t>PT. ENHA PUTRA (ONLINE CASH)</t>
        </is>
      </c>
      <c r="AI4459" t="n">
        <v>361</v>
      </c>
      <c r="AJ4459" t="inlineStr">
        <is>
          <t>VASELINE</t>
        </is>
      </c>
      <c r="AK4459" t="n">
        <v>9</v>
      </c>
      <c r="AL4459" t="inlineStr">
        <is>
          <t>Miss Glam Jambi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VASELINE</t>
        </is>
      </c>
      <c r="B4460" s="2">
        <f>"8999999035273"</f>
        <v/>
      </c>
      <c r="C4460" t="inlineStr">
        <is>
          <t>VASELINE Healthy Bright Spf 30 PA++ Gluta Vitamin 180ml</t>
        </is>
      </c>
      <c r="D4460" t="inlineStr">
        <is>
          <t>Miss Glam Jambi</t>
        </is>
      </c>
      <c r="E4460" t="n">
        <v>8</v>
      </c>
      <c r="F4460" t="n">
        <v>0.4026</v>
      </c>
      <c r="G4460" t="n">
        <v>1.32</v>
      </c>
      <c r="H4460" t="n">
        <v>3</v>
      </c>
      <c r="I4460" t="n">
        <v>19</v>
      </c>
      <c r="J4460" t="n">
        <v>3</v>
      </c>
      <c r="K4460" t="n">
        <v>5</v>
      </c>
      <c r="L4460" t="n">
        <v>46009</v>
      </c>
      <c r="M4460" t="n">
        <v>56000</v>
      </c>
      <c r="N4460" t="n">
        <v>33</v>
      </c>
      <c r="O4460" t="n">
        <v>0.33</v>
      </c>
      <c r="P4460" t="n">
        <v>1</v>
      </c>
      <c r="Q4460" t="n">
        <v>0.2</v>
      </c>
      <c r="R4460" t="n">
        <v>2</v>
      </c>
      <c r="S4460" t="n">
        <v>22545.6</v>
      </c>
      <c r="T4460" t="n">
        <v>24</v>
      </c>
      <c r="U4460" t="n">
        <v>26</v>
      </c>
      <c r="V4460" t="n">
        <v>30</v>
      </c>
      <c r="W4460" t="n">
        <v>13</v>
      </c>
      <c r="X4460" t="n">
        <v>19.87083954297069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9794</v>
      </c>
      <c r="AG4460" t="n">
        <v>2206</v>
      </c>
      <c r="AH4460" t="inlineStr">
        <is>
          <t>PT. ENHA PUTRA (ONLINE CASH)</t>
        </is>
      </c>
      <c r="AI4460" t="n">
        <v>361</v>
      </c>
      <c r="AJ4460" t="inlineStr">
        <is>
          <t>VASELINE</t>
        </is>
      </c>
      <c r="AK4460" t="n">
        <v>9</v>
      </c>
      <c r="AL4460" t="inlineStr">
        <is>
          <t>Miss Glam Jambi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VASELINE</t>
        </is>
      </c>
      <c r="B4461" s="2">
        <f>"8999999719395"</f>
        <v/>
      </c>
      <c r="C4461" t="inlineStr">
        <is>
          <t>VASELINE Healthy Bright UV Extra Brightening 100ml</t>
        </is>
      </c>
      <c r="D4461" t="inlineStr">
        <is>
          <t>Miss Glam Jambi</t>
        </is>
      </c>
      <c r="E4461" t="n">
        <v>1</v>
      </c>
      <c r="F4461" t="n">
        <v>0.5412</v>
      </c>
      <c r="G4461" t="n">
        <v>1.32</v>
      </c>
      <c r="H4461" t="n">
        <v>3</v>
      </c>
      <c r="I4461" t="n">
        <v>19</v>
      </c>
      <c r="J4461" t="n">
        <v>3</v>
      </c>
      <c r="K4461" t="n">
        <v>6</v>
      </c>
      <c r="L4461" t="n">
        <v>14999</v>
      </c>
      <c r="M4461" t="n">
        <v>17500</v>
      </c>
      <c r="N4461" t="n">
        <v>33</v>
      </c>
      <c r="O4461" t="n">
        <v>0.33</v>
      </c>
      <c r="P4461" t="n">
        <v>1</v>
      </c>
      <c r="Q4461" t="n">
        <v>0.22</v>
      </c>
      <c r="R4461" t="n">
        <v>2</v>
      </c>
      <c r="S4461" t="n">
        <v>9471</v>
      </c>
      <c r="T4461" t="n">
        <v>24</v>
      </c>
      <c r="U4461" t="n">
        <v>26</v>
      </c>
      <c r="V4461" t="n">
        <v>30</v>
      </c>
      <c r="W4461" t="n">
        <v>17</v>
      </c>
      <c r="X4461" t="n">
        <v>1.847745750184774</v>
      </c>
      <c r="Y4461" t="n">
        <v>1</v>
      </c>
      <c r="Z4461" t="n">
        <v>10</v>
      </c>
      <c r="AA4461" t="n">
        <v>9</v>
      </c>
      <c r="AB4461" t="n">
        <v>1</v>
      </c>
      <c r="AC4461" t="n">
        <v>3</v>
      </c>
      <c r="AD4461" t="n">
        <v>134991</v>
      </c>
      <c r="AE4461" t="n">
        <v>44997</v>
      </c>
      <c r="AF4461" t="n">
        <v>9794</v>
      </c>
      <c r="AG4461" t="n">
        <v>2206</v>
      </c>
      <c r="AH4461" t="inlineStr">
        <is>
          <t>PT. ENHA PUTRA (ONLINE CASH)</t>
        </is>
      </c>
      <c r="AI4461" t="n">
        <v>361</v>
      </c>
      <c r="AJ4461" t="inlineStr">
        <is>
          <t>VASELINE</t>
        </is>
      </c>
      <c r="AK4461" t="n">
        <v>9</v>
      </c>
      <c r="AL4461" t="inlineStr">
        <is>
          <t>Miss Glam Jambi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VASELINE</t>
        </is>
      </c>
      <c r="B4462" s="2">
        <f>"8999999506506"</f>
        <v/>
      </c>
      <c r="C4462" t="inlineStr">
        <is>
          <t>VASELINE Healty Bright SPF 24 PA++ Sun+Pollution 400ml</t>
        </is>
      </c>
      <c r="D4462" t="inlineStr">
        <is>
          <t>Miss Glam Jambi</t>
        </is>
      </c>
      <c r="E4462" t="n">
        <v>10</v>
      </c>
      <c r="F4462" t="n">
        <v>0.1353</v>
      </c>
      <c r="G4462" t="n">
        <v>0.66</v>
      </c>
      <c r="H4462" t="n">
        <v>3</v>
      </c>
      <c r="I4462" t="n">
        <v>19</v>
      </c>
      <c r="J4462" t="n">
        <v>3</v>
      </c>
      <c r="K4462" t="n">
        <v>0</v>
      </c>
      <c r="L4462" t="n">
        <v>59070</v>
      </c>
      <c r="M4462" t="n">
        <v>64000</v>
      </c>
      <c r="N4462" t="n">
        <v>33</v>
      </c>
      <c r="O4462" t="n">
        <v>0.33</v>
      </c>
      <c r="P4462" t="n">
        <v>1</v>
      </c>
      <c r="Q4462" t="n">
        <v>0.12</v>
      </c>
      <c r="R4462" t="n">
        <v>1</v>
      </c>
      <c r="S4462" t="n">
        <v>8659.200000000001</v>
      </c>
      <c r="T4462" t="n">
        <v>13</v>
      </c>
      <c r="U4462" t="n">
        <v>14</v>
      </c>
      <c r="V4462" t="n">
        <v>30</v>
      </c>
      <c r="W4462" t="n">
        <v>5</v>
      </c>
      <c r="X4462" t="n">
        <v>73.90983000739098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9794</v>
      </c>
      <c r="AG4462" t="n">
        <v>2206</v>
      </c>
      <c r="AH4462" t="inlineStr">
        <is>
          <t>PT. ENHA PUTRA (ONLINE CASH)</t>
        </is>
      </c>
      <c r="AI4462" t="n">
        <v>361</v>
      </c>
      <c r="AJ4462" t="inlineStr">
        <is>
          <t>VASELINE</t>
        </is>
      </c>
      <c r="AK4462" t="n">
        <v>9</v>
      </c>
      <c r="AL4462" t="inlineStr">
        <is>
          <t>Miss Glam Jambi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VASELINE</t>
        </is>
      </c>
      <c r="B4463" s="2">
        <f>"8999999003067"</f>
        <v/>
      </c>
      <c r="C4463" t="inlineStr">
        <is>
          <t>VASELINE Healty Bright Sun Pollution Spf24 Protection Lotion 100ml</t>
        </is>
      </c>
      <c r="D4463" t="inlineStr">
        <is>
          <t>Miss Glam Jambi</t>
        </is>
      </c>
      <c r="E4463" t="n">
        <v>4</v>
      </c>
      <c r="F4463" t="n">
        <v>0.396</v>
      </c>
      <c r="G4463" t="n">
        <v>0.99</v>
      </c>
      <c r="H4463" t="n">
        <v>3</v>
      </c>
      <c r="I4463" t="n">
        <v>19</v>
      </c>
      <c r="J4463" t="n">
        <v>3</v>
      </c>
      <c r="K4463" t="n">
        <v>5</v>
      </c>
      <c r="L4463" t="n">
        <v>17153</v>
      </c>
      <c r="M4463" t="n">
        <v>21000</v>
      </c>
      <c r="N4463" t="n">
        <v>33</v>
      </c>
      <c r="O4463" t="n">
        <v>0.33</v>
      </c>
      <c r="P4463" t="n">
        <v>1</v>
      </c>
      <c r="Q4463" t="n">
        <v>0.14</v>
      </c>
      <c r="R4463" t="n">
        <v>1</v>
      </c>
      <c r="S4463" t="n">
        <v>8316</v>
      </c>
      <c r="T4463" t="n">
        <v>18</v>
      </c>
      <c r="U4463" t="n">
        <v>20</v>
      </c>
      <c r="V4463" t="n">
        <v>30</v>
      </c>
      <c r="W4463" t="n">
        <v>12</v>
      </c>
      <c r="X4463" t="n">
        <v>10.1010101010101</v>
      </c>
      <c r="Y4463" t="n">
        <v>1</v>
      </c>
      <c r="Z4463" t="n">
        <v>3</v>
      </c>
      <c r="AA4463" t="n">
        <v>3</v>
      </c>
      <c r="AB4463" t="n">
        <v>0</v>
      </c>
      <c r="AC4463" t="n">
        <v>0</v>
      </c>
      <c r="AD4463" t="n">
        <v>51459</v>
      </c>
      <c r="AE4463" t="n">
        <v>0</v>
      </c>
      <c r="AF4463" t="n">
        <v>9794</v>
      </c>
      <c r="AG4463" t="n">
        <v>2206</v>
      </c>
      <c r="AH4463" t="inlineStr">
        <is>
          <t>PT. ENHA PUTRA (ONLINE CASH)</t>
        </is>
      </c>
      <c r="AI4463" t="n">
        <v>361</v>
      </c>
      <c r="AJ4463" t="inlineStr">
        <is>
          <t>VASELINE</t>
        </is>
      </c>
      <c r="AK4463" t="n">
        <v>9</v>
      </c>
      <c r="AL4463" t="inlineStr">
        <is>
          <t>Miss Glam Jambi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VASELINE</t>
        </is>
      </c>
      <c r="B4464" s="2">
        <f>"8999999003043"</f>
        <v/>
      </c>
      <c r="C4464" t="inlineStr">
        <is>
          <t>VASELINE Healty Bright Sun Pollution Spf24 Protection Lotion 200ml</t>
        </is>
      </c>
      <c r="D4464" t="inlineStr">
        <is>
          <t>Miss Glam Jambi</t>
        </is>
      </c>
      <c r="E4464" t="n">
        <v>5</v>
      </c>
      <c r="F4464" t="n">
        <v>0.1188</v>
      </c>
      <c r="G4464" t="n">
        <v>0.99</v>
      </c>
      <c r="H4464" t="n">
        <v>3</v>
      </c>
      <c r="I4464" t="n">
        <v>19</v>
      </c>
      <c r="J4464" t="n">
        <v>3</v>
      </c>
      <c r="K4464" t="n">
        <v>0</v>
      </c>
      <c r="L4464" t="n">
        <v>30728</v>
      </c>
      <c r="M4464" t="n">
        <v>47000</v>
      </c>
      <c r="N4464" t="n">
        <v>33</v>
      </c>
      <c r="O4464" t="n">
        <v>0.33</v>
      </c>
      <c r="P4464" t="n">
        <v>1</v>
      </c>
      <c r="Q4464" t="n">
        <v>0.07000000000000001</v>
      </c>
      <c r="R4464" t="n">
        <v>1</v>
      </c>
      <c r="S4464" t="n">
        <v>5583.6</v>
      </c>
      <c r="T4464" t="n">
        <v>19</v>
      </c>
      <c r="U4464" t="n">
        <v>20</v>
      </c>
      <c r="V4464" t="n">
        <v>30</v>
      </c>
      <c r="W4464" t="n">
        <v>4</v>
      </c>
      <c r="X4464" t="n">
        <v>42.08754208754209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9794</v>
      </c>
      <c r="AG4464" t="n">
        <v>2206</v>
      </c>
      <c r="AH4464" t="inlineStr">
        <is>
          <t>PT. ENHA PUTRA (ONLINE CASH)</t>
        </is>
      </c>
      <c r="AI4464" t="n">
        <v>361</v>
      </c>
      <c r="AJ4464" t="inlineStr">
        <is>
          <t>VASELINE</t>
        </is>
      </c>
      <c r="AK4464" t="n">
        <v>9</v>
      </c>
      <c r="AL4464" t="inlineStr">
        <is>
          <t>Miss Glam Jambi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VASELINE</t>
        </is>
      </c>
      <c r="B4465" s="2">
        <f>"8999999590055"</f>
        <v/>
      </c>
      <c r="C4465" t="inlineStr">
        <is>
          <t>VASELINE Healty Burst Lotion GLUTA-HYA Overnight Radiance Repair 330ml</t>
        </is>
      </c>
      <c r="D4465" t="inlineStr">
        <is>
          <t>Miss Glam Jambi</t>
        </is>
      </c>
      <c r="E4465" t="n">
        <v>18</v>
      </c>
      <c r="F4465" t="n">
        <v>0.1683</v>
      </c>
      <c r="G4465" t="n">
        <v>0.99</v>
      </c>
      <c r="H4465" t="n">
        <v>3</v>
      </c>
      <c r="I4465" t="n">
        <v>19</v>
      </c>
      <c r="J4465" t="n">
        <v>3</v>
      </c>
      <c r="K4465" t="n">
        <v>0</v>
      </c>
      <c r="L4465" t="n">
        <v>72216</v>
      </c>
      <c r="M4465" t="n">
        <v>85500</v>
      </c>
      <c r="N4465" t="n">
        <v>33</v>
      </c>
      <c r="O4465" t="n">
        <v>0.33</v>
      </c>
      <c r="P4465" t="n">
        <v>1</v>
      </c>
      <c r="Q4465" t="n">
        <v>0.1</v>
      </c>
      <c r="R4465" t="n">
        <v>1</v>
      </c>
      <c r="S4465" t="n">
        <v>14389.65</v>
      </c>
      <c r="T4465" t="n">
        <v>19</v>
      </c>
      <c r="U4465" t="n">
        <v>20</v>
      </c>
      <c r="V4465" t="n">
        <v>30</v>
      </c>
      <c r="W4465" t="n">
        <v>6</v>
      </c>
      <c r="X4465" t="n">
        <v>106.951871657754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9794</v>
      </c>
      <c r="AG4465" t="n">
        <v>2206</v>
      </c>
      <c r="AH4465" t="inlineStr">
        <is>
          <t>PT. ENHA PUTRA (ONLINE CASH)</t>
        </is>
      </c>
      <c r="AI4465" t="n">
        <v>361</v>
      </c>
      <c r="AJ4465" t="inlineStr">
        <is>
          <t>VASELINE</t>
        </is>
      </c>
      <c r="AK4465" t="n">
        <v>9</v>
      </c>
      <c r="AL4465" t="inlineStr">
        <is>
          <t>Miss Glam Jambi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VASELINE</t>
        </is>
      </c>
      <c r="B4466" s="2">
        <f>"8999999045579"</f>
        <v/>
      </c>
      <c r="C4466" t="inlineStr">
        <is>
          <t>VASELINE Intensive Care Advanced Sternght 200ml</t>
        </is>
      </c>
      <c r="D4466" t="inlineStr">
        <is>
          <t>Miss Glam Jambi</t>
        </is>
      </c>
      <c r="E4466" t="n">
        <v>4</v>
      </c>
      <c r="F4466" t="n">
        <v>0.1023</v>
      </c>
      <c r="G4466" t="n">
        <v>0.99</v>
      </c>
      <c r="H4466" t="n">
        <v>3</v>
      </c>
      <c r="I4466" t="n">
        <v>19</v>
      </c>
      <c r="J4466" t="n">
        <v>3</v>
      </c>
      <c r="K4466" t="n">
        <v>0</v>
      </c>
      <c r="L4466" t="n">
        <v>30630</v>
      </c>
      <c r="M4466" t="n">
        <v>33500</v>
      </c>
      <c r="N4466" t="n">
        <v>33</v>
      </c>
      <c r="O4466" t="n">
        <v>0.33</v>
      </c>
      <c r="P4466" t="n">
        <v>1</v>
      </c>
      <c r="Q4466" t="n">
        <v>0.07000000000000001</v>
      </c>
      <c r="R4466" t="n">
        <v>1</v>
      </c>
      <c r="S4466" t="n">
        <v>3427.05</v>
      </c>
      <c r="T4466" t="n">
        <v>19</v>
      </c>
      <c r="U4466" t="n">
        <v>20</v>
      </c>
      <c r="V4466" t="n">
        <v>30</v>
      </c>
      <c r="W4466" t="n">
        <v>4</v>
      </c>
      <c r="X4466" t="n">
        <v>39.10068426197459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9794</v>
      </c>
      <c r="AG4466" t="n">
        <v>2206</v>
      </c>
      <c r="AH4466" t="inlineStr">
        <is>
          <t>PT. ENHA PUTRA (ONLINE CASH)</t>
        </is>
      </c>
      <c r="AI4466" t="n">
        <v>361</v>
      </c>
      <c r="AJ4466" t="inlineStr">
        <is>
          <t>VASELINE</t>
        </is>
      </c>
      <c r="AK4466" t="n">
        <v>9</v>
      </c>
      <c r="AL4466" t="inlineStr">
        <is>
          <t>Miss Glam Jambi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VASELINE</t>
        </is>
      </c>
      <c r="B4467" s="2">
        <f>"8999999003074"</f>
        <v/>
      </c>
      <c r="C4467" t="inlineStr">
        <is>
          <t>VASELINE Intensive Care Aloe Soothe 100ml</t>
        </is>
      </c>
      <c r="D4467" t="inlineStr">
        <is>
          <t>Miss Glam Jambi</t>
        </is>
      </c>
      <c r="E4467" t="n">
        <v>7</v>
      </c>
      <c r="F4467" t="n">
        <v>0.2112</v>
      </c>
      <c r="G4467" t="n">
        <v>1.65</v>
      </c>
      <c r="H4467" t="n">
        <v>3</v>
      </c>
      <c r="I4467" t="n">
        <v>19</v>
      </c>
      <c r="J4467" t="n">
        <v>3</v>
      </c>
      <c r="K4467" t="n">
        <v>0</v>
      </c>
      <c r="L4467" t="n">
        <v>14977</v>
      </c>
      <c r="M4467" t="n">
        <v>16500</v>
      </c>
      <c r="N4467" t="n">
        <v>33</v>
      </c>
      <c r="O4467" t="n">
        <v>0.33</v>
      </c>
      <c r="P4467" t="n">
        <v>1</v>
      </c>
      <c r="Q4467" t="n">
        <v>0.02</v>
      </c>
      <c r="R4467" t="n">
        <v>1</v>
      </c>
      <c r="S4467" t="n">
        <v>3484.800000000001</v>
      </c>
      <c r="T4467" t="n">
        <v>31</v>
      </c>
      <c r="U4467" t="n">
        <v>32</v>
      </c>
      <c r="V4467" t="n">
        <v>30</v>
      </c>
      <c r="W4467" t="n">
        <v>7</v>
      </c>
      <c r="X4467" t="n">
        <v>33.14393939393939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9794</v>
      </c>
      <c r="AG4467" t="n">
        <v>2206</v>
      </c>
      <c r="AH4467" t="inlineStr">
        <is>
          <t>PT. ENHA PUTRA (ONLINE CASH)</t>
        </is>
      </c>
      <c r="AI4467" t="n">
        <v>361</v>
      </c>
      <c r="AJ4467" t="inlineStr">
        <is>
          <t>VASELINE</t>
        </is>
      </c>
      <c r="AK4467" t="n">
        <v>9</v>
      </c>
      <c r="AL4467" t="inlineStr">
        <is>
          <t>Miss Glam Jambi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VASELINE</t>
        </is>
      </c>
      <c r="B4468" s="2">
        <f>"8999999003098"</f>
        <v/>
      </c>
      <c r="C4468" t="inlineStr">
        <is>
          <t>VASELINE Intensive Care Aloe Soothe 200ml</t>
        </is>
      </c>
      <c r="D4468" t="inlineStr">
        <is>
          <t>Miss Glam Jambi</t>
        </is>
      </c>
      <c r="E4468" t="n">
        <v>3</v>
      </c>
      <c r="F4468" t="n">
        <v>0.07920000000000001</v>
      </c>
      <c r="G4468" t="n">
        <v>0.99</v>
      </c>
      <c r="H4468" t="n">
        <v>3</v>
      </c>
      <c r="I4468" t="n">
        <v>19</v>
      </c>
      <c r="J4468" t="n">
        <v>3</v>
      </c>
      <c r="K4468" t="n">
        <v>0</v>
      </c>
      <c r="L4468" t="n">
        <v>25686</v>
      </c>
      <c r="M4468" t="n">
        <v>31000</v>
      </c>
      <c r="N4468" t="n">
        <v>33</v>
      </c>
      <c r="O4468" t="n">
        <v>0.33</v>
      </c>
      <c r="P4468" t="n">
        <v>1</v>
      </c>
      <c r="Q4468" t="n">
        <v>0.1</v>
      </c>
      <c r="R4468" t="n">
        <v>1</v>
      </c>
      <c r="S4468" t="n">
        <v>2455.2</v>
      </c>
      <c r="T4468" t="n">
        <v>19</v>
      </c>
      <c r="U4468" t="n">
        <v>20</v>
      </c>
      <c r="V4468" t="n">
        <v>30</v>
      </c>
      <c r="W4468" t="n">
        <v>3</v>
      </c>
      <c r="X4468" t="n">
        <v>37.87878787878788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9794</v>
      </c>
      <c r="AG4468" t="n">
        <v>2206</v>
      </c>
      <c r="AH4468" t="inlineStr">
        <is>
          <t>PT. ENHA PUTRA (ONLINE CASH)</t>
        </is>
      </c>
      <c r="AI4468" t="n">
        <v>361</v>
      </c>
      <c r="AJ4468" t="inlineStr">
        <is>
          <t>VASELINE</t>
        </is>
      </c>
      <c r="AK4468" t="n">
        <v>9</v>
      </c>
      <c r="AL4468" t="inlineStr">
        <is>
          <t>Miss Glam Jambi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VASELINE</t>
        </is>
      </c>
      <c r="B4469" s="2">
        <f>"8999999045562"</f>
        <v/>
      </c>
      <c r="C4469" t="inlineStr">
        <is>
          <t>VASELINE Intensive Care Anvance Stength 100ml</t>
        </is>
      </c>
      <c r="D4469" t="inlineStr">
        <is>
          <t>Miss Glam Jambi</t>
        </is>
      </c>
      <c r="E4469" t="n">
        <v>2</v>
      </c>
      <c r="F4469" t="n">
        <v>0.066</v>
      </c>
      <c r="G4469" t="n">
        <v>0.66</v>
      </c>
      <c r="H4469" t="n">
        <v>3</v>
      </c>
      <c r="I4469" t="n">
        <v>19</v>
      </c>
      <c r="J4469" t="n">
        <v>3</v>
      </c>
      <c r="K4469" t="n">
        <v>3</v>
      </c>
      <c r="L4469" t="n">
        <v>19012</v>
      </c>
      <c r="M4469" t="n">
        <v>26500</v>
      </c>
      <c r="N4469" t="n">
        <v>33</v>
      </c>
      <c r="O4469" t="n">
        <v>0.33</v>
      </c>
      <c r="P4469" t="n">
        <v>1</v>
      </c>
      <c r="Q4469" t="n">
        <v>0.03</v>
      </c>
      <c r="R4469" t="n">
        <v>1</v>
      </c>
      <c r="S4469" t="n">
        <v>1749</v>
      </c>
      <c r="T4469" t="n">
        <v>13</v>
      </c>
      <c r="U4469" t="n">
        <v>14</v>
      </c>
      <c r="V4469" t="n">
        <v>30</v>
      </c>
      <c r="W4469" t="n">
        <v>2</v>
      </c>
      <c r="X4469" t="n">
        <v>30.3030303030303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9794</v>
      </c>
      <c r="AG4469" t="n">
        <v>2206</v>
      </c>
      <c r="AH4469" t="inlineStr">
        <is>
          <t>PT. ENHA PUTRA (ONLINE CASH)</t>
        </is>
      </c>
      <c r="AI4469" t="n">
        <v>361</v>
      </c>
      <c r="AJ4469" t="inlineStr">
        <is>
          <t>VASELINE</t>
        </is>
      </c>
      <c r="AK4469" t="n">
        <v>9</v>
      </c>
      <c r="AL4469" t="inlineStr">
        <is>
          <t>Miss Glam Jambi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VASELINE</t>
        </is>
      </c>
      <c r="B4470" s="2">
        <f>"8999999719401"</f>
        <v/>
      </c>
      <c r="C4470" t="inlineStr">
        <is>
          <t>VASELINE Lotion Healthy UV Lightening 400ml</t>
        </is>
      </c>
      <c r="D4470" t="inlineStr">
        <is>
          <t>Miss Glam Jambi</t>
        </is>
      </c>
      <c r="E4470" t="n">
        <v>4</v>
      </c>
      <c r="F4470" t="n">
        <v>0.1023</v>
      </c>
      <c r="G4470" t="n">
        <v>0.99</v>
      </c>
      <c r="H4470" t="n">
        <v>3</v>
      </c>
      <c r="I4470" t="n">
        <v>19</v>
      </c>
      <c r="J4470" t="n">
        <v>3</v>
      </c>
      <c r="K4470" t="n">
        <v>0</v>
      </c>
      <c r="L4470" t="n">
        <v>49697</v>
      </c>
      <c r="M4470" t="n">
        <v>54000</v>
      </c>
      <c r="N4470" t="n">
        <v>33</v>
      </c>
      <c r="O4470" t="n">
        <v>0.33</v>
      </c>
      <c r="P4470" t="n">
        <v>1</v>
      </c>
      <c r="Q4470" t="n">
        <v>0.08</v>
      </c>
      <c r="R4470" t="n">
        <v>1</v>
      </c>
      <c r="S4470" t="n">
        <v>5524.2</v>
      </c>
      <c r="T4470" t="n">
        <v>19</v>
      </c>
      <c r="U4470" t="n">
        <v>20</v>
      </c>
      <c r="V4470" t="n">
        <v>30</v>
      </c>
      <c r="W4470" t="n">
        <v>4</v>
      </c>
      <c r="X4470" t="n">
        <v>39.10068426197459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9794</v>
      </c>
      <c r="AG4470" t="n">
        <v>2206</v>
      </c>
      <c r="AH4470" t="inlineStr">
        <is>
          <t>PT. ENHA PUTRA (ONLINE CASH)</t>
        </is>
      </c>
      <c r="AI4470" t="n">
        <v>361</v>
      </c>
      <c r="AJ4470" t="inlineStr">
        <is>
          <t>VASELINE</t>
        </is>
      </c>
      <c r="AK4470" t="n">
        <v>9</v>
      </c>
      <c r="AL4470" t="inlineStr">
        <is>
          <t>Miss Glam Jambi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VASELINE</t>
        </is>
      </c>
      <c r="B4471" s="2">
        <f>"8999999502973"</f>
        <v/>
      </c>
      <c r="C4471" t="inlineStr">
        <is>
          <t>VASELINE Repairing Jelly 100ml</t>
        </is>
      </c>
      <c r="D4471" t="inlineStr">
        <is>
          <t>Miss Glam Jambi</t>
        </is>
      </c>
      <c r="E4471" t="n">
        <v>6</v>
      </c>
      <c r="F4471" t="n">
        <v>0.3564000000000001</v>
      </c>
      <c r="G4471" t="n">
        <v>2.64</v>
      </c>
      <c r="H4471" t="n">
        <v>3</v>
      </c>
      <c r="I4471" t="n">
        <v>19</v>
      </c>
      <c r="J4471" t="n">
        <v>3</v>
      </c>
      <c r="K4471" t="n">
        <v>4</v>
      </c>
      <c r="L4471" t="n">
        <v>46342</v>
      </c>
      <c r="M4471" t="n">
        <v>53500</v>
      </c>
      <c r="N4471" t="n">
        <v>33</v>
      </c>
      <c r="O4471" t="n">
        <v>0.33</v>
      </c>
      <c r="P4471" t="n">
        <v>1</v>
      </c>
      <c r="Q4471" t="n">
        <v>0.1</v>
      </c>
      <c r="R4471" t="n">
        <v>2</v>
      </c>
      <c r="S4471" t="n">
        <v>19067.4</v>
      </c>
      <c r="T4471" t="n">
        <v>50</v>
      </c>
      <c r="U4471" t="n">
        <v>52</v>
      </c>
      <c r="V4471" t="n">
        <v>30</v>
      </c>
      <c r="W4471" t="n">
        <v>11</v>
      </c>
      <c r="X4471" t="n">
        <v>16.83501683501683</v>
      </c>
      <c r="Y4471" t="n">
        <v>1</v>
      </c>
      <c r="Z4471" t="n">
        <v>1</v>
      </c>
      <c r="AA4471" t="n">
        <v>0</v>
      </c>
      <c r="AB4471" t="n">
        <v>1</v>
      </c>
      <c r="AC4471" t="n">
        <v>3</v>
      </c>
      <c r="AD4471" t="n">
        <v>0</v>
      </c>
      <c r="AE4471" t="n">
        <v>139026</v>
      </c>
      <c r="AF4471" t="n">
        <v>9794</v>
      </c>
      <c r="AG4471" t="n">
        <v>2206</v>
      </c>
      <c r="AH4471" t="inlineStr">
        <is>
          <t>PT. ENHA PUTRA (ONLINE CASH)</t>
        </is>
      </c>
      <c r="AI4471" t="n">
        <v>361</v>
      </c>
      <c r="AJ4471" t="inlineStr">
        <is>
          <t>VASELINE</t>
        </is>
      </c>
      <c r="AK4471" t="n">
        <v>9</v>
      </c>
      <c r="AL4471" t="inlineStr">
        <is>
          <t>Miss Glam Jambi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VASELINE</t>
        </is>
      </c>
      <c r="B4472" s="2">
        <f>"8999999502942"</f>
        <v/>
      </c>
      <c r="C4472" t="inlineStr">
        <is>
          <t>VASELINE Repairing Jelly 50ml</t>
        </is>
      </c>
      <c r="D4472" t="inlineStr">
        <is>
          <t>Miss Glam Jambi</t>
        </is>
      </c>
      <c r="E4472" t="n">
        <v>14</v>
      </c>
      <c r="F4472" t="n">
        <v>0.33</v>
      </c>
      <c r="G4472" t="n">
        <v>2.31</v>
      </c>
      <c r="H4472" t="n">
        <v>3</v>
      </c>
      <c r="I4472" t="n">
        <v>19</v>
      </c>
      <c r="J4472" t="n">
        <v>3</v>
      </c>
      <c r="K4472" t="n">
        <v>0</v>
      </c>
      <c r="L4472" t="n">
        <v>28347</v>
      </c>
      <c r="M4472" t="n">
        <v>32500</v>
      </c>
      <c r="N4472" t="n">
        <v>33</v>
      </c>
      <c r="O4472" t="n">
        <v>0.33</v>
      </c>
      <c r="P4472" t="n">
        <v>1</v>
      </c>
      <c r="Q4472" t="n">
        <v>0.44</v>
      </c>
      <c r="R4472" t="n">
        <v>3</v>
      </c>
      <c r="S4472" t="n">
        <v>10725</v>
      </c>
      <c r="T4472" t="n">
        <v>43</v>
      </c>
      <c r="U4472" t="n">
        <v>44</v>
      </c>
      <c r="V4472" t="n">
        <v>30</v>
      </c>
      <c r="W4472" t="n">
        <v>10</v>
      </c>
      <c r="X4472" t="n">
        <v>42.42424242424242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9794</v>
      </c>
      <c r="AG4472" t="n">
        <v>2206</v>
      </c>
      <c r="AH4472" t="inlineStr">
        <is>
          <t>PT. ENHA PUTRA (ONLINE CASH)</t>
        </is>
      </c>
      <c r="AI4472" t="n">
        <v>361</v>
      </c>
      <c r="AJ4472" t="inlineStr">
        <is>
          <t>VASELINE</t>
        </is>
      </c>
      <c r="AK4472" t="n">
        <v>9</v>
      </c>
      <c r="AL4472" t="inlineStr">
        <is>
          <t>Miss Glam Jambi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VASELINE</t>
        </is>
      </c>
      <c r="B4473" s="2">
        <f>"8999999540159"</f>
        <v/>
      </c>
      <c r="C4473" t="inlineStr">
        <is>
          <t>VASELINE Repairing Jelly Aloevera 50ml</t>
        </is>
      </c>
      <c r="D4473" t="inlineStr">
        <is>
          <t>Miss Glam Jambi</t>
        </is>
      </c>
      <c r="E4473" t="n">
        <v>6</v>
      </c>
      <c r="F4473" t="n">
        <v>0.5874</v>
      </c>
      <c r="G4473" t="n">
        <v>2.31</v>
      </c>
      <c r="H4473" t="n">
        <v>3</v>
      </c>
      <c r="I4473" t="n">
        <v>19</v>
      </c>
      <c r="J4473" t="n">
        <v>3</v>
      </c>
      <c r="K4473" t="n">
        <v>7</v>
      </c>
      <c r="L4473" t="n">
        <v>26823</v>
      </c>
      <c r="M4473" t="n">
        <v>31000</v>
      </c>
      <c r="N4473" t="n">
        <v>33</v>
      </c>
      <c r="O4473" t="n">
        <v>0.33</v>
      </c>
      <c r="P4473" t="n">
        <v>1</v>
      </c>
      <c r="Q4473" t="n">
        <v>0.15</v>
      </c>
      <c r="R4473" t="n">
        <v>2</v>
      </c>
      <c r="S4473" t="n">
        <v>18209.4</v>
      </c>
      <c r="T4473" t="n">
        <v>43</v>
      </c>
      <c r="U4473" t="n">
        <v>45</v>
      </c>
      <c r="V4473" t="n">
        <v>30</v>
      </c>
      <c r="W4473" t="n">
        <v>18</v>
      </c>
      <c r="X4473" t="n">
        <v>10.21450459652707</v>
      </c>
      <c r="Y4473" t="n">
        <v>1</v>
      </c>
      <c r="Z4473" t="n">
        <v>5</v>
      </c>
      <c r="AA4473" t="n">
        <v>5</v>
      </c>
      <c r="AB4473" t="n">
        <v>0</v>
      </c>
      <c r="AC4473" t="n">
        <v>0</v>
      </c>
      <c r="AD4473" t="n">
        <v>134115</v>
      </c>
      <c r="AE4473" t="n">
        <v>0</v>
      </c>
      <c r="AF4473" t="n">
        <v>9794</v>
      </c>
      <c r="AG4473" t="n">
        <v>2206</v>
      </c>
      <c r="AH4473" t="inlineStr">
        <is>
          <t>PT. ENHA PUTRA (ONLINE CASH)</t>
        </is>
      </c>
      <c r="AI4473" t="n">
        <v>361</v>
      </c>
      <c r="AJ4473" t="inlineStr">
        <is>
          <t>VASELINE</t>
        </is>
      </c>
      <c r="AK4473" t="n">
        <v>9</v>
      </c>
      <c r="AL4473" t="inlineStr">
        <is>
          <t>Miss Glam Jambi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VASELINE</t>
        </is>
      </c>
      <c r="B4474" s="2">
        <f>"8999999719081"</f>
        <v/>
      </c>
      <c r="C4474" t="inlineStr">
        <is>
          <t>VASELLINE Sunblock SPF 30 PA++ 100ml</t>
        </is>
      </c>
      <c r="D4474" t="inlineStr">
        <is>
          <t>Miss Glam Jambi</t>
        </is>
      </c>
      <c r="E4474" t="n">
        <v>13</v>
      </c>
      <c r="F4474" t="n">
        <v>0.2739</v>
      </c>
      <c r="G4474" t="n">
        <v>1.32</v>
      </c>
      <c r="H4474" t="n">
        <v>3</v>
      </c>
      <c r="I4474" t="n">
        <v>19</v>
      </c>
      <c r="J4474" t="n">
        <v>3</v>
      </c>
      <c r="K4474" t="n">
        <v>0</v>
      </c>
      <c r="L4474" t="n">
        <v>54161</v>
      </c>
      <c r="M4474" t="n">
        <v>63000</v>
      </c>
      <c r="N4474" t="n">
        <v>33</v>
      </c>
      <c r="O4474" t="n">
        <v>0.33</v>
      </c>
      <c r="P4474" t="n">
        <v>1</v>
      </c>
      <c r="Q4474" t="n">
        <v>0.34</v>
      </c>
      <c r="R4474" t="n">
        <v>3</v>
      </c>
      <c r="S4474" t="n">
        <v>17255.7</v>
      </c>
      <c r="T4474" t="n">
        <v>25</v>
      </c>
      <c r="U4474" t="n">
        <v>26</v>
      </c>
      <c r="V4474" t="n">
        <v>30</v>
      </c>
      <c r="W4474" t="n">
        <v>9</v>
      </c>
      <c r="X4474" t="n">
        <v>47.46257758305951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9794</v>
      </c>
      <c r="AG4474" t="n">
        <v>2206</v>
      </c>
      <c r="AH4474" t="inlineStr">
        <is>
          <t>PT. ENHA PUTRA (ONLINE CASH)</t>
        </is>
      </c>
      <c r="AI4474" t="n">
        <v>361</v>
      </c>
      <c r="AJ4474" t="inlineStr">
        <is>
          <t>VASELINE</t>
        </is>
      </c>
      <c r="AK4474" t="n">
        <v>9</v>
      </c>
      <c r="AL4474" t="inlineStr">
        <is>
          <t>Miss Glam Jambi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VASELINE LIP</t>
        </is>
      </c>
      <c r="B4475" s="2">
        <f>"8999999574413"</f>
        <v/>
      </c>
      <c r="C4475" t="inlineStr">
        <is>
          <t>VASELINE Lip Balm Rosy Tinted 10gr</t>
        </is>
      </c>
      <c r="D4475" t="inlineStr">
        <is>
          <t>Miss Glam Jambi</t>
        </is>
      </c>
      <c r="E4475" t="n">
        <v>10</v>
      </c>
      <c r="F4475" t="n">
        <v>0.3069</v>
      </c>
      <c r="G4475" t="n">
        <v>1.98</v>
      </c>
      <c r="H4475" t="n">
        <v>4</v>
      </c>
      <c r="I4475" t="n">
        <v>20</v>
      </c>
      <c r="J4475" t="n">
        <v>3</v>
      </c>
      <c r="K4475" t="n">
        <v>24</v>
      </c>
      <c r="L4475" t="n">
        <v>25376</v>
      </c>
      <c r="M4475" t="n">
        <v>40000</v>
      </c>
      <c r="N4475" t="n">
        <v>33</v>
      </c>
      <c r="O4475" t="n">
        <v>0.33</v>
      </c>
      <c r="P4475" t="n">
        <v>1</v>
      </c>
      <c r="Q4475" t="n">
        <v>0.53</v>
      </c>
      <c r="R4475" t="n">
        <v>5</v>
      </c>
      <c r="S4475" t="n">
        <v>12276</v>
      </c>
      <c r="T4475" t="n">
        <v>39</v>
      </c>
      <c r="U4475" t="n">
        <v>41</v>
      </c>
      <c r="V4475" t="n">
        <v>30</v>
      </c>
      <c r="W4475" t="n">
        <v>10</v>
      </c>
      <c r="X4475" t="n">
        <v>32.58390355164548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9072</v>
      </c>
      <c r="AG4475" t="n">
        <v>1</v>
      </c>
      <c r="AH4475" t="inlineStr">
        <is>
          <t>PT. BERSAMA DISTRIVERSA INDONESIA (DC CIPUTAT)</t>
        </is>
      </c>
      <c r="AI4475" t="n">
        <v>1972</v>
      </c>
      <c r="AJ4475" t="inlineStr">
        <is>
          <t>VASELINE LIP</t>
        </is>
      </c>
      <c r="AK4475" t="n">
        <v>9</v>
      </c>
      <c r="AL4475" t="inlineStr">
        <is>
          <t>Miss Glam Jambi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VASELINE LIP</t>
        </is>
      </c>
      <c r="B4476" s="2">
        <f>"8886467037368"</f>
        <v/>
      </c>
      <c r="C4476" t="inlineStr">
        <is>
          <t>VASELINE Lip Care Blooming Pink 3gr</t>
        </is>
      </c>
      <c r="D4476" t="inlineStr">
        <is>
          <t>Miss Glam Jambi</t>
        </is>
      </c>
      <c r="E4476" t="n">
        <v>6</v>
      </c>
      <c r="F4476" t="n">
        <v>0.1386</v>
      </c>
      <c r="G4476" t="n">
        <v>1.32</v>
      </c>
      <c r="H4476" t="n">
        <v>4</v>
      </c>
      <c r="I4476" t="n">
        <v>20</v>
      </c>
      <c r="J4476" t="n">
        <v>3</v>
      </c>
      <c r="K4476" t="n">
        <v>0</v>
      </c>
      <c r="L4476" t="n">
        <v>46063</v>
      </c>
      <c r="M4476" t="n">
        <v>52000</v>
      </c>
      <c r="N4476" t="n">
        <v>33</v>
      </c>
      <c r="O4476" t="n">
        <v>0.33</v>
      </c>
      <c r="P4476" t="n">
        <v>1</v>
      </c>
      <c r="Q4476" t="n">
        <v>0.15</v>
      </c>
      <c r="R4476" t="n">
        <v>2</v>
      </c>
      <c r="S4476" t="n">
        <v>7207.2</v>
      </c>
      <c r="T4476" t="n">
        <v>26</v>
      </c>
      <c r="U4476" t="n">
        <v>27</v>
      </c>
      <c r="V4476" t="n">
        <v>30</v>
      </c>
      <c r="W4476" t="n">
        <v>5</v>
      </c>
      <c r="X4476" t="n">
        <v>43.29004329004329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9072</v>
      </c>
      <c r="AG4476" t="n">
        <v>1</v>
      </c>
      <c r="AH4476" t="inlineStr">
        <is>
          <t>PT. BERSAMA DISTRIVERSA INDONESIA (DC CIPUTAT)</t>
        </is>
      </c>
      <c r="AI4476" t="n">
        <v>1972</v>
      </c>
      <c r="AJ4476" t="inlineStr">
        <is>
          <t>VASELINE LIP</t>
        </is>
      </c>
      <c r="AK4476" t="n">
        <v>9</v>
      </c>
      <c r="AL4476" t="inlineStr">
        <is>
          <t>Miss Glam Jambi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VASELINE LIP</t>
        </is>
      </c>
      <c r="B4477" s="2">
        <f>"8886467037344"</f>
        <v/>
      </c>
      <c r="C4477" t="inlineStr">
        <is>
          <t>VASELINE Lip Care Kissing Red 3gr</t>
        </is>
      </c>
      <c r="D4477" t="inlineStr">
        <is>
          <t>Miss Glam Jambi</t>
        </is>
      </c>
      <c r="E4477" t="n">
        <v>29</v>
      </c>
      <c r="F4477" t="n">
        <v>0.2112</v>
      </c>
      <c r="G4477" t="n">
        <v>0.99</v>
      </c>
      <c r="H4477" t="n">
        <v>4</v>
      </c>
      <c r="I4477" t="n">
        <v>20</v>
      </c>
      <c r="J4477" t="n">
        <v>3</v>
      </c>
      <c r="K4477" t="n">
        <v>0</v>
      </c>
      <c r="L4477" t="n">
        <v>44161</v>
      </c>
      <c r="M4477" t="n">
        <v>52000</v>
      </c>
      <c r="N4477" t="n">
        <v>33</v>
      </c>
      <c r="O4477" t="n">
        <v>0.33</v>
      </c>
      <c r="P4477" t="n">
        <v>1</v>
      </c>
      <c r="Q4477" t="n">
        <v>0.1</v>
      </c>
      <c r="R4477" t="n">
        <v>2</v>
      </c>
      <c r="S4477" t="n">
        <v>10982.4</v>
      </c>
      <c r="T4477" t="n">
        <v>19</v>
      </c>
      <c r="U4477" t="n">
        <v>20</v>
      </c>
      <c r="V4477" t="n">
        <v>30</v>
      </c>
      <c r="W4477" t="n">
        <v>7</v>
      </c>
      <c r="X4477" t="n">
        <v>137.310606060606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9072</v>
      </c>
      <c r="AG4477" t="n">
        <v>1</v>
      </c>
      <c r="AH4477" t="inlineStr">
        <is>
          <t>PT. BERSAMA DISTRIVERSA INDONESIA (DC CIPUTAT)</t>
        </is>
      </c>
      <c r="AI4477" t="n">
        <v>1972</v>
      </c>
      <c r="AJ4477" t="inlineStr">
        <is>
          <t>VASELINE LIP</t>
        </is>
      </c>
      <c r="AK4477" t="n">
        <v>9</v>
      </c>
      <c r="AL4477" t="inlineStr">
        <is>
          <t>Miss Glam Jambi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VASELINE LIP</t>
        </is>
      </c>
      <c r="B4478" s="2">
        <f>"8886467037382"</f>
        <v/>
      </c>
      <c r="C4478" t="inlineStr">
        <is>
          <t>VASELINE Lip Care Mellow Rose 3gr</t>
        </is>
      </c>
      <c r="D4478" t="inlineStr">
        <is>
          <t>Miss Glam Jambi</t>
        </is>
      </c>
      <c r="E4478" t="n">
        <v>10</v>
      </c>
      <c r="F4478" t="n">
        <v>0.1386</v>
      </c>
      <c r="G4478" t="n">
        <v>1.32</v>
      </c>
      <c r="H4478" t="n">
        <v>4</v>
      </c>
      <c r="I4478" t="n">
        <v>20</v>
      </c>
      <c r="J4478" t="n">
        <v>3</v>
      </c>
      <c r="K4478" t="n">
        <v>0</v>
      </c>
      <c r="L4478" t="n">
        <v>44161</v>
      </c>
      <c r="M4478" t="n">
        <v>52500</v>
      </c>
      <c r="N4478" t="n">
        <v>33</v>
      </c>
      <c r="O4478" t="n">
        <v>0.33</v>
      </c>
      <c r="P4478" t="n">
        <v>1</v>
      </c>
      <c r="Q4478" t="n">
        <v>0.22</v>
      </c>
      <c r="R4478" t="n">
        <v>2</v>
      </c>
      <c r="S4478" t="n">
        <v>7276.5</v>
      </c>
      <c r="T4478" t="n">
        <v>26</v>
      </c>
      <c r="U4478" t="n">
        <v>27</v>
      </c>
      <c r="V4478" t="n">
        <v>30</v>
      </c>
      <c r="W4478" t="n">
        <v>5</v>
      </c>
      <c r="X4478" t="n">
        <v>72.15007215007215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9072</v>
      </c>
      <c r="AG4478" t="n">
        <v>1</v>
      </c>
      <c r="AH4478" t="inlineStr">
        <is>
          <t>PT. BERSAMA DISTRIVERSA INDONESIA (DC CIPUTAT)</t>
        </is>
      </c>
      <c r="AI4478" t="n">
        <v>1972</v>
      </c>
      <c r="AJ4478" t="inlineStr">
        <is>
          <t>VASELINE LIP</t>
        </is>
      </c>
      <c r="AK4478" t="n">
        <v>9</v>
      </c>
      <c r="AL4478" t="inlineStr">
        <is>
          <t>Miss Glam Jambi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VASELINE LIP</t>
        </is>
      </c>
      <c r="B4479" s="2">
        <f>"8999999574406"</f>
        <v/>
      </c>
      <c r="C4479" t="inlineStr">
        <is>
          <t>VASELINE Lip Care Original 10gr</t>
        </is>
      </c>
      <c r="D4479" t="inlineStr">
        <is>
          <t>Miss Glam Jambi</t>
        </is>
      </c>
      <c r="E4479" t="n">
        <v>5</v>
      </c>
      <c r="F4479" t="n">
        <v>0.2013</v>
      </c>
      <c r="G4479" t="n">
        <v>1.32</v>
      </c>
      <c r="H4479" t="n">
        <v>4</v>
      </c>
      <c r="I4479" t="n">
        <v>20</v>
      </c>
      <c r="J4479" t="n">
        <v>3</v>
      </c>
      <c r="K4479" t="n">
        <v>3</v>
      </c>
      <c r="L4479" t="n">
        <v>26853</v>
      </c>
      <c r="M4479" t="n">
        <v>36500</v>
      </c>
      <c r="N4479" t="n">
        <v>33</v>
      </c>
      <c r="O4479" t="n">
        <v>0.33</v>
      </c>
      <c r="P4479" t="n">
        <v>1</v>
      </c>
      <c r="Q4479" t="n">
        <v>0.05</v>
      </c>
      <c r="R4479" t="n">
        <v>1</v>
      </c>
      <c r="S4479" t="n">
        <v>7347.45</v>
      </c>
      <c r="T4479" t="n">
        <v>26</v>
      </c>
      <c r="U4479" t="n">
        <v>27</v>
      </c>
      <c r="V4479" t="n">
        <v>30</v>
      </c>
      <c r="W4479" t="n">
        <v>7</v>
      </c>
      <c r="X4479" t="n">
        <v>24.83854942871336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9072</v>
      </c>
      <c r="AG4479" t="n">
        <v>1</v>
      </c>
      <c r="AH4479" t="inlineStr">
        <is>
          <t>PT. BERSAMA DISTRIVERSA INDONESIA (DC CIPUTAT)</t>
        </is>
      </c>
      <c r="AI4479" t="n">
        <v>1972</v>
      </c>
      <c r="AJ4479" t="inlineStr">
        <is>
          <t>VASELINE LIP</t>
        </is>
      </c>
      <c r="AK4479" t="n">
        <v>9</v>
      </c>
      <c r="AL4479" t="inlineStr">
        <is>
          <t>Miss Glam Jambi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VASELINE LIP</t>
        </is>
      </c>
      <c r="B4480" s="2">
        <f>"8801619047576"</f>
        <v/>
      </c>
      <c r="C4480" t="inlineStr">
        <is>
          <t>VASELINE Lip Therapy AloeVera 4.8gr</t>
        </is>
      </c>
      <c r="D4480" t="inlineStr">
        <is>
          <t>Miss Glam Jambi</t>
        </is>
      </c>
      <c r="E4480" t="n">
        <v>23</v>
      </c>
      <c r="F4480" t="n">
        <v>0.066</v>
      </c>
      <c r="G4480" t="n">
        <v>0.66</v>
      </c>
      <c r="H4480" t="n">
        <v>4</v>
      </c>
      <c r="I4480" t="n">
        <v>20</v>
      </c>
      <c r="J4480" t="n">
        <v>3</v>
      </c>
      <c r="K4480" t="n">
        <v>0</v>
      </c>
      <c r="L4480" t="n">
        <v>24088</v>
      </c>
      <c r="M4480" t="n">
        <v>28500</v>
      </c>
      <c r="N4480" t="n">
        <v>33</v>
      </c>
      <c r="O4480" t="n">
        <v>0.33</v>
      </c>
      <c r="P4480" t="n">
        <v>1</v>
      </c>
      <c r="Q4480" t="n">
        <v>0.22</v>
      </c>
      <c r="R4480" t="n">
        <v>1</v>
      </c>
      <c r="S4480" t="n">
        <v>1881</v>
      </c>
      <c r="T4480" t="n">
        <v>13</v>
      </c>
      <c r="U4480" t="n">
        <v>14</v>
      </c>
      <c r="V4480" t="n">
        <v>30</v>
      </c>
      <c r="W4480" t="n">
        <v>2</v>
      </c>
      <c r="X4480" t="n">
        <v>348.4848484848484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9072</v>
      </c>
      <c r="AG4480" t="n">
        <v>1</v>
      </c>
      <c r="AH4480" t="inlineStr">
        <is>
          <t>PT. BERSAMA DISTRIVERSA INDONESIA (DC CIPUTAT)</t>
        </is>
      </c>
      <c r="AI4480" t="n">
        <v>1972</v>
      </c>
      <c r="AJ4480" t="inlineStr">
        <is>
          <t>VASELINE LIP</t>
        </is>
      </c>
      <c r="AK4480" t="n">
        <v>9</v>
      </c>
      <c r="AL4480" t="inlineStr">
        <is>
          <t>Miss Glam Jambi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VASELINE LIP</t>
        </is>
      </c>
      <c r="B4481" s="2">
        <f>"8801619047569"</f>
        <v/>
      </c>
      <c r="C4481" t="inlineStr">
        <is>
          <t>VASELINE Lip Therapy Balm Stick Cocoa Butter 4.8gr</t>
        </is>
      </c>
      <c r="D4481" t="inlineStr">
        <is>
          <t>Miss Glam Jambi</t>
        </is>
      </c>
      <c r="E4481" t="n">
        <v>7</v>
      </c>
      <c r="F4481" t="n">
        <v>0.1947</v>
      </c>
      <c r="G4481" t="n">
        <v>0.99</v>
      </c>
      <c r="H4481" t="n">
        <v>4</v>
      </c>
      <c r="I4481" t="n">
        <v>20</v>
      </c>
      <c r="J4481" t="n">
        <v>3</v>
      </c>
      <c r="K4481" t="n">
        <v>0</v>
      </c>
      <c r="L4481" t="n">
        <v>24088</v>
      </c>
      <c r="M4481" t="n">
        <v>28500</v>
      </c>
      <c r="N4481" t="n">
        <v>33</v>
      </c>
      <c r="O4481" t="n">
        <v>0.33</v>
      </c>
      <c r="P4481" t="n">
        <v>1</v>
      </c>
      <c r="Q4481" t="n">
        <v>0.12</v>
      </c>
      <c r="R4481" t="n">
        <v>2</v>
      </c>
      <c r="S4481" t="n">
        <v>5548.950000000001</v>
      </c>
      <c r="T4481" t="n">
        <v>20</v>
      </c>
      <c r="U4481" t="n">
        <v>21</v>
      </c>
      <c r="V4481" t="n">
        <v>30</v>
      </c>
      <c r="W4481" t="n">
        <v>6</v>
      </c>
      <c r="X4481" t="n">
        <v>35.9527478171546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9072</v>
      </c>
      <c r="AG4481" t="n">
        <v>1</v>
      </c>
      <c r="AH4481" t="inlineStr">
        <is>
          <t>PT. BERSAMA DISTRIVERSA INDONESIA (DC CIPUTAT)</t>
        </is>
      </c>
      <c r="AI4481" t="n">
        <v>1972</v>
      </c>
      <c r="AJ4481" t="inlineStr">
        <is>
          <t>VASELINE LIP</t>
        </is>
      </c>
      <c r="AK4481" t="n">
        <v>9</v>
      </c>
      <c r="AL4481" t="inlineStr">
        <is>
          <t>Miss Glam Jambi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VASELINE LIP</t>
        </is>
      </c>
      <c r="B4482" s="2">
        <f>"305210206779"</f>
        <v/>
      </c>
      <c r="C4482" t="inlineStr">
        <is>
          <t>VASELINE Lip Therapy Original 7gr</t>
        </is>
      </c>
      <c r="D4482" t="inlineStr">
        <is>
          <t>Miss Glam Jambi</t>
        </is>
      </c>
      <c r="E4482" t="n">
        <v>50</v>
      </c>
      <c r="F4482" t="n">
        <v>0.3135</v>
      </c>
      <c r="G4482" t="n">
        <v>0.99</v>
      </c>
      <c r="H4482" t="n">
        <v>4</v>
      </c>
      <c r="I4482" t="n">
        <v>20</v>
      </c>
      <c r="J4482" t="n">
        <v>3</v>
      </c>
      <c r="K4482" t="n">
        <v>0</v>
      </c>
      <c r="L4482" t="n">
        <v>32948</v>
      </c>
      <c r="M4482" t="n">
        <v>42000</v>
      </c>
      <c r="N4482" t="n">
        <v>33</v>
      </c>
      <c r="O4482" t="n">
        <v>0.33</v>
      </c>
      <c r="P4482" t="n">
        <v>1</v>
      </c>
      <c r="Q4482" t="n">
        <v>0.39</v>
      </c>
      <c r="R4482" t="n">
        <v>2</v>
      </c>
      <c r="S4482" t="n">
        <v>13167</v>
      </c>
      <c r="T4482" t="n">
        <v>19</v>
      </c>
      <c r="U4482" t="n">
        <v>21</v>
      </c>
      <c r="V4482" t="n">
        <v>30</v>
      </c>
      <c r="W4482" t="n">
        <v>10</v>
      </c>
      <c r="X4482" t="n">
        <v>159.4896331738437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9072</v>
      </c>
      <c r="AG4482" t="n">
        <v>1</v>
      </c>
      <c r="AH4482" t="inlineStr">
        <is>
          <t>PT. BERSAMA DISTRIVERSA INDONESIA (DC CIPUTAT)</t>
        </is>
      </c>
      <c r="AI4482" t="n">
        <v>1972</v>
      </c>
      <c r="AJ4482" t="inlineStr">
        <is>
          <t>VASELINE LIP</t>
        </is>
      </c>
      <c r="AK4482" t="n">
        <v>9</v>
      </c>
      <c r="AL4482" t="inlineStr">
        <is>
          <t>Miss Glam Jambi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VASELINE LIP</t>
        </is>
      </c>
      <c r="B4483" s="2">
        <f>"305210231597"</f>
        <v/>
      </c>
      <c r="C4483" t="inlineStr">
        <is>
          <t>VASELINE LIp Therapy Rose 7gr</t>
        </is>
      </c>
      <c r="D4483" t="inlineStr">
        <is>
          <t>Miss Glam Jambi</t>
        </is>
      </c>
      <c r="E4483" t="n">
        <v>3</v>
      </c>
      <c r="F4483" t="n">
        <v>0.9107999999999999</v>
      </c>
      <c r="G4483" t="n">
        <v>2.64</v>
      </c>
      <c r="H4483" t="n">
        <v>4</v>
      </c>
      <c r="I4483" t="n">
        <v>20</v>
      </c>
      <c r="J4483" t="n">
        <v>3</v>
      </c>
      <c r="K4483" t="n">
        <v>24</v>
      </c>
      <c r="L4483" t="n">
        <v>33144</v>
      </c>
      <c r="M4483" t="n">
        <v>42000</v>
      </c>
      <c r="N4483" t="n">
        <v>33</v>
      </c>
      <c r="O4483" t="n">
        <v>0.33</v>
      </c>
      <c r="P4483" t="n">
        <v>1</v>
      </c>
      <c r="Q4483" t="n">
        <v>0.73</v>
      </c>
      <c r="R4483" t="n">
        <v>4</v>
      </c>
      <c r="S4483" t="n">
        <v>38253.6</v>
      </c>
      <c r="T4483" t="n">
        <v>50</v>
      </c>
      <c r="U4483" t="n">
        <v>54</v>
      </c>
      <c r="V4483" t="n">
        <v>30</v>
      </c>
      <c r="W4483" t="n">
        <v>28</v>
      </c>
      <c r="X4483" t="n">
        <v>3.293807641633729</v>
      </c>
      <c r="Y4483" t="n">
        <v>1</v>
      </c>
      <c r="Z4483" t="n">
        <v>1</v>
      </c>
      <c r="AA4483" t="n">
        <v>15</v>
      </c>
      <c r="AB4483" t="n">
        <v>0</v>
      </c>
      <c r="AC4483" t="n">
        <v>0</v>
      </c>
      <c r="AD4483" t="n">
        <v>497160</v>
      </c>
      <c r="AE4483" t="n">
        <v>0</v>
      </c>
      <c r="AF4483" t="n">
        <v>9072</v>
      </c>
      <c r="AG4483" t="n">
        <v>1</v>
      </c>
      <c r="AH4483" t="inlineStr">
        <is>
          <t>PT. BERSAMA DISTRIVERSA INDONESIA (DC CIPUTAT)</t>
        </is>
      </c>
      <c r="AI4483" t="n">
        <v>1972</v>
      </c>
      <c r="AJ4483" t="inlineStr">
        <is>
          <t>VASELINE LIP</t>
        </is>
      </c>
      <c r="AK4483" t="n">
        <v>9</v>
      </c>
      <c r="AL4483" t="inlineStr">
        <is>
          <t>Miss Glam Jambi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VASELINE LIP</t>
        </is>
      </c>
      <c r="B4484" s="2">
        <f>"8801619047545"</f>
        <v/>
      </c>
      <c r="C4484" t="inlineStr">
        <is>
          <t>VASELINE Lip Therapy Rosy 4.8g</t>
        </is>
      </c>
      <c r="D4484" t="inlineStr">
        <is>
          <t>Miss Glam Jambi</t>
        </is>
      </c>
      <c r="E4484" t="n">
        <v>0</v>
      </c>
      <c r="F4484" t="n">
        <v>0.79</v>
      </c>
      <c r="G4484" t="n">
        <v>4</v>
      </c>
      <c r="H4484" t="n">
        <v>4</v>
      </c>
      <c r="I4484" t="n">
        <v>20</v>
      </c>
      <c r="J4484" t="n">
        <v>3</v>
      </c>
      <c r="K4484" t="n">
        <v>24</v>
      </c>
      <c r="L4484" t="n">
        <v>24088</v>
      </c>
      <c r="M4484" t="n">
        <v>28500</v>
      </c>
      <c r="N4484" t="n">
        <v>33</v>
      </c>
      <c r="O4484" t="n">
        <v>0.33</v>
      </c>
      <c r="P4484" t="n">
        <v>0</v>
      </c>
      <c r="Q4484" t="n">
        <v>0.79</v>
      </c>
      <c r="R4484" t="n">
        <v>4</v>
      </c>
      <c r="S4484" t="n">
        <v>22515</v>
      </c>
      <c r="T4484" t="n">
        <v>77</v>
      </c>
      <c r="U4484" t="n">
        <v>81</v>
      </c>
      <c r="V4484" t="n">
        <v>30</v>
      </c>
      <c r="W4484" t="n">
        <v>24</v>
      </c>
      <c r="X4484" t="n">
        <v>0</v>
      </c>
      <c r="Y4484" t="n">
        <v>1</v>
      </c>
      <c r="Z4484" t="n">
        <v>0</v>
      </c>
      <c r="AA4484" t="n">
        <v>15</v>
      </c>
      <c r="AB4484" t="n">
        <v>0</v>
      </c>
      <c r="AC4484" t="n">
        <v>0</v>
      </c>
      <c r="AD4484" t="n">
        <v>361320</v>
      </c>
      <c r="AE4484" t="n">
        <v>0</v>
      </c>
      <c r="AF4484" t="n">
        <v>9072</v>
      </c>
      <c r="AG4484" t="n">
        <v>1</v>
      </c>
      <c r="AH4484" t="inlineStr">
        <is>
          <t>PT. BERSAMA DISTRIVERSA INDONESIA (DC CIPUTAT)</t>
        </is>
      </c>
      <c r="AI4484" t="n">
        <v>1972</v>
      </c>
      <c r="AJ4484" t="inlineStr">
        <is>
          <t>VASELINE LIP</t>
        </is>
      </c>
      <c r="AK4484" t="n">
        <v>9</v>
      </c>
      <c r="AL4484" t="inlineStr">
        <is>
          <t>Miss Glam Jambi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VEET</t>
        </is>
      </c>
      <c r="B4485" s="2">
        <f>"8993560155025"</f>
        <v/>
      </c>
      <c r="C4485" t="inlineStr">
        <is>
          <t>VEET Hair Removal Silk &amp; Fresh 25gr</t>
        </is>
      </c>
      <c r="D4485" t="inlineStr">
        <is>
          <t>Miss Glam Jambi</t>
        </is>
      </c>
      <c r="E4485" t="n">
        <v>16</v>
      </c>
      <c r="F4485" t="n">
        <v>0.4521000000000001</v>
      </c>
      <c r="G4485" t="n">
        <v>1.32</v>
      </c>
      <c r="H4485" t="n">
        <v>2</v>
      </c>
      <c r="I4485" t="n">
        <v>5</v>
      </c>
      <c r="J4485" t="n">
        <v>3</v>
      </c>
      <c r="K4485" t="n">
        <v>0</v>
      </c>
      <c r="L4485" t="n">
        <v>23802</v>
      </c>
      <c r="M4485" t="n">
        <v>26000</v>
      </c>
      <c r="N4485" t="n">
        <v>33</v>
      </c>
      <c r="O4485" t="n">
        <v>0.33</v>
      </c>
      <c r="P4485" t="n">
        <v>1</v>
      </c>
      <c r="Q4485" t="n">
        <v>0.29</v>
      </c>
      <c r="R4485" t="n">
        <v>2</v>
      </c>
      <c r="S4485" t="n">
        <v>11754.6</v>
      </c>
      <c r="T4485" t="n">
        <v>6</v>
      </c>
      <c r="U4485" t="n">
        <v>7</v>
      </c>
      <c r="V4485" t="n">
        <v>30</v>
      </c>
      <c r="W4485" t="n">
        <v>14</v>
      </c>
      <c r="X4485" t="n">
        <v>35.390400353904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10214</v>
      </c>
      <c r="AG4485" t="n">
        <v>2281</v>
      </c>
      <c r="AH4485" t="inlineStr">
        <is>
          <t>PT. GRAVINDO JAYA ABADI - PPN(JMB)</t>
        </is>
      </c>
      <c r="AI4485" t="n">
        <v>131</v>
      </c>
      <c r="AJ4485" t="inlineStr">
        <is>
          <t>VEET</t>
        </is>
      </c>
      <c r="AK4485" t="n">
        <v>9</v>
      </c>
      <c r="AL4485" t="inlineStr">
        <is>
          <t>Miss Glam Jambi</t>
        </is>
      </c>
      <c r="AM4485" t="n">
        <v>4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VEET</t>
        </is>
      </c>
      <c r="B4486" s="2">
        <f>"8993560155018"</f>
        <v/>
      </c>
      <c r="C4486" t="inlineStr">
        <is>
          <t>VEET Hair Removal Silky Fresh Sensitif 25g</t>
        </is>
      </c>
      <c r="D4486" t="inlineStr">
        <is>
          <t>Miss Glam Jambi</t>
        </is>
      </c>
      <c r="E4486" t="n">
        <v>15</v>
      </c>
      <c r="F4486" t="n">
        <v>0.2244</v>
      </c>
      <c r="G4486" t="n">
        <v>0.66</v>
      </c>
      <c r="H4486" t="n">
        <v>2</v>
      </c>
      <c r="I4486" t="n">
        <v>5</v>
      </c>
      <c r="J4486" t="n">
        <v>3</v>
      </c>
      <c r="K4486" t="n">
        <v>0</v>
      </c>
      <c r="L4486" t="n">
        <v>23802</v>
      </c>
      <c r="M4486" t="n">
        <v>26000</v>
      </c>
      <c r="N4486" t="n">
        <v>33</v>
      </c>
      <c r="O4486" t="n">
        <v>0.33</v>
      </c>
      <c r="P4486" t="n">
        <v>1</v>
      </c>
      <c r="Q4486" t="n">
        <v>0.36</v>
      </c>
      <c r="R4486" t="n">
        <v>3</v>
      </c>
      <c r="S4486" t="n">
        <v>5834.400000000001</v>
      </c>
      <c r="T4486" t="n">
        <v>3</v>
      </c>
      <c r="U4486" t="n">
        <v>4</v>
      </c>
      <c r="V4486" t="n">
        <v>30</v>
      </c>
      <c r="W4486" t="n">
        <v>7</v>
      </c>
      <c r="X4486" t="n">
        <v>66.84491978609626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10214</v>
      </c>
      <c r="AG4486" t="n">
        <v>2281</v>
      </c>
      <c r="AH4486" t="inlineStr">
        <is>
          <t>PT. GRAVINDO JAYA ABADI - PPN(JMB)</t>
        </is>
      </c>
      <c r="AI4486" t="n">
        <v>131</v>
      </c>
      <c r="AJ4486" t="inlineStr">
        <is>
          <t>VEET</t>
        </is>
      </c>
      <c r="AK4486" t="n">
        <v>9</v>
      </c>
      <c r="AL4486" t="inlineStr">
        <is>
          <t>Miss Glam Jambi</t>
        </is>
      </c>
      <c r="AM4486" t="n">
        <v>4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VICTORIA'S SECRET</t>
        </is>
      </c>
      <c r="B4487" s="2">
        <f>"667554123595"</f>
        <v/>
      </c>
      <c r="C4487" t="inlineStr">
        <is>
          <t>VICTORIA S SECRET Fragance Mist Aqua Kiss 250ml</t>
        </is>
      </c>
      <c r="D4487" t="inlineStr">
        <is>
          <t>Miss Glam Jambi</t>
        </is>
      </c>
      <c r="E4487" t="n">
        <v>0</v>
      </c>
      <c r="F4487" t="n">
        <v>0.03</v>
      </c>
      <c r="G4487" t="n">
        <v>1</v>
      </c>
      <c r="H4487" t="n">
        <v>4</v>
      </c>
      <c r="I4487" t="n">
        <v>20</v>
      </c>
      <c r="J4487" t="n">
        <v>3</v>
      </c>
      <c r="K4487" t="n">
        <v>0</v>
      </c>
      <c r="L4487" t="n">
        <v>171775</v>
      </c>
      <c r="M4487" t="n">
        <v>210000</v>
      </c>
      <c r="N4487" t="n">
        <v>33</v>
      </c>
      <c r="O4487" t="n">
        <v>0.33</v>
      </c>
      <c r="P4487" t="n">
        <v>0</v>
      </c>
      <c r="Q4487" t="n">
        <v>0.03</v>
      </c>
      <c r="R4487" t="n">
        <v>1</v>
      </c>
      <c r="S4487" t="n">
        <v>6300</v>
      </c>
      <c r="T4487" t="n">
        <v>20</v>
      </c>
      <c r="U4487" t="n">
        <v>21</v>
      </c>
      <c r="V4487" t="n">
        <v>30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n">
        <v>0</v>
      </c>
      <c r="AC4487" t="n">
        <v>0</v>
      </c>
      <c r="AD4487" t="n">
        <v>171775</v>
      </c>
      <c r="AE4487" t="n">
        <v>0</v>
      </c>
      <c r="AF4487" t="n">
        <v>9107</v>
      </c>
      <c r="AG4487" t="n">
        <v>1</v>
      </c>
      <c r="AH4487" t="inlineStr">
        <is>
          <t>PT. BERSAMA DISTRIVERSA INDONESIA (DC CIPUTAT)</t>
        </is>
      </c>
      <c r="AI4487" t="n">
        <v>26</v>
      </c>
      <c r="AJ4487" t="inlineStr">
        <is>
          <t>VICTORIA'S SECRET</t>
        </is>
      </c>
      <c r="AK4487" t="n">
        <v>9</v>
      </c>
      <c r="AL4487" t="inlineStr">
        <is>
          <t>Miss Glam Jambi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VICTORIA'S SECRET</t>
        </is>
      </c>
      <c r="B4488" s="2">
        <f>"667556489989"</f>
        <v/>
      </c>
      <c r="C4488" t="inlineStr">
        <is>
          <t>VICTORIA'S SECRET Fragrance Mist Velvet Petals 250ml</t>
        </is>
      </c>
      <c r="D4488" t="inlineStr">
        <is>
          <t>Miss Glam Jambi</t>
        </is>
      </c>
      <c r="E4488" t="n">
        <v>4</v>
      </c>
      <c r="F4488" t="n">
        <v>0.03</v>
      </c>
      <c r="G4488" t="n">
        <v>1</v>
      </c>
      <c r="H4488" t="n">
        <v>4</v>
      </c>
      <c r="I4488" t="n">
        <v>20</v>
      </c>
      <c r="J4488" t="n">
        <v>3</v>
      </c>
      <c r="K4488" t="n">
        <v>0</v>
      </c>
      <c r="L4488" t="n">
        <v>175140</v>
      </c>
      <c r="M4488" t="n">
        <v>215000</v>
      </c>
      <c r="N4488" t="n">
        <v>33</v>
      </c>
      <c r="O4488" t="n">
        <v>0.33</v>
      </c>
      <c r="P4488" t="n">
        <v>0</v>
      </c>
      <c r="Q4488" t="n">
        <v>0.03</v>
      </c>
      <c r="R4488" t="n">
        <v>1</v>
      </c>
      <c r="S4488" t="n">
        <v>6450</v>
      </c>
      <c r="T4488" t="n">
        <v>20</v>
      </c>
      <c r="U4488" t="n">
        <v>21</v>
      </c>
      <c r="V4488" t="n">
        <v>30</v>
      </c>
      <c r="W4488" t="n">
        <v>1</v>
      </c>
      <c r="X4488" t="n">
        <v>133.3333333333333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9107</v>
      </c>
      <c r="AG4488" t="n">
        <v>1</v>
      </c>
      <c r="AH4488" t="inlineStr">
        <is>
          <t>PT. BERSAMA DISTRIVERSA INDONESIA (DC CIPUTAT)</t>
        </is>
      </c>
      <c r="AI4488" t="n">
        <v>26</v>
      </c>
      <c r="AJ4488" t="inlineStr">
        <is>
          <t>VICTORIA'S SECRET</t>
        </is>
      </c>
      <c r="AK4488" t="n">
        <v>9</v>
      </c>
      <c r="AL4488" t="inlineStr">
        <is>
          <t>Miss Glam Jambi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VICTORIA'S SECRET</t>
        </is>
      </c>
      <c r="B4489" s="2">
        <f>"667556489965"</f>
        <v/>
      </c>
      <c r="C4489" t="inlineStr">
        <is>
          <t>VICTORIA'S SECRET Love Spell Fragrance Mist 250ml</t>
        </is>
      </c>
      <c r="D4489" t="inlineStr">
        <is>
          <t>Miss Glam Jambi</t>
        </is>
      </c>
      <c r="E4489" t="n">
        <v>6</v>
      </c>
      <c r="F4489" t="n">
        <v>0.02</v>
      </c>
      <c r="G4489" t="n">
        <v>1</v>
      </c>
      <c r="H4489" t="n">
        <v>4</v>
      </c>
      <c r="I4489" t="n">
        <v>20</v>
      </c>
      <c r="J4489" t="n">
        <v>3</v>
      </c>
      <c r="K4489" t="n">
        <v>0</v>
      </c>
      <c r="L4489" t="n">
        <v>176339</v>
      </c>
      <c r="M4489" t="n">
        <v>220000</v>
      </c>
      <c r="N4489" t="n">
        <v>33</v>
      </c>
      <c r="O4489" t="n">
        <v>0.33</v>
      </c>
      <c r="P4489" t="n">
        <v>0</v>
      </c>
      <c r="Q4489" t="n">
        <v>0.02</v>
      </c>
      <c r="R4489" t="n">
        <v>1</v>
      </c>
      <c r="S4489" t="n">
        <v>4400</v>
      </c>
      <c r="T4489" t="n">
        <v>20</v>
      </c>
      <c r="U4489" t="n">
        <v>21</v>
      </c>
      <c r="V4489" t="n">
        <v>30</v>
      </c>
      <c r="W4489" t="n">
        <v>1</v>
      </c>
      <c r="X4489" t="n">
        <v>300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9107</v>
      </c>
      <c r="AG4489" t="n">
        <v>1</v>
      </c>
      <c r="AH4489" t="inlineStr">
        <is>
          <t>PT. BERSAMA DISTRIVERSA INDONESIA (DC CIPUTAT)</t>
        </is>
      </c>
      <c r="AI4489" t="n">
        <v>26</v>
      </c>
      <c r="AJ4489" t="inlineStr">
        <is>
          <t>VICTORIA'S SECRET</t>
        </is>
      </c>
      <c r="AK4489" t="n">
        <v>9</v>
      </c>
      <c r="AL4489" t="inlineStr">
        <is>
          <t>Miss Glam Jambi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VICTORIA'S SECRET</t>
        </is>
      </c>
      <c r="B4490" s="2">
        <f>"667555058087"</f>
        <v/>
      </c>
      <c r="C4490" t="inlineStr">
        <is>
          <t>VICTORIA'S SECRET Love Spell Shimmer Fragrance Mist 250ml</t>
        </is>
      </c>
      <c r="D4490" t="inlineStr">
        <is>
          <t>Miss Glam Jambi</t>
        </is>
      </c>
      <c r="E4490" t="n">
        <v>2</v>
      </c>
      <c r="F4490" t="n">
        <v>0.03</v>
      </c>
      <c r="G4490" t="n">
        <v>1</v>
      </c>
      <c r="H4490" t="n">
        <v>4</v>
      </c>
      <c r="I4490" t="n">
        <v>20</v>
      </c>
      <c r="J4490" t="n">
        <v>3</v>
      </c>
      <c r="K4490" t="n">
        <v>0</v>
      </c>
      <c r="L4490" t="n">
        <v>175258</v>
      </c>
      <c r="M4490" t="n">
        <v>215000</v>
      </c>
      <c r="N4490" t="n">
        <v>33</v>
      </c>
      <c r="O4490" t="n">
        <v>0.33</v>
      </c>
      <c r="P4490" t="n">
        <v>0</v>
      </c>
      <c r="Q4490" t="n">
        <v>0.03</v>
      </c>
      <c r="R4490" t="n">
        <v>1</v>
      </c>
      <c r="S4490" t="n">
        <v>6450</v>
      </c>
      <c r="T4490" t="n">
        <v>20</v>
      </c>
      <c r="U4490" t="n">
        <v>21</v>
      </c>
      <c r="V4490" t="n">
        <v>30</v>
      </c>
      <c r="W4490" t="n">
        <v>1</v>
      </c>
      <c r="X4490" t="n">
        <v>66.66666666666667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9107</v>
      </c>
      <c r="AG4490" t="n">
        <v>1</v>
      </c>
      <c r="AH4490" t="inlineStr">
        <is>
          <t>PT. BERSAMA DISTRIVERSA INDONESIA (DC CIPUTAT)</t>
        </is>
      </c>
      <c r="AI4490" t="n">
        <v>26</v>
      </c>
      <c r="AJ4490" t="inlineStr">
        <is>
          <t>VICTORIA'S SECRET</t>
        </is>
      </c>
      <c r="AK4490" t="n">
        <v>9</v>
      </c>
      <c r="AL4490" t="inlineStr">
        <is>
          <t>Miss Glam Jambi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VICTORIA'S SECRET</t>
        </is>
      </c>
      <c r="B4491" s="2">
        <f>"667556605068"</f>
        <v/>
      </c>
      <c r="C4491" t="inlineStr">
        <is>
          <t>VICTORIA'S SECRET Rush Fragrance Mist 250ml</t>
        </is>
      </c>
      <c r="D4491" t="inlineStr">
        <is>
          <t>Miss Glam Jambi</t>
        </is>
      </c>
      <c r="E4491" t="n">
        <v>3</v>
      </c>
      <c r="F4491" t="n">
        <v>0.006600000000000001</v>
      </c>
      <c r="G4491" t="n">
        <v>0.33</v>
      </c>
      <c r="H4491" t="n">
        <v>4</v>
      </c>
      <c r="I4491" t="n">
        <v>20</v>
      </c>
      <c r="J4491" t="n">
        <v>3</v>
      </c>
      <c r="K4491" t="n">
        <v>0</v>
      </c>
      <c r="L4491" t="n">
        <v>181789</v>
      </c>
      <c r="M4491" t="n">
        <v>220000</v>
      </c>
      <c r="N4491" t="n">
        <v>33</v>
      </c>
      <c r="O4491" t="n">
        <v>0.33</v>
      </c>
      <c r="P4491" t="n">
        <v>1</v>
      </c>
      <c r="Q4491" t="n">
        <v>0.02</v>
      </c>
      <c r="R4491" t="n">
        <v>1</v>
      </c>
      <c r="S4491" t="n">
        <v>1452</v>
      </c>
      <c r="T4491" t="n">
        <v>7</v>
      </c>
      <c r="U4491" t="n">
        <v>8</v>
      </c>
      <c r="V4491" t="n">
        <v>30</v>
      </c>
      <c r="W4491" t="n">
        <v>1</v>
      </c>
      <c r="X4491" t="n">
        <v>454.5454545454545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9107</v>
      </c>
      <c r="AG4491" t="n">
        <v>1</v>
      </c>
      <c r="AH4491" t="inlineStr">
        <is>
          <t>PT. BERSAMA DISTRIVERSA INDONESIA (DC CIPUTAT)</t>
        </is>
      </c>
      <c r="AI4491" t="n">
        <v>26</v>
      </c>
      <c r="AJ4491" t="inlineStr">
        <is>
          <t>VICTORIA'S SECRET</t>
        </is>
      </c>
      <c r="AK4491" t="n">
        <v>9</v>
      </c>
      <c r="AL4491" t="inlineStr">
        <is>
          <t>Miss Glam Jambi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VIENNA BEAUTY</t>
        </is>
      </c>
      <c r="B4492" s="2">
        <f>"8994942030503"</f>
        <v/>
      </c>
      <c r="C4492" t="inlineStr">
        <is>
          <t>VIENNA Acne Patch Tea Tree Oil Salicylid Acid Niacinamide 6 Patches</t>
        </is>
      </c>
      <c r="D4492" t="inlineStr">
        <is>
          <t>Miss Glam Jambi</t>
        </is>
      </c>
      <c r="E4492" t="n">
        <v>22</v>
      </c>
      <c r="F4492" t="n">
        <v>0.2178</v>
      </c>
      <c r="G4492" t="n">
        <v>1.32</v>
      </c>
      <c r="H4492" t="n">
        <v>6</v>
      </c>
      <c r="I4492" t="n">
        <v>10</v>
      </c>
      <c r="J4492" t="n">
        <v>3</v>
      </c>
      <c r="K4492" t="n">
        <v>0</v>
      </c>
      <c r="L4492" t="n">
        <v>8991</v>
      </c>
      <c r="M4492" t="n">
        <v>12000</v>
      </c>
      <c r="N4492" t="n">
        <v>33</v>
      </c>
      <c r="O4492" t="n">
        <v>0.33</v>
      </c>
      <c r="P4492" t="n">
        <v>1</v>
      </c>
      <c r="Q4492" t="n">
        <v>0.08</v>
      </c>
      <c r="R4492" t="n">
        <v>1</v>
      </c>
      <c r="S4492" t="n">
        <v>2613.6</v>
      </c>
      <c r="T4492" t="n">
        <v>12</v>
      </c>
      <c r="U4492" t="n">
        <v>14</v>
      </c>
      <c r="V4492" t="n">
        <v>30</v>
      </c>
      <c r="W4492" t="n">
        <v>7</v>
      </c>
      <c r="X4492" t="n">
        <v>101.010101010101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9612</v>
      </c>
      <c r="AG4492" t="n">
        <v>2037</v>
      </c>
      <c r="AH4492" t="inlineStr">
        <is>
          <t>PT. CAKRA DAYA UNGGUL - PPN (PDG)</t>
        </is>
      </c>
      <c r="AI4492" t="n">
        <v>162</v>
      </c>
      <c r="AJ4492" t="inlineStr">
        <is>
          <t>VIENNA BEAUTY</t>
        </is>
      </c>
      <c r="AK4492" t="n">
        <v>9</v>
      </c>
      <c r="AL4492" t="inlineStr">
        <is>
          <t>Miss Glam Jambi</t>
        </is>
      </c>
      <c r="AM4492" t="n">
        <v>3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VIENNA BEAUTY</t>
        </is>
      </c>
      <c r="B4493" s="2">
        <f>"8994942015456"</f>
        <v/>
      </c>
      <c r="C4493" t="inlineStr">
        <is>
          <t>VIENNA BEAUTY Black Head Charcoal 30ml</t>
        </is>
      </c>
      <c r="D4493" t="inlineStr">
        <is>
          <t>Miss Glam Jambi</t>
        </is>
      </c>
      <c r="E4493" t="n">
        <v>3</v>
      </c>
      <c r="F4493" t="n">
        <v>0.033</v>
      </c>
      <c r="G4493" t="n">
        <v>0.66</v>
      </c>
      <c r="H4493" t="n">
        <v>6</v>
      </c>
      <c r="I4493" t="n">
        <v>10</v>
      </c>
      <c r="J4493" t="n">
        <v>3</v>
      </c>
      <c r="K4493" t="n">
        <v>6</v>
      </c>
      <c r="L4493" t="n">
        <v>18981</v>
      </c>
      <c r="M4493" t="n">
        <v>26200</v>
      </c>
      <c r="N4493" t="n">
        <v>33</v>
      </c>
      <c r="O4493" t="n">
        <v>0.33</v>
      </c>
      <c r="P4493" t="n">
        <v>1</v>
      </c>
      <c r="Q4493" t="n">
        <v>0.19</v>
      </c>
      <c r="R4493" t="n">
        <v>2</v>
      </c>
      <c r="S4493" t="n">
        <v>864.6</v>
      </c>
      <c r="T4493" t="n">
        <v>7</v>
      </c>
      <c r="U4493" t="n">
        <v>8</v>
      </c>
      <c r="V4493" t="n">
        <v>30</v>
      </c>
      <c r="W4493" t="n">
        <v>1</v>
      </c>
      <c r="X4493" t="n">
        <v>90.90909090909091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9612</v>
      </c>
      <c r="AG4493" t="n">
        <v>2037</v>
      </c>
      <c r="AH4493" t="inlineStr">
        <is>
          <t>PT. CAKRA DAYA UNGGUL - PPN (PDG)</t>
        </is>
      </c>
      <c r="AI4493" t="n">
        <v>162</v>
      </c>
      <c r="AJ4493" t="inlineStr">
        <is>
          <t>VIENNA BEAUTY</t>
        </is>
      </c>
      <c r="AK4493" t="n">
        <v>9</v>
      </c>
      <c r="AL4493" t="inlineStr">
        <is>
          <t>Miss Glam Jambi</t>
        </is>
      </c>
      <c r="AM4493" t="n">
        <v>3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VIENNA BEAUTY</t>
        </is>
      </c>
      <c r="B4494" s="2">
        <f>"8994942006652"</f>
        <v/>
      </c>
      <c r="C4494" t="inlineStr">
        <is>
          <t>VIENNA BEAUTY Blackhead 3 Steps Nose Pack</t>
        </is>
      </c>
      <c r="D4494" t="inlineStr">
        <is>
          <t>Miss Glam Jambi</t>
        </is>
      </c>
      <c r="E4494" t="n">
        <v>0</v>
      </c>
      <c r="F4494" t="n">
        <v>0.0726</v>
      </c>
      <c r="G4494" t="n">
        <v>0.66</v>
      </c>
      <c r="H4494" t="n">
        <v>6</v>
      </c>
      <c r="I4494" t="n">
        <v>10</v>
      </c>
      <c r="J4494" t="n">
        <v>3</v>
      </c>
      <c r="K4494" t="n">
        <v>12</v>
      </c>
      <c r="L4494" t="n">
        <v>18981</v>
      </c>
      <c r="M4494" t="n">
        <v>26500</v>
      </c>
      <c r="N4494" t="n">
        <v>33</v>
      </c>
      <c r="O4494" t="n">
        <v>0.33</v>
      </c>
      <c r="P4494" t="n">
        <v>1</v>
      </c>
      <c r="Q4494" t="n">
        <v>0.24</v>
      </c>
      <c r="R4494" t="n">
        <v>2</v>
      </c>
      <c r="S4494" t="n">
        <v>1923.9</v>
      </c>
      <c r="T4494" t="n">
        <v>7</v>
      </c>
      <c r="U4494" t="n">
        <v>8</v>
      </c>
      <c r="V4494" t="n">
        <v>30</v>
      </c>
      <c r="W4494" t="n">
        <v>3</v>
      </c>
      <c r="X4494" t="n">
        <v>0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9612</v>
      </c>
      <c r="AG4494" t="n">
        <v>2037</v>
      </c>
      <c r="AH4494" t="inlineStr">
        <is>
          <t>PT. CAKRA DAYA UNGGUL - PPN (PDG)</t>
        </is>
      </c>
      <c r="AI4494" t="n">
        <v>162</v>
      </c>
      <c r="AJ4494" t="inlineStr">
        <is>
          <t>VIENNA BEAUTY</t>
        </is>
      </c>
      <c r="AK4494" t="n">
        <v>9</v>
      </c>
      <c r="AL4494" t="inlineStr">
        <is>
          <t>Miss Glam Jambi</t>
        </is>
      </c>
      <c r="AM4494" t="n">
        <v>3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VIENNA BEAUTY</t>
        </is>
      </c>
      <c r="B4495" s="2">
        <f>"8994942016385"</f>
        <v/>
      </c>
      <c r="C4495" t="inlineStr">
        <is>
          <t>VIENNA BEAUTY Blackhead Nosepack Lemon 30ml</t>
        </is>
      </c>
      <c r="D4495" t="inlineStr">
        <is>
          <t>Miss Glam Jambi</t>
        </is>
      </c>
      <c r="E4495" t="n">
        <v>22</v>
      </c>
      <c r="F4495" t="n">
        <v>0.0495</v>
      </c>
      <c r="G4495" t="n">
        <v>0.66</v>
      </c>
      <c r="H4495" t="n">
        <v>6</v>
      </c>
      <c r="I4495" t="n">
        <v>10</v>
      </c>
      <c r="J4495" t="n">
        <v>3</v>
      </c>
      <c r="K4495" t="n">
        <v>0</v>
      </c>
      <c r="L4495" t="n">
        <v>18981</v>
      </c>
      <c r="M4495" t="n">
        <v>26500</v>
      </c>
      <c r="N4495" t="n">
        <v>33</v>
      </c>
      <c r="O4495" t="n">
        <v>0.33</v>
      </c>
      <c r="P4495" t="n">
        <v>1</v>
      </c>
      <c r="Q4495" t="n">
        <v>0.02</v>
      </c>
      <c r="R4495" t="n">
        <v>1</v>
      </c>
      <c r="S4495" t="n">
        <v>1311.75</v>
      </c>
      <c r="T4495" t="n">
        <v>7</v>
      </c>
      <c r="U4495" t="n">
        <v>8</v>
      </c>
      <c r="V4495" t="n">
        <v>30</v>
      </c>
      <c r="W4495" t="n">
        <v>2</v>
      </c>
      <c r="X4495" t="n">
        <v>444.4444444444444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9612</v>
      </c>
      <c r="AG4495" t="n">
        <v>2037</v>
      </c>
      <c r="AH4495" t="inlineStr">
        <is>
          <t>PT. CAKRA DAYA UNGGUL - PPN (PDG)</t>
        </is>
      </c>
      <c r="AI4495" t="n">
        <v>162</v>
      </c>
      <c r="AJ4495" t="inlineStr">
        <is>
          <t>VIENNA BEAUTY</t>
        </is>
      </c>
      <c r="AK4495" t="n">
        <v>9</v>
      </c>
      <c r="AL4495" t="inlineStr">
        <is>
          <t>Miss Glam Jambi</t>
        </is>
      </c>
      <c r="AM4495" t="n">
        <v>3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VIENNA BEAUTY</t>
        </is>
      </c>
      <c r="B4496" s="2">
        <f>"8994942016392"</f>
        <v/>
      </c>
      <c r="C4496" t="inlineStr">
        <is>
          <t>VIENNA BEAUTY Blackhead Nosepack Tea Tree Oil 30ml</t>
        </is>
      </c>
      <c r="D4496" t="inlineStr">
        <is>
          <t>Miss Glam Jambi</t>
        </is>
      </c>
      <c r="E4496" t="n">
        <v>11</v>
      </c>
      <c r="F4496" t="n">
        <v>0.07920000000000001</v>
      </c>
      <c r="G4496" t="n">
        <v>0.99</v>
      </c>
      <c r="H4496" t="n">
        <v>6</v>
      </c>
      <c r="I4496" t="n">
        <v>10</v>
      </c>
      <c r="J4496" t="n">
        <v>3</v>
      </c>
      <c r="K4496" t="n">
        <v>0</v>
      </c>
      <c r="L4496" t="n">
        <v>18981</v>
      </c>
      <c r="M4496" t="n">
        <v>26200</v>
      </c>
      <c r="N4496" t="n">
        <v>33</v>
      </c>
      <c r="O4496" t="n">
        <v>0.33</v>
      </c>
      <c r="P4496" t="n">
        <v>1</v>
      </c>
      <c r="Q4496" t="n">
        <v>0.1</v>
      </c>
      <c r="R4496" t="n">
        <v>2</v>
      </c>
      <c r="S4496" t="n">
        <v>2075.04</v>
      </c>
      <c r="T4496" t="n">
        <v>10</v>
      </c>
      <c r="U4496" t="n">
        <v>11</v>
      </c>
      <c r="V4496" t="n">
        <v>30</v>
      </c>
      <c r="W4496" t="n">
        <v>3</v>
      </c>
      <c r="X4496" t="n">
        <v>138.8888888888889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9612</v>
      </c>
      <c r="AG4496" t="n">
        <v>2037</v>
      </c>
      <c r="AH4496" t="inlineStr">
        <is>
          <t>PT. CAKRA DAYA UNGGUL - PPN (PDG)</t>
        </is>
      </c>
      <c r="AI4496" t="n">
        <v>162</v>
      </c>
      <c r="AJ4496" t="inlineStr">
        <is>
          <t>VIENNA BEAUTY</t>
        </is>
      </c>
      <c r="AK4496" t="n">
        <v>9</v>
      </c>
      <c r="AL4496" t="inlineStr">
        <is>
          <t>Miss Glam Jambi</t>
        </is>
      </c>
      <c r="AM4496" t="n">
        <v>3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VIENNA BEAUTY</t>
        </is>
      </c>
      <c r="B4497" s="2">
        <f>"8994942015913"</f>
        <v/>
      </c>
      <c r="C4497" t="inlineStr">
        <is>
          <t>VIENNA BEAUTY Blackhead Tea Tree Oil Nose Pack</t>
        </is>
      </c>
      <c r="D4497" t="inlineStr">
        <is>
          <t>Miss Glam Jambi</t>
        </is>
      </c>
      <c r="E4497" t="n">
        <v>21</v>
      </c>
      <c r="F4497" t="n">
        <v>0.264</v>
      </c>
      <c r="G4497" t="n">
        <v>1.98</v>
      </c>
      <c r="H4497" t="n">
        <v>6</v>
      </c>
      <c r="I4497" t="n">
        <v>10</v>
      </c>
      <c r="J4497" t="n">
        <v>3</v>
      </c>
      <c r="K4497" t="n">
        <v>0</v>
      </c>
      <c r="L4497" t="n">
        <v>7493</v>
      </c>
      <c r="M4497" t="n">
        <v>10500</v>
      </c>
      <c r="N4497" t="n">
        <v>33</v>
      </c>
      <c r="O4497" t="n">
        <v>0.33</v>
      </c>
      <c r="P4497" t="n">
        <v>1</v>
      </c>
      <c r="Q4497" t="n">
        <v>0.27</v>
      </c>
      <c r="R4497" t="n">
        <v>2</v>
      </c>
      <c r="S4497" t="n">
        <v>2772</v>
      </c>
      <c r="T4497" t="n">
        <v>19</v>
      </c>
      <c r="U4497" t="n">
        <v>21</v>
      </c>
      <c r="V4497" t="n">
        <v>30</v>
      </c>
      <c r="W4497" t="n">
        <v>8</v>
      </c>
      <c r="X4497" t="n">
        <v>79.54545454545455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9612</v>
      </c>
      <c r="AG4497" t="n">
        <v>2037</v>
      </c>
      <c r="AH4497" t="inlineStr">
        <is>
          <t>PT. CAKRA DAYA UNGGUL - PPN (PDG)</t>
        </is>
      </c>
      <c r="AI4497" t="n">
        <v>162</v>
      </c>
      <c r="AJ4497" t="inlineStr">
        <is>
          <t>VIENNA BEAUTY</t>
        </is>
      </c>
      <c r="AK4497" t="n">
        <v>9</v>
      </c>
      <c r="AL4497" t="inlineStr">
        <is>
          <t>Miss Glam Jambi</t>
        </is>
      </c>
      <c r="AM4497" t="n">
        <v>3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VIENNA BEAUTY</t>
        </is>
      </c>
      <c r="B4498" s="2">
        <f>"8994942004702"</f>
        <v/>
      </c>
      <c r="C4498" t="inlineStr">
        <is>
          <t>VIENNA BEAUTY Blue Horse Shampoo 2IN1 Horse Oil 350ml</t>
        </is>
      </c>
      <c r="D4498" t="inlineStr">
        <is>
          <t>Miss Glam Jambi</t>
        </is>
      </c>
      <c r="E4498" t="n">
        <v>3</v>
      </c>
      <c r="F4498" t="n">
        <v>0.0726</v>
      </c>
      <c r="G4498" t="n">
        <v>0.99</v>
      </c>
      <c r="H4498" t="n">
        <v>6</v>
      </c>
      <c r="I4498" t="n">
        <v>10</v>
      </c>
      <c r="J4498" t="n">
        <v>3</v>
      </c>
      <c r="K4498" t="n">
        <v>0</v>
      </c>
      <c r="L4498" t="n">
        <v>43956</v>
      </c>
      <c r="M4498" t="n">
        <v>60000</v>
      </c>
      <c r="N4498" t="n">
        <v>33</v>
      </c>
      <c r="O4498" t="n">
        <v>0.33</v>
      </c>
      <c r="P4498" t="n">
        <v>1</v>
      </c>
      <c r="Q4498" t="n">
        <v>0.05</v>
      </c>
      <c r="R4498" t="n">
        <v>2</v>
      </c>
      <c r="S4498" t="n">
        <v>4356</v>
      </c>
      <c r="T4498" t="n">
        <v>10</v>
      </c>
      <c r="U4498" t="n">
        <v>11</v>
      </c>
      <c r="V4498" t="n">
        <v>30</v>
      </c>
      <c r="W4498" t="n">
        <v>3</v>
      </c>
      <c r="X4498" t="n">
        <v>41.32231404958678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9612</v>
      </c>
      <c r="AG4498" t="n">
        <v>2037</v>
      </c>
      <c r="AH4498" t="inlineStr">
        <is>
          <t>PT. CAKRA DAYA UNGGUL - PPN (PDG)</t>
        </is>
      </c>
      <c r="AI4498" t="n">
        <v>162</v>
      </c>
      <c r="AJ4498" t="inlineStr">
        <is>
          <t>VIENNA BEAUTY</t>
        </is>
      </c>
      <c r="AK4498" t="n">
        <v>9</v>
      </c>
      <c r="AL4498" t="inlineStr">
        <is>
          <t>Miss Glam Jambi</t>
        </is>
      </c>
      <c r="AM4498" t="n">
        <v>3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VIENNA BEAUTY</t>
        </is>
      </c>
      <c r="B4499" s="2">
        <f>"8994942002395"</f>
        <v/>
      </c>
      <c r="C4499" t="inlineStr">
        <is>
          <t>VIENNA BEAUTY Blue Horse Shampoo Hair Fall Controll 350ml</t>
        </is>
      </c>
      <c r="D4499" t="inlineStr">
        <is>
          <t>Miss Glam Jambi</t>
        </is>
      </c>
      <c r="E4499" t="n">
        <v>0</v>
      </c>
      <c r="F4499" t="n">
        <v>0.0231</v>
      </c>
      <c r="G4499" t="n">
        <v>0.33</v>
      </c>
      <c r="H4499" t="n">
        <v>6</v>
      </c>
      <c r="I4499" t="n">
        <v>10</v>
      </c>
      <c r="J4499" t="n">
        <v>3</v>
      </c>
      <c r="K4499" t="n">
        <v>0</v>
      </c>
      <c r="L4499" t="n">
        <v>44400</v>
      </c>
      <c r="M4499" t="n">
        <v>55000</v>
      </c>
      <c r="N4499" t="n">
        <v>33</v>
      </c>
      <c r="O4499" t="n">
        <v>0.33</v>
      </c>
      <c r="P4499" t="n">
        <v>1</v>
      </c>
      <c r="Q4499" t="n">
        <v>0.07000000000000001</v>
      </c>
      <c r="R4499" t="n">
        <v>1</v>
      </c>
      <c r="S4499" t="n">
        <v>1270.5</v>
      </c>
      <c r="T4499" t="n">
        <v>4</v>
      </c>
      <c r="U4499" t="n">
        <v>5</v>
      </c>
      <c r="V4499" t="n">
        <v>30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n">
        <v>0</v>
      </c>
      <c r="AC4499" t="n">
        <v>0</v>
      </c>
      <c r="AD4499" t="n">
        <v>44400</v>
      </c>
      <c r="AE4499" t="n">
        <v>0</v>
      </c>
      <c r="AF4499" t="n">
        <v>9612</v>
      </c>
      <c r="AG4499" t="n">
        <v>2037</v>
      </c>
      <c r="AH4499" t="inlineStr">
        <is>
          <t>PT. CAKRA DAYA UNGGUL - PPN (PDG)</t>
        </is>
      </c>
      <c r="AI4499" t="n">
        <v>162</v>
      </c>
      <c r="AJ4499" t="inlineStr">
        <is>
          <t>VIENNA BEAUTY</t>
        </is>
      </c>
      <c r="AK4499" t="n">
        <v>9</v>
      </c>
      <c r="AL4499" t="inlineStr">
        <is>
          <t>Miss Glam Jambi</t>
        </is>
      </c>
      <c r="AM4499" t="n">
        <v>3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VIENNA BEAUTY</t>
        </is>
      </c>
      <c r="B4500" s="2">
        <f>"8994942003132"</f>
        <v/>
      </c>
      <c r="C4500" t="inlineStr">
        <is>
          <t>VIENNA BEAUTY Blue Horse Shampoo Herbal Growth 350ml</t>
        </is>
      </c>
      <c r="D4500" t="inlineStr">
        <is>
          <t>Miss Glam Jambi</t>
        </is>
      </c>
      <c r="E4500" t="n">
        <v>1</v>
      </c>
      <c r="F4500" t="n">
        <v>0.08910000000000001</v>
      </c>
      <c r="G4500" t="n">
        <v>0.66</v>
      </c>
      <c r="H4500" t="n">
        <v>6</v>
      </c>
      <c r="I4500" t="n">
        <v>10</v>
      </c>
      <c r="J4500" t="n">
        <v>3</v>
      </c>
      <c r="K4500" t="n">
        <v>3</v>
      </c>
      <c r="L4500" t="n">
        <v>43956</v>
      </c>
      <c r="M4500" t="n">
        <v>60000</v>
      </c>
      <c r="N4500" t="n">
        <v>33</v>
      </c>
      <c r="O4500" t="n">
        <v>0.33</v>
      </c>
      <c r="P4500" t="n">
        <v>1</v>
      </c>
      <c r="Q4500" t="n">
        <v>0.05</v>
      </c>
      <c r="R4500" t="n">
        <v>1</v>
      </c>
      <c r="S4500" t="n">
        <v>5346.000000000001</v>
      </c>
      <c r="T4500" t="n">
        <v>7</v>
      </c>
      <c r="U4500" t="n">
        <v>8</v>
      </c>
      <c r="V4500" t="n">
        <v>30</v>
      </c>
      <c r="W4500" t="n">
        <v>3</v>
      </c>
      <c r="X4500" t="n">
        <v>11.22334455667789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9612</v>
      </c>
      <c r="AG4500" t="n">
        <v>2037</v>
      </c>
      <c r="AH4500" t="inlineStr">
        <is>
          <t>PT. CAKRA DAYA UNGGUL - PPN (PDG)</t>
        </is>
      </c>
      <c r="AI4500" t="n">
        <v>162</v>
      </c>
      <c r="AJ4500" t="inlineStr">
        <is>
          <t>VIENNA BEAUTY</t>
        </is>
      </c>
      <c r="AK4500" t="n">
        <v>9</v>
      </c>
      <c r="AL4500" t="inlineStr">
        <is>
          <t>Miss Glam Jambi</t>
        </is>
      </c>
      <c r="AM4500" t="n">
        <v>3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VIENNA BEAUTY</t>
        </is>
      </c>
      <c r="B4501" s="2">
        <f>"8994942002418"</f>
        <v/>
      </c>
      <c r="C4501" t="inlineStr">
        <is>
          <t>VIENNA BEAUTY Blue Horse Shampoo Nourish And Repair 350ml</t>
        </is>
      </c>
      <c r="D4501" t="inlineStr">
        <is>
          <t>Miss Glam Jambi</t>
        </is>
      </c>
      <c r="E4501" t="n">
        <v>5</v>
      </c>
      <c r="F4501" t="n">
        <v>0.0561</v>
      </c>
      <c r="G4501" t="n">
        <v>0.66</v>
      </c>
      <c r="H4501" t="n">
        <v>6</v>
      </c>
      <c r="I4501" t="n">
        <v>10</v>
      </c>
      <c r="J4501" t="n">
        <v>3</v>
      </c>
      <c r="K4501" t="n">
        <v>0</v>
      </c>
      <c r="L4501" t="n">
        <v>39960</v>
      </c>
      <c r="M4501" t="n">
        <v>55000</v>
      </c>
      <c r="N4501" t="n">
        <v>33</v>
      </c>
      <c r="O4501" t="n">
        <v>0.33</v>
      </c>
      <c r="P4501" t="n">
        <v>1</v>
      </c>
      <c r="Q4501" t="n">
        <v>0.03</v>
      </c>
      <c r="R4501" t="n">
        <v>1</v>
      </c>
      <c r="S4501" t="n">
        <v>3085.5</v>
      </c>
      <c r="T4501" t="n">
        <v>7</v>
      </c>
      <c r="U4501" t="n">
        <v>8</v>
      </c>
      <c r="V4501" t="n">
        <v>30</v>
      </c>
      <c r="W4501" t="n">
        <v>2</v>
      </c>
      <c r="X4501" t="n">
        <v>89.12655971479501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9612</v>
      </c>
      <c r="AG4501" t="n">
        <v>2037</v>
      </c>
      <c r="AH4501" t="inlineStr">
        <is>
          <t>PT. CAKRA DAYA UNGGUL - PPN (PDG)</t>
        </is>
      </c>
      <c r="AI4501" t="n">
        <v>162</v>
      </c>
      <c r="AJ4501" t="inlineStr">
        <is>
          <t>VIENNA BEAUTY</t>
        </is>
      </c>
      <c r="AK4501" t="n">
        <v>9</v>
      </c>
      <c r="AL4501" t="inlineStr">
        <is>
          <t>Miss Glam Jambi</t>
        </is>
      </c>
      <c r="AM4501" t="n">
        <v>3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VIENNA BEAUTY</t>
        </is>
      </c>
      <c r="B4502" s="2">
        <f>"8994942002388"</f>
        <v/>
      </c>
      <c r="C4502" t="inlineStr">
        <is>
          <t>VIENNA BEAUTY Blue Horse Shampoo Silky &amp; Shiny 350ml</t>
        </is>
      </c>
      <c r="D4502" t="inlineStr">
        <is>
          <t>Miss Glam Jambi</t>
        </is>
      </c>
      <c r="E4502" t="n">
        <v>6</v>
      </c>
      <c r="F4502" t="n">
        <v>0.0231</v>
      </c>
      <c r="G4502" t="n">
        <v>0.33</v>
      </c>
      <c r="H4502" t="n">
        <v>6</v>
      </c>
      <c r="I4502" t="n">
        <v>10</v>
      </c>
      <c r="J4502" t="n">
        <v>3</v>
      </c>
      <c r="K4502" t="n">
        <v>0</v>
      </c>
      <c r="L4502" t="n">
        <v>39960</v>
      </c>
      <c r="M4502" t="n">
        <v>55000</v>
      </c>
      <c r="N4502" t="n">
        <v>33</v>
      </c>
      <c r="O4502" t="n">
        <v>0.33</v>
      </c>
      <c r="P4502" t="n">
        <v>1</v>
      </c>
      <c r="Q4502" t="n">
        <v>0.02</v>
      </c>
      <c r="R4502" t="n">
        <v>1</v>
      </c>
      <c r="S4502" t="n">
        <v>1270.5</v>
      </c>
      <c r="T4502" t="n">
        <v>4</v>
      </c>
      <c r="U4502" t="n">
        <v>5</v>
      </c>
      <c r="V4502" t="n">
        <v>30</v>
      </c>
      <c r="W4502" t="n">
        <v>1</v>
      </c>
      <c r="X4502" t="n">
        <v>259.7402597402597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9612</v>
      </c>
      <c r="AG4502" t="n">
        <v>2037</v>
      </c>
      <c r="AH4502" t="inlineStr">
        <is>
          <t>PT. CAKRA DAYA UNGGUL - PPN (PDG)</t>
        </is>
      </c>
      <c r="AI4502" t="n">
        <v>162</v>
      </c>
      <c r="AJ4502" t="inlineStr">
        <is>
          <t>VIENNA BEAUTY</t>
        </is>
      </c>
      <c r="AK4502" t="n">
        <v>9</v>
      </c>
      <c r="AL4502" t="inlineStr">
        <is>
          <t>Miss Glam Jambi</t>
        </is>
      </c>
      <c r="AM4502" t="n">
        <v>3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VIENNA BEAUTY</t>
        </is>
      </c>
      <c r="B4503" s="2">
        <f>"8995026300260"</f>
        <v/>
      </c>
      <c r="C4503" t="inlineStr">
        <is>
          <t>VIENNA BEAUTY Body Scrub Goat Milk 1Kg</t>
        </is>
      </c>
      <c r="D4503" t="inlineStr">
        <is>
          <t>Miss Glam Jambi</t>
        </is>
      </c>
      <c r="E4503" t="n">
        <v>2</v>
      </c>
      <c r="F4503" t="n">
        <v>0.05</v>
      </c>
      <c r="G4503" t="n">
        <v>1</v>
      </c>
      <c r="H4503" t="n">
        <v>6</v>
      </c>
      <c r="I4503" t="n">
        <v>10</v>
      </c>
      <c r="J4503" t="n">
        <v>3</v>
      </c>
      <c r="K4503" t="n">
        <v>0</v>
      </c>
      <c r="L4503" t="n">
        <v>58941</v>
      </c>
      <c r="M4503" t="n">
        <v>81000</v>
      </c>
      <c r="N4503" t="n">
        <v>33</v>
      </c>
      <c r="O4503" t="n">
        <v>0.33</v>
      </c>
      <c r="P4503" t="n">
        <v>0</v>
      </c>
      <c r="Q4503" t="n">
        <v>0.05</v>
      </c>
      <c r="R4503" t="n">
        <v>1</v>
      </c>
      <c r="S4503" t="n">
        <v>4050</v>
      </c>
      <c r="T4503" t="n">
        <v>10</v>
      </c>
      <c r="U4503" t="n">
        <v>11</v>
      </c>
      <c r="V4503" t="n">
        <v>30</v>
      </c>
      <c r="W4503" t="n">
        <v>2</v>
      </c>
      <c r="X4503" t="n">
        <v>40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9612</v>
      </c>
      <c r="AG4503" t="n">
        <v>2037</v>
      </c>
      <c r="AH4503" t="inlineStr">
        <is>
          <t>PT. CAKRA DAYA UNGGUL - PPN (PDG)</t>
        </is>
      </c>
      <c r="AI4503" t="n">
        <v>162</v>
      </c>
      <c r="AJ4503" t="inlineStr">
        <is>
          <t>VIENNA BEAUTY</t>
        </is>
      </c>
      <c r="AK4503" t="n">
        <v>9</v>
      </c>
      <c r="AL4503" t="inlineStr">
        <is>
          <t>Miss Glam Jambi</t>
        </is>
      </c>
      <c r="AM4503" t="n">
        <v>3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VIENNA BEAUTY</t>
        </is>
      </c>
      <c r="B4504" s="2">
        <f>"8994942016293"</f>
        <v/>
      </c>
      <c r="C4504" t="inlineStr">
        <is>
          <t>VIENNA BEAUTY Body Scrub Goats Milk 250gr Pouch</t>
        </is>
      </c>
      <c r="D4504" t="inlineStr">
        <is>
          <t>Miss Glam Jambi</t>
        </is>
      </c>
      <c r="E4504" t="n">
        <v>0</v>
      </c>
      <c r="F4504" t="n">
        <v>0.15</v>
      </c>
      <c r="G4504" t="n">
        <v>1</v>
      </c>
      <c r="H4504" t="n">
        <v>6</v>
      </c>
      <c r="I4504" t="n">
        <v>10</v>
      </c>
      <c r="J4504" t="n">
        <v>3</v>
      </c>
      <c r="K4504" t="n">
        <v>6</v>
      </c>
      <c r="L4504" t="n">
        <v>16983</v>
      </c>
      <c r="M4504" t="n">
        <v>23000</v>
      </c>
      <c r="N4504" t="n">
        <v>33</v>
      </c>
      <c r="O4504" t="n">
        <v>0.33</v>
      </c>
      <c r="P4504" t="n">
        <v>0</v>
      </c>
      <c r="Q4504" t="n">
        <v>0.15</v>
      </c>
      <c r="R4504" t="n">
        <v>1</v>
      </c>
      <c r="S4504" t="n">
        <v>3450</v>
      </c>
      <c r="T4504" t="n">
        <v>10</v>
      </c>
      <c r="U4504" t="n">
        <v>11</v>
      </c>
      <c r="V4504" t="n">
        <v>30</v>
      </c>
      <c r="W4504" t="n">
        <v>5</v>
      </c>
      <c r="X4504" t="n">
        <v>0</v>
      </c>
      <c r="Y4504" t="n">
        <v>1</v>
      </c>
      <c r="Z4504" t="n">
        <v>0</v>
      </c>
      <c r="AA4504" t="n">
        <v>1</v>
      </c>
      <c r="AB4504" t="n">
        <v>0</v>
      </c>
      <c r="AC4504" t="n">
        <v>0</v>
      </c>
      <c r="AD4504" t="n">
        <v>16983</v>
      </c>
      <c r="AE4504" t="n">
        <v>0</v>
      </c>
      <c r="AF4504" t="n">
        <v>9612</v>
      </c>
      <c r="AG4504" t="n">
        <v>2037</v>
      </c>
      <c r="AH4504" t="inlineStr">
        <is>
          <t>PT. CAKRA DAYA UNGGUL - PPN (PDG)</t>
        </is>
      </c>
      <c r="AI4504" t="n">
        <v>162</v>
      </c>
      <c r="AJ4504" t="inlineStr">
        <is>
          <t>VIENNA BEAUTY</t>
        </is>
      </c>
      <c r="AK4504" t="n">
        <v>9</v>
      </c>
      <c r="AL4504" t="inlineStr">
        <is>
          <t>Miss Glam Jambi</t>
        </is>
      </c>
      <c r="AM4504" t="n">
        <v>3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VIENNA BEAUTY</t>
        </is>
      </c>
      <c r="B4505" s="2">
        <f>"8994942030244"</f>
        <v/>
      </c>
      <c r="C4505" t="inlineStr">
        <is>
          <t>VIENNA BEAUTY Brightening Pore Strips Lemon Licorice 3 Stips</t>
        </is>
      </c>
      <c r="D4505" t="inlineStr">
        <is>
          <t>Miss Glam Jambi</t>
        </is>
      </c>
      <c r="E4505" t="n">
        <v>1</v>
      </c>
      <c r="F4505" t="n">
        <v>0.4422</v>
      </c>
      <c r="G4505" t="n">
        <v>1.98</v>
      </c>
      <c r="H4505" t="n">
        <v>6</v>
      </c>
      <c r="I4505" t="n">
        <v>10</v>
      </c>
      <c r="J4505" t="n">
        <v>3</v>
      </c>
      <c r="K4505" t="n">
        <v>24</v>
      </c>
      <c r="L4505" t="n">
        <v>8991</v>
      </c>
      <c r="M4505" t="n">
        <v>11500</v>
      </c>
      <c r="N4505" t="n">
        <v>33</v>
      </c>
      <c r="O4505" t="n">
        <v>0.33</v>
      </c>
      <c r="P4505" t="n">
        <v>1</v>
      </c>
      <c r="Q4505" t="n">
        <v>0.34</v>
      </c>
      <c r="R4505" t="n">
        <v>4</v>
      </c>
      <c r="S4505" t="n">
        <v>5085.3</v>
      </c>
      <c r="T4505" t="n">
        <v>18</v>
      </c>
      <c r="U4505" t="n">
        <v>21</v>
      </c>
      <c r="V4505" t="n">
        <v>30</v>
      </c>
      <c r="W4505" t="n">
        <v>14</v>
      </c>
      <c r="X4505" t="n">
        <v>2.261420171867933</v>
      </c>
      <c r="Y4505" t="n">
        <v>1</v>
      </c>
      <c r="Z4505" t="n">
        <v>0</v>
      </c>
      <c r="AA4505" t="n">
        <v>3</v>
      </c>
      <c r="AB4505" t="n">
        <v>0</v>
      </c>
      <c r="AC4505" t="n">
        <v>0</v>
      </c>
      <c r="AD4505" t="n">
        <v>26973</v>
      </c>
      <c r="AE4505" t="n">
        <v>0</v>
      </c>
      <c r="AF4505" t="n">
        <v>9612</v>
      </c>
      <c r="AG4505" t="n">
        <v>2037</v>
      </c>
      <c r="AH4505" t="inlineStr">
        <is>
          <t>PT. CAKRA DAYA UNGGUL - PPN (PDG)</t>
        </is>
      </c>
      <c r="AI4505" t="n">
        <v>162</v>
      </c>
      <c r="AJ4505" t="inlineStr">
        <is>
          <t>VIENNA BEAUTY</t>
        </is>
      </c>
      <c r="AK4505" t="n">
        <v>9</v>
      </c>
      <c r="AL4505" t="inlineStr">
        <is>
          <t>Miss Glam Jambi</t>
        </is>
      </c>
      <c r="AM4505" t="n">
        <v>3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VIENNA BEAUTY</t>
        </is>
      </c>
      <c r="B4506" s="2">
        <f>"8994942009547"</f>
        <v/>
      </c>
      <c r="C4506" t="inlineStr">
        <is>
          <t>VIENNA BEAUTY Brightenning Underarm Cream</t>
        </is>
      </c>
      <c r="D4506" t="inlineStr">
        <is>
          <t>Miss Glam Jambi</t>
        </is>
      </c>
      <c r="E4506" t="n">
        <v>13</v>
      </c>
      <c r="F4506" t="n">
        <v>0.0231</v>
      </c>
      <c r="G4506" t="n">
        <v>0.33</v>
      </c>
      <c r="H4506" t="n">
        <v>6</v>
      </c>
      <c r="I4506" t="n">
        <v>10</v>
      </c>
      <c r="J4506" t="n">
        <v>3</v>
      </c>
      <c r="K4506" t="n">
        <v>0</v>
      </c>
      <c r="L4506" t="n">
        <v>11988</v>
      </c>
      <c r="M4506" t="n">
        <v>16000</v>
      </c>
      <c r="N4506" t="n">
        <v>33</v>
      </c>
      <c r="O4506" t="n">
        <v>0.33</v>
      </c>
      <c r="P4506" t="n">
        <v>1</v>
      </c>
      <c r="Q4506" t="n">
        <v>0.08</v>
      </c>
      <c r="R4506" t="n">
        <v>2</v>
      </c>
      <c r="S4506" t="n">
        <v>369.6</v>
      </c>
      <c r="T4506" t="n">
        <v>4</v>
      </c>
      <c r="U4506" t="n">
        <v>5</v>
      </c>
      <c r="V4506" t="n">
        <v>30</v>
      </c>
      <c r="W4506" t="n">
        <v>1</v>
      </c>
      <c r="X4506" t="n">
        <v>562.7705627705627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9612</v>
      </c>
      <c r="AG4506" t="n">
        <v>2037</v>
      </c>
      <c r="AH4506" t="inlineStr">
        <is>
          <t>PT. CAKRA DAYA UNGGUL - PPN (PDG)</t>
        </is>
      </c>
      <c r="AI4506" t="n">
        <v>162</v>
      </c>
      <c r="AJ4506" t="inlineStr">
        <is>
          <t>VIENNA BEAUTY</t>
        </is>
      </c>
      <c r="AK4506" t="n">
        <v>9</v>
      </c>
      <c r="AL4506" t="inlineStr">
        <is>
          <t>Miss Glam Jambi</t>
        </is>
      </c>
      <c r="AM4506" t="n">
        <v>3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VIENNA BEAUTY</t>
        </is>
      </c>
      <c r="B4507" s="2">
        <f>"8994942015920"</f>
        <v/>
      </c>
      <c r="C4507" t="inlineStr">
        <is>
          <t>VIENNA BEAUTY Brightenning Underarm Exfoliating Cream</t>
        </is>
      </c>
      <c r="D4507" t="inlineStr">
        <is>
          <t>Miss Glam Jambi</t>
        </is>
      </c>
      <c r="E4507" t="n">
        <v>5</v>
      </c>
      <c r="F4507" t="n">
        <v>0.033</v>
      </c>
      <c r="G4507" t="n">
        <v>0.66</v>
      </c>
      <c r="H4507" t="n">
        <v>6</v>
      </c>
      <c r="I4507" t="n">
        <v>10</v>
      </c>
      <c r="J4507" t="n">
        <v>3</v>
      </c>
      <c r="K4507" t="n">
        <v>0</v>
      </c>
      <c r="L4507" t="n">
        <v>11988</v>
      </c>
      <c r="M4507" t="n">
        <v>17000</v>
      </c>
      <c r="N4507" t="n">
        <v>33</v>
      </c>
      <c r="O4507" t="n">
        <v>0.33</v>
      </c>
      <c r="P4507" t="n">
        <v>1</v>
      </c>
      <c r="Q4507" t="n">
        <v>0.02</v>
      </c>
      <c r="R4507" t="n">
        <v>1</v>
      </c>
      <c r="S4507" t="n">
        <v>561</v>
      </c>
      <c r="T4507" t="n">
        <v>7</v>
      </c>
      <c r="U4507" t="n">
        <v>8</v>
      </c>
      <c r="V4507" t="n">
        <v>30</v>
      </c>
      <c r="W4507" t="n">
        <v>1</v>
      </c>
      <c r="X4507" t="n">
        <v>151.5151515151515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9612</v>
      </c>
      <c r="AG4507" t="n">
        <v>2037</v>
      </c>
      <c r="AH4507" t="inlineStr">
        <is>
          <t>PT. CAKRA DAYA UNGGUL - PPN (PDG)</t>
        </is>
      </c>
      <c r="AI4507" t="n">
        <v>162</v>
      </c>
      <c r="AJ4507" t="inlineStr">
        <is>
          <t>VIENNA BEAUTY</t>
        </is>
      </c>
      <c r="AK4507" t="n">
        <v>9</v>
      </c>
      <c r="AL4507" t="inlineStr">
        <is>
          <t>Miss Glam Jambi</t>
        </is>
      </c>
      <c r="AM4507" t="n">
        <v>3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VIENNA BEAUTY</t>
        </is>
      </c>
      <c r="B4508" s="2">
        <f>"8994942017931"</f>
        <v/>
      </c>
      <c r="C4508" t="inlineStr">
        <is>
          <t>VIENNA BEAUTY Cleansing Pore Strips Charcoal+Bamboo</t>
        </is>
      </c>
      <c r="D4508" t="inlineStr">
        <is>
          <t>Miss Glam Jambi</t>
        </is>
      </c>
      <c r="E4508" t="n">
        <v>1</v>
      </c>
      <c r="F4508" t="n">
        <v>0.4422</v>
      </c>
      <c r="G4508" t="n">
        <v>3.63</v>
      </c>
      <c r="H4508" t="n">
        <v>6</v>
      </c>
      <c r="I4508" t="n">
        <v>10</v>
      </c>
      <c r="J4508" t="n">
        <v>3</v>
      </c>
      <c r="K4508" t="n">
        <v>0</v>
      </c>
      <c r="L4508" t="n">
        <v>8991</v>
      </c>
      <c r="M4508" t="n">
        <v>12000</v>
      </c>
      <c r="N4508" t="n">
        <v>33</v>
      </c>
      <c r="O4508" t="n">
        <v>0.33</v>
      </c>
      <c r="P4508" t="n">
        <v>1</v>
      </c>
      <c r="Q4508" t="n">
        <v>0.32</v>
      </c>
      <c r="R4508" t="n">
        <v>3</v>
      </c>
      <c r="S4508" t="n">
        <v>5306.400000000001</v>
      </c>
      <c r="T4508" t="n">
        <v>34</v>
      </c>
      <c r="U4508" t="n">
        <v>37</v>
      </c>
      <c r="V4508" t="n">
        <v>30</v>
      </c>
      <c r="W4508" t="n">
        <v>14</v>
      </c>
      <c r="X4508" t="n">
        <v>2.261420171867933</v>
      </c>
      <c r="Y4508" t="n">
        <v>1</v>
      </c>
      <c r="Z4508" t="n">
        <v>13</v>
      </c>
      <c r="AA4508" t="n">
        <v>4</v>
      </c>
      <c r="AB4508" t="n">
        <v>9</v>
      </c>
      <c r="AC4508" t="n">
        <v>9</v>
      </c>
      <c r="AD4508" t="n">
        <v>35964</v>
      </c>
      <c r="AE4508" t="n">
        <v>80919</v>
      </c>
      <c r="AF4508" t="n">
        <v>9612</v>
      </c>
      <c r="AG4508" t="n">
        <v>2037</v>
      </c>
      <c r="AH4508" t="inlineStr">
        <is>
          <t>PT. CAKRA DAYA UNGGUL - PPN (PDG)</t>
        </is>
      </c>
      <c r="AI4508" t="n">
        <v>162</v>
      </c>
      <c r="AJ4508" t="inlineStr">
        <is>
          <t>VIENNA BEAUTY</t>
        </is>
      </c>
      <c r="AK4508" t="n">
        <v>9</v>
      </c>
      <c r="AL4508" t="inlineStr">
        <is>
          <t>Miss Glam Jambi</t>
        </is>
      </c>
      <c r="AM4508" t="n">
        <v>3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VIENNA BEAUTY</t>
        </is>
      </c>
      <c r="B4509" s="2">
        <f>"8994942026735"</f>
        <v/>
      </c>
      <c r="C4509" t="inlineStr">
        <is>
          <t>VIENNA BEAUTY Cleansing Pore Strips Tiger Grss Charcoal 3 Strips Sachet</t>
        </is>
      </c>
      <c r="D4509" t="inlineStr">
        <is>
          <t>Miss Glam Jambi</t>
        </is>
      </c>
      <c r="E4509" t="n">
        <v>0</v>
      </c>
      <c r="F4509" t="n">
        <v>0.6039000000000001</v>
      </c>
      <c r="G4509" t="n">
        <v>1.65</v>
      </c>
      <c r="H4509" t="n">
        <v>6</v>
      </c>
      <c r="I4509" t="n">
        <v>10</v>
      </c>
      <c r="J4509" t="n">
        <v>3</v>
      </c>
      <c r="K4509" t="n">
        <v>6</v>
      </c>
      <c r="L4509" t="n">
        <v>8991</v>
      </c>
      <c r="M4509" t="n">
        <v>12000</v>
      </c>
      <c r="N4509" t="n">
        <v>33</v>
      </c>
      <c r="O4509" t="n">
        <v>0.33</v>
      </c>
      <c r="P4509" t="n">
        <v>1</v>
      </c>
      <c r="Q4509" t="n">
        <v>0.3</v>
      </c>
      <c r="R4509" t="n">
        <v>3</v>
      </c>
      <c r="S4509" t="n">
        <v>7246.800000000001</v>
      </c>
      <c r="T4509" t="n">
        <v>13</v>
      </c>
      <c r="U4509" t="n">
        <v>17</v>
      </c>
      <c r="V4509" t="n">
        <v>30</v>
      </c>
      <c r="W4509" t="n">
        <v>19</v>
      </c>
      <c r="X4509" t="n">
        <v>0</v>
      </c>
      <c r="Y4509" t="n">
        <v>1</v>
      </c>
      <c r="Z4509" t="n">
        <v>13</v>
      </c>
      <c r="AA4509" t="n">
        <v>6</v>
      </c>
      <c r="AB4509" t="n">
        <v>7</v>
      </c>
      <c r="AC4509" t="n">
        <v>7</v>
      </c>
      <c r="AD4509" t="n">
        <v>53946</v>
      </c>
      <c r="AE4509" t="n">
        <v>62937</v>
      </c>
      <c r="AF4509" t="n">
        <v>9612</v>
      </c>
      <c r="AG4509" t="n">
        <v>2037</v>
      </c>
      <c r="AH4509" t="inlineStr">
        <is>
          <t>PT. CAKRA DAYA UNGGUL - PPN (PDG)</t>
        </is>
      </c>
      <c r="AI4509" t="n">
        <v>162</v>
      </c>
      <c r="AJ4509" t="inlineStr">
        <is>
          <t>VIENNA BEAUTY</t>
        </is>
      </c>
      <c r="AK4509" t="n">
        <v>9</v>
      </c>
      <c r="AL4509" t="inlineStr">
        <is>
          <t>Miss Glam Jambi</t>
        </is>
      </c>
      <c r="AM4509" t="n">
        <v>3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VIENNA BEAUTY</t>
        </is>
      </c>
      <c r="B4510" s="2">
        <f>"8994942007253"</f>
        <v/>
      </c>
      <c r="C4510" t="inlineStr">
        <is>
          <t>VIENNA BEAUTY Collagen Eye Pads Revitalizing</t>
        </is>
      </c>
      <c r="D4510" t="inlineStr">
        <is>
          <t>Miss Glam Jambi</t>
        </is>
      </c>
      <c r="E4510" t="n">
        <v>3</v>
      </c>
      <c r="F4510" t="n">
        <v>0.0462</v>
      </c>
      <c r="G4510" t="n">
        <v>0.66</v>
      </c>
      <c r="H4510" t="n">
        <v>6</v>
      </c>
      <c r="I4510" t="n">
        <v>10</v>
      </c>
      <c r="J4510" t="n">
        <v>3</v>
      </c>
      <c r="K4510" t="n">
        <v>0</v>
      </c>
      <c r="L4510" t="n">
        <v>15984</v>
      </c>
      <c r="M4510" t="n">
        <v>20700</v>
      </c>
      <c r="N4510" t="n">
        <v>33</v>
      </c>
      <c r="O4510" t="n">
        <v>0.33</v>
      </c>
      <c r="P4510" t="n">
        <v>1</v>
      </c>
      <c r="Q4510" t="n">
        <v>0.02</v>
      </c>
      <c r="R4510" t="n">
        <v>1</v>
      </c>
      <c r="S4510" t="n">
        <v>956.3400000000001</v>
      </c>
      <c r="T4510" t="n">
        <v>7</v>
      </c>
      <c r="U4510" t="n">
        <v>8</v>
      </c>
      <c r="V4510" t="n">
        <v>30</v>
      </c>
      <c r="W4510" t="n">
        <v>2</v>
      </c>
      <c r="X4510" t="n">
        <v>64.93506493506493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9612</v>
      </c>
      <c r="AG4510" t="n">
        <v>2037</v>
      </c>
      <c r="AH4510" t="inlineStr">
        <is>
          <t>PT. CAKRA DAYA UNGGUL - PPN (PDG)</t>
        </is>
      </c>
      <c r="AI4510" t="n">
        <v>162</v>
      </c>
      <c r="AJ4510" t="inlineStr">
        <is>
          <t>VIENNA BEAUTY</t>
        </is>
      </c>
      <c r="AK4510" t="n">
        <v>9</v>
      </c>
      <c r="AL4510" t="inlineStr">
        <is>
          <t>Miss Glam Jambi</t>
        </is>
      </c>
      <c r="AM4510" t="n">
        <v>3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VIENNA BEAUTY</t>
        </is>
      </c>
      <c r="B4511" s="2">
        <f>"8994942023048"</f>
        <v/>
      </c>
      <c r="C4511" t="inlineStr">
        <is>
          <t>VIENNA BEAUTY Firming Breast Cream Pust Up 30ml</t>
        </is>
      </c>
      <c r="D4511" t="inlineStr">
        <is>
          <t>Miss Glam Jambi</t>
        </is>
      </c>
      <c r="E4511" t="n">
        <v>14</v>
      </c>
      <c r="F4511" t="n">
        <v>0.009900000000000001</v>
      </c>
      <c r="G4511" t="n">
        <v>0.33</v>
      </c>
      <c r="H4511" t="n">
        <v>6</v>
      </c>
      <c r="I4511" t="n">
        <v>10</v>
      </c>
      <c r="J4511" t="n">
        <v>3</v>
      </c>
      <c r="K4511" t="n">
        <v>0</v>
      </c>
      <c r="L4511" t="n">
        <v>18981</v>
      </c>
      <c r="M4511" t="n">
        <v>25000</v>
      </c>
      <c r="N4511" t="n">
        <v>33</v>
      </c>
      <c r="O4511" t="n">
        <v>0.33</v>
      </c>
      <c r="P4511" t="n">
        <v>1</v>
      </c>
      <c r="Q4511" t="n">
        <v>0.07000000000000001</v>
      </c>
      <c r="R4511" t="n">
        <v>3</v>
      </c>
      <c r="S4511" t="n">
        <v>247.5</v>
      </c>
      <c r="T4511" t="n">
        <v>4</v>
      </c>
      <c r="U4511" t="n">
        <v>5</v>
      </c>
      <c r="V4511" t="n">
        <v>30</v>
      </c>
      <c r="W4511" t="n">
        <v>1</v>
      </c>
      <c r="X4511" t="n">
        <v>1414.141414141414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9612</v>
      </c>
      <c r="AG4511" t="n">
        <v>2037</v>
      </c>
      <c r="AH4511" t="inlineStr">
        <is>
          <t>PT. CAKRA DAYA UNGGUL - PPN (PDG)</t>
        </is>
      </c>
      <c r="AI4511" t="n">
        <v>162</v>
      </c>
      <c r="AJ4511" t="inlineStr">
        <is>
          <t>VIENNA BEAUTY</t>
        </is>
      </c>
      <c r="AK4511" t="n">
        <v>9</v>
      </c>
      <c r="AL4511" t="inlineStr">
        <is>
          <t>Miss Glam Jambi</t>
        </is>
      </c>
      <c r="AM4511" t="n">
        <v>3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VIENNA BEAUTY</t>
        </is>
      </c>
      <c r="B4512" s="2">
        <f>"8995026302240"</f>
        <v/>
      </c>
      <c r="C4512" t="inlineStr">
        <is>
          <t>VIENNA BEAUTY Lulur Bengkoang 250ml</t>
        </is>
      </c>
      <c r="D4512" t="inlineStr">
        <is>
          <t>Miss Glam Jambi</t>
        </is>
      </c>
      <c r="E4512" t="n">
        <v>14</v>
      </c>
      <c r="F4512" t="n">
        <v>0.006600000000000001</v>
      </c>
      <c r="G4512" t="n">
        <v>0.33</v>
      </c>
      <c r="H4512" t="n">
        <v>6</v>
      </c>
      <c r="I4512" t="n">
        <v>10</v>
      </c>
      <c r="J4512" t="n">
        <v>3</v>
      </c>
      <c r="K4512" t="n">
        <v>0</v>
      </c>
      <c r="L4512" t="n">
        <v>19980</v>
      </c>
      <c r="M4512" t="n">
        <v>27000</v>
      </c>
      <c r="N4512" t="n">
        <v>33</v>
      </c>
      <c r="O4512" t="n">
        <v>0.33</v>
      </c>
      <c r="P4512" t="n">
        <v>1</v>
      </c>
      <c r="Q4512" t="n">
        <v>0.02</v>
      </c>
      <c r="R4512" t="n">
        <v>1</v>
      </c>
      <c r="S4512" t="n">
        <v>178.2</v>
      </c>
      <c r="T4512" t="n">
        <v>4</v>
      </c>
      <c r="U4512" t="n">
        <v>5</v>
      </c>
      <c r="V4512" t="n">
        <v>30</v>
      </c>
      <c r="W4512" t="n">
        <v>1</v>
      </c>
      <c r="X4512" t="n">
        <v>2121.212121212121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9612</v>
      </c>
      <c r="AG4512" t="n">
        <v>2037</v>
      </c>
      <c r="AH4512" t="inlineStr">
        <is>
          <t>PT. CAKRA DAYA UNGGUL - PPN (PDG)</t>
        </is>
      </c>
      <c r="AI4512" t="n">
        <v>162</v>
      </c>
      <c r="AJ4512" t="inlineStr">
        <is>
          <t>VIENNA BEAUTY</t>
        </is>
      </c>
      <c r="AK4512" t="n">
        <v>9</v>
      </c>
      <c r="AL4512" t="inlineStr">
        <is>
          <t>Miss Glam Jambi</t>
        </is>
      </c>
      <c r="AM4512" t="n">
        <v>3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VIENNA BEAUTY</t>
        </is>
      </c>
      <c r="B4513" s="2">
        <f>"8994942003095"</f>
        <v/>
      </c>
      <c r="C4513" t="inlineStr">
        <is>
          <t>VIENNA BEAUTY Lulur Cows Milk 250ml</t>
        </is>
      </c>
      <c r="D4513" t="inlineStr">
        <is>
          <t>Miss Glam Jambi</t>
        </is>
      </c>
      <c r="E4513" t="n">
        <v>11</v>
      </c>
      <c r="F4513" t="n">
        <v>0.0231</v>
      </c>
      <c r="G4513" t="n">
        <v>0.33</v>
      </c>
      <c r="H4513" t="n">
        <v>6</v>
      </c>
      <c r="I4513" t="n">
        <v>10</v>
      </c>
      <c r="J4513" t="n">
        <v>3</v>
      </c>
      <c r="K4513" t="n">
        <v>0</v>
      </c>
      <c r="L4513" t="n">
        <v>19980</v>
      </c>
      <c r="M4513" t="n">
        <v>27000</v>
      </c>
      <c r="N4513" t="n">
        <v>33</v>
      </c>
      <c r="O4513" t="n">
        <v>0.33</v>
      </c>
      <c r="P4513" t="n">
        <v>1</v>
      </c>
      <c r="Q4513" t="n">
        <v>0.05</v>
      </c>
      <c r="R4513" t="n">
        <v>1</v>
      </c>
      <c r="S4513" t="n">
        <v>623.7</v>
      </c>
      <c r="T4513" t="n">
        <v>4</v>
      </c>
      <c r="U4513" t="n">
        <v>5</v>
      </c>
      <c r="V4513" t="n">
        <v>30</v>
      </c>
      <c r="W4513" t="n">
        <v>1</v>
      </c>
      <c r="X4513" t="n">
        <v>476.1904761904761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9612</v>
      </c>
      <c r="AG4513" t="n">
        <v>2037</v>
      </c>
      <c r="AH4513" t="inlineStr">
        <is>
          <t>PT. CAKRA DAYA UNGGUL - PPN (PDG)</t>
        </is>
      </c>
      <c r="AI4513" t="n">
        <v>162</v>
      </c>
      <c r="AJ4513" t="inlineStr">
        <is>
          <t>VIENNA BEAUTY</t>
        </is>
      </c>
      <c r="AK4513" t="n">
        <v>9</v>
      </c>
      <c r="AL4513" t="inlineStr">
        <is>
          <t>Miss Glam Jambi</t>
        </is>
      </c>
      <c r="AM4513" t="n">
        <v>3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VIENNA BEAUTY</t>
        </is>
      </c>
      <c r="B4514" s="2">
        <f>"8995026309997"</f>
        <v/>
      </c>
      <c r="C4514" t="inlineStr">
        <is>
          <t>VIENNA BEAUTY Lulur Goat Milk 250ml</t>
        </is>
      </c>
      <c r="D4514" t="inlineStr">
        <is>
          <t>Miss Glam Jambi</t>
        </is>
      </c>
      <c r="E4514" t="n">
        <v>0</v>
      </c>
      <c r="F4514" t="n">
        <v>0.0396</v>
      </c>
      <c r="G4514" t="n">
        <v>0.66</v>
      </c>
      <c r="H4514" t="n">
        <v>6</v>
      </c>
      <c r="I4514" t="n">
        <v>10</v>
      </c>
      <c r="J4514" t="n">
        <v>3</v>
      </c>
      <c r="K4514" t="n">
        <v>12</v>
      </c>
      <c r="L4514" t="n">
        <v>19980</v>
      </c>
      <c r="M4514" t="n">
        <v>27000</v>
      </c>
      <c r="N4514" t="n">
        <v>33</v>
      </c>
      <c r="O4514" t="n">
        <v>0.33</v>
      </c>
      <c r="P4514" t="n">
        <v>1</v>
      </c>
      <c r="Q4514" t="n">
        <v>0.14</v>
      </c>
      <c r="R4514" t="n">
        <v>2</v>
      </c>
      <c r="S4514" t="n">
        <v>1069.2</v>
      </c>
      <c r="T4514" t="n">
        <v>7</v>
      </c>
      <c r="U4514" t="n">
        <v>8</v>
      </c>
      <c r="V4514" t="n">
        <v>30</v>
      </c>
      <c r="W4514" t="n">
        <v>2</v>
      </c>
      <c r="X4514" t="n">
        <v>0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9612</v>
      </c>
      <c r="AG4514" t="n">
        <v>2037</v>
      </c>
      <c r="AH4514" t="inlineStr">
        <is>
          <t>PT. CAKRA DAYA UNGGUL - PPN (PDG)</t>
        </is>
      </c>
      <c r="AI4514" t="n">
        <v>162</v>
      </c>
      <c r="AJ4514" t="inlineStr">
        <is>
          <t>VIENNA BEAUTY</t>
        </is>
      </c>
      <c r="AK4514" t="n">
        <v>9</v>
      </c>
      <c r="AL4514" t="inlineStr">
        <is>
          <t>Miss Glam Jambi</t>
        </is>
      </c>
      <c r="AM4514" t="n">
        <v>3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VIENNA BEAUTY</t>
        </is>
      </c>
      <c r="B4515" s="2">
        <f>"8994942014695"</f>
        <v/>
      </c>
      <c r="C4515" t="inlineStr">
        <is>
          <t>VIENNA BEAUTY Panda Eye Mask Dark Bircles&amp;Puffiness</t>
        </is>
      </c>
      <c r="D4515" t="inlineStr">
        <is>
          <t>Miss Glam Jambi</t>
        </is>
      </c>
      <c r="E4515" t="n">
        <v>18</v>
      </c>
      <c r="F4515" t="n">
        <v>0.1221</v>
      </c>
      <c r="G4515" t="n">
        <v>0.99</v>
      </c>
      <c r="H4515" t="n">
        <v>6</v>
      </c>
      <c r="I4515" t="n">
        <v>10</v>
      </c>
      <c r="J4515" t="n">
        <v>3</v>
      </c>
      <c r="K4515" t="n">
        <v>0</v>
      </c>
      <c r="L4515" t="n">
        <v>14985</v>
      </c>
      <c r="M4515" t="n">
        <v>20500</v>
      </c>
      <c r="N4515" t="n">
        <v>33</v>
      </c>
      <c r="O4515" t="n">
        <v>0.33</v>
      </c>
      <c r="P4515" t="n">
        <v>1</v>
      </c>
      <c r="Q4515" t="n">
        <v>0.03</v>
      </c>
      <c r="R4515" t="n">
        <v>1</v>
      </c>
      <c r="S4515" t="n">
        <v>2503.05</v>
      </c>
      <c r="T4515" t="n">
        <v>10</v>
      </c>
      <c r="U4515" t="n">
        <v>11</v>
      </c>
      <c r="V4515" t="n">
        <v>30</v>
      </c>
      <c r="W4515" t="n">
        <v>4</v>
      </c>
      <c r="X4515" t="n">
        <v>147.4201474201474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9612</v>
      </c>
      <c r="AG4515" t="n">
        <v>2037</v>
      </c>
      <c r="AH4515" t="inlineStr">
        <is>
          <t>PT. CAKRA DAYA UNGGUL - PPN (PDG)</t>
        </is>
      </c>
      <c r="AI4515" t="n">
        <v>162</v>
      </c>
      <c r="AJ4515" t="inlineStr">
        <is>
          <t>VIENNA BEAUTY</t>
        </is>
      </c>
      <c r="AK4515" t="n">
        <v>9</v>
      </c>
      <c r="AL4515" t="inlineStr">
        <is>
          <t>Miss Glam Jambi</t>
        </is>
      </c>
      <c r="AM4515" t="n">
        <v>3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VIENNA BEAUTY</t>
        </is>
      </c>
      <c r="B4516" s="2">
        <f>"8994942014701"</f>
        <v/>
      </c>
      <c r="C4516" t="inlineStr">
        <is>
          <t>VIENNA BEAUTY Panda Eye Mask Fine Lines&amp;Wrinkle</t>
        </is>
      </c>
      <c r="D4516" t="inlineStr">
        <is>
          <t>Miss Glam Jambi</t>
        </is>
      </c>
      <c r="E4516" t="n">
        <v>17</v>
      </c>
      <c r="F4516" t="n">
        <v>0.1287</v>
      </c>
      <c r="G4516" t="n">
        <v>0.99</v>
      </c>
      <c r="H4516" t="n">
        <v>6</v>
      </c>
      <c r="I4516" t="n">
        <v>10</v>
      </c>
      <c r="J4516" t="n">
        <v>3</v>
      </c>
      <c r="K4516" t="n">
        <v>0</v>
      </c>
      <c r="L4516" t="n">
        <v>14985</v>
      </c>
      <c r="M4516" t="n">
        <v>20000</v>
      </c>
      <c r="N4516" t="n">
        <v>33</v>
      </c>
      <c r="O4516" t="n">
        <v>0.33</v>
      </c>
      <c r="P4516" t="n">
        <v>1</v>
      </c>
      <c r="Q4516" t="n">
        <v>0.07000000000000001</v>
      </c>
      <c r="R4516" t="n">
        <v>1</v>
      </c>
      <c r="S4516" t="n">
        <v>2574</v>
      </c>
      <c r="T4516" t="n">
        <v>10</v>
      </c>
      <c r="U4516" t="n">
        <v>11</v>
      </c>
      <c r="V4516" t="n">
        <v>30</v>
      </c>
      <c r="W4516" t="n">
        <v>4</v>
      </c>
      <c r="X4516" t="n">
        <v>132.0901320901321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9612</v>
      </c>
      <c r="AG4516" t="n">
        <v>2037</v>
      </c>
      <c r="AH4516" t="inlineStr">
        <is>
          <t>PT. CAKRA DAYA UNGGUL - PPN (PDG)</t>
        </is>
      </c>
      <c r="AI4516" t="n">
        <v>162</v>
      </c>
      <c r="AJ4516" t="inlineStr">
        <is>
          <t>VIENNA BEAUTY</t>
        </is>
      </c>
      <c r="AK4516" t="n">
        <v>9</v>
      </c>
      <c r="AL4516" t="inlineStr">
        <is>
          <t>Miss Glam Jambi</t>
        </is>
      </c>
      <c r="AM4516" t="n">
        <v>3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VIENNA BEAUTY</t>
        </is>
      </c>
      <c r="B4517" s="2">
        <f>"8994942023130"</f>
        <v/>
      </c>
      <c r="C4517" t="inlineStr">
        <is>
          <t>VIENNA BEAUTY Push Up Firming Breast Cream</t>
        </is>
      </c>
      <c r="D4517" t="inlineStr">
        <is>
          <t>Miss Glam Jambi</t>
        </is>
      </c>
      <c r="E4517" t="n">
        <v>5</v>
      </c>
      <c r="F4517" t="n">
        <v>0.02</v>
      </c>
      <c r="G4517" t="n">
        <v>1</v>
      </c>
      <c r="H4517" t="n">
        <v>6</v>
      </c>
      <c r="I4517" t="n">
        <v>10</v>
      </c>
      <c r="J4517" t="n">
        <v>3</v>
      </c>
      <c r="K4517" t="n">
        <v>0</v>
      </c>
      <c r="L4517" t="n">
        <v>44955</v>
      </c>
      <c r="M4517" t="n">
        <v>59200</v>
      </c>
      <c r="N4517" t="n">
        <v>33</v>
      </c>
      <c r="O4517" t="n">
        <v>0.33</v>
      </c>
      <c r="P4517" t="n">
        <v>0</v>
      </c>
      <c r="Q4517" t="n">
        <v>0.02</v>
      </c>
      <c r="R4517" t="n">
        <v>1</v>
      </c>
      <c r="S4517" t="n">
        <v>1184</v>
      </c>
      <c r="T4517" t="n">
        <v>10</v>
      </c>
      <c r="U4517" t="n">
        <v>11</v>
      </c>
      <c r="V4517" t="n">
        <v>30</v>
      </c>
      <c r="W4517" t="n">
        <v>1</v>
      </c>
      <c r="X4517" t="n">
        <v>250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9612</v>
      </c>
      <c r="AG4517" t="n">
        <v>2037</v>
      </c>
      <c r="AH4517" t="inlineStr">
        <is>
          <t>PT. CAKRA DAYA UNGGUL - PPN (PDG)</t>
        </is>
      </c>
      <c r="AI4517" t="n">
        <v>162</v>
      </c>
      <c r="AJ4517" t="inlineStr">
        <is>
          <t>VIENNA BEAUTY</t>
        </is>
      </c>
      <c r="AK4517" t="n">
        <v>9</v>
      </c>
      <c r="AL4517" t="inlineStr">
        <is>
          <t>Miss Glam Jambi</t>
        </is>
      </c>
      <c r="AM4517" t="n">
        <v>3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VIENNA BEAUTY</t>
        </is>
      </c>
      <c r="B4518" s="2">
        <f>"8995026302622"</f>
        <v/>
      </c>
      <c r="C4518" t="inlineStr">
        <is>
          <t>VIENNA BEAUTY Strechk Mark Cream 80ml</t>
        </is>
      </c>
      <c r="D4518" t="inlineStr">
        <is>
          <t>Miss Glam Jambi</t>
        </is>
      </c>
      <c r="E4518" t="n">
        <v>5</v>
      </c>
      <c r="F4518" t="n">
        <v>0.02</v>
      </c>
      <c r="G4518" t="n">
        <v>1</v>
      </c>
      <c r="H4518" t="n">
        <v>6</v>
      </c>
      <c r="I4518" t="n">
        <v>10</v>
      </c>
      <c r="J4518" t="n">
        <v>3</v>
      </c>
      <c r="K4518" t="n">
        <v>0</v>
      </c>
      <c r="L4518" t="n">
        <v>35964</v>
      </c>
      <c r="M4518" t="n">
        <v>50000</v>
      </c>
      <c r="N4518" t="n">
        <v>33</v>
      </c>
      <c r="O4518" t="n">
        <v>0.33</v>
      </c>
      <c r="P4518" t="n">
        <v>0</v>
      </c>
      <c r="Q4518" t="n">
        <v>0.02</v>
      </c>
      <c r="R4518" t="n">
        <v>1</v>
      </c>
      <c r="S4518" t="n">
        <v>1000</v>
      </c>
      <c r="T4518" t="n">
        <v>10</v>
      </c>
      <c r="U4518" t="n">
        <v>11</v>
      </c>
      <c r="V4518" t="n">
        <v>30</v>
      </c>
      <c r="W4518" t="n">
        <v>1</v>
      </c>
      <c r="X4518" t="n">
        <v>250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9612</v>
      </c>
      <c r="AG4518" t="n">
        <v>2037</v>
      </c>
      <c r="AH4518" t="inlineStr">
        <is>
          <t>PT. CAKRA DAYA UNGGUL - PPN (PDG)</t>
        </is>
      </c>
      <c r="AI4518" t="n">
        <v>162</v>
      </c>
      <c r="AJ4518" t="inlineStr">
        <is>
          <t>VIENNA BEAUTY</t>
        </is>
      </c>
      <c r="AK4518" t="n">
        <v>9</v>
      </c>
      <c r="AL4518" t="inlineStr">
        <is>
          <t>Miss Glam Jambi</t>
        </is>
      </c>
      <c r="AM4518" t="n">
        <v>3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VIENNA BEAUTY</t>
        </is>
      </c>
      <c r="B4519" s="2">
        <f>"8994942023055"</f>
        <v/>
      </c>
      <c r="C4519" t="inlineStr">
        <is>
          <t>VIENNA BEAUTY Volume Up Firming Breast Cream</t>
        </is>
      </c>
      <c r="D4519" t="inlineStr">
        <is>
          <t>Miss Glam Jambi</t>
        </is>
      </c>
      <c r="E4519" t="n">
        <v>13</v>
      </c>
      <c r="F4519" t="n">
        <v>0.0165</v>
      </c>
      <c r="G4519" t="n">
        <v>0.33</v>
      </c>
      <c r="H4519" t="n">
        <v>6</v>
      </c>
      <c r="I4519" t="n">
        <v>10</v>
      </c>
      <c r="J4519" t="n">
        <v>3</v>
      </c>
      <c r="K4519" t="n">
        <v>0</v>
      </c>
      <c r="L4519" t="n">
        <v>18981</v>
      </c>
      <c r="M4519" t="n">
        <v>25000</v>
      </c>
      <c r="N4519" t="n">
        <v>33</v>
      </c>
      <c r="O4519" t="n">
        <v>0.33</v>
      </c>
      <c r="P4519" t="n">
        <v>1</v>
      </c>
      <c r="Q4519" t="n">
        <v>0.02</v>
      </c>
      <c r="R4519" t="n">
        <v>1</v>
      </c>
      <c r="S4519" t="n">
        <v>412.5</v>
      </c>
      <c r="T4519" t="n">
        <v>4</v>
      </c>
      <c r="U4519" t="n">
        <v>5</v>
      </c>
      <c r="V4519" t="n">
        <v>30</v>
      </c>
      <c r="W4519" t="n">
        <v>1</v>
      </c>
      <c r="X4519" t="n">
        <v>787.8787878787879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9612</v>
      </c>
      <c r="AG4519" t="n">
        <v>2037</v>
      </c>
      <c r="AH4519" t="inlineStr">
        <is>
          <t>PT. CAKRA DAYA UNGGUL - PPN (PDG)</t>
        </is>
      </c>
      <c r="AI4519" t="n">
        <v>162</v>
      </c>
      <c r="AJ4519" t="inlineStr">
        <is>
          <t>VIENNA BEAUTY</t>
        </is>
      </c>
      <c r="AK4519" t="n">
        <v>9</v>
      </c>
      <c r="AL4519" t="inlineStr">
        <is>
          <t>Miss Glam Jambi</t>
        </is>
      </c>
      <c r="AM4519" t="n">
        <v>3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VIENNA BEAUTY</t>
        </is>
      </c>
      <c r="B4520" s="2">
        <f>"8994942008694"</f>
        <v/>
      </c>
      <c r="C4520" t="inlineStr">
        <is>
          <t>VIENNA BEAUTY White Sparkling</t>
        </is>
      </c>
      <c r="D4520" t="inlineStr">
        <is>
          <t>Miss Glam Jambi</t>
        </is>
      </c>
      <c r="E4520" t="n">
        <v>4</v>
      </c>
      <c r="F4520" t="n">
        <v>0.009900000000000001</v>
      </c>
      <c r="G4520" t="n">
        <v>0.33</v>
      </c>
      <c r="H4520" t="n">
        <v>6</v>
      </c>
      <c r="I4520" t="n">
        <v>10</v>
      </c>
      <c r="J4520" t="n">
        <v>3</v>
      </c>
      <c r="K4520" t="n">
        <v>0</v>
      </c>
      <c r="L4520" t="n">
        <v>23976</v>
      </c>
      <c r="M4520" t="n">
        <v>32000</v>
      </c>
      <c r="N4520" t="n">
        <v>33</v>
      </c>
      <c r="O4520" t="n">
        <v>0.33</v>
      </c>
      <c r="P4520" t="n">
        <v>1</v>
      </c>
      <c r="Q4520" t="n">
        <v>0.02</v>
      </c>
      <c r="R4520" t="n">
        <v>1</v>
      </c>
      <c r="S4520" t="n">
        <v>316.8</v>
      </c>
      <c r="T4520" t="n">
        <v>4</v>
      </c>
      <c r="U4520" t="n">
        <v>5</v>
      </c>
      <c r="V4520" t="n">
        <v>30</v>
      </c>
      <c r="W4520" t="n">
        <v>1</v>
      </c>
      <c r="X4520" t="n">
        <v>404.040404040404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9612</v>
      </c>
      <c r="AG4520" t="n">
        <v>2037</v>
      </c>
      <c r="AH4520" t="inlineStr">
        <is>
          <t>PT. CAKRA DAYA UNGGUL - PPN (PDG)</t>
        </is>
      </c>
      <c r="AI4520" t="n">
        <v>162</v>
      </c>
      <c r="AJ4520" t="inlineStr">
        <is>
          <t>VIENNA BEAUTY</t>
        </is>
      </c>
      <c r="AK4520" t="n">
        <v>9</v>
      </c>
      <c r="AL4520" t="inlineStr">
        <is>
          <t>Miss Glam Jambi</t>
        </is>
      </c>
      <c r="AM4520" t="n">
        <v>3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VIENNA BEAUTY</t>
        </is>
      </c>
      <c r="B4521" s="2">
        <f>"8994942029965"</f>
        <v/>
      </c>
      <c r="C4521" t="inlineStr">
        <is>
          <t>VIENNA Body Cleanser Goats Milk Ceramide 500ml</t>
        </is>
      </c>
      <c r="D4521" t="inlineStr">
        <is>
          <t>Miss Glam Jambi</t>
        </is>
      </c>
      <c r="E4521" t="n">
        <v>2</v>
      </c>
      <c r="F4521" t="n">
        <v>0.009900000000000001</v>
      </c>
      <c r="G4521" t="n">
        <v>0.33</v>
      </c>
      <c r="H4521" t="n">
        <v>6</v>
      </c>
      <c r="I4521" t="n">
        <v>10</v>
      </c>
      <c r="J4521" t="n">
        <v>3</v>
      </c>
      <c r="K4521" t="n">
        <v>0</v>
      </c>
      <c r="L4521" t="n">
        <v>41958</v>
      </c>
      <c r="M4521" t="n">
        <v>52500</v>
      </c>
      <c r="N4521" t="n">
        <v>33</v>
      </c>
      <c r="O4521" t="n">
        <v>0.33</v>
      </c>
      <c r="P4521" t="n">
        <v>1</v>
      </c>
      <c r="Q4521" t="n">
        <v>0.05</v>
      </c>
      <c r="R4521" t="n">
        <v>1</v>
      </c>
      <c r="S4521" t="n">
        <v>519.75</v>
      </c>
      <c r="T4521" t="n">
        <v>4</v>
      </c>
      <c r="U4521" t="n">
        <v>5</v>
      </c>
      <c r="V4521" t="n">
        <v>30</v>
      </c>
      <c r="W4521" t="n">
        <v>1</v>
      </c>
      <c r="X4521" t="n">
        <v>202.020202020202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9612</v>
      </c>
      <c r="AG4521" t="n">
        <v>2037</v>
      </c>
      <c r="AH4521" t="inlineStr">
        <is>
          <t>PT. CAKRA DAYA UNGGUL - PPN (PDG)</t>
        </is>
      </c>
      <c r="AI4521" t="n">
        <v>162</v>
      </c>
      <c r="AJ4521" t="inlineStr">
        <is>
          <t>VIENNA BEAUTY</t>
        </is>
      </c>
      <c r="AK4521" t="n">
        <v>9</v>
      </c>
      <c r="AL4521" t="inlineStr">
        <is>
          <t>Miss Glam Jambi</t>
        </is>
      </c>
      <c r="AM4521" t="n">
        <v>3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VIENNA BEAUTY</t>
        </is>
      </c>
      <c r="B4522" s="2">
        <f>"8994942029644"</f>
        <v/>
      </c>
      <c r="C4522" t="inlineStr">
        <is>
          <t>VIENNA Body Cleanser Goats Milk Niacinamide 350ml</t>
        </is>
      </c>
      <c r="D4522" t="inlineStr">
        <is>
          <t>Miss Glam Jambi</t>
        </is>
      </c>
      <c r="E4522" t="n">
        <v>4</v>
      </c>
      <c r="F4522" t="n">
        <v>0.006600000000000001</v>
      </c>
      <c r="G4522" t="n">
        <v>0.33</v>
      </c>
      <c r="H4522" t="n">
        <v>6</v>
      </c>
      <c r="I4522" t="n">
        <v>10</v>
      </c>
      <c r="J4522" t="n">
        <v>3</v>
      </c>
      <c r="K4522" t="n">
        <v>0</v>
      </c>
      <c r="L4522" t="n">
        <v>25974</v>
      </c>
      <c r="M4522" t="n">
        <v>32500</v>
      </c>
      <c r="N4522" t="n">
        <v>33</v>
      </c>
      <c r="O4522" t="n">
        <v>0.33</v>
      </c>
      <c r="P4522" t="n">
        <v>1</v>
      </c>
      <c r="Q4522" t="n">
        <v>0.03</v>
      </c>
      <c r="R4522" t="n">
        <v>1</v>
      </c>
      <c r="S4522" t="n">
        <v>214.5</v>
      </c>
      <c r="T4522" t="n">
        <v>4</v>
      </c>
      <c r="U4522" t="n">
        <v>5</v>
      </c>
      <c r="V4522" t="n">
        <v>30</v>
      </c>
      <c r="W4522" t="n">
        <v>1</v>
      </c>
      <c r="X4522" t="n">
        <v>606.060606060606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9612</v>
      </c>
      <c r="AG4522" t="n">
        <v>2037</v>
      </c>
      <c r="AH4522" t="inlineStr">
        <is>
          <t>PT. CAKRA DAYA UNGGUL - PPN (PDG)</t>
        </is>
      </c>
      <c r="AI4522" t="n">
        <v>162</v>
      </c>
      <c r="AJ4522" t="inlineStr">
        <is>
          <t>VIENNA BEAUTY</t>
        </is>
      </c>
      <c r="AK4522" t="n">
        <v>9</v>
      </c>
      <c r="AL4522" t="inlineStr">
        <is>
          <t>Miss Glam Jambi</t>
        </is>
      </c>
      <c r="AM4522" t="n">
        <v>3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VIENNA BEAUTY</t>
        </is>
      </c>
      <c r="B4523" s="2">
        <f>"8994942029941"</f>
        <v/>
      </c>
      <c r="C4523" t="inlineStr">
        <is>
          <t>VIENNA Body Cleanser Hokkaido Milk Ceramide 500ml</t>
        </is>
      </c>
      <c r="D4523" t="inlineStr">
        <is>
          <t>Miss Glam Jambi</t>
        </is>
      </c>
      <c r="E4523" t="n">
        <v>3</v>
      </c>
      <c r="F4523" t="n">
        <v>0.02</v>
      </c>
      <c r="G4523" t="n">
        <v>0</v>
      </c>
      <c r="H4523" t="n">
        <v>6</v>
      </c>
      <c r="I4523" t="n">
        <v>10</v>
      </c>
      <c r="J4523" t="n">
        <v>3</v>
      </c>
      <c r="K4523" t="n">
        <v>0</v>
      </c>
      <c r="L4523" t="n">
        <v>41958</v>
      </c>
      <c r="M4523" t="n">
        <v>52500</v>
      </c>
      <c r="N4523" t="n">
        <v>33</v>
      </c>
      <c r="O4523" t="n">
        <v>0.33</v>
      </c>
      <c r="P4523" t="n">
        <v>0</v>
      </c>
      <c r="Q4523" t="n">
        <v>0.02</v>
      </c>
      <c r="R4523" t="n">
        <v>0</v>
      </c>
      <c r="S4523" t="n">
        <v>1050</v>
      </c>
      <c r="T4523" t="n">
        <v>0</v>
      </c>
      <c r="U4523" t="n">
        <v>1</v>
      </c>
      <c r="V4523" t="n">
        <v>30</v>
      </c>
      <c r="W4523" t="n">
        <v>1</v>
      </c>
      <c r="X4523" t="n">
        <v>150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9612</v>
      </c>
      <c r="AG4523" t="n">
        <v>2037</v>
      </c>
      <c r="AH4523" t="inlineStr">
        <is>
          <t>PT. CAKRA DAYA UNGGUL - PPN (PDG)</t>
        </is>
      </c>
      <c r="AI4523" t="n">
        <v>162</v>
      </c>
      <c r="AJ4523" t="inlineStr">
        <is>
          <t>VIENNA BEAUTY</t>
        </is>
      </c>
      <c r="AK4523" t="n">
        <v>9</v>
      </c>
      <c r="AL4523" t="inlineStr">
        <is>
          <t>Miss Glam Jambi</t>
        </is>
      </c>
      <c r="AM4523" t="n">
        <v>3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VIENNA BEAUTY</t>
        </is>
      </c>
      <c r="B4524" s="2">
        <f>"8994942030695"</f>
        <v/>
      </c>
      <c r="C4524" t="inlineStr">
        <is>
          <t>VIENNA Body Cleanser Mango Milk Vitamin C Niacinamide 350ml</t>
        </is>
      </c>
      <c r="D4524" t="inlineStr">
        <is>
          <t>Miss Glam Jambi</t>
        </is>
      </c>
      <c r="E4524" t="n">
        <v>4</v>
      </c>
      <c r="F4524" t="n">
        <v>0.0165</v>
      </c>
      <c r="G4524" t="n">
        <v>0.33</v>
      </c>
      <c r="H4524" t="n">
        <v>6</v>
      </c>
      <c r="I4524" t="n">
        <v>10</v>
      </c>
      <c r="J4524" t="n">
        <v>3</v>
      </c>
      <c r="K4524" t="n">
        <v>0</v>
      </c>
      <c r="L4524" t="n">
        <v>25974</v>
      </c>
      <c r="M4524" t="n">
        <v>32500</v>
      </c>
      <c r="N4524" t="n">
        <v>33</v>
      </c>
      <c r="O4524" t="n">
        <v>0.33</v>
      </c>
      <c r="P4524" t="n">
        <v>1</v>
      </c>
      <c r="Q4524" t="n">
        <v>0.03</v>
      </c>
      <c r="R4524" t="n">
        <v>1</v>
      </c>
      <c r="S4524" t="n">
        <v>536.25</v>
      </c>
      <c r="T4524" t="n">
        <v>4</v>
      </c>
      <c r="U4524" t="n">
        <v>5</v>
      </c>
      <c r="V4524" t="n">
        <v>30</v>
      </c>
      <c r="W4524" t="n">
        <v>1</v>
      </c>
      <c r="X4524" t="n">
        <v>242.4242424242424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9612</v>
      </c>
      <c r="AG4524" t="n">
        <v>2037</v>
      </c>
      <c r="AH4524" t="inlineStr">
        <is>
          <t>PT. CAKRA DAYA UNGGUL - PPN (PDG)</t>
        </is>
      </c>
      <c r="AI4524" t="n">
        <v>162</v>
      </c>
      <c r="AJ4524" t="inlineStr">
        <is>
          <t>VIENNA BEAUTY</t>
        </is>
      </c>
      <c r="AK4524" t="n">
        <v>9</v>
      </c>
      <c r="AL4524" t="inlineStr">
        <is>
          <t>Miss Glam Jambi</t>
        </is>
      </c>
      <c r="AM4524" t="n">
        <v>3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VIENNA BEAUTY</t>
        </is>
      </c>
      <c r="B4525" s="2">
        <f>"8994942029958"</f>
        <v/>
      </c>
      <c r="C4525" t="inlineStr">
        <is>
          <t>VIENNA Body Cleanser Melon Milk Ceramide 500ml</t>
        </is>
      </c>
      <c r="D4525" t="inlineStr">
        <is>
          <t>Miss Glam Jambi</t>
        </is>
      </c>
      <c r="E4525" t="n">
        <v>1</v>
      </c>
      <c r="F4525" t="n">
        <v>0.02</v>
      </c>
      <c r="G4525" t="n">
        <v>1</v>
      </c>
      <c r="H4525" t="n">
        <v>6</v>
      </c>
      <c r="I4525" t="n">
        <v>10</v>
      </c>
      <c r="J4525" t="n">
        <v>3</v>
      </c>
      <c r="K4525" t="n">
        <v>0</v>
      </c>
      <c r="L4525" t="n">
        <v>41958</v>
      </c>
      <c r="M4525" t="n">
        <v>52500</v>
      </c>
      <c r="N4525" t="n">
        <v>33</v>
      </c>
      <c r="O4525" t="n">
        <v>0.33</v>
      </c>
      <c r="P4525" t="n">
        <v>0</v>
      </c>
      <c r="Q4525" t="n">
        <v>0.02</v>
      </c>
      <c r="R4525" t="n">
        <v>1</v>
      </c>
      <c r="S4525" t="n">
        <v>1050</v>
      </c>
      <c r="T4525" t="n">
        <v>10</v>
      </c>
      <c r="U4525" t="n">
        <v>11</v>
      </c>
      <c r="V4525" t="n">
        <v>30</v>
      </c>
      <c r="W4525" t="n">
        <v>1</v>
      </c>
      <c r="X4525" t="n">
        <v>50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9612</v>
      </c>
      <c r="AG4525" t="n">
        <v>2037</v>
      </c>
      <c r="AH4525" t="inlineStr">
        <is>
          <t>PT. CAKRA DAYA UNGGUL - PPN (PDG)</t>
        </is>
      </c>
      <c r="AI4525" t="n">
        <v>162</v>
      </c>
      <c r="AJ4525" t="inlineStr">
        <is>
          <t>VIENNA BEAUTY</t>
        </is>
      </c>
      <c r="AK4525" t="n">
        <v>9</v>
      </c>
      <c r="AL4525" t="inlineStr">
        <is>
          <t>Miss Glam Jambi</t>
        </is>
      </c>
      <c r="AM4525" t="n">
        <v>3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VIENNA BEAUTY</t>
        </is>
      </c>
      <c r="B4526" s="2">
        <f>"8994942030718"</f>
        <v/>
      </c>
      <c r="C4526" t="inlineStr">
        <is>
          <t>VIENNA Body Cleanser Strawberry Milk Gluta Arbutin Niacinamide 350ml</t>
        </is>
      </c>
      <c r="D4526" t="inlineStr">
        <is>
          <t>Miss Glam Jambi</t>
        </is>
      </c>
      <c r="E4526" t="n">
        <v>6</v>
      </c>
      <c r="F4526" t="n">
        <v>0.03</v>
      </c>
      <c r="G4526" t="n">
        <v>1</v>
      </c>
      <c r="H4526" t="n">
        <v>6</v>
      </c>
      <c r="I4526" t="n">
        <v>10</v>
      </c>
      <c r="J4526" t="n">
        <v>3</v>
      </c>
      <c r="K4526" t="n">
        <v>0</v>
      </c>
      <c r="L4526" t="n">
        <v>25974</v>
      </c>
      <c r="M4526" t="n">
        <v>32500</v>
      </c>
      <c r="N4526" t="n">
        <v>33</v>
      </c>
      <c r="O4526" t="n">
        <v>0.33</v>
      </c>
      <c r="P4526" t="n">
        <v>0</v>
      </c>
      <c r="Q4526" t="n">
        <v>0.03</v>
      </c>
      <c r="R4526" t="n">
        <v>1</v>
      </c>
      <c r="S4526" t="n">
        <v>975</v>
      </c>
      <c r="T4526" t="n">
        <v>10</v>
      </c>
      <c r="U4526" t="n">
        <v>11</v>
      </c>
      <c r="V4526" t="n">
        <v>30</v>
      </c>
      <c r="W4526" t="n">
        <v>1</v>
      </c>
      <c r="X4526" t="n">
        <v>200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9612</v>
      </c>
      <c r="AG4526" t="n">
        <v>2037</v>
      </c>
      <c r="AH4526" t="inlineStr">
        <is>
          <t>PT. CAKRA DAYA UNGGUL - PPN (PDG)</t>
        </is>
      </c>
      <c r="AI4526" t="n">
        <v>162</v>
      </c>
      <c r="AJ4526" t="inlineStr">
        <is>
          <t>VIENNA BEAUTY</t>
        </is>
      </c>
      <c r="AK4526" t="n">
        <v>9</v>
      </c>
      <c r="AL4526" t="inlineStr">
        <is>
          <t>Miss Glam Jambi</t>
        </is>
      </c>
      <c r="AM4526" t="n">
        <v>3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VIENNA BEAUTY</t>
        </is>
      </c>
      <c r="B4527" s="2">
        <f>"8994942030893"</f>
        <v/>
      </c>
      <c r="C4527" t="inlineStr">
        <is>
          <t>VIENNA Body Cleanser Vanilla Milk Giga White Niacinamide 350ml</t>
        </is>
      </c>
      <c r="D4527" t="inlineStr">
        <is>
          <t>Miss Glam Jambi</t>
        </is>
      </c>
      <c r="E4527" t="n">
        <v>4</v>
      </c>
      <c r="F4527" t="n">
        <v>0.0396</v>
      </c>
      <c r="G4527" t="n">
        <v>0.66</v>
      </c>
      <c r="H4527" t="n">
        <v>6</v>
      </c>
      <c r="I4527" t="n">
        <v>10</v>
      </c>
      <c r="J4527" t="n">
        <v>3</v>
      </c>
      <c r="K4527" t="n">
        <v>0</v>
      </c>
      <c r="L4527" t="n">
        <v>25974</v>
      </c>
      <c r="M4527" t="n">
        <v>32500</v>
      </c>
      <c r="N4527" t="n">
        <v>33</v>
      </c>
      <c r="O4527" t="n">
        <v>0.33</v>
      </c>
      <c r="P4527" t="n">
        <v>1</v>
      </c>
      <c r="Q4527" t="n">
        <v>0.02</v>
      </c>
      <c r="R4527" t="n">
        <v>1</v>
      </c>
      <c r="S4527" t="n">
        <v>1287</v>
      </c>
      <c r="T4527" t="n">
        <v>7</v>
      </c>
      <c r="U4527" t="n">
        <v>8</v>
      </c>
      <c r="V4527" t="n">
        <v>30</v>
      </c>
      <c r="W4527" t="n">
        <v>2</v>
      </c>
      <c r="X4527" t="n">
        <v>101.010101010101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9612</v>
      </c>
      <c r="AG4527" t="n">
        <v>2037</v>
      </c>
      <c r="AH4527" t="inlineStr">
        <is>
          <t>PT. CAKRA DAYA UNGGUL - PPN (PDG)</t>
        </is>
      </c>
      <c r="AI4527" t="n">
        <v>162</v>
      </c>
      <c r="AJ4527" t="inlineStr">
        <is>
          <t>VIENNA BEAUTY</t>
        </is>
      </c>
      <c r="AK4527" t="n">
        <v>9</v>
      </c>
      <c r="AL4527" t="inlineStr">
        <is>
          <t>Miss Glam Jambi</t>
        </is>
      </c>
      <c r="AM4527" t="n">
        <v>3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VIENNA BEAUTY</t>
        </is>
      </c>
      <c r="B4528" s="2">
        <f>"8994942015906"</f>
        <v/>
      </c>
      <c r="C4528" t="inlineStr">
        <is>
          <t>VIENNA Bright Peel Off Lemon</t>
        </is>
      </c>
      <c r="D4528" t="inlineStr">
        <is>
          <t>Miss Glam Jambi</t>
        </is>
      </c>
      <c r="E4528" t="n">
        <v>6</v>
      </c>
      <c r="F4528" t="n">
        <v>0.1023</v>
      </c>
      <c r="G4528" t="n">
        <v>0.66</v>
      </c>
      <c r="H4528" t="n">
        <v>6</v>
      </c>
      <c r="I4528" t="n">
        <v>10</v>
      </c>
      <c r="J4528" t="n">
        <v>3</v>
      </c>
      <c r="K4528" t="n">
        <v>0</v>
      </c>
      <c r="L4528" t="n">
        <v>7493</v>
      </c>
      <c r="M4528" t="n">
        <v>10500</v>
      </c>
      <c r="N4528" t="n">
        <v>33</v>
      </c>
      <c r="O4528" t="n">
        <v>0.33</v>
      </c>
      <c r="P4528" t="n">
        <v>1</v>
      </c>
      <c r="Q4528" t="n">
        <v>0.14</v>
      </c>
      <c r="R4528" t="n">
        <v>1</v>
      </c>
      <c r="S4528" t="n">
        <v>1074.15</v>
      </c>
      <c r="T4528" t="n">
        <v>6</v>
      </c>
      <c r="U4528" t="n">
        <v>7</v>
      </c>
      <c r="V4528" t="n">
        <v>30</v>
      </c>
      <c r="W4528" t="n">
        <v>4</v>
      </c>
      <c r="X4528" t="n">
        <v>58.65102639296187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9612</v>
      </c>
      <c r="AG4528" t="n">
        <v>2037</v>
      </c>
      <c r="AH4528" t="inlineStr">
        <is>
          <t>PT. CAKRA DAYA UNGGUL - PPN (PDG)</t>
        </is>
      </c>
      <c r="AI4528" t="n">
        <v>162</v>
      </c>
      <c r="AJ4528" t="inlineStr">
        <is>
          <t>VIENNA BEAUTY</t>
        </is>
      </c>
      <c r="AK4528" t="n">
        <v>9</v>
      </c>
      <c r="AL4528" t="inlineStr">
        <is>
          <t>Miss Glam Jambi</t>
        </is>
      </c>
      <c r="AM4528" t="n">
        <v>3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VIENNA BEAUTY</t>
        </is>
      </c>
      <c r="B4529" s="2">
        <f>"10500638029"</f>
        <v/>
      </c>
      <c r="C4529" t="inlineStr">
        <is>
          <t>VIENNA Detoxify-To-Glow powder Clay Mask 20gr</t>
        </is>
      </c>
      <c r="D4529" t="inlineStr">
        <is>
          <t>Miss Glam Jambi</t>
        </is>
      </c>
      <c r="E4529" t="n">
        <v>1</v>
      </c>
      <c r="F4529" t="n">
        <v>0.0231</v>
      </c>
      <c r="G4529" t="n">
        <v>0.66</v>
      </c>
      <c r="H4529" t="n">
        <v>6</v>
      </c>
      <c r="I4529" t="n">
        <v>10</v>
      </c>
      <c r="J4529" t="n">
        <v>1</v>
      </c>
      <c r="K4529" t="n">
        <v>0</v>
      </c>
      <c r="L4529" t="n">
        <v>9990</v>
      </c>
      <c r="M4529" t="n">
        <v>13500</v>
      </c>
      <c r="N4529" t="n">
        <v>33</v>
      </c>
      <c r="O4529" t="n">
        <v>0.33</v>
      </c>
      <c r="P4529" t="n">
        <v>1</v>
      </c>
      <c r="Q4529" t="n">
        <v>0.19</v>
      </c>
      <c r="R4529" t="n">
        <v>2</v>
      </c>
      <c r="S4529" t="n">
        <v>311.85</v>
      </c>
      <c r="T4529" t="n">
        <v>7</v>
      </c>
      <c r="U4529" t="n">
        <v>8</v>
      </c>
      <c r="V4529" t="n">
        <v>30</v>
      </c>
      <c r="W4529" t="n">
        <v>1</v>
      </c>
      <c r="X4529" t="n">
        <v>43.29004329004329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9612</v>
      </c>
      <c r="AG4529" t="n">
        <v>2037</v>
      </c>
      <c r="AH4529" t="inlineStr">
        <is>
          <t>PT. CAKRA DAYA UNGGUL - PPN (PDG)</t>
        </is>
      </c>
      <c r="AI4529" t="n">
        <v>162</v>
      </c>
      <c r="AJ4529" t="inlineStr">
        <is>
          <t>VIENNA BEAUTY</t>
        </is>
      </c>
      <c r="AK4529" t="n">
        <v>9</v>
      </c>
      <c r="AL4529" t="inlineStr">
        <is>
          <t>Miss Glam Jambi</t>
        </is>
      </c>
      <c r="AM4529" t="n">
        <v>3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VIENNA BEAUTY</t>
        </is>
      </c>
      <c r="B4530" s="2">
        <f>"8994942008601"</f>
        <v/>
      </c>
      <c r="C4530" t="inlineStr">
        <is>
          <t>VIENNA Face Mask Black Mud 50ml</t>
        </is>
      </c>
      <c r="D4530" t="inlineStr">
        <is>
          <t>Miss Glam Jambi</t>
        </is>
      </c>
      <c r="E4530" t="n">
        <v>10</v>
      </c>
      <c r="F4530" t="n">
        <v>0.0231</v>
      </c>
      <c r="G4530" t="n">
        <v>0.33</v>
      </c>
      <c r="H4530" t="n">
        <v>6</v>
      </c>
      <c r="I4530" t="n">
        <v>10</v>
      </c>
      <c r="J4530" t="n">
        <v>3</v>
      </c>
      <c r="K4530" t="n">
        <v>0</v>
      </c>
      <c r="L4530" t="n">
        <v>20979</v>
      </c>
      <c r="M4530" t="n">
        <v>29000</v>
      </c>
      <c r="N4530" t="n">
        <v>33</v>
      </c>
      <c r="O4530" t="n">
        <v>0.33</v>
      </c>
      <c r="P4530" t="n">
        <v>1</v>
      </c>
      <c r="Q4530" t="n">
        <v>0.05</v>
      </c>
      <c r="R4530" t="n">
        <v>1</v>
      </c>
      <c r="S4530" t="n">
        <v>669.9000000000001</v>
      </c>
      <c r="T4530" t="n">
        <v>4</v>
      </c>
      <c r="U4530" t="n">
        <v>5</v>
      </c>
      <c r="V4530" t="n">
        <v>30</v>
      </c>
      <c r="W4530" t="n">
        <v>1</v>
      </c>
      <c r="X4530" t="n">
        <v>432.9004329004329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9612</v>
      </c>
      <c r="AG4530" t="n">
        <v>2037</v>
      </c>
      <c r="AH4530" t="inlineStr">
        <is>
          <t>PT. CAKRA DAYA UNGGUL - PPN (PDG)</t>
        </is>
      </c>
      <c r="AI4530" t="n">
        <v>162</v>
      </c>
      <c r="AJ4530" t="inlineStr">
        <is>
          <t>VIENNA BEAUTY</t>
        </is>
      </c>
      <c r="AK4530" t="n">
        <v>9</v>
      </c>
      <c r="AL4530" t="inlineStr">
        <is>
          <t>Miss Glam Jambi</t>
        </is>
      </c>
      <c r="AM4530" t="n">
        <v>3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VIENNA BEAUTY</t>
        </is>
      </c>
      <c r="B4531" s="2">
        <f>"8994942030015"</f>
        <v/>
      </c>
      <c r="C4531" t="inlineStr">
        <is>
          <t>VIENNA Goat's Milk White Spa Shower Cream Calm 500ml</t>
        </is>
      </c>
      <c r="D4531" t="inlineStr">
        <is>
          <t>Miss Glam Jambi</t>
        </is>
      </c>
      <c r="E4531" t="n">
        <v>3</v>
      </c>
      <c r="F4531" t="n">
        <v>0.006600000000000001</v>
      </c>
      <c r="G4531" t="n">
        <v>0.33</v>
      </c>
      <c r="H4531" t="n">
        <v>6</v>
      </c>
      <c r="I4531" t="n">
        <v>10</v>
      </c>
      <c r="J4531" t="n">
        <v>3</v>
      </c>
      <c r="K4531" t="n">
        <v>0</v>
      </c>
      <c r="L4531" t="n">
        <v>37962</v>
      </c>
      <c r="M4531" t="n">
        <v>53000</v>
      </c>
      <c r="N4531" t="n">
        <v>33</v>
      </c>
      <c r="O4531" t="n">
        <v>0.33</v>
      </c>
      <c r="P4531" t="n">
        <v>1</v>
      </c>
      <c r="Q4531" t="n">
        <v>0.05</v>
      </c>
      <c r="R4531" t="n">
        <v>1</v>
      </c>
      <c r="S4531" t="n">
        <v>349.8000000000001</v>
      </c>
      <c r="T4531" t="n">
        <v>4</v>
      </c>
      <c r="U4531" t="n">
        <v>5</v>
      </c>
      <c r="V4531" t="n">
        <v>30</v>
      </c>
      <c r="W4531" t="n">
        <v>1</v>
      </c>
      <c r="X4531" t="n">
        <v>454.5454545454545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9612</v>
      </c>
      <c r="AG4531" t="n">
        <v>2037</v>
      </c>
      <c r="AH4531" t="inlineStr">
        <is>
          <t>PT. CAKRA DAYA UNGGUL - PPN (PDG)</t>
        </is>
      </c>
      <c r="AI4531" t="n">
        <v>162</v>
      </c>
      <c r="AJ4531" t="inlineStr">
        <is>
          <t>VIENNA BEAUTY</t>
        </is>
      </c>
      <c r="AK4531" t="n">
        <v>9</v>
      </c>
      <c r="AL4531" t="inlineStr">
        <is>
          <t>Miss Glam Jambi</t>
        </is>
      </c>
      <c r="AM4531" t="n">
        <v>3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VIENNA BEAUTY</t>
        </is>
      </c>
      <c r="B4532" s="2">
        <f>"8994942030008"</f>
        <v/>
      </c>
      <c r="C4532" t="inlineStr">
        <is>
          <t>VIENNA Goat's Milk White Spa Shower Cream Sensual 500ml</t>
        </is>
      </c>
      <c r="D4532" t="inlineStr">
        <is>
          <t>Miss Glam Jambi</t>
        </is>
      </c>
      <c r="E4532" t="n">
        <v>2</v>
      </c>
      <c r="F4532" t="n">
        <v>0.0264</v>
      </c>
      <c r="G4532" t="n">
        <v>0.33</v>
      </c>
      <c r="H4532" t="n">
        <v>6</v>
      </c>
      <c r="I4532" t="n">
        <v>10</v>
      </c>
      <c r="J4532" t="n">
        <v>3</v>
      </c>
      <c r="K4532" t="n">
        <v>0</v>
      </c>
      <c r="L4532" t="n">
        <v>37962</v>
      </c>
      <c r="M4532" t="n">
        <v>53000</v>
      </c>
      <c r="N4532" t="n">
        <v>33</v>
      </c>
      <c r="O4532" t="n">
        <v>0.33</v>
      </c>
      <c r="P4532" t="n">
        <v>1</v>
      </c>
      <c r="Q4532" t="n">
        <v>0.02</v>
      </c>
      <c r="R4532" t="n">
        <v>1</v>
      </c>
      <c r="S4532" t="n">
        <v>1399.2</v>
      </c>
      <c r="T4532" t="n">
        <v>4</v>
      </c>
      <c r="U4532" t="n">
        <v>5</v>
      </c>
      <c r="V4532" t="n">
        <v>30</v>
      </c>
      <c r="W4532" t="n">
        <v>1</v>
      </c>
      <c r="X4532" t="n">
        <v>75.75757575757575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9612</v>
      </c>
      <c r="AG4532" t="n">
        <v>2037</v>
      </c>
      <c r="AH4532" t="inlineStr">
        <is>
          <t>PT. CAKRA DAYA UNGGUL - PPN (PDG)</t>
        </is>
      </c>
      <c r="AI4532" t="n">
        <v>162</v>
      </c>
      <c r="AJ4532" t="inlineStr">
        <is>
          <t>VIENNA BEAUTY</t>
        </is>
      </c>
      <c r="AK4532" t="n">
        <v>9</v>
      </c>
      <c r="AL4532" t="inlineStr">
        <is>
          <t>Miss Glam Jambi</t>
        </is>
      </c>
      <c r="AM4532" t="n">
        <v>3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VIENNA BEAUTY</t>
        </is>
      </c>
      <c r="B4533" s="2">
        <f>"8995026305029"</f>
        <v/>
      </c>
      <c r="C4533" t="inlineStr">
        <is>
          <t>VIENNA Goats Milk Soap 90gr</t>
        </is>
      </c>
      <c r="D4533" t="inlineStr">
        <is>
          <t>Miss Glam Jambi</t>
        </is>
      </c>
      <c r="E4533" t="n">
        <v>9</v>
      </c>
      <c r="F4533" t="n">
        <v>0.0165</v>
      </c>
      <c r="G4533" t="n">
        <v>0.33</v>
      </c>
      <c r="H4533" t="n">
        <v>6</v>
      </c>
      <c r="I4533" t="n">
        <v>10</v>
      </c>
      <c r="J4533" t="n">
        <v>3</v>
      </c>
      <c r="K4533" t="n">
        <v>0</v>
      </c>
      <c r="L4533" t="n">
        <v>9491</v>
      </c>
      <c r="M4533" t="n">
        <v>12500</v>
      </c>
      <c r="N4533" t="n">
        <v>33</v>
      </c>
      <c r="O4533" t="n">
        <v>0.33</v>
      </c>
      <c r="P4533" t="n">
        <v>1</v>
      </c>
      <c r="Q4533" t="n">
        <v>0.05</v>
      </c>
      <c r="R4533" t="n">
        <v>1</v>
      </c>
      <c r="S4533" t="n">
        <v>206.25</v>
      </c>
      <c r="T4533" t="n">
        <v>4</v>
      </c>
      <c r="U4533" t="n">
        <v>5</v>
      </c>
      <c r="V4533" t="n">
        <v>30</v>
      </c>
      <c r="W4533" t="n">
        <v>1</v>
      </c>
      <c r="X4533" t="n">
        <v>545.4545454545454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9612</v>
      </c>
      <c r="AG4533" t="n">
        <v>2037</v>
      </c>
      <c r="AH4533" t="inlineStr">
        <is>
          <t>PT. CAKRA DAYA UNGGUL - PPN (PDG)</t>
        </is>
      </c>
      <c r="AI4533" t="n">
        <v>162</v>
      </c>
      <c r="AJ4533" t="inlineStr">
        <is>
          <t>VIENNA BEAUTY</t>
        </is>
      </c>
      <c r="AK4533" t="n">
        <v>9</v>
      </c>
      <c r="AL4533" t="inlineStr">
        <is>
          <t>Miss Glam Jambi</t>
        </is>
      </c>
      <c r="AM4533" t="n">
        <v>3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VIENNA BEAUTY</t>
        </is>
      </c>
      <c r="B4534" s="2">
        <f>"10500638106"</f>
        <v/>
      </c>
      <c r="C4534" t="inlineStr">
        <is>
          <t>VIENNA MEN Mask Mattfying Mud 50ml</t>
        </is>
      </c>
      <c r="D4534" t="inlineStr">
        <is>
          <t>Miss Glam Jambi</t>
        </is>
      </c>
      <c r="E4534" t="n">
        <v>2</v>
      </c>
      <c r="F4534" t="n">
        <v>0.006600000000000001</v>
      </c>
      <c r="G4534" t="n">
        <v>0</v>
      </c>
      <c r="H4534" t="n">
        <v>6</v>
      </c>
      <c r="I4534" t="n">
        <v>10</v>
      </c>
      <c r="J4534" t="n">
        <v>1</v>
      </c>
      <c r="K4534" t="n">
        <v>0</v>
      </c>
      <c r="L4534" t="n">
        <v>20979</v>
      </c>
      <c r="M4534" t="n">
        <v>28000</v>
      </c>
      <c r="N4534" t="n">
        <v>33</v>
      </c>
      <c r="O4534" t="n">
        <v>0.33</v>
      </c>
      <c r="P4534" t="n">
        <v>1</v>
      </c>
      <c r="Q4534" t="n">
        <v>0.02</v>
      </c>
      <c r="R4534" t="n">
        <v>1</v>
      </c>
      <c r="S4534" t="n">
        <v>184.8</v>
      </c>
      <c r="T4534" t="n">
        <v>0</v>
      </c>
      <c r="U4534" t="n">
        <v>1</v>
      </c>
      <c r="V4534" t="n">
        <v>30</v>
      </c>
      <c r="W4534" t="n">
        <v>1</v>
      </c>
      <c r="X4534" t="n">
        <v>303.030303030303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9612</v>
      </c>
      <c r="AG4534" t="n">
        <v>2037</v>
      </c>
      <c r="AH4534" t="inlineStr">
        <is>
          <t>PT. CAKRA DAYA UNGGUL - PPN (PDG)</t>
        </is>
      </c>
      <c r="AI4534" t="n">
        <v>162</v>
      </c>
      <c r="AJ4534" t="inlineStr">
        <is>
          <t>VIENNA BEAUTY</t>
        </is>
      </c>
      <c r="AK4534" t="n">
        <v>9</v>
      </c>
      <c r="AL4534" t="inlineStr">
        <is>
          <t>Miss Glam Jambi</t>
        </is>
      </c>
      <c r="AM4534" t="n">
        <v>3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VIENNA BEAUTY</t>
        </is>
      </c>
      <c r="B4535" s="2">
        <f>"8994942007277"</f>
        <v/>
      </c>
      <c r="C4535" t="inlineStr">
        <is>
          <t>VIENNA Peel Off Charcoal</t>
        </is>
      </c>
      <c r="D4535" t="inlineStr">
        <is>
          <t>Miss Glam Jambi</t>
        </is>
      </c>
      <c r="E4535" t="n">
        <v>17</v>
      </c>
      <c r="F4535" t="n">
        <v>0.5148</v>
      </c>
      <c r="G4535" t="n">
        <v>1.98</v>
      </c>
      <c r="H4535" t="n">
        <v>6</v>
      </c>
      <c r="I4535" t="n">
        <v>10</v>
      </c>
      <c r="J4535" t="n">
        <v>3</v>
      </c>
      <c r="K4535" t="n">
        <v>0</v>
      </c>
      <c r="L4535" t="n">
        <v>7493</v>
      </c>
      <c r="M4535" t="n">
        <v>10500</v>
      </c>
      <c r="N4535" t="n">
        <v>33</v>
      </c>
      <c r="O4535" t="n">
        <v>0.33</v>
      </c>
      <c r="P4535" t="n">
        <v>1</v>
      </c>
      <c r="Q4535" t="n">
        <v>0.32</v>
      </c>
      <c r="R4535" t="n">
        <v>2</v>
      </c>
      <c r="S4535" t="n">
        <v>5405.400000000001</v>
      </c>
      <c r="T4535" t="n">
        <v>17</v>
      </c>
      <c r="U4535" t="n">
        <v>21</v>
      </c>
      <c r="V4535" t="n">
        <v>30</v>
      </c>
      <c r="W4535" t="n">
        <v>16</v>
      </c>
      <c r="X4535" t="n">
        <v>33.02253302253302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9612</v>
      </c>
      <c r="AG4535" t="n">
        <v>2037</v>
      </c>
      <c r="AH4535" t="inlineStr">
        <is>
          <t>PT. CAKRA DAYA UNGGUL - PPN (PDG)</t>
        </is>
      </c>
      <c r="AI4535" t="n">
        <v>162</v>
      </c>
      <c r="AJ4535" t="inlineStr">
        <is>
          <t>VIENNA BEAUTY</t>
        </is>
      </c>
      <c r="AK4535" t="n">
        <v>9</v>
      </c>
      <c r="AL4535" t="inlineStr">
        <is>
          <t>Miss Glam Jambi</t>
        </is>
      </c>
      <c r="AM4535" t="n">
        <v>3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VIENNA BEAUTY</t>
        </is>
      </c>
      <c r="B4536" s="2">
        <f>"8994942030251"</f>
        <v/>
      </c>
      <c r="C4536" t="inlineStr">
        <is>
          <t>VIENNA Tea Tree Oil Panthenol Purifying Pore 3 Strips</t>
        </is>
      </c>
      <c r="D4536" t="inlineStr">
        <is>
          <t>Miss Glam Jambi</t>
        </is>
      </c>
      <c r="E4536" t="n">
        <v>21</v>
      </c>
      <c r="F4536" t="n">
        <v>0.297</v>
      </c>
      <c r="G4536" t="n">
        <v>1.65</v>
      </c>
      <c r="H4536" t="n">
        <v>6</v>
      </c>
      <c r="I4536" t="n">
        <v>10</v>
      </c>
      <c r="J4536" t="n">
        <v>3</v>
      </c>
      <c r="K4536" t="n">
        <v>0</v>
      </c>
      <c r="L4536" t="n">
        <v>9044</v>
      </c>
      <c r="M4536" t="n">
        <v>12000</v>
      </c>
      <c r="N4536" t="n">
        <v>33</v>
      </c>
      <c r="O4536" t="n">
        <v>0.33</v>
      </c>
      <c r="P4536" t="n">
        <v>1</v>
      </c>
      <c r="Q4536" t="n">
        <v>0.31</v>
      </c>
      <c r="R4536" t="n">
        <v>3</v>
      </c>
      <c r="S4536" t="n">
        <v>3564</v>
      </c>
      <c r="T4536" t="n">
        <v>15</v>
      </c>
      <c r="U4536" t="n">
        <v>17</v>
      </c>
      <c r="V4536" t="n">
        <v>30</v>
      </c>
      <c r="W4536" t="n">
        <v>9</v>
      </c>
      <c r="X4536" t="n">
        <v>70.7070707070707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9612</v>
      </c>
      <c r="AG4536" t="n">
        <v>2037</v>
      </c>
      <c r="AH4536" t="inlineStr">
        <is>
          <t>PT. CAKRA DAYA UNGGUL - PPN (PDG)</t>
        </is>
      </c>
      <c r="AI4536" t="n">
        <v>162</v>
      </c>
      <c r="AJ4536" t="inlineStr">
        <is>
          <t>VIENNA BEAUTY</t>
        </is>
      </c>
      <c r="AK4536" t="n">
        <v>9</v>
      </c>
      <c r="AL4536" t="inlineStr">
        <is>
          <t>Miss Glam Jambi</t>
        </is>
      </c>
      <c r="AM4536" t="n">
        <v>3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VIENNA BEAUTY</t>
        </is>
      </c>
      <c r="B4537" s="2">
        <f>"8994942028951"</f>
        <v/>
      </c>
      <c r="C4537" t="inlineStr">
        <is>
          <t>VIENNA Ume Ichijiku Tranexamic Acid Body Scrub Lulur Pouch 250ml</t>
        </is>
      </c>
      <c r="D4537" t="inlineStr">
        <is>
          <t>Miss Glam Jambi</t>
        </is>
      </c>
      <c r="E4537" t="n">
        <v>2</v>
      </c>
      <c r="F4537" t="n">
        <v>0.05</v>
      </c>
      <c r="G4537" t="n">
        <v>1</v>
      </c>
      <c r="H4537" t="n">
        <v>6</v>
      </c>
      <c r="I4537" t="n">
        <v>10</v>
      </c>
      <c r="J4537" t="n">
        <v>3</v>
      </c>
      <c r="K4537" t="n">
        <v>0</v>
      </c>
      <c r="L4537" t="n">
        <v>24975</v>
      </c>
      <c r="M4537" t="n">
        <v>34000</v>
      </c>
      <c r="N4537" t="n">
        <v>33</v>
      </c>
      <c r="O4537" t="n">
        <v>0.33</v>
      </c>
      <c r="P4537" t="n">
        <v>0</v>
      </c>
      <c r="Q4537" t="n">
        <v>0.05</v>
      </c>
      <c r="R4537" t="n">
        <v>1</v>
      </c>
      <c r="S4537" t="n">
        <v>1700</v>
      </c>
      <c r="T4537" t="n">
        <v>10</v>
      </c>
      <c r="U4537" t="n">
        <v>11</v>
      </c>
      <c r="V4537" t="n">
        <v>30</v>
      </c>
      <c r="W4537" t="n">
        <v>2</v>
      </c>
      <c r="X4537" t="n">
        <v>40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9612</v>
      </c>
      <c r="AG4537" t="n">
        <v>2037</v>
      </c>
      <c r="AH4537" t="inlineStr">
        <is>
          <t>PT. CAKRA DAYA UNGGUL - PPN (PDG)</t>
        </is>
      </c>
      <c r="AI4537" t="n">
        <v>162</v>
      </c>
      <c r="AJ4537" t="inlineStr">
        <is>
          <t>VIENNA BEAUTY</t>
        </is>
      </c>
      <c r="AK4537" t="n">
        <v>9</v>
      </c>
      <c r="AL4537" t="inlineStr">
        <is>
          <t>Miss Glam Jambi</t>
        </is>
      </c>
      <c r="AM4537" t="n">
        <v>3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VIOPAD</t>
        </is>
      </c>
      <c r="B4538" s="2">
        <f>"30800304457"</f>
        <v/>
      </c>
      <c r="C4538" t="inlineStr">
        <is>
          <t>VIOPAD Day Pad 24,5 cm | 10 pads - Pembalut Premium Ultra Slim Anti Bocor</t>
        </is>
      </c>
      <c r="D4538" t="inlineStr">
        <is>
          <t>Miss Glam Jambi</t>
        </is>
      </c>
      <c r="E4538" t="n">
        <v>0</v>
      </c>
      <c r="F4538" t="n">
        <v>0.009900000000000001</v>
      </c>
      <c r="G4538" t="n">
        <v>0.33</v>
      </c>
      <c r="H4538" t="n">
        <v>4</v>
      </c>
      <c r="I4538" t="n">
        <v>20</v>
      </c>
      <c r="J4538" t="n">
        <v>1</v>
      </c>
      <c r="K4538" t="n">
        <v>0</v>
      </c>
      <c r="L4538" t="n">
        <v>31703</v>
      </c>
      <c r="M4538" t="n">
        <v>39000</v>
      </c>
      <c r="N4538" t="n">
        <v>33</v>
      </c>
      <c r="O4538" t="n">
        <v>0.33</v>
      </c>
      <c r="P4538" t="n">
        <v>1</v>
      </c>
      <c r="Q4538" t="n">
        <v>0.03</v>
      </c>
      <c r="R4538" t="n">
        <v>1</v>
      </c>
      <c r="S4538" t="n">
        <v>386.1</v>
      </c>
      <c r="T4538" t="n">
        <v>7</v>
      </c>
      <c r="U4538" t="n">
        <v>8</v>
      </c>
      <c r="V4538" t="n">
        <v>30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n">
        <v>0</v>
      </c>
      <c r="AC4538" t="n">
        <v>0</v>
      </c>
      <c r="AD4538" t="n">
        <v>31703</v>
      </c>
      <c r="AE4538" t="n">
        <v>0</v>
      </c>
      <c r="AF4538" t="n">
        <v>9140</v>
      </c>
      <c r="AG4538" t="n">
        <v>1</v>
      </c>
      <c r="AH4538" t="inlineStr">
        <is>
          <t>PT. BERSAMA DISTRIVERSA INDONESIA (DC CIPUTAT)</t>
        </is>
      </c>
      <c r="AI4538" t="n">
        <v>2288</v>
      </c>
      <c r="AJ4538" t="inlineStr">
        <is>
          <t>VIOPAD</t>
        </is>
      </c>
      <c r="AK4538" t="n">
        <v>9</v>
      </c>
      <c r="AL4538" t="inlineStr">
        <is>
          <t>Miss Glam Jambi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VITALIS</t>
        </is>
      </c>
      <c r="B4539" s="2">
        <f>"8992856896567"</f>
        <v/>
      </c>
      <c r="C4539" t="inlineStr">
        <is>
          <t>VITALIS Deo Bizarre 40ml</t>
        </is>
      </c>
      <c r="D4539" t="inlineStr">
        <is>
          <t>Miss Glam Jambi</t>
        </is>
      </c>
      <c r="E4539" t="n">
        <v>4</v>
      </c>
      <c r="F4539" t="n">
        <v>0.2112</v>
      </c>
      <c r="G4539" t="n">
        <v>0.99</v>
      </c>
      <c r="H4539" t="n">
        <v>4</v>
      </c>
      <c r="I4539" t="n">
        <v>28</v>
      </c>
      <c r="J4539" t="n">
        <v>3</v>
      </c>
      <c r="K4539" t="n">
        <v>0</v>
      </c>
      <c r="L4539" t="n">
        <v>15066</v>
      </c>
      <c r="M4539" t="n">
        <v>17000</v>
      </c>
      <c r="N4539" t="n">
        <v>33</v>
      </c>
      <c r="O4539" t="n">
        <v>0.33</v>
      </c>
      <c r="P4539" t="n">
        <v>1</v>
      </c>
      <c r="Q4539" t="n">
        <v>0.02</v>
      </c>
      <c r="R4539" t="n">
        <v>1</v>
      </c>
      <c r="S4539" t="n">
        <v>3590.400000000001</v>
      </c>
      <c r="T4539" t="n">
        <v>27</v>
      </c>
      <c r="U4539" t="n">
        <v>28</v>
      </c>
      <c r="V4539" t="n">
        <v>30</v>
      </c>
      <c r="W4539" t="n">
        <v>7</v>
      </c>
      <c r="X4539" t="n">
        <v>18.93939393939394</v>
      </c>
      <c r="Y4539" t="n">
        <v>1</v>
      </c>
      <c r="Z4539" t="n">
        <v>3</v>
      </c>
      <c r="AA4539" t="n">
        <v>2</v>
      </c>
      <c r="AB4539" t="n">
        <v>1</v>
      </c>
      <c r="AC4539" t="n">
        <v>3</v>
      </c>
      <c r="AD4539" t="n">
        <v>30132</v>
      </c>
      <c r="AE4539" t="n">
        <v>45198</v>
      </c>
      <c r="AF4539" t="n">
        <v>10541</v>
      </c>
      <c r="AG4539" t="n">
        <v>2148</v>
      </c>
      <c r="AH4539" t="inlineStr">
        <is>
          <t>PT. JAYA PALEMBANG SUKSES - PPN (JMB)</t>
        </is>
      </c>
      <c r="AI4539" t="n">
        <v>366</v>
      </c>
      <c r="AJ4539" t="inlineStr">
        <is>
          <t>VITALIS</t>
        </is>
      </c>
      <c r="AK4539" t="n">
        <v>9</v>
      </c>
      <c r="AL4539" t="inlineStr">
        <is>
          <t>Miss Glam Jambi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VITALIS</t>
        </is>
      </c>
      <c r="B4540" s="2">
        <f>"30400263558"</f>
        <v/>
      </c>
      <c r="C4540" t="inlineStr">
        <is>
          <t>VITALIS Eau De Parfum Extra Bloom 50ml</t>
        </is>
      </c>
      <c r="D4540" t="inlineStr">
        <is>
          <t>Miss Glam Jambi</t>
        </is>
      </c>
      <c r="E4540" t="n">
        <v>6</v>
      </c>
      <c r="F4540" t="n">
        <v>0.7788</v>
      </c>
      <c r="G4540" t="n">
        <v>2.31</v>
      </c>
      <c r="H4540" t="n">
        <v>4</v>
      </c>
      <c r="I4540" t="n">
        <v>28</v>
      </c>
      <c r="J4540" t="n">
        <v>1</v>
      </c>
      <c r="K4540" t="n">
        <v>0</v>
      </c>
      <c r="L4540" t="n">
        <v>23129</v>
      </c>
      <c r="M4540" t="n">
        <v>27000</v>
      </c>
      <c r="N4540" t="n">
        <v>33</v>
      </c>
      <c r="O4540" t="n">
        <v>0.33</v>
      </c>
      <c r="P4540" t="n">
        <v>1</v>
      </c>
      <c r="Q4540" t="n">
        <v>0.27</v>
      </c>
      <c r="R4540" t="n">
        <v>2</v>
      </c>
      <c r="S4540" t="n">
        <v>21027.6</v>
      </c>
      <c r="T4540" t="n">
        <v>62</v>
      </c>
      <c r="U4540" t="n">
        <v>66</v>
      </c>
      <c r="V4540" t="n">
        <v>30</v>
      </c>
      <c r="W4540" t="n">
        <v>24</v>
      </c>
      <c r="X4540" t="n">
        <v>7.704160246533127</v>
      </c>
      <c r="Y4540" t="n">
        <v>1</v>
      </c>
      <c r="Z4540" t="n">
        <v>18</v>
      </c>
      <c r="AA4540" t="n">
        <v>16</v>
      </c>
      <c r="AB4540" t="n">
        <v>2</v>
      </c>
      <c r="AC4540" t="n">
        <v>2</v>
      </c>
      <c r="AD4540" t="n">
        <v>370064</v>
      </c>
      <c r="AE4540" t="n">
        <v>46258</v>
      </c>
      <c r="AF4540" t="n">
        <v>10541</v>
      </c>
      <c r="AG4540" t="n">
        <v>2148</v>
      </c>
      <c r="AH4540" t="inlineStr">
        <is>
          <t>PT. JAYA PALEMBANG SUKSES - PPN (JMB)</t>
        </is>
      </c>
      <c r="AI4540" t="n">
        <v>366</v>
      </c>
      <c r="AJ4540" t="inlineStr">
        <is>
          <t>VITALIS</t>
        </is>
      </c>
      <c r="AK4540" t="n">
        <v>9</v>
      </c>
      <c r="AL4540" t="inlineStr">
        <is>
          <t>Miss Glam Jambi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VITALIS</t>
        </is>
      </c>
      <c r="B4541" s="2">
        <f>"30400361305"</f>
        <v/>
      </c>
      <c r="C4541" t="inlineStr">
        <is>
          <t>VITALIS Eau De Parfum Forbidden Rose 100ml</t>
        </is>
      </c>
      <c r="D4541" t="inlineStr">
        <is>
          <t>Miss Glam Jambi</t>
        </is>
      </c>
      <c r="E4541" t="n">
        <v>4</v>
      </c>
      <c r="F4541" t="n">
        <v>0.066</v>
      </c>
      <c r="G4541" t="n">
        <v>0.66</v>
      </c>
      <c r="H4541" t="n">
        <v>4</v>
      </c>
      <c r="I4541" t="n">
        <v>28</v>
      </c>
      <c r="J4541" t="n">
        <v>1</v>
      </c>
      <c r="K4541" t="n">
        <v>0</v>
      </c>
      <c r="L4541" t="n">
        <v>26422</v>
      </c>
      <c r="M4541" t="n">
        <v>35000</v>
      </c>
      <c r="N4541" t="n">
        <v>33</v>
      </c>
      <c r="O4541" t="n">
        <v>0.33</v>
      </c>
      <c r="P4541" t="n">
        <v>1</v>
      </c>
      <c r="Q4541" t="n">
        <v>0.03</v>
      </c>
      <c r="R4541" t="n">
        <v>1</v>
      </c>
      <c r="S4541" t="n">
        <v>2310</v>
      </c>
      <c r="T4541" t="n">
        <v>19</v>
      </c>
      <c r="U4541" t="n">
        <v>20</v>
      </c>
      <c r="V4541" t="n">
        <v>30</v>
      </c>
      <c r="W4541" t="n">
        <v>2</v>
      </c>
      <c r="X4541" t="n">
        <v>60.6060606060606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10541</v>
      </c>
      <c r="AG4541" t="n">
        <v>2148</v>
      </c>
      <c r="AH4541" t="inlineStr">
        <is>
          <t>PT. JAYA PALEMBANG SUKSES - PPN (JMB)</t>
        </is>
      </c>
      <c r="AI4541" t="n">
        <v>366</v>
      </c>
      <c r="AJ4541" t="inlineStr">
        <is>
          <t>VITALIS</t>
        </is>
      </c>
      <c r="AK4541" t="n">
        <v>9</v>
      </c>
      <c r="AL4541" t="inlineStr">
        <is>
          <t>Miss Glam Jambi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VITALIS</t>
        </is>
      </c>
      <c r="B4542" s="2">
        <f>"30400263431"</f>
        <v/>
      </c>
      <c r="C4542" t="inlineStr">
        <is>
          <t>VITALIS Eau De Parfum Glam Slay 50ml</t>
        </is>
      </c>
      <c r="D4542" t="inlineStr">
        <is>
          <t>Miss Glam Jambi</t>
        </is>
      </c>
      <c r="E4542" t="n">
        <v>0</v>
      </c>
      <c r="F4542" t="n">
        <v>1.9734</v>
      </c>
      <c r="G4542" t="n">
        <v>4.62</v>
      </c>
      <c r="H4542" t="n">
        <v>4</v>
      </c>
      <c r="I4542" t="n">
        <v>28</v>
      </c>
      <c r="J4542" t="n">
        <v>1</v>
      </c>
      <c r="K4542" t="n">
        <v>0</v>
      </c>
      <c r="L4542" t="n">
        <v>22440</v>
      </c>
      <c r="M4542" t="n">
        <v>27000</v>
      </c>
      <c r="N4542" t="n">
        <v>33</v>
      </c>
      <c r="O4542" t="n">
        <v>0.33</v>
      </c>
      <c r="P4542" t="n">
        <v>1</v>
      </c>
      <c r="Q4542" t="n">
        <v>0.34</v>
      </c>
      <c r="R4542" t="n">
        <v>2</v>
      </c>
      <c r="S4542" t="n">
        <v>53281.80000000001</v>
      </c>
      <c r="T4542" t="n">
        <v>122</v>
      </c>
      <c r="U4542" t="n">
        <v>130</v>
      </c>
      <c r="V4542" t="n">
        <v>30</v>
      </c>
      <c r="W4542" t="n">
        <v>60</v>
      </c>
      <c r="X4542" t="n">
        <v>0</v>
      </c>
      <c r="Y4542" t="n">
        <v>1</v>
      </c>
      <c r="Z4542" t="n">
        <v>60</v>
      </c>
      <c r="AA4542" t="n">
        <v>56</v>
      </c>
      <c r="AB4542" t="n">
        <v>4</v>
      </c>
      <c r="AC4542" t="n">
        <v>4</v>
      </c>
      <c r="AD4542" t="n">
        <v>1256640</v>
      </c>
      <c r="AE4542" t="n">
        <v>89760</v>
      </c>
      <c r="AF4542" t="n">
        <v>10541</v>
      </c>
      <c r="AG4542" t="n">
        <v>2148</v>
      </c>
      <c r="AH4542" t="inlineStr">
        <is>
          <t>PT. JAYA PALEMBANG SUKSES - PPN (JMB)</t>
        </is>
      </c>
      <c r="AI4542" t="n">
        <v>366</v>
      </c>
      <c r="AJ4542" t="inlineStr">
        <is>
          <t>VITALIS</t>
        </is>
      </c>
      <c r="AK4542" t="n">
        <v>9</v>
      </c>
      <c r="AL4542" t="inlineStr">
        <is>
          <t>Miss Glam Jambi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VITALIS</t>
        </is>
      </c>
      <c r="B4543" s="2">
        <f>"30400263212"</f>
        <v/>
      </c>
      <c r="C4543" t="inlineStr">
        <is>
          <t>VITALIS Eau De Parfum Glow Up 50ml</t>
        </is>
      </c>
      <c r="D4543" t="inlineStr">
        <is>
          <t>Miss Glam Jambi</t>
        </is>
      </c>
      <c r="E4543" t="n">
        <v>8</v>
      </c>
      <c r="F4543" t="n">
        <v>0.1848</v>
      </c>
      <c r="G4543" t="n">
        <v>1.65</v>
      </c>
      <c r="H4543" t="n">
        <v>4</v>
      </c>
      <c r="I4543" t="n">
        <v>28</v>
      </c>
      <c r="J4543" t="n">
        <v>1</v>
      </c>
      <c r="K4543" t="n">
        <v>0</v>
      </c>
      <c r="L4543" t="n">
        <v>22440</v>
      </c>
      <c r="M4543" t="n">
        <v>26500</v>
      </c>
      <c r="N4543" t="n">
        <v>33</v>
      </c>
      <c r="O4543" t="n">
        <v>0.33</v>
      </c>
      <c r="P4543" t="n">
        <v>1</v>
      </c>
      <c r="Q4543" t="n">
        <v>0.07000000000000001</v>
      </c>
      <c r="R4543" t="n">
        <v>1</v>
      </c>
      <c r="S4543" t="n">
        <v>4897.200000000001</v>
      </c>
      <c r="T4543" t="n">
        <v>46</v>
      </c>
      <c r="U4543" t="n">
        <v>47</v>
      </c>
      <c r="V4543" t="n">
        <v>30</v>
      </c>
      <c r="W4543" t="n">
        <v>6</v>
      </c>
      <c r="X4543" t="n">
        <v>43.29004329004329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10541</v>
      </c>
      <c r="AG4543" t="n">
        <v>2148</v>
      </c>
      <c r="AH4543" t="inlineStr">
        <is>
          <t>PT. JAYA PALEMBANG SUKSES - PPN (JMB)</t>
        </is>
      </c>
      <c r="AI4543" t="n">
        <v>366</v>
      </c>
      <c r="AJ4543" t="inlineStr">
        <is>
          <t>VITALIS</t>
        </is>
      </c>
      <c r="AK4543" t="n">
        <v>9</v>
      </c>
      <c r="AL4543" t="inlineStr">
        <is>
          <t>Miss Glam Jambi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VITALIS</t>
        </is>
      </c>
      <c r="B4544" s="2">
        <f>"30400263349"</f>
        <v/>
      </c>
      <c r="C4544" t="inlineStr">
        <is>
          <t>VITALIS Eau De Parfum Juicy Luxy 50ml</t>
        </is>
      </c>
      <c r="D4544" t="inlineStr">
        <is>
          <t>Miss Glam Jambi</t>
        </is>
      </c>
      <c r="E4544" t="n">
        <v>25</v>
      </c>
      <c r="F4544" t="n">
        <v>0.7623000000000001</v>
      </c>
      <c r="G4544" t="n">
        <v>2.31</v>
      </c>
      <c r="H4544" t="n">
        <v>4</v>
      </c>
      <c r="I4544" t="n">
        <v>28</v>
      </c>
      <c r="J4544" t="n">
        <v>1</v>
      </c>
      <c r="K4544" t="n">
        <v>0</v>
      </c>
      <c r="L4544" t="n">
        <v>23129</v>
      </c>
      <c r="M4544" t="n">
        <v>27000</v>
      </c>
      <c r="N4544" t="n">
        <v>33</v>
      </c>
      <c r="O4544" t="n">
        <v>0.33</v>
      </c>
      <c r="P4544" t="n">
        <v>1</v>
      </c>
      <c r="Q4544" t="n">
        <v>0.34</v>
      </c>
      <c r="R4544" t="n">
        <v>5</v>
      </c>
      <c r="S4544" t="n">
        <v>20582.1</v>
      </c>
      <c r="T4544" t="n">
        <v>62</v>
      </c>
      <c r="U4544" t="n">
        <v>66</v>
      </c>
      <c r="V4544" t="n">
        <v>30</v>
      </c>
      <c r="W4544" t="n">
        <v>23</v>
      </c>
      <c r="X4544" t="n">
        <v>32.79548734094188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10541</v>
      </c>
      <c r="AG4544" t="n">
        <v>2148</v>
      </c>
      <c r="AH4544" t="inlineStr">
        <is>
          <t>PT. JAYA PALEMBANG SUKSES - PPN (JMB)</t>
        </is>
      </c>
      <c r="AI4544" t="n">
        <v>366</v>
      </c>
      <c r="AJ4544" t="inlineStr">
        <is>
          <t>VITALIS</t>
        </is>
      </c>
      <c r="AK4544" t="n">
        <v>9</v>
      </c>
      <c r="AL4544" t="inlineStr">
        <is>
          <t>Miss Glam Jambi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VITALIS</t>
        </is>
      </c>
      <c r="B4545" s="2">
        <f>"8992856906280"</f>
        <v/>
      </c>
      <c r="C4545" t="inlineStr">
        <is>
          <t>VITALIS Eau De Royale Her Highness 50ml</t>
        </is>
      </c>
      <c r="D4545" t="inlineStr">
        <is>
          <t>Miss Glam Jambi</t>
        </is>
      </c>
      <c r="E4545" t="n">
        <v>5</v>
      </c>
      <c r="F4545" t="n">
        <v>0.0231</v>
      </c>
      <c r="G4545" t="n">
        <v>0.33</v>
      </c>
      <c r="H4545" t="n">
        <v>4</v>
      </c>
      <c r="I4545" t="n">
        <v>28</v>
      </c>
      <c r="J4545" t="n">
        <v>3</v>
      </c>
      <c r="K4545" t="n">
        <v>0</v>
      </c>
      <c r="L4545" t="n">
        <v>40972</v>
      </c>
      <c r="M4545" t="n">
        <v>53000</v>
      </c>
      <c r="N4545" t="n">
        <v>33</v>
      </c>
      <c r="O4545" t="n">
        <v>0.33</v>
      </c>
      <c r="P4545" t="n">
        <v>1</v>
      </c>
      <c r="Q4545" t="n">
        <v>0.03</v>
      </c>
      <c r="R4545" t="n">
        <v>1</v>
      </c>
      <c r="S4545" t="n">
        <v>1224.3</v>
      </c>
      <c r="T4545" t="n">
        <v>10</v>
      </c>
      <c r="U4545" t="n">
        <v>11</v>
      </c>
      <c r="V4545" t="n">
        <v>30</v>
      </c>
      <c r="W4545" t="n">
        <v>1</v>
      </c>
      <c r="X4545" t="n">
        <v>216.4502164502164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10541</v>
      </c>
      <c r="AG4545" t="n">
        <v>2148</v>
      </c>
      <c r="AH4545" t="inlineStr">
        <is>
          <t>PT. JAYA PALEMBANG SUKSES - PPN (JMB)</t>
        </is>
      </c>
      <c r="AI4545" t="n">
        <v>366</v>
      </c>
      <c r="AJ4545" t="inlineStr">
        <is>
          <t>VITALIS</t>
        </is>
      </c>
      <c r="AK4545" t="n">
        <v>9</v>
      </c>
      <c r="AL4545" t="inlineStr">
        <is>
          <t>Miss Glam Jambi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VITALIS</t>
        </is>
      </c>
      <c r="B4546" s="2">
        <f>"8992856905719"</f>
        <v/>
      </c>
      <c r="C4546" t="inlineStr">
        <is>
          <t>VITALIS Eau De Royale Her Majesty  50ml</t>
        </is>
      </c>
      <c r="D4546" t="inlineStr">
        <is>
          <t>Miss Glam Jambi</t>
        </is>
      </c>
      <c r="E4546" t="n">
        <v>8</v>
      </c>
      <c r="F4546" t="n">
        <v>0.0726</v>
      </c>
      <c r="G4546" t="n">
        <v>0.66</v>
      </c>
      <c r="H4546" t="n">
        <v>4</v>
      </c>
      <c r="I4546" t="n">
        <v>28</v>
      </c>
      <c r="J4546" t="n">
        <v>3</v>
      </c>
      <c r="K4546" t="n">
        <v>0</v>
      </c>
      <c r="L4546" t="n">
        <v>41415</v>
      </c>
      <c r="M4546" t="n">
        <v>53000</v>
      </c>
      <c r="N4546" t="n">
        <v>33</v>
      </c>
      <c r="O4546" t="n">
        <v>0.33</v>
      </c>
      <c r="P4546" t="n">
        <v>1</v>
      </c>
      <c r="Q4546" t="n">
        <v>0.03</v>
      </c>
      <c r="R4546" t="n">
        <v>1</v>
      </c>
      <c r="S4546" t="n">
        <v>3847.8</v>
      </c>
      <c r="T4546" t="n">
        <v>19</v>
      </c>
      <c r="U4546" t="n">
        <v>20</v>
      </c>
      <c r="V4546" t="n">
        <v>30</v>
      </c>
      <c r="W4546" t="n">
        <v>3</v>
      </c>
      <c r="X4546" t="n">
        <v>110.1928374655647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10541</v>
      </c>
      <c r="AG4546" t="n">
        <v>2148</v>
      </c>
      <c r="AH4546" t="inlineStr">
        <is>
          <t>PT. JAYA PALEMBANG SUKSES - PPN (JMB)</t>
        </is>
      </c>
      <c r="AI4546" t="n">
        <v>366</v>
      </c>
      <c r="AJ4546" t="inlineStr">
        <is>
          <t>VITALIS</t>
        </is>
      </c>
      <c r="AK4546" t="n">
        <v>9</v>
      </c>
      <c r="AL4546" t="inlineStr">
        <is>
          <t>Miss Glam Jambi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VITALIS</t>
        </is>
      </c>
      <c r="B4547" s="2">
        <f>"30400255046"</f>
        <v/>
      </c>
      <c r="C4547" t="inlineStr">
        <is>
          <t>VITALIS Eau De Royale Red Majesty 50ml</t>
        </is>
      </c>
      <c r="D4547" t="inlineStr">
        <is>
          <t>Miss Glam Jambi</t>
        </is>
      </c>
      <c r="E4547" t="n">
        <v>5</v>
      </c>
      <c r="F4547" t="n">
        <v>0.297</v>
      </c>
      <c r="G4547" t="n">
        <v>0.99</v>
      </c>
      <c r="H4547" t="n">
        <v>4</v>
      </c>
      <c r="I4547" t="n">
        <v>28</v>
      </c>
      <c r="J4547" t="n">
        <v>1</v>
      </c>
      <c r="K4547" t="n">
        <v>0</v>
      </c>
      <c r="L4547" t="n">
        <v>40972</v>
      </c>
      <c r="M4547" t="n">
        <v>53000</v>
      </c>
      <c r="N4547" t="n">
        <v>33</v>
      </c>
      <c r="O4547" t="n">
        <v>0.33</v>
      </c>
      <c r="P4547" t="n">
        <v>1</v>
      </c>
      <c r="Q4547" t="n">
        <v>0.02</v>
      </c>
      <c r="R4547" t="n">
        <v>1</v>
      </c>
      <c r="S4547" t="n">
        <v>15741</v>
      </c>
      <c r="T4547" t="n">
        <v>27</v>
      </c>
      <c r="U4547" t="n">
        <v>29</v>
      </c>
      <c r="V4547" t="n">
        <v>30</v>
      </c>
      <c r="W4547" t="n">
        <v>9</v>
      </c>
      <c r="X4547" t="n">
        <v>16.83501683501683</v>
      </c>
      <c r="Y4547" t="n">
        <v>1</v>
      </c>
      <c r="Z4547" t="n">
        <v>4</v>
      </c>
      <c r="AA4547" t="n">
        <v>4</v>
      </c>
      <c r="AB4547" t="n">
        <v>0</v>
      </c>
      <c r="AC4547" t="n">
        <v>0</v>
      </c>
      <c r="AD4547" t="n">
        <v>163888</v>
      </c>
      <c r="AE4547" t="n">
        <v>0</v>
      </c>
      <c r="AF4547" t="n">
        <v>10541</v>
      </c>
      <c r="AG4547" t="n">
        <v>2148</v>
      </c>
      <c r="AH4547" t="inlineStr">
        <is>
          <t>PT. JAYA PALEMBANG SUKSES - PPN (JMB)</t>
        </is>
      </c>
      <c r="AI4547" t="n">
        <v>366</v>
      </c>
      <c r="AJ4547" t="inlineStr">
        <is>
          <t>VITALIS</t>
        </is>
      </c>
      <c r="AK4547" t="n">
        <v>9</v>
      </c>
      <c r="AL4547" t="inlineStr">
        <is>
          <t>Miss Glam Jambi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VITALIS</t>
        </is>
      </c>
      <c r="B4548" s="2">
        <f>"8992856906341"</f>
        <v/>
      </c>
      <c r="C4548" t="inlineStr">
        <is>
          <t>VITALIS Eau de Toilette Sparkle Enjoy The Moment 100 ml</t>
        </is>
      </c>
      <c r="D4548" t="inlineStr">
        <is>
          <t>Miss Glam Jambi</t>
        </is>
      </c>
      <c r="E4548" t="n">
        <v>3</v>
      </c>
      <c r="F4548" t="n">
        <v>0.1518</v>
      </c>
      <c r="G4548" t="n">
        <v>0.99</v>
      </c>
      <c r="H4548" t="n">
        <v>4</v>
      </c>
      <c r="I4548" t="n">
        <v>28</v>
      </c>
      <c r="J4548" t="n">
        <v>3</v>
      </c>
      <c r="K4548" t="n">
        <v>0</v>
      </c>
      <c r="L4548" t="n">
        <v>29357</v>
      </c>
      <c r="M4548" t="n">
        <v>35800</v>
      </c>
      <c r="N4548" t="n">
        <v>33</v>
      </c>
      <c r="O4548" t="n">
        <v>0.33</v>
      </c>
      <c r="P4548" t="n">
        <v>1</v>
      </c>
      <c r="Q4548" t="n">
        <v>0.12</v>
      </c>
      <c r="R4548" t="n">
        <v>2</v>
      </c>
      <c r="S4548" t="n">
        <v>5434.440000000001</v>
      </c>
      <c r="T4548" t="n">
        <v>28</v>
      </c>
      <c r="U4548" t="n">
        <v>29</v>
      </c>
      <c r="V4548" t="n">
        <v>30</v>
      </c>
      <c r="W4548" t="n">
        <v>5</v>
      </c>
      <c r="X4548" t="n">
        <v>19.76284584980237</v>
      </c>
      <c r="Y4548" t="n">
        <v>1</v>
      </c>
      <c r="Z4548" t="n">
        <v>2</v>
      </c>
      <c r="AA4548" t="n">
        <v>2</v>
      </c>
      <c r="AB4548" t="n">
        <v>0</v>
      </c>
      <c r="AC4548" t="n">
        <v>0</v>
      </c>
      <c r="AD4548" t="n">
        <v>58714</v>
      </c>
      <c r="AE4548" t="n">
        <v>0</v>
      </c>
      <c r="AF4548" t="n">
        <v>10541</v>
      </c>
      <c r="AG4548" t="n">
        <v>2148</v>
      </c>
      <c r="AH4548" t="inlineStr">
        <is>
          <t>PT. JAYA PALEMBANG SUKSES - PPN (JMB)</t>
        </is>
      </c>
      <c r="AI4548" t="n">
        <v>366</v>
      </c>
      <c r="AJ4548" t="inlineStr">
        <is>
          <t>VITALIS</t>
        </is>
      </c>
      <c r="AK4548" t="n">
        <v>9</v>
      </c>
      <c r="AL4548" t="inlineStr">
        <is>
          <t>Miss Glam Jambi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VITALIS</t>
        </is>
      </c>
      <c r="B4549" s="2">
        <f>"8992856906310"</f>
        <v/>
      </c>
      <c r="C4549" t="inlineStr">
        <is>
          <t>VITALIS Eau de Toilette Sparkle Keep Going 100ml</t>
        </is>
      </c>
      <c r="D4549" t="inlineStr">
        <is>
          <t>Miss Glam Jambi</t>
        </is>
      </c>
      <c r="E4549" t="n">
        <v>3</v>
      </c>
      <c r="F4549" t="n">
        <v>0.2805</v>
      </c>
      <c r="G4549" t="n">
        <v>1.32</v>
      </c>
      <c r="H4549" t="n">
        <v>4</v>
      </c>
      <c r="I4549" t="n">
        <v>28</v>
      </c>
      <c r="J4549" t="n">
        <v>3</v>
      </c>
      <c r="K4549" t="n">
        <v>0</v>
      </c>
      <c r="L4549" t="n">
        <v>28440</v>
      </c>
      <c r="M4549" t="n">
        <v>35800</v>
      </c>
      <c r="N4549" t="n">
        <v>33</v>
      </c>
      <c r="O4549" t="n">
        <v>0.33</v>
      </c>
      <c r="P4549" t="n">
        <v>1</v>
      </c>
      <c r="Q4549" t="n">
        <v>0.02</v>
      </c>
      <c r="R4549" t="n">
        <v>1</v>
      </c>
      <c r="S4549" t="n">
        <v>10041.9</v>
      </c>
      <c r="T4549" t="n">
        <v>36</v>
      </c>
      <c r="U4549" t="n">
        <v>38</v>
      </c>
      <c r="V4549" t="n">
        <v>30</v>
      </c>
      <c r="W4549" t="n">
        <v>9</v>
      </c>
      <c r="X4549" t="n">
        <v>10.6951871657754</v>
      </c>
      <c r="Y4549" t="n">
        <v>1</v>
      </c>
      <c r="Z4549" t="n">
        <v>6</v>
      </c>
      <c r="AA4549" t="n">
        <v>5</v>
      </c>
      <c r="AB4549" t="n">
        <v>1</v>
      </c>
      <c r="AC4549" t="n">
        <v>3</v>
      </c>
      <c r="AD4549" t="n">
        <v>142200</v>
      </c>
      <c r="AE4549" t="n">
        <v>85320</v>
      </c>
      <c r="AF4549" t="n">
        <v>10541</v>
      </c>
      <c r="AG4549" t="n">
        <v>2148</v>
      </c>
      <c r="AH4549" t="inlineStr">
        <is>
          <t>PT. JAYA PALEMBANG SUKSES - PPN (JMB)</t>
        </is>
      </c>
      <c r="AI4549" t="n">
        <v>366</v>
      </c>
      <c r="AJ4549" t="inlineStr">
        <is>
          <t>VITALIS</t>
        </is>
      </c>
      <c r="AK4549" t="n">
        <v>9</v>
      </c>
      <c r="AL4549" t="inlineStr">
        <is>
          <t>Miss Glam Jambi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VITALIS</t>
        </is>
      </c>
      <c r="B4550" s="2">
        <f>"8992856906327"</f>
        <v/>
      </c>
      <c r="C4550" t="inlineStr">
        <is>
          <t>VITALIS Eau de Toilette Sparkle Make It Happen 100ml</t>
        </is>
      </c>
      <c r="D4550" t="inlineStr">
        <is>
          <t>Miss Glam Jambi</t>
        </is>
      </c>
      <c r="E4550" t="n">
        <v>4</v>
      </c>
      <c r="F4550" t="n">
        <v>0.33</v>
      </c>
      <c r="G4550" t="n">
        <v>1.32</v>
      </c>
      <c r="H4550" t="n">
        <v>4</v>
      </c>
      <c r="I4550" t="n">
        <v>28</v>
      </c>
      <c r="J4550" t="n">
        <v>3</v>
      </c>
      <c r="K4550" t="n">
        <v>0</v>
      </c>
      <c r="L4550" t="n">
        <v>28748</v>
      </c>
      <c r="M4550" t="n">
        <v>35800</v>
      </c>
      <c r="N4550" t="n">
        <v>33</v>
      </c>
      <c r="O4550" t="n">
        <v>0.33</v>
      </c>
      <c r="P4550" t="n">
        <v>1</v>
      </c>
      <c r="Q4550" t="n">
        <v>0.07000000000000001</v>
      </c>
      <c r="R4550" t="n">
        <v>1</v>
      </c>
      <c r="S4550" t="n">
        <v>11814</v>
      </c>
      <c r="T4550" t="n">
        <v>36</v>
      </c>
      <c r="U4550" t="n">
        <v>38</v>
      </c>
      <c r="V4550" t="n">
        <v>30</v>
      </c>
      <c r="W4550" t="n">
        <v>10</v>
      </c>
      <c r="X4550" t="n">
        <v>12.12121212121212</v>
      </c>
      <c r="Y4550" t="n">
        <v>1</v>
      </c>
      <c r="Z4550" t="n">
        <v>6</v>
      </c>
      <c r="AA4550" t="n">
        <v>6</v>
      </c>
      <c r="AB4550" t="n">
        <v>0</v>
      </c>
      <c r="AC4550" t="n">
        <v>0</v>
      </c>
      <c r="AD4550" t="n">
        <v>172488</v>
      </c>
      <c r="AE4550" t="n">
        <v>0</v>
      </c>
      <c r="AF4550" t="n">
        <v>10541</v>
      </c>
      <c r="AG4550" t="n">
        <v>2148</v>
      </c>
      <c r="AH4550" t="inlineStr">
        <is>
          <t>PT. JAYA PALEMBANG SUKSES - PPN (JMB)</t>
        </is>
      </c>
      <c r="AI4550" t="n">
        <v>366</v>
      </c>
      <c r="AJ4550" t="inlineStr">
        <is>
          <t>VITALIS</t>
        </is>
      </c>
      <c r="AK4550" t="n">
        <v>9</v>
      </c>
      <c r="AL4550" t="inlineStr">
        <is>
          <t>Miss Glam Jambi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VITALIS</t>
        </is>
      </c>
      <c r="B4551" s="2">
        <f>"8992856906334"</f>
        <v/>
      </c>
      <c r="C4551" t="inlineStr">
        <is>
          <t>VITALIS Eau de Toilette Sparkle Rise and Shine 100ml</t>
        </is>
      </c>
      <c r="D4551" t="inlineStr">
        <is>
          <t>Miss Glam Jambi</t>
        </is>
      </c>
      <c r="E4551" t="n">
        <v>9</v>
      </c>
      <c r="F4551" t="n">
        <v>0.1947</v>
      </c>
      <c r="G4551" t="n">
        <v>1.32</v>
      </c>
      <c r="H4551" t="n">
        <v>4</v>
      </c>
      <c r="I4551" t="n">
        <v>28</v>
      </c>
      <c r="J4551" t="n">
        <v>3</v>
      </c>
      <c r="K4551" t="n">
        <v>0</v>
      </c>
      <c r="L4551" t="n">
        <v>28440</v>
      </c>
      <c r="M4551" t="n">
        <v>35800</v>
      </c>
      <c r="N4551" t="n">
        <v>33</v>
      </c>
      <c r="O4551" t="n">
        <v>0.33</v>
      </c>
      <c r="P4551" t="n">
        <v>1</v>
      </c>
      <c r="Q4551" t="n">
        <v>0.05</v>
      </c>
      <c r="R4551" t="n">
        <v>2</v>
      </c>
      <c r="S4551" t="n">
        <v>6970.26</v>
      </c>
      <c r="T4551" t="n">
        <v>37</v>
      </c>
      <c r="U4551" t="n">
        <v>38</v>
      </c>
      <c r="V4551" t="n">
        <v>30</v>
      </c>
      <c r="W4551" t="n">
        <v>6</v>
      </c>
      <c r="X4551" t="n">
        <v>46.22496147919876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10541</v>
      </c>
      <c r="AG4551" t="n">
        <v>2148</v>
      </c>
      <c r="AH4551" t="inlineStr">
        <is>
          <t>PT. JAYA PALEMBANG SUKSES - PPN (JMB)</t>
        </is>
      </c>
      <c r="AI4551" t="n">
        <v>366</v>
      </c>
      <c r="AJ4551" t="inlineStr">
        <is>
          <t>VITALIS</t>
        </is>
      </c>
      <c r="AK4551" t="n">
        <v>9</v>
      </c>
      <c r="AL4551" t="inlineStr">
        <is>
          <t>Miss Glam Jambi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VITALIS</t>
        </is>
      </c>
      <c r="B4552" s="2">
        <f>"8992856898776"</f>
        <v/>
      </c>
      <c r="C4552" t="inlineStr">
        <is>
          <t>VITALIS Edc Empress 50Ml</t>
        </is>
      </c>
      <c r="D4552" t="inlineStr">
        <is>
          <t>Miss Glam Jambi</t>
        </is>
      </c>
      <c r="E4552" t="n">
        <v>5</v>
      </c>
      <c r="F4552" t="n">
        <v>0.02</v>
      </c>
      <c r="G4552" t="n">
        <v>1</v>
      </c>
      <c r="H4552" t="n">
        <v>4</v>
      </c>
      <c r="I4552" t="n">
        <v>28</v>
      </c>
      <c r="J4552" t="n">
        <v>3</v>
      </c>
      <c r="K4552" t="n">
        <v>0</v>
      </c>
      <c r="L4552" t="n">
        <v>23392</v>
      </c>
      <c r="M4552" t="n">
        <v>28500</v>
      </c>
      <c r="N4552" t="n">
        <v>33</v>
      </c>
      <c r="O4552" t="n">
        <v>0.33</v>
      </c>
      <c r="P4552" t="n">
        <v>0</v>
      </c>
      <c r="Q4552" t="n">
        <v>0.02</v>
      </c>
      <c r="R4552" t="n">
        <v>1</v>
      </c>
      <c r="S4552" t="n">
        <v>570</v>
      </c>
      <c r="T4552" t="n">
        <v>28</v>
      </c>
      <c r="U4552" t="n">
        <v>29</v>
      </c>
      <c r="V4552" t="n">
        <v>30</v>
      </c>
      <c r="W4552" t="n">
        <v>1</v>
      </c>
      <c r="X4552" t="n">
        <v>250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10541</v>
      </c>
      <c r="AG4552" t="n">
        <v>2148</v>
      </c>
      <c r="AH4552" t="inlineStr">
        <is>
          <t>PT. JAYA PALEMBANG SUKSES - PPN (JMB)</t>
        </is>
      </c>
      <c r="AI4552" t="n">
        <v>366</v>
      </c>
      <c r="AJ4552" t="inlineStr">
        <is>
          <t>VITALIS</t>
        </is>
      </c>
      <c r="AK4552" t="n">
        <v>9</v>
      </c>
      <c r="AL4552" t="inlineStr">
        <is>
          <t>Miss Glam Jambi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VITALIS</t>
        </is>
      </c>
      <c r="B4553" s="2">
        <f>"8992856901841"</f>
        <v/>
      </c>
      <c r="C4553" t="inlineStr">
        <is>
          <t>VITALIS Edr Couture 50ml</t>
        </is>
      </c>
      <c r="D4553" t="inlineStr">
        <is>
          <t>Miss Glam Jambi</t>
        </is>
      </c>
      <c r="E4553" t="n">
        <v>5</v>
      </c>
      <c r="F4553" t="n">
        <v>0.1749</v>
      </c>
      <c r="G4553" t="n">
        <v>0.99</v>
      </c>
      <c r="H4553" t="n">
        <v>4</v>
      </c>
      <c r="I4553" t="n">
        <v>28</v>
      </c>
      <c r="J4553" t="n">
        <v>3</v>
      </c>
      <c r="K4553" t="n">
        <v>0</v>
      </c>
      <c r="L4553" t="n">
        <v>40972</v>
      </c>
      <c r="M4553" t="n">
        <v>53000</v>
      </c>
      <c r="N4553" t="n">
        <v>33</v>
      </c>
      <c r="O4553" t="n">
        <v>0.33</v>
      </c>
      <c r="P4553" t="n">
        <v>1</v>
      </c>
      <c r="Q4553" t="n">
        <v>0.07000000000000001</v>
      </c>
      <c r="R4553" t="n">
        <v>2</v>
      </c>
      <c r="S4553" t="n">
        <v>9269.700000000001</v>
      </c>
      <c r="T4553" t="n">
        <v>28</v>
      </c>
      <c r="U4553" t="n">
        <v>29</v>
      </c>
      <c r="V4553" t="n">
        <v>30</v>
      </c>
      <c r="W4553" t="n">
        <v>6</v>
      </c>
      <c r="X4553" t="n">
        <v>28.58776443682104</v>
      </c>
      <c r="Y4553" t="n">
        <v>1</v>
      </c>
      <c r="Z4553" t="n">
        <v>1</v>
      </c>
      <c r="AA4553" t="n">
        <v>0</v>
      </c>
      <c r="AB4553" t="n">
        <v>1</v>
      </c>
      <c r="AC4553" t="n">
        <v>3</v>
      </c>
      <c r="AD4553" t="n">
        <v>0</v>
      </c>
      <c r="AE4553" t="n">
        <v>122916</v>
      </c>
      <c r="AF4553" t="n">
        <v>10541</v>
      </c>
      <c r="AG4553" t="n">
        <v>2148</v>
      </c>
      <c r="AH4553" t="inlineStr">
        <is>
          <t>PT. JAYA PALEMBANG SUKSES - PPN (JMB)</t>
        </is>
      </c>
      <c r="AI4553" t="n">
        <v>366</v>
      </c>
      <c r="AJ4553" t="inlineStr">
        <is>
          <t>VITALIS</t>
        </is>
      </c>
      <c r="AK4553" t="n">
        <v>9</v>
      </c>
      <c r="AL4553" t="inlineStr">
        <is>
          <t>Miss Glam Jambi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VITALIS</t>
        </is>
      </c>
      <c r="B4554" s="2">
        <f>"8992856907997"</f>
        <v/>
      </c>
      <c r="C4554" t="inlineStr">
        <is>
          <t>VITALIS EDT Sparkle Dream And Believe 100ml</t>
        </is>
      </c>
      <c r="D4554" t="inlineStr">
        <is>
          <t>Miss Glam Jambi</t>
        </is>
      </c>
      <c r="E4554" t="n">
        <v>9</v>
      </c>
      <c r="F4554" t="n">
        <v>0.0825</v>
      </c>
      <c r="G4554" t="n">
        <v>0.66</v>
      </c>
      <c r="H4554" t="n">
        <v>4</v>
      </c>
      <c r="I4554" t="n">
        <v>28</v>
      </c>
      <c r="J4554" t="n">
        <v>3</v>
      </c>
      <c r="K4554" t="n">
        <v>0</v>
      </c>
      <c r="L4554" t="n">
        <v>28440</v>
      </c>
      <c r="M4554" t="n">
        <v>34500</v>
      </c>
      <c r="N4554" t="n">
        <v>33</v>
      </c>
      <c r="O4554" t="n">
        <v>0.33</v>
      </c>
      <c r="P4554" t="n">
        <v>1</v>
      </c>
      <c r="Q4554" t="n">
        <v>0.03</v>
      </c>
      <c r="R4554" t="n">
        <v>1</v>
      </c>
      <c r="S4554" t="n">
        <v>2846.25</v>
      </c>
      <c r="T4554" t="n">
        <v>19</v>
      </c>
      <c r="U4554" t="n">
        <v>20</v>
      </c>
      <c r="V4554" t="n">
        <v>30</v>
      </c>
      <c r="W4554" t="n">
        <v>3</v>
      </c>
      <c r="X4554" t="n">
        <v>109.0909090909091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10541</v>
      </c>
      <c r="AG4554" t="n">
        <v>2148</v>
      </c>
      <c r="AH4554" t="inlineStr">
        <is>
          <t>PT. JAYA PALEMBANG SUKSES - PPN (JMB)</t>
        </is>
      </c>
      <c r="AI4554" t="n">
        <v>366</v>
      </c>
      <c r="AJ4554" t="inlineStr">
        <is>
          <t>VITALIS</t>
        </is>
      </c>
      <c r="AK4554" t="n">
        <v>9</v>
      </c>
      <c r="AL4554" t="inlineStr">
        <is>
          <t>Miss Glam Jambi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VITALIS</t>
        </is>
      </c>
      <c r="B4555" s="2">
        <f>"30400361134"</f>
        <v/>
      </c>
      <c r="C4555" t="inlineStr">
        <is>
          <t>VITALIS Sparkle EDT Fearless Rose 100ml</t>
        </is>
      </c>
      <c r="D4555" t="inlineStr">
        <is>
          <t>Miss Glam Jambi</t>
        </is>
      </c>
      <c r="E4555" t="n">
        <v>3</v>
      </c>
      <c r="F4555" t="n">
        <v>0.0264</v>
      </c>
      <c r="G4555" t="n">
        <v>0.33</v>
      </c>
      <c r="H4555" t="n">
        <v>4</v>
      </c>
      <c r="I4555" t="n">
        <v>28</v>
      </c>
      <c r="J4555" t="n">
        <v>1</v>
      </c>
      <c r="K4555" t="n">
        <v>0</v>
      </c>
      <c r="L4555" t="n">
        <v>28440</v>
      </c>
      <c r="M4555" t="n">
        <v>33500</v>
      </c>
      <c r="N4555" t="n">
        <v>33</v>
      </c>
      <c r="O4555" t="n">
        <v>0.33</v>
      </c>
      <c r="P4555" t="n">
        <v>1</v>
      </c>
      <c r="Q4555" t="n">
        <v>0.03</v>
      </c>
      <c r="R4555" t="n">
        <v>1</v>
      </c>
      <c r="S4555" t="n">
        <v>884.4000000000001</v>
      </c>
      <c r="T4555" t="n">
        <v>10</v>
      </c>
      <c r="U4555" t="n">
        <v>11</v>
      </c>
      <c r="V4555" t="n">
        <v>30</v>
      </c>
      <c r="W4555" t="n">
        <v>1</v>
      </c>
      <c r="X4555" t="n">
        <v>113.6363636363636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10541</v>
      </c>
      <c r="AG4555" t="n">
        <v>2148</v>
      </c>
      <c r="AH4555" t="inlineStr">
        <is>
          <t>PT. JAYA PALEMBANG SUKSES - PPN (JMB)</t>
        </is>
      </c>
      <c r="AI4555" t="n">
        <v>366</v>
      </c>
      <c r="AJ4555" t="inlineStr">
        <is>
          <t>VITALIS</t>
        </is>
      </c>
      <c r="AK4555" t="n">
        <v>9</v>
      </c>
      <c r="AL4555" t="inlineStr">
        <is>
          <t>Miss Glam Jambi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VITALIS</t>
        </is>
      </c>
      <c r="B4556" s="2">
        <f>"30400260616"</f>
        <v/>
      </c>
      <c r="C4556" t="inlineStr">
        <is>
          <t>VITALIS Sparkle EDT Forever Rose 100ml</t>
        </is>
      </c>
      <c r="D4556" t="inlineStr">
        <is>
          <t>Miss Glam Jambi</t>
        </is>
      </c>
      <c r="E4556" t="n">
        <v>13</v>
      </c>
      <c r="F4556" t="n">
        <v>0.066</v>
      </c>
      <c r="G4556" t="n">
        <v>0.33</v>
      </c>
      <c r="H4556" t="n">
        <v>4</v>
      </c>
      <c r="I4556" t="n">
        <v>28</v>
      </c>
      <c r="J4556" t="n">
        <v>1</v>
      </c>
      <c r="K4556" t="n">
        <v>0</v>
      </c>
      <c r="L4556" t="n">
        <v>26859</v>
      </c>
      <c r="M4556" t="n">
        <v>33500</v>
      </c>
      <c r="N4556" t="n">
        <v>33</v>
      </c>
      <c r="O4556" t="n">
        <v>0.33</v>
      </c>
      <c r="P4556" t="n">
        <v>1</v>
      </c>
      <c r="Q4556" t="n">
        <v>0.03</v>
      </c>
      <c r="R4556" t="n">
        <v>1</v>
      </c>
      <c r="S4556" t="n">
        <v>2211</v>
      </c>
      <c r="T4556" t="n">
        <v>9</v>
      </c>
      <c r="U4556" t="n">
        <v>10</v>
      </c>
      <c r="V4556" t="n">
        <v>30</v>
      </c>
      <c r="W4556" t="n">
        <v>2</v>
      </c>
      <c r="X4556" t="n">
        <v>196.969696969697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10541</v>
      </c>
      <c r="AG4556" t="n">
        <v>2148</v>
      </c>
      <c r="AH4556" t="inlineStr">
        <is>
          <t>PT. JAYA PALEMBANG SUKSES - PPN (JMB)</t>
        </is>
      </c>
      <c r="AI4556" t="n">
        <v>366</v>
      </c>
      <c r="AJ4556" t="inlineStr">
        <is>
          <t>VITALIS</t>
        </is>
      </c>
      <c r="AK4556" t="n">
        <v>9</v>
      </c>
      <c r="AL4556" t="inlineStr">
        <is>
          <t>Miss Glam Jambi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VIVA</t>
        </is>
      </c>
      <c r="B4557" s="2">
        <f>"8992796011716"</f>
        <v/>
      </c>
      <c r="C4557" t="inlineStr">
        <is>
          <t>VIVA  Acne Gel 15gr</t>
        </is>
      </c>
      <c r="D4557" t="inlineStr">
        <is>
          <t>Miss Glam Jambi</t>
        </is>
      </c>
      <c r="E4557" t="n">
        <v>3</v>
      </c>
      <c r="F4557" t="n">
        <v>0.9075000000000001</v>
      </c>
      <c r="G4557" t="n">
        <v>2.64</v>
      </c>
      <c r="H4557" t="n">
        <v>7</v>
      </c>
      <c r="I4557" t="n">
        <v>19</v>
      </c>
      <c r="J4557" t="n">
        <v>3</v>
      </c>
      <c r="K4557" t="n">
        <v>10</v>
      </c>
      <c r="L4557" t="n">
        <v>8346</v>
      </c>
      <c r="M4557" t="n">
        <v>10500</v>
      </c>
      <c r="N4557" t="n">
        <v>33</v>
      </c>
      <c r="O4557" t="n">
        <v>0.33</v>
      </c>
      <c r="P4557" t="n">
        <v>1</v>
      </c>
      <c r="Q4557" t="n">
        <v>0.14</v>
      </c>
      <c r="R4557" t="n">
        <v>2</v>
      </c>
      <c r="S4557" t="n">
        <v>9528.75</v>
      </c>
      <c r="T4557" t="n">
        <v>44</v>
      </c>
      <c r="U4557" t="n">
        <v>51</v>
      </c>
      <c r="V4557" t="n">
        <v>30</v>
      </c>
      <c r="W4557" t="n">
        <v>28</v>
      </c>
      <c r="X4557" t="n">
        <v>3.305785123966942</v>
      </c>
      <c r="Y4557" t="n">
        <v>1</v>
      </c>
      <c r="Z4557" t="n">
        <v>15</v>
      </c>
      <c r="AA4557" t="n">
        <v>14</v>
      </c>
      <c r="AB4557" t="n">
        <v>1</v>
      </c>
      <c r="AC4557" t="n">
        <v>3</v>
      </c>
      <c r="AD4557" t="n">
        <v>116844</v>
      </c>
      <c r="AE4557" t="n">
        <v>25038</v>
      </c>
      <c r="AF4557" t="n">
        <v>11315</v>
      </c>
      <c r="AG4557" t="n">
        <v>2173</v>
      </c>
      <c r="AH4557" t="inlineStr">
        <is>
          <t>PT. OGAN SAKTI PRATAMA - PPN (JMB)</t>
        </is>
      </c>
      <c r="AI4557" t="n">
        <v>163</v>
      </c>
      <c r="AJ4557" t="inlineStr">
        <is>
          <t>VIVA</t>
        </is>
      </c>
      <c r="AK4557" t="n">
        <v>9</v>
      </c>
      <c r="AL4557" t="inlineStr">
        <is>
          <t>Miss Glam Jambi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VIVA</t>
        </is>
      </c>
      <c r="B4558" s="2">
        <f>"8992796224017"</f>
        <v/>
      </c>
      <c r="C4558" t="inlineStr">
        <is>
          <t>VIVA  White Body Butter MullBerry 200gr</t>
        </is>
      </c>
      <c r="D4558" t="inlineStr">
        <is>
          <t>Miss Glam Jambi</t>
        </is>
      </c>
      <c r="E4558" t="n">
        <v>4</v>
      </c>
      <c r="F4558" t="n">
        <v>0.03</v>
      </c>
      <c r="G4558" t="n">
        <v>1</v>
      </c>
      <c r="H4558" t="n">
        <v>7</v>
      </c>
      <c r="I4558" t="n">
        <v>19</v>
      </c>
      <c r="J4558" t="n">
        <v>3</v>
      </c>
      <c r="K4558" t="n">
        <v>0</v>
      </c>
      <c r="L4558" t="n">
        <v>32219</v>
      </c>
      <c r="M4558" t="n">
        <v>40000</v>
      </c>
      <c r="N4558" t="n">
        <v>33</v>
      </c>
      <c r="O4558" t="n">
        <v>0.33</v>
      </c>
      <c r="P4558" t="n">
        <v>0</v>
      </c>
      <c r="Q4558" t="n">
        <v>0.03</v>
      </c>
      <c r="R4558" t="n">
        <v>1</v>
      </c>
      <c r="S4558" t="n">
        <v>1200</v>
      </c>
      <c r="T4558" t="n">
        <v>19</v>
      </c>
      <c r="U4558" t="n">
        <v>20</v>
      </c>
      <c r="V4558" t="n">
        <v>30</v>
      </c>
      <c r="W4558" t="n">
        <v>1</v>
      </c>
      <c r="X4558" t="n">
        <v>133.3333333333333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11315</v>
      </c>
      <c r="AG4558" t="n">
        <v>2173</v>
      </c>
      <c r="AH4558" t="inlineStr">
        <is>
          <t>PT. OGAN SAKTI PRATAMA - PPN (JMB)</t>
        </is>
      </c>
      <c r="AI4558" t="n">
        <v>163</v>
      </c>
      <c r="AJ4558" t="inlineStr">
        <is>
          <t>VIVA</t>
        </is>
      </c>
      <c r="AK4558" t="n">
        <v>9</v>
      </c>
      <c r="AL4558" t="inlineStr">
        <is>
          <t>Miss Glam Jambi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VIVA</t>
        </is>
      </c>
      <c r="B4559" s="2">
        <f>"8992796011709"</f>
        <v/>
      </c>
      <c r="C4559" t="inlineStr">
        <is>
          <t>VIVA Acne Lotion 30ml</t>
        </is>
      </c>
      <c r="D4559" t="inlineStr">
        <is>
          <t>Miss Glam Jambi</t>
        </is>
      </c>
      <c r="E4559" t="n">
        <v>25</v>
      </c>
      <c r="F4559" t="n">
        <v>0.73</v>
      </c>
      <c r="G4559" t="n">
        <v>3</v>
      </c>
      <c r="H4559" t="n">
        <v>7</v>
      </c>
      <c r="I4559" t="n">
        <v>19</v>
      </c>
      <c r="J4559" t="n">
        <v>3</v>
      </c>
      <c r="K4559" t="n">
        <v>0</v>
      </c>
      <c r="L4559" t="n">
        <v>4290</v>
      </c>
      <c r="M4559" t="n">
        <v>5500</v>
      </c>
      <c r="N4559" t="n">
        <v>33</v>
      </c>
      <c r="O4559" t="n">
        <v>0.33</v>
      </c>
      <c r="P4559" t="n">
        <v>0</v>
      </c>
      <c r="Q4559" t="n">
        <v>0.73</v>
      </c>
      <c r="R4559" t="n">
        <v>3</v>
      </c>
      <c r="S4559" t="n">
        <v>4015</v>
      </c>
      <c r="T4559" t="n">
        <v>52</v>
      </c>
      <c r="U4559" t="n">
        <v>58</v>
      </c>
      <c r="V4559" t="n">
        <v>30</v>
      </c>
      <c r="W4559" t="n">
        <v>22</v>
      </c>
      <c r="X4559" t="n">
        <v>34.24657534246575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11315</v>
      </c>
      <c r="AG4559" t="n">
        <v>2173</v>
      </c>
      <c r="AH4559" t="inlineStr">
        <is>
          <t>PT. OGAN SAKTI PRATAMA - PPN (JMB)</t>
        </is>
      </c>
      <c r="AI4559" t="n">
        <v>163</v>
      </c>
      <c r="AJ4559" t="inlineStr">
        <is>
          <t>VIVA</t>
        </is>
      </c>
      <c r="AK4559" t="n">
        <v>9</v>
      </c>
      <c r="AL4559" t="inlineStr">
        <is>
          <t>Miss Glam Jambi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VIVA</t>
        </is>
      </c>
      <c r="B4560" s="2">
        <f>"8992796011723"</f>
        <v/>
      </c>
      <c r="C4560" t="inlineStr">
        <is>
          <t>VIVA Acne Serum 20ml</t>
        </is>
      </c>
      <c r="D4560" t="inlineStr">
        <is>
          <t>Miss Glam Jambi</t>
        </is>
      </c>
      <c r="E4560" t="n">
        <v>8</v>
      </c>
      <c r="F4560" t="n">
        <v>0.1782</v>
      </c>
      <c r="G4560" t="n">
        <v>0.66</v>
      </c>
      <c r="H4560" t="n">
        <v>7</v>
      </c>
      <c r="I4560" t="n">
        <v>19</v>
      </c>
      <c r="J4560" t="n">
        <v>3</v>
      </c>
      <c r="K4560" t="n">
        <v>0</v>
      </c>
      <c r="L4560" t="n">
        <v>16352</v>
      </c>
      <c r="M4560" t="n">
        <v>22000</v>
      </c>
      <c r="N4560" t="n">
        <v>33</v>
      </c>
      <c r="O4560" t="n">
        <v>0.33</v>
      </c>
      <c r="P4560" t="n">
        <v>1</v>
      </c>
      <c r="Q4560" t="n">
        <v>0.2</v>
      </c>
      <c r="R4560" t="n">
        <v>2</v>
      </c>
      <c r="S4560" t="n">
        <v>3920.400000000001</v>
      </c>
      <c r="T4560" t="n">
        <v>12</v>
      </c>
      <c r="U4560" t="n">
        <v>14</v>
      </c>
      <c r="V4560" t="n">
        <v>30</v>
      </c>
      <c r="W4560" t="n">
        <v>6</v>
      </c>
      <c r="X4560" t="n">
        <v>44.89337822671155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11315</v>
      </c>
      <c r="AG4560" t="n">
        <v>2173</v>
      </c>
      <c r="AH4560" t="inlineStr">
        <is>
          <t>PT. OGAN SAKTI PRATAMA - PPN (JMB)</t>
        </is>
      </c>
      <c r="AI4560" t="n">
        <v>163</v>
      </c>
      <c r="AJ4560" t="inlineStr">
        <is>
          <t>VIVA</t>
        </is>
      </c>
      <c r="AK4560" t="n">
        <v>9</v>
      </c>
      <c r="AL4560" t="inlineStr">
        <is>
          <t>Miss Glam Jambi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VIVA</t>
        </is>
      </c>
      <c r="B4561" s="2">
        <f>"8992796011501"</f>
        <v/>
      </c>
      <c r="C4561" t="inlineStr">
        <is>
          <t>VIVA Air Mawar 100ml</t>
        </is>
      </c>
      <c r="D4561" t="inlineStr">
        <is>
          <t>Miss Glam Jambi</t>
        </is>
      </c>
      <c r="E4561" t="n">
        <v>41</v>
      </c>
      <c r="F4561" t="n">
        <v>3.036</v>
      </c>
      <c r="G4561" t="n">
        <v>8.25</v>
      </c>
      <c r="H4561" t="n">
        <v>7</v>
      </c>
      <c r="I4561" t="n">
        <v>19</v>
      </c>
      <c r="J4561" t="n">
        <v>12</v>
      </c>
      <c r="K4561" t="n">
        <v>33</v>
      </c>
      <c r="L4561" t="n">
        <v>5164</v>
      </c>
      <c r="M4561" t="n">
        <v>6500</v>
      </c>
      <c r="N4561" t="n">
        <v>33</v>
      </c>
      <c r="O4561" t="n">
        <v>0.33</v>
      </c>
      <c r="P4561" t="n">
        <v>1</v>
      </c>
      <c r="Q4561" t="n">
        <v>0.98</v>
      </c>
      <c r="R4561" t="n">
        <v>4</v>
      </c>
      <c r="S4561" t="n">
        <v>19734</v>
      </c>
      <c r="T4561" t="n">
        <v>136</v>
      </c>
      <c r="U4561" t="n">
        <v>158</v>
      </c>
      <c r="V4561" t="n">
        <v>30</v>
      </c>
      <c r="W4561" t="n">
        <v>92</v>
      </c>
      <c r="X4561" t="n">
        <v>13.50461133069829</v>
      </c>
      <c r="Y4561" t="n">
        <v>1</v>
      </c>
      <c r="Z4561" t="n">
        <v>18</v>
      </c>
      <c r="AA4561" t="n">
        <v>16</v>
      </c>
      <c r="AB4561" t="n">
        <v>2</v>
      </c>
      <c r="AC4561" t="n">
        <v>12</v>
      </c>
      <c r="AD4561" t="n">
        <v>82624</v>
      </c>
      <c r="AE4561" t="n">
        <v>61968</v>
      </c>
      <c r="AF4561" t="n">
        <v>11315</v>
      </c>
      <c r="AG4561" t="n">
        <v>2173</v>
      </c>
      <c r="AH4561" t="inlineStr">
        <is>
          <t>PT. OGAN SAKTI PRATAMA - PPN (JMB)</t>
        </is>
      </c>
      <c r="AI4561" t="n">
        <v>163</v>
      </c>
      <c r="AJ4561" t="inlineStr">
        <is>
          <t>VIVA</t>
        </is>
      </c>
      <c r="AK4561" t="n">
        <v>9</v>
      </c>
      <c r="AL4561" t="inlineStr">
        <is>
          <t>Miss Glam Jambi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VIVA</t>
        </is>
      </c>
      <c r="B4562" s="2">
        <f>"8992796011518"</f>
        <v/>
      </c>
      <c r="C4562" t="inlineStr">
        <is>
          <t>VIVA Air Mawar 200ml</t>
        </is>
      </c>
      <c r="D4562" t="inlineStr">
        <is>
          <t>Miss Glam Jambi</t>
        </is>
      </c>
      <c r="E4562" t="n">
        <v>37</v>
      </c>
      <c r="F4562" t="n">
        <v>1.32</v>
      </c>
      <c r="G4562" t="n">
        <v>5</v>
      </c>
      <c r="H4562" t="n">
        <v>7</v>
      </c>
      <c r="I4562" t="n">
        <v>19</v>
      </c>
      <c r="J4562" t="n">
        <v>3</v>
      </c>
      <c r="K4562" t="n">
        <v>3</v>
      </c>
      <c r="L4562" t="n">
        <v>8619</v>
      </c>
      <c r="M4562" t="n">
        <v>11000</v>
      </c>
      <c r="N4562" t="n">
        <v>33</v>
      </c>
      <c r="O4562" t="n">
        <v>0.33</v>
      </c>
      <c r="P4562" t="n">
        <v>0</v>
      </c>
      <c r="Q4562" t="n">
        <v>1.32</v>
      </c>
      <c r="R4562" t="n">
        <v>5</v>
      </c>
      <c r="S4562" t="n">
        <v>14520</v>
      </c>
      <c r="T4562" t="n">
        <v>86</v>
      </c>
      <c r="U4562" t="n">
        <v>96</v>
      </c>
      <c r="V4562" t="n">
        <v>30</v>
      </c>
      <c r="W4562" t="n">
        <v>40</v>
      </c>
      <c r="X4562" t="n">
        <v>28.03030303030303</v>
      </c>
      <c r="Y4562" t="n">
        <v>1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11315</v>
      </c>
      <c r="AG4562" t="n">
        <v>2173</v>
      </c>
      <c r="AH4562" t="inlineStr">
        <is>
          <t>PT. OGAN SAKTI PRATAMA - PPN (JMB)</t>
        </is>
      </c>
      <c r="AI4562" t="n">
        <v>163</v>
      </c>
      <c r="AJ4562" t="inlineStr">
        <is>
          <t>VIVA</t>
        </is>
      </c>
      <c r="AK4562" t="n">
        <v>9</v>
      </c>
      <c r="AL4562" t="inlineStr">
        <is>
          <t>Miss Glam Jambi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VIVA</t>
        </is>
      </c>
      <c r="B4563" s="2">
        <f>"8992796168618"</f>
        <v/>
      </c>
      <c r="C4563" t="inlineStr">
        <is>
          <t>VIVA Anti Aging Serum 20ml</t>
        </is>
      </c>
      <c r="D4563" t="inlineStr">
        <is>
          <t>Miss Glam Jambi</t>
        </is>
      </c>
      <c r="E4563" t="n">
        <v>9</v>
      </c>
      <c r="F4563" t="n">
        <v>0.1221</v>
      </c>
      <c r="G4563" t="n">
        <v>0.66</v>
      </c>
      <c r="H4563" t="n">
        <v>7</v>
      </c>
      <c r="I4563" t="n">
        <v>19</v>
      </c>
      <c r="J4563" t="n">
        <v>3</v>
      </c>
      <c r="K4563" t="n">
        <v>0</v>
      </c>
      <c r="L4563" t="n">
        <v>16330</v>
      </c>
      <c r="M4563" t="n">
        <v>22000</v>
      </c>
      <c r="N4563" t="n">
        <v>33</v>
      </c>
      <c r="O4563" t="n">
        <v>0.33</v>
      </c>
      <c r="P4563" t="n">
        <v>1</v>
      </c>
      <c r="Q4563" t="n">
        <v>0.29</v>
      </c>
      <c r="R4563" t="n">
        <v>3</v>
      </c>
      <c r="S4563" t="n">
        <v>2686.2</v>
      </c>
      <c r="T4563" t="n">
        <v>12</v>
      </c>
      <c r="U4563" t="n">
        <v>13</v>
      </c>
      <c r="V4563" t="n">
        <v>30</v>
      </c>
      <c r="W4563" t="n">
        <v>4</v>
      </c>
      <c r="X4563" t="n">
        <v>73.71007371007371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11315</v>
      </c>
      <c r="AG4563" t="n">
        <v>2173</v>
      </c>
      <c r="AH4563" t="inlineStr">
        <is>
          <t>PT. OGAN SAKTI PRATAMA - PPN (JMB)</t>
        </is>
      </c>
      <c r="AI4563" t="n">
        <v>163</v>
      </c>
      <c r="AJ4563" t="inlineStr">
        <is>
          <t>VIVA</t>
        </is>
      </c>
      <c r="AK4563" t="n">
        <v>9</v>
      </c>
      <c r="AL4563" t="inlineStr">
        <is>
          <t>Miss Glam Jambi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VIVA</t>
        </is>
      </c>
      <c r="B4564" s="2">
        <f>"8992796168601"</f>
        <v/>
      </c>
      <c r="C4564" t="inlineStr">
        <is>
          <t>VIVA Anti Wringkle Cream 22gr</t>
        </is>
      </c>
      <c r="D4564" t="inlineStr">
        <is>
          <t>Miss Glam Jambi</t>
        </is>
      </c>
      <c r="E4564" t="n">
        <v>5</v>
      </c>
      <c r="F4564" t="n">
        <v>0.22</v>
      </c>
      <c r="G4564" t="n">
        <v>2</v>
      </c>
      <c r="H4564" t="n">
        <v>7</v>
      </c>
      <c r="I4564" t="n">
        <v>19</v>
      </c>
      <c r="J4564" t="n">
        <v>3</v>
      </c>
      <c r="K4564" t="n">
        <v>3</v>
      </c>
      <c r="L4564" t="n">
        <v>10990</v>
      </c>
      <c r="M4564" t="n">
        <v>13000</v>
      </c>
      <c r="N4564" t="n">
        <v>33</v>
      </c>
      <c r="O4564" t="n">
        <v>0.33</v>
      </c>
      <c r="P4564" t="n">
        <v>0</v>
      </c>
      <c r="Q4564" t="n">
        <v>0.22</v>
      </c>
      <c r="R4564" t="n">
        <v>2</v>
      </c>
      <c r="S4564" t="n">
        <v>2860</v>
      </c>
      <c r="T4564" t="n">
        <v>37</v>
      </c>
      <c r="U4564" t="n">
        <v>39</v>
      </c>
      <c r="V4564" t="n">
        <v>30</v>
      </c>
      <c r="W4564" t="n">
        <v>7</v>
      </c>
      <c r="X4564" t="n">
        <v>22.72727272727273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11315</v>
      </c>
      <c r="AG4564" t="n">
        <v>2173</v>
      </c>
      <c r="AH4564" t="inlineStr">
        <is>
          <t>PT. OGAN SAKTI PRATAMA - PPN (JMB)</t>
        </is>
      </c>
      <c r="AI4564" t="n">
        <v>163</v>
      </c>
      <c r="AJ4564" t="inlineStr">
        <is>
          <t>VIVA</t>
        </is>
      </c>
      <c r="AK4564" t="n">
        <v>9</v>
      </c>
      <c r="AL4564" t="inlineStr">
        <is>
          <t>Miss Glam Jambi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VIVA</t>
        </is>
      </c>
      <c r="B4565" s="2">
        <f>"8992796011402"</f>
        <v/>
      </c>
      <c r="C4565" t="inlineStr">
        <is>
          <t>VIVA Astringent Cucumber 100ml</t>
        </is>
      </c>
      <c r="D4565" t="inlineStr">
        <is>
          <t>Miss Glam Jambi</t>
        </is>
      </c>
      <c r="E4565" t="n">
        <v>3</v>
      </c>
      <c r="F4565" t="n">
        <v>0.1848</v>
      </c>
      <c r="G4565" t="n">
        <v>0.99</v>
      </c>
      <c r="H4565" t="n">
        <v>7</v>
      </c>
      <c r="I4565" t="n">
        <v>19</v>
      </c>
      <c r="J4565" t="n">
        <v>3</v>
      </c>
      <c r="K4565" t="n">
        <v>3</v>
      </c>
      <c r="L4565" t="n">
        <v>5765</v>
      </c>
      <c r="M4565" t="n">
        <v>7500</v>
      </c>
      <c r="N4565" t="n">
        <v>33</v>
      </c>
      <c r="O4565" t="n">
        <v>0.33</v>
      </c>
      <c r="P4565" t="n">
        <v>1</v>
      </c>
      <c r="Q4565" t="n">
        <v>0.05</v>
      </c>
      <c r="R4565" t="n">
        <v>1</v>
      </c>
      <c r="S4565" t="n">
        <v>1386</v>
      </c>
      <c r="T4565" t="n">
        <v>18</v>
      </c>
      <c r="U4565" t="n">
        <v>20</v>
      </c>
      <c r="V4565" t="n">
        <v>30</v>
      </c>
      <c r="W4565" t="n">
        <v>6</v>
      </c>
      <c r="X4565" t="n">
        <v>16.23376623376623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11315</v>
      </c>
      <c r="AG4565" t="n">
        <v>2173</v>
      </c>
      <c r="AH4565" t="inlineStr">
        <is>
          <t>PT. OGAN SAKTI PRATAMA - PPN (JMB)</t>
        </is>
      </c>
      <c r="AI4565" t="n">
        <v>163</v>
      </c>
      <c r="AJ4565" t="inlineStr">
        <is>
          <t>VIVA</t>
        </is>
      </c>
      <c r="AK4565" t="n">
        <v>9</v>
      </c>
      <c r="AL4565" t="inlineStr">
        <is>
          <t>Miss Glam Jambi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VIVA</t>
        </is>
      </c>
      <c r="B4566" s="2">
        <f>"8992796011464"</f>
        <v/>
      </c>
      <c r="C4566" t="inlineStr">
        <is>
          <t>VIVA Astringent Cucumber 200ml</t>
        </is>
      </c>
      <c r="D4566" t="inlineStr">
        <is>
          <t>Miss Glam Jambi</t>
        </is>
      </c>
      <c r="E4566" t="n">
        <v>4</v>
      </c>
      <c r="F4566" t="n">
        <v>0.0825</v>
      </c>
      <c r="G4566" t="n">
        <v>0.66</v>
      </c>
      <c r="H4566" t="n">
        <v>7</v>
      </c>
      <c r="I4566" t="n">
        <v>19</v>
      </c>
      <c r="J4566" t="n">
        <v>3</v>
      </c>
      <c r="K4566" t="n">
        <v>0</v>
      </c>
      <c r="L4566" t="n">
        <v>9770</v>
      </c>
      <c r="M4566" t="n">
        <v>12000</v>
      </c>
      <c r="N4566" t="n">
        <v>33</v>
      </c>
      <c r="O4566" t="n">
        <v>0.33</v>
      </c>
      <c r="P4566" t="n">
        <v>1</v>
      </c>
      <c r="Q4566" t="n">
        <v>0.05</v>
      </c>
      <c r="R4566" t="n">
        <v>1</v>
      </c>
      <c r="S4566" t="n">
        <v>990</v>
      </c>
      <c r="T4566" t="n">
        <v>12</v>
      </c>
      <c r="U4566" t="n">
        <v>13</v>
      </c>
      <c r="V4566" t="n">
        <v>30</v>
      </c>
      <c r="W4566" t="n">
        <v>3</v>
      </c>
      <c r="X4566" t="n">
        <v>48.48484848484848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11315</v>
      </c>
      <c r="AG4566" t="n">
        <v>2173</v>
      </c>
      <c r="AH4566" t="inlineStr">
        <is>
          <t>PT. OGAN SAKTI PRATAMA - PPN (JMB)</t>
        </is>
      </c>
      <c r="AI4566" t="n">
        <v>163</v>
      </c>
      <c r="AJ4566" t="inlineStr">
        <is>
          <t>VIVA</t>
        </is>
      </c>
      <c r="AK4566" t="n">
        <v>9</v>
      </c>
      <c r="AL4566" t="inlineStr">
        <is>
          <t>Miss Glam Jambi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VIVA</t>
        </is>
      </c>
      <c r="B4567" s="2">
        <f>"8992796058537"</f>
        <v/>
      </c>
      <c r="C4567" t="inlineStr">
        <is>
          <t>VIVA Blush Fin Touch 03</t>
        </is>
      </c>
      <c r="D4567" t="inlineStr">
        <is>
          <t>Miss Glam Jambi</t>
        </is>
      </c>
      <c r="E4567" t="n">
        <v>0</v>
      </c>
      <c r="F4567" t="n">
        <v>1.7853</v>
      </c>
      <c r="G4567" t="n">
        <v>5.28</v>
      </c>
      <c r="H4567" t="n">
        <v>7</v>
      </c>
      <c r="I4567" t="n">
        <v>19</v>
      </c>
      <c r="J4567" t="n">
        <v>3</v>
      </c>
      <c r="K4567" t="n">
        <v>31</v>
      </c>
      <c r="L4567" t="n">
        <v>5613</v>
      </c>
      <c r="M4567" t="n">
        <v>7500</v>
      </c>
      <c r="N4567" t="n">
        <v>33</v>
      </c>
      <c r="O4567" t="n">
        <v>0.33</v>
      </c>
      <c r="P4567" t="n">
        <v>1</v>
      </c>
      <c r="Q4567" t="n">
        <v>0.64</v>
      </c>
      <c r="R4567" t="n">
        <v>3</v>
      </c>
      <c r="S4567" t="n">
        <v>13389.75</v>
      </c>
      <c r="T4567" t="n">
        <v>88</v>
      </c>
      <c r="U4567" t="n">
        <v>101</v>
      </c>
      <c r="V4567" t="n">
        <v>30</v>
      </c>
      <c r="W4567" t="n">
        <v>54</v>
      </c>
      <c r="X4567" t="n">
        <v>0</v>
      </c>
      <c r="Y4567" t="n">
        <v>1</v>
      </c>
      <c r="Z4567" t="n">
        <v>23</v>
      </c>
      <c r="AA4567" t="n">
        <v>33</v>
      </c>
      <c r="AB4567" t="n">
        <v>0</v>
      </c>
      <c r="AC4567" t="n">
        <v>0</v>
      </c>
      <c r="AD4567" t="n">
        <v>185229</v>
      </c>
      <c r="AE4567" t="n">
        <v>0</v>
      </c>
      <c r="AF4567" t="n">
        <v>11315</v>
      </c>
      <c r="AG4567" t="n">
        <v>2173</v>
      </c>
      <c r="AH4567" t="inlineStr">
        <is>
          <t>PT. OGAN SAKTI PRATAMA - PPN (JMB)</t>
        </is>
      </c>
      <c r="AI4567" t="n">
        <v>163</v>
      </c>
      <c r="AJ4567" t="inlineStr">
        <is>
          <t>VIVA</t>
        </is>
      </c>
      <c r="AK4567" t="n">
        <v>9</v>
      </c>
      <c r="AL4567" t="inlineStr">
        <is>
          <t>Miss Glam Jambi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VIVA</t>
        </is>
      </c>
      <c r="B4568" s="2">
        <f>"8992796058544"</f>
        <v/>
      </c>
      <c r="C4568" t="inlineStr">
        <is>
          <t>VIVA Blush Fin Touch 04</t>
        </is>
      </c>
      <c r="D4568" t="inlineStr">
        <is>
          <t>Miss Glam Jambi</t>
        </is>
      </c>
      <c r="E4568" t="n">
        <v>0</v>
      </c>
      <c r="F4568" t="n">
        <v>2.4783</v>
      </c>
      <c r="G4568" t="n">
        <v>6.600000000000001</v>
      </c>
      <c r="H4568" t="n">
        <v>7</v>
      </c>
      <c r="I4568" t="n">
        <v>19</v>
      </c>
      <c r="J4568" t="n">
        <v>3</v>
      </c>
      <c r="K4568" t="n">
        <v>40</v>
      </c>
      <c r="L4568" t="n">
        <v>5654</v>
      </c>
      <c r="M4568" t="n">
        <v>7500</v>
      </c>
      <c r="N4568" t="n">
        <v>33</v>
      </c>
      <c r="O4568" t="n">
        <v>0.33</v>
      </c>
      <c r="P4568" t="n">
        <v>1</v>
      </c>
      <c r="Q4568" t="n">
        <v>0.53</v>
      </c>
      <c r="R4568" t="n">
        <v>3</v>
      </c>
      <c r="S4568" t="n">
        <v>18587.25</v>
      </c>
      <c r="T4568" t="n">
        <v>109</v>
      </c>
      <c r="U4568" t="n">
        <v>127</v>
      </c>
      <c r="V4568" t="n">
        <v>30</v>
      </c>
      <c r="W4568" t="n">
        <v>75</v>
      </c>
      <c r="X4568" t="n">
        <v>0</v>
      </c>
      <c r="Y4568" t="n">
        <v>1</v>
      </c>
      <c r="Z4568" t="n">
        <v>35</v>
      </c>
      <c r="AA4568" t="n">
        <v>47</v>
      </c>
      <c r="AB4568" t="n">
        <v>0</v>
      </c>
      <c r="AC4568" t="n">
        <v>0</v>
      </c>
      <c r="AD4568" t="n">
        <v>265738</v>
      </c>
      <c r="AE4568" t="n">
        <v>0</v>
      </c>
      <c r="AF4568" t="n">
        <v>11315</v>
      </c>
      <c r="AG4568" t="n">
        <v>2173</v>
      </c>
      <c r="AH4568" t="inlineStr">
        <is>
          <t>PT. OGAN SAKTI PRATAMA - PPN (JMB)</t>
        </is>
      </c>
      <c r="AI4568" t="n">
        <v>163</v>
      </c>
      <c r="AJ4568" t="inlineStr">
        <is>
          <t>VIVA</t>
        </is>
      </c>
      <c r="AK4568" t="n">
        <v>9</v>
      </c>
      <c r="AL4568" t="inlineStr">
        <is>
          <t>Miss Glam Jambi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VIVA</t>
        </is>
      </c>
      <c r="B4569" s="2">
        <f>"8992796058551"</f>
        <v/>
      </c>
      <c r="C4569" t="inlineStr">
        <is>
          <t>VIVA Blush Fin Touch 05</t>
        </is>
      </c>
      <c r="D4569" t="inlineStr">
        <is>
          <t>Miss Glam Jambi</t>
        </is>
      </c>
      <c r="E4569" t="n">
        <v>10</v>
      </c>
      <c r="F4569" t="n">
        <v>0.2673</v>
      </c>
      <c r="G4569" t="n">
        <v>1.32</v>
      </c>
      <c r="H4569" t="n">
        <v>7</v>
      </c>
      <c r="I4569" t="n">
        <v>19</v>
      </c>
      <c r="J4569" t="n">
        <v>3</v>
      </c>
      <c r="K4569" t="n">
        <v>0</v>
      </c>
      <c r="L4569" t="n">
        <v>5510</v>
      </c>
      <c r="M4569" t="n">
        <v>7500</v>
      </c>
      <c r="N4569" t="n">
        <v>33</v>
      </c>
      <c r="O4569" t="n">
        <v>0.33</v>
      </c>
      <c r="P4569" t="n">
        <v>1</v>
      </c>
      <c r="Q4569" t="n">
        <v>0.34</v>
      </c>
      <c r="R4569" t="n">
        <v>2</v>
      </c>
      <c r="S4569" t="n">
        <v>2004.75</v>
      </c>
      <c r="T4569" t="n">
        <v>24</v>
      </c>
      <c r="U4569" t="n">
        <v>26</v>
      </c>
      <c r="V4569" t="n">
        <v>30</v>
      </c>
      <c r="W4569" t="n">
        <v>9</v>
      </c>
      <c r="X4569" t="n">
        <v>37.41114852225963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11315</v>
      </c>
      <c r="AG4569" t="n">
        <v>2173</v>
      </c>
      <c r="AH4569" t="inlineStr">
        <is>
          <t>PT. OGAN SAKTI PRATAMA - PPN (JMB)</t>
        </is>
      </c>
      <c r="AI4569" t="n">
        <v>163</v>
      </c>
      <c r="AJ4569" t="inlineStr">
        <is>
          <t>VIVA</t>
        </is>
      </c>
      <c r="AK4569" t="n">
        <v>9</v>
      </c>
      <c r="AL4569" t="inlineStr">
        <is>
          <t>Miss Glam Jambi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VIVA</t>
        </is>
      </c>
      <c r="B4570" s="2">
        <f>"8992796211222"</f>
        <v/>
      </c>
      <c r="C4570" t="inlineStr">
        <is>
          <t>VIVA Clean Mask Refreshner For Oily  Acne Skin 50g</t>
        </is>
      </c>
      <c r="D4570" t="inlineStr">
        <is>
          <t>Miss Glam Jambi</t>
        </is>
      </c>
      <c r="E4570" t="n">
        <v>15</v>
      </c>
      <c r="F4570" t="n">
        <v>0.1056</v>
      </c>
      <c r="G4570" t="n">
        <v>0.66</v>
      </c>
      <c r="H4570" t="n">
        <v>7</v>
      </c>
      <c r="I4570" t="n">
        <v>19</v>
      </c>
      <c r="J4570" t="n">
        <v>3</v>
      </c>
      <c r="K4570" t="n">
        <v>0</v>
      </c>
      <c r="L4570" t="n">
        <v>13185</v>
      </c>
      <c r="M4570" t="n">
        <v>15500</v>
      </c>
      <c r="N4570" t="n">
        <v>33</v>
      </c>
      <c r="O4570" t="n">
        <v>0.33</v>
      </c>
      <c r="P4570" t="n">
        <v>1</v>
      </c>
      <c r="Q4570" t="n">
        <v>0.1</v>
      </c>
      <c r="R4570" t="n">
        <v>2</v>
      </c>
      <c r="S4570" t="n">
        <v>1636.8</v>
      </c>
      <c r="T4570" t="n">
        <v>12</v>
      </c>
      <c r="U4570" t="n">
        <v>13</v>
      </c>
      <c r="V4570" t="n">
        <v>30</v>
      </c>
      <c r="W4570" t="n">
        <v>4</v>
      </c>
      <c r="X4570" t="n">
        <v>142.0454545454545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11315</v>
      </c>
      <c r="AG4570" t="n">
        <v>2173</v>
      </c>
      <c r="AH4570" t="inlineStr">
        <is>
          <t>PT. OGAN SAKTI PRATAMA - PPN (JMB)</t>
        </is>
      </c>
      <c r="AI4570" t="n">
        <v>163</v>
      </c>
      <c r="AJ4570" t="inlineStr">
        <is>
          <t>VIVA</t>
        </is>
      </c>
      <c r="AK4570" t="n">
        <v>9</v>
      </c>
      <c r="AL4570" t="inlineStr">
        <is>
          <t>Miss Glam Jambi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VIVA</t>
        </is>
      </c>
      <c r="B4571" s="2">
        <f>"8992796034494"</f>
        <v/>
      </c>
      <c r="C4571" t="inlineStr">
        <is>
          <t>VIVA Compact Powder Lilac Kuning Langsat 19gr</t>
        </is>
      </c>
      <c r="D4571" t="inlineStr">
        <is>
          <t>Miss Glam Jambi</t>
        </is>
      </c>
      <c r="E4571" t="n">
        <v>1</v>
      </c>
      <c r="F4571" t="n">
        <v>0.2013</v>
      </c>
      <c r="G4571" t="n">
        <v>1.32</v>
      </c>
      <c r="H4571" t="n">
        <v>7</v>
      </c>
      <c r="I4571" t="n">
        <v>19</v>
      </c>
      <c r="J4571" t="n">
        <v>3</v>
      </c>
      <c r="K4571" t="n">
        <v>9</v>
      </c>
      <c r="L4571" t="n">
        <v>12776</v>
      </c>
      <c r="M4571" t="n">
        <v>16000</v>
      </c>
      <c r="N4571" t="n">
        <v>33</v>
      </c>
      <c r="O4571" t="n">
        <v>0.33</v>
      </c>
      <c r="P4571" t="n">
        <v>1</v>
      </c>
      <c r="Q4571" t="n">
        <v>0.08</v>
      </c>
      <c r="R4571" t="n">
        <v>1</v>
      </c>
      <c r="S4571" t="n">
        <v>3220.8</v>
      </c>
      <c r="T4571" t="n">
        <v>24</v>
      </c>
      <c r="U4571" t="n">
        <v>26</v>
      </c>
      <c r="V4571" t="n">
        <v>30</v>
      </c>
      <c r="W4571" t="n">
        <v>7</v>
      </c>
      <c r="X4571" t="n">
        <v>4.967709885742672</v>
      </c>
      <c r="Y4571" t="n">
        <v>1</v>
      </c>
      <c r="Z4571" t="n">
        <v>0</v>
      </c>
      <c r="AA4571" t="n">
        <v>2</v>
      </c>
      <c r="AB4571" t="n">
        <v>0</v>
      </c>
      <c r="AC4571" t="n">
        <v>0</v>
      </c>
      <c r="AD4571" t="n">
        <v>25552</v>
      </c>
      <c r="AE4571" t="n">
        <v>0</v>
      </c>
      <c r="AF4571" t="n">
        <v>11315</v>
      </c>
      <c r="AG4571" t="n">
        <v>2173</v>
      </c>
      <c r="AH4571" t="inlineStr">
        <is>
          <t>PT. OGAN SAKTI PRATAMA - PPN (JMB)</t>
        </is>
      </c>
      <c r="AI4571" t="n">
        <v>163</v>
      </c>
      <c r="AJ4571" t="inlineStr">
        <is>
          <t>VIVA</t>
        </is>
      </c>
      <c r="AK4571" t="n">
        <v>9</v>
      </c>
      <c r="AL4571" t="inlineStr">
        <is>
          <t>Miss Glam Jambi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VIVA</t>
        </is>
      </c>
      <c r="B4572" s="2">
        <f>"8992796157308"</f>
        <v/>
      </c>
      <c r="C4572" t="inlineStr">
        <is>
          <t>VIVA Eye Brow Pencil Black Tata Alis</t>
        </is>
      </c>
      <c r="D4572" t="inlineStr">
        <is>
          <t>Miss Glam Jambi</t>
        </is>
      </c>
      <c r="E4572" t="n">
        <v>15</v>
      </c>
      <c r="F4572" t="n">
        <v>0.3036</v>
      </c>
      <c r="G4572" t="n">
        <v>1.32</v>
      </c>
      <c r="H4572" t="n">
        <v>7</v>
      </c>
      <c r="I4572" t="n">
        <v>19</v>
      </c>
      <c r="J4572" t="n">
        <v>3</v>
      </c>
      <c r="K4572" t="n">
        <v>0</v>
      </c>
      <c r="L4572" t="n">
        <v>31097</v>
      </c>
      <c r="M4572" t="n">
        <v>40500</v>
      </c>
      <c r="N4572" t="n">
        <v>33</v>
      </c>
      <c r="O4572" t="n">
        <v>0.33</v>
      </c>
      <c r="P4572" t="n">
        <v>1</v>
      </c>
      <c r="Q4572" t="n">
        <v>0.41</v>
      </c>
      <c r="R4572" t="n">
        <v>2</v>
      </c>
      <c r="S4572" t="n">
        <v>12295.8</v>
      </c>
      <c r="T4572" t="n">
        <v>23</v>
      </c>
      <c r="U4572" t="n">
        <v>26</v>
      </c>
      <c r="V4572" t="n">
        <v>30</v>
      </c>
      <c r="W4572" t="n">
        <v>10</v>
      </c>
      <c r="X4572" t="n">
        <v>49.40711462450592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11315</v>
      </c>
      <c r="AG4572" t="n">
        <v>2173</v>
      </c>
      <c r="AH4572" t="inlineStr">
        <is>
          <t>PT. OGAN SAKTI PRATAMA - PPN (JMB)</t>
        </is>
      </c>
      <c r="AI4572" t="n">
        <v>163</v>
      </c>
      <c r="AJ4572" t="inlineStr">
        <is>
          <t>VIVA</t>
        </is>
      </c>
      <c r="AK4572" t="n">
        <v>9</v>
      </c>
      <c r="AL4572" t="inlineStr">
        <is>
          <t>Miss Glam Jambi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VIVA</t>
        </is>
      </c>
      <c r="B4573" s="2">
        <f>"8992796168809"</f>
        <v/>
      </c>
      <c r="C4573" t="inlineStr">
        <is>
          <t>VIVA Eye Cream 15gr</t>
        </is>
      </c>
      <c r="D4573" t="inlineStr">
        <is>
          <t>Miss Glam Jambi</t>
        </is>
      </c>
      <c r="E4573" t="n">
        <v>7</v>
      </c>
      <c r="F4573" t="n">
        <v>0.06270000000000001</v>
      </c>
      <c r="G4573" t="n">
        <v>0.66</v>
      </c>
      <c r="H4573" t="n">
        <v>7</v>
      </c>
      <c r="I4573" t="n">
        <v>19</v>
      </c>
      <c r="J4573" t="n">
        <v>3</v>
      </c>
      <c r="K4573" t="n">
        <v>0</v>
      </c>
      <c r="L4573" t="n">
        <v>31387</v>
      </c>
      <c r="M4573" t="n">
        <v>40500</v>
      </c>
      <c r="N4573" t="n">
        <v>33</v>
      </c>
      <c r="O4573" t="n">
        <v>0.33</v>
      </c>
      <c r="P4573" t="n">
        <v>1</v>
      </c>
      <c r="Q4573" t="n">
        <v>0.08</v>
      </c>
      <c r="R4573" t="n">
        <v>1</v>
      </c>
      <c r="S4573" t="n">
        <v>2539.35</v>
      </c>
      <c r="T4573" t="n">
        <v>13</v>
      </c>
      <c r="U4573" t="n">
        <v>14</v>
      </c>
      <c r="V4573" t="n">
        <v>30</v>
      </c>
      <c r="W4573" t="n">
        <v>2</v>
      </c>
      <c r="X4573" t="n">
        <v>111.6427432216906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11315</v>
      </c>
      <c r="AG4573" t="n">
        <v>2173</v>
      </c>
      <c r="AH4573" t="inlineStr">
        <is>
          <t>PT. OGAN SAKTI PRATAMA - PPN (JMB)</t>
        </is>
      </c>
      <c r="AI4573" t="n">
        <v>163</v>
      </c>
      <c r="AJ4573" t="inlineStr">
        <is>
          <t>VIVA</t>
        </is>
      </c>
      <c r="AK4573" t="n">
        <v>9</v>
      </c>
      <c r="AL4573" t="inlineStr">
        <is>
          <t>Miss Glam Jambi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VIVA</t>
        </is>
      </c>
      <c r="B4574" s="2">
        <f>"8992796157315"</f>
        <v/>
      </c>
      <c r="C4574" t="inlineStr">
        <is>
          <t>VIVA Eyebrow Brown</t>
        </is>
      </c>
      <c r="D4574" t="inlineStr">
        <is>
          <t>Miss Glam Jambi</t>
        </is>
      </c>
      <c r="E4574" t="n">
        <v>1</v>
      </c>
      <c r="F4574" t="n">
        <v>1.0164</v>
      </c>
      <c r="G4574" t="n">
        <v>2.64</v>
      </c>
      <c r="H4574" t="n">
        <v>7</v>
      </c>
      <c r="I4574" t="n">
        <v>19</v>
      </c>
      <c r="J4574" t="n">
        <v>3</v>
      </c>
      <c r="K4574" t="n">
        <v>35</v>
      </c>
      <c r="L4574" t="n">
        <v>32171</v>
      </c>
      <c r="M4574" t="n">
        <v>40500</v>
      </c>
      <c r="N4574" t="n">
        <v>33</v>
      </c>
      <c r="O4574" t="n">
        <v>0.33</v>
      </c>
      <c r="P4574" t="n">
        <v>1</v>
      </c>
      <c r="Q4574" t="n">
        <v>0.39</v>
      </c>
      <c r="R4574" t="n">
        <v>3</v>
      </c>
      <c r="S4574" t="n">
        <v>41164.2</v>
      </c>
      <c r="T4574" t="n">
        <v>44</v>
      </c>
      <c r="U4574" t="n">
        <v>52</v>
      </c>
      <c r="V4574" t="n">
        <v>30</v>
      </c>
      <c r="W4574" t="n">
        <v>31</v>
      </c>
      <c r="X4574" t="n">
        <v>0.9838646202282566</v>
      </c>
      <c r="Y4574" t="n">
        <v>1</v>
      </c>
      <c r="Z4574" t="n">
        <v>0</v>
      </c>
      <c r="AA4574" t="n">
        <v>18</v>
      </c>
      <c r="AB4574" t="n">
        <v>0</v>
      </c>
      <c r="AC4574" t="n">
        <v>0</v>
      </c>
      <c r="AD4574" t="n">
        <v>579078</v>
      </c>
      <c r="AE4574" t="n">
        <v>0</v>
      </c>
      <c r="AF4574" t="n">
        <v>11315</v>
      </c>
      <c r="AG4574" t="n">
        <v>2173</v>
      </c>
      <c r="AH4574" t="inlineStr">
        <is>
          <t>PT. OGAN SAKTI PRATAMA - PPN (JMB)</t>
        </is>
      </c>
      <c r="AI4574" t="n">
        <v>163</v>
      </c>
      <c r="AJ4574" t="inlineStr">
        <is>
          <t>VIVA</t>
        </is>
      </c>
      <c r="AK4574" t="n">
        <v>9</v>
      </c>
      <c r="AL4574" t="inlineStr">
        <is>
          <t>Miss Glam Jambi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VIVA</t>
        </is>
      </c>
      <c r="B4575" s="2">
        <f>"8992796157322"</f>
        <v/>
      </c>
      <c r="C4575" t="inlineStr">
        <is>
          <t>VIVA Eyebrow Dark Brown</t>
        </is>
      </c>
      <c r="D4575" t="inlineStr">
        <is>
          <t>Miss Glam Jambi</t>
        </is>
      </c>
      <c r="E4575" t="n">
        <v>0</v>
      </c>
      <c r="F4575" t="n">
        <v>0.009900000000000001</v>
      </c>
      <c r="G4575" t="n">
        <v>0.33</v>
      </c>
      <c r="H4575" t="n">
        <v>7</v>
      </c>
      <c r="I4575" t="n">
        <v>19</v>
      </c>
      <c r="J4575" t="n">
        <v>3</v>
      </c>
      <c r="K4575" t="n">
        <v>0</v>
      </c>
      <c r="L4575" t="n">
        <v>32172</v>
      </c>
      <c r="M4575" t="n">
        <v>40500</v>
      </c>
      <c r="N4575" t="n">
        <v>33</v>
      </c>
      <c r="O4575" t="n">
        <v>0.33</v>
      </c>
      <c r="P4575" t="n">
        <v>1</v>
      </c>
      <c r="Q4575" t="n">
        <v>0.42</v>
      </c>
      <c r="R4575" t="n">
        <v>4</v>
      </c>
      <c r="S4575" t="n">
        <v>400.95</v>
      </c>
      <c r="T4575" t="n">
        <v>7</v>
      </c>
      <c r="U4575" t="n">
        <v>8</v>
      </c>
      <c r="V4575" t="n">
        <v>30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n">
        <v>0</v>
      </c>
      <c r="AC4575" t="n">
        <v>0</v>
      </c>
      <c r="AD4575" t="n">
        <v>32172</v>
      </c>
      <c r="AE4575" t="n">
        <v>0</v>
      </c>
      <c r="AF4575" t="n">
        <v>11315</v>
      </c>
      <c r="AG4575" t="n">
        <v>2173</v>
      </c>
      <c r="AH4575" t="inlineStr">
        <is>
          <t>PT. OGAN SAKTI PRATAMA - PPN (JMB)</t>
        </is>
      </c>
      <c r="AI4575" t="n">
        <v>163</v>
      </c>
      <c r="AJ4575" t="inlineStr">
        <is>
          <t>VIVA</t>
        </is>
      </c>
      <c r="AK4575" t="n">
        <v>9</v>
      </c>
      <c r="AL4575" t="inlineStr">
        <is>
          <t>Miss Glam Jambi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VIVA</t>
        </is>
      </c>
      <c r="B4576" s="2">
        <f>"8992796011303"</f>
        <v/>
      </c>
      <c r="C4576" t="inlineStr">
        <is>
          <t>VIVA Face Tonic 100ml</t>
        </is>
      </c>
      <c r="D4576" t="inlineStr">
        <is>
          <t>Miss Glam Jambi</t>
        </is>
      </c>
      <c r="E4576" t="n">
        <v>11</v>
      </c>
      <c r="F4576" t="n">
        <v>0.33</v>
      </c>
      <c r="G4576" t="n">
        <v>1.32</v>
      </c>
      <c r="H4576" t="n">
        <v>7</v>
      </c>
      <c r="I4576" t="n">
        <v>19</v>
      </c>
      <c r="J4576" t="n">
        <v>12</v>
      </c>
      <c r="K4576" t="n">
        <v>0</v>
      </c>
      <c r="L4576" t="n">
        <v>5769</v>
      </c>
      <c r="M4576" t="n">
        <v>7000</v>
      </c>
      <c r="N4576" t="n">
        <v>33</v>
      </c>
      <c r="O4576" t="n">
        <v>0.33</v>
      </c>
      <c r="P4576" t="n">
        <v>1</v>
      </c>
      <c r="Q4576" t="n">
        <v>0.2</v>
      </c>
      <c r="R4576" t="n">
        <v>3</v>
      </c>
      <c r="S4576" t="n">
        <v>2310</v>
      </c>
      <c r="T4576" t="n">
        <v>23</v>
      </c>
      <c r="U4576" t="n">
        <v>26</v>
      </c>
      <c r="V4576" t="n">
        <v>30</v>
      </c>
      <c r="W4576" t="n">
        <v>10</v>
      </c>
      <c r="X4576" t="n">
        <v>33.33333333333333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11315</v>
      </c>
      <c r="AG4576" t="n">
        <v>2173</v>
      </c>
      <c r="AH4576" t="inlineStr">
        <is>
          <t>PT. OGAN SAKTI PRATAMA - PPN (JMB)</t>
        </is>
      </c>
      <c r="AI4576" t="n">
        <v>163</v>
      </c>
      <c r="AJ4576" t="inlineStr">
        <is>
          <t>VIVA</t>
        </is>
      </c>
      <c r="AK4576" t="n">
        <v>9</v>
      </c>
      <c r="AL4576" t="inlineStr">
        <is>
          <t>Miss Glam Jambi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VIVA</t>
        </is>
      </c>
      <c r="B4577" s="2">
        <f>"8992796011433"</f>
        <v/>
      </c>
      <c r="C4577" t="inlineStr">
        <is>
          <t>VIVA Face Tonic 200ml</t>
        </is>
      </c>
      <c r="D4577" t="inlineStr">
        <is>
          <t>Miss Glam Jambi</t>
        </is>
      </c>
      <c r="E4577" t="n">
        <v>15</v>
      </c>
      <c r="F4577" t="n">
        <v>0.4851</v>
      </c>
      <c r="G4577" t="n">
        <v>1.65</v>
      </c>
      <c r="H4577" t="n">
        <v>7</v>
      </c>
      <c r="I4577" t="n">
        <v>19</v>
      </c>
      <c r="J4577" t="n">
        <v>12</v>
      </c>
      <c r="K4577" t="n">
        <v>0</v>
      </c>
      <c r="L4577" t="n">
        <v>9718</v>
      </c>
      <c r="M4577" t="n">
        <v>12500</v>
      </c>
      <c r="N4577" t="n">
        <v>33</v>
      </c>
      <c r="O4577" t="n">
        <v>0.33</v>
      </c>
      <c r="P4577" t="n">
        <v>1</v>
      </c>
      <c r="Q4577" t="n">
        <v>0.41</v>
      </c>
      <c r="R4577" t="n">
        <v>3</v>
      </c>
      <c r="S4577" t="n">
        <v>6063.75</v>
      </c>
      <c r="T4577" t="n">
        <v>28</v>
      </c>
      <c r="U4577" t="n">
        <v>32</v>
      </c>
      <c r="V4577" t="n">
        <v>30</v>
      </c>
      <c r="W4577" t="n">
        <v>15</v>
      </c>
      <c r="X4577" t="n">
        <v>30.92145949288806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11315</v>
      </c>
      <c r="AG4577" t="n">
        <v>2173</v>
      </c>
      <c r="AH4577" t="inlineStr">
        <is>
          <t>PT. OGAN SAKTI PRATAMA - PPN (JMB)</t>
        </is>
      </c>
      <c r="AI4577" t="n">
        <v>163</v>
      </c>
      <c r="AJ4577" t="inlineStr">
        <is>
          <t>VIVA</t>
        </is>
      </c>
      <c r="AK4577" t="n">
        <v>9</v>
      </c>
      <c r="AL4577" t="inlineStr">
        <is>
          <t>Miss Glam Jambi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VIVA</t>
        </is>
      </c>
      <c r="B4578" s="2">
        <f>"8992796011341"</f>
        <v/>
      </c>
      <c r="C4578" t="inlineStr">
        <is>
          <t>VIVA Face Tonic Bengkoang 100ml</t>
        </is>
      </c>
      <c r="D4578" t="inlineStr">
        <is>
          <t>Miss Glam Jambi</t>
        </is>
      </c>
      <c r="E4578" t="n">
        <v>28</v>
      </c>
      <c r="F4578" t="n">
        <v>1.2936</v>
      </c>
      <c r="G4578" t="n">
        <v>3.63</v>
      </c>
      <c r="H4578" t="n">
        <v>7</v>
      </c>
      <c r="I4578" t="n">
        <v>19</v>
      </c>
      <c r="J4578" t="n">
        <v>12</v>
      </c>
      <c r="K4578" t="n">
        <v>12</v>
      </c>
      <c r="L4578" t="n">
        <v>6279</v>
      </c>
      <c r="M4578" t="n">
        <v>8000</v>
      </c>
      <c r="N4578" t="n">
        <v>33</v>
      </c>
      <c r="O4578" t="n">
        <v>0.33</v>
      </c>
      <c r="P4578" t="n">
        <v>1</v>
      </c>
      <c r="Q4578" t="n">
        <v>0.71</v>
      </c>
      <c r="R4578" t="n">
        <v>4</v>
      </c>
      <c r="S4578" t="n">
        <v>10348.8</v>
      </c>
      <c r="T4578" t="n">
        <v>60</v>
      </c>
      <c r="U4578" t="n">
        <v>70</v>
      </c>
      <c r="V4578" t="n">
        <v>30</v>
      </c>
      <c r="W4578" t="n">
        <v>39</v>
      </c>
      <c r="X4578" t="n">
        <v>21.64502164502164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11315</v>
      </c>
      <c r="AG4578" t="n">
        <v>2173</v>
      </c>
      <c r="AH4578" t="inlineStr">
        <is>
          <t>PT. OGAN SAKTI PRATAMA - PPN (JMB)</t>
        </is>
      </c>
      <c r="AI4578" t="n">
        <v>163</v>
      </c>
      <c r="AJ4578" t="inlineStr">
        <is>
          <t>VIVA</t>
        </is>
      </c>
      <c r="AK4578" t="n">
        <v>9</v>
      </c>
      <c r="AL4578" t="inlineStr">
        <is>
          <t>Miss Glam Jambi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VIVA</t>
        </is>
      </c>
      <c r="B4579" s="2">
        <f>"8992796011440"</f>
        <v/>
      </c>
      <c r="C4579" t="inlineStr">
        <is>
          <t>VIVA Face Tonic Bengkuang 200ml</t>
        </is>
      </c>
      <c r="D4579" t="inlineStr">
        <is>
          <t>Miss Glam Jambi</t>
        </is>
      </c>
      <c r="E4579" t="n">
        <v>25</v>
      </c>
      <c r="F4579" t="n">
        <v>1.1583</v>
      </c>
      <c r="G4579" t="n">
        <v>2.64</v>
      </c>
      <c r="H4579" t="n">
        <v>7</v>
      </c>
      <c r="I4579" t="n">
        <v>19</v>
      </c>
      <c r="J4579" t="n">
        <v>12</v>
      </c>
      <c r="K4579" t="n">
        <v>12</v>
      </c>
      <c r="L4579" t="n">
        <v>10565</v>
      </c>
      <c r="M4579" t="n">
        <v>13500</v>
      </c>
      <c r="N4579" t="n">
        <v>33</v>
      </c>
      <c r="O4579" t="n">
        <v>0.33</v>
      </c>
      <c r="P4579" t="n">
        <v>1</v>
      </c>
      <c r="Q4579" t="n">
        <v>0.73</v>
      </c>
      <c r="R4579" t="n">
        <v>4</v>
      </c>
      <c r="S4579" t="n">
        <v>15637.05</v>
      </c>
      <c r="T4579" t="n">
        <v>43</v>
      </c>
      <c r="U4579" t="n">
        <v>52</v>
      </c>
      <c r="V4579" t="n">
        <v>30</v>
      </c>
      <c r="W4579" t="n">
        <v>35</v>
      </c>
      <c r="X4579" t="n">
        <v>21.58335491668825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11315</v>
      </c>
      <c r="AG4579" t="n">
        <v>2173</v>
      </c>
      <c r="AH4579" t="inlineStr">
        <is>
          <t>PT. OGAN SAKTI PRATAMA - PPN (JMB)</t>
        </is>
      </c>
      <c r="AI4579" t="n">
        <v>163</v>
      </c>
      <c r="AJ4579" t="inlineStr">
        <is>
          <t>VIVA</t>
        </is>
      </c>
      <c r="AK4579" t="n">
        <v>9</v>
      </c>
      <c r="AL4579" t="inlineStr">
        <is>
          <t>Miss Glam Jambi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VIVA</t>
        </is>
      </c>
      <c r="B4580" s="2">
        <f>"8992796011358"</f>
        <v/>
      </c>
      <c r="C4580" t="inlineStr">
        <is>
          <t>VIVA Face Tonic Green Tea 100ml</t>
        </is>
      </c>
      <c r="D4580" t="inlineStr">
        <is>
          <t>Miss Glam Jambi</t>
        </is>
      </c>
      <c r="E4580" t="n">
        <v>9</v>
      </c>
      <c r="F4580" t="n">
        <v>0.9504</v>
      </c>
      <c r="G4580" t="n">
        <v>3.63</v>
      </c>
      <c r="H4580" t="n">
        <v>7</v>
      </c>
      <c r="I4580" t="n">
        <v>19</v>
      </c>
      <c r="J4580" t="n">
        <v>12</v>
      </c>
      <c r="K4580" t="n">
        <v>24</v>
      </c>
      <c r="L4580" t="n">
        <v>6588</v>
      </c>
      <c r="M4580" t="n">
        <v>8000</v>
      </c>
      <c r="N4580" t="n">
        <v>33</v>
      </c>
      <c r="O4580" t="n">
        <v>0.33</v>
      </c>
      <c r="P4580" t="n">
        <v>1</v>
      </c>
      <c r="Q4580" t="n">
        <v>0.5600000000000001</v>
      </c>
      <c r="R4580" t="n">
        <v>2</v>
      </c>
      <c r="S4580" t="n">
        <v>7603.2</v>
      </c>
      <c r="T4580" t="n">
        <v>63</v>
      </c>
      <c r="U4580" t="n">
        <v>70</v>
      </c>
      <c r="V4580" t="n">
        <v>30</v>
      </c>
      <c r="W4580" t="n">
        <v>29</v>
      </c>
      <c r="X4580" t="n">
        <v>9.469696969696969</v>
      </c>
      <c r="Y4580" t="n">
        <v>1</v>
      </c>
      <c r="Z4580" t="n">
        <v>0</v>
      </c>
      <c r="AA4580" t="n">
        <v>9</v>
      </c>
      <c r="AB4580" t="n">
        <v>0</v>
      </c>
      <c r="AC4580" t="n">
        <v>0</v>
      </c>
      <c r="AD4580" t="n">
        <v>59292</v>
      </c>
      <c r="AE4580" t="n">
        <v>0</v>
      </c>
      <c r="AF4580" t="n">
        <v>11315</v>
      </c>
      <c r="AG4580" t="n">
        <v>2173</v>
      </c>
      <c r="AH4580" t="inlineStr">
        <is>
          <t>PT. OGAN SAKTI PRATAMA - PPN (JMB)</t>
        </is>
      </c>
      <c r="AI4580" t="n">
        <v>163</v>
      </c>
      <c r="AJ4580" t="inlineStr">
        <is>
          <t>VIVA</t>
        </is>
      </c>
      <c r="AK4580" t="n">
        <v>9</v>
      </c>
      <c r="AL4580" t="inlineStr">
        <is>
          <t>Miss Glam Jambi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VIVA</t>
        </is>
      </c>
      <c r="B4581" s="2">
        <f>"8992796011310"</f>
        <v/>
      </c>
      <c r="C4581" t="inlineStr">
        <is>
          <t>VIVA Face Tonic Lemon 100ml</t>
        </is>
      </c>
      <c r="D4581" t="inlineStr">
        <is>
          <t>Miss Glam Jambi</t>
        </is>
      </c>
      <c r="E4581" t="n">
        <v>11</v>
      </c>
      <c r="F4581" t="n">
        <v>0.4356</v>
      </c>
      <c r="G4581" t="n">
        <v>1.32</v>
      </c>
      <c r="H4581" t="n">
        <v>7</v>
      </c>
      <c r="I4581" t="n">
        <v>19</v>
      </c>
      <c r="J4581" t="n">
        <v>12</v>
      </c>
      <c r="K4581" t="n">
        <v>12</v>
      </c>
      <c r="L4581" t="n">
        <v>5767</v>
      </c>
      <c r="M4581" t="n">
        <v>7000</v>
      </c>
      <c r="N4581" t="n">
        <v>33</v>
      </c>
      <c r="O4581" t="n">
        <v>0.33</v>
      </c>
      <c r="P4581" t="n">
        <v>1</v>
      </c>
      <c r="Q4581" t="n">
        <v>0.29</v>
      </c>
      <c r="R4581" t="n">
        <v>3</v>
      </c>
      <c r="S4581" t="n">
        <v>3049.2</v>
      </c>
      <c r="T4581" t="n">
        <v>23</v>
      </c>
      <c r="U4581" t="n">
        <v>27</v>
      </c>
      <c r="V4581" t="n">
        <v>30</v>
      </c>
      <c r="W4581" t="n">
        <v>14</v>
      </c>
      <c r="X4581" t="n">
        <v>25.25252525252525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11315</v>
      </c>
      <c r="AG4581" t="n">
        <v>2173</v>
      </c>
      <c r="AH4581" t="inlineStr">
        <is>
          <t>PT. OGAN SAKTI PRATAMA - PPN (JMB)</t>
        </is>
      </c>
      <c r="AI4581" t="n">
        <v>163</v>
      </c>
      <c r="AJ4581" t="inlineStr">
        <is>
          <t>VIVA</t>
        </is>
      </c>
      <c r="AK4581" t="n">
        <v>9</v>
      </c>
      <c r="AL4581" t="inlineStr">
        <is>
          <t>Miss Glam Jambi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VIVA</t>
        </is>
      </c>
      <c r="B4582" s="2">
        <f>"8992796011457"</f>
        <v/>
      </c>
      <c r="C4582" t="inlineStr">
        <is>
          <t>VIVA Face Tonic Lemon 200ml</t>
        </is>
      </c>
      <c r="D4582" t="inlineStr">
        <is>
          <t>Miss Glam Jambi</t>
        </is>
      </c>
      <c r="E4582" t="n">
        <v>28</v>
      </c>
      <c r="F4582" t="n">
        <v>0.3696</v>
      </c>
      <c r="G4582" t="n">
        <v>1.32</v>
      </c>
      <c r="H4582" t="n">
        <v>7</v>
      </c>
      <c r="I4582" t="n">
        <v>19</v>
      </c>
      <c r="J4582" t="n">
        <v>12</v>
      </c>
      <c r="K4582" t="n">
        <v>0</v>
      </c>
      <c r="L4582" t="n">
        <v>9366</v>
      </c>
      <c r="M4582" t="n">
        <v>11500</v>
      </c>
      <c r="N4582" t="n">
        <v>33</v>
      </c>
      <c r="O4582" t="n">
        <v>0.33</v>
      </c>
      <c r="P4582" t="n">
        <v>1</v>
      </c>
      <c r="Q4582" t="n">
        <v>0.29</v>
      </c>
      <c r="R4582" t="n">
        <v>2</v>
      </c>
      <c r="S4582" t="n">
        <v>4250.400000000001</v>
      </c>
      <c r="T4582" t="n">
        <v>23</v>
      </c>
      <c r="U4582" t="n">
        <v>26</v>
      </c>
      <c r="V4582" t="n">
        <v>30</v>
      </c>
      <c r="W4582" t="n">
        <v>12</v>
      </c>
      <c r="X4582" t="n">
        <v>75.75757575757575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11315</v>
      </c>
      <c r="AG4582" t="n">
        <v>2173</v>
      </c>
      <c r="AH4582" t="inlineStr">
        <is>
          <t>PT. OGAN SAKTI PRATAMA - PPN (JMB)</t>
        </is>
      </c>
      <c r="AI4582" t="n">
        <v>163</v>
      </c>
      <c r="AJ4582" t="inlineStr">
        <is>
          <t>VIVA</t>
        </is>
      </c>
      <c r="AK4582" t="n">
        <v>9</v>
      </c>
      <c r="AL4582" t="inlineStr">
        <is>
          <t>Miss Glam Jambi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VIVA</t>
        </is>
      </c>
      <c r="B4583" s="2">
        <f>"8992796011365"</f>
        <v/>
      </c>
      <c r="C4583" t="inlineStr">
        <is>
          <t>VIVA Face Tonic Spirulina 100ml</t>
        </is>
      </c>
      <c r="D4583" t="inlineStr">
        <is>
          <t>Miss Glam Jambi</t>
        </is>
      </c>
      <c r="E4583" t="n">
        <v>2</v>
      </c>
      <c r="F4583" t="n">
        <v>0.4488</v>
      </c>
      <c r="G4583" t="n">
        <v>1.65</v>
      </c>
      <c r="H4583" t="n">
        <v>7</v>
      </c>
      <c r="I4583" t="n">
        <v>19</v>
      </c>
      <c r="J4583" t="n">
        <v>12</v>
      </c>
      <c r="K4583" t="n">
        <v>24</v>
      </c>
      <c r="L4583" t="n">
        <v>6603</v>
      </c>
      <c r="M4583" t="n">
        <v>8000</v>
      </c>
      <c r="N4583" t="n">
        <v>33</v>
      </c>
      <c r="O4583" t="n">
        <v>0.33</v>
      </c>
      <c r="P4583" t="n">
        <v>1</v>
      </c>
      <c r="Q4583" t="n">
        <v>0.1</v>
      </c>
      <c r="R4583" t="n">
        <v>2</v>
      </c>
      <c r="S4583" t="n">
        <v>3590.4</v>
      </c>
      <c r="T4583" t="n">
        <v>29</v>
      </c>
      <c r="U4583" t="n">
        <v>33</v>
      </c>
      <c r="V4583" t="n">
        <v>30</v>
      </c>
      <c r="W4583" t="n">
        <v>14</v>
      </c>
      <c r="X4583" t="n">
        <v>4.45632798573975</v>
      </c>
      <c r="Y4583" t="n">
        <v>1</v>
      </c>
      <c r="Z4583" t="n">
        <v>0</v>
      </c>
      <c r="AA4583" t="n">
        <v>6</v>
      </c>
      <c r="AB4583" t="n">
        <v>0</v>
      </c>
      <c r="AC4583" t="n">
        <v>0</v>
      </c>
      <c r="AD4583" t="n">
        <v>39618</v>
      </c>
      <c r="AE4583" t="n">
        <v>0</v>
      </c>
      <c r="AF4583" t="n">
        <v>11315</v>
      </c>
      <c r="AG4583" t="n">
        <v>2173</v>
      </c>
      <c r="AH4583" t="inlineStr">
        <is>
          <t>PT. OGAN SAKTI PRATAMA - PPN (JMB)</t>
        </is>
      </c>
      <c r="AI4583" t="n">
        <v>163</v>
      </c>
      <c r="AJ4583" t="inlineStr">
        <is>
          <t>VIVA</t>
        </is>
      </c>
      <c r="AK4583" t="n">
        <v>9</v>
      </c>
      <c r="AL4583" t="inlineStr">
        <is>
          <t>Miss Glam Jambi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VIVA</t>
        </is>
      </c>
      <c r="B4584" s="2">
        <f>"8992796068420"</f>
        <v/>
      </c>
      <c r="C4584" t="inlineStr">
        <is>
          <t>VIVA Glowing Serum 20ml</t>
        </is>
      </c>
      <c r="D4584" t="inlineStr">
        <is>
          <t>Miss Glam Jambi</t>
        </is>
      </c>
      <c r="E4584" t="n">
        <v>0</v>
      </c>
      <c r="F4584" t="n">
        <v>0.2805</v>
      </c>
      <c r="G4584" t="n">
        <v>1.65</v>
      </c>
      <c r="H4584" t="n">
        <v>7</v>
      </c>
      <c r="I4584" t="n">
        <v>19</v>
      </c>
      <c r="J4584" t="n">
        <v>3</v>
      </c>
      <c r="K4584" t="n">
        <v>27</v>
      </c>
      <c r="L4584" t="n">
        <v>17597</v>
      </c>
      <c r="M4584" t="n">
        <v>22000</v>
      </c>
      <c r="N4584" t="n">
        <v>33</v>
      </c>
      <c r="O4584" t="n">
        <v>0.33</v>
      </c>
      <c r="P4584" t="n">
        <v>1</v>
      </c>
      <c r="Q4584" t="n">
        <v>0.42</v>
      </c>
      <c r="R4584" t="n">
        <v>10</v>
      </c>
      <c r="S4584" t="n">
        <v>6171.000000000001</v>
      </c>
      <c r="T4584" t="n">
        <v>30</v>
      </c>
      <c r="U4584" t="n">
        <v>32</v>
      </c>
      <c r="V4584" t="n">
        <v>30</v>
      </c>
      <c r="W4584" t="n">
        <v>9</v>
      </c>
      <c r="X4584" t="n">
        <v>0</v>
      </c>
      <c r="Y4584" t="n">
        <v>1</v>
      </c>
      <c r="Z4584" t="n">
        <v>0</v>
      </c>
      <c r="AA4584" t="n">
        <v>5</v>
      </c>
      <c r="AB4584" t="n">
        <v>0</v>
      </c>
      <c r="AC4584" t="n">
        <v>0</v>
      </c>
      <c r="AD4584" t="n">
        <v>87985</v>
      </c>
      <c r="AE4584" t="n">
        <v>0</v>
      </c>
      <c r="AF4584" t="n">
        <v>11315</v>
      </c>
      <c r="AG4584" t="n">
        <v>2173</v>
      </c>
      <c r="AH4584" t="inlineStr">
        <is>
          <t>PT. OGAN SAKTI PRATAMA - PPN (JMB)</t>
        </is>
      </c>
      <c r="AI4584" t="n">
        <v>163</v>
      </c>
      <c r="AJ4584" t="inlineStr">
        <is>
          <t>VIVA</t>
        </is>
      </c>
      <c r="AK4584" t="n">
        <v>9</v>
      </c>
      <c r="AL4584" t="inlineStr">
        <is>
          <t>Miss Glam Jambi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VIVA</t>
        </is>
      </c>
      <c r="B4585" s="2">
        <f>"8992796079600"</f>
        <v/>
      </c>
      <c r="C4585" t="inlineStr">
        <is>
          <t>VIVA Hair Conditioner Smooth &amp; Shine 200ml</t>
        </is>
      </c>
      <c r="D4585" t="inlineStr">
        <is>
          <t>Miss Glam Jambi</t>
        </is>
      </c>
      <c r="E4585" t="n">
        <v>1</v>
      </c>
      <c r="F4585" t="n">
        <v>0.08910000000000001</v>
      </c>
      <c r="G4585" t="n">
        <v>0.66</v>
      </c>
      <c r="H4585" t="n">
        <v>7</v>
      </c>
      <c r="I4585" t="n">
        <v>19</v>
      </c>
      <c r="J4585" t="n">
        <v>3</v>
      </c>
      <c r="K4585" t="n">
        <v>3</v>
      </c>
      <c r="L4585" t="n">
        <v>13052</v>
      </c>
      <c r="M4585" t="n">
        <v>16000</v>
      </c>
      <c r="N4585" t="n">
        <v>33</v>
      </c>
      <c r="O4585" t="n">
        <v>0.33</v>
      </c>
      <c r="P4585" t="n">
        <v>1</v>
      </c>
      <c r="Q4585" t="n">
        <v>0.07000000000000001</v>
      </c>
      <c r="R4585" t="n">
        <v>1</v>
      </c>
      <c r="S4585" t="n">
        <v>1425.6</v>
      </c>
      <c r="T4585" t="n">
        <v>12</v>
      </c>
      <c r="U4585" t="n">
        <v>13</v>
      </c>
      <c r="V4585" t="n">
        <v>30</v>
      </c>
      <c r="W4585" t="n">
        <v>3</v>
      </c>
      <c r="X4585" t="n">
        <v>11.22334455667789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11315</v>
      </c>
      <c r="AG4585" t="n">
        <v>2173</v>
      </c>
      <c r="AH4585" t="inlineStr">
        <is>
          <t>PT. OGAN SAKTI PRATAMA - PPN (JMB)</t>
        </is>
      </c>
      <c r="AI4585" t="n">
        <v>163</v>
      </c>
      <c r="AJ4585" t="inlineStr">
        <is>
          <t>VIVA</t>
        </is>
      </c>
      <c r="AK4585" t="n">
        <v>9</v>
      </c>
      <c r="AL4585" t="inlineStr">
        <is>
          <t>Miss Glam Jambi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VIVA</t>
        </is>
      </c>
      <c r="B4586" s="2">
        <f>"8992796079303"</f>
        <v/>
      </c>
      <c r="C4586" t="inlineStr">
        <is>
          <t>VIVA Hair Tonic 60ml</t>
        </is>
      </c>
      <c r="D4586" t="inlineStr">
        <is>
          <t>Miss Glam Jambi</t>
        </is>
      </c>
      <c r="E4586" t="n">
        <v>2</v>
      </c>
      <c r="F4586" t="n">
        <v>0.9174</v>
      </c>
      <c r="G4586" t="n">
        <v>2.64</v>
      </c>
      <c r="H4586" t="n">
        <v>7</v>
      </c>
      <c r="I4586" t="n">
        <v>19</v>
      </c>
      <c r="J4586" t="n">
        <v>12</v>
      </c>
      <c r="K4586" t="n">
        <v>12</v>
      </c>
      <c r="L4586" t="n">
        <v>7510</v>
      </c>
      <c r="M4586" t="n">
        <v>9500</v>
      </c>
      <c r="N4586" t="n">
        <v>33</v>
      </c>
      <c r="O4586" t="n">
        <v>0.33</v>
      </c>
      <c r="P4586" t="n">
        <v>1</v>
      </c>
      <c r="Q4586" t="n">
        <v>0.12</v>
      </c>
      <c r="R4586" t="n">
        <v>2</v>
      </c>
      <c r="S4586" t="n">
        <v>8715.299999999999</v>
      </c>
      <c r="T4586" t="n">
        <v>44</v>
      </c>
      <c r="U4586" t="n">
        <v>51</v>
      </c>
      <c r="V4586" t="n">
        <v>30</v>
      </c>
      <c r="W4586" t="n">
        <v>28</v>
      </c>
      <c r="X4586" t="n">
        <v>2.180074122520166</v>
      </c>
      <c r="Y4586" t="n">
        <v>1</v>
      </c>
      <c r="Z4586" t="n">
        <v>14</v>
      </c>
      <c r="AA4586" t="n">
        <v>15</v>
      </c>
      <c r="AB4586" t="n">
        <v>0</v>
      </c>
      <c r="AC4586" t="n">
        <v>0</v>
      </c>
      <c r="AD4586" t="n">
        <v>112650</v>
      </c>
      <c r="AE4586" t="n">
        <v>0</v>
      </c>
      <c r="AF4586" t="n">
        <v>11315</v>
      </c>
      <c r="AG4586" t="n">
        <v>2173</v>
      </c>
      <c r="AH4586" t="inlineStr">
        <is>
          <t>PT. OGAN SAKTI PRATAMA - PPN (JMB)</t>
        </is>
      </c>
      <c r="AI4586" t="n">
        <v>163</v>
      </c>
      <c r="AJ4586" t="inlineStr">
        <is>
          <t>VIVA</t>
        </is>
      </c>
      <c r="AK4586" t="n">
        <v>9</v>
      </c>
      <c r="AL4586" t="inlineStr">
        <is>
          <t>Miss Glam Jambi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VIVA</t>
        </is>
      </c>
      <c r="B4587" s="2">
        <f>"8992796045049"</f>
        <v/>
      </c>
      <c r="C4587" t="inlineStr">
        <is>
          <t>VIVA Liquid Foundation Natural 30ml</t>
        </is>
      </c>
      <c r="D4587" t="inlineStr">
        <is>
          <t>Miss Glam Jambi</t>
        </is>
      </c>
      <c r="E4587" t="n">
        <v>12</v>
      </c>
      <c r="F4587" t="n">
        <v>0.1287</v>
      </c>
      <c r="G4587" t="n">
        <v>0.66</v>
      </c>
      <c r="H4587" t="n">
        <v>7</v>
      </c>
      <c r="I4587" t="n">
        <v>19</v>
      </c>
      <c r="J4587" t="n">
        <v>3</v>
      </c>
      <c r="K4587" t="n">
        <v>0</v>
      </c>
      <c r="L4587" t="n">
        <v>5593</v>
      </c>
      <c r="M4587" t="n">
        <v>7500</v>
      </c>
      <c r="N4587" t="n">
        <v>33</v>
      </c>
      <c r="O4587" t="n">
        <v>0.33</v>
      </c>
      <c r="P4587" t="n">
        <v>1</v>
      </c>
      <c r="Q4587" t="n">
        <v>0.07000000000000001</v>
      </c>
      <c r="R4587" t="n">
        <v>1</v>
      </c>
      <c r="S4587" t="n">
        <v>965.2500000000001</v>
      </c>
      <c r="T4587" t="n">
        <v>12</v>
      </c>
      <c r="U4587" t="n">
        <v>13</v>
      </c>
      <c r="V4587" t="n">
        <v>30</v>
      </c>
      <c r="W4587" t="n">
        <v>4</v>
      </c>
      <c r="X4587" t="n">
        <v>93.24009324009323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11315</v>
      </c>
      <c r="AG4587" t="n">
        <v>2173</v>
      </c>
      <c r="AH4587" t="inlineStr">
        <is>
          <t>PT. OGAN SAKTI PRATAMA - PPN (JMB)</t>
        </is>
      </c>
      <c r="AI4587" t="n">
        <v>163</v>
      </c>
      <c r="AJ4587" t="inlineStr">
        <is>
          <t>VIVA</t>
        </is>
      </c>
      <c r="AK4587" t="n">
        <v>9</v>
      </c>
      <c r="AL4587" t="inlineStr">
        <is>
          <t>Miss Glam Jambi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VIVA</t>
        </is>
      </c>
      <c r="B4588" s="2">
        <f>"8992796022415"</f>
        <v/>
      </c>
      <c r="C4588" t="inlineStr">
        <is>
          <t>VIVA Lulur Mandi Brightening and Moisturizing Bengkoang 225gr</t>
        </is>
      </c>
      <c r="D4588" t="inlineStr">
        <is>
          <t>Miss Glam Jambi</t>
        </is>
      </c>
      <c r="E4588" t="n">
        <v>7</v>
      </c>
      <c r="F4588" t="n">
        <v>0.1683</v>
      </c>
      <c r="G4588" t="n">
        <v>0.99</v>
      </c>
      <c r="H4588" t="n">
        <v>7</v>
      </c>
      <c r="I4588" t="n">
        <v>19</v>
      </c>
      <c r="J4588" t="n">
        <v>3</v>
      </c>
      <c r="K4588" t="n">
        <v>0</v>
      </c>
      <c r="L4588" t="n">
        <v>11353</v>
      </c>
      <c r="M4588" t="n">
        <v>19500</v>
      </c>
      <c r="N4588" t="n">
        <v>33</v>
      </c>
      <c r="O4588" t="n">
        <v>0.33</v>
      </c>
      <c r="P4588" t="n">
        <v>1</v>
      </c>
      <c r="Q4588" t="n">
        <v>0.02</v>
      </c>
      <c r="R4588" t="n">
        <v>1</v>
      </c>
      <c r="S4588" t="n">
        <v>3281.85</v>
      </c>
      <c r="T4588" t="n">
        <v>18</v>
      </c>
      <c r="U4588" t="n">
        <v>20</v>
      </c>
      <c r="V4588" t="n">
        <v>30</v>
      </c>
      <c r="W4588" t="n">
        <v>6</v>
      </c>
      <c r="X4588" t="n">
        <v>41.592394533571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11315</v>
      </c>
      <c r="AG4588" t="n">
        <v>2173</v>
      </c>
      <c r="AH4588" t="inlineStr">
        <is>
          <t>PT. OGAN SAKTI PRATAMA - PPN (JMB)</t>
        </is>
      </c>
      <c r="AI4588" t="n">
        <v>163</v>
      </c>
      <c r="AJ4588" t="inlineStr">
        <is>
          <t>VIVA</t>
        </is>
      </c>
      <c r="AK4588" t="n">
        <v>9</v>
      </c>
      <c r="AL4588" t="inlineStr">
        <is>
          <t>Miss Glam Jambi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VIVA</t>
        </is>
      </c>
      <c r="B4589" s="2">
        <f>"8992796158015"</f>
        <v/>
      </c>
      <c r="C4589" t="inlineStr">
        <is>
          <t>VIVA Make Up Puff</t>
        </is>
      </c>
      <c r="D4589" t="inlineStr">
        <is>
          <t>Miss Glam Jambi</t>
        </is>
      </c>
      <c r="E4589" t="n">
        <v>11</v>
      </c>
      <c r="F4589" t="n">
        <v>0.12</v>
      </c>
      <c r="G4589" t="n">
        <v>2</v>
      </c>
      <c r="H4589" t="n">
        <v>7</v>
      </c>
      <c r="I4589" t="n">
        <v>19</v>
      </c>
      <c r="J4589" t="n">
        <v>3</v>
      </c>
      <c r="K4589" t="n">
        <v>0</v>
      </c>
      <c r="L4589" t="n">
        <v>4644</v>
      </c>
      <c r="M4589" t="n">
        <v>7000</v>
      </c>
      <c r="N4589" t="n">
        <v>33</v>
      </c>
      <c r="O4589" t="n">
        <v>0.33</v>
      </c>
      <c r="P4589" t="n">
        <v>0</v>
      </c>
      <c r="Q4589" t="n">
        <v>0.12</v>
      </c>
      <c r="R4589" t="n">
        <v>2</v>
      </c>
      <c r="S4589" t="n">
        <v>840</v>
      </c>
      <c r="T4589" t="n">
        <v>38</v>
      </c>
      <c r="U4589" t="n">
        <v>39</v>
      </c>
      <c r="V4589" t="n">
        <v>30</v>
      </c>
      <c r="W4589" t="n">
        <v>4</v>
      </c>
      <c r="X4589" t="n">
        <v>91.66666666666667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11315</v>
      </c>
      <c r="AG4589" t="n">
        <v>2173</v>
      </c>
      <c r="AH4589" t="inlineStr">
        <is>
          <t>PT. OGAN SAKTI PRATAMA - PPN (JMB)</t>
        </is>
      </c>
      <c r="AI4589" t="n">
        <v>163</v>
      </c>
      <c r="AJ4589" t="inlineStr">
        <is>
          <t>VIVA</t>
        </is>
      </c>
      <c r="AK4589" t="n">
        <v>9</v>
      </c>
      <c r="AL4589" t="inlineStr">
        <is>
          <t>Miss Glam Jambi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VIVA</t>
        </is>
      </c>
      <c r="B4590" s="2">
        <f>"8992796011259"</f>
        <v/>
      </c>
      <c r="C4590" t="inlineStr">
        <is>
          <t>VIVA Milk Cleanser  Lemon 200ml</t>
        </is>
      </c>
      <c r="D4590" t="inlineStr">
        <is>
          <t>Miss Glam Jambi</t>
        </is>
      </c>
      <c r="E4590" t="n">
        <v>3</v>
      </c>
      <c r="F4590" t="n">
        <v>0.17</v>
      </c>
      <c r="G4590" t="n">
        <v>2</v>
      </c>
      <c r="H4590" t="n">
        <v>7</v>
      </c>
      <c r="I4590" t="n">
        <v>19</v>
      </c>
      <c r="J4590" t="n">
        <v>12</v>
      </c>
      <c r="K4590" t="n">
        <v>24</v>
      </c>
      <c r="L4590" t="n">
        <v>10542</v>
      </c>
      <c r="M4590" t="n">
        <v>13000</v>
      </c>
      <c r="N4590" t="n">
        <v>33</v>
      </c>
      <c r="O4590" t="n">
        <v>0.33</v>
      </c>
      <c r="P4590" t="n">
        <v>0</v>
      </c>
      <c r="Q4590" t="n">
        <v>0.17</v>
      </c>
      <c r="R4590" t="n">
        <v>2</v>
      </c>
      <c r="S4590" t="n">
        <v>2210</v>
      </c>
      <c r="T4590" t="n">
        <v>37</v>
      </c>
      <c r="U4590" t="n">
        <v>39</v>
      </c>
      <c r="V4590" t="n">
        <v>30</v>
      </c>
      <c r="W4590" t="n">
        <v>6</v>
      </c>
      <c r="X4590" t="n">
        <v>17.64705882352941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11315</v>
      </c>
      <c r="AG4590" t="n">
        <v>2173</v>
      </c>
      <c r="AH4590" t="inlineStr">
        <is>
          <t>PT. OGAN SAKTI PRATAMA - PPN (JMB)</t>
        </is>
      </c>
      <c r="AI4590" t="n">
        <v>163</v>
      </c>
      <c r="AJ4590" t="inlineStr">
        <is>
          <t>VIVA</t>
        </is>
      </c>
      <c r="AK4590" t="n">
        <v>9</v>
      </c>
      <c r="AL4590" t="inlineStr">
        <is>
          <t>Miss Glam Jambi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VIVA</t>
        </is>
      </c>
      <c r="B4591" s="2">
        <f>"8992796011105"</f>
        <v/>
      </c>
      <c r="C4591" t="inlineStr">
        <is>
          <t>VIVA Milk Cleanser 100ml</t>
        </is>
      </c>
      <c r="D4591" t="inlineStr">
        <is>
          <t>Miss Glam Jambi</t>
        </is>
      </c>
      <c r="E4591" t="n">
        <v>24</v>
      </c>
      <c r="F4591" t="n">
        <v>0.9009</v>
      </c>
      <c r="G4591" t="n">
        <v>1.98</v>
      </c>
      <c r="H4591" t="n">
        <v>7</v>
      </c>
      <c r="I4591" t="n">
        <v>19</v>
      </c>
      <c r="J4591" t="n">
        <v>12</v>
      </c>
      <c r="K4591" t="n">
        <v>12</v>
      </c>
      <c r="L4591" t="n">
        <v>5928</v>
      </c>
      <c r="M4591" t="n">
        <v>7500</v>
      </c>
      <c r="N4591" t="n">
        <v>33</v>
      </c>
      <c r="O4591" t="n">
        <v>0.33</v>
      </c>
      <c r="P4591" t="n">
        <v>1</v>
      </c>
      <c r="Q4591" t="n">
        <v>0.24</v>
      </c>
      <c r="R4591" t="n">
        <v>2</v>
      </c>
      <c r="S4591" t="n">
        <v>6756.75</v>
      </c>
      <c r="T4591" t="n">
        <v>32</v>
      </c>
      <c r="U4591" t="n">
        <v>39</v>
      </c>
      <c r="V4591" t="n">
        <v>30</v>
      </c>
      <c r="W4591" t="n">
        <v>28</v>
      </c>
      <c r="X4591" t="n">
        <v>26.64002664002664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11315</v>
      </c>
      <c r="AG4591" t="n">
        <v>2173</v>
      </c>
      <c r="AH4591" t="inlineStr">
        <is>
          <t>PT. OGAN SAKTI PRATAMA - PPN (JMB)</t>
        </is>
      </c>
      <c r="AI4591" t="n">
        <v>163</v>
      </c>
      <c r="AJ4591" t="inlineStr">
        <is>
          <t>VIVA</t>
        </is>
      </c>
      <c r="AK4591" t="n">
        <v>9</v>
      </c>
      <c r="AL4591" t="inlineStr">
        <is>
          <t>Miss Glam Jambi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VIVA</t>
        </is>
      </c>
      <c r="B4592" s="2">
        <f>"8992796011235"</f>
        <v/>
      </c>
      <c r="C4592" t="inlineStr">
        <is>
          <t>VIVA Milk Cleanser 200ml</t>
        </is>
      </c>
      <c r="D4592" t="inlineStr">
        <is>
          <t>Miss Glam Jambi</t>
        </is>
      </c>
      <c r="E4592" t="n">
        <v>5</v>
      </c>
      <c r="F4592" t="n">
        <v>0.7062</v>
      </c>
      <c r="G4592" t="n">
        <v>1.65</v>
      </c>
      <c r="H4592" t="n">
        <v>7</v>
      </c>
      <c r="I4592" t="n">
        <v>19</v>
      </c>
      <c r="J4592" t="n">
        <v>12</v>
      </c>
      <c r="K4592" t="n">
        <v>24</v>
      </c>
      <c r="L4592" t="n">
        <v>10526</v>
      </c>
      <c r="M4592" t="n">
        <v>12500</v>
      </c>
      <c r="N4592" t="n">
        <v>33</v>
      </c>
      <c r="O4592" t="n">
        <v>0.33</v>
      </c>
      <c r="P4592" t="n">
        <v>1</v>
      </c>
      <c r="Q4592" t="n">
        <v>0.41</v>
      </c>
      <c r="R4592" t="n">
        <v>2</v>
      </c>
      <c r="S4592" t="n">
        <v>8827.5</v>
      </c>
      <c r="T4592" t="n">
        <v>27</v>
      </c>
      <c r="U4592" t="n">
        <v>32</v>
      </c>
      <c r="V4592" t="n">
        <v>30</v>
      </c>
      <c r="W4592" t="n">
        <v>22</v>
      </c>
      <c r="X4592" t="n">
        <v>7.080147267063154</v>
      </c>
      <c r="Y4592" t="n">
        <v>1</v>
      </c>
      <c r="Z4592" t="n">
        <v>0</v>
      </c>
      <c r="AA4592" t="n">
        <v>8</v>
      </c>
      <c r="AB4592" t="n">
        <v>0</v>
      </c>
      <c r="AC4592" t="n">
        <v>0</v>
      </c>
      <c r="AD4592" t="n">
        <v>84208</v>
      </c>
      <c r="AE4592" t="n">
        <v>0</v>
      </c>
      <c r="AF4592" t="n">
        <v>11315</v>
      </c>
      <c r="AG4592" t="n">
        <v>2173</v>
      </c>
      <c r="AH4592" t="inlineStr">
        <is>
          <t>PT. OGAN SAKTI PRATAMA - PPN (JMB)</t>
        </is>
      </c>
      <c r="AI4592" t="n">
        <v>163</v>
      </c>
      <c r="AJ4592" t="inlineStr">
        <is>
          <t>VIVA</t>
        </is>
      </c>
      <c r="AK4592" t="n">
        <v>9</v>
      </c>
      <c r="AL4592" t="inlineStr">
        <is>
          <t>Miss Glam Jambi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VIVA</t>
        </is>
      </c>
      <c r="B4593" s="2">
        <f>"8992796011136"</f>
        <v/>
      </c>
      <c r="C4593" t="inlineStr">
        <is>
          <t>VIVA Milk Cleanser Bengkuang 100ml</t>
        </is>
      </c>
      <c r="D4593" t="inlineStr">
        <is>
          <t>Miss Glam Jambi</t>
        </is>
      </c>
      <c r="E4593" t="n">
        <v>24</v>
      </c>
      <c r="F4593" t="n">
        <v>2.376</v>
      </c>
      <c r="G4593" t="n">
        <v>4.62</v>
      </c>
      <c r="H4593" t="n">
        <v>7</v>
      </c>
      <c r="I4593" t="n">
        <v>19</v>
      </c>
      <c r="J4593" t="n">
        <v>12</v>
      </c>
      <c r="K4593" t="n">
        <v>27</v>
      </c>
      <c r="L4593" t="n">
        <v>6656</v>
      </c>
      <c r="M4593" t="n">
        <v>8500</v>
      </c>
      <c r="N4593" t="n">
        <v>33</v>
      </c>
      <c r="O4593" t="n">
        <v>0.33</v>
      </c>
      <c r="P4593" t="n">
        <v>1</v>
      </c>
      <c r="Q4593" t="n">
        <v>0.93</v>
      </c>
      <c r="R4593" t="n">
        <v>4</v>
      </c>
      <c r="S4593" t="n">
        <v>20196</v>
      </c>
      <c r="T4593" t="n">
        <v>72</v>
      </c>
      <c r="U4593" t="n">
        <v>89</v>
      </c>
      <c r="V4593" t="n">
        <v>30</v>
      </c>
      <c r="W4593" t="n">
        <v>72</v>
      </c>
      <c r="X4593" t="n">
        <v>10.1010101010101</v>
      </c>
      <c r="Y4593" t="n">
        <v>1</v>
      </c>
      <c r="Z4593" t="n">
        <v>21</v>
      </c>
      <c r="AA4593" t="n">
        <v>21</v>
      </c>
      <c r="AB4593" t="n">
        <v>0</v>
      </c>
      <c r="AC4593" t="n">
        <v>0</v>
      </c>
      <c r="AD4593" t="n">
        <v>139776</v>
      </c>
      <c r="AE4593" t="n">
        <v>0</v>
      </c>
      <c r="AF4593" t="n">
        <v>11315</v>
      </c>
      <c r="AG4593" t="n">
        <v>2173</v>
      </c>
      <c r="AH4593" t="inlineStr">
        <is>
          <t>PT. OGAN SAKTI PRATAMA - PPN (JMB)</t>
        </is>
      </c>
      <c r="AI4593" t="n">
        <v>163</v>
      </c>
      <c r="AJ4593" t="inlineStr">
        <is>
          <t>VIVA</t>
        </is>
      </c>
      <c r="AK4593" t="n">
        <v>9</v>
      </c>
      <c r="AL4593" t="inlineStr">
        <is>
          <t>Miss Glam Jambi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VIVA</t>
        </is>
      </c>
      <c r="B4594" s="2">
        <f>"8992796011242"</f>
        <v/>
      </c>
      <c r="C4594" t="inlineStr">
        <is>
          <t>VIVA Milk Cleanser Bengkuang 200ml</t>
        </is>
      </c>
      <c r="D4594" t="inlineStr">
        <is>
          <t>Miss Glam Jambi</t>
        </is>
      </c>
      <c r="E4594" t="n">
        <v>35</v>
      </c>
      <c r="F4594" t="n">
        <v>1.5048</v>
      </c>
      <c r="G4594" t="n">
        <v>3.96</v>
      </c>
      <c r="H4594" t="n">
        <v>7</v>
      </c>
      <c r="I4594" t="n">
        <v>19</v>
      </c>
      <c r="J4594" t="n">
        <v>12</v>
      </c>
      <c r="K4594" t="n">
        <v>12</v>
      </c>
      <c r="L4594" t="n">
        <v>11155</v>
      </c>
      <c r="M4594" t="n">
        <v>14000</v>
      </c>
      <c r="N4594" t="n">
        <v>33</v>
      </c>
      <c r="O4594" t="n">
        <v>0.33</v>
      </c>
      <c r="P4594" t="n">
        <v>1</v>
      </c>
      <c r="Q4594" t="n">
        <v>0.73</v>
      </c>
      <c r="R4594" t="n">
        <v>4</v>
      </c>
      <c r="S4594" t="n">
        <v>21067.2</v>
      </c>
      <c r="T4594" t="n">
        <v>65</v>
      </c>
      <c r="U4594" t="n">
        <v>76</v>
      </c>
      <c r="V4594" t="n">
        <v>30</v>
      </c>
      <c r="W4594" t="n">
        <v>46</v>
      </c>
      <c r="X4594" t="n">
        <v>23.25890483785221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11315</v>
      </c>
      <c r="AG4594" t="n">
        <v>2173</v>
      </c>
      <c r="AH4594" t="inlineStr">
        <is>
          <t>PT. OGAN SAKTI PRATAMA - PPN (JMB)</t>
        </is>
      </c>
      <c r="AI4594" t="n">
        <v>163</v>
      </c>
      <c r="AJ4594" t="inlineStr">
        <is>
          <t>VIVA</t>
        </is>
      </c>
      <c r="AK4594" t="n">
        <v>9</v>
      </c>
      <c r="AL4594" t="inlineStr">
        <is>
          <t>Miss Glam Jambi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VIVA</t>
        </is>
      </c>
      <c r="B4595" s="2">
        <f>"8992796011204"</f>
        <v/>
      </c>
      <c r="C4595" t="inlineStr">
        <is>
          <t>VIVA Milk Cleanser Cucumber 100ml</t>
        </is>
      </c>
      <c r="D4595" t="inlineStr">
        <is>
          <t>Miss Glam Jambi</t>
        </is>
      </c>
      <c r="E4595" t="n">
        <v>5</v>
      </c>
      <c r="F4595" t="n">
        <v>0.2112</v>
      </c>
      <c r="G4595" t="n">
        <v>0.99</v>
      </c>
      <c r="H4595" t="n">
        <v>7</v>
      </c>
      <c r="I4595" t="n">
        <v>19</v>
      </c>
      <c r="J4595" t="n">
        <v>12</v>
      </c>
      <c r="K4595" t="n">
        <v>12</v>
      </c>
      <c r="L4595" t="n">
        <v>6233</v>
      </c>
      <c r="M4595" t="n">
        <v>7500</v>
      </c>
      <c r="N4595" t="n">
        <v>33</v>
      </c>
      <c r="O4595" t="n">
        <v>0.33</v>
      </c>
      <c r="P4595" t="n">
        <v>1</v>
      </c>
      <c r="Q4595" t="n">
        <v>0.08</v>
      </c>
      <c r="R4595" t="n">
        <v>1</v>
      </c>
      <c r="S4595" t="n">
        <v>1584</v>
      </c>
      <c r="T4595" t="n">
        <v>18</v>
      </c>
      <c r="U4595" t="n">
        <v>20</v>
      </c>
      <c r="V4595" t="n">
        <v>30</v>
      </c>
      <c r="W4595" t="n">
        <v>7</v>
      </c>
      <c r="X4595" t="n">
        <v>23.67424242424242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11315</v>
      </c>
      <c r="AG4595" t="n">
        <v>2173</v>
      </c>
      <c r="AH4595" t="inlineStr">
        <is>
          <t>PT. OGAN SAKTI PRATAMA - PPN (JMB)</t>
        </is>
      </c>
      <c r="AI4595" t="n">
        <v>163</v>
      </c>
      <c r="AJ4595" t="inlineStr">
        <is>
          <t>VIVA</t>
        </is>
      </c>
      <c r="AK4595" t="n">
        <v>9</v>
      </c>
      <c r="AL4595" t="inlineStr">
        <is>
          <t>Miss Glam Jambi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VIVA</t>
        </is>
      </c>
      <c r="B4596" s="2">
        <f>"8992796011143"</f>
        <v/>
      </c>
      <c r="C4596" t="inlineStr">
        <is>
          <t>VIVA Milk Cleanser Grean Tea 100ml</t>
        </is>
      </c>
      <c r="D4596" t="inlineStr">
        <is>
          <t>Miss Glam Jambi</t>
        </is>
      </c>
      <c r="E4596" t="n">
        <v>6</v>
      </c>
      <c r="F4596" t="n">
        <v>1.4025</v>
      </c>
      <c r="G4596" t="n">
        <v>3.3</v>
      </c>
      <c r="H4596" t="n">
        <v>7</v>
      </c>
      <c r="I4596" t="n">
        <v>19</v>
      </c>
      <c r="J4596" t="n">
        <v>12</v>
      </c>
      <c r="K4596" t="n">
        <v>27</v>
      </c>
      <c r="L4596" t="n">
        <v>6946</v>
      </c>
      <c r="M4596" t="n">
        <v>8500</v>
      </c>
      <c r="N4596" t="n">
        <v>33</v>
      </c>
      <c r="O4596" t="n">
        <v>0.33</v>
      </c>
      <c r="P4596" t="n">
        <v>1</v>
      </c>
      <c r="Q4596" t="n">
        <v>0.68</v>
      </c>
      <c r="R4596" t="n">
        <v>3</v>
      </c>
      <c r="S4596" t="n">
        <v>11921.25</v>
      </c>
      <c r="T4596" t="n">
        <v>53</v>
      </c>
      <c r="U4596" t="n">
        <v>63</v>
      </c>
      <c r="V4596" t="n">
        <v>30</v>
      </c>
      <c r="W4596" t="n">
        <v>43</v>
      </c>
      <c r="X4596" t="n">
        <v>4.27807486631016</v>
      </c>
      <c r="Y4596" t="n">
        <v>1</v>
      </c>
      <c r="Z4596" t="n">
        <v>10</v>
      </c>
      <c r="AA4596" t="n">
        <v>20</v>
      </c>
      <c r="AB4596" t="n">
        <v>0</v>
      </c>
      <c r="AC4596" t="n">
        <v>0</v>
      </c>
      <c r="AD4596" t="n">
        <v>138920</v>
      </c>
      <c r="AE4596" t="n">
        <v>0</v>
      </c>
      <c r="AF4596" t="n">
        <v>11315</v>
      </c>
      <c r="AG4596" t="n">
        <v>2173</v>
      </c>
      <c r="AH4596" t="inlineStr">
        <is>
          <t>PT. OGAN SAKTI PRATAMA - PPN (JMB)</t>
        </is>
      </c>
      <c r="AI4596" t="n">
        <v>163</v>
      </c>
      <c r="AJ4596" t="inlineStr">
        <is>
          <t>VIVA</t>
        </is>
      </c>
      <c r="AK4596" t="n">
        <v>9</v>
      </c>
      <c r="AL4596" t="inlineStr">
        <is>
          <t>Miss Glam Jambi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VIVA</t>
        </is>
      </c>
      <c r="B4597" s="2">
        <f>"8992796011112"</f>
        <v/>
      </c>
      <c r="C4597" t="inlineStr">
        <is>
          <t>VIVA Milk Cleanser Lemon 100ml</t>
        </is>
      </c>
      <c r="D4597" t="inlineStr">
        <is>
          <t>Miss Glam Jambi</t>
        </is>
      </c>
      <c r="E4597" t="n">
        <v>6</v>
      </c>
      <c r="F4597" t="n">
        <v>0.8282999999999999</v>
      </c>
      <c r="G4597" t="n">
        <v>2.31</v>
      </c>
      <c r="H4597" t="n">
        <v>7</v>
      </c>
      <c r="I4597" t="n">
        <v>19</v>
      </c>
      <c r="J4597" t="n">
        <v>12</v>
      </c>
      <c r="K4597" t="n">
        <v>12</v>
      </c>
      <c r="L4597" t="n">
        <v>6013</v>
      </c>
      <c r="M4597" t="n">
        <v>7500</v>
      </c>
      <c r="N4597" t="n">
        <v>33</v>
      </c>
      <c r="O4597" t="n">
        <v>0.33</v>
      </c>
      <c r="P4597" t="n">
        <v>1</v>
      </c>
      <c r="Q4597" t="n">
        <v>0.25</v>
      </c>
      <c r="R4597" t="n">
        <v>2</v>
      </c>
      <c r="S4597" t="n">
        <v>6212.249999999999</v>
      </c>
      <c r="T4597" t="n">
        <v>39</v>
      </c>
      <c r="U4597" t="n">
        <v>45</v>
      </c>
      <c r="V4597" t="n">
        <v>30</v>
      </c>
      <c r="W4597" t="n">
        <v>25</v>
      </c>
      <c r="X4597" t="n">
        <v>7.243752263672583</v>
      </c>
      <c r="Y4597" t="n">
        <v>1</v>
      </c>
      <c r="Z4597" t="n">
        <v>7</v>
      </c>
      <c r="AA4597" t="n">
        <v>9</v>
      </c>
      <c r="AB4597" t="n">
        <v>0</v>
      </c>
      <c r="AC4597" t="n">
        <v>0</v>
      </c>
      <c r="AD4597" t="n">
        <v>54117</v>
      </c>
      <c r="AE4597" t="n">
        <v>0</v>
      </c>
      <c r="AF4597" t="n">
        <v>11315</v>
      </c>
      <c r="AG4597" t="n">
        <v>2173</v>
      </c>
      <c r="AH4597" t="inlineStr">
        <is>
          <t>PT. OGAN SAKTI PRATAMA - PPN (JMB)</t>
        </is>
      </c>
      <c r="AI4597" t="n">
        <v>163</v>
      </c>
      <c r="AJ4597" t="inlineStr">
        <is>
          <t>VIVA</t>
        </is>
      </c>
      <c r="AK4597" t="n">
        <v>9</v>
      </c>
      <c r="AL4597" t="inlineStr">
        <is>
          <t>Miss Glam Jambi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VIVA</t>
        </is>
      </c>
      <c r="B4598" s="2">
        <f>"10100407549"</f>
        <v/>
      </c>
      <c r="C4598" t="inlineStr">
        <is>
          <t>VIVA Milk Cleanser Mawar 100ml</t>
        </is>
      </c>
      <c r="D4598" t="inlineStr">
        <is>
          <t>Miss Glam Jambi</t>
        </is>
      </c>
      <c r="E4598" t="n">
        <v>12</v>
      </c>
      <c r="F4598" t="n">
        <v>0.8217000000000001</v>
      </c>
      <c r="G4598" t="n">
        <v>2.64</v>
      </c>
      <c r="H4598" t="n">
        <v>7</v>
      </c>
      <c r="I4598" t="n">
        <v>19</v>
      </c>
      <c r="J4598" t="n">
        <v>1</v>
      </c>
      <c r="K4598" t="n">
        <v>10</v>
      </c>
      <c r="L4598" t="n">
        <v>6288</v>
      </c>
      <c r="M4598" t="n">
        <v>7500</v>
      </c>
      <c r="N4598" t="n">
        <v>33</v>
      </c>
      <c r="O4598" t="n">
        <v>0.33</v>
      </c>
      <c r="P4598" t="n">
        <v>1</v>
      </c>
      <c r="Q4598" t="n">
        <v>0.27</v>
      </c>
      <c r="R4598" t="n">
        <v>1</v>
      </c>
      <c r="S4598" t="n">
        <v>6162.750000000001</v>
      </c>
      <c r="T4598" t="n">
        <v>45</v>
      </c>
      <c r="U4598" t="n">
        <v>51</v>
      </c>
      <c r="V4598" t="n">
        <v>30</v>
      </c>
      <c r="W4598" t="n">
        <v>25</v>
      </c>
      <c r="X4598" t="n">
        <v>14.60387002555677</v>
      </c>
      <c r="Y4598" t="n">
        <v>1</v>
      </c>
      <c r="Z4598" t="n">
        <v>3</v>
      </c>
      <c r="AA4598" t="n">
        <v>3</v>
      </c>
      <c r="AB4598" t="n">
        <v>0</v>
      </c>
      <c r="AC4598" t="n">
        <v>0</v>
      </c>
      <c r="AD4598" t="n">
        <v>18864</v>
      </c>
      <c r="AE4598" t="n">
        <v>0</v>
      </c>
      <c r="AF4598" t="n">
        <v>11315</v>
      </c>
      <c r="AG4598" t="n">
        <v>2173</v>
      </c>
      <c r="AH4598" t="inlineStr">
        <is>
          <t>PT. OGAN SAKTI PRATAMA - PPN (JMB)</t>
        </is>
      </c>
      <c r="AI4598" t="n">
        <v>163</v>
      </c>
      <c r="AJ4598" t="inlineStr">
        <is>
          <t>VIVA</t>
        </is>
      </c>
      <c r="AK4598" t="n">
        <v>9</v>
      </c>
      <c r="AL4598" t="inlineStr">
        <is>
          <t>Miss Glam Jambi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VIVA</t>
        </is>
      </c>
      <c r="B4599" s="2">
        <f>"10100407627"</f>
        <v/>
      </c>
      <c r="C4599" t="inlineStr">
        <is>
          <t>VIVA Milk Cleanser Mawar 200ml</t>
        </is>
      </c>
      <c r="D4599" t="inlineStr">
        <is>
          <t>Miss Glam Jambi</t>
        </is>
      </c>
      <c r="E4599" t="n">
        <v>24</v>
      </c>
      <c r="F4599" t="n">
        <v>0.6501</v>
      </c>
      <c r="G4599" t="n">
        <v>1.98</v>
      </c>
      <c r="H4599" t="n">
        <v>7</v>
      </c>
      <c r="I4599" t="n">
        <v>19</v>
      </c>
      <c r="J4599" t="n">
        <v>1</v>
      </c>
      <c r="K4599" t="n">
        <v>0</v>
      </c>
      <c r="L4599" t="n">
        <v>10598</v>
      </c>
      <c r="M4599" t="n">
        <v>13000</v>
      </c>
      <c r="N4599" t="n">
        <v>33</v>
      </c>
      <c r="O4599" t="n">
        <v>0.33</v>
      </c>
      <c r="P4599" t="n">
        <v>1</v>
      </c>
      <c r="Q4599" t="n">
        <v>0.25</v>
      </c>
      <c r="R4599" t="n">
        <v>2</v>
      </c>
      <c r="S4599" t="n">
        <v>8451.299999999999</v>
      </c>
      <c r="T4599" t="n">
        <v>34</v>
      </c>
      <c r="U4599" t="n">
        <v>39</v>
      </c>
      <c r="V4599" t="n">
        <v>30</v>
      </c>
      <c r="W4599" t="n">
        <v>20</v>
      </c>
      <c r="X4599" t="n">
        <v>36.91739732348869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11315</v>
      </c>
      <c r="AG4599" t="n">
        <v>2173</v>
      </c>
      <c r="AH4599" t="inlineStr">
        <is>
          <t>PT. OGAN SAKTI PRATAMA - PPN (JMB)</t>
        </is>
      </c>
      <c r="AI4599" t="n">
        <v>163</v>
      </c>
      <c r="AJ4599" t="inlineStr">
        <is>
          <t>VIVA</t>
        </is>
      </c>
      <c r="AK4599" t="n">
        <v>9</v>
      </c>
      <c r="AL4599" t="inlineStr">
        <is>
          <t>Miss Glam Jambi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VIVA</t>
        </is>
      </c>
      <c r="B4600" s="2">
        <f>"8992796011150"</f>
        <v/>
      </c>
      <c r="C4600" t="inlineStr">
        <is>
          <t>VIVA Milk Cleanser Spirulina 100ml</t>
        </is>
      </c>
      <c r="D4600" t="inlineStr">
        <is>
          <t>Miss Glam Jambi</t>
        </is>
      </c>
      <c r="E4600" t="n">
        <v>7</v>
      </c>
      <c r="F4600" t="n">
        <v>0.4356</v>
      </c>
      <c r="G4600" t="n">
        <v>1.65</v>
      </c>
      <c r="H4600" t="n">
        <v>7</v>
      </c>
      <c r="I4600" t="n">
        <v>19</v>
      </c>
      <c r="J4600" t="n">
        <v>12</v>
      </c>
      <c r="K4600" t="n">
        <v>12</v>
      </c>
      <c r="L4600" t="n">
        <v>6974</v>
      </c>
      <c r="M4600" t="n">
        <v>8500</v>
      </c>
      <c r="N4600" t="n">
        <v>33</v>
      </c>
      <c r="O4600" t="n">
        <v>0.33</v>
      </c>
      <c r="P4600" t="n">
        <v>1</v>
      </c>
      <c r="Q4600" t="n">
        <v>0.19</v>
      </c>
      <c r="R4600" t="n">
        <v>2</v>
      </c>
      <c r="S4600" t="n">
        <v>3702.6</v>
      </c>
      <c r="T4600" t="n">
        <v>29</v>
      </c>
      <c r="U4600" t="n">
        <v>33</v>
      </c>
      <c r="V4600" t="n">
        <v>30</v>
      </c>
      <c r="W4600" t="n">
        <v>14</v>
      </c>
      <c r="X4600" t="n">
        <v>16.06978879706152</v>
      </c>
      <c r="Y4600" t="n">
        <v>1</v>
      </c>
      <c r="Z4600" t="n">
        <v>0</v>
      </c>
      <c r="AA4600" t="n">
        <v>1</v>
      </c>
      <c r="AB4600" t="n">
        <v>0</v>
      </c>
      <c r="AC4600" t="n">
        <v>0</v>
      </c>
      <c r="AD4600" t="n">
        <v>6974</v>
      </c>
      <c r="AE4600" t="n">
        <v>0</v>
      </c>
      <c r="AF4600" t="n">
        <v>11315</v>
      </c>
      <c r="AG4600" t="n">
        <v>2173</v>
      </c>
      <c r="AH4600" t="inlineStr">
        <is>
          <t>PT. OGAN SAKTI PRATAMA - PPN (JMB)</t>
        </is>
      </c>
      <c r="AI4600" t="n">
        <v>163</v>
      </c>
      <c r="AJ4600" t="inlineStr">
        <is>
          <t>VIVA</t>
        </is>
      </c>
      <c r="AK4600" t="n">
        <v>9</v>
      </c>
      <c r="AL4600" t="inlineStr">
        <is>
          <t>Miss Glam Jambi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VIVA</t>
        </is>
      </c>
      <c r="B4601" s="2">
        <f>"8992796168007"</f>
        <v/>
      </c>
      <c r="C4601" t="inlineStr">
        <is>
          <t>VIVA Moist Cream 22gr</t>
        </is>
      </c>
      <c r="D4601" t="inlineStr">
        <is>
          <t>Miss Glam Jambi</t>
        </is>
      </c>
      <c r="E4601" t="n">
        <v>2</v>
      </c>
      <c r="F4601" t="n">
        <v>0.1914</v>
      </c>
      <c r="G4601" t="n">
        <v>0.99</v>
      </c>
      <c r="H4601" t="n">
        <v>7</v>
      </c>
      <c r="I4601" t="n">
        <v>19</v>
      </c>
      <c r="J4601" t="n">
        <v>3</v>
      </c>
      <c r="K4601" t="n">
        <v>3</v>
      </c>
      <c r="L4601" t="n">
        <v>8531</v>
      </c>
      <c r="M4601" t="n">
        <v>11000</v>
      </c>
      <c r="N4601" t="n">
        <v>33</v>
      </c>
      <c r="O4601" t="n">
        <v>0.33</v>
      </c>
      <c r="P4601" t="n">
        <v>1</v>
      </c>
      <c r="Q4601" t="n">
        <v>0.07000000000000001</v>
      </c>
      <c r="R4601" t="n">
        <v>2</v>
      </c>
      <c r="S4601" t="n">
        <v>2105.4</v>
      </c>
      <c r="T4601" t="n">
        <v>18</v>
      </c>
      <c r="U4601" t="n">
        <v>20</v>
      </c>
      <c r="V4601" t="n">
        <v>30</v>
      </c>
      <c r="W4601" t="n">
        <v>6</v>
      </c>
      <c r="X4601" t="n">
        <v>10.44932079414838</v>
      </c>
      <c r="Y4601" t="n">
        <v>1</v>
      </c>
      <c r="Z4601" t="n">
        <v>1</v>
      </c>
      <c r="AA4601" t="n">
        <v>1</v>
      </c>
      <c r="AB4601" t="n">
        <v>0</v>
      </c>
      <c r="AC4601" t="n">
        <v>0</v>
      </c>
      <c r="AD4601" t="n">
        <v>8531</v>
      </c>
      <c r="AE4601" t="n">
        <v>0</v>
      </c>
      <c r="AF4601" t="n">
        <v>11315</v>
      </c>
      <c r="AG4601" t="n">
        <v>2173</v>
      </c>
      <c r="AH4601" t="inlineStr">
        <is>
          <t>PT. OGAN SAKTI PRATAMA - PPN (JMB)</t>
        </is>
      </c>
      <c r="AI4601" t="n">
        <v>163</v>
      </c>
      <c r="AJ4601" t="inlineStr">
        <is>
          <t>VIVA</t>
        </is>
      </c>
      <c r="AK4601" t="n">
        <v>9</v>
      </c>
      <c r="AL4601" t="inlineStr">
        <is>
          <t>Miss Glam Jambi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VIVA</t>
        </is>
      </c>
      <c r="B4602" s="2">
        <f>"8992796168502"</f>
        <v/>
      </c>
      <c r="C4602" t="inlineStr">
        <is>
          <t>VIVA Peeling Cream 22gr</t>
        </is>
      </c>
      <c r="D4602" t="inlineStr">
        <is>
          <t>Miss Glam Jambi</t>
        </is>
      </c>
      <c r="E4602" t="n">
        <v>0</v>
      </c>
      <c r="F4602" t="n">
        <v>0.1122</v>
      </c>
      <c r="G4602" t="n">
        <v>1.32</v>
      </c>
      <c r="H4602" t="n">
        <v>7</v>
      </c>
      <c r="I4602" t="n">
        <v>19</v>
      </c>
      <c r="J4602" t="n">
        <v>3</v>
      </c>
      <c r="K4602" t="n">
        <v>9</v>
      </c>
      <c r="L4602" t="n">
        <v>6101</v>
      </c>
      <c r="M4602" t="n">
        <v>7400</v>
      </c>
      <c r="N4602" t="n">
        <v>33</v>
      </c>
      <c r="O4602" t="n">
        <v>0.33</v>
      </c>
      <c r="P4602" t="n">
        <v>1</v>
      </c>
      <c r="Q4602" t="n">
        <v>0.03</v>
      </c>
      <c r="R4602" t="n">
        <v>1</v>
      </c>
      <c r="S4602" t="n">
        <v>830.2800000000001</v>
      </c>
      <c r="T4602" t="n">
        <v>25</v>
      </c>
      <c r="U4602" t="n">
        <v>26</v>
      </c>
      <c r="V4602" t="n">
        <v>30</v>
      </c>
      <c r="W4602" t="n">
        <v>4</v>
      </c>
      <c r="X4602" t="n">
        <v>0</v>
      </c>
      <c r="Y4602" t="n">
        <v>1</v>
      </c>
      <c r="Z4602" t="n">
        <v>0</v>
      </c>
      <c r="AA4602" t="n">
        <v>2</v>
      </c>
      <c r="AB4602" t="n">
        <v>0</v>
      </c>
      <c r="AC4602" t="n">
        <v>0</v>
      </c>
      <c r="AD4602" t="n">
        <v>12202</v>
      </c>
      <c r="AE4602" t="n">
        <v>0</v>
      </c>
      <c r="AF4602" t="n">
        <v>11315</v>
      </c>
      <c r="AG4602" t="n">
        <v>2173</v>
      </c>
      <c r="AH4602" t="inlineStr">
        <is>
          <t>PT. OGAN SAKTI PRATAMA - PPN (JMB)</t>
        </is>
      </c>
      <c r="AI4602" t="n">
        <v>163</v>
      </c>
      <c r="AJ4602" t="inlineStr">
        <is>
          <t>VIVA</t>
        </is>
      </c>
      <c r="AK4602" t="n">
        <v>9</v>
      </c>
      <c r="AL4602" t="inlineStr">
        <is>
          <t>Miss Glam Jambi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VIVA</t>
        </is>
      </c>
      <c r="B4603" s="2">
        <f>"8992796168526"</f>
        <v/>
      </c>
      <c r="C4603" t="inlineStr">
        <is>
          <t>VIVA Peeling Serum 20ml</t>
        </is>
      </c>
      <c r="D4603" t="inlineStr">
        <is>
          <t>Miss Glam Jambi</t>
        </is>
      </c>
      <c r="E4603" t="n">
        <v>2</v>
      </c>
      <c r="F4603" t="n">
        <v>0.1848</v>
      </c>
      <c r="G4603" t="n">
        <v>1.32</v>
      </c>
      <c r="H4603" t="n">
        <v>7</v>
      </c>
      <c r="I4603" t="n">
        <v>19</v>
      </c>
      <c r="J4603" t="n">
        <v>3</v>
      </c>
      <c r="K4603" t="n">
        <v>6</v>
      </c>
      <c r="L4603" t="n">
        <v>16976</v>
      </c>
      <c r="M4603" t="n">
        <v>22000</v>
      </c>
      <c r="N4603" t="n">
        <v>33</v>
      </c>
      <c r="O4603" t="n">
        <v>0.33</v>
      </c>
      <c r="P4603" t="n">
        <v>1</v>
      </c>
      <c r="Q4603" t="n">
        <v>0.15</v>
      </c>
      <c r="R4603" t="n">
        <v>1</v>
      </c>
      <c r="S4603" t="n">
        <v>4065.6</v>
      </c>
      <c r="T4603" t="n">
        <v>24</v>
      </c>
      <c r="U4603" t="n">
        <v>26</v>
      </c>
      <c r="V4603" t="n">
        <v>30</v>
      </c>
      <c r="W4603" t="n">
        <v>6</v>
      </c>
      <c r="X4603" t="n">
        <v>10.82251082251082</v>
      </c>
      <c r="Y4603" t="n">
        <v>1</v>
      </c>
      <c r="Z4603" t="n">
        <v>0</v>
      </c>
      <c r="AA4603" t="n">
        <v>1</v>
      </c>
      <c r="AB4603" t="n">
        <v>0</v>
      </c>
      <c r="AC4603" t="n">
        <v>0</v>
      </c>
      <c r="AD4603" t="n">
        <v>16976</v>
      </c>
      <c r="AE4603" t="n">
        <v>0</v>
      </c>
      <c r="AF4603" t="n">
        <v>11315</v>
      </c>
      <c r="AG4603" t="n">
        <v>2173</v>
      </c>
      <c r="AH4603" t="inlineStr">
        <is>
          <t>PT. OGAN SAKTI PRATAMA - PPN (JMB)</t>
        </is>
      </c>
      <c r="AI4603" t="n">
        <v>163</v>
      </c>
      <c r="AJ4603" t="inlineStr">
        <is>
          <t>VIVA</t>
        </is>
      </c>
      <c r="AK4603" t="n">
        <v>9</v>
      </c>
      <c r="AL4603" t="inlineStr">
        <is>
          <t>Miss Glam Jambi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VIVA</t>
        </is>
      </c>
      <c r="B4604" s="2">
        <f>"8992796011815"</f>
        <v/>
      </c>
      <c r="C4604" t="inlineStr">
        <is>
          <t>VIVA Pelembab Bengkoang 30ml</t>
        </is>
      </c>
      <c r="D4604" t="inlineStr">
        <is>
          <t>Miss Glam Jambi</t>
        </is>
      </c>
      <c r="E4604" t="n">
        <v>11</v>
      </c>
      <c r="F4604" t="n">
        <v>0.5379</v>
      </c>
      <c r="G4604" t="n">
        <v>1.98</v>
      </c>
      <c r="H4604" t="n">
        <v>7</v>
      </c>
      <c r="I4604" t="n">
        <v>19</v>
      </c>
      <c r="J4604" t="n">
        <v>3</v>
      </c>
      <c r="K4604" t="n">
        <v>6</v>
      </c>
      <c r="L4604" t="n">
        <v>6535</v>
      </c>
      <c r="M4604" t="n">
        <v>9000</v>
      </c>
      <c r="N4604" t="n">
        <v>33</v>
      </c>
      <c r="O4604" t="n">
        <v>0.33</v>
      </c>
      <c r="P4604" t="n">
        <v>1</v>
      </c>
      <c r="Q4604" t="n">
        <v>0.37</v>
      </c>
      <c r="R4604" t="n">
        <v>2</v>
      </c>
      <c r="S4604" t="n">
        <v>4841.1</v>
      </c>
      <c r="T4604" t="n">
        <v>34</v>
      </c>
      <c r="U4604" t="n">
        <v>38</v>
      </c>
      <c r="V4604" t="n">
        <v>30</v>
      </c>
      <c r="W4604" t="n">
        <v>17</v>
      </c>
      <c r="X4604" t="n">
        <v>20.44989775051124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11315</v>
      </c>
      <c r="AG4604" t="n">
        <v>2173</v>
      </c>
      <c r="AH4604" t="inlineStr">
        <is>
          <t>PT. OGAN SAKTI PRATAMA - PPN (JMB)</t>
        </is>
      </c>
      <c r="AI4604" t="n">
        <v>163</v>
      </c>
      <c r="AJ4604" t="inlineStr">
        <is>
          <t>VIVA</t>
        </is>
      </c>
      <c r="AK4604" t="n">
        <v>9</v>
      </c>
      <c r="AL4604" t="inlineStr">
        <is>
          <t>Miss Glam Jambi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VIVA</t>
        </is>
      </c>
      <c r="B4605" s="2">
        <f>"8992796011808"</f>
        <v/>
      </c>
      <c r="C4605" t="inlineStr">
        <is>
          <t>VIVA Pelembab Under Make Up 30ml</t>
        </is>
      </c>
      <c r="D4605" t="inlineStr">
        <is>
          <t>Miss Glam Jambi</t>
        </is>
      </c>
      <c r="E4605" t="n">
        <v>2</v>
      </c>
      <c r="F4605" t="n">
        <v>0.1386</v>
      </c>
      <c r="G4605" t="n">
        <v>1.32</v>
      </c>
      <c r="H4605" t="n">
        <v>7</v>
      </c>
      <c r="I4605" t="n">
        <v>19</v>
      </c>
      <c r="J4605" t="n">
        <v>3</v>
      </c>
      <c r="K4605" t="n">
        <v>9</v>
      </c>
      <c r="L4605" t="n">
        <v>6666</v>
      </c>
      <c r="M4605" t="n">
        <v>8000</v>
      </c>
      <c r="N4605" t="n">
        <v>33</v>
      </c>
      <c r="O4605" t="n">
        <v>0.33</v>
      </c>
      <c r="P4605" t="n">
        <v>1</v>
      </c>
      <c r="Q4605" t="n">
        <v>0.17</v>
      </c>
      <c r="R4605" t="n">
        <v>2</v>
      </c>
      <c r="S4605" t="n">
        <v>1108.8</v>
      </c>
      <c r="T4605" t="n">
        <v>25</v>
      </c>
      <c r="U4605" t="n">
        <v>26</v>
      </c>
      <c r="V4605" t="n">
        <v>30</v>
      </c>
      <c r="W4605" t="n">
        <v>5</v>
      </c>
      <c r="X4605" t="n">
        <v>14.43001443001443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11315</v>
      </c>
      <c r="AG4605" t="n">
        <v>2173</v>
      </c>
      <c r="AH4605" t="inlineStr">
        <is>
          <t>PT. OGAN SAKTI PRATAMA - PPN (JMB)</t>
        </is>
      </c>
      <c r="AI4605" t="n">
        <v>163</v>
      </c>
      <c r="AJ4605" t="inlineStr">
        <is>
          <t>VIVA</t>
        </is>
      </c>
      <c r="AK4605" t="n">
        <v>9</v>
      </c>
      <c r="AL4605" t="inlineStr">
        <is>
          <t>Miss Glam Jambi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VIVA</t>
        </is>
      </c>
      <c r="B4606" s="2">
        <f>"8992796011839"</f>
        <v/>
      </c>
      <c r="C4606" t="inlineStr">
        <is>
          <t>VIVA Pelembab With UV Filter &amp; Green Tea Extract 30ml</t>
        </is>
      </c>
      <c r="D4606" t="inlineStr">
        <is>
          <t>Miss Glam Jambi</t>
        </is>
      </c>
      <c r="E4606" t="n">
        <v>8</v>
      </c>
      <c r="F4606" t="n">
        <v>0.1386</v>
      </c>
      <c r="G4606" t="n">
        <v>0.99</v>
      </c>
      <c r="H4606" t="n">
        <v>7</v>
      </c>
      <c r="I4606" t="n">
        <v>19</v>
      </c>
      <c r="J4606" t="n">
        <v>3</v>
      </c>
      <c r="K4606" t="n">
        <v>0</v>
      </c>
      <c r="L4606" t="n">
        <v>6732</v>
      </c>
      <c r="M4606" t="n">
        <v>9000</v>
      </c>
      <c r="N4606" t="n">
        <v>33</v>
      </c>
      <c r="O4606" t="n">
        <v>0.33</v>
      </c>
      <c r="P4606" t="n">
        <v>1</v>
      </c>
      <c r="Q4606" t="n">
        <v>0.08</v>
      </c>
      <c r="R4606" t="n">
        <v>1</v>
      </c>
      <c r="S4606" t="n">
        <v>1247.4</v>
      </c>
      <c r="T4606" t="n">
        <v>18</v>
      </c>
      <c r="U4606" t="n">
        <v>19</v>
      </c>
      <c r="V4606" t="n">
        <v>30</v>
      </c>
      <c r="W4606" t="n">
        <v>5</v>
      </c>
      <c r="X4606" t="n">
        <v>57.72005772005772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11315</v>
      </c>
      <c r="AG4606" t="n">
        <v>2173</v>
      </c>
      <c r="AH4606" t="inlineStr">
        <is>
          <t>PT. OGAN SAKTI PRATAMA - PPN (JMB)</t>
        </is>
      </c>
      <c r="AI4606" t="n">
        <v>163</v>
      </c>
      <c r="AJ4606" t="inlineStr">
        <is>
          <t>VIVA</t>
        </is>
      </c>
      <c r="AK4606" t="n">
        <v>9</v>
      </c>
      <c r="AL4606" t="inlineStr">
        <is>
          <t>Miss Glam Jambi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VIVA</t>
        </is>
      </c>
      <c r="B4607" s="2">
        <f>"8992796079044"</f>
        <v/>
      </c>
      <c r="C4607" t="inlineStr">
        <is>
          <t>VIVA Shampo Lidah Buaya Aloe Vera Extract &amp;Ginseng 400ml</t>
        </is>
      </c>
      <c r="D4607" t="inlineStr">
        <is>
          <t>Miss Glam Jambi</t>
        </is>
      </c>
      <c r="E4607" t="n">
        <v>3</v>
      </c>
      <c r="F4607" t="n">
        <v>0.2244</v>
      </c>
      <c r="G4607" t="n">
        <v>0.99</v>
      </c>
      <c r="H4607" t="n">
        <v>7</v>
      </c>
      <c r="I4607" t="n">
        <v>19</v>
      </c>
      <c r="J4607" t="n">
        <v>3</v>
      </c>
      <c r="K4607" t="n">
        <v>3</v>
      </c>
      <c r="L4607" t="n">
        <v>13894</v>
      </c>
      <c r="M4607" t="n">
        <v>18000</v>
      </c>
      <c r="N4607" t="n">
        <v>33</v>
      </c>
      <c r="O4607" t="n">
        <v>0.33</v>
      </c>
      <c r="P4607" t="n">
        <v>1</v>
      </c>
      <c r="Q4607" t="n">
        <v>0.07000000000000001</v>
      </c>
      <c r="R4607" t="n">
        <v>1</v>
      </c>
      <c r="S4607" t="n">
        <v>4039.2</v>
      </c>
      <c r="T4607" t="n">
        <v>18</v>
      </c>
      <c r="U4607" t="n">
        <v>20</v>
      </c>
      <c r="V4607" t="n">
        <v>30</v>
      </c>
      <c r="W4607" t="n">
        <v>7</v>
      </c>
      <c r="X4607" t="n">
        <v>13.36898395721925</v>
      </c>
      <c r="Y4607" t="n">
        <v>1</v>
      </c>
      <c r="Z4607" t="n">
        <v>1</v>
      </c>
      <c r="AA4607" t="n">
        <v>1</v>
      </c>
      <c r="AB4607" t="n">
        <v>0</v>
      </c>
      <c r="AC4607" t="n">
        <v>0</v>
      </c>
      <c r="AD4607" t="n">
        <v>13894</v>
      </c>
      <c r="AE4607" t="n">
        <v>0</v>
      </c>
      <c r="AF4607" t="n">
        <v>11315</v>
      </c>
      <c r="AG4607" t="n">
        <v>2173</v>
      </c>
      <c r="AH4607" t="inlineStr">
        <is>
          <t>PT. OGAN SAKTI PRATAMA - PPN (JMB)</t>
        </is>
      </c>
      <c r="AI4607" t="n">
        <v>163</v>
      </c>
      <c r="AJ4607" t="inlineStr">
        <is>
          <t>VIVA</t>
        </is>
      </c>
      <c r="AK4607" t="n">
        <v>9</v>
      </c>
      <c r="AL4607" t="inlineStr">
        <is>
          <t>Miss Glam Jambi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VIVA</t>
        </is>
      </c>
      <c r="B4608" s="2">
        <f>"8992796079037"</f>
        <v/>
      </c>
      <c r="C4608" t="inlineStr">
        <is>
          <t>VIVA Shampo Lidah Buaya Extract Aloe Vera 400ml</t>
        </is>
      </c>
      <c r="D4608" t="inlineStr">
        <is>
          <t>Miss Glam Jambi</t>
        </is>
      </c>
      <c r="E4608" t="n">
        <v>2</v>
      </c>
      <c r="F4608" t="n">
        <v>0.03</v>
      </c>
      <c r="G4608" t="n">
        <v>1</v>
      </c>
      <c r="H4608" t="n">
        <v>7</v>
      </c>
      <c r="I4608" t="n">
        <v>19</v>
      </c>
      <c r="J4608" t="n">
        <v>3</v>
      </c>
      <c r="K4608" t="n">
        <v>0</v>
      </c>
      <c r="L4608" t="n">
        <v>14287</v>
      </c>
      <c r="M4608" t="n">
        <v>18000</v>
      </c>
      <c r="N4608" t="n">
        <v>33</v>
      </c>
      <c r="O4608" t="n">
        <v>0.33</v>
      </c>
      <c r="P4608" t="n">
        <v>0</v>
      </c>
      <c r="Q4608" t="n">
        <v>0.03</v>
      </c>
      <c r="R4608" t="n">
        <v>1</v>
      </c>
      <c r="S4608" t="n">
        <v>540</v>
      </c>
      <c r="T4608" t="n">
        <v>19</v>
      </c>
      <c r="U4608" t="n">
        <v>20</v>
      </c>
      <c r="V4608" t="n">
        <v>30</v>
      </c>
      <c r="W4608" t="n">
        <v>1</v>
      </c>
      <c r="X4608" t="n">
        <v>66.66666666666667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11315</v>
      </c>
      <c r="AG4608" t="n">
        <v>2173</v>
      </c>
      <c r="AH4608" t="inlineStr">
        <is>
          <t>PT. OGAN SAKTI PRATAMA - PPN (JMB)</t>
        </is>
      </c>
      <c r="AI4608" t="n">
        <v>163</v>
      </c>
      <c r="AJ4608" t="inlineStr">
        <is>
          <t>VIVA</t>
        </is>
      </c>
      <c r="AK4608" t="n">
        <v>9</v>
      </c>
      <c r="AL4608" t="inlineStr">
        <is>
          <t>Miss Glam Jambi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VIVA</t>
        </is>
      </c>
      <c r="B4609" s="2">
        <f>"8992796068024"</f>
        <v/>
      </c>
      <c r="C4609" t="inlineStr">
        <is>
          <t>VIVA Skin Food 30gr</t>
        </is>
      </c>
      <c r="D4609" t="inlineStr">
        <is>
          <t>Miss Glam Jambi</t>
        </is>
      </c>
      <c r="E4609" t="n">
        <v>9</v>
      </c>
      <c r="F4609" t="n">
        <v>0.2079</v>
      </c>
      <c r="G4609" t="n">
        <v>1.65</v>
      </c>
      <c r="H4609" t="n">
        <v>7</v>
      </c>
      <c r="I4609" t="n">
        <v>19</v>
      </c>
      <c r="J4609" t="n">
        <v>3</v>
      </c>
      <c r="K4609" t="n">
        <v>0</v>
      </c>
      <c r="L4609" t="n">
        <v>7714</v>
      </c>
      <c r="M4609" t="n">
        <v>10000</v>
      </c>
      <c r="N4609" t="n">
        <v>33</v>
      </c>
      <c r="O4609" t="n">
        <v>0.33</v>
      </c>
      <c r="P4609" t="n">
        <v>1</v>
      </c>
      <c r="Q4609" t="n">
        <v>0.37</v>
      </c>
      <c r="R4609" t="n">
        <v>3</v>
      </c>
      <c r="S4609" t="n">
        <v>2079</v>
      </c>
      <c r="T4609" t="n">
        <v>30</v>
      </c>
      <c r="U4609" t="n">
        <v>32</v>
      </c>
      <c r="V4609" t="n">
        <v>30</v>
      </c>
      <c r="W4609" t="n">
        <v>7</v>
      </c>
      <c r="X4609" t="n">
        <v>43.29004329004329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11315</v>
      </c>
      <c r="AG4609" t="n">
        <v>2173</v>
      </c>
      <c r="AH4609" t="inlineStr">
        <is>
          <t>PT. OGAN SAKTI PRATAMA - PPN (JMB)</t>
        </is>
      </c>
      <c r="AI4609" t="n">
        <v>163</v>
      </c>
      <c r="AJ4609" t="inlineStr">
        <is>
          <t>VIVA</t>
        </is>
      </c>
      <c r="AK4609" t="n">
        <v>9</v>
      </c>
      <c r="AL4609" t="inlineStr">
        <is>
          <t>Miss Glam Jambi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VIVA</t>
        </is>
      </c>
      <c r="B4610" s="2">
        <f>"8992796068031"</f>
        <v/>
      </c>
      <c r="C4610" t="inlineStr">
        <is>
          <t>VIVA Skin Food Cream Extra Care 50gr</t>
        </is>
      </c>
      <c r="D4610" t="inlineStr">
        <is>
          <t>Miss Glam Jambi</t>
        </is>
      </c>
      <c r="E4610" t="n">
        <v>13</v>
      </c>
      <c r="F4610" t="n">
        <v>0.1551</v>
      </c>
      <c r="G4610" t="n">
        <v>0.99</v>
      </c>
      <c r="H4610" t="n">
        <v>7</v>
      </c>
      <c r="I4610" t="n">
        <v>19</v>
      </c>
      <c r="J4610" t="n">
        <v>3</v>
      </c>
      <c r="K4610" t="n">
        <v>0</v>
      </c>
      <c r="L4610" t="n">
        <v>12892</v>
      </c>
      <c r="M4610" t="n">
        <v>17500</v>
      </c>
      <c r="N4610" t="n">
        <v>33</v>
      </c>
      <c r="O4610" t="n">
        <v>0.33</v>
      </c>
      <c r="P4610" t="n">
        <v>1</v>
      </c>
      <c r="Q4610" t="n">
        <v>0.15</v>
      </c>
      <c r="R4610" t="n">
        <v>2</v>
      </c>
      <c r="S4610" t="n">
        <v>2714.25</v>
      </c>
      <c r="T4610" t="n">
        <v>18</v>
      </c>
      <c r="U4610" t="n">
        <v>20</v>
      </c>
      <c r="V4610" t="n">
        <v>30</v>
      </c>
      <c r="W4610" t="n">
        <v>5</v>
      </c>
      <c r="X4610" t="n">
        <v>83.81689232753064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11315</v>
      </c>
      <c r="AG4610" t="n">
        <v>2173</v>
      </c>
      <c r="AH4610" t="inlineStr">
        <is>
          <t>PT. OGAN SAKTI PRATAMA - PPN (JMB)</t>
        </is>
      </c>
      <c r="AI4610" t="n">
        <v>163</v>
      </c>
      <c r="AJ4610" t="inlineStr">
        <is>
          <t>VIVA</t>
        </is>
      </c>
      <c r="AK4610" t="n">
        <v>9</v>
      </c>
      <c r="AL4610" t="inlineStr">
        <is>
          <t>Miss Glam Jambi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VIVA</t>
        </is>
      </c>
      <c r="B4611" s="2">
        <f>"8992796231107"</f>
        <v/>
      </c>
      <c r="C4611" t="inlineStr">
        <is>
          <t>VIVA Soothing Aloevera Gel 80g</t>
        </is>
      </c>
      <c r="D4611" t="inlineStr">
        <is>
          <t>Miss Glam Jambi</t>
        </is>
      </c>
      <c r="E4611" t="n">
        <v>3</v>
      </c>
      <c r="F4611" t="n">
        <v>0.6369</v>
      </c>
      <c r="G4611" t="n">
        <v>2.31</v>
      </c>
      <c r="H4611" t="n">
        <v>7</v>
      </c>
      <c r="I4611" t="n">
        <v>19</v>
      </c>
      <c r="J4611" t="n">
        <v>3</v>
      </c>
      <c r="K4611" t="n">
        <v>10</v>
      </c>
      <c r="L4611" t="n">
        <v>17634</v>
      </c>
      <c r="M4611" t="n">
        <v>22000</v>
      </c>
      <c r="N4611" t="n">
        <v>33</v>
      </c>
      <c r="O4611" t="n">
        <v>0.33</v>
      </c>
      <c r="P4611" t="n">
        <v>1</v>
      </c>
      <c r="Q4611" t="n">
        <v>0.19</v>
      </c>
      <c r="R4611" t="n">
        <v>2</v>
      </c>
      <c r="S4611" t="n">
        <v>14011.8</v>
      </c>
      <c r="T4611" t="n">
        <v>40</v>
      </c>
      <c r="U4611" t="n">
        <v>45</v>
      </c>
      <c r="V4611" t="n">
        <v>30</v>
      </c>
      <c r="W4611" t="n">
        <v>20</v>
      </c>
      <c r="X4611" t="n">
        <v>4.710315591144607</v>
      </c>
      <c r="Y4611" t="n">
        <v>1</v>
      </c>
      <c r="Z4611" t="n">
        <v>7</v>
      </c>
      <c r="AA4611" t="n">
        <v>9</v>
      </c>
      <c r="AB4611" t="n">
        <v>0</v>
      </c>
      <c r="AC4611" t="n">
        <v>0</v>
      </c>
      <c r="AD4611" t="n">
        <v>158706</v>
      </c>
      <c r="AE4611" t="n">
        <v>0</v>
      </c>
      <c r="AF4611" t="n">
        <v>11315</v>
      </c>
      <c r="AG4611" t="n">
        <v>2173</v>
      </c>
      <c r="AH4611" t="inlineStr">
        <is>
          <t>PT. OGAN SAKTI PRATAMA - PPN (JMB)</t>
        </is>
      </c>
      <c r="AI4611" t="n">
        <v>163</v>
      </c>
      <c r="AJ4611" t="inlineStr">
        <is>
          <t>VIVA</t>
        </is>
      </c>
      <c r="AK4611" t="n">
        <v>9</v>
      </c>
      <c r="AL4611" t="inlineStr">
        <is>
          <t>Miss Glam Jambi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VIVA</t>
        </is>
      </c>
      <c r="B4612" s="2">
        <f>"8992796068208"</f>
        <v/>
      </c>
      <c r="C4612" t="inlineStr">
        <is>
          <t>VIVA Suncreen Foundation 22gr</t>
        </is>
      </c>
      <c r="D4612" t="inlineStr">
        <is>
          <t>Miss Glam Jambi</t>
        </is>
      </c>
      <c r="E4612" t="n">
        <v>11</v>
      </c>
      <c r="F4612" t="n">
        <v>0.3696</v>
      </c>
      <c r="G4612" t="n">
        <v>1.32</v>
      </c>
      <c r="H4612" t="n">
        <v>7</v>
      </c>
      <c r="I4612" t="n">
        <v>19</v>
      </c>
      <c r="J4612" t="n">
        <v>3</v>
      </c>
      <c r="K4612" t="n">
        <v>3</v>
      </c>
      <c r="L4612" t="n">
        <v>6976</v>
      </c>
      <c r="M4612" t="n">
        <v>8500</v>
      </c>
      <c r="N4612" t="n">
        <v>33</v>
      </c>
      <c r="O4612" t="n">
        <v>0.33</v>
      </c>
      <c r="P4612" t="n">
        <v>1</v>
      </c>
      <c r="Q4612" t="n">
        <v>0.41</v>
      </c>
      <c r="R4612" t="n">
        <v>3</v>
      </c>
      <c r="S4612" t="n">
        <v>3141.6</v>
      </c>
      <c r="T4612" t="n">
        <v>23</v>
      </c>
      <c r="U4612" t="n">
        <v>26</v>
      </c>
      <c r="V4612" t="n">
        <v>30</v>
      </c>
      <c r="W4612" t="n">
        <v>12</v>
      </c>
      <c r="X4612" t="n">
        <v>29.76190476190476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11315</v>
      </c>
      <c r="AG4612" t="n">
        <v>2173</v>
      </c>
      <c r="AH4612" t="inlineStr">
        <is>
          <t>PT. OGAN SAKTI PRATAMA - PPN (JMB)</t>
        </is>
      </c>
      <c r="AI4612" t="n">
        <v>163</v>
      </c>
      <c r="AJ4612" t="inlineStr">
        <is>
          <t>VIVA</t>
        </is>
      </c>
      <c r="AK4612" t="n">
        <v>9</v>
      </c>
      <c r="AL4612" t="inlineStr">
        <is>
          <t>Miss Glam Jambi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VIVA</t>
        </is>
      </c>
      <c r="B4613" s="2">
        <f>"11200148845"</f>
        <v/>
      </c>
      <c r="C4613" t="inlineStr">
        <is>
          <t>VIVA Vitamin C Collagen Serum With Triple Brightening Power 20ml</t>
        </is>
      </c>
      <c r="D4613" t="inlineStr">
        <is>
          <t>Miss Glam Jambi</t>
        </is>
      </c>
      <c r="E4613" t="n">
        <v>11</v>
      </c>
      <c r="F4613" t="n">
        <v>0.1914</v>
      </c>
      <c r="G4613" t="n">
        <v>0.66</v>
      </c>
      <c r="H4613" t="n">
        <v>7</v>
      </c>
      <c r="I4613" t="n">
        <v>19</v>
      </c>
      <c r="J4613" t="n">
        <v>1</v>
      </c>
      <c r="K4613" t="n">
        <v>0</v>
      </c>
      <c r="L4613" t="n">
        <v>20125</v>
      </c>
      <c r="M4613" t="n">
        <v>22500</v>
      </c>
      <c r="N4613" t="n">
        <v>33</v>
      </c>
      <c r="O4613" t="n">
        <v>0.33</v>
      </c>
      <c r="P4613" t="n">
        <v>1</v>
      </c>
      <c r="Q4613" t="n">
        <v>0.17</v>
      </c>
      <c r="R4613" t="n">
        <v>2</v>
      </c>
      <c r="S4613" t="n">
        <v>4306.5</v>
      </c>
      <c r="T4613" t="n">
        <v>12</v>
      </c>
      <c r="U4613" t="n">
        <v>14</v>
      </c>
      <c r="V4613" t="n">
        <v>30</v>
      </c>
      <c r="W4613" t="n">
        <v>6</v>
      </c>
      <c r="X4613" t="n">
        <v>57.4712643678161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11315</v>
      </c>
      <c r="AG4613" t="n">
        <v>2173</v>
      </c>
      <c r="AH4613" t="inlineStr">
        <is>
          <t>PT. OGAN SAKTI PRATAMA - PPN (JMB)</t>
        </is>
      </c>
      <c r="AI4613" t="n">
        <v>163</v>
      </c>
      <c r="AJ4613" t="inlineStr">
        <is>
          <t>VIVA</t>
        </is>
      </c>
      <c r="AK4613" t="n">
        <v>9</v>
      </c>
      <c r="AL4613" t="inlineStr">
        <is>
          <t>Miss Glam Jambi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VIVA</t>
        </is>
      </c>
      <c r="B4614" s="2">
        <f>"8992796211307"</f>
        <v/>
      </c>
      <c r="C4614" t="inlineStr">
        <is>
          <t>VIVA Waterdrop Sleeping Mask</t>
        </is>
      </c>
      <c r="D4614" t="inlineStr">
        <is>
          <t>Miss Glam Jambi</t>
        </is>
      </c>
      <c r="E4614" t="n">
        <v>10</v>
      </c>
      <c r="F4614" t="n">
        <v>0.5940000000000001</v>
      </c>
      <c r="G4614" t="n">
        <v>1.65</v>
      </c>
      <c r="H4614" t="n">
        <v>7</v>
      </c>
      <c r="I4614" t="n">
        <v>19</v>
      </c>
      <c r="J4614" t="n">
        <v>3</v>
      </c>
      <c r="K4614" t="n">
        <v>7</v>
      </c>
      <c r="L4614" t="n">
        <v>24552</v>
      </c>
      <c r="M4614" t="n">
        <v>31000</v>
      </c>
      <c r="N4614" t="n">
        <v>33</v>
      </c>
      <c r="O4614" t="n">
        <v>0.33</v>
      </c>
      <c r="P4614" t="n">
        <v>1</v>
      </c>
      <c r="Q4614" t="n">
        <v>0.25</v>
      </c>
      <c r="R4614" t="n">
        <v>2</v>
      </c>
      <c r="S4614" t="n">
        <v>18414</v>
      </c>
      <c r="T4614" t="n">
        <v>28</v>
      </c>
      <c r="U4614" t="n">
        <v>33</v>
      </c>
      <c r="V4614" t="n">
        <v>30</v>
      </c>
      <c r="W4614" t="n">
        <v>18</v>
      </c>
      <c r="X4614" t="n">
        <v>16.83501683501683</v>
      </c>
      <c r="Y4614" t="n">
        <v>1</v>
      </c>
      <c r="Z4614" t="n">
        <v>1</v>
      </c>
      <c r="AA4614" t="n">
        <v>1</v>
      </c>
      <c r="AB4614" t="n">
        <v>0</v>
      </c>
      <c r="AC4614" t="n">
        <v>0</v>
      </c>
      <c r="AD4614" t="n">
        <v>24552</v>
      </c>
      <c r="AE4614" t="n">
        <v>0</v>
      </c>
      <c r="AF4614" t="n">
        <v>11315</v>
      </c>
      <c r="AG4614" t="n">
        <v>2173</v>
      </c>
      <c r="AH4614" t="inlineStr">
        <is>
          <t>PT. OGAN SAKTI PRATAMA - PPN (JMB)</t>
        </is>
      </c>
      <c r="AI4614" t="n">
        <v>163</v>
      </c>
      <c r="AJ4614" t="inlineStr">
        <is>
          <t>VIVA</t>
        </is>
      </c>
      <c r="AK4614" t="n">
        <v>9</v>
      </c>
      <c r="AL4614" t="inlineStr">
        <is>
          <t>Miss Glam Jambi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VIVA</t>
        </is>
      </c>
      <c r="B4615" s="2">
        <f>"8992796250030"</f>
        <v/>
      </c>
      <c r="C4615" t="inlineStr">
        <is>
          <t>VIVA White Chic On Lip Choco Dreamer 4.2G</t>
        </is>
      </c>
      <c r="D4615" t="inlineStr">
        <is>
          <t>Miss Glam Jambi</t>
        </is>
      </c>
      <c r="E4615" t="n">
        <v>11</v>
      </c>
      <c r="F4615" t="n">
        <v>0.1188</v>
      </c>
      <c r="G4615" t="n">
        <v>0.99</v>
      </c>
      <c r="H4615" t="n">
        <v>7</v>
      </c>
      <c r="I4615" t="n">
        <v>19</v>
      </c>
      <c r="J4615" t="n">
        <v>3</v>
      </c>
      <c r="K4615" t="n">
        <v>0</v>
      </c>
      <c r="L4615" t="n">
        <v>11573</v>
      </c>
      <c r="M4615" t="n">
        <v>15000</v>
      </c>
      <c r="N4615" t="n">
        <v>33</v>
      </c>
      <c r="O4615" t="n">
        <v>0.33</v>
      </c>
      <c r="P4615" t="n">
        <v>1</v>
      </c>
      <c r="Q4615" t="n">
        <v>0.12</v>
      </c>
      <c r="R4615" t="n">
        <v>1</v>
      </c>
      <c r="S4615" t="n">
        <v>1782</v>
      </c>
      <c r="T4615" t="n">
        <v>18</v>
      </c>
      <c r="U4615" t="n">
        <v>19</v>
      </c>
      <c r="V4615" t="n">
        <v>30</v>
      </c>
      <c r="W4615" t="n">
        <v>4</v>
      </c>
      <c r="X4615" t="n">
        <v>92.5925925925926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11315</v>
      </c>
      <c r="AG4615" t="n">
        <v>2173</v>
      </c>
      <c r="AH4615" t="inlineStr">
        <is>
          <t>PT. OGAN SAKTI PRATAMA - PPN (JMB)</t>
        </is>
      </c>
      <c r="AI4615" t="n">
        <v>163</v>
      </c>
      <c r="AJ4615" t="inlineStr">
        <is>
          <t>VIVA</t>
        </is>
      </c>
      <c r="AK4615" t="n">
        <v>9</v>
      </c>
      <c r="AL4615" t="inlineStr">
        <is>
          <t>Miss Glam Jambi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VIVA</t>
        </is>
      </c>
      <c r="B4616" s="2">
        <f>"8992796250047"</f>
        <v/>
      </c>
      <c r="C4616" t="inlineStr">
        <is>
          <t>VIVA White Chic On Lips Lip Balm Aloe Secret 4.2gr</t>
        </is>
      </c>
      <c r="D4616" t="inlineStr">
        <is>
          <t>Miss Glam Jambi</t>
        </is>
      </c>
      <c r="E4616" t="n">
        <v>5</v>
      </c>
      <c r="F4616" t="n">
        <v>0.0825</v>
      </c>
      <c r="G4616" t="n">
        <v>1.65</v>
      </c>
      <c r="H4616" t="n">
        <v>7</v>
      </c>
      <c r="I4616" t="n">
        <v>19</v>
      </c>
      <c r="J4616" t="n">
        <v>3</v>
      </c>
      <c r="K4616" t="n">
        <v>0</v>
      </c>
      <c r="L4616" t="n">
        <v>12116</v>
      </c>
      <c r="M4616" t="n">
        <v>15000</v>
      </c>
      <c r="N4616" t="n">
        <v>33</v>
      </c>
      <c r="O4616" t="n">
        <v>0.33</v>
      </c>
      <c r="P4616" t="n">
        <v>1</v>
      </c>
      <c r="Q4616" t="n">
        <v>0.02</v>
      </c>
      <c r="R4616" t="n">
        <v>1</v>
      </c>
      <c r="S4616" t="n">
        <v>1237.5</v>
      </c>
      <c r="T4616" t="n">
        <v>31</v>
      </c>
      <c r="U4616" t="n">
        <v>32</v>
      </c>
      <c r="V4616" t="n">
        <v>30</v>
      </c>
      <c r="W4616" t="n">
        <v>3</v>
      </c>
      <c r="X4616" t="n">
        <v>60.6060606060606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11315</v>
      </c>
      <c r="AG4616" t="n">
        <v>2173</v>
      </c>
      <c r="AH4616" t="inlineStr">
        <is>
          <t>PT. OGAN SAKTI PRATAMA - PPN (JMB)</t>
        </is>
      </c>
      <c r="AI4616" t="n">
        <v>163</v>
      </c>
      <c r="AJ4616" t="inlineStr">
        <is>
          <t>VIVA</t>
        </is>
      </c>
      <c r="AK4616" t="n">
        <v>9</v>
      </c>
      <c r="AL4616" t="inlineStr">
        <is>
          <t>Miss Glam Jambi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VIVA</t>
        </is>
      </c>
      <c r="B4617" s="2">
        <f>"8992796250016"</f>
        <v/>
      </c>
      <c r="C4617" t="inlineStr">
        <is>
          <t>VIVA White Chic On Lips Strawberry Inside 4.2 gr</t>
        </is>
      </c>
      <c r="D4617" t="inlineStr">
        <is>
          <t>Miss Glam Jambi</t>
        </is>
      </c>
      <c r="E4617" t="n">
        <v>3</v>
      </c>
      <c r="F4617" t="n">
        <v>0.7821</v>
      </c>
      <c r="G4617" t="n">
        <v>2.97</v>
      </c>
      <c r="H4617" t="n">
        <v>7</v>
      </c>
      <c r="I4617" t="n">
        <v>19</v>
      </c>
      <c r="J4617" t="n">
        <v>3</v>
      </c>
      <c r="K4617" t="n">
        <v>21</v>
      </c>
      <c r="L4617" t="n">
        <v>11573</v>
      </c>
      <c r="M4617" t="n">
        <v>15000</v>
      </c>
      <c r="N4617" t="n">
        <v>33</v>
      </c>
      <c r="O4617" t="n">
        <v>0.33</v>
      </c>
      <c r="P4617" t="n">
        <v>1</v>
      </c>
      <c r="Q4617" t="n">
        <v>0.22</v>
      </c>
      <c r="R4617" t="n">
        <v>3</v>
      </c>
      <c r="S4617" t="n">
        <v>11731.5</v>
      </c>
      <c r="T4617" t="n">
        <v>51</v>
      </c>
      <c r="U4617" t="n">
        <v>57</v>
      </c>
      <c r="V4617" t="n">
        <v>30</v>
      </c>
      <c r="W4617" t="n">
        <v>24</v>
      </c>
      <c r="X4617" t="n">
        <v>3.835826620636747</v>
      </c>
      <c r="Y4617" t="n">
        <v>1</v>
      </c>
      <c r="Z4617" t="n">
        <v>0</v>
      </c>
      <c r="AA4617" t="n">
        <v>11</v>
      </c>
      <c r="AB4617" t="n">
        <v>0</v>
      </c>
      <c r="AC4617" t="n">
        <v>0</v>
      </c>
      <c r="AD4617" t="n">
        <v>127303</v>
      </c>
      <c r="AE4617" t="n">
        <v>0</v>
      </c>
      <c r="AF4617" t="n">
        <v>11315</v>
      </c>
      <c r="AG4617" t="n">
        <v>2173</v>
      </c>
      <c r="AH4617" t="inlineStr">
        <is>
          <t>PT. OGAN SAKTI PRATAMA - PPN (JMB)</t>
        </is>
      </c>
      <c r="AI4617" t="n">
        <v>163</v>
      </c>
      <c r="AJ4617" t="inlineStr">
        <is>
          <t>VIVA</t>
        </is>
      </c>
      <c r="AK4617" t="n">
        <v>9</v>
      </c>
      <c r="AL4617" t="inlineStr">
        <is>
          <t>Miss Glam Jambi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VIVA</t>
        </is>
      </c>
      <c r="B4618" s="2">
        <f>"8992796250023"</f>
        <v/>
      </c>
      <c r="C4618" t="inlineStr">
        <is>
          <t>VIVA White Moisture Balm Chic On Lips Orange Blast 4.2gr</t>
        </is>
      </c>
      <c r="D4618" t="inlineStr">
        <is>
          <t>Miss Glam Jambi</t>
        </is>
      </c>
      <c r="E4618" t="n">
        <v>4</v>
      </c>
      <c r="F4618" t="n">
        <v>0.1518</v>
      </c>
      <c r="G4618" t="n">
        <v>1.32</v>
      </c>
      <c r="H4618" t="n">
        <v>7</v>
      </c>
      <c r="I4618" t="n">
        <v>19</v>
      </c>
      <c r="J4618" t="n">
        <v>3</v>
      </c>
      <c r="K4618" t="n">
        <v>3</v>
      </c>
      <c r="L4618" t="n">
        <v>11776</v>
      </c>
      <c r="M4618" t="n">
        <v>15000</v>
      </c>
      <c r="N4618" t="n">
        <v>33</v>
      </c>
      <c r="O4618" t="n">
        <v>0.33</v>
      </c>
      <c r="P4618" t="n">
        <v>1</v>
      </c>
      <c r="Q4618" t="n">
        <v>0.07000000000000001</v>
      </c>
      <c r="R4618" t="n">
        <v>2</v>
      </c>
      <c r="S4618" t="n">
        <v>2277</v>
      </c>
      <c r="T4618" t="n">
        <v>25</v>
      </c>
      <c r="U4618" t="n">
        <v>27</v>
      </c>
      <c r="V4618" t="n">
        <v>30</v>
      </c>
      <c r="W4618" t="n">
        <v>5</v>
      </c>
      <c r="X4618" t="n">
        <v>26.35046113306982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11315</v>
      </c>
      <c r="AG4618" t="n">
        <v>2173</v>
      </c>
      <c r="AH4618" t="inlineStr">
        <is>
          <t>PT. OGAN SAKTI PRATAMA - PPN (JMB)</t>
        </is>
      </c>
      <c r="AI4618" t="n">
        <v>163</v>
      </c>
      <c r="AJ4618" t="inlineStr">
        <is>
          <t>VIVA</t>
        </is>
      </c>
      <c r="AK4618" t="n">
        <v>9</v>
      </c>
      <c r="AL4618" t="inlineStr">
        <is>
          <t>Miss Glam Jambi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VIVA</t>
        </is>
      </c>
      <c r="B4619" s="2">
        <f>"8992796068413"</f>
        <v/>
      </c>
      <c r="C4619" t="inlineStr">
        <is>
          <t>VIVA Whitening Cream 15G</t>
        </is>
      </c>
      <c r="D4619" t="inlineStr">
        <is>
          <t>Miss Glam Jambi</t>
        </is>
      </c>
      <c r="E4619" t="n">
        <v>33</v>
      </c>
      <c r="F4619" t="n">
        <v>1.8282</v>
      </c>
      <c r="G4619" t="n">
        <v>3.63</v>
      </c>
      <c r="H4619" t="n">
        <v>7</v>
      </c>
      <c r="I4619" t="n">
        <v>19</v>
      </c>
      <c r="J4619" t="n">
        <v>3</v>
      </c>
      <c r="K4619" t="n">
        <v>20</v>
      </c>
      <c r="L4619" t="n">
        <v>8852</v>
      </c>
      <c r="M4619" t="n">
        <v>11000</v>
      </c>
      <c r="N4619" t="n">
        <v>33</v>
      </c>
      <c r="O4619" t="n">
        <v>0.33</v>
      </c>
      <c r="P4619" t="n">
        <v>1</v>
      </c>
      <c r="Q4619" t="n">
        <v>1.44</v>
      </c>
      <c r="R4619" t="n">
        <v>7</v>
      </c>
      <c r="S4619" t="n">
        <v>20110.2</v>
      </c>
      <c r="T4619" t="n">
        <v>57</v>
      </c>
      <c r="U4619" t="n">
        <v>70</v>
      </c>
      <c r="V4619" t="n">
        <v>30</v>
      </c>
      <c r="W4619" t="n">
        <v>55</v>
      </c>
      <c r="X4619" t="n">
        <v>18.05054151624549</v>
      </c>
      <c r="Y4619" t="n">
        <v>1</v>
      </c>
      <c r="Z4619" t="n">
        <v>2</v>
      </c>
      <c r="AA4619" t="n">
        <v>1</v>
      </c>
      <c r="AB4619" t="n">
        <v>1</v>
      </c>
      <c r="AC4619" t="n">
        <v>3</v>
      </c>
      <c r="AD4619" t="n">
        <v>8852</v>
      </c>
      <c r="AE4619" t="n">
        <v>26556</v>
      </c>
      <c r="AF4619" t="n">
        <v>11315</v>
      </c>
      <c r="AG4619" t="n">
        <v>2173</v>
      </c>
      <c r="AH4619" t="inlineStr">
        <is>
          <t>PT. OGAN SAKTI PRATAMA - PPN (JMB)</t>
        </is>
      </c>
      <c r="AI4619" t="n">
        <v>163</v>
      </c>
      <c r="AJ4619" t="inlineStr">
        <is>
          <t>VIVA</t>
        </is>
      </c>
      <c r="AK4619" t="n">
        <v>9</v>
      </c>
      <c r="AL4619" t="inlineStr">
        <is>
          <t>Miss Glam Jambi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VIVELLE</t>
        </is>
      </c>
      <c r="B4620" s="2">
        <f>"8993044751125"</f>
        <v/>
      </c>
      <c r="C4620" t="inlineStr">
        <is>
          <t>VIVELLE Extra Perfume Anti Perspirant Deodorant Green 50ml</t>
        </is>
      </c>
      <c r="D4620" t="inlineStr">
        <is>
          <t>Miss Glam Jambi</t>
        </is>
      </c>
      <c r="E4620" t="n">
        <v>3</v>
      </c>
      <c r="F4620" t="n">
        <v>0.0396</v>
      </c>
      <c r="G4620" t="n">
        <v>0.66</v>
      </c>
      <c r="H4620" t="n">
        <v>4</v>
      </c>
      <c r="I4620" t="n">
        <v>28</v>
      </c>
      <c r="J4620" t="n">
        <v>3</v>
      </c>
      <c r="K4620" t="n">
        <v>0</v>
      </c>
      <c r="L4620" t="n">
        <v>13050</v>
      </c>
      <c r="M4620" t="n">
        <v>19000</v>
      </c>
      <c r="N4620" t="n">
        <v>33</v>
      </c>
      <c r="O4620" t="n">
        <v>0.33</v>
      </c>
      <c r="P4620" t="n">
        <v>1</v>
      </c>
      <c r="Q4620" t="n">
        <v>0.07000000000000001</v>
      </c>
      <c r="R4620" t="n">
        <v>1</v>
      </c>
      <c r="S4620" t="n">
        <v>752.4000000000001</v>
      </c>
      <c r="T4620" t="n">
        <v>19</v>
      </c>
      <c r="U4620" t="n">
        <v>20</v>
      </c>
      <c r="V4620" t="n">
        <v>30</v>
      </c>
      <c r="W4620" t="n">
        <v>2</v>
      </c>
      <c r="X4620" t="n">
        <v>75.75757575757575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10545</v>
      </c>
      <c r="AG4620" t="n">
        <v>2148</v>
      </c>
      <c r="AH4620" t="inlineStr">
        <is>
          <t>PT. JAYA PALEMBANG SUKSES - PPN (JMB)</t>
        </is>
      </c>
      <c r="AI4620" t="n">
        <v>1589</v>
      </c>
      <c r="AJ4620" t="inlineStr">
        <is>
          <t>VIVELLE</t>
        </is>
      </c>
      <c r="AK4620" t="n">
        <v>9</v>
      </c>
      <c r="AL4620" t="inlineStr">
        <is>
          <t>Miss Glam Jambi</t>
        </is>
      </c>
      <c r="AM4620" t="n">
        <v>3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VIVELLE</t>
        </is>
      </c>
      <c r="B4621" s="2">
        <f>"8993044801103"</f>
        <v/>
      </c>
      <c r="C4621" t="inlineStr">
        <is>
          <t>VIVELLE Extra Strong Anti Perspirant Deodorant Pink 50ml</t>
        </is>
      </c>
      <c r="D4621" t="inlineStr">
        <is>
          <t>Miss Glam Jambi</t>
        </is>
      </c>
      <c r="E4621" t="n">
        <v>4</v>
      </c>
      <c r="F4621" t="n">
        <v>0.0198</v>
      </c>
      <c r="G4621" t="n">
        <v>0.66</v>
      </c>
      <c r="H4621" t="n">
        <v>4</v>
      </c>
      <c r="I4621" t="n">
        <v>28</v>
      </c>
      <c r="J4621" t="n">
        <v>3</v>
      </c>
      <c r="K4621" t="n">
        <v>0</v>
      </c>
      <c r="L4621" t="n">
        <v>13050</v>
      </c>
      <c r="M4621" t="n">
        <v>19000</v>
      </c>
      <c r="N4621" t="n">
        <v>33</v>
      </c>
      <c r="O4621" t="n">
        <v>0.33</v>
      </c>
      <c r="P4621" t="n">
        <v>1</v>
      </c>
      <c r="Q4621" t="n">
        <v>0.1</v>
      </c>
      <c r="R4621" t="n">
        <v>3</v>
      </c>
      <c r="S4621" t="n">
        <v>376.2</v>
      </c>
      <c r="T4621" t="n">
        <v>19</v>
      </c>
      <c r="U4621" t="n">
        <v>20</v>
      </c>
      <c r="V4621" t="n">
        <v>30</v>
      </c>
      <c r="W4621" t="n">
        <v>1</v>
      </c>
      <c r="X4621" t="n">
        <v>202.020202020202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10545</v>
      </c>
      <c r="AG4621" t="n">
        <v>2148</v>
      </c>
      <c r="AH4621" t="inlineStr">
        <is>
          <t>PT. JAYA PALEMBANG SUKSES - PPN (JMB)</t>
        </is>
      </c>
      <c r="AI4621" t="n">
        <v>1589</v>
      </c>
      <c r="AJ4621" t="inlineStr">
        <is>
          <t>VIVELLE</t>
        </is>
      </c>
      <c r="AK4621" t="n">
        <v>9</v>
      </c>
      <c r="AL4621" t="inlineStr">
        <is>
          <t>Miss Glam Jambi</t>
        </is>
      </c>
      <c r="AM4621" t="n">
        <v>3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VIVELLE</t>
        </is>
      </c>
      <c r="B4622" s="2">
        <f>"8993044801110"</f>
        <v/>
      </c>
      <c r="C4622" t="inlineStr">
        <is>
          <t>VIVELLE Whitening Anti Perspirant Deodorant Blue 50ml</t>
        </is>
      </c>
      <c r="D4622" t="inlineStr">
        <is>
          <t>Miss Glam Jambi</t>
        </is>
      </c>
      <c r="E4622" t="n">
        <v>2</v>
      </c>
      <c r="F4622" t="n">
        <v>0.0363</v>
      </c>
      <c r="G4622" t="n">
        <v>0.33</v>
      </c>
      <c r="H4622" t="n">
        <v>4</v>
      </c>
      <c r="I4622" t="n">
        <v>28</v>
      </c>
      <c r="J4622" t="n">
        <v>3</v>
      </c>
      <c r="K4622" t="n">
        <v>0</v>
      </c>
      <c r="L4622" t="n">
        <v>13050</v>
      </c>
      <c r="M4622" t="n">
        <v>17500</v>
      </c>
      <c r="N4622" t="n">
        <v>33</v>
      </c>
      <c r="O4622" t="n">
        <v>0.33</v>
      </c>
      <c r="P4622" t="n">
        <v>1</v>
      </c>
      <c r="Q4622" t="n">
        <v>0.02</v>
      </c>
      <c r="R4622" t="n">
        <v>1</v>
      </c>
      <c r="S4622" t="n">
        <v>635.25</v>
      </c>
      <c r="T4622" t="n">
        <v>10</v>
      </c>
      <c r="U4622" t="n">
        <v>11</v>
      </c>
      <c r="V4622" t="n">
        <v>30</v>
      </c>
      <c r="W4622" t="n">
        <v>2</v>
      </c>
      <c r="X4622" t="n">
        <v>55.09641873278237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10545</v>
      </c>
      <c r="AG4622" t="n">
        <v>2148</v>
      </c>
      <c r="AH4622" t="inlineStr">
        <is>
          <t>PT. JAYA PALEMBANG SUKSES - PPN (JMB)</t>
        </is>
      </c>
      <c r="AI4622" t="n">
        <v>1589</v>
      </c>
      <c r="AJ4622" t="inlineStr">
        <is>
          <t>VIVELLE</t>
        </is>
      </c>
      <c r="AK4622" t="n">
        <v>9</v>
      </c>
      <c r="AL4622" t="inlineStr">
        <is>
          <t>Miss Glam Jambi</t>
        </is>
      </c>
      <c r="AM4622" t="n">
        <v>3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VIVELLE</t>
        </is>
      </c>
      <c r="B4623" s="2">
        <f>"8993044050358"</f>
        <v/>
      </c>
      <c r="C4623" t="inlineStr">
        <is>
          <t>VIVELLE With Anti Bacterial Perfumed Deodorant Body Spray Blue 150ml</t>
        </is>
      </c>
      <c r="D4623" t="inlineStr">
        <is>
          <t>Miss Glam Jambi</t>
        </is>
      </c>
      <c r="E4623" t="n">
        <v>2</v>
      </c>
      <c r="F4623" t="n">
        <v>0.07000000000000001</v>
      </c>
      <c r="G4623" t="n">
        <v>1</v>
      </c>
      <c r="H4623" t="n">
        <v>4</v>
      </c>
      <c r="I4623" t="n">
        <v>28</v>
      </c>
      <c r="J4623" t="n">
        <v>3</v>
      </c>
      <c r="K4623" t="n">
        <v>0</v>
      </c>
      <c r="L4623" t="n">
        <v>17415</v>
      </c>
      <c r="M4623" t="n">
        <v>24000</v>
      </c>
      <c r="N4623" t="n">
        <v>33</v>
      </c>
      <c r="O4623" t="n">
        <v>0.33</v>
      </c>
      <c r="P4623" t="n">
        <v>0</v>
      </c>
      <c r="Q4623" t="n">
        <v>0.07000000000000001</v>
      </c>
      <c r="R4623" t="n">
        <v>1</v>
      </c>
      <c r="S4623" t="n">
        <v>1680</v>
      </c>
      <c r="T4623" t="n">
        <v>28</v>
      </c>
      <c r="U4623" t="n">
        <v>29</v>
      </c>
      <c r="V4623" t="n">
        <v>30</v>
      </c>
      <c r="W4623" t="n">
        <v>3</v>
      </c>
      <c r="X4623" t="n">
        <v>28.57142857142857</v>
      </c>
      <c r="Y4623" t="n">
        <v>1</v>
      </c>
      <c r="Z4623" t="n">
        <v>1</v>
      </c>
      <c r="AA4623" t="n">
        <v>0</v>
      </c>
      <c r="AB4623" t="n">
        <v>1</v>
      </c>
      <c r="AC4623" t="n">
        <v>3</v>
      </c>
      <c r="AD4623" t="n">
        <v>0</v>
      </c>
      <c r="AE4623" t="n">
        <v>52245</v>
      </c>
      <c r="AF4623" t="n">
        <v>10545</v>
      </c>
      <c r="AG4623" t="n">
        <v>2148</v>
      </c>
      <c r="AH4623" t="inlineStr">
        <is>
          <t>PT. JAYA PALEMBANG SUKSES - PPN (JMB)</t>
        </is>
      </c>
      <c r="AI4623" t="n">
        <v>1589</v>
      </c>
      <c r="AJ4623" t="inlineStr">
        <is>
          <t>VIVELLE</t>
        </is>
      </c>
      <c r="AK4623" t="n">
        <v>9</v>
      </c>
      <c r="AL4623" t="inlineStr">
        <is>
          <t>Miss Glam Jambi</t>
        </is>
      </c>
      <c r="AM4623" t="n">
        <v>3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VIVELLE</t>
        </is>
      </c>
      <c r="B4624" s="2">
        <f>"8993044050198"</f>
        <v/>
      </c>
      <c r="C4624" t="inlineStr">
        <is>
          <t>VIVELLE With Anti Bacterial Perfumed Deodorant Body Spray Green 150ml</t>
        </is>
      </c>
      <c r="D4624" t="inlineStr">
        <is>
          <t>Miss Glam Jambi</t>
        </is>
      </c>
      <c r="E4624" t="n">
        <v>19</v>
      </c>
      <c r="F4624" t="n">
        <v>0.02</v>
      </c>
      <c r="G4624" t="n">
        <v>1</v>
      </c>
      <c r="H4624" t="n">
        <v>4</v>
      </c>
      <c r="I4624" t="n">
        <v>28</v>
      </c>
      <c r="J4624" t="n">
        <v>3</v>
      </c>
      <c r="K4624" t="n">
        <v>0</v>
      </c>
      <c r="L4624" t="n">
        <v>17415</v>
      </c>
      <c r="M4624" t="n">
        <v>24000</v>
      </c>
      <c r="N4624" t="n">
        <v>33</v>
      </c>
      <c r="O4624" t="n">
        <v>0.33</v>
      </c>
      <c r="P4624" t="n">
        <v>0</v>
      </c>
      <c r="Q4624" t="n">
        <v>0.02</v>
      </c>
      <c r="R4624" t="n">
        <v>1</v>
      </c>
      <c r="S4624" t="n">
        <v>480</v>
      </c>
      <c r="T4624" t="n">
        <v>28</v>
      </c>
      <c r="U4624" t="n">
        <v>29</v>
      </c>
      <c r="V4624" t="n">
        <v>30</v>
      </c>
      <c r="W4624" t="n">
        <v>1</v>
      </c>
      <c r="X4624" t="n">
        <v>950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10545</v>
      </c>
      <c r="AG4624" t="n">
        <v>2148</v>
      </c>
      <c r="AH4624" t="inlineStr">
        <is>
          <t>PT. JAYA PALEMBANG SUKSES - PPN (JMB)</t>
        </is>
      </c>
      <c r="AI4624" t="n">
        <v>1589</v>
      </c>
      <c r="AJ4624" t="inlineStr">
        <is>
          <t>VIVELLE</t>
        </is>
      </c>
      <c r="AK4624" t="n">
        <v>9</v>
      </c>
      <c r="AL4624" t="inlineStr">
        <is>
          <t>Miss Glam Jambi</t>
        </is>
      </c>
      <c r="AM4624" t="n">
        <v>3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VIVELLE</t>
        </is>
      </c>
      <c r="B4625" s="2">
        <f>"8993044050327"</f>
        <v/>
      </c>
      <c r="C4625" t="inlineStr">
        <is>
          <t>VIVELLE With Anti Bacterial Perfumed Deodorant Body Spray Pink 150ml</t>
        </is>
      </c>
      <c r="D4625" t="inlineStr">
        <is>
          <t>Miss Glam Jambi</t>
        </is>
      </c>
      <c r="E4625" t="n">
        <v>0</v>
      </c>
      <c r="F4625" t="n">
        <v>0.15</v>
      </c>
      <c r="G4625" t="n">
        <v>2</v>
      </c>
      <c r="H4625" t="n">
        <v>4</v>
      </c>
      <c r="I4625" t="n">
        <v>28</v>
      </c>
      <c r="J4625" t="n">
        <v>3</v>
      </c>
      <c r="K4625" t="n">
        <v>0</v>
      </c>
      <c r="L4625" t="n">
        <v>17415</v>
      </c>
      <c r="M4625" t="n">
        <v>24000</v>
      </c>
      <c r="N4625" t="n">
        <v>33</v>
      </c>
      <c r="O4625" t="n">
        <v>0.33</v>
      </c>
      <c r="P4625" t="n">
        <v>0</v>
      </c>
      <c r="Q4625" t="n">
        <v>0.15</v>
      </c>
      <c r="R4625" t="n">
        <v>2</v>
      </c>
      <c r="S4625" t="n">
        <v>3600</v>
      </c>
      <c r="T4625" t="n">
        <v>56</v>
      </c>
      <c r="U4625" t="n">
        <v>57</v>
      </c>
      <c r="V4625" t="n">
        <v>30</v>
      </c>
      <c r="W4625" t="n">
        <v>5</v>
      </c>
      <c r="X4625" t="n">
        <v>0</v>
      </c>
      <c r="Y4625" t="n">
        <v>1</v>
      </c>
      <c r="Z4625" t="n">
        <v>5</v>
      </c>
      <c r="AA4625" t="n">
        <v>5</v>
      </c>
      <c r="AB4625" t="n">
        <v>0</v>
      </c>
      <c r="AC4625" t="n">
        <v>0</v>
      </c>
      <c r="AD4625" t="n">
        <v>87075</v>
      </c>
      <c r="AE4625" t="n">
        <v>0</v>
      </c>
      <c r="AF4625" t="n">
        <v>10545</v>
      </c>
      <c r="AG4625" t="n">
        <v>2148</v>
      </c>
      <c r="AH4625" t="inlineStr">
        <is>
          <t>PT. JAYA PALEMBANG SUKSES - PPN (JMB)</t>
        </is>
      </c>
      <c r="AI4625" t="n">
        <v>1589</v>
      </c>
      <c r="AJ4625" t="inlineStr">
        <is>
          <t>VIVELLE</t>
        </is>
      </c>
      <c r="AK4625" t="n">
        <v>9</v>
      </c>
      <c r="AL4625" t="inlineStr">
        <is>
          <t>Miss Glam Jambi</t>
        </is>
      </c>
      <c r="AM4625" t="n">
        <v>3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VIVELLE</t>
        </is>
      </c>
      <c r="B4626" s="2">
        <f>"8993044050211"</f>
        <v/>
      </c>
      <c r="C4626" t="inlineStr">
        <is>
          <t>VIVELLE With Anti Bacterial Perfumed Deodorant Body Spray Violet 150ml</t>
        </is>
      </c>
      <c r="D4626" t="inlineStr">
        <is>
          <t>Miss Glam Jambi</t>
        </is>
      </c>
      <c r="E4626" t="n">
        <v>9</v>
      </c>
      <c r="F4626" t="n">
        <v>0.08</v>
      </c>
      <c r="G4626" t="n">
        <v>1</v>
      </c>
      <c r="H4626" t="n">
        <v>4</v>
      </c>
      <c r="I4626" t="n">
        <v>28</v>
      </c>
      <c r="J4626" t="n">
        <v>3</v>
      </c>
      <c r="K4626" t="n">
        <v>0</v>
      </c>
      <c r="L4626" t="n">
        <v>17415</v>
      </c>
      <c r="M4626" t="n">
        <v>24000</v>
      </c>
      <c r="N4626" t="n">
        <v>33</v>
      </c>
      <c r="O4626" t="n">
        <v>0.33</v>
      </c>
      <c r="P4626" t="n">
        <v>0</v>
      </c>
      <c r="Q4626" t="n">
        <v>0.08</v>
      </c>
      <c r="R4626" t="n">
        <v>1</v>
      </c>
      <c r="S4626" t="n">
        <v>1920</v>
      </c>
      <c r="T4626" t="n">
        <v>28</v>
      </c>
      <c r="U4626" t="n">
        <v>29</v>
      </c>
      <c r="V4626" t="n">
        <v>30</v>
      </c>
      <c r="W4626" t="n">
        <v>3</v>
      </c>
      <c r="X4626" t="n">
        <v>112.5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10545</v>
      </c>
      <c r="AG4626" t="n">
        <v>2148</v>
      </c>
      <c r="AH4626" t="inlineStr">
        <is>
          <t>PT. JAYA PALEMBANG SUKSES - PPN (JMB)</t>
        </is>
      </c>
      <c r="AI4626" t="n">
        <v>1589</v>
      </c>
      <c r="AJ4626" t="inlineStr">
        <is>
          <t>VIVELLE</t>
        </is>
      </c>
      <c r="AK4626" t="n">
        <v>9</v>
      </c>
      <c r="AL4626" t="inlineStr">
        <is>
          <t>Miss Glam Jambi</t>
        </is>
      </c>
      <c r="AM4626" t="n">
        <v>3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VIVELLE</t>
        </is>
      </c>
      <c r="B4627" s="2">
        <f>"8993044751279"</f>
        <v/>
      </c>
      <c r="C4627" t="inlineStr">
        <is>
          <t>VIVELLE With Anti Bacterial Perfumed Deodorant Body Spray Yellow 150ml</t>
        </is>
      </c>
      <c r="D4627" t="inlineStr">
        <is>
          <t>Miss Glam Jambi</t>
        </is>
      </c>
      <c r="E4627" t="n">
        <v>4</v>
      </c>
      <c r="F4627" t="n">
        <v>0.05</v>
      </c>
      <c r="G4627" t="n">
        <v>1</v>
      </c>
      <c r="H4627" t="n">
        <v>4</v>
      </c>
      <c r="I4627" t="n">
        <v>28</v>
      </c>
      <c r="J4627" t="n">
        <v>3</v>
      </c>
      <c r="K4627" t="n">
        <v>0</v>
      </c>
      <c r="L4627" t="n">
        <v>17415</v>
      </c>
      <c r="M4627" t="n">
        <v>24000</v>
      </c>
      <c r="N4627" t="n">
        <v>33</v>
      </c>
      <c r="O4627" t="n">
        <v>0.33</v>
      </c>
      <c r="P4627" t="n">
        <v>0</v>
      </c>
      <c r="Q4627" t="n">
        <v>0.05</v>
      </c>
      <c r="R4627" t="n">
        <v>1</v>
      </c>
      <c r="S4627" t="n">
        <v>1200</v>
      </c>
      <c r="T4627" t="n">
        <v>28</v>
      </c>
      <c r="U4627" t="n">
        <v>29</v>
      </c>
      <c r="V4627" t="n">
        <v>30</v>
      </c>
      <c r="W4627" t="n">
        <v>2</v>
      </c>
      <c r="X4627" t="n">
        <v>80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10545</v>
      </c>
      <c r="AG4627" t="n">
        <v>2148</v>
      </c>
      <c r="AH4627" t="inlineStr">
        <is>
          <t>PT. JAYA PALEMBANG SUKSES - PPN (JMB)</t>
        </is>
      </c>
      <c r="AI4627" t="n">
        <v>1589</v>
      </c>
      <c r="AJ4627" t="inlineStr">
        <is>
          <t>VIVELLE</t>
        </is>
      </c>
      <c r="AK4627" t="n">
        <v>9</v>
      </c>
      <c r="AL4627" t="inlineStr">
        <is>
          <t>Miss Glam Jambi</t>
        </is>
      </c>
      <c r="AM4627" t="n">
        <v>3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WARDAH</t>
        </is>
      </c>
      <c r="B4628" s="2">
        <f>"90100104347"</f>
        <v/>
      </c>
      <c r="C4628" t="inlineStr">
        <is>
          <t>PROMO PRODUCT WARDAH Everyday Fruity Sheer Hydrabalm 5K</t>
        </is>
      </c>
      <c r="D4628" t="inlineStr">
        <is>
          <t>Miss Glam Jambi</t>
        </is>
      </c>
      <c r="E4628" t="n">
        <v>2</v>
      </c>
      <c r="F4628" t="n">
        <v>0.05</v>
      </c>
      <c r="G4628" t="n">
        <v>2</v>
      </c>
      <c r="H4628" t="n">
        <v>2</v>
      </c>
      <c r="I4628" t="n">
        <v>7</v>
      </c>
      <c r="J4628" t="n">
        <v>1</v>
      </c>
      <c r="K4628" t="n">
        <v>0</v>
      </c>
      <c r="L4628" t="n">
        <v>0</v>
      </c>
      <c r="M4628" t="n">
        <v>5000</v>
      </c>
      <c r="N4628" t="n">
        <v>33</v>
      </c>
      <c r="O4628" t="n">
        <v>0.33</v>
      </c>
      <c r="P4628" t="n">
        <v>0</v>
      </c>
      <c r="Q4628" t="n">
        <v>0.05</v>
      </c>
      <c r="R4628" t="n">
        <v>2</v>
      </c>
      <c r="S4628" t="n">
        <v>250</v>
      </c>
      <c r="T4628" t="n">
        <v>14</v>
      </c>
      <c r="U4628" t="n">
        <v>15</v>
      </c>
      <c r="V4628" t="n">
        <v>30</v>
      </c>
      <c r="W4628" t="n">
        <v>2</v>
      </c>
      <c r="X4628" t="n">
        <v>40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11602</v>
      </c>
      <c r="AG4628" t="n">
        <v>2141</v>
      </c>
      <c r="AH4628" t="inlineStr">
        <is>
          <t>PT. PARAMA GLOBAL INSPIRA - PPN (JMB)</t>
        </is>
      </c>
      <c r="AI4628" t="n">
        <v>164</v>
      </c>
      <c r="AJ4628" t="inlineStr">
        <is>
          <t>WARDAH</t>
        </is>
      </c>
      <c r="AK4628" t="n">
        <v>9</v>
      </c>
      <c r="AL4628" t="inlineStr">
        <is>
          <t>Miss Glam Jambi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WARDAH</t>
        </is>
      </c>
      <c r="B4629" s="2">
        <f>"8993137003223"</f>
        <v/>
      </c>
      <c r="C4629" t="inlineStr">
        <is>
          <t>WARDAH 10% Vitamin C Ferulic Acid Radiant Charge Serum 20ml</t>
        </is>
      </c>
      <c r="D4629" t="inlineStr">
        <is>
          <t>Miss Glam Jambi</t>
        </is>
      </c>
      <c r="E4629" t="n">
        <v>3</v>
      </c>
      <c r="F4629" t="n">
        <v>0.06270000000000001</v>
      </c>
      <c r="G4629" t="n">
        <v>0.66</v>
      </c>
      <c r="H4629" t="n">
        <v>2</v>
      </c>
      <c r="I4629" t="n">
        <v>7</v>
      </c>
      <c r="J4629" t="n">
        <v>3</v>
      </c>
      <c r="K4629" t="n">
        <v>0</v>
      </c>
      <c r="L4629" t="n">
        <v>90711</v>
      </c>
      <c r="M4629" t="n">
        <v>103000</v>
      </c>
      <c r="N4629" t="n">
        <v>33</v>
      </c>
      <c r="O4629" t="n">
        <v>0.33</v>
      </c>
      <c r="P4629" t="n">
        <v>1</v>
      </c>
      <c r="Q4629" t="n">
        <v>0.05</v>
      </c>
      <c r="R4629" t="n">
        <v>1</v>
      </c>
      <c r="S4629" t="n">
        <v>6458.1</v>
      </c>
      <c r="T4629" t="n">
        <v>5</v>
      </c>
      <c r="U4629" t="n">
        <v>6</v>
      </c>
      <c r="V4629" t="n">
        <v>30</v>
      </c>
      <c r="W4629" t="n">
        <v>2</v>
      </c>
      <c r="X4629" t="n">
        <v>47.84688995215311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11602</v>
      </c>
      <c r="AG4629" t="n">
        <v>2141</v>
      </c>
      <c r="AH4629" t="inlineStr">
        <is>
          <t>PT. PARAMA GLOBAL INSPIRA - PPN (JMB)</t>
        </is>
      </c>
      <c r="AI4629" t="n">
        <v>164</v>
      </c>
      <c r="AJ4629" t="inlineStr">
        <is>
          <t>WARDAH</t>
        </is>
      </c>
      <c r="AK4629" t="n">
        <v>9</v>
      </c>
      <c r="AL4629" t="inlineStr">
        <is>
          <t>Miss Glam Jambi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WARDAH</t>
        </is>
      </c>
      <c r="B4630" s="2">
        <f>"8993137003780"</f>
        <v/>
      </c>
      <c r="C4630" t="inlineStr">
        <is>
          <t>WARDAH 14x Hyaluron Pentavitin 30gr</t>
        </is>
      </c>
      <c r="D4630" t="inlineStr">
        <is>
          <t>Miss Glam Jambi</t>
        </is>
      </c>
      <c r="E4630" t="n">
        <v>7</v>
      </c>
      <c r="F4630" t="n">
        <v>0.1914</v>
      </c>
      <c r="G4630" t="n">
        <v>0.66</v>
      </c>
      <c r="H4630" t="n">
        <v>2</v>
      </c>
      <c r="I4630" t="n">
        <v>7</v>
      </c>
      <c r="J4630" t="n">
        <v>3</v>
      </c>
      <c r="K4630" t="n">
        <v>0</v>
      </c>
      <c r="L4630" t="n">
        <v>82760</v>
      </c>
      <c r="M4630" t="n">
        <v>99000</v>
      </c>
      <c r="N4630" t="n">
        <v>33</v>
      </c>
      <c r="O4630" t="n">
        <v>0.33</v>
      </c>
      <c r="P4630" t="n">
        <v>1</v>
      </c>
      <c r="Q4630" t="n">
        <v>0.27</v>
      </c>
      <c r="R4630" t="n">
        <v>2</v>
      </c>
      <c r="S4630" t="n">
        <v>18948.6</v>
      </c>
      <c r="T4630" t="n">
        <v>5</v>
      </c>
      <c r="U4630" t="n">
        <v>6</v>
      </c>
      <c r="V4630" t="n">
        <v>30</v>
      </c>
      <c r="W4630" t="n">
        <v>6</v>
      </c>
      <c r="X4630" t="n">
        <v>36.57262277951934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11602</v>
      </c>
      <c r="AG4630" t="n">
        <v>2141</v>
      </c>
      <c r="AH4630" t="inlineStr">
        <is>
          <t>PT. PARAMA GLOBAL INSPIRA - PPN (JMB)</t>
        </is>
      </c>
      <c r="AI4630" t="n">
        <v>164</v>
      </c>
      <c r="AJ4630" t="inlineStr">
        <is>
          <t>WARDAH</t>
        </is>
      </c>
      <c r="AK4630" t="n">
        <v>9</v>
      </c>
      <c r="AL4630" t="inlineStr">
        <is>
          <t>Miss Glam Jambi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WARDAH</t>
        </is>
      </c>
      <c r="B4631" s="2">
        <f>"8993137704175"</f>
        <v/>
      </c>
      <c r="C4631" t="inlineStr">
        <is>
          <t>WARDAH 2% Argireline Peptide MatrixylTM 3000 Firm &amp; Lift Essence Toner 50ml</t>
        </is>
      </c>
      <c r="D4631" t="inlineStr">
        <is>
          <t>Miss Glam Jambi</t>
        </is>
      </c>
      <c r="E4631" t="n">
        <v>6</v>
      </c>
      <c r="F4631" t="n">
        <v>0.0396</v>
      </c>
      <c r="G4631" t="n">
        <v>0.33</v>
      </c>
      <c r="H4631" t="n">
        <v>2</v>
      </c>
      <c r="I4631" t="n">
        <v>7</v>
      </c>
      <c r="J4631" t="n">
        <v>3</v>
      </c>
      <c r="K4631" t="n">
        <v>0</v>
      </c>
      <c r="L4631" t="n">
        <v>72415</v>
      </c>
      <c r="M4631" t="n">
        <v>85500</v>
      </c>
      <c r="N4631" t="n">
        <v>33</v>
      </c>
      <c r="O4631" t="n">
        <v>0.33</v>
      </c>
      <c r="P4631" t="n">
        <v>1</v>
      </c>
      <c r="Q4631" t="n">
        <v>0.03</v>
      </c>
      <c r="R4631" t="n">
        <v>1</v>
      </c>
      <c r="S4631" t="n">
        <v>3385.8</v>
      </c>
      <c r="T4631" t="n">
        <v>3</v>
      </c>
      <c r="U4631" t="n">
        <v>4</v>
      </c>
      <c r="V4631" t="n">
        <v>30</v>
      </c>
      <c r="W4631" t="n">
        <v>2</v>
      </c>
      <c r="X4631" t="n">
        <v>151.5151515151515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11602</v>
      </c>
      <c r="AG4631" t="n">
        <v>2141</v>
      </c>
      <c r="AH4631" t="inlineStr">
        <is>
          <t>PT. PARAMA GLOBAL INSPIRA - PPN (JMB)</t>
        </is>
      </c>
      <c r="AI4631" t="n">
        <v>164</v>
      </c>
      <c r="AJ4631" t="inlineStr">
        <is>
          <t>WARDAH</t>
        </is>
      </c>
      <c r="AK4631" t="n">
        <v>9</v>
      </c>
      <c r="AL4631" t="inlineStr">
        <is>
          <t>Miss Glam Jambi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WARDAH</t>
        </is>
      </c>
      <c r="B4632" s="2">
        <f>"8993137005838"</f>
        <v/>
      </c>
      <c r="C4632" t="inlineStr">
        <is>
          <t>WARDAH Acne Care Mecellar Water 400ml</t>
        </is>
      </c>
      <c r="D4632" t="inlineStr">
        <is>
          <t>Miss Glam Jambi</t>
        </is>
      </c>
      <c r="E4632" t="n">
        <v>3</v>
      </c>
      <c r="F4632" t="n">
        <v>0.0726</v>
      </c>
      <c r="G4632" t="n">
        <v>0.66</v>
      </c>
      <c r="H4632" t="n">
        <v>2</v>
      </c>
      <c r="I4632" t="n">
        <v>7</v>
      </c>
      <c r="J4632" t="n">
        <v>3</v>
      </c>
      <c r="K4632" t="n">
        <v>0</v>
      </c>
      <c r="L4632" t="n">
        <v>84676</v>
      </c>
      <c r="M4632" t="n">
        <v>100000</v>
      </c>
      <c r="N4632" t="n">
        <v>33</v>
      </c>
      <c r="O4632" t="n">
        <v>0.33</v>
      </c>
      <c r="P4632" t="n">
        <v>1</v>
      </c>
      <c r="Q4632" t="n">
        <v>0.05</v>
      </c>
      <c r="R4632" t="n">
        <v>1</v>
      </c>
      <c r="S4632" t="n">
        <v>7260</v>
      </c>
      <c r="T4632" t="n">
        <v>5</v>
      </c>
      <c r="U4632" t="n">
        <v>6</v>
      </c>
      <c r="V4632" t="n">
        <v>30</v>
      </c>
      <c r="W4632" t="n">
        <v>3</v>
      </c>
      <c r="X4632" t="n">
        <v>41.32231404958678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11602</v>
      </c>
      <c r="AG4632" t="n">
        <v>2141</v>
      </c>
      <c r="AH4632" t="inlineStr">
        <is>
          <t>PT. PARAMA GLOBAL INSPIRA - PPN (JMB)</t>
        </is>
      </c>
      <c r="AI4632" t="n">
        <v>164</v>
      </c>
      <c r="AJ4632" t="inlineStr">
        <is>
          <t>WARDAH</t>
        </is>
      </c>
      <c r="AK4632" t="n">
        <v>9</v>
      </c>
      <c r="AL4632" t="inlineStr">
        <is>
          <t>Miss Glam Jambi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WARDAH</t>
        </is>
      </c>
      <c r="B4633" s="2">
        <f>"8993137005821"</f>
        <v/>
      </c>
      <c r="C4633" t="inlineStr">
        <is>
          <t>WARDAH Acnedem Acne Care Micellar Water 240ml</t>
        </is>
      </c>
      <c r="D4633" t="inlineStr">
        <is>
          <t>Miss Glam Jambi</t>
        </is>
      </c>
      <c r="E4633" t="n">
        <v>5</v>
      </c>
      <c r="F4633" t="n">
        <v>0.3531</v>
      </c>
      <c r="G4633" t="n">
        <v>1.65</v>
      </c>
      <c r="H4633" t="n">
        <v>2</v>
      </c>
      <c r="I4633" t="n">
        <v>7</v>
      </c>
      <c r="J4633" t="n">
        <v>3</v>
      </c>
      <c r="K4633" t="n">
        <v>6</v>
      </c>
      <c r="L4633" t="n">
        <v>47511</v>
      </c>
      <c r="M4633" t="n">
        <v>56000</v>
      </c>
      <c r="N4633" t="n">
        <v>33</v>
      </c>
      <c r="O4633" t="n">
        <v>0.33</v>
      </c>
      <c r="P4633" t="n">
        <v>1</v>
      </c>
      <c r="Q4633" t="n">
        <v>0.29</v>
      </c>
      <c r="R4633" t="n">
        <v>2</v>
      </c>
      <c r="S4633" t="n">
        <v>19773.6</v>
      </c>
      <c r="T4633" t="n">
        <v>11</v>
      </c>
      <c r="U4633" t="n">
        <v>12</v>
      </c>
      <c r="V4633" t="n">
        <v>30</v>
      </c>
      <c r="W4633" t="n">
        <v>11</v>
      </c>
      <c r="X4633" t="n">
        <v>14.16029453412631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11602</v>
      </c>
      <c r="AG4633" t="n">
        <v>2141</v>
      </c>
      <c r="AH4633" t="inlineStr">
        <is>
          <t>PT. PARAMA GLOBAL INSPIRA - PPN (JMB)</t>
        </is>
      </c>
      <c r="AI4633" t="n">
        <v>164</v>
      </c>
      <c r="AJ4633" t="inlineStr">
        <is>
          <t>WARDAH</t>
        </is>
      </c>
      <c r="AK4633" t="n">
        <v>9</v>
      </c>
      <c r="AL4633" t="inlineStr">
        <is>
          <t>Miss Glam Jambi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WARDAH</t>
        </is>
      </c>
      <c r="B4634" s="2">
        <f>"8993137716413"</f>
        <v/>
      </c>
      <c r="C4634" t="inlineStr">
        <is>
          <t>WARDAH Acnederm Acne Care Serum 15ml</t>
        </is>
      </c>
      <c r="D4634" t="inlineStr">
        <is>
          <t>Miss Glam Jambi</t>
        </is>
      </c>
      <c r="E4634" t="n">
        <v>4</v>
      </c>
      <c r="F4634" t="n">
        <v>0.09569999999999999</v>
      </c>
      <c r="G4634" t="n">
        <v>0.66</v>
      </c>
      <c r="H4634" t="n">
        <v>2</v>
      </c>
      <c r="I4634" t="n">
        <v>7</v>
      </c>
      <c r="J4634" t="n">
        <v>3</v>
      </c>
      <c r="K4634" t="n">
        <v>0</v>
      </c>
      <c r="L4634" t="n">
        <v>54790</v>
      </c>
      <c r="M4634" t="n">
        <v>64500</v>
      </c>
      <c r="N4634" t="n">
        <v>33</v>
      </c>
      <c r="O4634" t="n">
        <v>0.33</v>
      </c>
      <c r="P4634" t="n">
        <v>1</v>
      </c>
      <c r="Q4634" t="n">
        <v>0.05</v>
      </c>
      <c r="R4634" t="n">
        <v>1</v>
      </c>
      <c r="S4634" t="n">
        <v>6172.65</v>
      </c>
      <c r="T4634" t="n">
        <v>5</v>
      </c>
      <c r="U4634" t="n">
        <v>6</v>
      </c>
      <c r="V4634" t="n">
        <v>30</v>
      </c>
      <c r="W4634" t="n">
        <v>3</v>
      </c>
      <c r="X4634" t="n">
        <v>41.79728317659352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11602</v>
      </c>
      <c r="AG4634" t="n">
        <v>2141</v>
      </c>
      <c r="AH4634" t="inlineStr">
        <is>
          <t>PT. PARAMA GLOBAL INSPIRA - PPN (JMB)</t>
        </is>
      </c>
      <c r="AI4634" t="n">
        <v>164</v>
      </c>
      <c r="AJ4634" t="inlineStr">
        <is>
          <t>WARDAH</t>
        </is>
      </c>
      <c r="AK4634" t="n">
        <v>9</v>
      </c>
      <c r="AL4634" t="inlineStr">
        <is>
          <t>Miss Glam Jambi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WARDAH</t>
        </is>
      </c>
      <c r="B4635" s="2">
        <f>"8993137576031"</f>
        <v/>
      </c>
      <c r="C4635" t="inlineStr">
        <is>
          <t>WARDAH Acnederm Acne Spot Treatment Gel 15ml</t>
        </is>
      </c>
      <c r="D4635" t="inlineStr">
        <is>
          <t>Miss Glam Jambi</t>
        </is>
      </c>
      <c r="E4635" t="n">
        <v>0</v>
      </c>
      <c r="F4635" t="n">
        <v>0.0726</v>
      </c>
      <c r="G4635" t="n">
        <v>0.66</v>
      </c>
      <c r="H4635" t="n">
        <v>2</v>
      </c>
      <c r="I4635" t="n">
        <v>7</v>
      </c>
      <c r="J4635" t="n">
        <v>3</v>
      </c>
      <c r="K4635" t="n">
        <v>3</v>
      </c>
      <c r="L4635" t="n">
        <v>21840</v>
      </c>
      <c r="M4635" t="n">
        <v>26000</v>
      </c>
      <c r="N4635" t="n">
        <v>33</v>
      </c>
      <c r="O4635" t="n">
        <v>0.33</v>
      </c>
      <c r="P4635" t="n">
        <v>1</v>
      </c>
      <c r="Q4635" t="n">
        <v>0.1</v>
      </c>
      <c r="R4635" t="n">
        <v>1</v>
      </c>
      <c r="S4635" t="n">
        <v>1887.6</v>
      </c>
      <c r="T4635" t="n">
        <v>5</v>
      </c>
      <c r="U4635" t="n">
        <v>6</v>
      </c>
      <c r="V4635" t="n">
        <v>30</v>
      </c>
      <c r="W4635" t="n">
        <v>3</v>
      </c>
      <c r="X4635" t="n">
        <v>0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11602</v>
      </c>
      <c r="AG4635" t="n">
        <v>2141</v>
      </c>
      <c r="AH4635" t="inlineStr">
        <is>
          <t>PT. PARAMA GLOBAL INSPIRA - PPN (JMB)</t>
        </is>
      </c>
      <c r="AI4635" t="n">
        <v>164</v>
      </c>
      <c r="AJ4635" t="inlineStr">
        <is>
          <t>WARDAH</t>
        </is>
      </c>
      <c r="AK4635" t="n">
        <v>9</v>
      </c>
      <c r="AL4635" t="inlineStr">
        <is>
          <t>Miss Glam Jambi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WARDAH</t>
        </is>
      </c>
      <c r="B4636" s="2">
        <f>"8993137576024"</f>
        <v/>
      </c>
      <c r="C4636" t="inlineStr">
        <is>
          <t>WARDAH Acnederm Day Moisturizer 40ml</t>
        </is>
      </c>
      <c r="D4636" t="inlineStr">
        <is>
          <t>Miss Glam Jambi</t>
        </is>
      </c>
      <c r="E4636" t="n">
        <v>2</v>
      </c>
      <c r="F4636" t="n">
        <v>0.0825</v>
      </c>
      <c r="G4636" t="n">
        <v>0.66</v>
      </c>
      <c r="H4636" t="n">
        <v>2</v>
      </c>
      <c r="I4636" t="n">
        <v>7</v>
      </c>
      <c r="J4636" t="n">
        <v>3</v>
      </c>
      <c r="K4636" t="n">
        <v>3</v>
      </c>
      <c r="L4636" t="n">
        <v>32185</v>
      </c>
      <c r="M4636" t="n">
        <v>37000</v>
      </c>
      <c r="N4636" t="n">
        <v>33</v>
      </c>
      <c r="O4636" t="n">
        <v>0.33</v>
      </c>
      <c r="P4636" t="n">
        <v>1</v>
      </c>
      <c r="Q4636" t="n">
        <v>0.02</v>
      </c>
      <c r="R4636" t="n">
        <v>1</v>
      </c>
      <c r="S4636" t="n">
        <v>3052.5</v>
      </c>
      <c r="T4636" t="n">
        <v>5</v>
      </c>
      <c r="U4636" t="n">
        <v>6</v>
      </c>
      <c r="V4636" t="n">
        <v>30</v>
      </c>
      <c r="W4636" t="n">
        <v>3</v>
      </c>
      <c r="X4636" t="n">
        <v>24.24242424242424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11602</v>
      </c>
      <c r="AG4636" t="n">
        <v>2141</v>
      </c>
      <c r="AH4636" t="inlineStr">
        <is>
          <t>PT. PARAMA GLOBAL INSPIRA - PPN (JMB)</t>
        </is>
      </c>
      <c r="AI4636" t="n">
        <v>164</v>
      </c>
      <c r="AJ4636" t="inlineStr">
        <is>
          <t>WARDAH</t>
        </is>
      </c>
      <c r="AK4636" t="n">
        <v>9</v>
      </c>
      <c r="AL4636" t="inlineStr">
        <is>
          <t>Miss Glam Jambi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WARDAH</t>
        </is>
      </c>
      <c r="B4637" s="2">
        <f>"8993137678728"</f>
        <v/>
      </c>
      <c r="C4637" t="inlineStr">
        <is>
          <t>WARDAH Acnederm Face Powder 20gr</t>
        </is>
      </c>
      <c r="D4637" t="inlineStr">
        <is>
          <t>Miss Glam Jambi</t>
        </is>
      </c>
      <c r="E4637" t="n">
        <v>1</v>
      </c>
      <c r="F4637" t="n">
        <v>0.07920000000000001</v>
      </c>
      <c r="G4637" t="n">
        <v>0.33</v>
      </c>
      <c r="H4637" t="n">
        <v>2</v>
      </c>
      <c r="I4637" t="n">
        <v>7</v>
      </c>
      <c r="J4637" t="n">
        <v>3</v>
      </c>
      <c r="K4637" t="n">
        <v>3</v>
      </c>
      <c r="L4637" t="n">
        <v>40997</v>
      </c>
      <c r="M4637" t="n">
        <v>43000</v>
      </c>
      <c r="N4637" t="n">
        <v>33</v>
      </c>
      <c r="O4637" t="n">
        <v>0.33</v>
      </c>
      <c r="P4637" t="n">
        <v>1</v>
      </c>
      <c r="Q4637" t="n">
        <v>0.05</v>
      </c>
      <c r="R4637" t="n">
        <v>1</v>
      </c>
      <c r="S4637" t="n">
        <v>3405.6</v>
      </c>
      <c r="T4637" t="n">
        <v>3</v>
      </c>
      <c r="U4637" t="n">
        <v>4</v>
      </c>
      <c r="V4637" t="n">
        <v>30</v>
      </c>
      <c r="W4637" t="n">
        <v>3</v>
      </c>
      <c r="X4637" t="n">
        <v>12.62626262626262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11602</v>
      </c>
      <c r="AG4637" t="n">
        <v>2141</v>
      </c>
      <c r="AH4637" t="inlineStr">
        <is>
          <t>PT. PARAMA GLOBAL INSPIRA - PPN (JMB)</t>
        </is>
      </c>
      <c r="AI4637" t="n">
        <v>164</v>
      </c>
      <c r="AJ4637" t="inlineStr">
        <is>
          <t>WARDAH</t>
        </is>
      </c>
      <c r="AK4637" t="n">
        <v>9</v>
      </c>
      <c r="AL4637" t="inlineStr">
        <is>
          <t>Miss Glam Jambi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WARDAH</t>
        </is>
      </c>
      <c r="B4638" s="2">
        <f>"8993137698832"</f>
        <v/>
      </c>
      <c r="C4638" t="inlineStr">
        <is>
          <t>WARDAH Acnederm Night Treatment Moisturizer 40ml</t>
        </is>
      </c>
      <c r="D4638" t="inlineStr">
        <is>
          <t>Miss Glam Jambi</t>
        </is>
      </c>
      <c r="E4638" t="n">
        <v>3</v>
      </c>
      <c r="F4638" t="n">
        <v>0.07000000000000001</v>
      </c>
      <c r="G4638" t="n">
        <v>1</v>
      </c>
      <c r="H4638" t="n">
        <v>2</v>
      </c>
      <c r="I4638" t="n">
        <v>7</v>
      </c>
      <c r="J4638" t="n">
        <v>3</v>
      </c>
      <c r="K4638" t="n">
        <v>0</v>
      </c>
      <c r="L4638" t="n">
        <v>34100</v>
      </c>
      <c r="M4638" t="n">
        <v>38000</v>
      </c>
      <c r="N4638" t="n">
        <v>33</v>
      </c>
      <c r="O4638" t="n">
        <v>0.33</v>
      </c>
      <c r="P4638" t="n">
        <v>0</v>
      </c>
      <c r="Q4638" t="n">
        <v>0.07000000000000001</v>
      </c>
      <c r="R4638" t="n">
        <v>1</v>
      </c>
      <c r="S4638" t="n">
        <v>2660</v>
      </c>
      <c r="T4638" t="n">
        <v>7</v>
      </c>
      <c r="U4638" t="n">
        <v>8</v>
      </c>
      <c r="V4638" t="n">
        <v>30</v>
      </c>
      <c r="W4638" t="n">
        <v>3</v>
      </c>
      <c r="X4638" t="n">
        <v>42.85714285714285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11602</v>
      </c>
      <c r="AG4638" t="n">
        <v>2141</v>
      </c>
      <c r="AH4638" t="inlineStr">
        <is>
          <t>PT. PARAMA GLOBAL INSPIRA - PPN (JMB)</t>
        </is>
      </c>
      <c r="AI4638" t="n">
        <v>164</v>
      </c>
      <c r="AJ4638" t="inlineStr">
        <is>
          <t>WARDAH</t>
        </is>
      </c>
      <c r="AK4638" t="n">
        <v>9</v>
      </c>
      <c r="AL4638" t="inlineStr">
        <is>
          <t>Miss Glam Jambi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WARDAH</t>
        </is>
      </c>
      <c r="B4639" s="2">
        <f>"8993137572422"</f>
        <v/>
      </c>
      <c r="C4639" t="inlineStr">
        <is>
          <t>WARDAH Acnederm Pore Refiner Toner 100ml</t>
        </is>
      </c>
      <c r="D4639" t="inlineStr">
        <is>
          <t>Miss Glam Jambi</t>
        </is>
      </c>
      <c r="E4639" t="n">
        <v>3</v>
      </c>
      <c r="F4639" t="n">
        <v>0.06270000000000001</v>
      </c>
      <c r="G4639" t="n">
        <v>0.66</v>
      </c>
      <c r="H4639" t="n">
        <v>2</v>
      </c>
      <c r="I4639" t="n">
        <v>7</v>
      </c>
      <c r="J4639" t="n">
        <v>3</v>
      </c>
      <c r="K4639" t="n">
        <v>0</v>
      </c>
      <c r="L4639" t="n">
        <v>25671</v>
      </c>
      <c r="M4639" t="n">
        <v>30500</v>
      </c>
      <c r="N4639" t="n">
        <v>33</v>
      </c>
      <c r="O4639" t="n">
        <v>0.33</v>
      </c>
      <c r="P4639" t="n">
        <v>1</v>
      </c>
      <c r="Q4639" t="n">
        <v>0.03</v>
      </c>
      <c r="R4639" t="n">
        <v>1</v>
      </c>
      <c r="S4639" t="n">
        <v>1912.35</v>
      </c>
      <c r="T4639" t="n">
        <v>5</v>
      </c>
      <c r="U4639" t="n">
        <v>6</v>
      </c>
      <c r="V4639" t="n">
        <v>30</v>
      </c>
      <c r="W4639" t="n">
        <v>2</v>
      </c>
      <c r="X4639" t="n">
        <v>47.84688995215311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11602</v>
      </c>
      <c r="AG4639" t="n">
        <v>2141</v>
      </c>
      <c r="AH4639" t="inlineStr">
        <is>
          <t>PT. PARAMA GLOBAL INSPIRA - PPN (JMB)</t>
        </is>
      </c>
      <c r="AI4639" t="n">
        <v>164</v>
      </c>
      <c r="AJ4639" t="inlineStr">
        <is>
          <t>WARDAH</t>
        </is>
      </c>
      <c r="AK4639" t="n">
        <v>9</v>
      </c>
      <c r="AL4639" t="inlineStr">
        <is>
          <t>Miss Glam Jambi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WARDAH</t>
        </is>
      </c>
      <c r="B4640" s="2">
        <f>"8993137008815"</f>
        <v/>
      </c>
      <c r="C4640" t="inlineStr">
        <is>
          <t>WARDAH Acnederm Salicylic Acid Zinc Acne Clearing Low PH Foaming Cleanser 100ml</t>
        </is>
      </c>
      <c r="D4640" t="inlineStr">
        <is>
          <t>Miss Glam Jambi</t>
        </is>
      </c>
      <c r="E4640" t="n">
        <v>15</v>
      </c>
      <c r="F4640" t="n">
        <v>0.7887000000000001</v>
      </c>
      <c r="G4640" t="n">
        <v>3.3</v>
      </c>
      <c r="H4640" t="n">
        <v>2</v>
      </c>
      <c r="I4640" t="n">
        <v>7</v>
      </c>
      <c r="J4640" t="n">
        <v>3</v>
      </c>
      <c r="K4640" t="n">
        <v>9</v>
      </c>
      <c r="L4640" t="n">
        <v>28731</v>
      </c>
      <c r="M4640" t="n">
        <v>33000</v>
      </c>
      <c r="N4640" t="n">
        <v>33</v>
      </c>
      <c r="O4640" t="n">
        <v>0.33</v>
      </c>
      <c r="P4640" t="n">
        <v>1</v>
      </c>
      <c r="Q4640" t="n">
        <v>0.32</v>
      </c>
      <c r="R4640" t="n">
        <v>3</v>
      </c>
      <c r="S4640" t="n">
        <v>26027.1</v>
      </c>
      <c r="T4640" t="n">
        <v>22</v>
      </c>
      <c r="U4640" t="n">
        <v>24</v>
      </c>
      <c r="V4640" t="n">
        <v>30</v>
      </c>
      <c r="W4640" t="n">
        <v>24</v>
      </c>
      <c r="X4640" t="n">
        <v>19.01863826550019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11602</v>
      </c>
      <c r="AG4640" t="n">
        <v>2141</v>
      </c>
      <c r="AH4640" t="inlineStr">
        <is>
          <t>PT. PARAMA GLOBAL INSPIRA - PPN (JMB)</t>
        </is>
      </c>
      <c r="AI4640" t="n">
        <v>164</v>
      </c>
      <c r="AJ4640" t="inlineStr">
        <is>
          <t>WARDAH</t>
        </is>
      </c>
      <c r="AK4640" t="n">
        <v>9</v>
      </c>
      <c r="AL4640" t="inlineStr">
        <is>
          <t>Miss Glam Jambi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WARDAH</t>
        </is>
      </c>
      <c r="B4641" s="2">
        <f>"8993137576000"</f>
        <v/>
      </c>
      <c r="C4641" t="inlineStr">
        <is>
          <t>WARDAH Acnederm Salicylic Acid Zinc Acne Clearing Low pH Foaming Cleanser 50ml</t>
        </is>
      </c>
      <c r="D4641" t="inlineStr">
        <is>
          <t>Miss Glam Jambi</t>
        </is>
      </c>
      <c r="E4641" t="n">
        <v>3</v>
      </c>
      <c r="F4641" t="n">
        <v>0.2805</v>
      </c>
      <c r="G4641" t="n">
        <v>1.32</v>
      </c>
      <c r="H4641" t="n">
        <v>2</v>
      </c>
      <c r="I4641" t="n">
        <v>7</v>
      </c>
      <c r="J4641" t="n">
        <v>3</v>
      </c>
      <c r="K4641" t="n">
        <v>5</v>
      </c>
      <c r="L4641" t="n">
        <v>18928</v>
      </c>
      <c r="M4641" t="n">
        <v>22500</v>
      </c>
      <c r="N4641" t="n">
        <v>33</v>
      </c>
      <c r="O4641" t="n">
        <v>0.33</v>
      </c>
      <c r="P4641" t="n">
        <v>1</v>
      </c>
      <c r="Q4641" t="n">
        <v>0.1</v>
      </c>
      <c r="R4641" t="n">
        <v>1</v>
      </c>
      <c r="S4641" t="n">
        <v>6311.250000000001</v>
      </c>
      <c r="T4641" t="n">
        <v>9</v>
      </c>
      <c r="U4641" t="n">
        <v>10</v>
      </c>
      <c r="V4641" t="n">
        <v>30</v>
      </c>
      <c r="W4641" t="n">
        <v>9</v>
      </c>
      <c r="X4641" t="n">
        <v>10.6951871657754</v>
      </c>
      <c r="Y4641" t="n">
        <v>1</v>
      </c>
      <c r="Z4641" t="n">
        <v>1</v>
      </c>
      <c r="AA4641" t="n">
        <v>0</v>
      </c>
      <c r="AB4641" t="n">
        <v>1</v>
      </c>
      <c r="AC4641" t="n">
        <v>3</v>
      </c>
      <c r="AD4641" t="n">
        <v>0</v>
      </c>
      <c r="AE4641" t="n">
        <v>56784</v>
      </c>
      <c r="AF4641" t="n">
        <v>11602</v>
      </c>
      <c r="AG4641" t="n">
        <v>2141</v>
      </c>
      <c r="AH4641" t="inlineStr">
        <is>
          <t>PT. PARAMA GLOBAL INSPIRA - PPN (JMB)</t>
        </is>
      </c>
      <c r="AI4641" t="n">
        <v>164</v>
      </c>
      <c r="AJ4641" t="inlineStr">
        <is>
          <t>WARDAH</t>
        </is>
      </c>
      <c r="AK4641" t="n">
        <v>9</v>
      </c>
      <c r="AL4641" t="inlineStr">
        <is>
          <t>Miss Glam Jambi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WARDAH</t>
        </is>
      </c>
      <c r="B4642" s="2">
        <f>"203003107213"</f>
        <v/>
      </c>
      <c r="C4642" t="inlineStr">
        <is>
          <t>WARDAH Airbrush Lip Tint 01 Roseivy 3g</t>
        </is>
      </c>
      <c r="D4642" t="inlineStr">
        <is>
          <t>Miss Glam Jambi</t>
        </is>
      </c>
      <c r="E4642" t="n">
        <v>3</v>
      </c>
      <c r="F4642" t="n">
        <v>0.0165</v>
      </c>
      <c r="G4642" t="n">
        <v>0.33</v>
      </c>
      <c r="H4642" t="n">
        <v>2</v>
      </c>
      <c r="I4642" t="n">
        <v>7</v>
      </c>
      <c r="J4642" t="n">
        <v>1</v>
      </c>
      <c r="K4642" t="n">
        <v>0</v>
      </c>
      <c r="L4642" t="n">
        <v>52492</v>
      </c>
      <c r="M4642" t="n">
        <v>62000</v>
      </c>
      <c r="N4642" t="n">
        <v>33</v>
      </c>
      <c r="O4642" t="n">
        <v>0.33</v>
      </c>
      <c r="P4642" t="n">
        <v>1</v>
      </c>
      <c r="Q4642" t="n">
        <v>0.08</v>
      </c>
      <c r="R4642" t="n">
        <v>1</v>
      </c>
      <c r="S4642" t="n">
        <v>1023</v>
      </c>
      <c r="T4642" t="n">
        <v>3</v>
      </c>
      <c r="U4642" t="n">
        <v>4</v>
      </c>
      <c r="V4642" t="n">
        <v>30</v>
      </c>
      <c r="W4642" t="n">
        <v>1</v>
      </c>
      <c r="X4642" t="n">
        <v>181.8181818181818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11602</v>
      </c>
      <c r="AG4642" t="n">
        <v>2141</v>
      </c>
      <c r="AH4642" t="inlineStr">
        <is>
          <t>PT. PARAMA GLOBAL INSPIRA - PPN (JMB)</t>
        </is>
      </c>
      <c r="AI4642" t="n">
        <v>164</v>
      </c>
      <c r="AJ4642" t="inlineStr">
        <is>
          <t>WARDAH</t>
        </is>
      </c>
      <c r="AK4642" t="n">
        <v>9</v>
      </c>
      <c r="AL4642" t="inlineStr">
        <is>
          <t>Miss Glam Jambi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WARDAH</t>
        </is>
      </c>
      <c r="B4643" s="2">
        <f>"203003107356"</f>
        <v/>
      </c>
      <c r="C4643" t="inlineStr">
        <is>
          <t>WARDAH Airbrush Lip Tint 02 Persimoon 3g</t>
        </is>
      </c>
      <c r="D4643" t="inlineStr">
        <is>
          <t>Miss Glam Jambi</t>
        </is>
      </c>
      <c r="E4643" t="n">
        <v>4</v>
      </c>
      <c r="F4643" t="n">
        <v>0.006600000000000001</v>
      </c>
      <c r="G4643" t="n">
        <v>0.33</v>
      </c>
      <c r="H4643" t="n">
        <v>2</v>
      </c>
      <c r="I4643" t="n">
        <v>7</v>
      </c>
      <c r="J4643" t="n">
        <v>1</v>
      </c>
      <c r="K4643" t="n">
        <v>0</v>
      </c>
      <c r="L4643" t="n">
        <v>52492</v>
      </c>
      <c r="M4643" t="n">
        <v>62000</v>
      </c>
      <c r="N4643" t="n">
        <v>33</v>
      </c>
      <c r="O4643" t="n">
        <v>0.33</v>
      </c>
      <c r="P4643" t="n">
        <v>1</v>
      </c>
      <c r="Q4643" t="n">
        <v>0.07000000000000001</v>
      </c>
      <c r="R4643" t="n">
        <v>2</v>
      </c>
      <c r="S4643" t="n">
        <v>409.2</v>
      </c>
      <c r="T4643" t="n">
        <v>3</v>
      </c>
      <c r="U4643" t="n">
        <v>4</v>
      </c>
      <c r="V4643" t="n">
        <v>30</v>
      </c>
      <c r="W4643" t="n">
        <v>1</v>
      </c>
      <c r="X4643" t="n">
        <v>606.060606060606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11602</v>
      </c>
      <c r="AG4643" t="n">
        <v>2141</v>
      </c>
      <c r="AH4643" t="inlineStr">
        <is>
          <t>PT. PARAMA GLOBAL INSPIRA - PPN (JMB)</t>
        </is>
      </c>
      <c r="AI4643" t="n">
        <v>164</v>
      </c>
      <c r="AJ4643" t="inlineStr">
        <is>
          <t>WARDAH</t>
        </is>
      </c>
      <c r="AK4643" t="n">
        <v>9</v>
      </c>
      <c r="AL4643" t="inlineStr">
        <is>
          <t>Miss Glam Jambi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WARDAH</t>
        </is>
      </c>
      <c r="B4644" s="2">
        <f>"203003107417"</f>
        <v/>
      </c>
      <c r="C4644" t="inlineStr">
        <is>
          <t>WARDAH Airbrush Lip Tint 03 Peachsun 3g</t>
        </is>
      </c>
      <c r="D4644" t="inlineStr">
        <is>
          <t>Miss Glam Jambi</t>
        </is>
      </c>
      <c r="E4644" t="n">
        <v>6</v>
      </c>
      <c r="F4644" t="n">
        <v>0.0495</v>
      </c>
      <c r="G4644" t="n">
        <v>0.66</v>
      </c>
      <c r="H4644" t="n">
        <v>2</v>
      </c>
      <c r="I4644" t="n">
        <v>7</v>
      </c>
      <c r="J4644" t="n">
        <v>1</v>
      </c>
      <c r="K4644" t="n">
        <v>0</v>
      </c>
      <c r="L4644" t="n">
        <v>52492</v>
      </c>
      <c r="M4644" t="n">
        <v>62000</v>
      </c>
      <c r="N4644" t="n">
        <v>33</v>
      </c>
      <c r="O4644" t="n">
        <v>0.33</v>
      </c>
      <c r="P4644" t="n">
        <v>1</v>
      </c>
      <c r="Q4644" t="n">
        <v>0.03</v>
      </c>
      <c r="R4644" t="n">
        <v>1</v>
      </c>
      <c r="S4644" t="n">
        <v>3069</v>
      </c>
      <c r="T4644" t="n">
        <v>5</v>
      </c>
      <c r="U4644" t="n">
        <v>6</v>
      </c>
      <c r="V4644" t="n">
        <v>30</v>
      </c>
      <c r="W4644" t="n">
        <v>2</v>
      </c>
      <c r="X4644" t="n">
        <v>121.2121212121212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11602</v>
      </c>
      <c r="AG4644" t="n">
        <v>2141</v>
      </c>
      <c r="AH4644" t="inlineStr">
        <is>
          <t>PT. PARAMA GLOBAL INSPIRA - PPN (JMB)</t>
        </is>
      </c>
      <c r="AI4644" t="n">
        <v>164</v>
      </c>
      <c r="AJ4644" t="inlineStr">
        <is>
          <t>WARDAH</t>
        </is>
      </c>
      <c r="AK4644" t="n">
        <v>9</v>
      </c>
      <c r="AL4644" t="inlineStr">
        <is>
          <t>Miss Glam Jambi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WARDAH</t>
        </is>
      </c>
      <c r="B4645" s="2">
        <f>"203003107406"</f>
        <v/>
      </c>
      <c r="C4645" t="inlineStr">
        <is>
          <t>WARDAH Airbrush Lip Tint 04 Rouges 3g</t>
        </is>
      </c>
      <c r="D4645" t="inlineStr">
        <is>
          <t>Miss Glam Jambi</t>
        </is>
      </c>
      <c r="E4645" t="n">
        <v>3</v>
      </c>
      <c r="F4645" t="n">
        <v>0.0165</v>
      </c>
      <c r="G4645" t="n">
        <v>0.33</v>
      </c>
      <c r="H4645" t="n">
        <v>2</v>
      </c>
      <c r="I4645" t="n">
        <v>7</v>
      </c>
      <c r="J4645" t="n">
        <v>1</v>
      </c>
      <c r="K4645" t="n">
        <v>0</v>
      </c>
      <c r="L4645" t="n">
        <v>52492</v>
      </c>
      <c r="M4645" t="n">
        <v>62000</v>
      </c>
      <c r="N4645" t="n">
        <v>33</v>
      </c>
      <c r="O4645" t="n">
        <v>0.33</v>
      </c>
      <c r="P4645" t="n">
        <v>1</v>
      </c>
      <c r="Q4645" t="n">
        <v>0.03</v>
      </c>
      <c r="R4645" t="n">
        <v>1</v>
      </c>
      <c r="S4645" t="n">
        <v>1023</v>
      </c>
      <c r="T4645" t="n">
        <v>3</v>
      </c>
      <c r="U4645" t="n">
        <v>4</v>
      </c>
      <c r="V4645" t="n">
        <v>30</v>
      </c>
      <c r="W4645" t="n">
        <v>1</v>
      </c>
      <c r="X4645" t="n">
        <v>181.8181818181818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11602</v>
      </c>
      <c r="AG4645" t="n">
        <v>2141</v>
      </c>
      <c r="AH4645" t="inlineStr">
        <is>
          <t>PT. PARAMA GLOBAL INSPIRA - PPN (JMB)</t>
        </is>
      </c>
      <c r="AI4645" t="n">
        <v>164</v>
      </c>
      <c r="AJ4645" t="inlineStr">
        <is>
          <t>WARDAH</t>
        </is>
      </c>
      <c r="AK4645" t="n">
        <v>9</v>
      </c>
      <c r="AL4645" t="inlineStr">
        <is>
          <t>Miss Glam Jambi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WARDAH</t>
        </is>
      </c>
      <c r="B4646" s="2">
        <f>"203003107744"</f>
        <v/>
      </c>
      <c r="C4646" t="inlineStr">
        <is>
          <t>WARDAH Airbrush Lip Tint 06 Cherrie 3g</t>
        </is>
      </c>
      <c r="D4646" t="inlineStr">
        <is>
          <t>Miss Glam Jambi</t>
        </is>
      </c>
      <c r="E4646" t="n">
        <v>2</v>
      </c>
      <c r="F4646" t="n">
        <v>0.009900000000000001</v>
      </c>
      <c r="G4646" t="n">
        <v>0.33</v>
      </c>
      <c r="H4646" t="n">
        <v>2</v>
      </c>
      <c r="I4646" t="n">
        <v>7</v>
      </c>
      <c r="J4646" t="n">
        <v>1</v>
      </c>
      <c r="K4646" t="n">
        <v>0</v>
      </c>
      <c r="L4646" t="n">
        <v>52492</v>
      </c>
      <c r="M4646" t="n">
        <v>62000</v>
      </c>
      <c r="N4646" t="n">
        <v>33</v>
      </c>
      <c r="O4646" t="n">
        <v>0.33</v>
      </c>
      <c r="P4646" t="n">
        <v>1</v>
      </c>
      <c r="Q4646" t="n">
        <v>0.02</v>
      </c>
      <c r="R4646" t="n">
        <v>0</v>
      </c>
      <c r="S4646" t="n">
        <v>613.8000000000001</v>
      </c>
      <c r="T4646" t="n">
        <v>3</v>
      </c>
      <c r="U4646" t="n">
        <v>4</v>
      </c>
      <c r="V4646" t="n">
        <v>30</v>
      </c>
      <c r="W4646" t="n">
        <v>1</v>
      </c>
      <c r="X4646" t="n">
        <v>202.020202020202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11602</v>
      </c>
      <c r="AG4646" t="n">
        <v>2141</v>
      </c>
      <c r="AH4646" t="inlineStr">
        <is>
          <t>PT. PARAMA GLOBAL INSPIRA - PPN (JMB)</t>
        </is>
      </c>
      <c r="AI4646" t="n">
        <v>164</v>
      </c>
      <c r="AJ4646" t="inlineStr">
        <is>
          <t>WARDAH</t>
        </is>
      </c>
      <c r="AK4646" t="n">
        <v>9</v>
      </c>
      <c r="AL4646" t="inlineStr">
        <is>
          <t>Miss Glam Jambi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WARDAH</t>
        </is>
      </c>
      <c r="B4647" s="2">
        <f>"8993137693646"</f>
        <v/>
      </c>
      <c r="C4647" t="inlineStr">
        <is>
          <t>WARDAH Alpha Arbutin TranslussenceTM Illuminating Essence Toner 100ml</t>
        </is>
      </c>
      <c r="D4647" t="inlineStr">
        <is>
          <t>Miss Glam Jambi</t>
        </is>
      </c>
      <c r="E4647" t="n">
        <v>3</v>
      </c>
      <c r="F4647" t="n">
        <v>0.066</v>
      </c>
      <c r="G4647" t="n">
        <v>0.66</v>
      </c>
      <c r="H4647" t="n">
        <v>2</v>
      </c>
      <c r="I4647" t="n">
        <v>7</v>
      </c>
      <c r="J4647" t="n">
        <v>3</v>
      </c>
      <c r="K4647" t="n">
        <v>0</v>
      </c>
      <c r="L4647" t="n">
        <v>113029</v>
      </c>
      <c r="M4647" t="n">
        <v>172500</v>
      </c>
      <c r="N4647" t="n">
        <v>33</v>
      </c>
      <c r="O4647" t="n">
        <v>0.33</v>
      </c>
      <c r="P4647" t="n">
        <v>1</v>
      </c>
      <c r="Q4647" t="n">
        <v>0.03</v>
      </c>
      <c r="R4647" t="n">
        <v>2</v>
      </c>
      <c r="S4647" t="n">
        <v>11385</v>
      </c>
      <c r="T4647" t="n">
        <v>5</v>
      </c>
      <c r="U4647" t="n">
        <v>6</v>
      </c>
      <c r="V4647" t="n">
        <v>30</v>
      </c>
      <c r="W4647" t="n">
        <v>2</v>
      </c>
      <c r="X4647" t="n">
        <v>45.45454545454545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11602</v>
      </c>
      <c r="AG4647" t="n">
        <v>2141</v>
      </c>
      <c r="AH4647" t="inlineStr">
        <is>
          <t>PT. PARAMA GLOBAL INSPIRA - PPN (JMB)</t>
        </is>
      </c>
      <c r="AI4647" t="n">
        <v>164</v>
      </c>
      <c r="AJ4647" t="inlineStr">
        <is>
          <t>WARDAH</t>
        </is>
      </c>
      <c r="AK4647" t="n">
        <v>9</v>
      </c>
      <c r="AL4647" t="inlineStr">
        <is>
          <t>Miss Glam Jambi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WARDAH</t>
        </is>
      </c>
      <c r="B4648" s="2">
        <f>"8993137704168"</f>
        <v/>
      </c>
      <c r="C4648" t="inlineStr">
        <is>
          <t>WARDAH Alpha Arbutin TranslussenceTM Illuminating Essence Toner 50ml</t>
        </is>
      </c>
      <c r="D4648" t="inlineStr">
        <is>
          <t>Miss Glam Jambi</t>
        </is>
      </c>
      <c r="E4648" t="n">
        <v>13</v>
      </c>
      <c r="F4648" t="n">
        <v>0.0495</v>
      </c>
      <c r="G4648" t="n">
        <v>0.33</v>
      </c>
      <c r="H4648" t="n">
        <v>2</v>
      </c>
      <c r="I4648" t="n">
        <v>7</v>
      </c>
      <c r="J4648" t="n">
        <v>3</v>
      </c>
      <c r="K4648" t="n">
        <v>0</v>
      </c>
      <c r="L4648" t="n">
        <v>63602</v>
      </c>
      <c r="M4648" t="n">
        <v>75000</v>
      </c>
      <c r="N4648" t="n">
        <v>33</v>
      </c>
      <c r="O4648" t="n">
        <v>0.33</v>
      </c>
      <c r="P4648" t="n">
        <v>1</v>
      </c>
      <c r="Q4648" t="n">
        <v>0.22</v>
      </c>
      <c r="R4648" t="n">
        <v>2</v>
      </c>
      <c r="S4648" t="n">
        <v>3712.5</v>
      </c>
      <c r="T4648" t="n">
        <v>3</v>
      </c>
      <c r="U4648" t="n">
        <v>4</v>
      </c>
      <c r="V4648" t="n">
        <v>30</v>
      </c>
      <c r="W4648" t="n">
        <v>2</v>
      </c>
      <c r="X4648" t="n">
        <v>262.6262626262626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11602</v>
      </c>
      <c r="AG4648" t="n">
        <v>2141</v>
      </c>
      <c r="AH4648" t="inlineStr">
        <is>
          <t>PT. PARAMA GLOBAL INSPIRA - PPN (JMB)</t>
        </is>
      </c>
      <c r="AI4648" t="n">
        <v>164</v>
      </c>
      <c r="AJ4648" t="inlineStr">
        <is>
          <t>WARDAH</t>
        </is>
      </c>
      <c r="AK4648" t="n">
        <v>9</v>
      </c>
      <c r="AL4648" t="inlineStr">
        <is>
          <t>Miss Glam Jambi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WARDAH</t>
        </is>
      </c>
      <c r="B4649" s="2">
        <f>"8993137698436"</f>
        <v/>
      </c>
      <c r="C4649" t="inlineStr">
        <is>
          <t>WARDAH Anti Dandruff Shampoo 170ml</t>
        </is>
      </c>
      <c r="D4649" t="inlineStr">
        <is>
          <t>Miss Glam Jambi</t>
        </is>
      </c>
      <c r="E4649" t="n">
        <v>4</v>
      </c>
      <c r="F4649" t="n">
        <v>0.1551</v>
      </c>
      <c r="G4649" t="n">
        <v>0.99</v>
      </c>
      <c r="H4649" t="n">
        <v>2</v>
      </c>
      <c r="I4649" t="n">
        <v>7</v>
      </c>
      <c r="J4649" t="n">
        <v>3</v>
      </c>
      <c r="K4649" t="n">
        <v>3</v>
      </c>
      <c r="L4649" t="n">
        <v>19924</v>
      </c>
      <c r="M4649" t="n">
        <v>23500</v>
      </c>
      <c r="N4649" t="n">
        <v>33</v>
      </c>
      <c r="O4649" t="n">
        <v>0.33</v>
      </c>
      <c r="P4649" t="n">
        <v>1</v>
      </c>
      <c r="Q4649" t="n">
        <v>0.2</v>
      </c>
      <c r="R4649" t="n">
        <v>2</v>
      </c>
      <c r="S4649" t="n">
        <v>3644.85</v>
      </c>
      <c r="T4649" t="n">
        <v>7</v>
      </c>
      <c r="U4649" t="n">
        <v>8</v>
      </c>
      <c r="V4649" t="n">
        <v>30</v>
      </c>
      <c r="W4649" t="n">
        <v>5</v>
      </c>
      <c r="X4649" t="n">
        <v>25.78981302385558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11602</v>
      </c>
      <c r="AG4649" t="n">
        <v>2141</v>
      </c>
      <c r="AH4649" t="inlineStr">
        <is>
          <t>PT. PARAMA GLOBAL INSPIRA - PPN (JMB)</t>
        </is>
      </c>
      <c r="AI4649" t="n">
        <v>164</v>
      </c>
      <c r="AJ4649" t="inlineStr">
        <is>
          <t>WARDAH</t>
        </is>
      </c>
      <c r="AK4649" t="n">
        <v>9</v>
      </c>
      <c r="AL4649" t="inlineStr">
        <is>
          <t>Miss Glam Jambi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WARDAH</t>
        </is>
      </c>
      <c r="B4650" s="2">
        <f>"20200220846"</f>
        <v/>
      </c>
      <c r="C4650" t="inlineStr">
        <is>
          <t>WARDAH Anti-Gravity Iron Mascara 3gr</t>
        </is>
      </c>
      <c r="D4650" t="inlineStr">
        <is>
          <t>Miss Glam Jambi</t>
        </is>
      </c>
      <c r="E4650" t="n">
        <v>9</v>
      </c>
      <c r="F4650" t="n">
        <v>0.4521000000000001</v>
      </c>
      <c r="G4650" t="n">
        <v>12.21</v>
      </c>
      <c r="H4650" t="n">
        <v>2</v>
      </c>
      <c r="I4650" t="n">
        <v>7</v>
      </c>
      <c r="J4650" t="n">
        <v>1</v>
      </c>
      <c r="K4650" t="n">
        <v>2</v>
      </c>
      <c r="L4650" t="n">
        <v>62069</v>
      </c>
      <c r="M4650" t="n">
        <v>73500</v>
      </c>
      <c r="N4650" t="n">
        <v>33</v>
      </c>
      <c r="O4650" t="n">
        <v>0.33</v>
      </c>
      <c r="P4650" t="n">
        <v>1</v>
      </c>
      <c r="Q4650" t="n">
        <v>0.25</v>
      </c>
      <c r="R4650" t="n">
        <v>2</v>
      </c>
      <c r="S4650" t="n">
        <v>33229.35000000001</v>
      </c>
      <c r="T4650" t="n">
        <v>85</v>
      </c>
      <c r="U4650" t="n">
        <v>86</v>
      </c>
      <c r="V4650" t="n">
        <v>30</v>
      </c>
      <c r="W4650" t="n">
        <v>14</v>
      </c>
      <c r="X4650" t="n">
        <v>19.907100199071</v>
      </c>
      <c r="Y4650" t="n">
        <v>1</v>
      </c>
      <c r="Z4650" t="n">
        <v>3</v>
      </c>
      <c r="AA4650" t="n">
        <v>0</v>
      </c>
      <c r="AB4650" t="n">
        <v>3</v>
      </c>
      <c r="AC4650" t="n">
        <v>3</v>
      </c>
      <c r="AD4650" t="n">
        <v>0</v>
      </c>
      <c r="AE4650" t="n">
        <v>186207</v>
      </c>
      <c r="AF4650" t="n">
        <v>11602</v>
      </c>
      <c r="AG4650" t="n">
        <v>2141</v>
      </c>
      <c r="AH4650" t="inlineStr">
        <is>
          <t>PT. PARAMA GLOBAL INSPIRA - PPN (JMB)</t>
        </is>
      </c>
      <c r="AI4650" t="n">
        <v>164</v>
      </c>
      <c r="AJ4650" t="inlineStr">
        <is>
          <t>WARDAH</t>
        </is>
      </c>
      <c r="AK4650" t="n">
        <v>9</v>
      </c>
      <c r="AL4650" t="inlineStr">
        <is>
          <t>Miss Glam Jambi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WARDAH</t>
        </is>
      </c>
      <c r="B4651" s="2">
        <f>"10200163444"</f>
        <v/>
      </c>
      <c r="C4651" t="inlineStr">
        <is>
          <t>WARDAH Aquaporin Squalane Bounce &amp; Glow Milky Toner 95ml</t>
        </is>
      </c>
      <c r="D4651" t="inlineStr">
        <is>
          <t>Miss Glam Jambi</t>
        </is>
      </c>
      <c r="E4651" t="n">
        <v>4</v>
      </c>
      <c r="F4651" t="n">
        <v>0.009900000000000001</v>
      </c>
      <c r="G4651" t="n">
        <v>0.33</v>
      </c>
      <c r="H4651" t="n">
        <v>2</v>
      </c>
      <c r="I4651" t="n">
        <v>7</v>
      </c>
      <c r="J4651" t="n">
        <v>1</v>
      </c>
      <c r="K4651" t="n">
        <v>0</v>
      </c>
      <c r="L4651" t="n">
        <v>95021</v>
      </c>
      <c r="M4651" t="n">
        <v>124000</v>
      </c>
      <c r="N4651" t="n">
        <v>33</v>
      </c>
      <c r="O4651" t="n">
        <v>0.33</v>
      </c>
      <c r="P4651" t="n">
        <v>1</v>
      </c>
      <c r="Q4651" t="n">
        <v>0.03</v>
      </c>
      <c r="R4651" t="n">
        <v>1</v>
      </c>
      <c r="S4651" t="n">
        <v>1227.6</v>
      </c>
      <c r="T4651" t="n">
        <v>3</v>
      </c>
      <c r="U4651" t="n">
        <v>4</v>
      </c>
      <c r="V4651" t="n">
        <v>30</v>
      </c>
      <c r="W4651" t="n">
        <v>1</v>
      </c>
      <c r="X4651" t="n">
        <v>404.040404040404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11602</v>
      </c>
      <c r="AG4651" t="n">
        <v>2141</v>
      </c>
      <c r="AH4651" t="inlineStr">
        <is>
          <t>PT. PARAMA GLOBAL INSPIRA - PPN (JMB)</t>
        </is>
      </c>
      <c r="AI4651" t="n">
        <v>164</v>
      </c>
      <c r="AJ4651" t="inlineStr">
        <is>
          <t>WARDAH</t>
        </is>
      </c>
      <c r="AK4651" t="n">
        <v>9</v>
      </c>
      <c r="AL4651" t="inlineStr">
        <is>
          <t>Miss Glam Jambi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WARDAH</t>
        </is>
      </c>
      <c r="B4652" s="2">
        <f>"8993137698146"</f>
        <v/>
      </c>
      <c r="C4652" t="inlineStr">
        <is>
          <t>WARDAH Bliss Body Mist 100ml</t>
        </is>
      </c>
      <c r="D4652" t="inlineStr">
        <is>
          <t>Miss Glam Jambi</t>
        </is>
      </c>
      <c r="E4652" t="n">
        <v>2</v>
      </c>
      <c r="F4652" t="n">
        <v>0.1023</v>
      </c>
      <c r="G4652" t="n">
        <v>0.66</v>
      </c>
      <c r="H4652" t="n">
        <v>2</v>
      </c>
      <c r="I4652" t="n">
        <v>7</v>
      </c>
      <c r="J4652" t="n">
        <v>3</v>
      </c>
      <c r="K4652" t="n">
        <v>3</v>
      </c>
      <c r="L4652" t="n">
        <v>30652</v>
      </c>
      <c r="M4652" t="n">
        <v>36500</v>
      </c>
      <c r="N4652" t="n">
        <v>33</v>
      </c>
      <c r="O4652" t="n">
        <v>0.33</v>
      </c>
      <c r="P4652" t="n">
        <v>1</v>
      </c>
      <c r="Q4652" t="n">
        <v>0.27</v>
      </c>
      <c r="R4652" t="n">
        <v>2</v>
      </c>
      <c r="S4652" t="n">
        <v>3733.95</v>
      </c>
      <c r="T4652" t="n">
        <v>5</v>
      </c>
      <c r="U4652" t="n">
        <v>6</v>
      </c>
      <c r="V4652" t="n">
        <v>30</v>
      </c>
      <c r="W4652" t="n">
        <v>4</v>
      </c>
      <c r="X4652" t="n">
        <v>19.55034213098729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11602</v>
      </c>
      <c r="AG4652" t="n">
        <v>2141</v>
      </c>
      <c r="AH4652" t="inlineStr">
        <is>
          <t>PT. PARAMA GLOBAL INSPIRA - PPN (JMB)</t>
        </is>
      </c>
      <c r="AI4652" t="n">
        <v>164</v>
      </c>
      <c r="AJ4652" t="inlineStr">
        <is>
          <t>WARDAH</t>
        </is>
      </c>
      <c r="AK4652" t="n">
        <v>9</v>
      </c>
      <c r="AL4652" t="inlineStr">
        <is>
          <t>Miss Glam Jambi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WARDAH</t>
        </is>
      </c>
      <c r="B4653" s="2">
        <f>"8993137691918"</f>
        <v/>
      </c>
      <c r="C4653" t="inlineStr">
        <is>
          <t>WARDAH Body Butter Milk &amp; Pearl 50ml</t>
        </is>
      </c>
      <c r="D4653" t="inlineStr">
        <is>
          <t>Miss Glam Jambi</t>
        </is>
      </c>
      <c r="E4653" t="n">
        <v>12</v>
      </c>
      <c r="F4653" t="n">
        <v>0.05</v>
      </c>
      <c r="G4653" t="n">
        <v>1</v>
      </c>
      <c r="H4653" t="n">
        <v>2</v>
      </c>
      <c r="I4653" t="n">
        <v>7</v>
      </c>
      <c r="J4653" t="n">
        <v>3</v>
      </c>
      <c r="K4653" t="n">
        <v>0</v>
      </c>
      <c r="L4653" t="n">
        <v>18314</v>
      </c>
      <c r="M4653" t="n">
        <v>22000</v>
      </c>
      <c r="N4653" t="n">
        <v>33</v>
      </c>
      <c r="O4653" t="n">
        <v>0.33</v>
      </c>
      <c r="P4653" t="n">
        <v>0</v>
      </c>
      <c r="Q4653" t="n">
        <v>0.05</v>
      </c>
      <c r="R4653" t="n">
        <v>1</v>
      </c>
      <c r="S4653" t="n">
        <v>1100</v>
      </c>
      <c r="T4653" t="n">
        <v>7</v>
      </c>
      <c r="U4653" t="n">
        <v>8</v>
      </c>
      <c r="V4653" t="n">
        <v>30</v>
      </c>
      <c r="W4653" t="n">
        <v>2</v>
      </c>
      <c r="X4653" t="n">
        <v>240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11602</v>
      </c>
      <c r="AG4653" t="n">
        <v>2141</v>
      </c>
      <c r="AH4653" t="inlineStr">
        <is>
          <t>PT. PARAMA GLOBAL INSPIRA - PPN (JMB)</t>
        </is>
      </c>
      <c r="AI4653" t="n">
        <v>164</v>
      </c>
      <c r="AJ4653" t="inlineStr">
        <is>
          <t>WARDAH</t>
        </is>
      </c>
      <c r="AK4653" t="n">
        <v>9</v>
      </c>
      <c r="AL4653" t="inlineStr">
        <is>
          <t>Miss Glam Jambi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"8993137691888"</f>
        <v/>
      </c>
      <c r="C4654" t="inlineStr">
        <is>
          <t>WARDAH Body Butter Rose 50ml</t>
        </is>
      </c>
      <c r="D4654" t="inlineStr">
        <is>
          <t>Miss Glam Jambi</t>
        </is>
      </c>
      <c r="E4654" t="n">
        <v>3</v>
      </c>
      <c r="F4654" t="n">
        <v>0.1287</v>
      </c>
      <c r="G4654" t="n">
        <v>0.66</v>
      </c>
      <c r="H4654" t="n">
        <v>2</v>
      </c>
      <c r="I4654" t="n">
        <v>7</v>
      </c>
      <c r="J4654" t="n">
        <v>3</v>
      </c>
      <c r="K4654" t="n">
        <v>3</v>
      </c>
      <c r="L4654" t="n">
        <v>18245</v>
      </c>
      <c r="M4654" t="n">
        <v>21000</v>
      </c>
      <c r="N4654" t="n">
        <v>33</v>
      </c>
      <c r="O4654" t="n">
        <v>0.33</v>
      </c>
      <c r="P4654" t="n">
        <v>1</v>
      </c>
      <c r="Q4654" t="n">
        <v>0.22</v>
      </c>
      <c r="R4654" t="n">
        <v>2</v>
      </c>
      <c r="S4654" t="n">
        <v>2702.7</v>
      </c>
      <c r="T4654" t="n">
        <v>5</v>
      </c>
      <c r="U4654" t="n">
        <v>6</v>
      </c>
      <c r="V4654" t="n">
        <v>30</v>
      </c>
      <c r="W4654" t="n">
        <v>4</v>
      </c>
      <c r="X4654" t="n">
        <v>23.31002331002331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11602</v>
      </c>
      <c r="AG4654" t="n">
        <v>2141</v>
      </c>
      <c r="AH4654" t="inlineStr">
        <is>
          <t>PT. PARAMA GLOBAL INSPIRA - PPN (JMB)</t>
        </is>
      </c>
      <c r="AI4654" t="n">
        <v>164</v>
      </c>
      <c r="AJ4654" t="inlineStr">
        <is>
          <t>WARDAH</t>
        </is>
      </c>
      <c r="AK4654" t="n">
        <v>9</v>
      </c>
      <c r="AL4654" t="inlineStr">
        <is>
          <t>Miss Glam Jambi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"8993137698184"</f>
        <v/>
      </c>
      <c r="C4655" t="inlineStr">
        <is>
          <t>WARDAH Body Mist Purity 100ml</t>
        </is>
      </c>
      <c r="D4655" t="inlineStr">
        <is>
          <t>Miss Glam Jambi</t>
        </is>
      </c>
      <c r="E4655" t="n">
        <v>7</v>
      </c>
      <c r="F4655" t="n">
        <v>0.1221</v>
      </c>
      <c r="G4655" t="n">
        <v>0.66</v>
      </c>
      <c r="H4655" t="n">
        <v>2</v>
      </c>
      <c r="I4655" t="n">
        <v>7</v>
      </c>
      <c r="J4655" t="n">
        <v>3</v>
      </c>
      <c r="K4655" t="n">
        <v>0</v>
      </c>
      <c r="L4655" t="n">
        <v>30652</v>
      </c>
      <c r="M4655" t="n">
        <v>36500</v>
      </c>
      <c r="N4655" t="n">
        <v>33</v>
      </c>
      <c r="O4655" t="n">
        <v>0.33</v>
      </c>
      <c r="P4655" t="n">
        <v>1</v>
      </c>
      <c r="Q4655" t="n">
        <v>0.19</v>
      </c>
      <c r="R4655" t="n">
        <v>4</v>
      </c>
      <c r="S4655" t="n">
        <v>4456.65</v>
      </c>
      <c r="T4655" t="n">
        <v>5</v>
      </c>
      <c r="U4655" t="n">
        <v>6</v>
      </c>
      <c r="V4655" t="n">
        <v>30</v>
      </c>
      <c r="W4655" t="n">
        <v>4</v>
      </c>
      <c r="X4655" t="n">
        <v>57.33005733005733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11602</v>
      </c>
      <c r="AG4655" t="n">
        <v>2141</v>
      </c>
      <c r="AH4655" t="inlineStr">
        <is>
          <t>PT. PARAMA GLOBAL INSPIRA - PPN (JMB)</t>
        </is>
      </c>
      <c r="AI4655" t="n">
        <v>164</v>
      </c>
      <c r="AJ4655" t="inlineStr">
        <is>
          <t>WARDAH</t>
        </is>
      </c>
      <c r="AK4655" t="n">
        <v>9</v>
      </c>
      <c r="AL4655" t="inlineStr">
        <is>
          <t>Miss Glam Jambi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"11200148641"</f>
        <v/>
      </c>
      <c r="C4656" t="inlineStr">
        <is>
          <t>WARDAH Bright &amp; Barrier Repair Serum 30ml</t>
        </is>
      </c>
      <c r="D4656" t="inlineStr">
        <is>
          <t>Miss Glam Jambi</t>
        </is>
      </c>
      <c r="E4656" t="n">
        <v>12</v>
      </c>
      <c r="F4656" t="n">
        <v>0.1848</v>
      </c>
      <c r="G4656" t="n">
        <v>0.99</v>
      </c>
      <c r="H4656" t="n">
        <v>2</v>
      </c>
      <c r="I4656" t="n">
        <v>7</v>
      </c>
      <c r="J4656" t="n">
        <v>1</v>
      </c>
      <c r="K4656" t="n">
        <v>0</v>
      </c>
      <c r="L4656" t="n">
        <v>64752</v>
      </c>
      <c r="M4656" t="n">
        <v>76500</v>
      </c>
      <c r="N4656" t="n">
        <v>33</v>
      </c>
      <c r="O4656" t="n">
        <v>0.33</v>
      </c>
      <c r="P4656" t="n">
        <v>1</v>
      </c>
      <c r="Q4656" t="n">
        <v>0.14</v>
      </c>
      <c r="R4656" t="n">
        <v>2</v>
      </c>
      <c r="S4656" t="n">
        <v>14137.2</v>
      </c>
      <c r="T4656" t="n">
        <v>7</v>
      </c>
      <c r="U4656" t="n">
        <v>8</v>
      </c>
      <c r="V4656" t="n">
        <v>30</v>
      </c>
      <c r="W4656" t="n">
        <v>6</v>
      </c>
      <c r="X4656" t="n">
        <v>64.93506493506493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11602</v>
      </c>
      <c r="AG4656" t="n">
        <v>2141</v>
      </c>
      <c r="AH4656" t="inlineStr">
        <is>
          <t>PT. PARAMA GLOBAL INSPIRA - PPN (JMB)</t>
        </is>
      </c>
      <c r="AI4656" t="n">
        <v>164</v>
      </c>
      <c r="AJ4656" t="inlineStr">
        <is>
          <t>WARDAH</t>
        </is>
      </c>
      <c r="AK4656" t="n">
        <v>9</v>
      </c>
      <c r="AL4656" t="inlineStr">
        <is>
          <t>Miss Glam Jambi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"8993137693608"</f>
        <v/>
      </c>
      <c r="C4657" t="inlineStr">
        <is>
          <t>WARDAH C-Defense Face Mist 55ml</t>
        </is>
      </c>
      <c r="D4657" t="inlineStr">
        <is>
          <t>Miss Glam Jambi</t>
        </is>
      </c>
      <c r="E4657" t="n">
        <v>8</v>
      </c>
      <c r="F4657" t="n">
        <v>0.17</v>
      </c>
      <c r="G4657" t="n">
        <v>3</v>
      </c>
      <c r="H4657" t="n">
        <v>2</v>
      </c>
      <c r="I4657" t="n">
        <v>7</v>
      </c>
      <c r="J4657" t="n">
        <v>3</v>
      </c>
      <c r="K4657" t="n">
        <v>0</v>
      </c>
      <c r="L4657" t="n">
        <v>30652</v>
      </c>
      <c r="M4657" t="n">
        <v>36500</v>
      </c>
      <c r="N4657" t="n">
        <v>33</v>
      </c>
      <c r="O4657" t="n">
        <v>0.33</v>
      </c>
      <c r="P4657" t="n">
        <v>0</v>
      </c>
      <c r="Q4657" t="n">
        <v>0.17</v>
      </c>
      <c r="R4657" t="n">
        <v>3</v>
      </c>
      <c r="S4657" t="n">
        <v>6205</v>
      </c>
      <c r="T4657" t="n">
        <v>21</v>
      </c>
      <c r="U4657" t="n">
        <v>22</v>
      </c>
      <c r="V4657" t="n">
        <v>30</v>
      </c>
      <c r="W4657" t="n">
        <v>6</v>
      </c>
      <c r="X4657" t="n">
        <v>47.05882352941176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11602</v>
      </c>
      <c r="AG4657" t="n">
        <v>2141</v>
      </c>
      <c r="AH4657" t="inlineStr">
        <is>
          <t>PT. PARAMA GLOBAL INSPIRA - PPN (JMB)</t>
        </is>
      </c>
      <c r="AI4657" t="n">
        <v>164</v>
      </c>
      <c r="AJ4657" t="inlineStr">
        <is>
          <t>WARDAH</t>
        </is>
      </c>
      <c r="AK4657" t="n">
        <v>9</v>
      </c>
      <c r="AL4657" t="inlineStr">
        <is>
          <t>Miss Glam Jambi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"8993137003797"</f>
        <v/>
      </c>
      <c r="C4658" t="inlineStr">
        <is>
          <t>WARDAH Cica Complex Panthenol Ceramide 30gr</t>
        </is>
      </c>
      <c r="D4658" t="inlineStr">
        <is>
          <t>Miss Glam Jambi</t>
        </is>
      </c>
      <c r="E4658" t="n">
        <v>5</v>
      </c>
      <c r="F4658" t="n">
        <v>0.2277</v>
      </c>
      <c r="G4658" t="n">
        <v>1.32</v>
      </c>
      <c r="H4658" t="n">
        <v>2</v>
      </c>
      <c r="I4658" t="n">
        <v>7</v>
      </c>
      <c r="J4658" t="n">
        <v>3</v>
      </c>
      <c r="K4658" t="n">
        <v>3</v>
      </c>
      <c r="L4658" t="n">
        <v>82760</v>
      </c>
      <c r="M4658" t="n">
        <v>99000</v>
      </c>
      <c r="N4658" t="n">
        <v>33</v>
      </c>
      <c r="O4658" t="n">
        <v>0.33</v>
      </c>
      <c r="P4658" t="n">
        <v>1</v>
      </c>
      <c r="Q4658" t="n">
        <v>0.19</v>
      </c>
      <c r="R4658" t="n">
        <v>1</v>
      </c>
      <c r="S4658" t="n">
        <v>22542.3</v>
      </c>
      <c r="T4658" t="n">
        <v>9</v>
      </c>
      <c r="U4658" t="n">
        <v>10</v>
      </c>
      <c r="V4658" t="n">
        <v>30</v>
      </c>
      <c r="W4658" t="n">
        <v>7</v>
      </c>
      <c r="X4658" t="n">
        <v>21.95871761089153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11602</v>
      </c>
      <c r="AG4658" t="n">
        <v>2141</v>
      </c>
      <c r="AH4658" t="inlineStr">
        <is>
          <t>PT. PARAMA GLOBAL INSPIRA - PPN (JMB)</t>
        </is>
      </c>
      <c r="AI4658" t="n">
        <v>164</v>
      </c>
      <c r="AJ4658" t="inlineStr">
        <is>
          <t>WARDAH</t>
        </is>
      </c>
      <c r="AK4658" t="n">
        <v>9</v>
      </c>
      <c r="AL4658" t="inlineStr">
        <is>
          <t>Miss Glam Jambi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"8993137710800"</f>
        <v/>
      </c>
      <c r="C4659" t="inlineStr">
        <is>
          <t>WARDAH Color Fit Cream Blush 01 Sand Coral 5gr</t>
        </is>
      </c>
      <c r="D4659" t="inlineStr">
        <is>
          <t>Miss Glam Jambi</t>
        </is>
      </c>
      <c r="E4659" t="n">
        <v>10</v>
      </c>
      <c r="F4659" t="n">
        <v>0.1287</v>
      </c>
      <c r="G4659" t="n">
        <v>1.65</v>
      </c>
      <c r="H4659" t="n">
        <v>2</v>
      </c>
      <c r="I4659" t="n">
        <v>7</v>
      </c>
      <c r="J4659" t="n">
        <v>3</v>
      </c>
      <c r="K4659" t="n">
        <v>0</v>
      </c>
      <c r="L4659" t="n">
        <v>42912</v>
      </c>
      <c r="M4659" t="n">
        <v>50500</v>
      </c>
      <c r="N4659" t="n">
        <v>33</v>
      </c>
      <c r="O4659" t="n">
        <v>0.33</v>
      </c>
      <c r="P4659" t="n">
        <v>1</v>
      </c>
      <c r="Q4659" t="n">
        <v>0.08</v>
      </c>
      <c r="R4659" t="n">
        <v>2</v>
      </c>
      <c r="S4659" t="n">
        <v>6499.35</v>
      </c>
      <c r="T4659" t="n">
        <v>12</v>
      </c>
      <c r="U4659" t="n">
        <v>13</v>
      </c>
      <c r="V4659" t="n">
        <v>30</v>
      </c>
      <c r="W4659" t="n">
        <v>4</v>
      </c>
      <c r="X4659" t="n">
        <v>77.7000777000777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11602</v>
      </c>
      <c r="AG4659" t="n">
        <v>2141</v>
      </c>
      <c r="AH4659" t="inlineStr">
        <is>
          <t>PT. PARAMA GLOBAL INSPIRA - PPN (JMB)</t>
        </is>
      </c>
      <c r="AI4659" t="n">
        <v>164</v>
      </c>
      <c r="AJ4659" t="inlineStr">
        <is>
          <t>WARDAH</t>
        </is>
      </c>
      <c r="AK4659" t="n">
        <v>9</v>
      </c>
      <c r="AL4659" t="inlineStr">
        <is>
          <t>Miss Glam Jambi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"8993137710824"</f>
        <v/>
      </c>
      <c r="C4660" t="inlineStr">
        <is>
          <t>WARDAH Color Fit Cream Blush 02 Merry Mauve 3gr</t>
        </is>
      </c>
      <c r="D4660" t="inlineStr">
        <is>
          <t>Miss Glam Jambi</t>
        </is>
      </c>
      <c r="E4660" t="n">
        <v>16</v>
      </c>
      <c r="F4660" t="n">
        <v>0.4092</v>
      </c>
      <c r="G4660" t="n">
        <v>1.65</v>
      </c>
      <c r="H4660" t="n">
        <v>2</v>
      </c>
      <c r="I4660" t="n">
        <v>7</v>
      </c>
      <c r="J4660" t="n">
        <v>3</v>
      </c>
      <c r="K4660" t="n">
        <v>0</v>
      </c>
      <c r="L4660" t="n">
        <v>42913</v>
      </c>
      <c r="M4660" t="n">
        <v>50500</v>
      </c>
      <c r="N4660" t="n">
        <v>33</v>
      </c>
      <c r="O4660" t="n">
        <v>0.33</v>
      </c>
      <c r="P4660" t="n">
        <v>1</v>
      </c>
      <c r="Q4660" t="n">
        <v>0.24</v>
      </c>
      <c r="R4660" t="n">
        <v>2</v>
      </c>
      <c r="S4660" t="n">
        <v>20664.6</v>
      </c>
      <c r="T4660" t="n">
        <v>11</v>
      </c>
      <c r="U4660" t="n">
        <v>12</v>
      </c>
      <c r="V4660" t="n">
        <v>30</v>
      </c>
      <c r="W4660" t="n">
        <v>13</v>
      </c>
      <c r="X4660" t="n">
        <v>39.10068426197459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11602</v>
      </c>
      <c r="AG4660" t="n">
        <v>2141</v>
      </c>
      <c r="AH4660" t="inlineStr">
        <is>
          <t>PT. PARAMA GLOBAL INSPIRA - PPN (JMB)</t>
        </is>
      </c>
      <c r="AI4660" t="n">
        <v>164</v>
      </c>
      <c r="AJ4660" t="inlineStr">
        <is>
          <t>WARDAH</t>
        </is>
      </c>
      <c r="AK4660" t="n">
        <v>9</v>
      </c>
      <c r="AL4660" t="inlineStr">
        <is>
          <t>Miss Glam Jambi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"8993137710831"</f>
        <v/>
      </c>
      <c r="C4661" t="inlineStr">
        <is>
          <t>WARDAH Color Fit Cream Blush 03 Summer Peach 3gr</t>
        </is>
      </c>
      <c r="D4661" t="inlineStr">
        <is>
          <t>Miss Glam Jambi</t>
        </is>
      </c>
      <c r="E4661" t="n">
        <v>4</v>
      </c>
      <c r="F4661" t="n">
        <v>0.0561</v>
      </c>
      <c r="G4661" t="n">
        <v>0.66</v>
      </c>
      <c r="H4661" t="n">
        <v>2</v>
      </c>
      <c r="I4661" t="n">
        <v>7</v>
      </c>
      <c r="J4661" t="n">
        <v>3</v>
      </c>
      <c r="K4661" t="n">
        <v>0</v>
      </c>
      <c r="L4661" t="n">
        <v>41380</v>
      </c>
      <c r="M4661" t="n">
        <v>49000</v>
      </c>
      <c r="N4661" t="n">
        <v>33</v>
      </c>
      <c r="O4661" t="n">
        <v>0.33</v>
      </c>
      <c r="P4661" t="n">
        <v>1</v>
      </c>
      <c r="Q4661" t="n">
        <v>0.05</v>
      </c>
      <c r="R4661" t="n">
        <v>1</v>
      </c>
      <c r="S4661" t="n">
        <v>2748.9</v>
      </c>
      <c r="T4661" t="n">
        <v>5</v>
      </c>
      <c r="U4661" t="n">
        <v>6</v>
      </c>
      <c r="V4661" t="n">
        <v>30</v>
      </c>
      <c r="W4661" t="n">
        <v>2</v>
      </c>
      <c r="X4661" t="n">
        <v>71.301247771836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11602</v>
      </c>
      <c r="AG4661" t="n">
        <v>2141</v>
      </c>
      <c r="AH4661" t="inlineStr">
        <is>
          <t>PT. PARAMA GLOBAL INSPIRA - PPN (JMB)</t>
        </is>
      </c>
      <c r="AI4661" t="n">
        <v>164</v>
      </c>
      <c r="AJ4661" t="inlineStr">
        <is>
          <t>WARDAH</t>
        </is>
      </c>
      <c r="AK4661" t="n">
        <v>9</v>
      </c>
      <c r="AL4661" t="inlineStr">
        <is>
          <t>Miss Glam Jambi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"8993137711692"</f>
        <v/>
      </c>
      <c r="C4662" t="inlineStr">
        <is>
          <t>WARDAH Color Fit Matte Foundation 32N Natural Beige 25 ml</t>
        </is>
      </c>
      <c r="D4662" t="inlineStr">
        <is>
          <t>Miss Glam Jambi</t>
        </is>
      </c>
      <c r="E4662" t="n">
        <v>4</v>
      </c>
      <c r="F4662" t="n">
        <v>0.0726</v>
      </c>
      <c r="G4662" t="n">
        <v>0.99</v>
      </c>
      <c r="H4662" t="n">
        <v>2</v>
      </c>
      <c r="I4662" t="n">
        <v>7</v>
      </c>
      <c r="J4662" t="n">
        <v>3</v>
      </c>
      <c r="K4662" t="n">
        <v>0</v>
      </c>
      <c r="L4662" t="n">
        <v>55557</v>
      </c>
      <c r="M4662" t="n">
        <v>67000</v>
      </c>
      <c r="N4662" t="n">
        <v>33</v>
      </c>
      <c r="O4662" t="n">
        <v>0.33</v>
      </c>
      <c r="P4662" t="n">
        <v>1</v>
      </c>
      <c r="Q4662" t="n">
        <v>0.05</v>
      </c>
      <c r="R4662" t="n">
        <v>1</v>
      </c>
      <c r="S4662" t="n">
        <v>4864.2</v>
      </c>
      <c r="T4662" t="n">
        <v>7</v>
      </c>
      <c r="U4662" t="n">
        <v>8</v>
      </c>
      <c r="V4662" t="n">
        <v>30</v>
      </c>
      <c r="W4662" t="n">
        <v>3</v>
      </c>
      <c r="X4662" t="n">
        <v>55.09641873278237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11602</v>
      </c>
      <c r="AG4662" t="n">
        <v>2141</v>
      </c>
      <c r="AH4662" t="inlineStr">
        <is>
          <t>PT. PARAMA GLOBAL INSPIRA - PPN (JMB)</t>
        </is>
      </c>
      <c r="AI4662" t="n">
        <v>164</v>
      </c>
      <c r="AJ4662" t="inlineStr">
        <is>
          <t>WARDAH</t>
        </is>
      </c>
      <c r="AK4662" t="n">
        <v>9</v>
      </c>
      <c r="AL4662" t="inlineStr">
        <is>
          <t>Miss Glam Jambi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"8993137712347"</f>
        <v/>
      </c>
      <c r="C4663" t="inlineStr">
        <is>
          <t>WARDAH Color Fit Ultra Light Matte 10 Stunning Seoul</t>
        </is>
      </c>
      <c r="D4663" t="inlineStr">
        <is>
          <t>Miss Glam Jambi</t>
        </is>
      </c>
      <c r="E4663" t="n">
        <v>3</v>
      </c>
      <c r="F4663" t="n">
        <v>0.0825</v>
      </c>
      <c r="G4663" t="n">
        <v>0.99</v>
      </c>
      <c r="H4663" t="n">
        <v>2</v>
      </c>
      <c r="I4663" t="n">
        <v>7</v>
      </c>
      <c r="J4663" t="n">
        <v>3</v>
      </c>
      <c r="K4663" t="n">
        <v>0</v>
      </c>
      <c r="L4663" t="n">
        <v>36399</v>
      </c>
      <c r="M4663" t="n">
        <v>42500</v>
      </c>
      <c r="N4663" t="n">
        <v>33</v>
      </c>
      <c r="O4663" t="n">
        <v>0.33</v>
      </c>
      <c r="P4663" t="n">
        <v>1</v>
      </c>
      <c r="Q4663" t="n">
        <v>0.15</v>
      </c>
      <c r="R4663" t="n">
        <v>2</v>
      </c>
      <c r="S4663" t="n">
        <v>3506.25</v>
      </c>
      <c r="T4663" t="n">
        <v>7</v>
      </c>
      <c r="U4663" t="n">
        <v>8</v>
      </c>
      <c r="V4663" t="n">
        <v>30</v>
      </c>
      <c r="W4663" t="n">
        <v>3</v>
      </c>
      <c r="X4663" t="n">
        <v>36.36363636363636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11602</v>
      </c>
      <c r="AG4663" t="n">
        <v>2141</v>
      </c>
      <c r="AH4663" t="inlineStr">
        <is>
          <t>PT. PARAMA GLOBAL INSPIRA - PPN (JMB)</t>
        </is>
      </c>
      <c r="AI4663" t="n">
        <v>164</v>
      </c>
      <c r="AJ4663" t="inlineStr">
        <is>
          <t>WARDAH</t>
        </is>
      </c>
      <c r="AK4663" t="n">
        <v>9</v>
      </c>
      <c r="AL4663" t="inlineStr">
        <is>
          <t>Miss Glam Jambi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"8993137712378"</f>
        <v/>
      </c>
      <c r="C4664" t="inlineStr">
        <is>
          <t>WARDAH Color Fit Ultra Mate Lipstik 13</t>
        </is>
      </c>
      <c r="D4664" t="inlineStr">
        <is>
          <t>Miss Glam Jambi</t>
        </is>
      </c>
      <c r="E4664" t="n">
        <v>0</v>
      </c>
      <c r="F4664" t="n">
        <v>0.0396</v>
      </c>
      <c r="G4664" t="n">
        <v>0.33</v>
      </c>
      <c r="H4664" t="n">
        <v>2</v>
      </c>
      <c r="I4664" t="n">
        <v>7</v>
      </c>
      <c r="J4664" t="n">
        <v>3</v>
      </c>
      <c r="K4664" t="n">
        <v>3</v>
      </c>
      <c r="L4664" t="n">
        <v>36208</v>
      </c>
      <c r="M4664" t="n">
        <v>42500</v>
      </c>
      <c r="N4664" t="n">
        <v>33</v>
      </c>
      <c r="O4664" t="n">
        <v>0.33</v>
      </c>
      <c r="P4664" t="n">
        <v>1</v>
      </c>
      <c r="Q4664" t="n">
        <v>0.03</v>
      </c>
      <c r="R4664" t="n">
        <v>1</v>
      </c>
      <c r="S4664" t="n">
        <v>1683</v>
      </c>
      <c r="T4664" t="n">
        <v>3</v>
      </c>
      <c r="U4664" t="n">
        <v>4</v>
      </c>
      <c r="V4664" t="n">
        <v>30</v>
      </c>
      <c r="W4664" t="n">
        <v>2</v>
      </c>
      <c r="X4664" t="n">
        <v>0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11602</v>
      </c>
      <c r="AG4664" t="n">
        <v>2141</v>
      </c>
      <c r="AH4664" t="inlineStr">
        <is>
          <t>PT. PARAMA GLOBAL INSPIRA - PPN (JMB)</t>
        </is>
      </c>
      <c r="AI4664" t="n">
        <v>164</v>
      </c>
      <c r="AJ4664" t="inlineStr">
        <is>
          <t>WARDAH</t>
        </is>
      </c>
      <c r="AK4664" t="n">
        <v>9</v>
      </c>
      <c r="AL4664" t="inlineStr">
        <is>
          <t>Miss Glam Jambi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"8993137711227"</f>
        <v/>
      </c>
      <c r="C4665" t="inlineStr">
        <is>
          <t>WARDAH Color Fit Velvet Powder Foundation 33W Olive Beige</t>
        </is>
      </c>
      <c r="D4665" t="inlineStr">
        <is>
          <t>Miss Glam Jambi</t>
        </is>
      </c>
      <c r="E4665" t="n">
        <v>3</v>
      </c>
      <c r="F4665" t="n">
        <v>0.07920000000000001</v>
      </c>
      <c r="G4665" t="n">
        <v>0.66</v>
      </c>
      <c r="H4665" t="n">
        <v>2</v>
      </c>
      <c r="I4665" t="n">
        <v>7</v>
      </c>
      <c r="J4665" t="n">
        <v>3</v>
      </c>
      <c r="K4665" t="n">
        <v>0</v>
      </c>
      <c r="L4665" t="n">
        <v>59676</v>
      </c>
      <c r="M4665" t="n">
        <v>68000</v>
      </c>
      <c r="N4665" t="n">
        <v>33</v>
      </c>
      <c r="O4665" t="n">
        <v>0.33</v>
      </c>
      <c r="P4665" t="n">
        <v>1</v>
      </c>
      <c r="Q4665" t="n">
        <v>0.03</v>
      </c>
      <c r="R4665" t="n">
        <v>1</v>
      </c>
      <c r="S4665" t="n">
        <v>5385.6</v>
      </c>
      <c r="T4665" t="n">
        <v>5</v>
      </c>
      <c r="U4665" t="n">
        <v>6</v>
      </c>
      <c r="V4665" t="n">
        <v>30</v>
      </c>
      <c r="W4665" t="n">
        <v>3</v>
      </c>
      <c r="X4665" t="n">
        <v>37.87878787878788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11602</v>
      </c>
      <c r="AG4665" t="n">
        <v>2141</v>
      </c>
      <c r="AH4665" t="inlineStr">
        <is>
          <t>PT. PARAMA GLOBAL INSPIRA - PPN (JMB)</t>
        </is>
      </c>
      <c r="AI4665" t="n">
        <v>164</v>
      </c>
      <c r="AJ4665" t="inlineStr">
        <is>
          <t>WARDAH</t>
        </is>
      </c>
      <c r="AK4665" t="n">
        <v>9</v>
      </c>
      <c r="AL4665" t="inlineStr">
        <is>
          <t>Miss Glam Jambi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"8993137711685"</f>
        <v/>
      </c>
      <c r="C4666" t="inlineStr">
        <is>
          <t>WARDAH Colorfit  Matte Foundation 23W Warm Ivory 25 ml</t>
        </is>
      </c>
      <c r="D4666" t="inlineStr">
        <is>
          <t>Miss Glam Jambi</t>
        </is>
      </c>
      <c r="E4666" t="n">
        <v>4</v>
      </c>
      <c r="F4666" t="n">
        <v>0.033</v>
      </c>
      <c r="G4666" t="n">
        <v>0.33</v>
      </c>
      <c r="H4666" t="n">
        <v>2</v>
      </c>
      <c r="I4666" t="n">
        <v>7</v>
      </c>
      <c r="J4666" t="n">
        <v>3</v>
      </c>
      <c r="K4666" t="n">
        <v>0</v>
      </c>
      <c r="L4666" t="n">
        <v>56476</v>
      </c>
      <c r="M4666" t="n">
        <v>67000</v>
      </c>
      <c r="N4666" t="n">
        <v>33</v>
      </c>
      <c r="O4666" t="n">
        <v>0.33</v>
      </c>
      <c r="P4666" t="n">
        <v>1</v>
      </c>
      <c r="Q4666" t="n">
        <v>0.02</v>
      </c>
      <c r="R4666" t="n">
        <v>1</v>
      </c>
      <c r="S4666" t="n">
        <v>2211</v>
      </c>
      <c r="T4666" t="n">
        <v>3</v>
      </c>
      <c r="U4666" t="n">
        <v>4</v>
      </c>
      <c r="V4666" t="n">
        <v>30</v>
      </c>
      <c r="W4666" t="n">
        <v>1</v>
      </c>
      <c r="X4666" t="n">
        <v>121.2121212121212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11602</v>
      </c>
      <c r="AG4666" t="n">
        <v>2141</v>
      </c>
      <c r="AH4666" t="inlineStr">
        <is>
          <t>PT. PARAMA GLOBAL INSPIRA - PPN (JMB)</t>
        </is>
      </c>
      <c r="AI4666" t="n">
        <v>164</v>
      </c>
      <c r="AJ4666" t="inlineStr">
        <is>
          <t>WARDAH</t>
        </is>
      </c>
      <c r="AK4666" t="n">
        <v>9</v>
      </c>
      <c r="AL4666" t="inlineStr">
        <is>
          <t>Miss Glam Jambi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"8993137711197"</f>
        <v/>
      </c>
      <c r="C4667" t="inlineStr">
        <is>
          <t>WARDAH Colorfit  Velvet Powder Foundation 22N Light Ivory 11gr</t>
        </is>
      </c>
      <c r="D4667" t="inlineStr">
        <is>
          <t>Miss Glam Jambi</t>
        </is>
      </c>
      <c r="E4667" t="n">
        <v>7</v>
      </c>
      <c r="F4667" t="n">
        <v>0.2475</v>
      </c>
      <c r="G4667" t="n">
        <v>0.99</v>
      </c>
      <c r="H4667" t="n">
        <v>2</v>
      </c>
      <c r="I4667" t="n">
        <v>7</v>
      </c>
      <c r="J4667" t="n">
        <v>3</v>
      </c>
      <c r="K4667" t="n">
        <v>3</v>
      </c>
      <c r="L4667" t="n">
        <v>64492</v>
      </c>
      <c r="M4667" t="n">
        <v>76000</v>
      </c>
      <c r="N4667" t="n">
        <v>33</v>
      </c>
      <c r="O4667" t="n">
        <v>0.33</v>
      </c>
      <c r="P4667" t="n">
        <v>1</v>
      </c>
      <c r="Q4667" t="n">
        <v>0.1</v>
      </c>
      <c r="R4667" t="n">
        <v>2</v>
      </c>
      <c r="S4667" t="n">
        <v>18810</v>
      </c>
      <c r="T4667" t="n">
        <v>7</v>
      </c>
      <c r="U4667" t="n">
        <v>8</v>
      </c>
      <c r="V4667" t="n">
        <v>30</v>
      </c>
      <c r="W4667" t="n">
        <v>8</v>
      </c>
      <c r="X4667" t="n">
        <v>28.28282828282828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11602</v>
      </c>
      <c r="AG4667" t="n">
        <v>2141</v>
      </c>
      <c r="AH4667" t="inlineStr">
        <is>
          <t>PT. PARAMA GLOBAL INSPIRA - PPN (JMB)</t>
        </is>
      </c>
      <c r="AI4667" t="n">
        <v>164</v>
      </c>
      <c r="AJ4667" t="inlineStr">
        <is>
          <t>WARDAH</t>
        </is>
      </c>
      <c r="AK4667" t="n">
        <v>9</v>
      </c>
      <c r="AL4667" t="inlineStr">
        <is>
          <t>Miss Glam Jambi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"20100466114"</f>
        <v/>
      </c>
      <c r="C4668" t="inlineStr">
        <is>
          <t>WARDAH Colorfit 5D Blur Cloud Cushion 21C Shell 15gr</t>
        </is>
      </c>
      <c r="D4668" t="inlineStr">
        <is>
          <t>Miss Glam Jambi</t>
        </is>
      </c>
      <c r="E4668" t="n">
        <v>4</v>
      </c>
      <c r="F4668" t="n">
        <v>0.0495</v>
      </c>
      <c r="G4668" t="n">
        <v>0.66</v>
      </c>
      <c r="H4668" t="n">
        <v>2</v>
      </c>
      <c r="I4668" t="n">
        <v>7</v>
      </c>
      <c r="J4668" t="n">
        <v>3</v>
      </c>
      <c r="K4668" t="n">
        <v>0</v>
      </c>
      <c r="L4668" t="n">
        <v>111114</v>
      </c>
      <c r="M4668" t="n">
        <v>131000</v>
      </c>
      <c r="N4668" t="n">
        <v>33</v>
      </c>
      <c r="O4668" t="n">
        <v>0.33</v>
      </c>
      <c r="P4668" t="n">
        <v>1</v>
      </c>
      <c r="Q4668" t="n">
        <v>0.12</v>
      </c>
      <c r="R4668" t="n">
        <v>2</v>
      </c>
      <c r="S4668" t="n">
        <v>6484.5</v>
      </c>
      <c r="T4668" t="n">
        <v>5</v>
      </c>
      <c r="U4668" t="n">
        <v>6</v>
      </c>
      <c r="V4668" t="n">
        <v>30</v>
      </c>
      <c r="W4668" t="n">
        <v>2</v>
      </c>
      <c r="X4668" t="n">
        <v>80.8080808080808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11602</v>
      </c>
      <c r="AG4668" t="n">
        <v>2141</v>
      </c>
      <c r="AH4668" t="inlineStr">
        <is>
          <t>PT. PARAMA GLOBAL INSPIRA - PPN (JMB)</t>
        </is>
      </c>
      <c r="AI4668" t="n">
        <v>164</v>
      </c>
      <c r="AJ4668" t="inlineStr">
        <is>
          <t>WARDAH</t>
        </is>
      </c>
      <c r="AK4668" t="n">
        <v>9</v>
      </c>
      <c r="AL4668" t="inlineStr">
        <is>
          <t>Miss Glam Jambi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"20100466332"</f>
        <v/>
      </c>
      <c r="C4669" t="inlineStr">
        <is>
          <t>WARDAH Colorfit 5D Blur Cloud Cushion 21W Linen 15gr</t>
        </is>
      </c>
      <c r="D4669" t="inlineStr">
        <is>
          <t>Miss Glam Jambi</t>
        </is>
      </c>
      <c r="E4669" t="n">
        <v>13</v>
      </c>
      <c r="F4669" t="n">
        <v>0.07920000000000001</v>
      </c>
      <c r="G4669" t="n">
        <v>0.99</v>
      </c>
      <c r="H4669" t="n">
        <v>2</v>
      </c>
      <c r="I4669" t="n">
        <v>7</v>
      </c>
      <c r="J4669" t="n">
        <v>3</v>
      </c>
      <c r="K4669" t="n">
        <v>0</v>
      </c>
      <c r="L4669" t="n">
        <v>111114</v>
      </c>
      <c r="M4669" t="n">
        <v>131000</v>
      </c>
      <c r="N4669" t="n">
        <v>33</v>
      </c>
      <c r="O4669" t="n">
        <v>0.33</v>
      </c>
      <c r="P4669" t="n">
        <v>1</v>
      </c>
      <c r="Q4669" t="n">
        <v>0.1</v>
      </c>
      <c r="R4669" t="n">
        <v>1</v>
      </c>
      <c r="S4669" t="n">
        <v>10375.2</v>
      </c>
      <c r="T4669" t="n">
        <v>7</v>
      </c>
      <c r="U4669" t="n">
        <v>8</v>
      </c>
      <c r="V4669" t="n">
        <v>30</v>
      </c>
      <c r="W4669" t="n">
        <v>3</v>
      </c>
      <c r="X4669" t="n">
        <v>164.1414141414141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11602</v>
      </c>
      <c r="AG4669" t="n">
        <v>2141</v>
      </c>
      <c r="AH4669" t="inlineStr">
        <is>
          <t>PT. PARAMA GLOBAL INSPIRA - PPN (JMB)</t>
        </is>
      </c>
      <c r="AI4669" t="n">
        <v>164</v>
      </c>
      <c r="AJ4669" t="inlineStr">
        <is>
          <t>WARDAH</t>
        </is>
      </c>
      <c r="AK4669" t="n">
        <v>9</v>
      </c>
      <c r="AL4669" t="inlineStr">
        <is>
          <t>Miss Glam Jambi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"20100466246"</f>
        <v/>
      </c>
      <c r="C4670" t="inlineStr">
        <is>
          <t>WARDAH Colorfit 5D Blur Cloud Cushion 22N Light Ivory 15gr</t>
        </is>
      </c>
      <c r="D4670" t="inlineStr">
        <is>
          <t>Miss Glam Jambi</t>
        </is>
      </c>
      <c r="E4670" t="n">
        <v>5</v>
      </c>
      <c r="F4670" t="n">
        <v>0.2574</v>
      </c>
      <c r="G4670" t="n">
        <v>0.99</v>
      </c>
      <c r="H4670" t="n">
        <v>2</v>
      </c>
      <c r="I4670" t="n">
        <v>7</v>
      </c>
      <c r="J4670" t="n">
        <v>3</v>
      </c>
      <c r="K4670" t="n">
        <v>3</v>
      </c>
      <c r="L4670" t="n">
        <v>111113</v>
      </c>
      <c r="M4670" t="n">
        <v>131000</v>
      </c>
      <c r="N4670" t="n">
        <v>33</v>
      </c>
      <c r="O4670" t="n">
        <v>0.33</v>
      </c>
      <c r="P4670" t="n">
        <v>1</v>
      </c>
      <c r="Q4670" t="n">
        <v>0.24</v>
      </c>
      <c r="R4670" t="n">
        <v>2</v>
      </c>
      <c r="S4670" t="n">
        <v>33719.4</v>
      </c>
      <c r="T4670" t="n">
        <v>7</v>
      </c>
      <c r="U4670" t="n">
        <v>8</v>
      </c>
      <c r="V4670" t="n">
        <v>30</v>
      </c>
      <c r="W4670" t="n">
        <v>8</v>
      </c>
      <c r="X4670" t="n">
        <v>19.42501942501942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11602</v>
      </c>
      <c r="AG4670" t="n">
        <v>2141</v>
      </c>
      <c r="AH4670" t="inlineStr">
        <is>
          <t>PT. PARAMA GLOBAL INSPIRA - PPN (JMB)</t>
        </is>
      </c>
      <c r="AI4670" t="n">
        <v>164</v>
      </c>
      <c r="AJ4670" t="inlineStr">
        <is>
          <t>WARDAH</t>
        </is>
      </c>
      <c r="AK4670" t="n">
        <v>9</v>
      </c>
      <c r="AL4670" t="inlineStr">
        <is>
          <t>Miss Glam Jambi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"20100466402"</f>
        <v/>
      </c>
      <c r="C4671" t="inlineStr">
        <is>
          <t>WARDAH Colorfit 5D Blur Cloud Cushion 23W Warm Ivory 15gr</t>
        </is>
      </c>
      <c r="D4671" t="inlineStr">
        <is>
          <t>Miss Glam Jambi</t>
        </is>
      </c>
      <c r="E4671" t="n">
        <v>4</v>
      </c>
      <c r="F4671" t="n">
        <v>0.1386</v>
      </c>
      <c r="G4671" t="n">
        <v>0.66</v>
      </c>
      <c r="H4671" t="n">
        <v>2</v>
      </c>
      <c r="I4671" t="n">
        <v>7</v>
      </c>
      <c r="J4671" t="n">
        <v>3</v>
      </c>
      <c r="K4671" t="n">
        <v>3</v>
      </c>
      <c r="L4671" t="n">
        <v>111114</v>
      </c>
      <c r="M4671" t="n">
        <v>131000</v>
      </c>
      <c r="N4671" t="n">
        <v>33</v>
      </c>
      <c r="O4671" t="n">
        <v>0.33</v>
      </c>
      <c r="P4671" t="n">
        <v>1</v>
      </c>
      <c r="Q4671" t="n">
        <v>0.08</v>
      </c>
      <c r="R4671" t="n">
        <v>2</v>
      </c>
      <c r="S4671" t="n">
        <v>18156.6</v>
      </c>
      <c r="T4671" t="n">
        <v>5</v>
      </c>
      <c r="U4671" t="n">
        <v>6</v>
      </c>
      <c r="V4671" t="n">
        <v>30</v>
      </c>
      <c r="W4671" t="n">
        <v>5</v>
      </c>
      <c r="X4671" t="n">
        <v>28.86002886002886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11602</v>
      </c>
      <c r="AG4671" t="n">
        <v>2141</v>
      </c>
      <c r="AH4671" t="inlineStr">
        <is>
          <t>PT. PARAMA GLOBAL INSPIRA - PPN (JMB)</t>
        </is>
      </c>
      <c r="AI4671" t="n">
        <v>164</v>
      </c>
      <c r="AJ4671" t="inlineStr">
        <is>
          <t>WARDAH</t>
        </is>
      </c>
      <c r="AK4671" t="n">
        <v>9</v>
      </c>
      <c r="AL4671" t="inlineStr">
        <is>
          <t>Miss Glam Jambi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"20100466613"</f>
        <v/>
      </c>
      <c r="C4672" t="inlineStr">
        <is>
          <t>WARDAH Colorfit 5D Blur Cloud Cushion 31W Creme Beige 15gr</t>
        </is>
      </c>
      <c r="D4672" t="inlineStr">
        <is>
          <t>Miss Glam Jambi</t>
        </is>
      </c>
      <c r="E4672" t="n">
        <v>16</v>
      </c>
      <c r="F4672" t="n">
        <v>0.08910000000000001</v>
      </c>
      <c r="G4672" t="n">
        <v>0.66</v>
      </c>
      <c r="H4672" t="n">
        <v>2</v>
      </c>
      <c r="I4672" t="n">
        <v>7</v>
      </c>
      <c r="J4672" t="n">
        <v>3</v>
      </c>
      <c r="K4672" t="n">
        <v>0</v>
      </c>
      <c r="L4672" t="n">
        <v>111114</v>
      </c>
      <c r="M4672" t="n">
        <v>131000</v>
      </c>
      <c r="N4672" t="n">
        <v>33</v>
      </c>
      <c r="O4672" t="n">
        <v>0.33</v>
      </c>
      <c r="P4672" t="n">
        <v>1</v>
      </c>
      <c r="Q4672" t="n">
        <v>0.03</v>
      </c>
      <c r="R4672" t="n">
        <v>1</v>
      </c>
      <c r="S4672" t="n">
        <v>11672.1</v>
      </c>
      <c r="T4672" t="n">
        <v>5</v>
      </c>
      <c r="U4672" t="n">
        <v>6</v>
      </c>
      <c r="V4672" t="n">
        <v>30</v>
      </c>
      <c r="W4672" t="n">
        <v>3</v>
      </c>
      <c r="X4672" t="n">
        <v>179.5735129068462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11602</v>
      </c>
      <c r="AG4672" t="n">
        <v>2141</v>
      </c>
      <c r="AH4672" t="inlineStr">
        <is>
          <t>PT. PARAMA GLOBAL INSPIRA - PPN (JMB)</t>
        </is>
      </c>
      <c r="AI4672" t="n">
        <v>164</v>
      </c>
      <c r="AJ4672" t="inlineStr">
        <is>
          <t>WARDAH</t>
        </is>
      </c>
      <c r="AK4672" t="n">
        <v>9</v>
      </c>
      <c r="AL4672" t="inlineStr">
        <is>
          <t>Miss Glam Jambi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"20100466538"</f>
        <v/>
      </c>
      <c r="C4673" t="inlineStr">
        <is>
          <t>WARDAH Colorfit 5D Blur Cloud Cushion 32N Neutral Beige 15gr</t>
        </is>
      </c>
      <c r="D4673" t="inlineStr">
        <is>
          <t>Miss Glam Jambi</t>
        </is>
      </c>
      <c r="E4673" t="n">
        <v>19</v>
      </c>
      <c r="F4673" t="n">
        <v>0.297</v>
      </c>
      <c r="G4673" t="n">
        <v>1.32</v>
      </c>
      <c r="H4673" t="n">
        <v>2</v>
      </c>
      <c r="I4673" t="n">
        <v>7</v>
      </c>
      <c r="J4673" t="n">
        <v>3</v>
      </c>
      <c r="K4673" t="n">
        <v>0</v>
      </c>
      <c r="L4673" t="n">
        <v>111114</v>
      </c>
      <c r="M4673" t="n">
        <v>131000</v>
      </c>
      <c r="N4673" t="n">
        <v>33</v>
      </c>
      <c r="O4673" t="n">
        <v>0.33</v>
      </c>
      <c r="P4673" t="n">
        <v>1</v>
      </c>
      <c r="Q4673" t="n">
        <v>0.08</v>
      </c>
      <c r="R4673" t="n">
        <v>1</v>
      </c>
      <c r="S4673" t="n">
        <v>38907.00000000001</v>
      </c>
      <c r="T4673" t="n">
        <v>9</v>
      </c>
      <c r="U4673" t="n">
        <v>10</v>
      </c>
      <c r="V4673" t="n">
        <v>30</v>
      </c>
      <c r="W4673" t="n">
        <v>9</v>
      </c>
      <c r="X4673" t="n">
        <v>63.97306397306397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11602</v>
      </c>
      <c r="AG4673" t="n">
        <v>2141</v>
      </c>
      <c r="AH4673" t="inlineStr">
        <is>
          <t>PT. PARAMA GLOBAL INSPIRA - PPN (JMB)</t>
        </is>
      </c>
      <c r="AI4673" t="n">
        <v>164</v>
      </c>
      <c r="AJ4673" t="inlineStr">
        <is>
          <t>WARDAH</t>
        </is>
      </c>
      <c r="AK4673" t="n">
        <v>9</v>
      </c>
      <c r="AL4673" t="inlineStr">
        <is>
          <t>Miss Glam Jambi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"20100466744"</f>
        <v/>
      </c>
      <c r="C4674" t="inlineStr">
        <is>
          <t>WARDAH Colorfit 5D Blur Cloud Cushion 33W Olive Beige 15gr</t>
        </is>
      </c>
      <c r="D4674" t="inlineStr">
        <is>
          <t>Miss Glam Jambi</t>
        </is>
      </c>
      <c r="E4674" t="n">
        <v>3</v>
      </c>
      <c r="F4674" t="n">
        <v>0.0495</v>
      </c>
      <c r="G4674" t="n">
        <v>0.66</v>
      </c>
      <c r="H4674" t="n">
        <v>2</v>
      </c>
      <c r="I4674" t="n">
        <v>7</v>
      </c>
      <c r="J4674" t="n">
        <v>3</v>
      </c>
      <c r="K4674" t="n">
        <v>0</v>
      </c>
      <c r="L4674" t="n">
        <v>111114</v>
      </c>
      <c r="M4674" t="n">
        <v>131000</v>
      </c>
      <c r="N4674" t="n">
        <v>33</v>
      </c>
      <c r="O4674" t="n">
        <v>0.33</v>
      </c>
      <c r="P4674" t="n">
        <v>1</v>
      </c>
      <c r="Q4674" t="n">
        <v>0.03</v>
      </c>
      <c r="R4674" t="n">
        <v>1</v>
      </c>
      <c r="S4674" t="n">
        <v>6484.5</v>
      </c>
      <c r="T4674" t="n">
        <v>5</v>
      </c>
      <c r="U4674" t="n">
        <v>6</v>
      </c>
      <c r="V4674" t="n">
        <v>30</v>
      </c>
      <c r="W4674" t="n">
        <v>2</v>
      </c>
      <c r="X4674" t="n">
        <v>60.6060606060606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11602</v>
      </c>
      <c r="AG4674" t="n">
        <v>2141</v>
      </c>
      <c r="AH4674" t="inlineStr">
        <is>
          <t>PT. PARAMA GLOBAL INSPIRA - PPN (JMB)</t>
        </is>
      </c>
      <c r="AI4674" t="n">
        <v>164</v>
      </c>
      <c r="AJ4674" t="inlineStr">
        <is>
          <t>WARDAH</t>
        </is>
      </c>
      <c r="AK4674" t="n">
        <v>9</v>
      </c>
      <c r="AL4674" t="inlineStr">
        <is>
          <t>Miss Glam Jambi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"8993137002035"</f>
        <v/>
      </c>
      <c r="C4675" t="inlineStr">
        <is>
          <t>WARDAH Colorfit Cream Blush 04 Ethereal Rose 3gr</t>
        </is>
      </c>
      <c r="D4675" t="inlineStr">
        <is>
          <t>Miss Glam Jambi</t>
        </is>
      </c>
      <c r="E4675" t="n">
        <v>6</v>
      </c>
      <c r="F4675" t="n">
        <v>0.2178</v>
      </c>
      <c r="G4675" t="n">
        <v>0.99</v>
      </c>
      <c r="H4675" t="n">
        <v>2</v>
      </c>
      <c r="I4675" t="n">
        <v>7</v>
      </c>
      <c r="J4675" t="n">
        <v>3</v>
      </c>
      <c r="K4675" t="n">
        <v>3</v>
      </c>
      <c r="L4675" t="n">
        <v>42912</v>
      </c>
      <c r="M4675" t="n">
        <v>50500</v>
      </c>
      <c r="N4675" t="n">
        <v>33</v>
      </c>
      <c r="O4675" t="n">
        <v>0.33</v>
      </c>
      <c r="P4675" t="n">
        <v>1</v>
      </c>
      <c r="Q4675" t="n">
        <v>0.05</v>
      </c>
      <c r="R4675" t="n">
        <v>1</v>
      </c>
      <c r="S4675" t="n">
        <v>10998.9</v>
      </c>
      <c r="T4675" t="n">
        <v>7</v>
      </c>
      <c r="U4675" t="n">
        <v>8</v>
      </c>
      <c r="V4675" t="n">
        <v>30</v>
      </c>
      <c r="W4675" t="n">
        <v>7</v>
      </c>
      <c r="X4675" t="n">
        <v>27.54820936639118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11602</v>
      </c>
      <c r="AG4675" t="n">
        <v>2141</v>
      </c>
      <c r="AH4675" t="inlineStr">
        <is>
          <t>PT. PARAMA GLOBAL INSPIRA - PPN (JMB)</t>
        </is>
      </c>
      <c r="AI4675" t="n">
        <v>164</v>
      </c>
      <c r="AJ4675" t="inlineStr">
        <is>
          <t>WARDAH</t>
        </is>
      </c>
      <c r="AK4675" t="n">
        <v>9</v>
      </c>
      <c r="AL4675" t="inlineStr">
        <is>
          <t>Miss Glam Jambi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"20100643128"</f>
        <v/>
      </c>
      <c r="C4676" t="inlineStr">
        <is>
          <t>WARDAH Colorfit HD Blurify Loose Powder 00 Translucent 15g</t>
        </is>
      </c>
      <c r="D4676" t="inlineStr">
        <is>
          <t>Miss Glam Jambi</t>
        </is>
      </c>
      <c r="E4676" t="n">
        <v>4</v>
      </c>
      <c r="F4676" t="n">
        <v>0.0231</v>
      </c>
      <c r="G4676" t="n">
        <v>0.33</v>
      </c>
      <c r="H4676" t="n">
        <v>2</v>
      </c>
      <c r="I4676" t="n">
        <v>7</v>
      </c>
      <c r="J4676" t="n">
        <v>1</v>
      </c>
      <c r="K4676" t="n">
        <v>0</v>
      </c>
      <c r="L4676" t="n">
        <v>68201</v>
      </c>
      <c r="M4676" t="n">
        <v>80500</v>
      </c>
      <c r="N4676" t="n">
        <v>33</v>
      </c>
      <c r="O4676" t="n">
        <v>0.33</v>
      </c>
      <c r="P4676" t="n">
        <v>1</v>
      </c>
      <c r="Q4676" t="n">
        <v>0.03</v>
      </c>
      <c r="R4676" t="n">
        <v>1</v>
      </c>
      <c r="S4676" t="n">
        <v>1859.55</v>
      </c>
      <c r="T4676" t="n">
        <v>3</v>
      </c>
      <c r="U4676" t="n">
        <v>4</v>
      </c>
      <c r="V4676" t="n">
        <v>30</v>
      </c>
      <c r="W4676" t="n">
        <v>1</v>
      </c>
      <c r="X4676" t="n">
        <v>173.1601731601731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11602</v>
      </c>
      <c r="AG4676" t="n">
        <v>2141</v>
      </c>
      <c r="AH4676" t="inlineStr">
        <is>
          <t>PT. PARAMA GLOBAL INSPIRA - PPN (JMB)</t>
        </is>
      </c>
      <c r="AI4676" t="n">
        <v>164</v>
      </c>
      <c r="AJ4676" t="inlineStr">
        <is>
          <t>WARDAH</t>
        </is>
      </c>
      <c r="AK4676" t="n">
        <v>9</v>
      </c>
      <c r="AL4676" t="inlineStr">
        <is>
          <t>Miss Glam Jambi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"20100643409"</f>
        <v/>
      </c>
      <c r="C4677" t="inlineStr">
        <is>
          <t>WARDAH Colorfit HD Blurify Loose Powder 32N Neutral Beige 15g</t>
        </is>
      </c>
      <c r="D4677" t="inlineStr">
        <is>
          <t>Miss Glam Jambi</t>
        </is>
      </c>
      <c r="E4677" t="n">
        <v>7</v>
      </c>
      <c r="F4677" t="n">
        <v>0.0231</v>
      </c>
      <c r="G4677" t="n">
        <v>0.66</v>
      </c>
      <c r="H4677" t="n">
        <v>2</v>
      </c>
      <c r="I4677" t="n">
        <v>7</v>
      </c>
      <c r="J4677" t="n">
        <v>1</v>
      </c>
      <c r="K4677" t="n">
        <v>0</v>
      </c>
      <c r="L4677" t="n">
        <v>68201</v>
      </c>
      <c r="M4677" t="n">
        <v>80500</v>
      </c>
      <c r="N4677" t="n">
        <v>33</v>
      </c>
      <c r="O4677" t="n">
        <v>0.33</v>
      </c>
      <c r="P4677" t="n">
        <v>1</v>
      </c>
      <c r="Q4677" t="n">
        <v>0.02</v>
      </c>
      <c r="R4677" t="n">
        <v>1</v>
      </c>
      <c r="S4677" t="n">
        <v>1859.55</v>
      </c>
      <c r="T4677" t="n">
        <v>5</v>
      </c>
      <c r="U4677" t="n">
        <v>6</v>
      </c>
      <c r="V4677" t="n">
        <v>30</v>
      </c>
      <c r="W4677" t="n">
        <v>1</v>
      </c>
      <c r="X4677" t="n">
        <v>303.030303030303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11602</v>
      </c>
      <c r="AG4677" t="n">
        <v>2141</v>
      </c>
      <c r="AH4677" t="inlineStr">
        <is>
          <t>PT. PARAMA GLOBAL INSPIRA - PPN (JMB)</t>
        </is>
      </c>
      <c r="AI4677" t="n">
        <v>164</v>
      </c>
      <c r="AJ4677" t="inlineStr">
        <is>
          <t>WARDAH</t>
        </is>
      </c>
      <c r="AK4677" t="n">
        <v>9</v>
      </c>
      <c r="AL4677" t="inlineStr">
        <is>
          <t>Miss Glam Jambi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"8993137715966"</f>
        <v/>
      </c>
      <c r="C4678" t="inlineStr">
        <is>
          <t>WARDAH Colorfit Highlight Contour Palette 01 Light</t>
        </is>
      </c>
      <c r="D4678" t="inlineStr">
        <is>
          <t>Miss Glam Jambi</t>
        </is>
      </c>
      <c r="E4678" t="n">
        <v>0</v>
      </c>
      <c r="F4678" t="n">
        <v>0.0165</v>
      </c>
      <c r="G4678" t="n">
        <v>0.33</v>
      </c>
      <c r="H4678" t="n">
        <v>2</v>
      </c>
      <c r="I4678" t="n">
        <v>7</v>
      </c>
      <c r="J4678" t="n">
        <v>3</v>
      </c>
      <c r="K4678" t="n">
        <v>0</v>
      </c>
      <c r="L4678" t="n">
        <v>71649</v>
      </c>
      <c r="M4678" t="n">
        <v>83000</v>
      </c>
      <c r="N4678" t="n">
        <v>33</v>
      </c>
      <c r="O4678" t="n">
        <v>0.33</v>
      </c>
      <c r="P4678" t="n">
        <v>1</v>
      </c>
      <c r="Q4678" t="n">
        <v>0.04</v>
      </c>
      <c r="R4678" t="n">
        <v>1</v>
      </c>
      <c r="S4678" t="n">
        <v>1369.5</v>
      </c>
      <c r="T4678" t="n">
        <v>3</v>
      </c>
      <c r="U4678" t="n">
        <v>4</v>
      </c>
      <c r="V4678" t="n">
        <v>30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n">
        <v>0</v>
      </c>
      <c r="AC4678" t="n">
        <v>0</v>
      </c>
      <c r="AD4678" t="n">
        <v>71649</v>
      </c>
      <c r="AE4678" t="n">
        <v>0</v>
      </c>
      <c r="AF4678" t="n">
        <v>11602</v>
      </c>
      <c r="AG4678" t="n">
        <v>2141</v>
      </c>
      <c r="AH4678" t="inlineStr">
        <is>
          <t>PT. PARAMA GLOBAL INSPIRA - PPN (JMB)</t>
        </is>
      </c>
      <c r="AI4678" t="n">
        <v>164</v>
      </c>
      <c r="AJ4678" t="inlineStr">
        <is>
          <t>WARDAH</t>
        </is>
      </c>
      <c r="AK4678" t="n">
        <v>9</v>
      </c>
      <c r="AL4678" t="inlineStr">
        <is>
          <t>Miss Glam Jambi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"8993137711678"</f>
        <v/>
      </c>
      <c r="C4679" t="inlineStr">
        <is>
          <t>WARDAH Colorfit Matte Foundation 22N Light Ivory 25ml</t>
        </is>
      </c>
      <c r="D4679" t="inlineStr">
        <is>
          <t>Miss Glam Jambi</t>
        </is>
      </c>
      <c r="E4679" t="n">
        <v>3</v>
      </c>
      <c r="F4679" t="n">
        <v>0.0396</v>
      </c>
      <c r="G4679" t="n">
        <v>0.33</v>
      </c>
      <c r="H4679" t="n">
        <v>2</v>
      </c>
      <c r="I4679" t="n">
        <v>7</v>
      </c>
      <c r="J4679" t="n">
        <v>3</v>
      </c>
      <c r="K4679" t="n">
        <v>0</v>
      </c>
      <c r="L4679" t="n">
        <v>57089</v>
      </c>
      <c r="M4679" t="n">
        <v>67000</v>
      </c>
      <c r="N4679" t="n">
        <v>33</v>
      </c>
      <c r="O4679" t="n">
        <v>0.33</v>
      </c>
      <c r="P4679" t="n">
        <v>1</v>
      </c>
      <c r="Q4679" t="n">
        <v>0.05</v>
      </c>
      <c r="R4679" t="n">
        <v>1</v>
      </c>
      <c r="S4679" t="n">
        <v>2653.2</v>
      </c>
      <c r="T4679" t="n">
        <v>3</v>
      </c>
      <c r="U4679" t="n">
        <v>4</v>
      </c>
      <c r="V4679" t="n">
        <v>30</v>
      </c>
      <c r="W4679" t="n">
        <v>2</v>
      </c>
      <c r="X4679" t="n">
        <v>75.75757575757575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11602</v>
      </c>
      <c r="AG4679" t="n">
        <v>2141</v>
      </c>
      <c r="AH4679" t="inlineStr">
        <is>
          <t>PT. PARAMA GLOBAL INSPIRA - PPN (JMB)</t>
        </is>
      </c>
      <c r="AI4679" t="n">
        <v>164</v>
      </c>
      <c r="AJ4679" t="inlineStr">
        <is>
          <t>WARDAH</t>
        </is>
      </c>
      <c r="AK4679" t="n">
        <v>9</v>
      </c>
      <c r="AL4679" t="inlineStr">
        <is>
          <t>Miss Glam Jambi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"8993137711715"</f>
        <v/>
      </c>
      <c r="C4680" t="inlineStr">
        <is>
          <t>WARDAH Colorfit Matte Foundation 42N Neutral Sand 25ml</t>
        </is>
      </c>
      <c r="D4680" t="inlineStr">
        <is>
          <t>Miss Glam Jambi</t>
        </is>
      </c>
      <c r="E4680" t="n">
        <v>4</v>
      </c>
      <c r="F4680" t="n">
        <v>0.0231</v>
      </c>
      <c r="G4680" t="n">
        <v>0.33</v>
      </c>
      <c r="H4680" t="n">
        <v>2</v>
      </c>
      <c r="I4680" t="n">
        <v>7</v>
      </c>
      <c r="J4680" t="n">
        <v>3</v>
      </c>
      <c r="K4680" t="n">
        <v>0</v>
      </c>
      <c r="L4680" t="n">
        <v>56706</v>
      </c>
      <c r="M4680" t="n">
        <v>67000</v>
      </c>
      <c r="N4680" t="n">
        <v>33</v>
      </c>
      <c r="O4680" t="n">
        <v>0.33</v>
      </c>
      <c r="P4680" t="n">
        <v>1</v>
      </c>
      <c r="Q4680" t="n">
        <v>0.02</v>
      </c>
      <c r="R4680" t="n">
        <v>1</v>
      </c>
      <c r="S4680" t="n">
        <v>1547.7</v>
      </c>
      <c r="T4680" t="n">
        <v>3</v>
      </c>
      <c r="U4680" t="n">
        <v>4</v>
      </c>
      <c r="V4680" t="n">
        <v>30</v>
      </c>
      <c r="W4680" t="n">
        <v>1</v>
      </c>
      <c r="X4680" t="n">
        <v>173.1601731601731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11602</v>
      </c>
      <c r="AG4680" t="n">
        <v>2141</v>
      </c>
      <c r="AH4680" t="inlineStr">
        <is>
          <t>PT. PARAMA GLOBAL INSPIRA - PPN (JMB)</t>
        </is>
      </c>
      <c r="AI4680" t="n">
        <v>164</v>
      </c>
      <c r="AJ4680" t="inlineStr">
        <is>
          <t>WARDAH</t>
        </is>
      </c>
      <c r="AK4680" t="n">
        <v>9</v>
      </c>
      <c r="AL4680" t="inlineStr">
        <is>
          <t>Miss Glam Jambi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"8993137715744"</f>
        <v/>
      </c>
      <c r="C4681" t="inlineStr">
        <is>
          <t>WARDAH Colorfit Perfect Glow Cushion 11C Pink Fair 15 g</t>
        </is>
      </c>
      <c r="D4681" t="inlineStr">
        <is>
          <t>Miss Glam Jambi</t>
        </is>
      </c>
      <c r="E4681" t="n">
        <v>2</v>
      </c>
      <c r="F4681" t="n">
        <v>0.0495</v>
      </c>
      <c r="G4681" t="n">
        <v>0.99</v>
      </c>
      <c r="H4681" t="n">
        <v>2</v>
      </c>
      <c r="I4681" t="n">
        <v>7</v>
      </c>
      <c r="J4681" t="n">
        <v>3</v>
      </c>
      <c r="K4681" t="n">
        <v>0</v>
      </c>
      <c r="L4681" t="n">
        <v>98239</v>
      </c>
      <c r="M4681" t="n">
        <v>120000</v>
      </c>
      <c r="N4681" t="n">
        <v>33</v>
      </c>
      <c r="O4681" t="n">
        <v>0.33</v>
      </c>
      <c r="P4681" t="n">
        <v>1</v>
      </c>
      <c r="Q4681" t="n">
        <v>0.08</v>
      </c>
      <c r="R4681" t="n">
        <v>1</v>
      </c>
      <c r="S4681" t="n">
        <v>5940</v>
      </c>
      <c r="T4681" t="n">
        <v>7</v>
      </c>
      <c r="U4681" t="n">
        <v>8</v>
      </c>
      <c r="V4681" t="n">
        <v>30</v>
      </c>
      <c r="W4681" t="n">
        <v>2</v>
      </c>
      <c r="X4681" t="n">
        <v>40.4040404040404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11602</v>
      </c>
      <c r="AG4681" t="n">
        <v>2141</v>
      </c>
      <c r="AH4681" t="inlineStr">
        <is>
          <t>PT. PARAMA GLOBAL INSPIRA - PPN (JMB)</t>
        </is>
      </c>
      <c r="AI4681" t="n">
        <v>164</v>
      </c>
      <c r="AJ4681" t="inlineStr">
        <is>
          <t>WARDAH</t>
        </is>
      </c>
      <c r="AK4681" t="n">
        <v>9</v>
      </c>
      <c r="AL4681" t="inlineStr">
        <is>
          <t>Miss Glam Jambi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"20100466914"</f>
        <v/>
      </c>
      <c r="C4682" t="inlineStr">
        <is>
          <t>WARDAH Colorfit Perfect Glow Cushion 21C Shell 15gr</t>
        </is>
      </c>
      <c r="D4682" t="inlineStr">
        <is>
          <t>Miss Glam Jambi</t>
        </is>
      </c>
      <c r="E4682" t="n">
        <v>3</v>
      </c>
      <c r="F4682" t="n">
        <v>0.0231</v>
      </c>
      <c r="G4682" t="n">
        <v>0.33</v>
      </c>
      <c r="H4682" t="n">
        <v>2</v>
      </c>
      <c r="I4682" t="n">
        <v>7</v>
      </c>
      <c r="J4682" t="n">
        <v>3</v>
      </c>
      <c r="K4682" t="n">
        <v>0</v>
      </c>
      <c r="L4682" t="n">
        <v>93872</v>
      </c>
      <c r="M4682" t="n">
        <v>120000</v>
      </c>
      <c r="N4682" t="n">
        <v>33</v>
      </c>
      <c r="O4682" t="n">
        <v>0.33</v>
      </c>
      <c r="P4682" t="n">
        <v>1</v>
      </c>
      <c r="Q4682" t="n">
        <v>0.03</v>
      </c>
      <c r="R4682" t="n">
        <v>1</v>
      </c>
      <c r="S4682" t="n">
        <v>2772</v>
      </c>
      <c r="T4682" t="n">
        <v>3</v>
      </c>
      <c r="U4682" t="n">
        <v>4</v>
      </c>
      <c r="V4682" t="n">
        <v>30</v>
      </c>
      <c r="W4682" t="n">
        <v>1</v>
      </c>
      <c r="X4682" t="n">
        <v>129.8701298701299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11602</v>
      </c>
      <c r="AG4682" t="n">
        <v>2141</v>
      </c>
      <c r="AH4682" t="inlineStr">
        <is>
          <t>PT. PARAMA GLOBAL INSPIRA - PPN (JMB)</t>
        </is>
      </c>
      <c r="AI4682" t="n">
        <v>164</v>
      </c>
      <c r="AJ4682" t="inlineStr">
        <is>
          <t>WARDAH</t>
        </is>
      </c>
      <c r="AK4682" t="n">
        <v>9</v>
      </c>
      <c r="AL4682" t="inlineStr">
        <is>
          <t>Miss Glam Jambi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"20100467046"</f>
        <v/>
      </c>
      <c r="C4683" t="inlineStr">
        <is>
          <t>WARDAH Colorfit Perfect Glow Cushion 21W Linen 15gr</t>
        </is>
      </c>
      <c r="D4683" t="inlineStr">
        <is>
          <t>Miss Glam Jambi</t>
        </is>
      </c>
      <c r="E4683" t="n">
        <v>2</v>
      </c>
      <c r="F4683" t="n">
        <v>0.07920000000000001</v>
      </c>
      <c r="G4683" t="n">
        <v>0.33</v>
      </c>
      <c r="H4683" t="n">
        <v>2</v>
      </c>
      <c r="I4683" t="n">
        <v>7</v>
      </c>
      <c r="J4683" t="n">
        <v>3</v>
      </c>
      <c r="K4683" t="n">
        <v>3</v>
      </c>
      <c r="L4683" t="n">
        <v>97813</v>
      </c>
      <c r="M4683" t="n">
        <v>120000</v>
      </c>
      <c r="N4683" t="n">
        <v>33</v>
      </c>
      <c r="O4683" t="n">
        <v>0.33</v>
      </c>
      <c r="P4683" t="n">
        <v>1</v>
      </c>
      <c r="Q4683" t="n">
        <v>0.08</v>
      </c>
      <c r="R4683" t="n">
        <v>1</v>
      </c>
      <c r="S4683" t="n">
        <v>9504</v>
      </c>
      <c r="T4683" t="n">
        <v>3</v>
      </c>
      <c r="U4683" t="n">
        <v>4</v>
      </c>
      <c r="V4683" t="n">
        <v>30</v>
      </c>
      <c r="W4683" t="n">
        <v>3</v>
      </c>
      <c r="X4683" t="n">
        <v>25.25252525252525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11602</v>
      </c>
      <c r="AG4683" t="n">
        <v>2141</v>
      </c>
      <c r="AH4683" t="inlineStr">
        <is>
          <t>PT. PARAMA GLOBAL INSPIRA - PPN (JMB)</t>
        </is>
      </c>
      <c r="AI4683" t="n">
        <v>164</v>
      </c>
      <c r="AJ4683" t="inlineStr">
        <is>
          <t>WARDAH</t>
        </is>
      </c>
      <c r="AK4683" t="n">
        <v>9</v>
      </c>
      <c r="AL4683" t="inlineStr">
        <is>
          <t>Miss Glam Jambi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"8993137715751"</f>
        <v/>
      </c>
      <c r="C4684" t="inlineStr">
        <is>
          <t>WARDAH Colorfit Perfect Glow Cushion 22N Light Ivory 15gr</t>
        </is>
      </c>
      <c r="D4684" t="inlineStr">
        <is>
          <t>Miss Glam Jambi</t>
        </is>
      </c>
      <c r="E4684" t="n">
        <v>14</v>
      </c>
      <c r="F4684" t="n">
        <v>0.2277</v>
      </c>
      <c r="G4684" t="n">
        <v>1.65</v>
      </c>
      <c r="H4684" t="n">
        <v>2</v>
      </c>
      <c r="I4684" t="n">
        <v>7</v>
      </c>
      <c r="J4684" t="n">
        <v>3</v>
      </c>
      <c r="K4684" t="n">
        <v>0</v>
      </c>
      <c r="L4684" t="n">
        <v>96329</v>
      </c>
      <c r="M4684" t="n">
        <v>120000</v>
      </c>
      <c r="N4684" t="n">
        <v>33</v>
      </c>
      <c r="O4684" t="n">
        <v>0.33</v>
      </c>
      <c r="P4684" t="n">
        <v>1</v>
      </c>
      <c r="Q4684" t="n">
        <v>0.22</v>
      </c>
      <c r="R4684" t="n">
        <v>2</v>
      </c>
      <c r="S4684" t="n">
        <v>27324</v>
      </c>
      <c r="T4684" t="n">
        <v>12</v>
      </c>
      <c r="U4684" t="n">
        <v>13</v>
      </c>
      <c r="V4684" t="n">
        <v>30</v>
      </c>
      <c r="W4684" t="n">
        <v>7</v>
      </c>
      <c r="X4684" t="n">
        <v>61.48440931049627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11602</v>
      </c>
      <c r="AG4684" t="n">
        <v>2141</v>
      </c>
      <c r="AH4684" t="inlineStr">
        <is>
          <t>PT. PARAMA GLOBAL INSPIRA - PPN (JMB)</t>
        </is>
      </c>
      <c r="AI4684" t="n">
        <v>164</v>
      </c>
      <c r="AJ4684" t="inlineStr">
        <is>
          <t>WARDAH</t>
        </is>
      </c>
      <c r="AK4684" t="n">
        <v>9</v>
      </c>
      <c r="AL4684" t="inlineStr">
        <is>
          <t>Miss Glam Jambi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"8993137715768"</f>
        <v/>
      </c>
      <c r="C4685" t="inlineStr">
        <is>
          <t>WARDAH Colorfit Perfect Glow Cushion 23W Warm Ivory 15gr</t>
        </is>
      </c>
      <c r="D4685" t="inlineStr">
        <is>
          <t>Miss Glam Jambi</t>
        </is>
      </c>
      <c r="E4685" t="n">
        <v>3</v>
      </c>
      <c r="F4685" t="n">
        <v>0.0726</v>
      </c>
      <c r="G4685" t="n">
        <v>0.66</v>
      </c>
      <c r="H4685" t="n">
        <v>2</v>
      </c>
      <c r="I4685" t="n">
        <v>7</v>
      </c>
      <c r="J4685" t="n">
        <v>3</v>
      </c>
      <c r="K4685" t="n">
        <v>0</v>
      </c>
      <c r="L4685" t="n">
        <v>98380</v>
      </c>
      <c r="M4685" t="n">
        <v>120000</v>
      </c>
      <c r="N4685" t="n">
        <v>33</v>
      </c>
      <c r="O4685" t="n">
        <v>0.33</v>
      </c>
      <c r="P4685" t="n">
        <v>1</v>
      </c>
      <c r="Q4685" t="n">
        <v>0.1</v>
      </c>
      <c r="R4685" t="n">
        <v>1</v>
      </c>
      <c r="S4685" t="n">
        <v>8712</v>
      </c>
      <c r="T4685" t="n">
        <v>5</v>
      </c>
      <c r="U4685" t="n">
        <v>6</v>
      </c>
      <c r="V4685" t="n">
        <v>30</v>
      </c>
      <c r="W4685" t="n">
        <v>3</v>
      </c>
      <c r="X4685" t="n">
        <v>41.32231404958678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11602</v>
      </c>
      <c r="AG4685" t="n">
        <v>2141</v>
      </c>
      <c r="AH4685" t="inlineStr">
        <is>
          <t>PT. PARAMA GLOBAL INSPIRA - PPN (JMB)</t>
        </is>
      </c>
      <c r="AI4685" t="n">
        <v>164</v>
      </c>
      <c r="AJ4685" t="inlineStr">
        <is>
          <t>WARDAH</t>
        </is>
      </c>
      <c r="AK4685" t="n">
        <v>9</v>
      </c>
      <c r="AL4685" t="inlineStr">
        <is>
          <t>Miss Glam Jambi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WARDAH</t>
        </is>
      </c>
      <c r="B4686" s="2">
        <f>"20100467257"</f>
        <v/>
      </c>
      <c r="C4686" t="inlineStr">
        <is>
          <t>WARDAH Colorfit Perfect Glow Cushion 31W Creme Beige 15gr</t>
        </is>
      </c>
      <c r="D4686" t="inlineStr">
        <is>
          <t>Miss Glam Jambi</t>
        </is>
      </c>
      <c r="E4686" t="n">
        <v>1</v>
      </c>
      <c r="F4686" t="n">
        <v>0.0396</v>
      </c>
      <c r="G4686" t="n">
        <v>0.33</v>
      </c>
      <c r="H4686" t="n">
        <v>2</v>
      </c>
      <c r="I4686" t="n">
        <v>7</v>
      </c>
      <c r="J4686" t="n">
        <v>3</v>
      </c>
      <c r="K4686" t="n">
        <v>3</v>
      </c>
      <c r="L4686" t="n">
        <v>98470</v>
      </c>
      <c r="M4686" t="n">
        <v>120000</v>
      </c>
      <c r="N4686" t="n">
        <v>33</v>
      </c>
      <c r="O4686" t="n">
        <v>0.33</v>
      </c>
      <c r="P4686" t="n">
        <v>1</v>
      </c>
      <c r="Q4686" t="n">
        <v>0.03</v>
      </c>
      <c r="R4686" t="n">
        <v>1</v>
      </c>
      <c r="S4686" t="n">
        <v>4752</v>
      </c>
      <c r="T4686" t="n">
        <v>3</v>
      </c>
      <c r="U4686" t="n">
        <v>4</v>
      </c>
      <c r="V4686" t="n">
        <v>30</v>
      </c>
      <c r="W4686" t="n">
        <v>2</v>
      </c>
      <c r="X4686" t="n">
        <v>25.25252525252525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11602</v>
      </c>
      <c r="AG4686" t="n">
        <v>2141</v>
      </c>
      <c r="AH4686" t="inlineStr">
        <is>
          <t>PT. PARAMA GLOBAL INSPIRA - PPN (JMB)</t>
        </is>
      </c>
      <c r="AI4686" t="n">
        <v>164</v>
      </c>
      <c r="AJ4686" t="inlineStr">
        <is>
          <t>WARDAH</t>
        </is>
      </c>
      <c r="AK4686" t="n">
        <v>9</v>
      </c>
      <c r="AL4686" t="inlineStr">
        <is>
          <t>Miss Glam Jambi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WARDAH</t>
        </is>
      </c>
      <c r="B4687" s="2">
        <f>"8993137715775"</f>
        <v/>
      </c>
      <c r="C4687" t="inlineStr">
        <is>
          <t>WARDAH Colorfit Perfect Glow Cushion 32N Neutral Beige 15gr</t>
        </is>
      </c>
      <c r="D4687" t="inlineStr">
        <is>
          <t>Miss Glam Jambi</t>
        </is>
      </c>
      <c r="E4687" t="n">
        <v>6</v>
      </c>
      <c r="F4687" t="n">
        <v>0.1353</v>
      </c>
      <c r="G4687" t="n">
        <v>0.99</v>
      </c>
      <c r="H4687" t="n">
        <v>2</v>
      </c>
      <c r="I4687" t="n">
        <v>7</v>
      </c>
      <c r="J4687" t="n">
        <v>3</v>
      </c>
      <c r="K4687" t="n">
        <v>0</v>
      </c>
      <c r="L4687" t="n">
        <v>97895</v>
      </c>
      <c r="M4687" t="n">
        <v>120000</v>
      </c>
      <c r="N4687" t="n">
        <v>33</v>
      </c>
      <c r="O4687" t="n">
        <v>0.33</v>
      </c>
      <c r="P4687" t="n">
        <v>1</v>
      </c>
      <c r="Q4687" t="n">
        <v>0.05</v>
      </c>
      <c r="R4687" t="n">
        <v>1</v>
      </c>
      <c r="S4687" t="n">
        <v>16236</v>
      </c>
      <c r="T4687" t="n">
        <v>7</v>
      </c>
      <c r="U4687" t="n">
        <v>8</v>
      </c>
      <c r="V4687" t="n">
        <v>30</v>
      </c>
      <c r="W4687" t="n">
        <v>5</v>
      </c>
      <c r="X4687" t="n">
        <v>44.34589800443459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11602</v>
      </c>
      <c r="AG4687" t="n">
        <v>2141</v>
      </c>
      <c r="AH4687" t="inlineStr">
        <is>
          <t>PT. PARAMA GLOBAL INSPIRA - PPN (JMB)</t>
        </is>
      </c>
      <c r="AI4687" t="n">
        <v>164</v>
      </c>
      <c r="AJ4687" t="inlineStr">
        <is>
          <t>WARDAH</t>
        </is>
      </c>
      <c r="AK4687" t="n">
        <v>9</v>
      </c>
      <c r="AL4687" t="inlineStr">
        <is>
          <t>Miss Glam Jambi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WARDAH</t>
        </is>
      </c>
      <c r="B4688" s="2">
        <f>"8993137715782"</f>
        <v/>
      </c>
      <c r="C4688" t="inlineStr">
        <is>
          <t>WARDAH Colorfit Perfect Glow Cushion 33W Olive Beige 15gr</t>
        </is>
      </c>
      <c r="D4688" t="inlineStr">
        <is>
          <t>Miss Glam Jambi</t>
        </is>
      </c>
      <c r="E4688" t="n">
        <v>2</v>
      </c>
      <c r="F4688" t="n">
        <v>0.0396</v>
      </c>
      <c r="G4688" t="n">
        <v>0.33</v>
      </c>
      <c r="H4688" t="n">
        <v>2</v>
      </c>
      <c r="I4688" t="n">
        <v>7</v>
      </c>
      <c r="J4688" t="n">
        <v>3</v>
      </c>
      <c r="K4688" t="n">
        <v>0</v>
      </c>
      <c r="L4688" t="n">
        <v>97895</v>
      </c>
      <c r="M4688" t="n">
        <v>120000</v>
      </c>
      <c r="N4688" t="n">
        <v>33</v>
      </c>
      <c r="O4688" t="n">
        <v>0.33</v>
      </c>
      <c r="P4688" t="n">
        <v>1</v>
      </c>
      <c r="Q4688" t="n">
        <v>0.05</v>
      </c>
      <c r="R4688" t="n">
        <v>1</v>
      </c>
      <c r="S4688" t="n">
        <v>4752</v>
      </c>
      <c r="T4688" t="n">
        <v>3</v>
      </c>
      <c r="U4688" t="n">
        <v>4</v>
      </c>
      <c r="V4688" t="n">
        <v>30</v>
      </c>
      <c r="W4688" t="n">
        <v>2</v>
      </c>
      <c r="X4688" t="n">
        <v>50.5050505050505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11602</v>
      </c>
      <c r="AG4688" t="n">
        <v>2141</v>
      </c>
      <c r="AH4688" t="inlineStr">
        <is>
          <t>PT. PARAMA GLOBAL INSPIRA - PPN (JMB)</t>
        </is>
      </c>
      <c r="AI4688" t="n">
        <v>164</v>
      </c>
      <c r="AJ4688" t="inlineStr">
        <is>
          <t>WARDAH</t>
        </is>
      </c>
      <c r="AK4688" t="n">
        <v>9</v>
      </c>
      <c r="AL4688" t="inlineStr">
        <is>
          <t>Miss Glam Jambi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WARDAH</t>
        </is>
      </c>
      <c r="B4689" s="2">
        <f>"20100467454"</f>
        <v/>
      </c>
      <c r="C4689" t="inlineStr">
        <is>
          <t>WARDAH Colorfit Perfect Glow Cushion 41W Olive Sand 15gr</t>
        </is>
      </c>
      <c r="D4689" t="inlineStr">
        <is>
          <t>Miss Glam Jambi</t>
        </is>
      </c>
      <c r="E4689" t="n">
        <v>2</v>
      </c>
      <c r="F4689" t="n">
        <v>0.0165</v>
      </c>
      <c r="G4689" t="n">
        <v>0.33</v>
      </c>
      <c r="H4689" t="n">
        <v>2</v>
      </c>
      <c r="I4689" t="n">
        <v>7</v>
      </c>
      <c r="J4689" t="n">
        <v>3</v>
      </c>
      <c r="K4689" t="n">
        <v>0</v>
      </c>
      <c r="L4689" t="n">
        <v>98470</v>
      </c>
      <c r="M4689" t="n">
        <v>120000</v>
      </c>
      <c r="N4689" t="n">
        <v>33</v>
      </c>
      <c r="O4689" t="n">
        <v>0.33</v>
      </c>
      <c r="P4689" t="n">
        <v>1</v>
      </c>
      <c r="Q4689" t="n">
        <v>0.03</v>
      </c>
      <c r="R4689" t="n">
        <v>1</v>
      </c>
      <c r="S4689" t="n">
        <v>1980</v>
      </c>
      <c r="T4689" t="n">
        <v>3</v>
      </c>
      <c r="U4689" t="n">
        <v>4</v>
      </c>
      <c r="V4689" t="n">
        <v>30</v>
      </c>
      <c r="W4689" t="n">
        <v>1</v>
      </c>
      <c r="X4689" t="n">
        <v>121.2121212121212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11602</v>
      </c>
      <c r="AG4689" t="n">
        <v>2141</v>
      </c>
      <c r="AH4689" t="inlineStr">
        <is>
          <t>PT. PARAMA GLOBAL INSPIRA - PPN (JMB)</t>
        </is>
      </c>
      <c r="AI4689" t="n">
        <v>164</v>
      </c>
      <c r="AJ4689" t="inlineStr">
        <is>
          <t>WARDAH</t>
        </is>
      </c>
      <c r="AK4689" t="n">
        <v>9</v>
      </c>
      <c r="AL4689" t="inlineStr">
        <is>
          <t>Miss Glam Jambi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WARDAH</t>
        </is>
      </c>
      <c r="B4690" s="2">
        <f>"8993137715805"</f>
        <v/>
      </c>
      <c r="C4690" t="inlineStr">
        <is>
          <t>WARDAH Colorfit Perfect Glow Cushion 42N Neutral Sand 15gr</t>
        </is>
      </c>
      <c r="D4690" t="inlineStr">
        <is>
          <t>Miss Glam Jambi</t>
        </is>
      </c>
      <c r="E4690" t="n">
        <v>2</v>
      </c>
      <c r="F4690" t="n">
        <v>0.0495</v>
      </c>
      <c r="G4690" t="n">
        <v>0.33</v>
      </c>
      <c r="H4690" t="n">
        <v>2</v>
      </c>
      <c r="I4690" t="n">
        <v>7</v>
      </c>
      <c r="J4690" t="n">
        <v>3</v>
      </c>
      <c r="K4690" t="n">
        <v>0</v>
      </c>
      <c r="L4690" t="n">
        <v>97648</v>
      </c>
      <c r="M4690" t="n">
        <v>120000</v>
      </c>
      <c r="N4690" t="n">
        <v>33</v>
      </c>
      <c r="O4690" t="n">
        <v>0.33</v>
      </c>
      <c r="P4690" t="n">
        <v>1</v>
      </c>
      <c r="Q4690" t="n">
        <v>0.03</v>
      </c>
      <c r="R4690" t="n">
        <v>1</v>
      </c>
      <c r="S4690" t="n">
        <v>5940</v>
      </c>
      <c r="T4690" t="n">
        <v>3</v>
      </c>
      <c r="U4690" t="n">
        <v>4</v>
      </c>
      <c r="V4690" t="n">
        <v>30</v>
      </c>
      <c r="W4690" t="n">
        <v>2</v>
      </c>
      <c r="X4690" t="n">
        <v>40.4040404040404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11602</v>
      </c>
      <c r="AG4690" t="n">
        <v>2141</v>
      </c>
      <c r="AH4690" t="inlineStr">
        <is>
          <t>PT. PARAMA GLOBAL INSPIRA - PPN (JMB)</t>
        </is>
      </c>
      <c r="AI4690" t="n">
        <v>164</v>
      </c>
      <c r="AJ4690" t="inlineStr">
        <is>
          <t>WARDAH</t>
        </is>
      </c>
      <c r="AK4690" t="n">
        <v>9</v>
      </c>
      <c r="AL4690" t="inlineStr">
        <is>
          <t>Miss Glam Jambi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WARDAH</t>
        </is>
      </c>
      <c r="B4691" s="2">
        <f>"8993137715799"</f>
        <v/>
      </c>
      <c r="C4691" t="inlineStr">
        <is>
          <t>WARDAH Colorfit Perfect Glow Cushion 43W 15gr</t>
        </is>
      </c>
      <c r="D4691" t="inlineStr">
        <is>
          <t>Miss Glam Jambi</t>
        </is>
      </c>
      <c r="E4691" t="n">
        <v>4</v>
      </c>
      <c r="F4691" t="n">
        <v>0.0231</v>
      </c>
      <c r="G4691" t="n">
        <v>0.33</v>
      </c>
      <c r="H4691" t="n">
        <v>2</v>
      </c>
      <c r="I4691" t="n">
        <v>7</v>
      </c>
      <c r="J4691" t="n">
        <v>3</v>
      </c>
      <c r="K4691" t="n">
        <v>0</v>
      </c>
      <c r="L4691" t="n">
        <v>93872</v>
      </c>
      <c r="M4691" t="n">
        <v>120000</v>
      </c>
      <c r="N4691" t="n">
        <v>33</v>
      </c>
      <c r="O4691" t="n">
        <v>0.33</v>
      </c>
      <c r="P4691" t="n">
        <v>1</v>
      </c>
      <c r="Q4691" t="n">
        <v>0.02</v>
      </c>
      <c r="R4691" t="n">
        <v>1</v>
      </c>
      <c r="S4691" t="n">
        <v>2772</v>
      </c>
      <c r="T4691" t="n">
        <v>3</v>
      </c>
      <c r="U4691" t="n">
        <v>4</v>
      </c>
      <c r="V4691" t="n">
        <v>30</v>
      </c>
      <c r="W4691" t="n">
        <v>1</v>
      </c>
      <c r="X4691" t="n">
        <v>173.1601731601731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11602</v>
      </c>
      <c r="AG4691" t="n">
        <v>2141</v>
      </c>
      <c r="AH4691" t="inlineStr">
        <is>
          <t>PT. PARAMA GLOBAL INSPIRA - PPN (JMB)</t>
        </is>
      </c>
      <c r="AI4691" t="n">
        <v>164</v>
      </c>
      <c r="AJ4691" t="inlineStr">
        <is>
          <t>WARDAH</t>
        </is>
      </c>
      <c r="AK4691" t="n">
        <v>9</v>
      </c>
      <c r="AL4691" t="inlineStr">
        <is>
          <t>Miss Glam Jambi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WARDAH</t>
        </is>
      </c>
      <c r="B4692" s="2">
        <f>"8993137715935"</f>
        <v/>
      </c>
      <c r="C4692" t="inlineStr">
        <is>
          <t>WARDAH Colorfit Quad Eye Palette 01 Brunette Dawn 6gr</t>
        </is>
      </c>
      <c r="D4692" t="inlineStr">
        <is>
          <t>Miss Glam Jambi</t>
        </is>
      </c>
      <c r="E4692" t="n">
        <v>5</v>
      </c>
      <c r="F4692" t="n">
        <v>0.08910000000000001</v>
      </c>
      <c r="G4692" t="n">
        <v>0.99</v>
      </c>
      <c r="H4692" t="n">
        <v>2</v>
      </c>
      <c r="I4692" t="n">
        <v>7</v>
      </c>
      <c r="J4692" t="n">
        <v>3</v>
      </c>
      <c r="K4692" t="n">
        <v>0</v>
      </c>
      <c r="L4692" t="n">
        <v>66405</v>
      </c>
      <c r="M4692" t="n">
        <v>77500</v>
      </c>
      <c r="N4692" t="n">
        <v>33</v>
      </c>
      <c r="O4692" t="n">
        <v>0.33</v>
      </c>
      <c r="P4692" t="n">
        <v>1</v>
      </c>
      <c r="Q4692" t="n">
        <v>0.03</v>
      </c>
      <c r="R4692" t="n">
        <v>1</v>
      </c>
      <c r="S4692" t="n">
        <v>6905.250000000001</v>
      </c>
      <c r="T4692" t="n">
        <v>7</v>
      </c>
      <c r="U4692" t="n">
        <v>8</v>
      </c>
      <c r="V4692" t="n">
        <v>30</v>
      </c>
      <c r="W4692" t="n">
        <v>3</v>
      </c>
      <c r="X4692" t="n">
        <v>56.11672278338944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11602</v>
      </c>
      <c r="AG4692" t="n">
        <v>2141</v>
      </c>
      <c r="AH4692" t="inlineStr">
        <is>
          <t>PT. PARAMA GLOBAL INSPIRA - PPN (JMB)</t>
        </is>
      </c>
      <c r="AI4692" t="n">
        <v>164</v>
      </c>
      <c r="AJ4692" t="inlineStr">
        <is>
          <t>WARDAH</t>
        </is>
      </c>
      <c r="AK4692" t="n">
        <v>9</v>
      </c>
      <c r="AL4692" t="inlineStr">
        <is>
          <t>Miss Glam Jambi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WARDAH</t>
        </is>
      </c>
      <c r="B4693" s="2">
        <f>"8993137715942"</f>
        <v/>
      </c>
      <c r="C4693" t="inlineStr">
        <is>
          <t>WARDAH Colorfit Quad Eye Palette 02 Rose Aurora 6gr</t>
        </is>
      </c>
      <c r="D4693" t="inlineStr">
        <is>
          <t>Miss Glam Jambi</t>
        </is>
      </c>
      <c r="E4693" t="n">
        <v>0</v>
      </c>
      <c r="F4693" t="n">
        <v>0.07590000000000001</v>
      </c>
      <c r="G4693" t="n">
        <v>0.66</v>
      </c>
      <c r="H4693" t="n">
        <v>2</v>
      </c>
      <c r="I4693" t="n">
        <v>7</v>
      </c>
      <c r="J4693" t="n">
        <v>3</v>
      </c>
      <c r="K4693" t="n">
        <v>3</v>
      </c>
      <c r="L4693" t="n">
        <v>65519</v>
      </c>
      <c r="M4693" t="n">
        <v>77500</v>
      </c>
      <c r="N4693" t="n">
        <v>33</v>
      </c>
      <c r="O4693" t="n">
        <v>0.33</v>
      </c>
      <c r="P4693" t="n">
        <v>1</v>
      </c>
      <c r="Q4693" t="n">
        <v>0.08</v>
      </c>
      <c r="R4693" t="n">
        <v>2</v>
      </c>
      <c r="S4693" t="n">
        <v>5882.250000000001</v>
      </c>
      <c r="T4693" t="n">
        <v>5</v>
      </c>
      <c r="U4693" t="n">
        <v>6</v>
      </c>
      <c r="V4693" t="n">
        <v>30</v>
      </c>
      <c r="W4693" t="n">
        <v>3</v>
      </c>
      <c r="X4693" t="n">
        <v>0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11602</v>
      </c>
      <c r="AG4693" t="n">
        <v>2141</v>
      </c>
      <c r="AH4693" t="inlineStr">
        <is>
          <t>PT. PARAMA GLOBAL INSPIRA - PPN (JMB)</t>
        </is>
      </c>
      <c r="AI4693" t="n">
        <v>164</v>
      </c>
      <c r="AJ4693" t="inlineStr">
        <is>
          <t>WARDAH</t>
        </is>
      </c>
      <c r="AK4693" t="n">
        <v>9</v>
      </c>
      <c r="AL4693" t="inlineStr">
        <is>
          <t>Miss Glam Jambi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WARDAH</t>
        </is>
      </c>
      <c r="B4694" s="2">
        <f>"8993137715553"</f>
        <v/>
      </c>
      <c r="C4694" t="inlineStr">
        <is>
          <t>WARDAH Colorfit Refill Perfect Glow Cushion Light Ivory 22N 15gr</t>
        </is>
      </c>
      <c r="D4694" t="inlineStr">
        <is>
          <t>Miss Glam Jambi</t>
        </is>
      </c>
      <c r="E4694" t="n">
        <v>5</v>
      </c>
      <c r="F4694" t="n">
        <v>0.1914</v>
      </c>
      <c r="G4694" t="n">
        <v>0.66</v>
      </c>
      <c r="H4694" t="n">
        <v>2</v>
      </c>
      <c r="I4694" t="n">
        <v>7</v>
      </c>
      <c r="J4694" t="n">
        <v>3</v>
      </c>
      <c r="K4694" t="n">
        <v>3</v>
      </c>
      <c r="L4694" t="n">
        <v>74715</v>
      </c>
      <c r="M4694" t="n">
        <v>97500</v>
      </c>
      <c r="N4694" t="n">
        <v>33</v>
      </c>
      <c r="O4694" t="n">
        <v>0.33</v>
      </c>
      <c r="P4694" t="n">
        <v>1</v>
      </c>
      <c r="Q4694" t="n">
        <v>0.03</v>
      </c>
      <c r="R4694" t="n">
        <v>1</v>
      </c>
      <c r="S4694" t="n">
        <v>18661.5</v>
      </c>
      <c r="T4694" t="n">
        <v>5</v>
      </c>
      <c r="U4694" t="n">
        <v>6</v>
      </c>
      <c r="V4694" t="n">
        <v>30</v>
      </c>
      <c r="W4694" t="n">
        <v>6</v>
      </c>
      <c r="X4694" t="n">
        <v>26.12330198537095</v>
      </c>
      <c r="Y4694" t="n">
        <v>1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11602</v>
      </c>
      <c r="AG4694" t="n">
        <v>2141</v>
      </c>
      <c r="AH4694" t="inlineStr">
        <is>
          <t>PT. PARAMA GLOBAL INSPIRA - PPN (JMB)</t>
        </is>
      </c>
      <c r="AI4694" t="n">
        <v>164</v>
      </c>
      <c r="AJ4694" t="inlineStr">
        <is>
          <t>WARDAH</t>
        </is>
      </c>
      <c r="AK4694" t="n">
        <v>9</v>
      </c>
      <c r="AL4694" t="inlineStr">
        <is>
          <t>Miss Glam Jambi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WARDAH</t>
        </is>
      </c>
      <c r="B4695" s="2">
        <f>"8993137715577"</f>
        <v/>
      </c>
      <c r="C4695" t="inlineStr">
        <is>
          <t>WARDAH Colorfit Refill Perfect Glow Cushion Neutral Beige 32N 15gr</t>
        </is>
      </c>
      <c r="D4695" t="inlineStr">
        <is>
          <t>Miss Glam Jambi</t>
        </is>
      </c>
      <c r="E4695" t="n">
        <v>6</v>
      </c>
      <c r="F4695" t="n">
        <v>0.1023</v>
      </c>
      <c r="G4695" t="n">
        <v>0.66</v>
      </c>
      <c r="H4695" t="n">
        <v>2</v>
      </c>
      <c r="I4695" t="n">
        <v>7</v>
      </c>
      <c r="J4695" t="n">
        <v>3</v>
      </c>
      <c r="K4695" t="n">
        <v>0</v>
      </c>
      <c r="L4695" t="n">
        <v>74714</v>
      </c>
      <c r="M4695" t="n">
        <v>97500</v>
      </c>
      <c r="N4695" t="n">
        <v>33</v>
      </c>
      <c r="O4695" t="n">
        <v>0.33</v>
      </c>
      <c r="P4695" t="n">
        <v>1</v>
      </c>
      <c r="Q4695" t="n">
        <v>0.14</v>
      </c>
      <c r="R4695" t="n">
        <v>2</v>
      </c>
      <c r="S4695" t="n">
        <v>9974.25</v>
      </c>
      <c r="T4695" t="n">
        <v>5</v>
      </c>
      <c r="U4695" t="n">
        <v>6</v>
      </c>
      <c r="V4695" t="n">
        <v>30</v>
      </c>
      <c r="W4695" t="n">
        <v>4</v>
      </c>
      <c r="X4695" t="n">
        <v>58.65102639296187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11602</v>
      </c>
      <c r="AG4695" t="n">
        <v>2141</v>
      </c>
      <c r="AH4695" t="inlineStr">
        <is>
          <t>PT. PARAMA GLOBAL INSPIRA - PPN (JMB)</t>
        </is>
      </c>
      <c r="AI4695" t="n">
        <v>164</v>
      </c>
      <c r="AJ4695" t="inlineStr">
        <is>
          <t>WARDAH</t>
        </is>
      </c>
      <c r="AK4695" t="n">
        <v>9</v>
      </c>
      <c r="AL4695" t="inlineStr">
        <is>
          <t>Miss Glam Jambi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WARDAH</t>
        </is>
      </c>
      <c r="B4696" s="2">
        <f>"8993137715546"</f>
        <v/>
      </c>
      <c r="C4696" t="inlineStr">
        <is>
          <t>WARDAH Colorfit Refill Perfect Glow Cushion Pink Fair 11C 15gr</t>
        </is>
      </c>
      <c r="D4696" t="inlineStr">
        <is>
          <t>Miss Glam Jambi</t>
        </is>
      </c>
      <c r="E4696" t="n">
        <v>7</v>
      </c>
      <c r="F4696" t="n">
        <v>0.0264</v>
      </c>
      <c r="G4696" t="n">
        <v>0.66</v>
      </c>
      <c r="H4696" t="n">
        <v>2</v>
      </c>
      <c r="I4696" t="n">
        <v>7</v>
      </c>
      <c r="J4696" t="n">
        <v>3</v>
      </c>
      <c r="K4696" t="n">
        <v>0</v>
      </c>
      <c r="L4696" t="n">
        <v>74714</v>
      </c>
      <c r="M4696" t="n">
        <v>97500</v>
      </c>
      <c r="N4696" t="n">
        <v>33</v>
      </c>
      <c r="O4696" t="n">
        <v>0.33</v>
      </c>
      <c r="P4696" t="n">
        <v>1</v>
      </c>
      <c r="Q4696" t="n">
        <v>0.07000000000000001</v>
      </c>
      <c r="R4696" t="n">
        <v>1</v>
      </c>
      <c r="S4696" t="n">
        <v>2574</v>
      </c>
      <c r="T4696" t="n">
        <v>5</v>
      </c>
      <c r="U4696" t="n">
        <v>6</v>
      </c>
      <c r="V4696" t="n">
        <v>30</v>
      </c>
      <c r="W4696" t="n">
        <v>1</v>
      </c>
      <c r="X4696" t="n">
        <v>265.1515151515151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11602</v>
      </c>
      <c r="AG4696" t="n">
        <v>2141</v>
      </c>
      <c r="AH4696" t="inlineStr">
        <is>
          <t>PT. PARAMA GLOBAL INSPIRA - PPN (JMB)</t>
        </is>
      </c>
      <c r="AI4696" t="n">
        <v>164</v>
      </c>
      <c r="AJ4696" t="inlineStr">
        <is>
          <t>WARDAH</t>
        </is>
      </c>
      <c r="AK4696" t="n">
        <v>9</v>
      </c>
      <c r="AL4696" t="inlineStr">
        <is>
          <t>Miss Glam Jambi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WARDAH</t>
        </is>
      </c>
      <c r="B4697" s="2">
        <f>"8993137715560"</f>
        <v/>
      </c>
      <c r="C4697" t="inlineStr">
        <is>
          <t>WARDAH Colorfit Refill Perfect Glow Cushion Warm Ivory 23W 15gr</t>
        </is>
      </c>
      <c r="D4697" t="inlineStr">
        <is>
          <t>Miss Glam Jambi</t>
        </is>
      </c>
      <c r="E4697" t="n">
        <v>3</v>
      </c>
      <c r="F4697" t="n">
        <v>0.09569999999999999</v>
      </c>
      <c r="G4697" t="n">
        <v>0.66</v>
      </c>
      <c r="H4697" t="n">
        <v>2</v>
      </c>
      <c r="I4697" t="n">
        <v>7</v>
      </c>
      <c r="J4697" t="n">
        <v>3</v>
      </c>
      <c r="K4697" t="n">
        <v>0</v>
      </c>
      <c r="L4697" t="n">
        <v>74714</v>
      </c>
      <c r="M4697" t="n">
        <v>97500</v>
      </c>
      <c r="N4697" t="n">
        <v>33</v>
      </c>
      <c r="O4697" t="n">
        <v>0.33</v>
      </c>
      <c r="P4697" t="n">
        <v>1</v>
      </c>
      <c r="Q4697" t="n">
        <v>0.1</v>
      </c>
      <c r="R4697" t="n">
        <v>1</v>
      </c>
      <c r="S4697" t="n">
        <v>9330.75</v>
      </c>
      <c r="T4697" t="n">
        <v>5</v>
      </c>
      <c r="U4697" t="n">
        <v>6</v>
      </c>
      <c r="V4697" t="n">
        <v>30</v>
      </c>
      <c r="W4697" t="n">
        <v>3</v>
      </c>
      <c r="X4697" t="n">
        <v>31.34796238244514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11602</v>
      </c>
      <c r="AG4697" t="n">
        <v>2141</v>
      </c>
      <c r="AH4697" t="inlineStr">
        <is>
          <t>PT. PARAMA GLOBAL INSPIRA - PPN (JMB)</t>
        </is>
      </c>
      <c r="AI4697" t="n">
        <v>164</v>
      </c>
      <c r="AJ4697" t="inlineStr">
        <is>
          <t>WARDAH</t>
        </is>
      </c>
      <c r="AK4697" t="n">
        <v>9</v>
      </c>
      <c r="AL4697" t="inlineStr">
        <is>
          <t>Miss Glam Jambi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WARDAH</t>
        </is>
      </c>
      <c r="B4698" s="2">
        <f>"8993137713467"</f>
        <v/>
      </c>
      <c r="C4698" t="inlineStr">
        <is>
          <t>WARDAH Colorfit Refill Velvet Powder Foundation Light Ivory 22N 11gr</t>
        </is>
      </c>
      <c r="D4698" t="inlineStr">
        <is>
          <t>Miss Glam Jambi</t>
        </is>
      </c>
      <c r="E4698" t="n">
        <v>4</v>
      </c>
      <c r="F4698" t="n">
        <v>0.198</v>
      </c>
      <c r="G4698" t="n">
        <v>0.99</v>
      </c>
      <c r="H4698" t="n">
        <v>2</v>
      </c>
      <c r="I4698" t="n">
        <v>7</v>
      </c>
      <c r="J4698" t="n">
        <v>3</v>
      </c>
      <c r="K4698" t="n">
        <v>3</v>
      </c>
      <c r="L4698" t="n">
        <v>43046</v>
      </c>
      <c r="M4698" t="n">
        <v>51000</v>
      </c>
      <c r="N4698" t="n">
        <v>33</v>
      </c>
      <c r="O4698" t="n">
        <v>0.33</v>
      </c>
      <c r="P4698" t="n">
        <v>1</v>
      </c>
      <c r="Q4698" t="n">
        <v>0.05</v>
      </c>
      <c r="R4698" t="n">
        <v>1</v>
      </c>
      <c r="S4698" t="n">
        <v>10098</v>
      </c>
      <c r="T4698" t="n">
        <v>7</v>
      </c>
      <c r="U4698" t="n">
        <v>8</v>
      </c>
      <c r="V4698" t="n">
        <v>30</v>
      </c>
      <c r="W4698" t="n">
        <v>6</v>
      </c>
      <c r="X4698" t="n">
        <v>20.2020202020202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11602</v>
      </c>
      <c r="AG4698" t="n">
        <v>2141</v>
      </c>
      <c r="AH4698" t="inlineStr">
        <is>
          <t>PT. PARAMA GLOBAL INSPIRA - PPN (JMB)</t>
        </is>
      </c>
      <c r="AI4698" t="n">
        <v>164</v>
      </c>
      <c r="AJ4698" t="inlineStr">
        <is>
          <t>WARDAH</t>
        </is>
      </c>
      <c r="AK4698" t="n">
        <v>9</v>
      </c>
      <c r="AL4698" t="inlineStr">
        <is>
          <t>Miss Glam Jambi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WARDAH</t>
        </is>
      </c>
      <c r="B4699" s="2">
        <f>"8993137713511"</f>
        <v/>
      </c>
      <c r="C4699" t="inlineStr">
        <is>
          <t>WARDAH Colorfit Refill Velvet Powder Foundation Neutral 42N 11gr</t>
        </is>
      </c>
      <c r="D4699" t="inlineStr">
        <is>
          <t>Miss Glam Jambi</t>
        </is>
      </c>
      <c r="E4699" t="n">
        <v>3</v>
      </c>
      <c r="F4699" t="n">
        <v>0.1551</v>
      </c>
      <c r="G4699" t="n">
        <v>0.99</v>
      </c>
      <c r="H4699" t="n">
        <v>2</v>
      </c>
      <c r="I4699" t="n">
        <v>7</v>
      </c>
      <c r="J4699" t="n">
        <v>3</v>
      </c>
      <c r="K4699" t="n">
        <v>3</v>
      </c>
      <c r="L4699" t="n">
        <v>43296</v>
      </c>
      <c r="M4699" t="n">
        <v>45500</v>
      </c>
      <c r="N4699" t="n">
        <v>33</v>
      </c>
      <c r="O4699" t="n">
        <v>0.33</v>
      </c>
      <c r="P4699" t="n">
        <v>1</v>
      </c>
      <c r="Q4699" t="n">
        <v>0.05</v>
      </c>
      <c r="R4699" t="n">
        <v>1</v>
      </c>
      <c r="S4699" t="n">
        <v>7057.049999999999</v>
      </c>
      <c r="T4699" t="n">
        <v>7</v>
      </c>
      <c r="U4699" t="n">
        <v>8</v>
      </c>
      <c r="V4699" t="n">
        <v>30</v>
      </c>
      <c r="W4699" t="n">
        <v>5</v>
      </c>
      <c r="X4699" t="n">
        <v>19.34235976789168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11602</v>
      </c>
      <c r="AG4699" t="n">
        <v>2141</v>
      </c>
      <c r="AH4699" t="inlineStr">
        <is>
          <t>PT. PARAMA GLOBAL INSPIRA - PPN (JMB)</t>
        </is>
      </c>
      <c r="AI4699" t="n">
        <v>164</v>
      </c>
      <c r="AJ4699" t="inlineStr">
        <is>
          <t>WARDAH</t>
        </is>
      </c>
      <c r="AK4699" t="n">
        <v>9</v>
      </c>
      <c r="AL4699" t="inlineStr">
        <is>
          <t>Miss Glam Jambi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WARDAH</t>
        </is>
      </c>
      <c r="B4700" s="2">
        <f>"8993137713481"</f>
        <v/>
      </c>
      <c r="C4700" t="inlineStr">
        <is>
          <t>WARDAH Colorfit Refill Velvet Powder Foundation Neutral Beige 32N 11gr</t>
        </is>
      </c>
      <c r="D4700" t="inlineStr">
        <is>
          <t>Miss Glam Jambi</t>
        </is>
      </c>
      <c r="E4700" t="n">
        <v>1</v>
      </c>
      <c r="F4700" t="n">
        <v>0.3201</v>
      </c>
      <c r="G4700" t="n">
        <v>1.32</v>
      </c>
      <c r="H4700" t="n">
        <v>2</v>
      </c>
      <c r="I4700" t="n">
        <v>7</v>
      </c>
      <c r="J4700" t="n">
        <v>3</v>
      </c>
      <c r="K4700" t="n">
        <v>7</v>
      </c>
      <c r="L4700" t="n">
        <v>43296</v>
      </c>
      <c r="M4700" t="n">
        <v>45500</v>
      </c>
      <c r="N4700" t="n">
        <v>33</v>
      </c>
      <c r="O4700" t="n">
        <v>0.33</v>
      </c>
      <c r="P4700" t="n">
        <v>1</v>
      </c>
      <c r="Q4700" t="n">
        <v>0.14</v>
      </c>
      <c r="R4700" t="n">
        <v>1</v>
      </c>
      <c r="S4700" t="n">
        <v>14564.55</v>
      </c>
      <c r="T4700" t="n">
        <v>9</v>
      </c>
      <c r="U4700" t="n">
        <v>10</v>
      </c>
      <c r="V4700" t="n">
        <v>30</v>
      </c>
      <c r="W4700" t="n">
        <v>10</v>
      </c>
      <c r="X4700" t="n">
        <v>3.124023742580444</v>
      </c>
      <c r="Y4700" t="n">
        <v>1</v>
      </c>
      <c r="Z4700" t="n">
        <v>2</v>
      </c>
      <c r="AA4700" t="n">
        <v>1</v>
      </c>
      <c r="AB4700" t="n">
        <v>1</v>
      </c>
      <c r="AC4700" t="n">
        <v>3</v>
      </c>
      <c r="AD4700" t="n">
        <v>43296</v>
      </c>
      <c r="AE4700" t="n">
        <v>129888</v>
      </c>
      <c r="AF4700" t="n">
        <v>11602</v>
      </c>
      <c r="AG4700" t="n">
        <v>2141</v>
      </c>
      <c r="AH4700" t="inlineStr">
        <is>
          <t>PT. PARAMA GLOBAL INSPIRA - PPN (JMB)</t>
        </is>
      </c>
      <c r="AI4700" t="n">
        <v>164</v>
      </c>
      <c r="AJ4700" t="inlineStr">
        <is>
          <t>WARDAH</t>
        </is>
      </c>
      <c r="AK4700" t="n">
        <v>9</v>
      </c>
      <c r="AL4700" t="inlineStr">
        <is>
          <t>Miss Glam Jambi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WARDAH</t>
        </is>
      </c>
      <c r="B4701" s="2">
        <f>"8993137713498"</f>
        <v/>
      </c>
      <c r="C4701" t="inlineStr">
        <is>
          <t>WARDAH Colorfit Refill Velvet Powder Foundation Olive Beige 33W 11gr</t>
        </is>
      </c>
      <c r="D4701" t="inlineStr">
        <is>
          <t>Miss Glam Jambi</t>
        </is>
      </c>
      <c r="E4701" t="n">
        <v>1</v>
      </c>
      <c r="F4701" t="n">
        <v>0.03</v>
      </c>
      <c r="G4701" t="n">
        <v>1</v>
      </c>
      <c r="H4701" t="n">
        <v>2</v>
      </c>
      <c r="I4701" t="n">
        <v>7</v>
      </c>
      <c r="J4701" t="n">
        <v>3</v>
      </c>
      <c r="K4701" t="n">
        <v>0</v>
      </c>
      <c r="L4701" t="n">
        <v>38315</v>
      </c>
      <c r="M4701" t="n">
        <v>45500</v>
      </c>
      <c r="N4701" t="n">
        <v>33</v>
      </c>
      <c r="O4701" t="n">
        <v>0.33</v>
      </c>
      <c r="P4701" t="n">
        <v>0</v>
      </c>
      <c r="Q4701" t="n">
        <v>0.03</v>
      </c>
      <c r="R4701" t="n">
        <v>1</v>
      </c>
      <c r="S4701" t="n">
        <v>1365</v>
      </c>
      <c r="T4701" t="n">
        <v>7</v>
      </c>
      <c r="U4701" t="n">
        <v>8</v>
      </c>
      <c r="V4701" t="n">
        <v>30</v>
      </c>
      <c r="W4701" t="n">
        <v>1</v>
      </c>
      <c r="X4701" t="n">
        <v>33.33333333333334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11602</v>
      </c>
      <c r="AG4701" t="n">
        <v>2141</v>
      </c>
      <c r="AH4701" t="inlineStr">
        <is>
          <t>PT. PARAMA GLOBAL INSPIRA - PPN (JMB)</t>
        </is>
      </c>
      <c r="AI4701" t="n">
        <v>164</v>
      </c>
      <c r="AJ4701" t="inlineStr">
        <is>
          <t>WARDAH</t>
        </is>
      </c>
      <c r="AK4701" t="n">
        <v>9</v>
      </c>
      <c r="AL4701" t="inlineStr">
        <is>
          <t>Miss Glam Jambi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WARDAH</t>
        </is>
      </c>
      <c r="B4702" s="2">
        <f>"8993137713450"</f>
        <v/>
      </c>
      <c r="C4702" t="inlineStr">
        <is>
          <t>WARDAH Colorfit Refill Velvet Powder Foundation Pink Fair 11C 11gr</t>
        </is>
      </c>
      <c r="D4702" t="inlineStr">
        <is>
          <t>Miss Glam Jambi</t>
        </is>
      </c>
      <c r="E4702" t="n">
        <v>0</v>
      </c>
      <c r="F4702" t="n">
        <v>0.09240000000000001</v>
      </c>
      <c r="G4702" t="n">
        <v>0.66</v>
      </c>
      <c r="H4702" t="n">
        <v>2</v>
      </c>
      <c r="I4702" t="n">
        <v>7</v>
      </c>
      <c r="J4702" t="n">
        <v>3</v>
      </c>
      <c r="K4702" t="n">
        <v>3</v>
      </c>
      <c r="L4702" t="n">
        <v>39848</v>
      </c>
      <c r="M4702" t="n">
        <v>46000</v>
      </c>
      <c r="N4702" t="n">
        <v>33</v>
      </c>
      <c r="O4702" t="n">
        <v>0.33</v>
      </c>
      <c r="P4702" t="n">
        <v>1</v>
      </c>
      <c r="Q4702" t="n">
        <v>0.07000000000000001</v>
      </c>
      <c r="R4702" t="n">
        <v>1</v>
      </c>
      <c r="S4702" t="n">
        <v>4250.400000000001</v>
      </c>
      <c r="T4702" t="n">
        <v>5</v>
      </c>
      <c r="U4702" t="n">
        <v>6</v>
      </c>
      <c r="V4702" t="n">
        <v>30</v>
      </c>
      <c r="W4702" t="n">
        <v>3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11602</v>
      </c>
      <c r="AG4702" t="n">
        <v>2141</v>
      </c>
      <c r="AH4702" t="inlineStr">
        <is>
          <t>PT. PARAMA GLOBAL INSPIRA - PPN (JMB)</t>
        </is>
      </c>
      <c r="AI4702" t="n">
        <v>164</v>
      </c>
      <c r="AJ4702" t="inlineStr">
        <is>
          <t>WARDAH</t>
        </is>
      </c>
      <c r="AK4702" t="n">
        <v>9</v>
      </c>
      <c r="AL4702" t="inlineStr">
        <is>
          <t>Miss Glam Jambi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WARDAH</t>
        </is>
      </c>
      <c r="B4703" s="2">
        <f>"8993137713474"</f>
        <v/>
      </c>
      <c r="C4703" t="inlineStr">
        <is>
          <t>WARDAH Colorfit Refill Velvet Powder Foundation Warn Ivory 23W 11gr</t>
        </is>
      </c>
      <c r="D4703" t="inlineStr">
        <is>
          <t>Miss Glam Jambi</t>
        </is>
      </c>
      <c r="E4703" t="n">
        <v>2</v>
      </c>
      <c r="F4703" t="n">
        <v>0.3069</v>
      </c>
      <c r="G4703" t="n">
        <v>0.99</v>
      </c>
      <c r="H4703" t="n">
        <v>2</v>
      </c>
      <c r="I4703" t="n">
        <v>7</v>
      </c>
      <c r="J4703" t="n">
        <v>3</v>
      </c>
      <c r="K4703" t="n">
        <v>7</v>
      </c>
      <c r="L4703" t="n">
        <v>42743</v>
      </c>
      <c r="M4703" t="n">
        <v>45500</v>
      </c>
      <c r="N4703" t="n">
        <v>33</v>
      </c>
      <c r="O4703" t="n">
        <v>0.33</v>
      </c>
      <c r="P4703" t="n">
        <v>1</v>
      </c>
      <c r="Q4703" t="n">
        <v>0.12</v>
      </c>
      <c r="R4703" t="n">
        <v>2</v>
      </c>
      <c r="S4703" t="n">
        <v>13963.95</v>
      </c>
      <c r="T4703" t="n">
        <v>7</v>
      </c>
      <c r="U4703" t="n">
        <v>8</v>
      </c>
      <c r="V4703" t="n">
        <v>30</v>
      </c>
      <c r="W4703" t="n">
        <v>10</v>
      </c>
      <c r="X4703" t="n">
        <v>6.516780710329098</v>
      </c>
      <c r="Y4703" t="n">
        <v>1</v>
      </c>
      <c r="Z4703" t="n">
        <v>1</v>
      </c>
      <c r="AA4703" t="n">
        <v>0</v>
      </c>
      <c r="AB4703" t="n">
        <v>1</v>
      </c>
      <c r="AC4703" t="n">
        <v>3</v>
      </c>
      <c r="AD4703" t="n">
        <v>0</v>
      </c>
      <c r="AE4703" t="n">
        <v>128229</v>
      </c>
      <c r="AF4703" t="n">
        <v>11602</v>
      </c>
      <c r="AG4703" t="n">
        <v>2141</v>
      </c>
      <c r="AH4703" t="inlineStr">
        <is>
          <t>PT. PARAMA GLOBAL INSPIRA - PPN (JMB)</t>
        </is>
      </c>
      <c r="AI4703" t="n">
        <v>164</v>
      </c>
      <c r="AJ4703" t="inlineStr">
        <is>
          <t>WARDAH</t>
        </is>
      </c>
      <c r="AK4703" t="n">
        <v>9</v>
      </c>
      <c r="AL4703" t="inlineStr">
        <is>
          <t>Miss Glam Jambi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WARDAH</t>
        </is>
      </c>
      <c r="B4704" s="2">
        <f>"8993137705929"</f>
        <v/>
      </c>
      <c r="C4704" t="inlineStr">
        <is>
          <t>WARDAH Colorfit Ultra Light Matte 03 Caramel Nude 3,6gr</t>
        </is>
      </c>
      <c r="D4704" t="inlineStr">
        <is>
          <t>Miss Glam Jambi</t>
        </is>
      </c>
      <c r="E4704" t="n">
        <v>4</v>
      </c>
      <c r="F4704" t="n">
        <v>0.006600000000000001</v>
      </c>
      <c r="G4704" t="n">
        <v>0.33</v>
      </c>
      <c r="H4704" t="n">
        <v>2</v>
      </c>
      <c r="I4704" t="n">
        <v>7</v>
      </c>
      <c r="J4704" t="n">
        <v>3</v>
      </c>
      <c r="K4704" t="n">
        <v>0</v>
      </c>
      <c r="L4704" t="n">
        <v>36246</v>
      </c>
      <c r="M4704" t="n">
        <v>42500</v>
      </c>
      <c r="N4704" t="n">
        <v>33</v>
      </c>
      <c r="O4704" t="n">
        <v>0.33</v>
      </c>
      <c r="P4704" t="n">
        <v>1</v>
      </c>
      <c r="Q4704" t="n">
        <v>0.02</v>
      </c>
      <c r="R4704" t="n">
        <v>1</v>
      </c>
      <c r="S4704" t="n">
        <v>280.5000000000001</v>
      </c>
      <c r="T4704" t="n">
        <v>3</v>
      </c>
      <c r="U4704" t="n">
        <v>4</v>
      </c>
      <c r="V4704" t="n">
        <v>30</v>
      </c>
      <c r="W4704" t="n">
        <v>1</v>
      </c>
      <c r="X4704" t="n">
        <v>606.060606060606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11602</v>
      </c>
      <c r="AG4704" t="n">
        <v>2141</v>
      </c>
      <c r="AH4704" t="inlineStr">
        <is>
          <t>PT. PARAMA GLOBAL INSPIRA - PPN (JMB)</t>
        </is>
      </c>
      <c r="AI4704" t="n">
        <v>164</v>
      </c>
      <c r="AJ4704" t="inlineStr">
        <is>
          <t>WARDAH</t>
        </is>
      </c>
      <c r="AK4704" t="n">
        <v>9</v>
      </c>
      <c r="AL4704" t="inlineStr">
        <is>
          <t>Miss Glam Jambi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WARDAH</t>
        </is>
      </c>
      <c r="B4705" s="2">
        <f>"8993137705936"</f>
        <v/>
      </c>
      <c r="C4705" t="inlineStr">
        <is>
          <t>WARDAH Colorfit Ultra Light Matte 04 3,6gr</t>
        </is>
      </c>
      <c r="D4705" t="inlineStr">
        <is>
          <t>Miss Glam Jambi</t>
        </is>
      </c>
      <c r="E4705" t="n">
        <v>3</v>
      </c>
      <c r="F4705" t="n">
        <v>0.0495</v>
      </c>
      <c r="G4705" t="n">
        <v>0.33</v>
      </c>
      <c r="H4705" t="n">
        <v>2</v>
      </c>
      <c r="I4705" t="n">
        <v>7</v>
      </c>
      <c r="J4705" t="n">
        <v>3</v>
      </c>
      <c r="K4705" t="n">
        <v>0</v>
      </c>
      <c r="L4705" t="n">
        <v>36208</v>
      </c>
      <c r="M4705" t="n">
        <v>42500</v>
      </c>
      <c r="N4705" t="n">
        <v>33</v>
      </c>
      <c r="O4705" t="n">
        <v>0.33</v>
      </c>
      <c r="P4705" t="n">
        <v>1</v>
      </c>
      <c r="Q4705" t="n">
        <v>0.02</v>
      </c>
      <c r="R4705" t="n">
        <v>1</v>
      </c>
      <c r="S4705" t="n">
        <v>2103.75</v>
      </c>
      <c r="T4705" t="n">
        <v>3</v>
      </c>
      <c r="U4705" t="n">
        <v>4</v>
      </c>
      <c r="V4705" t="n">
        <v>30</v>
      </c>
      <c r="W4705" t="n">
        <v>2</v>
      </c>
      <c r="X4705" t="n">
        <v>60.6060606060606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11602</v>
      </c>
      <c r="AG4705" t="n">
        <v>2141</v>
      </c>
      <c r="AH4705" t="inlineStr">
        <is>
          <t>PT. PARAMA GLOBAL INSPIRA - PPN (JMB)</t>
        </is>
      </c>
      <c r="AI4705" t="n">
        <v>164</v>
      </c>
      <c r="AJ4705" t="inlineStr">
        <is>
          <t>WARDAH</t>
        </is>
      </c>
      <c r="AK4705" t="n">
        <v>9</v>
      </c>
      <c r="AL4705" t="inlineStr">
        <is>
          <t>Miss Glam Jambi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WARDAH</t>
        </is>
      </c>
      <c r="B4706" s="2">
        <f>"8993137705943"</f>
        <v/>
      </c>
      <c r="C4706" t="inlineStr">
        <is>
          <t>WARDAH Colorfit Ultra Light Matte 05 3,6gr</t>
        </is>
      </c>
      <c r="D4706" t="inlineStr">
        <is>
          <t>Miss Glam Jambi</t>
        </is>
      </c>
      <c r="E4706" t="n">
        <v>3</v>
      </c>
      <c r="F4706" t="n">
        <v>0.033</v>
      </c>
      <c r="G4706" t="n">
        <v>0.33</v>
      </c>
      <c r="H4706" t="n">
        <v>2</v>
      </c>
      <c r="I4706" t="n">
        <v>7</v>
      </c>
      <c r="J4706" t="n">
        <v>3</v>
      </c>
      <c r="K4706" t="n">
        <v>0</v>
      </c>
      <c r="L4706" t="n">
        <v>36399</v>
      </c>
      <c r="M4706" t="n">
        <v>42500</v>
      </c>
      <c r="N4706" t="n">
        <v>33</v>
      </c>
      <c r="O4706" t="n">
        <v>0.33</v>
      </c>
      <c r="P4706" t="n">
        <v>1</v>
      </c>
      <c r="Q4706" t="n">
        <v>0.07000000000000001</v>
      </c>
      <c r="R4706" t="n">
        <v>1</v>
      </c>
      <c r="S4706" t="n">
        <v>1402.5</v>
      </c>
      <c r="T4706" t="n">
        <v>3</v>
      </c>
      <c r="U4706" t="n">
        <v>4</v>
      </c>
      <c r="V4706" t="n">
        <v>30</v>
      </c>
      <c r="W4706" t="n">
        <v>1</v>
      </c>
      <c r="X4706" t="n">
        <v>90.90909090909091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11602</v>
      </c>
      <c r="AG4706" t="n">
        <v>2141</v>
      </c>
      <c r="AH4706" t="inlineStr">
        <is>
          <t>PT. PARAMA GLOBAL INSPIRA - PPN (JMB)</t>
        </is>
      </c>
      <c r="AI4706" t="n">
        <v>164</v>
      </c>
      <c r="AJ4706" t="inlineStr">
        <is>
          <t>WARDAH</t>
        </is>
      </c>
      <c r="AK4706" t="n">
        <v>9</v>
      </c>
      <c r="AL4706" t="inlineStr">
        <is>
          <t>Miss Glam Jambi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WARDAH</t>
        </is>
      </c>
      <c r="B4707" s="2">
        <f>"8993137705950"</f>
        <v/>
      </c>
      <c r="C4707" t="inlineStr">
        <is>
          <t>WARDAH Colorfit Ultra Light Matte 06 3,6gr</t>
        </is>
      </c>
      <c r="D4707" t="inlineStr">
        <is>
          <t>Miss Glam Jambi</t>
        </is>
      </c>
      <c r="E4707" t="n">
        <v>12</v>
      </c>
      <c r="F4707" t="n">
        <v>0.08</v>
      </c>
      <c r="G4707" t="n">
        <v>1</v>
      </c>
      <c r="H4707" t="n">
        <v>2</v>
      </c>
      <c r="I4707" t="n">
        <v>7</v>
      </c>
      <c r="J4707" t="n">
        <v>3</v>
      </c>
      <c r="K4707" t="n">
        <v>0</v>
      </c>
      <c r="L4707" t="n">
        <v>36399</v>
      </c>
      <c r="M4707" t="n">
        <v>43000</v>
      </c>
      <c r="N4707" t="n">
        <v>33</v>
      </c>
      <c r="O4707" t="n">
        <v>0.33</v>
      </c>
      <c r="P4707" t="n">
        <v>0</v>
      </c>
      <c r="Q4707" t="n">
        <v>0.08</v>
      </c>
      <c r="R4707" t="n">
        <v>1</v>
      </c>
      <c r="S4707" t="n">
        <v>3440</v>
      </c>
      <c r="T4707" t="n">
        <v>7</v>
      </c>
      <c r="U4707" t="n">
        <v>8</v>
      </c>
      <c r="V4707" t="n">
        <v>30</v>
      </c>
      <c r="W4707" t="n">
        <v>3</v>
      </c>
      <c r="X4707" t="n">
        <v>150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11602</v>
      </c>
      <c r="AG4707" t="n">
        <v>2141</v>
      </c>
      <c r="AH4707" t="inlineStr">
        <is>
          <t>PT. PARAMA GLOBAL INSPIRA - PPN (JMB)</t>
        </is>
      </c>
      <c r="AI4707" t="n">
        <v>164</v>
      </c>
      <c r="AJ4707" t="inlineStr">
        <is>
          <t>WARDAH</t>
        </is>
      </c>
      <c r="AK4707" t="n">
        <v>9</v>
      </c>
      <c r="AL4707" t="inlineStr">
        <is>
          <t>Miss Glam Jambi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WARDAH</t>
        </is>
      </c>
      <c r="B4708" s="2">
        <f>"8993137705967"</f>
        <v/>
      </c>
      <c r="C4708" t="inlineStr">
        <is>
          <t>WARDAH Colorfit Ultra Light Matte 07 3,6gr</t>
        </is>
      </c>
      <c r="D4708" t="inlineStr">
        <is>
          <t>Miss Glam Jambi</t>
        </is>
      </c>
      <c r="E4708" t="n">
        <v>2</v>
      </c>
      <c r="F4708" t="n">
        <v>0.0495</v>
      </c>
      <c r="G4708" t="n">
        <v>0.66</v>
      </c>
      <c r="H4708" t="n">
        <v>2</v>
      </c>
      <c r="I4708" t="n">
        <v>7</v>
      </c>
      <c r="J4708" t="n">
        <v>3</v>
      </c>
      <c r="K4708" t="n">
        <v>0</v>
      </c>
      <c r="L4708" t="n">
        <v>36397</v>
      </c>
      <c r="M4708" t="n">
        <v>42500</v>
      </c>
      <c r="N4708" t="n">
        <v>33</v>
      </c>
      <c r="O4708" t="n">
        <v>0.33</v>
      </c>
      <c r="P4708" t="n">
        <v>1</v>
      </c>
      <c r="Q4708" t="n">
        <v>0.14</v>
      </c>
      <c r="R4708" t="n">
        <v>1</v>
      </c>
      <c r="S4708" t="n">
        <v>2103.75</v>
      </c>
      <c r="T4708" t="n">
        <v>5</v>
      </c>
      <c r="U4708" t="n">
        <v>6</v>
      </c>
      <c r="V4708" t="n">
        <v>30</v>
      </c>
      <c r="W4708" t="n">
        <v>2</v>
      </c>
      <c r="X4708" t="n">
        <v>40.4040404040404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11602</v>
      </c>
      <c r="AG4708" t="n">
        <v>2141</v>
      </c>
      <c r="AH4708" t="inlineStr">
        <is>
          <t>PT. PARAMA GLOBAL INSPIRA - PPN (JMB)</t>
        </is>
      </c>
      <c r="AI4708" t="n">
        <v>164</v>
      </c>
      <c r="AJ4708" t="inlineStr">
        <is>
          <t>WARDAH</t>
        </is>
      </c>
      <c r="AK4708" t="n">
        <v>9</v>
      </c>
      <c r="AL4708" t="inlineStr">
        <is>
          <t>Miss Glam Jambi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WARDAH</t>
        </is>
      </c>
      <c r="B4709" s="2">
        <f>"8993137705974"</f>
        <v/>
      </c>
      <c r="C4709" t="inlineStr">
        <is>
          <t>WARDAH Colorfit Ultra Light Matte 08 3,6gr</t>
        </is>
      </c>
      <c r="D4709" t="inlineStr">
        <is>
          <t>Miss Glam Jambi</t>
        </is>
      </c>
      <c r="E4709" t="n">
        <v>5</v>
      </c>
      <c r="F4709" t="n">
        <v>0.0462</v>
      </c>
      <c r="G4709" t="n">
        <v>0.33</v>
      </c>
      <c r="H4709" t="n">
        <v>2</v>
      </c>
      <c r="I4709" t="n">
        <v>7</v>
      </c>
      <c r="J4709" t="n">
        <v>3</v>
      </c>
      <c r="K4709" t="n">
        <v>0</v>
      </c>
      <c r="L4709" t="n">
        <v>35526</v>
      </c>
      <c r="M4709" t="n">
        <v>42500</v>
      </c>
      <c r="N4709" t="n">
        <v>33</v>
      </c>
      <c r="O4709" t="n">
        <v>0.33</v>
      </c>
      <c r="P4709" t="n">
        <v>1</v>
      </c>
      <c r="Q4709" t="n">
        <v>0.05</v>
      </c>
      <c r="R4709" t="n">
        <v>1</v>
      </c>
      <c r="S4709" t="n">
        <v>1963.5</v>
      </c>
      <c r="T4709" t="n">
        <v>3</v>
      </c>
      <c r="U4709" t="n">
        <v>4</v>
      </c>
      <c r="V4709" t="n">
        <v>30</v>
      </c>
      <c r="W4709" t="n">
        <v>2</v>
      </c>
      <c r="X4709" t="n">
        <v>108.2251082251082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11602</v>
      </c>
      <c r="AG4709" t="n">
        <v>2141</v>
      </c>
      <c r="AH4709" t="inlineStr">
        <is>
          <t>PT. PARAMA GLOBAL INSPIRA - PPN (JMB)</t>
        </is>
      </c>
      <c r="AI4709" t="n">
        <v>164</v>
      </c>
      <c r="AJ4709" t="inlineStr">
        <is>
          <t>WARDAH</t>
        </is>
      </c>
      <c r="AK4709" t="n">
        <v>9</v>
      </c>
      <c r="AL4709" t="inlineStr">
        <is>
          <t>Miss Glam Jambi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WARDAH</t>
        </is>
      </c>
      <c r="B4710" s="2">
        <f>"8993137712361"</f>
        <v/>
      </c>
      <c r="C4710" t="inlineStr">
        <is>
          <t>WARDAH Colorfit Ultralight Matte Lipstick 12 Autumn Nami 3.6gr</t>
        </is>
      </c>
      <c r="D4710" t="inlineStr">
        <is>
          <t>Miss Glam Jambi</t>
        </is>
      </c>
      <c r="E4710" t="n">
        <v>2</v>
      </c>
      <c r="F4710" t="n">
        <v>0.02</v>
      </c>
      <c r="G4710" t="n">
        <v>1</v>
      </c>
      <c r="H4710" t="n">
        <v>2</v>
      </c>
      <c r="I4710" t="n">
        <v>7</v>
      </c>
      <c r="J4710" t="n">
        <v>3</v>
      </c>
      <c r="K4710" t="n">
        <v>0</v>
      </c>
      <c r="L4710" t="n">
        <v>36399</v>
      </c>
      <c r="M4710" t="n">
        <v>44500</v>
      </c>
      <c r="N4710" t="n">
        <v>33</v>
      </c>
      <c r="O4710" t="n">
        <v>0.33</v>
      </c>
      <c r="P4710" t="n">
        <v>0</v>
      </c>
      <c r="Q4710" t="n">
        <v>0.02</v>
      </c>
      <c r="R4710" t="n">
        <v>1</v>
      </c>
      <c r="S4710" t="n">
        <v>890</v>
      </c>
      <c r="T4710" t="n">
        <v>7</v>
      </c>
      <c r="U4710" t="n">
        <v>8</v>
      </c>
      <c r="V4710" t="n">
        <v>30</v>
      </c>
      <c r="W4710" t="n">
        <v>1</v>
      </c>
      <c r="X4710" t="n">
        <v>100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11602</v>
      </c>
      <c r="AG4710" t="n">
        <v>2141</v>
      </c>
      <c r="AH4710" t="inlineStr">
        <is>
          <t>PT. PARAMA GLOBAL INSPIRA - PPN (JMB)</t>
        </is>
      </c>
      <c r="AI4710" t="n">
        <v>164</v>
      </c>
      <c r="AJ4710" t="inlineStr">
        <is>
          <t>WARDAH</t>
        </is>
      </c>
      <c r="AK4710" t="n">
        <v>9</v>
      </c>
      <c r="AL4710" t="inlineStr">
        <is>
          <t>Miss Glam Jambi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WARDAH</t>
        </is>
      </c>
      <c r="B4711" s="2">
        <f>"8993137705349"</f>
        <v/>
      </c>
      <c r="C4711" t="inlineStr">
        <is>
          <t>WARDAH Colorfit Velvet Matte Lip Mousse 02 Joyful Orange 4gr</t>
        </is>
      </c>
      <c r="D4711" t="inlineStr">
        <is>
          <t>Miss Glam Jambi</t>
        </is>
      </c>
      <c r="E4711" t="n">
        <v>1</v>
      </c>
      <c r="F4711" t="n">
        <v>0.006600000000000001</v>
      </c>
      <c r="G4711" t="n">
        <v>0.33</v>
      </c>
      <c r="H4711" t="n">
        <v>2</v>
      </c>
      <c r="I4711" t="n">
        <v>7</v>
      </c>
      <c r="J4711" t="n">
        <v>3</v>
      </c>
      <c r="K4711" t="n">
        <v>0</v>
      </c>
      <c r="L4711" t="n">
        <v>58162</v>
      </c>
      <c r="M4711" t="n">
        <v>69000</v>
      </c>
      <c r="N4711" t="n">
        <v>33</v>
      </c>
      <c r="O4711" t="n">
        <v>0.33</v>
      </c>
      <c r="P4711" t="n">
        <v>1</v>
      </c>
      <c r="Q4711" t="n">
        <v>0.05</v>
      </c>
      <c r="R4711" t="n">
        <v>1</v>
      </c>
      <c r="S4711" t="n">
        <v>455.4</v>
      </c>
      <c r="T4711" t="n">
        <v>3</v>
      </c>
      <c r="U4711" t="n">
        <v>4</v>
      </c>
      <c r="V4711" t="n">
        <v>30</v>
      </c>
      <c r="W4711" t="n">
        <v>1</v>
      </c>
      <c r="X4711" t="n">
        <v>151.5151515151515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11602</v>
      </c>
      <c r="AG4711" t="n">
        <v>2141</v>
      </c>
      <c r="AH4711" t="inlineStr">
        <is>
          <t>PT. PARAMA GLOBAL INSPIRA - PPN (JMB)</t>
        </is>
      </c>
      <c r="AI4711" t="n">
        <v>164</v>
      </c>
      <c r="AJ4711" t="inlineStr">
        <is>
          <t>WARDAH</t>
        </is>
      </c>
      <c r="AK4711" t="n">
        <v>9</v>
      </c>
      <c r="AL4711" t="inlineStr">
        <is>
          <t>Miss Glam Jambi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WARDAH</t>
        </is>
      </c>
      <c r="B4712" s="2">
        <f>"8993137705356"</f>
        <v/>
      </c>
      <c r="C4712" t="inlineStr">
        <is>
          <t>WARDAH Colorfit Velvet Matte Lip Mousse 03 Rose Ballerina 4gr</t>
        </is>
      </c>
      <c r="D4712" t="inlineStr">
        <is>
          <t>Miss Glam Jambi</t>
        </is>
      </c>
      <c r="E4712" t="n">
        <v>4</v>
      </c>
      <c r="F4712" t="n">
        <v>0.006600000000000001</v>
      </c>
      <c r="G4712" t="n">
        <v>0.33</v>
      </c>
      <c r="H4712" t="n">
        <v>2</v>
      </c>
      <c r="I4712" t="n">
        <v>7</v>
      </c>
      <c r="J4712" t="n">
        <v>3</v>
      </c>
      <c r="K4712" t="n">
        <v>0</v>
      </c>
      <c r="L4712" t="n">
        <v>58162</v>
      </c>
      <c r="M4712" t="n">
        <v>69000</v>
      </c>
      <c r="N4712" t="n">
        <v>33</v>
      </c>
      <c r="O4712" t="n">
        <v>0.33</v>
      </c>
      <c r="P4712" t="n">
        <v>1</v>
      </c>
      <c r="Q4712" t="n">
        <v>0.03</v>
      </c>
      <c r="R4712" t="n">
        <v>1</v>
      </c>
      <c r="S4712" t="n">
        <v>455.4</v>
      </c>
      <c r="T4712" t="n">
        <v>3</v>
      </c>
      <c r="U4712" t="n">
        <v>4</v>
      </c>
      <c r="V4712" t="n">
        <v>30</v>
      </c>
      <c r="W4712" t="n">
        <v>1</v>
      </c>
      <c r="X4712" t="n">
        <v>606.060606060606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11602</v>
      </c>
      <c r="AG4712" t="n">
        <v>2141</v>
      </c>
      <c r="AH4712" t="inlineStr">
        <is>
          <t>PT. PARAMA GLOBAL INSPIRA - PPN (JMB)</t>
        </is>
      </c>
      <c r="AI4712" t="n">
        <v>164</v>
      </c>
      <c r="AJ4712" t="inlineStr">
        <is>
          <t>WARDAH</t>
        </is>
      </c>
      <c r="AK4712" t="n">
        <v>9</v>
      </c>
      <c r="AL4712" t="inlineStr">
        <is>
          <t>Miss Glam Jambi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WARDAH</t>
        </is>
      </c>
      <c r="B4713" s="2">
        <f>"8993137705363"</f>
        <v/>
      </c>
      <c r="C4713" t="inlineStr">
        <is>
          <t>WARDAH Colorfit Velvet Matte Lip Mousse 04 Pink Sweetheart 4gr</t>
        </is>
      </c>
      <c r="D4713" t="inlineStr">
        <is>
          <t>Miss Glam Jambi</t>
        </is>
      </c>
      <c r="E4713" t="n">
        <v>4</v>
      </c>
      <c r="F4713" t="n">
        <v>0.0231</v>
      </c>
      <c r="G4713" t="n">
        <v>0.33</v>
      </c>
      <c r="H4713" t="n">
        <v>2</v>
      </c>
      <c r="I4713" t="n">
        <v>7</v>
      </c>
      <c r="J4713" t="n">
        <v>3</v>
      </c>
      <c r="K4713" t="n">
        <v>0</v>
      </c>
      <c r="L4713" t="n">
        <v>58162</v>
      </c>
      <c r="M4713" t="n">
        <v>69000</v>
      </c>
      <c r="N4713" t="n">
        <v>33</v>
      </c>
      <c r="O4713" t="n">
        <v>0.33</v>
      </c>
      <c r="P4713" t="n">
        <v>1</v>
      </c>
      <c r="Q4713" t="n">
        <v>0.08</v>
      </c>
      <c r="R4713" t="n">
        <v>1</v>
      </c>
      <c r="S4713" t="n">
        <v>1593.9</v>
      </c>
      <c r="T4713" t="n">
        <v>3</v>
      </c>
      <c r="U4713" t="n">
        <v>4</v>
      </c>
      <c r="V4713" t="n">
        <v>30</v>
      </c>
      <c r="W4713" t="n">
        <v>1</v>
      </c>
      <c r="X4713" t="n">
        <v>173.1601731601731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11602</v>
      </c>
      <c r="AG4713" t="n">
        <v>2141</v>
      </c>
      <c r="AH4713" t="inlineStr">
        <is>
          <t>PT. PARAMA GLOBAL INSPIRA - PPN (JMB)</t>
        </is>
      </c>
      <c r="AI4713" t="n">
        <v>164</v>
      </c>
      <c r="AJ4713" t="inlineStr">
        <is>
          <t>WARDAH</t>
        </is>
      </c>
      <c r="AK4713" t="n">
        <v>9</v>
      </c>
      <c r="AL4713" t="inlineStr">
        <is>
          <t>Miss Glam Jambi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WARDAH</t>
        </is>
      </c>
      <c r="B4714" s="2">
        <f>"8993137705370"</f>
        <v/>
      </c>
      <c r="C4714" t="inlineStr">
        <is>
          <t>WARDAH Colorfit Velvet Matte Lip Mousse 05 Artisan Mauve 4gr</t>
        </is>
      </c>
      <c r="D4714" t="inlineStr">
        <is>
          <t>Miss Glam Jambi</t>
        </is>
      </c>
      <c r="E4714" t="n">
        <v>2</v>
      </c>
      <c r="F4714" t="n">
        <v>0.0396</v>
      </c>
      <c r="G4714" t="n">
        <v>0.33</v>
      </c>
      <c r="H4714" t="n">
        <v>2</v>
      </c>
      <c r="I4714" t="n">
        <v>7</v>
      </c>
      <c r="J4714" t="n">
        <v>3</v>
      </c>
      <c r="K4714" t="n">
        <v>0</v>
      </c>
      <c r="L4714" t="n">
        <v>58162</v>
      </c>
      <c r="M4714" t="n">
        <v>69000</v>
      </c>
      <c r="N4714" t="n">
        <v>33</v>
      </c>
      <c r="O4714" t="n">
        <v>0.33</v>
      </c>
      <c r="P4714" t="n">
        <v>1</v>
      </c>
      <c r="Q4714" t="n">
        <v>0.05</v>
      </c>
      <c r="R4714" t="n">
        <v>1</v>
      </c>
      <c r="S4714" t="n">
        <v>2732.4</v>
      </c>
      <c r="T4714" t="n">
        <v>3</v>
      </c>
      <c r="U4714" t="n">
        <v>4</v>
      </c>
      <c r="V4714" t="n">
        <v>30</v>
      </c>
      <c r="W4714" t="n">
        <v>2</v>
      </c>
      <c r="X4714" t="n">
        <v>50.5050505050505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11602</v>
      </c>
      <c r="AG4714" t="n">
        <v>2141</v>
      </c>
      <c r="AH4714" t="inlineStr">
        <is>
          <t>PT. PARAMA GLOBAL INSPIRA - PPN (JMB)</t>
        </is>
      </c>
      <c r="AI4714" t="n">
        <v>164</v>
      </c>
      <c r="AJ4714" t="inlineStr">
        <is>
          <t>WARDAH</t>
        </is>
      </c>
      <c r="AK4714" t="n">
        <v>9</v>
      </c>
      <c r="AL4714" t="inlineStr">
        <is>
          <t>Miss Glam Jambi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WARDAH</t>
        </is>
      </c>
      <c r="B4715" s="2">
        <f>"8993137705387"</f>
        <v/>
      </c>
      <c r="C4715" t="inlineStr">
        <is>
          <t>WARDAH Colorfit Velvet Matte Lip Mousse 06 Fuchsia Lover 4gr</t>
        </is>
      </c>
      <c r="D4715" t="inlineStr">
        <is>
          <t>Miss Glam Jambi</t>
        </is>
      </c>
      <c r="E4715" t="n">
        <v>12</v>
      </c>
      <c r="F4715" t="n">
        <v>0.033</v>
      </c>
      <c r="G4715" t="n">
        <v>0.66</v>
      </c>
      <c r="H4715" t="n">
        <v>2</v>
      </c>
      <c r="I4715" t="n">
        <v>7</v>
      </c>
      <c r="J4715" t="n">
        <v>3</v>
      </c>
      <c r="K4715" t="n">
        <v>0</v>
      </c>
      <c r="L4715" t="n">
        <v>58162</v>
      </c>
      <c r="M4715" t="n">
        <v>69000</v>
      </c>
      <c r="N4715" t="n">
        <v>33</v>
      </c>
      <c r="O4715" t="n">
        <v>0.33</v>
      </c>
      <c r="P4715" t="n">
        <v>1</v>
      </c>
      <c r="Q4715" t="n">
        <v>0.03</v>
      </c>
      <c r="R4715" t="n">
        <v>1</v>
      </c>
      <c r="S4715" t="n">
        <v>2277</v>
      </c>
      <c r="T4715" t="n">
        <v>5</v>
      </c>
      <c r="U4715" t="n">
        <v>6</v>
      </c>
      <c r="V4715" t="n">
        <v>30</v>
      </c>
      <c r="W4715" t="n">
        <v>1</v>
      </c>
      <c r="X4715" t="n">
        <v>363.6363636363636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11602</v>
      </c>
      <c r="AG4715" t="n">
        <v>2141</v>
      </c>
      <c r="AH4715" t="inlineStr">
        <is>
          <t>PT. PARAMA GLOBAL INSPIRA - PPN (JMB)</t>
        </is>
      </c>
      <c r="AI4715" t="n">
        <v>164</v>
      </c>
      <c r="AJ4715" t="inlineStr">
        <is>
          <t>WARDAH</t>
        </is>
      </c>
      <c r="AK4715" t="n">
        <v>9</v>
      </c>
      <c r="AL4715" t="inlineStr">
        <is>
          <t>Miss Glam Jambi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WARDAH</t>
        </is>
      </c>
      <c r="B4716" s="2">
        <f>"8993137705394"</f>
        <v/>
      </c>
      <c r="C4716" t="inlineStr">
        <is>
          <t>WARDAH Colorfit Velvet Matte Lip Mousse 07 Red Pioneer 4gr</t>
        </is>
      </c>
      <c r="D4716" t="inlineStr">
        <is>
          <t>Miss Glam Jambi</t>
        </is>
      </c>
      <c r="E4716" t="n">
        <v>3</v>
      </c>
      <c r="F4716" t="n">
        <v>0.0231</v>
      </c>
      <c r="G4716" t="n">
        <v>0.66</v>
      </c>
      <c r="H4716" t="n">
        <v>2</v>
      </c>
      <c r="I4716" t="n">
        <v>7</v>
      </c>
      <c r="J4716" t="n">
        <v>3</v>
      </c>
      <c r="K4716" t="n">
        <v>0</v>
      </c>
      <c r="L4716" t="n">
        <v>58162</v>
      </c>
      <c r="M4716" t="n">
        <v>69000</v>
      </c>
      <c r="N4716" t="n">
        <v>33</v>
      </c>
      <c r="O4716" t="n">
        <v>0.33</v>
      </c>
      <c r="P4716" t="n">
        <v>1</v>
      </c>
      <c r="Q4716" t="n">
        <v>0.05</v>
      </c>
      <c r="R4716" t="n">
        <v>1</v>
      </c>
      <c r="S4716" t="n">
        <v>1593.9</v>
      </c>
      <c r="T4716" t="n">
        <v>5</v>
      </c>
      <c r="U4716" t="n">
        <v>6</v>
      </c>
      <c r="V4716" t="n">
        <v>30</v>
      </c>
      <c r="W4716" t="n">
        <v>1</v>
      </c>
      <c r="X4716" t="n">
        <v>129.8701298701299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11602</v>
      </c>
      <c r="AG4716" t="n">
        <v>2141</v>
      </c>
      <c r="AH4716" t="inlineStr">
        <is>
          <t>PT. PARAMA GLOBAL INSPIRA - PPN (JMB)</t>
        </is>
      </c>
      <c r="AI4716" t="n">
        <v>164</v>
      </c>
      <c r="AJ4716" t="inlineStr">
        <is>
          <t>WARDAH</t>
        </is>
      </c>
      <c r="AK4716" t="n">
        <v>9</v>
      </c>
      <c r="AL4716" t="inlineStr">
        <is>
          <t>Miss Glam Jambi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WARDAH</t>
        </is>
      </c>
      <c r="B4717" s="2">
        <f>"8993137705400"</f>
        <v/>
      </c>
      <c r="C4717" t="inlineStr">
        <is>
          <t>WARDAH Colorfit Velvet Matte Lip Mousse 08 Brown Creator 4gr</t>
        </is>
      </c>
      <c r="D4717" t="inlineStr">
        <is>
          <t>Miss Glam Jambi</t>
        </is>
      </c>
      <c r="E4717" t="n">
        <v>2</v>
      </c>
      <c r="F4717" t="n">
        <v>0.0495</v>
      </c>
      <c r="G4717" t="n">
        <v>0.33</v>
      </c>
      <c r="H4717" t="n">
        <v>2</v>
      </c>
      <c r="I4717" t="n">
        <v>7</v>
      </c>
      <c r="J4717" t="n">
        <v>3</v>
      </c>
      <c r="K4717" t="n">
        <v>0</v>
      </c>
      <c r="L4717" t="n">
        <v>58162</v>
      </c>
      <c r="M4717" t="n">
        <v>69000</v>
      </c>
      <c r="N4717" t="n">
        <v>33</v>
      </c>
      <c r="O4717" t="n">
        <v>0.33</v>
      </c>
      <c r="P4717" t="n">
        <v>1</v>
      </c>
      <c r="Q4717" t="n">
        <v>0.05</v>
      </c>
      <c r="R4717" t="n">
        <v>2</v>
      </c>
      <c r="S4717" t="n">
        <v>3415.5</v>
      </c>
      <c r="T4717" t="n">
        <v>3</v>
      </c>
      <c r="U4717" t="n">
        <v>4</v>
      </c>
      <c r="V4717" t="n">
        <v>30</v>
      </c>
      <c r="W4717" t="n">
        <v>2</v>
      </c>
      <c r="X4717" t="n">
        <v>40.4040404040404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11602</v>
      </c>
      <c r="AG4717" t="n">
        <v>2141</v>
      </c>
      <c r="AH4717" t="inlineStr">
        <is>
          <t>PT. PARAMA GLOBAL INSPIRA - PPN (JMB)</t>
        </is>
      </c>
      <c r="AI4717" t="n">
        <v>164</v>
      </c>
      <c r="AJ4717" t="inlineStr">
        <is>
          <t>WARDAH</t>
        </is>
      </c>
      <c r="AK4717" t="n">
        <v>9</v>
      </c>
      <c r="AL4717" t="inlineStr">
        <is>
          <t>Miss Glam Jambi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WARDAH</t>
        </is>
      </c>
      <c r="B4718" s="2">
        <f>"8993137707787"</f>
        <v/>
      </c>
      <c r="C4718" t="inlineStr">
        <is>
          <t>WARDAH Colorfit Velvet Matte Lip Mousse 09 Ombre Charmer 4gr</t>
        </is>
      </c>
      <c r="D4718" t="inlineStr">
        <is>
          <t>Miss Glam Jambi</t>
        </is>
      </c>
      <c r="E4718" t="n">
        <v>0</v>
      </c>
      <c r="F4718" t="n">
        <v>0.1221</v>
      </c>
      <c r="G4718" t="n">
        <v>0.99</v>
      </c>
      <c r="H4718" t="n">
        <v>2</v>
      </c>
      <c r="I4718" t="n">
        <v>7</v>
      </c>
      <c r="J4718" t="n">
        <v>3</v>
      </c>
      <c r="K4718" t="n">
        <v>3</v>
      </c>
      <c r="L4718" t="n">
        <v>58162</v>
      </c>
      <c r="M4718" t="n">
        <v>69000</v>
      </c>
      <c r="N4718" t="n">
        <v>33</v>
      </c>
      <c r="O4718" t="n">
        <v>0.33</v>
      </c>
      <c r="P4718" t="n">
        <v>1</v>
      </c>
      <c r="Q4718" t="n">
        <v>0.18</v>
      </c>
      <c r="R4718" t="n">
        <v>1</v>
      </c>
      <c r="S4718" t="n">
        <v>8424.9</v>
      </c>
      <c r="T4718" t="n">
        <v>7</v>
      </c>
      <c r="U4718" t="n">
        <v>8</v>
      </c>
      <c r="V4718" t="n">
        <v>30</v>
      </c>
      <c r="W4718" t="n">
        <v>4</v>
      </c>
      <c r="X4718" t="n">
        <v>0</v>
      </c>
      <c r="Y4718" t="n">
        <v>1</v>
      </c>
      <c r="Z4718" t="n">
        <v>1</v>
      </c>
      <c r="AA4718" t="n">
        <v>0</v>
      </c>
      <c r="AB4718" t="n">
        <v>1</v>
      </c>
      <c r="AC4718" t="n">
        <v>3</v>
      </c>
      <c r="AD4718" t="n">
        <v>0</v>
      </c>
      <c r="AE4718" t="n">
        <v>174486</v>
      </c>
      <c r="AF4718" t="n">
        <v>11602</v>
      </c>
      <c r="AG4718" t="n">
        <v>2141</v>
      </c>
      <c r="AH4718" t="inlineStr">
        <is>
          <t>PT. PARAMA GLOBAL INSPIRA - PPN (JMB)</t>
        </is>
      </c>
      <c r="AI4718" t="n">
        <v>164</v>
      </c>
      <c r="AJ4718" t="inlineStr">
        <is>
          <t>WARDAH</t>
        </is>
      </c>
      <c r="AK4718" t="n">
        <v>9</v>
      </c>
      <c r="AL4718" t="inlineStr">
        <is>
          <t>Miss Glam Jambi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WARDAH</t>
        </is>
      </c>
      <c r="B4719" s="2">
        <f>"8993137707800"</f>
        <v/>
      </c>
      <c r="C4719" t="inlineStr">
        <is>
          <t>WARDAH Colorfit Velvet Matte Lip Mousse 11 Cherish Marmalade 4gr</t>
        </is>
      </c>
      <c r="D4719" t="inlineStr">
        <is>
          <t>Miss Glam Jambi</t>
        </is>
      </c>
      <c r="E4719" t="n">
        <v>2</v>
      </c>
      <c r="F4719" t="n">
        <v>0.07920000000000001</v>
      </c>
      <c r="G4719" t="n">
        <v>0.99</v>
      </c>
      <c r="H4719" t="n">
        <v>2</v>
      </c>
      <c r="I4719" t="n">
        <v>7</v>
      </c>
      <c r="J4719" t="n">
        <v>3</v>
      </c>
      <c r="K4719" t="n">
        <v>3</v>
      </c>
      <c r="L4719" t="n">
        <v>58162</v>
      </c>
      <c r="M4719" t="n">
        <v>69000</v>
      </c>
      <c r="N4719" t="n">
        <v>33</v>
      </c>
      <c r="O4719" t="n">
        <v>0.33</v>
      </c>
      <c r="P4719" t="n">
        <v>1</v>
      </c>
      <c r="Q4719" t="n">
        <v>0.08</v>
      </c>
      <c r="R4719" t="n">
        <v>1</v>
      </c>
      <c r="S4719" t="n">
        <v>5464.8</v>
      </c>
      <c r="T4719" t="n">
        <v>7</v>
      </c>
      <c r="U4719" t="n">
        <v>8</v>
      </c>
      <c r="V4719" t="n">
        <v>30</v>
      </c>
      <c r="W4719" t="n">
        <v>3</v>
      </c>
      <c r="X4719" t="n">
        <v>25.25252525252525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11602</v>
      </c>
      <c r="AG4719" t="n">
        <v>2141</v>
      </c>
      <c r="AH4719" t="inlineStr">
        <is>
          <t>PT. PARAMA GLOBAL INSPIRA - PPN (JMB)</t>
        </is>
      </c>
      <c r="AI4719" t="n">
        <v>164</v>
      </c>
      <c r="AJ4719" t="inlineStr">
        <is>
          <t>WARDAH</t>
        </is>
      </c>
      <c r="AK4719" t="n">
        <v>9</v>
      </c>
      <c r="AL4719" t="inlineStr">
        <is>
          <t>Miss Glam Jambi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WARDAH</t>
        </is>
      </c>
      <c r="B4720" s="2">
        <f>"8993137739900"</f>
        <v/>
      </c>
      <c r="C4720" t="inlineStr">
        <is>
          <t>WARDAH Colorfit Velvet Matte Lip Mousse 15 Tranquil Hazel 4gr</t>
        </is>
      </c>
      <c r="D4720" t="inlineStr">
        <is>
          <t>Miss Glam Jambi</t>
        </is>
      </c>
      <c r="E4720" t="n">
        <v>2</v>
      </c>
      <c r="F4720" t="n">
        <v>0.006600000000000001</v>
      </c>
      <c r="G4720" t="n">
        <v>0.33</v>
      </c>
      <c r="H4720" t="n">
        <v>2</v>
      </c>
      <c r="I4720" t="n">
        <v>7</v>
      </c>
      <c r="J4720" t="n">
        <v>3</v>
      </c>
      <c r="K4720" t="n">
        <v>0</v>
      </c>
      <c r="L4720" t="n">
        <v>58162</v>
      </c>
      <c r="M4720" t="n">
        <v>68500</v>
      </c>
      <c r="N4720" t="n">
        <v>33</v>
      </c>
      <c r="O4720" t="n">
        <v>0.33</v>
      </c>
      <c r="P4720" t="n">
        <v>1</v>
      </c>
      <c r="Q4720" t="n">
        <v>0.02</v>
      </c>
      <c r="R4720" t="n">
        <v>1</v>
      </c>
      <c r="S4720" t="n">
        <v>452.1000000000001</v>
      </c>
      <c r="T4720" t="n">
        <v>3</v>
      </c>
      <c r="U4720" t="n">
        <v>4</v>
      </c>
      <c r="V4720" t="n">
        <v>30</v>
      </c>
      <c r="W4720" t="n">
        <v>1</v>
      </c>
      <c r="X4720" t="n">
        <v>303.030303030303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11602</v>
      </c>
      <c r="AG4720" t="n">
        <v>2141</v>
      </c>
      <c r="AH4720" t="inlineStr">
        <is>
          <t>PT. PARAMA GLOBAL INSPIRA - PPN (JMB)</t>
        </is>
      </c>
      <c r="AI4720" t="n">
        <v>164</v>
      </c>
      <c r="AJ4720" t="inlineStr">
        <is>
          <t>WARDAH</t>
        </is>
      </c>
      <c r="AK4720" t="n">
        <v>9</v>
      </c>
      <c r="AL4720" t="inlineStr">
        <is>
          <t>Miss Glam Jambi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WARDAH</t>
        </is>
      </c>
      <c r="B4721" s="2">
        <f>"8993137739917"</f>
        <v/>
      </c>
      <c r="C4721" t="inlineStr">
        <is>
          <t>WARDAH Colorfit Velvet Matte Lip Mousse 16 Rouge Passion 4gr</t>
        </is>
      </c>
      <c r="D4721" t="inlineStr">
        <is>
          <t>Miss Glam Jambi</t>
        </is>
      </c>
      <c r="E4721" t="n">
        <v>5</v>
      </c>
      <c r="F4721" t="n">
        <v>0.009900000000000001</v>
      </c>
      <c r="G4721" t="n">
        <v>0.33</v>
      </c>
      <c r="H4721" t="n">
        <v>2</v>
      </c>
      <c r="I4721" t="n">
        <v>7</v>
      </c>
      <c r="J4721" t="n">
        <v>3</v>
      </c>
      <c r="K4721" t="n">
        <v>0</v>
      </c>
      <c r="L4721" t="n">
        <v>58162</v>
      </c>
      <c r="M4721" t="n">
        <v>68500</v>
      </c>
      <c r="N4721" t="n">
        <v>33</v>
      </c>
      <c r="O4721" t="n">
        <v>0.33</v>
      </c>
      <c r="P4721" t="n">
        <v>1</v>
      </c>
      <c r="Q4721" t="n">
        <v>0.02</v>
      </c>
      <c r="R4721" t="n">
        <v>1</v>
      </c>
      <c r="S4721" t="n">
        <v>678.1500000000001</v>
      </c>
      <c r="T4721" t="n">
        <v>3</v>
      </c>
      <c r="U4721" t="n">
        <v>4</v>
      </c>
      <c r="V4721" t="n">
        <v>30</v>
      </c>
      <c r="W4721" t="n">
        <v>1</v>
      </c>
      <c r="X4721" t="n">
        <v>505.050505050505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11602</v>
      </c>
      <c r="AG4721" t="n">
        <v>2141</v>
      </c>
      <c r="AH4721" t="inlineStr">
        <is>
          <t>PT. PARAMA GLOBAL INSPIRA - PPN (JMB)</t>
        </is>
      </c>
      <c r="AI4721" t="n">
        <v>164</v>
      </c>
      <c r="AJ4721" t="inlineStr">
        <is>
          <t>WARDAH</t>
        </is>
      </c>
      <c r="AK4721" t="n">
        <v>9</v>
      </c>
      <c r="AL4721" t="inlineStr">
        <is>
          <t>Miss Glam Jambi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"8993137739924"</f>
        <v/>
      </c>
      <c r="C4722" t="inlineStr">
        <is>
          <t>WARDAH Colorfit Velvet Matte Lip Mousse 17 Beyond Sunset 4gr</t>
        </is>
      </c>
      <c r="D4722" t="inlineStr">
        <is>
          <t>Miss Glam Jambi</t>
        </is>
      </c>
      <c r="E4722" t="n">
        <v>4</v>
      </c>
      <c r="F4722" t="n">
        <v>0.006600000000000001</v>
      </c>
      <c r="G4722" t="n">
        <v>0.33</v>
      </c>
      <c r="H4722" t="n">
        <v>2</v>
      </c>
      <c r="I4722" t="n">
        <v>7</v>
      </c>
      <c r="J4722" t="n">
        <v>3</v>
      </c>
      <c r="K4722" t="n">
        <v>0</v>
      </c>
      <c r="L4722" t="n">
        <v>58162</v>
      </c>
      <c r="M4722" t="n">
        <v>68500</v>
      </c>
      <c r="N4722" t="n">
        <v>33</v>
      </c>
      <c r="O4722" t="n">
        <v>0.33</v>
      </c>
      <c r="P4722" t="n">
        <v>1</v>
      </c>
      <c r="Q4722" t="n">
        <v>0.05</v>
      </c>
      <c r="R4722" t="n">
        <v>1</v>
      </c>
      <c r="S4722" t="n">
        <v>452.1000000000001</v>
      </c>
      <c r="T4722" t="n">
        <v>3</v>
      </c>
      <c r="U4722" t="n">
        <v>4</v>
      </c>
      <c r="V4722" t="n">
        <v>30</v>
      </c>
      <c r="W4722" t="n">
        <v>1</v>
      </c>
      <c r="X4722" t="n">
        <v>606.060606060606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11602</v>
      </c>
      <c r="AG4722" t="n">
        <v>2141</v>
      </c>
      <c r="AH4722" t="inlineStr">
        <is>
          <t>PT. PARAMA GLOBAL INSPIRA - PPN (JMB)</t>
        </is>
      </c>
      <c r="AI4722" t="n">
        <v>164</v>
      </c>
      <c r="AJ4722" t="inlineStr">
        <is>
          <t>WARDAH</t>
        </is>
      </c>
      <c r="AK4722" t="n">
        <v>9</v>
      </c>
      <c r="AL4722" t="inlineStr">
        <is>
          <t>Miss Glam Jambi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"8993137739962"</f>
        <v/>
      </c>
      <c r="C4723" t="inlineStr">
        <is>
          <t>WARDAH Colorfit Velvet Matte Lip Mousse 21 Magnetic Red 4gr</t>
        </is>
      </c>
      <c r="D4723" t="inlineStr">
        <is>
          <t>Miss Glam Jambi</t>
        </is>
      </c>
      <c r="E4723" t="n">
        <v>3</v>
      </c>
      <c r="F4723" t="n">
        <v>0.006600000000000001</v>
      </c>
      <c r="G4723" t="n">
        <v>0.33</v>
      </c>
      <c r="H4723" t="n">
        <v>2</v>
      </c>
      <c r="I4723" t="n">
        <v>7</v>
      </c>
      <c r="J4723" t="n">
        <v>3</v>
      </c>
      <c r="K4723" t="n">
        <v>0</v>
      </c>
      <c r="L4723" t="n">
        <v>58162</v>
      </c>
      <c r="M4723" t="n">
        <v>68500</v>
      </c>
      <c r="N4723" t="n">
        <v>33</v>
      </c>
      <c r="O4723" t="n">
        <v>0.33</v>
      </c>
      <c r="P4723" t="n">
        <v>1</v>
      </c>
      <c r="Q4723" t="n">
        <v>0.03</v>
      </c>
      <c r="R4723" t="n">
        <v>1</v>
      </c>
      <c r="S4723" t="n">
        <v>452.1000000000001</v>
      </c>
      <c r="T4723" t="n">
        <v>3</v>
      </c>
      <c r="U4723" t="n">
        <v>4</v>
      </c>
      <c r="V4723" t="n">
        <v>30</v>
      </c>
      <c r="W4723" t="n">
        <v>1</v>
      </c>
      <c r="X4723" t="n">
        <v>454.5454545454545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11602</v>
      </c>
      <c r="AG4723" t="n">
        <v>2141</v>
      </c>
      <c r="AH4723" t="inlineStr">
        <is>
          <t>PT. PARAMA GLOBAL INSPIRA - PPN (JMB)</t>
        </is>
      </c>
      <c r="AI4723" t="n">
        <v>164</v>
      </c>
      <c r="AJ4723" t="inlineStr">
        <is>
          <t>WARDAH</t>
        </is>
      </c>
      <c r="AK4723" t="n">
        <v>9</v>
      </c>
      <c r="AL4723" t="inlineStr">
        <is>
          <t>Miss Glam Jambi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"8993137739979"</f>
        <v/>
      </c>
      <c r="C4724" t="inlineStr">
        <is>
          <t>WARDAH Colorfit Velvet Matte Lip Mousse 22 Poise Plum 4gr</t>
        </is>
      </c>
      <c r="D4724" t="inlineStr">
        <is>
          <t>Miss Glam Jambi</t>
        </is>
      </c>
      <c r="E4724" t="n">
        <v>4</v>
      </c>
      <c r="F4724" t="n">
        <v>0.009900000000000001</v>
      </c>
      <c r="G4724" t="n">
        <v>0.33</v>
      </c>
      <c r="H4724" t="n">
        <v>2</v>
      </c>
      <c r="I4724" t="n">
        <v>7</v>
      </c>
      <c r="J4724" t="n">
        <v>3</v>
      </c>
      <c r="K4724" t="n">
        <v>0</v>
      </c>
      <c r="L4724" t="n">
        <v>58162</v>
      </c>
      <c r="M4724" t="n">
        <v>68000</v>
      </c>
      <c r="N4724" t="n">
        <v>33</v>
      </c>
      <c r="O4724" t="n">
        <v>0.33</v>
      </c>
      <c r="P4724" t="n">
        <v>1</v>
      </c>
      <c r="Q4724" t="n">
        <v>0.03</v>
      </c>
      <c r="R4724" t="n">
        <v>1</v>
      </c>
      <c r="S4724" t="n">
        <v>673.2</v>
      </c>
      <c r="T4724" t="n">
        <v>3</v>
      </c>
      <c r="U4724" t="n">
        <v>4</v>
      </c>
      <c r="V4724" t="n">
        <v>30</v>
      </c>
      <c r="W4724" t="n">
        <v>1</v>
      </c>
      <c r="X4724" t="n">
        <v>404.040404040404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11602</v>
      </c>
      <c r="AG4724" t="n">
        <v>2141</v>
      </c>
      <c r="AH4724" t="inlineStr">
        <is>
          <t>PT. PARAMA GLOBAL INSPIRA - PPN (JMB)</t>
        </is>
      </c>
      <c r="AI4724" t="n">
        <v>164</v>
      </c>
      <c r="AJ4724" t="inlineStr">
        <is>
          <t>WARDAH</t>
        </is>
      </c>
      <c r="AK4724" t="n">
        <v>9</v>
      </c>
      <c r="AL4724" t="inlineStr">
        <is>
          <t>Miss Glam Jambi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"8993137711180"</f>
        <v/>
      </c>
      <c r="C4725" t="inlineStr">
        <is>
          <t>WARDAH Colorfit Velvet Powder Foundation 11C Pink Fair 11gr</t>
        </is>
      </c>
      <c r="D4725" t="inlineStr">
        <is>
          <t>Miss Glam Jambi</t>
        </is>
      </c>
      <c r="E4725" t="n">
        <v>2</v>
      </c>
      <c r="F4725" t="n">
        <v>0.0495</v>
      </c>
      <c r="G4725" t="n">
        <v>0.66</v>
      </c>
      <c r="H4725" t="n">
        <v>2</v>
      </c>
      <c r="I4725" t="n">
        <v>7</v>
      </c>
      <c r="J4725" t="n">
        <v>3</v>
      </c>
      <c r="K4725" t="n">
        <v>0</v>
      </c>
      <c r="L4725" t="n">
        <v>63782</v>
      </c>
      <c r="M4725" t="n">
        <v>68000</v>
      </c>
      <c r="N4725" t="n">
        <v>33</v>
      </c>
      <c r="O4725" t="n">
        <v>0.33</v>
      </c>
      <c r="P4725" t="n">
        <v>1</v>
      </c>
      <c r="Q4725" t="n">
        <v>0.03</v>
      </c>
      <c r="R4725" t="n">
        <v>1</v>
      </c>
      <c r="S4725" t="n">
        <v>3366</v>
      </c>
      <c r="T4725" t="n">
        <v>5</v>
      </c>
      <c r="U4725" t="n">
        <v>6</v>
      </c>
      <c r="V4725" t="n">
        <v>30</v>
      </c>
      <c r="W4725" t="n">
        <v>2</v>
      </c>
      <c r="X4725" t="n">
        <v>40.4040404040404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11602</v>
      </c>
      <c r="AG4725" t="n">
        <v>2141</v>
      </c>
      <c r="AH4725" t="inlineStr">
        <is>
          <t>PT. PARAMA GLOBAL INSPIRA - PPN (JMB)</t>
        </is>
      </c>
      <c r="AI4725" t="n">
        <v>164</v>
      </c>
      <c r="AJ4725" t="inlineStr">
        <is>
          <t>WARDAH</t>
        </is>
      </c>
      <c r="AK4725" t="n">
        <v>9</v>
      </c>
      <c r="AL4725" t="inlineStr">
        <is>
          <t>Miss Glam Jambi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"8993137711203"</f>
        <v/>
      </c>
      <c r="C4726" t="inlineStr">
        <is>
          <t>WARDAH Colorfit Velvet Powder Foundation 23W Warm Ivory 11gr</t>
        </is>
      </c>
      <c r="D4726" t="inlineStr">
        <is>
          <t>Miss Glam Jambi</t>
        </is>
      </c>
      <c r="E4726" t="n">
        <v>6</v>
      </c>
      <c r="F4726" t="n">
        <v>0.2343</v>
      </c>
      <c r="G4726" t="n">
        <v>0.99</v>
      </c>
      <c r="H4726" t="n">
        <v>2</v>
      </c>
      <c r="I4726" t="n">
        <v>7</v>
      </c>
      <c r="J4726" t="n">
        <v>3</v>
      </c>
      <c r="K4726" t="n">
        <v>3</v>
      </c>
      <c r="L4726" t="n">
        <v>64752</v>
      </c>
      <c r="M4726" t="n">
        <v>68000</v>
      </c>
      <c r="N4726" t="n">
        <v>33</v>
      </c>
      <c r="O4726" t="n">
        <v>0.33</v>
      </c>
      <c r="P4726" t="n">
        <v>1</v>
      </c>
      <c r="Q4726" t="n">
        <v>0.17</v>
      </c>
      <c r="R4726" t="n">
        <v>2</v>
      </c>
      <c r="S4726" t="n">
        <v>15932.4</v>
      </c>
      <c r="T4726" t="n">
        <v>7</v>
      </c>
      <c r="U4726" t="n">
        <v>8</v>
      </c>
      <c r="V4726" t="n">
        <v>30</v>
      </c>
      <c r="W4726" t="n">
        <v>8</v>
      </c>
      <c r="X4726" t="n">
        <v>25.60819462227913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11602</v>
      </c>
      <c r="AG4726" t="n">
        <v>2141</v>
      </c>
      <c r="AH4726" t="inlineStr">
        <is>
          <t>PT. PARAMA GLOBAL INSPIRA - PPN (JMB)</t>
        </is>
      </c>
      <c r="AI4726" t="n">
        <v>164</v>
      </c>
      <c r="AJ4726" t="inlineStr">
        <is>
          <t>WARDAH</t>
        </is>
      </c>
      <c r="AK4726" t="n">
        <v>9</v>
      </c>
      <c r="AL4726" t="inlineStr">
        <is>
          <t>Miss Glam Jambi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"8993137699570"</f>
        <v/>
      </c>
      <c r="C4727" t="inlineStr">
        <is>
          <t>WARDAH Conditioner Nutri Shine 170ml</t>
        </is>
      </c>
      <c r="D4727" t="inlineStr">
        <is>
          <t>Miss Glam Jambi</t>
        </is>
      </c>
      <c r="E4727" t="n">
        <v>4</v>
      </c>
      <c r="F4727" t="n">
        <v>0.0561</v>
      </c>
      <c r="G4727" t="n">
        <v>0.66</v>
      </c>
      <c r="H4727" t="n">
        <v>2</v>
      </c>
      <c r="I4727" t="n">
        <v>7</v>
      </c>
      <c r="J4727" t="n">
        <v>3</v>
      </c>
      <c r="K4727" t="n">
        <v>0</v>
      </c>
      <c r="L4727" t="n">
        <v>18709</v>
      </c>
      <c r="M4727" t="n">
        <v>23500</v>
      </c>
      <c r="N4727" t="n">
        <v>33</v>
      </c>
      <c r="O4727" t="n">
        <v>0.33</v>
      </c>
      <c r="P4727" t="n">
        <v>1</v>
      </c>
      <c r="Q4727" t="n">
        <v>0.03</v>
      </c>
      <c r="R4727" t="n">
        <v>1</v>
      </c>
      <c r="S4727" t="n">
        <v>1318.35</v>
      </c>
      <c r="T4727" t="n">
        <v>5</v>
      </c>
      <c r="U4727" t="n">
        <v>6</v>
      </c>
      <c r="V4727" t="n">
        <v>30</v>
      </c>
      <c r="W4727" t="n">
        <v>2</v>
      </c>
      <c r="X4727" t="n">
        <v>71.301247771836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11602</v>
      </c>
      <c r="AG4727" t="n">
        <v>2141</v>
      </c>
      <c r="AH4727" t="inlineStr">
        <is>
          <t>PT. PARAMA GLOBAL INSPIRA - PPN (JMB)</t>
        </is>
      </c>
      <c r="AI4727" t="n">
        <v>164</v>
      </c>
      <c r="AJ4727" t="inlineStr">
        <is>
          <t>WARDAH</t>
        </is>
      </c>
      <c r="AK4727" t="n">
        <v>9</v>
      </c>
      <c r="AL4727" t="inlineStr">
        <is>
          <t>Miss Glam Jambi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"8993137691871"</f>
        <v/>
      </c>
      <c r="C4728" t="inlineStr">
        <is>
          <t>WARDAH Creamy Body Butter with Strawberry 50ml</t>
        </is>
      </c>
      <c r="D4728" t="inlineStr">
        <is>
          <t>Miss Glam Jambi</t>
        </is>
      </c>
      <c r="E4728" t="n">
        <v>2</v>
      </c>
      <c r="F4728" t="n">
        <v>0.02</v>
      </c>
      <c r="G4728" t="n">
        <v>1</v>
      </c>
      <c r="H4728" t="n">
        <v>2</v>
      </c>
      <c r="I4728" t="n">
        <v>7</v>
      </c>
      <c r="J4728" t="n">
        <v>3</v>
      </c>
      <c r="K4728" t="n">
        <v>0</v>
      </c>
      <c r="L4728" t="n">
        <v>18314</v>
      </c>
      <c r="M4728" t="n">
        <v>21000</v>
      </c>
      <c r="N4728" t="n">
        <v>33</v>
      </c>
      <c r="O4728" t="n">
        <v>0.33</v>
      </c>
      <c r="P4728" t="n">
        <v>0</v>
      </c>
      <c r="Q4728" t="n">
        <v>0.02</v>
      </c>
      <c r="R4728" t="n">
        <v>1</v>
      </c>
      <c r="S4728" t="n">
        <v>420</v>
      </c>
      <c r="T4728" t="n">
        <v>7</v>
      </c>
      <c r="U4728" t="n">
        <v>8</v>
      </c>
      <c r="V4728" t="n">
        <v>30</v>
      </c>
      <c r="W4728" t="n">
        <v>1</v>
      </c>
      <c r="X4728" t="n">
        <v>100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11602</v>
      </c>
      <c r="AG4728" t="n">
        <v>2141</v>
      </c>
      <c r="AH4728" t="inlineStr">
        <is>
          <t>PT. PARAMA GLOBAL INSPIRA - PPN (JMB)</t>
        </is>
      </c>
      <c r="AI4728" t="n">
        <v>164</v>
      </c>
      <c r="AJ4728" t="inlineStr">
        <is>
          <t>WARDAH</t>
        </is>
      </c>
      <c r="AK4728" t="n">
        <v>9</v>
      </c>
      <c r="AL4728" t="inlineStr">
        <is>
          <t>Miss Glam Jambi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"8993137692526"</f>
        <v/>
      </c>
      <c r="C4729" t="inlineStr">
        <is>
          <t>WARDAH Crystal Secret  Brightening Day Cream 15ml</t>
        </is>
      </c>
      <c r="D4729" t="inlineStr">
        <is>
          <t>Miss Glam Jambi</t>
        </is>
      </c>
      <c r="E4729" t="n">
        <v>26</v>
      </c>
      <c r="F4729" t="n">
        <v>0.4686</v>
      </c>
      <c r="G4729" t="n">
        <v>1.32</v>
      </c>
      <c r="H4729" t="n">
        <v>2</v>
      </c>
      <c r="I4729" t="n">
        <v>7</v>
      </c>
      <c r="J4729" t="n">
        <v>3</v>
      </c>
      <c r="K4729" t="n">
        <v>0</v>
      </c>
      <c r="L4729" t="n">
        <v>42530</v>
      </c>
      <c r="M4729" t="n">
        <v>50000</v>
      </c>
      <c r="N4729" t="n">
        <v>33</v>
      </c>
      <c r="O4729" t="n">
        <v>0.33</v>
      </c>
      <c r="P4729" t="n">
        <v>1</v>
      </c>
      <c r="Q4729" t="n">
        <v>0.97</v>
      </c>
      <c r="R4729" t="n">
        <v>5</v>
      </c>
      <c r="S4729" t="n">
        <v>23430</v>
      </c>
      <c r="T4729" t="n">
        <v>9</v>
      </c>
      <c r="U4729" t="n">
        <v>10</v>
      </c>
      <c r="V4729" t="n">
        <v>30</v>
      </c>
      <c r="W4729" t="n">
        <v>15</v>
      </c>
      <c r="X4729" t="n">
        <v>55.48442168160478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11602</v>
      </c>
      <c r="AG4729" t="n">
        <v>2141</v>
      </c>
      <c r="AH4729" t="inlineStr">
        <is>
          <t>PT. PARAMA GLOBAL INSPIRA - PPN (JMB)</t>
        </is>
      </c>
      <c r="AI4729" t="n">
        <v>164</v>
      </c>
      <c r="AJ4729" t="inlineStr">
        <is>
          <t>WARDAH</t>
        </is>
      </c>
      <c r="AK4729" t="n">
        <v>9</v>
      </c>
      <c r="AL4729" t="inlineStr">
        <is>
          <t>Miss Glam Jambi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"8993137692533"</f>
        <v/>
      </c>
      <c r="C4730" t="inlineStr">
        <is>
          <t>WARDAH Crystal Secret Bright Activating Night Cream 15ml</t>
        </is>
      </c>
      <c r="D4730" t="inlineStr">
        <is>
          <t>Miss Glam Jambi</t>
        </is>
      </c>
      <c r="E4730" t="n">
        <v>17</v>
      </c>
      <c r="F4730" t="n">
        <v>0.33</v>
      </c>
      <c r="G4730" t="n">
        <v>1.32</v>
      </c>
      <c r="H4730" t="n">
        <v>2</v>
      </c>
      <c r="I4730" t="n">
        <v>7</v>
      </c>
      <c r="J4730" t="n">
        <v>3</v>
      </c>
      <c r="K4730" t="n">
        <v>0</v>
      </c>
      <c r="L4730" t="n">
        <v>42530</v>
      </c>
      <c r="M4730" t="n">
        <v>48500</v>
      </c>
      <c r="N4730" t="n">
        <v>33</v>
      </c>
      <c r="O4730" t="n">
        <v>0.33</v>
      </c>
      <c r="P4730" t="n">
        <v>1</v>
      </c>
      <c r="Q4730" t="n">
        <v>0.83</v>
      </c>
      <c r="R4730" t="n">
        <v>4</v>
      </c>
      <c r="S4730" t="n">
        <v>16005</v>
      </c>
      <c r="T4730" t="n">
        <v>9</v>
      </c>
      <c r="U4730" t="n">
        <v>10</v>
      </c>
      <c r="V4730" t="n">
        <v>30</v>
      </c>
      <c r="W4730" t="n">
        <v>10</v>
      </c>
      <c r="X4730" t="n">
        <v>51.51515151515152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11602</v>
      </c>
      <c r="AG4730" t="n">
        <v>2141</v>
      </c>
      <c r="AH4730" t="inlineStr">
        <is>
          <t>PT. PARAMA GLOBAL INSPIRA - PPN (JMB)</t>
        </is>
      </c>
      <c r="AI4730" t="n">
        <v>164</v>
      </c>
      <c r="AJ4730" t="inlineStr">
        <is>
          <t>WARDAH</t>
        </is>
      </c>
      <c r="AK4730" t="n">
        <v>9</v>
      </c>
      <c r="AL4730" t="inlineStr">
        <is>
          <t>Miss Glam Jambi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"8993137692311"</f>
        <v/>
      </c>
      <c r="C4731" t="inlineStr">
        <is>
          <t>WARDAH Crystal Secret Dark Spot &amp; Brightening Serum 20ml</t>
        </is>
      </c>
      <c r="D4731" t="inlineStr">
        <is>
          <t>Miss Glam Jambi</t>
        </is>
      </c>
      <c r="E4731" t="n">
        <v>18</v>
      </c>
      <c r="F4731" t="n">
        <v>0.5874</v>
      </c>
      <c r="G4731" t="n">
        <v>1.98</v>
      </c>
      <c r="H4731" t="n">
        <v>2</v>
      </c>
      <c r="I4731" t="n">
        <v>7</v>
      </c>
      <c r="J4731" t="n">
        <v>3</v>
      </c>
      <c r="K4731" t="n">
        <v>0</v>
      </c>
      <c r="L4731" t="n">
        <v>74843</v>
      </c>
      <c r="M4731" t="n">
        <v>97000</v>
      </c>
      <c r="N4731" t="n">
        <v>33</v>
      </c>
      <c r="O4731" t="n">
        <v>0.33</v>
      </c>
      <c r="P4731" t="n">
        <v>1</v>
      </c>
      <c r="Q4731" t="n">
        <v>0.64</v>
      </c>
      <c r="R4731" t="n">
        <v>3</v>
      </c>
      <c r="S4731" t="n">
        <v>56977.8</v>
      </c>
      <c r="T4731" t="n">
        <v>13</v>
      </c>
      <c r="U4731" t="n">
        <v>15</v>
      </c>
      <c r="V4731" t="n">
        <v>30</v>
      </c>
      <c r="W4731" t="n">
        <v>18</v>
      </c>
      <c r="X4731" t="n">
        <v>30.6435137895812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11602</v>
      </c>
      <c r="AG4731" t="n">
        <v>2141</v>
      </c>
      <c r="AH4731" t="inlineStr">
        <is>
          <t>PT. PARAMA GLOBAL INSPIRA - PPN (JMB)</t>
        </is>
      </c>
      <c r="AI4731" t="n">
        <v>164</v>
      </c>
      <c r="AJ4731" t="inlineStr">
        <is>
          <t>WARDAH</t>
        </is>
      </c>
      <c r="AK4731" t="n">
        <v>9</v>
      </c>
      <c r="AL4731" t="inlineStr">
        <is>
          <t>Miss Glam Jambi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"8993137684606"</f>
        <v/>
      </c>
      <c r="C4732" t="inlineStr">
        <is>
          <t>WARDAH Crystal Secret Exfoliating Toner with Natural AHA+PHA 125ml</t>
        </is>
      </c>
      <c r="D4732" t="inlineStr">
        <is>
          <t>Miss Glam Jambi</t>
        </is>
      </c>
      <c r="E4732" t="n">
        <v>0</v>
      </c>
      <c r="F4732" t="n">
        <v>0.06270000000000001</v>
      </c>
      <c r="G4732" t="n">
        <v>0.66</v>
      </c>
      <c r="H4732" t="n">
        <v>2</v>
      </c>
      <c r="I4732" t="n">
        <v>7</v>
      </c>
      <c r="J4732" t="n">
        <v>3</v>
      </c>
      <c r="K4732" t="n">
        <v>3</v>
      </c>
      <c r="L4732" t="n">
        <v>60538</v>
      </c>
      <c r="M4732" t="n">
        <v>71500</v>
      </c>
      <c r="N4732" t="n">
        <v>33</v>
      </c>
      <c r="O4732" t="n">
        <v>0.33</v>
      </c>
      <c r="P4732" t="n">
        <v>1</v>
      </c>
      <c r="Q4732" t="n">
        <v>0.13</v>
      </c>
      <c r="R4732" t="n">
        <v>1</v>
      </c>
      <c r="S4732" t="n">
        <v>4483.05</v>
      </c>
      <c r="T4732" t="n">
        <v>5</v>
      </c>
      <c r="U4732" t="n">
        <v>6</v>
      </c>
      <c r="V4732" t="n">
        <v>30</v>
      </c>
      <c r="W4732" t="n">
        <v>2</v>
      </c>
      <c r="X4732" t="n">
        <v>0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11602</v>
      </c>
      <c r="AG4732" t="n">
        <v>2141</v>
      </c>
      <c r="AH4732" t="inlineStr">
        <is>
          <t>PT. PARAMA GLOBAL INSPIRA - PPN (JMB)</t>
        </is>
      </c>
      <c r="AI4732" t="n">
        <v>164</v>
      </c>
      <c r="AJ4732" t="inlineStr">
        <is>
          <t>WARDAH</t>
        </is>
      </c>
      <c r="AK4732" t="n">
        <v>9</v>
      </c>
      <c r="AL4732" t="inlineStr">
        <is>
          <t>Miss Glam Jambi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"8993137697163"</f>
        <v/>
      </c>
      <c r="C4733" t="inlineStr">
        <is>
          <t>WARDAH Crystal Secret Eyes Dark Circle Corrector 10ml</t>
        </is>
      </c>
      <c r="D4733" t="inlineStr">
        <is>
          <t>Miss Glam Jambi</t>
        </is>
      </c>
      <c r="E4733" t="n">
        <v>5</v>
      </c>
      <c r="F4733" t="n">
        <v>0.0264</v>
      </c>
      <c r="G4733" t="n">
        <v>0.33</v>
      </c>
      <c r="H4733" t="n">
        <v>2</v>
      </c>
      <c r="I4733" t="n">
        <v>7</v>
      </c>
      <c r="J4733" t="n">
        <v>3</v>
      </c>
      <c r="K4733" t="n">
        <v>0</v>
      </c>
      <c r="L4733" t="n">
        <v>66668</v>
      </c>
      <c r="M4733" t="n">
        <v>78500</v>
      </c>
      <c r="N4733" t="n">
        <v>33</v>
      </c>
      <c r="O4733" t="n">
        <v>0.33</v>
      </c>
      <c r="P4733" t="n">
        <v>1</v>
      </c>
      <c r="Q4733" t="n">
        <v>0.02</v>
      </c>
      <c r="R4733" t="n">
        <v>1</v>
      </c>
      <c r="S4733" t="n">
        <v>2072.4</v>
      </c>
      <c r="T4733" t="n">
        <v>3</v>
      </c>
      <c r="U4733" t="n">
        <v>4</v>
      </c>
      <c r="V4733" t="n">
        <v>30</v>
      </c>
      <c r="W4733" t="n">
        <v>1</v>
      </c>
      <c r="X4733" t="n">
        <v>189.3939393939394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11602</v>
      </c>
      <c r="AG4733" t="n">
        <v>2141</v>
      </c>
      <c r="AH4733" t="inlineStr">
        <is>
          <t>PT. PARAMA GLOBAL INSPIRA - PPN (JMB)</t>
        </is>
      </c>
      <c r="AI4733" t="n">
        <v>164</v>
      </c>
      <c r="AJ4733" t="inlineStr">
        <is>
          <t>WARDAH</t>
        </is>
      </c>
      <c r="AK4733" t="n">
        <v>9</v>
      </c>
      <c r="AL4733" t="inlineStr">
        <is>
          <t>Miss Glam Jambi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"8993137692335"</f>
        <v/>
      </c>
      <c r="C4734" t="inlineStr">
        <is>
          <t>WARDAH Crystal Secret Foaming Cleanser 100ml</t>
        </is>
      </c>
      <c r="D4734" t="inlineStr">
        <is>
          <t>Miss Glam Jambi</t>
        </is>
      </c>
      <c r="E4734" t="n">
        <v>48</v>
      </c>
      <c r="F4734" t="n">
        <v>2.376</v>
      </c>
      <c r="G4734" t="n">
        <v>4.95</v>
      </c>
      <c r="H4734" t="n">
        <v>2</v>
      </c>
      <c r="I4734" t="n">
        <v>7</v>
      </c>
      <c r="J4734" t="n">
        <v>3</v>
      </c>
      <c r="K4734" t="n">
        <v>0</v>
      </c>
      <c r="L4734" t="n">
        <v>30270</v>
      </c>
      <c r="M4734" t="n">
        <v>36500</v>
      </c>
      <c r="N4734" t="n">
        <v>33</v>
      </c>
      <c r="O4734" t="n">
        <v>0.33</v>
      </c>
      <c r="P4734" t="n">
        <v>1</v>
      </c>
      <c r="Q4734" t="n">
        <v>1.61</v>
      </c>
      <c r="R4734" t="n">
        <v>5</v>
      </c>
      <c r="S4734" t="n">
        <v>86724.00000000001</v>
      </c>
      <c r="T4734" t="n">
        <v>30</v>
      </c>
      <c r="U4734" t="n">
        <v>35</v>
      </c>
      <c r="V4734" t="n">
        <v>30</v>
      </c>
      <c r="W4734" t="n">
        <v>72</v>
      </c>
      <c r="X4734" t="n">
        <v>20.2020202020202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11602</v>
      </c>
      <c r="AG4734" t="n">
        <v>2141</v>
      </c>
      <c r="AH4734" t="inlineStr">
        <is>
          <t>PT. PARAMA GLOBAL INSPIRA - PPN (JMB)</t>
        </is>
      </c>
      <c r="AI4734" t="n">
        <v>164</v>
      </c>
      <c r="AJ4734" t="inlineStr">
        <is>
          <t>WARDAH</t>
        </is>
      </c>
      <c r="AK4734" t="n">
        <v>9</v>
      </c>
      <c r="AL4734" t="inlineStr">
        <is>
          <t>Miss Glam Jambi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"8993137684613"</f>
        <v/>
      </c>
      <c r="C4735" t="inlineStr">
        <is>
          <t>WARDAH Crystal Secret Melting Milk Cleanser 100ml</t>
        </is>
      </c>
      <c r="D4735" t="inlineStr">
        <is>
          <t>Miss Glam Jambi</t>
        </is>
      </c>
      <c r="E4735" t="n">
        <v>4</v>
      </c>
      <c r="F4735" t="n">
        <v>0.1848</v>
      </c>
      <c r="G4735" t="n">
        <v>0.99</v>
      </c>
      <c r="H4735" t="n">
        <v>2</v>
      </c>
      <c r="I4735" t="n">
        <v>7</v>
      </c>
      <c r="J4735" t="n">
        <v>3</v>
      </c>
      <c r="K4735" t="n">
        <v>3</v>
      </c>
      <c r="L4735" t="n">
        <v>25735</v>
      </c>
      <c r="M4735" t="n">
        <v>38000</v>
      </c>
      <c r="N4735" t="n">
        <v>33</v>
      </c>
      <c r="O4735" t="n">
        <v>0.33</v>
      </c>
      <c r="P4735" t="n">
        <v>1</v>
      </c>
      <c r="Q4735" t="n">
        <v>0.07000000000000001</v>
      </c>
      <c r="R4735" t="n">
        <v>1</v>
      </c>
      <c r="S4735" t="n">
        <v>7022.400000000001</v>
      </c>
      <c r="T4735" t="n">
        <v>7</v>
      </c>
      <c r="U4735" t="n">
        <v>8</v>
      </c>
      <c r="V4735" t="n">
        <v>30</v>
      </c>
      <c r="W4735" t="n">
        <v>6</v>
      </c>
      <c r="X4735" t="n">
        <v>21.64502164502164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11602</v>
      </c>
      <c r="AG4735" t="n">
        <v>2141</v>
      </c>
      <c r="AH4735" t="inlineStr">
        <is>
          <t>PT. PARAMA GLOBAL INSPIRA - PPN (JMB)</t>
        </is>
      </c>
      <c r="AI4735" t="n">
        <v>164</v>
      </c>
      <c r="AJ4735" t="inlineStr">
        <is>
          <t>WARDAH</t>
        </is>
      </c>
      <c r="AK4735" t="n">
        <v>9</v>
      </c>
      <c r="AL4735" t="inlineStr">
        <is>
          <t>Miss Glam Jambi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"8993137699471"</f>
        <v/>
      </c>
      <c r="C4736" t="inlineStr">
        <is>
          <t>WARDAH Everyday Fruity Sheer Hydrabalm Strawberry 4gr</t>
        </is>
      </c>
      <c r="D4736" t="inlineStr">
        <is>
          <t>Miss Glam Jambi</t>
        </is>
      </c>
      <c r="E4736" t="n">
        <v>11</v>
      </c>
      <c r="F4736" t="n">
        <v>2.5344</v>
      </c>
      <c r="G4736" t="n">
        <v>4.62</v>
      </c>
      <c r="H4736" t="n">
        <v>2</v>
      </c>
      <c r="I4736" t="n">
        <v>7</v>
      </c>
      <c r="J4736" t="n">
        <v>3</v>
      </c>
      <c r="K4736" t="n">
        <v>59</v>
      </c>
      <c r="L4736" t="n">
        <v>22606</v>
      </c>
      <c r="M4736" t="n">
        <v>28000</v>
      </c>
      <c r="N4736" t="n">
        <v>33</v>
      </c>
      <c r="O4736" t="n">
        <v>0.33</v>
      </c>
      <c r="P4736" t="n">
        <v>1</v>
      </c>
      <c r="Q4736" t="n">
        <v>0.42</v>
      </c>
      <c r="R4736" t="n">
        <v>5</v>
      </c>
      <c r="S4736" t="n">
        <v>70963.20000000001</v>
      </c>
      <c r="T4736" t="n">
        <v>28</v>
      </c>
      <c r="U4736" t="n">
        <v>34</v>
      </c>
      <c r="V4736" t="n">
        <v>30</v>
      </c>
      <c r="W4736" t="n">
        <v>77</v>
      </c>
      <c r="X4736" t="n">
        <v>4.340277777777778</v>
      </c>
      <c r="Y4736" t="n">
        <v>1</v>
      </c>
      <c r="Z4736" t="n">
        <v>7</v>
      </c>
      <c r="AA4736" t="n">
        <v>6</v>
      </c>
      <c r="AB4736" t="n">
        <v>1</v>
      </c>
      <c r="AC4736" t="n">
        <v>3</v>
      </c>
      <c r="AD4736" t="n">
        <v>135636</v>
      </c>
      <c r="AE4736" t="n">
        <v>67818</v>
      </c>
      <c r="AF4736" t="n">
        <v>11602</v>
      </c>
      <c r="AG4736" t="n">
        <v>2141</v>
      </c>
      <c r="AH4736" t="inlineStr">
        <is>
          <t>PT. PARAMA GLOBAL INSPIRA - PPN (JMB)</t>
        </is>
      </c>
      <c r="AI4736" t="n">
        <v>164</v>
      </c>
      <c r="AJ4736" t="inlineStr">
        <is>
          <t>WARDAH</t>
        </is>
      </c>
      <c r="AK4736" t="n">
        <v>9</v>
      </c>
      <c r="AL4736" t="inlineStr">
        <is>
          <t>Miss Glam Jambi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"8993137575201"</f>
        <v/>
      </c>
      <c r="C4737" t="inlineStr">
        <is>
          <t>WARDAH Everyday Luminous Liquid Fondation 02 Light Beige 35ml</t>
        </is>
      </c>
      <c r="D4737" t="inlineStr">
        <is>
          <t>Miss Glam Jambi</t>
        </is>
      </c>
      <c r="E4737" t="n">
        <v>3</v>
      </c>
      <c r="F4737" t="n">
        <v>0.33</v>
      </c>
      <c r="G4737" t="n">
        <v>1.65</v>
      </c>
      <c r="H4737" t="n">
        <v>2</v>
      </c>
      <c r="I4737" t="n">
        <v>7</v>
      </c>
      <c r="J4737" t="n">
        <v>3</v>
      </c>
      <c r="K4737" t="n">
        <v>7</v>
      </c>
      <c r="L4737" t="n">
        <v>34024</v>
      </c>
      <c r="M4737" t="n">
        <v>39500</v>
      </c>
      <c r="N4737" t="n">
        <v>33</v>
      </c>
      <c r="O4737" t="n">
        <v>0.33</v>
      </c>
      <c r="P4737" t="n">
        <v>1</v>
      </c>
      <c r="Q4737" t="n">
        <v>0.03</v>
      </c>
      <c r="R4737" t="n">
        <v>1</v>
      </c>
      <c r="S4737" t="n">
        <v>13035</v>
      </c>
      <c r="T4737" t="n">
        <v>11</v>
      </c>
      <c r="U4737" t="n">
        <v>12</v>
      </c>
      <c r="V4737" t="n">
        <v>30</v>
      </c>
      <c r="W4737" t="n">
        <v>10</v>
      </c>
      <c r="X4737" t="n">
        <v>9.09090909090909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11602</v>
      </c>
      <c r="AG4737" t="n">
        <v>2141</v>
      </c>
      <c r="AH4737" t="inlineStr">
        <is>
          <t>PT. PARAMA GLOBAL INSPIRA - PPN (JMB)</t>
        </is>
      </c>
      <c r="AI4737" t="n">
        <v>164</v>
      </c>
      <c r="AJ4737" t="inlineStr">
        <is>
          <t>WARDAH</t>
        </is>
      </c>
      <c r="AK4737" t="n">
        <v>9</v>
      </c>
      <c r="AL4737" t="inlineStr">
        <is>
          <t>Miss Glam Jambi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"8993137680325"</f>
        <v/>
      </c>
      <c r="C4738" t="inlineStr">
        <is>
          <t>WARDAH Everyday Luminous Two Way Cake 02 Beige 12gr</t>
        </is>
      </c>
      <c r="D4738" t="inlineStr">
        <is>
          <t>Miss Glam Jambi</t>
        </is>
      </c>
      <c r="E4738" t="n">
        <v>9</v>
      </c>
      <c r="F4738" t="n">
        <v>0.1188</v>
      </c>
      <c r="G4738" t="n">
        <v>0.66</v>
      </c>
      <c r="H4738" t="n">
        <v>2</v>
      </c>
      <c r="I4738" t="n">
        <v>7</v>
      </c>
      <c r="J4738" t="n">
        <v>3</v>
      </c>
      <c r="K4738" t="n">
        <v>0</v>
      </c>
      <c r="L4738" t="n">
        <v>40231</v>
      </c>
      <c r="M4738" t="n">
        <v>46000</v>
      </c>
      <c r="N4738" t="n">
        <v>33</v>
      </c>
      <c r="O4738" t="n">
        <v>0.33</v>
      </c>
      <c r="P4738" t="n">
        <v>1</v>
      </c>
      <c r="Q4738" t="n">
        <v>0.02</v>
      </c>
      <c r="R4738" t="n">
        <v>1</v>
      </c>
      <c r="S4738" t="n">
        <v>5464.8</v>
      </c>
      <c r="T4738" t="n">
        <v>5</v>
      </c>
      <c r="U4738" t="n">
        <v>6</v>
      </c>
      <c r="V4738" t="n">
        <v>30</v>
      </c>
      <c r="W4738" t="n">
        <v>4</v>
      </c>
      <c r="X4738" t="n">
        <v>75.75757575757575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11602</v>
      </c>
      <c r="AG4738" t="n">
        <v>2141</v>
      </c>
      <c r="AH4738" t="inlineStr">
        <is>
          <t>PT. PARAMA GLOBAL INSPIRA - PPN (JMB)</t>
        </is>
      </c>
      <c r="AI4738" t="n">
        <v>164</v>
      </c>
      <c r="AJ4738" t="inlineStr">
        <is>
          <t>WARDAH</t>
        </is>
      </c>
      <c r="AK4738" t="n">
        <v>9</v>
      </c>
      <c r="AL4738" t="inlineStr">
        <is>
          <t>Miss Glam Jambi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"8993137704762"</f>
        <v/>
      </c>
      <c r="C4739" t="inlineStr">
        <is>
          <t>WARDAH Exclusive Blush On 01 Rosy Pink 6.5g</t>
        </is>
      </c>
      <c r="D4739" t="inlineStr">
        <is>
          <t>Miss Glam Jambi</t>
        </is>
      </c>
      <c r="E4739" t="n">
        <v>0</v>
      </c>
      <c r="F4739" t="n">
        <v>0.07920000000000001</v>
      </c>
      <c r="G4739" t="n">
        <v>0.66</v>
      </c>
      <c r="H4739" t="n">
        <v>2</v>
      </c>
      <c r="I4739" t="n">
        <v>7</v>
      </c>
      <c r="J4739" t="n">
        <v>3</v>
      </c>
      <c r="K4739" t="n">
        <v>3</v>
      </c>
      <c r="L4739" t="n">
        <v>50193</v>
      </c>
      <c r="M4739" t="n">
        <v>56500</v>
      </c>
      <c r="N4739" t="n">
        <v>33</v>
      </c>
      <c r="O4739" t="n">
        <v>0.33</v>
      </c>
      <c r="P4739" t="n">
        <v>1</v>
      </c>
      <c r="Q4739" t="n">
        <v>0.08</v>
      </c>
      <c r="R4739" t="n">
        <v>1</v>
      </c>
      <c r="S4739" t="n">
        <v>4474.8</v>
      </c>
      <c r="T4739" t="n">
        <v>5</v>
      </c>
      <c r="U4739" t="n">
        <v>6</v>
      </c>
      <c r="V4739" t="n">
        <v>30</v>
      </c>
      <c r="W4739" t="n">
        <v>3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11602</v>
      </c>
      <c r="AG4739" t="n">
        <v>2141</v>
      </c>
      <c r="AH4739" t="inlineStr">
        <is>
          <t>PT. PARAMA GLOBAL INSPIRA - PPN (JMB)</t>
        </is>
      </c>
      <c r="AI4739" t="n">
        <v>164</v>
      </c>
      <c r="AJ4739" t="inlineStr">
        <is>
          <t>WARDAH</t>
        </is>
      </c>
      <c r="AK4739" t="n">
        <v>9</v>
      </c>
      <c r="AL4739" t="inlineStr">
        <is>
          <t>Miss Glam Jambi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"8993137704779"</f>
        <v/>
      </c>
      <c r="C4740" t="inlineStr">
        <is>
          <t>WARDAH Exclusive Blush On Coral Peach 02 6.5g</t>
        </is>
      </c>
      <c r="D4740" t="inlineStr">
        <is>
          <t>Miss Glam Jambi</t>
        </is>
      </c>
      <c r="E4740" t="n">
        <v>3</v>
      </c>
      <c r="F4740" t="n">
        <v>0.0264</v>
      </c>
      <c r="G4740" t="n">
        <v>0.66</v>
      </c>
      <c r="H4740" t="n">
        <v>2</v>
      </c>
      <c r="I4740" t="n">
        <v>7</v>
      </c>
      <c r="J4740" t="n">
        <v>3</v>
      </c>
      <c r="K4740" t="n">
        <v>0</v>
      </c>
      <c r="L4740" t="n">
        <v>50576</v>
      </c>
      <c r="M4740" t="n">
        <v>58000</v>
      </c>
      <c r="N4740" t="n">
        <v>33</v>
      </c>
      <c r="O4740" t="n">
        <v>0.33</v>
      </c>
      <c r="P4740" t="n">
        <v>1</v>
      </c>
      <c r="Q4740" t="n">
        <v>0.08</v>
      </c>
      <c r="R4740" t="n">
        <v>1</v>
      </c>
      <c r="S4740" t="n">
        <v>1531.2</v>
      </c>
      <c r="T4740" t="n">
        <v>5</v>
      </c>
      <c r="U4740" t="n">
        <v>6</v>
      </c>
      <c r="V4740" t="n">
        <v>30</v>
      </c>
      <c r="W4740" t="n">
        <v>1</v>
      </c>
      <c r="X4740" t="n">
        <v>113.6363636363636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11602</v>
      </c>
      <c r="AG4740" t="n">
        <v>2141</v>
      </c>
      <c r="AH4740" t="inlineStr">
        <is>
          <t>PT. PARAMA GLOBAL INSPIRA - PPN (JMB)</t>
        </is>
      </c>
      <c r="AI4740" t="n">
        <v>164</v>
      </c>
      <c r="AJ4740" t="inlineStr">
        <is>
          <t>WARDAH</t>
        </is>
      </c>
      <c r="AK4740" t="n">
        <v>9</v>
      </c>
      <c r="AL4740" t="inlineStr">
        <is>
          <t>Miss Glam Jambi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"8993137705875"</f>
        <v/>
      </c>
      <c r="C4741" t="inlineStr">
        <is>
          <t>WARDAH Exclusive Cushion 02 15 gr</t>
        </is>
      </c>
      <c r="D4741" t="inlineStr">
        <is>
          <t>Miss Glam Jambi</t>
        </is>
      </c>
      <c r="E4741" t="n">
        <v>11</v>
      </c>
      <c r="F4741" t="n">
        <v>0.0231</v>
      </c>
      <c r="G4741" t="n">
        <v>0.33</v>
      </c>
      <c r="H4741" t="n">
        <v>2</v>
      </c>
      <c r="I4741" t="n">
        <v>7</v>
      </c>
      <c r="J4741" t="n">
        <v>3</v>
      </c>
      <c r="K4741" t="n">
        <v>0</v>
      </c>
      <c r="L4741" t="n">
        <v>103301</v>
      </c>
      <c r="M4741" t="n">
        <v>141900</v>
      </c>
      <c r="N4741" t="n">
        <v>33</v>
      </c>
      <c r="O4741" t="n">
        <v>0.33</v>
      </c>
      <c r="P4741" t="n">
        <v>1</v>
      </c>
      <c r="Q4741" t="n">
        <v>0.02</v>
      </c>
      <c r="R4741" t="n">
        <v>1</v>
      </c>
      <c r="S4741" t="n">
        <v>3277.89</v>
      </c>
      <c r="T4741" t="n">
        <v>3</v>
      </c>
      <c r="U4741" t="n">
        <v>4</v>
      </c>
      <c r="V4741" t="n">
        <v>30</v>
      </c>
      <c r="W4741" t="n">
        <v>1</v>
      </c>
      <c r="X4741" t="n">
        <v>476.1904761904761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11602</v>
      </c>
      <c r="AG4741" t="n">
        <v>2141</v>
      </c>
      <c r="AH4741" t="inlineStr">
        <is>
          <t>PT. PARAMA GLOBAL INSPIRA - PPN (JMB)</t>
        </is>
      </c>
      <c r="AI4741" t="n">
        <v>164</v>
      </c>
      <c r="AJ4741" t="inlineStr">
        <is>
          <t>WARDAH</t>
        </is>
      </c>
      <c r="AK4741" t="n">
        <v>9</v>
      </c>
      <c r="AL4741" t="inlineStr">
        <is>
          <t>Miss Glam Jambi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"8993137705899"</f>
        <v/>
      </c>
      <c r="C4742" t="inlineStr">
        <is>
          <t>WARDAH Exclusive Cushion 04 15 gr</t>
        </is>
      </c>
      <c r="D4742" t="inlineStr">
        <is>
          <t>Miss Glam Jambi</t>
        </is>
      </c>
      <c r="E4742" t="n">
        <v>5</v>
      </c>
      <c r="F4742" t="n">
        <v>0.009900000000000001</v>
      </c>
      <c r="G4742" t="n">
        <v>0.33</v>
      </c>
      <c r="H4742" t="n">
        <v>2</v>
      </c>
      <c r="I4742" t="n">
        <v>7</v>
      </c>
      <c r="J4742" t="n">
        <v>3</v>
      </c>
      <c r="K4742" t="n">
        <v>0</v>
      </c>
      <c r="L4742" t="n">
        <v>111114</v>
      </c>
      <c r="M4742" t="n">
        <v>141900</v>
      </c>
      <c r="N4742" t="n">
        <v>33</v>
      </c>
      <c r="O4742" t="n">
        <v>0.33</v>
      </c>
      <c r="P4742" t="n">
        <v>1</v>
      </c>
      <c r="Q4742" t="n">
        <v>0.02</v>
      </c>
      <c r="R4742" t="n">
        <v>1</v>
      </c>
      <c r="S4742" t="n">
        <v>1404.81</v>
      </c>
      <c r="T4742" t="n">
        <v>3</v>
      </c>
      <c r="U4742" t="n">
        <v>4</v>
      </c>
      <c r="V4742" t="n">
        <v>30</v>
      </c>
      <c r="W4742" t="n">
        <v>1</v>
      </c>
      <c r="X4742" t="n">
        <v>505.050505050505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11602</v>
      </c>
      <c r="AG4742" t="n">
        <v>2141</v>
      </c>
      <c r="AH4742" t="inlineStr">
        <is>
          <t>PT. PARAMA GLOBAL INSPIRA - PPN (JMB)</t>
        </is>
      </c>
      <c r="AI4742" t="n">
        <v>164</v>
      </c>
      <c r="AJ4742" t="inlineStr">
        <is>
          <t>WARDAH</t>
        </is>
      </c>
      <c r="AK4742" t="n">
        <v>9</v>
      </c>
      <c r="AL4742" t="inlineStr">
        <is>
          <t>Miss Glam Jambi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"8993137706278"</f>
        <v/>
      </c>
      <c r="C4743" t="inlineStr">
        <is>
          <t>WARDAH Exclusive Flawless Cover Cushion (Refill) 03 Sandy Beige 15gr</t>
        </is>
      </c>
      <c r="D4743" t="inlineStr">
        <is>
          <t>Miss Glam Jambi</t>
        </is>
      </c>
      <c r="E4743" t="n">
        <v>6</v>
      </c>
      <c r="F4743" t="n">
        <v>0.0264</v>
      </c>
      <c r="G4743" t="n">
        <v>0.66</v>
      </c>
      <c r="H4743" t="n">
        <v>2</v>
      </c>
      <c r="I4743" t="n">
        <v>7</v>
      </c>
      <c r="J4743" t="n">
        <v>3</v>
      </c>
      <c r="K4743" t="n">
        <v>0</v>
      </c>
      <c r="L4743" t="n">
        <v>77396</v>
      </c>
      <c r="M4743" t="n">
        <v>101000</v>
      </c>
      <c r="N4743" t="n">
        <v>33</v>
      </c>
      <c r="O4743" t="n">
        <v>0.33</v>
      </c>
      <c r="P4743" t="n">
        <v>1</v>
      </c>
      <c r="Q4743" t="n">
        <v>0.02</v>
      </c>
      <c r="R4743" t="n">
        <v>1</v>
      </c>
      <c r="S4743" t="n">
        <v>2666.400000000001</v>
      </c>
      <c r="T4743" t="n">
        <v>5</v>
      </c>
      <c r="U4743" t="n">
        <v>6</v>
      </c>
      <c r="V4743" t="n">
        <v>30</v>
      </c>
      <c r="W4743" t="n">
        <v>1</v>
      </c>
      <c r="X4743" t="n">
        <v>227.2727272727273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11602</v>
      </c>
      <c r="AG4743" t="n">
        <v>2141</v>
      </c>
      <c r="AH4743" t="inlineStr">
        <is>
          <t>PT. PARAMA GLOBAL INSPIRA - PPN (JMB)</t>
        </is>
      </c>
      <c r="AI4743" t="n">
        <v>164</v>
      </c>
      <c r="AJ4743" t="inlineStr">
        <is>
          <t>WARDAH</t>
        </is>
      </c>
      <c r="AK4743" t="n">
        <v>9</v>
      </c>
      <c r="AL4743" t="inlineStr">
        <is>
          <t>Miss Glam Jambi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"8993137707770"</f>
        <v/>
      </c>
      <c r="C4744" t="inlineStr">
        <is>
          <t>WARDAH Exclusive Glowing Highlighter 6.5gr</t>
        </is>
      </c>
      <c r="D4744" t="inlineStr">
        <is>
          <t>Miss Glam Jambi</t>
        </is>
      </c>
      <c r="E4744" t="n">
        <v>6</v>
      </c>
      <c r="F4744" t="n">
        <v>0.006600000000000001</v>
      </c>
      <c r="G4744" t="n">
        <v>0.33</v>
      </c>
      <c r="H4744" t="n">
        <v>2</v>
      </c>
      <c r="I4744" t="n">
        <v>7</v>
      </c>
      <c r="J4744" t="n">
        <v>3</v>
      </c>
      <c r="K4744" t="n">
        <v>0</v>
      </c>
      <c r="L4744" t="n">
        <v>52875</v>
      </c>
      <c r="M4744" t="n">
        <v>63000</v>
      </c>
      <c r="N4744" t="n">
        <v>33</v>
      </c>
      <c r="O4744" t="n">
        <v>0.33</v>
      </c>
      <c r="P4744" t="n">
        <v>1</v>
      </c>
      <c r="Q4744" t="n">
        <v>0.03</v>
      </c>
      <c r="R4744" t="n">
        <v>1</v>
      </c>
      <c r="S4744" t="n">
        <v>415.8000000000001</v>
      </c>
      <c r="T4744" t="n">
        <v>3</v>
      </c>
      <c r="U4744" t="n">
        <v>4</v>
      </c>
      <c r="V4744" t="n">
        <v>30</v>
      </c>
      <c r="W4744" t="n">
        <v>1</v>
      </c>
      <c r="X4744" t="n">
        <v>909.090909090909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11602</v>
      </c>
      <c r="AG4744" t="n">
        <v>2141</v>
      </c>
      <c r="AH4744" t="inlineStr">
        <is>
          <t>PT. PARAMA GLOBAL INSPIRA - PPN (JMB)</t>
        </is>
      </c>
      <c r="AI4744" t="n">
        <v>164</v>
      </c>
      <c r="AJ4744" t="inlineStr">
        <is>
          <t>WARDAH</t>
        </is>
      </c>
      <c r="AK4744" t="n">
        <v>9</v>
      </c>
      <c r="AL4744" t="inlineStr">
        <is>
          <t>Miss Glam Jambi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"8993137693769"</f>
        <v/>
      </c>
      <c r="C4745" t="inlineStr">
        <is>
          <t>WARDAH Exclusive Lip Matte Cream 01 Red-dicted 4 gr</t>
        </is>
      </c>
      <c r="D4745" t="inlineStr">
        <is>
          <t>Miss Glam Jambi</t>
        </is>
      </c>
      <c r="E4745" t="n">
        <v>3</v>
      </c>
      <c r="F4745" t="n">
        <v>0.1617</v>
      </c>
      <c r="G4745" t="n">
        <v>0.99</v>
      </c>
      <c r="H4745" t="n">
        <v>2</v>
      </c>
      <c r="I4745" t="n">
        <v>7</v>
      </c>
      <c r="J4745" t="n">
        <v>3</v>
      </c>
      <c r="K4745" t="n">
        <v>3</v>
      </c>
      <c r="L4745" t="n">
        <v>50896</v>
      </c>
      <c r="M4745" t="n">
        <v>60000</v>
      </c>
      <c r="N4745" t="n">
        <v>33</v>
      </c>
      <c r="O4745" t="n">
        <v>0.33</v>
      </c>
      <c r="P4745" t="n">
        <v>1</v>
      </c>
      <c r="Q4745" t="n">
        <v>0.07000000000000001</v>
      </c>
      <c r="R4745" t="n">
        <v>1</v>
      </c>
      <c r="S4745" t="n">
        <v>9702</v>
      </c>
      <c r="T4745" t="n">
        <v>7</v>
      </c>
      <c r="U4745" t="n">
        <v>8</v>
      </c>
      <c r="V4745" t="n">
        <v>30</v>
      </c>
      <c r="W4745" t="n">
        <v>5</v>
      </c>
      <c r="X4745" t="n">
        <v>18.55287569573284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11602</v>
      </c>
      <c r="AG4745" t="n">
        <v>2141</v>
      </c>
      <c r="AH4745" t="inlineStr">
        <is>
          <t>PT. PARAMA GLOBAL INSPIRA - PPN (JMB)</t>
        </is>
      </c>
      <c r="AI4745" t="n">
        <v>164</v>
      </c>
      <c r="AJ4745" t="inlineStr">
        <is>
          <t>WARDAH</t>
        </is>
      </c>
      <c r="AK4745" t="n">
        <v>9</v>
      </c>
      <c r="AL4745" t="inlineStr">
        <is>
          <t>Miss Glam Jambi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"8993137678865"</f>
        <v/>
      </c>
      <c r="C4746" t="inlineStr">
        <is>
          <t>WARDAH Exclusive Liquid Foundation 02 Sheer Pink 20ml</t>
        </is>
      </c>
      <c r="D4746" t="inlineStr">
        <is>
          <t>Miss Glam Jambi</t>
        </is>
      </c>
      <c r="E4746" t="n">
        <v>5</v>
      </c>
      <c r="F4746" t="n">
        <v>0.0561</v>
      </c>
      <c r="G4746" t="n">
        <v>0.66</v>
      </c>
      <c r="H4746" t="n">
        <v>2</v>
      </c>
      <c r="I4746" t="n">
        <v>7</v>
      </c>
      <c r="J4746" t="n">
        <v>3</v>
      </c>
      <c r="K4746" t="n">
        <v>0</v>
      </c>
      <c r="L4746" t="n">
        <v>66285</v>
      </c>
      <c r="M4746" t="n">
        <v>79000</v>
      </c>
      <c r="N4746" t="n">
        <v>33</v>
      </c>
      <c r="O4746" t="n">
        <v>0.33</v>
      </c>
      <c r="P4746" t="n">
        <v>1</v>
      </c>
      <c r="Q4746" t="n">
        <v>0.02</v>
      </c>
      <c r="R4746" t="n">
        <v>1</v>
      </c>
      <c r="S4746" t="n">
        <v>4431.900000000001</v>
      </c>
      <c r="T4746" t="n">
        <v>5</v>
      </c>
      <c r="U4746" t="n">
        <v>6</v>
      </c>
      <c r="V4746" t="n">
        <v>30</v>
      </c>
      <c r="W4746" t="n">
        <v>2</v>
      </c>
      <c r="X4746" t="n">
        <v>89.12655971479501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11602</v>
      </c>
      <c r="AG4746" t="n">
        <v>2141</v>
      </c>
      <c r="AH4746" t="inlineStr">
        <is>
          <t>PT. PARAMA GLOBAL INSPIRA - PPN (JMB)</t>
        </is>
      </c>
      <c r="AI4746" t="n">
        <v>164</v>
      </c>
      <c r="AJ4746" t="inlineStr">
        <is>
          <t>WARDAH</t>
        </is>
      </c>
      <c r="AK4746" t="n">
        <v>9</v>
      </c>
      <c r="AL4746" t="inlineStr">
        <is>
          <t>Miss Glam Jambi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"8993137678872"</f>
        <v/>
      </c>
      <c r="C4747" t="inlineStr">
        <is>
          <t>WARDAH Exclusive Liquid Foundation 03 Sandy Beige 20ml</t>
        </is>
      </c>
      <c r="D4747" t="inlineStr">
        <is>
          <t>Miss Glam Jambi</t>
        </is>
      </c>
      <c r="E4747" t="n">
        <v>2</v>
      </c>
      <c r="F4747" t="n">
        <v>0.066</v>
      </c>
      <c r="G4747" t="n">
        <v>0.33</v>
      </c>
      <c r="H4747" t="n">
        <v>2</v>
      </c>
      <c r="I4747" t="n">
        <v>7</v>
      </c>
      <c r="J4747" t="n">
        <v>3</v>
      </c>
      <c r="K4747" t="n">
        <v>0</v>
      </c>
      <c r="L4747" t="n">
        <v>66285</v>
      </c>
      <c r="M4747" t="n">
        <v>79000</v>
      </c>
      <c r="N4747" t="n">
        <v>33</v>
      </c>
      <c r="O4747" t="n">
        <v>0.33</v>
      </c>
      <c r="P4747" t="n">
        <v>1</v>
      </c>
      <c r="Q4747" t="n">
        <v>0.03</v>
      </c>
      <c r="R4747" t="n">
        <v>1</v>
      </c>
      <c r="S4747" t="n">
        <v>5214</v>
      </c>
      <c r="T4747" t="n">
        <v>3</v>
      </c>
      <c r="U4747" t="n">
        <v>4</v>
      </c>
      <c r="V4747" t="n">
        <v>30</v>
      </c>
      <c r="W4747" t="n">
        <v>2</v>
      </c>
      <c r="X4747" t="n">
        <v>30.3030303030303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11602</v>
      </c>
      <c r="AG4747" t="n">
        <v>2141</v>
      </c>
      <c r="AH4747" t="inlineStr">
        <is>
          <t>PT. PARAMA GLOBAL INSPIRA - PPN (JMB)</t>
        </is>
      </c>
      <c r="AI4747" t="n">
        <v>164</v>
      </c>
      <c r="AJ4747" t="inlineStr">
        <is>
          <t>WARDAH</t>
        </is>
      </c>
      <c r="AK4747" t="n">
        <v>9</v>
      </c>
      <c r="AL4747" t="inlineStr">
        <is>
          <t>Miss Glam Jambi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"8993137693783"</f>
        <v/>
      </c>
      <c r="C4748" t="inlineStr">
        <is>
          <t>WARDAH Exclusive Matte Lip Cream 03 See You Latte 4gr</t>
        </is>
      </c>
      <c r="D4748" t="inlineStr">
        <is>
          <t>Miss Glam Jambi</t>
        </is>
      </c>
      <c r="E4748" t="n">
        <v>3</v>
      </c>
      <c r="F4748" t="n">
        <v>0.09569999999999999</v>
      </c>
      <c r="G4748" t="n">
        <v>0.99</v>
      </c>
      <c r="H4748" t="n">
        <v>2</v>
      </c>
      <c r="I4748" t="n">
        <v>7</v>
      </c>
      <c r="J4748" t="n">
        <v>3</v>
      </c>
      <c r="K4748" t="n">
        <v>0</v>
      </c>
      <c r="L4748" t="n">
        <v>50959</v>
      </c>
      <c r="M4748" t="n">
        <v>60000</v>
      </c>
      <c r="N4748" t="n">
        <v>33</v>
      </c>
      <c r="O4748" t="n">
        <v>0.33</v>
      </c>
      <c r="P4748" t="n">
        <v>1</v>
      </c>
      <c r="Q4748" t="n">
        <v>0.07000000000000001</v>
      </c>
      <c r="R4748" t="n">
        <v>1</v>
      </c>
      <c r="S4748" t="n">
        <v>5742</v>
      </c>
      <c r="T4748" t="n">
        <v>7</v>
      </c>
      <c r="U4748" t="n">
        <v>8</v>
      </c>
      <c r="V4748" t="n">
        <v>30</v>
      </c>
      <c r="W4748" t="n">
        <v>3</v>
      </c>
      <c r="X4748" t="n">
        <v>31.34796238244514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11602</v>
      </c>
      <c r="AG4748" t="n">
        <v>2141</v>
      </c>
      <c r="AH4748" t="inlineStr">
        <is>
          <t>PT. PARAMA GLOBAL INSPIRA - PPN (JMB)</t>
        </is>
      </c>
      <c r="AI4748" t="n">
        <v>164</v>
      </c>
      <c r="AJ4748" t="inlineStr">
        <is>
          <t>WARDAH</t>
        </is>
      </c>
      <c r="AK4748" t="n">
        <v>9</v>
      </c>
      <c r="AL4748" t="inlineStr">
        <is>
          <t>Miss Glam Jambi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"8993137693806"</f>
        <v/>
      </c>
      <c r="C4749" t="inlineStr">
        <is>
          <t>WARDAH Exclusive Matte lip Cream 05 Speachless 4gr</t>
        </is>
      </c>
      <c r="D4749" t="inlineStr">
        <is>
          <t>Miss Glam Jambi</t>
        </is>
      </c>
      <c r="E4749" t="n">
        <v>5</v>
      </c>
      <c r="F4749" t="n">
        <v>0.0495</v>
      </c>
      <c r="G4749" t="n">
        <v>0.66</v>
      </c>
      <c r="H4749" t="n">
        <v>2</v>
      </c>
      <c r="I4749" t="n">
        <v>7</v>
      </c>
      <c r="J4749" t="n">
        <v>3</v>
      </c>
      <c r="K4749" t="n">
        <v>0</v>
      </c>
      <c r="L4749" t="n">
        <v>50696</v>
      </c>
      <c r="M4749" t="n">
        <v>59500</v>
      </c>
      <c r="N4749" t="n">
        <v>33</v>
      </c>
      <c r="O4749" t="n">
        <v>0.33</v>
      </c>
      <c r="P4749" t="n">
        <v>1</v>
      </c>
      <c r="Q4749" t="n">
        <v>0.1</v>
      </c>
      <c r="R4749" t="n">
        <v>1</v>
      </c>
      <c r="S4749" t="n">
        <v>2945.25</v>
      </c>
      <c r="T4749" t="n">
        <v>5</v>
      </c>
      <c r="U4749" t="n">
        <v>6</v>
      </c>
      <c r="V4749" t="n">
        <v>30</v>
      </c>
      <c r="W4749" t="n">
        <v>2</v>
      </c>
      <c r="X4749" t="n">
        <v>101.010101010101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11602</v>
      </c>
      <c r="AG4749" t="n">
        <v>2141</v>
      </c>
      <c r="AH4749" t="inlineStr">
        <is>
          <t>PT. PARAMA GLOBAL INSPIRA - PPN (JMB)</t>
        </is>
      </c>
      <c r="AI4749" t="n">
        <v>164</v>
      </c>
      <c r="AJ4749" t="inlineStr">
        <is>
          <t>WARDAH</t>
        </is>
      </c>
      <c r="AK4749" t="n">
        <v>9</v>
      </c>
      <c r="AL4749" t="inlineStr">
        <is>
          <t>Miss Glam Jambi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"8993137694452"</f>
        <v/>
      </c>
      <c r="C4750" t="inlineStr">
        <is>
          <t>WARDAH Exclusive Matte Lip Cream 07 Hello Ruby 4gr</t>
        </is>
      </c>
      <c r="D4750" t="inlineStr">
        <is>
          <t>Miss Glam Jambi</t>
        </is>
      </c>
      <c r="E4750" t="n">
        <v>6</v>
      </c>
      <c r="F4750" t="n">
        <v>0.1452</v>
      </c>
      <c r="G4750" t="n">
        <v>1.32</v>
      </c>
      <c r="H4750" t="n">
        <v>2</v>
      </c>
      <c r="I4750" t="n">
        <v>7</v>
      </c>
      <c r="J4750" t="n">
        <v>3</v>
      </c>
      <c r="K4750" t="n">
        <v>0</v>
      </c>
      <c r="L4750" t="n">
        <v>50959</v>
      </c>
      <c r="M4750" t="n">
        <v>62000</v>
      </c>
      <c r="N4750" t="n">
        <v>33</v>
      </c>
      <c r="O4750" t="n">
        <v>0.33</v>
      </c>
      <c r="P4750" t="n">
        <v>1</v>
      </c>
      <c r="Q4750" t="n">
        <v>0.22</v>
      </c>
      <c r="R4750" t="n">
        <v>2</v>
      </c>
      <c r="S4750" t="n">
        <v>9002.4</v>
      </c>
      <c r="T4750" t="n">
        <v>9</v>
      </c>
      <c r="U4750" t="n">
        <v>10</v>
      </c>
      <c r="V4750" t="n">
        <v>30</v>
      </c>
      <c r="W4750" t="n">
        <v>5</v>
      </c>
      <c r="X4750" t="n">
        <v>41.32231404958678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11602</v>
      </c>
      <c r="AG4750" t="n">
        <v>2141</v>
      </c>
      <c r="AH4750" t="inlineStr">
        <is>
          <t>PT. PARAMA GLOBAL INSPIRA - PPN (JMB)</t>
        </is>
      </c>
      <c r="AI4750" t="n">
        <v>164</v>
      </c>
      <c r="AJ4750" t="inlineStr">
        <is>
          <t>WARDAH</t>
        </is>
      </c>
      <c r="AK4750" t="n">
        <v>9</v>
      </c>
      <c r="AL4750" t="inlineStr">
        <is>
          <t>Miss Glam Jambi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"8993137694469"</f>
        <v/>
      </c>
      <c r="C4751" t="inlineStr">
        <is>
          <t>WARDAH Exclusive Matte Lip Cream 08 Pinkcreadi 4g</t>
        </is>
      </c>
      <c r="D4751" t="inlineStr">
        <is>
          <t>Miss Glam Jambi</t>
        </is>
      </c>
      <c r="E4751" t="n">
        <v>5</v>
      </c>
      <c r="F4751" t="n">
        <v>0.2112</v>
      </c>
      <c r="G4751" t="n">
        <v>0.99</v>
      </c>
      <c r="H4751" t="n">
        <v>2</v>
      </c>
      <c r="I4751" t="n">
        <v>7</v>
      </c>
      <c r="J4751" t="n">
        <v>3</v>
      </c>
      <c r="K4751" t="n">
        <v>3</v>
      </c>
      <c r="L4751" t="n">
        <v>50959</v>
      </c>
      <c r="M4751" t="n">
        <v>59500</v>
      </c>
      <c r="N4751" t="n">
        <v>33</v>
      </c>
      <c r="O4751" t="n">
        <v>0.33</v>
      </c>
      <c r="P4751" t="n">
        <v>1</v>
      </c>
      <c r="Q4751" t="n">
        <v>0.15</v>
      </c>
      <c r="R4751" t="n">
        <v>2</v>
      </c>
      <c r="S4751" t="n">
        <v>12566.4</v>
      </c>
      <c r="T4751" t="n">
        <v>7</v>
      </c>
      <c r="U4751" t="n">
        <v>8</v>
      </c>
      <c r="V4751" t="n">
        <v>30</v>
      </c>
      <c r="W4751" t="n">
        <v>7</v>
      </c>
      <c r="X4751" t="n">
        <v>23.67424242424242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11602</v>
      </c>
      <c r="AG4751" t="n">
        <v>2141</v>
      </c>
      <c r="AH4751" t="inlineStr">
        <is>
          <t>PT. PARAMA GLOBAL INSPIRA - PPN (JMB)</t>
        </is>
      </c>
      <c r="AI4751" t="n">
        <v>164</v>
      </c>
      <c r="AJ4751" t="inlineStr">
        <is>
          <t>WARDAH</t>
        </is>
      </c>
      <c r="AK4751" t="n">
        <v>9</v>
      </c>
      <c r="AL4751" t="inlineStr">
        <is>
          <t>Miss Glam Jambi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"8993137694476"</f>
        <v/>
      </c>
      <c r="C4752" t="inlineStr">
        <is>
          <t>WARDAH Exclusive Matte Lip Cream 09 Mauve On 4gr</t>
        </is>
      </c>
      <c r="D4752" t="inlineStr">
        <is>
          <t>Miss Glam Jambi</t>
        </is>
      </c>
      <c r="E4752" t="n">
        <v>8</v>
      </c>
      <c r="F4752" t="n">
        <v>0.07920000000000001</v>
      </c>
      <c r="G4752" t="n">
        <v>0.66</v>
      </c>
      <c r="H4752" t="n">
        <v>2</v>
      </c>
      <c r="I4752" t="n">
        <v>7</v>
      </c>
      <c r="J4752" t="n">
        <v>3</v>
      </c>
      <c r="K4752" t="n">
        <v>0</v>
      </c>
      <c r="L4752" t="n">
        <v>50958</v>
      </c>
      <c r="M4752" t="n">
        <v>62000</v>
      </c>
      <c r="N4752" t="n">
        <v>33</v>
      </c>
      <c r="O4752" t="n">
        <v>0.33</v>
      </c>
      <c r="P4752" t="n">
        <v>1</v>
      </c>
      <c r="Q4752" t="n">
        <v>0.08</v>
      </c>
      <c r="R4752" t="n">
        <v>2</v>
      </c>
      <c r="S4752" t="n">
        <v>4910.400000000001</v>
      </c>
      <c r="T4752" t="n">
        <v>5</v>
      </c>
      <c r="U4752" t="n">
        <v>6</v>
      </c>
      <c r="V4752" t="n">
        <v>30</v>
      </c>
      <c r="W4752" t="n">
        <v>3</v>
      </c>
      <c r="X4752" t="n">
        <v>101.010101010101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11602</v>
      </c>
      <c r="AG4752" t="n">
        <v>2141</v>
      </c>
      <c r="AH4752" t="inlineStr">
        <is>
          <t>PT. PARAMA GLOBAL INSPIRA - PPN (JMB)</t>
        </is>
      </c>
      <c r="AI4752" t="n">
        <v>164</v>
      </c>
      <c r="AJ4752" t="inlineStr">
        <is>
          <t>WARDAH</t>
        </is>
      </c>
      <c r="AK4752" t="n">
        <v>9</v>
      </c>
      <c r="AL4752" t="inlineStr">
        <is>
          <t>Miss Glam Jambi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"8993137694506"</f>
        <v/>
      </c>
      <c r="C4753" t="inlineStr">
        <is>
          <t>WARDAH Exclusive Matte Lip Cream 12 Plum It Up 4g</t>
        </is>
      </c>
      <c r="D4753" t="inlineStr">
        <is>
          <t>Miss Glam Jambi</t>
        </is>
      </c>
      <c r="E4753" t="n">
        <v>3</v>
      </c>
      <c r="F4753" t="n">
        <v>0.1551</v>
      </c>
      <c r="G4753" t="n">
        <v>0.99</v>
      </c>
      <c r="H4753" t="n">
        <v>2</v>
      </c>
      <c r="I4753" t="n">
        <v>7</v>
      </c>
      <c r="J4753" t="n">
        <v>3</v>
      </c>
      <c r="K4753" t="n">
        <v>3</v>
      </c>
      <c r="L4753" t="n">
        <v>50896</v>
      </c>
      <c r="M4753" t="n">
        <v>60000</v>
      </c>
      <c r="N4753" t="n">
        <v>33</v>
      </c>
      <c r="O4753" t="n">
        <v>0.33</v>
      </c>
      <c r="P4753" t="n">
        <v>1</v>
      </c>
      <c r="Q4753" t="n">
        <v>0.07000000000000001</v>
      </c>
      <c r="R4753" t="n">
        <v>1</v>
      </c>
      <c r="S4753" t="n">
        <v>9306</v>
      </c>
      <c r="T4753" t="n">
        <v>7</v>
      </c>
      <c r="U4753" t="n">
        <v>8</v>
      </c>
      <c r="V4753" t="n">
        <v>30</v>
      </c>
      <c r="W4753" t="n">
        <v>5</v>
      </c>
      <c r="X4753" t="n">
        <v>19.34235976789168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11602</v>
      </c>
      <c r="AG4753" t="n">
        <v>2141</v>
      </c>
      <c r="AH4753" t="inlineStr">
        <is>
          <t>PT. PARAMA GLOBAL INSPIRA - PPN (JMB)</t>
        </is>
      </c>
      <c r="AI4753" t="n">
        <v>164</v>
      </c>
      <c r="AJ4753" t="inlineStr">
        <is>
          <t>WARDAH</t>
        </is>
      </c>
      <c r="AK4753" t="n">
        <v>9</v>
      </c>
      <c r="AL4753" t="inlineStr">
        <is>
          <t>Miss Glam Jambi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"8993137697194"</f>
        <v/>
      </c>
      <c r="C4754" t="inlineStr">
        <is>
          <t>WARDAH Exclusive Matte Lip Cream 13 Fruit Punch 4gr</t>
        </is>
      </c>
      <c r="D4754" t="inlineStr">
        <is>
          <t>Miss Glam Jambi</t>
        </is>
      </c>
      <c r="E4754" t="n">
        <v>7</v>
      </c>
      <c r="F4754" t="n">
        <v>0.1221</v>
      </c>
      <c r="G4754" t="n">
        <v>0.99</v>
      </c>
      <c r="H4754" t="n">
        <v>2</v>
      </c>
      <c r="I4754" t="n">
        <v>7</v>
      </c>
      <c r="J4754" t="n">
        <v>3</v>
      </c>
      <c r="K4754" t="n">
        <v>0</v>
      </c>
      <c r="L4754" t="n">
        <v>50958</v>
      </c>
      <c r="M4754" t="n">
        <v>62000</v>
      </c>
      <c r="N4754" t="n">
        <v>33</v>
      </c>
      <c r="O4754" t="n">
        <v>0.33</v>
      </c>
      <c r="P4754" t="n">
        <v>1</v>
      </c>
      <c r="Q4754" t="n">
        <v>0.12</v>
      </c>
      <c r="R4754" t="n">
        <v>1</v>
      </c>
      <c r="S4754" t="n">
        <v>7570.2</v>
      </c>
      <c r="T4754" t="n">
        <v>7</v>
      </c>
      <c r="U4754" t="n">
        <v>8</v>
      </c>
      <c r="V4754" t="n">
        <v>30</v>
      </c>
      <c r="W4754" t="n">
        <v>4</v>
      </c>
      <c r="X4754" t="n">
        <v>57.33005733005733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11602</v>
      </c>
      <c r="AG4754" t="n">
        <v>2141</v>
      </c>
      <c r="AH4754" t="inlineStr">
        <is>
          <t>PT. PARAMA GLOBAL INSPIRA - PPN (JMB)</t>
        </is>
      </c>
      <c r="AI4754" t="n">
        <v>164</v>
      </c>
      <c r="AJ4754" t="inlineStr">
        <is>
          <t>WARDAH</t>
        </is>
      </c>
      <c r="AK4754" t="n">
        <v>9</v>
      </c>
      <c r="AL4754" t="inlineStr">
        <is>
          <t>Miss Glam Jambi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"8993137732796"</f>
        <v/>
      </c>
      <c r="C4755" t="inlineStr">
        <is>
          <t>WARDAH Exclusive Matte Lip Cream 19 Have A Blush 4gr</t>
        </is>
      </c>
      <c r="D4755" t="inlineStr">
        <is>
          <t>Miss Glam Jambi</t>
        </is>
      </c>
      <c r="E4755" t="n">
        <v>2</v>
      </c>
      <c r="F4755" t="n">
        <v>0.08910000000000001</v>
      </c>
      <c r="G4755" t="n">
        <v>0.66</v>
      </c>
      <c r="H4755" t="n">
        <v>2</v>
      </c>
      <c r="I4755" t="n">
        <v>7</v>
      </c>
      <c r="J4755" t="n">
        <v>3</v>
      </c>
      <c r="K4755" t="n">
        <v>3</v>
      </c>
      <c r="L4755" t="n">
        <v>50946</v>
      </c>
      <c r="M4755" t="n">
        <v>62000</v>
      </c>
      <c r="N4755" t="n">
        <v>33</v>
      </c>
      <c r="O4755" t="n">
        <v>0.33</v>
      </c>
      <c r="P4755" t="n">
        <v>1</v>
      </c>
      <c r="Q4755" t="n">
        <v>0.12</v>
      </c>
      <c r="R4755" t="n">
        <v>2</v>
      </c>
      <c r="S4755" t="n">
        <v>5524.200000000001</v>
      </c>
      <c r="T4755" t="n">
        <v>5</v>
      </c>
      <c r="U4755" t="n">
        <v>6</v>
      </c>
      <c r="V4755" t="n">
        <v>30</v>
      </c>
      <c r="W4755" t="n">
        <v>3</v>
      </c>
      <c r="X4755" t="n">
        <v>22.44668911335578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11602</v>
      </c>
      <c r="AG4755" t="n">
        <v>2141</v>
      </c>
      <c r="AH4755" t="inlineStr">
        <is>
          <t>PT. PARAMA GLOBAL INSPIRA - PPN (JMB)</t>
        </is>
      </c>
      <c r="AI4755" t="n">
        <v>164</v>
      </c>
      <c r="AJ4755" t="inlineStr">
        <is>
          <t>WARDAH</t>
        </is>
      </c>
      <c r="AK4755" t="n">
        <v>9</v>
      </c>
      <c r="AL4755" t="inlineStr">
        <is>
          <t>Miss Glam Jambi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"8993137732802"</f>
        <v/>
      </c>
      <c r="C4756" t="inlineStr">
        <is>
          <t>WARDAH Exclusive Matte Lip Cream 20 Peach Of Mind 4g</t>
        </is>
      </c>
      <c r="D4756" t="inlineStr">
        <is>
          <t>Miss Glam Jambi</t>
        </is>
      </c>
      <c r="E4756" t="n">
        <v>10</v>
      </c>
      <c r="F4756" t="n">
        <v>0.264</v>
      </c>
      <c r="G4756" t="n">
        <v>1.32</v>
      </c>
      <c r="H4756" t="n">
        <v>2</v>
      </c>
      <c r="I4756" t="n">
        <v>7</v>
      </c>
      <c r="J4756" t="n">
        <v>3</v>
      </c>
      <c r="K4756" t="n">
        <v>0</v>
      </c>
      <c r="L4756" t="n">
        <v>50958</v>
      </c>
      <c r="M4756" t="n">
        <v>59500</v>
      </c>
      <c r="N4756" t="n">
        <v>33</v>
      </c>
      <c r="O4756" t="n">
        <v>0.33</v>
      </c>
      <c r="P4756" t="n">
        <v>1</v>
      </c>
      <c r="Q4756" t="n">
        <v>0.31</v>
      </c>
      <c r="R4756" t="n">
        <v>2</v>
      </c>
      <c r="S4756" t="n">
        <v>15708</v>
      </c>
      <c r="T4756" t="n">
        <v>9</v>
      </c>
      <c r="U4756" t="n">
        <v>10</v>
      </c>
      <c r="V4756" t="n">
        <v>30</v>
      </c>
      <c r="W4756" t="n">
        <v>8</v>
      </c>
      <c r="X4756" t="n">
        <v>37.87878787878788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11602</v>
      </c>
      <c r="AG4756" t="n">
        <v>2141</v>
      </c>
      <c r="AH4756" t="inlineStr">
        <is>
          <t>PT. PARAMA GLOBAL INSPIRA - PPN (JMB)</t>
        </is>
      </c>
      <c r="AI4756" t="n">
        <v>164</v>
      </c>
      <c r="AJ4756" t="inlineStr">
        <is>
          <t>WARDAH</t>
        </is>
      </c>
      <c r="AK4756" t="n">
        <v>9</v>
      </c>
      <c r="AL4756" t="inlineStr">
        <is>
          <t>Miss Glam Jambi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"8993137732819"</f>
        <v/>
      </c>
      <c r="C4757" t="inlineStr">
        <is>
          <t>WARDAH Exclusive Matte Lip Cream 21 Creampuccino 4gr</t>
        </is>
      </c>
      <c r="D4757" t="inlineStr">
        <is>
          <t>Miss Glam Jambi</t>
        </is>
      </c>
      <c r="E4757" t="n">
        <v>2</v>
      </c>
      <c r="F4757" t="n">
        <v>0.006600000000000001</v>
      </c>
      <c r="G4757" t="n">
        <v>0.33</v>
      </c>
      <c r="H4757" t="n">
        <v>2</v>
      </c>
      <c r="I4757" t="n">
        <v>7</v>
      </c>
      <c r="J4757" t="n">
        <v>3</v>
      </c>
      <c r="K4757" t="n">
        <v>0</v>
      </c>
      <c r="L4757" t="n">
        <v>47683</v>
      </c>
      <c r="M4757" t="n">
        <v>59500</v>
      </c>
      <c r="N4757" t="n">
        <v>33</v>
      </c>
      <c r="O4757" t="n">
        <v>0.33</v>
      </c>
      <c r="P4757" t="n">
        <v>1</v>
      </c>
      <c r="Q4757" t="n">
        <v>0.02</v>
      </c>
      <c r="R4757" t="n">
        <v>1</v>
      </c>
      <c r="S4757" t="n">
        <v>392.7</v>
      </c>
      <c r="T4757" t="n">
        <v>3</v>
      </c>
      <c r="U4757" t="n">
        <v>4</v>
      </c>
      <c r="V4757" t="n">
        <v>30</v>
      </c>
      <c r="W4757" t="n">
        <v>1</v>
      </c>
      <c r="X4757" t="n">
        <v>303.030303030303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11602</v>
      </c>
      <c r="AG4757" t="n">
        <v>2141</v>
      </c>
      <c r="AH4757" t="inlineStr">
        <is>
          <t>PT. PARAMA GLOBAL INSPIRA - PPN (JMB)</t>
        </is>
      </c>
      <c r="AI4757" t="n">
        <v>164</v>
      </c>
      <c r="AJ4757" t="inlineStr">
        <is>
          <t>WARDAH</t>
        </is>
      </c>
      <c r="AK4757" t="n">
        <v>9</v>
      </c>
      <c r="AL4757" t="inlineStr">
        <is>
          <t>Miss Glam Jambi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"8993137732826"</f>
        <v/>
      </c>
      <c r="C4758" t="inlineStr">
        <is>
          <t>WARDAH Exclusive Matte Lip cream 22 Rouge Velvet</t>
        </is>
      </c>
      <c r="D4758" t="inlineStr">
        <is>
          <t>Miss Glam Jambi</t>
        </is>
      </c>
      <c r="E4758" t="n">
        <v>7</v>
      </c>
      <c r="F4758" t="n">
        <v>0.1056</v>
      </c>
      <c r="G4758" t="n">
        <v>0.66</v>
      </c>
      <c r="H4758" t="n">
        <v>2</v>
      </c>
      <c r="I4758" t="n">
        <v>7</v>
      </c>
      <c r="J4758" t="n">
        <v>3</v>
      </c>
      <c r="K4758" t="n">
        <v>0</v>
      </c>
      <c r="L4758" t="n">
        <v>50959</v>
      </c>
      <c r="M4758" t="n">
        <v>60000</v>
      </c>
      <c r="N4758" t="n">
        <v>33</v>
      </c>
      <c r="O4758" t="n">
        <v>0.33</v>
      </c>
      <c r="P4758" t="n">
        <v>1</v>
      </c>
      <c r="Q4758" t="n">
        <v>0.24</v>
      </c>
      <c r="R4758" t="n">
        <v>2</v>
      </c>
      <c r="S4758" t="n">
        <v>6336.000000000001</v>
      </c>
      <c r="T4758" t="n">
        <v>5</v>
      </c>
      <c r="U4758" t="n">
        <v>6</v>
      </c>
      <c r="V4758" t="n">
        <v>30</v>
      </c>
      <c r="W4758" t="n">
        <v>4</v>
      </c>
      <c r="X4758" t="n">
        <v>66.28787878787878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11602</v>
      </c>
      <c r="AG4758" t="n">
        <v>2141</v>
      </c>
      <c r="AH4758" t="inlineStr">
        <is>
          <t>PT. PARAMA GLOBAL INSPIRA - PPN (JMB)</t>
        </is>
      </c>
      <c r="AI4758" t="n">
        <v>164</v>
      </c>
      <c r="AJ4758" t="inlineStr">
        <is>
          <t>WARDAH</t>
        </is>
      </c>
      <c r="AK4758" t="n">
        <v>9</v>
      </c>
      <c r="AL4758" t="inlineStr">
        <is>
          <t>Miss Glam Jambi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"8993137732833"</f>
        <v/>
      </c>
      <c r="C4759" t="inlineStr">
        <is>
          <t>WARDAH Exclusive Matte Lip Cream 23 Rose and  Shine 4gr</t>
        </is>
      </c>
      <c r="D4759" t="inlineStr">
        <is>
          <t>Miss Glam Jambi</t>
        </is>
      </c>
      <c r="E4759" t="n">
        <v>5</v>
      </c>
      <c r="F4759" t="n">
        <v>0.1386</v>
      </c>
      <c r="G4759" t="n">
        <v>0.99</v>
      </c>
      <c r="H4759" t="n">
        <v>2</v>
      </c>
      <c r="I4759" t="n">
        <v>7</v>
      </c>
      <c r="J4759" t="n">
        <v>3</v>
      </c>
      <c r="K4759" t="n">
        <v>0</v>
      </c>
      <c r="L4759" t="n">
        <v>50959</v>
      </c>
      <c r="M4759" t="n">
        <v>60000</v>
      </c>
      <c r="N4759" t="n">
        <v>33</v>
      </c>
      <c r="O4759" t="n">
        <v>0.33</v>
      </c>
      <c r="P4759" t="n">
        <v>1</v>
      </c>
      <c r="Q4759" t="n">
        <v>0.14</v>
      </c>
      <c r="R4759" t="n">
        <v>2</v>
      </c>
      <c r="S4759" t="n">
        <v>8316</v>
      </c>
      <c r="T4759" t="n">
        <v>7</v>
      </c>
      <c r="U4759" t="n">
        <v>8</v>
      </c>
      <c r="V4759" t="n">
        <v>30</v>
      </c>
      <c r="W4759" t="n">
        <v>5</v>
      </c>
      <c r="X4759" t="n">
        <v>36.07503607503607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11602</v>
      </c>
      <c r="AG4759" t="n">
        <v>2141</v>
      </c>
      <c r="AH4759" t="inlineStr">
        <is>
          <t>PT. PARAMA GLOBAL INSPIRA - PPN (JMB)</t>
        </is>
      </c>
      <c r="AI4759" t="n">
        <v>164</v>
      </c>
      <c r="AJ4759" t="inlineStr">
        <is>
          <t>WARDAH</t>
        </is>
      </c>
      <c r="AK4759" t="n">
        <v>9</v>
      </c>
      <c r="AL4759" t="inlineStr">
        <is>
          <t>Miss Glam Jambi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"8993137732840"</f>
        <v/>
      </c>
      <c r="C4760" t="inlineStr">
        <is>
          <t>WARDAH Exclusive Matte Lip Cream 24 Cherry Go Round</t>
        </is>
      </c>
      <c r="D4760" t="inlineStr">
        <is>
          <t>Miss Glam Jambi</t>
        </is>
      </c>
      <c r="E4760" t="n">
        <v>3</v>
      </c>
      <c r="F4760" t="n">
        <v>0.1683</v>
      </c>
      <c r="G4760" t="n">
        <v>1.32</v>
      </c>
      <c r="H4760" t="n">
        <v>2</v>
      </c>
      <c r="I4760" t="n">
        <v>7</v>
      </c>
      <c r="J4760" t="n">
        <v>3</v>
      </c>
      <c r="K4760" t="n">
        <v>3</v>
      </c>
      <c r="L4760" t="n">
        <v>50958</v>
      </c>
      <c r="M4760" t="n">
        <v>60000</v>
      </c>
      <c r="N4760" t="n">
        <v>33</v>
      </c>
      <c r="O4760" t="n">
        <v>0.33</v>
      </c>
      <c r="P4760" t="n">
        <v>1</v>
      </c>
      <c r="Q4760" t="n">
        <v>0.08</v>
      </c>
      <c r="R4760" t="n">
        <v>1</v>
      </c>
      <c r="S4760" t="n">
        <v>10098</v>
      </c>
      <c r="T4760" t="n">
        <v>9</v>
      </c>
      <c r="U4760" t="n">
        <v>10</v>
      </c>
      <c r="V4760" t="n">
        <v>30</v>
      </c>
      <c r="W4760" t="n">
        <v>6</v>
      </c>
      <c r="X4760" t="n">
        <v>17.825311942959</v>
      </c>
      <c r="Y4760" t="n">
        <v>1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11602</v>
      </c>
      <c r="AG4760" t="n">
        <v>2141</v>
      </c>
      <c r="AH4760" t="inlineStr">
        <is>
          <t>PT. PARAMA GLOBAL INSPIRA - PPN (JMB)</t>
        </is>
      </c>
      <c r="AI4760" t="n">
        <v>164</v>
      </c>
      <c r="AJ4760" t="inlineStr">
        <is>
          <t>WARDAH</t>
        </is>
      </c>
      <c r="AK4760" t="n">
        <v>9</v>
      </c>
      <c r="AL4760" t="inlineStr">
        <is>
          <t>Miss Glam Jambi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"8993137679053"</f>
        <v/>
      </c>
      <c r="C4761" t="inlineStr">
        <is>
          <t>WARDAH Exclusive Reff TWC 01.Sheer Pink 12gr</t>
        </is>
      </c>
      <c r="D4761" t="inlineStr">
        <is>
          <t>Miss Glam Jambi</t>
        </is>
      </c>
      <c r="E4761" t="n">
        <v>2</v>
      </c>
      <c r="F4761" t="n">
        <v>0.066</v>
      </c>
      <c r="G4761" t="n">
        <v>0.66</v>
      </c>
      <c r="H4761" t="n">
        <v>2</v>
      </c>
      <c r="I4761" t="n">
        <v>7</v>
      </c>
      <c r="J4761" t="n">
        <v>3</v>
      </c>
      <c r="K4761" t="n">
        <v>0</v>
      </c>
      <c r="L4761" t="n">
        <v>46898</v>
      </c>
      <c r="M4761" t="n">
        <v>54500</v>
      </c>
      <c r="N4761" t="n">
        <v>33</v>
      </c>
      <c r="O4761" t="n">
        <v>0.33</v>
      </c>
      <c r="P4761" t="n">
        <v>1</v>
      </c>
      <c r="Q4761" t="n">
        <v>0.05</v>
      </c>
      <c r="R4761" t="n">
        <v>1</v>
      </c>
      <c r="S4761" t="n">
        <v>3597</v>
      </c>
      <c r="T4761" t="n">
        <v>5</v>
      </c>
      <c r="U4761" t="n">
        <v>6</v>
      </c>
      <c r="V4761" t="n">
        <v>30</v>
      </c>
      <c r="W4761" t="n">
        <v>2</v>
      </c>
      <c r="X4761" t="n">
        <v>30.3030303030303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11602</v>
      </c>
      <c r="AG4761" t="n">
        <v>2141</v>
      </c>
      <c r="AH4761" t="inlineStr">
        <is>
          <t>PT. PARAMA GLOBAL INSPIRA - PPN (JMB)</t>
        </is>
      </c>
      <c r="AI4761" t="n">
        <v>164</v>
      </c>
      <c r="AJ4761" t="inlineStr">
        <is>
          <t>WARDAH</t>
        </is>
      </c>
      <c r="AK4761" t="n">
        <v>9</v>
      </c>
      <c r="AL4761" t="inlineStr">
        <is>
          <t>Miss Glam Jambi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"8993137706261"</f>
        <v/>
      </c>
      <c r="C4762" t="inlineStr">
        <is>
          <t>WARDAH Exclusive Refill Cover Cushion 02 Honey Beige 15gr</t>
        </is>
      </c>
      <c r="D4762" t="inlineStr">
        <is>
          <t>Miss Glam Jambi</t>
        </is>
      </c>
      <c r="E4762" t="n">
        <v>1</v>
      </c>
      <c r="F4762" t="n">
        <v>0.0165</v>
      </c>
      <c r="G4762" t="n">
        <v>0.33</v>
      </c>
      <c r="H4762" t="n">
        <v>2</v>
      </c>
      <c r="I4762" t="n">
        <v>7</v>
      </c>
      <c r="J4762" t="n">
        <v>3</v>
      </c>
      <c r="K4762" t="n">
        <v>0</v>
      </c>
      <c r="L4762" t="n">
        <v>77396</v>
      </c>
      <c r="M4762" t="n">
        <v>101000</v>
      </c>
      <c r="N4762" t="n">
        <v>33</v>
      </c>
      <c r="O4762" t="n">
        <v>0.33</v>
      </c>
      <c r="P4762" t="n">
        <v>1</v>
      </c>
      <c r="Q4762" t="n">
        <v>0.02</v>
      </c>
      <c r="R4762" t="n">
        <v>1</v>
      </c>
      <c r="S4762" t="n">
        <v>1666.5</v>
      </c>
      <c r="T4762" t="n">
        <v>3</v>
      </c>
      <c r="U4762" t="n">
        <v>4</v>
      </c>
      <c r="V4762" t="n">
        <v>30</v>
      </c>
      <c r="W4762" t="n">
        <v>1</v>
      </c>
      <c r="X4762" t="n">
        <v>60.6060606060606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11602</v>
      </c>
      <c r="AG4762" t="n">
        <v>2141</v>
      </c>
      <c r="AH4762" t="inlineStr">
        <is>
          <t>PT. PARAMA GLOBAL INSPIRA - PPN (JMB)</t>
        </is>
      </c>
      <c r="AI4762" t="n">
        <v>164</v>
      </c>
      <c r="AJ4762" t="inlineStr">
        <is>
          <t>WARDAH</t>
        </is>
      </c>
      <c r="AK4762" t="n">
        <v>9</v>
      </c>
      <c r="AL4762" t="inlineStr">
        <is>
          <t>Miss Glam Jambi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"8993137678902"</f>
        <v/>
      </c>
      <c r="C4763" t="inlineStr">
        <is>
          <t>WARDAH Exclusive Two Way Cake 01 Sheer Pink 12gr</t>
        </is>
      </c>
      <c r="D4763" t="inlineStr">
        <is>
          <t>Miss Glam Jambi</t>
        </is>
      </c>
      <c r="E4763" t="n">
        <v>7</v>
      </c>
      <c r="F4763" t="n">
        <v>0.0231</v>
      </c>
      <c r="G4763" t="n">
        <v>0.33</v>
      </c>
      <c r="H4763" t="n">
        <v>2</v>
      </c>
      <c r="I4763" t="n">
        <v>7</v>
      </c>
      <c r="J4763" t="n">
        <v>3</v>
      </c>
      <c r="K4763" t="n">
        <v>0</v>
      </c>
      <c r="L4763" t="n">
        <v>78600</v>
      </c>
      <c r="M4763" t="n">
        <v>92500</v>
      </c>
      <c r="N4763" t="n">
        <v>33</v>
      </c>
      <c r="O4763" t="n">
        <v>0.33</v>
      </c>
      <c r="P4763" t="n">
        <v>1</v>
      </c>
      <c r="Q4763" t="n">
        <v>0.03</v>
      </c>
      <c r="R4763" t="n">
        <v>1</v>
      </c>
      <c r="S4763" t="n">
        <v>2136.75</v>
      </c>
      <c r="T4763" t="n">
        <v>3</v>
      </c>
      <c r="U4763" t="n">
        <v>4</v>
      </c>
      <c r="V4763" t="n">
        <v>30</v>
      </c>
      <c r="W4763" t="n">
        <v>1</v>
      </c>
      <c r="X4763" t="n">
        <v>303.030303030303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11602</v>
      </c>
      <c r="AG4763" t="n">
        <v>2141</v>
      </c>
      <c r="AH4763" t="inlineStr">
        <is>
          <t>PT. PARAMA GLOBAL INSPIRA - PPN (JMB)</t>
        </is>
      </c>
      <c r="AI4763" t="n">
        <v>164</v>
      </c>
      <c r="AJ4763" t="inlineStr">
        <is>
          <t>WARDAH</t>
        </is>
      </c>
      <c r="AK4763" t="n">
        <v>9</v>
      </c>
      <c r="AL4763" t="inlineStr">
        <is>
          <t>Miss Glam Jambi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"8993137679060"</f>
        <v/>
      </c>
      <c r="C4764" t="inlineStr">
        <is>
          <t>WARDAH Exclusive Two Way Cake 02 Light Beige Refill 12gr</t>
        </is>
      </c>
      <c r="D4764" t="inlineStr">
        <is>
          <t>Miss Glam Jambi</t>
        </is>
      </c>
      <c r="E4764" t="n">
        <v>6</v>
      </c>
      <c r="F4764" t="n">
        <v>0.3234</v>
      </c>
      <c r="G4764" t="n">
        <v>1.65</v>
      </c>
      <c r="H4764" t="n">
        <v>2</v>
      </c>
      <c r="I4764" t="n">
        <v>7</v>
      </c>
      <c r="J4764" t="n">
        <v>3</v>
      </c>
      <c r="K4764" t="n">
        <v>3</v>
      </c>
      <c r="L4764" t="n">
        <v>47496</v>
      </c>
      <c r="M4764" t="n">
        <v>56000</v>
      </c>
      <c r="N4764" t="n">
        <v>33</v>
      </c>
      <c r="O4764" t="n">
        <v>0.33</v>
      </c>
      <c r="P4764" t="n">
        <v>1</v>
      </c>
      <c r="Q4764" t="n">
        <v>0.12</v>
      </c>
      <c r="R4764" t="n">
        <v>1</v>
      </c>
      <c r="S4764" t="n">
        <v>18110.4</v>
      </c>
      <c r="T4764" t="n">
        <v>11</v>
      </c>
      <c r="U4764" t="n">
        <v>12</v>
      </c>
      <c r="V4764" t="n">
        <v>30</v>
      </c>
      <c r="W4764" t="n">
        <v>10</v>
      </c>
      <c r="X4764" t="n">
        <v>18.55287569573284</v>
      </c>
      <c r="Y4764" t="n">
        <v>1</v>
      </c>
      <c r="Z4764" t="n">
        <v>1</v>
      </c>
      <c r="AA4764" t="n">
        <v>0</v>
      </c>
      <c r="AB4764" t="n">
        <v>1</v>
      </c>
      <c r="AC4764" t="n">
        <v>3</v>
      </c>
      <c r="AD4764" t="n">
        <v>0</v>
      </c>
      <c r="AE4764" t="n">
        <v>142488</v>
      </c>
      <c r="AF4764" t="n">
        <v>11602</v>
      </c>
      <c r="AG4764" t="n">
        <v>2141</v>
      </c>
      <c r="AH4764" t="inlineStr">
        <is>
          <t>PT. PARAMA GLOBAL INSPIRA - PPN (JMB)</t>
        </is>
      </c>
      <c r="AI4764" t="n">
        <v>164</v>
      </c>
      <c r="AJ4764" t="inlineStr">
        <is>
          <t>WARDAH</t>
        </is>
      </c>
      <c r="AK4764" t="n">
        <v>9</v>
      </c>
      <c r="AL4764" t="inlineStr">
        <is>
          <t>Miss Glam Jambi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"8993137679039"</f>
        <v/>
      </c>
      <c r="C4765" t="inlineStr">
        <is>
          <t>WARDAH Exclusive Two Way Cake 04 Natural 12gr</t>
        </is>
      </c>
      <c r="D4765" t="inlineStr">
        <is>
          <t>Miss Glam Jambi</t>
        </is>
      </c>
      <c r="E4765" t="n">
        <v>2</v>
      </c>
      <c r="F4765" t="n">
        <v>0.1122</v>
      </c>
      <c r="G4765" t="n">
        <v>0.66</v>
      </c>
      <c r="H4765" t="n">
        <v>2</v>
      </c>
      <c r="I4765" t="n">
        <v>7</v>
      </c>
      <c r="J4765" t="n">
        <v>3</v>
      </c>
      <c r="K4765" t="n">
        <v>3</v>
      </c>
      <c r="L4765" t="n">
        <v>78642</v>
      </c>
      <c r="M4765" t="n">
        <v>90500</v>
      </c>
      <c r="N4765" t="n">
        <v>33</v>
      </c>
      <c r="O4765" t="n">
        <v>0.33</v>
      </c>
      <c r="P4765" t="n">
        <v>1</v>
      </c>
      <c r="Q4765" t="n">
        <v>0.08</v>
      </c>
      <c r="R4765" t="n">
        <v>1</v>
      </c>
      <c r="S4765" t="n">
        <v>10154.1</v>
      </c>
      <c r="T4765" t="n">
        <v>5</v>
      </c>
      <c r="U4765" t="n">
        <v>6</v>
      </c>
      <c r="V4765" t="n">
        <v>30</v>
      </c>
      <c r="W4765" t="n">
        <v>4</v>
      </c>
      <c r="X4765" t="n">
        <v>17.825311942959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11602</v>
      </c>
      <c r="AG4765" t="n">
        <v>2141</v>
      </c>
      <c r="AH4765" t="inlineStr">
        <is>
          <t>PT. PARAMA GLOBAL INSPIRA - PPN (JMB)</t>
        </is>
      </c>
      <c r="AI4765" t="n">
        <v>164</v>
      </c>
      <c r="AJ4765" t="inlineStr">
        <is>
          <t>WARDAH</t>
        </is>
      </c>
      <c r="AK4765" t="n">
        <v>9</v>
      </c>
      <c r="AL4765" t="inlineStr">
        <is>
          <t>Miss Glam Jambi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"8993137678919"</f>
        <v/>
      </c>
      <c r="C4766" t="inlineStr">
        <is>
          <t>WARDAH Exclusive Two Way Cake SPF 15 02 Light Beige 12g</t>
        </is>
      </c>
      <c r="D4766" t="inlineStr">
        <is>
          <t>Miss Glam Jambi</t>
        </is>
      </c>
      <c r="E4766" t="n">
        <v>2</v>
      </c>
      <c r="F4766" t="n">
        <v>0.1056</v>
      </c>
      <c r="G4766" t="n">
        <v>0.99</v>
      </c>
      <c r="H4766" t="n">
        <v>2</v>
      </c>
      <c r="I4766" t="n">
        <v>7</v>
      </c>
      <c r="J4766" t="n">
        <v>3</v>
      </c>
      <c r="K4766" t="n">
        <v>3</v>
      </c>
      <c r="L4766" t="n">
        <v>78561</v>
      </c>
      <c r="M4766" t="n">
        <v>90500</v>
      </c>
      <c r="N4766" t="n">
        <v>33</v>
      </c>
      <c r="O4766" t="n">
        <v>0.33</v>
      </c>
      <c r="P4766" t="n">
        <v>1</v>
      </c>
      <c r="Q4766" t="n">
        <v>0.05</v>
      </c>
      <c r="R4766" t="n">
        <v>1</v>
      </c>
      <c r="S4766" t="n">
        <v>9556.800000000001</v>
      </c>
      <c r="T4766" t="n">
        <v>7</v>
      </c>
      <c r="U4766" t="n">
        <v>8</v>
      </c>
      <c r="V4766" t="n">
        <v>30</v>
      </c>
      <c r="W4766" t="n">
        <v>4</v>
      </c>
      <c r="X4766" t="n">
        <v>18.93939393939394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11602</v>
      </c>
      <c r="AG4766" t="n">
        <v>2141</v>
      </c>
      <c r="AH4766" t="inlineStr">
        <is>
          <t>PT. PARAMA GLOBAL INSPIRA - PPN (JMB)</t>
        </is>
      </c>
      <c r="AI4766" t="n">
        <v>164</v>
      </c>
      <c r="AJ4766" t="inlineStr">
        <is>
          <t>WARDAH</t>
        </is>
      </c>
      <c r="AK4766" t="n">
        <v>9</v>
      </c>
      <c r="AL4766" t="inlineStr">
        <is>
          <t>Miss Glam Jambi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"8993137678889"</f>
        <v/>
      </c>
      <c r="C4767" t="inlineStr">
        <is>
          <t>WARDAH Exlusive Liquid Foundation 04 Natural 20ml</t>
        </is>
      </c>
      <c r="D4767" t="inlineStr">
        <is>
          <t>Miss Glam Jambi</t>
        </is>
      </c>
      <c r="E4767" t="n">
        <v>2</v>
      </c>
      <c r="F4767" t="n">
        <v>0.009900000000000001</v>
      </c>
      <c r="G4767" t="n">
        <v>0.33</v>
      </c>
      <c r="H4767" t="n">
        <v>2</v>
      </c>
      <c r="I4767" t="n">
        <v>7</v>
      </c>
      <c r="J4767" t="n">
        <v>3</v>
      </c>
      <c r="K4767" t="n">
        <v>0</v>
      </c>
      <c r="L4767" t="n">
        <v>67051</v>
      </c>
      <c r="M4767" t="n">
        <v>79000</v>
      </c>
      <c r="N4767" t="n">
        <v>33</v>
      </c>
      <c r="O4767" t="n">
        <v>0.33</v>
      </c>
      <c r="P4767" t="n">
        <v>1</v>
      </c>
      <c r="Q4767" t="n">
        <v>0.07000000000000001</v>
      </c>
      <c r="R4767" t="n">
        <v>1</v>
      </c>
      <c r="S4767" t="n">
        <v>782.1</v>
      </c>
      <c r="T4767" t="n">
        <v>3</v>
      </c>
      <c r="U4767" t="n">
        <v>4</v>
      </c>
      <c r="V4767" t="n">
        <v>30</v>
      </c>
      <c r="W4767" t="n">
        <v>1</v>
      </c>
      <c r="X4767" t="n">
        <v>202.020202020202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11602</v>
      </c>
      <c r="AG4767" t="n">
        <v>2141</v>
      </c>
      <c r="AH4767" t="inlineStr">
        <is>
          <t>PT. PARAMA GLOBAL INSPIRA - PPN (JMB)</t>
        </is>
      </c>
      <c r="AI4767" t="n">
        <v>164</v>
      </c>
      <c r="AJ4767" t="inlineStr">
        <is>
          <t>WARDAH</t>
        </is>
      </c>
      <c r="AK4767" t="n">
        <v>9</v>
      </c>
      <c r="AL4767" t="inlineStr">
        <is>
          <t>Miss Glam Jambi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"11200151807"</f>
        <v/>
      </c>
      <c r="C4768" t="inlineStr">
        <is>
          <t>WARDAH Exosome EGF-PDRN Lift Regenerating Serum 30ml</t>
        </is>
      </c>
      <c r="D4768" t="inlineStr">
        <is>
          <t>Miss Glam Jambi</t>
        </is>
      </c>
      <c r="E4768" t="n">
        <v>3</v>
      </c>
      <c r="F4768" t="n">
        <v>0.033</v>
      </c>
      <c r="G4768" t="n">
        <v>0.33</v>
      </c>
      <c r="H4768" t="n">
        <v>2</v>
      </c>
      <c r="I4768" t="n">
        <v>7</v>
      </c>
      <c r="J4768" t="n">
        <v>1</v>
      </c>
      <c r="K4768" t="n">
        <v>0</v>
      </c>
      <c r="L4768" t="n">
        <v>181230</v>
      </c>
      <c r="M4768" t="n">
        <v>213500</v>
      </c>
      <c r="N4768" t="n">
        <v>33</v>
      </c>
      <c r="O4768" t="n">
        <v>0.33</v>
      </c>
      <c r="P4768" t="n">
        <v>1</v>
      </c>
      <c r="Q4768" t="n">
        <v>0.05</v>
      </c>
      <c r="R4768" t="n">
        <v>1</v>
      </c>
      <c r="S4768" t="n">
        <v>7045.5</v>
      </c>
      <c r="T4768" t="n">
        <v>3</v>
      </c>
      <c r="U4768" t="n">
        <v>4</v>
      </c>
      <c r="V4768" t="n">
        <v>30</v>
      </c>
      <c r="W4768" t="n">
        <v>1</v>
      </c>
      <c r="X4768" t="n">
        <v>90.90909090909091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11602</v>
      </c>
      <c r="AG4768" t="n">
        <v>2141</v>
      </c>
      <c r="AH4768" t="inlineStr">
        <is>
          <t>PT. PARAMA GLOBAL INSPIRA - PPN (JMB)</t>
        </is>
      </c>
      <c r="AI4768" t="n">
        <v>164</v>
      </c>
      <c r="AJ4768" t="inlineStr">
        <is>
          <t>WARDAH</t>
        </is>
      </c>
      <c r="AK4768" t="n">
        <v>9</v>
      </c>
      <c r="AL4768" t="inlineStr">
        <is>
          <t>Miss Glam Jambi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"8993137691062"</f>
        <v/>
      </c>
      <c r="C4769" t="inlineStr">
        <is>
          <t>WARDAH EyeXpert Aqua Lash Mascara 6g</t>
        </is>
      </c>
      <c r="D4769" t="inlineStr">
        <is>
          <t>Miss Glam Jambi</t>
        </is>
      </c>
      <c r="E4769" t="n">
        <v>0</v>
      </c>
      <c r="F4769" t="n">
        <v>0.0231</v>
      </c>
      <c r="G4769" t="n">
        <v>0.33</v>
      </c>
      <c r="H4769" t="n">
        <v>2</v>
      </c>
      <c r="I4769" t="n">
        <v>7</v>
      </c>
      <c r="J4769" t="n">
        <v>3</v>
      </c>
      <c r="K4769" t="n">
        <v>0</v>
      </c>
      <c r="L4769" t="n">
        <v>39656</v>
      </c>
      <c r="M4769" t="n">
        <v>46000</v>
      </c>
      <c r="N4769" t="n">
        <v>33</v>
      </c>
      <c r="O4769" t="n">
        <v>0.33</v>
      </c>
      <c r="P4769" t="n">
        <v>1</v>
      </c>
      <c r="Q4769" t="n">
        <v>0.07000000000000001</v>
      </c>
      <c r="R4769" t="n">
        <v>1</v>
      </c>
      <c r="S4769" t="n">
        <v>1062.6</v>
      </c>
      <c r="T4769" t="n">
        <v>3</v>
      </c>
      <c r="U4769" t="n">
        <v>4</v>
      </c>
      <c r="V4769" t="n">
        <v>30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n">
        <v>0</v>
      </c>
      <c r="AC4769" t="n">
        <v>0</v>
      </c>
      <c r="AD4769" t="n">
        <v>39656</v>
      </c>
      <c r="AE4769" t="n">
        <v>0</v>
      </c>
      <c r="AF4769" t="n">
        <v>11602</v>
      </c>
      <c r="AG4769" t="n">
        <v>2141</v>
      </c>
      <c r="AH4769" t="inlineStr">
        <is>
          <t>PT. PARAMA GLOBAL INSPIRA - PPN (JMB)</t>
        </is>
      </c>
      <c r="AI4769" t="n">
        <v>164</v>
      </c>
      <c r="AJ4769" t="inlineStr">
        <is>
          <t>WARDAH</t>
        </is>
      </c>
      <c r="AK4769" t="n">
        <v>9</v>
      </c>
      <c r="AL4769" t="inlineStr">
        <is>
          <t>Miss Glam Jambi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"8993137721417"</f>
        <v/>
      </c>
      <c r="C4770" t="inlineStr">
        <is>
          <t>WARDAH Eyexpert Brow Lash Serum 10ml</t>
        </is>
      </c>
      <c r="D4770" t="inlineStr">
        <is>
          <t>Miss Glam Jambi</t>
        </is>
      </c>
      <c r="E4770" t="n">
        <v>3</v>
      </c>
      <c r="F4770" t="n">
        <v>0.0462</v>
      </c>
      <c r="G4770" t="n">
        <v>0.33</v>
      </c>
      <c r="H4770" t="n">
        <v>2</v>
      </c>
      <c r="I4770" t="n">
        <v>7</v>
      </c>
      <c r="J4770" t="n">
        <v>3</v>
      </c>
      <c r="K4770" t="n">
        <v>0</v>
      </c>
      <c r="L4770" t="n">
        <v>65113</v>
      </c>
      <c r="M4770" t="n">
        <v>77000</v>
      </c>
      <c r="N4770" t="n">
        <v>33</v>
      </c>
      <c r="O4770" t="n">
        <v>0.33</v>
      </c>
      <c r="P4770" t="n">
        <v>1</v>
      </c>
      <c r="Q4770" t="n">
        <v>0.14</v>
      </c>
      <c r="R4770" t="n">
        <v>2</v>
      </c>
      <c r="S4770" t="n">
        <v>3557.400000000001</v>
      </c>
      <c r="T4770" t="n">
        <v>3</v>
      </c>
      <c r="U4770" t="n">
        <v>4</v>
      </c>
      <c r="V4770" t="n">
        <v>30</v>
      </c>
      <c r="W4770" t="n">
        <v>2</v>
      </c>
      <c r="X4770" t="n">
        <v>64.93506493506493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11602</v>
      </c>
      <c r="AG4770" t="n">
        <v>2141</v>
      </c>
      <c r="AH4770" t="inlineStr">
        <is>
          <t>PT. PARAMA GLOBAL INSPIRA - PPN (JMB)</t>
        </is>
      </c>
      <c r="AI4770" t="n">
        <v>164</v>
      </c>
      <c r="AJ4770" t="inlineStr">
        <is>
          <t>WARDAH</t>
        </is>
      </c>
      <c r="AK4770" t="n">
        <v>9</v>
      </c>
      <c r="AL4770" t="inlineStr">
        <is>
          <t>Miss Glam Jambi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"8993137694070"</f>
        <v/>
      </c>
      <c r="C4771" t="inlineStr">
        <is>
          <t>WARDAH EyeXpert Eye &amp; Lip Makeup Remover 50ml</t>
        </is>
      </c>
      <c r="D4771" t="inlineStr">
        <is>
          <t>Miss Glam Jambi</t>
        </is>
      </c>
      <c r="E4771" t="n">
        <v>2</v>
      </c>
      <c r="F4771" t="n">
        <v>0.1782</v>
      </c>
      <c r="G4771" t="n">
        <v>0.99</v>
      </c>
      <c r="H4771" t="n">
        <v>2</v>
      </c>
      <c r="I4771" t="n">
        <v>7</v>
      </c>
      <c r="J4771" t="n">
        <v>3</v>
      </c>
      <c r="K4771" t="n">
        <v>4</v>
      </c>
      <c r="L4771" t="n">
        <v>21840</v>
      </c>
      <c r="M4771" t="n">
        <v>26000</v>
      </c>
      <c r="N4771" t="n">
        <v>33</v>
      </c>
      <c r="O4771" t="n">
        <v>0.33</v>
      </c>
      <c r="P4771" t="n">
        <v>1</v>
      </c>
      <c r="Q4771" t="n">
        <v>0.2</v>
      </c>
      <c r="R4771" t="n">
        <v>2</v>
      </c>
      <c r="S4771" t="n">
        <v>4633.200000000001</v>
      </c>
      <c r="T4771" t="n">
        <v>7</v>
      </c>
      <c r="U4771" t="n">
        <v>8</v>
      </c>
      <c r="V4771" t="n">
        <v>30</v>
      </c>
      <c r="W4771" t="n">
        <v>6</v>
      </c>
      <c r="X4771" t="n">
        <v>11.22334455667789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11602</v>
      </c>
      <c r="AG4771" t="n">
        <v>2141</v>
      </c>
      <c r="AH4771" t="inlineStr">
        <is>
          <t>PT. PARAMA GLOBAL INSPIRA - PPN (JMB)</t>
        </is>
      </c>
      <c r="AI4771" t="n">
        <v>164</v>
      </c>
      <c r="AJ4771" t="inlineStr">
        <is>
          <t>WARDAH</t>
        </is>
      </c>
      <c r="AK4771" t="n">
        <v>9</v>
      </c>
      <c r="AL4771" t="inlineStr">
        <is>
          <t>Miss Glam Jambi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"8993137694087"</f>
        <v/>
      </c>
      <c r="C4772" t="inlineStr">
        <is>
          <t>WARDAH EyeXpert Eye Makeup Remover 100ml</t>
        </is>
      </c>
      <c r="D4772" t="inlineStr">
        <is>
          <t>Miss Glam Jambi</t>
        </is>
      </c>
      <c r="E4772" t="n">
        <v>18</v>
      </c>
      <c r="F4772" t="n">
        <v>0.1386</v>
      </c>
      <c r="G4772" t="n">
        <v>1.98</v>
      </c>
      <c r="H4772" t="n">
        <v>2</v>
      </c>
      <c r="I4772" t="n">
        <v>7</v>
      </c>
      <c r="J4772" t="n">
        <v>3</v>
      </c>
      <c r="K4772" t="n">
        <v>0</v>
      </c>
      <c r="L4772" t="n">
        <v>33717</v>
      </c>
      <c r="M4772" t="n">
        <v>40000</v>
      </c>
      <c r="N4772" t="n">
        <v>33</v>
      </c>
      <c r="O4772" t="n">
        <v>0.33</v>
      </c>
      <c r="P4772" t="n">
        <v>1</v>
      </c>
      <c r="Q4772" t="n">
        <v>0.44</v>
      </c>
      <c r="R4772" t="n">
        <v>2</v>
      </c>
      <c r="S4772" t="n">
        <v>5544</v>
      </c>
      <c r="T4772" t="n">
        <v>14</v>
      </c>
      <c r="U4772" t="n">
        <v>15</v>
      </c>
      <c r="V4772" t="n">
        <v>30</v>
      </c>
      <c r="W4772" t="n">
        <v>5</v>
      </c>
      <c r="X4772" t="n">
        <v>129.8701298701299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11602</v>
      </c>
      <c r="AG4772" t="n">
        <v>2141</v>
      </c>
      <c r="AH4772" t="inlineStr">
        <is>
          <t>PT. PARAMA GLOBAL INSPIRA - PPN (JMB)</t>
        </is>
      </c>
      <c r="AI4772" t="n">
        <v>164</v>
      </c>
      <c r="AJ4772" t="inlineStr">
        <is>
          <t>WARDAH</t>
        </is>
      </c>
      <c r="AK4772" t="n">
        <v>9</v>
      </c>
      <c r="AL4772" t="inlineStr">
        <is>
          <t>Miss Glam Jambi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"20200469220"</f>
        <v/>
      </c>
      <c r="C4773" t="inlineStr">
        <is>
          <t>WARDAH EyeXpert Eyebrow Pencil Ash Brown 1.14 g with Sharpener</t>
        </is>
      </c>
      <c r="D4773" t="inlineStr">
        <is>
          <t>Miss Glam Jambi</t>
        </is>
      </c>
      <c r="E4773" t="n">
        <v>6</v>
      </c>
      <c r="F4773" t="n">
        <v>0.1221</v>
      </c>
      <c r="G4773" t="n">
        <v>0.99</v>
      </c>
      <c r="H4773" t="n">
        <v>2</v>
      </c>
      <c r="I4773" t="n">
        <v>7</v>
      </c>
      <c r="J4773" t="n">
        <v>1</v>
      </c>
      <c r="K4773" t="n">
        <v>0</v>
      </c>
      <c r="L4773" t="n">
        <v>33717</v>
      </c>
      <c r="M4773" t="n">
        <v>40000</v>
      </c>
      <c r="N4773" t="n">
        <v>33</v>
      </c>
      <c r="O4773" t="n">
        <v>0.33</v>
      </c>
      <c r="P4773" t="n">
        <v>1</v>
      </c>
      <c r="Q4773" t="n">
        <v>0.07000000000000001</v>
      </c>
      <c r="R4773" t="n">
        <v>1</v>
      </c>
      <c r="S4773" t="n">
        <v>4884</v>
      </c>
      <c r="T4773" t="n">
        <v>7</v>
      </c>
      <c r="U4773" t="n">
        <v>8</v>
      </c>
      <c r="V4773" t="n">
        <v>30</v>
      </c>
      <c r="W4773" t="n">
        <v>4</v>
      </c>
      <c r="X4773" t="n">
        <v>49.14004914004914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11602</v>
      </c>
      <c r="AG4773" t="n">
        <v>2141</v>
      </c>
      <c r="AH4773" t="inlineStr">
        <is>
          <t>PT. PARAMA GLOBAL INSPIRA - PPN (JMB)</t>
        </is>
      </c>
      <c r="AI4773" t="n">
        <v>164</v>
      </c>
      <c r="AJ4773" t="inlineStr">
        <is>
          <t>WARDAH</t>
        </is>
      </c>
      <c r="AK4773" t="n">
        <v>9</v>
      </c>
      <c r="AL4773" t="inlineStr">
        <is>
          <t>Miss Glam Jambi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"20200469003"</f>
        <v/>
      </c>
      <c r="C4774" t="inlineStr">
        <is>
          <t>WARDAH EyeXpert Eyebrow Pencil Black 1.14 g with Sharpener</t>
        </is>
      </c>
      <c r="D4774" t="inlineStr">
        <is>
          <t>Miss Glam Jambi</t>
        </is>
      </c>
      <c r="E4774" t="n">
        <v>3</v>
      </c>
      <c r="F4774" t="n">
        <v>0.033</v>
      </c>
      <c r="G4774" t="n">
        <v>0.66</v>
      </c>
      <c r="H4774" t="n">
        <v>2</v>
      </c>
      <c r="I4774" t="n">
        <v>7</v>
      </c>
      <c r="J4774" t="n">
        <v>1</v>
      </c>
      <c r="K4774" t="n">
        <v>0</v>
      </c>
      <c r="L4774" t="n">
        <v>33717</v>
      </c>
      <c r="M4774" t="n">
        <v>40000</v>
      </c>
      <c r="N4774" t="n">
        <v>33</v>
      </c>
      <c r="O4774" t="n">
        <v>0.33</v>
      </c>
      <c r="P4774" t="n">
        <v>1</v>
      </c>
      <c r="Q4774" t="n">
        <v>0.1</v>
      </c>
      <c r="R4774" t="n">
        <v>1</v>
      </c>
      <c r="S4774" t="n">
        <v>1320</v>
      </c>
      <c r="T4774" t="n">
        <v>5</v>
      </c>
      <c r="U4774" t="n">
        <v>6</v>
      </c>
      <c r="V4774" t="n">
        <v>30</v>
      </c>
      <c r="W4774" t="n">
        <v>1</v>
      </c>
      <c r="X4774" t="n">
        <v>90.90909090909091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11602</v>
      </c>
      <c r="AG4774" t="n">
        <v>2141</v>
      </c>
      <c r="AH4774" t="inlineStr">
        <is>
          <t>PT. PARAMA GLOBAL INSPIRA - PPN (JMB)</t>
        </is>
      </c>
      <c r="AI4774" t="n">
        <v>164</v>
      </c>
      <c r="AJ4774" t="inlineStr">
        <is>
          <t>WARDAH</t>
        </is>
      </c>
      <c r="AK4774" t="n">
        <v>9</v>
      </c>
      <c r="AL4774" t="inlineStr">
        <is>
          <t>Miss Glam Jambi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"20200469156"</f>
        <v/>
      </c>
      <c r="C4775" t="inlineStr">
        <is>
          <t>WARDAH EyeXpert Eyebrow Pencil Brown 1.14 g with Sharpener</t>
        </is>
      </c>
      <c r="D4775" t="inlineStr">
        <is>
          <t>Miss Glam Jambi</t>
        </is>
      </c>
      <c r="E4775" t="n">
        <v>16</v>
      </c>
      <c r="F4775" t="n">
        <v>0.1023</v>
      </c>
      <c r="G4775" t="n">
        <v>1.32</v>
      </c>
      <c r="H4775" t="n">
        <v>2</v>
      </c>
      <c r="I4775" t="n">
        <v>7</v>
      </c>
      <c r="J4775" t="n">
        <v>1</v>
      </c>
      <c r="K4775" t="n">
        <v>0</v>
      </c>
      <c r="L4775" t="n">
        <v>33717</v>
      </c>
      <c r="M4775" t="n">
        <v>40000</v>
      </c>
      <c r="N4775" t="n">
        <v>33</v>
      </c>
      <c r="O4775" t="n">
        <v>0.33</v>
      </c>
      <c r="P4775" t="n">
        <v>1</v>
      </c>
      <c r="Q4775" t="n">
        <v>0.36</v>
      </c>
      <c r="R4775" t="n">
        <v>3</v>
      </c>
      <c r="S4775" t="n">
        <v>4092</v>
      </c>
      <c r="T4775" t="n">
        <v>10</v>
      </c>
      <c r="U4775" t="n">
        <v>11</v>
      </c>
      <c r="V4775" t="n">
        <v>30</v>
      </c>
      <c r="W4775" t="n">
        <v>4</v>
      </c>
      <c r="X4775" t="n">
        <v>156.4027370478983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11602</v>
      </c>
      <c r="AG4775" t="n">
        <v>2141</v>
      </c>
      <c r="AH4775" t="inlineStr">
        <is>
          <t>PT. PARAMA GLOBAL INSPIRA - PPN (JMB)</t>
        </is>
      </c>
      <c r="AI4775" t="n">
        <v>164</v>
      </c>
      <c r="AJ4775" t="inlineStr">
        <is>
          <t>WARDAH</t>
        </is>
      </c>
      <c r="AK4775" t="n">
        <v>9</v>
      </c>
      <c r="AL4775" t="inlineStr">
        <is>
          <t>Miss Glam Jambi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"8993137692359"</f>
        <v/>
      </c>
      <c r="C4776" t="inlineStr">
        <is>
          <t>WARDAH EyeXpert Eyeshadow Classic 3,3g</t>
        </is>
      </c>
      <c r="D4776" t="inlineStr">
        <is>
          <t>Miss Glam Jambi</t>
        </is>
      </c>
      <c r="E4776" t="n">
        <v>3</v>
      </c>
      <c r="F4776" t="n">
        <v>0.05</v>
      </c>
      <c r="G4776" t="n">
        <v>1</v>
      </c>
      <c r="H4776" t="n">
        <v>2</v>
      </c>
      <c r="I4776" t="n">
        <v>7</v>
      </c>
      <c r="J4776" t="n">
        <v>3</v>
      </c>
      <c r="K4776" t="n">
        <v>0</v>
      </c>
      <c r="L4776" t="n">
        <v>38284</v>
      </c>
      <c r="M4776" t="n">
        <v>45000</v>
      </c>
      <c r="N4776" t="n">
        <v>33</v>
      </c>
      <c r="O4776" t="n">
        <v>0.33</v>
      </c>
      <c r="P4776" t="n">
        <v>0</v>
      </c>
      <c r="Q4776" t="n">
        <v>0.05</v>
      </c>
      <c r="R4776" t="n">
        <v>1</v>
      </c>
      <c r="S4776" t="n">
        <v>2250</v>
      </c>
      <c r="T4776" t="n">
        <v>7</v>
      </c>
      <c r="U4776" t="n">
        <v>8</v>
      </c>
      <c r="V4776" t="n">
        <v>30</v>
      </c>
      <c r="W4776" t="n">
        <v>2</v>
      </c>
      <c r="X4776" t="n">
        <v>60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11602</v>
      </c>
      <c r="AG4776" t="n">
        <v>2141</v>
      </c>
      <c r="AH4776" t="inlineStr">
        <is>
          <t>PT. PARAMA GLOBAL INSPIRA - PPN (JMB)</t>
        </is>
      </c>
      <c r="AI4776" t="n">
        <v>164</v>
      </c>
      <c r="AJ4776" t="inlineStr">
        <is>
          <t>WARDAH</t>
        </is>
      </c>
      <c r="AK4776" t="n">
        <v>9</v>
      </c>
      <c r="AL4776" t="inlineStr">
        <is>
          <t>Miss Glam Jambi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"8993137692366"</f>
        <v/>
      </c>
      <c r="C4777" t="inlineStr">
        <is>
          <t>WARDAH EyeXpert Eyeshadow Passionate 4,2g</t>
        </is>
      </c>
      <c r="D4777" t="inlineStr">
        <is>
          <t>Miss Glam Jambi</t>
        </is>
      </c>
      <c r="E4777" t="n">
        <v>5</v>
      </c>
      <c r="F4777" t="n">
        <v>0.02</v>
      </c>
      <c r="G4777" t="n">
        <v>1</v>
      </c>
      <c r="H4777" t="n">
        <v>2</v>
      </c>
      <c r="I4777" t="n">
        <v>7</v>
      </c>
      <c r="J4777" t="n">
        <v>3</v>
      </c>
      <c r="K4777" t="n">
        <v>0</v>
      </c>
      <c r="L4777" t="n">
        <v>37877</v>
      </c>
      <c r="M4777" t="n">
        <v>45000</v>
      </c>
      <c r="N4777" t="n">
        <v>33</v>
      </c>
      <c r="O4777" t="n">
        <v>0.33</v>
      </c>
      <c r="P4777" t="n">
        <v>0</v>
      </c>
      <c r="Q4777" t="n">
        <v>0.02</v>
      </c>
      <c r="R4777" t="n">
        <v>1</v>
      </c>
      <c r="S4777" t="n">
        <v>900</v>
      </c>
      <c r="T4777" t="n">
        <v>7</v>
      </c>
      <c r="U4777" t="n">
        <v>8</v>
      </c>
      <c r="V4777" t="n">
        <v>30</v>
      </c>
      <c r="W4777" t="n">
        <v>1</v>
      </c>
      <c r="X4777" t="n">
        <v>250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11602</v>
      </c>
      <c r="AG4777" t="n">
        <v>2141</v>
      </c>
      <c r="AH4777" t="inlineStr">
        <is>
          <t>PT. PARAMA GLOBAL INSPIRA - PPN (JMB)</t>
        </is>
      </c>
      <c r="AI4777" t="n">
        <v>164</v>
      </c>
      <c r="AJ4777" t="inlineStr">
        <is>
          <t>WARDAH</t>
        </is>
      </c>
      <c r="AK4777" t="n">
        <v>9</v>
      </c>
      <c r="AL4777" t="inlineStr">
        <is>
          <t>Miss Glam Jambi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"8993137715713"</f>
        <v/>
      </c>
      <c r="C4778" t="inlineStr">
        <is>
          <t>WARDAH Eyexpert Liftlast Waterproof Mascara 8ml</t>
        </is>
      </c>
      <c r="D4778" t="inlineStr">
        <is>
          <t>Miss Glam Jambi</t>
        </is>
      </c>
      <c r="E4778" t="n">
        <v>7</v>
      </c>
      <c r="F4778" t="n">
        <v>0.12</v>
      </c>
      <c r="G4778" t="n">
        <v>2</v>
      </c>
      <c r="H4778" t="n">
        <v>2</v>
      </c>
      <c r="I4778" t="n">
        <v>7</v>
      </c>
      <c r="J4778" t="n">
        <v>3</v>
      </c>
      <c r="K4778" t="n">
        <v>0</v>
      </c>
      <c r="L4778" t="n">
        <v>49043</v>
      </c>
      <c r="M4778" t="n">
        <v>58000</v>
      </c>
      <c r="N4778" t="n">
        <v>33</v>
      </c>
      <c r="O4778" t="n">
        <v>0.33</v>
      </c>
      <c r="P4778" t="n">
        <v>0</v>
      </c>
      <c r="Q4778" t="n">
        <v>0.12</v>
      </c>
      <c r="R4778" t="n">
        <v>2</v>
      </c>
      <c r="S4778" t="n">
        <v>6960</v>
      </c>
      <c r="T4778" t="n">
        <v>14</v>
      </c>
      <c r="U4778" t="n">
        <v>15</v>
      </c>
      <c r="V4778" t="n">
        <v>30</v>
      </c>
      <c r="W4778" t="n">
        <v>4</v>
      </c>
      <c r="X4778" t="n">
        <v>58.33333333333334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11602</v>
      </c>
      <c r="AG4778" t="n">
        <v>2141</v>
      </c>
      <c r="AH4778" t="inlineStr">
        <is>
          <t>PT. PARAMA GLOBAL INSPIRA - PPN (JMB)</t>
        </is>
      </c>
      <c r="AI4778" t="n">
        <v>164</v>
      </c>
      <c r="AJ4778" t="inlineStr">
        <is>
          <t>WARDAH</t>
        </is>
      </c>
      <c r="AK4778" t="n">
        <v>9</v>
      </c>
      <c r="AL4778" t="inlineStr">
        <is>
          <t>Miss Glam Jambi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"8993137711036"</f>
        <v/>
      </c>
      <c r="C4779" t="inlineStr">
        <is>
          <t>WARDAH Eyexpert Matic Brow Definer 01 Light Brown</t>
        </is>
      </c>
      <c r="D4779" t="inlineStr">
        <is>
          <t>Miss Glam Jambi</t>
        </is>
      </c>
      <c r="E4779" t="n">
        <v>12</v>
      </c>
      <c r="F4779" t="n">
        <v>0.0495</v>
      </c>
      <c r="G4779" t="n">
        <v>0.33</v>
      </c>
      <c r="H4779" t="n">
        <v>2</v>
      </c>
      <c r="I4779" t="n">
        <v>7</v>
      </c>
      <c r="J4779" t="n">
        <v>3</v>
      </c>
      <c r="K4779" t="n">
        <v>0</v>
      </c>
      <c r="L4779" t="n">
        <v>42529</v>
      </c>
      <c r="M4779" t="n">
        <v>52000</v>
      </c>
      <c r="N4779" t="n">
        <v>33</v>
      </c>
      <c r="O4779" t="n">
        <v>0.33</v>
      </c>
      <c r="P4779" t="n">
        <v>1</v>
      </c>
      <c r="Q4779" t="n">
        <v>0.22</v>
      </c>
      <c r="R4779" t="n">
        <v>3</v>
      </c>
      <c r="S4779" t="n">
        <v>2574</v>
      </c>
      <c r="T4779" t="n">
        <v>3</v>
      </c>
      <c r="U4779" t="n">
        <v>4</v>
      </c>
      <c r="V4779" t="n">
        <v>30</v>
      </c>
      <c r="W4779" t="n">
        <v>2</v>
      </c>
      <c r="X4779" t="n">
        <v>242.4242424242424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11602</v>
      </c>
      <c r="AG4779" t="n">
        <v>2141</v>
      </c>
      <c r="AH4779" t="inlineStr">
        <is>
          <t>PT. PARAMA GLOBAL INSPIRA - PPN (JMB)</t>
        </is>
      </c>
      <c r="AI4779" t="n">
        <v>164</v>
      </c>
      <c r="AJ4779" t="inlineStr">
        <is>
          <t>WARDAH</t>
        </is>
      </c>
      <c r="AK4779" t="n">
        <v>9</v>
      </c>
      <c r="AL4779" t="inlineStr">
        <is>
          <t>Miss Glam Jambi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"8993137711043"</f>
        <v/>
      </c>
      <c r="C4780" t="inlineStr">
        <is>
          <t>WARDAH Eyexpert Matic Brow Definer 02 Dark Brown</t>
        </is>
      </c>
      <c r="D4780" t="inlineStr">
        <is>
          <t>Miss Glam Jambi</t>
        </is>
      </c>
      <c r="E4780" t="n">
        <v>18</v>
      </c>
      <c r="F4780" t="n">
        <v>0.3762</v>
      </c>
      <c r="G4780" t="n">
        <v>1.98</v>
      </c>
      <c r="H4780" t="n">
        <v>2</v>
      </c>
      <c r="I4780" t="n">
        <v>7</v>
      </c>
      <c r="J4780" t="n">
        <v>3</v>
      </c>
      <c r="K4780" t="n">
        <v>0</v>
      </c>
      <c r="L4780" t="n">
        <v>42529</v>
      </c>
      <c r="M4780" t="n">
        <v>52000</v>
      </c>
      <c r="N4780" t="n">
        <v>33</v>
      </c>
      <c r="O4780" t="n">
        <v>0.33</v>
      </c>
      <c r="P4780" t="n">
        <v>1</v>
      </c>
      <c r="Q4780" t="n">
        <v>0.58</v>
      </c>
      <c r="R4780" t="n">
        <v>2</v>
      </c>
      <c r="S4780" t="n">
        <v>19562.4</v>
      </c>
      <c r="T4780" t="n">
        <v>14</v>
      </c>
      <c r="U4780" t="n">
        <v>15</v>
      </c>
      <c r="V4780" t="n">
        <v>30</v>
      </c>
      <c r="W4780" t="n">
        <v>12</v>
      </c>
      <c r="X4780" t="n">
        <v>47.84688995215311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11602</v>
      </c>
      <c r="AG4780" t="n">
        <v>2141</v>
      </c>
      <c r="AH4780" t="inlineStr">
        <is>
          <t>PT. PARAMA GLOBAL INSPIRA - PPN (JMB)</t>
        </is>
      </c>
      <c r="AI4780" t="n">
        <v>164</v>
      </c>
      <c r="AJ4780" t="inlineStr">
        <is>
          <t>WARDAH</t>
        </is>
      </c>
      <c r="AK4780" t="n">
        <v>9</v>
      </c>
      <c r="AL4780" t="inlineStr">
        <is>
          <t>Miss Glam Jambi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"8993137711050"</f>
        <v/>
      </c>
      <c r="C4781" t="inlineStr">
        <is>
          <t>WARDAH Eyexpert Matic Brow Definer 03 Dark Grey</t>
        </is>
      </c>
      <c r="D4781" t="inlineStr">
        <is>
          <t>Miss Glam Jambi</t>
        </is>
      </c>
      <c r="E4781" t="n">
        <v>3</v>
      </c>
      <c r="F4781" t="n">
        <v>0.0726</v>
      </c>
      <c r="G4781" t="n">
        <v>0.66</v>
      </c>
      <c r="H4781" t="n">
        <v>2</v>
      </c>
      <c r="I4781" t="n">
        <v>7</v>
      </c>
      <c r="J4781" t="n">
        <v>3</v>
      </c>
      <c r="K4781" t="n">
        <v>0</v>
      </c>
      <c r="L4781" t="n">
        <v>42530</v>
      </c>
      <c r="M4781" t="n">
        <v>52000</v>
      </c>
      <c r="N4781" t="n">
        <v>33</v>
      </c>
      <c r="O4781" t="n">
        <v>0.33</v>
      </c>
      <c r="P4781" t="n">
        <v>1</v>
      </c>
      <c r="Q4781" t="n">
        <v>0.1</v>
      </c>
      <c r="R4781" t="n">
        <v>2</v>
      </c>
      <c r="S4781" t="n">
        <v>3775.2</v>
      </c>
      <c r="T4781" t="n">
        <v>5</v>
      </c>
      <c r="U4781" t="n">
        <v>6</v>
      </c>
      <c r="V4781" t="n">
        <v>30</v>
      </c>
      <c r="W4781" t="n">
        <v>3</v>
      </c>
      <c r="X4781" t="n">
        <v>41.32231404958678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11602</v>
      </c>
      <c r="AG4781" t="n">
        <v>2141</v>
      </c>
      <c r="AH4781" t="inlineStr">
        <is>
          <t>PT. PARAMA GLOBAL INSPIRA - PPN (JMB)</t>
        </is>
      </c>
      <c r="AI4781" t="n">
        <v>164</v>
      </c>
      <c r="AJ4781" t="inlineStr">
        <is>
          <t>WARDAH</t>
        </is>
      </c>
      <c r="AK4781" t="n">
        <v>9</v>
      </c>
      <c r="AL4781" t="inlineStr">
        <is>
          <t>Miss Glam Jambi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"8993137691154"</f>
        <v/>
      </c>
      <c r="C4782" t="inlineStr">
        <is>
          <t>WARDAH EyeXpert Optimum Hi-Black Liner 1gr</t>
        </is>
      </c>
      <c r="D4782" t="inlineStr">
        <is>
          <t>Miss Glam Jambi</t>
        </is>
      </c>
      <c r="E4782" t="n">
        <v>7</v>
      </c>
      <c r="F4782" t="n">
        <v>0.3234</v>
      </c>
      <c r="G4782" t="n">
        <v>1.32</v>
      </c>
      <c r="H4782" t="n">
        <v>2</v>
      </c>
      <c r="I4782" t="n">
        <v>7</v>
      </c>
      <c r="J4782" t="n">
        <v>3</v>
      </c>
      <c r="K4782" t="n">
        <v>3</v>
      </c>
      <c r="L4782" t="n">
        <v>62833</v>
      </c>
      <c r="M4782" t="n">
        <v>79000</v>
      </c>
      <c r="N4782" t="n">
        <v>33</v>
      </c>
      <c r="O4782" t="n">
        <v>0.33</v>
      </c>
      <c r="P4782" t="n">
        <v>1</v>
      </c>
      <c r="Q4782" t="n">
        <v>0.29</v>
      </c>
      <c r="R4782" t="n">
        <v>3</v>
      </c>
      <c r="S4782" t="n">
        <v>25548.6</v>
      </c>
      <c r="T4782" t="n">
        <v>9</v>
      </c>
      <c r="U4782" t="n">
        <v>10</v>
      </c>
      <c r="V4782" t="n">
        <v>30</v>
      </c>
      <c r="W4782" t="n">
        <v>10</v>
      </c>
      <c r="X4782" t="n">
        <v>21.64502164502164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11602</v>
      </c>
      <c r="AG4782" t="n">
        <v>2141</v>
      </c>
      <c r="AH4782" t="inlineStr">
        <is>
          <t>PT. PARAMA GLOBAL INSPIRA - PPN (JMB)</t>
        </is>
      </c>
      <c r="AI4782" t="n">
        <v>164</v>
      </c>
      <c r="AJ4782" t="inlineStr">
        <is>
          <t>WARDAH</t>
        </is>
      </c>
      <c r="AK4782" t="n">
        <v>9</v>
      </c>
      <c r="AL4782" t="inlineStr">
        <is>
          <t>Miss Glam Jambi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"8993137714143"</f>
        <v/>
      </c>
      <c r="C4783" t="inlineStr">
        <is>
          <t>WARDAH Eyexpert Perfect Precision Liner 1ml</t>
        </is>
      </c>
      <c r="D4783" t="inlineStr">
        <is>
          <t>Miss Glam Jambi</t>
        </is>
      </c>
      <c r="E4783" t="n">
        <v>14</v>
      </c>
      <c r="F4783" t="n">
        <v>0.1749</v>
      </c>
      <c r="G4783" t="n">
        <v>0.99</v>
      </c>
      <c r="H4783" t="n">
        <v>2</v>
      </c>
      <c r="I4783" t="n">
        <v>7</v>
      </c>
      <c r="J4783" t="n">
        <v>3</v>
      </c>
      <c r="K4783" t="n">
        <v>0</v>
      </c>
      <c r="L4783" t="n">
        <v>43295</v>
      </c>
      <c r="M4783" t="n">
        <v>54000</v>
      </c>
      <c r="N4783" t="n">
        <v>33</v>
      </c>
      <c r="O4783" t="n">
        <v>0.33</v>
      </c>
      <c r="P4783" t="n">
        <v>1</v>
      </c>
      <c r="Q4783" t="n">
        <v>0.31</v>
      </c>
      <c r="R4783" t="n">
        <v>2</v>
      </c>
      <c r="S4783" t="n">
        <v>9444.600000000002</v>
      </c>
      <c r="T4783" t="n">
        <v>7</v>
      </c>
      <c r="U4783" t="n">
        <v>8</v>
      </c>
      <c r="V4783" t="n">
        <v>30</v>
      </c>
      <c r="W4783" t="n">
        <v>6</v>
      </c>
      <c r="X4783" t="n">
        <v>80.04574042309891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11602</v>
      </c>
      <c r="AG4783" t="n">
        <v>2141</v>
      </c>
      <c r="AH4783" t="inlineStr">
        <is>
          <t>PT. PARAMA GLOBAL INSPIRA - PPN (JMB)</t>
        </is>
      </c>
      <c r="AI4783" t="n">
        <v>164</v>
      </c>
      <c r="AJ4783" t="inlineStr">
        <is>
          <t>WARDAH</t>
        </is>
      </c>
      <c r="AK4783" t="n">
        <v>9</v>
      </c>
      <c r="AL4783" t="inlineStr">
        <is>
          <t>Miss Glam Jambi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"8993137691055"</f>
        <v/>
      </c>
      <c r="C4784" t="inlineStr">
        <is>
          <t>WARDAH EyeXpert Perfectcurl Mascara 7gr</t>
        </is>
      </c>
      <c r="D4784" t="inlineStr">
        <is>
          <t>Miss Glam Jambi</t>
        </is>
      </c>
      <c r="E4784" t="n">
        <v>2</v>
      </c>
      <c r="F4784" t="n">
        <v>0.0726</v>
      </c>
      <c r="G4784" t="n">
        <v>0.66</v>
      </c>
      <c r="H4784" t="n">
        <v>2</v>
      </c>
      <c r="I4784" t="n">
        <v>7</v>
      </c>
      <c r="J4784" t="n">
        <v>3</v>
      </c>
      <c r="K4784" t="n">
        <v>3</v>
      </c>
      <c r="L4784" t="n">
        <v>55172</v>
      </c>
      <c r="M4784" t="n">
        <v>64500</v>
      </c>
      <c r="N4784" t="n">
        <v>33</v>
      </c>
      <c r="O4784" t="n">
        <v>0.33</v>
      </c>
      <c r="P4784" t="n">
        <v>1</v>
      </c>
      <c r="Q4784" t="n">
        <v>0.14</v>
      </c>
      <c r="R4784" t="n">
        <v>1</v>
      </c>
      <c r="S4784" t="n">
        <v>4682.7</v>
      </c>
      <c r="T4784" t="n">
        <v>5</v>
      </c>
      <c r="U4784" t="n">
        <v>6</v>
      </c>
      <c r="V4784" t="n">
        <v>30</v>
      </c>
      <c r="W4784" t="n">
        <v>3</v>
      </c>
      <c r="X4784" t="n">
        <v>27.54820936639118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11602</v>
      </c>
      <c r="AG4784" t="n">
        <v>2141</v>
      </c>
      <c r="AH4784" t="inlineStr">
        <is>
          <t>PT. PARAMA GLOBAL INSPIRA - PPN (JMB)</t>
        </is>
      </c>
      <c r="AI4784" t="n">
        <v>164</v>
      </c>
      <c r="AJ4784" t="inlineStr">
        <is>
          <t>WARDAH</t>
        </is>
      </c>
      <c r="AK4784" t="n">
        <v>9</v>
      </c>
      <c r="AL4784" t="inlineStr">
        <is>
          <t>Miss Glam Jambi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"8993137690683"</f>
        <v/>
      </c>
      <c r="C4785" t="inlineStr">
        <is>
          <t>WARDAH EyeXpert Staylast Liwuid Eyeliner 3.5gr</t>
        </is>
      </c>
      <c r="D4785" t="inlineStr">
        <is>
          <t>Miss Glam Jambi</t>
        </is>
      </c>
      <c r="E4785" t="n">
        <v>4</v>
      </c>
      <c r="F4785" t="n">
        <v>0.02</v>
      </c>
      <c r="G4785" t="n">
        <v>1</v>
      </c>
      <c r="H4785" t="n">
        <v>2</v>
      </c>
      <c r="I4785" t="n">
        <v>7</v>
      </c>
      <c r="J4785" t="n">
        <v>3</v>
      </c>
      <c r="K4785" t="n">
        <v>0</v>
      </c>
      <c r="L4785" t="n">
        <v>32664</v>
      </c>
      <c r="M4785" t="n">
        <v>38000</v>
      </c>
      <c r="N4785" t="n">
        <v>33</v>
      </c>
      <c r="O4785" t="n">
        <v>0.33</v>
      </c>
      <c r="P4785" t="n">
        <v>0</v>
      </c>
      <c r="Q4785" t="n">
        <v>0.02</v>
      </c>
      <c r="R4785" t="n">
        <v>1</v>
      </c>
      <c r="S4785" t="n">
        <v>760</v>
      </c>
      <c r="T4785" t="n">
        <v>7</v>
      </c>
      <c r="U4785" t="n">
        <v>8</v>
      </c>
      <c r="V4785" t="n">
        <v>30</v>
      </c>
      <c r="W4785" t="n">
        <v>1</v>
      </c>
      <c r="X4785" t="n">
        <v>200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11602</v>
      </c>
      <c r="AG4785" t="n">
        <v>2141</v>
      </c>
      <c r="AH4785" t="inlineStr">
        <is>
          <t>PT. PARAMA GLOBAL INSPIRA - PPN (JMB)</t>
        </is>
      </c>
      <c r="AI4785" t="n">
        <v>164</v>
      </c>
      <c r="AJ4785" t="inlineStr">
        <is>
          <t>WARDAH</t>
        </is>
      </c>
      <c r="AK4785" t="n">
        <v>9</v>
      </c>
      <c r="AL4785" t="inlineStr">
        <is>
          <t>Miss Glam Jambi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"8993137694155"</f>
        <v/>
      </c>
      <c r="C4786" t="inlineStr">
        <is>
          <t>WARDAH EyeXpert The Volume Expert Mascara 7gr</t>
        </is>
      </c>
      <c r="D4786" t="inlineStr">
        <is>
          <t>Miss Glam Jambi</t>
        </is>
      </c>
      <c r="E4786" t="n">
        <v>8</v>
      </c>
      <c r="F4786" t="n">
        <v>0.2277</v>
      </c>
      <c r="G4786" t="n">
        <v>0.66</v>
      </c>
      <c r="H4786" t="n">
        <v>2</v>
      </c>
      <c r="I4786" t="n">
        <v>7</v>
      </c>
      <c r="J4786" t="n">
        <v>3</v>
      </c>
      <c r="K4786" t="n">
        <v>0</v>
      </c>
      <c r="L4786" t="n">
        <v>65135</v>
      </c>
      <c r="M4786" t="n">
        <v>79000</v>
      </c>
      <c r="N4786" t="n">
        <v>33</v>
      </c>
      <c r="O4786" t="n">
        <v>0.33</v>
      </c>
      <c r="P4786" t="n">
        <v>1</v>
      </c>
      <c r="Q4786" t="n">
        <v>0.17</v>
      </c>
      <c r="R4786" t="n">
        <v>2</v>
      </c>
      <c r="S4786" t="n">
        <v>17988.3</v>
      </c>
      <c r="T4786" t="n">
        <v>5</v>
      </c>
      <c r="U4786" t="n">
        <v>6</v>
      </c>
      <c r="V4786" t="n">
        <v>30</v>
      </c>
      <c r="W4786" t="n">
        <v>7</v>
      </c>
      <c r="X4786" t="n">
        <v>35.13394817742644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11602</v>
      </c>
      <c r="AG4786" t="n">
        <v>2141</v>
      </c>
      <c r="AH4786" t="inlineStr">
        <is>
          <t>PT. PARAMA GLOBAL INSPIRA - PPN (JMB)</t>
        </is>
      </c>
      <c r="AI4786" t="n">
        <v>164</v>
      </c>
      <c r="AJ4786" t="inlineStr">
        <is>
          <t>WARDAH</t>
        </is>
      </c>
      <c r="AK4786" t="n">
        <v>9</v>
      </c>
      <c r="AL4786" t="inlineStr">
        <is>
          <t>Miss Glam Jambi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"8993137000666"</f>
        <v/>
      </c>
      <c r="C4787" t="inlineStr">
        <is>
          <t>WARDAH Glasting Liquid Lip 01 Caramel Coat 3,5gr</t>
        </is>
      </c>
      <c r="D4787" t="inlineStr">
        <is>
          <t>Miss Glam Jambi</t>
        </is>
      </c>
      <c r="E4787" t="n">
        <v>8</v>
      </c>
      <c r="F4787" t="n">
        <v>0.1188</v>
      </c>
      <c r="G4787" t="n">
        <v>0.99</v>
      </c>
      <c r="H4787" t="n">
        <v>2</v>
      </c>
      <c r="I4787" t="n">
        <v>7</v>
      </c>
      <c r="J4787" t="n">
        <v>3</v>
      </c>
      <c r="K4787" t="n">
        <v>0</v>
      </c>
      <c r="L4787" t="n">
        <v>70112</v>
      </c>
      <c r="M4787" t="n">
        <v>80000</v>
      </c>
      <c r="N4787" t="n">
        <v>33</v>
      </c>
      <c r="O4787" t="n">
        <v>0.33</v>
      </c>
      <c r="P4787" t="n">
        <v>1</v>
      </c>
      <c r="Q4787" t="n">
        <v>0.49</v>
      </c>
      <c r="R4787" t="n">
        <v>3</v>
      </c>
      <c r="S4787" t="n">
        <v>9504</v>
      </c>
      <c r="T4787" t="n">
        <v>7</v>
      </c>
      <c r="U4787" t="n">
        <v>8</v>
      </c>
      <c r="V4787" t="n">
        <v>30</v>
      </c>
      <c r="W4787" t="n">
        <v>4</v>
      </c>
      <c r="X4787" t="n">
        <v>67.34006734006734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11602</v>
      </c>
      <c r="AG4787" t="n">
        <v>2141</v>
      </c>
      <c r="AH4787" t="inlineStr">
        <is>
          <t>PT. PARAMA GLOBAL INSPIRA - PPN (JMB)</t>
        </is>
      </c>
      <c r="AI4787" t="n">
        <v>164</v>
      </c>
      <c r="AJ4787" t="inlineStr">
        <is>
          <t>WARDAH</t>
        </is>
      </c>
      <c r="AK4787" t="n">
        <v>9</v>
      </c>
      <c r="AL4787" t="inlineStr">
        <is>
          <t>Miss Glam Jambi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"8993137000673"</f>
        <v/>
      </c>
      <c r="C4788" t="inlineStr">
        <is>
          <t>WARDAH Glasting Liquid Lip 02 Peach Polish 3,5gr</t>
        </is>
      </c>
      <c r="D4788" t="inlineStr">
        <is>
          <t>Miss Glam Jambi</t>
        </is>
      </c>
      <c r="E4788" t="n">
        <v>11</v>
      </c>
      <c r="F4788" t="n">
        <v>0.3234</v>
      </c>
      <c r="G4788" t="n">
        <v>1.65</v>
      </c>
      <c r="H4788" t="n">
        <v>2</v>
      </c>
      <c r="I4788" t="n">
        <v>7</v>
      </c>
      <c r="J4788" t="n">
        <v>3</v>
      </c>
      <c r="K4788" t="n">
        <v>0</v>
      </c>
      <c r="L4788" t="n">
        <v>68582</v>
      </c>
      <c r="M4788" t="n">
        <v>80000</v>
      </c>
      <c r="N4788" t="n">
        <v>33</v>
      </c>
      <c r="O4788" t="n">
        <v>0.33</v>
      </c>
      <c r="P4788" t="n">
        <v>1</v>
      </c>
      <c r="Q4788" t="n">
        <v>0.27</v>
      </c>
      <c r="R4788" t="n">
        <v>1</v>
      </c>
      <c r="S4788" t="n">
        <v>25872</v>
      </c>
      <c r="T4788" t="n">
        <v>11</v>
      </c>
      <c r="U4788" t="n">
        <v>12</v>
      </c>
      <c r="V4788" t="n">
        <v>30</v>
      </c>
      <c r="W4788" t="n">
        <v>10</v>
      </c>
      <c r="X4788" t="n">
        <v>34.01360544217687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11602</v>
      </c>
      <c r="AG4788" t="n">
        <v>2141</v>
      </c>
      <c r="AH4788" t="inlineStr">
        <is>
          <t>PT. PARAMA GLOBAL INSPIRA - PPN (JMB)</t>
        </is>
      </c>
      <c r="AI4788" t="n">
        <v>164</v>
      </c>
      <c r="AJ4788" t="inlineStr">
        <is>
          <t>WARDAH</t>
        </is>
      </c>
      <c r="AK4788" t="n">
        <v>9</v>
      </c>
      <c r="AL4788" t="inlineStr">
        <is>
          <t>Miss Glam Jambi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"8993137000680"</f>
        <v/>
      </c>
      <c r="C4789" t="inlineStr">
        <is>
          <t>WARDAH Glasting Liquid Lip 03 Dazzle Mapple 3,5gr</t>
        </is>
      </c>
      <c r="D4789" t="inlineStr">
        <is>
          <t>Miss Glam Jambi</t>
        </is>
      </c>
      <c r="E4789" t="n">
        <v>9</v>
      </c>
      <c r="F4789" t="n">
        <v>0.06270000000000001</v>
      </c>
      <c r="G4789" t="n">
        <v>0.66</v>
      </c>
      <c r="H4789" t="n">
        <v>2</v>
      </c>
      <c r="I4789" t="n">
        <v>7</v>
      </c>
      <c r="J4789" t="n">
        <v>3</v>
      </c>
      <c r="K4789" t="n">
        <v>0</v>
      </c>
      <c r="L4789" t="n">
        <v>70275</v>
      </c>
      <c r="M4789" t="n">
        <v>80000</v>
      </c>
      <c r="N4789" t="n">
        <v>33</v>
      </c>
      <c r="O4789" t="n">
        <v>0.33</v>
      </c>
      <c r="P4789" t="n">
        <v>1</v>
      </c>
      <c r="Q4789" t="n">
        <v>0.1</v>
      </c>
      <c r="R4789" t="n">
        <v>2</v>
      </c>
      <c r="S4789" t="n">
        <v>5016.000000000001</v>
      </c>
      <c r="T4789" t="n">
        <v>5</v>
      </c>
      <c r="U4789" t="n">
        <v>6</v>
      </c>
      <c r="V4789" t="n">
        <v>30</v>
      </c>
      <c r="W4789" t="n">
        <v>2</v>
      </c>
      <c r="X4789" t="n">
        <v>143.5406698564593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11602</v>
      </c>
      <c r="AG4789" t="n">
        <v>2141</v>
      </c>
      <c r="AH4789" t="inlineStr">
        <is>
          <t>PT. PARAMA GLOBAL INSPIRA - PPN (JMB)</t>
        </is>
      </c>
      <c r="AI4789" t="n">
        <v>164</v>
      </c>
      <c r="AJ4789" t="inlineStr">
        <is>
          <t>WARDAH</t>
        </is>
      </c>
      <c r="AK4789" t="n">
        <v>9</v>
      </c>
      <c r="AL4789" t="inlineStr">
        <is>
          <t>Miss Glam Jambi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"8993137000697"</f>
        <v/>
      </c>
      <c r="C4790" t="inlineStr">
        <is>
          <t>WARDAH Glasting Liquid Lip 04 Rosewood Radiance 3,5gr</t>
        </is>
      </c>
      <c r="D4790" t="inlineStr">
        <is>
          <t>Miss Glam Jambi</t>
        </is>
      </c>
      <c r="E4790" t="n">
        <v>17</v>
      </c>
      <c r="F4790" t="n">
        <v>0.4191</v>
      </c>
      <c r="G4790" t="n">
        <v>1.32</v>
      </c>
      <c r="H4790" t="n">
        <v>2</v>
      </c>
      <c r="I4790" t="n">
        <v>7</v>
      </c>
      <c r="J4790" t="n">
        <v>3</v>
      </c>
      <c r="K4790" t="n">
        <v>0</v>
      </c>
      <c r="L4790" t="n">
        <v>70284</v>
      </c>
      <c r="M4790" t="n">
        <v>80000</v>
      </c>
      <c r="N4790" t="n">
        <v>33</v>
      </c>
      <c r="O4790" t="n">
        <v>0.33</v>
      </c>
      <c r="P4790" t="n">
        <v>1</v>
      </c>
      <c r="Q4790" t="n">
        <v>0.39</v>
      </c>
      <c r="R4790" t="n">
        <v>3</v>
      </c>
      <c r="S4790" t="n">
        <v>33528</v>
      </c>
      <c r="T4790" t="n">
        <v>9</v>
      </c>
      <c r="U4790" t="n">
        <v>10</v>
      </c>
      <c r="V4790" t="n">
        <v>30</v>
      </c>
      <c r="W4790" t="n">
        <v>13</v>
      </c>
      <c r="X4790" t="n">
        <v>40.56311142925316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11602</v>
      </c>
      <c r="AG4790" t="n">
        <v>2141</v>
      </c>
      <c r="AH4790" t="inlineStr">
        <is>
          <t>PT. PARAMA GLOBAL INSPIRA - PPN (JMB)</t>
        </is>
      </c>
      <c r="AI4790" t="n">
        <v>164</v>
      </c>
      <c r="AJ4790" t="inlineStr">
        <is>
          <t>WARDAH</t>
        </is>
      </c>
      <c r="AK4790" t="n">
        <v>9</v>
      </c>
      <c r="AL4790" t="inlineStr">
        <is>
          <t>Miss Glam Jambi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"8993137000703"</f>
        <v/>
      </c>
      <c r="C4791" t="inlineStr">
        <is>
          <t>WARDAH Glasting Liquid Lip 05 Glazing Berry 3,5gr</t>
        </is>
      </c>
      <c r="D4791" t="inlineStr">
        <is>
          <t>Miss Glam Jambi</t>
        </is>
      </c>
      <c r="E4791" t="n">
        <v>15</v>
      </c>
      <c r="F4791" t="n">
        <v>0.4323</v>
      </c>
      <c r="G4791" t="n">
        <v>1.65</v>
      </c>
      <c r="H4791" t="n">
        <v>2</v>
      </c>
      <c r="I4791" t="n">
        <v>7</v>
      </c>
      <c r="J4791" t="n">
        <v>3</v>
      </c>
      <c r="K4791" t="n">
        <v>0</v>
      </c>
      <c r="L4791" t="n">
        <v>68584</v>
      </c>
      <c r="M4791" t="n">
        <v>80000</v>
      </c>
      <c r="N4791" t="n">
        <v>33</v>
      </c>
      <c r="O4791" t="n">
        <v>0.33</v>
      </c>
      <c r="P4791" t="n">
        <v>1</v>
      </c>
      <c r="Q4791" t="n">
        <v>0.47</v>
      </c>
      <c r="R4791" t="n">
        <v>3</v>
      </c>
      <c r="S4791" t="n">
        <v>34584</v>
      </c>
      <c r="T4791" t="n">
        <v>11</v>
      </c>
      <c r="U4791" t="n">
        <v>12</v>
      </c>
      <c r="V4791" t="n">
        <v>30</v>
      </c>
      <c r="W4791" t="n">
        <v>13</v>
      </c>
      <c r="X4791" t="n">
        <v>34.69812630117973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11602</v>
      </c>
      <c r="AG4791" t="n">
        <v>2141</v>
      </c>
      <c r="AH4791" t="inlineStr">
        <is>
          <t>PT. PARAMA GLOBAL INSPIRA - PPN (JMB)</t>
        </is>
      </c>
      <c r="AI4791" t="n">
        <v>164</v>
      </c>
      <c r="AJ4791" t="inlineStr">
        <is>
          <t>WARDAH</t>
        </is>
      </c>
      <c r="AK4791" t="n">
        <v>9</v>
      </c>
      <c r="AL4791" t="inlineStr">
        <is>
          <t>Miss Glam Jambi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"8993137000710"</f>
        <v/>
      </c>
      <c r="C4792" t="inlineStr">
        <is>
          <t>WARDAH Glasting Liquid Lip 06 Ruby Sparks 3,5gr</t>
        </is>
      </c>
      <c r="D4792" t="inlineStr">
        <is>
          <t>Miss Glam Jambi</t>
        </is>
      </c>
      <c r="E4792" t="n">
        <v>13</v>
      </c>
      <c r="F4792" t="n">
        <v>0.2508</v>
      </c>
      <c r="G4792" t="n">
        <v>0.99</v>
      </c>
      <c r="H4792" t="n">
        <v>2</v>
      </c>
      <c r="I4792" t="n">
        <v>7</v>
      </c>
      <c r="J4792" t="n">
        <v>3</v>
      </c>
      <c r="K4792" t="n">
        <v>0</v>
      </c>
      <c r="L4792" t="n">
        <v>70955</v>
      </c>
      <c r="M4792" t="n">
        <v>80000</v>
      </c>
      <c r="N4792" t="n">
        <v>33</v>
      </c>
      <c r="O4792" t="n">
        <v>0.33</v>
      </c>
      <c r="P4792" t="n">
        <v>1</v>
      </c>
      <c r="Q4792" t="n">
        <v>0.19</v>
      </c>
      <c r="R4792" t="n">
        <v>2</v>
      </c>
      <c r="S4792" t="n">
        <v>20064</v>
      </c>
      <c r="T4792" t="n">
        <v>7</v>
      </c>
      <c r="U4792" t="n">
        <v>8</v>
      </c>
      <c r="V4792" t="n">
        <v>30</v>
      </c>
      <c r="W4792" t="n">
        <v>8</v>
      </c>
      <c r="X4792" t="n">
        <v>51.8341307814992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11602</v>
      </c>
      <c r="AG4792" t="n">
        <v>2141</v>
      </c>
      <c r="AH4792" t="inlineStr">
        <is>
          <t>PT. PARAMA GLOBAL INSPIRA - PPN (JMB)</t>
        </is>
      </c>
      <c r="AI4792" t="n">
        <v>164</v>
      </c>
      <c r="AJ4792" t="inlineStr">
        <is>
          <t>WARDAH</t>
        </is>
      </c>
      <c r="AK4792" t="n">
        <v>9</v>
      </c>
      <c r="AL4792" t="inlineStr">
        <is>
          <t>Miss Glam Jambi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"8993137000727"</f>
        <v/>
      </c>
      <c r="C4793" t="inlineStr">
        <is>
          <t>WARDAH Glasting Liquid Lip 07 Rouge Flare 3,5gr</t>
        </is>
      </c>
      <c r="D4793" t="inlineStr">
        <is>
          <t>Miss Glam Jambi</t>
        </is>
      </c>
      <c r="E4793" t="n">
        <v>14</v>
      </c>
      <c r="F4793" t="n">
        <v>0.2904</v>
      </c>
      <c r="G4793" t="n">
        <v>0.99</v>
      </c>
      <c r="H4793" t="n">
        <v>2</v>
      </c>
      <c r="I4793" t="n">
        <v>7</v>
      </c>
      <c r="J4793" t="n">
        <v>3</v>
      </c>
      <c r="K4793" t="n">
        <v>0</v>
      </c>
      <c r="L4793" t="n">
        <v>70623</v>
      </c>
      <c r="M4793" t="n">
        <v>80000</v>
      </c>
      <c r="N4793" t="n">
        <v>33</v>
      </c>
      <c r="O4793" t="n">
        <v>0.33</v>
      </c>
      <c r="P4793" t="n">
        <v>1</v>
      </c>
      <c r="Q4793" t="n">
        <v>0.42</v>
      </c>
      <c r="R4793" t="n">
        <v>2</v>
      </c>
      <c r="S4793" t="n">
        <v>23232</v>
      </c>
      <c r="T4793" t="n">
        <v>7</v>
      </c>
      <c r="U4793" t="n">
        <v>8</v>
      </c>
      <c r="V4793" t="n">
        <v>30</v>
      </c>
      <c r="W4793" t="n">
        <v>9</v>
      </c>
      <c r="X4793" t="n">
        <v>48.20936639118457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11602</v>
      </c>
      <c r="AG4793" t="n">
        <v>2141</v>
      </c>
      <c r="AH4793" t="inlineStr">
        <is>
          <t>PT. PARAMA GLOBAL INSPIRA - PPN (JMB)</t>
        </is>
      </c>
      <c r="AI4793" t="n">
        <v>164</v>
      </c>
      <c r="AJ4793" t="inlineStr">
        <is>
          <t>WARDAH</t>
        </is>
      </c>
      <c r="AK4793" t="n">
        <v>9</v>
      </c>
      <c r="AL4793" t="inlineStr">
        <is>
          <t>Miss Glam Jambi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"8993137000734"</f>
        <v/>
      </c>
      <c r="C4794" t="inlineStr">
        <is>
          <t>WARDAH Glasting Liquid Lip 08 Plush Pome 3,5gr</t>
        </is>
      </c>
      <c r="D4794" t="inlineStr">
        <is>
          <t>Miss Glam Jambi</t>
        </is>
      </c>
      <c r="E4794" t="n">
        <v>21</v>
      </c>
      <c r="F4794" t="n">
        <v>0.4488</v>
      </c>
      <c r="G4794" t="n">
        <v>1.65</v>
      </c>
      <c r="H4794" t="n">
        <v>2</v>
      </c>
      <c r="I4794" t="n">
        <v>7</v>
      </c>
      <c r="J4794" t="n">
        <v>3</v>
      </c>
      <c r="K4794" t="n">
        <v>0</v>
      </c>
      <c r="L4794" t="n">
        <v>68584</v>
      </c>
      <c r="M4794" t="n">
        <v>80000</v>
      </c>
      <c r="N4794" t="n">
        <v>33</v>
      </c>
      <c r="O4794" t="n">
        <v>0.33</v>
      </c>
      <c r="P4794" t="n">
        <v>1</v>
      </c>
      <c r="Q4794" t="n">
        <v>0.8100000000000001</v>
      </c>
      <c r="R4794" t="n">
        <v>4</v>
      </c>
      <c r="S4794" t="n">
        <v>35904</v>
      </c>
      <c r="T4794" t="n">
        <v>11</v>
      </c>
      <c r="U4794" t="n">
        <v>12</v>
      </c>
      <c r="V4794" t="n">
        <v>30</v>
      </c>
      <c r="W4794" t="n">
        <v>14</v>
      </c>
      <c r="X4794" t="n">
        <v>46.79144385026738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11602</v>
      </c>
      <c r="AG4794" t="n">
        <v>2141</v>
      </c>
      <c r="AH4794" t="inlineStr">
        <is>
          <t>PT. PARAMA GLOBAL INSPIRA - PPN (JMB)</t>
        </is>
      </c>
      <c r="AI4794" t="n">
        <v>164</v>
      </c>
      <c r="AJ4794" t="inlineStr">
        <is>
          <t>WARDAH</t>
        </is>
      </c>
      <c r="AK4794" t="n">
        <v>9</v>
      </c>
      <c r="AL4794" t="inlineStr">
        <is>
          <t>Miss Glam Jambi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"8993137007627"</f>
        <v/>
      </c>
      <c r="C4795" t="inlineStr">
        <is>
          <t>WARDAH Glasting Liquid Lip 09 Fudgy Toffee 3,5gr</t>
        </is>
      </c>
      <c r="D4795" t="inlineStr">
        <is>
          <t>Miss Glam Jambi</t>
        </is>
      </c>
      <c r="E4795" t="n">
        <v>3</v>
      </c>
      <c r="F4795" t="n">
        <v>0.1122</v>
      </c>
      <c r="G4795" t="n">
        <v>0.99</v>
      </c>
      <c r="H4795" t="n">
        <v>2</v>
      </c>
      <c r="I4795" t="n">
        <v>7</v>
      </c>
      <c r="J4795" t="n">
        <v>3</v>
      </c>
      <c r="K4795" t="n">
        <v>3</v>
      </c>
      <c r="L4795" t="n">
        <v>68574</v>
      </c>
      <c r="M4795" t="n">
        <v>80000</v>
      </c>
      <c r="N4795" t="n">
        <v>33</v>
      </c>
      <c r="O4795" t="n">
        <v>0.33</v>
      </c>
      <c r="P4795" t="n">
        <v>1</v>
      </c>
      <c r="Q4795" t="n">
        <v>0.02</v>
      </c>
      <c r="R4795" t="n">
        <v>1</v>
      </c>
      <c r="S4795" t="n">
        <v>8976</v>
      </c>
      <c r="T4795" t="n">
        <v>7</v>
      </c>
      <c r="U4795" t="n">
        <v>8</v>
      </c>
      <c r="V4795" t="n">
        <v>30</v>
      </c>
      <c r="W4795" t="n">
        <v>4</v>
      </c>
      <c r="X4795" t="n">
        <v>26.7379679144385</v>
      </c>
      <c r="Y4795" t="n">
        <v>1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11602</v>
      </c>
      <c r="AG4795" t="n">
        <v>2141</v>
      </c>
      <c r="AH4795" t="inlineStr">
        <is>
          <t>PT. PARAMA GLOBAL INSPIRA - PPN (JMB)</t>
        </is>
      </c>
      <c r="AI4795" t="n">
        <v>164</v>
      </c>
      <c r="AJ4795" t="inlineStr">
        <is>
          <t>WARDAH</t>
        </is>
      </c>
      <c r="AK4795" t="n">
        <v>9</v>
      </c>
      <c r="AL4795" t="inlineStr">
        <is>
          <t>Miss Glam Jambi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"8993137007634"</f>
        <v/>
      </c>
      <c r="C4796" t="inlineStr">
        <is>
          <t>WARDAH Glasting Liquid Lip 10 Ombre Sheen 3,5gr</t>
        </is>
      </c>
      <c r="D4796" t="inlineStr">
        <is>
          <t>Miss Glam Jambi</t>
        </is>
      </c>
      <c r="E4796" t="n">
        <v>10</v>
      </c>
      <c r="F4796" t="n">
        <v>0.2178</v>
      </c>
      <c r="G4796" t="n">
        <v>0.99</v>
      </c>
      <c r="H4796" t="n">
        <v>2</v>
      </c>
      <c r="I4796" t="n">
        <v>7</v>
      </c>
      <c r="J4796" t="n">
        <v>3</v>
      </c>
      <c r="K4796" t="n">
        <v>0</v>
      </c>
      <c r="L4796" t="n">
        <v>70114</v>
      </c>
      <c r="M4796" t="n">
        <v>80000</v>
      </c>
      <c r="N4796" t="n">
        <v>33</v>
      </c>
      <c r="O4796" t="n">
        <v>0.33</v>
      </c>
      <c r="P4796" t="n">
        <v>1</v>
      </c>
      <c r="Q4796" t="n">
        <v>0.29</v>
      </c>
      <c r="R4796" t="n">
        <v>2</v>
      </c>
      <c r="S4796" t="n">
        <v>17424</v>
      </c>
      <c r="T4796" t="n">
        <v>7</v>
      </c>
      <c r="U4796" t="n">
        <v>8</v>
      </c>
      <c r="V4796" t="n">
        <v>30</v>
      </c>
      <c r="W4796" t="n">
        <v>7</v>
      </c>
      <c r="X4796" t="n">
        <v>45.91368227731864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11602</v>
      </c>
      <c r="AG4796" t="n">
        <v>2141</v>
      </c>
      <c r="AH4796" t="inlineStr">
        <is>
          <t>PT. PARAMA GLOBAL INSPIRA - PPN (JMB)</t>
        </is>
      </c>
      <c r="AI4796" t="n">
        <v>164</v>
      </c>
      <c r="AJ4796" t="inlineStr">
        <is>
          <t>WARDAH</t>
        </is>
      </c>
      <c r="AK4796" t="n">
        <v>9</v>
      </c>
      <c r="AL4796" t="inlineStr">
        <is>
          <t>Miss Glam Jambi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"8993137007641"</f>
        <v/>
      </c>
      <c r="C4797" t="inlineStr">
        <is>
          <t>WARDAH Glasting Liquid Lip 11 Petal Brush 3,5gr</t>
        </is>
      </c>
      <c r="D4797" t="inlineStr">
        <is>
          <t>Miss Glam Jambi</t>
        </is>
      </c>
      <c r="E4797" t="n">
        <v>5</v>
      </c>
      <c r="F4797" t="n">
        <v>0.2739</v>
      </c>
      <c r="G4797" t="n">
        <v>0.99</v>
      </c>
      <c r="H4797" t="n">
        <v>2</v>
      </c>
      <c r="I4797" t="n">
        <v>7</v>
      </c>
      <c r="J4797" t="n">
        <v>3</v>
      </c>
      <c r="K4797" t="n">
        <v>4</v>
      </c>
      <c r="L4797" t="n">
        <v>68298</v>
      </c>
      <c r="M4797" t="n">
        <v>80000</v>
      </c>
      <c r="N4797" t="n">
        <v>33</v>
      </c>
      <c r="O4797" t="n">
        <v>0.33</v>
      </c>
      <c r="P4797" t="n">
        <v>1</v>
      </c>
      <c r="Q4797" t="n">
        <v>0.24</v>
      </c>
      <c r="R4797" t="n">
        <v>2</v>
      </c>
      <c r="S4797" t="n">
        <v>21912</v>
      </c>
      <c r="T4797" t="n">
        <v>7</v>
      </c>
      <c r="U4797" t="n">
        <v>8</v>
      </c>
      <c r="V4797" t="n">
        <v>30</v>
      </c>
      <c r="W4797" t="n">
        <v>9</v>
      </c>
      <c r="X4797" t="n">
        <v>18.25483753194597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11602</v>
      </c>
      <c r="AG4797" t="n">
        <v>2141</v>
      </c>
      <c r="AH4797" t="inlineStr">
        <is>
          <t>PT. PARAMA GLOBAL INSPIRA - PPN (JMB)</t>
        </is>
      </c>
      <c r="AI4797" t="n">
        <v>164</v>
      </c>
      <c r="AJ4797" t="inlineStr">
        <is>
          <t>WARDAH</t>
        </is>
      </c>
      <c r="AK4797" t="n">
        <v>9</v>
      </c>
      <c r="AL4797" t="inlineStr">
        <is>
          <t>Miss Glam Jambi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"8993137007658"</f>
        <v/>
      </c>
      <c r="C4798" t="inlineStr">
        <is>
          <t>WARDAH Glasting Liquid Lip 12 Shine Sorbet  3,5gr</t>
        </is>
      </c>
      <c r="D4798" t="inlineStr">
        <is>
          <t>Miss Glam Jambi</t>
        </is>
      </c>
      <c r="E4798" t="n">
        <v>22</v>
      </c>
      <c r="F4798" t="n">
        <v>0.7722</v>
      </c>
      <c r="G4798" t="n">
        <v>2.31</v>
      </c>
      <c r="H4798" t="n">
        <v>2</v>
      </c>
      <c r="I4798" t="n">
        <v>7</v>
      </c>
      <c r="J4798" t="n">
        <v>3</v>
      </c>
      <c r="K4798" t="n">
        <v>0</v>
      </c>
      <c r="L4798" t="n">
        <v>68583</v>
      </c>
      <c r="M4798" t="n">
        <v>80000</v>
      </c>
      <c r="N4798" t="n">
        <v>33</v>
      </c>
      <c r="O4798" t="n">
        <v>0.33</v>
      </c>
      <c r="P4798" t="n">
        <v>1</v>
      </c>
      <c r="Q4798" t="n">
        <v>0.8</v>
      </c>
      <c r="R4798" t="n">
        <v>4</v>
      </c>
      <c r="S4798" t="n">
        <v>61776</v>
      </c>
      <c r="T4798" t="n">
        <v>15</v>
      </c>
      <c r="U4798" t="n">
        <v>17</v>
      </c>
      <c r="V4798" t="n">
        <v>30</v>
      </c>
      <c r="W4798" t="n">
        <v>24</v>
      </c>
      <c r="X4798" t="n">
        <v>28.49002849002849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11602</v>
      </c>
      <c r="AG4798" t="n">
        <v>2141</v>
      </c>
      <c r="AH4798" t="inlineStr">
        <is>
          <t>PT. PARAMA GLOBAL INSPIRA - PPN (JMB)</t>
        </is>
      </c>
      <c r="AI4798" t="n">
        <v>164</v>
      </c>
      <c r="AJ4798" t="inlineStr">
        <is>
          <t>WARDAH</t>
        </is>
      </c>
      <c r="AK4798" t="n">
        <v>9</v>
      </c>
      <c r="AL4798" t="inlineStr">
        <is>
          <t>Miss Glam Jambi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"8993137007665"</f>
        <v/>
      </c>
      <c r="C4799" t="inlineStr">
        <is>
          <t>WARDAH Glasting Liquid Lip 13 Pumpkin Drip  3,5gr</t>
        </is>
      </c>
      <c r="D4799" t="inlineStr">
        <is>
          <t>Miss Glam Jambi</t>
        </is>
      </c>
      <c r="E4799" t="n">
        <v>6</v>
      </c>
      <c r="F4799" t="n">
        <v>0.2013</v>
      </c>
      <c r="G4799" t="n">
        <v>1.32</v>
      </c>
      <c r="H4799" t="n">
        <v>2</v>
      </c>
      <c r="I4799" t="n">
        <v>7</v>
      </c>
      <c r="J4799" t="n">
        <v>3</v>
      </c>
      <c r="K4799" t="n">
        <v>3</v>
      </c>
      <c r="L4799" t="n">
        <v>70760</v>
      </c>
      <c r="M4799" t="n">
        <v>80000</v>
      </c>
      <c r="N4799" t="n">
        <v>33</v>
      </c>
      <c r="O4799" t="n">
        <v>0.33</v>
      </c>
      <c r="P4799" t="n">
        <v>1</v>
      </c>
      <c r="Q4799" t="n">
        <v>0.19</v>
      </c>
      <c r="R4799" t="n">
        <v>2</v>
      </c>
      <c r="S4799" t="n">
        <v>16104</v>
      </c>
      <c r="T4799" t="n">
        <v>9</v>
      </c>
      <c r="U4799" t="n">
        <v>10</v>
      </c>
      <c r="V4799" t="n">
        <v>30</v>
      </c>
      <c r="W4799" t="n">
        <v>7</v>
      </c>
      <c r="X4799" t="n">
        <v>29.80625931445604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11602</v>
      </c>
      <c r="AG4799" t="n">
        <v>2141</v>
      </c>
      <c r="AH4799" t="inlineStr">
        <is>
          <t>PT. PARAMA GLOBAL INSPIRA - PPN (JMB)</t>
        </is>
      </c>
      <c r="AI4799" t="n">
        <v>164</v>
      </c>
      <c r="AJ4799" t="inlineStr">
        <is>
          <t>WARDAH</t>
        </is>
      </c>
      <c r="AK4799" t="n">
        <v>9</v>
      </c>
      <c r="AL4799" t="inlineStr">
        <is>
          <t>Miss Glam Jambi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"203002187023"</f>
        <v/>
      </c>
      <c r="C4800" t="inlineStr">
        <is>
          <t>WARDAH Glasting Liquid Lip 14 Latte Lacquer 3.5gr</t>
        </is>
      </c>
      <c r="D4800" t="inlineStr">
        <is>
          <t>Miss Glam Jambi</t>
        </is>
      </c>
      <c r="E4800" t="n">
        <v>28</v>
      </c>
      <c r="F4800" t="n">
        <v>0.0561</v>
      </c>
      <c r="G4800" t="n">
        <v>0.66</v>
      </c>
      <c r="H4800" t="n">
        <v>2</v>
      </c>
      <c r="I4800" t="n">
        <v>7</v>
      </c>
      <c r="J4800" t="n">
        <v>1</v>
      </c>
      <c r="K4800" t="n">
        <v>0</v>
      </c>
      <c r="L4800" t="n">
        <v>68298</v>
      </c>
      <c r="M4800" t="n">
        <v>80000</v>
      </c>
      <c r="N4800" t="n">
        <v>33</v>
      </c>
      <c r="O4800" t="n">
        <v>0.33</v>
      </c>
      <c r="P4800" t="n">
        <v>1</v>
      </c>
      <c r="Q4800" t="n">
        <v>0.03</v>
      </c>
      <c r="R4800" t="n">
        <v>1</v>
      </c>
      <c r="S4800" t="n">
        <v>4488</v>
      </c>
      <c r="T4800" t="n">
        <v>5</v>
      </c>
      <c r="U4800" t="n">
        <v>6</v>
      </c>
      <c r="V4800" t="n">
        <v>30</v>
      </c>
      <c r="W4800" t="n">
        <v>2</v>
      </c>
      <c r="X4800" t="n">
        <v>499.108734402852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11602</v>
      </c>
      <c r="AG4800" t="n">
        <v>2141</v>
      </c>
      <c r="AH4800" t="inlineStr">
        <is>
          <t>PT. PARAMA GLOBAL INSPIRA - PPN (JMB)</t>
        </is>
      </c>
      <c r="AI4800" t="n">
        <v>164</v>
      </c>
      <c r="AJ4800" t="inlineStr">
        <is>
          <t>WARDAH</t>
        </is>
      </c>
      <c r="AK4800" t="n">
        <v>9</v>
      </c>
      <c r="AL4800" t="inlineStr">
        <is>
          <t>Miss Glam Jambi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"203002187118"</f>
        <v/>
      </c>
      <c r="C4801" t="inlineStr">
        <is>
          <t>WARDAH Glasting Liquid Lip 15 Blossom Veil 3.5gr</t>
        </is>
      </c>
      <c r="D4801" t="inlineStr">
        <is>
          <t>Miss Glam Jambi</t>
        </is>
      </c>
      <c r="E4801" t="n">
        <v>9</v>
      </c>
      <c r="F4801" t="n">
        <v>0.09569999999999999</v>
      </c>
      <c r="G4801" t="n">
        <v>0.66</v>
      </c>
      <c r="H4801" t="n">
        <v>2</v>
      </c>
      <c r="I4801" t="n">
        <v>7</v>
      </c>
      <c r="J4801" t="n">
        <v>1</v>
      </c>
      <c r="K4801" t="n">
        <v>0</v>
      </c>
      <c r="L4801" t="n">
        <v>70332</v>
      </c>
      <c r="M4801" t="n">
        <v>80000</v>
      </c>
      <c r="N4801" t="n">
        <v>33</v>
      </c>
      <c r="O4801" t="n">
        <v>0.33</v>
      </c>
      <c r="P4801" t="n">
        <v>1</v>
      </c>
      <c r="Q4801" t="n">
        <v>0.08</v>
      </c>
      <c r="R4801" t="n">
        <v>1</v>
      </c>
      <c r="S4801" t="n">
        <v>7655.999999999999</v>
      </c>
      <c r="T4801" t="n">
        <v>5</v>
      </c>
      <c r="U4801" t="n">
        <v>6</v>
      </c>
      <c r="V4801" t="n">
        <v>30</v>
      </c>
      <c r="W4801" t="n">
        <v>3</v>
      </c>
      <c r="X4801" t="n">
        <v>94.04388714733543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11602</v>
      </c>
      <c r="AG4801" t="n">
        <v>2141</v>
      </c>
      <c r="AH4801" t="inlineStr">
        <is>
          <t>PT. PARAMA GLOBAL INSPIRA - PPN (JMB)</t>
        </is>
      </c>
      <c r="AI4801" t="n">
        <v>164</v>
      </c>
      <c r="AJ4801" t="inlineStr">
        <is>
          <t>WARDAH</t>
        </is>
      </c>
      <c r="AK4801" t="n">
        <v>9</v>
      </c>
      <c r="AL4801" t="inlineStr">
        <is>
          <t>Miss Glam Jambi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"8993137012782"</f>
        <v/>
      </c>
      <c r="C4802" t="inlineStr">
        <is>
          <t>WARDAH Glossicle Peptide Balm 01 Sparkling Peach 3,2gr</t>
        </is>
      </c>
      <c r="D4802" t="inlineStr">
        <is>
          <t>Miss Glam Jambi</t>
        </is>
      </c>
      <c r="E4802" t="n">
        <v>2</v>
      </c>
      <c r="F4802" t="n">
        <v>0.0825</v>
      </c>
      <c r="G4802" t="n">
        <v>0.66</v>
      </c>
      <c r="H4802" t="n">
        <v>2</v>
      </c>
      <c r="I4802" t="n">
        <v>7</v>
      </c>
      <c r="J4802" t="n">
        <v>1</v>
      </c>
      <c r="K4802" t="n">
        <v>1</v>
      </c>
      <c r="L4802" t="n">
        <v>59005</v>
      </c>
      <c r="M4802" t="n">
        <v>69500</v>
      </c>
      <c r="N4802" t="n">
        <v>33</v>
      </c>
      <c r="O4802" t="n">
        <v>0.33</v>
      </c>
      <c r="P4802" t="n">
        <v>1</v>
      </c>
      <c r="Q4802" t="n">
        <v>0.05</v>
      </c>
      <c r="R4802" t="n">
        <v>1</v>
      </c>
      <c r="S4802" t="n">
        <v>5733.75</v>
      </c>
      <c r="T4802" t="n">
        <v>5</v>
      </c>
      <c r="U4802" t="n">
        <v>6</v>
      </c>
      <c r="V4802" t="n">
        <v>30</v>
      </c>
      <c r="W4802" t="n">
        <v>3</v>
      </c>
      <c r="X4802" t="n">
        <v>24.24242424242424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11602</v>
      </c>
      <c r="AG4802" t="n">
        <v>2141</v>
      </c>
      <c r="AH4802" t="inlineStr">
        <is>
          <t>PT. PARAMA GLOBAL INSPIRA - PPN (JMB)</t>
        </is>
      </c>
      <c r="AI4802" t="n">
        <v>164</v>
      </c>
      <c r="AJ4802" t="inlineStr">
        <is>
          <t>WARDAH</t>
        </is>
      </c>
      <c r="AK4802" t="n">
        <v>9</v>
      </c>
      <c r="AL4802" t="inlineStr">
        <is>
          <t>Miss Glam Jambi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"8993137012799"</f>
        <v/>
      </c>
      <c r="C4803" t="inlineStr">
        <is>
          <t>WARDAH Glossicle Peptide Balm 02 Pink Soda 3,2gr</t>
        </is>
      </c>
      <c r="D4803" t="inlineStr">
        <is>
          <t>Miss Glam Jambi</t>
        </is>
      </c>
      <c r="E4803" t="n">
        <v>7</v>
      </c>
      <c r="F4803" t="n">
        <v>0.0726</v>
      </c>
      <c r="G4803" t="n">
        <v>0.33</v>
      </c>
      <c r="H4803" t="n">
        <v>2</v>
      </c>
      <c r="I4803" t="n">
        <v>7</v>
      </c>
      <c r="J4803" t="n">
        <v>1</v>
      </c>
      <c r="K4803" t="n">
        <v>0</v>
      </c>
      <c r="L4803" t="n">
        <v>59005</v>
      </c>
      <c r="M4803" t="n">
        <v>69500</v>
      </c>
      <c r="N4803" t="n">
        <v>33</v>
      </c>
      <c r="O4803" t="n">
        <v>0.33</v>
      </c>
      <c r="P4803" t="n">
        <v>1</v>
      </c>
      <c r="Q4803" t="n">
        <v>0.15</v>
      </c>
      <c r="R4803" t="n">
        <v>2</v>
      </c>
      <c r="S4803" t="n">
        <v>5045.7</v>
      </c>
      <c r="T4803" t="n">
        <v>3</v>
      </c>
      <c r="U4803" t="n">
        <v>4</v>
      </c>
      <c r="V4803" t="n">
        <v>30</v>
      </c>
      <c r="W4803" t="n">
        <v>3</v>
      </c>
      <c r="X4803" t="n">
        <v>96.41873278236915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11602</v>
      </c>
      <c r="AG4803" t="n">
        <v>2141</v>
      </c>
      <c r="AH4803" t="inlineStr">
        <is>
          <t>PT. PARAMA GLOBAL INSPIRA - PPN (JMB)</t>
        </is>
      </c>
      <c r="AI4803" t="n">
        <v>164</v>
      </c>
      <c r="AJ4803" t="inlineStr">
        <is>
          <t>WARDAH</t>
        </is>
      </c>
      <c r="AK4803" t="n">
        <v>9</v>
      </c>
      <c r="AL4803" t="inlineStr">
        <is>
          <t>Miss Glam Jambi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"8993137012805"</f>
        <v/>
      </c>
      <c r="C4804" t="inlineStr">
        <is>
          <t>WARDAH Glossicle Peptide Balm 03 Rose Mocktail 3,2gr</t>
        </is>
      </c>
      <c r="D4804" t="inlineStr">
        <is>
          <t>Miss Glam Jambi</t>
        </is>
      </c>
      <c r="E4804" t="n">
        <v>1</v>
      </c>
      <c r="F4804" t="n">
        <v>0.0825</v>
      </c>
      <c r="G4804" t="n">
        <v>0.66</v>
      </c>
      <c r="H4804" t="n">
        <v>2</v>
      </c>
      <c r="I4804" t="n">
        <v>7</v>
      </c>
      <c r="J4804" t="n">
        <v>1</v>
      </c>
      <c r="K4804" t="n">
        <v>2</v>
      </c>
      <c r="L4804" t="n">
        <v>59005</v>
      </c>
      <c r="M4804" t="n">
        <v>69500</v>
      </c>
      <c r="N4804" t="n">
        <v>33</v>
      </c>
      <c r="O4804" t="n">
        <v>0.33</v>
      </c>
      <c r="P4804" t="n">
        <v>1</v>
      </c>
      <c r="Q4804" t="n">
        <v>0.08</v>
      </c>
      <c r="R4804" t="n">
        <v>1</v>
      </c>
      <c r="S4804" t="n">
        <v>5733.75</v>
      </c>
      <c r="T4804" t="n">
        <v>5</v>
      </c>
      <c r="U4804" t="n">
        <v>6</v>
      </c>
      <c r="V4804" t="n">
        <v>30</v>
      </c>
      <c r="W4804" t="n">
        <v>3</v>
      </c>
      <c r="X4804" t="n">
        <v>12.12121212121212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11602</v>
      </c>
      <c r="AG4804" t="n">
        <v>2141</v>
      </c>
      <c r="AH4804" t="inlineStr">
        <is>
          <t>PT. PARAMA GLOBAL INSPIRA - PPN (JMB)</t>
        </is>
      </c>
      <c r="AI4804" t="n">
        <v>164</v>
      </c>
      <c r="AJ4804" t="inlineStr">
        <is>
          <t>WARDAH</t>
        </is>
      </c>
      <c r="AK4804" t="n">
        <v>9</v>
      </c>
      <c r="AL4804" t="inlineStr">
        <is>
          <t>Miss Glam Jambi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"8993137012812"</f>
        <v/>
      </c>
      <c r="C4805" t="inlineStr">
        <is>
          <t>WARDAH Glossicle Peptide Balm 04 Pomé Milkshake 3,2gr</t>
        </is>
      </c>
      <c r="D4805" t="inlineStr">
        <is>
          <t>Miss Glam Jambi</t>
        </is>
      </c>
      <c r="E4805" t="n">
        <v>2</v>
      </c>
      <c r="F4805" t="n">
        <v>0.0495</v>
      </c>
      <c r="G4805" t="n">
        <v>0.33</v>
      </c>
      <c r="H4805" t="n">
        <v>2</v>
      </c>
      <c r="I4805" t="n">
        <v>7</v>
      </c>
      <c r="J4805" t="n">
        <v>1</v>
      </c>
      <c r="K4805" t="n">
        <v>0</v>
      </c>
      <c r="L4805" t="n">
        <v>59005</v>
      </c>
      <c r="M4805" t="n">
        <v>69500</v>
      </c>
      <c r="N4805" t="n">
        <v>33</v>
      </c>
      <c r="O4805" t="n">
        <v>0.33</v>
      </c>
      <c r="P4805" t="n">
        <v>1</v>
      </c>
      <c r="Q4805" t="n">
        <v>0.05</v>
      </c>
      <c r="R4805" t="n">
        <v>1</v>
      </c>
      <c r="S4805" t="n">
        <v>3440.25</v>
      </c>
      <c r="T4805" t="n">
        <v>3</v>
      </c>
      <c r="U4805" t="n">
        <v>4</v>
      </c>
      <c r="V4805" t="n">
        <v>30</v>
      </c>
      <c r="W4805" t="n">
        <v>2</v>
      </c>
      <c r="X4805" t="n">
        <v>40.4040404040404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11602</v>
      </c>
      <c r="AG4805" t="n">
        <v>2141</v>
      </c>
      <c r="AH4805" t="inlineStr">
        <is>
          <t>PT. PARAMA GLOBAL INSPIRA - PPN (JMB)</t>
        </is>
      </c>
      <c r="AI4805" t="n">
        <v>164</v>
      </c>
      <c r="AJ4805" t="inlineStr">
        <is>
          <t>WARDAH</t>
        </is>
      </c>
      <c r="AK4805" t="n">
        <v>9</v>
      </c>
      <c r="AL4805" t="inlineStr">
        <is>
          <t>Miss Glam Jambi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"8993137012829"</f>
        <v/>
      </c>
      <c r="C4806" t="inlineStr">
        <is>
          <t>WARDAH Glossicle Peptide Balm 05 Berry Slushie 3,2gr</t>
        </is>
      </c>
      <c r="D4806" t="inlineStr">
        <is>
          <t>Miss Glam Jambi</t>
        </is>
      </c>
      <c r="E4806" t="n">
        <v>9</v>
      </c>
      <c r="F4806" t="n">
        <v>0.0462</v>
      </c>
      <c r="G4806" t="n">
        <v>0.66</v>
      </c>
      <c r="H4806" t="n">
        <v>2</v>
      </c>
      <c r="I4806" t="n">
        <v>7</v>
      </c>
      <c r="J4806" t="n">
        <v>1</v>
      </c>
      <c r="K4806" t="n">
        <v>0</v>
      </c>
      <c r="L4806" t="n">
        <v>59005</v>
      </c>
      <c r="M4806" t="n">
        <v>69500</v>
      </c>
      <c r="N4806" t="n">
        <v>33</v>
      </c>
      <c r="O4806" t="n">
        <v>0.33</v>
      </c>
      <c r="P4806" t="n">
        <v>1</v>
      </c>
      <c r="Q4806" t="n">
        <v>0.02</v>
      </c>
      <c r="R4806" t="n">
        <v>1</v>
      </c>
      <c r="S4806" t="n">
        <v>3210.900000000001</v>
      </c>
      <c r="T4806" t="n">
        <v>5</v>
      </c>
      <c r="U4806" t="n">
        <v>6</v>
      </c>
      <c r="V4806" t="n">
        <v>30</v>
      </c>
      <c r="W4806" t="n">
        <v>2</v>
      </c>
      <c r="X4806" t="n">
        <v>194.8051948051948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11602</v>
      </c>
      <c r="AG4806" t="n">
        <v>2141</v>
      </c>
      <c r="AH4806" t="inlineStr">
        <is>
          <t>PT. PARAMA GLOBAL INSPIRA - PPN (JMB)</t>
        </is>
      </c>
      <c r="AI4806" t="n">
        <v>164</v>
      </c>
      <c r="AJ4806" t="inlineStr">
        <is>
          <t>WARDAH</t>
        </is>
      </c>
      <c r="AK4806" t="n">
        <v>9</v>
      </c>
      <c r="AL4806" t="inlineStr">
        <is>
          <t>Miss Glam Jambi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"8993137012836"</f>
        <v/>
      </c>
      <c r="C4807" t="inlineStr">
        <is>
          <t>WARDAH Glossicle Peptide Balm 06 Frosty Cocoa 3,2gr</t>
        </is>
      </c>
      <c r="D4807" t="inlineStr">
        <is>
          <t>Miss Glam Jambi</t>
        </is>
      </c>
      <c r="E4807" t="n">
        <v>5</v>
      </c>
      <c r="F4807" t="n">
        <v>0.0264</v>
      </c>
      <c r="G4807" t="n">
        <v>0.33</v>
      </c>
      <c r="H4807" t="n">
        <v>2</v>
      </c>
      <c r="I4807" t="n">
        <v>7</v>
      </c>
      <c r="J4807" t="n">
        <v>1</v>
      </c>
      <c r="K4807" t="n">
        <v>0</v>
      </c>
      <c r="L4807" t="n">
        <v>59005</v>
      </c>
      <c r="M4807" t="n">
        <v>69500</v>
      </c>
      <c r="N4807" t="n">
        <v>33</v>
      </c>
      <c r="O4807" t="n">
        <v>0.33</v>
      </c>
      <c r="P4807" t="n">
        <v>1</v>
      </c>
      <c r="Q4807" t="n">
        <v>0.03</v>
      </c>
      <c r="R4807" t="n">
        <v>1</v>
      </c>
      <c r="S4807" t="n">
        <v>1834.8</v>
      </c>
      <c r="T4807" t="n">
        <v>3</v>
      </c>
      <c r="U4807" t="n">
        <v>4</v>
      </c>
      <c r="V4807" t="n">
        <v>30</v>
      </c>
      <c r="W4807" t="n">
        <v>1</v>
      </c>
      <c r="X4807" t="n">
        <v>189.3939393939394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11602</v>
      </c>
      <c r="AG4807" t="n">
        <v>2141</v>
      </c>
      <c r="AH4807" t="inlineStr">
        <is>
          <t>PT. PARAMA GLOBAL INSPIRA - PPN (JMB)</t>
        </is>
      </c>
      <c r="AI4807" t="n">
        <v>164</v>
      </c>
      <c r="AJ4807" t="inlineStr">
        <is>
          <t>WARDAH</t>
        </is>
      </c>
      <c r="AK4807" t="n">
        <v>9</v>
      </c>
      <c r="AL4807" t="inlineStr">
        <is>
          <t>Miss Glam Jambi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"8993137012850"</f>
        <v/>
      </c>
      <c r="C4808" t="inlineStr">
        <is>
          <t>WARDAH Glossicle Peptide Balm 08 Cherry Pop 3,2gr</t>
        </is>
      </c>
      <c r="D4808" t="inlineStr">
        <is>
          <t>Miss Glam Jambi</t>
        </is>
      </c>
      <c r="E4808" t="n">
        <v>3</v>
      </c>
      <c r="F4808" t="n">
        <v>0.07920000000000001</v>
      </c>
      <c r="G4808" t="n">
        <v>0.33</v>
      </c>
      <c r="H4808" t="n">
        <v>2</v>
      </c>
      <c r="I4808" t="n">
        <v>7</v>
      </c>
      <c r="J4808" t="n">
        <v>1</v>
      </c>
      <c r="K4808" t="n">
        <v>0</v>
      </c>
      <c r="L4808" t="n">
        <v>59005</v>
      </c>
      <c r="M4808" t="n">
        <v>69500</v>
      </c>
      <c r="N4808" t="n">
        <v>33</v>
      </c>
      <c r="O4808" t="n">
        <v>0.33</v>
      </c>
      <c r="P4808" t="n">
        <v>1</v>
      </c>
      <c r="Q4808" t="n">
        <v>0.2</v>
      </c>
      <c r="R4808" t="n">
        <v>2</v>
      </c>
      <c r="S4808" t="n">
        <v>5504.400000000001</v>
      </c>
      <c r="T4808" t="n">
        <v>3</v>
      </c>
      <c r="U4808" t="n">
        <v>4</v>
      </c>
      <c r="V4808" t="n">
        <v>30</v>
      </c>
      <c r="W4808" t="n">
        <v>3</v>
      </c>
      <c r="X4808" t="n">
        <v>37.87878787878788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11602</v>
      </c>
      <c r="AG4808" t="n">
        <v>2141</v>
      </c>
      <c r="AH4808" t="inlineStr">
        <is>
          <t>PT. PARAMA GLOBAL INSPIRA - PPN (JMB)</t>
        </is>
      </c>
      <c r="AI4808" t="n">
        <v>164</v>
      </c>
      <c r="AJ4808" t="inlineStr">
        <is>
          <t>WARDAH</t>
        </is>
      </c>
      <c r="AK4808" t="n">
        <v>9</v>
      </c>
      <c r="AL4808" t="inlineStr">
        <is>
          <t>Miss Glam Jambi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"8993137699563"</f>
        <v/>
      </c>
      <c r="C4809" t="inlineStr">
        <is>
          <t>WARDAH Hairfall Treatment Conditioner Ginseng&amp;Rosemary 170ml</t>
        </is>
      </c>
      <c r="D4809" t="inlineStr">
        <is>
          <t>Miss Glam Jambi</t>
        </is>
      </c>
      <c r="E4809" t="n">
        <v>1</v>
      </c>
      <c r="F4809" t="n">
        <v>0.0825</v>
      </c>
      <c r="G4809" t="n">
        <v>0.66</v>
      </c>
      <c r="H4809" t="n">
        <v>2</v>
      </c>
      <c r="I4809" t="n">
        <v>7</v>
      </c>
      <c r="J4809" t="n">
        <v>3</v>
      </c>
      <c r="K4809" t="n">
        <v>3</v>
      </c>
      <c r="L4809" t="n">
        <v>19694</v>
      </c>
      <c r="M4809" t="n">
        <v>23500</v>
      </c>
      <c r="N4809" t="n">
        <v>33</v>
      </c>
      <c r="O4809" t="n">
        <v>0.33</v>
      </c>
      <c r="P4809" t="n">
        <v>1</v>
      </c>
      <c r="Q4809" t="n">
        <v>0.07000000000000001</v>
      </c>
      <c r="R4809" t="n">
        <v>1</v>
      </c>
      <c r="S4809" t="n">
        <v>1938.75</v>
      </c>
      <c r="T4809" t="n">
        <v>5</v>
      </c>
      <c r="U4809" t="n">
        <v>6</v>
      </c>
      <c r="V4809" t="n">
        <v>30</v>
      </c>
      <c r="W4809" t="n">
        <v>3</v>
      </c>
      <c r="X4809" t="n">
        <v>12.12121212121212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11602</v>
      </c>
      <c r="AG4809" t="n">
        <v>2141</v>
      </c>
      <c r="AH4809" t="inlineStr">
        <is>
          <t>PT. PARAMA GLOBAL INSPIRA - PPN (JMB)</t>
        </is>
      </c>
      <c r="AI4809" t="n">
        <v>164</v>
      </c>
      <c r="AJ4809" t="inlineStr">
        <is>
          <t>WARDAH</t>
        </is>
      </c>
      <c r="AK4809" t="n">
        <v>9</v>
      </c>
      <c r="AL4809" t="inlineStr">
        <is>
          <t>Miss Glam Jambi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"20200220927"</f>
        <v/>
      </c>
      <c r="C4810" t="inlineStr">
        <is>
          <t>WARDAH Hi-Impact Volumizer Mascara 6.5gr</t>
        </is>
      </c>
      <c r="D4810" t="inlineStr">
        <is>
          <t>Miss Glam Jambi</t>
        </is>
      </c>
      <c r="E4810" t="n">
        <v>6</v>
      </c>
      <c r="F4810" t="n">
        <v>0.1287</v>
      </c>
      <c r="G4810" t="n">
        <v>0.66</v>
      </c>
      <c r="H4810" t="n">
        <v>2</v>
      </c>
      <c r="I4810" t="n">
        <v>7</v>
      </c>
      <c r="J4810" t="n">
        <v>1</v>
      </c>
      <c r="K4810" t="n">
        <v>0</v>
      </c>
      <c r="L4810" t="n">
        <v>60538</v>
      </c>
      <c r="M4810" t="n">
        <v>71500</v>
      </c>
      <c r="N4810" t="n">
        <v>33</v>
      </c>
      <c r="O4810" t="n">
        <v>0.33</v>
      </c>
      <c r="P4810" t="n">
        <v>1</v>
      </c>
      <c r="Q4810" t="n">
        <v>0.22</v>
      </c>
      <c r="R4810" t="n">
        <v>2</v>
      </c>
      <c r="S4810" t="n">
        <v>9202.050000000001</v>
      </c>
      <c r="T4810" t="n">
        <v>5</v>
      </c>
      <c r="U4810" t="n">
        <v>6</v>
      </c>
      <c r="V4810" t="n">
        <v>30</v>
      </c>
      <c r="W4810" t="n">
        <v>4</v>
      </c>
      <c r="X4810" t="n">
        <v>46.62004662004662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11602</v>
      </c>
      <c r="AG4810" t="n">
        <v>2141</v>
      </c>
      <c r="AH4810" t="inlineStr">
        <is>
          <t>PT. PARAMA GLOBAL INSPIRA - PPN (JMB)</t>
        </is>
      </c>
      <c r="AI4810" t="n">
        <v>164</v>
      </c>
      <c r="AJ4810" t="inlineStr">
        <is>
          <t>WARDAH</t>
        </is>
      </c>
      <c r="AK4810" t="n">
        <v>9</v>
      </c>
      <c r="AL4810" t="inlineStr">
        <is>
          <t>Miss Glam Jambi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"8993137715973"</f>
        <v/>
      </c>
      <c r="C4811" t="inlineStr">
        <is>
          <t>WARDAH Highlight Contour Pallete 02 Medium</t>
        </is>
      </c>
      <c r="D4811" t="inlineStr">
        <is>
          <t>Miss Glam Jambi</t>
        </is>
      </c>
      <c r="E4811" t="n">
        <v>4</v>
      </c>
      <c r="F4811" t="n">
        <v>0.0264</v>
      </c>
      <c r="G4811" t="n">
        <v>0.66</v>
      </c>
      <c r="H4811" t="n">
        <v>2</v>
      </c>
      <c r="I4811" t="n">
        <v>7</v>
      </c>
      <c r="J4811" t="n">
        <v>3</v>
      </c>
      <c r="K4811" t="n">
        <v>0</v>
      </c>
      <c r="L4811" t="n">
        <v>71649</v>
      </c>
      <c r="M4811" t="n">
        <v>83000</v>
      </c>
      <c r="N4811" t="n">
        <v>33</v>
      </c>
      <c r="O4811" t="n">
        <v>0.33</v>
      </c>
      <c r="P4811" t="n">
        <v>1</v>
      </c>
      <c r="Q4811" t="n">
        <v>0.07000000000000001</v>
      </c>
      <c r="R4811" t="n">
        <v>1</v>
      </c>
      <c r="S4811" t="n">
        <v>2191.2</v>
      </c>
      <c r="T4811" t="n">
        <v>5</v>
      </c>
      <c r="U4811" t="n">
        <v>6</v>
      </c>
      <c r="V4811" t="n">
        <v>30</v>
      </c>
      <c r="W4811" t="n">
        <v>1</v>
      </c>
      <c r="X4811" t="n">
        <v>151.5151515151515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11602</v>
      </c>
      <c r="AG4811" t="n">
        <v>2141</v>
      </c>
      <c r="AH4811" t="inlineStr">
        <is>
          <t>PT. PARAMA GLOBAL INSPIRA - PPN (JMB)</t>
        </is>
      </c>
      <c r="AI4811" t="n">
        <v>164</v>
      </c>
      <c r="AJ4811" t="inlineStr">
        <is>
          <t>WARDAH</t>
        </is>
      </c>
      <c r="AK4811" t="n">
        <v>9</v>
      </c>
      <c r="AL4811" t="inlineStr">
        <is>
          <t>Miss Glam Jambi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"8993137708722"</f>
        <v/>
      </c>
      <c r="C4812" t="inlineStr">
        <is>
          <t>WARDAH Hydra Rose Gel To Foam Cleanser 100ml</t>
        </is>
      </c>
      <c r="D4812" t="inlineStr">
        <is>
          <t>Miss Glam Jambi</t>
        </is>
      </c>
      <c r="E4812" t="n">
        <v>12</v>
      </c>
      <c r="F4812" t="n">
        <v>0.8382000000000001</v>
      </c>
      <c r="G4812" t="n">
        <v>2.31</v>
      </c>
      <c r="H4812" t="n">
        <v>2</v>
      </c>
      <c r="I4812" t="n">
        <v>7</v>
      </c>
      <c r="J4812" t="n">
        <v>3</v>
      </c>
      <c r="K4812" t="n">
        <v>14</v>
      </c>
      <c r="L4812" t="n">
        <v>27717</v>
      </c>
      <c r="M4812" t="n">
        <v>36500</v>
      </c>
      <c r="N4812" t="n">
        <v>33</v>
      </c>
      <c r="O4812" t="n">
        <v>0.33</v>
      </c>
      <c r="P4812" t="n">
        <v>1</v>
      </c>
      <c r="Q4812" t="n">
        <v>0.44</v>
      </c>
      <c r="R4812" t="n">
        <v>4</v>
      </c>
      <c r="S4812" t="n">
        <v>30594.3</v>
      </c>
      <c r="T4812" t="n">
        <v>15</v>
      </c>
      <c r="U4812" t="n">
        <v>17</v>
      </c>
      <c r="V4812" t="n">
        <v>30</v>
      </c>
      <c r="W4812" t="n">
        <v>26</v>
      </c>
      <c r="X4812" t="n">
        <v>14.31639226914817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11602</v>
      </c>
      <c r="AG4812" t="n">
        <v>2141</v>
      </c>
      <c r="AH4812" t="inlineStr">
        <is>
          <t>PT. PARAMA GLOBAL INSPIRA - PPN (JMB)</t>
        </is>
      </c>
      <c r="AI4812" t="n">
        <v>164</v>
      </c>
      <c r="AJ4812" t="inlineStr">
        <is>
          <t>WARDAH</t>
        </is>
      </c>
      <c r="AK4812" t="n">
        <v>9</v>
      </c>
      <c r="AL4812" t="inlineStr">
        <is>
          <t>Miss Glam Jambi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"8993137708746"</f>
        <v/>
      </c>
      <c r="C4813" t="inlineStr">
        <is>
          <t>WARDAH Hydra Rose Micro Gel Serum 30ml</t>
        </is>
      </c>
      <c r="D4813" t="inlineStr">
        <is>
          <t>Miss Glam Jambi</t>
        </is>
      </c>
      <c r="E4813" t="n">
        <v>7</v>
      </c>
      <c r="F4813" t="n">
        <v>0.0462</v>
      </c>
      <c r="G4813" t="n">
        <v>0.66</v>
      </c>
      <c r="H4813" t="n">
        <v>2</v>
      </c>
      <c r="I4813" t="n">
        <v>7</v>
      </c>
      <c r="J4813" t="n">
        <v>3</v>
      </c>
      <c r="K4813" t="n">
        <v>0</v>
      </c>
      <c r="L4813" t="n">
        <v>101535</v>
      </c>
      <c r="M4813" t="n">
        <v>119500</v>
      </c>
      <c r="N4813" t="n">
        <v>33</v>
      </c>
      <c r="O4813" t="n">
        <v>0.33</v>
      </c>
      <c r="P4813" t="n">
        <v>1</v>
      </c>
      <c r="Q4813" t="n">
        <v>0.12</v>
      </c>
      <c r="R4813" t="n">
        <v>1</v>
      </c>
      <c r="S4813" t="n">
        <v>5520.900000000001</v>
      </c>
      <c r="T4813" t="n">
        <v>5</v>
      </c>
      <c r="U4813" t="n">
        <v>6</v>
      </c>
      <c r="V4813" t="n">
        <v>30</v>
      </c>
      <c r="W4813" t="n">
        <v>2</v>
      </c>
      <c r="X4813" t="n">
        <v>151.5151515151515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11602</v>
      </c>
      <c r="AG4813" t="n">
        <v>2141</v>
      </c>
      <c r="AH4813" t="inlineStr">
        <is>
          <t>PT. PARAMA GLOBAL INSPIRA - PPN (JMB)</t>
        </is>
      </c>
      <c r="AI4813" t="n">
        <v>164</v>
      </c>
      <c r="AJ4813" t="inlineStr">
        <is>
          <t>WARDAH</t>
        </is>
      </c>
      <c r="AK4813" t="n">
        <v>9</v>
      </c>
      <c r="AL4813" t="inlineStr">
        <is>
          <t>Miss Glam Jambi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"8993137708739"</f>
        <v/>
      </c>
      <c r="C4814" t="inlineStr">
        <is>
          <t>WARDAH Hydra Rose Petal Infused Toner 100ml</t>
        </is>
      </c>
      <c r="D4814" t="inlineStr">
        <is>
          <t>Miss Glam Jambi</t>
        </is>
      </c>
      <c r="E4814" t="n">
        <v>2</v>
      </c>
      <c r="F4814" t="n">
        <v>0.009900000000000001</v>
      </c>
      <c r="G4814" t="n">
        <v>0.33</v>
      </c>
      <c r="H4814" t="n">
        <v>2</v>
      </c>
      <c r="I4814" t="n">
        <v>7</v>
      </c>
      <c r="J4814" t="n">
        <v>3</v>
      </c>
      <c r="K4814" t="n">
        <v>0</v>
      </c>
      <c r="L4814" t="n">
        <v>95021</v>
      </c>
      <c r="M4814" t="n">
        <v>112000</v>
      </c>
      <c r="N4814" t="n">
        <v>33</v>
      </c>
      <c r="O4814" t="n">
        <v>0.33</v>
      </c>
      <c r="P4814" t="n">
        <v>1</v>
      </c>
      <c r="Q4814" t="n">
        <v>0.03</v>
      </c>
      <c r="R4814" t="n">
        <v>1</v>
      </c>
      <c r="S4814" t="n">
        <v>1108.8</v>
      </c>
      <c r="T4814" t="n">
        <v>3</v>
      </c>
      <c r="U4814" t="n">
        <v>4</v>
      </c>
      <c r="V4814" t="n">
        <v>30</v>
      </c>
      <c r="W4814" t="n">
        <v>1</v>
      </c>
      <c r="X4814" t="n">
        <v>202.020202020202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11602</v>
      </c>
      <c r="AG4814" t="n">
        <v>2141</v>
      </c>
      <c r="AH4814" t="inlineStr">
        <is>
          <t>PT. PARAMA GLOBAL INSPIRA - PPN (JMB)</t>
        </is>
      </c>
      <c r="AI4814" t="n">
        <v>164</v>
      </c>
      <c r="AJ4814" t="inlineStr">
        <is>
          <t>WARDAH</t>
        </is>
      </c>
      <c r="AK4814" t="n">
        <v>9</v>
      </c>
      <c r="AL4814" t="inlineStr">
        <is>
          <t>Miss Glam Jambi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"8993137008259"</f>
        <v/>
      </c>
      <c r="C4815" t="inlineStr">
        <is>
          <t>WARDAH Hydrabalm Lip Care Orange Squeeze 4gr</t>
        </is>
      </c>
      <c r="D4815" t="inlineStr">
        <is>
          <t>Miss Glam Jambi</t>
        </is>
      </c>
      <c r="E4815" t="n">
        <v>7</v>
      </c>
      <c r="F4815" t="n">
        <v>0.1914</v>
      </c>
      <c r="G4815" t="n">
        <v>1.32</v>
      </c>
      <c r="H4815" t="n">
        <v>2</v>
      </c>
      <c r="I4815" t="n">
        <v>7</v>
      </c>
      <c r="J4815" t="n">
        <v>3</v>
      </c>
      <c r="K4815" t="n">
        <v>0</v>
      </c>
      <c r="L4815" t="n">
        <v>22605</v>
      </c>
      <c r="M4815" t="n">
        <v>27500</v>
      </c>
      <c r="N4815" t="n">
        <v>33</v>
      </c>
      <c r="O4815" t="n">
        <v>0.33</v>
      </c>
      <c r="P4815" t="n">
        <v>1</v>
      </c>
      <c r="Q4815" t="n">
        <v>0.24</v>
      </c>
      <c r="R4815" t="n">
        <v>1</v>
      </c>
      <c r="S4815" t="n">
        <v>5263.5</v>
      </c>
      <c r="T4815" t="n">
        <v>9</v>
      </c>
      <c r="U4815" t="n">
        <v>10</v>
      </c>
      <c r="V4815" t="n">
        <v>30</v>
      </c>
      <c r="W4815" t="n">
        <v>6</v>
      </c>
      <c r="X4815" t="n">
        <v>36.57262277951934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11602</v>
      </c>
      <c r="AG4815" t="n">
        <v>2141</v>
      </c>
      <c r="AH4815" t="inlineStr">
        <is>
          <t>PT. PARAMA GLOBAL INSPIRA - PPN (JMB)</t>
        </is>
      </c>
      <c r="AI4815" t="n">
        <v>164</v>
      </c>
      <c r="AJ4815" t="inlineStr">
        <is>
          <t>WARDAH</t>
        </is>
      </c>
      <c r="AK4815" t="n">
        <v>9</v>
      </c>
      <c r="AL4815" t="inlineStr">
        <is>
          <t>Miss Glam Jambi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"8993137008266"</f>
        <v/>
      </c>
      <c r="C4816" t="inlineStr">
        <is>
          <t>WARDAH Hydrabalm Lip Care Peach Blossom 4gr</t>
        </is>
      </c>
      <c r="D4816" t="inlineStr">
        <is>
          <t>Miss Glam Jambi</t>
        </is>
      </c>
      <c r="E4816" t="n">
        <v>40</v>
      </c>
      <c r="F4816" t="n">
        <v>0.7887000000000001</v>
      </c>
      <c r="G4816" t="n">
        <v>2.31</v>
      </c>
      <c r="H4816" t="n">
        <v>2</v>
      </c>
      <c r="I4816" t="n">
        <v>7</v>
      </c>
      <c r="J4816" t="n">
        <v>3</v>
      </c>
      <c r="K4816" t="n">
        <v>0</v>
      </c>
      <c r="L4816" t="n">
        <v>22605</v>
      </c>
      <c r="M4816" t="n">
        <v>27500</v>
      </c>
      <c r="N4816" t="n">
        <v>33</v>
      </c>
      <c r="O4816" t="n">
        <v>0.33</v>
      </c>
      <c r="P4816" t="n">
        <v>1</v>
      </c>
      <c r="Q4816" t="n">
        <v>1.54</v>
      </c>
      <c r="R4816" t="n">
        <v>5</v>
      </c>
      <c r="S4816" t="n">
        <v>21689.25</v>
      </c>
      <c r="T4816" t="n">
        <v>15</v>
      </c>
      <c r="U4816" t="n">
        <v>17</v>
      </c>
      <c r="V4816" t="n">
        <v>30</v>
      </c>
      <c r="W4816" t="n">
        <v>24</v>
      </c>
      <c r="X4816" t="n">
        <v>50.7163687080005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11602</v>
      </c>
      <c r="AG4816" t="n">
        <v>2141</v>
      </c>
      <c r="AH4816" t="inlineStr">
        <is>
          <t>PT. PARAMA GLOBAL INSPIRA - PPN (JMB)</t>
        </is>
      </c>
      <c r="AI4816" t="n">
        <v>164</v>
      </c>
      <c r="AJ4816" t="inlineStr">
        <is>
          <t>WARDAH</t>
        </is>
      </c>
      <c r="AK4816" t="n">
        <v>9</v>
      </c>
      <c r="AL4816" t="inlineStr">
        <is>
          <t>Miss Glam Jambi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"8993137704892"</f>
        <v/>
      </c>
      <c r="C4817" t="inlineStr">
        <is>
          <t>WARDAH Light Powder Fondation 06 Ivory 12g</t>
        </is>
      </c>
      <c r="D4817" t="inlineStr">
        <is>
          <t>Miss Glam Jambi</t>
        </is>
      </c>
      <c r="E4817" t="n">
        <v>4</v>
      </c>
      <c r="F4817" t="n">
        <v>0.08910000000000001</v>
      </c>
      <c r="G4817" t="n">
        <v>0.66</v>
      </c>
      <c r="H4817" t="n">
        <v>2</v>
      </c>
      <c r="I4817" t="n">
        <v>7</v>
      </c>
      <c r="J4817" t="n">
        <v>3</v>
      </c>
      <c r="K4817" t="n">
        <v>0</v>
      </c>
      <c r="L4817" t="n">
        <v>42146</v>
      </c>
      <c r="M4817" t="n">
        <v>49000</v>
      </c>
      <c r="N4817" t="n">
        <v>33</v>
      </c>
      <c r="O4817" t="n">
        <v>0.33</v>
      </c>
      <c r="P4817" t="n">
        <v>1</v>
      </c>
      <c r="Q4817" t="n">
        <v>0.03</v>
      </c>
      <c r="R4817" t="n">
        <v>1</v>
      </c>
      <c r="S4817" t="n">
        <v>4365.900000000001</v>
      </c>
      <c r="T4817" t="n">
        <v>5</v>
      </c>
      <c r="U4817" t="n">
        <v>6</v>
      </c>
      <c r="V4817" t="n">
        <v>30</v>
      </c>
      <c r="W4817" t="n">
        <v>3</v>
      </c>
      <c r="X4817" t="n">
        <v>44.89337822671155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11602</v>
      </c>
      <c r="AG4817" t="n">
        <v>2141</v>
      </c>
      <c r="AH4817" t="inlineStr">
        <is>
          <t>PT. PARAMA GLOBAL INSPIRA - PPN (JMB)</t>
        </is>
      </c>
      <c r="AI4817" t="n">
        <v>164</v>
      </c>
      <c r="AJ4817" t="inlineStr">
        <is>
          <t>WARDAH</t>
        </is>
      </c>
      <c r="AK4817" t="n">
        <v>9</v>
      </c>
      <c r="AL4817" t="inlineStr">
        <is>
          <t>Miss Glam Jambi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"8993137704885"</f>
        <v/>
      </c>
      <c r="C4818" t="inlineStr">
        <is>
          <t>WARDAH Light Powder Foundation 05 Warm Ivory 12gr</t>
        </is>
      </c>
      <c r="D4818" t="inlineStr">
        <is>
          <t>Miss Glam Jambi</t>
        </is>
      </c>
      <c r="E4818" t="n">
        <v>3</v>
      </c>
      <c r="F4818" t="n">
        <v>0.1386</v>
      </c>
      <c r="G4818" t="n">
        <v>0.99</v>
      </c>
      <c r="H4818" t="n">
        <v>2</v>
      </c>
      <c r="I4818" t="n">
        <v>7</v>
      </c>
      <c r="J4818" t="n">
        <v>3</v>
      </c>
      <c r="K4818" t="n">
        <v>3</v>
      </c>
      <c r="L4818" t="n">
        <v>42146</v>
      </c>
      <c r="M4818" t="n">
        <v>49000</v>
      </c>
      <c r="N4818" t="n">
        <v>33</v>
      </c>
      <c r="O4818" t="n">
        <v>0.33</v>
      </c>
      <c r="P4818" t="n">
        <v>1</v>
      </c>
      <c r="Q4818" t="n">
        <v>0.05</v>
      </c>
      <c r="R4818" t="n">
        <v>1</v>
      </c>
      <c r="S4818" t="n">
        <v>6791.4</v>
      </c>
      <c r="T4818" t="n">
        <v>7</v>
      </c>
      <c r="U4818" t="n">
        <v>8</v>
      </c>
      <c r="V4818" t="n">
        <v>30</v>
      </c>
      <c r="W4818" t="n">
        <v>5</v>
      </c>
      <c r="X4818" t="n">
        <v>21.64502164502165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11602</v>
      </c>
      <c r="AG4818" t="n">
        <v>2141</v>
      </c>
      <c r="AH4818" t="inlineStr">
        <is>
          <t>PT. PARAMA GLOBAL INSPIRA - PPN (JMB)</t>
        </is>
      </c>
      <c r="AI4818" t="n">
        <v>164</v>
      </c>
      <c r="AJ4818" t="inlineStr">
        <is>
          <t>WARDAH</t>
        </is>
      </c>
      <c r="AK4818" t="n">
        <v>9</v>
      </c>
      <c r="AL4818" t="inlineStr">
        <is>
          <t>Miss Glam Jambi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"8993137685719"</f>
        <v/>
      </c>
      <c r="C4819" t="inlineStr">
        <is>
          <t>WARDAH Light Powder Foundation Reffil 03 Sheer Pink 12gr</t>
        </is>
      </c>
      <c r="D4819" t="inlineStr">
        <is>
          <t>Miss Glam Jambi</t>
        </is>
      </c>
      <c r="E4819" t="n">
        <v>4</v>
      </c>
      <c r="F4819" t="n">
        <v>0.2244</v>
      </c>
      <c r="G4819" t="n">
        <v>0.99</v>
      </c>
      <c r="H4819" t="n">
        <v>2</v>
      </c>
      <c r="I4819" t="n">
        <v>7</v>
      </c>
      <c r="J4819" t="n">
        <v>3</v>
      </c>
      <c r="K4819" t="n">
        <v>3</v>
      </c>
      <c r="L4819" t="n">
        <v>29119</v>
      </c>
      <c r="M4819" t="n">
        <v>33500</v>
      </c>
      <c r="N4819" t="n">
        <v>33</v>
      </c>
      <c r="O4819" t="n">
        <v>0.33</v>
      </c>
      <c r="P4819" t="n">
        <v>1</v>
      </c>
      <c r="Q4819" t="n">
        <v>0.08</v>
      </c>
      <c r="R4819" t="n">
        <v>1</v>
      </c>
      <c r="S4819" t="n">
        <v>7517.400000000001</v>
      </c>
      <c r="T4819" t="n">
        <v>7</v>
      </c>
      <c r="U4819" t="n">
        <v>8</v>
      </c>
      <c r="V4819" t="n">
        <v>30</v>
      </c>
      <c r="W4819" t="n">
        <v>7</v>
      </c>
      <c r="X4819" t="n">
        <v>17.825311942959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11602</v>
      </c>
      <c r="AG4819" t="n">
        <v>2141</v>
      </c>
      <c r="AH4819" t="inlineStr">
        <is>
          <t>PT. PARAMA GLOBAL INSPIRA - PPN (JMB)</t>
        </is>
      </c>
      <c r="AI4819" t="n">
        <v>164</v>
      </c>
      <c r="AJ4819" t="inlineStr">
        <is>
          <t>WARDAH</t>
        </is>
      </c>
      <c r="AK4819" t="n">
        <v>9</v>
      </c>
      <c r="AL4819" t="inlineStr">
        <is>
          <t>Miss Glam Jambi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"8993137704915"</f>
        <v/>
      </c>
      <c r="C4820" t="inlineStr">
        <is>
          <t>WARDAH Light Powder Foundation Refill 05 Beige 12g</t>
        </is>
      </c>
      <c r="D4820" t="inlineStr">
        <is>
          <t>Miss Glam Jambi</t>
        </is>
      </c>
      <c r="E4820" t="n">
        <v>3</v>
      </c>
      <c r="F4820" t="n">
        <v>0.2112</v>
      </c>
      <c r="G4820" t="n">
        <v>1.32</v>
      </c>
      <c r="H4820" t="n">
        <v>2</v>
      </c>
      <c r="I4820" t="n">
        <v>7</v>
      </c>
      <c r="J4820" t="n">
        <v>3</v>
      </c>
      <c r="K4820" t="n">
        <v>4</v>
      </c>
      <c r="L4820" t="n">
        <v>29119</v>
      </c>
      <c r="M4820" t="n">
        <v>39500</v>
      </c>
      <c r="N4820" t="n">
        <v>33</v>
      </c>
      <c r="O4820" t="n">
        <v>0.33</v>
      </c>
      <c r="P4820" t="n">
        <v>1</v>
      </c>
      <c r="Q4820" t="n">
        <v>0.1</v>
      </c>
      <c r="R4820" t="n">
        <v>1</v>
      </c>
      <c r="S4820" t="n">
        <v>8342.400000000001</v>
      </c>
      <c r="T4820" t="n">
        <v>9</v>
      </c>
      <c r="U4820" t="n">
        <v>10</v>
      </c>
      <c r="V4820" t="n">
        <v>30</v>
      </c>
      <c r="W4820" t="n">
        <v>7</v>
      </c>
      <c r="X4820" t="n">
        <v>14.20454545454545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11602</v>
      </c>
      <c r="AG4820" t="n">
        <v>2141</v>
      </c>
      <c r="AH4820" t="inlineStr">
        <is>
          <t>PT. PARAMA GLOBAL INSPIRA - PPN (JMB)</t>
        </is>
      </c>
      <c r="AI4820" t="n">
        <v>164</v>
      </c>
      <c r="AJ4820" t="inlineStr">
        <is>
          <t>WARDAH</t>
        </is>
      </c>
      <c r="AK4820" t="n">
        <v>9</v>
      </c>
      <c r="AL4820" t="inlineStr">
        <is>
          <t>Miss Glam Jambi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"8993137690829"</f>
        <v/>
      </c>
      <c r="C4821" t="inlineStr">
        <is>
          <t>WARDAH Lightening BB Cream Light 30ml</t>
        </is>
      </c>
      <c r="D4821" t="inlineStr">
        <is>
          <t>Miss Glam Jambi</t>
        </is>
      </c>
      <c r="E4821" t="n">
        <v>8</v>
      </c>
      <c r="F4821" t="n">
        <v>0.1287</v>
      </c>
      <c r="G4821" t="n">
        <v>0.66</v>
      </c>
      <c r="H4821" t="n">
        <v>2</v>
      </c>
      <c r="I4821" t="n">
        <v>7</v>
      </c>
      <c r="J4821" t="n">
        <v>3</v>
      </c>
      <c r="K4821" t="n">
        <v>0</v>
      </c>
      <c r="L4821" t="n">
        <v>50958</v>
      </c>
      <c r="M4821" t="n">
        <v>60000</v>
      </c>
      <c r="N4821" t="n">
        <v>33</v>
      </c>
      <c r="O4821" t="n">
        <v>0.33</v>
      </c>
      <c r="P4821" t="n">
        <v>1</v>
      </c>
      <c r="Q4821" t="n">
        <v>0.19</v>
      </c>
      <c r="R4821" t="n">
        <v>2</v>
      </c>
      <c r="S4821" t="n">
        <v>7722.000000000001</v>
      </c>
      <c r="T4821" t="n">
        <v>5</v>
      </c>
      <c r="U4821" t="n">
        <v>6</v>
      </c>
      <c r="V4821" t="n">
        <v>30</v>
      </c>
      <c r="W4821" t="n">
        <v>4</v>
      </c>
      <c r="X4821" t="n">
        <v>62.16006216006215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11602</v>
      </c>
      <c r="AG4821" t="n">
        <v>2141</v>
      </c>
      <c r="AH4821" t="inlineStr">
        <is>
          <t>PT. PARAMA GLOBAL INSPIRA - PPN (JMB)</t>
        </is>
      </c>
      <c r="AI4821" t="n">
        <v>164</v>
      </c>
      <c r="AJ4821" t="inlineStr">
        <is>
          <t>WARDAH</t>
        </is>
      </c>
      <c r="AK4821" t="n">
        <v>9</v>
      </c>
      <c r="AL4821" t="inlineStr">
        <is>
          <t>Miss Glam Jambi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"8993137736954"</f>
        <v/>
      </c>
      <c r="C4822" t="inlineStr">
        <is>
          <t>WARDAH Lightening BB Cream Light Neutral Beige  04 30ml</t>
        </is>
      </c>
      <c r="D4822" t="inlineStr">
        <is>
          <t>Miss Glam Jambi</t>
        </is>
      </c>
      <c r="E4822" t="n">
        <v>7</v>
      </c>
      <c r="F4822" t="n">
        <v>0.1683</v>
      </c>
      <c r="G4822" t="n">
        <v>1.32</v>
      </c>
      <c r="H4822" t="n">
        <v>2</v>
      </c>
      <c r="I4822" t="n">
        <v>7</v>
      </c>
      <c r="J4822" t="n">
        <v>3</v>
      </c>
      <c r="K4822" t="n">
        <v>0</v>
      </c>
      <c r="L4822" t="n">
        <v>50958</v>
      </c>
      <c r="M4822" t="n">
        <v>68500</v>
      </c>
      <c r="N4822" t="n">
        <v>33</v>
      </c>
      <c r="O4822" t="n">
        <v>0.33</v>
      </c>
      <c r="P4822" t="n">
        <v>1</v>
      </c>
      <c r="Q4822" t="n">
        <v>0.17</v>
      </c>
      <c r="R4822" t="n">
        <v>2</v>
      </c>
      <c r="S4822" t="n">
        <v>11528.55</v>
      </c>
      <c r="T4822" t="n">
        <v>9</v>
      </c>
      <c r="U4822" t="n">
        <v>10</v>
      </c>
      <c r="V4822" t="n">
        <v>30</v>
      </c>
      <c r="W4822" t="n">
        <v>6</v>
      </c>
      <c r="X4822" t="n">
        <v>41.592394533571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11602</v>
      </c>
      <c r="AG4822" t="n">
        <v>2141</v>
      </c>
      <c r="AH4822" t="inlineStr">
        <is>
          <t>PT. PARAMA GLOBAL INSPIRA - PPN (JMB)</t>
        </is>
      </c>
      <c r="AI4822" t="n">
        <v>164</v>
      </c>
      <c r="AJ4822" t="inlineStr">
        <is>
          <t>WARDAH</t>
        </is>
      </c>
      <c r="AK4822" t="n">
        <v>9</v>
      </c>
      <c r="AL4822" t="inlineStr">
        <is>
          <t>Miss Glam Jambi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"8993137690850"</f>
        <v/>
      </c>
      <c r="C4823" t="inlineStr">
        <is>
          <t>WARDAH Lightening BB Cream Natural 30ml</t>
        </is>
      </c>
      <c r="D4823" t="inlineStr">
        <is>
          <t>Miss Glam Jambi</t>
        </is>
      </c>
      <c r="E4823" t="n">
        <v>17</v>
      </c>
      <c r="F4823" t="n">
        <v>0.2343</v>
      </c>
      <c r="G4823" t="n">
        <v>0.66</v>
      </c>
      <c r="H4823" t="n">
        <v>2</v>
      </c>
      <c r="I4823" t="n">
        <v>7</v>
      </c>
      <c r="J4823" t="n">
        <v>3</v>
      </c>
      <c r="K4823" t="n">
        <v>0</v>
      </c>
      <c r="L4823" t="n">
        <v>50958</v>
      </c>
      <c r="M4823" t="n">
        <v>60000</v>
      </c>
      <c r="N4823" t="n">
        <v>33</v>
      </c>
      <c r="O4823" t="n">
        <v>0.33</v>
      </c>
      <c r="P4823" t="n">
        <v>1</v>
      </c>
      <c r="Q4823" t="n">
        <v>0.36</v>
      </c>
      <c r="R4823" t="n">
        <v>3</v>
      </c>
      <c r="S4823" t="n">
        <v>14058</v>
      </c>
      <c r="T4823" t="n">
        <v>5</v>
      </c>
      <c r="U4823" t="n">
        <v>6</v>
      </c>
      <c r="V4823" t="n">
        <v>30</v>
      </c>
      <c r="W4823" t="n">
        <v>8</v>
      </c>
      <c r="X4823" t="n">
        <v>72.55655142979086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11602</v>
      </c>
      <c r="AG4823" t="n">
        <v>2141</v>
      </c>
      <c r="AH4823" t="inlineStr">
        <is>
          <t>PT. PARAMA GLOBAL INSPIRA - PPN (JMB)</t>
        </is>
      </c>
      <c r="AI4823" t="n">
        <v>164</v>
      </c>
      <c r="AJ4823" t="inlineStr">
        <is>
          <t>WARDAH</t>
        </is>
      </c>
      <c r="AK4823" t="n">
        <v>9</v>
      </c>
      <c r="AL4823" t="inlineStr">
        <is>
          <t>Miss Glam Jambi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"8993137708456"</f>
        <v/>
      </c>
      <c r="C4824" t="inlineStr">
        <is>
          <t>WARDAH Lightening Blue Clay Mask 50gr</t>
        </is>
      </c>
      <c r="D4824" t="inlineStr">
        <is>
          <t>Miss Glam Jambi</t>
        </is>
      </c>
      <c r="E4824" t="n">
        <v>9</v>
      </c>
      <c r="F4824" t="n">
        <v>0.1188</v>
      </c>
      <c r="G4824" t="n">
        <v>0.66</v>
      </c>
      <c r="H4824" t="n">
        <v>2</v>
      </c>
      <c r="I4824" t="n">
        <v>7</v>
      </c>
      <c r="J4824" t="n">
        <v>3</v>
      </c>
      <c r="K4824" t="n">
        <v>0</v>
      </c>
      <c r="L4824" t="n">
        <v>14958</v>
      </c>
      <c r="M4824" t="n">
        <v>19000</v>
      </c>
      <c r="N4824" t="n">
        <v>33</v>
      </c>
      <c r="O4824" t="n">
        <v>0.33</v>
      </c>
      <c r="P4824" t="n">
        <v>1</v>
      </c>
      <c r="Q4824" t="n">
        <v>0.07000000000000001</v>
      </c>
      <c r="R4824" t="n">
        <v>2</v>
      </c>
      <c r="S4824" t="n">
        <v>2257.2</v>
      </c>
      <c r="T4824" t="n">
        <v>5</v>
      </c>
      <c r="U4824" t="n">
        <v>6</v>
      </c>
      <c r="V4824" t="n">
        <v>30</v>
      </c>
      <c r="W4824" t="n">
        <v>4</v>
      </c>
      <c r="X4824" t="n">
        <v>75.75757575757575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11602</v>
      </c>
      <c r="AG4824" t="n">
        <v>2141</v>
      </c>
      <c r="AH4824" t="inlineStr">
        <is>
          <t>PT. PARAMA GLOBAL INSPIRA - PPN (JMB)</t>
        </is>
      </c>
      <c r="AI4824" t="n">
        <v>164</v>
      </c>
      <c r="AJ4824" t="inlineStr">
        <is>
          <t>WARDAH</t>
        </is>
      </c>
      <c r="AK4824" t="n">
        <v>9</v>
      </c>
      <c r="AL4824" t="inlineStr">
        <is>
          <t>Miss Glam Jambi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"8993137708265"</f>
        <v/>
      </c>
      <c r="C4825" t="inlineStr">
        <is>
          <t>WARDAH Lightening Cleansing Milk 100ml</t>
        </is>
      </c>
      <c r="D4825" t="inlineStr">
        <is>
          <t>Miss Glam Jambi</t>
        </is>
      </c>
      <c r="E4825" t="n">
        <v>3</v>
      </c>
      <c r="F4825" t="n">
        <v>0.2343</v>
      </c>
      <c r="G4825" t="n">
        <v>0.99</v>
      </c>
      <c r="H4825" t="n">
        <v>2</v>
      </c>
      <c r="I4825" t="n">
        <v>7</v>
      </c>
      <c r="J4825" t="n">
        <v>3</v>
      </c>
      <c r="K4825" t="n">
        <v>5</v>
      </c>
      <c r="L4825" t="n">
        <v>16092</v>
      </c>
      <c r="M4825" t="n">
        <v>19000</v>
      </c>
      <c r="N4825" t="n">
        <v>33</v>
      </c>
      <c r="O4825" t="n">
        <v>0.33</v>
      </c>
      <c r="P4825" t="n">
        <v>1</v>
      </c>
      <c r="Q4825" t="n">
        <v>0.05</v>
      </c>
      <c r="R4825" t="n">
        <v>1</v>
      </c>
      <c r="S4825" t="n">
        <v>4451.7</v>
      </c>
      <c r="T4825" t="n">
        <v>7</v>
      </c>
      <c r="U4825" t="n">
        <v>8</v>
      </c>
      <c r="V4825" t="n">
        <v>30</v>
      </c>
      <c r="W4825" t="n">
        <v>8</v>
      </c>
      <c r="X4825" t="n">
        <v>12.80409731113956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11602</v>
      </c>
      <c r="AG4825" t="n">
        <v>2141</v>
      </c>
      <c r="AH4825" t="inlineStr">
        <is>
          <t>PT. PARAMA GLOBAL INSPIRA - PPN (JMB)</t>
        </is>
      </c>
      <c r="AI4825" t="n">
        <v>164</v>
      </c>
      <c r="AJ4825" t="inlineStr">
        <is>
          <t>WARDAH</t>
        </is>
      </c>
      <c r="AK4825" t="n">
        <v>9</v>
      </c>
      <c r="AL4825" t="inlineStr">
        <is>
          <t>Miss Glam Jambi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"8993137711753"</f>
        <v/>
      </c>
      <c r="C4826" t="inlineStr">
        <is>
          <t>WARDAH Lightening Face Mist 60ml</t>
        </is>
      </c>
      <c r="D4826" t="inlineStr">
        <is>
          <t>Miss Glam Jambi</t>
        </is>
      </c>
      <c r="E4826" t="n">
        <v>18</v>
      </c>
      <c r="F4826" t="n">
        <v>1.386</v>
      </c>
      <c r="G4826" t="n">
        <v>3.63</v>
      </c>
      <c r="H4826" t="n">
        <v>2</v>
      </c>
      <c r="I4826" t="n">
        <v>7</v>
      </c>
      <c r="J4826" t="n">
        <v>3</v>
      </c>
      <c r="K4826" t="n">
        <v>23</v>
      </c>
      <c r="L4826" t="n">
        <v>22989</v>
      </c>
      <c r="M4826" t="n">
        <v>26000</v>
      </c>
      <c r="N4826" t="n">
        <v>33</v>
      </c>
      <c r="O4826" t="n">
        <v>0.33</v>
      </c>
      <c r="P4826" t="n">
        <v>1</v>
      </c>
      <c r="Q4826" t="n">
        <v>0.54</v>
      </c>
      <c r="R4826" t="n">
        <v>3</v>
      </c>
      <c r="S4826" t="n">
        <v>36036</v>
      </c>
      <c r="T4826" t="n">
        <v>23</v>
      </c>
      <c r="U4826" t="n">
        <v>26</v>
      </c>
      <c r="V4826" t="n">
        <v>30</v>
      </c>
      <c r="W4826" t="n">
        <v>42</v>
      </c>
      <c r="X4826" t="n">
        <v>12.98701298701299</v>
      </c>
      <c r="Y4826" t="n">
        <v>1</v>
      </c>
      <c r="Z4826" t="n">
        <v>1</v>
      </c>
      <c r="AA4826" t="n">
        <v>0</v>
      </c>
      <c r="AB4826" t="n">
        <v>1</v>
      </c>
      <c r="AC4826" t="n">
        <v>3</v>
      </c>
      <c r="AD4826" t="n">
        <v>0</v>
      </c>
      <c r="AE4826" t="n">
        <v>68967</v>
      </c>
      <c r="AF4826" t="n">
        <v>11602</v>
      </c>
      <c r="AG4826" t="n">
        <v>2141</v>
      </c>
      <c r="AH4826" t="inlineStr">
        <is>
          <t>PT. PARAMA GLOBAL INSPIRA - PPN (JMB)</t>
        </is>
      </c>
      <c r="AI4826" t="n">
        <v>164</v>
      </c>
      <c r="AJ4826" t="inlineStr">
        <is>
          <t>WARDAH</t>
        </is>
      </c>
      <c r="AK4826" t="n">
        <v>9</v>
      </c>
      <c r="AL4826" t="inlineStr">
        <is>
          <t>Miss Glam Jambi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"8993137708272"</f>
        <v/>
      </c>
      <c r="C4827" t="inlineStr">
        <is>
          <t>WARDAH Lightening Face Toner 125ml</t>
        </is>
      </c>
      <c r="D4827" t="inlineStr">
        <is>
          <t>Miss Glam Jambi</t>
        </is>
      </c>
      <c r="E4827" t="n">
        <v>20</v>
      </c>
      <c r="F4827" t="n">
        <v>0.7557</v>
      </c>
      <c r="G4827" t="n">
        <v>2.64</v>
      </c>
      <c r="H4827" t="n">
        <v>2</v>
      </c>
      <c r="I4827" t="n">
        <v>7</v>
      </c>
      <c r="J4827" t="n">
        <v>3</v>
      </c>
      <c r="K4827" t="n">
        <v>0</v>
      </c>
      <c r="L4827" t="n">
        <v>22606</v>
      </c>
      <c r="M4827" t="n">
        <v>28000</v>
      </c>
      <c r="N4827" t="n">
        <v>33</v>
      </c>
      <c r="O4827" t="n">
        <v>0.33</v>
      </c>
      <c r="P4827" t="n">
        <v>1</v>
      </c>
      <c r="Q4827" t="n">
        <v>0.61</v>
      </c>
      <c r="R4827" t="n">
        <v>2</v>
      </c>
      <c r="S4827" t="n">
        <v>21159.6</v>
      </c>
      <c r="T4827" t="n">
        <v>17</v>
      </c>
      <c r="U4827" t="n">
        <v>19</v>
      </c>
      <c r="V4827" t="n">
        <v>30</v>
      </c>
      <c r="W4827" t="n">
        <v>23</v>
      </c>
      <c r="X4827" t="n">
        <v>26.46552864893476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11602</v>
      </c>
      <c r="AG4827" t="n">
        <v>2141</v>
      </c>
      <c r="AH4827" t="inlineStr">
        <is>
          <t>PT. PARAMA GLOBAL INSPIRA - PPN (JMB)</t>
        </is>
      </c>
      <c r="AI4827" t="n">
        <v>164</v>
      </c>
      <c r="AJ4827" t="inlineStr">
        <is>
          <t>WARDAH</t>
        </is>
      </c>
      <c r="AK4827" t="n">
        <v>9</v>
      </c>
      <c r="AL4827" t="inlineStr">
        <is>
          <t>Miss Glam Jambi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"8993137690836"</f>
        <v/>
      </c>
      <c r="C4828" t="inlineStr">
        <is>
          <t>WARDAH Lightening Fresh BB Tint 01 Neutral Fair 15ml</t>
        </is>
      </c>
      <c r="D4828" t="inlineStr">
        <is>
          <t>Miss Glam Jambi</t>
        </is>
      </c>
      <c r="E4828" t="n">
        <v>13</v>
      </c>
      <c r="F4828" t="n">
        <v>0.8547</v>
      </c>
      <c r="G4828" t="n">
        <v>2.31</v>
      </c>
      <c r="H4828" t="n">
        <v>2</v>
      </c>
      <c r="I4828" t="n">
        <v>7</v>
      </c>
      <c r="J4828" t="n">
        <v>3</v>
      </c>
      <c r="K4828" t="n">
        <v>13</v>
      </c>
      <c r="L4828" t="n">
        <v>26820</v>
      </c>
      <c r="M4828" t="n">
        <v>32000</v>
      </c>
      <c r="N4828" t="n">
        <v>33</v>
      </c>
      <c r="O4828" t="n">
        <v>0.33</v>
      </c>
      <c r="P4828" t="n">
        <v>1</v>
      </c>
      <c r="Q4828" t="n">
        <v>0.68</v>
      </c>
      <c r="R4828" t="n">
        <v>4</v>
      </c>
      <c r="S4828" t="n">
        <v>27350.4</v>
      </c>
      <c r="T4828" t="n">
        <v>15</v>
      </c>
      <c r="U4828" t="n">
        <v>17</v>
      </c>
      <c r="V4828" t="n">
        <v>30</v>
      </c>
      <c r="W4828" t="n">
        <v>26</v>
      </c>
      <c r="X4828" t="n">
        <v>15.21001521001521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11602</v>
      </c>
      <c r="AG4828" t="n">
        <v>2141</v>
      </c>
      <c r="AH4828" t="inlineStr">
        <is>
          <t>PT. PARAMA GLOBAL INSPIRA - PPN (JMB)</t>
        </is>
      </c>
      <c r="AI4828" t="n">
        <v>164</v>
      </c>
      <c r="AJ4828" t="inlineStr">
        <is>
          <t>WARDAH</t>
        </is>
      </c>
      <c r="AK4828" t="n">
        <v>9</v>
      </c>
      <c r="AL4828" t="inlineStr">
        <is>
          <t>Miss Glam Jambi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"8993137736961"</f>
        <v/>
      </c>
      <c r="C4829" t="inlineStr">
        <is>
          <t>WARDAH Lightening Fresh BB Tint 03 Warm Ivory (23W) 15ml</t>
        </is>
      </c>
      <c r="D4829" t="inlineStr">
        <is>
          <t>Miss Glam Jambi</t>
        </is>
      </c>
      <c r="E4829" t="n">
        <v>19</v>
      </c>
      <c r="F4829" t="n">
        <v>1.2969</v>
      </c>
      <c r="G4829" t="n">
        <v>2.97</v>
      </c>
      <c r="H4829" t="n">
        <v>2</v>
      </c>
      <c r="I4829" t="n">
        <v>7</v>
      </c>
      <c r="J4829" t="n">
        <v>3</v>
      </c>
      <c r="K4829" t="n">
        <v>20</v>
      </c>
      <c r="L4829" t="n">
        <v>26820</v>
      </c>
      <c r="M4829" t="n">
        <v>32000</v>
      </c>
      <c r="N4829" t="n">
        <v>33</v>
      </c>
      <c r="O4829" t="n">
        <v>0.33</v>
      </c>
      <c r="P4829" t="n">
        <v>1</v>
      </c>
      <c r="Q4829" t="n">
        <v>0.5600000000000001</v>
      </c>
      <c r="R4829" t="n">
        <v>4</v>
      </c>
      <c r="S4829" t="n">
        <v>41500.8</v>
      </c>
      <c r="T4829" t="n">
        <v>19</v>
      </c>
      <c r="U4829" t="n">
        <v>22</v>
      </c>
      <c r="V4829" t="n">
        <v>30</v>
      </c>
      <c r="W4829" t="n">
        <v>39</v>
      </c>
      <c r="X4829" t="n">
        <v>14.65031999383144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11602</v>
      </c>
      <c r="AG4829" t="n">
        <v>2141</v>
      </c>
      <c r="AH4829" t="inlineStr">
        <is>
          <t>PT. PARAMA GLOBAL INSPIRA - PPN (JMB)</t>
        </is>
      </c>
      <c r="AI4829" t="n">
        <v>164</v>
      </c>
      <c r="AJ4829" t="inlineStr">
        <is>
          <t>WARDAH</t>
        </is>
      </c>
      <c r="AK4829" t="n">
        <v>9</v>
      </c>
      <c r="AL4829" t="inlineStr">
        <is>
          <t>Miss Glam Jambi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"8993137690847"</f>
        <v/>
      </c>
      <c r="C4830" t="inlineStr">
        <is>
          <t>WARDAH Lightening Fresh BB Tint 03 Warm Ivory (23W) 30 ml</t>
        </is>
      </c>
      <c r="D4830" t="inlineStr">
        <is>
          <t>Miss Glam Jambi</t>
        </is>
      </c>
      <c r="E4830" t="n">
        <v>2</v>
      </c>
      <c r="F4830" t="n">
        <v>0.1188</v>
      </c>
      <c r="G4830" t="n">
        <v>0.66</v>
      </c>
      <c r="H4830" t="n">
        <v>2</v>
      </c>
      <c r="I4830" t="n">
        <v>7</v>
      </c>
      <c r="J4830" t="n">
        <v>3</v>
      </c>
      <c r="K4830" t="n">
        <v>3</v>
      </c>
      <c r="L4830" t="n">
        <v>50959</v>
      </c>
      <c r="M4830" t="n">
        <v>58500</v>
      </c>
      <c r="N4830" t="n">
        <v>33</v>
      </c>
      <c r="O4830" t="n">
        <v>0.33</v>
      </c>
      <c r="P4830" t="n">
        <v>1</v>
      </c>
      <c r="Q4830" t="n">
        <v>0.14</v>
      </c>
      <c r="R4830" t="n">
        <v>2</v>
      </c>
      <c r="S4830" t="n">
        <v>6949.8</v>
      </c>
      <c r="T4830" t="n">
        <v>5</v>
      </c>
      <c r="U4830" t="n">
        <v>6</v>
      </c>
      <c r="V4830" t="n">
        <v>30</v>
      </c>
      <c r="W4830" t="n">
        <v>4</v>
      </c>
      <c r="X4830" t="n">
        <v>16.83501683501683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11602</v>
      </c>
      <c r="AG4830" t="n">
        <v>2141</v>
      </c>
      <c r="AH4830" t="inlineStr">
        <is>
          <t>PT. PARAMA GLOBAL INSPIRA - PPN (JMB)</t>
        </is>
      </c>
      <c r="AI4830" t="n">
        <v>164</v>
      </c>
      <c r="AJ4830" t="inlineStr">
        <is>
          <t>WARDAH</t>
        </is>
      </c>
      <c r="AK4830" t="n">
        <v>9</v>
      </c>
      <c r="AL4830" t="inlineStr">
        <is>
          <t>Miss Glam Jambi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"8993137736978"</f>
        <v/>
      </c>
      <c r="C4831" t="inlineStr">
        <is>
          <t>WARDAH Lightening Fresh BB Tint 04 Neutral Beige (32N) 15ml</t>
        </is>
      </c>
      <c r="D4831" t="inlineStr">
        <is>
          <t>Miss Glam Jambi</t>
        </is>
      </c>
      <c r="E4831" t="n">
        <v>3</v>
      </c>
      <c r="F4831" t="n">
        <v>1.0923</v>
      </c>
      <c r="G4831" t="n">
        <v>2.97</v>
      </c>
      <c r="H4831" t="n">
        <v>2</v>
      </c>
      <c r="I4831" t="n">
        <v>7</v>
      </c>
      <c r="J4831" t="n">
        <v>3</v>
      </c>
      <c r="K4831" t="n">
        <v>25</v>
      </c>
      <c r="L4831" t="n">
        <v>26820</v>
      </c>
      <c r="M4831" t="n">
        <v>30500</v>
      </c>
      <c r="N4831" t="n">
        <v>33</v>
      </c>
      <c r="O4831" t="n">
        <v>0.33</v>
      </c>
      <c r="P4831" t="n">
        <v>1</v>
      </c>
      <c r="Q4831" t="n">
        <v>0.05</v>
      </c>
      <c r="R4831" t="n">
        <v>1</v>
      </c>
      <c r="S4831" t="n">
        <v>33315.15</v>
      </c>
      <c r="T4831" t="n">
        <v>19</v>
      </c>
      <c r="U4831" t="n">
        <v>22</v>
      </c>
      <c r="V4831" t="n">
        <v>30</v>
      </c>
      <c r="W4831" t="n">
        <v>33</v>
      </c>
      <c r="X4831" t="n">
        <v>2.74649821477616</v>
      </c>
      <c r="Y4831" t="n">
        <v>1</v>
      </c>
      <c r="Z4831" t="n">
        <v>5</v>
      </c>
      <c r="AA4831" t="n">
        <v>4</v>
      </c>
      <c r="AB4831" t="n">
        <v>1</v>
      </c>
      <c r="AC4831" t="n">
        <v>3</v>
      </c>
      <c r="AD4831" t="n">
        <v>107280</v>
      </c>
      <c r="AE4831" t="n">
        <v>80460</v>
      </c>
      <c r="AF4831" t="n">
        <v>11602</v>
      </c>
      <c r="AG4831" t="n">
        <v>2141</v>
      </c>
      <c r="AH4831" t="inlineStr">
        <is>
          <t>PT. PARAMA GLOBAL INSPIRA - PPN (JMB)</t>
        </is>
      </c>
      <c r="AI4831" t="n">
        <v>164</v>
      </c>
      <c r="AJ4831" t="inlineStr">
        <is>
          <t>WARDAH</t>
        </is>
      </c>
      <c r="AK4831" t="n">
        <v>9</v>
      </c>
      <c r="AL4831" t="inlineStr">
        <is>
          <t>Miss Glam Jambi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"8993137708449"</f>
        <v/>
      </c>
      <c r="C4832" t="inlineStr">
        <is>
          <t>WARDAH Lightening Gentle Exfoliator 50ml</t>
        </is>
      </c>
      <c r="D4832" t="inlineStr">
        <is>
          <t>Miss Glam Jambi</t>
        </is>
      </c>
      <c r="E4832" t="n">
        <v>11</v>
      </c>
      <c r="F4832" t="n">
        <v>0.1947</v>
      </c>
      <c r="G4832" t="n">
        <v>0.99</v>
      </c>
      <c r="H4832" t="n">
        <v>2</v>
      </c>
      <c r="I4832" t="n">
        <v>7</v>
      </c>
      <c r="J4832" t="n">
        <v>3</v>
      </c>
      <c r="K4832" t="n">
        <v>0</v>
      </c>
      <c r="L4832" t="n">
        <v>16475</v>
      </c>
      <c r="M4832" t="n">
        <v>19000</v>
      </c>
      <c r="N4832" t="n">
        <v>33</v>
      </c>
      <c r="O4832" t="n">
        <v>0.33</v>
      </c>
      <c r="P4832" t="n">
        <v>1</v>
      </c>
      <c r="Q4832" t="n">
        <v>0.37</v>
      </c>
      <c r="R4832" t="n">
        <v>3</v>
      </c>
      <c r="S4832" t="n">
        <v>3699.3</v>
      </c>
      <c r="T4832" t="n">
        <v>7</v>
      </c>
      <c r="U4832" t="n">
        <v>8</v>
      </c>
      <c r="V4832" t="n">
        <v>30</v>
      </c>
      <c r="W4832" t="n">
        <v>6</v>
      </c>
      <c r="X4832" t="n">
        <v>56.49717514124293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11602</v>
      </c>
      <c r="AG4832" t="n">
        <v>2141</v>
      </c>
      <c r="AH4832" t="inlineStr">
        <is>
          <t>PT. PARAMA GLOBAL INSPIRA - PPN (JMB)</t>
        </is>
      </c>
      <c r="AI4832" t="n">
        <v>164</v>
      </c>
      <c r="AJ4832" t="inlineStr">
        <is>
          <t>WARDAH</t>
        </is>
      </c>
      <c r="AK4832" t="n">
        <v>9</v>
      </c>
      <c r="AL4832" t="inlineStr">
        <is>
          <t>Miss Glam Jambi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"8993137705264"</f>
        <v/>
      </c>
      <c r="C4833" t="inlineStr">
        <is>
          <t>WARDAH Lightening Liquid Concealer 02 Beige 7gr</t>
        </is>
      </c>
      <c r="D4833" t="inlineStr">
        <is>
          <t>Miss Glam Jambi</t>
        </is>
      </c>
      <c r="E4833" t="n">
        <v>6</v>
      </c>
      <c r="F4833" t="n">
        <v>0.3399</v>
      </c>
      <c r="G4833" t="n">
        <v>1.32</v>
      </c>
      <c r="H4833" t="n">
        <v>2</v>
      </c>
      <c r="I4833" t="n">
        <v>7</v>
      </c>
      <c r="J4833" t="n">
        <v>3</v>
      </c>
      <c r="K4833" t="n">
        <v>5</v>
      </c>
      <c r="L4833" t="n">
        <v>35249</v>
      </c>
      <c r="M4833" t="n">
        <v>41500</v>
      </c>
      <c r="N4833" t="n">
        <v>33</v>
      </c>
      <c r="O4833" t="n">
        <v>0.33</v>
      </c>
      <c r="P4833" t="n">
        <v>1</v>
      </c>
      <c r="Q4833" t="n">
        <v>0.1</v>
      </c>
      <c r="R4833" t="n">
        <v>1</v>
      </c>
      <c r="S4833" t="n">
        <v>14105.85</v>
      </c>
      <c r="T4833" t="n">
        <v>9</v>
      </c>
      <c r="U4833" t="n">
        <v>10</v>
      </c>
      <c r="V4833" t="n">
        <v>30</v>
      </c>
      <c r="W4833" t="n">
        <v>11</v>
      </c>
      <c r="X4833" t="n">
        <v>17.6522506619594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11602</v>
      </c>
      <c r="AG4833" t="n">
        <v>2141</v>
      </c>
      <c r="AH4833" t="inlineStr">
        <is>
          <t>PT. PARAMA GLOBAL INSPIRA - PPN (JMB)</t>
        </is>
      </c>
      <c r="AI4833" t="n">
        <v>164</v>
      </c>
      <c r="AJ4833" t="inlineStr">
        <is>
          <t>WARDAH</t>
        </is>
      </c>
      <c r="AK4833" t="n">
        <v>9</v>
      </c>
      <c r="AL4833" t="inlineStr">
        <is>
          <t>Miss Glam Jambi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"8993137736312"</f>
        <v/>
      </c>
      <c r="C4834" t="inlineStr">
        <is>
          <t>WARDAH Lightening Liquid Concealer 03 Golden Sand (43W) 6gr</t>
        </is>
      </c>
      <c r="D4834" t="inlineStr">
        <is>
          <t>Miss Glam Jambi</t>
        </is>
      </c>
      <c r="E4834" t="n">
        <v>4</v>
      </c>
      <c r="F4834" t="n">
        <v>0.033</v>
      </c>
      <c r="G4834" t="n">
        <v>0.33</v>
      </c>
      <c r="H4834" t="n">
        <v>2</v>
      </c>
      <c r="I4834" t="n">
        <v>7</v>
      </c>
      <c r="J4834" t="n">
        <v>3</v>
      </c>
      <c r="K4834" t="n">
        <v>0</v>
      </c>
      <c r="L4834" t="n">
        <v>34637</v>
      </c>
      <c r="M4834" t="n">
        <v>40500</v>
      </c>
      <c r="N4834" t="n">
        <v>33</v>
      </c>
      <c r="O4834" t="n">
        <v>0.33</v>
      </c>
      <c r="P4834" t="n">
        <v>1</v>
      </c>
      <c r="Q4834" t="n">
        <v>0.02</v>
      </c>
      <c r="R4834" t="n">
        <v>1</v>
      </c>
      <c r="S4834" t="n">
        <v>1336.5</v>
      </c>
      <c r="T4834" t="n">
        <v>3</v>
      </c>
      <c r="U4834" t="n">
        <v>4</v>
      </c>
      <c r="V4834" t="n">
        <v>30</v>
      </c>
      <c r="W4834" t="n">
        <v>1</v>
      </c>
      <c r="X4834" t="n">
        <v>121.2121212121212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11602</v>
      </c>
      <c r="AG4834" t="n">
        <v>2141</v>
      </c>
      <c r="AH4834" t="inlineStr">
        <is>
          <t>PT. PARAMA GLOBAL INSPIRA - PPN (JMB)</t>
        </is>
      </c>
      <c r="AI4834" t="n">
        <v>164</v>
      </c>
      <c r="AJ4834" t="inlineStr">
        <is>
          <t>WARDAH</t>
        </is>
      </c>
      <c r="AK4834" t="n">
        <v>9</v>
      </c>
      <c r="AL4834" t="inlineStr">
        <is>
          <t>Miss Glam Jambi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"8993137707695"</f>
        <v/>
      </c>
      <c r="C4835" t="inlineStr">
        <is>
          <t>WARDAH Lightening Liquid Fondation 01 Light Beige 25ml (Blister)</t>
        </is>
      </c>
      <c r="D4835" t="inlineStr">
        <is>
          <t>Miss Glam Jambi</t>
        </is>
      </c>
      <c r="E4835" t="n">
        <v>9</v>
      </c>
      <c r="F4835" t="n">
        <v>0.2079</v>
      </c>
      <c r="G4835" t="n">
        <v>0.99</v>
      </c>
      <c r="H4835" t="n">
        <v>2</v>
      </c>
      <c r="I4835" t="n">
        <v>7</v>
      </c>
      <c r="J4835" t="n">
        <v>3</v>
      </c>
      <c r="K4835" t="n">
        <v>0</v>
      </c>
      <c r="L4835" t="n">
        <v>41379</v>
      </c>
      <c r="M4835" t="n">
        <v>50500</v>
      </c>
      <c r="N4835" t="n">
        <v>33</v>
      </c>
      <c r="O4835" t="n">
        <v>0.33</v>
      </c>
      <c r="P4835" t="n">
        <v>1</v>
      </c>
      <c r="Q4835" t="n">
        <v>0.1</v>
      </c>
      <c r="R4835" t="n">
        <v>1</v>
      </c>
      <c r="S4835" t="n">
        <v>10498.95</v>
      </c>
      <c r="T4835" t="n">
        <v>7</v>
      </c>
      <c r="U4835" t="n">
        <v>8</v>
      </c>
      <c r="V4835" t="n">
        <v>30</v>
      </c>
      <c r="W4835" t="n">
        <v>7</v>
      </c>
      <c r="X4835" t="n">
        <v>43.29004329004329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11602</v>
      </c>
      <c r="AG4835" t="n">
        <v>2141</v>
      </c>
      <c r="AH4835" t="inlineStr">
        <is>
          <t>PT. PARAMA GLOBAL INSPIRA - PPN (JMB)</t>
        </is>
      </c>
      <c r="AI4835" t="n">
        <v>164</v>
      </c>
      <c r="AJ4835" t="inlineStr">
        <is>
          <t>WARDAH</t>
        </is>
      </c>
      <c r="AK4835" t="n">
        <v>9</v>
      </c>
      <c r="AL4835" t="inlineStr">
        <is>
          <t>Miss Glam Jambi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"8993137707718"</f>
        <v/>
      </c>
      <c r="C4836" t="inlineStr">
        <is>
          <t>WARDAH Lightening Liquid Foundation 03 Ivory 25ml</t>
        </is>
      </c>
      <c r="D4836" t="inlineStr">
        <is>
          <t>Miss Glam Jambi</t>
        </is>
      </c>
      <c r="E4836" t="n">
        <v>2</v>
      </c>
      <c r="F4836" t="n">
        <v>0.1518</v>
      </c>
      <c r="G4836" t="n">
        <v>0.99</v>
      </c>
      <c r="H4836" t="n">
        <v>2</v>
      </c>
      <c r="I4836" t="n">
        <v>7</v>
      </c>
      <c r="J4836" t="n">
        <v>3</v>
      </c>
      <c r="K4836" t="n">
        <v>3</v>
      </c>
      <c r="L4836" t="n">
        <v>41380</v>
      </c>
      <c r="M4836" t="n">
        <v>49000</v>
      </c>
      <c r="N4836" t="n">
        <v>33</v>
      </c>
      <c r="O4836" t="n">
        <v>0.33</v>
      </c>
      <c r="P4836" t="n">
        <v>1</v>
      </c>
      <c r="Q4836" t="n">
        <v>0.05</v>
      </c>
      <c r="R4836" t="n">
        <v>1</v>
      </c>
      <c r="S4836" t="n">
        <v>7438.200000000001</v>
      </c>
      <c r="T4836" t="n">
        <v>7</v>
      </c>
      <c r="U4836" t="n">
        <v>8</v>
      </c>
      <c r="V4836" t="n">
        <v>30</v>
      </c>
      <c r="W4836" t="n">
        <v>5</v>
      </c>
      <c r="X4836" t="n">
        <v>13.17523056653491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11602</v>
      </c>
      <c r="AG4836" t="n">
        <v>2141</v>
      </c>
      <c r="AH4836" t="inlineStr">
        <is>
          <t>PT. PARAMA GLOBAL INSPIRA - PPN (JMB)</t>
        </is>
      </c>
      <c r="AI4836" t="n">
        <v>164</v>
      </c>
      <c r="AJ4836" t="inlineStr">
        <is>
          <t>WARDAH</t>
        </is>
      </c>
      <c r="AK4836" t="n">
        <v>9</v>
      </c>
      <c r="AL4836" t="inlineStr">
        <is>
          <t>Miss Glam Jambi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"8993137707725"</f>
        <v/>
      </c>
      <c r="C4837" t="inlineStr">
        <is>
          <t>WARDAH Lightening Liquid Foundation 04 Natural 25ml</t>
        </is>
      </c>
      <c r="D4837" t="inlineStr">
        <is>
          <t>Miss Glam Jambi</t>
        </is>
      </c>
      <c r="E4837" t="n">
        <v>2</v>
      </c>
      <c r="F4837" t="n">
        <v>0.05</v>
      </c>
      <c r="G4837" t="n">
        <v>1</v>
      </c>
      <c r="H4837" t="n">
        <v>2</v>
      </c>
      <c r="I4837" t="n">
        <v>7</v>
      </c>
      <c r="J4837" t="n">
        <v>3</v>
      </c>
      <c r="K4837" t="n">
        <v>0</v>
      </c>
      <c r="L4837" t="n">
        <v>41380</v>
      </c>
      <c r="M4837" t="n">
        <v>48000</v>
      </c>
      <c r="N4837" t="n">
        <v>33</v>
      </c>
      <c r="O4837" t="n">
        <v>0.33</v>
      </c>
      <c r="P4837" t="n">
        <v>0</v>
      </c>
      <c r="Q4837" t="n">
        <v>0.05</v>
      </c>
      <c r="R4837" t="n">
        <v>1</v>
      </c>
      <c r="S4837" t="n">
        <v>2400</v>
      </c>
      <c r="T4837" t="n">
        <v>7</v>
      </c>
      <c r="U4837" t="n">
        <v>8</v>
      </c>
      <c r="V4837" t="n">
        <v>30</v>
      </c>
      <c r="W4837" t="n">
        <v>2</v>
      </c>
      <c r="X4837" t="n">
        <v>40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11602</v>
      </c>
      <c r="AG4837" t="n">
        <v>2141</v>
      </c>
      <c r="AH4837" t="inlineStr">
        <is>
          <t>PT. PARAMA GLOBAL INSPIRA - PPN (JMB)</t>
        </is>
      </c>
      <c r="AI4837" t="n">
        <v>164</v>
      </c>
      <c r="AJ4837" t="inlineStr">
        <is>
          <t>WARDAH</t>
        </is>
      </c>
      <c r="AK4837" t="n">
        <v>9</v>
      </c>
      <c r="AL4837" t="inlineStr">
        <is>
          <t>Miss Glam Jambi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"8993137736343"</f>
        <v/>
      </c>
      <c r="C4838" t="inlineStr">
        <is>
          <t>WARDAH Lightening Liquid Foundation 05 Warm Ivory (23W) 6ml</t>
        </is>
      </c>
      <c r="D4838" t="inlineStr">
        <is>
          <t>Miss Glam Jambi</t>
        </is>
      </c>
      <c r="E4838" t="n">
        <v>4</v>
      </c>
      <c r="F4838" t="n">
        <v>0.03</v>
      </c>
      <c r="G4838" t="n">
        <v>1</v>
      </c>
      <c r="H4838" t="n">
        <v>2</v>
      </c>
      <c r="I4838" t="n">
        <v>7</v>
      </c>
      <c r="J4838" t="n">
        <v>3</v>
      </c>
      <c r="K4838" t="n">
        <v>0</v>
      </c>
      <c r="L4838" t="n">
        <v>14034</v>
      </c>
      <c r="M4838" t="n">
        <v>18000</v>
      </c>
      <c r="N4838" t="n">
        <v>33</v>
      </c>
      <c r="O4838" t="n">
        <v>0.33</v>
      </c>
      <c r="P4838" t="n">
        <v>0</v>
      </c>
      <c r="Q4838" t="n">
        <v>0.03</v>
      </c>
      <c r="R4838" t="n">
        <v>1</v>
      </c>
      <c r="S4838" t="n">
        <v>540</v>
      </c>
      <c r="T4838" t="n">
        <v>7</v>
      </c>
      <c r="U4838" t="n">
        <v>8</v>
      </c>
      <c r="V4838" t="n">
        <v>30</v>
      </c>
      <c r="W4838" t="n">
        <v>1</v>
      </c>
      <c r="X4838" t="n">
        <v>133.3333333333333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11602</v>
      </c>
      <c r="AG4838" t="n">
        <v>2141</v>
      </c>
      <c r="AH4838" t="inlineStr">
        <is>
          <t>PT. PARAMA GLOBAL INSPIRA - PPN (JMB)</t>
        </is>
      </c>
      <c r="AI4838" t="n">
        <v>164</v>
      </c>
      <c r="AJ4838" t="inlineStr">
        <is>
          <t>WARDAH</t>
        </is>
      </c>
      <c r="AK4838" t="n">
        <v>9</v>
      </c>
      <c r="AL4838" t="inlineStr">
        <is>
          <t>Miss Glam Jambi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"8993137701006"</f>
        <v/>
      </c>
      <c r="C4839" t="inlineStr">
        <is>
          <t>WARDAH Lightening Matte Powder 01 Light Beige 20gr</t>
        </is>
      </c>
      <c r="D4839" t="inlineStr">
        <is>
          <t>Miss Glam Jambi</t>
        </is>
      </c>
      <c r="E4839" t="n">
        <v>20</v>
      </c>
      <c r="F4839" t="n">
        <v>0.6105</v>
      </c>
      <c r="G4839" t="n">
        <v>1.65</v>
      </c>
      <c r="H4839" t="n">
        <v>2</v>
      </c>
      <c r="I4839" t="n">
        <v>7</v>
      </c>
      <c r="J4839" t="n">
        <v>3</v>
      </c>
      <c r="K4839" t="n">
        <v>0</v>
      </c>
      <c r="L4839" t="n">
        <v>31035</v>
      </c>
      <c r="M4839" t="n">
        <v>35500</v>
      </c>
      <c r="N4839" t="n">
        <v>33</v>
      </c>
      <c r="O4839" t="n">
        <v>0.33</v>
      </c>
      <c r="P4839" t="n">
        <v>1</v>
      </c>
      <c r="Q4839" t="n">
        <v>0.41</v>
      </c>
      <c r="R4839" t="n">
        <v>3</v>
      </c>
      <c r="S4839" t="n">
        <v>21672.75</v>
      </c>
      <c r="T4839" t="n">
        <v>11</v>
      </c>
      <c r="U4839" t="n">
        <v>13</v>
      </c>
      <c r="V4839" t="n">
        <v>30</v>
      </c>
      <c r="W4839" t="n">
        <v>19</v>
      </c>
      <c r="X4839" t="n">
        <v>32.76003276003276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11602</v>
      </c>
      <c r="AG4839" t="n">
        <v>2141</v>
      </c>
      <c r="AH4839" t="inlineStr">
        <is>
          <t>PT. PARAMA GLOBAL INSPIRA - PPN (JMB)</t>
        </is>
      </c>
      <c r="AI4839" t="n">
        <v>164</v>
      </c>
      <c r="AJ4839" t="inlineStr">
        <is>
          <t>WARDAH</t>
        </is>
      </c>
      <c r="AK4839" t="n">
        <v>9</v>
      </c>
      <c r="AL4839" t="inlineStr">
        <is>
          <t>Miss Glam Jambi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"8993137701013"</f>
        <v/>
      </c>
      <c r="C4840" t="inlineStr">
        <is>
          <t>WARDAH Lightening Matte Powder 02 Beige 20g</t>
        </is>
      </c>
      <c r="D4840" t="inlineStr">
        <is>
          <t>Miss Glam Jambi</t>
        </is>
      </c>
      <c r="E4840" t="n">
        <v>7</v>
      </c>
      <c r="F4840" t="n">
        <v>0.6666000000000001</v>
      </c>
      <c r="G4840" t="n">
        <v>1.65</v>
      </c>
      <c r="H4840" t="n">
        <v>2</v>
      </c>
      <c r="I4840" t="n">
        <v>7</v>
      </c>
      <c r="J4840" t="n">
        <v>3</v>
      </c>
      <c r="K4840" t="n">
        <v>14</v>
      </c>
      <c r="L4840" t="n">
        <v>31035</v>
      </c>
      <c r="M4840" t="n">
        <v>37000</v>
      </c>
      <c r="N4840" t="n">
        <v>33</v>
      </c>
      <c r="O4840" t="n">
        <v>0.33</v>
      </c>
      <c r="P4840" t="n">
        <v>1</v>
      </c>
      <c r="Q4840" t="n">
        <v>0.39</v>
      </c>
      <c r="R4840" t="n">
        <v>3</v>
      </c>
      <c r="S4840" t="n">
        <v>24664.2</v>
      </c>
      <c r="T4840" t="n">
        <v>11</v>
      </c>
      <c r="U4840" t="n">
        <v>13</v>
      </c>
      <c r="V4840" t="n">
        <v>30</v>
      </c>
      <c r="W4840" t="n">
        <v>20</v>
      </c>
      <c r="X4840" t="n">
        <v>10.5010501050105</v>
      </c>
      <c r="Y4840" t="n">
        <v>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11602</v>
      </c>
      <c r="AG4840" t="n">
        <v>2141</v>
      </c>
      <c r="AH4840" t="inlineStr">
        <is>
          <t>PT. PARAMA GLOBAL INSPIRA - PPN (JMB)</t>
        </is>
      </c>
      <c r="AI4840" t="n">
        <v>164</v>
      </c>
      <c r="AJ4840" t="inlineStr">
        <is>
          <t>WARDAH</t>
        </is>
      </c>
      <c r="AK4840" t="n">
        <v>9</v>
      </c>
      <c r="AL4840" t="inlineStr">
        <is>
          <t>Miss Glam Jambi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"8993137701020"</f>
        <v/>
      </c>
      <c r="C4841" t="inlineStr">
        <is>
          <t>WARDAH Lightening Matte Powder 03 Ivory 20gr</t>
        </is>
      </c>
      <c r="D4841" t="inlineStr">
        <is>
          <t>Miss Glam Jambi</t>
        </is>
      </c>
      <c r="E4841" t="n">
        <v>7</v>
      </c>
      <c r="F4841" t="n">
        <v>0.6138</v>
      </c>
      <c r="G4841" t="n">
        <v>1.65</v>
      </c>
      <c r="H4841" t="n">
        <v>2</v>
      </c>
      <c r="I4841" t="n">
        <v>7</v>
      </c>
      <c r="J4841" t="n">
        <v>3</v>
      </c>
      <c r="K4841" t="n">
        <v>11</v>
      </c>
      <c r="L4841" t="n">
        <v>31035</v>
      </c>
      <c r="M4841" t="n">
        <v>37000</v>
      </c>
      <c r="N4841" t="n">
        <v>33</v>
      </c>
      <c r="O4841" t="n">
        <v>0.33</v>
      </c>
      <c r="P4841" t="n">
        <v>1</v>
      </c>
      <c r="Q4841" t="n">
        <v>0.41</v>
      </c>
      <c r="R4841" t="n">
        <v>4</v>
      </c>
      <c r="S4841" t="n">
        <v>22710.6</v>
      </c>
      <c r="T4841" t="n">
        <v>11</v>
      </c>
      <c r="U4841" t="n">
        <v>13</v>
      </c>
      <c r="V4841" t="n">
        <v>30</v>
      </c>
      <c r="W4841" t="n">
        <v>19</v>
      </c>
      <c r="X4841" t="n">
        <v>11.40436624307592</v>
      </c>
      <c r="Y4841" t="n">
        <v>1</v>
      </c>
      <c r="Z4841" t="n">
        <v>1</v>
      </c>
      <c r="AA4841" t="n">
        <v>0</v>
      </c>
      <c r="AB4841" t="n">
        <v>1</v>
      </c>
      <c r="AC4841" t="n">
        <v>3</v>
      </c>
      <c r="AD4841" t="n">
        <v>0</v>
      </c>
      <c r="AE4841" t="n">
        <v>93105</v>
      </c>
      <c r="AF4841" t="n">
        <v>11602</v>
      </c>
      <c r="AG4841" t="n">
        <v>2141</v>
      </c>
      <c r="AH4841" t="inlineStr">
        <is>
          <t>PT. PARAMA GLOBAL INSPIRA - PPN (JMB)</t>
        </is>
      </c>
      <c r="AI4841" t="n">
        <v>164</v>
      </c>
      <c r="AJ4841" t="inlineStr">
        <is>
          <t>WARDAH</t>
        </is>
      </c>
      <c r="AK4841" t="n">
        <v>9</v>
      </c>
      <c r="AL4841" t="inlineStr">
        <is>
          <t>Miss Glam Jambi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"8993137701037"</f>
        <v/>
      </c>
      <c r="C4842" t="inlineStr">
        <is>
          <t>WARDAH Lightening Matte Powder 04 Natural 20gr</t>
        </is>
      </c>
      <c r="D4842" t="inlineStr">
        <is>
          <t>Miss Glam Jambi</t>
        </is>
      </c>
      <c r="E4842" t="n">
        <v>9</v>
      </c>
      <c r="F4842" t="n">
        <v>0.2739</v>
      </c>
      <c r="G4842" t="n">
        <v>1.32</v>
      </c>
      <c r="H4842" t="n">
        <v>2</v>
      </c>
      <c r="I4842" t="n">
        <v>7</v>
      </c>
      <c r="J4842" t="n">
        <v>3</v>
      </c>
      <c r="K4842" t="n">
        <v>0</v>
      </c>
      <c r="L4842" t="n">
        <v>31035</v>
      </c>
      <c r="M4842" t="n">
        <v>37000</v>
      </c>
      <c r="N4842" t="n">
        <v>33</v>
      </c>
      <c r="O4842" t="n">
        <v>0.33</v>
      </c>
      <c r="P4842" t="n">
        <v>1</v>
      </c>
      <c r="Q4842" t="n">
        <v>0.22</v>
      </c>
      <c r="R4842" t="n">
        <v>2</v>
      </c>
      <c r="S4842" t="n">
        <v>10134.3</v>
      </c>
      <c r="T4842" t="n">
        <v>9</v>
      </c>
      <c r="U4842" t="n">
        <v>10</v>
      </c>
      <c r="V4842" t="n">
        <v>30</v>
      </c>
      <c r="W4842" t="n">
        <v>9</v>
      </c>
      <c r="X4842" t="n">
        <v>32.85870755750274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11602</v>
      </c>
      <c r="AG4842" t="n">
        <v>2141</v>
      </c>
      <c r="AH4842" t="inlineStr">
        <is>
          <t>PT. PARAMA GLOBAL INSPIRA - PPN (JMB)</t>
        </is>
      </c>
      <c r="AI4842" t="n">
        <v>164</v>
      </c>
      <c r="AJ4842" t="inlineStr">
        <is>
          <t>WARDAH</t>
        </is>
      </c>
      <c r="AK4842" t="n">
        <v>9</v>
      </c>
      <c r="AL4842" t="inlineStr">
        <is>
          <t>Miss Glam Jambi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"8993137685597"</f>
        <v/>
      </c>
      <c r="C4843" t="inlineStr">
        <is>
          <t>WARDAH Lightening Matte Powder Foundation 01 Golden Sand 12gr</t>
        </is>
      </c>
      <c r="D4843" t="inlineStr">
        <is>
          <t>Miss Glam Jambi</t>
        </is>
      </c>
      <c r="E4843" t="n">
        <v>6</v>
      </c>
      <c r="F4843" t="n">
        <v>0.2244</v>
      </c>
      <c r="G4843" t="n">
        <v>0.99</v>
      </c>
      <c r="H4843" t="n">
        <v>2</v>
      </c>
      <c r="I4843" t="n">
        <v>7</v>
      </c>
      <c r="J4843" t="n">
        <v>3</v>
      </c>
      <c r="K4843" t="n">
        <v>3</v>
      </c>
      <c r="L4843" t="n">
        <v>42147</v>
      </c>
      <c r="M4843" t="n">
        <v>49000</v>
      </c>
      <c r="N4843" t="n">
        <v>33</v>
      </c>
      <c r="O4843" t="n">
        <v>0.33</v>
      </c>
      <c r="P4843" t="n">
        <v>1</v>
      </c>
      <c r="Q4843" t="n">
        <v>0.08</v>
      </c>
      <c r="R4843" t="n">
        <v>1</v>
      </c>
      <c r="S4843" t="n">
        <v>10995.6</v>
      </c>
      <c r="T4843" t="n">
        <v>7</v>
      </c>
      <c r="U4843" t="n">
        <v>8</v>
      </c>
      <c r="V4843" t="n">
        <v>30</v>
      </c>
      <c r="W4843" t="n">
        <v>7</v>
      </c>
      <c r="X4843" t="n">
        <v>26.7379679144385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11602</v>
      </c>
      <c r="AG4843" t="n">
        <v>2141</v>
      </c>
      <c r="AH4843" t="inlineStr">
        <is>
          <t>PT. PARAMA GLOBAL INSPIRA - PPN (JMB)</t>
        </is>
      </c>
      <c r="AI4843" t="n">
        <v>164</v>
      </c>
      <c r="AJ4843" t="inlineStr">
        <is>
          <t>WARDAH</t>
        </is>
      </c>
      <c r="AK4843" t="n">
        <v>9</v>
      </c>
      <c r="AL4843" t="inlineStr">
        <is>
          <t>Miss Glam Jambi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"8993137009881"</f>
        <v/>
      </c>
      <c r="C4844" t="inlineStr">
        <is>
          <t>WARDAH Lightening Oil Infused Micellar Water 240ml</t>
        </is>
      </c>
      <c r="D4844" t="inlineStr">
        <is>
          <t>Miss Glam Jambi</t>
        </is>
      </c>
      <c r="E4844" t="n">
        <v>5</v>
      </c>
      <c r="F4844" t="n">
        <v>0.1551</v>
      </c>
      <c r="G4844" t="n">
        <v>0.99</v>
      </c>
      <c r="H4844" t="n">
        <v>2</v>
      </c>
      <c r="I4844" t="n">
        <v>7</v>
      </c>
      <c r="J4844" t="n">
        <v>3</v>
      </c>
      <c r="K4844" t="n">
        <v>0</v>
      </c>
      <c r="L4844" t="n">
        <v>62069</v>
      </c>
      <c r="M4844" t="n">
        <v>73500</v>
      </c>
      <c r="N4844" t="n">
        <v>33</v>
      </c>
      <c r="O4844" t="n">
        <v>0.33</v>
      </c>
      <c r="P4844" t="n">
        <v>1</v>
      </c>
      <c r="Q4844" t="n">
        <v>0.02</v>
      </c>
      <c r="R4844" t="n">
        <v>0</v>
      </c>
      <c r="S4844" t="n">
        <v>11399.85</v>
      </c>
      <c r="T4844" t="n">
        <v>7</v>
      </c>
      <c r="U4844" t="n">
        <v>8</v>
      </c>
      <c r="V4844" t="n">
        <v>30</v>
      </c>
      <c r="W4844" t="n">
        <v>5</v>
      </c>
      <c r="X4844" t="n">
        <v>32.23726627981947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11602</v>
      </c>
      <c r="AG4844" t="n">
        <v>2141</v>
      </c>
      <c r="AH4844" t="inlineStr">
        <is>
          <t>PT. PARAMA GLOBAL INSPIRA - PPN (JMB)</t>
        </is>
      </c>
      <c r="AI4844" t="n">
        <v>164</v>
      </c>
      <c r="AJ4844" t="inlineStr">
        <is>
          <t>WARDAH</t>
        </is>
      </c>
      <c r="AK4844" t="n">
        <v>9</v>
      </c>
      <c r="AL4844" t="inlineStr">
        <is>
          <t>Miss Glam Jambi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"8993137706803"</f>
        <v/>
      </c>
      <c r="C4845" t="inlineStr">
        <is>
          <t>WARDAH Lightening Oil-Infused Micellar Water 100ml</t>
        </is>
      </c>
      <c r="D4845" t="inlineStr">
        <is>
          <t>Miss Glam Jambi</t>
        </is>
      </c>
      <c r="E4845" t="n">
        <v>14</v>
      </c>
      <c r="F4845" t="n">
        <v>0.5412</v>
      </c>
      <c r="G4845" t="n">
        <v>1.65</v>
      </c>
      <c r="H4845" t="n">
        <v>2</v>
      </c>
      <c r="I4845" t="n">
        <v>7</v>
      </c>
      <c r="J4845" t="n">
        <v>3</v>
      </c>
      <c r="K4845" t="n">
        <v>0</v>
      </c>
      <c r="L4845" t="n">
        <v>32056</v>
      </c>
      <c r="M4845" t="n">
        <v>41500</v>
      </c>
      <c r="N4845" t="n">
        <v>33</v>
      </c>
      <c r="O4845" t="n">
        <v>0.33</v>
      </c>
      <c r="P4845" t="n">
        <v>1</v>
      </c>
      <c r="Q4845" t="n">
        <v>0.44</v>
      </c>
      <c r="R4845" t="n">
        <v>4</v>
      </c>
      <c r="S4845" t="n">
        <v>22459.8</v>
      </c>
      <c r="T4845" t="n">
        <v>11</v>
      </c>
      <c r="U4845" t="n">
        <v>13</v>
      </c>
      <c r="V4845" t="n">
        <v>30</v>
      </c>
      <c r="W4845" t="n">
        <v>17</v>
      </c>
      <c r="X4845" t="n">
        <v>25.86844050258684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11602</v>
      </c>
      <c r="AG4845" t="n">
        <v>2141</v>
      </c>
      <c r="AH4845" t="inlineStr">
        <is>
          <t>PT. PARAMA GLOBAL INSPIRA - PPN (JMB)</t>
        </is>
      </c>
      <c r="AI4845" t="n">
        <v>164</v>
      </c>
      <c r="AJ4845" t="inlineStr">
        <is>
          <t>WARDAH</t>
        </is>
      </c>
      <c r="AK4845" t="n">
        <v>9</v>
      </c>
      <c r="AL4845" t="inlineStr">
        <is>
          <t>Miss Glam Jambi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"8993137706797"</f>
        <v/>
      </c>
      <c r="C4846" t="inlineStr">
        <is>
          <t>WARDAH Lightening Oil-Infused Micellar Water 55ml</t>
        </is>
      </c>
      <c r="D4846" t="inlineStr">
        <is>
          <t>Miss Glam Jambi</t>
        </is>
      </c>
      <c r="E4846" t="n">
        <v>5</v>
      </c>
      <c r="F4846" t="n">
        <v>0.4752</v>
      </c>
      <c r="G4846" t="n">
        <v>1.65</v>
      </c>
      <c r="H4846" t="n">
        <v>2</v>
      </c>
      <c r="I4846" t="n">
        <v>7</v>
      </c>
      <c r="J4846" t="n">
        <v>3</v>
      </c>
      <c r="K4846" t="n">
        <v>9</v>
      </c>
      <c r="L4846" t="n">
        <v>19157</v>
      </c>
      <c r="M4846" t="n">
        <v>23000</v>
      </c>
      <c r="N4846" t="n">
        <v>33</v>
      </c>
      <c r="O4846" t="n">
        <v>0.33</v>
      </c>
      <c r="P4846" t="n">
        <v>1</v>
      </c>
      <c r="Q4846" t="n">
        <v>0.42</v>
      </c>
      <c r="R4846" t="n">
        <v>4</v>
      </c>
      <c r="S4846" t="n">
        <v>10929.6</v>
      </c>
      <c r="T4846" t="n">
        <v>11</v>
      </c>
      <c r="U4846" t="n">
        <v>12</v>
      </c>
      <c r="V4846" t="n">
        <v>30</v>
      </c>
      <c r="W4846" t="n">
        <v>15</v>
      </c>
      <c r="X4846" t="n">
        <v>10.52188552188552</v>
      </c>
      <c r="Y4846" t="n">
        <v>1</v>
      </c>
      <c r="Z4846" t="n">
        <v>1</v>
      </c>
      <c r="AA4846" t="n">
        <v>0</v>
      </c>
      <c r="AB4846" t="n">
        <v>1</v>
      </c>
      <c r="AC4846" t="n">
        <v>3</v>
      </c>
      <c r="AD4846" t="n">
        <v>0</v>
      </c>
      <c r="AE4846" t="n">
        <v>57471</v>
      </c>
      <c r="AF4846" t="n">
        <v>11602</v>
      </c>
      <c r="AG4846" t="n">
        <v>2141</v>
      </c>
      <c r="AH4846" t="inlineStr">
        <is>
          <t>PT. PARAMA GLOBAL INSPIRA - PPN (JMB)</t>
        </is>
      </c>
      <c r="AI4846" t="n">
        <v>164</v>
      </c>
      <c r="AJ4846" t="inlineStr">
        <is>
          <t>WARDAH</t>
        </is>
      </c>
      <c r="AK4846" t="n">
        <v>9</v>
      </c>
      <c r="AL4846" t="inlineStr">
        <is>
          <t>Miss Glam Jambi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"8993137685627"</f>
        <v/>
      </c>
      <c r="C4847" t="inlineStr">
        <is>
          <t>WARDAH Lightening Powder Foundation 04 Natural 12gr</t>
        </is>
      </c>
      <c r="D4847" t="inlineStr">
        <is>
          <t>Miss Glam Jambi</t>
        </is>
      </c>
      <c r="E4847" t="n">
        <v>9</v>
      </c>
      <c r="F4847" t="n">
        <v>0.2112</v>
      </c>
      <c r="G4847" t="n">
        <v>0.99</v>
      </c>
      <c r="H4847" t="n">
        <v>2</v>
      </c>
      <c r="I4847" t="n">
        <v>7</v>
      </c>
      <c r="J4847" t="n">
        <v>3</v>
      </c>
      <c r="K4847" t="n">
        <v>0</v>
      </c>
      <c r="L4847" t="n">
        <v>42147</v>
      </c>
      <c r="M4847" t="n">
        <v>49000</v>
      </c>
      <c r="N4847" t="n">
        <v>33</v>
      </c>
      <c r="O4847" t="n">
        <v>0.33</v>
      </c>
      <c r="P4847" t="n">
        <v>1</v>
      </c>
      <c r="Q4847" t="n">
        <v>0.2</v>
      </c>
      <c r="R4847" t="n">
        <v>2</v>
      </c>
      <c r="S4847" t="n">
        <v>10348.8</v>
      </c>
      <c r="T4847" t="n">
        <v>7</v>
      </c>
      <c r="U4847" t="n">
        <v>8</v>
      </c>
      <c r="V4847" t="n">
        <v>30</v>
      </c>
      <c r="W4847" t="n">
        <v>7</v>
      </c>
      <c r="X4847" t="n">
        <v>42.61363636363636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11602</v>
      </c>
      <c r="AG4847" t="n">
        <v>2141</v>
      </c>
      <c r="AH4847" t="inlineStr">
        <is>
          <t>PT. PARAMA GLOBAL INSPIRA - PPN (JMB)</t>
        </is>
      </c>
      <c r="AI4847" t="n">
        <v>164</v>
      </c>
      <c r="AJ4847" t="inlineStr">
        <is>
          <t>WARDAH</t>
        </is>
      </c>
      <c r="AK4847" t="n">
        <v>9</v>
      </c>
      <c r="AL4847" t="inlineStr">
        <is>
          <t>Miss Glam Jambi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"8993137685603"</f>
        <v/>
      </c>
      <c r="C4848" t="inlineStr">
        <is>
          <t>WARDAH Lightening Powder Foundation Light Feel 02 Golden Beige 12gr</t>
        </is>
      </c>
      <c r="D4848" t="inlineStr">
        <is>
          <t>Miss Glam Jambi</t>
        </is>
      </c>
      <c r="E4848" t="n">
        <v>13</v>
      </c>
      <c r="F4848" t="n">
        <v>0.3366</v>
      </c>
      <c r="G4848" t="n">
        <v>1.32</v>
      </c>
      <c r="H4848" t="n">
        <v>2</v>
      </c>
      <c r="I4848" t="n">
        <v>7</v>
      </c>
      <c r="J4848" t="n">
        <v>3</v>
      </c>
      <c r="K4848" t="n">
        <v>0</v>
      </c>
      <c r="L4848" t="n">
        <v>42146</v>
      </c>
      <c r="M4848" t="n">
        <v>50000</v>
      </c>
      <c r="N4848" t="n">
        <v>33</v>
      </c>
      <c r="O4848" t="n">
        <v>0.33</v>
      </c>
      <c r="P4848" t="n">
        <v>1</v>
      </c>
      <c r="Q4848" t="n">
        <v>0.24</v>
      </c>
      <c r="R4848" t="n">
        <v>1</v>
      </c>
      <c r="S4848" t="n">
        <v>16830</v>
      </c>
      <c r="T4848" t="n">
        <v>9</v>
      </c>
      <c r="U4848" t="n">
        <v>10</v>
      </c>
      <c r="V4848" t="n">
        <v>30</v>
      </c>
      <c r="W4848" t="n">
        <v>11</v>
      </c>
      <c r="X4848" t="n">
        <v>38.6215092097445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11602</v>
      </c>
      <c r="AG4848" t="n">
        <v>2141</v>
      </c>
      <c r="AH4848" t="inlineStr">
        <is>
          <t>PT. PARAMA GLOBAL INSPIRA - PPN (JMB)</t>
        </is>
      </c>
      <c r="AI4848" t="n">
        <v>164</v>
      </c>
      <c r="AJ4848" t="inlineStr">
        <is>
          <t>WARDAH</t>
        </is>
      </c>
      <c r="AK4848" t="n">
        <v>9</v>
      </c>
      <c r="AL4848" t="inlineStr">
        <is>
          <t>Miss Glam Jambi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"8993137704908"</f>
        <v/>
      </c>
      <c r="C4849" t="inlineStr">
        <is>
          <t>WARDAH Lightening Powder Foundation Light Feel 07 Honey Beige 12gr</t>
        </is>
      </c>
      <c r="D4849" t="inlineStr">
        <is>
          <t>Miss Glam Jambi</t>
        </is>
      </c>
      <c r="E4849" t="n">
        <v>12</v>
      </c>
      <c r="F4849" t="n">
        <v>0.05</v>
      </c>
      <c r="G4849" t="n">
        <v>1</v>
      </c>
      <c r="H4849" t="n">
        <v>2</v>
      </c>
      <c r="I4849" t="n">
        <v>7</v>
      </c>
      <c r="J4849" t="n">
        <v>3</v>
      </c>
      <c r="K4849" t="n">
        <v>0</v>
      </c>
      <c r="L4849" t="n">
        <v>42146</v>
      </c>
      <c r="M4849" t="n">
        <v>50000</v>
      </c>
      <c r="N4849" t="n">
        <v>33</v>
      </c>
      <c r="O4849" t="n">
        <v>0.33</v>
      </c>
      <c r="P4849" t="n">
        <v>0</v>
      </c>
      <c r="Q4849" t="n">
        <v>0.05</v>
      </c>
      <c r="R4849" t="n">
        <v>1</v>
      </c>
      <c r="S4849" t="n">
        <v>2500</v>
      </c>
      <c r="T4849" t="n">
        <v>7</v>
      </c>
      <c r="U4849" t="n">
        <v>8</v>
      </c>
      <c r="V4849" t="n">
        <v>30</v>
      </c>
      <c r="W4849" t="n">
        <v>2</v>
      </c>
      <c r="X4849" t="n">
        <v>240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11602</v>
      </c>
      <c r="AG4849" t="n">
        <v>2141</v>
      </c>
      <c r="AH4849" t="inlineStr">
        <is>
          <t>PT. PARAMA GLOBAL INSPIRA - PPN (JMB)</t>
        </is>
      </c>
      <c r="AI4849" t="n">
        <v>164</v>
      </c>
      <c r="AJ4849" t="inlineStr">
        <is>
          <t>WARDAH</t>
        </is>
      </c>
      <c r="AK4849" t="n">
        <v>9</v>
      </c>
      <c r="AL4849" t="inlineStr">
        <is>
          <t>Miss Glam Jambi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"8993137008273"</f>
        <v/>
      </c>
      <c r="C4850" t="inlineStr">
        <is>
          <t>WARDAH Lip Barrier Sunscreen SPF 30 4g</t>
        </is>
      </c>
      <c r="D4850" t="inlineStr">
        <is>
          <t>Miss Glam Jambi</t>
        </is>
      </c>
      <c r="E4850" t="n">
        <v>15</v>
      </c>
      <c r="F4850" t="n">
        <v>0.5544</v>
      </c>
      <c r="G4850" t="n">
        <v>1.65</v>
      </c>
      <c r="H4850" t="n">
        <v>2</v>
      </c>
      <c r="I4850" t="n">
        <v>7</v>
      </c>
      <c r="J4850" t="n">
        <v>3</v>
      </c>
      <c r="K4850" t="n">
        <v>0</v>
      </c>
      <c r="L4850" t="n">
        <v>22720</v>
      </c>
      <c r="M4850" t="n">
        <v>30000</v>
      </c>
      <c r="N4850" t="n">
        <v>33</v>
      </c>
      <c r="O4850" t="n">
        <v>0.33</v>
      </c>
      <c r="P4850" t="n">
        <v>1</v>
      </c>
      <c r="Q4850" t="n">
        <v>0.49</v>
      </c>
      <c r="R4850" t="n">
        <v>3</v>
      </c>
      <c r="S4850" t="n">
        <v>16632</v>
      </c>
      <c r="T4850" t="n">
        <v>11</v>
      </c>
      <c r="U4850" t="n">
        <v>13</v>
      </c>
      <c r="V4850" t="n">
        <v>30</v>
      </c>
      <c r="W4850" t="n">
        <v>17</v>
      </c>
      <c r="X4850" t="n">
        <v>27.05627705627706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11602</v>
      </c>
      <c r="AG4850" t="n">
        <v>2141</v>
      </c>
      <c r="AH4850" t="inlineStr">
        <is>
          <t>PT. PARAMA GLOBAL INSPIRA - PPN (JMB)</t>
        </is>
      </c>
      <c r="AI4850" t="n">
        <v>164</v>
      </c>
      <c r="AJ4850" t="inlineStr">
        <is>
          <t>WARDAH</t>
        </is>
      </c>
      <c r="AK4850" t="n">
        <v>9</v>
      </c>
      <c r="AL4850" t="inlineStr">
        <is>
          <t>Miss Glam Jambi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"10700324948"</f>
        <v/>
      </c>
      <c r="C4851" t="inlineStr">
        <is>
          <t>WARDAH Lip Rescue Jelly Balm 3% Vitc + Plump Oleoactif  Dusty Rose 7gr</t>
        </is>
      </c>
      <c r="D4851" t="inlineStr">
        <is>
          <t>Miss Glam Jambi</t>
        </is>
      </c>
      <c r="E4851" t="n">
        <v>4</v>
      </c>
      <c r="F4851" t="n">
        <v>0.3135</v>
      </c>
      <c r="G4851" t="n">
        <v>0.99</v>
      </c>
      <c r="H4851" t="n">
        <v>2</v>
      </c>
      <c r="I4851" t="n">
        <v>7</v>
      </c>
      <c r="J4851" t="n">
        <v>3</v>
      </c>
      <c r="K4851" t="n">
        <v>5</v>
      </c>
      <c r="L4851" t="n">
        <v>36016</v>
      </c>
      <c r="M4851" t="n">
        <v>42500</v>
      </c>
      <c r="N4851" t="n">
        <v>33</v>
      </c>
      <c r="O4851" t="n">
        <v>0.33</v>
      </c>
      <c r="P4851" t="n">
        <v>1</v>
      </c>
      <c r="Q4851" t="n">
        <v>0.42</v>
      </c>
      <c r="R4851" t="n">
        <v>2</v>
      </c>
      <c r="S4851" t="n">
        <v>13323.75</v>
      </c>
      <c r="T4851" t="n">
        <v>7</v>
      </c>
      <c r="U4851" t="n">
        <v>8</v>
      </c>
      <c r="V4851" t="n">
        <v>30</v>
      </c>
      <c r="W4851" t="n">
        <v>10</v>
      </c>
      <c r="X4851" t="n">
        <v>12.7591706539075</v>
      </c>
      <c r="Y4851" t="n">
        <v>1</v>
      </c>
      <c r="Z4851" t="n">
        <v>1</v>
      </c>
      <c r="AA4851" t="n">
        <v>0</v>
      </c>
      <c r="AB4851" t="n">
        <v>1</v>
      </c>
      <c r="AC4851" t="n">
        <v>3</v>
      </c>
      <c r="AD4851" t="n">
        <v>0</v>
      </c>
      <c r="AE4851" t="n">
        <v>108048</v>
      </c>
      <c r="AF4851" t="n">
        <v>11602</v>
      </c>
      <c r="AG4851" t="n">
        <v>2141</v>
      </c>
      <c r="AH4851" t="inlineStr">
        <is>
          <t>PT. PARAMA GLOBAL INSPIRA - PPN (JMB)</t>
        </is>
      </c>
      <c r="AI4851" t="n">
        <v>164</v>
      </c>
      <c r="AJ4851" t="inlineStr">
        <is>
          <t>WARDAH</t>
        </is>
      </c>
      <c r="AK4851" t="n">
        <v>9</v>
      </c>
      <c r="AL4851" t="inlineStr">
        <is>
          <t>Miss Glam Jambi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"8993137705257"</f>
        <v/>
      </c>
      <c r="C4852" t="inlineStr">
        <is>
          <t>WARDAH Liquid Concealer 01 Light 7gr</t>
        </is>
      </c>
      <c r="D4852" t="inlineStr">
        <is>
          <t>Miss Glam Jambi</t>
        </is>
      </c>
      <c r="E4852" t="n">
        <v>6</v>
      </c>
      <c r="F4852" t="n">
        <v>0.2277</v>
      </c>
      <c r="G4852" t="n">
        <v>1.32</v>
      </c>
      <c r="H4852" t="n">
        <v>2</v>
      </c>
      <c r="I4852" t="n">
        <v>7</v>
      </c>
      <c r="J4852" t="n">
        <v>3</v>
      </c>
      <c r="K4852" t="n">
        <v>3</v>
      </c>
      <c r="L4852" t="n">
        <v>35250</v>
      </c>
      <c r="M4852" t="n">
        <v>40500</v>
      </c>
      <c r="N4852" t="n">
        <v>33</v>
      </c>
      <c r="O4852" t="n">
        <v>0.33</v>
      </c>
      <c r="P4852" t="n">
        <v>1</v>
      </c>
      <c r="Q4852" t="n">
        <v>0.19</v>
      </c>
      <c r="R4852" t="n">
        <v>3</v>
      </c>
      <c r="S4852" t="n">
        <v>9221.849999999999</v>
      </c>
      <c r="T4852" t="n">
        <v>9</v>
      </c>
      <c r="U4852" t="n">
        <v>10</v>
      </c>
      <c r="V4852" t="n">
        <v>30</v>
      </c>
      <c r="W4852" t="n">
        <v>7</v>
      </c>
      <c r="X4852" t="n">
        <v>26.35046113306983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11602</v>
      </c>
      <c r="AG4852" t="n">
        <v>2141</v>
      </c>
      <c r="AH4852" t="inlineStr">
        <is>
          <t>PT. PARAMA GLOBAL INSPIRA - PPN (JMB)</t>
        </is>
      </c>
      <c r="AI4852" t="n">
        <v>164</v>
      </c>
      <c r="AJ4852" t="inlineStr">
        <is>
          <t>WARDAH</t>
        </is>
      </c>
      <c r="AK4852" t="n">
        <v>9</v>
      </c>
      <c r="AL4852" t="inlineStr">
        <is>
          <t>Miss Glam Jambi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"8993137575225"</f>
        <v/>
      </c>
      <c r="C4853" t="inlineStr">
        <is>
          <t>WARDAH Liquid Fondation 01 40ML</t>
        </is>
      </c>
      <c r="D4853" t="inlineStr">
        <is>
          <t>Miss Glam Jambi</t>
        </is>
      </c>
      <c r="E4853" t="n">
        <v>2</v>
      </c>
      <c r="F4853" t="n">
        <v>0.03</v>
      </c>
      <c r="G4853" t="n">
        <v>1</v>
      </c>
      <c r="H4853" t="n">
        <v>2</v>
      </c>
      <c r="I4853" t="n">
        <v>7</v>
      </c>
      <c r="J4853" t="n">
        <v>3</v>
      </c>
      <c r="K4853" t="n">
        <v>0</v>
      </c>
      <c r="L4853" t="n">
        <v>33794</v>
      </c>
      <c r="M4853" t="n">
        <v>40000</v>
      </c>
      <c r="N4853" t="n">
        <v>33</v>
      </c>
      <c r="O4853" t="n">
        <v>0.33</v>
      </c>
      <c r="P4853" t="n">
        <v>0</v>
      </c>
      <c r="Q4853" t="n">
        <v>0.03</v>
      </c>
      <c r="R4853" t="n">
        <v>1</v>
      </c>
      <c r="S4853" t="n">
        <v>1200</v>
      </c>
      <c r="T4853" t="n">
        <v>7</v>
      </c>
      <c r="U4853" t="n">
        <v>8</v>
      </c>
      <c r="V4853" t="n">
        <v>30</v>
      </c>
      <c r="W4853" t="n">
        <v>1</v>
      </c>
      <c r="X4853" t="n">
        <v>66.66666666666667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11602</v>
      </c>
      <c r="AG4853" t="n">
        <v>2141</v>
      </c>
      <c r="AH4853" t="inlineStr">
        <is>
          <t>PT. PARAMA GLOBAL INSPIRA - PPN (JMB)</t>
        </is>
      </c>
      <c r="AI4853" t="n">
        <v>164</v>
      </c>
      <c r="AJ4853" t="inlineStr">
        <is>
          <t>WARDAH</t>
        </is>
      </c>
      <c r="AK4853" t="n">
        <v>9</v>
      </c>
      <c r="AL4853" t="inlineStr">
        <is>
          <t>Miss Glam Jambi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"8993137707701"</f>
        <v/>
      </c>
      <c r="C4854" t="inlineStr">
        <is>
          <t>WARDAH Liquid Foundation 02 Beige 25ml</t>
        </is>
      </c>
      <c r="D4854" t="inlineStr">
        <is>
          <t>Miss Glam Jambi</t>
        </is>
      </c>
      <c r="E4854" t="n">
        <v>3</v>
      </c>
      <c r="F4854" t="n">
        <v>0.297</v>
      </c>
      <c r="G4854" t="n">
        <v>1.32</v>
      </c>
      <c r="H4854" t="n">
        <v>2</v>
      </c>
      <c r="I4854" t="n">
        <v>7</v>
      </c>
      <c r="J4854" t="n">
        <v>3</v>
      </c>
      <c r="K4854" t="n">
        <v>6</v>
      </c>
      <c r="L4854" t="n">
        <v>41380</v>
      </c>
      <c r="M4854" t="n">
        <v>49000</v>
      </c>
      <c r="N4854" t="n">
        <v>33</v>
      </c>
      <c r="O4854" t="n">
        <v>0.33</v>
      </c>
      <c r="P4854" t="n">
        <v>1</v>
      </c>
      <c r="Q4854" t="n">
        <v>0.12</v>
      </c>
      <c r="R4854" t="n">
        <v>1</v>
      </c>
      <c r="S4854" t="n">
        <v>14553</v>
      </c>
      <c r="T4854" t="n">
        <v>9</v>
      </c>
      <c r="U4854" t="n">
        <v>10</v>
      </c>
      <c r="V4854" t="n">
        <v>30</v>
      </c>
      <c r="W4854" t="n">
        <v>9</v>
      </c>
      <c r="X4854" t="n">
        <v>10.1010101010101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11602</v>
      </c>
      <c r="AG4854" t="n">
        <v>2141</v>
      </c>
      <c r="AH4854" t="inlineStr">
        <is>
          <t>PT. PARAMA GLOBAL INSPIRA - PPN (JMB)</t>
        </is>
      </c>
      <c r="AI4854" t="n">
        <v>164</v>
      </c>
      <c r="AJ4854" t="inlineStr">
        <is>
          <t>WARDAH</t>
        </is>
      </c>
      <c r="AK4854" t="n">
        <v>9</v>
      </c>
      <c r="AL4854" t="inlineStr">
        <is>
          <t>Miss Glam Jambi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"8993137736329"</f>
        <v/>
      </c>
      <c r="C4855" t="inlineStr">
        <is>
          <t>WARDAH Liquid Foundation 05 Warm Ivory (23W 25ml</t>
        </is>
      </c>
      <c r="D4855" t="inlineStr">
        <is>
          <t>Miss Glam Jambi</t>
        </is>
      </c>
      <c r="E4855" t="n">
        <v>4</v>
      </c>
      <c r="F4855" t="n">
        <v>0.1353</v>
      </c>
      <c r="G4855" t="n">
        <v>0.66</v>
      </c>
      <c r="H4855" t="n">
        <v>2</v>
      </c>
      <c r="I4855" t="n">
        <v>7</v>
      </c>
      <c r="J4855" t="n">
        <v>3</v>
      </c>
      <c r="K4855" t="n">
        <v>3</v>
      </c>
      <c r="L4855" t="n">
        <v>41380</v>
      </c>
      <c r="M4855" t="n">
        <v>48000</v>
      </c>
      <c r="N4855" t="n">
        <v>33</v>
      </c>
      <c r="O4855" t="n">
        <v>0.33</v>
      </c>
      <c r="P4855" t="n">
        <v>1</v>
      </c>
      <c r="Q4855" t="n">
        <v>0.02</v>
      </c>
      <c r="R4855" t="n">
        <v>1</v>
      </c>
      <c r="S4855" t="n">
        <v>6494.400000000001</v>
      </c>
      <c r="T4855" t="n">
        <v>5</v>
      </c>
      <c r="U4855" t="n">
        <v>6</v>
      </c>
      <c r="V4855" t="n">
        <v>30</v>
      </c>
      <c r="W4855" t="n">
        <v>5</v>
      </c>
      <c r="X4855" t="n">
        <v>29.56393200295639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11602</v>
      </c>
      <c r="AG4855" t="n">
        <v>2141</v>
      </c>
      <c r="AH4855" t="inlineStr">
        <is>
          <t>PT. PARAMA GLOBAL INSPIRA - PPN (JMB)</t>
        </is>
      </c>
      <c r="AI4855" t="n">
        <v>164</v>
      </c>
      <c r="AJ4855" t="inlineStr">
        <is>
          <t>WARDAH</t>
        </is>
      </c>
      <c r="AK4855" t="n">
        <v>9</v>
      </c>
      <c r="AL4855" t="inlineStr">
        <is>
          <t>Miss Glam Jambi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"8993137736336"</f>
        <v/>
      </c>
      <c r="C4856" t="inlineStr">
        <is>
          <t>WARDAH Liquid Foundation 06 Neutral Sand (42N) 25ml</t>
        </is>
      </c>
      <c r="D4856" t="inlineStr">
        <is>
          <t>Miss Glam Jambi</t>
        </is>
      </c>
      <c r="E4856" t="n">
        <v>3</v>
      </c>
      <c r="F4856" t="n">
        <v>0.0561</v>
      </c>
      <c r="G4856" t="n">
        <v>0.33</v>
      </c>
      <c r="H4856" t="n">
        <v>2</v>
      </c>
      <c r="I4856" t="n">
        <v>7</v>
      </c>
      <c r="J4856" t="n">
        <v>3</v>
      </c>
      <c r="K4856" t="n">
        <v>0</v>
      </c>
      <c r="L4856" t="n">
        <v>41379</v>
      </c>
      <c r="M4856" t="n">
        <v>48500</v>
      </c>
      <c r="N4856" t="n">
        <v>33</v>
      </c>
      <c r="O4856" t="n">
        <v>0.33</v>
      </c>
      <c r="P4856" t="n">
        <v>1</v>
      </c>
      <c r="Q4856" t="n">
        <v>0.07000000000000001</v>
      </c>
      <c r="R4856" t="n">
        <v>1</v>
      </c>
      <c r="S4856" t="n">
        <v>2720.85</v>
      </c>
      <c r="T4856" t="n">
        <v>3</v>
      </c>
      <c r="U4856" t="n">
        <v>4</v>
      </c>
      <c r="V4856" t="n">
        <v>30</v>
      </c>
      <c r="W4856" t="n">
        <v>2</v>
      </c>
      <c r="X4856" t="n">
        <v>53.475935828877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11602</v>
      </c>
      <c r="AG4856" t="n">
        <v>2141</v>
      </c>
      <c r="AH4856" t="inlineStr">
        <is>
          <t>PT. PARAMA GLOBAL INSPIRA - PPN (JMB)</t>
        </is>
      </c>
      <c r="AI4856" t="n">
        <v>164</v>
      </c>
      <c r="AJ4856" t="inlineStr">
        <is>
          <t>WARDAH</t>
        </is>
      </c>
      <c r="AK4856" t="n">
        <v>9</v>
      </c>
      <c r="AL4856" t="inlineStr">
        <is>
          <t>Miss Glam Jambi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"8993137680400"</f>
        <v/>
      </c>
      <c r="C4857" t="inlineStr">
        <is>
          <t>WARDAH Luminous TWC Reff 02 Beige 12gr</t>
        </is>
      </c>
      <c r="D4857" t="inlineStr">
        <is>
          <t>Miss Glam Jambi</t>
        </is>
      </c>
      <c r="E4857" t="n">
        <v>2</v>
      </c>
      <c r="F4857" t="n">
        <v>0.1749</v>
      </c>
      <c r="G4857" t="n">
        <v>0.99</v>
      </c>
      <c r="H4857" t="n">
        <v>2</v>
      </c>
      <c r="I4857" t="n">
        <v>7</v>
      </c>
      <c r="J4857" t="n">
        <v>3</v>
      </c>
      <c r="K4857" t="n">
        <v>4</v>
      </c>
      <c r="L4857" t="n">
        <v>27970</v>
      </c>
      <c r="M4857" t="n">
        <v>32500</v>
      </c>
      <c r="N4857" t="n">
        <v>33</v>
      </c>
      <c r="O4857" t="n">
        <v>0.33</v>
      </c>
      <c r="P4857" t="n">
        <v>1</v>
      </c>
      <c r="Q4857" t="n">
        <v>0.05</v>
      </c>
      <c r="R4857" t="n">
        <v>1</v>
      </c>
      <c r="S4857" t="n">
        <v>5684.250000000001</v>
      </c>
      <c r="T4857" t="n">
        <v>7</v>
      </c>
      <c r="U4857" t="n">
        <v>8</v>
      </c>
      <c r="V4857" t="n">
        <v>30</v>
      </c>
      <c r="W4857" t="n">
        <v>6</v>
      </c>
      <c r="X4857" t="n">
        <v>11.43510577472841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11602</v>
      </c>
      <c r="AG4857" t="n">
        <v>2141</v>
      </c>
      <c r="AH4857" t="inlineStr">
        <is>
          <t>PT. PARAMA GLOBAL INSPIRA - PPN (JMB)</t>
        </is>
      </c>
      <c r="AI4857" t="n">
        <v>164</v>
      </c>
      <c r="AJ4857" t="inlineStr">
        <is>
          <t>WARDAH</t>
        </is>
      </c>
      <c r="AK4857" t="n">
        <v>9</v>
      </c>
      <c r="AL4857" t="inlineStr">
        <is>
          <t>Miss Glam Jambi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"8993137005210"</f>
        <v/>
      </c>
      <c r="C4858" t="inlineStr">
        <is>
          <t>WARDAH Matte Lip Cream 25 Unbeetable 4gr</t>
        </is>
      </c>
      <c r="D4858" t="inlineStr">
        <is>
          <t>Miss Glam Jambi</t>
        </is>
      </c>
      <c r="E4858" t="n">
        <v>2</v>
      </c>
      <c r="F4858" t="n">
        <v>0.1386</v>
      </c>
      <c r="G4858" t="n">
        <v>0.99</v>
      </c>
      <c r="H4858" t="n">
        <v>2</v>
      </c>
      <c r="I4858" t="n">
        <v>7</v>
      </c>
      <c r="J4858" t="n">
        <v>3</v>
      </c>
      <c r="K4858" t="n">
        <v>3</v>
      </c>
      <c r="L4858" t="n">
        <v>50959</v>
      </c>
      <c r="M4858" t="n">
        <v>62000</v>
      </c>
      <c r="N4858" t="n">
        <v>33</v>
      </c>
      <c r="O4858" t="n">
        <v>0.33</v>
      </c>
      <c r="P4858" t="n">
        <v>1</v>
      </c>
      <c r="Q4858" t="n">
        <v>0.12</v>
      </c>
      <c r="R4858" t="n">
        <v>2</v>
      </c>
      <c r="S4858" t="n">
        <v>8593.200000000001</v>
      </c>
      <c r="T4858" t="n">
        <v>7</v>
      </c>
      <c r="U4858" t="n">
        <v>8</v>
      </c>
      <c r="V4858" t="n">
        <v>30</v>
      </c>
      <c r="W4858" t="n">
        <v>5</v>
      </c>
      <c r="X4858" t="n">
        <v>14.43001443001443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11602</v>
      </c>
      <c r="AG4858" t="n">
        <v>2141</v>
      </c>
      <c r="AH4858" t="inlineStr">
        <is>
          <t>PT. PARAMA GLOBAL INSPIRA - PPN (JMB)</t>
        </is>
      </c>
      <c r="AI4858" t="n">
        <v>164</v>
      </c>
      <c r="AJ4858" t="inlineStr">
        <is>
          <t>WARDAH</t>
        </is>
      </c>
      <c r="AK4858" t="n">
        <v>9</v>
      </c>
      <c r="AL4858" t="inlineStr">
        <is>
          <t>Miss Glam Jambi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"8993137005227"</f>
        <v/>
      </c>
      <c r="C4859" t="inlineStr">
        <is>
          <t>WARDAH Matte Lip Cream 26 Pink A Boo 4gr</t>
        </is>
      </c>
      <c r="D4859" t="inlineStr">
        <is>
          <t>Miss Glam Jambi</t>
        </is>
      </c>
      <c r="E4859" t="n">
        <v>4</v>
      </c>
      <c r="F4859" t="n">
        <v>0.2013</v>
      </c>
      <c r="G4859" t="n">
        <v>0.66</v>
      </c>
      <c r="H4859" t="n">
        <v>2</v>
      </c>
      <c r="I4859" t="n">
        <v>7</v>
      </c>
      <c r="J4859" t="n">
        <v>3</v>
      </c>
      <c r="K4859" t="n">
        <v>3</v>
      </c>
      <c r="L4859" t="n">
        <v>50960</v>
      </c>
      <c r="M4859" t="n">
        <v>62000</v>
      </c>
      <c r="N4859" t="n">
        <v>33</v>
      </c>
      <c r="O4859" t="n">
        <v>0.33</v>
      </c>
      <c r="P4859" t="n">
        <v>1</v>
      </c>
      <c r="Q4859" t="n">
        <v>0.24</v>
      </c>
      <c r="R4859" t="n">
        <v>2</v>
      </c>
      <c r="S4859" t="n">
        <v>12480.6</v>
      </c>
      <c r="T4859" t="n">
        <v>5</v>
      </c>
      <c r="U4859" t="n">
        <v>6</v>
      </c>
      <c r="V4859" t="n">
        <v>30</v>
      </c>
      <c r="W4859" t="n">
        <v>7</v>
      </c>
      <c r="X4859" t="n">
        <v>19.87083954297069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11602</v>
      </c>
      <c r="AG4859" t="n">
        <v>2141</v>
      </c>
      <c r="AH4859" t="inlineStr">
        <is>
          <t>PT. PARAMA GLOBAL INSPIRA - PPN (JMB)</t>
        </is>
      </c>
      <c r="AI4859" t="n">
        <v>164</v>
      </c>
      <c r="AJ4859" t="inlineStr">
        <is>
          <t>WARDAH</t>
        </is>
      </c>
      <c r="AK4859" t="n">
        <v>9</v>
      </c>
      <c r="AL4859" t="inlineStr">
        <is>
          <t>Miss Glam Jambi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"8993137005234"</f>
        <v/>
      </c>
      <c r="C4860" t="inlineStr">
        <is>
          <t>WARDAH Matte Lip Cream 27 Beehave 4gr</t>
        </is>
      </c>
      <c r="D4860" t="inlineStr">
        <is>
          <t>Miss Glam Jambi</t>
        </is>
      </c>
      <c r="E4860" t="n">
        <v>3</v>
      </c>
      <c r="F4860" t="n">
        <v>0.5577</v>
      </c>
      <c r="G4860" t="n">
        <v>2.31</v>
      </c>
      <c r="H4860" t="n">
        <v>2</v>
      </c>
      <c r="I4860" t="n">
        <v>7</v>
      </c>
      <c r="J4860" t="n">
        <v>3</v>
      </c>
      <c r="K4860" t="n">
        <v>13</v>
      </c>
      <c r="L4860" t="n">
        <v>50958</v>
      </c>
      <c r="M4860" t="n">
        <v>62000</v>
      </c>
      <c r="N4860" t="n">
        <v>33</v>
      </c>
      <c r="O4860" t="n">
        <v>0.33</v>
      </c>
      <c r="P4860" t="n">
        <v>1</v>
      </c>
      <c r="Q4860" t="n">
        <v>0.6899999999999999</v>
      </c>
      <c r="R4860" t="n">
        <v>3</v>
      </c>
      <c r="S4860" t="n">
        <v>34577.4</v>
      </c>
      <c r="T4860" t="n">
        <v>16</v>
      </c>
      <c r="U4860" t="n">
        <v>18</v>
      </c>
      <c r="V4860" t="n">
        <v>30</v>
      </c>
      <c r="W4860" t="n">
        <v>17</v>
      </c>
      <c r="X4860" t="n">
        <v>5.379236148466918</v>
      </c>
      <c r="Y4860" t="n">
        <v>1</v>
      </c>
      <c r="Z4860" t="n">
        <v>1</v>
      </c>
      <c r="AA4860" t="n">
        <v>0</v>
      </c>
      <c r="AB4860" t="n">
        <v>1</v>
      </c>
      <c r="AC4860" t="n">
        <v>3</v>
      </c>
      <c r="AD4860" t="n">
        <v>0</v>
      </c>
      <c r="AE4860" t="n">
        <v>152874</v>
      </c>
      <c r="AF4860" t="n">
        <v>11602</v>
      </c>
      <c r="AG4860" t="n">
        <v>2141</v>
      </c>
      <c r="AH4860" t="inlineStr">
        <is>
          <t>PT. PARAMA GLOBAL INSPIRA - PPN (JMB)</t>
        </is>
      </c>
      <c r="AI4860" t="n">
        <v>164</v>
      </c>
      <c r="AJ4860" t="inlineStr">
        <is>
          <t>WARDAH</t>
        </is>
      </c>
      <c r="AK4860" t="n">
        <v>9</v>
      </c>
      <c r="AL4860" t="inlineStr">
        <is>
          <t>Miss Glam Jambi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"8993137005241"</f>
        <v/>
      </c>
      <c r="C4861" t="inlineStr">
        <is>
          <t>WARDAH Matte Lip Cream 28 Teddy Brown 4gr</t>
        </is>
      </c>
      <c r="D4861" t="inlineStr">
        <is>
          <t>Miss Glam Jambi</t>
        </is>
      </c>
      <c r="E4861" t="n">
        <v>8</v>
      </c>
      <c r="F4861" t="n">
        <v>0.09569999999999999</v>
      </c>
      <c r="G4861" t="n">
        <v>0.66</v>
      </c>
      <c r="H4861" t="n">
        <v>2</v>
      </c>
      <c r="I4861" t="n">
        <v>7</v>
      </c>
      <c r="J4861" t="n">
        <v>3</v>
      </c>
      <c r="K4861" t="n">
        <v>0</v>
      </c>
      <c r="L4861" t="n">
        <v>50962</v>
      </c>
      <c r="M4861" t="n">
        <v>62000</v>
      </c>
      <c r="N4861" t="n">
        <v>33</v>
      </c>
      <c r="O4861" t="n">
        <v>0.33</v>
      </c>
      <c r="P4861" t="n">
        <v>1</v>
      </c>
      <c r="Q4861" t="n">
        <v>0.15</v>
      </c>
      <c r="R4861" t="n">
        <v>2</v>
      </c>
      <c r="S4861" t="n">
        <v>5933.4</v>
      </c>
      <c r="T4861" t="n">
        <v>5</v>
      </c>
      <c r="U4861" t="n">
        <v>6</v>
      </c>
      <c r="V4861" t="n">
        <v>30</v>
      </c>
      <c r="W4861" t="n">
        <v>3</v>
      </c>
      <c r="X4861" t="n">
        <v>83.59456635318705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11602</v>
      </c>
      <c r="AG4861" t="n">
        <v>2141</v>
      </c>
      <c r="AH4861" t="inlineStr">
        <is>
          <t>PT. PARAMA GLOBAL INSPIRA - PPN (JMB)</t>
        </is>
      </c>
      <c r="AI4861" t="n">
        <v>164</v>
      </c>
      <c r="AJ4861" t="inlineStr">
        <is>
          <t>WARDAH</t>
        </is>
      </c>
      <c r="AK4861" t="n">
        <v>9</v>
      </c>
      <c r="AL4861" t="inlineStr">
        <is>
          <t>Miss Glam Jambi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"8993137738002"</f>
        <v/>
      </c>
      <c r="C4862" t="inlineStr">
        <is>
          <t>WARDAH Micellar Water Acnederm 100ml</t>
        </is>
      </c>
      <c r="D4862" t="inlineStr">
        <is>
          <t>Miss Glam Jambi</t>
        </is>
      </c>
      <c r="E4862" t="n">
        <v>5</v>
      </c>
      <c r="F4862" t="n">
        <v>0.4818</v>
      </c>
      <c r="G4862" t="n">
        <v>1.32</v>
      </c>
      <c r="H4862" t="n">
        <v>2</v>
      </c>
      <c r="I4862" t="n">
        <v>7</v>
      </c>
      <c r="J4862" t="n">
        <v>3</v>
      </c>
      <c r="K4862" t="n">
        <v>10</v>
      </c>
      <c r="L4862" t="n">
        <v>24139</v>
      </c>
      <c r="M4862" t="n">
        <v>32000</v>
      </c>
      <c r="N4862" t="n">
        <v>33</v>
      </c>
      <c r="O4862" t="n">
        <v>0.33</v>
      </c>
      <c r="P4862" t="n">
        <v>1</v>
      </c>
      <c r="Q4862" t="n">
        <v>0.1</v>
      </c>
      <c r="R4862" t="n">
        <v>1</v>
      </c>
      <c r="S4862" t="n">
        <v>15417.6</v>
      </c>
      <c r="T4862" t="n">
        <v>9</v>
      </c>
      <c r="U4862" t="n">
        <v>10</v>
      </c>
      <c r="V4862" t="n">
        <v>30</v>
      </c>
      <c r="W4862" t="n">
        <v>15</v>
      </c>
      <c r="X4862" t="n">
        <v>10.3777501037775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11602</v>
      </c>
      <c r="AG4862" t="n">
        <v>2141</v>
      </c>
      <c r="AH4862" t="inlineStr">
        <is>
          <t>PT. PARAMA GLOBAL INSPIRA - PPN (JMB)</t>
        </is>
      </c>
      <c r="AI4862" t="n">
        <v>164</v>
      </c>
      <c r="AJ4862" t="inlineStr">
        <is>
          <t>WARDAH</t>
        </is>
      </c>
      <c r="AK4862" t="n">
        <v>9</v>
      </c>
      <c r="AL4862" t="inlineStr">
        <is>
          <t>Miss Glam Jambi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"20300386305"</f>
        <v/>
      </c>
      <c r="C4863" t="inlineStr">
        <is>
          <t>WARDAH Moist Dew Tint 01 Rosemilk Parfait 3gr</t>
        </is>
      </c>
      <c r="D4863" t="inlineStr">
        <is>
          <t>Miss Glam Jambi</t>
        </is>
      </c>
      <c r="E4863" t="n">
        <v>5</v>
      </c>
      <c r="F4863" t="n">
        <v>0.3135</v>
      </c>
      <c r="G4863" t="n">
        <v>1.98</v>
      </c>
      <c r="H4863" t="n">
        <v>2</v>
      </c>
      <c r="I4863" t="n">
        <v>7</v>
      </c>
      <c r="J4863" t="n">
        <v>3</v>
      </c>
      <c r="K4863" t="n">
        <v>4</v>
      </c>
      <c r="L4863" t="n">
        <v>45791</v>
      </c>
      <c r="M4863" t="n">
        <v>60000</v>
      </c>
      <c r="N4863" t="n">
        <v>33</v>
      </c>
      <c r="O4863" t="n">
        <v>0.33</v>
      </c>
      <c r="P4863" t="n">
        <v>1</v>
      </c>
      <c r="Q4863" t="n">
        <v>0.41</v>
      </c>
      <c r="R4863" t="n">
        <v>4</v>
      </c>
      <c r="S4863" t="n">
        <v>18810</v>
      </c>
      <c r="T4863" t="n">
        <v>14</v>
      </c>
      <c r="U4863" t="n">
        <v>15</v>
      </c>
      <c r="V4863" t="n">
        <v>30</v>
      </c>
      <c r="W4863" t="n">
        <v>10</v>
      </c>
      <c r="X4863" t="n">
        <v>15.94896331738437</v>
      </c>
      <c r="Y4863" t="n">
        <v>1</v>
      </c>
      <c r="Z4863" t="n">
        <v>1</v>
      </c>
      <c r="AA4863" t="n">
        <v>0</v>
      </c>
      <c r="AB4863" t="n">
        <v>1</v>
      </c>
      <c r="AC4863" t="n">
        <v>3</v>
      </c>
      <c r="AD4863" t="n">
        <v>0</v>
      </c>
      <c r="AE4863" t="n">
        <v>137373</v>
      </c>
      <c r="AF4863" t="n">
        <v>11602</v>
      </c>
      <c r="AG4863" t="n">
        <v>2141</v>
      </c>
      <c r="AH4863" t="inlineStr">
        <is>
          <t>PT. PARAMA GLOBAL INSPIRA - PPN (JMB)</t>
        </is>
      </c>
      <c r="AI4863" t="n">
        <v>164</v>
      </c>
      <c r="AJ4863" t="inlineStr">
        <is>
          <t>WARDAH</t>
        </is>
      </c>
      <c r="AK4863" t="n">
        <v>9</v>
      </c>
      <c r="AL4863" t="inlineStr">
        <is>
          <t>Miss Glam Jambi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"20300386415"</f>
        <v/>
      </c>
      <c r="C4864" t="inlineStr">
        <is>
          <t>WARDAH Moist Dew Tint 02 Pink Lemonade 3gr</t>
        </is>
      </c>
      <c r="D4864" t="inlineStr">
        <is>
          <t>Miss Glam Jambi</t>
        </is>
      </c>
      <c r="E4864" t="n">
        <v>3</v>
      </c>
      <c r="F4864" t="n">
        <v>0.1056</v>
      </c>
      <c r="G4864" t="n">
        <v>0.99</v>
      </c>
      <c r="H4864" t="n">
        <v>2</v>
      </c>
      <c r="I4864" t="n">
        <v>7</v>
      </c>
      <c r="J4864" t="n">
        <v>3</v>
      </c>
      <c r="K4864" t="n">
        <v>3</v>
      </c>
      <c r="L4864" t="n">
        <v>46744</v>
      </c>
      <c r="M4864" t="n">
        <v>60000</v>
      </c>
      <c r="N4864" t="n">
        <v>33</v>
      </c>
      <c r="O4864" t="n">
        <v>0.33</v>
      </c>
      <c r="P4864" t="n">
        <v>1</v>
      </c>
      <c r="Q4864" t="n">
        <v>0.07000000000000001</v>
      </c>
      <c r="R4864" t="n">
        <v>1</v>
      </c>
      <c r="S4864" t="n">
        <v>6336.000000000001</v>
      </c>
      <c r="T4864" t="n">
        <v>7</v>
      </c>
      <c r="U4864" t="n">
        <v>8</v>
      </c>
      <c r="V4864" t="n">
        <v>30</v>
      </c>
      <c r="W4864" t="n">
        <v>4</v>
      </c>
      <c r="X4864" t="n">
        <v>28.40909090909091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11602</v>
      </c>
      <c r="AG4864" t="n">
        <v>2141</v>
      </c>
      <c r="AH4864" t="inlineStr">
        <is>
          <t>PT. PARAMA GLOBAL INSPIRA - PPN (JMB)</t>
        </is>
      </c>
      <c r="AI4864" t="n">
        <v>164</v>
      </c>
      <c r="AJ4864" t="inlineStr">
        <is>
          <t>WARDAH</t>
        </is>
      </c>
      <c r="AK4864" t="n">
        <v>9</v>
      </c>
      <c r="AL4864" t="inlineStr">
        <is>
          <t>Miss Glam Jambi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"20300386551"</f>
        <v/>
      </c>
      <c r="C4865" t="inlineStr">
        <is>
          <t>WARDAH Moist Dew Tint 03 Peach Crème 3gr</t>
        </is>
      </c>
      <c r="D4865" t="inlineStr">
        <is>
          <t>Miss Glam Jambi</t>
        </is>
      </c>
      <c r="E4865" t="n">
        <v>2</v>
      </c>
      <c r="F4865" t="n">
        <v>0.0165</v>
      </c>
      <c r="G4865" t="n">
        <v>0.33</v>
      </c>
      <c r="H4865" t="n">
        <v>2</v>
      </c>
      <c r="I4865" t="n">
        <v>7</v>
      </c>
      <c r="J4865" t="n">
        <v>3</v>
      </c>
      <c r="K4865" t="n">
        <v>0</v>
      </c>
      <c r="L4865" t="n">
        <v>46744</v>
      </c>
      <c r="M4865" t="n">
        <v>60000</v>
      </c>
      <c r="N4865" t="n">
        <v>33</v>
      </c>
      <c r="O4865" t="n">
        <v>0.33</v>
      </c>
      <c r="P4865" t="n">
        <v>1</v>
      </c>
      <c r="Q4865" t="n">
        <v>0.05</v>
      </c>
      <c r="R4865" t="n">
        <v>1</v>
      </c>
      <c r="S4865" t="n">
        <v>990</v>
      </c>
      <c r="T4865" t="n">
        <v>3</v>
      </c>
      <c r="U4865" t="n">
        <v>4</v>
      </c>
      <c r="V4865" t="n">
        <v>30</v>
      </c>
      <c r="W4865" t="n">
        <v>1</v>
      </c>
      <c r="X4865" t="n">
        <v>121.2121212121212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11602</v>
      </c>
      <c r="AG4865" t="n">
        <v>2141</v>
      </c>
      <c r="AH4865" t="inlineStr">
        <is>
          <t>PT. PARAMA GLOBAL INSPIRA - PPN (JMB)</t>
        </is>
      </c>
      <c r="AI4865" t="n">
        <v>164</v>
      </c>
      <c r="AJ4865" t="inlineStr">
        <is>
          <t>WARDAH</t>
        </is>
      </c>
      <c r="AK4865" t="n">
        <v>9</v>
      </c>
      <c r="AL4865" t="inlineStr">
        <is>
          <t>Miss Glam Jambi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"20300386657"</f>
        <v/>
      </c>
      <c r="C4866" t="inlineStr">
        <is>
          <t>WARDAH Moist Dew Tint 04 Caramel Brûlée 3gr</t>
        </is>
      </c>
      <c r="D4866" t="inlineStr">
        <is>
          <t>Miss Glam Jambi</t>
        </is>
      </c>
      <c r="E4866" t="n">
        <v>6</v>
      </c>
      <c r="F4866" t="n">
        <v>0.033</v>
      </c>
      <c r="G4866" t="n">
        <v>0.33</v>
      </c>
      <c r="H4866" t="n">
        <v>2</v>
      </c>
      <c r="I4866" t="n">
        <v>7</v>
      </c>
      <c r="J4866" t="n">
        <v>3</v>
      </c>
      <c r="K4866" t="n">
        <v>0</v>
      </c>
      <c r="L4866" t="n">
        <v>46743</v>
      </c>
      <c r="M4866" t="n">
        <v>60000</v>
      </c>
      <c r="N4866" t="n">
        <v>33</v>
      </c>
      <c r="O4866" t="n">
        <v>0.33</v>
      </c>
      <c r="P4866" t="n">
        <v>1</v>
      </c>
      <c r="Q4866" t="n">
        <v>0.02</v>
      </c>
      <c r="R4866" t="n">
        <v>1</v>
      </c>
      <c r="S4866" t="n">
        <v>1980</v>
      </c>
      <c r="T4866" t="n">
        <v>3</v>
      </c>
      <c r="U4866" t="n">
        <v>4</v>
      </c>
      <c r="V4866" t="n">
        <v>30</v>
      </c>
      <c r="W4866" t="n">
        <v>1</v>
      </c>
      <c r="X4866" t="n">
        <v>181.8181818181818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11602</v>
      </c>
      <c r="AG4866" t="n">
        <v>2141</v>
      </c>
      <c r="AH4866" t="inlineStr">
        <is>
          <t>PT. PARAMA GLOBAL INSPIRA - PPN (JMB)</t>
        </is>
      </c>
      <c r="AI4866" t="n">
        <v>164</v>
      </c>
      <c r="AJ4866" t="inlineStr">
        <is>
          <t>WARDAH</t>
        </is>
      </c>
      <c r="AK4866" t="n">
        <v>9</v>
      </c>
      <c r="AL4866" t="inlineStr">
        <is>
          <t>Miss Glam Jambi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"20300386742"</f>
        <v/>
      </c>
      <c r="C4867" t="inlineStr">
        <is>
          <t>WARDAH Moist Dew Tint 05 Cocoa Melt 3gr</t>
        </is>
      </c>
      <c r="D4867" t="inlineStr">
        <is>
          <t>Miss Glam Jambi</t>
        </is>
      </c>
      <c r="E4867" t="n">
        <v>10</v>
      </c>
      <c r="F4867" t="n">
        <v>0.1386</v>
      </c>
      <c r="G4867" t="n">
        <v>0.66</v>
      </c>
      <c r="H4867" t="n">
        <v>2</v>
      </c>
      <c r="I4867" t="n">
        <v>7</v>
      </c>
      <c r="J4867" t="n">
        <v>3</v>
      </c>
      <c r="K4867" t="n">
        <v>0</v>
      </c>
      <c r="L4867" t="n">
        <v>46743</v>
      </c>
      <c r="M4867" t="n">
        <v>60000</v>
      </c>
      <c r="N4867" t="n">
        <v>33</v>
      </c>
      <c r="O4867" t="n">
        <v>0.33</v>
      </c>
      <c r="P4867" t="n">
        <v>1</v>
      </c>
      <c r="Q4867" t="n">
        <v>0.08</v>
      </c>
      <c r="R4867" t="n">
        <v>1</v>
      </c>
      <c r="S4867" t="n">
        <v>8316</v>
      </c>
      <c r="T4867" t="n">
        <v>5</v>
      </c>
      <c r="U4867" t="n">
        <v>6</v>
      </c>
      <c r="V4867" t="n">
        <v>30</v>
      </c>
      <c r="W4867" t="n">
        <v>5</v>
      </c>
      <c r="X4867" t="n">
        <v>72.15007215007215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11602</v>
      </c>
      <c r="AG4867" t="n">
        <v>2141</v>
      </c>
      <c r="AH4867" t="inlineStr">
        <is>
          <t>PT. PARAMA GLOBAL INSPIRA - PPN (JMB)</t>
        </is>
      </c>
      <c r="AI4867" t="n">
        <v>164</v>
      </c>
      <c r="AJ4867" t="inlineStr">
        <is>
          <t>WARDAH</t>
        </is>
      </c>
      <c r="AK4867" t="n">
        <v>9</v>
      </c>
      <c r="AL4867" t="inlineStr">
        <is>
          <t>Miss Glam Jambi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"20300386836"</f>
        <v/>
      </c>
      <c r="C4868" t="inlineStr">
        <is>
          <t>WARDAH Moist Dew Tint 06 Cherry Gelato 3gr</t>
        </is>
      </c>
      <c r="D4868" t="inlineStr">
        <is>
          <t>Miss Glam Jambi</t>
        </is>
      </c>
      <c r="E4868" t="n">
        <v>6</v>
      </c>
      <c r="F4868" t="n">
        <v>0.1518</v>
      </c>
      <c r="G4868" t="n">
        <v>0.99</v>
      </c>
      <c r="H4868" t="n">
        <v>2</v>
      </c>
      <c r="I4868" t="n">
        <v>7</v>
      </c>
      <c r="J4868" t="n">
        <v>3</v>
      </c>
      <c r="K4868" t="n">
        <v>0</v>
      </c>
      <c r="L4868" t="n">
        <v>46744</v>
      </c>
      <c r="M4868" t="n">
        <v>60000</v>
      </c>
      <c r="N4868" t="n">
        <v>33</v>
      </c>
      <c r="O4868" t="n">
        <v>0.33</v>
      </c>
      <c r="P4868" t="n">
        <v>1</v>
      </c>
      <c r="Q4868" t="n">
        <v>0.22</v>
      </c>
      <c r="R4868" t="n">
        <v>1</v>
      </c>
      <c r="S4868" t="n">
        <v>9108.000000000002</v>
      </c>
      <c r="T4868" t="n">
        <v>7</v>
      </c>
      <c r="U4868" t="n">
        <v>8</v>
      </c>
      <c r="V4868" t="n">
        <v>30</v>
      </c>
      <c r="W4868" t="n">
        <v>5</v>
      </c>
      <c r="X4868" t="n">
        <v>39.52569169960474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11602</v>
      </c>
      <c r="AG4868" t="n">
        <v>2141</v>
      </c>
      <c r="AH4868" t="inlineStr">
        <is>
          <t>PT. PARAMA GLOBAL INSPIRA - PPN (JMB)</t>
        </is>
      </c>
      <c r="AI4868" t="n">
        <v>164</v>
      </c>
      <c r="AJ4868" t="inlineStr">
        <is>
          <t>WARDAH</t>
        </is>
      </c>
      <c r="AK4868" t="n">
        <v>9</v>
      </c>
      <c r="AL4868" t="inlineStr">
        <is>
          <t>Miss Glam Jambi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"20300386921"</f>
        <v/>
      </c>
      <c r="C4869" t="inlineStr">
        <is>
          <t>WARDAH Moist Dew Tint 07 Plum Sorbet 3gr</t>
        </is>
      </c>
      <c r="D4869" t="inlineStr">
        <is>
          <t>Miss Glam Jambi</t>
        </is>
      </c>
      <c r="E4869" t="n">
        <v>6</v>
      </c>
      <c r="F4869" t="n">
        <v>0.1023</v>
      </c>
      <c r="G4869" t="n">
        <v>0.66</v>
      </c>
      <c r="H4869" t="n">
        <v>2</v>
      </c>
      <c r="I4869" t="n">
        <v>7</v>
      </c>
      <c r="J4869" t="n">
        <v>3</v>
      </c>
      <c r="K4869" t="n">
        <v>0</v>
      </c>
      <c r="L4869" t="n">
        <v>46744</v>
      </c>
      <c r="M4869" t="n">
        <v>60000</v>
      </c>
      <c r="N4869" t="n">
        <v>33</v>
      </c>
      <c r="O4869" t="n">
        <v>0.33</v>
      </c>
      <c r="P4869" t="n">
        <v>1</v>
      </c>
      <c r="Q4869" t="n">
        <v>0.05</v>
      </c>
      <c r="R4869" t="n">
        <v>1</v>
      </c>
      <c r="S4869" t="n">
        <v>6138</v>
      </c>
      <c r="T4869" t="n">
        <v>5</v>
      </c>
      <c r="U4869" t="n">
        <v>6</v>
      </c>
      <c r="V4869" t="n">
        <v>30</v>
      </c>
      <c r="W4869" t="n">
        <v>4</v>
      </c>
      <c r="X4869" t="n">
        <v>58.65102639296187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11602</v>
      </c>
      <c r="AG4869" t="n">
        <v>2141</v>
      </c>
      <c r="AH4869" t="inlineStr">
        <is>
          <t>PT. PARAMA GLOBAL INSPIRA - PPN (JMB)</t>
        </is>
      </c>
      <c r="AI4869" t="n">
        <v>164</v>
      </c>
      <c r="AJ4869" t="inlineStr">
        <is>
          <t>WARDAH</t>
        </is>
      </c>
      <c r="AK4869" t="n">
        <v>9</v>
      </c>
      <c r="AL4869" t="inlineStr">
        <is>
          <t>Miss Glam Jambi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"20300387013"</f>
        <v/>
      </c>
      <c r="C4870" t="inlineStr">
        <is>
          <t>WARDAH Moist Dew Tint 08 Mulberry Shake 3gr</t>
        </is>
      </c>
      <c r="D4870" t="inlineStr">
        <is>
          <t>Miss Glam Jambi</t>
        </is>
      </c>
      <c r="E4870" t="n">
        <v>5</v>
      </c>
      <c r="F4870" t="n">
        <v>0.0825</v>
      </c>
      <c r="G4870" t="n">
        <v>0.33</v>
      </c>
      <c r="H4870" t="n">
        <v>2</v>
      </c>
      <c r="I4870" t="n">
        <v>7</v>
      </c>
      <c r="J4870" t="n">
        <v>3</v>
      </c>
      <c r="K4870" t="n">
        <v>0</v>
      </c>
      <c r="L4870" t="n">
        <v>45893</v>
      </c>
      <c r="M4870" t="n">
        <v>60000</v>
      </c>
      <c r="N4870" t="n">
        <v>33</v>
      </c>
      <c r="O4870" t="n">
        <v>0.33</v>
      </c>
      <c r="P4870" t="n">
        <v>1</v>
      </c>
      <c r="Q4870" t="n">
        <v>0.14</v>
      </c>
      <c r="R4870" t="n">
        <v>1</v>
      </c>
      <c r="S4870" t="n">
        <v>4950</v>
      </c>
      <c r="T4870" t="n">
        <v>3</v>
      </c>
      <c r="U4870" t="n">
        <v>4</v>
      </c>
      <c r="V4870" t="n">
        <v>30</v>
      </c>
      <c r="W4870" t="n">
        <v>3</v>
      </c>
      <c r="X4870" t="n">
        <v>60.6060606060606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11602</v>
      </c>
      <c r="AG4870" t="n">
        <v>2141</v>
      </c>
      <c r="AH4870" t="inlineStr">
        <is>
          <t>PT. PARAMA GLOBAL INSPIRA - PPN (JMB)</t>
        </is>
      </c>
      <c r="AI4870" t="n">
        <v>164</v>
      </c>
      <c r="AJ4870" t="inlineStr">
        <is>
          <t>WARDAH</t>
        </is>
      </c>
      <c r="AK4870" t="n">
        <v>9</v>
      </c>
      <c r="AL4870" t="inlineStr">
        <is>
          <t>Miss Glam Jambi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"8993137713160"</f>
        <v/>
      </c>
      <c r="C4871" t="inlineStr">
        <is>
          <t>WARDAH Nature Daily Aloe Hydramild Essence Toner 100ml</t>
        </is>
      </c>
      <c r="D4871" t="inlineStr">
        <is>
          <t>Miss Glam Jambi</t>
        </is>
      </c>
      <c r="E4871" t="n">
        <v>2</v>
      </c>
      <c r="F4871" t="n">
        <v>0.2178</v>
      </c>
      <c r="G4871" t="n">
        <v>0.99</v>
      </c>
      <c r="H4871" t="n">
        <v>2</v>
      </c>
      <c r="I4871" t="n">
        <v>7</v>
      </c>
      <c r="J4871" t="n">
        <v>3</v>
      </c>
      <c r="K4871" t="n">
        <v>5</v>
      </c>
      <c r="L4871" t="n">
        <v>14559</v>
      </c>
      <c r="M4871" t="n">
        <v>17500</v>
      </c>
      <c r="N4871" t="n">
        <v>33</v>
      </c>
      <c r="O4871" t="n">
        <v>0.33</v>
      </c>
      <c r="P4871" t="n">
        <v>1</v>
      </c>
      <c r="Q4871" t="n">
        <v>0.14</v>
      </c>
      <c r="R4871" t="n">
        <v>2</v>
      </c>
      <c r="S4871" t="n">
        <v>3811.5</v>
      </c>
      <c r="T4871" t="n">
        <v>7</v>
      </c>
      <c r="U4871" t="n">
        <v>8</v>
      </c>
      <c r="V4871" t="n">
        <v>30</v>
      </c>
      <c r="W4871" t="n">
        <v>7</v>
      </c>
      <c r="X4871" t="n">
        <v>9.182736455463727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11602</v>
      </c>
      <c r="AG4871" t="n">
        <v>2141</v>
      </c>
      <c r="AH4871" t="inlineStr">
        <is>
          <t>PT. PARAMA GLOBAL INSPIRA - PPN (JMB)</t>
        </is>
      </c>
      <c r="AI4871" t="n">
        <v>164</v>
      </c>
      <c r="AJ4871" t="inlineStr">
        <is>
          <t>WARDAH</t>
        </is>
      </c>
      <c r="AK4871" t="n">
        <v>9</v>
      </c>
      <c r="AL4871" t="inlineStr">
        <is>
          <t>Miss Glam Jambi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"8993137695138"</f>
        <v/>
      </c>
      <c r="C4872" t="inlineStr">
        <is>
          <t>WARDAH Nature Daily Aloe Hydramild Multifunction Gel 100ml</t>
        </is>
      </c>
      <c r="D4872" t="inlineStr">
        <is>
          <t>Miss Glam Jambi</t>
        </is>
      </c>
      <c r="E4872" t="n">
        <v>2</v>
      </c>
      <c r="F4872" t="n">
        <v>0.396</v>
      </c>
      <c r="G4872" t="n">
        <v>1.65</v>
      </c>
      <c r="H4872" t="n">
        <v>2</v>
      </c>
      <c r="I4872" t="n">
        <v>7</v>
      </c>
      <c r="J4872" t="n">
        <v>3</v>
      </c>
      <c r="K4872" t="n">
        <v>9</v>
      </c>
      <c r="L4872" t="n">
        <v>29502</v>
      </c>
      <c r="M4872" t="n">
        <v>35000</v>
      </c>
      <c r="N4872" t="n">
        <v>33</v>
      </c>
      <c r="O4872" t="n">
        <v>0.33</v>
      </c>
      <c r="P4872" t="n">
        <v>1</v>
      </c>
      <c r="Q4872" t="n">
        <v>0.15</v>
      </c>
      <c r="R4872" t="n">
        <v>1</v>
      </c>
      <c r="S4872" t="n">
        <v>13860</v>
      </c>
      <c r="T4872" t="n">
        <v>11</v>
      </c>
      <c r="U4872" t="n">
        <v>12</v>
      </c>
      <c r="V4872" t="n">
        <v>30</v>
      </c>
      <c r="W4872" t="n">
        <v>12</v>
      </c>
      <c r="X4872" t="n">
        <v>5.05050505050505</v>
      </c>
      <c r="Y4872" t="n">
        <v>1</v>
      </c>
      <c r="Z4872" t="n">
        <v>1</v>
      </c>
      <c r="AA4872" t="n">
        <v>0</v>
      </c>
      <c r="AB4872" t="n">
        <v>1</v>
      </c>
      <c r="AC4872" t="n">
        <v>3</v>
      </c>
      <c r="AD4872" t="n">
        <v>0</v>
      </c>
      <c r="AE4872" t="n">
        <v>88506</v>
      </c>
      <c r="AF4872" t="n">
        <v>11602</v>
      </c>
      <c r="AG4872" t="n">
        <v>2141</v>
      </c>
      <c r="AH4872" t="inlineStr">
        <is>
          <t>PT. PARAMA GLOBAL INSPIRA - PPN (JMB)</t>
        </is>
      </c>
      <c r="AI4872" t="n">
        <v>164</v>
      </c>
      <c r="AJ4872" t="inlineStr">
        <is>
          <t>WARDAH</t>
        </is>
      </c>
      <c r="AK4872" t="n">
        <v>9</v>
      </c>
      <c r="AL4872" t="inlineStr">
        <is>
          <t>Miss Glam Jambi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"8993137005852"</f>
        <v/>
      </c>
      <c r="C4873" t="inlineStr">
        <is>
          <t>WARDAH Nature Daily Calm &amp; Soothe Micellar Water 400ml</t>
        </is>
      </c>
      <c r="D4873" t="inlineStr">
        <is>
          <t>Miss Glam Jambi</t>
        </is>
      </c>
      <c r="E4873" t="n">
        <v>7</v>
      </c>
      <c r="F4873" t="n">
        <v>0.0495</v>
      </c>
      <c r="G4873" t="n">
        <v>0.66</v>
      </c>
      <c r="H4873" t="n">
        <v>2</v>
      </c>
      <c r="I4873" t="n">
        <v>7</v>
      </c>
      <c r="J4873" t="n">
        <v>3</v>
      </c>
      <c r="K4873" t="n">
        <v>0</v>
      </c>
      <c r="L4873" t="n">
        <v>83947</v>
      </c>
      <c r="M4873" t="n">
        <v>100000</v>
      </c>
      <c r="N4873" t="n">
        <v>33</v>
      </c>
      <c r="O4873" t="n">
        <v>0.33</v>
      </c>
      <c r="P4873" t="n">
        <v>1</v>
      </c>
      <c r="Q4873" t="n">
        <v>0.07000000000000001</v>
      </c>
      <c r="R4873" t="n">
        <v>1</v>
      </c>
      <c r="S4873" t="n">
        <v>4950</v>
      </c>
      <c r="T4873" t="n">
        <v>5</v>
      </c>
      <c r="U4873" t="n">
        <v>6</v>
      </c>
      <c r="V4873" t="n">
        <v>30</v>
      </c>
      <c r="W4873" t="n">
        <v>2</v>
      </c>
      <c r="X4873" t="n">
        <v>141.4141414141414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11602</v>
      </c>
      <c r="AG4873" t="n">
        <v>2141</v>
      </c>
      <c r="AH4873" t="inlineStr">
        <is>
          <t>PT. PARAMA GLOBAL INSPIRA - PPN (JMB)</t>
        </is>
      </c>
      <c r="AI4873" t="n">
        <v>164</v>
      </c>
      <c r="AJ4873" t="inlineStr">
        <is>
          <t>WARDAH</t>
        </is>
      </c>
      <c r="AK4873" t="n">
        <v>9</v>
      </c>
      <c r="AL4873" t="inlineStr">
        <is>
          <t>Miss Glam Jambi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"8993137698672"</f>
        <v/>
      </c>
      <c r="C4874" t="inlineStr">
        <is>
          <t>WARDAH Nature Daily Seaweed Cleansing Micellar Water 100ml</t>
        </is>
      </c>
      <c r="D4874" t="inlineStr">
        <is>
          <t>Miss Glam Jambi</t>
        </is>
      </c>
      <c r="E4874" t="n">
        <v>12</v>
      </c>
      <c r="F4874" t="n">
        <v>0.6534</v>
      </c>
      <c r="G4874" t="n">
        <v>1.98</v>
      </c>
      <c r="H4874" t="n">
        <v>2</v>
      </c>
      <c r="I4874" t="n">
        <v>7</v>
      </c>
      <c r="J4874" t="n">
        <v>3</v>
      </c>
      <c r="K4874" t="n">
        <v>8</v>
      </c>
      <c r="L4874" t="n">
        <v>24136</v>
      </c>
      <c r="M4874" t="n">
        <v>28500</v>
      </c>
      <c r="N4874" t="n">
        <v>33</v>
      </c>
      <c r="O4874" t="n">
        <v>0.33</v>
      </c>
      <c r="P4874" t="n">
        <v>1</v>
      </c>
      <c r="Q4874" t="n">
        <v>0.32</v>
      </c>
      <c r="R4874" t="n">
        <v>3</v>
      </c>
      <c r="S4874" t="n">
        <v>18621.9</v>
      </c>
      <c r="T4874" t="n">
        <v>13</v>
      </c>
      <c r="U4874" t="n">
        <v>15</v>
      </c>
      <c r="V4874" t="n">
        <v>30</v>
      </c>
      <c r="W4874" t="n">
        <v>20</v>
      </c>
      <c r="X4874" t="n">
        <v>18.36547291092746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11602</v>
      </c>
      <c r="AG4874" t="n">
        <v>2141</v>
      </c>
      <c r="AH4874" t="inlineStr">
        <is>
          <t>PT. PARAMA GLOBAL INSPIRA - PPN (JMB)</t>
        </is>
      </c>
      <c r="AI4874" t="n">
        <v>164</v>
      </c>
      <c r="AJ4874" t="inlineStr">
        <is>
          <t>WARDAH</t>
        </is>
      </c>
      <c r="AK4874" t="n">
        <v>9</v>
      </c>
      <c r="AL4874" t="inlineStr">
        <is>
          <t>Miss Glam Jambi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"8993137698849"</f>
        <v/>
      </c>
      <c r="C4875" t="inlineStr">
        <is>
          <t>WARDAH Nature Daily Seaweed Micellar Water 240ml</t>
        </is>
      </c>
      <c r="D4875" t="inlineStr">
        <is>
          <t>Miss Glam Jambi</t>
        </is>
      </c>
      <c r="E4875" t="n">
        <v>5</v>
      </c>
      <c r="F4875" t="n">
        <v>0.2673</v>
      </c>
      <c r="G4875" t="n">
        <v>1.32</v>
      </c>
      <c r="H4875" t="n">
        <v>2</v>
      </c>
      <c r="I4875" t="n">
        <v>7</v>
      </c>
      <c r="J4875" t="n">
        <v>3</v>
      </c>
      <c r="K4875" t="n">
        <v>4</v>
      </c>
      <c r="L4875" t="n">
        <v>50014</v>
      </c>
      <c r="M4875" t="n">
        <v>62000</v>
      </c>
      <c r="N4875" t="n">
        <v>33</v>
      </c>
      <c r="O4875" t="n">
        <v>0.33</v>
      </c>
      <c r="P4875" t="n">
        <v>1</v>
      </c>
      <c r="Q4875" t="n">
        <v>0.08</v>
      </c>
      <c r="R4875" t="n">
        <v>1</v>
      </c>
      <c r="S4875" t="n">
        <v>16572.6</v>
      </c>
      <c r="T4875" t="n">
        <v>9</v>
      </c>
      <c r="U4875" t="n">
        <v>10</v>
      </c>
      <c r="V4875" t="n">
        <v>30</v>
      </c>
      <c r="W4875" t="n">
        <v>9</v>
      </c>
      <c r="X4875" t="n">
        <v>18.70557426112982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11602</v>
      </c>
      <c r="AG4875" t="n">
        <v>2141</v>
      </c>
      <c r="AH4875" t="inlineStr">
        <is>
          <t>PT. PARAMA GLOBAL INSPIRA - PPN (JMB)</t>
        </is>
      </c>
      <c r="AI4875" t="n">
        <v>164</v>
      </c>
      <c r="AJ4875" t="inlineStr">
        <is>
          <t>WARDAH</t>
        </is>
      </c>
      <c r="AK4875" t="n">
        <v>9</v>
      </c>
      <c r="AL4875" t="inlineStr">
        <is>
          <t>Miss Glam Jambi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"8993137678711"</f>
        <v/>
      </c>
      <c r="C4876" t="inlineStr">
        <is>
          <t>WARDAH Olive Oil For Massage 150ml</t>
        </is>
      </c>
      <c r="D4876" t="inlineStr">
        <is>
          <t>Miss Glam Jambi</t>
        </is>
      </c>
      <c r="E4876" t="n">
        <v>9</v>
      </c>
      <c r="F4876" t="n">
        <v>0.009900000000000001</v>
      </c>
      <c r="G4876" t="n">
        <v>0.33</v>
      </c>
      <c r="H4876" t="n">
        <v>2</v>
      </c>
      <c r="I4876" t="n">
        <v>7</v>
      </c>
      <c r="J4876" t="n">
        <v>3</v>
      </c>
      <c r="K4876" t="n">
        <v>0</v>
      </c>
      <c r="L4876" t="n">
        <v>37927</v>
      </c>
      <c r="M4876" t="n">
        <v>44000</v>
      </c>
      <c r="N4876" t="n">
        <v>33</v>
      </c>
      <c r="O4876" t="n">
        <v>0.33</v>
      </c>
      <c r="P4876" t="n">
        <v>1</v>
      </c>
      <c r="Q4876" t="n">
        <v>0.02</v>
      </c>
      <c r="R4876" t="n">
        <v>1</v>
      </c>
      <c r="S4876" t="n">
        <v>435.6</v>
      </c>
      <c r="T4876" t="n">
        <v>3</v>
      </c>
      <c r="U4876" t="n">
        <v>4</v>
      </c>
      <c r="V4876" t="n">
        <v>30</v>
      </c>
      <c r="W4876" t="n">
        <v>1</v>
      </c>
      <c r="X4876" t="n">
        <v>909.090909090909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11602</v>
      </c>
      <c r="AG4876" t="n">
        <v>2141</v>
      </c>
      <c r="AH4876" t="inlineStr">
        <is>
          <t>PT. PARAMA GLOBAL INSPIRA - PPN (JMB)</t>
        </is>
      </c>
      <c r="AI4876" t="n">
        <v>164</v>
      </c>
      <c r="AJ4876" t="inlineStr">
        <is>
          <t>WARDAH</t>
        </is>
      </c>
      <c r="AK4876" t="n">
        <v>9</v>
      </c>
      <c r="AL4876" t="inlineStr">
        <is>
          <t>Miss Glam Jambi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"8993137726139"</f>
        <v/>
      </c>
      <c r="C4877" t="inlineStr">
        <is>
          <t>WARDAH Perfect Bright Bright + Night Glow Night Moisturizer 20ml</t>
        </is>
      </c>
      <c r="D4877" t="inlineStr">
        <is>
          <t>Miss Glam Jambi</t>
        </is>
      </c>
      <c r="E4877" t="n">
        <v>4</v>
      </c>
      <c r="F4877" t="n">
        <v>0.066</v>
      </c>
      <c r="G4877" t="n">
        <v>0.66</v>
      </c>
      <c r="H4877" t="n">
        <v>2</v>
      </c>
      <c r="I4877" t="n">
        <v>7</v>
      </c>
      <c r="J4877" t="n">
        <v>3</v>
      </c>
      <c r="K4877" t="n">
        <v>0</v>
      </c>
      <c r="L4877" t="n">
        <v>24137</v>
      </c>
      <c r="M4877" t="n">
        <v>27500</v>
      </c>
      <c r="N4877" t="n">
        <v>33</v>
      </c>
      <c r="O4877" t="n">
        <v>0.33</v>
      </c>
      <c r="P4877" t="n">
        <v>1</v>
      </c>
      <c r="Q4877" t="n">
        <v>0.07000000000000001</v>
      </c>
      <c r="R4877" t="n">
        <v>1</v>
      </c>
      <c r="S4877" t="n">
        <v>1815</v>
      </c>
      <c r="T4877" t="n">
        <v>5</v>
      </c>
      <c r="U4877" t="n">
        <v>6</v>
      </c>
      <c r="V4877" t="n">
        <v>30</v>
      </c>
      <c r="W4877" t="n">
        <v>2</v>
      </c>
      <c r="X4877" t="n">
        <v>60.6060606060606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11602</v>
      </c>
      <c r="AG4877" t="n">
        <v>2141</v>
      </c>
      <c r="AH4877" t="inlineStr">
        <is>
          <t>PT. PARAMA GLOBAL INSPIRA - PPN (JMB)</t>
        </is>
      </c>
      <c r="AI4877" t="n">
        <v>164</v>
      </c>
      <c r="AJ4877" t="inlineStr">
        <is>
          <t>WARDAH</t>
        </is>
      </c>
      <c r="AK4877" t="n">
        <v>9</v>
      </c>
      <c r="AL4877" t="inlineStr">
        <is>
          <t>Miss Glam Jambi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"8993137726146"</f>
        <v/>
      </c>
      <c r="C4878" t="inlineStr">
        <is>
          <t>WARDAH Perfect Bright Cooling Bright Jelly Facial Foam 100ml</t>
        </is>
      </c>
      <c r="D4878" t="inlineStr">
        <is>
          <t>Miss Glam Jambi</t>
        </is>
      </c>
      <c r="E4878" t="n">
        <v>12</v>
      </c>
      <c r="F4878" t="n">
        <v>0.2079</v>
      </c>
      <c r="G4878" t="n">
        <v>1.32</v>
      </c>
      <c r="H4878" t="n">
        <v>2</v>
      </c>
      <c r="I4878" t="n">
        <v>7</v>
      </c>
      <c r="J4878" t="n">
        <v>3</v>
      </c>
      <c r="K4878" t="n">
        <v>0</v>
      </c>
      <c r="L4878" t="n">
        <v>24437</v>
      </c>
      <c r="M4878" t="n">
        <v>30000</v>
      </c>
      <c r="N4878" t="n">
        <v>33</v>
      </c>
      <c r="O4878" t="n">
        <v>0.33</v>
      </c>
      <c r="P4878" t="n">
        <v>1</v>
      </c>
      <c r="Q4878" t="n">
        <v>0.12</v>
      </c>
      <c r="R4878" t="n">
        <v>1</v>
      </c>
      <c r="S4878" t="n">
        <v>6237</v>
      </c>
      <c r="T4878" t="n">
        <v>9</v>
      </c>
      <c r="U4878" t="n">
        <v>10</v>
      </c>
      <c r="V4878" t="n">
        <v>30</v>
      </c>
      <c r="W4878" t="n">
        <v>7</v>
      </c>
      <c r="X4878" t="n">
        <v>57.72005772005772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11602</v>
      </c>
      <c r="AG4878" t="n">
        <v>2141</v>
      </c>
      <c r="AH4878" t="inlineStr">
        <is>
          <t>PT. PARAMA GLOBAL INSPIRA - PPN (JMB)</t>
        </is>
      </c>
      <c r="AI4878" t="n">
        <v>164</v>
      </c>
      <c r="AJ4878" t="inlineStr">
        <is>
          <t>WARDAH</t>
        </is>
      </c>
      <c r="AK4878" t="n">
        <v>9</v>
      </c>
      <c r="AL4878" t="inlineStr">
        <is>
          <t>Miss Glam Jambi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"8993137698719"</f>
        <v/>
      </c>
      <c r="C4879" t="inlineStr">
        <is>
          <t>WARDAH Perfect Bright Creamy Foam Bright+Oil 60ml</t>
        </is>
      </c>
      <c r="D4879" t="inlineStr">
        <is>
          <t>Miss Glam Jambi</t>
        </is>
      </c>
      <c r="E4879" t="n">
        <v>10</v>
      </c>
      <c r="F4879" t="n">
        <v>0.2739</v>
      </c>
      <c r="G4879" t="n">
        <v>1.32</v>
      </c>
      <c r="H4879" t="n">
        <v>2</v>
      </c>
      <c r="I4879" t="n">
        <v>7</v>
      </c>
      <c r="J4879" t="n">
        <v>3</v>
      </c>
      <c r="K4879" t="n">
        <v>0</v>
      </c>
      <c r="L4879" t="n">
        <v>16475</v>
      </c>
      <c r="M4879" t="n">
        <v>19500</v>
      </c>
      <c r="N4879" t="n">
        <v>33</v>
      </c>
      <c r="O4879" t="n">
        <v>0.33</v>
      </c>
      <c r="P4879" t="n">
        <v>1</v>
      </c>
      <c r="Q4879" t="n">
        <v>0.15</v>
      </c>
      <c r="R4879" t="n">
        <v>2</v>
      </c>
      <c r="S4879" t="n">
        <v>5341.049999999999</v>
      </c>
      <c r="T4879" t="n">
        <v>9</v>
      </c>
      <c r="U4879" t="n">
        <v>10</v>
      </c>
      <c r="V4879" t="n">
        <v>30</v>
      </c>
      <c r="W4879" t="n">
        <v>9</v>
      </c>
      <c r="X4879" t="n">
        <v>36.50967506389193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11602</v>
      </c>
      <c r="AG4879" t="n">
        <v>2141</v>
      </c>
      <c r="AH4879" t="inlineStr">
        <is>
          <t>PT. PARAMA GLOBAL INSPIRA - PPN (JMB)</t>
        </is>
      </c>
      <c r="AI4879" t="n">
        <v>164</v>
      </c>
      <c r="AJ4879" t="inlineStr">
        <is>
          <t>WARDAH</t>
        </is>
      </c>
      <c r="AK4879" t="n">
        <v>9</v>
      </c>
      <c r="AL4879" t="inlineStr">
        <is>
          <t>Miss Glam Jambi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"8993137697002"</f>
        <v/>
      </c>
      <c r="C4880" t="inlineStr">
        <is>
          <t>WARDAH Perfect Bright Creamy Foam Bright+Smoothing 100ml</t>
        </is>
      </c>
      <c r="D4880" t="inlineStr">
        <is>
          <t>Miss Glam Jambi</t>
        </is>
      </c>
      <c r="E4880" t="n">
        <v>8</v>
      </c>
      <c r="F4880" t="n">
        <v>0.7491</v>
      </c>
      <c r="G4880" t="n">
        <v>1.98</v>
      </c>
      <c r="H4880" t="n">
        <v>2</v>
      </c>
      <c r="I4880" t="n">
        <v>7</v>
      </c>
      <c r="J4880" t="n">
        <v>3</v>
      </c>
      <c r="K4880" t="n">
        <v>16</v>
      </c>
      <c r="L4880" t="n">
        <v>25287</v>
      </c>
      <c r="M4880" t="n">
        <v>31000</v>
      </c>
      <c r="N4880" t="n">
        <v>33</v>
      </c>
      <c r="O4880" t="n">
        <v>0.33</v>
      </c>
      <c r="P4880" t="n">
        <v>1</v>
      </c>
      <c r="Q4880" t="n">
        <v>0.22</v>
      </c>
      <c r="R4880" t="n">
        <v>2</v>
      </c>
      <c r="S4880" t="n">
        <v>23222.1</v>
      </c>
      <c r="T4880" t="n">
        <v>13</v>
      </c>
      <c r="U4880" t="n">
        <v>15</v>
      </c>
      <c r="V4880" t="n">
        <v>30</v>
      </c>
      <c r="W4880" t="n">
        <v>23</v>
      </c>
      <c r="X4880" t="n">
        <v>10.67948204512081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11602</v>
      </c>
      <c r="AG4880" t="n">
        <v>2141</v>
      </c>
      <c r="AH4880" t="inlineStr">
        <is>
          <t>PT. PARAMA GLOBAL INSPIRA - PPN (JMB)</t>
        </is>
      </c>
      <c r="AI4880" t="n">
        <v>164</v>
      </c>
      <c r="AJ4880" t="inlineStr">
        <is>
          <t>WARDAH</t>
        </is>
      </c>
      <c r="AK4880" t="n">
        <v>9</v>
      </c>
      <c r="AL4880" t="inlineStr">
        <is>
          <t>Miss Glam Jambi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"8993137698870"</f>
        <v/>
      </c>
      <c r="C4881" t="inlineStr">
        <is>
          <t>WARDAH Perfect Bright Creamy Foam Brightening+Oil Control 100ml</t>
        </is>
      </c>
      <c r="D4881" t="inlineStr">
        <is>
          <t>Miss Glam Jambi</t>
        </is>
      </c>
      <c r="E4881" t="n">
        <v>5</v>
      </c>
      <c r="F4881" t="n">
        <v>0.8679</v>
      </c>
      <c r="G4881" t="n">
        <v>1.98</v>
      </c>
      <c r="H4881" t="n">
        <v>2</v>
      </c>
      <c r="I4881" t="n">
        <v>7</v>
      </c>
      <c r="J4881" t="n">
        <v>3</v>
      </c>
      <c r="K4881" t="n">
        <v>20</v>
      </c>
      <c r="L4881" t="n">
        <v>25287</v>
      </c>
      <c r="M4881" t="n">
        <v>31000</v>
      </c>
      <c r="N4881" t="n">
        <v>33</v>
      </c>
      <c r="O4881" t="n">
        <v>0.33</v>
      </c>
      <c r="P4881" t="n">
        <v>1</v>
      </c>
      <c r="Q4881" t="n">
        <v>0.44</v>
      </c>
      <c r="R4881" t="n">
        <v>3</v>
      </c>
      <c r="S4881" t="n">
        <v>26904.9</v>
      </c>
      <c r="T4881" t="n">
        <v>13</v>
      </c>
      <c r="U4881" t="n">
        <v>15</v>
      </c>
      <c r="V4881" t="n">
        <v>30</v>
      </c>
      <c r="W4881" t="n">
        <v>27</v>
      </c>
      <c r="X4881" t="n">
        <v>5.761032377001959</v>
      </c>
      <c r="Y4881" t="n">
        <v>1</v>
      </c>
      <c r="Z4881" t="n">
        <v>2</v>
      </c>
      <c r="AA4881" t="n">
        <v>1</v>
      </c>
      <c r="AB4881" t="n">
        <v>1</v>
      </c>
      <c r="AC4881" t="n">
        <v>3</v>
      </c>
      <c r="AD4881" t="n">
        <v>25287</v>
      </c>
      <c r="AE4881" t="n">
        <v>75861</v>
      </c>
      <c r="AF4881" t="n">
        <v>11602</v>
      </c>
      <c r="AG4881" t="n">
        <v>2141</v>
      </c>
      <c r="AH4881" t="inlineStr">
        <is>
          <t>PT. PARAMA GLOBAL INSPIRA - PPN (JMB)</t>
        </is>
      </c>
      <c r="AI4881" t="n">
        <v>164</v>
      </c>
      <c r="AJ4881" t="inlineStr">
        <is>
          <t>WARDAH</t>
        </is>
      </c>
      <c r="AK4881" t="n">
        <v>9</v>
      </c>
      <c r="AL4881" t="inlineStr">
        <is>
          <t>Miss Glam Jambi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"8993137690942"</f>
        <v/>
      </c>
      <c r="C4882" t="inlineStr">
        <is>
          <t>WARDAH Perfect Bright Creamy Foam Brightening+Smoothing 60ml</t>
        </is>
      </c>
      <c r="D4882" t="inlineStr">
        <is>
          <t>Miss Glam Jambi</t>
        </is>
      </c>
      <c r="E4882" t="n">
        <v>4</v>
      </c>
      <c r="F4882" t="n">
        <v>0.2739</v>
      </c>
      <c r="G4882" t="n">
        <v>0.99</v>
      </c>
      <c r="H4882" t="n">
        <v>2</v>
      </c>
      <c r="I4882" t="n">
        <v>7</v>
      </c>
      <c r="J4882" t="n">
        <v>3</v>
      </c>
      <c r="K4882" t="n">
        <v>5</v>
      </c>
      <c r="L4882" t="n">
        <v>16475</v>
      </c>
      <c r="M4882" t="n">
        <v>19000</v>
      </c>
      <c r="N4882" t="n">
        <v>33</v>
      </c>
      <c r="O4882" t="n">
        <v>0.33</v>
      </c>
      <c r="P4882" t="n">
        <v>1</v>
      </c>
      <c r="Q4882" t="n">
        <v>0.19</v>
      </c>
      <c r="R4882" t="n">
        <v>1</v>
      </c>
      <c r="S4882" t="n">
        <v>5204.099999999999</v>
      </c>
      <c r="T4882" t="n">
        <v>7</v>
      </c>
      <c r="U4882" t="n">
        <v>8</v>
      </c>
      <c r="V4882" t="n">
        <v>30</v>
      </c>
      <c r="W4882" t="n">
        <v>9</v>
      </c>
      <c r="X4882" t="n">
        <v>14.60387002555677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11602</v>
      </c>
      <c r="AG4882" t="n">
        <v>2141</v>
      </c>
      <c r="AH4882" t="inlineStr">
        <is>
          <t>PT. PARAMA GLOBAL INSPIRA - PPN (JMB)</t>
        </is>
      </c>
      <c r="AI4882" t="n">
        <v>164</v>
      </c>
      <c r="AJ4882" t="inlineStr">
        <is>
          <t>WARDAH</t>
        </is>
      </c>
      <c r="AK4882" t="n">
        <v>9</v>
      </c>
      <c r="AL4882" t="inlineStr">
        <is>
          <t>Miss Glam Jambi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"8993137698696"</f>
        <v/>
      </c>
      <c r="C4883" t="inlineStr">
        <is>
          <t>WARDAH Perfect Bright Moisturizer Normal Skin 20ml</t>
        </is>
      </c>
      <c r="D4883" t="inlineStr">
        <is>
          <t>Miss Glam Jambi</t>
        </is>
      </c>
      <c r="E4883" t="n">
        <v>3</v>
      </c>
      <c r="F4883" t="n">
        <v>0.1683</v>
      </c>
      <c r="G4883" t="n">
        <v>0.99</v>
      </c>
      <c r="H4883" t="n">
        <v>2</v>
      </c>
      <c r="I4883" t="n">
        <v>7</v>
      </c>
      <c r="J4883" t="n">
        <v>3</v>
      </c>
      <c r="K4883" t="n">
        <v>3</v>
      </c>
      <c r="L4883" t="n">
        <v>22991</v>
      </c>
      <c r="M4883" t="n">
        <v>27000</v>
      </c>
      <c r="N4883" t="n">
        <v>33</v>
      </c>
      <c r="O4883" t="n">
        <v>0.33</v>
      </c>
      <c r="P4883" t="n">
        <v>1</v>
      </c>
      <c r="Q4883" t="n">
        <v>0.12</v>
      </c>
      <c r="R4883" t="n">
        <v>1</v>
      </c>
      <c r="S4883" t="n">
        <v>4544.1</v>
      </c>
      <c r="T4883" t="n">
        <v>7</v>
      </c>
      <c r="U4883" t="n">
        <v>8</v>
      </c>
      <c r="V4883" t="n">
        <v>30</v>
      </c>
      <c r="W4883" t="n">
        <v>6</v>
      </c>
      <c r="X4883" t="n">
        <v>17.825311942959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11602</v>
      </c>
      <c r="AG4883" t="n">
        <v>2141</v>
      </c>
      <c r="AH4883" t="inlineStr">
        <is>
          <t>PT. PARAMA GLOBAL INSPIRA - PPN (JMB)</t>
        </is>
      </c>
      <c r="AI4883" t="n">
        <v>164</v>
      </c>
      <c r="AJ4883" t="inlineStr">
        <is>
          <t>WARDAH</t>
        </is>
      </c>
      <c r="AK4883" t="n">
        <v>9</v>
      </c>
      <c r="AL4883" t="inlineStr">
        <is>
          <t>Miss Glam Jambi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"8993137692472"</f>
        <v/>
      </c>
      <c r="C4884" t="inlineStr">
        <is>
          <t>WARDAH Perfect Bright Moisturizer SPF 28 20ml</t>
        </is>
      </c>
      <c r="D4884" t="inlineStr">
        <is>
          <t>Miss Glam Jambi</t>
        </is>
      </c>
      <c r="E4884" t="n">
        <v>12</v>
      </c>
      <c r="F4884" t="n">
        <v>0.2838</v>
      </c>
      <c r="G4884" t="n">
        <v>1.32</v>
      </c>
      <c r="H4884" t="n">
        <v>2</v>
      </c>
      <c r="I4884" t="n">
        <v>7</v>
      </c>
      <c r="J4884" t="n">
        <v>3</v>
      </c>
      <c r="K4884" t="n">
        <v>0</v>
      </c>
      <c r="L4884" t="n">
        <v>22989</v>
      </c>
      <c r="M4884" t="n">
        <v>31500</v>
      </c>
      <c r="N4884" t="n">
        <v>33</v>
      </c>
      <c r="O4884" t="n">
        <v>0.33</v>
      </c>
      <c r="P4884" t="n">
        <v>1</v>
      </c>
      <c r="Q4884" t="n">
        <v>0.12</v>
      </c>
      <c r="R4884" t="n">
        <v>1</v>
      </c>
      <c r="S4884" t="n">
        <v>8939.700000000001</v>
      </c>
      <c r="T4884" t="n">
        <v>9</v>
      </c>
      <c r="U4884" t="n">
        <v>10</v>
      </c>
      <c r="V4884" t="n">
        <v>30</v>
      </c>
      <c r="W4884" t="n">
        <v>9</v>
      </c>
      <c r="X4884" t="n">
        <v>42.28329809725159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11602</v>
      </c>
      <c r="AG4884" t="n">
        <v>2141</v>
      </c>
      <c r="AH4884" t="inlineStr">
        <is>
          <t>PT. PARAMA GLOBAL INSPIRA - PPN (JMB)</t>
        </is>
      </c>
      <c r="AI4884" t="n">
        <v>164</v>
      </c>
      <c r="AJ4884" t="inlineStr">
        <is>
          <t>WARDAH</t>
        </is>
      </c>
      <c r="AK4884" t="n">
        <v>9</v>
      </c>
      <c r="AL4884" t="inlineStr">
        <is>
          <t>Miss Glam Jambi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"8993137009898"</f>
        <v/>
      </c>
      <c r="C4885" t="inlineStr">
        <is>
          <t>WARDAH Perfect Bright Tone Up Micella Water 240ml</t>
        </is>
      </c>
      <c r="D4885" t="inlineStr">
        <is>
          <t>Miss Glam Jambi</t>
        </is>
      </c>
      <c r="E4885" t="n">
        <v>3</v>
      </c>
      <c r="F4885" t="n">
        <v>0.5808</v>
      </c>
      <c r="G4885" t="n">
        <v>1.98</v>
      </c>
      <c r="H4885" t="n">
        <v>2</v>
      </c>
      <c r="I4885" t="n">
        <v>7</v>
      </c>
      <c r="J4885" t="n">
        <v>3</v>
      </c>
      <c r="K4885" t="n">
        <v>13</v>
      </c>
      <c r="L4885" t="n">
        <v>47513</v>
      </c>
      <c r="M4885" t="n">
        <v>59000</v>
      </c>
      <c r="N4885" t="n">
        <v>33</v>
      </c>
      <c r="O4885" t="n">
        <v>0.33</v>
      </c>
      <c r="P4885" t="n">
        <v>1</v>
      </c>
      <c r="Q4885" t="n">
        <v>0.39</v>
      </c>
      <c r="R4885" t="n">
        <v>2</v>
      </c>
      <c r="S4885" t="n">
        <v>34267.2</v>
      </c>
      <c r="T4885" t="n">
        <v>13</v>
      </c>
      <c r="U4885" t="n">
        <v>15</v>
      </c>
      <c r="V4885" t="n">
        <v>30</v>
      </c>
      <c r="W4885" t="n">
        <v>18</v>
      </c>
      <c r="X4885" t="n">
        <v>5.165289256198347</v>
      </c>
      <c r="Y4885" t="n">
        <v>1</v>
      </c>
      <c r="Z4885" t="n">
        <v>2</v>
      </c>
      <c r="AA4885" t="n">
        <v>1</v>
      </c>
      <c r="AB4885" t="n">
        <v>1</v>
      </c>
      <c r="AC4885" t="n">
        <v>3</v>
      </c>
      <c r="AD4885" t="n">
        <v>47513</v>
      </c>
      <c r="AE4885" t="n">
        <v>142539</v>
      </c>
      <c r="AF4885" t="n">
        <v>11602</v>
      </c>
      <c r="AG4885" t="n">
        <v>2141</v>
      </c>
      <c r="AH4885" t="inlineStr">
        <is>
          <t>PT. PARAMA GLOBAL INSPIRA - PPN (JMB)</t>
        </is>
      </c>
      <c r="AI4885" t="n">
        <v>164</v>
      </c>
      <c r="AJ4885" t="inlineStr">
        <is>
          <t>WARDAH</t>
        </is>
      </c>
      <c r="AK4885" t="n">
        <v>9</v>
      </c>
      <c r="AL4885" t="inlineStr">
        <is>
          <t>Miss Glam Jambi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"8993137702935"</f>
        <v/>
      </c>
      <c r="C4886" t="inlineStr">
        <is>
          <t>WARDAH Perfect Bright Tone Up Micellar 100ml</t>
        </is>
      </c>
      <c r="D4886" t="inlineStr">
        <is>
          <t>Miss Glam Jambi</t>
        </is>
      </c>
      <c r="E4886" t="n">
        <v>12</v>
      </c>
      <c r="F4886" t="n">
        <v>1.0362</v>
      </c>
      <c r="G4886" t="n">
        <v>2.31</v>
      </c>
      <c r="H4886" t="n">
        <v>2</v>
      </c>
      <c r="I4886" t="n">
        <v>7</v>
      </c>
      <c r="J4886" t="n">
        <v>3</v>
      </c>
      <c r="K4886" t="n">
        <v>20</v>
      </c>
      <c r="L4886" t="n">
        <v>23244</v>
      </c>
      <c r="M4886" t="n">
        <v>30000</v>
      </c>
      <c r="N4886" t="n">
        <v>33</v>
      </c>
      <c r="O4886" t="n">
        <v>0.33</v>
      </c>
      <c r="P4886" t="n">
        <v>1</v>
      </c>
      <c r="Q4886" t="n">
        <v>0.53</v>
      </c>
      <c r="R4886" t="n">
        <v>3</v>
      </c>
      <c r="S4886" t="n">
        <v>31086</v>
      </c>
      <c r="T4886" t="n">
        <v>15</v>
      </c>
      <c r="U4886" t="n">
        <v>18</v>
      </c>
      <c r="V4886" t="n">
        <v>30</v>
      </c>
      <c r="W4886" t="n">
        <v>32</v>
      </c>
      <c r="X4886" t="n">
        <v>11.5807759119861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11602</v>
      </c>
      <c r="AG4886" t="n">
        <v>2141</v>
      </c>
      <c r="AH4886" t="inlineStr">
        <is>
          <t>PT. PARAMA GLOBAL INSPIRA - PPN (JMB)</t>
        </is>
      </c>
      <c r="AI4886" t="n">
        <v>164</v>
      </c>
      <c r="AJ4886" t="inlineStr">
        <is>
          <t>WARDAH</t>
        </is>
      </c>
      <c r="AK4886" t="n">
        <v>9</v>
      </c>
      <c r="AL4886" t="inlineStr">
        <is>
          <t>Miss Glam Jambi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"8993137005845"</f>
        <v/>
      </c>
      <c r="C4887" t="inlineStr">
        <is>
          <t>WARDAH Perfect Bright Tone Up Micellar Water 400ml</t>
        </is>
      </c>
      <c r="D4887" t="inlineStr">
        <is>
          <t>Miss Glam Jambi</t>
        </is>
      </c>
      <c r="E4887" t="n">
        <v>7</v>
      </c>
      <c r="F4887" t="n">
        <v>0.07920000000000001</v>
      </c>
      <c r="G4887" t="n">
        <v>0.66</v>
      </c>
      <c r="H4887" t="n">
        <v>2</v>
      </c>
      <c r="I4887" t="n">
        <v>7</v>
      </c>
      <c r="J4887" t="n">
        <v>3</v>
      </c>
      <c r="K4887" t="n">
        <v>0</v>
      </c>
      <c r="L4887" t="n">
        <v>81759</v>
      </c>
      <c r="M4887" t="n">
        <v>100000</v>
      </c>
      <c r="N4887" t="n">
        <v>33</v>
      </c>
      <c r="O4887" t="n">
        <v>0.33</v>
      </c>
      <c r="P4887" t="n">
        <v>1</v>
      </c>
      <c r="Q4887" t="n">
        <v>0.07000000000000001</v>
      </c>
      <c r="R4887" t="n">
        <v>1</v>
      </c>
      <c r="S4887" t="n">
        <v>7920.000000000001</v>
      </c>
      <c r="T4887" t="n">
        <v>5</v>
      </c>
      <c r="U4887" t="n">
        <v>6</v>
      </c>
      <c r="V4887" t="n">
        <v>30</v>
      </c>
      <c r="W4887" t="n">
        <v>3</v>
      </c>
      <c r="X4887" t="n">
        <v>88.38383838383838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11602</v>
      </c>
      <c r="AG4887" t="n">
        <v>2141</v>
      </c>
      <c r="AH4887" t="inlineStr">
        <is>
          <t>PT. PARAMA GLOBAL INSPIRA - PPN (JMB)</t>
        </is>
      </c>
      <c r="AI4887" t="n">
        <v>164</v>
      </c>
      <c r="AJ4887" t="inlineStr">
        <is>
          <t>WARDAH</t>
        </is>
      </c>
      <c r="AK4887" t="n">
        <v>9</v>
      </c>
      <c r="AL4887" t="inlineStr">
        <is>
          <t>Miss Glam Jambi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"8993137678704"</f>
        <v/>
      </c>
      <c r="C4888" t="inlineStr">
        <is>
          <t>WARDAH Pure Oilive Oil 50ml</t>
        </is>
      </c>
      <c r="D4888" t="inlineStr">
        <is>
          <t>Miss Glam Jambi</t>
        </is>
      </c>
      <c r="E4888" t="n">
        <v>2</v>
      </c>
      <c r="F4888" t="n">
        <v>0.09569999999999999</v>
      </c>
      <c r="G4888" t="n">
        <v>0.66</v>
      </c>
      <c r="H4888" t="n">
        <v>2</v>
      </c>
      <c r="I4888" t="n">
        <v>7</v>
      </c>
      <c r="J4888" t="n">
        <v>3</v>
      </c>
      <c r="K4888" t="n">
        <v>3</v>
      </c>
      <c r="L4888" t="n">
        <v>21864</v>
      </c>
      <c r="M4888" t="n">
        <v>25500</v>
      </c>
      <c r="N4888" t="n">
        <v>33</v>
      </c>
      <c r="O4888" t="n">
        <v>0.33</v>
      </c>
      <c r="P4888" t="n">
        <v>1</v>
      </c>
      <c r="Q4888" t="n">
        <v>0.03</v>
      </c>
      <c r="R4888" t="n">
        <v>1</v>
      </c>
      <c r="S4888" t="n">
        <v>2440.35</v>
      </c>
      <c r="T4888" t="n">
        <v>5</v>
      </c>
      <c r="U4888" t="n">
        <v>6</v>
      </c>
      <c r="V4888" t="n">
        <v>30</v>
      </c>
      <c r="W4888" t="n">
        <v>3</v>
      </c>
      <c r="X4888" t="n">
        <v>20.89864158829676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11602</v>
      </c>
      <c r="AG4888" t="n">
        <v>2141</v>
      </c>
      <c r="AH4888" t="inlineStr">
        <is>
          <t>PT. PARAMA GLOBAL INSPIRA - PPN (JMB)</t>
        </is>
      </c>
      <c r="AI4888" t="n">
        <v>164</v>
      </c>
      <c r="AJ4888" t="inlineStr">
        <is>
          <t>WARDAH</t>
        </is>
      </c>
      <c r="AK4888" t="n">
        <v>9</v>
      </c>
      <c r="AL4888" t="inlineStr">
        <is>
          <t>Miss Glam Jambi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"10300726145"</f>
        <v/>
      </c>
      <c r="C4889" t="inlineStr">
        <is>
          <t>WARDAH Recombinant Collagen 2% Argireline Peptide Gel Moisturizer 30gr</t>
        </is>
      </c>
      <c r="D4889" t="inlineStr">
        <is>
          <t>Miss Glam Jambi</t>
        </is>
      </c>
      <c r="E4889" t="n">
        <v>2</v>
      </c>
      <c r="F4889" t="n">
        <v>0.1056</v>
      </c>
      <c r="G4889" t="n">
        <v>0.66</v>
      </c>
      <c r="H4889" t="n">
        <v>2</v>
      </c>
      <c r="I4889" t="n">
        <v>7</v>
      </c>
      <c r="J4889" t="n">
        <v>1</v>
      </c>
      <c r="K4889" t="n">
        <v>2</v>
      </c>
      <c r="L4889" t="n">
        <v>101151</v>
      </c>
      <c r="M4889" t="n">
        <v>119000</v>
      </c>
      <c r="N4889" t="n">
        <v>33</v>
      </c>
      <c r="O4889" t="n">
        <v>0.33</v>
      </c>
      <c r="P4889" t="n">
        <v>1</v>
      </c>
      <c r="Q4889" t="n">
        <v>0.19</v>
      </c>
      <c r="R4889" t="n">
        <v>1</v>
      </c>
      <c r="S4889" t="n">
        <v>12566.4</v>
      </c>
      <c r="T4889" t="n">
        <v>5</v>
      </c>
      <c r="U4889" t="n">
        <v>6</v>
      </c>
      <c r="V4889" t="n">
        <v>30</v>
      </c>
      <c r="W4889" t="n">
        <v>4</v>
      </c>
      <c r="X4889" t="n">
        <v>18.93939393939394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11602</v>
      </c>
      <c r="AG4889" t="n">
        <v>2141</v>
      </c>
      <c r="AH4889" t="inlineStr">
        <is>
          <t>PT. PARAMA GLOBAL INSPIRA - PPN (JMB)</t>
        </is>
      </c>
      <c r="AI4889" t="n">
        <v>164</v>
      </c>
      <c r="AJ4889" t="inlineStr">
        <is>
          <t>WARDAH</t>
        </is>
      </c>
      <c r="AK4889" t="n">
        <v>9</v>
      </c>
      <c r="AL4889" t="inlineStr">
        <is>
          <t>Miss Glam Jambi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"20100484058"</f>
        <v/>
      </c>
      <c r="C4890" t="inlineStr">
        <is>
          <t>WARDAH Refill Colorfit Perfect Glow Cushion 21C Shell 15gr</t>
        </is>
      </c>
      <c r="D4890" t="inlineStr">
        <is>
          <t>Miss Glam Jambi</t>
        </is>
      </c>
      <c r="E4890" t="n">
        <v>6</v>
      </c>
      <c r="F4890" t="n">
        <v>0.0165</v>
      </c>
      <c r="G4890" t="n">
        <v>0.33</v>
      </c>
      <c r="H4890" t="n">
        <v>2</v>
      </c>
      <c r="I4890" t="n">
        <v>7</v>
      </c>
      <c r="J4890" t="n">
        <v>1</v>
      </c>
      <c r="K4890" t="n">
        <v>0</v>
      </c>
      <c r="L4890" t="n">
        <v>74714</v>
      </c>
      <c r="M4890" t="n">
        <v>88000</v>
      </c>
      <c r="N4890" t="n">
        <v>33</v>
      </c>
      <c r="O4890" t="n">
        <v>0.33</v>
      </c>
      <c r="P4890" t="n">
        <v>1</v>
      </c>
      <c r="Q4890" t="n">
        <v>0.03</v>
      </c>
      <c r="R4890" t="n">
        <v>1</v>
      </c>
      <c r="S4890" t="n">
        <v>1452</v>
      </c>
      <c r="T4890" t="n">
        <v>3</v>
      </c>
      <c r="U4890" t="n">
        <v>4</v>
      </c>
      <c r="V4890" t="n">
        <v>30</v>
      </c>
      <c r="W4890" t="n">
        <v>1</v>
      </c>
      <c r="X4890" t="n">
        <v>363.6363636363636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11602</v>
      </c>
      <c r="AG4890" t="n">
        <v>2141</v>
      </c>
      <c r="AH4890" t="inlineStr">
        <is>
          <t>PT. PARAMA GLOBAL INSPIRA - PPN (JMB)</t>
        </is>
      </c>
      <c r="AI4890" t="n">
        <v>164</v>
      </c>
      <c r="AJ4890" t="inlineStr">
        <is>
          <t>WARDAH</t>
        </is>
      </c>
      <c r="AK4890" t="n">
        <v>9</v>
      </c>
      <c r="AL4890" t="inlineStr">
        <is>
          <t>Miss Glam Jambi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"20100484150"</f>
        <v/>
      </c>
      <c r="C4891" t="inlineStr">
        <is>
          <t>WARDAH Refill Colorfit Perfect Glow Cushion 21W Linen 15gr</t>
        </is>
      </c>
      <c r="D4891" t="inlineStr">
        <is>
          <t>Miss Glam Jambi</t>
        </is>
      </c>
      <c r="E4891" t="n">
        <v>4</v>
      </c>
      <c r="F4891" t="n">
        <v>0.066</v>
      </c>
      <c r="G4891" t="n">
        <v>0.33</v>
      </c>
      <c r="H4891" t="n">
        <v>2</v>
      </c>
      <c r="I4891" t="n">
        <v>7</v>
      </c>
      <c r="J4891" t="n">
        <v>1</v>
      </c>
      <c r="K4891" t="n">
        <v>0</v>
      </c>
      <c r="L4891" t="n">
        <v>74714</v>
      </c>
      <c r="M4891" t="n">
        <v>88000</v>
      </c>
      <c r="N4891" t="n">
        <v>33</v>
      </c>
      <c r="O4891" t="n">
        <v>0.33</v>
      </c>
      <c r="P4891" t="n">
        <v>1</v>
      </c>
      <c r="Q4891" t="n">
        <v>0.03</v>
      </c>
      <c r="R4891" t="n">
        <v>1</v>
      </c>
      <c r="S4891" t="n">
        <v>5808</v>
      </c>
      <c r="T4891" t="n">
        <v>3</v>
      </c>
      <c r="U4891" t="n">
        <v>4</v>
      </c>
      <c r="V4891" t="n">
        <v>30</v>
      </c>
      <c r="W4891" t="n">
        <v>2</v>
      </c>
      <c r="X4891" t="n">
        <v>60.6060606060606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11602</v>
      </c>
      <c r="AG4891" t="n">
        <v>2141</v>
      </c>
      <c r="AH4891" t="inlineStr">
        <is>
          <t>PT. PARAMA GLOBAL INSPIRA - PPN (JMB)</t>
        </is>
      </c>
      <c r="AI4891" t="n">
        <v>164</v>
      </c>
      <c r="AJ4891" t="inlineStr">
        <is>
          <t>WARDAH</t>
        </is>
      </c>
      <c r="AK4891" t="n">
        <v>9</v>
      </c>
      <c r="AL4891" t="inlineStr">
        <is>
          <t>Miss Glam Jambi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"20100484348"</f>
        <v/>
      </c>
      <c r="C4892" t="inlineStr">
        <is>
          <t>WARDAH Refill Colorfit Perfect Glow Cushion 33W Olive Beige 15gr</t>
        </is>
      </c>
      <c r="D4892" t="inlineStr">
        <is>
          <t>Miss Glam Jambi</t>
        </is>
      </c>
      <c r="E4892" t="n">
        <v>4</v>
      </c>
      <c r="F4892" t="n">
        <v>0.0231</v>
      </c>
      <c r="G4892" t="n">
        <v>0.33</v>
      </c>
      <c r="H4892" t="n">
        <v>2</v>
      </c>
      <c r="I4892" t="n">
        <v>7</v>
      </c>
      <c r="J4892" t="n">
        <v>1</v>
      </c>
      <c r="K4892" t="n">
        <v>0</v>
      </c>
      <c r="L4892" t="n">
        <v>74714</v>
      </c>
      <c r="M4892" t="n">
        <v>88000</v>
      </c>
      <c r="N4892" t="n">
        <v>33</v>
      </c>
      <c r="O4892" t="n">
        <v>0.33</v>
      </c>
      <c r="P4892" t="n">
        <v>1</v>
      </c>
      <c r="Q4892" t="n">
        <v>0.05</v>
      </c>
      <c r="R4892" t="n">
        <v>1</v>
      </c>
      <c r="S4892" t="n">
        <v>2032.8</v>
      </c>
      <c r="T4892" t="n">
        <v>3</v>
      </c>
      <c r="U4892" t="n">
        <v>4</v>
      </c>
      <c r="V4892" t="n">
        <v>30</v>
      </c>
      <c r="W4892" t="n">
        <v>1</v>
      </c>
      <c r="X4892" t="n">
        <v>173.1601731601731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11602</v>
      </c>
      <c r="AG4892" t="n">
        <v>2141</v>
      </c>
      <c r="AH4892" t="inlineStr">
        <is>
          <t>PT. PARAMA GLOBAL INSPIRA - PPN (JMB)</t>
        </is>
      </c>
      <c r="AI4892" t="n">
        <v>164</v>
      </c>
      <c r="AJ4892" t="inlineStr">
        <is>
          <t>WARDAH</t>
        </is>
      </c>
      <c r="AK4892" t="n">
        <v>9</v>
      </c>
      <c r="AL4892" t="inlineStr">
        <is>
          <t>Miss Glam Jambi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"8993137680417"</f>
        <v/>
      </c>
      <c r="C4893" t="inlineStr">
        <is>
          <t>WARDAH Refill Everyday Luminous Two Way Cake 03 Ivory 12gr</t>
        </is>
      </c>
      <c r="D4893" t="inlineStr">
        <is>
          <t>Miss Glam Jambi</t>
        </is>
      </c>
      <c r="E4893" t="n">
        <v>5</v>
      </c>
      <c r="F4893" t="n">
        <v>0.07920000000000001</v>
      </c>
      <c r="G4893" t="n">
        <v>0.66</v>
      </c>
      <c r="H4893" t="n">
        <v>2</v>
      </c>
      <c r="I4893" t="n">
        <v>7</v>
      </c>
      <c r="J4893" t="n">
        <v>3</v>
      </c>
      <c r="K4893" t="n">
        <v>0</v>
      </c>
      <c r="L4893" t="n">
        <v>27970</v>
      </c>
      <c r="M4893" t="n">
        <v>32500</v>
      </c>
      <c r="N4893" t="n">
        <v>33</v>
      </c>
      <c r="O4893" t="n">
        <v>0.33</v>
      </c>
      <c r="P4893" t="n">
        <v>1</v>
      </c>
      <c r="Q4893" t="n">
        <v>0.03</v>
      </c>
      <c r="R4893" t="n">
        <v>1</v>
      </c>
      <c r="S4893" t="n">
        <v>2574</v>
      </c>
      <c r="T4893" t="n">
        <v>5</v>
      </c>
      <c r="U4893" t="n">
        <v>6</v>
      </c>
      <c r="V4893" t="n">
        <v>30</v>
      </c>
      <c r="W4893" t="n">
        <v>3</v>
      </c>
      <c r="X4893" t="n">
        <v>63.13131313131313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11602</v>
      </c>
      <c r="AG4893" t="n">
        <v>2141</v>
      </c>
      <c r="AH4893" t="inlineStr">
        <is>
          <t>PT. PARAMA GLOBAL INSPIRA - PPN (JMB)</t>
        </is>
      </c>
      <c r="AI4893" t="n">
        <v>164</v>
      </c>
      <c r="AJ4893" t="inlineStr">
        <is>
          <t>WARDAH</t>
        </is>
      </c>
      <c r="AK4893" t="n">
        <v>9</v>
      </c>
      <c r="AL4893" t="inlineStr">
        <is>
          <t>Miss Glam Jambi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"8993137680424"</f>
        <v/>
      </c>
      <c r="C4894" t="inlineStr">
        <is>
          <t>WARDAH Refill Everyday Luminous Two Way Cake 04 Light Ivory 12gr</t>
        </is>
      </c>
      <c r="D4894" t="inlineStr">
        <is>
          <t>Miss Glam Jambi</t>
        </is>
      </c>
      <c r="E4894" t="n">
        <v>7</v>
      </c>
      <c r="F4894" t="n">
        <v>0.05</v>
      </c>
      <c r="G4894" t="n">
        <v>1</v>
      </c>
      <c r="H4894" t="n">
        <v>2</v>
      </c>
      <c r="I4894" t="n">
        <v>7</v>
      </c>
      <c r="J4894" t="n">
        <v>3</v>
      </c>
      <c r="K4894" t="n">
        <v>0</v>
      </c>
      <c r="L4894" t="n">
        <v>27860</v>
      </c>
      <c r="M4894" t="n">
        <v>33000</v>
      </c>
      <c r="N4894" t="n">
        <v>33</v>
      </c>
      <c r="O4894" t="n">
        <v>0.33</v>
      </c>
      <c r="P4894" t="n">
        <v>0</v>
      </c>
      <c r="Q4894" t="n">
        <v>0.05</v>
      </c>
      <c r="R4894" t="n">
        <v>1</v>
      </c>
      <c r="S4894" t="n">
        <v>1650</v>
      </c>
      <c r="T4894" t="n">
        <v>7</v>
      </c>
      <c r="U4894" t="n">
        <v>8</v>
      </c>
      <c r="V4894" t="n">
        <v>30</v>
      </c>
      <c r="W4894" t="n">
        <v>2</v>
      </c>
      <c r="X4894" t="n">
        <v>140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11602</v>
      </c>
      <c r="AG4894" t="n">
        <v>2141</v>
      </c>
      <c r="AH4894" t="inlineStr">
        <is>
          <t>PT. PARAMA GLOBAL INSPIRA - PPN (JMB)</t>
        </is>
      </c>
      <c r="AI4894" t="n">
        <v>164</v>
      </c>
      <c r="AJ4894" t="inlineStr">
        <is>
          <t>WARDAH</t>
        </is>
      </c>
      <c r="AK4894" t="n">
        <v>9</v>
      </c>
      <c r="AL4894" t="inlineStr">
        <is>
          <t>Miss Glam Jambi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"8993137679077"</f>
        <v/>
      </c>
      <c r="C4895" t="inlineStr">
        <is>
          <t>WARDAH Refill Exclusive Two Way Cake 03 Sandy Beige 12gr</t>
        </is>
      </c>
      <c r="D4895" t="inlineStr">
        <is>
          <t>Miss Glam Jambi</t>
        </is>
      </c>
      <c r="E4895" t="n">
        <v>2</v>
      </c>
      <c r="F4895" t="n">
        <v>0.2013</v>
      </c>
      <c r="G4895" t="n">
        <v>0.99</v>
      </c>
      <c r="H4895" t="n">
        <v>2</v>
      </c>
      <c r="I4895" t="n">
        <v>7</v>
      </c>
      <c r="J4895" t="n">
        <v>3</v>
      </c>
      <c r="K4895" t="n">
        <v>4</v>
      </c>
      <c r="L4895" t="n">
        <v>47511</v>
      </c>
      <c r="M4895" t="n">
        <v>54500</v>
      </c>
      <c r="N4895" t="n">
        <v>33</v>
      </c>
      <c r="O4895" t="n">
        <v>0.33</v>
      </c>
      <c r="P4895" t="n">
        <v>1</v>
      </c>
      <c r="Q4895" t="n">
        <v>0.1</v>
      </c>
      <c r="R4895" t="n">
        <v>1</v>
      </c>
      <c r="S4895" t="n">
        <v>10970.85</v>
      </c>
      <c r="T4895" t="n">
        <v>7</v>
      </c>
      <c r="U4895" t="n">
        <v>8</v>
      </c>
      <c r="V4895" t="n">
        <v>30</v>
      </c>
      <c r="W4895" t="n">
        <v>7</v>
      </c>
      <c r="X4895" t="n">
        <v>9.935419771485344</v>
      </c>
      <c r="Y4895" t="n">
        <v>1</v>
      </c>
      <c r="Z4895" t="n">
        <v>1</v>
      </c>
      <c r="AA4895" t="n">
        <v>0</v>
      </c>
      <c r="AB4895" t="n">
        <v>1</v>
      </c>
      <c r="AC4895" t="n">
        <v>3</v>
      </c>
      <c r="AD4895" t="n">
        <v>0</v>
      </c>
      <c r="AE4895" t="n">
        <v>142533</v>
      </c>
      <c r="AF4895" t="n">
        <v>11602</v>
      </c>
      <c r="AG4895" t="n">
        <v>2141</v>
      </c>
      <c r="AH4895" t="inlineStr">
        <is>
          <t>PT. PARAMA GLOBAL INSPIRA - PPN (JMB)</t>
        </is>
      </c>
      <c r="AI4895" t="n">
        <v>164</v>
      </c>
      <c r="AJ4895" t="inlineStr">
        <is>
          <t>WARDAH</t>
        </is>
      </c>
      <c r="AK4895" t="n">
        <v>9</v>
      </c>
      <c r="AL4895" t="inlineStr">
        <is>
          <t>Miss Glam Jambi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"8993137679084"</f>
        <v/>
      </c>
      <c r="C4896" t="inlineStr">
        <is>
          <t>WARDAH Refill Exclusive Two Way Cake 12 g - Bedak - 04 Natural</t>
        </is>
      </c>
      <c r="D4896" t="inlineStr">
        <is>
          <t>Miss Glam Jambi</t>
        </is>
      </c>
      <c r="E4896" t="n">
        <v>25</v>
      </c>
      <c r="F4896" t="n">
        <v>0.2508</v>
      </c>
      <c r="G4896" t="n">
        <v>0.99</v>
      </c>
      <c r="H4896" t="n">
        <v>2</v>
      </c>
      <c r="I4896" t="n">
        <v>7</v>
      </c>
      <c r="J4896" t="n">
        <v>3</v>
      </c>
      <c r="K4896" t="n">
        <v>0</v>
      </c>
      <c r="L4896" t="n">
        <v>47510</v>
      </c>
      <c r="M4896" t="n">
        <v>54500</v>
      </c>
      <c r="N4896" t="n">
        <v>33</v>
      </c>
      <c r="O4896" t="n">
        <v>0.33</v>
      </c>
      <c r="P4896" t="n">
        <v>1</v>
      </c>
      <c r="Q4896" t="n">
        <v>0.14</v>
      </c>
      <c r="R4896" t="n">
        <v>2</v>
      </c>
      <c r="S4896" t="n">
        <v>13668.6</v>
      </c>
      <c r="T4896" t="n">
        <v>7</v>
      </c>
      <c r="U4896" t="n">
        <v>8</v>
      </c>
      <c r="V4896" t="n">
        <v>30</v>
      </c>
      <c r="W4896" t="n">
        <v>8</v>
      </c>
      <c r="X4896" t="n">
        <v>99.6810207336523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11602</v>
      </c>
      <c r="AG4896" t="n">
        <v>2141</v>
      </c>
      <c r="AH4896" t="inlineStr">
        <is>
          <t>PT. PARAMA GLOBAL INSPIRA - PPN (JMB)</t>
        </is>
      </c>
      <c r="AI4896" t="n">
        <v>164</v>
      </c>
      <c r="AJ4896" t="inlineStr">
        <is>
          <t>WARDAH</t>
        </is>
      </c>
      <c r="AK4896" t="n">
        <v>9</v>
      </c>
      <c r="AL4896" t="inlineStr">
        <is>
          <t>Miss Glam Jambi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"8993137685696"</f>
        <v/>
      </c>
      <c r="C4897" t="inlineStr">
        <is>
          <t>WARDAH Refill Lightening Powder Foundation Light Feel 01 Golden Sand 12gr</t>
        </is>
      </c>
      <c r="D4897" t="inlineStr">
        <is>
          <t>Miss Glam Jambi</t>
        </is>
      </c>
      <c r="E4897" t="n">
        <v>3</v>
      </c>
      <c r="F4897" t="n">
        <v>0.4125</v>
      </c>
      <c r="G4897" t="n">
        <v>1.65</v>
      </c>
      <c r="H4897" t="n">
        <v>2</v>
      </c>
      <c r="I4897" t="n">
        <v>7</v>
      </c>
      <c r="J4897" t="n">
        <v>3</v>
      </c>
      <c r="K4897" t="n">
        <v>10</v>
      </c>
      <c r="L4897" t="n">
        <v>29119</v>
      </c>
      <c r="M4897" t="n">
        <v>33500</v>
      </c>
      <c r="N4897" t="n">
        <v>33</v>
      </c>
      <c r="O4897" t="n">
        <v>0.33</v>
      </c>
      <c r="P4897" t="n">
        <v>1</v>
      </c>
      <c r="Q4897" t="n">
        <v>0.15</v>
      </c>
      <c r="R4897" t="n">
        <v>1</v>
      </c>
      <c r="S4897" t="n">
        <v>13818.75</v>
      </c>
      <c r="T4897" t="n">
        <v>11</v>
      </c>
      <c r="U4897" t="n">
        <v>12</v>
      </c>
      <c r="V4897" t="n">
        <v>30</v>
      </c>
      <c r="W4897" t="n">
        <v>13</v>
      </c>
      <c r="X4897" t="n">
        <v>7.272727272727272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11602</v>
      </c>
      <c r="AG4897" t="n">
        <v>2141</v>
      </c>
      <c r="AH4897" t="inlineStr">
        <is>
          <t>PT. PARAMA GLOBAL INSPIRA - PPN (JMB)</t>
        </is>
      </c>
      <c r="AI4897" t="n">
        <v>164</v>
      </c>
      <c r="AJ4897" t="inlineStr">
        <is>
          <t>WARDAH</t>
        </is>
      </c>
      <c r="AK4897" t="n">
        <v>9</v>
      </c>
      <c r="AL4897" t="inlineStr">
        <is>
          <t>Miss Glam Jambi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"8993137685702"</f>
        <v/>
      </c>
      <c r="C4898" t="inlineStr">
        <is>
          <t>WARDAH Refill Lightening Powder Foundation Light Feel 02 Golden Beige 12gr</t>
        </is>
      </c>
      <c r="D4898" t="inlineStr">
        <is>
          <t>Miss Glam Jambi</t>
        </is>
      </c>
      <c r="E4898" t="n">
        <v>5</v>
      </c>
      <c r="F4898" t="n">
        <v>0.4752</v>
      </c>
      <c r="G4898" t="n">
        <v>1.65</v>
      </c>
      <c r="H4898" t="n">
        <v>2</v>
      </c>
      <c r="I4898" t="n">
        <v>7</v>
      </c>
      <c r="J4898" t="n">
        <v>3</v>
      </c>
      <c r="K4898" t="n">
        <v>10</v>
      </c>
      <c r="L4898" t="n">
        <v>28530</v>
      </c>
      <c r="M4898" t="n">
        <v>33500</v>
      </c>
      <c r="N4898" t="n">
        <v>33</v>
      </c>
      <c r="O4898" t="n">
        <v>0.33</v>
      </c>
      <c r="P4898" t="n">
        <v>1</v>
      </c>
      <c r="Q4898" t="n">
        <v>0.17</v>
      </c>
      <c r="R4898" t="n">
        <v>3</v>
      </c>
      <c r="S4898" t="n">
        <v>15919.2</v>
      </c>
      <c r="T4898" t="n">
        <v>11</v>
      </c>
      <c r="U4898" t="n">
        <v>12</v>
      </c>
      <c r="V4898" t="n">
        <v>30</v>
      </c>
      <c r="W4898" t="n">
        <v>15</v>
      </c>
      <c r="X4898" t="n">
        <v>10.52188552188552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11602</v>
      </c>
      <c r="AG4898" t="n">
        <v>2141</v>
      </c>
      <c r="AH4898" t="inlineStr">
        <is>
          <t>PT. PARAMA GLOBAL INSPIRA - PPN (JMB)</t>
        </is>
      </c>
      <c r="AI4898" t="n">
        <v>164</v>
      </c>
      <c r="AJ4898" t="inlineStr">
        <is>
          <t>WARDAH</t>
        </is>
      </c>
      <c r="AK4898" t="n">
        <v>9</v>
      </c>
      <c r="AL4898" t="inlineStr">
        <is>
          <t>Miss Glam Jambi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"8993137685726"</f>
        <v/>
      </c>
      <c r="C4899" t="inlineStr">
        <is>
          <t>WARDAH Refill Lightening Powder Foundation Light Feel 04 Natural 12gr</t>
        </is>
      </c>
      <c r="D4899" t="inlineStr">
        <is>
          <t>Miss Glam Jambi</t>
        </is>
      </c>
      <c r="E4899" t="n">
        <v>7</v>
      </c>
      <c r="F4899" t="n">
        <v>0.3531</v>
      </c>
      <c r="G4899" t="n">
        <v>1.32</v>
      </c>
      <c r="H4899" t="n">
        <v>2</v>
      </c>
      <c r="I4899" t="n">
        <v>7</v>
      </c>
      <c r="J4899" t="n">
        <v>3</v>
      </c>
      <c r="K4899" t="n">
        <v>4</v>
      </c>
      <c r="L4899" t="n">
        <v>27843</v>
      </c>
      <c r="M4899" t="n">
        <v>40000</v>
      </c>
      <c r="N4899" t="n">
        <v>33</v>
      </c>
      <c r="O4899" t="n">
        <v>0.33</v>
      </c>
      <c r="P4899" t="n">
        <v>1</v>
      </c>
      <c r="Q4899" t="n">
        <v>0.17</v>
      </c>
      <c r="R4899" t="n">
        <v>1</v>
      </c>
      <c r="S4899" t="n">
        <v>14124</v>
      </c>
      <c r="T4899" t="n">
        <v>9</v>
      </c>
      <c r="U4899" t="n">
        <v>10</v>
      </c>
      <c r="V4899" t="n">
        <v>30</v>
      </c>
      <c r="W4899" t="n">
        <v>11</v>
      </c>
      <c r="X4899" t="n">
        <v>19.82441234777683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11602</v>
      </c>
      <c r="AG4899" t="n">
        <v>2141</v>
      </c>
      <c r="AH4899" t="inlineStr">
        <is>
          <t>PT. PARAMA GLOBAL INSPIRA - PPN (JMB)</t>
        </is>
      </c>
      <c r="AI4899" t="n">
        <v>164</v>
      </c>
      <c r="AJ4899" t="inlineStr">
        <is>
          <t>WARDAH</t>
        </is>
      </c>
      <c r="AK4899" t="n">
        <v>9</v>
      </c>
      <c r="AL4899" t="inlineStr">
        <is>
          <t>Miss Glam Jambi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"8993137691109"</f>
        <v/>
      </c>
      <c r="C4900" t="inlineStr">
        <is>
          <t>WARDAH Renew You 1% Retinol Microcapsule Ceramide Cell Renewal Serum 15ml</t>
        </is>
      </c>
      <c r="D4900" t="inlineStr">
        <is>
          <t>Miss Glam Jambi</t>
        </is>
      </c>
      <c r="E4900" t="n">
        <v>2</v>
      </c>
      <c r="F4900" t="n">
        <v>0.09569999999999999</v>
      </c>
      <c r="G4900" t="n">
        <v>0.66</v>
      </c>
      <c r="H4900" t="n">
        <v>2</v>
      </c>
      <c r="I4900" t="n">
        <v>7</v>
      </c>
      <c r="J4900" t="n">
        <v>3</v>
      </c>
      <c r="K4900" t="n">
        <v>3</v>
      </c>
      <c r="L4900" t="n">
        <v>75926</v>
      </c>
      <c r="M4900" t="n">
        <v>87000</v>
      </c>
      <c r="N4900" t="n">
        <v>33</v>
      </c>
      <c r="O4900" t="n">
        <v>0.33</v>
      </c>
      <c r="P4900" t="n">
        <v>1</v>
      </c>
      <c r="Q4900" t="n">
        <v>0.03</v>
      </c>
      <c r="R4900" t="n">
        <v>1</v>
      </c>
      <c r="S4900" t="n">
        <v>8325.9</v>
      </c>
      <c r="T4900" t="n">
        <v>5</v>
      </c>
      <c r="U4900" t="n">
        <v>6</v>
      </c>
      <c r="V4900" t="n">
        <v>30</v>
      </c>
      <c r="W4900" t="n">
        <v>3</v>
      </c>
      <c r="X4900" t="n">
        <v>20.89864158829676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11602</v>
      </c>
      <c r="AG4900" t="n">
        <v>2141</v>
      </c>
      <c r="AH4900" t="inlineStr">
        <is>
          <t>PT. PARAMA GLOBAL INSPIRA - PPN (JMB)</t>
        </is>
      </c>
      <c r="AI4900" t="n">
        <v>164</v>
      </c>
      <c r="AJ4900" t="inlineStr">
        <is>
          <t>WARDAH</t>
        </is>
      </c>
      <c r="AK4900" t="n">
        <v>9</v>
      </c>
      <c r="AL4900" t="inlineStr">
        <is>
          <t>Miss Glam Jambi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"8993137691086"</f>
        <v/>
      </c>
      <c r="C4901" t="inlineStr">
        <is>
          <t>WARDAH Renew You Anti Aging Day Cream SPF30 PA+++ 30gr</t>
        </is>
      </c>
      <c r="D4901" t="inlineStr">
        <is>
          <t>Miss Glam Jambi</t>
        </is>
      </c>
      <c r="E4901" t="n">
        <v>2</v>
      </c>
      <c r="F4901" t="n">
        <v>0.2409</v>
      </c>
      <c r="G4901" t="n">
        <v>1.65</v>
      </c>
      <c r="H4901" t="n">
        <v>2</v>
      </c>
      <c r="I4901" t="n">
        <v>7</v>
      </c>
      <c r="J4901" t="n">
        <v>3</v>
      </c>
      <c r="K4901" t="n">
        <v>6</v>
      </c>
      <c r="L4901" t="n">
        <v>87162</v>
      </c>
      <c r="M4901" t="n">
        <v>107000</v>
      </c>
      <c r="N4901" t="n">
        <v>33</v>
      </c>
      <c r="O4901" t="n">
        <v>0.33</v>
      </c>
      <c r="P4901" t="n">
        <v>1</v>
      </c>
      <c r="Q4901" t="n">
        <v>0.1</v>
      </c>
      <c r="R4901" t="n">
        <v>1</v>
      </c>
      <c r="S4901" t="n">
        <v>25776.3</v>
      </c>
      <c r="T4901" t="n">
        <v>12</v>
      </c>
      <c r="U4901" t="n">
        <v>13</v>
      </c>
      <c r="V4901" t="n">
        <v>30</v>
      </c>
      <c r="W4901" t="n">
        <v>8</v>
      </c>
      <c r="X4901" t="n">
        <v>8.302200083022001</v>
      </c>
      <c r="Y4901" t="n">
        <v>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11602</v>
      </c>
      <c r="AG4901" t="n">
        <v>2141</v>
      </c>
      <c r="AH4901" t="inlineStr">
        <is>
          <t>PT. PARAMA GLOBAL INSPIRA - PPN (JMB)</t>
        </is>
      </c>
      <c r="AI4901" t="n">
        <v>164</v>
      </c>
      <c r="AJ4901" t="inlineStr">
        <is>
          <t>WARDAH</t>
        </is>
      </c>
      <c r="AK4901" t="n">
        <v>9</v>
      </c>
      <c r="AL4901" t="inlineStr">
        <is>
          <t>Miss Glam Jambi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"8993137691093"</f>
        <v/>
      </c>
      <c r="C4902" t="inlineStr">
        <is>
          <t>WARDAH Renew You Anti Aging Night Cream 30G</t>
        </is>
      </c>
      <c r="D4902" t="inlineStr">
        <is>
          <t>Miss Glam Jambi</t>
        </is>
      </c>
      <c r="E4902" t="n">
        <v>3</v>
      </c>
      <c r="F4902" t="n">
        <v>0.1782</v>
      </c>
      <c r="G4902" t="n">
        <v>0.99</v>
      </c>
      <c r="H4902" t="n">
        <v>2</v>
      </c>
      <c r="I4902" t="n">
        <v>7</v>
      </c>
      <c r="J4902" t="n">
        <v>3</v>
      </c>
      <c r="K4902" t="n">
        <v>3</v>
      </c>
      <c r="L4902" t="n">
        <v>86980</v>
      </c>
      <c r="M4902" t="n">
        <v>101000</v>
      </c>
      <c r="N4902" t="n">
        <v>33</v>
      </c>
      <c r="O4902" t="n">
        <v>0.33</v>
      </c>
      <c r="P4902" t="n">
        <v>1</v>
      </c>
      <c r="Q4902" t="n">
        <v>0.1</v>
      </c>
      <c r="R4902" t="n">
        <v>2</v>
      </c>
      <c r="S4902" t="n">
        <v>17998.2</v>
      </c>
      <c r="T4902" t="n">
        <v>7</v>
      </c>
      <c r="U4902" t="n">
        <v>8</v>
      </c>
      <c r="V4902" t="n">
        <v>30</v>
      </c>
      <c r="W4902" t="n">
        <v>6</v>
      </c>
      <c r="X4902" t="n">
        <v>16.83501683501683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11602</v>
      </c>
      <c r="AG4902" t="n">
        <v>2141</v>
      </c>
      <c r="AH4902" t="inlineStr">
        <is>
          <t>PT. PARAMA GLOBAL INSPIRA - PPN (JMB)</t>
        </is>
      </c>
      <c r="AI4902" t="n">
        <v>164</v>
      </c>
      <c r="AJ4902" t="inlineStr">
        <is>
          <t>WARDAH</t>
        </is>
      </c>
      <c r="AK4902" t="n">
        <v>9</v>
      </c>
      <c r="AL4902" t="inlineStr">
        <is>
          <t>Miss Glam Jambi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"8993137692717"</f>
        <v/>
      </c>
      <c r="C4903" t="inlineStr">
        <is>
          <t>WARDAH Renew You Day Cream 15gr</t>
        </is>
      </c>
      <c r="D4903" t="inlineStr">
        <is>
          <t>Miss Glam Jambi</t>
        </is>
      </c>
      <c r="E4903" t="n">
        <v>6</v>
      </c>
      <c r="F4903" t="n">
        <v>0.1782</v>
      </c>
      <c r="G4903" t="n">
        <v>0.66</v>
      </c>
      <c r="H4903" t="n">
        <v>2</v>
      </c>
      <c r="I4903" t="n">
        <v>7</v>
      </c>
      <c r="J4903" t="n">
        <v>3</v>
      </c>
      <c r="K4903" t="n">
        <v>0</v>
      </c>
      <c r="L4903" t="n">
        <v>43296</v>
      </c>
      <c r="M4903" t="n">
        <v>50000</v>
      </c>
      <c r="N4903" t="n">
        <v>33</v>
      </c>
      <c r="O4903" t="n">
        <v>0.33</v>
      </c>
      <c r="P4903" t="n">
        <v>1</v>
      </c>
      <c r="Q4903" t="n">
        <v>0.17</v>
      </c>
      <c r="R4903" t="n">
        <v>2</v>
      </c>
      <c r="S4903" t="n">
        <v>8910.000000000002</v>
      </c>
      <c r="T4903" t="n">
        <v>5</v>
      </c>
      <c r="U4903" t="n">
        <v>6</v>
      </c>
      <c r="V4903" t="n">
        <v>30</v>
      </c>
      <c r="W4903" t="n">
        <v>6</v>
      </c>
      <c r="X4903" t="n">
        <v>33.67003367003367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11602</v>
      </c>
      <c r="AG4903" t="n">
        <v>2141</v>
      </c>
      <c r="AH4903" t="inlineStr">
        <is>
          <t>PT. PARAMA GLOBAL INSPIRA - PPN (JMB)</t>
        </is>
      </c>
      <c r="AI4903" t="n">
        <v>164</v>
      </c>
      <c r="AJ4903" t="inlineStr">
        <is>
          <t>WARDAH</t>
        </is>
      </c>
      <c r="AK4903" t="n">
        <v>9</v>
      </c>
      <c r="AL4903" t="inlineStr">
        <is>
          <t>Miss Glam Jambi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"8993137697149"</f>
        <v/>
      </c>
      <c r="C4904" t="inlineStr">
        <is>
          <t>WARDAH Renew You Eye Cream 10g</t>
        </is>
      </c>
      <c r="D4904" t="inlineStr">
        <is>
          <t>Miss Glam Jambi</t>
        </is>
      </c>
      <c r="E4904" t="n">
        <v>1</v>
      </c>
      <c r="F4904" t="n">
        <v>0.033</v>
      </c>
      <c r="G4904" t="n">
        <v>0.66</v>
      </c>
      <c r="H4904" t="n">
        <v>2</v>
      </c>
      <c r="I4904" t="n">
        <v>7</v>
      </c>
      <c r="J4904" t="n">
        <v>3</v>
      </c>
      <c r="K4904" t="n">
        <v>0</v>
      </c>
      <c r="L4904" t="n">
        <v>69359</v>
      </c>
      <c r="M4904" t="n">
        <v>80500</v>
      </c>
      <c r="N4904" t="n">
        <v>33</v>
      </c>
      <c r="O4904" t="n">
        <v>0.33</v>
      </c>
      <c r="P4904" t="n">
        <v>1</v>
      </c>
      <c r="Q4904" t="n">
        <v>0.05</v>
      </c>
      <c r="R4904" t="n">
        <v>1</v>
      </c>
      <c r="S4904" t="n">
        <v>2656.5</v>
      </c>
      <c r="T4904" t="n">
        <v>5</v>
      </c>
      <c r="U4904" t="n">
        <v>6</v>
      </c>
      <c r="V4904" t="n">
        <v>30</v>
      </c>
      <c r="W4904" t="n">
        <v>1</v>
      </c>
      <c r="X4904" t="n">
        <v>30.3030303030303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11602</v>
      </c>
      <c r="AG4904" t="n">
        <v>2141</v>
      </c>
      <c r="AH4904" t="inlineStr">
        <is>
          <t>PT. PARAMA GLOBAL INSPIRA - PPN (JMB)</t>
        </is>
      </c>
      <c r="AI4904" t="n">
        <v>164</v>
      </c>
      <c r="AJ4904" t="inlineStr">
        <is>
          <t>WARDAH</t>
        </is>
      </c>
      <c r="AK4904" t="n">
        <v>9</v>
      </c>
      <c r="AL4904" t="inlineStr">
        <is>
          <t>Miss Glam Jambi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"8993137697156"</f>
        <v/>
      </c>
      <c r="C4905" t="inlineStr">
        <is>
          <t>WARDAH Renew You Facial Wash 100ml</t>
        </is>
      </c>
      <c r="D4905" t="inlineStr">
        <is>
          <t>Miss Glam Jambi</t>
        </is>
      </c>
      <c r="E4905" t="n">
        <v>11</v>
      </c>
      <c r="F4905" t="n">
        <v>0.6138</v>
      </c>
      <c r="G4905" t="n">
        <v>1.98</v>
      </c>
      <c r="H4905" t="n">
        <v>2</v>
      </c>
      <c r="I4905" t="n">
        <v>7</v>
      </c>
      <c r="J4905" t="n">
        <v>3</v>
      </c>
      <c r="K4905" t="n">
        <v>8</v>
      </c>
      <c r="L4905" t="n">
        <v>32205</v>
      </c>
      <c r="M4905" t="n">
        <v>39000</v>
      </c>
      <c r="N4905" t="n">
        <v>33</v>
      </c>
      <c r="O4905" t="n">
        <v>0.33</v>
      </c>
      <c r="P4905" t="n">
        <v>1</v>
      </c>
      <c r="Q4905" t="n">
        <v>0.34</v>
      </c>
      <c r="R4905" t="n">
        <v>3</v>
      </c>
      <c r="S4905" t="n">
        <v>23938.2</v>
      </c>
      <c r="T4905" t="n">
        <v>13</v>
      </c>
      <c r="U4905" t="n">
        <v>15</v>
      </c>
      <c r="V4905" t="n">
        <v>30</v>
      </c>
      <c r="W4905" t="n">
        <v>19</v>
      </c>
      <c r="X4905" t="n">
        <v>17.92114695340502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11602</v>
      </c>
      <c r="AG4905" t="n">
        <v>2141</v>
      </c>
      <c r="AH4905" t="inlineStr">
        <is>
          <t>PT. PARAMA GLOBAL INSPIRA - PPN (JMB)</t>
        </is>
      </c>
      <c r="AI4905" t="n">
        <v>164</v>
      </c>
      <c r="AJ4905" t="inlineStr">
        <is>
          <t>WARDAH</t>
        </is>
      </c>
      <c r="AK4905" t="n">
        <v>9</v>
      </c>
      <c r="AL4905" t="inlineStr">
        <is>
          <t>Miss Glam Jambi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"8993137718592"</f>
        <v/>
      </c>
      <c r="C4906" t="inlineStr">
        <is>
          <t>WARDAH Renew You Intensive Serum 30ml</t>
        </is>
      </c>
      <c r="D4906" t="inlineStr">
        <is>
          <t>Miss Glam Jambi</t>
        </is>
      </c>
      <c r="E4906" t="n">
        <v>3</v>
      </c>
      <c r="F4906" t="n">
        <v>0.06270000000000001</v>
      </c>
      <c r="G4906" t="n">
        <v>0.66</v>
      </c>
      <c r="H4906" t="n">
        <v>2</v>
      </c>
      <c r="I4906" t="n">
        <v>7</v>
      </c>
      <c r="J4906" t="n">
        <v>3</v>
      </c>
      <c r="K4906" t="n">
        <v>0</v>
      </c>
      <c r="L4906" t="n">
        <v>134869</v>
      </c>
      <c r="M4906" t="n">
        <v>171500</v>
      </c>
      <c r="N4906" t="n">
        <v>33</v>
      </c>
      <c r="O4906" t="n">
        <v>0.33</v>
      </c>
      <c r="P4906" t="n">
        <v>1</v>
      </c>
      <c r="Q4906" t="n">
        <v>0.03</v>
      </c>
      <c r="R4906" t="n">
        <v>1</v>
      </c>
      <c r="S4906" t="n">
        <v>10753.05</v>
      </c>
      <c r="T4906" t="n">
        <v>5</v>
      </c>
      <c r="U4906" t="n">
        <v>6</v>
      </c>
      <c r="V4906" t="n">
        <v>30</v>
      </c>
      <c r="W4906" t="n">
        <v>2</v>
      </c>
      <c r="X4906" t="n">
        <v>47.84688995215311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11602</v>
      </c>
      <c r="AG4906" t="n">
        <v>2141</v>
      </c>
      <c r="AH4906" t="inlineStr">
        <is>
          <t>PT. PARAMA GLOBAL INSPIRA - PPN (JMB)</t>
        </is>
      </c>
      <c r="AI4906" t="n">
        <v>164</v>
      </c>
      <c r="AJ4906" t="inlineStr">
        <is>
          <t>WARDAH</t>
        </is>
      </c>
      <c r="AK4906" t="n">
        <v>9</v>
      </c>
      <c r="AL4906" t="inlineStr">
        <is>
          <t>Miss Glam Jambi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"8993137692724"</f>
        <v/>
      </c>
      <c r="C4907" t="inlineStr">
        <is>
          <t>WARDAH Renew You Night Cream 15gr</t>
        </is>
      </c>
      <c r="D4907" t="inlineStr">
        <is>
          <t>Miss Glam Jambi</t>
        </is>
      </c>
      <c r="E4907" t="n">
        <v>8</v>
      </c>
      <c r="F4907" t="n">
        <v>0.1221</v>
      </c>
      <c r="G4907" t="n">
        <v>0.99</v>
      </c>
      <c r="H4907" t="n">
        <v>2</v>
      </c>
      <c r="I4907" t="n">
        <v>7</v>
      </c>
      <c r="J4907" t="n">
        <v>3</v>
      </c>
      <c r="K4907" t="n">
        <v>0</v>
      </c>
      <c r="L4907" t="n">
        <v>43681</v>
      </c>
      <c r="M4907" t="n">
        <v>51000</v>
      </c>
      <c r="N4907" t="n">
        <v>33</v>
      </c>
      <c r="O4907" t="n">
        <v>0.33</v>
      </c>
      <c r="P4907" t="n">
        <v>1</v>
      </c>
      <c r="Q4907" t="n">
        <v>0.07000000000000001</v>
      </c>
      <c r="R4907" t="n">
        <v>1</v>
      </c>
      <c r="S4907" t="n">
        <v>6227.1</v>
      </c>
      <c r="T4907" t="n">
        <v>7</v>
      </c>
      <c r="U4907" t="n">
        <v>8</v>
      </c>
      <c r="V4907" t="n">
        <v>30</v>
      </c>
      <c r="W4907" t="n">
        <v>4</v>
      </c>
      <c r="X4907" t="n">
        <v>65.52006552006551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11602</v>
      </c>
      <c r="AG4907" t="n">
        <v>2141</v>
      </c>
      <c r="AH4907" t="inlineStr">
        <is>
          <t>PT. PARAMA GLOBAL INSPIRA - PPN (JMB)</t>
        </is>
      </c>
      <c r="AI4907" t="n">
        <v>164</v>
      </c>
      <c r="AJ4907" t="inlineStr">
        <is>
          <t>WARDAH</t>
        </is>
      </c>
      <c r="AK4907" t="n">
        <v>9</v>
      </c>
      <c r="AL4907" t="inlineStr">
        <is>
          <t>Miss Glam Jambi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"11200151734"</f>
        <v/>
      </c>
      <c r="C4908" t="inlineStr">
        <is>
          <t>WARDAH Retinal Liposome Cysteamine Radiant Resurfacing Serum 30ml</t>
        </is>
      </c>
      <c r="D4908" t="inlineStr">
        <is>
          <t>Miss Glam Jambi</t>
        </is>
      </c>
      <c r="E4908" t="n">
        <v>4</v>
      </c>
      <c r="F4908" t="n">
        <v>0.0231</v>
      </c>
      <c r="G4908" t="n">
        <v>0.33</v>
      </c>
      <c r="H4908" t="n">
        <v>2</v>
      </c>
      <c r="I4908" t="n">
        <v>7</v>
      </c>
      <c r="J4908" t="n">
        <v>1</v>
      </c>
      <c r="K4908" t="n">
        <v>0</v>
      </c>
      <c r="L4908" t="n">
        <v>181230</v>
      </c>
      <c r="M4908" t="n">
        <v>213500</v>
      </c>
      <c r="N4908" t="n">
        <v>33</v>
      </c>
      <c r="O4908" t="n">
        <v>0.33</v>
      </c>
      <c r="P4908" t="n">
        <v>1</v>
      </c>
      <c r="Q4908" t="n">
        <v>0.03</v>
      </c>
      <c r="R4908" t="n">
        <v>1</v>
      </c>
      <c r="S4908" t="n">
        <v>4931.85</v>
      </c>
      <c r="T4908" t="n">
        <v>3</v>
      </c>
      <c r="U4908" t="n">
        <v>4</v>
      </c>
      <c r="V4908" t="n">
        <v>30</v>
      </c>
      <c r="W4908" t="n">
        <v>1</v>
      </c>
      <c r="X4908" t="n">
        <v>173.1601731601731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11602</v>
      </c>
      <c r="AG4908" t="n">
        <v>2141</v>
      </c>
      <c r="AH4908" t="inlineStr">
        <is>
          <t>PT. PARAMA GLOBAL INSPIRA - PPN (JMB)</t>
        </is>
      </c>
      <c r="AI4908" t="n">
        <v>164</v>
      </c>
      <c r="AJ4908" t="inlineStr">
        <is>
          <t>WARDAH</t>
        </is>
      </c>
      <c r="AK4908" t="n">
        <v>9</v>
      </c>
      <c r="AL4908" t="inlineStr">
        <is>
          <t>Miss Glam Jambi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"8993137681551"</f>
        <v/>
      </c>
      <c r="C4909" t="inlineStr">
        <is>
          <t>WARDAH Roll On For Her 60ml</t>
        </is>
      </c>
      <c r="D4909" t="inlineStr">
        <is>
          <t>Miss Glam Jambi</t>
        </is>
      </c>
      <c r="E4909" t="n">
        <v>15</v>
      </c>
      <c r="F4909" t="n">
        <v>1.4718</v>
      </c>
      <c r="G4909" t="n">
        <v>3.96</v>
      </c>
      <c r="H4909" t="n">
        <v>2</v>
      </c>
      <c r="I4909" t="n">
        <v>7</v>
      </c>
      <c r="J4909" t="n">
        <v>3</v>
      </c>
      <c r="K4909" t="n">
        <v>28</v>
      </c>
      <c r="L4909" t="n">
        <v>19924</v>
      </c>
      <c r="M4909" t="n">
        <v>23000</v>
      </c>
      <c r="N4909" t="n">
        <v>33</v>
      </c>
      <c r="O4909" t="n">
        <v>0.33</v>
      </c>
      <c r="P4909" t="n">
        <v>1</v>
      </c>
      <c r="Q4909" t="n">
        <v>0.98</v>
      </c>
      <c r="R4909" t="n">
        <v>4</v>
      </c>
      <c r="S4909" t="n">
        <v>33851.4</v>
      </c>
      <c r="T4909" t="n">
        <v>25</v>
      </c>
      <c r="U4909" t="n">
        <v>28</v>
      </c>
      <c r="V4909" t="n">
        <v>30</v>
      </c>
      <c r="W4909" t="n">
        <v>45</v>
      </c>
      <c r="X4909" t="n">
        <v>10.19160211985324</v>
      </c>
      <c r="Y4909" t="n">
        <v>1</v>
      </c>
      <c r="Z4909" t="n">
        <v>2</v>
      </c>
      <c r="AA4909" t="n">
        <v>0</v>
      </c>
      <c r="AB4909" t="n">
        <v>2</v>
      </c>
      <c r="AC4909" t="n">
        <v>3</v>
      </c>
      <c r="AD4909" t="n">
        <v>0</v>
      </c>
      <c r="AE4909" t="n">
        <v>59772</v>
      </c>
      <c r="AF4909" t="n">
        <v>11602</v>
      </c>
      <c r="AG4909" t="n">
        <v>2141</v>
      </c>
      <c r="AH4909" t="inlineStr">
        <is>
          <t>PT. PARAMA GLOBAL INSPIRA - PPN (JMB)</t>
        </is>
      </c>
      <c r="AI4909" t="n">
        <v>164</v>
      </c>
      <c r="AJ4909" t="inlineStr">
        <is>
          <t>WARDAH</t>
        </is>
      </c>
      <c r="AK4909" t="n">
        <v>9</v>
      </c>
      <c r="AL4909" t="inlineStr">
        <is>
          <t>Miss Glam Jambi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"8993137698382"</f>
        <v/>
      </c>
      <c r="C4910" t="inlineStr">
        <is>
          <t>WARDAH Scentsation Eau De Toilette 35ml</t>
        </is>
      </c>
      <c r="D4910" t="inlineStr">
        <is>
          <t>Miss Glam Jambi</t>
        </is>
      </c>
      <c r="E4910" t="n">
        <v>2</v>
      </c>
      <c r="F4910" t="n">
        <v>0.02</v>
      </c>
      <c r="G4910" t="n">
        <v>0</v>
      </c>
      <c r="H4910" t="n">
        <v>2</v>
      </c>
      <c r="I4910" t="n">
        <v>7</v>
      </c>
      <c r="J4910" t="n">
        <v>3</v>
      </c>
      <c r="K4910" t="n">
        <v>0</v>
      </c>
      <c r="L4910" t="n">
        <v>44064</v>
      </c>
      <c r="M4910" t="n">
        <v>52500</v>
      </c>
      <c r="N4910" t="n">
        <v>33</v>
      </c>
      <c r="O4910" t="n">
        <v>0.33</v>
      </c>
      <c r="P4910" t="n">
        <v>0</v>
      </c>
      <c r="Q4910" t="n">
        <v>0.02</v>
      </c>
      <c r="R4910" t="n">
        <v>0</v>
      </c>
      <c r="S4910" t="n">
        <v>1050</v>
      </c>
      <c r="T4910" t="n">
        <v>0</v>
      </c>
      <c r="U4910" t="n">
        <v>1</v>
      </c>
      <c r="V4910" t="n">
        <v>30</v>
      </c>
      <c r="W4910" t="n">
        <v>1</v>
      </c>
      <c r="X4910" t="n">
        <v>100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11602</v>
      </c>
      <c r="AG4910" t="n">
        <v>2141</v>
      </c>
      <c r="AH4910" t="inlineStr">
        <is>
          <t>PT. PARAMA GLOBAL INSPIRA - PPN (JMB)</t>
        </is>
      </c>
      <c r="AI4910" t="n">
        <v>164</v>
      </c>
      <c r="AJ4910" t="inlineStr">
        <is>
          <t>WARDAH</t>
        </is>
      </c>
      <c r="AK4910" t="n">
        <v>9</v>
      </c>
      <c r="AL4910" t="inlineStr">
        <is>
          <t>Miss Glam Jambi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"8993137698153"</f>
        <v/>
      </c>
      <c r="C4911" t="inlineStr">
        <is>
          <t>WARDAH Scentsation Joyful Body Mist 100ml</t>
        </is>
      </c>
      <c r="D4911" t="inlineStr">
        <is>
          <t>Miss Glam Jambi</t>
        </is>
      </c>
      <c r="E4911" t="n">
        <v>4</v>
      </c>
      <c r="F4911" t="n">
        <v>0.09569999999999999</v>
      </c>
      <c r="G4911" t="n">
        <v>0.66</v>
      </c>
      <c r="H4911" t="n">
        <v>2</v>
      </c>
      <c r="I4911" t="n">
        <v>7</v>
      </c>
      <c r="J4911" t="n">
        <v>3</v>
      </c>
      <c r="K4911" t="n">
        <v>0</v>
      </c>
      <c r="L4911" t="n">
        <v>30652</v>
      </c>
      <c r="M4911" t="n">
        <v>36500</v>
      </c>
      <c r="N4911" t="n">
        <v>33</v>
      </c>
      <c r="O4911" t="n">
        <v>0.33</v>
      </c>
      <c r="P4911" t="n">
        <v>1</v>
      </c>
      <c r="Q4911" t="n">
        <v>0.15</v>
      </c>
      <c r="R4911" t="n">
        <v>2</v>
      </c>
      <c r="S4911" t="n">
        <v>3493.05</v>
      </c>
      <c r="T4911" t="n">
        <v>5</v>
      </c>
      <c r="U4911" t="n">
        <v>6</v>
      </c>
      <c r="V4911" t="n">
        <v>30</v>
      </c>
      <c r="W4911" t="n">
        <v>3</v>
      </c>
      <c r="X4911" t="n">
        <v>41.79728317659352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11602</v>
      </c>
      <c r="AG4911" t="n">
        <v>2141</v>
      </c>
      <c r="AH4911" t="inlineStr">
        <is>
          <t>PT. PARAMA GLOBAL INSPIRA - PPN (JMB)</t>
        </is>
      </c>
      <c r="AI4911" t="n">
        <v>164</v>
      </c>
      <c r="AJ4911" t="inlineStr">
        <is>
          <t>WARDAH</t>
        </is>
      </c>
      <c r="AK4911" t="n">
        <v>9</v>
      </c>
      <c r="AL4911" t="inlineStr">
        <is>
          <t>Miss Glam Jambi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"8993137698450"</f>
        <v/>
      </c>
      <c r="C4912" t="inlineStr">
        <is>
          <t>WARDAH Shampo Hairfall Treatment 170ml</t>
        </is>
      </c>
      <c r="D4912" t="inlineStr">
        <is>
          <t>Miss Glam Jambi</t>
        </is>
      </c>
      <c r="E4912" t="n">
        <v>7</v>
      </c>
      <c r="F4912" t="n">
        <v>0.1914</v>
      </c>
      <c r="G4912" t="n">
        <v>0.66</v>
      </c>
      <c r="H4912" t="n">
        <v>2</v>
      </c>
      <c r="I4912" t="n">
        <v>7</v>
      </c>
      <c r="J4912" t="n">
        <v>3</v>
      </c>
      <c r="K4912" t="n">
        <v>0</v>
      </c>
      <c r="L4912" t="n">
        <v>19934</v>
      </c>
      <c r="M4912" t="n">
        <v>23500</v>
      </c>
      <c r="N4912" t="n">
        <v>33</v>
      </c>
      <c r="O4912" t="n">
        <v>0.33</v>
      </c>
      <c r="P4912" t="n">
        <v>1</v>
      </c>
      <c r="Q4912" t="n">
        <v>0.07000000000000001</v>
      </c>
      <c r="R4912" t="n">
        <v>1</v>
      </c>
      <c r="S4912" t="n">
        <v>4497.9</v>
      </c>
      <c r="T4912" t="n">
        <v>5</v>
      </c>
      <c r="U4912" t="n">
        <v>6</v>
      </c>
      <c r="V4912" t="n">
        <v>30</v>
      </c>
      <c r="W4912" t="n">
        <v>6</v>
      </c>
      <c r="X4912" t="n">
        <v>36.57262277951934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11602</v>
      </c>
      <c r="AG4912" t="n">
        <v>2141</v>
      </c>
      <c r="AH4912" t="inlineStr">
        <is>
          <t>PT. PARAMA GLOBAL INSPIRA - PPN (JMB)</t>
        </is>
      </c>
      <c r="AI4912" t="n">
        <v>164</v>
      </c>
      <c r="AJ4912" t="inlineStr">
        <is>
          <t>WARDAH</t>
        </is>
      </c>
      <c r="AK4912" t="n">
        <v>9</v>
      </c>
      <c r="AL4912" t="inlineStr">
        <is>
          <t>Miss Glam Jambi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"10200319702"</f>
        <v/>
      </c>
      <c r="C4913" t="inlineStr">
        <is>
          <t>WARDAH Spray-On Serum 105ml</t>
        </is>
      </c>
      <c r="D4913" t="inlineStr">
        <is>
          <t>Miss Glam Jambi</t>
        </is>
      </c>
      <c r="E4913" t="n">
        <v>3</v>
      </c>
      <c r="F4913" t="n">
        <v>0.009900000000000001</v>
      </c>
      <c r="G4913" t="n">
        <v>0.66</v>
      </c>
      <c r="H4913" t="n">
        <v>2</v>
      </c>
      <c r="I4913" t="n">
        <v>7</v>
      </c>
      <c r="J4913" t="n">
        <v>1</v>
      </c>
      <c r="K4913" t="n">
        <v>0</v>
      </c>
      <c r="L4913" t="n">
        <v>94255</v>
      </c>
      <c r="M4913" t="n">
        <v>111000</v>
      </c>
      <c r="N4913" t="n">
        <v>33</v>
      </c>
      <c r="O4913" t="n">
        <v>0.33</v>
      </c>
      <c r="P4913" t="n">
        <v>1</v>
      </c>
      <c r="Q4913" t="n">
        <v>0.05</v>
      </c>
      <c r="R4913" t="n">
        <v>1</v>
      </c>
      <c r="S4913" t="n">
        <v>1098.9</v>
      </c>
      <c r="T4913" t="n">
        <v>5</v>
      </c>
      <c r="U4913" t="n">
        <v>6</v>
      </c>
      <c r="V4913" t="n">
        <v>30</v>
      </c>
      <c r="W4913" t="n">
        <v>1</v>
      </c>
      <c r="X4913" t="n">
        <v>303.030303030303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11602</v>
      </c>
      <c r="AG4913" t="n">
        <v>2141</v>
      </c>
      <c r="AH4913" t="inlineStr">
        <is>
          <t>PT. PARAMA GLOBAL INSPIRA - PPN (JMB)</t>
        </is>
      </c>
      <c r="AI4913" t="n">
        <v>164</v>
      </c>
      <c r="AJ4913" t="inlineStr">
        <is>
          <t>WARDAH</t>
        </is>
      </c>
      <c r="AK4913" t="n">
        <v>9</v>
      </c>
      <c r="AL4913" t="inlineStr">
        <is>
          <t>Miss Glam Jambi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"11200432733"</f>
        <v/>
      </c>
      <c r="C4914" t="inlineStr">
        <is>
          <t>WARDAH SymRadiance 399 10% Niacinamire Bright &amp;Barrier Repair Serum 15ml</t>
        </is>
      </c>
      <c r="D4914" t="inlineStr">
        <is>
          <t>Miss Glam Jambi</t>
        </is>
      </c>
      <c r="E4914" t="n">
        <v>15</v>
      </c>
      <c r="F4914" t="n">
        <v>0.3861</v>
      </c>
      <c r="G4914" t="n">
        <v>1.65</v>
      </c>
      <c r="H4914" t="n">
        <v>2</v>
      </c>
      <c r="I4914" t="n">
        <v>7</v>
      </c>
      <c r="J4914" t="n">
        <v>1</v>
      </c>
      <c r="K4914" t="n">
        <v>0</v>
      </c>
      <c r="L4914" t="n">
        <v>32951</v>
      </c>
      <c r="M4914" t="n">
        <v>39000</v>
      </c>
      <c r="N4914" t="n">
        <v>33</v>
      </c>
      <c r="O4914" t="n">
        <v>0.33</v>
      </c>
      <c r="P4914" t="n">
        <v>1</v>
      </c>
      <c r="Q4914" t="n">
        <v>0.46</v>
      </c>
      <c r="R4914" t="n">
        <v>3</v>
      </c>
      <c r="S4914" t="n">
        <v>15057.9</v>
      </c>
      <c r="T4914" t="n">
        <v>11</v>
      </c>
      <c r="U4914" t="n">
        <v>12</v>
      </c>
      <c r="V4914" t="n">
        <v>30</v>
      </c>
      <c r="W4914" t="n">
        <v>12</v>
      </c>
      <c r="X4914" t="n">
        <v>38.85003885003885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11602</v>
      </c>
      <c r="AG4914" t="n">
        <v>2141</v>
      </c>
      <c r="AH4914" t="inlineStr">
        <is>
          <t>PT. PARAMA GLOBAL INSPIRA - PPN (JMB)</t>
        </is>
      </c>
      <c r="AI4914" t="n">
        <v>164</v>
      </c>
      <c r="AJ4914" t="inlineStr">
        <is>
          <t>WARDAH</t>
        </is>
      </c>
      <c r="AK4914" t="n">
        <v>9</v>
      </c>
      <c r="AL4914" t="inlineStr">
        <is>
          <t>Miss Glam Jambi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"10300723353"</f>
        <v/>
      </c>
      <c r="C4915" t="inlineStr">
        <is>
          <t>WARDAH Symradiance 399 5% Niacinamide ADV Bright &amp; Barrier Boost Moisturizer Gel 30gr</t>
        </is>
      </c>
      <c r="D4915" t="inlineStr">
        <is>
          <t>Miss Glam Jambi</t>
        </is>
      </c>
      <c r="E4915" t="n">
        <v>12</v>
      </c>
      <c r="F4915" t="n">
        <v>0.6698999999999999</v>
      </c>
      <c r="G4915" t="n">
        <v>2.97</v>
      </c>
      <c r="H4915" t="n">
        <v>2</v>
      </c>
      <c r="I4915" t="n">
        <v>7</v>
      </c>
      <c r="J4915" t="n">
        <v>1</v>
      </c>
      <c r="K4915" t="n">
        <v>8</v>
      </c>
      <c r="L4915" t="n">
        <v>45213</v>
      </c>
      <c r="M4915" t="n">
        <v>53500</v>
      </c>
      <c r="N4915" t="n">
        <v>33</v>
      </c>
      <c r="O4915" t="n">
        <v>0.33</v>
      </c>
      <c r="P4915" t="n">
        <v>1</v>
      </c>
      <c r="Q4915" t="n">
        <v>0.2</v>
      </c>
      <c r="R4915" t="n">
        <v>2</v>
      </c>
      <c r="S4915" t="n">
        <v>35839.64999999999</v>
      </c>
      <c r="T4915" t="n">
        <v>20</v>
      </c>
      <c r="U4915" t="n">
        <v>22</v>
      </c>
      <c r="V4915" t="n">
        <v>30</v>
      </c>
      <c r="W4915" t="n">
        <v>21</v>
      </c>
      <c r="X4915" t="n">
        <v>17.91312136139722</v>
      </c>
      <c r="Y4915" t="n">
        <v>1</v>
      </c>
      <c r="Z4915" t="n">
        <v>1</v>
      </c>
      <c r="AA4915" t="n">
        <v>0</v>
      </c>
      <c r="AB4915" t="n">
        <v>1</v>
      </c>
      <c r="AC4915" t="n">
        <v>1</v>
      </c>
      <c r="AD4915" t="n">
        <v>0</v>
      </c>
      <c r="AE4915" t="n">
        <v>45213</v>
      </c>
      <c r="AF4915" t="n">
        <v>11602</v>
      </c>
      <c r="AG4915" t="n">
        <v>2141</v>
      </c>
      <c r="AH4915" t="inlineStr">
        <is>
          <t>PT. PARAMA GLOBAL INSPIRA - PPN (JMB)</t>
        </is>
      </c>
      <c r="AI4915" t="n">
        <v>164</v>
      </c>
      <c r="AJ4915" t="inlineStr">
        <is>
          <t>WARDAH</t>
        </is>
      </c>
      <c r="AK4915" t="n">
        <v>9</v>
      </c>
      <c r="AL4915" t="inlineStr">
        <is>
          <t>Miss Glam Jambi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"8993137003773"</f>
        <v/>
      </c>
      <c r="C4916" t="inlineStr">
        <is>
          <t>WARDAH Tranexamic a-Arbutin +5% Niacinamide 30gr</t>
        </is>
      </c>
      <c r="D4916" t="inlineStr">
        <is>
          <t>Miss Glam Jambi</t>
        </is>
      </c>
      <c r="E4916" t="n">
        <v>10</v>
      </c>
      <c r="F4916" t="n">
        <v>0.4851</v>
      </c>
      <c r="G4916" t="n">
        <v>1.65</v>
      </c>
      <c r="H4916" t="n">
        <v>2</v>
      </c>
      <c r="I4916" t="n">
        <v>7</v>
      </c>
      <c r="J4916" t="n">
        <v>3</v>
      </c>
      <c r="K4916" t="n">
        <v>5</v>
      </c>
      <c r="L4916" t="n">
        <v>82777</v>
      </c>
      <c r="M4916" t="n">
        <v>99000</v>
      </c>
      <c r="N4916" t="n">
        <v>33</v>
      </c>
      <c r="O4916" t="n">
        <v>0.33</v>
      </c>
      <c r="P4916" t="n">
        <v>1</v>
      </c>
      <c r="Q4916" t="n">
        <v>0.31</v>
      </c>
      <c r="R4916" t="n">
        <v>2</v>
      </c>
      <c r="S4916" t="n">
        <v>48024.9</v>
      </c>
      <c r="T4916" t="n">
        <v>11</v>
      </c>
      <c r="U4916" t="n">
        <v>12</v>
      </c>
      <c r="V4916" t="n">
        <v>30</v>
      </c>
      <c r="W4916" t="n">
        <v>15</v>
      </c>
      <c r="X4916" t="n">
        <v>20.61430632859204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11602</v>
      </c>
      <c r="AG4916" t="n">
        <v>2141</v>
      </c>
      <c r="AH4916" t="inlineStr">
        <is>
          <t>PT. PARAMA GLOBAL INSPIRA - PPN (JMB)</t>
        </is>
      </c>
      <c r="AI4916" t="n">
        <v>164</v>
      </c>
      <c r="AJ4916" t="inlineStr">
        <is>
          <t>WARDAH</t>
        </is>
      </c>
      <c r="AK4916" t="n">
        <v>9</v>
      </c>
      <c r="AL4916" t="inlineStr">
        <is>
          <t>Miss Glam Jambi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"8993137708395"</f>
        <v/>
      </c>
      <c r="C4917" t="inlineStr">
        <is>
          <t>WARDAH Uv Shiel Sunscreen Stick Spf 50 22g</t>
        </is>
      </c>
      <c r="D4917" t="inlineStr">
        <is>
          <t>Miss Glam Jambi</t>
        </is>
      </c>
      <c r="E4917" t="n">
        <v>3</v>
      </c>
      <c r="F4917" t="n">
        <v>0.009900000000000001</v>
      </c>
      <c r="G4917" t="n">
        <v>0.33</v>
      </c>
      <c r="H4917" t="n">
        <v>2</v>
      </c>
      <c r="I4917" t="n">
        <v>7</v>
      </c>
      <c r="J4917" t="n">
        <v>3</v>
      </c>
      <c r="K4917" t="n">
        <v>0</v>
      </c>
      <c r="L4917" t="n">
        <v>72800</v>
      </c>
      <c r="M4917" t="n">
        <v>87000</v>
      </c>
      <c r="N4917" t="n">
        <v>33</v>
      </c>
      <c r="O4917" t="n">
        <v>0.33</v>
      </c>
      <c r="P4917" t="n">
        <v>1</v>
      </c>
      <c r="Q4917" t="n">
        <v>0.07000000000000001</v>
      </c>
      <c r="R4917" t="n">
        <v>1</v>
      </c>
      <c r="S4917" t="n">
        <v>861.3000000000001</v>
      </c>
      <c r="T4917" t="n">
        <v>3</v>
      </c>
      <c r="U4917" t="n">
        <v>4</v>
      </c>
      <c r="V4917" t="n">
        <v>30</v>
      </c>
      <c r="W4917" t="n">
        <v>1</v>
      </c>
      <c r="X4917" t="n">
        <v>303.030303030303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11602</v>
      </c>
      <c r="AG4917" t="n">
        <v>2141</v>
      </c>
      <c r="AH4917" t="inlineStr">
        <is>
          <t>PT. PARAMA GLOBAL INSPIRA - PPN (JMB)</t>
        </is>
      </c>
      <c r="AI4917" t="n">
        <v>164</v>
      </c>
      <c r="AJ4917" t="inlineStr">
        <is>
          <t>WARDAH</t>
        </is>
      </c>
      <c r="AK4917" t="n">
        <v>9</v>
      </c>
      <c r="AL4917" t="inlineStr">
        <is>
          <t>Miss Glam Jambi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"8993137006521"</f>
        <v/>
      </c>
      <c r="C4918" t="inlineStr">
        <is>
          <t>WARDAH UV Shield Acne Calming Sunscreen  Moisturizer SPF 35 PA+++ 35ml</t>
        </is>
      </c>
      <c r="D4918" t="inlineStr">
        <is>
          <t>Miss Glam Jambi</t>
        </is>
      </c>
      <c r="E4918" t="n">
        <v>64</v>
      </c>
      <c r="F4918" t="n">
        <v>6.6792</v>
      </c>
      <c r="G4918" t="n">
        <v>12.87</v>
      </c>
      <c r="H4918" t="n">
        <v>2</v>
      </c>
      <c r="I4918" t="n">
        <v>7</v>
      </c>
      <c r="J4918" t="n">
        <v>3</v>
      </c>
      <c r="K4918" t="n">
        <v>139</v>
      </c>
      <c r="L4918" t="n">
        <v>28737</v>
      </c>
      <c r="M4918" t="n">
        <v>32000</v>
      </c>
      <c r="N4918" t="n">
        <v>33</v>
      </c>
      <c r="O4918" t="n">
        <v>0.33</v>
      </c>
      <c r="P4918" t="n">
        <v>1</v>
      </c>
      <c r="Q4918" t="n">
        <v>3.27</v>
      </c>
      <c r="R4918" t="n">
        <v>16</v>
      </c>
      <c r="S4918" t="n">
        <v>213734.4</v>
      </c>
      <c r="T4918" t="n">
        <v>77</v>
      </c>
      <c r="U4918" t="n">
        <v>91</v>
      </c>
      <c r="V4918" t="n">
        <v>30</v>
      </c>
      <c r="W4918" t="n">
        <v>201</v>
      </c>
      <c r="X4918" t="n">
        <v>9.581985866570847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11602</v>
      </c>
      <c r="AG4918" t="n">
        <v>2141</v>
      </c>
      <c r="AH4918" t="inlineStr">
        <is>
          <t>PT. PARAMA GLOBAL INSPIRA - PPN (JMB)</t>
        </is>
      </c>
      <c r="AI4918" t="n">
        <v>164</v>
      </c>
      <c r="AJ4918" t="inlineStr">
        <is>
          <t>WARDAH</t>
        </is>
      </c>
      <c r="AK4918" t="n">
        <v>9</v>
      </c>
      <c r="AL4918" t="inlineStr">
        <is>
          <t>Miss Glam Jambi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"10400617349"</f>
        <v/>
      </c>
      <c r="C4919" t="inlineStr">
        <is>
          <t>WARDAH UV Shield Acne Calming Sunscreen Serum HJ 20k</t>
        </is>
      </c>
      <c r="D4919" t="inlineStr">
        <is>
          <t>Miss Glam Jambi</t>
        </is>
      </c>
      <c r="E4919" t="n">
        <v>1</v>
      </c>
      <c r="F4919" t="n">
        <v>0.1</v>
      </c>
      <c r="G4919" t="n">
        <v>3</v>
      </c>
      <c r="H4919" t="n">
        <v>2</v>
      </c>
      <c r="I4919" t="n">
        <v>7</v>
      </c>
      <c r="J4919" t="n">
        <v>1</v>
      </c>
      <c r="K4919" t="n">
        <v>2</v>
      </c>
      <c r="L4919" t="n">
        <v>0</v>
      </c>
      <c r="M4919" t="n">
        <v>20000</v>
      </c>
      <c r="N4919" t="n">
        <v>33</v>
      </c>
      <c r="O4919" t="n">
        <v>0.33</v>
      </c>
      <c r="P4919" t="n">
        <v>0</v>
      </c>
      <c r="Q4919" t="n">
        <v>0.1</v>
      </c>
      <c r="R4919" t="n">
        <v>3</v>
      </c>
      <c r="S4919" t="n">
        <v>2000</v>
      </c>
      <c r="T4919" t="n">
        <v>21</v>
      </c>
      <c r="U4919" t="n">
        <v>22</v>
      </c>
      <c r="V4919" t="n">
        <v>30</v>
      </c>
      <c r="W4919" t="n">
        <v>3</v>
      </c>
      <c r="X4919" t="n">
        <v>10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11602</v>
      </c>
      <c r="AG4919" t="n">
        <v>2141</v>
      </c>
      <c r="AH4919" t="inlineStr">
        <is>
          <t>PT. PARAMA GLOBAL INSPIRA - PPN (JMB)</t>
        </is>
      </c>
      <c r="AI4919" t="n">
        <v>164</v>
      </c>
      <c r="AJ4919" t="inlineStr">
        <is>
          <t>WARDAH</t>
        </is>
      </c>
      <c r="AK4919" t="n">
        <v>9</v>
      </c>
      <c r="AL4919" t="inlineStr">
        <is>
          <t>Miss Glam Jambi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"10400619002"</f>
        <v/>
      </c>
      <c r="C4920" t="inlineStr">
        <is>
          <t>WARDAH UV Shield Acne Calming Sunscreen Serum SPF 50 PA++++ 100ml</t>
        </is>
      </c>
      <c r="D4920" t="inlineStr">
        <is>
          <t>Miss Glam Jambi</t>
        </is>
      </c>
      <c r="E4920" t="n">
        <v>9</v>
      </c>
      <c r="F4920" t="n">
        <v>0.1683</v>
      </c>
      <c r="G4920" t="n">
        <v>0.66</v>
      </c>
      <c r="H4920" t="n">
        <v>2</v>
      </c>
      <c r="I4920" t="n">
        <v>7</v>
      </c>
      <c r="J4920" t="n">
        <v>1</v>
      </c>
      <c r="K4920" t="n">
        <v>0</v>
      </c>
      <c r="L4920" t="n">
        <v>83527</v>
      </c>
      <c r="M4920" t="n">
        <v>98500</v>
      </c>
      <c r="N4920" t="n">
        <v>33</v>
      </c>
      <c r="O4920" t="n">
        <v>0.33</v>
      </c>
      <c r="P4920" t="n">
        <v>1</v>
      </c>
      <c r="Q4920" t="n">
        <v>0.05</v>
      </c>
      <c r="R4920" t="n">
        <v>1</v>
      </c>
      <c r="S4920" t="n">
        <v>16577.55</v>
      </c>
      <c r="T4920" t="n">
        <v>5</v>
      </c>
      <c r="U4920" t="n">
        <v>6</v>
      </c>
      <c r="V4920" t="n">
        <v>30</v>
      </c>
      <c r="W4920" t="n">
        <v>6</v>
      </c>
      <c r="X4920" t="n">
        <v>53.47593582887701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11602</v>
      </c>
      <c r="AG4920" t="n">
        <v>2141</v>
      </c>
      <c r="AH4920" t="inlineStr">
        <is>
          <t>PT. PARAMA GLOBAL INSPIRA - PPN (JMB)</t>
        </is>
      </c>
      <c r="AI4920" t="n">
        <v>164</v>
      </c>
      <c r="AJ4920" t="inlineStr">
        <is>
          <t>WARDAH</t>
        </is>
      </c>
      <c r="AK4920" t="n">
        <v>9</v>
      </c>
      <c r="AL4920" t="inlineStr">
        <is>
          <t>Miss Glam Jambi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"8993137006538"</f>
        <v/>
      </c>
      <c r="C4921" t="inlineStr">
        <is>
          <t>WARDAH UV Shield Acne Calming Sunscreen Serum SPF 50 PA++++ 25ml</t>
        </is>
      </c>
      <c r="D4921" t="inlineStr">
        <is>
          <t>Miss Glam Jambi</t>
        </is>
      </c>
      <c r="E4921" t="n">
        <v>20</v>
      </c>
      <c r="F4921" t="n">
        <v>2.7753</v>
      </c>
      <c r="G4921" t="n">
        <v>5.61</v>
      </c>
      <c r="H4921" t="n">
        <v>2</v>
      </c>
      <c r="I4921" t="n">
        <v>7</v>
      </c>
      <c r="J4921" t="n">
        <v>3</v>
      </c>
      <c r="K4921" t="n">
        <v>63</v>
      </c>
      <c r="L4921" t="n">
        <v>28737</v>
      </c>
      <c r="M4921" t="n">
        <v>35500</v>
      </c>
      <c r="N4921" t="n">
        <v>33</v>
      </c>
      <c r="O4921" t="n">
        <v>0.33</v>
      </c>
      <c r="P4921" t="n">
        <v>1</v>
      </c>
      <c r="Q4921" t="n">
        <v>1.03</v>
      </c>
      <c r="R4921" t="n">
        <v>4</v>
      </c>
      <c r="S4921" t="n">
        <v>98523.15000000001</v>
      </c>
      <c r="T4921" t="n">
        <v>34</v>
      </c>
      <c r="U4921" t="n">
        <v>40</v>
      </c>
      <c r="V4921" t="n">
        <v>30</v>
      </c>
      <c r="W4921" t="n">
        <v>84</v>
      </c>
      <c r="X4921" t="n">
        <v>7.206428133895434</v>
      </c>
      <c r="Y4921" t="n">
        <v>1</v>
      </c>
      <c r="Z4921" t="n">
        <v>1</v>
      </c>
      <c r="AA4921" t="n">
        <v>0</v>
      </c>
      <c r="AB4921" t="n">
        <v>1</v>
      </c>
      <c r="AC4921" t="n">
        <v>3</v>
      </c>
      <c r="AD4921" t="n">
        <v>0</v>
      </c>
      <c r="AE4921" t="n">
        <v>86211</v>
      </c>
      <c r="AF4921" t="n">
        <v>11602</v>
      </c>
      <c r="AG4921" t="n">
        <v>2141</v>
      </c>
      <c r="AH4921" t="inlineStr">
        <is>
          <t>PT. PARAMA GLOBAL INSPIRA - PPN (JMB)</t>
        </is>
      </c>
      <c r="AI4921" t="n">
        <v>164</v>
      </c>
      <c r="AJ4921" t="inlineStr">
        <is>
          <t>WARDAH</t>
        </is>
      </c>
      <c r="AK4921" t="n">
        <v>9</v>
      </c>
      <c r="AL4921" t="inlineStr">
        <is>
          <t>Miss Glam Jambi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"8993137006545"</f>
        <v/>
      </c>
      <c r="C4922" t="inlineStr">
        <is>
          <t>WARDAH UV Shield Acne Calming Sunscreen Serum SPF 50 PA++++ 40 ml</t>
        </is>
      </c>
      <c r="D4922" t="inlineStr">
        <is>
          <t>Miss Glam Jambi</t>
        </is>
      </c>
      <c r="E4922" t="n">
        <v>18</v>
      </c>
      <c r="F4922" t="n">
        <v>1.3035</v>
      </c>
      <c r="G4922" t="n">
        <v>4.29</v>
      </c>
      <c r="H4922" t="n">
        <v>2</v>
      </c>
      <c r="I4922" t="n">
        <v>7</v>
      </c>
      <c r="J4922" t="n">
        <v>3</v>
      </c>
      <c r="K4922" t="n">
        <v>21</v>
      </c>
      <c r="L4922" t="n">
        <v>45212</v>
      </c>
      <c r="M4922" t="n">
        <v>50500</v>
      </c>
      <c r="N4922" t="n">
        <v>33</v>
      </c>
      <c r="O4922" t="n">
        <v>0.33</v>
      </c>
      <c r="P4922" t="n">
        <v>1</v>
      </c>
      <c r="Q4922" t="n">
        <v>0.51</v>
      </c>
      <c r="R4922" t="n">
        <v>4</v>
      </c>
      <c r="S4922" t="n">
        <v>65826.75</v>
      </c>
      <c r="T4922" t="n">
        <v>28</v>
      </c>
      <c r="U4922" t="n">
        <v>31</v>
      </c>
      <c r="V4922" t="n">
        <v>30</v>
      </c>
      <c r="W4922" t="n">
        <v>40</v>
      </c>
      <c r="X4922" t="n">
        <v>13.80897583429229</v>
      </c>
      <c r="Y4922" t="n">
        <v>1</v>
      </c>
      <c r="Z4922" t="n">
        <v>1</v>
      </c>
      <c r="AA4922" t="n">
        <v>0</v>
      </c>
      <c r="AB4922" t="n">
        <v>1</v>
      </c>
      <c r="AC4922" t="n">
        <v>3</v>
      </c>
      <c r="AD4922" t="n">
        <v>0</v>
      </c>
      <c r="AE4922" t="n">
        <v>135636</v>
      </c>
      <c r="AF4922" t="n">
        <v>11602</v>
      </c>
      <c r="AG4922" t="n">
        <v>2141</v>
      </c>
      <c r="AH4922" t="inlineStr">
        <is>
          <t>PT. PARAMA GLOBAL INSPIRA - PPN (JMB)</t>
        </is>
      </c>
      <c r="AI4922" t="n">
        <v>164</v>
      </c>
      <c r="AJ4922" t="inlineStr">
        <is>
          <t>WARDAH</t>
        </is>
      </c>
      <c r="AK4922" t="n">
        <v>9</v>
      </c>
      <c r="AL4922" t="inlineStr">
        <is>
          <t>Miss Glam Jambi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"8993137708302"</f>
        <v/>
      </c>
      <c r="C4923" t="inlineStr">
        <is>
          <t>WARDAH UV Shield Active Serum SPF50 Sunscreen 35ml</t>
        </is>
      </c>
      <c r="D4923" t="inlineStr">
        <is>
          <t>Miss Glam Jambi</t>
        </is>
      </c>
      <c r="E4923" t="n">
        <v>6</v>
      </c>
      <c r="F4923" t="n">
        <v>0.2343</v>
      </c>
      <c r="G4923" t="n">
        <v>0.99</v>
      </c>
      <c r="H4923" t="n">
        <v>2</v>
      </c>
      <c r="I4923" t="n">
        <v>7</v>
      </c>
      <c r="J4923" t="n">
        <v>3</v>
      </c>
      <c r="K4923" t="n">
        <v>3</v>
      </c>
      <c r="L4923" t="n">
        <v>64752</v>
      </c>
      <c r="M4923" t="n">
        <v>70000</v>
      </c>
      <c r="N4923" t="n">
        <v>33</v>
      </c>
      <c r="O4923" t="n">
        <v>0.33</v>
      </c>
      <c r="P4923" t="n">
        <v>1</v>
      </c>
      <c r="Q4923" t="n">
        <v>0.29</v>
      </c>
      <c r="R4923" t="n">
        <v>3</v>
      </c>
      <c r="S4923" t="n">
        <v>16401</v>
      </c>
      <c r="T4923" t="n">
        <v>7</v>
      </c>
      <c r="U4923" t="n">
        <v>8</v>
      </c>
      <c r="V4923" t="n">
        <v>30</v>
      </c>
      <c r="W4923" t="n">
        <v>8</v>
      </c>
      <c r="X4923" t="n">
        <v>25.60819462227913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11602</v>
      </c>
      <c r="AG4923" t="n">
        <v>2141</v>
      </c>
      <c r="AH4923" t="inlineStr">
        <is>
          <t>PT. PARAMA GLOBAL INSPIRA - PPN (JMB)</t>
        </is>
      </c>
      <c r="AI4923" t="n">
        <v>164</v>
      </c>
      <c r="AJ4923" t="inlineStr">
        <is>
          <t>WARDAH</t>
        </is>
      </c>
      <c r="AK4923" t="n">
        <v>9</v>
      </c>
      <c r="AL4923" t="inlineStr">
        <is>
          <t>Miss Glam Jambi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"8993137708296"</f>
        <v/>
      </c>
      <c r="C4924" t="inlineStr">
        <is>
          <t>WARDAH UV Shield Aqua Fresh Ess SPF 50 30ml</t>
        </is>
      </c>
      <c r="D4924" t="inlineStr">
        <is>
          <t>Miss Glam Jambi</t>
        </is>
      </c>
      <c r="E4924" t="n">
        <v>27</v>
      </c>
      <c r="F4924" t="n">
        <v>0.9075000000000001</v>
      </c>
      <c r="G4924" t="n">
        <v>2.31</v>
      </c>
      <c r="H4924" t="n">
        <v>2</v>
      </c>
      <c r="I4924" t="n">
        <v>7</v>
      </c>
      <c r="J4924" t="n">
        <v>3</v>
      </c>
      <c r="K4924" t="n">
        <v>0</v>
      </c>
      <c r="L4924" t="n">
        <v>45213</v>
      </c>
      <c r="M4924" t="n">
        <v>58000</v>
      </c>
      <c r="N4924" t="n">
        <v>33</v>
      </c>
      <c r="O4924" t="n">
        <v>0.33</v>
      </c>
      <c r="P4924" t="n">
        <v>1</v>
      </c>
      <c r="Q4924" t="n">
        <v>0.53</v>
      </c>
      <c r="R4924" t="n">
        <v>3</v>
      </c>
      <c r="S4924" t="n">
        <v>52635.00000000001</v>
      </c>
      <c r="T4924" t="n">
        <v>15</v>
      </c>
      <c r="U4924" t="n">
        <v>17</v>
      </c>
      <c r="V4924" t="n">
        <v>30</v>
      </c>
      <c r="W4924" t="n">
        <v>28</v>
      </c>
      <c r="X4924" t="n">
        <v>29.75206611570248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11602</v>
      </c>
      <c r="AG4924" t="n">
        <v>2141</v>
      </c>
      <c r="AH4924" t="inlineStr">
        <is>
          <t>PT. PARAMA GLOBAL INSPIRA - PPN (JMB)</t>
        </is>
      </c>
      <c r="AI4924" t="n">
        <v>164</v>
      </c>
      <c r="AJ4924" t="inlineStr">
        <is>
          <t>WARDAH</t>
        </is>
      </c>
      <c r="AK4924" t="n">
        <v>9</v>
      </c>
      <c r="AL4924" t="inlineStr">
        <is>
          <t>Miss Glam Jambi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"8993137007757"</f>
        <v/>
      </c>
      <c r="C4925" t="inlineStr">
        <is>
          <t>WARDAH Uv Shield Physical Sunscreen Serum Spf 50+++ 30ml</t>
        </is>
      </c>
      <c r="D4925" t="inlineStr">
        <is>
          <t>Miss Glam Jambi</t>
        </is>
      </c>
      <c r="E4925" t="n">
        <v>10</v>
      </c>
      <c r="F4925" t="n">
        <v>0.3366</v>
      </c>
      <c r="G4925" t="n">
        <v>0.99</v>
      </c>
      <c r="H4925" t="n">
        <v>2</v>
      </c>
      <c r="I4925" t="n">
        <v>7</v>
      </c>
      <c r="J4925" t="n">
        <v>3</v>
      </c>
      <c r="K4925" t="n">
        <v>0</v>
      </c>
      <c r="L4925" t="n">
        <v>57856</v>
      </c>
      <c r="M4925" t="n">
        <v>68500</v>
      </c>
      <c r="N4925" t="n">
        <v>33</v>
      </c>
      <c r="O4925" t="n">
        <v>0.33</v>
      </c>
      <c r="P4925" t="n">
        <v>1</v>
      </c>
      <c r="Q4925" t="n">
        <v>0.24</v>
      </c>
      <c r="R4925" t="n">
        <v>2</v>
      </c>
      <c r="S4925" t="n">
        <v>23057.1</v>
      </c>
      <c r="T4925" t="n">
        <v>7</v>
      </c>
      <c r="U4925" t="n">
        <v>8</v>
      </c>
      <c r="V4925" t="n">
        <v>30</v>
      </c>
      <c r="W4925" t="n">
        <v>11</v>
      </c>
      <c r="X4925" t="n">
        <v>29.708853238265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11602</v>
      </c>
      <c r="AG4925" t="n">
        <v>2141</v>
      </c>
      <c r="AH4925" t="inlineStr">
        <is>
          <t>PT. PARAMA GLOBAL INSPIRA - PPN (JMB)</t>
        </is>
      </c>
      <c r="AI4925" t="n">
        <v>164</v>
      </c>
      <c r="AJ4925" t="inlineStr">
        <is>
          <t>WARDAH</t>
        </is>
      </c>
      <c r="AK4925" t="n">
        <v>9</v>
      </c>
      <c r="AL4925" t="inlineStr">
        <is>
          <t>Miss Glam Jambi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"8993137740272"</f>
        <v/>
      </c>
      <c r="C4926" t="inlineStr">
        <is>
          <t>WARDAH UV Shield Spf 50 PA++++ Airy Smooth Sunscreen Serum 25ml</t>
        </is>
      </c>
      <c r="D4926" t="inlineStr">
        <is>
          <t>Miss Glam Jambi</t>
        </is>
      </c>
      <c r="E4926" t="n">
        <v>9</v>
      </c>
      <c r="F4926" t="n">
        <v>1.4718</v>
      </c>
      <c r="G4926" t="n">
        <v>4.29</v>
      </c>
      <c r="H4926" t="n">
        <v>2</v>
      </c>
      <c r="I4926" t="n">
        <v>7</v>
      </c>
      <c r="J4926" t="n">
        <v>3</v>
      </c>
      <c r="K4926" t="n">
        <v>34</v>
      </c>
      <c r="L4926" t="n">
        <v>28736</v>
      </c>
      <c r="M4926" t="n">
        <v>35500</v>
      </c>
      <c r="N4926" t="n">
        <v>33</v>
      </c>
      <c r="O4926" t="n">
        <v>0.33</v>
      </c>
      <c r="P4926" t="n">
        <v>1</v>
      </c>
      <c r="Q4926" t="n">
        <v>0.37</v>
      </c>
      <c r="R4926" t="n">
        <v>3</v>
      </c>
      <c r="S4926" t="n">
        <v>52248.9</v>
      </c>
      <c r="T4926" t="n">
        <v>28</v>
      </c>
      <c r="U4926" t="n">
        <v>31</v>
      </c>
      <c r="V4926" t="n">
        <v>30</v>
      </c>
      <c r="W4926" t="n">
        <v>45</v>
      </c>
      <c r="X4926" t="n">
        <v>6.114961271911945</v>
      </c>
      <c r="Y4926" t="n">
        <v>1</v>
      </c>
      <c r="Z4926" t="n">
        <v>2</v>
      </c>
      <c r="AA4926" t="n">
        <v>1</v>
      </c>
      <c r="AB4926" t="n">
        <v>1</v>
      </c>
      <c r="AC4926" t="n">
        <v>3</v>
      </c>
      <c r="AD4926" t="n">
        <v>28736</v>
      </c>
      <c r="AE4926" t="n">
        <v>86208</v>
      </c>
      <c r="AF4926" t="n">
        <v>11602</v>
      </c>
      <c r="AG4926" t="n">
        <v>2141</v>
      </c>
      <c r="AH4926" t="inlineStr">
        <is>
          <t>PT. PARAMA GLOBAL INSPIRA - PPN (JMB)</t>
        </is>
      </c>
      <c r="AI4926" t="n">
        <v>164</v>
      </c>
      <c r="AJ4926" t="inlineStr">
        <is>
          <t>WARDAH</t>
        </is>
      </c>
      <c r="AK4926" t="n">
        <v>9</v>
      </c>
      <c r="AL4926" t="inlineStr">
        <is>
          <t>Miss Glam Jambi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"8993137740289"</f>
        <v/>
      </c>
      <c r="C4927" t="inlineStr">
        <is>
          <t>WARDAH UV Shield Spf 50 PA++++ Airy Smooth Sunscreen Serum 40ml</t>
        </is>
      </c>
      <c r="D4927" t="inlineStr">
        <is>
          <t>Miss Glam Jambi</t>
        </is>
      </c>
      <c r="E4927" t="n">
        <v>15</v>
      </c>
      <c r="F4927" t="n">
        <v>0.8877</v>
      </c>
      <c r="G4927" t="n">
        <v>2.97</v>
      </c>
      <c r="H4927" t="n">
        <v>2</v>
      </c>
      <c r="I4927" t="n">
        <v>7</v>
      </c>
      <c r="J4927" t="n">
        <v>3</v>
      </c>
      <c r="K4927" t="n">
        <v>13</v>
      </c>
      <c r="L4927" t="n">
        <v>45207</v>
      </c>
      <c r="M4927" t="n">
        <v>52000</v>
      </c>
      <c r="N4927" t="n">
        <v>33</v>
      </c>
      <c r="O4927" t="n">
        <v>0.33</v>
      </c>
      <c r="P4927" t="n">
        <v>1</v>
      </c>
      <c r="Q4927" t="n">
        <v>0.41</v>
      </c>
      <c r="R4927" t="n">
        <v>4</v>
      </c>
      <c r="S4927" t="n">
        <v>46160.4</v>
      </c>
      <c r="T4927" t="n">
        <v>20</v>
      </c>
      <c r="U4927" t="n">
        <v>22</v>
      </c>
      <c r="V4927" t="n">
        <v>30</v>
      </c>
      <c r="W4927" t="n">
        <v>27</v>
      </c>
      <c r="X4927" t="n">
        <v>16.89760054072322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11602</v>
      </c>
      <c r="AG4927" t="n">
        <v>2141</v>
      </c>
      <c r="AH4927" t="inlineStr">
        <is>
          <t>PT. PARAMA GLOBAL INSPIRA - PPN (JMB)</t>
        </is>
      </c>
      <c r="AI4927" t="n">
        <v>164</v>
      </c>
      <c r="AJ4927" t="inlineStr">
        <is>
          <t>WARDAH</t>
        </is>
      </c>
      <c r="AK4927" t="n">
        <v>9</v>
      </c>
      <c r="AL4927" t="inlineStr">
        <is>
          <t>Miss Glam Jambi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"8993137708319"</f>
        <v/>
      </c>
      <c r="C4928" t="inlineStr">
        <is>
          <t>WARDAH UV Shield SPF35 Sunscreen Gel 40ml</t>
        </is>
      </c>
      <c r="D4928" t="inlineStr">
        <is>
          <t>Miss Glam Jambi</t>
        </is>
      </c>
      <c r="E4928" t="n">
        <v>20</v>
      </c>
      <c r="F4928" t="n">
        <v>4.224</v>
      </c>
      <c r="G4928" t="n">
        <v>9.57</v>
      </c>
      <c r="H4928" t="n">
        <v>2</v>
      </c>
      <c r="I4928" t="n">
        <v>7</v>
      </c>
      <c r="J4928" t="n">
        <v>3</v>
      </c>
      <c r="K4928" t="n">
        <v>97</v>
      </c>
      <c r="L4928" t="n">
        <v>28738</v>
      </c>
      <c r="M4928" t="n">
        <v>32000</v>
      </c>
      <c r="N4928" t="n">
        <v>33</v>
      </c>
      <c r="O4928" t="n">
        <v>0.33</v>
      </c>
      <c r="P4928" t="n">
        <v>1</v>
      </c>
      <c r="Q4928" t="n">
        <v>2.14</v>
      </c>
      <c r="R4928" t="n">
        <v>28</v>
      </c>
      <c r="S4928" t="n">
        <v>135168</v>
      </c>
      <c r="T4928" t="n">
        <v>59</v>
      </c>
      <c r="U4928" t="n">
        <v>68</v>
      </c>
      <c r="V4928" t="n">
        <v>30</v>
      </c>
      <c r="W4928" t="n">
        <v>127</v>
      </c>
      <c r="X4928" t="n">
        <v>4.734848484848484</v>
      </c>
      <c r="Y4928" t="n">
        <v>1</v>
      </c>
      <c r="Z4928" t="n">
        <v>10</v>
      </c>
      <c r="AA4928" t="n">
        <v>9</v>
      </c>
      <c r="AB4928" t="n">
        <v>1</v>
      </c>
      <c r="AC4928" t="n">
        <v>3</v>
      </c>
      <c r="AD4928" t="n">
        <v>258642</v>
      </c>
      <c r="AE4928" t="n">
        <v>86214</v>
      </c>
      <c r="AF4928" t="n">
        <v>11602</v>
      </c>
      <c r="AG4928" t="n">
        <v>2141</v>
      </c>
      <c r="AH4928" t="inlineStr">
        <is>
          <t>PT. PARAMA GLOBAL INSPIRA - PPN (JMB)</t>
        </is>
      </c>
      <c r="AI4928" t="n">
        <v>164</v>
      </c>
      <c r="AJ4928" t="inlineStr">
        <is>
          <t>WARDAH</t>
        </is>
      </c>
      <c r="AK4928" t="n">
        <v>9</v>
      </c>
      <c r="AL4928" t="inlineStr">
        <is>
          <t>Miss Glam Jambi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"8993137007764"</f>
        <v/>
      </c>
      <c r="C4929" t="inlineStr">
        <is>
          <t>WARDAH UV Shield Tone Up Sunscreen SPF 50+ PA+++ 30ml</t>
        </is>
      </c>
      <c r="D4929" t="inlineStr">
        <is>
          <t>Miss Glam Jambi</t>
        </is>
      </c>
      <c r="E4929" t="n">
        <v>25</v>
      </c>
      <c r="F4929" t="n">
        <v>0.9273</v>
      </c>
      <c r="G4929" t="n">
        <v>2.31</v>
      </c>
      <c r="H4929" t="n">
        <v>2</v>
      </c>
      <c r="I4929" t="n">
        <v>7</v>
      </c>
      <c r="J4929" t="n">
        <v>3</v>
      </c>
      <c r="K4929" t="n">
        <v>0</v>
      </c>
      <c r="L4929" t="n">
        <v>57867</v>
      </c>
      <c r="M4929" t="n">
        <v>68500</v>
      </c>
      <c r="N4929" t="n">
        <v>33</v>
      </c>
      <c r="O4929" t="n">
        <v>0.33</v>
      </c>
      <c r="P4929" t="n">
        <v>1</v>
      </c>
      <c r="Q4929" t="n">
        <v>0.86</v>
      </c>
      <c r="R4929" t="n">
        <v>5</v>
      </c>
      <c r="S4929" t="n">
        <v>63520.05</v>
      </c>
      <c r="T4929" t="n">
        <v>15</v>
      </c>
      <c r="U4929" t="n">
        <v>17</v>
      </c>
      <c r="V4929" t="n">
        <v>30</v>
      </c>
      <c r="W4929" t="n">
        <v>28</v>
      </c>
      <c r="X4929" t="n">
        <v>26.95999137280276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11602</v>
      </c>
      <c r="AG4929" t="n">
        <v>2141</v>
      </c>
      <c r="AH4929" t="inlineStr">
        <is>
          <t>PT. PARAMA GLOBAL INSPIRA - PPN (JMB)</t>
        </is>
      </c>
      <c r="AI4929" t="n">
        <v>164</v>
      </c>
      <c r="AJ4929" t="inlineStr">
        <is>
          <t>WARDAH</t>
        </is>
      </c>
      <c r="AK4929" t="n">
        <v>9</v>
      </c>
      <c r="AL4929" t="inlineStr">
        <is>
          <t>Miss Glam Jambi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"8993137707817"</f>
        <v/>
      </c>
      <c r="C4930" t="inlineStr">
        <is>
          <t>WARDAH Velvet Lip Matte 12 Chic Terracotta 4gr</t>
        </is>
      </c>
      <c r="D4930" t="inlineStr">
        <is>
          <t>Miss Glam Jambi</t>
        </is>
      </c>
      <c r="E4930" t="n">
        <v>14</v>
      </c>
      <c r="F4930" t="n">
        <v>0.066</v>
      </c>
      <c r="G4930" t="n">
        <v>0.66</v>
      </c>
      <c r="H4930" t="n">
        <v>2</v>
      </c>
      <c r="I4930" t="n">
        <v>7</v>
      </c>
      <c r="J4930" t="n">
        <v>3</v>
      </c>
      <c r="K4930" t="n">
        <v>0</v>
      </c>
      <c r="L4930" t="n">
        <v>58163</v>
      </c>
      <c r="M4930" t="n">
        <v>69000</v>
      </c>
      <c r="N4930" t="n">
        <v>33</v>
      </c>
      <c r="O4930" t="n">
        <v>0.33</v>
      </c>
      <c r="P4930" t="n">
        <v>1</v>
      </c>
      <c r="Q4930" t="n">
        <v>0.25</v>
      </c>
      <c r="R4930" t="n">
        <v>3</v>
      </c>
      <c r="S4930" t="n">
        <v>4554</v>
      </c>
      <c r="T4930" t="n">
        <v>5</v>
      </c>
      <c r="U4930" t="n">
        <v>6</v>
      </c>
      <c r="V4930" t="n">
        <v>30</v>
      </c>
      <c r="W4930" t="n">
        <v>2</v>
      </c>
      <c r="X4930" t="n">
        <v>212.1212121212121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11602</v>
      </c>
      <c r="AG4930" t="n">
        <v>2141</v>
      </c>
      <c r="AH4930" t="inlineStr">
        <is>
          <t>PT. PARAMA GLOBAL INSPIRA - PPN (JMB)</t>
        </is>
      </c>
      <c r="AI4930" t="n">
        <v>164</v>
      </c>
      <c r="AJ4930" t="inlineStr">
        <is>
          <t>WARDAH</t>
        </is>
      </c>
      <c r="AK4930" t="n">
        <v>9</v>
      </c>
      <c r="AL4930" t="inlineStr">
        <is>
          <t>Miss Glam Jambi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"8993137707824"</f>
        <v/>
      </c>
      <c r="C4931" t="inlineStr">
        <is>
          <t>WARDAH Velvet Lip Matte 13 Sweet Cinnamon 4g</t>
        </is>
      </c>
      <c r="D4931" t="inlineStr">
        <is>
          <t>Miss Glam Jambi</t>
        </is>
      </c>
      <c r="E4931" t="n">
        <v>8</v>
      </c>
      <c r="F4931" t="n">
        <v>0.0561</v>
      </c>
      <c r="G4931" t="n">
        <v>0.33</v>
      </c>
      <c r="H4931" t="n">
        <v>2</v>
      </c>
      <c r="I4931" t="n">
        <v>7</v>
      </c>
      <c r="J4931" t="n">
        <v>3</v>
      </c>
      <c r="K4931" t="n">
        <v>0</v>
      </c>
      <c r="L4931" t="n">
        <v>58253</v>
      </c>
      <c r="M4931" t="n">
        <v>69000</v>
      </c>
      <c r="N4931" t="n">
        <v>33</v>
      </c>
      <c r="O4931" t="n">
        <v>0.33</v>
      </c>
      <c r="P4931" t="n">
        <v>1</v>
      </c>
      <c r="Q4931" t="n">
        <v>0.24</v>
      </c>
      <c r="R4931" t="n">
        <v>2</v>
      </c>
      <c r="S4931" t="n">
        <v>3870.9</v>
      </c>
      <c r="T4931" t="n">
        <v>3</v>
      </c>
      <c r="U4931" t="n">
        <v>4</v>
      </c>
      <c r="V4931" t="n">
        <v>30</v>
      </c>
      <c r="W4931" t="n">
        <v>2</v>
      </c>
      <c r="X4931" t="n">
        <v>142.602495543672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11602</v>
      </c>
      <c r="AG4931" t="n">
        <v>2141</v>
      </c>
      <c r="AH4931" t="inlineStr">
        <is>
          <t>PT. PARAMA GLOBAL INSPIRA - PPN (JMB)</t>
        </is>
      </c>
      <c r="AI4931" t="n">
        <v>164</v>
      </c>
      <c r="AJ4931" t="inlineStr">
        <is>
          <t>WARDAH</t>
        </is>
      </c>
      <c r="AK4931" t="n">
        <v>9</v>
      </c>
      <c r="AL4931" t="inlineStr">
        <is>
          <t>Miss Glam Jambi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"8993137003759"</f>
        <v/>
      </c>
      <c r="C4932" t="inlineStr">
        <is>
          <t>WARDAH Vitamin C+Adenosine Radian Charge Gel Moisturizer 30gr</t>
        </is>
      </c>
      <c r="D4932" t="inlineStr">
        <is>
          <t>Miss Glam Jambi</t>
        </is>
      </c>
      <c r="E4932" t="n">
        <v>8</v>
      </c>
      <c r="F4932" t="n">
        <v>0.1188</v>
      </c>
      <c r="G4932" t="n">
        <v>0.99</v>
      </c>
      <c r="H4932" t="n">
        <v>2</v>
      </c>
      <c r="I4932" t="n">
        <v>7</v>
      </c>
      <c r="J4932" t="n">
        <v>3</v>
      </c>
      <c r="K4932" t="n">
        <v>0</v>
      </c>
      <c r="L4932" t="n">
        <v>82812</v>
      </c>
      <c r="M4932" t="n">
        <v>97500</v>
      </c>
      <c r="N4932" t="n">
        <v>33</v>
      </c>
      <c r="O4932" t="n">
        <v>0.33</v>
      </c>
      <c r="P4932" t="n">
        <v>1</v>
      </c>
      <c r="Q4932" t="n">
        <v>0.15</v>
      </c>
      <c r="R4932" t="n">
        <v>2</v>
      </c>
      <c r="S4932" t="n">
        <v>11583</v>
      </c>
      <c r="T4932" t="n">
        <v>7</v>
      </c>
      <c r="U4932" t="n">
        <v>8</v>
      </c>
      <c r="V4932" t="n">
        <v>30</v>
      </c>
      <c r="W4932" t="n">
        <v>4</v>
      </c>
      <c r="X4932" t="n">
        <v>67.34006734006734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11602</v>
      </c>
      <c r="AG4932" t="n">
        <v>2141</v>
      </c>
      <c r="AH4932" t="inlineStr">
        <is>
          <t>PT. PARAMA GLOBAL INSPIRA - PPN (JMB)</t>
        </is>
      </c>
      <c r="AI4932" t="n">
        <v>164</v>
      </c>
      <c r="AJ4932" t="inlineStr">
        <is>
          <t>WARDAH</t>
        </is>
      </c>
      <c r="AK4932" t="n">
        <v>9</v>
      </c>
      <c r="AL4932" t="inlineStr">
        <is>
          <t>Miss Glam Jambi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"8993137692304"</f>
        <v/>
      </c>
      <c r="C4933" t="inlineStr">
        <is>
          <t>WARDAH White Secreet Night Cream 30gr</t>
        </is>
      </c>
      <c r="D4933" t="inlineStr">
        <is>
          <t>Miss Glam Jambi</t>
        </is>
      </c>
      <c r="E4933" t="n">
        <v>19</v>
      </c>
      <c r="F4933" t="n">
        <v>0.2508</v>
      </c>
      <c r="G4933" t="n">
        <v>0.99</v>
      </c>
      <c r="H4933" t="n">
        <v>2</v>
      </c>
      <c r="I4933" t="n">
        <v>7</v>
      </c>
      <c r="J4933" t="n">
        <v>3</v>
      </c>
      <c r="K4933" t="n">
        <v>0</v>
      </c>
      <c r="L4933" t="n">
        <v>83619</v>
      </c>
      <c r="M4933" t="n">
        <v>96500</v>
      </c>
      <c r="N4933" t="n">
        <v>33</v>
      </c>
      <c r="O4933" t="n">
        <v>0.33</v>
      </c>
      <c r="P4933" t="n">
        <v>1</v>
      </c>
      <c r="Q4933" t="n">
        <v>0.24</v>
      </c>
      <c r="R4933" t="n">
        <v>2</v>
      </c>
      <c r="S4933" t="n">
        <v>24202.2</v>
      </c>
      <c r="T4933" t="n">
        <v>7</v>
      </c>
      <c r="U4933" t="n">
        <v>8</v>
      </c>
      <c r="V4933" t="n">
        <v>30</v>
      </c>
      <c r="W4933" t="n">
        <v>8</v>
      </c>
      <c r="X4933" t="n">
        <v>75.75757575757575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11602</v>
      </c>
      <c r="AG4933" t="n">
        <v>2141</v>
      </c>
      <c r="AH4933" t="inlineStr">
        <is>
          <t>PT. PARAMA GLOBAL INSPIRA - PPN (JMB)</t>
        </is>
      </c>
      <c r="AI4933" t="n">
        <v>164</v>
      </c>
      <c r="AJ4933" t="inlineStr">
        <is>
          <t>WARDAH</t>
        </is>
      </c>
      <c r="AK4933" t="n">
        <v>9</v>
      </c>
      <c r="AL4933" t="inlineStr">
        <is>
          <t>Miss Glam Jambi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"8993137692298"</f>
        <v/>
      </c>
      <c r="C4934" t="inlineStr">
        <is>
          <t>WARDAH White Secret Day Cream 30gr</t>
        </is>
      </c>
      <c r="D4934" t="inlineStr">
        <is>
          <t>Miss Glam Jambi</t>
        </is>
      </c>
      <c r="E4934" t="n">
        <v>32</v>
      </c>
      <c r="F4934" t="n">
        <v>0.3564000000000001</v>
      </c>
      <c r="G4934" t="n">
        <v>0.99</v>
      </c>
      <c r="H4934" t="n">
        <v>2</v>
      </c>
      <c r="I4934" t="n">
        <v>7</v>
      </c>
      <c r="J4934" t="n">
        <v>3</v>
      </c>
      <c r="K4934" t="n">
        <v>0</v>
      </c>
      <c r="L4934" t="n">
        <v>83535</v>
      </c>
      <c r="M4934" t="n">
        <v>94000</v>
      </c>
      <c r="N4934" t="n">
        <v>33</v>
      </c>
      <c r="O4934" t="n">
        <v>0.33</v>
      </c>
      <c r="P4934" t="n">
        <v>1</v>
      </c>
      <c r="Q4934" t="n">
        <v>0.47</v>
      </c>
      <c r="R4934" t="n">
        <v>3</v>
      </c>
      <c r="S4934" t="n">
        <v>33501.60000000001</v>
      </c>
      <c r="T4934" t="n">
        <v>7</v>
      </c>
      <c r="U4934" t="n">
        <v>8</v>
      </c>
      <c r="V4934" t="n">
        <v>30</v>
      </c>
      <c r="W4934" t="n">
        <v>11</v>
      </c>
      <c r="X4934" t="n">
        <v>89.78675645342311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11602</v>
      </c>
      <c r="AG4934" t="n">
        <v>2141</v>
      </c>
      <c r="AH4934" t="inlineStr">
        <is>
          <t>PT. PARAMA GLOBAL INSPIRA - PPN (JMB)</t>
        </is>
      </c>
      <c r="AI4934" t="n">
        <v>164</v>
      </c>
      <c r="AJ4934" t="inlineStr">
        <is>
          <t>WARDAH</t>
        </is>
      </c>
      <c r="AK4934" t="n">
        <v>9</v>
      </c>
      <c r="AL4934" t="inlineStr">
        <is>
          <t>Miss Glam Jambi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"20200220748"</f>
        <v/>
      </c>
      <c r="C4935" t="inlineStr">
        <is>
          <t>WARDAH Zero Trace Mascara Remover 5.5gr</t>
        </is>
      </c>
      <c r="D4935" t="inlineStr">
        <is>
          <t>Miss Glam Jambi</t>
        </is>
      </c>
      <c r="E4935" t="n">
        <v>7</v>
      </c>
      <c r="F4935" t="n">
        <v>0.009900000000000001</v>
      </c>
      <c r="G4935" t="n">
        <v>0.33</v>
      </c>
      <c r="H4935" t="n">
        <v>2</v>
      </c>
      <c r="I4935" t="n">
        <v>7</v>
      </c>
      <c r="J4935" t="n">
        <v>1</v>
      </c>
      <c r="K4935" t="n">
        <v>0</v>
      </c>
      <c r="L4935" t="n">
        <v>52491</v>
      </c>
      <c r="M4935" t="n">
        <v>62000</v>
      </c>
      <c r="N4935" t="n">
        <v>33</v>
      </c>
      <c r="O4935" t="n">
        <v>0.33</v>
      </c>
      <c r="P4935" t="n">
        <v>1</v>
      </c>
      <c r="Q4935" t="n">
        <v>0.02</v>
      </c>
      <c r="R4935" t="n">
        <v>1</v>
      </c>
      <c r="S4935" t="n">
        <v>613.8000000000001</v>
      </c>
      <c r="T4935" t="n">
        <v>3</v>
      </c>
      <c r="U4935" t="n">
        <v>4</v>
      </c>
      <c r="V4935" t="n">
        <v>30</v>
      </c>
      <c r="W4935" t="n">
        <v>1</v>
      </c>
      <c r="X4935" t="n">
        <v>707.070707070707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11602</v>
      </c>
      <c r="AG4935" t="n">
        <v>2141</v>
      </c>
      <c r="AH4935" t="inlineStr">
        <is>
          <t>PT. PARAMA GLOBAL INSPIRA - PPN (JMB)</t>
        </is>
      </c>
      <c r="AI4935" t="n">
        <v>164</v>
      </c>
      <c r="AJ4935" t="inlineStr">
        <is>
          <t>WARDAH</t>
        </is>
      </c>
      <c r="AK4935" t="n">
        <v>9</v>
      </c>
      <c r="AL4935" t="inlineStr">
        <is>
          <t>Miss Glam Jambi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WAX ME UP</t>
        </is>
      </c>
      <c r="B4936" s="2">
        <f>"30300401902"</f>
        <v/>
      </c>
      <c r="C4936" t="inlineStr">
        <is>
          <t>WAX ME UP Sugar Waxing 300gr</t>
        </is>
      </c>
      <c r="D4936" t="inlineStr">
        <is>
          <t>Miss Glam Jambi</t>
        </is>
      </c>
      <c r="E4936" t="n">
        <v>14</v>
      </c>
      <c r="F4936" t="n">
        <v>0.06270000000000001</v>
      </c>
      <c r="G4936" t="n">
        <v>0.99</v>
      </c>
      <c r="H4936" t="n">
        <v>4</v>
      </c>
      <c r="I4936" t="n">
        <v>20</v>
      </c>
      <c r="J4936" t="n">
        <v>3</v>
      </c>
      <c r="K4936" t="n">
        <v>0</v>
      </c>
      <c r="L4936" t="n">
        <v>36064</v>
      </c>
      <c r="M4936" t="n">
        <v>55000</v>
      </c>
      <c r="N4936" t="n">
        <v>33</v>
      </c>
      <c r="O4936" t="n">
        <v>0.33</v>
      </c>
      <c r="P4936" t="n">
        <v>1</v>
      </c>
      <c r="Q4936" t="n">
        <v>0.08</v>
      </c>
      <c r="R4936" t="n">
        <v>1</v>
      </c>
      <c r="S4936" t="n">
        <v>3448.5</v>
      </c>
      <c r="T4936" t="n">
        <v>20</v>
      </c>
      <c r="U4936" t="n">
        <v>21</v>
      </c>
      <c r="V4936" t="n">
        <v>30</v>
      </c>
      <c r="W4936" t="n">
        <v>2</v>
      </c>
      <c r="X4936" t="n">
        <v>223.2854864433812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9239</v>
      </c>
      <c r="AG4936" t="n">
        <v>1</v>
      </c>
      <c r="AH4936" t="inlineStr">
        <is>
          <t>PT. BERSAMA DISTRIVERSA INDONESIA (DC CIPUTAT)</t>
        </is>
      </c>
      <c r="AI4936" t="n">
        <v>1048</v>
      </c>
      <c r="AJ4936" t="inlineStr">
        <is>
          <t>WAX ME UP</t>
        </is>
      </c>
      <c r="AK4936" t="n">
        <v>9</v>
      </c>
      <c r="AL4936" t="inlineStr">
        <is>
          <t>Miss Glam Jambi</t>
        </is>
      </c>
      <c r="AM4936" t="n">
        <v>4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WHITE INC</t>
        </is>
      </c>
      <c r="B4937" s="2">
        <f>"8997236031736"</f>
        <v/>
      </c>
      <c r="C4937" t="inlineStr">
        <is>
          <t>WHITE INC AHA Whitening Body Lotion 100ml</t>
        </is>
      </c>
      <c r="D4937" t="inlineStr">
        <is>
          <t>Miss Glam Jambi</t>
        </is>
      </c>
      <c r="E4937" t="n">
        <v>1</v>
      </c>
      <c r="F4937" t="n">
        <v>0.0396</v>
      </c>
      <c r="G4937" t="n">
        <v>0.33</v>
      </c>
      <c r="H4937" t="n">
        <v>4</v>
      </c>
      <c r="I4937" t="n">
        <v>20</v>
      </c>
      <c r="J4937" t="n">
        <v>3</v>
      </c>
      <c r="K4937" t="n">
        <v>6</v>
      </c>
      <c r="L4937" t="n">
        <v>39469</v>
      </c>
      <c r="M4937" t="n">
        <v>68500</v>
      </c>
      <c r="N4937" t="n">
        <v>33</v>
      </c>
      <c r="O4937" t="n">
        <v>0.33</v>
      </c>
      <c r="P4937" t="n">
        <v>1</v>
      </c>
      <c r="Q4937" t="n">
        <v>0.08</v>
      </c>
      <c r="R4937" t="n">
        <v>1</v>
      </c>
      <c r="S4937" t="n">
        <v>2712.6</v>
      </c>
      <c r="T4937" t="n">
        <v>7</v>
      </c>
      <c r="U4937" t="n">
        <v>8</v>
      </c>
      <c r="V4937" t="n">
        <v>30</v>
      </c>
      <c r="W4937" t="n">
        <v>2</v>
      </c>
      <c r="X4937" t="n">
        <v>25.25252525252525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9272</v>
      </c>
      <c r="AG4937" t="n">
        <v>1</v>
      </c>
      <c r="AH4937" t="inlineStr">
        <is>
          <t>PT. BERSAMA DISTRIVERSA INDONESIA (DC CIPUTAT)</t>
        </is>
      </c>
      <c r="AI4937" t="n">
        <v>2109</v>
      </c>
      <c r="AJ4937" t="inlineStr">
        <is>
          <t>WHITE INC</t>
        </is>
      </c>
      <c r="AK4937" t="n">
        <v>9</v>
      </c>
      <c r="AL4937" t="inlineStr">
        <is>
          <t>Miss Glam Jambi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WHITE INC</t>
        </is>
      </c>
      <c r="B4938" s="2">
        <f>"30200194726"</f>
        <v/>
      </c>
      <c r="C4938" t="inlineStr">
        <is>
          <t>WHITE INC Alpha Glowhite Body Lotion 400ml</t>
        </is>
      </c>
      <c r="D4938" t="inlineStr">
        <is>
          <t>Miss Glam Jambi</t>
        </is>
      </c>
      <c r="E4938" t="n">
        <v>0</v>
      </c>
      <c r="F4938" t="n">
        <v>0.3927</v>
      </c>
      <c r="G4938" t="n">
        <v>2.64</v>
      </c>
      <c r="H4938" t="n">
        <v>4</v>
      </c>
      <c r="I4938" t="n">
        <v>20</v>
      </c>
      <c r="J4938" t="n">
        <v>1</v>
      </c>
      <c r="K4938" t="n">
        <v>6</v>
      </c>
      <c r="L4938" t="n">
        <v>46350</v>
      </c>
      <c r="M4938" t="n">
        <v>60000</v>
      </c>
      <c r="N4938" t="n">
        <v>33</v>
      </c>
      <c r="O4938" t="n">
        <v>0.33</v>
      </c>
      <c r="P4938" t="n">
        <v>1</v>
      </c>
      <c r="Q4938" t="n">
        <v>0.42</v>
      </c>
      <c r="R4938" t="n">
        <v>4</v>
      </c>
      <c r="S4938" t="n">
        <v>23562</v>
      </c>
      <c r="T4938" t="n">
        <v>52</v>
      </c>
      <c r="U4938" t="n">
        <v>54</v>
      </c>
      <c r="V4938" t="n">
        <v>30</v>
      </c>
      <c r="W4938" t="n">
        <v>12</v>
      </c>
      <c r="X4938" t="n">
        <v>0</v>
      </c>
      <c r="Y4938" t="n">
        <v>1</v>
      </c>
      <c r="Z4938" t="n">
        <v>6</v>
      </c>
      <c r="AA4938" t="n">
        <v>7</v>
      </c>
      <c r="AB4938" t="n">
        <v>0</v>
      </c>
      <c r="AC4938" t="n">
        <v>0</v>
      </c>
      <c r="AD4938" t="n">
        <v>324450</v>
      </c>
      <c r="AE4938" t="n">
        <v>0</v>
      </c>
      <c r="AF4938" t="n">
        <v>9272</v>
      </c>
      <c r="AG4938" t="n">
        <v>1</v>
      </c>
      <c r="AH4938" t="inlineStr">
        <is>
          <t>PT. BERSAMA DISTRIVERSA INDONESIA (DC CIPUTAT)</t>
        </is>
      </c>
      <c r="AI4938" t="n">
        <v>2109</v>
      </c>
      <c r="AJ4938" t="inlineStr">
        <is>
          <t>WHITE INC</t>
        </is>
      </c>
      <c r="AK4938" t="n">
        <v>9</v>
      </c>
      <c r="AL4938" t="inlineStr">
        <is>
          <t>Miss Glam Jambi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WHITE INC</t>
        </is>
      </c>
      <c r="B4939" s="2">
        <f>"10500585640"</f>
        <v/>
      </c>
      <c r="C4939" t="inlineStr">
        <is>
          <t>WHITE INC Alpha Glowhite Body Mask 200gr</t>
        </is>
      </c>
      <c r="D4939" t="inlineStr">
        <is>
          <t>Miss Glam Jambi</t>
        </is>
      </c>
      <c r="E4939" t="n">
        <v>0</v>
      </c>
      <c r="F4939" t="n">
        <v>0.006600000000000001</v>
      </c>
      <c r="G4939" t="n">
        <v>0.33</v>
      </c>
      <c r="H4939" t="n">
        <v>4</v>
      </c>
      <c r="I4939" t="n">
        <v>20</v>
      </c>
      <c r="J4939" t="n">
        <v>1</v>
      </c>
      <c r="K4939" t="n">
        <v>3</v>
      </c>
      <c r="L4939" t="n">
        <v>57361</v>
      </c>
      <c r="M4939" t="n">
        <v>70000</v>
      </c>
      <c r="N4939" t="n">
        <v>33</v>
      </c>
      <c r="O4939" t="n">
        <v>0.33</v>
      </c>
      <c r="P4939" t="n">
        <v>1</v>
      </c>
      <c r="Q4939" t="n">
        <v>0.09</v>
      </c>
      <c r="R4939" t="n">
        <v>1</v>
      </c>
      <c r="S4939" t="n">
        <v>462.0000000000001</v>
      </c>
      <c r="T4939" t="n">
        <v>7</v>
      </c>
      <c r="U4939" t="n">
        <v>8</v>
      </c>
      <c r="V4939" t="n">
        <v>30</v>
      </c>
      <c r="W4939" t="n">
        <v>1</v>
      </c>
      <c r="X4939" t="n">
        <v>0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9272</v>
      </c>
      <c r="AG4939" t="n">
        <v>1</v>
      </c>
      <c r="AH4939" t="inlineStr">
        <is>
          <t>PT. BERSAMA DISTRIVERSA INDONESIA (DC CIPUTAT)</t>
        </is>
      </c>
      <c r="AI4939" t="n">
        <v>2109</v>
      </c>
      <c r="AJ4939" t="inlineStr">
        <is>
          <t>WHITE INC</t>
        </is>
      </c>
      <c r="AK4939" t="n">
        <v>9</v>
      </c>
      <c r="AL4939" t="inlineStr">
        <is>
          <t>Miss Glam Jambi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WHITE INC</t>
        </is>
      </c>
      <c r="B4940" s="2">
        <f>"8997236031750"</f>
        <v/>
      </c>
      <c r="C4940" t="inlineStr">
        <is>
          <t>WHITEINC AHA Whitening Body Serum 100ml</t>
        </is>
      </c>
      <c r="D4940" t="inlineStr">
        <is>
          <t>Miss Glam Jambi</t>
        </is>
      </c>
      <c r="E4940" t="n">
        <v>10</v>
      </c>
      <c r="F4940" t="n">
        <v>0.1683</v>
      </c>
      <c r="G4940" t="n">
        <v>0.99</v>
      </c>
      <c r="H4940" t="n">
        <v>4</v>
      </c>
      <c r="I4940" t="n">
        <v>20</v>
      </c>
      <c r="J4940" t="n">
        <v>3</v>
      </c>
      <c r="K4940" t="n">
        <v>6</v>
      </c>
      <c r="L4940" t="n">
        <v>46194</v>
      </c>
      <c r="M4940" t="n">
        <v>68500</v>
      </c>
      <c r="N4940" t="n">
        <v>33</v>
      </c>
      <c r="O4940" t="n">
        <v>0.33</v>
      </c>
      <c r="P4940" t="n">
        <v>1</v>
      </c>
      <c r="Q4940" t="n">
        <v>0.27</v>
      </c>
      <c r="R4940" t="n">
        <v>2</v>
      </c>
      <c r="S4940" t="n">
        <v>11528.55</v>
      </c>
      <c r="T4940" t="n">
        <v>20</v>
      </c>
      <c r="U4940" t="n">
        <v>21</v>
      </c>
      <c r="V4940" t="n">
        <v>30</v>
      </c>
      <c r="W4940" t="n">
        <v>6</v>
      </c>
      <c r="X4940" t="n">
        <v>59.41770647653001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9272</v>
      </c>
      <c r="AG4940" t="n">
        <v>1</v>
      </c>
      <c r="AH4940" t="inlineStr">
        <is>
          <t>PT. BERSAMA DISTRIVERSA INDONESIA (DC CIPUTAT)</t>
        </is>
      </c>
      <c r="AI4940" t="n">
        <v>2109</v>
      </c>
      <c r="AJ4940" t="inlineStr">
        <is>
          <t>WHITE INC</t>
        </is>
      </c>
      <c r="AK4940" t="n">
        <v>9</v>
      </c>
      <c r="AL4940" t="inlineStr">
        <is>
          <t>Miss Glam Jambi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WHITELAB</t>
        </is>
      </c>
      <c r="B4941" s="2">
        <f>"8997220243800"</f>
        <v/>
      </c>
      <c r="C4941" t="inlineStr">
        <is>
          <t>WHITELAB Acne Calming Serum 20ml New</t>
        </is>
      </c>
      <c r="D4941" t="inlineStr">
        <is>
          <t>Miss Glam Jambi</t>
        </is>
      </c>
      <c r="E4941" t="n">
        <v>4</v>
      </c>
      <c r="F4941" t="n">
        <v>0.009900000000000001</v>
      </c>
      <c r="G4941" t="n">
        <v>0.33</v>
      </c>
      <c r="H4941" t="n">
        <v>8</v>
      </c>
      <c r="I4941" t="n">
        <v>10</v>
      </c>
      <c r="J4941" t="n">
        <v>3</v>
      </c>
      <c r="K4941" t="n">
        <v>0</v>
      </c>
      <c r="L4941" t="n">
        <v>55751</v>
      </c>
      <c r="M4941" t="n">
        <v>68000</v>
      </c>
      <c r="N4941" t="n">
        <v>33</v>
      </c>
      <c r="O4941" t="n">
        <v>0.33</v>
      </c>
      <c r="P4941" t="n">
        <v>1</v>
      </c>
      <c r="Q4941" t="n">
        <v>0.03</v>
      </c>
      <c r="R4941" t="n">
        <v>1</v>
      </c>
      <c r="S4941" t="n">
        <v>673.2</v>
      </c>
      <c r="T4941" t="n">
        <v>4</v>
      </c>
      <c r="U4941" t="n">
        <v>5</v>
      </c>
      <c r="V4941" t="n">
        <v>30</v>
      </c>
      <c r="W4941" t="n">
        <v>1</v>
      </c>
      <c r="X4941" t="n">
        <v>404.040404040404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2602</v>
      </c>
      <c r="AG4941" t="n">
        <v>101</v>
      </c>
      <c r="AH4941" t="inlineStr">
        <is>
          <t>PT. ARTHA PRADJA MANDIRI - PPN (PDG)</t>
        </is>
      </c>
      <c r="AI4941" t="n">
        <v>166</v>
      </c>
      <c r="AJ4941" t="inlineStr">
        <is>
          <t>WHITELAB</t>
        </is>
      </c>
      <c r="AK4941" t="n">
        <v>9</v>
      </c>
      <c r="AL4941" t="inlineStr">
        <is>
          <t>Miss Glam Jambi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WHITELAB</t>
        </is>
      </c>
      <c r="B4942" s="2">
        <f>"8997220243770"</f>
        <v/>
      </c>
      <c r="C4942" t="inlineStr">
        <is>
          <t>WHITELAB Acne Care Facial Wash BHA+Mugwort 100gr New</t>
        </is>
      </c>
      <c r="D4942" t="inlineStr">
        <is>
          <t>Miss Glam Jambi</t>
        </is>
      </c>
      <c r="E4942" t="n">
        <v>0</v>
      </c>
      <c r="F4942" t="n">
        <v>0.1122</v>
      </c>
      <c r="G4942" t="n">
        <v>0.66</v>
      </c>
      <c r="H4942" t="n">
        <v>8</v>
      </c>
      <c r="I4942" t="n">
        <v>10</v>
      </c>
      <c r="J4942" t="n">
        <v>3</v>
      </c>
      <c r="K4942" t="n">
        <v>0</v>
      </c>
      <c r="L4942" t="n">
        <v>34020</v>
      </c>
      <c r="M4942" t="n">
        <v>42000</v>
      </c>
      <c r="N4942" t="n">
        <v>33</v>
      </c>
      <c r="O4942" t="n">
        <v>0.33</v>
      </c>
      <c r="P4942" t="n">
        <v>1</v>
      </c>
      <c r="Q4942" t="n">
        <v>0.34</v>
      </c>
      <c r="R4942" t="n">
        <v>2</v>
      </c>
      <c r="S4942" t="n">
        <v>4712.400000000001</v>
      </c>
      <c r="T4942" t="n">
        <v>6</v>
      </c>
      <c r="U4942" t="n">
        <v>7</v>
      </c>
      <c r="V4942" t="n">
        <v>30</v>
      </c>
      <c r="W4942" t="n">
        <v>4</v>
      </c>
      <c r="X4942" t="n">
        <v>0</v>
      </c>
      <c r="Y4942" t="n">
        <v>1</v>
      </c>
      <c r="Z4942" t="n">
        <v>4</v>
      </c>
      <c r="AA4942" t="n">
        <v>2</v>
      </c>
      <c r="AB4942" t="n">
        <v>2</v>
      </c>
      <c r="AC4942" t="n">
        <v>3</v>
      </c>
      <c r="AD4942" t="n">
        <v>68040</v>
      </c>
      <c r="AE4942" t="n">
        <v>102060</v>
      </c>
      <c r="AF4942" t="n">
        <v>2602</v>
      </c>
      <c r="AG4942" t="n">
        <v>101</v>
      </c>
      <c r="AH4942" t="inlineStr">
        <is>
          <t>PT. ARTHA PRADJA MANDIRI - PPN (PDG)</t>
        </is>
      </c>
      <c r="AI4942" t="n">
        <v>166</v>
      </c>
      <c r="AJ4942" t="inlineStr">
        <is>
          <t>WHITELAB</t>
        </is>
      </c>
      <c r="AK4942" t="n">
        <v>9</v>
      </c>
      <c r="AL4942" t="inlineStr">
        <is>
          <t>Miss Glam Jambi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WHITELAB</t>
        </is>
      </c>
      <c r="B4943" s="2">
        <f>"8997220243794"</f>
        <v/>
      </c>
      <c r="C4943" t="inlineStr">
        <is>
          <t>WHITELAB Acne Toner Tea Tree 100ml</t>
        </is>
      </c>
      <c r="D4943" t="inlineStr">
        <is>
          <t>Miss Glam Jambi</t>
        </is>
      </c>
      <c r="E4943" t="n">
        <v>6</v>
      </c>
      <c r="F4943" t="n">
        <v>0.0264</v>
      </c>
      <c r="G4943" t="n">
        <v>0.33</v>
      </c>
      <c r="H4943" t="n">
        <v>8</v>
      </c>
      <c r="I4943" t="n">
        <v>10</v>
      </c>
      <c r="J4943" t="n">
        <v>3</v>
      </c>
      <c r="K4943" t="n">
        <v>0</v>
      </c>
      <c r="L4943" t="n">
        <v>44081</v>
      </c>
      <c r="M4943" t="n">
        <v>53000</v>
      </c>
      <c r="N4943" t="n">
        <v>33</v>
      </c>
      <c r="O4943" t="n">
        <v>0.33</v>
      </c>
      <c r="P4943" t="n">
        <v>1</v>
      </c>
      <c r="Q4943" t="n">
        <v>0.02</v>
      </c>
      <c r="R4943" t="n">
        <v>1</v>
      </c>
      <c r="S4943" t="n">
        <v>1399.2</v>
      </c>
      <c r="T4943" t="n">
        <v>4</v>
      </c>
      <c r="U4943" t="n">
        <v>5</v>
      </c>
      <c r="V4943" t="n">
        <v>30</v>
      </c>
      <c r="W4943" t="n">
        <v>1</v>
      </c>
      <c r="X4943" t="n">
        <v>227.2727272727273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2602</v>
      </c>
      <c r="AG4943" t="n">
        <v>101</v>
      </c>
      <c r="AH4943" t="inlineStr">
        <is>
          <t>PT. ARTHA PRADJA MANDIRI - PPN (PDG)</t>
        </is>
      </c>
      <c r="AI4943" t="n">
        <v>166</v>
      </c>
      <c r="AJ4943" t="inlineStr">
        <is>
          <t>WHITELAB</t>
        </is>
      </c>
      <c r="AK4943" t="n">
        <v>9</v>
      </c>
      <c r="AL4943" t="inlineStr">
        <is>
          <t>Miss Glam Jambi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WHITELAB</t>
        </is>
      </c>
      <c r="B4944" s="2">
        <f>"8997220243671"</f>
        <v/>
      </c>
      <c r="C4944" t="inlineStr">
        <is>
          <t>WHITELAB Brightening Body Serum 200gr</t>
        </is>
      </c>
      <c r="D4944" t="inlineStr">
        <is>
          <t>Miss Glam Jambi</t>
        </is>
      </c>
      <c r="E4944" t="n">
        <v>1</v>
      </c>
      <c r="F4944" t="n">
        <v>0.009900000000000001</v>
      </c>
      <c r="G4944" t="n">
        <v>0.33</v>
      </c>
      <c r="H4944" t="n">
        <v>8</v>
      </c>
      <c r="I4944" t="n">
        <v>10</v>
      </c>
      <c r="J4944" t="n">
        <v>3</v>
      </c>
      <c r="K4944" t="n">
        <v>0</v>
      </c>
      <c r="L4944" t="n">
        <v>51681</v>
      </c>
      <c r="M4944" t="n">
        <v>59000</v>
      </c>
      <c r="N4944" t="n">
        <v>33</v>
      </c>
      <c r="O4944" t="n">
        <v>0.33</v>
      </c>
      <c r="P4944" t="n">
        <v>1</v>
      </c>
      <c r="Q4944" t="n">
        <v>0.02</v>
      </c>
      <c r="R4944" t="n">
        <v>1</v>
      </c>
      <c r="S4944" t="n">
        <v>584.1</v>
      </c>
      <c r="T4944" t="n">
        <v>4</v>
      </c>
      <c r="U4944" t="n">
        <v>5</v>
      </c>
      <c r="V4944" t="n">
        <v>30</v>
      </c>
      <c r="W4944" t="n">
        <v>1</v>
      </c>
      <c r="X4944" t="n">
        <v>101.010101010101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2602</v>
      </c>
      <c r="AG4944" t="n">
        <v>101</v>
      </c>
      <c r="AH4944" t="inlineStr">
        <is>
          <t>PT. ARTHA PRADJA MANDIRI - PPN (PDG)</t>
        </is>
      </c>
      <c r="AI4944" t="n">
        <v>166</v>
      </c>
      <c r="AJ4944" t="inlineStr">
        <is>
          <t>WHITELAB</t>
        </is>
      </c>
      <c r="AK4944" t="n">
        <v>9</v>
      </c>
      <c r="AL4944" t="inlineStr">
        <is>
          <t>Miss Glam Jambi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WHITELAB</t>
        </is>
      </c>
      <c r="B4945" s="2">
        <f>"8997220243626"</f>
        <v/>
      </c>
      <c r="C4945" t="inlineStr">
        <is>
          <t>WHITELAB N5 Dose+ Brightening Serum Oil Control 20ml</t>
        </is>
      </c>
      <c r="D4945" t="inlineStr">
        <is>
          <t>Miss Glam Jambi</t>
        </is>
      </c>
      <c r="E4945" t="n">
        <v>9</v>
      </c>
      <c r="F4945" t="n">
        <v>0.009900000000000001</v>
      </c>
      <c r="G4945" t="n">
        <v>0.33</v>
      </c>
      <c r="H4945" t="n">
        <v>8</v>
      </c>
      <c r="I4945" t="n">
        <v>10</v>
      </c>
      <c r="J4945" t="n">
        <v>3</v>
      </c>
      <c r="K4945" t="n">
        <v>0</v>
      </c>
      <c r="L4945" t="n">
        <v>52650</v>
      </c>
      <c r="M4945" t="n">
        <v>65000</v>
      </c>
      <c r="N4945" t="n">
        <v>33</v>
      </c>
      <c r="O4945" t="n">
        <v>0.33</v>
      </c>
      <c r="P4945" t="n">
        <v>1</v>
      </c>
      <c r="Q4945" t="n">
        <v>0.1</v>
      </c>
      <c r="R4945" t="n">
        <v>3</v>
      </c>
      <c r="S4945" t="n">
        <v>643.5</v>
      </c>
      <c r="T4945" t="n">
        <v>4</v>
      </c>
      <c r="U4945" t="n">
        <v>5</v>
      </c>
      <c r="V4945" t="n">
        <v>30</v>
      </c>
      <c r="W4945" t="n">
        <v>1</v>
      </c>
      <c r="X4945" t="n">
        <v>909.090909090909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2602</v>
      </c>
      <c r="AG4945" t="n">
        <v>101</v>
      </c>
      <c r="AH4945" t="inlineStr">
        <is>
          <t>PT. ARTHA PRADJA MANDIRI - PPN (PDG)</t>
        </is>
      </c>
      <c r="AI4945" t="n">
        <v>166</v>
      </c>
      <c r="AJ4945" t="inlineStr">
        <is>
          <t>WHITELAB</t>
        </is>
      </c>
      <c r="AK4945" t="n">
        <v>9</v>
      </c>
      <c r="AL4945" t="inlineStr">
        <is>
          <t>Miss Glam Jambi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WHITELAB</t>
        </is>
      </c>
      <c r="B4946" s="2">
        <f>"8997220243664"</f>
        <v/>
      </c>
      <c r="C4946" t="inlineStr">
        <is>
          <t>WHITELAB Niacinamide+Collagen Bightening Night Cream 20gr New</t>
        </is>
      </c>
      <c r="D4946" t="inlineStr">
        <is>
          <t>Miss Glam Jambi</t>
        </is>
      </c>
      <c r="E4946" t="n">
        <v>2</v>
      </c>
      <c r="F4946" t="n">
        <v>0.0462</v>
      </c>
      <c r="G4946" t="n">
        <v>0.66</v>
      </c>
      <c r="H4946" t="n">
        <v>8</v>
      </c>
      <c r="I4946" t="n">
        <v>10</v>
      </c>
      <c r="J4946" t="n">
        <v>3</v>
      </c>
      <c r="K4946" t="n">
        <v>0</v>
      </c>
      <c r="L4946" t="n">
        <v>47791</v>
      </c>
      <c r="M4946" t="n">
        <v>59000</v>
      </c>
      <c r="N4946" t="n">
        <v>33</v>
      </c>
      <c r="O4946" t="n">
        <v>0.33</v>
      </c>
      <c r="P4946" t="n">
        <v>1</v>
      </c>
      <c r="Q4946" t="n">
        <v>0.02</v>
      </c>
      <c r="R4946" t="n">
        <v>1</v>
      </c>
      <c r="S4946" t="n">
        <v>2725.8</v>
      </c>
      <c r="T4946" t="n">
        <v>7</v>
      </c>
      <c r="U4946" t="n">
        <v>8</v>
      </c>
      <c r="V4946" t="n">
        <v>30</v>
      </c>
      <c r="W4946" t="n">
        <v>2</v>
      </c>
      <c r="X4946" t="n">
        <v>43.29004329004329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2602</v>
      </c>
      <c r="AG4946" t="n">
        <v>101</v>
      </c>
      <c r="AH4946" t="inlineStr">
        <is>
          <t>PT. ARTHA PRADJA MANDIRI - PPN (PDG)</t>
        </is>
      </c>
      <c r="AI4946" t="n">
        <v>166</v>
      </c>
      <c r="AJ4946" t="inlineStr">
        <is>
          <t>WHITELAB</t>
        </is>
      </c>
      <c r="AK4946" t="n">
        <v>9</v>
      </c>
      <c r="AL4946" t="inlineStr">
        <is>
          <t>Miss Glam Jambi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WHITELAB</t>
        </is>
      </c>
      <c r="B4947" s="2">
        <f>"8997220243688"</f>
        <v/>
      </c>
      <c r="C4947" t="inlineStr">
        <is>
          <t>WHITELAB Underarm Cream 20gr</t>
        </is>
      </c>
      <c r="D4947" t="inlineStr">
        <is>
          <t>Miss Glam Jambi</t>
        </is>
      </c>
      <c r="E4947" t="n">
        <v>4</v>
      </c>
      <c r="F4947" t="n">
        <v>0.0132</v>
      </c>
      <c r="G4947" t="n">
        <v>0.33</v>
      </c>
      <c r="H4947" t="n">
        <v>8</v>
      </c>
      <c r="I4947" t="n">
        <v>10</v>
      </c>
      <c r="J4947" t="n">
        <v>3</v>
      </c>
      <c r="K4947" t="n">
        <v>0</v>
      </c>
      <c r="L4947" t="n">
        <v>52800</v>
      </c>
      <c r="M4947" t="n">
        <v>59000</v>
      </c>
      <c r="N4947" t="n">
        <v>33</v>
      </c>
      <c r="O4947" t="n">
        <v>0.33</v>
      </c>
      <c r="P4947" t="n">
        <v>1</v>
      </c>
      <c r="Q4947" t="n">
        <v>0.05</v>
      </c>
      <c r="R4947" t="n">
        <v>1</v>
      </c>
      <c r="S4947" t="n">
        <v>778.8000000000001</v>
      </c>
      <c r="T4947" t="n">
        <v>4</v>
      </c>
      <c r="U4947" t="n">
        <v>5</v>
      </c>
      <c r="V4947" t="n">
        <v>30</v>
      </c>
      <c r="W4947" t="n">
        <v>1</v>
      </c>
      <c r="X4947" t="n">
        <v>303.030303030303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2602</v>
      </c>
      <c r="AG4947" t="n">
        <v>101</v>
      </c>
      <c r="AH4947" t="inlineStr">
        <is>
          <t>PT. ARTHA PRADJA MANDIRI - PPN (PDG)</t>
        </is>
      </c>
      <c r="AI4947" t="n">
        <v>166</v>
      </c>
      <c r="AJ4947" t="inlineStr">
        <is>
          <t>WHITELAB</t>
        </is>
      </c>
      <c r="AK4947" t="n">
        <v>9</v>
      </c>
      <c r="AL4947" t="inlineStr">
        <is>
          <t>Miss Glam Jambi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WHITELAB</t>
        </is>
      </c>
      <c r="B4948" s="2">
        <f>"8997220243763"</f>
        <v/>
      </c>
      <c r="C4948" t="inlineStr">
        <is>
          <t>WHITELAB Uv Shield Tank Sunscreen Gel Spf 50 30gr new</t>
        </is>
      </c>
      <c r="D4948" t="inlineStr">
        <is>
          <t>Miss Glam Jambi</t>
        </is>
      </c>
      <c r="E4948" t="n">
        <v>0</v>
      </c>
      <c r="F4948" t="n">
        <v>0.066</v>
      </c>
      <c r="G4948" t="n">
        <v>0.66</v>
      </c>
      <c r="H4948" t="n">
        <v>8</v>
      </c>
      <c r="I4948" t="n">
        <v>10</v>
      </c>
      <c r="J4948" t="n">
        <v>3</v>
      </c>
      <c r="K4948" t="n">
        <v>0</v>
      </c>
      <c r="L4948" t="n">
        <v>55882</v>
      </c>
      <c r="M4948" t="n">
        <v>69000</v>
      </c>
      <c r="N4948" t="n">
        <v>33</v>
      </c>
      <c r="O4948" t="n">
        <v>0.33</v>
      </c>
      <c r="P4948" t="n">
        <v>1</v>
      </c>
      <c r="Q4948" t="n">
        <v>0.04</v>
      </c>
      <c r="R4948" t="n">
        <v>1</v>
      </c>
      <c r="S4948" t="n">
        <v>4554</v>
      </c>
      <c r="T4948" t="n">
        <v>7</v>
      </c>
      <c r="U4948" t="n">
        <v>8</v>
      </c>
      <c r="V4948" t="n">
        <v>30</v>
      </c>
      <c r="W4948" t="n">
        <v>2</v>
      </c>
      <c r="X4948" t="n">
        <v>0</v>
      </c>
      <c r="Y4948" t="n">
        <v>1</v>
      </c>
      <c r="Z4948" t="n">
        <v>2</v>
      </c>
      <c r="AA4948" t="n">
        <v>1</v>
      </c>
      <c r="AB4948" t="n">
        <v>1</v>
      </c>
      <c r="AC4948" t="n">
        <v>3</v>
      </c>
      <c r="AD4948" t="n">
        <v>55882</v>
      </c>
      <c r="AE4948" t="n">
        <v>167646</v>
      </c>
      <c r="AF4948" t="n">
        <v>2602</v>
      </c>
      <c r="AG4948" t="n">
        <v>101</v>
      </c>
      <c r="AH4948" t="inlineStr">
        <is>
          <t>PT. ARTHA PRADJA MANDIRI - PPN (PDG)</t>
        </is>
      </c>
      <c r="AI4948" t="n">
        <v>166</v>
      </c>
      <c r="AJ4948" t="inlineStr">
        <is>
          <t>WHITELAB</t>
        </is>
      </c>
      <c r="AK4948" t="n">
        <v>9</v>
      </c>
      <c r="AL4948" t="inlineStr">
        <is>
          <t>Miss Glam Jambi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WONDERLUX</t>
        </is>
      </c>
      <c r="B4949" s="2">
        <f>"8997208073160"</f>
        <v/>
      </c>
      <c r="C4949" t="inlineStr">
        <is>
          <t>WONDERLUX Break Me Free ! Anti Dandruff Shampoo 250 Ml</t>
        </is>
      </c>
      <c r="D4949" t="inlineStr">
        <is>
          <t>Miss Glam Jambi</t>
        </is>
      </c>
      <c r="E4949" t="n">
        <v>4</v>
      </c>
      <c r="F4949" t="n">
        <v>0.02</v>
      </c>
      <c r="G4949" t="n">
        <v>1</v>
      </c>
      <c r="H4949" t="n">
        <v>2</v>
      </c>
      <c r="I4949" t="n">
        <v>6</v>
      </c>
      <c r="J4949" t="n">
        <v>3</v>
      </c>
      <c r="K4949" t="n">
        <v>0</v>
      </c>
      <c r="L4949" t="n">
        <v>75650</v>
      </c>
      <c r="M4949" t="n">
        <v>97000</v>
      </c>
      <c r="N4949" t="n">
        <v>33</v>
      </c>
      <c r="O4949" t="n">
        <v>0.33</v>
      </c>
      <c r="P4949" t="n">
        <v>0</v>
      </c>
      <c r="Q4949" t="n">
        <v>0.02</v>
      </c>
      <c r="R4949" t="n">
        <v>1</v>
      </c>
      <c r="S4949" t="n">
        <v>1940</v>
      </c>
      <c r="T4949" t="n">
        <v>6</v>
      </c>
      <c r="U4949" t="n">
        <v>7</v>
      </c>
      <c r="V4949" t="n">
        <v>30</v>
      </c>
      <c r="W4949" t="n">
        <v>1</v>
      </c>
      <c r="X4949" t="n">
        <v>200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1419</v>
      </c>
      <c r="AG4949" t="n">
        <v>2136</v>
      </c>
      <c r="AH4949" t="inlineStr">
        <is>
          <t>CV. SAMUDRA JAYA ABADI - PPN (JMB)</t>
        </is>
      </c>
      <c r="AI4949" t="n">
        <v>1856</v>
      </c>
      <c r="AJ4949" t="inlineStr">
        <is>
          <t>WONDERLUX</t>
        </is>
      </c>
      <c r="AK4949" t="n">
        <v>9</v>
      </c>
      <c r="AL4949" t="inlineStr">
        <is>
          <t>Miss Glam Jambi</t>
        </is>
      </c>
      <c r="AM4949" t="n">
        <v>1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WONDERLUX</t>
        </is>
      </c>
      <c r="B4950" s="2">
        <f>"8997208073245"</f>
        <v/>
      </c>
      <c r="C4950" t="inlineStr">
        <is>
          <t>WONDERLUX Calm It Down Sensitif &amp; Dry Care Scalp Serum 75ml</t>
        </is>
      </c>
      <c r="D4950" t="inlineStr">
        <is>
          <t>Miss Glam Jambi</t>
        </is>
      </c>
      <c r="E4950" t="n">
        <v>3</v>
      </c>
      <c r="F4950" t="n">
        <v>0.03</v>
      </c>
      <c r="G4950" t="n">
        <v>1</v>
      </c>
      <c r="H4950" t="n">
        <v>2</v>
      </c>
      <c r="I4950" t="n">
        <v>6</v>
      </c>
      <c r="J4950" t="n">
        <v>3</v>
      </c>
      <c r="K4950" t="n">
        <v>0</v>
      </c>
      <c r="L4950" t="n">
        <v>95000</v>
      </c>
      <c r="M4950" t="n">
        <v>125000</v>
      </c>
      <c r="N4950" t="n">
        <v>33</v>
      </c>
      <c r="O4950" t="n">
        <v>0.33</v>
      </c>
      <c r="P4950" t="n">
        <v>0</v>
      </c>
      <c r="Q4950" t="n">
        <v>0.03</v>
      </c>
      <c r="R4950" t="n">
        <v>1</v>
      </c>
      <c r="S4950" t="n">
        <v>3750</v>
      </c>
      <c r="T4950" t="n">
        <v>6</v>
      </c>
      <c r="U4950" t="n">
        <v>7</v>
      </c>
      <c r="V4950" t="n">
        <v>30</v>
      </c>
      <c r="W4950" t="n">
        <v>1</v>
      </c>
      <c r="X4950" t="n">
        <v>100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1419</v>
      </c>
      <c r="AG4950" t="n">
        <v>2136</v>
      </c>
      <c r="AH4950" t="inlineStr">
        <is>
          <t>CV. SAMUDRA JAYA ABADI - PPN (JMB)</t>
        </is>
      </c>
      <c r="AI4950" t="n">
        <v>1856</v>
      </c>
      <c r="AJ4950" t="inlineStr">
        <is>
          <t>WONDERLUX</t>
        </is>
      </c>
      <c r="AK4950" t="n">
        <v>9</v>
      </c>
      <c r="AL4950" t="inlineStr">
        <is>
          <t>Miss Glam Jambi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WONDERLUX</t>
        </is>
      </c>
      <c r="B4951" s="2">
        <f>"8997208073122"</f>
        <v/>
      </c>
      <c r="C4951" t="inlineStr">
        <is>
          <t>WONDERLUX Densifying Hair Serum 75ml</t>
        </is>
      </c>
      <c r="D4951" t="inlineStr">
        <is>
          <t>Miss Glam Jambi</t>
        </is>
      </c>
      <c r="E4951" t="n">
        <v>2</v>
      </c>
      <c r="F4951" t="n">
        <v>0.02</v>
      </c>
      <c r="G4951" t="n">
        <v>1</v>
      </c>
      <c r="H4951" t="n">
        <v>2</v>
      </c>
      <c r="I4951" t="n">
        <v>6</v>
      </c>
      <c r="J4951" t="n">
        <v>3</v>
      </c>
      <c r="K4951" t="n">
        <v>0</v>
      </c>
      <c r="L4951" t="n">
        <v>148750</v>
      </c>
      <c r="M4951" t="n">
        <v>175000</v>
      </c>
      <c r="N4951" t="n">
        <v>33</v>
      </c>
      <c r="O4951" t="n">
        <v>0.33</v>
      </c>
      <c r="P4951" t="n">
        <v>0</v>
      </c>
      <c r="Q4951" t="n">
        <v>0.02</v>
      </c>
      <c r="R4951" t="n">
        <v>1</v>
      </c>
      <c r="S4951" t="n">
        <v>3500</v>
      </c>
      <c r="T4951" t="n">
        <v>6</v>
      </c>
      <c r="U4951" t="n">
        <v>7</v>
      </c>
      <c r="V4951" t="n">
        <v>30</v>
      </c>
      <c r="W4951" t="n">
        <v>1</v>
      </c>
      <c r="X4951" t="n">
        <v>100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1419</v>
      </c>
      <c r="AG4951" t="n">
        <v>2136</v>
      </c>
      <c r="AH4951" t="inlineStr">
        <is>
          <t>CV. SAMUDRA JAYA ABADI - PPN (JMB)</t>
        </is>
      </c>
      <c r="AI4951" t="n">
        <v>1856</v>
      </c>
      <c r="AJ4951" t="inlineStr">
        <is>
          <t>WONDERLUX</t>
        </is>
      </c>
      <c r="AK4951" t="n">
        <v>9</v>
      </c>
      <c r="AL4951" t="inlineStr">
        <is>
          <t>Miss Glam Jambi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WONDERLUX</t>
        </is>
      </c>
      <c r="B4952" s="2">
        <f>"8997208072705"</f>
        <v/>
      </c>
      <c r="C4952" t="inlineStr">
        <is>
          <t>WONDERLUX Hair Perfecting Oil 75ml</t>
        </is>
      </c>
      <c r="D4952" t="inlineStr">
        <is>
          <t>Miss Glam Jambi</t>
        </is>
      </c>
      <c r="E4952" t="n">
        <v>1</v>
      </c>
      <c r="F4952" t="n">
        <v>0.02</v>
      </c>
      <c r="G4952" t="n">
        <v>1</v>
      </c>
      <c r="H4952" t="n">
        <v>2</v>
      </c>
      <c r="I4952" t="n">
        <v>6</v>
      </c>
      <c r="J4952" t="n">
        <v>3</v>
      </c>
      <c r="K4952" t="n">
        <v>0</v>
      </c>
      <c r="L4952" t="n">
        <v>89870</v>
      </c>
      <c r="M4952" t="n">
        <v>125000</v>
      </c>
      <c r="N4952" t="n">
        <v>33</v>
      </c>
      <c r="O4952" t="n">
        <v>0.33</v>
      </c>
      <c r="P4952" t="n">
        <v>0</v>
      </c>
      <c r="Q4952" t="n">
        <v>0.02</v>
      </c>
      <c r="R4952" t="n">
        <v>1</v>
      </c>
      <c r="S4952" t="n">
        <v>2500</v>
      </c>
      <c r="T4952" t="n">
        <v>6</v>
      </c>
      <c r="U4952" t="n">
        <v>7</v>
      </c>
      <c r="V4952" t="n">
        <v>30</v>
      </c>
      <c r="W4952" t="n">
        <v>1</v>
      </c>
      <c r="X4952" t="n">
        <v>50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1419</v>
      </c>
      <c r="AG4952" t="n">
        <v>2136</v>
      </c>
      <c r="AH4952" t="inlineStr">
        <is>
          <t>CV. SAMUDRA JAYA ABADI - PPN (JMB)</t>
        </is>
      </c>
      <c r="AI4952" t="n">
        <v>1856</v>
      </c>
      <c r="AJ4952" t="inlineStr">
        <is>
          <t>WONDERLUX</t>
        </is>
      </c>
      <c r="AK4952" t="n">
        <v>9</v>
      </c>
      <c r="AL4952" t="inlineStr">
        <is>
          <t>Miss Glam Jambi</t>
        </is>
      </c>
      <c r="AM4952" t="n">
        <v>1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WONDERLUX</t>
        </is>
      </c>
      <c r="B4953" s="2">
        <f>"8997208073993"</f>
        <v/>
      </c>
      <c r="C4953" t="inlineStr">
        <is>
          <t>WONDERLUX Hold My Standars Hair Fall Treatment Scalp Serum 75ml</t>
        </is>
      </c>
      <c r="D4953" t="inlineStr">
        <is>
          <t>Miss Glam Jambi</t>
        </is>
      </c>
      <c r="E4953" t="n">
        <v>3</v>
      </c>
      <c r="F4953" t="n">
        <v>0.02</v>
      </c>
      <c r="G4953" t="n">
        <v>1</v>
      </c>
      <c r="H4953" t="n">
        <v>2</v>
      </c>
      <c r="I4953" t="n">
        <v>6</v>
      </c>
      <c r="J4953" t="n">
        <v>3</v>
      </c>
      <c r="K4953" t="n">
        <v>0</v>
      </c>
      <c r="L4953" t="n">
        <v>144288</v>
      </c>
      <c r="M4953" t="n">
        <v>187000</v>
      </c>
      <c r="N4953" t="n">
        <v>33</v>
      </c>
      <c r="O4953" t="n">
        <v>0.33</v>
      </c>
      <c r="P4953" t="n">
        <v>0</v>
      </c>
      <c r="Q4953" t="n">
        <v>0.02</v>
      </c>
      <c r="R4953" t="n">
        <v>1</v>
      </c>
      <c r="S4953" t="n">
        <v>3740</v>
      </c>
      <c r="T4953" t="n">
        <v>6</v>
      </c>
      <c r="U4953" t="n">
        <v>7</v>
      </c>
      <c r="V4953" t="n">
        <v>30</v>
      </c>
      <c r="W4953" t="n">
        <v>1</v>
      </c>
      <c r="X4953" t="n">
        <v>150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1419</v>
      </c>
      <c r="AG4953" t="n">
        <v>2136</v>
      </c>
      <c r="AH4953" t="inlineStr">
        <is>
          <t>CV. SAMUDRA JAYA ABADI - PPN (JMB)</t>
        </is>
      </c>
      <c r="AI4953" t="n">
        <v>1856</v>
      </c>
      <c r="AJ4953" t="inlineStr">
        <is>
          <t>WONDERLUX</t>
        </is>
      </c>
      <c r="AK4953" t="n">
        <v>9</v>
      </c>
      <c r="AL4953" t="inlineStr">
        <is>
          <t>Miss Glam Jambi</t>
        </is>
      </c>
      <c r="AM4953" t="n">
        <v>1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WONDERLUX</t>
        </is>
      </c>
      <c r="B4954" s="2">
        <f>"8997208073986"</f>
        <v/>
      </c>
      <c r="C4954" t="inlineStr">
        <is>
          <t>WONDERLUX Hold My Standars Hair Fall Treatment Shampoo 250ml</t>
        </is>
      </c>
      <c r="D4954" t="inlineStr">
        <is>
          <t>Miss Glam Jambi</t>
        </is>
      </c>
      <c r="E4954" t="n">
        <v>3</v>
      </c>
      <c r="F4954" t="n">
        <v>0.0165</v>
      </c>
      <c r="G4954" t="n">
        <v>0.33</v>
      </c>
      <c r="H4954" t="n">
        <v>2</v>
      </c>
      <c r="I4954" t="n">
        <v>6</v>
      </c>
      <c r="J4954" t="n">
        <v>3</v>
      </c>
      <c r="K4954" t="n">
        <v>0</v>
      </c>
      <c r="L4954" t="n">
        <v>67640</v>
      </c>
      <c r="M4954" t="n">
        <v>99000</v>
      </c>
      <c r="N4954" t="n">
        <v>33</v>
      </c>
      <c r="O4954" t="n">
        <v>0.33</v>
      </c>
      <c r="P4954" t="n">
        <v>1</v>
      </c>
      <c r="Q4954" t="n">
        <v>0.05</v>
      </c>
      <c r="R4954" t="n">
        <v>1</v>
      </c>
      <c r="S4954" t="n">
        <v>1633.5</v>
      </c>
      <c r="T4954" t="n">
        <v>2</v>
      </c>
      <c r="U4954" t="n">
        <v>3</v>
      </c>
      <c r="V4954" t="n">
        <v>30</v>
      </c>
      <c r="W4954" t="n">
        <v>1</v>
      </c>
      <c r="X4954" t="n">
        <v>181.8181818181818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1419</v>
      </c>
      <c r="AG4954" t="n">
        <v>2136</v>
      </c>
      <c r="AH4954" t="inlineStr">
        <is>
          <t>CV. SAMUDRA JAYA ABADI - PPN (JMB)</t>
        </is>
      </c>
      <c r="AI4954" t="n">
        <v>1856</v>
      </c>
      <c r="AJ4954" t="inlineStr">
        <is>
          <t>WONDERLUX</t>
        </is>
      </c>
      <c r="AK4954" t="n">
        <v>9</v>
      </c>
      <c r="AL4954" t="inlineStr">
        <is>
          <t>Miss Glam Jambi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WONDERLUX</t>
        </is>
      </c>
      <c r="B4955" s="2">
        <f>"8997208072699"</f>
        <v/>
      </c>
      <c r="C4955" t="inlineStr">
        <is>
          <t>WONDERLUX Instant Showstopper Advanced Smooth Oil 75ml</t>
        </is>
      </c>
      <c r="D4955" t="inlineStr">
        <is>
          <t>Miss Glam Jambi</t>
        </is>
      </c>
      <c r="E4955" t="n">
        <v>0</v>
      </c>
      <c r="F4955" t="n">
        <v>0.02</v>
      </c>
      <c r="G4955" t="n">
        <v>1</v>
      </c>
      <c r="H4955" t="n">
        <v>2</v>
      </c>
      <c r="I4955" t="n">
        <v>6</v>
      </c>
      <c r="J4955" t="n">
        <v>3</v>
      </c>
      <c r="K4955" t="n">
        <v>0</v>
      </c>
      <c r="L4955" t="n">
        <v>109650</v>
      </c>
      <c r="M4955" t="n">
        <v>129000</v>
      </c>
      <c r="N4955" t="n">
        <v>33</v>
      </c>
      <c r="O4955" t="n">
        <v>0.33</v>
      </c>
      <c r="P4955" t="n">
        <v>0</v>
      </c>
      <c r="Q4955" t="n">
        <v>0.02</v>
      </c>
      <c r="R4955" t="n">
        <v>1</v>
      </c>
      <c r="S4955" t="n">
        <v>2580</v>
      </c>
      <c r="T4955" t="n">
        <v>6</v>
      </c>
      <c r="U4955" t="n">
        <v>7</v>
      </c>
      <c r="V4955" t="n">
        <v>30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n">
        <v>0</v>
      </c>
      <c r="AC4955" t="n">
        <v>0</v>
      </c>
      <c r="AD4955" t="n">
        <v>109650</v>
      </c>
      <c r="AE4955" t="n">
        <v>0</v>
      </c>
      <c r="AF4955" t="n">
        <v>1419</v>
      </c>
      <c r="AG4955" t="n">
        <v>2136</v>
      </c>
      <c r="AH4955" t="inlineStr">
        <is>
          <t>CV. SAMUDRA JAYA ABADI - PPN (JMB)</t>
        </is>
      </c>
      <c r="AI4955" t="n">
        <v>1856</v>
      </c>
      <c r="AJ4955" t="inlineStr">
        <is>
          <t>WONDERLUX</t>
        </is>
      </c>
      <c r="AK4955" t="n">
        <v>9</v>
      </c>
      <c r="AL4955" t="inlineStr">
        <is>
          <t>Miss Glam Jambi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XIXIU</t>
        </is>
      </c>
      <c r="B4956" s="2">
        <f>"8997225410856"</f>
        <v/>
      </c>
      <c r="C4956" t="inlineStr">
        <is>
          <t>XIXIU 2 in 1 Mascara &amp; Eyeliner 2 x 4gr</t>
        </is>
      </c>
      <c r="D4956" t="inlineStr">
        <is>
          <t>Miss Glam Jambi</t>
        </is>
      </c>
      <c r="E4956" t="n">
        <v>3</v>
      </c>
      <c r="F4956" t="n">
        <v>0.5412</v>
      </c>
      <c r="G4956" t="n">
        <v>2.31</v>
      </c>
      <c r="H4956" t="n">
        <v>1</v>
      </c>
      <c r="I4956" t="n">
        <v>4</v>
      </c>
      <c r="J4956" t="n">
        <v>3</v>
      </c>
      <c r="K4956" t="n">
        <v>12</v>
      </c>
      <c r="L4956" t="n">
        <v>22950</v>
      </c>
      <c r="M4956" t="n">
        <v>27000</v>
      </c>
      <c r="N4956" t="n">
        <v>33</v>
      </c>
      <c r="O4956" t="n">
        <v>0.33</v>
      </c>
      <c r="P4956" t="n">
        <v>1</v>
      </c>
      <c r="Q4956" t="n">
        <v>0.2</v>
      </c>
      <c r="R4956" t="n">
        <v>1</v>
      </c>
      <c r="S4956" t="n">
        <v>14612.4</v>
      </c>
      <c r="T4956" t="n">
        <v>9</v>
      </c>
      <c r="U4956" t="n">
        <v>10</v>
      </c>
      <c r="V4956" t="n">
        <v>30</v>
      </c>
      <c r="W4956" t="n">
        <v>17</v>
      </c>
      <c r="X4956" t="n">
        <v>5.543237250554323</v>
      </c>
      <c r="Y4956" t="n">
        <v>1</v>
      </c>
      <c r="Z4956" t="n">
        <v>2</v>
      </c>
      <c r="AA4956" t="n">
        <v>0</v>
      </c>
      <c r="AB4956" t="n">
        <v>2</v>
      </c>
      <c r="AC4956" t="n">
        <v>3</v>
      </c>
      <c r="AD4956" t="n">
        <v>0</v>
      </c>
      <c r="AE4956" t="n">
        <v>68850</v>
      </c>
      <c r="AF4956" t="n">
        <v>13339</v>
      </c>
      <c r="AG4956" t="n">
        <v>2135</v>
      </c>
      <c r="AH4956" t="inlineStr">
        <is>
          <t>PT. WIRA ERINDO SEJAHTERA - PPN(JMB)</t>
        </is>
      </c>
      <c r="AI4956" t="n">
        <v>398</v>
      </c>
      <c r="AJ4956" t="inlineStr">
        <is>
          <t>XIXIU</t>
        </is>
      </c>
      <c r="AK4956" t="n">
        <v>9</v>
      </c>
      <c r="AL4956" t="inlineStr">
        <is>
          <t>Miss Glam Jambi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XIXIU</t>
        </is>
      </c>
      <c r="B4957" s="2">
        <f>"8997225414717"</f>
        <v/>
      </c>
      <c r="C4957" t="inlineStr">
        <is>
          <t>XIXIU Body Serum Romance Enrich With Aloe Vera Extract, Sakura Extract, Allantoin &amp; Sunscreen Agent</t>
        </is>
      </c>
      <c r="D4957" t="inlineStr">
        <is>
          <t>Miss Glam Jambi</t>
        </is>
      </c>
      <c r="E4957" t="n">
        <v>3</v>
      </c>
      <c r="F4957" t="n">
        <v>0.006600000000000001</v>
      </c>
      <c r="G4957" t="n">
        <v>0.33</v>
      </c>
      <c r="H4957" t="n">
        <v>1</v>
      </c>
      <c r="I4957" t="n">
        <v>4</v>
      </c>
      <c r="J4957" t="n">
        <v>3</v>
      </c>
      <c r="K4957" t="n">
        <v>0</v>
      </c>
      <c r="L4957" t="n">
        <v>19800</v>
      </c>
      <c r="M4957" t="n">
        <v>24000</v>
      </c>
      <c r="N4957" t="n">
        <v>33</v>
      </c>
      <c r="O4957" t="n">
        <v>0.33</v>
      </c>
      <c r="P4957" t="n">
        <v>1</v>
      </c>
      <c r="Q4957" t="n">
        <v>0.02</v>
      </c>
      <c r="R4957" t="n">
        <v>1</v>
      </c>
      <c r="S4957" t="n">
        <v>158.4</v>
      </c>
      <c r="T4957" t="n">
        <v>2</v>
      </c>
      <c r="U4957" t="n">
        <v>3</v>
      </c>
      <c r="V4957" t="n">
        <v>30</v>
      </c>
      <c r="W4957" t="n">
        <v>1</v>
      </c>
      <c r="X4957" t="n">
        <v>454.5454545454545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13339</v>
      </c>
      <c r="AG4957" t="n">
        <v>2135</v>
      </c>
      <c r="AH4957" t="inlineStr">
        <is>
          <t>PT. WIRA ERINDO SEJAHTERA - PPN(JMB)</t>
        </is>
      </c>
      <c r="AI4957" t="n">
        <v>398</v>
      </c>
      <c r="AJ4957" t="inlineStr">
        <is>
          <t>XIXIU</t>
        </is>
      </c>
      <c r="AK4957" t="n">
        <v>9</v>
      </c>
      <c r="AL4957" t="inlineStr">
        <is>
          <t>Miss Glam Jambi</t>
        </is>
      </c>
      <c r="AM4957" t="n">
        <v>1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XIXIU</t>
        </is>
      </c>
      <c r="B4958" s="2">
        <f>"8997225414939"</f>
        <v/>
      </c>
      <c r="C4958" t="inlineStr">
        <is>
          <t>XIXIU Divane Eyelash Brow &amp; Serum 3ml</t>
        </is>
      </c>
      <c r="D4958" t="inlineStr">
        <is>
          <t>Miss Glam Jambi</t>
        </is>
      </c>
      <c r="E4958" t="n">
        <v>3</v>
      </c>
      <c r="F4958" t="n">
        <v>0.0726</v>
      </c>
      <c r="G4958" t="n">
        <v>0.66</v>
      </c>
      <c r="H4958" t="n">
        <v>1</v>
      </c>
      <c r="I4958" t="n">
        <v>4</v>
      </c>
      <c r="J4958" t="n">
        <v>3</v>
      </c>
      <c r="K4958" t="n">
        <v>0</v>
      </c>
      <c r="L4958" t="n">
        <v>16650</v>
      </c>
      <c r="M4958" t="n">
        <v>20000</v>
      </c>
      <c r="N4958" t="n">
        <v>33</v>
      </c>
      <c r="O4958" t="n">
        <v>0.33</v>
      </c>
      <c r="P4958" t="n">
        <v>1</v>
      </c>
      <c r="Q4958" t="n">
        <v>0.03</v>
      </c>
      <c r="R4958" t="n">
        <v>1</v>
      </c>
      <c r="S4958" t="n">
        <v>1452</v>
      </c>
      <c r="T4958" t="n">
        <v>3</v>
      </c>
      <c r="U4958" t="n">
        <v>4</v>
      </c>
      <c r="V4958" t="n">
        <v>30</v>
      </c>
      <c r="W4958" t="n">
        <v>3</v>
      </c>
      <c r="X4958" t="n">
        <v>41.32231404958678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13339</v>
      </c>
      <c r="AG4958" t="n">
        <v>2135</v>
      </c>
      <c r="AH4958" t="inlineStr">
        <is>
          <t>PT. WIRA ERINDO SEJAHTERA - PPN(JMB)</t>
        </is>
      </c>
      <c r="AI4958" t="n">
        <v>398</v>
      </c>
      <c r="AJ4958" t="inlineStr">
        <is>
          <t>XIXIU</t>
        </is>
      </c>
      <c r="AK4958" t="n">
        <v>9</v>
      </c>
      <c r="AL4958" t="inlineStr">
        <is>
          <t>Miss Glam Jambi</t>
        </is>
      </c>
      <c r="AM4958" t="n">
        <v>1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XIXIU</t>
        </is>
      </c>
      <c r="B4959" s="2">
        <f>"8997225411990"</f>
        <v/>
      </c>
      <c r="C4959" t="inlineStr">
        <is>
          <t>XIXIU Divane Eyeshadow 01 Neutral 12,9gr</t>
        </is>
      </c>
      <c r="D4959" t="inlineStr">
        <is>
          <t>Miss Glam Jambi</t>
        </is>
      </c>
      <c r="E4959" t="n">
        <v>5</v>
      </c>
      <c r="F4959" t="n">
        <v>0.1</v>
      </c>
      <c r="G4959" t="n">
        <v>3</v>
      </c>
      <c r="H4959" t="n">
        <v>1</v>
      </c>
      <c r="I4959" t="n">
        <v>4</v>
      </c>
      <c r="J4959" t="n">
        <v>3</v>
      </c>
      <c r="K4959" t="n">
        <v>3</v>
      </c>
      <c r="L4959" t="n">
        <v>32400</v>
      </c>
      <c r="M4959" t="n">
        <v>36500</v>
      </c>
      <c r="N4959" t="n">
        <v>33</v>
      </c>
      <c r="O4959" t="n">
        <v>0.33</v>
      </c>
      <c r="P4959" t="n">
        <v>0</v>
      </c>
      <c r="Q4959" t="n">
        <v>0.1</v>
      </c>
      <c r="R4959" t="n">
        <v>3</v>
      </c>
      <c r="S4959" t="n">
        <v>3650</v>
      </c>
      <c r="T4959" t="n">
        <v>12</v>
      </c>
      <c r="U4959" t="n">
        <v>13</v>
      </c>
      <c r="V4959" t="n">
        <v>30</v>
      </c>
      <c r="W4959" t="n">
        <v>3</v>
      </c>
      <c r="X4959" t="n">
        <v>50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13339</v>
      </c>
      <c r="AG4959" t="n">
        <v>2135</v>
      </c>
      <c r="AH4959" t="inlineStr">
        <is>
          <t>PT. WIRA ERINDO SEJAHTERA - PPN(JMB)</t>
        </is>
      </c>
      <c r="AI4959" t="n">
        <v>398</v>
      </c>
      <c r="AJ4959" t="inlineStr">
        <is>
          <t>XIXIU</t>
        </is>
      </c>
      <c r="AK4959" t="n">
        <v>9</v>
      </c>
      <c r="AL4959" t="inlineStr">
        <is>
          <t>Miss Glam Jambi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XIXIU</t>
        </is>
      </c>
      <c r="B4960" s="2">
        <f>"8997225412003"</f>
        <v/>
      </c>
      <c r="C4960" t="inlineStr">
        <is>
          <t>XIXIU Divane Eyeshadow Glamour 02 12,9gr</t>
        </is>
      </c>
      <c r="D4960" t="inlineStr">
        <is>
          <t>Miss Glam Jambi</t>
        </is>
      </c>
      <c r="E4960" t="n">
        <v>5</v>
      </c>
      <c r="F4960" t="n">
        <v>0.0165</v>
      </c>
      <c r="G4960" t="n">
        <v>0.33</v>
      </c>
      <c r="H4960" t="n">
        <v>1</v>
      </c>
      <c r="I4960" t="n">
        <v>4</v>
      </c>
      <c r="J4960" t="n">
        <v>3</v>
      </c>
      <c r="K4960" t="n">
        <v>0</v>
      </c>
      <c r="L4960" t="n">
        <v>32400</v>
      </c>
      <c r="M4960" t="n">
        <v>36500</v>
      </c>
      <c r="N4960" t="n">
        <v>33</v>
      </c>
      <c r="O4960" t="n">
        <v>0.33</v>
      </c>
      <c r="P4960" t="n">
        <v>1</v>
      </c>
      <c r="Q4960" t="n">
        <v>0.12</v>
      </c>
      <c r="R4960" t="n">
        <v>5</v>
      </c>
      <c r="S4960" t="n">
        <v>602.25</v>
      </c>
      <c r="T4960" t="n">
        <v>2</v>
      </c>
      <c r="U4960" t="n">
        <v>3</v>
      </c>
      <c r="V4960" t="n">
        <v>30</v>
      </c>
      <c r="W4960" t="n">
        <v>1</v>
      </c>
      <c r="X4960" t="n">
        <v>303.030303030303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13339</v>
      </c>
      <c r="AG4960" t="n">
        <v>2135</v>
      </c>
      <c r="AH4960" t="inlineStr">
        <is>
          <t>PT. WIRA ERINDO SEJAHTERA - PPN(JMB)</t>
        </is>
      </c>
      <c r="AI4960" t="n">
        <v>398</v>
      </c>
      <c r="AJ4960" t="inlineStr">
        <is>
          <t>XIXIU</t>
        </is>
      </c>
      <c r="AK4960" t="n">
        <v>9</v>
      </c>
      <c r="AL4960" t="inlineStr">
        <is>
          <t>Miss Glam Jambi</t>
        </is>
      </c>
      <c r="AM4960" t="n">
        <v>1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XIXIU</t>
        </is>
      </c>
      <c r="B4961" s="2">
        <f>"8997225412010"</f>
        <v/>
      </c>
      <c r="C4961" t="inlineStr">
        <is>
          <t>XIXIU Divane Eyeshadow Smokey 03 12,9gr</t>
        </is>
      </c>
      <c r="D4961" t="inlineStr">
        <is>
          <t>Miss Glam Jambi</t>
        </is>
      </c>
      <c r="E4961" t="n">
        <v>4</v>
      </c>
      <c r="F4961" t="n">
        <v>0.0231</v>
      </c>
      <c r="G4961" t="n">
        <v>0.33</v>
      </c>
      <c r="H4961" t="n">
        <v>1</v>
      </c>
      <c r="I4961" t="n">
        <v>4</v>
      </c>
      <c r="J4961" t="n">
        <v>3</v>
      </c>
      <c r="K4961" t="n">
        <v>0</v>
      </c>
      <c r="L4961" t="n">
        <v>32400</v>
      </c>
      <c r="M4961" t="n">
        <v>39000</v>
      </c>
      <c r="N4961" t="n">
        <v>33</v>
      </c>
      <c r="O4961" t="n">
        <v>0.33</v>
      </c>
      <c r="P4961" t="n">
        <v>1</v>
      </c>
      <c r="Q4961" t="n">
        <v>0.02</v>
      </c>
      <c r="R4961" t="n">
        <v>1</v>
      </c>
      <c r="S4961" t="n">
        <v>900.9000000000001</v>
      </c>
      <c r="T4961" t="n">
        <v>2</v>
      </c>
      <c r="U4961" t="n">
        <v>3</v>
      </c>
      <c r="V4961" t="n">
        <v>30</v>
      </c>
      <c r="W4961" t="n">
        <v>1</v>
      </c>
      <c r="X4961" t="n">
        <v>173.1601731601731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13339</v>
      </c>
      <c r="AG4961" t="n">
        <v>2135</v>
      </c>
      <c r="AH4961" t="inlineStr">
        <is>
          <t>PT. WIRA ERINDO SEJAHTERA - PPN(JMB)</t>
        </is>
      </c>
      <c r="AI4961" t="n">
        <v>398</v>
      </c>
      <c r="AJ4961" t="inlineStr">
        <is>
          <t>XIXIU</t>
        </is>
      </c>
      <c r="AK4961" t="n">
        <v>9</v>
      </c>
      <c r="AL4961" t="inlineStr">
        <is>
          <t>Miss Glam Jambi</t>
        </is>
      </c>
      <c r="AM4961" t="n">
        <v>1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XIXIU</t>
        </is>
      </c>
      <c r="B4962" s="2">
        <f>"8997225416124"</f>
        <v/>
      </c>
      <c r="C4962" t="inlineStr">
        <is>
          <t>XIXIU Divane Lipteen Stain 01 Super Shy 2,5gr</t>
        </is>
      </c>
      <c r="D4962" t="inlineStr">
        <is>
          <t>Miss Glam Jambi</t>
        </is>
      </c>
      <c r="E4962" t="n">
        <v>2</v>
      </c>
      <c r="F4962" t="n">
        <v>0.06270000000000001</v>
      </c>
      <c r="G4962" t="n">
        <v>0.33</v>
      </c>
      <c r="H4962" t="n">
        <v>1</v>
      </c>
      <c r="I4962" t="n">
        <v>4</v>
      </c>
      <c r="J4962" t="n">
        <v>3</v>
      </c>
      <c r="K4962" t="n">
        <v>0</v>
      </c>
      <c r="L4962" t="n">
        <v>17100</v>
      </c>
      <c r="M4962" t="n">
        <v>22000</v>
      </c>
      <c r="N4962" t="n">
        <v>33</v>
      </c>
      <c r="O4962" t="n">
        <v>0.33</v>
      </c>
      <c r="P4962" t="n">
        <v>1</v>
      </c>
      <c r="Q4962" t="n">
        <v>0.02</v>
      </c>
      <c r="R4962" t="n">
        <v>1</v>
      </c>
      <c r="S4962" t="n">
        <v>1379.4</v>
      </c>
      <c r="T4962" t="n">
        <v>2</v>
      </c>
      <c r="U4962" t="n">
        <v>3</v>
      </c>
      <c r="V4962" t="n">
        <v>30</v>
      </c>
      <c r="W4962" t="n">
        <v>2</v>
      </c>
      <c r="X4962" t="n">
        <v>31.89792663476874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13339</v>
      </c>
      <c r="AG4962" t="n">
        <v>2135</v>
      </c>
      <c r="AH4962" t="inlineStr">
        <is>
          <t>PT. WIRA ERINDO SEJAHTERA - PPN(JMB)</t>
        </is>
      </c>
      <c r="AI4962" t="n">
        <v>398</v>
      </c>
      <c r="AJ4962" t="inlineStr">
        <is>
          <t>XIXIU</t>
        </is>
      </c>
      <c r="AK4962" t="n">
        <v>9</v>
      </c>
      <c r="AL4962" t="inlineStr">
        <is>
          <t>Miss Glam Jambi</t>
        </is>
      </c>
      <c r="AM4962" t="n">
        <v>1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XIXIU</t>
        </is>
      </c>
      <c r="B4963" s="2">
        <f>"8997225416131"</f>
        <v/>
      </c>
      <c r="C4963" t="inlineStr">
        <is>
          <t>XIXIU Divane Lipteen Stain 02 Red Moon 2,5gr</t>
        </is>
      </c>
      <c r="D4963" t="inlineStr">
        <is>
          <t>Miss Glam Jambi</t>
        </is>
      </c>
      <c r="E4963" t="n">
        <v>7</v>
      </c>
      <c r="F4963" t="n">
        <v>0.0231</v>
      </c>
      <c r="G4963" t="n">
        <v>0.33</v>
      </c>
      <c r="H4963" t="n">
        <v>1</v>
      </c>
      <c r="I4963" t="n">
        <v>4</v>
      </c>
      <c r="J4963" t="n">
        <v>3</v>
      </c>
      <c r="K4963" t="n">
        <v>0</v>
      </c>
      <c r="L4963" t="n">
        <v>17100</v>
      </c>
      <c r="M4963" t="n">
        <v>22000</v>
      </c>
      <c r="N4963" t="n">
        <v>33</v>
      </c>
      <c r="O4963" t="n">
        <v>0.33</v>
      </c>
      <c r="P4963" t="n">
        <v>1</v>
      </c>
      <c r="Q4963" t="n">
        <v>0.07000000000000001</v>
      </c>
      <c r="R4963" t="n">
        <v>1</v>
      </c>
      <c r="S4963" t="n">
        <v>508.2</v>
      </c>
      <c r="T4963" t="n">
        <v>2</v>
      </c>
      <c r="U4963" t="n">
        <v>3</v>
      </c>
      <c r="V4963" t="n">
        <v>30</v>
      </c>
      <c r="W4963" t="n">
        <v>1</v>
      </c>
      <c r="X4963" t="n">
        <v>303.030303030303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13339</v>
      </c>
      <c r="AG4963" t="n">
        <v>2135</v>
      </c>
      <c r="AH4963" t="inlineStr">
        <is>
          <t>PT. WIRA ERINDO SEJAHTERA - PPN(JMB)</t>
        </is>
      </c>
      <c r="AI4963" t="n">
        <v>398</v>
      </c>
      <c r="AJ4963" t="inlineStr">
        <is>
          <t>XIXIU</t>
        </is>
      </c>
      <c r="AK4963" t="n">
        <v>9</v>
      </c>
      <c r="AL4963" t="inlineStr">
        <is>
          <t>Miss Glam Jambi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XIXIU</t>
        </is>
      </c>
      <c r="B4964" s="2">
        <f>"8997225412096"</f>
        <v/>
      </c>
      <c r="C4964" t="inlineStr">
        <is>
          <t>XIXIU Divine 2in1 Mascara &amp; Eyeliner 2 x 4g</t>
        </is>
      </c>
      <c r="D4964" t="inlineStr">
        <is>
          <t>Miss Glam Jambi</t>
        </is>
      </c>
      <c r="E4964" t="n">
        <v>3</v>
      </c>
      <c r="F4964" t="n">
        <v>0.4257</v>
      </c>
      <c r="G4964" t="n">
        <v>1.98</v>
      </c>
      <c r="H4964" t="n">
        <v>1</v>
      </c>
      <c r="I4964" t="n">
        <v>4</v>
      </c>
      <c r="J4964" t="n">
        <v>3</v>
      </c>
      <c r="K4964" t="n">
        <v>9</v>
      </c>
      <c r="L4964" t="n">
        <v>22950</v>
      </c>
      <c r="M4964" t="n">
        <v>27000</v>
      </c>
      <c r="N4964" t="n">
        <v>33</v>
      </c>
      <c r="O4964" t="n">
        <v>0.33</v>
      </c>
      <c r="P4964" t="n">
        <v>1</v>
      </c>
      <c r="Q4964" t="n">
        <v>0.03</v>
      </c>
      <c r="R4964" t="n">
        <v>1</v>
      </c>
      <c r="S4964" t="n">
        <v>11493.9</v>
      </c>
      <c r="T4964" t="n">
        <v>8</v>
      </c>
      <c r="U4964" t="n">
        <v>9</v>
      </c>
      <c r="V4964" t="n">
        <v>30</v>
      </c>
      <c r="W4964" t="n">
        <v>13</v>
      </c>
      <c r="X4964" t="n">
        <v>7.04721634954193</v>
      </c>
      <c r="Y4964" t="n">
        <v>1</v>
      </c>
      <c r="Z4964" t="n">
        <v>1</v>
      </c>
      <c r="AA4964" t="n">
        <v>0</v>
      </c>
      <c r="AB4964" t="n">
        <v>1</v>
      </c>
      <c r="AC4964" t="n">
        <v>3</v>
      </c>
      <c r="AD4964" t="n">
        <v>0</v>
      </c>
      <c r="AE4964" t="n">
        <v>68850</v>
      </c>
      <c r="AF4964" t="n">
        <v>13339</v>
      </c>
      <c r="AG4964" t="n">
        <v>2135</v>
      </c>
      <c r="AH4964" t="inlineStr">
        <is>
          <t>PT. WIRA ERINDO SEJAHTERA - PPN(JMB)</t>
        </is>
      </c>
      <c r="AI4964" t="n">
        <v>398</v>
      </c>
      <c r="AJ4964" t="inlineStr">
        <is>
          <t>XIXIU</t>
        </is>
      </c>
      <c r="AK4964" t="n">
        <v>9</v>
      </c>
      <c r="AL4964" t="inlineStr">
        <is>
          <t>Miss Glam Jambi</t>
        </is>
      </c>
      <c r="AM4964" t="n">
        <v>1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XIXIU</t>
        </is>
      </c>
      <c r="B4965" s="2">
        <f>"8997225412843"</f>
        <v/>
      </c>
      <c r="C4965" t="inlineStr">
        <is>
          <t>XIXIU Divine Eyebrow MAtic Pencil Black 01 0,35gr</t>
        </is>
      </c>
      <c r="D4965" t="inlineStr">
        <is>
          <t>Miss Glam Jambi</t>
        </is>
      </c>
      <c r="E4965" t="n">
        <v>6</v>
      </c>
      <c r="F4965" t="n">
        <v>0.1914</v>
      </c>
      <c r="G4965" t="n">
        <v>0.99</v>
      </c>
      <c r="H4965" t="n">
        <v>1</v>
      </c>
      <c r="I4965" t="n">
        <v>4</v>
      </c>
      <c r="J4965" t="n">
        <v>3</v>
      </c>
      <c r="K4965" t="n">
        <v>0</v>
      </c>
      <c r="L4965" t="n">
        <v>19800</v>
      </c>
      <c r="M4965" t="n">
        <v>23500</v>
      </c>
      <c r="N4965" t="n">
        <v>33</v>
      </c>
      <c r="O4965" t="n">
        <v>0.33</v>
      </c>
      <c r="P4965" t="n">
        <v>1</v>
      </c>
      <c r="Q4965" t="n">
        <v>0.1</v>
      </c>
      <c r="R4965" t="n">
        <v>1</v>
      </c>
      <c r="S4965" t="n">
        <v>4497.9</v>
      </c>
      <c r="T4965" t="n">
        <v>4</v>
      </c>
      <c r="U4965" t="n">
        <v>5</v>
      </c>
      <c r="V4965" t="n">
        <v>30</v>
      </c>
      <c r="W4965" t="n">
        <v>6</v>
      </c>
      <c r="X4965" t="n">
        <v>31.34796238244514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13339</v>
      </c>
      <c r="AG4965" t="n">
        <v>2135</v>
      </c>
      <c r="AH4965" t="inlineStr">
        <is>
          <t>PT. WIRA ERINDO SEJAHTERA - PPN(JMB)</t>
        </is>
      </c>
      <c r="AI4965" t="n">
        <v>398</v>
      </c>
      <c r="AJ4965" t="inlineStr">
        <is>
          <t>XIXIU</t>
        </is>
      </c>
      <c r="AK4965" t="n">
        <v>9</v>
      </c>
      <c r="AL4965" t="inlineStr">
        <is>
          <t>Miss Glam Jambi</t>
        </is>
      </c>
      <c r="AM4965" t="n">
        <v>1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XIXIU</t>
        </is>
      </c>
      <c r="B4966" s="2">
        <f>"8997225412850"</f>
        <v/>
      </c>
      <c r="C4966" t="inlineStr">
        <is>
          <t>XIXIU Divine Eyebrow Matic With Spoolie Brush 02 Brown</t>
        </is>
      </c>
      <c r="D4966" t="inlineStr">
        <is>
          <t>Miss Glam Jambi</t>
        </is>
      </c>
      <c r="E4966" t="n">
        <v>3</v>
      </c>
      <c r="F4966" t="n">
        <v>0.07000000000000001</v>
      </c>
      <c r="G4966" t="n">
        <v>2</v>
      </c>
      <c r="H4966" t="n">
        <v>1</v>
      </c>
      <c r="I4966" t="n">
        <v>4</v>
      </c>
      <c r="J4966" t="n">
        <v>3</v>
      </c>
      <c r="K4966" t="n">
        <v>0</v>
      </c>
      <c r="L4966" t="n">
        <v>19800</v>
      </c>
      <c r="M4966" t="n">
        <v>24000</v>
      </c>
      <c r="N4966" t="n">
        <v>33</v>
      </c>
      <c r="O4966" t="n">
        <v>0.33</v>
      </c>
      <c r="P4966" t="n">
        <v>0</v>
      </c>
      <c r="Q4966" t="n">
        <v>0.07000000000000001</v>
      </c>
      <c r="R4966" t="n">
        <v>2</v>
      </c>
      <c r="S4966" t="n">
        <v>1680</v>
      </c>
      <c r="T4966" t="n">
        <v>8</v>
      </c>
      <c r="U4966" t="n">
        <v>9</v>
      </c>
      <c r="V4966" t="n">
        <v>30</v>
      </c>
      <c r="W4966" t="n">
        <v>3</v>
      </c>
      <c r="X4966" t="n">
        <v>42.85714285714285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13339</v>
      </c>
      <c r="AG4966" t="n">
        <v>2135</v>
      </c>
      <c r="AH4966" t="inlineStr">
        <is>
          <t>PT. WIRA ERINDO SEJAHTERA - PPN(JMB)</t>
        </is>
      </c>
      <c r="AI4966" t="n">
        <v>398</v>
      </c>
      <c r="AJ4966" t="inlineStr">
        <is>
          <t>XIXIU</t>
        </is>
      </c>
      <c r="AK4966" t="n">
        <v>9</v>
      </c>
      <c r="AL4966" t="inlineStr">
        <is>
          <t>Miss Glam Jambi</t>
        </is>
      </c>
      <c r="AM4966" t="n">
        <v>1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XIXIU</t>
        </is>
      </c>
      <c r="B4967" s="2">
        <f>"203003105718"</f>
        <v/>
      </c>
      <c r="C4967" t="inlineStr">
        <is>
          <t>XIXIU Divine Lipsteen Stain 08 Magnetic 2,5gr</t>
        </is>
      </c>
      <c r="D4967" t="inlineStr">
        <is>
          <t>Miss Glam Jambi</t>
        </is>
      </c>
      <c r="E4967" t="n">
        <v>3</v>
      </c>
      <c r="F4967" t="n">
        <v>0.1221</v>
      </c>
      <c r="G4967" t="n">
        <v>0.66</v>
      </c>
      <c r="H4967" t="n">
        <v>1</v>
      </c>
      <c r="I4967" t="n">
        <v>4</v>
      </c>
      <c r="J4967" t="n">
        <v>1</v>
      </c>
      <c r="K4967" t="n">
        <v>1</v>
      </c>
      <c r="L4967" t="n">
        <v>17100</v>
      </c>
      <c r="M4967" t="n">
        <v>19000</v>
      </c>
      <c r="N4967" t="n">
        <v>33</v>
      </c>
      <c r="O4967" t="n">
        <v>0.33</v>
      </c>
      <c r="P4967" t="n">
        <v>1</v>
      </c>
      <c r="Q4967" t="n">
        <v>0.08</v>
      </c>
      <c r="R4967" t="n">
        <v>1</v>
      </c>
      <c r="S4967" t="n">
        <v>2319.9</v>
      </c>
      <c r="T4967" t="n">
        <v>3</v>
      </c>
      <c r="U4967" t="n">
        <v>4</v>
      </c>
      <c r="V4967" t="n">
        <v>30</v>
      </c>
      <c r="W4967" t="n">
        <v>4</v>
      </c>
      <c r="X4967" t="n">
        <v>24.57002457002457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13339</v>
      </c>
      <c r="AG4967" t="n">
        <v>2135</v>
      </c>
      <c r="AH4967" t="inlineStr">
        <is>
          <t>PT. WIRA ERINDO SEJAHTERA - PPN(JMB)</t>
        </is>
      </c>
      <c r="AI4967" t="n">
        <v>398</v>
      </c>
      <c r="AJ4967" t="inlineStr">
        <is>
          <t>XIXIU</t>
        </is>
      </c>
      <c r="AK4967" t="n">
        <v>9</v>
      </c>
      <c r="AL4967" t="inlineStr">
        <is>
          <t>Miss Glam Jambi</t>
        </is>
      </c>
      <c r="AM4967" t="n">
        <v>1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XIXIU</t>
        </is>
      </c>
      <c r="B4968" s="2">
        <f>"203003105855"</f>
        <v/>
      </c>
      <c r="C4968" t="inlineStr">
        <is>
          <t>XIXIU Divine Lipsteen Stain 09 Sweet Diva 2,5gr</t>
        </is>
      </c>
      <c r="D4968" t="inlineStr">
        <is>
          <t>Miss Glam Jambi</t>
        </is>
      </c>
      <c r="E4968" t="n">
        <v>9</v>
      </c>
      <c r="F4968" t="n">
        <v>0.033</v>
      </c>
      <c r="G4968" t="n">
        <v>0.33</v>
      </c>
      <c r="H4968" t="n">
        <v>1</v>
      </c>
      <c r="I4968" t="n">
        <v>4</v>
      </c>
      <c r="J4968" t="n">
        <v>1</v>
      </c>
      <c r="K4968" t="n">
        <v>0</v>
      </c>
      <c r="L4968" t="n">
        <v>17100</v>
      </c>
      <c r="M4968" t="n">
        <v>19000</v>
      </c>
      <c r="N4968" t="n">
        <v>33</v>
      </c>
      <c r="O4968" t="n">
        <v>0.33</v>
      </c>
      <c r="P4968" t="n">
        <v>1</v>
      </c>
      <c r="Q4968" t="n">
        <v>0.02</v>
      </c>
      <c r="R4968" t="n">
        <v>1</v>
      </c>
      <c r="S4968" t="n">
        <v>627</v>
      </c>
      <c r="T4968" t="n">
        <v>2</v>
      </c>
      <c r="U4968" t="n">
        <v>3</v>
      </c>
      <c r="V4968" t="n">
        <v>30</v>
      </c>
      <c r="W4968" t="n">
        <v>1</v>
      </c>
      <c r="X4968" t="n">
        <v>272.7272727272727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13339</v>
      </c>
      <c r="AG4968" t="n">
        <v>2135</v>
      </c>
      <c r="AH4968" t="inlineStr">
        <is>
          <t>PT. WIRA ERINDO SEJAHTERA - PPN(JMB)</t>
        </is>
      </c>
      <c r="AI4968" t="n">
        <v>398</v>
      </c>
      <c r="AJ4968" t="inlineStr">
        <is>
          <t>XIXIU</t>
        </is>
      </c>
      <c r="AK4968" t="n">
        <v>9</v>
      </c>
      <c r="AL4968" t="inlineStr">
        <is>
          <t>Miss Glam Jambi</t>
        </is>
      </c>
      <c r="AM4968" t="n">
        <v>1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XIXIU</t>
        </is>
      </c>
      <c r="B4969" s="2">
        <f>"8997225412201"</f>
        <v/>
      </c>
      <c r="C4969" t="inlineStr">
        <is>
          <t>XIXIU Divine Liquid Eyeliner Pen Waterproof Black 1ml</t>
        </is>
      </c>
      <c r="D4969" t="inlineStr">
        <is>
          <t>Miss Glam Jambi</t>
        </is>
      </c>
      <c r="E4969" t="n">
        <v>39</v>
      </c>
      <c r="F4969" t="n">
        <v>1.1088</v>
      </c>
      <c r="G4969" t="n">
        <v>2.97</v>
      </c>
      <c r="H4969" t="n">
        <v>1</v>
      </c>
      <c r="I4969" t="n">
        <v>4</v>
      </c>
      <c r="J4969" t="n">
        <v>36</v>
      </c>
      <c r="K4969" t="n">
        <v>0</v>
      </c>
      <c r="L4969" t="n">
        <v>20475</v>
      </c>
      <c r="M4969" t="n">
        <v>22000</v>
      </c>
      <c r="N4969" t="n">
        <v>33</v>
      </c>
      <c r="O4969" t="n">
        <v>0.33</v>
      </c>
      <c r="P4969" t="n">
        <v>1</v>
      </c>
      <c r="Q4969" t="n">
        <v>0.61</v>
      </c>
      <c r="R4969" t="n">
        <v>3</v>
      </c>
      <c r="S4969" t="n">
        <v>24393.6</v>
      </c>
      <c r="T4969" t="n">
        <v>11</v>
      </c>
      <c r="U4969" t="n">
        <v>13</v>
      </c>
      <c r="V4969" t="n">
        <v>30</v>
      </c>
      <c r="W4969" t="n">
        <v>34</v>
      </c>
      <c r="X4969" t="n">
        <v>35.17316017316017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13339</v>
      </c>
      <c r="AG4969" t="n">
        <v>2135</v>
      </c>
      <c r="AH4969" t="inlineStr">
        <is>
          <t>PT. WIRA ERINDO SEJAHTERA - PPN(JMB)</t>
        </is>
      </c>
      <c r="AI4969" t="n">
        <v>398</v>
      </c>
      <c r="AJ4969" t="inlineStr">
        <is>
          <t>XIXIU</t>
        </is>
      </c>
      <c r="AK4969" t="n">
        <v>9</v>
      </c>
      <c r="AL4969" t="inlineStr">
        <is>
          <t>Miss Glam Jambi</t>
        </is>
      </c>
      <c r="AM4969" t="n">
        <v>1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XIXIU</t>
        </is>
      </c>
      <c r="B4970" s="2">
        <f>"8997225412300"</f>
        <v/>
      </c>
      <c r="C4970" t="inlineStr">
        <is>
          <t>XIXIU Divine Mascara Black Waterproof 10gr</t>
        </is>
      </c>
      <c r="D4970" t="inlineStr">
        <is>
          <t>Miss Glam Jambi</t>
        </is>
      </c>
      <c r="E4970" t="n">
        <v>21</v>
      </c>
      <c r="F4970" t="n">
        <v>2.9469</v>
      </c>
      <c r="G4970" t="n">
        <v>5.61</v>
      </c>
      <c r="H4970" t="n">
        <v>1</v>
      </c>
      <c r="I4970" t="n">
        <v>4</v>
      </c>
      <c r="J4970" t="n">
        <v>3</v>
      </c>
      <c r="K4970" t="n">
        <v>69</v>
      </c>
      <c r="L4970" t="n">
        <v>22050</v>
      </c>
      <c r="M4970" t="n">
        <v>24000</v>
      </c>
      <c r="N4970" t="n">
        <v>33</v>
      </c>
      <c r="O4970" t="n">
        <v>0.33</v>
      </c>
      <c r="P4970" t="n">
        <v>1</v>
      </c>
      <c r="Q4970" t="n">
        <v>0.86</v>
      </c>
      <c r="R4970" t="n">
        <v>4</v>
      </c>
      <c r="S4970" t="n">
        <v>70725.59999999999</v>
      </c>
      <c r="T4970" t="n">
        <v>20</v>
      </c>
      <c r="U4970" t="n">
        <v>23</v>
      </c>
      <c r="V4970" t="n">
        <v>30</v>
      </c>
      <c r="W4970" t="n">
        <v>89</v>
      </c>
      <c r="X4970" t="n">
        <v>7.126132546065358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13339</v>
      </c>
      <c r="AG4970" t="n">
        <v>2135</v>
      </c>
      <c r="AH4970" t="inlineStr">
        <is>
          <t>PT. WIRA ERINDO SEJAHTERA - PPN(JMB)</t>
        </is>
      </c>
      <c r="AI4970" t="n">
        <v>398</v>
      </c>
      <c r="AJ4970" t="inlineStr">
        <is>
          <t>XIXIU</t>
        </is>
      </c>
      <c r="AK4970" t="n">
        <v>9</v>
      </c>
      <c r="AL4970" t="inlineStr">
        <is>
          <t>Miss Glam Jambi</t>
        </is>
      </c>
      <c r="AM4970" t="n">
        <v>1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XIXIU</t>
        </is>
      </c>
      <c r="B4971" s="2">
        <f>"203003105643"</f>
        <v/>
      </c>
      <c r="C4971" t="inlineStr">
        <is>
          <t>XIXIU Divinie Lipsteen Stain 07 Crybaby 2,5gr</t>
        </is>
      </c>
      <c r="D4971" t="inlineStr">
        <is>
          <t>Miss Glam Jambi</t>
        </is>
      </c>
      <c r="E4971" t="n">
        <v>14</v>
      </c>
      <c r="F4971" t="n">
        <v>0.0165</v>
      </c>
      <c r="G4971" t="n">
        <v>0.33</v>
      </c>
      <c r="H4971" t="n">
        <v>1</v>
      </c>
      <c r="I4971" t="n">
        <v>4</v>
      </c>
      <c r="J4971" t="n">
        <v>1</v>
      </c>
      <c r="K4971" t="n">
        <v>0</v>
      </c>
      <c r="L4971" t="n">
        <v>17100</v>
      </c>
      <c r="M4971" t="n">
        <v>19000</v>
      </c>
      <c r="N4971" t="n">
        <v>33</v>
      </c>
      <c r="O4971" t="n">
        <v>0.33</v>
      </c>
      <c r="P4971" t="n">
        <v>1</v>
      </c>
      <c r="Q4971" t="n">
        <v>0.02</v>
      </c>
      <c r="R4971" t="n">
        <v>1</v>
      </c>
      <c r="S4971" t="n">
        <v>313.5</v>
      </c>
      <c r="T4971" t="n">
        <v>2</v>
      </c>
      <c r="U4971" t="n">
        <v>3</v>
      </c>
      <c r="V4971" t="n">
        <v>30</v>
      </c>
      <c r="W4971" t="n">
        <v>1</v>
      </c>
      <c r="X4971" t="n">
        <v>848.4848484848485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13339</v>
      </c>
      <c r="AG4971" t="n">
        <v>2135</v>
      </c>
      <c r="AH4971" t="inlineStr">
        <is>
          <t>PT. WIRA ERINDO SEJAHTERA - PPN(JMB)</t>
        </is>
      </c>
      <c r="AI4971" t="n">
        <v>398</v>
      </c>
      <c r="AJ4971" t="inlineStr">
        <is>
          <t>XIXIU</t>
        </is>
      </c>
      <c r="AK4971" t="n">
        <v>9</v>
      </c>
      <c r="AL4971" t="inlineStr">
        <is>
          <t>Miss Glam Jambi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XIXIU</t>
        </is>
      </c>
      <c r="B4972" s="2">
        <f>"8997225416285"</f>
        <v/>
      </c>
      <c r="C4972" t="inlineStr">
        <is>
          <t>XIXIU Eyebrow Pencil Black 01 2.5gr</t>
        </is>
      </c>
      <c r="D4972" t="inlineStr">
        <is>
          <t>Miss Glam Jambi</t>
        </is>
      </c>
      <c r="E4972" t="n">
        <v>8</v>
      </c>
      <c r="F4972" t="n">
        <v>0.24</v>
      </c>
      <c r="G4972" t="n">
        <v>2</v>
      </c>
      <c r="H4972" t="n">
        <v>1</v>
      </c>
      <c r="I4972" t="n">
        <v>4</v>
      </c>
      <c r="J4972" t="n">
        <v>3</v>
      </c>
      <c r="K4972" t="n">
        <v>0</v>
      </c>
      <c r="L4972" t="n">
        <v>4140</v>
      </c>
      <c r="M4972" t="n">
        <v>5000</v>
      </c>
      <c r="N4972" t="n">
        <v>33</v>
      </c>
      <c r="O4972" t="n">
        <v>0.33</v>
      </c>
      <c r="P4972" t="n">
        <v>0</v>
      </c>
      <c r="Q4972" t="n">
        <v>0.24</v>
      </c>
      <c r="R4972" t="n">
        <v>2</v>
      </c>
      <c r="S4972" t="n">
        <v>1200</v>
      </c>
      <c r="T4972" t="n">
        <v>8</v>
      </c>
      <c r="U4972" t="n">
        <v>9</v>
      </c>
      <c r="V4972" t="n">
        <v>30</v>
      </c>
      <c r="W4972" t="n">
        <v>8</v>
      </c>
      <c r="X4972" t="n">
        <v>33.33333333333334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13339</v>
      </c>
      <c r="AG4972" t="n">
        <v>2135</v>
      </c>
      <c r="AH4972" t="inlineStr">
        <is>
          <t>PT. WIRA ERINDO SEJAHTERA - PPN(JMB)</t>
        </is>
      </c>
      <c r="AI4972" t="n">
        <v>398</v>
      </c>
      <c r="AJ4972" t="inlineStr">
        <is>
          <t>XIXIU</t>
        </is>
      </c>
      <c r="AK4972" t="n">
        <v>9</v>
      </c>
      <c r="AL4972" t="inlineStr">
        <is>
          <t>Miss Glam Jambi</t>
        </is>
      </c>
      <c r="AM4972" t="n">
        <v>1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XIXIU</t>
        </is>
      </c>
      <c r="B4973" s="2">
        <f>"8997225416308"</f>
        <v/>
      </c>
      <c r="C4973" t="inlineStr">
        <is>
          <t>XIXIU Eyebrow Pencil Brown 02 2.5gr</t>
        </is>
      </c>
      <c r="D4973" t="inlineStr">
        <is>
          <t>Miss Glam Jambi</t>
        </is>
      </c>
      <c r="E4973" t="n">
        <v>3</v>
      </c>
      <c r="F4973" t="n">
        <v>0.25</v>
      </c>
      <c r="G4973" t="n">
        <v>2</v>
      </c>
      <c r="H4973" t="n">
        <v>1</v>
      </c>
      <c r="I4973" t="n">
        <v>4</v>
      </c>
      <c r="J4973" t="n">
        <v>3</v>
      </c>
      <c r="K4973" t="n">
        <v>6</v>
      </c>
      <c r="L4973" t="n">
        <v>4140</v>
      </c>
      <c r="M4973" t="n">
        <v>5000</v>
      </c>
      <c r="N4973" t="n">
        <v>33</v>
      </c>
      <c r="O4973" t="n">
        <v>0.33</v>
      </c>
      <c r="P4973" t="n">
        <v>0</v>
      </c>
      <c r="Q4973" t="n">
        <v>0.25</v>
      </c>
      <c r="R4973" t="n">
        <v>2</v>
      </c>
      <c r="S4973" t="n">
        <v>1250</v>
      </c>
      <c r="T4973" t="n">
        <v>8</v>
      </c>
      <c r="U4973" t="n">
        <v>9</v>
      </c>
      <c r="V4973" t="n">
        <v>30</v>
      </c>
      <c r="W4973" t="n">
        <v>8</v>
      </c>
      <c r="X4973" t="n">
        <v>12</v>
      </c>
      <c r="Y4973" t="n">
        <v>1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13339</v>
      </c>
      <c r="AG4973" t="n">
        <v>2135</v>
      </c>
      <c r="AH4973" t="inlineStr">
        <is>
          <t>PT. WIRA ERINDO SEJAHTERA - PPN(JMB)</t>
        </is>
      </c>
      <c r="AI4973" t="n">
        <v>398</v>
      </c>
      <c r="AJ4973" t="inlineStr">
        <is>
          <t>XIXIU</t>
        </is>
      </c>
      <c r="AK4973" t="n">
        <v>9</v>
      </c>
      <c r="AL4973" t="inlineStr">
        <is>
          <t>Miss Glam Jambi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XIXIU</t>
        </is>
      </c>
      <c r="B4974" s="2">
        <f>"8997225415141"</f>
        <v/>
      </c>
      <c r="C4974" t="inlineStr">
        <is>
          <t>XIXIU Hair Tonic With Eclipta Alba Extract For Hair Growth 20ml</t>
        </is>
      </c>
      <c r="D4974" t="inlineStr">
        <is>
          <t>Miss Glam Jambi</t>
        </is>
      </c>
      <c r="E4974" t="n">
        <v>6</v>
      </c>
      <c r="F4974" t="n">
        <v>0.02</v>
      </c>
      <c r="G4974" t="n">
        <v>1</v>
      </c>
      <c r="H4974" t="n">
        <v>1</v>
      </c>
      <c r="I4974" t="n">
        <v>4</v>
      </c>
      <c r="J4974" t="n">
        <v>3</v>
      </c>
      <c r="K4974" t="n">
        <v>0</v>
      </c>
      <c r="L4974" t="n">
        <v>13500</v>
      </c>
      <c r="M4974" t="n">
        <v>16000</v>
      </c>
      <c r="N4974" t="n">
        <v>33</v>
      </c>
      <c r="O4974" t="n">
        <v>0.33</v>
      </c>
      <c r="P4974" t="n">
        <v>0</v>
      </c>
      <c r="Q4974" t="n">
        <v>0.02</v>
      </c>
      <c r="R4974" t="n">
        <v>1</v>
      </c>
      <c r="S4974" t="n">
        <v>320</v>
      </c>
      <c r="T4974" t="n">
        <v>4</v>
      </c>
      <c r="U4974" t="n">
        <v>5</v>
      </c>
      <c r="V4974" t="n">
        <v>30</v>
      </c>
      <c r="W4974" t="n">
        <v>1</v>
      </c>
      <c r="X4974" t="n">
        <v>300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13339</v>
      </c>
      <c r="AG4974" t="n">
        <v>2135</v>
      </c>
      <c r="AH4974" t="inlineStr">
        <is>
          <t>PT. WIRA ERINDO SEJAHTERA - PPN(JMB)</t>
        </is>
      </c>
      <c r="AI4974" t="n">
        <v>398</v>
      </c>
      <c r="AJ4974" t="inlineStr">
        <is>
          <t>XIXIU</t>
        </is>
      </c>
      <c r="AK4974" t="n">
        <v>9</v>
      </c>
      <c r="AL4974" t="inlineStr">
        <is>
          <t>Miss Glam Jambi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XIXIU</t>
        </is>
      </c>
      <c r="B4975" s="2">
        <f>"8997225415158"</f>
        <v/>
      </c>
      <c r="C4975" t="inlineStr">
        <is>
          <t>XIXIU Hair Tonic With Panax Ginseng Root Extract for Hair Loss Treatment 20ml</t>
        </is>
      </c>
      <c r="D4975" t="inlineStr">
        <is>
          <t>Miss Glam Jambi</t>
        </is>
      </c>
      <c r="E4975" t="n">
        <v>5</v>
      </c>
      <c r="F4975" t="n">
        <v>0.02</v>
      </c>
      <c r="G4975" t="n">
        <v>1</v>
      </c>
      <c r="H4975" t="n">
        <v>1</v>
      </c>
      <c r="I4975" t="n">
        <v>4</v>
      </c>
      <c r="J4975" t="n">
        <v>3</v>
      </c>
      <c r="K4975" t="n">
        <v>0</v>
      </c>
      <c r="L4975" t="n">
        <v>13500</v>
      </c>
      <c r="M4975" t="n">
        <v>16000</v>
      </c>
      <c r="N4975" t="n">
        <v>33</v>
      </c>
      <c r="O4975" t="n">
        <v>0.33</v>
      </c>
      <c r="P4975" t="n">
        <v>0</v>
      </c>
      <c r="Q4975" t="n">
        <v>0.02</v>
      </c>
      <c r="R4975" t="n">
        <v>1</v>
      </c>
      <c r="S4975" t="n">
        <v>320</v>
      </c>
      <c r="T4975" t="n">
        <v>4</v>
      </c>
      <c r="U4975" t="n">
        <v>5</v>
      </c>
      <c r="V4975" t="n">
        <v>30</v>
      </c>
      <c r="W4975" t="n">
        <v>1</v>
      </c>
      <c r="X4975" t="n">
        <v>250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13339</v>
      </c>
      <c r="AG4975" t="n">
        <v>2135</v>
      </c>
      <c r="AH4975" t="inlineStr">
        <is>
          <t>PT. WIRA ERINDO SEJAHTERA - PPN(JMB)</t>
        </is>
      </c>
      <c r="AI4975" t="n">
        <v>398</v>
      </c>
      <c r="AJ4975" t="inlineStr">
        <is>
          <t>XIXIU</t>
        </is>
      </c>
      <c r="AK4975" t="n">
        <v>9</v>
      </c>
      <c r="AL4975" t="inlineStr">
        <is>
          <t>Miss Glam Jambi</t>
        </is>
      </c>
      <c r="AM4975" t="n">
        <v>1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XIXIU</t>
        </is>
      </c>
      <c r="B4976" s="2">
        <f>"10700514109"</f>
        <v/>
      </c>
      <c r="C4976" t="inlineStr">
        <is>
          <t>XIXIU Juicy Peach Lip Serum Natural Pink 2gr</t>
        </is>
      </c>
      <c r="D4976" t="inlineStr">
        <is>
          <t>Miss Glam Jambi</t>
        </is>
      </c>
      <c r="E4976" t="n">
        <v>23</v>
      </c>
      <c r="F4976" t="n">
        <v>0.07590000000000001</v>
      </c>
      <c r="G4976" t="n">
        <v>1.65</v>
      </c>
      <c r="H4976" t="n">
        <v>1</v>
      </c>
      <c r="I4976" t="n">
        <v>4</v>
      </c>
      <c r="J4976" t="n">
        <v>1</v>
      </c>
      <c r="K4976" t="n">
        <v>0</v>
      </c>
      <c r="L4976" t="n">
        <v>17550</v>
      </c>
      <c r="M4976" t="n">
        <v>19000</v>
      </c>
      <c r="N4976" t="n">
        <v>33</v>
      </c>
      <c r="O4976" t="n">
        <v>0.33</v>
      </c>
      <c r="P4976" t="n">
        <v>1</v>
      </c>
      <c r="Q4976" t="n">
        <v>0.17</v>
      </c>
      <c r="R4976" t="n">
        <v>3</v>
      </c>
      <c r="S4976" t="n">
        <v>1442.1</v>
      </c>
      <c r="T4976" t="n">
        <v>7</v>
      </c>
      <c r="U4976" t="n">
        <v>8</v>
      </c>
      <c r="V4976" t="n">
        <v>30</v>
      </c>
      <c r="W4976" t="n">
        <v>3</v>
      </c>
      <c r="X4976" t="n">
        <v>303.030303030303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13339</v>
      </c>
      <c r="AG4976" t="n">
        <v>2135</v>
      </c>
      <c r="AH4976" t="inlineStr">
        <is>
          <t>PT. WIRA ERINDO SEJAHTERA - PPN(JMB)</t>
        </is>
      </c>
      <c r="AI4976" t="n">
        <v>398</v>
      </c>
      <c r="AJ4976" t="inlineStr">
        <is>
          <t>XIXIU</t>
        </is>
      </c>
      <c r="AK4976" t="n">
        <v>9</v>
      </c>
      <c r="AL4976" t="inlineStr">
        <is>
          <t>Miss Glam Jambi</t>
        </is>
      </c>
      <c r="AM4976" t="n">
        <v>1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XIXIU</t>
        </is>
      </c>
      <c r="B4977" s="2">
        <f>"8997225413109"</f>
        <v/>
      </c>
      <c r="C4977" t="inlineStr">
        <is>
          <t>XIXIU Lip Serum 3gr</t>
        </is>
      </c>
      <c r="D4977" t="inlineStr">
        <is>
          <t>Miss Glam Jambi</t>
        </is>
      </c>
      <c r="E4977" t="n">
        <v>11</v>
      </c>
      <c r="F4977" t="n">
        <v>0.8349</v>
      </c>
      <c r="G4977" t="n">
        <v>2.64</v>
      </c>
      <c r="H4977" t="n">
        <v>1</v>
      </c>
      <c r="I4977" t="n">
        <v>4</v>
      </c>
      <c r="J4977" t="n">
        <v>3</v>
      </c>
      <c r="K4977" t="n">
        <v>15</v>
      </c>
      <c r="L4977" t="n">
        <v>17550</v>
      </c>
      <c r="M4977" t="n">
        <v>21000</v>
      </c>
      <c r="N4977" t="n">
        <v>33</v>
      </c>
      <c r="O4977" t="n">
        <v>0.33</v>
      </c>
      <c r="P4977" t="n">
        <v>1</v>
      </c>
      <c r="Q4977" t="n">
        <v>0.25</v>
      </c>
      <c r="R4977" t="n">
        <v>3</v>
      </c>
      <c r="S4977" t="n">
        <v>17532.9</v>
      </c>
      <c r="T4977" t="n">
        <v>10</v>
      </c>
      <c r="U4977" t="n">
        <v>11</v>
      </c>
      <c r="V4977" t="n">
        <v>30</v>
      </c>
      <c r="W4977" t="n">
        <v>26</v>
      </c>
      <c r="X4977" t="n">
        <v>13.17523056653491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13339</v>
      </c>
      <c r="AG4977" t="n">
        <v>2135</v>
      </c>
      <c r="AH4977" t="inlineStr">
        <is>
          <t>PT. WIRA ERINDO SEJAHTERA - PPN(JMB)</t>
        </is>
      </c>
      <c r="AI4977" t="n">
        <v>398</v>
      </c>
      <c r="AJ4977" t="inlineStr">
        <is>
          <t>XIXIU</t>
        </is>
      </c>
      <c r="AK4977" t="n">
        <v>9</v>
      </c>
      <c r="AL4977" t="inlineStr">
        <is>
          <t>Miss Glam Jambi</t>
        </is>
      </c>
      <c r="AM4977" t="n">
        <v>1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XIXIU</t>
        </is>
      </c>
      <c r="B4978" s="2">
        <f>"8997225410665"</f>
        <v/>
      </c>
      <c r="C4978" t="inlineStr">
        <is>
          <t>XIXIU Lip Tint Color 04 Red Cherry 5g</t>
        </is>
      </c>
      <c r="D4978" t="inlineStr">
        <is>
          <t>Miss Glam Jambi</t>
        </is>
      </c>
      <c r="E4978" t="n">
        <v>6</v>
      </c>
      <c r="F4978" t="n">
        <v>0.02</v>
      </c>
      <c r="G4978" t="n">
        <v>1</v>
      </c>
      <c r="H4978" t="n">
        <v>1</v>
      </c>
      <c r="I4978" t="n">
        <v>4</v>
      </c>
      <c r="J4978" t="n">
        <v>3</v>
      </c>
      <c r="K4978" t="n">
        <v>0</v>
      </c>
      <c r="L4978" t="n">
        <v>17100</v>
      </c>
      <c r="M4978" t="n">
        <v>22000</v>
      </c>
      <c r="N4978" t="n">
        <v>33</v>
      </c>
      <c r="O4978" t="n">
        <v>0.33</v>
      </c>
      <c r="P4978" t="n">
        <v>0</v>
      </c>
      <c r="Q4978" t="n">
        <v>0.02</v>
      </c>
      <c r="R4978" t="n">
        <v>1</v>
      </c>
      <c r="S4978" t="n">
        <v>440</v>
      </c>
      <c r="T4978" t="n">
        <v>4</v>
      </c>
      <c r="U4978" t="n">
        <v>5</v>
      </c>
      <c r="V4978" t="n">
        <v>30</v>
      </c>
      <c r="W4978" t="n">
        <v>1</v>
      </c>
      <c r="X4978" t="n">
        <v>300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13339</v>
      </c>
      <c r="AG4978" t="n">
        <v>2135</v>
      </c>
      <c r="AH4978" t="inlineStr">
        <is>
          <t>PT. WIRA ERINDO SEJAHTERA - PPN(JMB)</t>
        </is>
      </c>
      <c r="AI4978" t="n">
        <v>398</v>
      </c>
      <c r="AJ4978" t="inlineStr">
        <is>
          <t>XIXIU</t>
        </is>
      </c>
      <c r="AK4978" t="n">
        <v>9</v>
      </c>
      <c r="AL4978" t="inlineStr">
        <is>
          <t>Miss Glam Jambi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XIXIU</t>
        </is>
      </c>
      <c r="B4979" s="2">
        <f>"8997225410849"</f>
        <v/>
      </c>
      <c r="C4979" t="inlineStr">
        <is>
          <t>XIXIU Lovely Mascara Black Waterfroof And Volumizing 10gr</t>
        </is>
      </c>
      <c r="D4979" t="inlineStr">
        <is>
          <t>Miss Glam Jambi</t>
        </is>
      </c>
      <c r="E4979" t="n">
        <v>1</v>
      </c>
      <c r="F4979" t="n">
        <v>1.1451</v>
      </c>
      <c r="G4979" t="n">
        <v>2.97</v>
      </c>
      <c r="H4979" t="n">
        <v>1</v>
      </c>
      <c r="I4979" t="n">
        <v>4</v>
      </c>
      <c r="J4979" t="n">
        <v>3</v>
      </c>
      <c r="K4979" t="n">
        <v>33</v>
      </c>
      <c r="L4979" t="n">
        <v>22050</v>
      </c>
      <c r="M4979" t="n">
        <v>24000</v>
      </c>
      <c r="N4979" t="n">
        <v>33</v>
      </c>
      <c r="O4979" t="n">
        <v>0.33</v>
      </c>
      <c r="P4979" t="n">
        <v>1</v>
      </c>
      <c r="Q4979" t="n">
        <v>0.29</v>
      </c>
      <c r="R4979" t="n">
        <v>2</v>
      </c>
      <c r="S4979" t="n">
        <v>27482.40000000001</v>
      </c>
      <c r="T4979" t="n">
        <v>11</v>
      </c>
      <c r="U4979" t="n">
        <v>13</v>
      </c>
      <c r="V4979" t="n">
        <v>30</v>
      </c>
      <c r="W4979" t="n">
        <v>35</v>
      </c>
      <c r="X4979" t="n">
        <v>0.8732861758798357</v>
      </c>
      <c r="Y4979" t="n">
        <v>1</v>
      </c>
      <c r="Z4979" t="n">
        <v>1</v>
      </c>
      <c r="AA4979" t="n">
        <v>3</v>
      </c>
      <c r="AB4979" t="n">
        <v>0</v>
      </c>
      <c r="AC4979" t="n">
        <v>0</v>
      </c>
      <c r="AD4979" t="n">
        <v>66150</v>
      </c>
      <c r="AE4979" t="n">
        <v>0</v>
      </c>
      <c r="AF4979" t="n">
        <v>13339</v>
      </c>
      <c r="AG4979" t="n">
        <v>2135</v>
      </c>
      <c r="AH4979" t="inlineStr">
        <is>
          <t>PT. WIRA ERINDO SEJAHTERA - PPN(JMB)</t>
        </is>
      </c>
      <c r="AI4979" t="n">
        <v>398</v>
      </c>
      <c r="AJ4979" t="inlineStr">
        <is>
          <t>XIXIU</t>
        </is>
      </c>
      <c r="AK4979" t="n">
        <v>9</v>
      </c>
      <c r="AL4979" t="inlineStr">
        <is>
          <t>Miss Glam Jambi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XIXIU</t>
        </is>
      </c>
      <c r="B4980" s="2">
        <f>"8997225414144"</f>
        <v/>
      </c>
      <c r="C4980" t="inlineStr">
        <is>
          <t>XIXIU Matte Up Lip Cream 05 Caramel Haze 5gr</t>
        </is>
      </c>
      <c r="D4980" t="inlineStr">
        <is>
          <t>Miss Glam Jambi</t>
        </is>
      </c>
      <c r="E4980" t="n">
        <v>6</v>
      </c>
      <c r="F4980" t="n">
        <v>0.033</v>
      </c>
      <c r="G4980" t="n">
        <v>0.66</v>
      </c>
      <c r="H4980" t="n">
        <v>1</v>
      </c>
      <c r="I4980" t="n">
        <v>4</v>
      </c>
      <c r="J4980" t="n">
        <v>3</v>
      </c>
      <c r="K4980" t="n">
        <v>0</v>
      </c>
      <c r="L4980" t="n">
        <v>19350</v>
      </c>
      <c r="M4980" t="n">
        <v>23000</v>
      </c>
      <c r="N4980" t="n">
        <v>33</v>
      </c>
      <c r="O4980" t="n">
        <v>0.33</v>
      </c>
      <c r="P4980" t="n">
        <v>1</v>
      </c>
      <c r="Q4980" t="n">
        <v>0.02</v>
      </c>
      <c r="R4980" t="n">
        <v>1</v>
      </c>
      <c r="S4980" t="n">
        <v>759</v>
      </c>
      <c r="T4980" t="n">
        <v>3</v>
      </c>
      <c r="U4980" t="n">
        <v>4</v>
      </c>
      <c r="V4980" t="n">
        <v>30</v>
      </c>
      <c r="W4980" t="n">
        <v>1</v>
      </c>
      <c r="X4980" t="n">
        <v>181.8181818181818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13339</v>
      </c>
      <c r="AG4980" t="n">
        <v>2135</v>
      </c>
      <c r="AH4980" t="inlineStr">
        <is>
          <t>PT. WIRA ERINDO SEJAHTERA - PPN(JMB)</t>
        </is>
      </c>
      <c r="AI4980" t="n">
        <v>398</v>
      </c>
      <c r="AJ4980" t="inlineStr">
        <is>
          <t>XIXIU</t>
        </is>
      </c>
      <c r="AK4980" t="n">
        <v>9</v>
      </c>
      <c r="AL4980" t="inlineStr">
        <is>
          <t>Miss Glam Jambi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XIXIU</t>
        </is>
      </c>
      <c r="B4981" s="2">
        <f>"8997225411723"</f>
        <v/>
      </c>
      <c r="C4981" t="inlineStr">
        <is>
          <t>XIXIU Powder Blush B 8g</t>
        </is>
      </c>
      <c r="D4981" t="inlineStr">
        <is>
          <t>Miss Glam Jambi</t>
        </is>
      </c>
      <c r="E4981" t="n">
        <v>3</v>
      </c>
      <c r="F4981" t="n">
        <v>0.03</v>
      </c>
      <c r="G4981" t="n">
        <v>1</v>
      </c>
      <c r="H4981" t="n">
        <v>1</v>
      </c>
      <c r="I4981" t="n">
        <v>4</v>
      </c>
      <c r="J4981" t="n">
        <v>3</v>
      </c>
      <c r="K4981" t="n">
        <v>0</v>
      </c>
      <c r="L4981" t="n">
        <v>16875</v>
      </c>
      <c r="M4981" t="n">
        <v>21000</v>
      </c>
      <c r="N4981" t="n">
        <v>33</v>
      </c>
      <c r="O4981" t="n">
        <v>0.33</v>
      </c>
      <c r="P4981" t="n">
        <v>0</v>
      </c>
      <c r="Q4981" t="n">
        <v>0.03</v>
      </c>
      <c r="R4981" t="n">
        <v>1</v>
      </c>
      <c r="S4981" t="n">
        <v>630</v>
      </c>
      <c r="T4981" t="n">
        <v>4</v>
      </c>
      <c r="U4981" t="n">
        <v>5</v>
      </c>
      <c r="V4981" t="n">
        <v>30</v>
      </c>
      <c r="W4981" t="n">
        <v>1</v>
      </c>
      <c r="X4981" t="n">
        <v>100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13339</v>
      </c>
      <c r="AG4981" t="n">
        <v>2135</v>
      </c>
      <c r="AH4981" t="inlineStr">
        <is>
          <t>PT. WIRA ERINDO SEJAHTERA - PPN(JMB)</t>
        </is>
      </c>
      <c r="AI4981" t="n">
        <v>398</v>
      </c>
      <c r="AJ4981" t="inlineStr">
        <is>
          <t>XIXIU</t>
        </is>
      </c>
      <c r="AK4981" t="n">
        <v>9</v>
      </c>
      <c r="AL4981" t="inlineStr">
        <is>
          <t>Miss Glam Jambi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XIXIU</t>
        </is>
      </c>
      <c r="B4982" s="2">
        <f>"8997225411747"</f>
        <v/>
      </c>
      <c r="C4982" t="inlineStr">
        <is>
          <t>XIXIU Powder Blush On D 8g</t>
        </is>
      </c>
      <c r="D4982" t="inlineStr">
        <is>
          <t>Miss Glam Jambi</t>
        </is>
      </c>
      <c r="E4982" t="n">
        <v>5</v>
      </c>
      <c r="F4982" t="n">
        <v>0.0165</v>
      </c>
      <c r="G4982" t="n">
        <v>0.66</v>
      </c>
      <c r="H4982" t="n">
        <v>1</v>
      </c>
      <c r="I4982" t="n">
        <v>4</v>
      </c>
      <c r="J4982" t="n">
        <v>3</v>
      </c>
      <c r="K4982" t="n">
        <v>0</v>
      </c>
      <c r="L4982" t="n">
        <v>16875</v>
      </c>
      <c r="M4982" t="n">
        <v>21000</v>
      </c>
      <c r="N4982" t="n">
        <v>33</v>
      </c>
      <c r="O4982" t="n">
        <v>0.33</v>
      </c>
      <c r="P4982" t="n">
        <v>1</v>
      </c>
      <c r="Q4982" t="n">
        <v>0.02</v>
      </c>
      <c r="R4982" t="n">
        <v>1</v>
      </c>
      <c r="S4982" t="n">
        <v>346.5</v>
      </c>
      <c r="T4982" t="n">
        <v>3</v>
      </c>
      <c r="U4982" t="n">
        <v>4</v>
      </c>
      <c r="V4982" t="n">
        <v>30</v>
      </c>
      <c r="W4982" t="n">
        <v>1</v>
      </c>
      <c r="X4982" t="n">
        <v>303.030303030303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13339</v>
      </c>
      <c r="AG4982" t="n">
        <v>2135</v>
      </c>
      <c r="AH4982" t="inlineStr">
        <is>
          <t>PT. WIRA ERINDO SEJAHTERA - PPN(JMB)</t>
        </is>
      </c>
      <c r="AI4982" t="n">
        <v>398</v>
      </c>
      <c r="AJ4982" t="inlineStr">
        <is>
          <t>XIXIU</t>
        </is>
      </c>
      <c r="AK4982" t="n">
        <v>9</v>
      </c>
      <c r="AL4982" t="inlineStr">
        <is>
          <t>Miss Glam Jambi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XIXIU</t>
        </is>
      </c>
      <c r="B4983" s="2">
        <f>"8997225415318"</f>
        <v/>
      </c>
      <c r="C4983" t="inlineStr">
        <is>
          <t>XIXIU Ultimate Eyeliner Pen Xtra Gorgeous 2in1 1ml</t>
        </is>
      </c>
      <c r="D4983" t="inlineStr">
        <is>
          <t>Miss Glam Jambi</t>
        </is>
      </c>
      <c r="E4983" t="n">
        <v>0</v>
      </c>
      <c r="F4983" t="n">
        <v>0.0495</v>
      </c>
      <c r="G4983" t="n">
        <v>0.66</v>
      </c>
      <c r="H4983" t="n">
        <v>1</v>
      </c>
      <c r="I4983" t="n">
        <v>4</v>
      </c>
      <c r="J4983" t="n">
        <v>3</v>
      </c>
      <c r="K4983" t="n">
        <v>3</v>
      </c>
      <c r="L4983" t="n">
        <v>31500</v>
      </c>
      <c r="M4983" t="n">
        <v>37500</v>
      </c>
      <c r="N4983" t="n">
        <v>33</v>
      </c>
      <c r="O4983" t="n">
        <v>0.33</v>
      </c>
      <c r="P4983" t="n">
        <v>1</v>
      </c>
      <c r="Q4983" t="n">
        <v>0.03</v>
      </c>
      <c r="R4983" t="n">
        <v>1</v>
      </c>
      <c r="S4983" t="n">
        <v>1856.25</v>
      </c>
      <c r="T4983" t="n">
        <v>3</v>
      </c>
      <c r="U4983" t="n">
        <v>4</v>
      </c>
      <c r="V4983" t="n">
        <v>30</v>
      </c>
      <c r="W4983" t="n">
        <v>2</v>
      </c>
      <c r="X4983" t="n">
        <v>0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13339</v>
      </c>
      <c r="AG4983" t="n">
        <v>2135</v>
      </c>
      <c r="AH4983" t="inlineStr">
        <is>
          <t>PT. WIRA ERINDO SEJAHTERA - PPN(JMB)</t>
        </is>
      </c>
      <c r="AI4983" t="n">
        <v>398</v>
      </c>
      <c r="AJ4983" t="inlineStr">
        <is>
          <t>XIXIU</t>
        </is>
      </c>
      <c r="AK4983" t="n">
        <v>9</v>
      </c>
      <c r="AL4983" t="inlineStr">
        <is>
          <t>Miss Glam Jambi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XIXIU</t>
        </is>
      </c>
      <c r="B4984" s="2">
        <f>"8997225415271"</f>
        <v/>
      </c>
      <c r="C4984" t="inlineStr">
        <is>
          <t>XIXIU Ultimate Eyeliner Pen Xtra Gorgeous thin &amp; precious 1ml</t>
        </is>
      </c>
      <c r="D4984" t="inlineStr">
        <is>
          <t>Miss Glam Jambi</t>
        </is>
      </c>
      <c r="E4984" t="n">
        <v>11</v>
      </c>
      <c r="F4984" t="n">
        <v>0.9239999999999999</v>
      </c>
      <c r="G4984" t="n">
        <v>2.64</v>
      </c>
      <c r="H4984" t="n">
        <v>1</v>
      </c>
      <c r="I4984" t="n">
        <v>4</v>
      </c>
      <c r="J4984" t="n">
        <v>36</v>
      </c>
      <c r="K4984" t="n">
        <v>36</v>
      </c>
      <c r="L4984" t="n">
        <v>19800</v>
      </c>
      <c r="M4984" t="n">
        <v>23500</v>
      </c>
      <c r="N4984" t="n">
        <v>33</v>
      </c>
      <c r="O4984" t="n">
        <v>0.33</v>
      </c>
      <c r="P4984" t="n">
        <v>1</v>
      </c>
      <c r="Q4984" t="n">
        <v>0.17</v>
      </c>
      <c r="R4984" t="n">
        <v>2</v>
      </c>
      <c r="S4984" t="n">
        <v>21714</v>
      </c>
      <c r="T4984" t="n">
        <v>10</v>
      </c>
      <c r="U4984" t="n">
        <v>11</v>
      </c>
      <c r="V4984" t="n">
        <v>30</v>
      </c>
      <c r="W4984" t="n">
        <v>28</v>
      </c>
      <c r="X4984" t="n">
        <v>11.90476190476191</v>
      </c>
      <c r="Y4984" t="n">
        <v>1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13339</v>
      </c>
      <c r="AG4984" t="n">
        <v>2135</v>
      </c>
      <c r="AH4984" t="inlineStr">
        <is>
          <t>PT. WIRA ERINDO SEJAHTERA - PPN(JMB)</t>
        </is>
      </c>
      <c r="AI4984" t="n">
        <v>398</v>
      </c>
      <c r="AJ4984" t="inlineStr">
        <is>
          <t>XIXIU</t>
        </is>
      </c>
      <c r="AK4984" t="n">
        <v>9</v>
      </c>
      <c r="AL4984" t="inlineStr">
        <is>
          <t>Miss Glam Jambi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XIXIU</t>
        </is>
      </c>
      <c r="B4985" s="2">
        <f>"8997225414830"</f>
        <v/>
      </c>
      <c r="C4985" t="inlineStr">
        <is>
          <t>XIXIU Ultimate LashXtra Mascara 10gr</t>
        </is>
      </c>
      <c r="D4985" t="inlineStr">
        <is>
          <t>Miss Glam Jambi</t>
        </is>
      </c>
      <c r="E4985" t="n">
        <v>23</v>
      </c>
      <c r="F4985" t="n">
        <v>1.4652</v>
      </c>
      <c r="G4985" t="n">
        <v>3.63</v>
      </c>
      <c r="H4985" t="n">
        <v>1</v>
      </c>
      <c r="I4985" t="n">
        <v>4</v>
      </c>
      <c r="J4985" t="n">
        <v>3</v>
      </c>
      <c r="K4985" t="n">
        <v>0</v>
      </c>
      <c r="L4985" t="n">
        <v>22050</v>
      </c>
      <c r="M4985" t="n">
        <v>24000</v>
      </c>
      <c r="N4985" t="n">
        <v>33</v>
      </c>
      <c r="O4985" t="n">
        <v>0.33</v>
      </c>
      <c r="P4985" t="n">
        <v>1</v>
      </c>
      <c r="Q4985" t="n">
        <v>0.37</v>
      </c>
      <c r="R4985" t="n">
        <v>2</v>
      </c>
      <c r="S4985" t="n">
        <v>35164.80000000001</v>
      </c>
      <c r="T4985" t="n">
        <v>14</v>
      </c>
      <c r="U4985" t="n">
        <v>16</v>
      </c>
      <c r="V4985" t="n">
        <v>30</v>
      </c>
      <c r="W4985" t="n">
        <v>44</v>
      </c>
      <c r="X4985" t="n">
        <v>15.69751569751569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13339</v>
      </c>
      <c r="AG4985" t="n">
        <v>2135</v>
      </c>
      <c r="AH4985" t="inlineStr">
        <is>
          <t>PT. WIRA ERINDO SEJAHTERA - PPN(JMB)</t>
        </is>
      </c>
      <c r="AI4985" t="n">
        <v>398</v>
      </c>
      <c r="AJ4985" t="inlineStr">
        <is>
          <t>XIXIU</t>
        </is>
      </c>
      <c r="AK4985" t="n">
        <v>9</v>
      </c>
      <c r="AL4985" t="inlineStr">
        <is>
          <t>Miss Glam Jambi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XIXIU</t>
        </is>
      </c>
      <c r="B4986" s="2">
        <f>"8997225415295"</f>
        <v/>
      </c>
      <c r="C4986" t="inlineStr">
        <is>
          <t>XIXIU Ultimate Xtra Gorgeous Eyebrow Pencil 01 Natural Black 2.5gr</t>
        </is>
      </c>
      <c r="D4986" t="inlineStr">
        <is>
          <t>Miss Glam Jambi</t>
        </is>
      </c>
      <c r="E4986" t="n">
        <v>7</v>
      </c>
      <c r="F4986" t="n">
        <v>0.3465</v>
      </c>
      <c r="G4986" t="n">
        <v>3.3</v>
      </c>
      <c r="H4986" t="n">
        <v>1</v>
      </c>
      <c r="I4986" t="n">
        <v>4</v>
      </c>
      <c r="J4986" t="n">
        <v>3</v>
      </c>
      <c r="K4986" t="n">
        <v>4</v>
      </c>
      <c r="L4986" t="n">
        <v>4275</v>
      </c>
      <c r="M4986" t="n">
        <v>5500</v>
      </c>
      <c r="N4986" t="n">
        <v>33</v>
      </c>
      <c r="O4986" t="n">
        <v>0.33</v>
      </c>
      <c r="P4986" t="n">
        <v>1</v>
      </c>
      <c r="Q4986" t="n">
        <v>0.08</v>
      </c>
      <c r="R4986" t="n">
        <v>1</v>
      </c>
      <c r="S4986" t="n">
        <v>1905.75</v>
      </c>
      <c r="T4986" t="n">
        <v>13</v>
      </c>
      <c r="U4986" t="n">
        <v>14</v>
      </c>
      <c r="V4986" t="n">
        <v>30</v>
      </c>
      <c r="W4986" t="n">
        <v>11</v>
      </c>
      <c r="X4986" t="n">
        <v>20.2020202020202</v>
      </c>
      <c r="Y4986" t="n">
        <v>1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13339</v>
      </c>
      <c r="AG4986" t="n">
        <v>2135</v>
      </c>
      <c r="AH4986" t="inlineStr">
        <is>
          <t>PT. WIRA ERINDO SEJAHTERA - PPN(JMB)</t>
        </is>
      </c>
      <c r="AI4986" t="n">
        <v>398</v>
      </c>
      <c r="AJ4986" t="inlineStr">
        <is>
          <t>XIXIU</t>
        </is>
      </c>
      <c r="AK4986" t="n">
        <v>9</v>
      </c>
      <c r="AL4986" t="inlineStr">
        <is>
          <t>Miss Glam Jambi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XIXIU</t>
        </is>
      </c>
      <c r="B4987" s="2">
        <f>"8997225415356"</f>
        <v/>
      </c>
      <c r="C4987" t="inlineStr">
        <is>
          <t>XIXIU Ultimate Xtra Gorgeous Eyebrow Pencil 02 Natural Brown 2.5gr</t>
        </is>
      </c>
      <c r="D4987" t="inlineStr">
        <is>
          <t>Miss Glam Jambi</t>
        </is>
      </c>
      <c r="E4987" t="n">
        <v>1</v>
      </c>
      <c r="F4987" t="n">
        <v>0.14</v>
      </c>
      <c r="G4987" t="n">
        <v>1</v>
      </c>
      <c r="H4987" t="n">
        <v>1</v>
      </c>
      <c r="I4987" t="n">
        <v>4</v>
      </c>
      <c r="J4987" t="n">
        <v>3</v>
      </c>
      <c r="K4987" t="n">
        <v>6</v>
      </c>
      <c r="L4987" t="n">
        <v>4275</v>
      </c>
      <c r="M4987" t="n">
        <v>5500</v>
      </c>
      <c r="N4987" t="n">
        <v>33</v>
      </c>
      <c r="O4987" t="n">
        <v>0.33</v>
      </c>
      <c r="P4987" t="n">
        <v>0</v>
      </c>
      <c r="Q4987" t="n">
        <v>0.14</v>
      </c>
      <c r="R4987" t="n">
        <v>1</v>
      </c>
      <c r="S4987" t="n">
        <v>770.0000000000001</v>
      </c>
      <c r="T4987" t="n">
        <v>4</v>
      </c>
      <c r="U4987" t="n">
        <v>5</v>
      </c>
      <c r="V4987" t="n">
        <v>30</v>
      </c>
      <c r="W4987" t="n">
        <v>5</v>
      </c>
      <c r="X4987" t="n">
        <v>7.142857142857142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13339</v>
      </c>
      <c r="AG4987" t="n">
        <v>2135</v>
      </c>
      <c r="AH4987" t="inlineStr">
        <is>
          <t>PT. WIRA ERINDO SEJAHTERA - PPN(JMB)</t>
        </is>
      </c>
      <c r="AI4987" t="n">
        <v>398</v>
      </c>
      <c r="AJ4987" t="inlineStr">
        <is>
          <t>XIXIU</t>
        </is>
      </c>
      <c r="AK4987" t="n">
        <v>9</v>
      </c>
      <c r="AL4987" t="inlineStr">
        <is>
          <t>Miss Glam Jambi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XIXIU</t>
        </is>
      </c>
      <c r="B4988" s="2">
        <f>"8997225415387"</f>
        <v/>
      </c>
      <c r="C4988" t="inlineStr">
        <is>
          <t>XIXIU Ultimate Xtra Gorgeous Eyeliner Pencil Silver 2.5gr</t>
        </is>
      </c>
      <c r="D4988" t="inlineStr">
        <is>
          <t>Miss Glam Jambi</t>
        </is>
      </c>
      <c r="E4988" t="n">
        <v>16</v>
      </c>
      <c r="F4988" t="n">
        <v>0.0264</v>
      </c>
      <c r="G4988" t="n">
        <v>0.66</v>
      </c>
      <c r="H4988" t="n">
        <v>1</v>
      </c>
      <c r="I4988" t="n">
        <v>4</v>
      </c>
      <c r="J4988" t="n">
        <v>3</v>
      </c>
      <c r="K4988" t="n">
        <v>0</v>
      </c>
      <c r="L4988" t="n">
        <v>4275</v>
      </c>
      <c r="M4988" t="n">
        <v>5500</v>
      </c>
      <c r="N4988" t="n">
        <v>33</v>
      </c>
      <c r="O4988" t="n">
        <v>0.33</v>
      </c>
      <c r="P4988" t="n">
        <v>1</v>
      </c>
      <c r="Q4988" t="n">
        <v>0.02</v>
      </c>
      <c r="R4988" t="n">
        <v>1</v>
      </c>
      <c r="S4988" t="n">
        <v>145.2</v>
      </c>
      <c r="T4988" t="n">
        <v>3</v>
      </c>
      <c r="U4988" t="n">
        <v>4</v>
      </c>
      <c r="V4988" t="n">
        <v>30</v>
      </c>
      <c r="W4988" t="n">
        <v>1</v>
      </c>
      <c r="X4988" t="n">
        <v>606.060606060606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13339</v>
      </c>
      <c r="AG4988" t="n">
        <v>2135</v>
      </c>
      <c r="AH4988" t="inlineStr">
        <is>
          <t>PT. WIRA ERINDO SEJAHTERA - PPN(JMB)</t>
        </is>
      </c>
      <c r="AI4988" t="n">
        <v>398</v>
      </c>
      <c r="AJ4988" t="inlineStr">
        <is>
          <t>XIXIU</t>
        </is>
      </c>
      <c r="AK4988" t="n">
        <v>9</v>
      </c>
      <c r="AL4988" t="inlineStr">
        <is>
          <t>Miss Glam Jambi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XIXIU</t>
        </is>
      </c>
      <c r="B4989" s="2">
        <f>"8997225414472"</f>
        <v/>
      </c>
      <c r="C4989" t="inlineStr">
        <is>
          <t>XIXIU Winged Stamp Eyeliner 2in1 10gr</t>
        </is>
      </c>
      <c r="D4989" t="inlineStr">
        <is>
          <t>Miss Glam Jambi</t>
        </is>
      </c>
      <c r="E4989" t="n">
        <v>14</v>
      </c>
      <c r="F4989" t="n">
        <v>0.5544</v>
      </c>
      <c r="G4989" t="n">
        <v>2.31</v>
      </c>
      <c r="H4989" t="n">
        <v>1</v>
      </c>
      <c r="I4989" t="n">
        <v>4</v>
      </c>
      <c r="J4989" t="n">
        <v>3</v>
      </c>
      <c r="K4989" t="n">
        <v>0</v>
      </c>
      <c r="L4989" t="n">
        <v>22050</v>
      </c>
      <c r="M4989" t="n">
        <v>26500</v>
      </c>
      <c r="N4989" t="n">
        <v>33</v>
      </c>
      <c r="O4989" t="n">
        <v>0.33</v>
      </c>
      <c r="P4989" t="n">
        <v>1</v>
      </c>
      <c r="Q4989" t="n">
        <v>0.02</v>
      </c>
      <c r="R4989" t="n">
        <v>1</v>
      </c>
      <c r="S4989" t="n">
        <v>14691.6</v>
      </c>
      <c r="T4989" t="n">
        <v>9</v>
      </c>
      <c r="U4989" t="n">
        <v>10</v>
      </c>
      <c r="V4989" t="n">
        <v>30</v>
      </c>
      <c r="W4989" t="n">
        <v>17</v>
      </c>
      <c r="X4989" t="n">
        <v>25.25252525252525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13339</v>
      </c>
      <c r="AG4989" t="n">
        <v>2135</v>
      </c>
      <c r="AH4989" t="inlineStr">
        <is>
          <t>PT. WIRA ERINDO SEJAHTERA - PPN(JMB)</t>
        </is>
      </c>
      <c r="AI4989" t="n">
        <v>398</v>
      </c>
      <c r="AJ4989" t="inlineStr">
        <is>
          <t>XIXIU</t>
        </is>
      </c>
      <c r="AK4989" t="n">
        <v>9</v>
      </c>
      <c r="AL4989" t="inlineStr">
        <is>
          <t>Miss Glam Jambi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YESSICA'S</t>
        </is>
      </c>
      <c r="B4990" s="2">
        <f>"8993319861313"</f>
        <v/>
      </c>
      <c r="C4990" t="inlineStr">
        <is>
          <t>YESSICA'S Cleansing Masque With Strawberry Facial Cleansing 50gr</t>
        </is>
      </c>
      <c r="D4990" t="inlineStr">
        <is>
          <t>Miss Glam Jambi</t>
        </is>
      </c>
      <c r="E4990" t="n">
        <v>9</v>
      </c>
      <c r="F4990" t="n">
        <v>0.033</v>
      </c>
      <c r="G4990" t="n">
        <v>0.33</v>
      </c>
      <c r="H4990" t="n">
        <v>4</v>
      </c>
      <c r="I4990" t="n">
        <v>20</v>
      </c>
      <c r="J4990" t="n">
        <v>3</v>
      </c>
      <c r="K4990" t="n">
        <v>0</v>
      </c>
      <c r="L4990" t="n">
        <v>27726</v>
      </c>
      <c r="M4990" t="n">
        <v>37000</v>
      </c>
      <c r="N4990" t="n">
        <v>33</v>
      </c>
      <c r="O4990" t="n">
        <v>0.33</v>
      </c>
      <c r="P4990" t="n">
        <v>1</v>
      </c>
      <c r="Q4990" t="n">
        <v>0.05</v>
      </c>
      <c r="R4990" t="n">
        <v>1</v>
      </c>
      <c r="S4990" t="n">
        <v>1221</v>
      </c>
      <c r="T4990" t="n">
        <v>7</v>
      </c>
      <c r="U4990" t="n">
        <v>8</v>
      </c>
      <c r="V4990" t="n">
        <v>30</v>
      </c>
      <c r="W4990" t="n">
        <v>1</v>
      </c>
      <c r="X4990" t="n">
        <v>272.7272727272727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9305</v>
      </c>
      <c r="AG4990" t="n">
        <v>1</v>
      </c>
      <c r="AH4990" t="inlineStr">
        <is>
          <t>PT. BERSAMA DISTRIVERSA INDONESIA (DC CIPUTAT)</t>
        </is>
      </c>
      <c r="AI4990" t="n">
        <v>1853</v>
      </c>
      <c r="AJ4990" t="inlineStr">
        <is>
          <t>YESSICA'S</t>
        </is>
      </c>
      <c r="AK4990" t="n">
        <v>9</v>
      </c>
      <c r="AL4990" t="inlineStr">
        <is>
          <t>Miss Glam Jambi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YESSICA'S</t>
        </is>
      </c>
      <c r="B4991" s="2">
        <f>"8993319861238"</f>
        <v/>
      </c>
      <c r="C4991" t="inlineStr">
        <is>
          <t>YESSICA'S Cleansing Masque With Tea Tree Facial Cleansing 50gr</t>
        </is>
      </c>
      <c r="D4991" t="inlineStr">
        <is>
          <t>Miss Glam Jambi</t>
        </is>
      </c>
      <c r="E4991" t="n">
        <v>10</v>
      </c>
      <c r="F4991" t="n">
        <v>0.0462</v>
      </c>
      <c r="G4991" t="n">
        <v>0.66</v>
      </c>
      <c r="H4991" t="n">
        <v>4</v>
      </c>
      <c r="I4991" t="n">
        <v>20</v>
      </c>
      <c r="J4991" t="n">
        <v>3</v>
      </c>
      <c r="K4991" t="n">
        <v>0</v>
      </c>
      <c r="L4991" t="n">
        <v>27726</v>
      </c>
      <c r="M4991" t="n">
        <v>37000</v>
      </c>
      <c r="N4991" t="n">
        <v>33</v>
      </c>
      <c r="O4991" t="n">
        <v>0.33</v>
      </c>
      <c r="P4991" t="n">
        <v>1</v>
      </c>
      <c r="Q4991" t="n">
        <v>0.02</v>
      </c>
      <c r="R4991" t="n">
        <v>1</v>
      </c>
      <c r="S4991" t="n">
        <v>1709.4</v>
      </c>
      <c r="T4991" t="n">
        <v>14</v>
      </c>
      <c r="U4991" t="n">
        <v>15</v>
      </c>
      <c r="V4991" t="n">
        <v>30</v>
      </c>
      <c r="W4991" t="n">
        <v>2</v>
      </c>
      <c r="X4991" t="n">
        <v>216.4502164502164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9305</v>
      </c>
      <c r="AG4991" t="n">
        <v>1</v>
      </c>
      <c r="AH4991" t="inlineStr">
        <is>
          <t>PT. BERSAMA DISTRIVERSA INDONESIA (DC CIPUTAT)</t>
        </is>
      </c>
      <c r="AI4991" t="n">
        <v>1853</v>
      </c>
      <c r="AJ4991" t="inlineStr">
        <is>
          <t>YESSICA'S</t>
        </is>
      </c>
      <c r="AK4991" t="n">
        <v>9</v>
      </c>
      <c r="AL4991" t="inlineStr">
        <is>
          <t>Miss Glam Jambi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YESSICA'S</t>
        </is>
      </c>
      <c r="B4992" s="2">
        <f>"8993319861306"</f>
        <v/>
      </c>
      <c r="C4992" t="inlineStr">
        <is>
          <t>YESSICA'S Goat Milk Moisturizing Cream 50gr</t>
        </is>
      </c>
      <c r="D4992" t="inlineStr">
        <is>
          <t>Miss Glam Jambi</t>
        </is>
      </c>
      <c r="E4992" t="n">
        <v>1</v>
      </c>
      <c r="F4992" t="n">
        <v>0.02</v>
      </c>
      <c r="G4992" t="n">
        <v>1</v>
      </c>
      <c r="H4992" t="n">
        <v>4</v>
      </c>
      <c r="I4992" t="n">
        <v>20</v>
      </c>
      <c r="J4992" t="n">
        <v>3</v>
      </c>
      <c r="K4992" t="n">
        <v>0</v>
      </c>
      <c r="L4992" t="n">
        <v>35386</v>
      </c>
      <c r="M4992" t="n">
        <v>45000</v>
      </c>
      <c r="N4992" t="n">
        <v>33</v>
      </c>
      <c r="O4992" t="n">
        <v>0.33</v>
      </c>
      <c r="P4992" t="n">
        <v>0</v>
      </c>
      <c r="Q4992" t="n">
        <v>0.02</v>
      </c>
      <c r="R4992" t="n">
        <v>1</v>
      </c>
      <c r="S4992" t="n">
        <v>900</v>
      </c>
      <c r="T4992" t="n">
        <v>20</v>
      </c>
      <c r="U4992" t="n">
        <v>21</v>
      </c>
      <c r="V4992" t="n">
        <v>30</v>
      </c>
      <c r="W4992" t="n">
        <v>1</v>
      </c>
      <c r="X4992" t="n">
        <v>50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9305</v>
      </c>
      <c r="AG4992" t="n">
        <v>1</v>
      </c>
      <c r="AH4992" t="inlineStr">
        <is>
          <t>PT. BERSAMA DISTRIVERSA INDONESIA (DC CIPUTAT)</t>
        </is>
      </c>
      <c r="AI4992" t="n">
        <v>1853</v>
      </c>
      <c r="AJ4992" t="inlineStr">
        <is>
          <t>YESSICA'S</t>
        </is>
      </c>
      <c r="AK4992" t="n">
        <v>9</v>
      </c>
      <c r="AL4992" t="inlineStr">
        <is>
          <t>Miss Glam Jambi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YOONA</t>
        </is>
      </c>
      <c r="B4993" s="2">
        <f>"30800306752"</f>
        <v/>
      </c>
      <c r="C4993" t="inlineStr">
        <is>
          <t>YOONA Discover Wellness  6 All Night Pads</t>
        </is>
      </c>
      <c r="D4993" t="inlineStr">
        <is>
          <t>Miss Glam Jambi</t>
        </is>
      </c>
      <c r="E4993" t="n">
        <v>0</v>
      </c>
      <c r="F4993" t="n">
        <v>0.0264</v>
      </c>
      <c r="G4993" t="n">
        <v>0.33</v>
      </c>
      <c r="H4993" t="n">
        <v>4</v>
      </c>
      <c r="I4993" t="n">
        <v>20</v>
      </c>
      <c r="J4993" t="n">
        <v>1</v>
      </c>
      <c r="K4993" t="n">
        <v>0</v>
      </c>
      <c r="L4993" t="n">
        <v>28408</v>
      </c>
      <c r="M4993" t="n">
        <v>38000</v>
      </c>
      <c r="N4993" t="n">
        <v>33</v>
      </c>
      <c r="O4993" t="n">
        <v>0.33</v>
      </c>
      <c r="P4993" t="n">
        <v>1</v>
      </c>
      <c r="Q4993" t="n">
        <v>0.03</v>
      </c>
      <c r="R4993" t="n">
        <v>1</v>
      </c>
      <c r="S4993" t="n">
        <v>1003.2</v>
      </c>
      <c r="T4993" t="n">
        <v>7</v>
      </c>
      <c r="U4993" t="n">
        <v>8</v>
      </c>
      <c r="V4993" t="n">
        <v>30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n">
        <v>0</v>
      </c>
      <c r="AC4993" t="n">
        <v>0</v>
      </c>
      <c r="AD4993" t="n">
        <v>28408</v>
      </c>
      <c r="AE4993" t="n">
        <v>0</v>
      </c>
      <c r="AF4993" t="n">
        <v>9338</v>
      </c>
      <c r="AG4993" t="n">
        <v>1</v>
      </c>
      <c r="AH4993" t="inlineStr">
        <is>
          <t>PT. BERSAMA DISTRIVERSA INDONESIA (DC CIPUTAT)</t>
        </is>
      </c>
      <c r="AI4993" t="n">
        <v>1600</v>
      </c>
      <c r="AJ4993" t="inlineStr">
        <is>
          <t>YOONA</t>
        </is>
      </c>
      <c r="AK4993" t="n">
        <v>9</v>
      </c>
      <c r="AL4993" t="inlineStr">
        <is>
          <t>Miss Glam Jambi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YOU</t>
        </is>
      </c>
      <c r="B4994" s="2">
        <f>"8991748007555"</f>
        <v/>
      </c>
      <c r="C4994" t="inlineStr">
        <is>
          <t>YOU Acne Plus Multi Action Skin Cream 30gr</t>
        </is>
      </c>
      <c r="D4994" t="inlineStr">
        <is>
          <t>Miss Glam Jambi</t>
        </is>
      </c>
      <c r="E4994" t="n">
        <v>1</v>
      </c>
      <c r="F4994" t="n">
        <v>0.0495</v>
      </c>
      <c r="G4994" t="n">
        <v>0.99</v>
      </c>
      <c r="H4994" t="n">
        <v>3</v>
      </c>
      <c r="I4994" t="n">
        <v>11</v>
      </c>
      <c r="J4994" t="n">
        <v>3</v>
      </c>
      <c r="K4994" t="n">
        <v>3</v>
      </c>
      <c r="L4994" t="n">
        <v>38320</v>
      </c>
      <c r="M4994" t="n">
        <v>47900</v>
      </c>
      <c r="N4994" t="n">
        <v>33</v>
      </c>
      <c r="O4994" t="n">
        <v>0.33</v>
      </c>
      <c r="P4994" t="n">
        <v>1</v>
      </c>
      <c r="Q4994" t="n">
        <v>0.05</v>
      </c>
      <c r="R4994" t="n">
        <v>1</v>
      </c>
      <c r="S4994" t="n">
        <v>2371.05</v>
      </c>
      <c r="T4994" t="n">
        <v>11</v>
      </c>
      <c r="U4994" t="n">
        <v>12</v>
      </c>
      <c r="V4994" t="n">
        <v>30</v>
      </c>
      <c r="W4994" t="n">
        <v>2</v>
      </c>
      <c r="X4994" t="n">
        <v>20.2020202020202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10393</v>
      </c>
      <c r="AG4994" t="n">
        <v>170</v>
      </c>
      <c r="AH4994" t="inlineStr">
        <is>
          <t>PT. JALUR MANDIRI UTAMA - PPN (PDG)</t>
        </is>
      </c>
      <c r="AI4994" t="n">
        <v>170</v>
      </c>
      <c r="AJ4994" t="inlineStr">
        <is>
          <t>YOU</t>
        </is>
      </c>
      <c r="AK4994" t="n">
        <v>9</v>
      </c>
      <c r="AL4994" t="inlineStr">
        <is>
          <t>Miss Glam Jambi</t>
        </is>
      </c>
      <c r="AM4994" t="n">
        <v>1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YOU</t>
        </is>
      </c>
      <c r="B4995" s="2">
        <f>"8991748005384"</f>
        <v/>
      </c>
      <c r="C4995" t="inlineStr">
        <is>
          <t>YOU Acneplus AHA BHA PHA Daily Essence 80ml</t>
        </is>
      </c>
      <c r="D4995" t="inlineStr">
        <is>
          <t>Miss Glam Jambi</t>
        </is>
      </c>
      <c r="E4995" t="n">
        <v>4</v>
      </c>
      <c r="F4995" t="n">
        <v>0.0462</v>
      </c>
      <c r="G4995" t="n">
        <v>0.66</v>
      </c>
      <c r="H4995" t="n">
        <v>3</v>
      </c>
      <c r="I4995" t="n">
        <v>11</v>
      </c>
      <c r="J4995" t="n">
        <v>3</v>
      </c>
      <c r="K4995" t="n">
        <v>0</v>
      </c>
      <c r="L4995" t="n">
        <v>55920</v>
      </c>
      <c r="M4995" t="n">
        <v>69900</v>
      </c>
      <c r="N4995" t="n">
        <v>33</v>
      </c>
      <c r="O4995" t="n">
        <v>0.33</v>
      </c>
      <c r="P4995" t="n">
        <v>1</v>
      </c>
      <c r="Q4995" t="n">
        <v>0.03</v>
      </c>
      <c r="R4995" t="n">
        <v>1</v>
      </c>
      <c r="S4995" t="n">
        <v>3229.380000000001</v>
      </c>
      <c r="T4995" t="n">
        <v>8</v>
      </c>
      <c r="U4995" t="n">
        <v>9</v>
      </c>
      <c r="V4995" t="n">
        <v>30</v>
      </c>
      <c r="W4995" t="n">
        <v>2</v>
      </c>
      <c r="X4995" t="n">
        <v>86.58008658008657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10393</v>
      </c>
      <c r="AG4995" t="n">
        <v>170</v>
      </c>
      <c r="AH4995" t="inlineStr">
        <is>
          <t>PT. JALUR MANDIRI UTAMA - PPN (PDG)</t>
        </is>
      </c>
      <c r="AI4995" t="n">
        <v>170</v>
      </c>
      <c r="AJ4995" t="inlineStr">
        <is>
          <t>YOU</t>
        </is>
      </c>
      <c r="AK4995" t="n">
        <v>9</v>
      </c>
      <c r="AL4995" t="inlineStr">
        <is>
          <t>Miss Glam Jambi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YOU</t>
        </is>
      </c>
      <c r="B4996" s="2">
        <f>"10300514130"</f>
        <v/>
      </c>
      <c r="C4996" t="inlineStr">
        <is>
          <t>YOU Acneplus B5 Barrier Moisturizer Gel 30G</t>
        </is>
      </c>
      <c r="D4996" t="inlineStr">
        <is>
          <t>Miss Glam Jambi</t>
        </is>
      </c>
      <c r="E4996" t="n">
        <v>38</v>
      </c>
      <c r="F4996" t="n">
        <v>0.3762</v>
      </c>
      <c r="G4996" t="n">
        <v>1.65</v>
      </c>
      <c r="H4996" t="n">
        <v>3</v>
      </c>
      <c r="I4996" t="n">
        <v>11</v>
      </c>
      <c r="J4996" t="n">
        <v>1</v>
      </c>
      <c r="K4996" t="n">
        <v>0</v>
      </c>
      <c r="L4996" t="n">
        <v>44000</v>
      </c>
      <c r="M4996" t="n">
        <v>55000</v>
      </c>
      <c r="N4996" t="n">
        <v>33</v>
      </c>
      <c r="O4996" t="n">
        <v>0.33</v>
      </c>
      <c r="P4996" t="n">
        <v>1</v>
      </c>
      <c r="Q4996" t="n">
        <v>0.14</v>
      </c>
      <c r="R4996" t="n">
        <v>2</v>
      </c>
      <c r="S4996" t="n">
        <v>20691</v>
      </c>
      <c r="T4996" t="n">
        <v>18</v>
      </c>
      <c r="U4996" t="n">
        <v>20</v>
      </c>
      <c r="V4996" t="n">
        <v>30</v>
      </c>
      <c r="W4996" t="n">
        <v>12</v>
      </c>
      <c r="X4996" t="n">
        <v>101.010101010101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10393</v>
      </c>
      <c r="AG4996" t="n">
        <v>170</v>
      </c>
      <c r="AH4996" t="inlineStr">
        <is>
          <t>PT. JALUR MANDIRI UTAMA - PPN (PDG)</t>
        </is>
      </c>
      <c r="AI4996" t="n">
        <v>170</v>
      </c>
      <c r="AJ4996" t="inlineStr">
        <is>
          <t>YOU</t>
        </is>
      </c>
      <c r="AK4996" t="n">
        <v>9</v>
      </c>
      <c r="AL4996" t="inlineStr">
        <is>
          <t>Miss Glam Jambi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YOU</t>
        </is>
      </c>
      <c r="B4997" s="2">
        <f>"8991748006565"</f>
        <v/>
      </c>
      <c r="C4997" t="inlineStr">
        <is>
          <t>YOU Acneplus B5 Shooting Sheet Mask 5x25gr</t>
        </is>
      </c>
      <c r="D4997" t="inlineStr">
        <is>
          <t>Miss Glam Jambi</t>
        </is>
      </c>
      <c r="E4997" t="n">
        <v>8</v>
      </c>
      <c r="F4997" t="n">
        <v>0.0264</v>
      </c>
      <c r="G4997" t="n">
        <v>0.33</v>
      </c>
      <c r="H4997" t="n">
        <v>3</v>
      </c>
      <c r="I4997" t="n">
        <v>11</v>
      </c>
      <c r="J4997" t="n">
        <v>3</v>
      </c>
      <c r="K4997" t="n">
        <v>0</v>
      </c>
      <c r="L4997" t="n">
        <v>39920</v>
      </c>
      <c r="M4997" t="n">
        <v>49900</v>
      </c>
      <c r="N4997" t="n">
        <v>33</v>
      </c>
      <c r="O4997" t="n">
        <v>0.33</v>
      </c>
      <c r="P4997" t="n">
        <v>1</v>
      </c>
      <c r="Q4997" t="n">
        <v>0.14</v>
      </c>
      <c r="R4997" t="n">
        <v>2</v>
      </c>
      <c r="S4997" t="n">
        <v>1317.36</v>
      </c>
      <c r="T4997" t="n">
        <v>4</v>
      </c>
      <c r="U4997" t="n">
        <v>5</v>
      </c>
      <c r="V4997" t="n">
        <v>30</v>
      </c>
      <c r="W4997" t="n">
        <v>1</v>
      </c>
      <c r="X4997" t="n">
        <v>303.030303030303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10393</v>
      </c>
      <c r="AG4997" t="n">
        <v>170</v>
      </c>
      <c r="AH4997" t="inlineStr">
        <is>
          <t>PT. JALUR MANDIRI UTAMA - PPN (PDG)</t>
        </is>
      </c>
      <c r="AI4997" t="n">
        <v>170</v>
      </c>
      <c r="AJ4997" t="inlineStr">
        <is>
          <t>YOU</t>
        </is>
      </c>
      <c r="AK4997" t="n">
        <v>9</v>
      </c>
      <c r="AL4997" t="inlineStr">
        <is>
          <t>Miss Glam Jambi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YOU</t>
        </is>
      </c>
      <c r="B4998" s="2">
        <f>"8991748005360"</f>
        <v/>
      </c>
      <c r="C4998" t="inlineStr">
        <is>
          <t>YOU Acneplus B5 Soothing Sheet Mask 25gr</t>
        </is>
      </c>
      <c r="D4998" t="inlineStr">
        <is>
          <t>Miss Glam Jambi</t>
        </is>
      </c>
      <c r="E4998" t="n">
        <v>0</v>
      </c>
      <c r="F4998" t="n">
        <v>0.6105</v>
      </c>
      <c r="G4998" t="n">
        <v>2.64</v>
      </c>
      <c r="H4998" t="n">
        <v>3</v>
      </c>
      <c r="I4998" t="n">
        <v>11</v>
      </c>
      <c r="J4998" t="n">
        <v>3</v>
      </c>
      <c r="K4998" t="n">
        <v>12</v>
      </c>
      <c r="L4998" t="n">
        <v>9520</v>
      </c>
      <c r="M4998" t="n">
        <v>11900</v>
      </c>
      <c r="N4998" t="n">
        <v>33</v>
      </c>
      <c r="O4998" t="n">
        <v>0.33</v>
      </c>
      <c r="P4998" t="n">
        <v>1</v>
      </c>
      <c r="Q4998" t="n">
        <v>0.45</v>
      </c>
      <c r="R4998" t="n">
        <v>4</v>
      </c>
      <c r="S4998" t="n">
        <v>7264.950000000001</v>
      </c>
      <c r="T4998" t="n">
        <v>28</v>
      </c>
      <c r="U4998" t="n">
        <v>30</v>
      </c>
      <c r="V4998" t="n">
        <v>30</v>
      </c>
      <c r="W4998" t="n">
        <v>19</v>
      </c>
      <c r="X4998" t="n">
        <v>0</v>
      </c>
      <c r="Y4998" t="n">
        <v>1</v>
      </c>
      <c r="Z4998" t="n">
        <v>7</v>
      </c>
      <c r="AA4998" t="n">
        <v>6</v>
      </c>
      <c r="AB4998" t="n">
        <v>1</v>
      </c>
      <c r="AC4998" t="n">
        <v>3</v>
      </c>
      <c r="AD4998" t="n">
        <v>57120</v>
      </c>
      <c r="AE4998" t="n">
        <v>28560</v>
      </c>
      <c r="AF4998" t="n">
        <v>10393</v>
      </c>
      <c r="AG4998" t="n">
        <v>170</v>
      </c>
      <c r="AH4998" t="inlineStr">
        <is>
          <t>PT. JALUR MANDIRI UTAMA - PPN (PDG)</t>
        </is>
      </c>
      <c r="AI4998" t="n">
        <v>170</v>
      </c>
      <c r="AJ4998" t="inlineStr">
        <is>
          <t>YOU</t>
        </is>
      </c>
      <c r="AK4998" t="n">
        <v>9</v>
      </c>
      <c r="AL4998" t="inlineStr">
        <is>
          <t>Miss Glam Jambi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YOU</t>
        </is>
      </c>
      <c r="B4999" s="2">
        <f>"10600214206"</f>
        <v/>
      </c>
      <c r="C4999" t="inlineStr">
        <is>
          <t>YOU Acneplus BHA Acne Patch 36pcs</t>
        </is>
      </c>
      <c r="D4999" t="inlineStr">
        <is>
          <t>Miss Glam Jambi</t>
        </is>
      </c>
      <c r="E4999" t="n">
        <v>15</v>
      </c>
      <c r="F4999" t="n">
        <v>0.1683</v>
      </c>
      <c r="G4999" t="n">
        <v>1.32</v>
      </c>
      <c r="H4999" t="n">
        <v>3</v>
      </c>
      <c r="I4999" t="n">
        <v>11</v>
      </c>
      <c r="J4999" t="n">
        <v>1</v>
      </c>
      <c r="K4999" t="n">
        <v>0</v>
      </c>
      <c r="L4999" t="n">
        <v>23920</v>
      </c>
      <c r="M4999" t="n">
        <v>29900</v>
      </c>
      <c r="N4999" t="n">
        <v>33</v>
      </c>
      <c r="O4999" t="n">
        <v>0.33</v>
      </c>
      <c r="P4999" t="n">
        <v>1</v>
      </c>
      <c r="Q4999" t="n">
        <v>0.15</v>
      </c>
      <c r="R4999" t="n">
        <v>2</v>
      </c>
      <c r="S4999" t="n">
        <v>5032.17</v>
      </c>
      <c r="T4999" t="n">
        <v>15</v>
      </c>
      <c r="U4999" t="n">
        <v>16</v>
      </c>
      <c r="V4999" t="n">
        <v>30</v>
      </c>
      <c r="W4999" t="n">
        <v>6</v>
      </c>
      <c r="X4999" t="n">
        <v>89.12655971479501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10393</v>
      </c>
      <c r="AG4999" t="n">
        <v>170</v>
      </c>
      <c r="AH4999" t="inlineStr">
        <is>
          <t>PT. JALUR MANDIRI UTAMA - PPN (PDG)</t>
        </is>
      </c>
      <c r="AI4999" t="n">
        <v>170</v>
      </c>
      <c r="AJ4999" t="inlineStr">
        <is>
          <t>YOU</t>
        </is>
      </c>
      <c r="AK4999" t="n">
        <v>9</v>
      </c>
      <c r="AL4999" t="inlineStr">
        <is>
          <t>Miss Glam Jambi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YOU</t>
        </is>
      </c>
      <c r="B5000" s="2">
        <f>"8991748007579"</f>
        <v/>
      </c>
      <c r="C5000" t="inlineStr">
        <is>
          <t>YOU Acneplus Fine Pore Oil Control Serum 20ml</t>
        </is>
      </c>
      <c r="D5000" t="inlineStr">
        <is>
          <t>Miss Glam Jambi</t>
        </is>
      </c>
      <c r="E5000" t="n">
        <v>0</v>
      </c>
      <c r="F5000" t="n">
        <v>0.03</v>
      </c>
      <c r="G5000" t="n">
        <v>1</v>
      </c>
      <c r="H5000" t="n">
        <v>3</v>
      </c>
      <c r="I5000" t="n">
        <v>11</v>
      </c>
      <c r="J5000" t="n">
        <v>3</v>
      </c>
      <c r="K5000" t="n">
        <v>0</v>
      </c>
      <c r="L5000" t="n">
        <v>63920</v>
      </c>
      <c r="M5000" t="n">
        <v>79900</v>
      </c>
      <c r="N5000" t="n">
        <v>33</v>
      </c>
      <c r="O5000" t="n">
        <v>0.33</v>
      </c>
      <c r="P5000" t="n">
        <v>0</v>
      </c>
      <c r="Q5000" t="n">
        <v>0.03</v>
      </c>
      <c r="R5000" t="n">
        <v>1</v>
      </c>
      <c r="S5000" t="n">
        <v>2397</v>
      </c>
      <c r="T5000" t="n">
        <v>11</v>
      </c>
      <c r="U5000" t="n">
        <v>12</v>
      </c>
      <c r="V5000" t="n">
        <v>30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n">
        <v>0</v>
      </c>
      <c r="AC5000" t="n">
        <v>0</v>
      </c>
      <c r="AD5000" t="n">
        <v>63920</v>
      </c>
      <c r="AE5000" t="n">
        <v>0</v>
      </c>
      <c r="AF5000" t="n">
        <v>10393</v>
      </c>
      <c r="AG5000" t="n">
        <v>170</v>
      </c>
      <c r="AH5000" t="inlineStr">
        <is>
          <t>PT. JALUR MANDIRI UTAMA - PPN (PDG)</t>
        </is>
      </c>
      <c r="AI5000" t="n">
        <v>170</v>
      </c>
      <c r="AJ5000" t="inlineStr">
        <is>
          <t>YOU</t>
        </is>
      </c>
      <c r="AK5000" t="n">
        <v>9</v>
      </c>
      <c r="AL5000" t="inlineStr">
        <is>
          <t>Miss Glam Jambi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YOU</t>
        </is>
      </c>
      <c r="B5001" s="2">
        <f>"101001110434"</f>
        <v/>
      </c>
      <c r="C5001" t="inlineStr">
        <is>
          <t>YOU Acneplus Gentle Cleansing Gel 12ml</t>
        </is>
      </c>
      <c r="D5001" t="inlineStr">
        <is>
          <t>Miss Glam Jambi</t>
        </is>
      </c>
      <c r="E5001" t="n">
        <v>18</v>
      </c>
      <c r="F5001" t="n">
        <v>0.2838</v>
      </c>
      <c r="G5001" t="n">
        <v>1.65</v>
      </c>
      <c r="H5001" t="n">
        <v>3</v>
      </c>
      <c r="I5001" t="n">
        <v>11</v>
      </c>
      <c r="J5001" t="n">
        <v>1</v>
      </c>
      <c r="K5001" t="n">
        <v>0</v>
      </c>
      <c r="L5001" t="n">
        <v>36000</v>
      </c>
      <c r="M5001" t="n">
        <v>45000</v>
      </c>
      <c r="N5001" t="n">
        <v>33</v>
      </c>
      <c r="O5001" t="n">
        <v>0.33</v>
      </c>
      <c r="P5001" t="n">
        <v>1</v>
      </c>
      <c r="Q5001" t="n">
        <v>0.29</v>
      </c>
      <c r="R5001" t="n">
        <v>2</v>
      </c>
      <c r="S5001" t="n">
        <v>12771</v>
      </c>
      <c r="T5001" t="n">
        <v>18</v>
      </c>
      <c r="U5001" t="n">
        <v>19</v>
      </c>
      <c r="V5001" t="n">
        <v>30</v>
      </c>
      <c r="W5001" t="n">
        <v>9</v>
      </c>
      <c r="X5001" t="n">
        <v>63.42494714587738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10393</v>
      </c>
      <c r="AG5001" t="n">
        <v>170</v>
      </c>
      <c r="AH5001" t="inlineStr">
        <is>
          <t>PT. JALUR MANDIRI UTAMA - PPN (PDG)</t>
        </is>
      </c>
      <c r="AI5001" t="n">
        <v>170</v>
      </c>
      <c r="AJ5001" t="inlineStr">
        <is>
          <t>YOU</t>
        </is>
      </c>
      <c r="AK5001" t="n">
        <v>9</v>
      </c>
      <c r="AL5001" t="inlineStr">
        <is>
          <t>Miss Glam Jambi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YOU</t>
        </is>
      </c>
      <c r="B5002" s="2">
        <f>"11200218857"</f>
        <v/>
      </c>
      <c r="C5002" t="inlineStr">
        <is>
          <t>YOU Acneplus Spot Care Pro Serum 15gr</t>
        </is>
      </c>
      <c r="D5002" t="inlineStr">
        <is>
          <t>Miss Glam Jambi</t>
        </is>
      </c>
      <c r="E5002" t="n">
        <v>-1</v>
      </c>
      <c r="F5002" t="n">
        <v>0.9239999999999999</v>
      </c>
      <c r="G5002" t="n">
        <v>4.62</v>
      </c>
      <c r="H5002" t="n">
        <v>3</v>
      </c>
      <c r="I5002" t="n">
        <v>11</v>
      </c>
      <c r="J5002" t="n">
        <v>1</v>
      </c>
      <c r="K5002" t="n">
        <v>19</v>
      </c>
      <c r="L5002" t="n">
        <v>31920</v>
      </c>
      <c r="M5002" t="n">
        <v>39900</v>
      </c>
      <c r="N5002" t="n">
        <v>33</v>
      </c>
      <c r="O5002" t="n">
        <v>0.33</v>
      </c>
      <c r="P5002" t="n">
        <v>1</v>
      </c>
      <c r="Q5002" t="n">
        <v>1.23</v>
      </c>
      <c r="R5002" t="n">
        <v>4</v>
      </c>
      <c r="S5002" t="n">
        <v>36867.6</v>
      </c>
      <c r="T5002" t="n">
        <v>49</v>
      </c>
      <c r="U5002" t="n">
        <v>52</v>
      </c>
      <c r="V5002" t="n">
        <v>30</v>
      </c>
      <c r="W5002" t="n">
        <v>28</v>
      </c>
      <c r="X5002" t="n">
        <v>-1.082251082251082</v>
      </c>
      <c r="Y5002" t="n">
        <v>1</v>
      </c>
      <c r="Z5002" t="n">
        <v>10</v>
      </c>
      <c r="AA5002" t="n">
        <v>11</v>
      </c>
      <c r="AB5002" t="n">
        <v>0</v>
      </c>
      <c r="AC5002" t="n">
        <v>0</v>
      </c>
      <c r="AD5002" t="n">
        <v>351120</v>
      </c>
      <c r="AE5002" t="n">
        <v>0</v>
      </c>
      <c r="AF5002" t="n">
        <v>10393</v>
      </c>
      <c r="AG5002" t="n">
        <v>170</v>
      </c>
      <c r="AH5002" t="inlineStr">
        <is>
          <t>PT. JALUR MANDIRI UTAMA - PPN (PDG)</t>
        </is>
      </c>
      <c r="AI5002" t="n">
        <v>170</v>
      </c>
      <c r="AJ5002" t="inlineStr">
        <is>
          <t>YOU</t>
        </is>
      </c>
      <c r="AK5002" t="n">
        <v>9</v>
      </c>
      <c r="AL5002" t="inlineStr">
        <is>
          <t>Miss Glam Jambi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YOU</t>
        </is>
      </c>
      <c r="B5003" s="2">
        <f>"203003108126"</f>
        <v/>
      </c>
      <c r="C5003" t="inlineStr">
        <is>
          <t>YOU Cloud Paint Glassy Glow Lip Tint G01 Dusty Rose 3gr</t>
        </is>
      </c>
      <c r="D5003" t="inlineStr">
        <is>
          <t>Miss Glam Jambi</t>
        </is>
      </c>
      <c r="E5003" t="n">
        <v>23</v>
      </c>
      <c r="F5003" t="n">
        <v>0.1188</v>
      </c>
      <c r="G5003" t="n">
        <v>1.65</v>
      </c>
      <c r="H5003" t="n">
        <v>3</v>
      </c>
      <c r="I5003" t="n">
        <v>11</v>
      </c>
      <c r="J5003" t="n">
        <v>1</v>
      </c>
      <c r="K5003" t="n">
        <v>0</v>
      </c>
      <c r="L5003" t="n">
        <v>63920</v>
      </c>
      <c r="M5003" t="n">
        <v>79900</v>
      </c>
      <c r="N5003" t="n">
        <v>33</v>
      </c>
      <c r="O5003" t="n">
        <v>0.33</v>
      </c>
      <c r="P5003" t="n">
        <v>1</v>
      </c>
      <c r="Q5003" t="n">
        <v>0.02</v>
      </c>
      <c r="R5003" t="n">
        <v>1</v>
      </c>
      <c r="S5003" t="n">
        <v>9492.120000000001</v>
      </c>
      <c r="T5003" t="n">
        <v>18</v>
      </c>
      <c r="U5003" t="n">
        <v>19</v>
      </c>
      <c r="V5003" t="n">
        <v>30</v>
      </c>
      <c r="W5003" t="n">
        <v>4</v>
      </c>
      <c r="X5003" t="n">
        <v>193.6026936026936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10393</v>
      </c>
      <c r="AG5003" t="n">
        <v>170</v>
      </c>
      <c r="AH5003" t="inlineStr">
        <is>
          <t>PT. JALUR MANDIRI UTAMA - PPN (PDG)</t>
        </is>
      </c>
      <c r="AI5003" t="n">
        <v>170</v>
      </c>
      <c r="AJ5003" t="inlineStr">
        <is>
          <t>YOU</t>
        </is>
      </c>
      <c r="AK5003" t="n">
        <v>9</v>
      </c>
      <c r="AL5003" t="inlineStr">
        <is>
          <t>Miss Glam Jambi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YOU</t>
        </is>
      </c>
      <c r="B5004" s="2">
        <f>"203003108258"</f>
        <v/>
      </c>
      <c r="C5004" t="inlineStr">
        <is>
          <t>YOU Cloud Paint Glassy Glow Lip Tint G02 Starry Pink 3gr</t>
        </is>
      </c>
      <c r="D5004" t="inlineStr">
        <is>
          <t>Miss Glam Jambi</t>
        </is>
      </c>
      <c r="E5004" t="n">
        <v>12</v>
      </c>
      <c r="F5004" t="n">
        <v>0.0165</v>
      </c>
      <c r="G5004" t="n">
        <v>0.33</v>
      </c>
      <c r="H5004" t="n">
        <v>3</v>
      </c>
      <c r="I5004" t="n">
        <v>11</v>
      </c>
      <c r="J5004" t="n">
        <v>1</v>
      </c>
      <c r="K5004" t="n">
        <v>0</v>
      </c>
      <c r="L5004" t="n">
        <v>63920</v>
      </c>
      <c r="M5004" t="n">
        <v>79900</v>
      </c>
      <c r="N5004" t="n">
        <v>33</v>
      </c>
      <c r="O5004" t="n">
        <v>0.33</v>
      </c>
      <c r="P5004" t="n">
        <v>1</v>
      </c>
      <c r="Q5004" t="n">
        <v>0.02</v>
      </c>
      <c r="R5004" t="n">
        <v>1</v>
      </c>
      <c r="S5004" t="n">
        <v>1318.35</v>
      </c>
      <c r="T5004" t="n">
        <v>4</v>
      </c>
      <c r="U5004" t="n">
        <v>5</v>
      </c>
      <c r="V5004" t="n">
        <v>30</v>
      </c>
      <c r="W5004" t="n">
        <v>1</v>
      </c>
      <c r="X5004" t="n">
        <v>727.2727272727273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10393</v>
      </c>
      <c r="AG5004" t="n">
        <v>170</v>
      </c>
      <c r="AH5004" t="inlineStr">
        <is>
          <t>PT. JALUR MANDIRI UTAMA - PPN (PDG)</t>
        </is>
      </c>
      <c r="AI5004" t="n">
        <v>170</v>
      </c>
      <c r="AJ5004" t="inlineStr">
        <is>
          <t>YOU</t>
        </is>
      </c>
      <c r="AK5004" t="n">
        <v>9</v>
      </c>
      <c r="AL5004" t="inlineStr">
        <is>
          <t>Miss Glam Jambi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YOU</t>
        </is>
      </c>
      <c r="B5005" s="2">
        <f>"203003108347"</f>
        <v/>
      </c>
      <c r="C5005" t="inlineStr">
        <is>
          <t>YOU Cloud Paint Glassy Glow Lip Tint G03 Berry Amber 3gr</t>
        </is>
      </c>
      <c r="D5005" t="inlineStr">
        <is>
          <t>Miss Glam Jambi</t>
        </is>
      </c>
      <c r="E5005" t="n">
        <v>9</v>
      </c>
      <c r="F5005" t="n">
        <v>0.033</v>
      </c>
      <c r="G5005" t="n">
        <v>0.33</v>
      </c>
      <c r="H5005" t="n">
        <v>3</v>
      </c>
      <c r="I5005" t="n">
        <v>11</v>
      </c>
      <c r="J5005" t="n">
        <v>1</v>
      </c>
      <c r="K5005" t="n">
        <v>0</v>
      </c>
      <c r="L5005" t="n">
        <v>63920</v>
      </c>
      <c r="M5005" t="n">
        <v>79900</v>
      </c>
      <c r="N5005" t="n">
        <v>33</v>
      </c>
      <c r="O5005" t="n">
        <v>0.33</v>
      </c>
      <c r="P5005" t="n">
        <v>1</v>
      </c>
      <c r="Q5005" t="n">
        <v>0.02</v>
      </c>
      <c r="R5005" t="n">
        <v>1</v>
      </c>
      <c r="S5005" t="n">
        <v>2636.7</v>
      </c>
      <c r="T5005" t="n">
        <v>4</v>
      </c>
      <c r="U5005" t="n">
        <v>5</v>
      </c>
      <c r="V5005" t="n">
        <v>30</v>
      </c>
      <c r="W5005" t="n">
        <v>1</v>
      </c>
      <c r="X5005" t="n">
        <v>272.7272727272727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10393</v>
      </c>
      <c r="AG5005" t="n">
        <v>170</v>
      </c>
      <c r="AH5005" t="inlineStr">
        <is>
          <t>PT. JALUR MANDIRI UTAMA - PPN (PDG)</t>
        </is>
      </c>
      <c r="AI5005" t="n">
        <v>170</v>
      </c>
      <c r="AJ5005" t="inlineStr">
        <is>
          <t>YOU</t>
        </is>
      </c>
      <c r="AK5005" t="n">
        <v>9</v>
      </c>
      <c r="AL5005" t="inlineStr">
        <is>
          <t>Miss Glam Jambi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YOU</t>
        </is>
      </c>
      <c r="B5006" s="2">
        <f>"203003108638"</f>
        <v/>
      </c>
      <c r="C5006" t="inlineStr">
        <is>
          <t>YOU Cloud Paint Glassy Glow Lip Tint G06 Peachy Nude 3gr</t>
        </is>
      </c>
      <c r="D5006" t="inlineStr">
        <is>
          <t>Miss Glam Jambi</t>
        </is>
      </c>
      <c r="E5006" t="n">
        <v>0</v>
      </c>
      <c r="F5006" t="n">
        <v>0.0264</v>
      </c>
      <c r="G5006" t="n">
        <v>0.33</v>
      </c>
      <c r="H5006" t="n">
        <v>3</v>
      </c>
      <c r="I5006" t="n">
        <v>11</v>
      </c>
      <c r="J5006" t="n">
        <v>1</v>
      </c>
      <c r="K5006" t="n">
        <v>0</v>
      </c>
      <c r="L5006" t="n">
        <v>63920</v>
      </c>
      <c r="M5006" t="n">
        <v>79900</v>
      </c>
      <c r="N5006" t="n">
        <v>33</v>
      </c>
      <c r="O5006" t="n">
        <v>0.33</v>
      </c>
      <c r="P5006" t="n">
        <v>1</v>
      </c>
      <c r="Q5006" t="n">
        <v>0.09</v>
      </c>
      <c r="R5006" t="n">
        <v>1</v>
      </c>
      <c r="S5006" t="n">
        <v>2109.36</v>
      </c>
      <c r="T5006" t="n">
        <v>4</v>
      </c>
      <c r="U5006" t="n">
        <v>5</v>
      </c>
      <c r="V5006" t="n">
        <v>30</v>
      </c>
      <c r="W5006" t="n">
        <v>1</v>
      </c>
      <c r="X5006" t="n">
        <v>0</v>
      </c>
      <c r="Y5006" t="n">
        <v>1</v>
      </c>
      <c r="Z5006" t="n">
        <v>1</v>
      </c>
      <c r="AA5006" t="n">
        <v>1</v>
      </c>
      <c r="AB5006" t="n">
        <v>0</v>
      </c>
      <c r="AC5006" t="n">
        <v>0</v>
      </c>
      <c r="AD5006" t="n">
        <v>63920</v>
      </c>
      <c r="AE5006" t="n">
        <v>0</v>
      </c>
      <c r="AF5006" t="n">
        <v>10393</v>
      </c>
      <c r="AG5006" t="n">
        <v>170</v>
      </c>
      <c r="AH5006" t="inlineStr">
        <is>
          <t>PT. JALUR MANDIRI UTAMA - PPN (PDG)</t>
        </is>
      </c>
      <c r="AI5006" t="n">
        <v>170</v>
      </c>
      <c r="AJ5006" t="inlineStr">
        <is>
          <t>YOU</t>
        </is>
      </c>
      <c r="AK5006" t="n">
        <v>9</v>
      </c>
      <c r="AL5006" t="inlineStr">
        <is>
          <t>Miss Glam Jambi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YOU</t>
        </is>
      </c>
      <c r="B5007" s="2">
        <f>"203002193159"</f>
        <v/>
      </c>
      <c r="C5007" t="inlineStr">
        <is>
          <t>YOU Cloud Paint Matte Lasting Lip Cream R346 Whisper 3gr</t>
        </is>
      </c>
      <c r="D5007" t="inlineStr">
        <is>
          <t>Miss Glam Jambi</t>
        </is>
      </c>
      <c r="E5007" t="n">
        <v>8</v>
      </c>
      <c r="F5007" t="n">
        <v>0.033</v>
      </c>
      <c r="G5007" t="n">
        <v>0.33</v>
      </c>
      <c r="H5007" t="n">
        <v>3</v>
      </c>
      <c r="I5007" t="n">
        <v>11</v>
      </c>
      <c r="J5007" t="n">
        <v>1</v>
      </c>
      <c r="K5007" t="n">
        <v>0</v>
      </c>
      <c r="L5007" t="n">
        <v>63920</v>
      </c>
      <c r="M5007" t="n">
        <v>79900</v>
      </c>
      <c r="N5007" t="n">
        <v>33</v>
      </c>
      <c r="O5007" t="n">
        <v>0.33</v>
      </c>
      <c r="P5007" t="n">
        <v>1</v>
      </c>
      <c r="Q5007" t="n">
        <v>0.02</v>
      </c>
      <c r="R5007" t="n">
        <v>1</v>
      </c>
      <c r="S5007" t="n">
        <v>2636.7</v>
      </c>
      <c r="T5007" t="n">
        <v>4</v>
      </c>
      <c r="U5007" t="n">
        <v>5</v>
      </c>
      <c r="V5007" t="n">
        <v>30</v>
      </c>
      <c r="W5007" t="n">
        <v>1</v>
      </c>
      <c r="X5007" t="n">
        <v>242.4242424242424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10393</v>
      </c>
      <c r="AG5007" t="n">
        <v>170</v>
      </c>
      <c r="AH5007" t="inlineStr">
        <is>
          <t>PT. JALUR MANDIRI UTAMA - PPN (PDG)</t>
        </is>
      </c>
      <c r="AI5007" t="n">
        <v>170</v>
      </c>
      <c r="AJ5007" t="inlineStr">
        <is>
          <t>YOU</t>
        </is>
      </c>
      <c r="AK5007" t="n">
        <v>9</v>
      </c>
      <c r="AL5007" t="inlineStr">
        <is>
          <t>Miss Glam Jambi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YOU</t>
        </is>
      </c>
      <c r="B5008" s="2">
        <f>"203002193518"</f>
        <v/>
      </c>
      <c r="C5008" t="inlineStr">
        <is>
          <t>YOU Cloud Paint Matte Lasting Lip Cream R448 Kindness 3gr</t>
        </is>
      </c>
      <c r="D5008" t="inlineStr">
        <is>
          <t>Miss Glam Jambi</t>
        </is>
      </c>
      <c r="E5008" t="n">
        <v>8</v>
      </c>
      <c r="F5008" t="n">
        <v>0.05</v>
      </c>
      <c r="G5008" t="n">
        <v>1</v>
      </c>
      <c r="H5008" t="n">
        <v>3</v>
      </c>
      <c r="I5008" t="n">
        <v>11</v>
      </c>
      <c r="J5008" t="n">
        <v>1</v>
      </c>
      <c r="K5008" t="n">
        <v>0</v>
      </c>
      <c r="L5008" t="n">
        <v>63920</v>
      </c>
      <c r="M5008" t="n">
        <v>79900</v>
      </c>
      <c r="N5008" t="n">
        <v>33</v>
      </c>
      <c r="O5008" t="n">
        <v>0.33</v>
      </c>
      <c r="P5008" t="n">
        <v>0</v>
      </c>
      <c r="Q5008" t="n">
        <v>0.05</v>
      </c>
      <c r="R5008" t="n">
        <v>1</v>
      </c>
      <c r="S5008" t="n">
        <v>3995</v>
      </c>
      <c r="T5008" t="n">
        <v>11</v>
      </c>
      <c r="U5008" t="n">
        <v>12</v>
      </c>
      <c r="V5008" t="n">
        <v>30</v>
      </c>
      <c r="W5008" t="n">
        <v>2</v>
      </c>
      <c r="X5008" t="n">
        <v>160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10393</v>
      </c>
      <c r="AG5008" t="n">
        <v>170</v>
      </c>
      <c r="AH5008" t="inlineStr">
        <is>
          <t>PT. JALUR MANDIRI UTAMA - PPN (PDG)</t>
        </is>
      </c>
      <c r="AI5008" t="n">
        <v>170</v>
      </c>
      <c r="AJ5008" t="inlineStr">
        <is>
          <t>YOU</t>
        </is>
      </c>
      <c r="AK5008" t="n">
        <v>9</v>
      </c>
      <c r="AL5008" t="inlineStr">
        <is>
          <t>Miss Glam Jambi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YOU</t>
        </is>
      </c>
      <c r="B5009" s="2">
        <f>"203002193201"</f>
        <v/>
      </c>
      <c r="C5009" t="inlineStr">
        <is>
          <t>YOU Cloud Paint Matte Lasting Lip Cream R476 Passion 3gr</t>
        </is>
      </c>
      <c r="D5009" t="inlineStr">
        <is>
          <t>Miss Glam Jambi</t>
        </is>
      </c>
      <c r="E5009" t="n">
        <v>8</v>
      </c>
      <c r="F5009" t="n">
        <v>0.0396</v>
      </c>
      <c r="G5009" t="n">
        <v>0.66</v>
      </c>
      <c r="H5009" t="n">
        <v>3</v>
      </c>
      <c r="I5009" t="n">
        <v>11</v>
      </c>
      <c r="J5009" t="n">
        <v>1</v>
      </c>
      <c r="K5009" t="n">
        <v>0</v>
      </c>
      <c r="L5009" t="n">
        <v>63920</v>
      </c>
      <c r="M5009" t="n">
        <v>79900</v>
      </c>
      <c r="N5009" t="n">
        <v>33</v>
      </c>
      <c r="O5009" t="n">
        <v>0.33</v>
      </c>
      <c r="P5009" t="n">
        <v>1</v>
      </c>
      <c r="Q5009" t="n">
        <v>0.07000000000000001</v>
      </c>
      <c r="R5009" t="n">
        <v>1</v>
      </c>
      <c r="S5009" t="n">
        <v>3164.04</v>
      </c>
      <c r="T5009" t="n">
        <v>8</v>
      </c>
      <c r="U5009" t="n">
        <v>9</v>
      </c>
      <c r="V5009" t="n">
        <v>30</v>
      </c>
      <c r="W5009" t="n">
        <v>2</v>
      </c>
      <c r="X5009" t="n">
        <v>202.020202020202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10393</v>
      </c>
      <c r="AG5009" t="n">
        <v>170</v>
      </c>
      <c r="AH5009" t="inlineStr">
        <is>
          <t>PT. JALUR MANDIRI UTAMA - PPN (PDG)</t>
        </is>
      </c>
      <c r="AI5009" t="n">
        <v>170</v>
      </c>
      <c r="AJ5009" t="inlineStr">
        <is>
          <t>YOU</t>
        </is>
      </c>
      <c r="AK5009" t="n">
        <v>9</v>
      </c>
      <c r="AL5009" t="inlineStr">
        <is>
          <t>Miss Glam Jambi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YOU</t>
        </is>
      </c>
      <c r="B5010" s="2">
        <f>"203002193341"</f>
        <v/>
      </c>
      <c r="C5010" t="inlineStr">
        <is>
          <t>YOU Cloud Paint Matte Lasting Lip Cream R747 Inspire 3gr</t>
        </is>
      </c>
      <c r="D5010" t="inlineStr">
        <is>
          <t>Miss Glam Jambi</t>
        </is>
      </c>
      <c r="E5010" t="n">
        <v>6</v>
      </c>
      <c r="F5010" t="n">
        <v>0.1551</v>
      </c>
      <c r="G5010" t="n">
        <v>0.99</v>
      </c>
      <c r="H5010" t="n">
        <v>3</v>
      </c>
      <c r="I5010" t="n">
        <v>11</v>
      </c>
      <c r="J5010" t="n">
        <v>1</v>
      </c>
      <c r="K5010" t="n">
        <v>0</v>
      </c>
      <c r="L5010" t="n">
        <v>63920</v>
      </c>
      <c r="M5010" t="n">
        <v>79900</v>
      </c>
      <c r="N5010" t="n">
        <v>33</v>
      </c>
      <c r="O5010" t="n">
        <v>0.33</v>
      </c>
      <c r="P5010" t="n">
        <v>1</v>
      </c>
      <c r="Q5010" t="n">
        <v>0.07000000000000001</v>
      </c>
      <c r="R5010" t="n">
        <v>1</v>
      </c>
      <c r="S5010" t="n">
        <v>12392.49</v>
      </c>
      <c r="T5010" t="n">
        <v>11</v>
      </c>
      <c r="U5010" t="n">
        <v>12</v>
      </c>
      <c r="V5010" t="n">
        <v>30</v>
      </c>
      <c r="W5010" t="n">
        <v>5</v>
      </c>
      <c r="X5010" t="n">
        <v>38.68471953578337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10393</v>
      </c>
      <c r="AG5010" t="n">
        <v>170</v>
      </c>
      <c r="AH5010" t="inlineStr">
        <is>
          <t>PT. JALUR MANDIRI UTAMA - PPN (PDG)</t>
        </is>
      </c>
      <c r="AI5010" t="n">
        <v>170</v>
      </c>
      <c r="AJ5010" t="inlineStr">
        <is>
          <t>YOU</t>
        </is>
      </c>
      <c r="AK5010" t="n">
        <v>9</v>
      </c>
      <c r="AL5010" t="inlineStr">
        <is>
          <t>Miss Glam Jambi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YOU</t>
        </is>
      </c>
      <c r="B5011" s="2">
        <f>"203002193412"</f>
        <v/>
      </c>
      <c r="C5011" t="inlineStr">
        <is>
          <t>YOU Cloud Paint Matte Lasting Lip Cream R865 Dashing 3gr</t>
        </is>
      </c>
      <c r="D5011" t="inlineStr">
        <is>
          <t>Miss Glam Jambi</t>
        </is>
      </c>
      <c r="E5011" t="n">
        <v>1</v>
      </c>
      <c r="F5011" t="n">
        <v>0.0165</v>
      </c>
      <c r="G5011" t="n">
        <v>0.33</v>
      </c>
      <c r="H5011" t="n">
        <v>3</v>
      </c>
      <c r="I5011" t="n">
        <v>11</v>
      </c>
      <c r="J5011" t="n">
        <v>1</v>
      </c>
      <c r="K5011" t="n">
        <v>0</v>
      </c>
      <c r="L5011" t="n">
        <v>63920</v>
      </c>
      <c r="M5011" t="n">
        <v>79900</v>
      </c>
      <c r="N5011" t="n">
        <v>33</v>
      </c>
      <c r="O5011" t="n">
        <v>0.33</v>
      </c>
      <c r="P5011" t="n">
        <v>1</v>
      </c>
      <c r="Q5011" t="n">
        <v>0.07000000000000001</v>
      </c>
      <c r="R5011" t="n">
        <v>2</v>
      </c>
      <c r="S5011" t="n">
        <v>1318.35</v>
      </c>
      <c r="T5011" t="n">
        <v>4</v>
      </c>
      <c r="U5011" t="n">
        <v>5</v>
      </c>
      <c r="V5011" t="n">
        <v>30</v>
      </c>
      <c r="W5011" t="n">
        <v>1</v>
      </c>
      <c r="X5011" t="n">
        <v>60.6060606060606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10393</v>
      </c>
      <c r="AG5011" t="n">
        <v>170</v>
      </c>
      <c r="AH5011" t="inlineStr">
        <is>
          <t>PT. JALUR MANDIRI UTAMA - PPN (PDG)</t>
        </is>
      </c>
      <c r="AI5011" t="n">
        <v>170</v>
      </c>
      <c r="AJ5011" t="inlineStr">
        <is>
          <t>YOU</t>
        </is>
      </c>
      <c r="AK5011" t="n">
        <v>9</v>
      </c>
      <c r="AL5011" t="inlineStr">
        <is>
          <t>Miss Glam Jambi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YOU</t>
        </is>
      </c>
      <c r="B5012" s="2">
        <f>"20100179443"</f>
        <v/>
      </c>
      <c r="C5012" t="inlineStr">
        <is>
          <t>YOU Cloud Touch 3% Niacinamide Acne Defense Skin Tint C203 Pink Sand 20ml</t>
        </is>
      </c>
      <c r="D5012" t="inlineStr">
        <is>
          <t>Miss Glam Jambi</t>
        </is>
      </c>
      <c r="E5012" t="n">
        <v>21</v>
      </c>
      <c r="F5012" t="n">
        <v>0.09569999999999999</v>
      </c>
      <c r="G5012" t="n">
        <v>0.33</v>
      </c>
      <c r="H5012" t="n">
        <v>3</v>
      </c>
      <c r="I5012" t="n">
        <v>11</v>
      </c>
      <c r="J5012" t="n">
        <v>1</v>
      </c>
      <c r="K5012" t="n">
        <v>0</v>
      </c>
      <c r="L5012" t="n">
        <v>90320</v>
      </c>
      <c r="M5012" t="n">
        <v>112900</v>
      </c>
      <c r="N5012" t="n">
        <v>33</v>
      </c>
      <c r="O5012" t="n">
        <v>0.33</v>
      </c>
      <c r="P5012" t="n">
        <v>1</v>
      </c>
      <c r="Q5012" t="n">
        <v>0.05</v>
      </c>
      <c r="R5012" t="n">
        <v>1</v>
      </c>
      <c r="S5012" t="n">
        <v>10804.53</v>
      </c>
      <c r="T5012" t="n">
        <v>4</v>
      </c>
      <c r="U5012" t="n">
        <v>5</v>
      </c>
      <c r="V5012" t="n">
        <v>30</v>
      </c>
      <c r="W5012" t="n">
        <v>3</v>
      </c>
      <c r="X5012" t="n">
        <v>219.435736677116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10393</v>
      </c>
      <c r="AG5012" t="n">
        <v>170</v>
      </c>
      <c r="AH5012" t="inlineStr">
        <is>
          <t>PT. JALUR MANDIRI UTAMA - PPN (PDG)</t>
        </is>
      </c>
      <c r="AI5012" t="n">
        <v>170</v>
      </c>
      <c r="AJ5012" t="inlineStr">
        <is>
          <t>YOU</t>
        </is>
      </c>
      <c r="AK5012" t="n">
        <v>9</v>
      </c>
      <c r="AL5012" t="inlineStr">
        <is>
          <t>Miss Glam Jambi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YOU</t>
        </is>
      </c>
      <c r="B5013" s="2">
        <f>"20100179623"</f>
        <v/>
      </c>
      <c r="C5013" t="inlineStr">
        <is>
          <t>YOU Cloud Touch 3% Niacinamide Acne Defense Skin Tint N402 Shell Ivory 20ml</t>
        </is>
      </c>
      <c r="D5013" t="inlineStr">
        <is>
          <t>Miss Glam Jambi</t>
        </is>
      </c>
      <c r="E5013" t="n">
        <v>24</v>
      </c>
      <c r="F5013" t="n">
        <v>0.02</v>
      </c>
      <c r="G5013" t="n">
        <v>1</v>
      </c>
      <c r="H5013" t="n">
        <v>3</v>
      </c>
      <c r="I5013" t="n">
        <v>11</v>
      </c>
      <c r="J5013" t="n">
        <v>1</v>
      </c>
      <c r="K5013" t="n">
        <v>0</v>
      </c>
      <c r="L5013" t="n">
        <v>90320</v>
      </c>
      <c r="M5013" t="n">
        <v>112900</v>
      </c>
      <c r="N5013" t="n">
        <v>33</v>
      </c>
      <c r="O5013" t="n">
        <v>0.33</v>
      </c>
      <c r="P5013" t="n">
        <v>0</v>
      </c>
      <c r="Q5013" t="n">
        <v>0.02</v>
      </c>
      <c r="R5013" t="n">
        <v>1</v>
      </c>
      <c r="S5013" t="n">
        <v>2258</v>
      </c>
      <c r="T5013" t="n">
        <v>11</v>
      </c>
      <c r="U5013" t="n">
        <v>12</v>
      </c>
      <c r="V5013" t="n">
        <v>30</v>
      </c>
      <c r="W5013" t="n">
        <v>1</v>
      </c>
      <c r="X5013" t="n">
        <v>1200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10393</v>
      </c>
      <c r="AG5013" t="n">
        <v>170</v>
      </c>
      <c r="AH5013" t="inlineStr">
        <is>
          <t>PT. JALUR MANDIRI UTAMA - PPN (PDG)</t>
        </is>
      </c>
      <c r="AI5013" t="n">
        <v>170</v>
      </c>
      <c r="AJ5013" t="inlineStr">
        <is>
          <t>YOU</t>
        </is>
      </c>
      <c r="AK5013" t="n">
        <v>9</v>
      </c>
      <c r="AL5013" t="inlineStr">
        <is>
          <t>Miss Glam Jambi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YOU</t>
        </is>
      </c>
      <c r="B5014" s="2">
        <f>"20100179734"</f>
        <v/>
      </c>
      <c r="C5014" t="inlineStr">
        <is>
          <t>YOU Cloud Touch 3% Niacinamide Acne Defense Skin Tint N504 Rose Vanilla 20ml</t>
        </is>
      </c>
      <c r="D5014" t="inlineStr">
        <is>
          <t>Miss Glam Jambi</t>
        </is>
      </c>
      <c r="E5014" t="n">
        <v>17</v>
      </c>
      <c r="F5014" t="n">
        <v>0.1188</v>
      </c>
      <c r="G5014" t="n">
        <v>0.66</v>
      </c>
      <c r="H5014" t="n">
        <v>3</v>
      </c>
      <c r="I5014" t="n">
        <v>11</v>
      </c>
      <c r="J5014" t="n">
        <v>1</v>
      </c>
      <c r="K5014" t="n">
        <v>0</v>
      </c>
      <c r="L5014" t="n">
        <v>90320</v>
      </c>
      <c r="M5014" t="n">
        <v>112900</v>
      </c>
      <c r="N5014" t="n">
        <v>33</v>
      </c>
      <c r="O5014" t="n">
        <v>0.33</v>
      </c>
      <c r="P5014" t="n">
        <v>1</v>
      </c>
      <c r="Q5014" t="n">
        <v>0.07000000000000001</v>
      </c>
      <c r="R5014" t="n">
        <v>1</v>
      </c>
      <c r="S5014" t="n">
        <v>13412.52</v>
      </c>
      <c r="T5014" t="n">
        <v>7</v>
      </c>
      <c r="U5014" t="n">
        <v>8</v>
      </c>
      <c r="V5014" t="n">
        <v>30</v>
      </c>
      <c r="W5014" t="n">
        <v>4</v>
      </c>
      <c r="X5014" t="n">
        <v>143.0976430976431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10393</v>
      </c>
      <c r="AG5014" t="n">
        <v>170</v>
      </c>
      <c r="AH5014" t="inlineStr">
        <is>
          <t>PT. JALUR MANDIRI UTAMA - PPN (PDG)</t>
        </is>
      </c>
      <c r="AI5014" t="n">
        <v>170</v>
      </c>
      <c r="AJ5014" t="inlineStr">
        <is>
          <t>YOU</t>
        </is>
      </c>
      <c r="AK5014" t="n">
        <v>9</v>
      </c>
      <c r="AL5014" t="inlineStr">
        <is>
          <t>Miss Glam Jambi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YOU</t>
        </is>
      </c>
      <c r="B5015" s="2">
        <f>"20100179816"</f>
        <v/>
      </c>
      <c r="C5015" t="inlineStr">
        <is>
          <t>YOU Cloud Touch 3% Niacinamide Acne Defense Skin Tint W702 Cedar Almond 20ml</t>
        </is>
      </c>
      <c r="D5015" t="inlineStr">
        <is>
          <t>Miss Glam Jambi</t>
        </is>
      </c>
      <c r="E5015" t="n">
        <v>7</v>
      </c>
      <c r="F5015" t="n">
        <v>0.06270000000000001</v>
      </c>
      <c r="G5015" t="n">
        <v>0.66</v>
      </c>
      <c r="H5015" t="n">
        <v>3</v>
      </c>
      <c r="I5015" t="n">
        <v>11</v>
      </c>
      <c r="J5015" t="n">
        <v>1</v>
      </c>
      <c r="K5015" t="n">
        <v>0</v>
      </c>
      <c r="L5015" t="n">
        <v>90320</v>
      </c>
      <c r="M5015" t="n">
        <v>112900</v>
      </c>
      <c r="N5015" t="n">
        <v>33</v>
      </c>
      <c r="O5015" t="n">
        <v>0.33</v>
      </c>
      <c r="P5015" t="n">
        <v>1</v>
      </c>
      <c r="Q5015" t="n">
        <v>0.05</v>
      </c>
      <c r="R5015" t="n">
        <v>1</v>
      </c>
      <c r="S5015" t="n">
        <v>7078.830000000001</v>
      </c>
      <c r="T5015" t="n">
        <v>8</v>
      </c>
      <c r="U5015" t="n">
        <v>9</v>
      </c>
      <c r="V5015" t="n">
        <v>30</v>
      </c>
      <c r="W5015" t="n">
        <v>2</v>
      </c>
      <c r="X5015" t="n">
        <v>111.6427432216906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10393</v>
      </c>
      <c r="AG5015" t="n">
        <v>170</v>
      </c>
      <c r="AH5015" t="inlineStr">
        <is>
          <t>PT. JALUR MANDIRI UTAMA - PPN (PDG)</t>
        </is>
      </c>
      <c r="AI5015" t="n">
        <v>170</v>
      </c>
      <c r="AJ5015" t="inlineStr">
        <is>
          <t>YOU</t>
        </is>
      </c>
      <c r="AK5015" t="n">
        <v>9</v>
      </c>
      <c r="AL5015" t="inlineStr">
        <is>
          <t>Miss Glam Jambi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YOU</t>
        </is>
      </c>
      <c r="B5016" s="2">
        <f>"20100179959"</f>
        <v/>
      </c>
      <c r="C5016" t="inlineStr">
        <is>
          <t>YOU Cloud Touch 3% Niacinamide Acne Defense Skin Tint W706 Warm Buff 20ml</t>
        </is>
      </c>
      <c r="D5016" t="inlineStr">
        <is>
          <t>Miss Glam Jambi</t>
        </is>
      </c>
      <c r="E5016" t="n">
        <v>17</v>
      </c>
      <c r="F5016" t="n">
        <v>0.08</v>
      </c>
      <c r="G5016" t="n">
        <v>2</v>
      </c>
      <c r="H5016" t="n">
        <v>3</v>
      </c>
      <c r="I5016" t="n">
        <v>11</v>
      </c>
      <c r="J5016" t="n">
        <v>1</v>
      </c>
      <c r="K5016" t="n">
        <v>0</v>
      </c>
      <c r="L5016" t="n">
        <v>90320</v>
      </c>
      <c r="M5016" t="n">
        <v>112900</v>
      </c>
      <c r="N5016" t="n">
        <v>33</v>
      </c>
      <c r="O5016" t="n">
        <v>0.33</v>
      </c>
      <c r="P5016" t="n">
        <v>0</v>
      </c>
      <c r="Q5016" t="n">
        <v>0.08</v>
      </c>
      <c r="R5016" t="n">
        <v>2</v>
      </c>
      <c r="S5016" t="n">
        <v>9032</v>
      </c>
      <c r="T5016" t="n">
        <v>22</v>
      </c>
      <c r="U5016" t="n">
        <v>23</v>
      </c>
      <c r="V5016" t="n">
        <v>30</v>
      </c>
      <c r="W5016" t="n">
        <v>3</v>
      </c>
      <c r="X5016" t="n">
        <v>212.5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10393</v>
      </c>
      <c r="AG5016" t="n">
        <v>170</v>
      </c>
      <c r="AH5016" t="inlineStr">
        <is>
          <t>PT. JALUR MANDIRI UTAMA - PPN (PDG)</t>
        </is>
      </c>
      <c r="AI5016" t="n">
        <v>170</v>
      </c>
      <c r="AJ5016" t="inlineStr">
        <is>
          <t>YOU</t>
        </is>
      </c>
      <c r="AK5016" t="n">
        <v>9</v>
      </c>
      <c r="AL5016" t="inlineStr">
        <is>
          <t>Miss Glam Jambi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YOU</t>
        </is>
      </c>
      <c r="B5017" s="2">
        <f>"20100180043"</f>
        <v/>
      </c>
      <c r="C5017" t="inlineStr">
        <is>
          <t>YOU Cloud Touch 3% Niacinamide Acne Defense Skin Tint W708 Crème Beige 20ml</t>
        </is>
      </c>
      <c r="D5017" t="inlineStr">
        <is>
          <t>Miss Glam Jambi</t>
        </is>
      </c>
      <c r="E5017" t="n">
        <v>11</v>
      </c>
      <c r="F5017" t="n">
        <v>0.1188</v>
      </c>
      <c r="G5017" t="n">
        <v>0.66</v>
      </c>
      <c r="H5017" t="n">
        <v>3</v>
      </c>
      <c r="I5017" t="n">
        <v>11</v>
      </c>
      <c r="J5017" t="n">
        <v>1</v>
      </c>
      <c r="K5017" t="n">
        <v>0</v>
      </c>
      <c r="L5017" t="n">
        <v>90320</v>
      </c>
      <c r="M5017" t="n">
        <v>112900</v>
      </c>
      <c r="N5017" t="n">
        <v>33</v>
      </c>
      <c r="O5017" t="n">
        <v>0.33</v>
      </c>
      <c r="P5017" t="n">
        <v>1</v>
      </c>
      <c r="Q5017" t="n">
        <v>0.02</v>
      </c>
      <c r="R5017" t="n">
        <v>0</v>
      </c>
      <c r="S5017" t="n">
        <v>13412.52</v>
      </c>
      <c r="T5017" t="n">
        <v>7</v>
      </c>
      <c r="U5017" t="n">
        <v>8</v>
      </c>
      <c r="V5017" t="n">
        <v>30</v>
      </c>
      <c r="W5017" t="n">
        <v>4</v>
      </c>
      <c r="X5017" t="n">
        <v>92.5925925925926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10393</v>
      </c>
      <c r="AG5017" t="n">
        <v>170</v>
      </c>
      <c r="AH5017" t="inlineStr">
        <is>
          <t>PT. JALUR MANDIRI UTAMA - PPN (PDG)</t>
        </is>
      </c>
      <c r="AI5017" t="n">
        <v>170</v>
      </c>
      <c r="AJ5017" t="inlineStr">
        <is>
          <t>YOU</t>
        </is>
      </c>
      <c r="AK5017" t="n">
        <v>9</v>
      </c>
      <c r="AL5017" t="inlineStr">
        <is>
          <t>Miss Glam Jambi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YOU</t>
        </is>
      </c>
      <c r="B5018" s="2">
        <f>"20100178948"</f>
        <v/>
      </c>
      <c r="C5018" t="inlineStr">
        <is>
          <t>YOU Cloud Touch 3% Niacinamide Brightening Skin Tint C203 Pink Sand 20ml</t>
        </is>
      </c>
      <c r="D5018" t="inlineStr">
        <is>
          <t>Miss Glam Jambi</t>
        </is>
      </c>
      <c r="E5018" t="n">
        <v>21</v>
      </c>
      <c r="F5018" t="n">
        <v>0.006600000000000001</v>
      </c>
      <c r="G5018" t="n">
        <v>0</v>
      </c>
      <c r="H5018" t="n">
        <v>3</v>
      </c>
      <c r="I5018" t="n">
        <v>11</v>
      </c>
      <c r="J5018" t="n">
        <v>1</v>
      </c>
      <c r="K5018" t="n">
        <v>0</v>
      </c>
      <c r="L5018" t="n">
        <v>90320</v>
      </c>
      <c r="M5018" t="n">
        <v>112900</v>
      </c>
      <c r="N5018" t="n">
        <v>33</v>
      </c>
      <c r="O5018" t="n">
        <v>0.33</v>
      </c>
      <c r="P5018" t="n">
        <v>1</v>
      </c>
      <c r="Q5018" t="n">
        <v>0.02</v>
      </c>
      <c r="R5018" t="n">
        <v>1</v>
      </c>
      <c r="S5018" t="n">
        <v>745.1400000000001</v>
      </c>
      <c r="T5018" t="n">
        <v>0</v>
      </c>
      <c r="U5018" t="n">
        <v>1</v>
      </c>
      <c r="V5018" t="n">
        <v>30</v>
      </c>
      <c r="W5018" t="n">
        <v>1</v>
      </c>
      <c r="X5018" t="n">
        <v>3181.818181818182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10393</v>
      </c>
      <c r="AG5018" t="n">
        <v>170</v>
      </c>
      <c r="AH5018" t="inlineStr">
        <is>
          <t>PT. JALUR MANDIRI UTAMA - PPN (PDG)</t>
        </is>
      </c>
      <c r="AI5018" t="n">
        <v>170</v>
      </c>
      <c r="AJ5018" t="inlineStr">
        <is>
          <t>YOU</t>
        </is>
      </c>
      <c r="AK5018" t="n">
        <v>9</v>
      </c>
      <c r="AL5018" t="inlineStr">
        <is>
          <t>Miss Glam Jambi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YOU</t>
        </is>
      </c>
      <c r="B5019" s="2">
        <f>"20100179038"</f>
        <v/>
      </c>
      <c r="C5019" t="inlineStr">
        <is>
          <t>YOU Cloud Touch 3% Niacinamide Brightening Skin Tint N402 Shell Ivory 20ml</t>
        </is>
      </c>
      <c r="D5019" t="inlineStr">
        <is>
          <t>Miss Glam Jambi</t>
        </is>
      </c>
      <c r="E5019" t="n">
        <v>18</v>
      </c>
      <c r="F5019" t="n">
        <v>0.1221</v>
      </c>
      <c r="G5019" t="n">
        <v>0.99</v>
      </c>
      <c r="H5019" t="n">
        <v>3</v>
      </c>
      <c r="I5019" t="n">
        <v>11</v>
      </c>
      <c r="J5019" t="n">
        <v>1</v>
      </c>
      <c r="K5019" t="n">
        <v>0</v>
      </c>
      <c r="L5019" t="n">
        <v>90320</v>
      </c>
      <c r="M5019" t="n">
        <v>112900</v>
      </c>
      <c r="N5019" t="n">
        <v>33</v>
      </c>
      <c r="O5019" t="n">
        <v>0.33</v>
      </c>
      <c r="P5019" t="n">
        <v>1</v>
      </c>
      <c r="Q5019" t="n">
        <v>0.05</v>
      </c>
      <c r="R5019" t="n">
        <v>1</v>
      </c>
      <c r="S5019" t="n">
        <v>13785.09</v>
      </c>
      <c r="T5019" t="n">
        <v>11</v>
      </c>
      <c r="U5019" t="n">
        <v>12</v>
      </c>
      <c r="V5019" t="n">
        <v>30</v>
      </c>
      <c r="W5019" t="n">
        <v>4</v>
      </c>
      <c r="X5019" t="n">
        <v>147.4201474201474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10393</v>
      </c>
      <c r="AG5019" t="n">
        <v>170</v>
      </c>
      <c r="AH5019" t="inlineStr">
        <is>
          <t>PT. JALUR MANDIRI UTAMA - PPN (PDG)</t>
        </is>
      </c>
      <c r="AI5019" t="n">
        <v>170</v>
      </c>
      <c r="AJ5019" t="inlineStr">
        <is>
          <t>YOU</t>
        </is>
      </c>
      <c r="AK5019" t="n">
        <v>9</v>
      </c>
      <c r="AL5019" t="inlineStr">
        <is>
          <t>Miss Glam Jambi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YOU</t>
        </is>
      </c>
      <c r="B5020" s="2">
        <f>"20100179133"</f>
        <v/>
      </c>
      <c r="C5020" t="inlineStr">
        <is>
          <t>YOU Cloud Touch 3% Niacinamide Brightening Skin Tint N504 Rose Vanilla 20ml</t>
        </is>
      </c>
      <c r="D5020" t="inlineStr">
        <is>
          <t>Miss Glam Jambi</t>
        </is>
      </c>
      <c r="E5020" t="n">
        <v>17</v>
      </c>
      <c r="F5020" t="n">
        <v>0.1023</v>
      </c>
      <c r="G5020" t="n">
        <v>0.99</v>
      </c>
      <c r="H5020" t="n">
        <v>3</v>
      </c>
      <c r="I5020" t="n">
        <v>11</v>
      </c>
      <c r="J5020" t="n">
        <v>1</v>
      </c>
      <c r="K5020" t="n">
        <v>0</v>
      </c>
      <c r="L5020" t="n">
        <v>90320</v>
      </c>
      <c r="M5020" t="n">
        <v>112900</v>
      </c>
      <c r="N5020" t="n">
        <v>33</v>
      </c>
      <c r="O5020" t="n">
        <v>0.33</v>
      </c>
      <c r="P5020" t="n">
        <v>1</v>
      </c>
      <c r="Q5020" t="n">
        <v>0.08</v>
      </c>
      <c r="R5020" t="n">
        <v>1</v>
      </c>
      <c r="S5020" t="n">
        <v>11549.67</v>
      </c>
      <c r="T5020" t="n">
        <v>11</v>
      </c>
      <c r="U5020" t="n">
        <v>12</v>
      </c>
      <c r="V5020" t="n">
        <v>30</v>
      </c>
      <c r="W5020" t="n">
        <v>4</v>
      </c>
      <c r="X5020" t="n">
        <v>166.177908113392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10393</v>
      </c>
      <c r="AG5020" t="n">
        <v>170</v>
      </c>
      <c r="AH5020" t="inlineStr">
        <is>
          <t>PT. JALUR MANDIRI UTAMA - PPN (PDG)</t>
        </is>
      </c>
      <c r="AI5020" t="n">
        <v>170</v>
      </c>
      <c r="AJ5020" t="inlineStr">
        <is>
          <t>YOU</t>
        </is>
      </c>
      <c r="AK5020" t="n">
        <v>9</v>
      </c>
      <c r="AL5020" t="inlineStr">
        <is>
          <t>Miss Glam Jambi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YOU</t>
        </is>
      </c>
      <c r="B5021" s="2">
        <f>"20100179232"</f>
        <v/>
      </c>
      <c r="C5021" t="inlineStr">
        <is>
          <t>YOU Cloud Touch 3% Niacinamide Brightening Skin Tint W706 Warm Buff 20ml</t>
        </is>
      </c>
      <c r="D5021" t="inlineStr">
        <is>
          <t>Miss Glam Jambi</t>
        </is>
      </c>
      <c r="E5021" t="n">
        <v>21</v>
      </c>
      <c r="F5021" t="n">
        <v>0.1221</v>
      </c>
      <c r="G5021" t="n">
        <v>0.66</v>
      </c>
      <c r="H5021" t="n">
        <v>3</v>
      </c>
      <c r="I5021" t="n">
        <v>11</v>
      </c>
      <c r="J5021" t="n">
        <v>1</v>
      </c>
      <c r="K5021" t="n">
        <v>0</v>
      </c>
      <c r="L5021" t="n">
        <v>90320</v>
      </c>
      <c r="M5021" t="n">
        <v>112900</v>
      </c>
      <c r="N5021" t="n">
        <v>33</v>
      </c>
      <c r="O5021" t="n">
        <v>0.33</v>
      </c>
      <c r="P5021" t="n">
        <v>1</v>
      </c>
      <c r="Q5021" t="n">
        <v>0.05</v>
      </c>
      <c r="R5021" t="n">
        <v>1</v>
      </c>
      <c r="S5021" t="n">
        <v>13785.09</v>
      </c>
      <c r="T5021" t="n">
        <v>7</v>
      </c>
      <c r="U5021" t="n">
        <v>8</v>
      </c>
      <c r="V5021" t="n">
        <v>30</v>
      </c>
      <c r="W5021" t="n">
        <v>4</v>
      </c>
      <c r="X5021" t="n">
        <v>171.990171990172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10393</v>
      </c>
      <c r="AG5021" t="n">
        <v>170</v>
      </c>
      <c r="AH5021" t="inlineStr">
        <is>
          <t>PT. JALUR MANDIRI UTAMA - PPN (PDG)</t>
        </is>
      </c>
      <c r="AI5021" t="n">
        <v>170</v>
      </c>
      <c r="AJ5021" t="inlineStr">
        <is>
          <t>YOU</t>
        </is>
      </c>
      <c r="AK5021" t="n">
        <v>9</v>
      </c>
      <c r="AL5021" t="inlineStr">
        <is>
          <t>Miss Glam Jambi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YOU</t>
        </is>
      </c>
      <c r="B5022" s="2">
        <f>"20100179339"</f>
        <v/>
      </c>
      <c r="C5022" t="inlineStr">
        <is>
          <t>YOU Cloud Touch 3% Niacinamide Brightening Skin Tint W708 Crème Beige 20ml</t>
        </is>
      </c>
      <c r="D5022" t="inlineStr">
        <is>
          <t>Miss Glam Jambi</t>
        </is>
      </c>
      <c r="E5022" t="n">
        <v>10</v>
      </c>
      <c r="F5022" t="n">
        <v>0.02</v>
      </c>
      <c r="G5022" t="n">
        <v>1</v>
      </c>
      <c r="H5022" t="n">
        <v>3</v>
      </c>
      <c r="I5022" t="n">
        <v>11</v>
      </c>
      <c r="J5022" t="n">
        <v>1</v>
      </c>
      <c r="K5022" t="n">
        <v>0</v>
      </c>
      <c r="L5022" t="n">
        <v>90320</v>
      </c>
      <c r="M5022" t="n">
        <v>112900</v>
      </c>
      <c r="N5022" t="n">
        <v>33</v>
      </c>
      <c r="O5022" t="n">
        <v>0.33</v>
      </c>
      <c r="P5022" t="n">
        <v>0</v>
      </c>
      <c r="Q5022" t="n">
        <v>0.02</v>
      </c>
      <c r="R5022" t="n">
        <v>1</v>
      </c>
      <c r="S5022" t="n">
        <v>2258</v>
      </c>
      <c r="T5022" t="n">
        <v>11</v>
      </c>
      <c r="U5022" t="n">
        <v>12</v>
      </c>
      <c r="V5022" t="n">
        <v>30</v>
      </c>
      <c r="W5022" t="n">
        <v>1</v>
      </c>
      <c r="X5022" t="n">
        <v>500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10393</v>
      </c>
      <c r="AG5022" t="n">
        <v>170</v>
      </c>
      <c r="AH5022" t="inlineStr">
        <is>
          <t>PT. JALUR MANDIRI UTAMA - PPN (PDG)</t>
        </is>
      </c>
      <c r="AI5022" t="n">
        <v>170</v>
      </c>
      <c r="AJ5022" t="inlineStr">
        <is>
          <t>YOU</t>
        </is>
      </c>
      <c r="AK5022" t="n">
        <v>9</v>
      </c>
      <c r="AL5022" t="inlineStr">
        <is>
          <t>Miss Glam Jambi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YOU</t>
        </is>
      </c>
      <c r="B5023" s="2">
        <f>"8991748006978"</f>
        <v/>
      </c>
      <c r="C5023" t="inlineStr">
        <is>
          <t>YOU Cloud Touch Blurring Skin Tint C203 Pink Sand</t>
        </is>
      </c>
      <c r="D5023" t="inlineStr">
        <is>
          <t>Miss Glam Jambi</t>
        </is>
      </c>
      <c r="E5023" t="n">
        <v>18</v>
      </c>
      <c r="F5023" t="n">
        <v>0.0825</v>
      </c>
      <c r="G5023" t="n">
        <v>0.66</v>
      </c>
      <c r="H5023" t="n">
        <v>3</v>
      </c>
      <c r="I5023" t="n">
        <v>11</v>
      </c>
      <c r="J5023" t="n">
        <v>3</v>
      </c>
      <c r="K5023" t="n">
        <v>0</v>
      </c>
      <c r="L5023" t="n">
        <v>90320</v>
      </c>
      <c r="M5023" t="n">
        <v>112900</v>
      </c>
      <c r="N5023" t="n">
        <v>33</v>
      </c>
      <c r="O5023" t="n">
        <v>0.33</v>
      </c>
      <c r="P5023" t="n">
        <v>1</v>
      </c>
      <c r="Q5023" t="n">
        <v>0.05</v>
      </c>
      <c r="R5023" t="n">
        <v>1</v>
      </c>
      <c r="S5023" t="n">
        <v>9314.25</v>
      </c>
      <c r="T5023" t="n">
        <v>8</v>
      </c>
      <c r="U5023" t="n">
        <v>9</v>
      </c>
      <c r="V5023" t="n">
        <v>30</v>
      </c>
      <c r="W5023" t="n">
        <v>3</v>
      </c>
      <c r="X5023" t="n">
        <v>218.1818181818182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10393</v>
      </c>
      <c r="AG5023" t="n">
        <v>170</v>
      </c>
      <c r="AH5023" t="inlineStr">
        <is>
          <t>PT. JALUR MANDIRI UTAMA - PPN (PDG)</t>
        </is>
      </c>
      <c r="AI5023" t="n">
        <v>170</v>
      </c>
      <c r="AJ5023" t="inlineStr">
        <is>
          <t>YOU</t>
        </is>
      </c>
      <c r="AK5023" t="n">
        <v>9</v>
      </c>
      <c r="AL5023" t="inlineStr">
        <is>
          <t>Miss Glam Jambi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YOU</t>
        </is>
      </c>
      <c r="B5024" s="2">
        <f>"8991748006961"</f>
        <v/>
      </c>
      <c r="C5024" t="inlineStr">
        <is>
          <t>YOU Cloud Touch Blurring Skin Tint N402 Shell Ivory</t>
        </is>
      </c>
      <c r="D5024" t="inlineStr">
        <is>
          <t>Miss Glam Jambi</t>
        </is>
      </c>
      <c r="E5024" t="n">
        <v>12</v>
      </c>
      <c r="F5024" t="n">
        <v>0.0495</v>
      </c>
      <c r="G5024" t="n">
        <v>0.66</v>
      </c>
      <c r="H5024" t="n">
        <v>3</v>
      </c>
      <c r="I5024" t="n">
        <v>11</v>
      </c>
      <c r="J5024" t="n">
        <v>3</v>
      </c>
      <c r="K5024" t="n">
        <v>0</v>
      </c>
      <c r="L5024" t="n">
        <v>90320</v>
      </c>
      <c r="M5024" t="n">
        <v>112900</v>
      </c>
      <c r="N5024" t="n">
        <v>33</v>
      </c>
      <c r="O5024" t="n">
        <v>0.33</v>
      </c>
      <c r="P5024" t="n">
        <v>1</v>
      </c>
      <c r="Q5024" t="n">
        <v>0.05</v>
      </c>
      <c r="R5024" t="n">
        <v>1</v>
      </c>
      <c r="S5024" t="n">
        <v>5588.55</v>
      </c>
      <c r="T5024" t="n">
        <v>8</v>
      </c>
      <c r="U5024" t="n">
        <v>9</v>
      </c>
      <c r="V5024" t="n">
        <v>30</v>
      </c>
      <c r="W5024" t="n">
        <v>2</v>
      </c>
      <c r="X5024" t="n">
        <v>242.4242424242424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10393</v>
      </c>
      <c r="AG5024" t="n">
        <v>170</v>
      </c>
      <c r="AH5024" t="inlineStr">
        <is>
          <t>PT. JALUR MANDIRI UTAMA - PPN (PDG)</t>
        </is>
      </c>
      <c r="AI5024" t="n">
        <v>170</v>
      </c>
      <c r="AJ5024" t="inlineStr">
        <is>
          <t>YOU</t>
        </is>
      </c>
      <c r="AK5024" t="n">
        <v>9</v>
      </c>
      <c r="AL5024" t="inlineStr">
        <is>
          <t>Miss Glam Jambi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YOU</t>
        </is>
      </c>
      <c r="B5025" s="2">
        <f>"8991748006985"</f>
        <v/>
      </c>
      <c r="C5025" t="inlineStr">
        <is>
          <t>YOU Cloud Touch Blurring Skin Tint N504 Rose Vanilla</t>
        </is>
      </c>
      <c r="D5025" t="inlineStr">
        <is>
          <t>Miss Glam Jambi</t>
        </is>
      </c>
      <c r="E5025" t="n">
        <v>17</v>
      </c>
      <c r="F5025" t="n">
        <v>0.08910000000000001</v>
      </c>
      <c r="G5025" t="n">
        <v>0.66</v>
      </c>
      <c r="H5025" t="n">
        <v>3</v>
      </c>
      <c r="I5025" t="n">
        <v>11</v>
      </c>
      <c r="J5025" t="n">
        <v>3</v>
      </c>
      <c r="K5025" t="n">
        <v>0</v>
      </c>
      <c r="L5025" t="n">
        <v>90320</v>
      </c>
      <c r="M5025" t="n">
        <v>112900</v>
      </c>
      <c r="N5025" t="n">
        <v>33</v>
      </c>
      <c r="O5025" t="n">
        <v>0.33</v>
      </c>
      <c r="P5025" t="n">
        <v>1</v>
      </c>
      <c r="Q5025" t="n">
        <v>0.08</v>
      </c>
      <c r="R5025" t="n">
        <v>3</v>
      </c>
      <c r="S5025" t="n">
        <v>10059.39</v>
      </c>
      <c r="T5025" t="n">
        <v>7</v>
      </c>
      <c r="U5025" t="n">
        <v>8</v>
      </c>
      <c r="V5025" t="n">
        <v>30</v>
      </c>
      <c r="W5025" t="n">
        <v>3</v>
      </c>
      <c r="X5025" t="n">
        <v>190.7968574635241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10393</v>
      </c>
      <c r="AG5025" t="n">
        <v>170</v>
      </c>
      <c r="AH5025" t="inlineStr">
        <is>
          <t>PT. JALUR MANDIRI UTAMA - PPN (PDG)</t>
        </is>
      </c>
      <c r="AI5025" t="n">
        <v>170</v>
      </c>
      <c r="AJ5025" t="inlineStr">
        <is>
          <t>YOU</t>
        </is>
      </c>
      <c r="AK5025" t="n">
        <v>9</v>
      </c>
      <c r="AL5025" t="inlineStr">
        <is>
          <t>Miss Glam Jambi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YOU</t>
        </is>
      </c>
      <c r="B5026" s="2">
        <f>"8991748006992"</f>
        <v/>
      </c>
      <c r="C5026" t="inlineStr">
        <is>
          <t>YOU Cloud Touch Blurring Skin Tint W706 Warm Buff</t>
        </is>
      </c>
      <c r="D5026" t="inlineStr">
        <is>
          <t>Miss Glam Jambi</t>
        </is>
      </c>
      <c r="E5026" t="n">
        <v>25</v>
      </c>
      <c r="F5026" t="n">
        <v>0.06270000000000001</v>
      </c>
      <c r="G5026" t="n">
        <v>0.66</v>
      </c>
      <c r="H5026" t="n">
        <v>3</v>
      </c>
      <c r="I5026" t="n">
        <v>11</v>
      </c>
      <c r="J5026" t="n">
        <v>3</v>
      </c>
      <c r="K5026" t="n">
        <v>0</v>
      </c>
      <c r="L5026" t="n">
        <v>90320</v>
      </c>
      <c r="M5026" t="n">
        <v>112900</v>
      </c>
      <c r="N5026" t="n">
        <v>33</v>
      </c>
      <c r="O5026" t="n">
        <v>0.33</v>
      </c>
      <c r="P5026" t="n">
        <v>1</v>
      </c>
      <c r="Q5026" t="n">
        <v>0.1</v>
      </c>
      <c r="R5026" t="n">
        <v>2</v>
      </c>
      <c r="S5026" t="n">
        <v>7078.830000000001</v>
      </c>
      <c r="T5026" t="n">
        <v>8</v>
      </c>
      <c r="U5026" t="n">
        <v>9</v>
      </c>
      <c r="V5026" t="n">
        <v>30</v>
      </c>
      <c r="W5026" t="n">
        <v>2</v>
      </c>
      <c r="X5026" t="n">
        <v>398.7240829346092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10393</v>
      </c>
      <c r="AG5026" t="n">
        <v>170</v>
      </c>
      <c r="AH5026" t="inlineStr">
        <is>
          <t>PT. JALUR MANDIRI UTAMA - PPN (PDG)</t>
        </is>
      </c>
      <c r="AI5026" t="n">
        <v>170</v>
      </c>
      <c r="AJ5026" t="inlineStr">
        <is>
          <t>YOU</t>
        </is>
      </c>
      <c r="AK5026" t="n">
        <v>9</v>
      </c>
      <c r="AL5026" t="inlineStr">
        <is>
          <t>Miss Glam Jambi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YOU</t>
        </is>
      </c>
      <c r="B5027" s="2">
        <f>"8991748007005"</f>
        <v/>
      </c>
      <c r="C5027" t="inlineStr">
        <is>
          <t>YOU Cloud Touch Blurring Skin Tint W708 Creme Beige 20ml</t>
        </is>
      </c>
      <c r="D5027" t="inlineStr">
        <is>
          <t>Miss Glam Jambi</t>
        </is>
      </c>
      <c r="E5027" t="n">
        <v>16</v>
      </c>
      <c r="F5027" t="n">
        <v>0.0561</v>
      </c>
      <c r="G5027" t="n">
        <v>0.66</v>
      </c>
      <c r="H5027" t="n">
        <v>3</v>
      </c>
      <c r="I5027" t="n">
        <v>11</v>
      </c>
      <c r="J5027" t="n">
        <v>3</v>
      </c>
      <c r="K5027" t="n">
        <v>0</v>
      </c>
      <c r="L5027" t="n">
        <v>90320</v>
      </c>
      <c r="M5027" t="n">
        <v>112900</v>
      </c>
      <c r="N5027" t="n">
        <v>33</v>
      </c>
      <c r="O5027" t="n">
        <v>0.33</v>
      </c>
      <c r="P5027" t="n">
        <v>1</v>
      </c>
      <c r="Q5027" t="n">
        <v>0.02</v>
      </c>
      <c r="R5027" t="n">
        <v>1</v>
      </c>
      <c r="S5027" t="n">
        <v>6333.690000000001</v>
      </c>
      <c r="T5027" t="n">
        <v>8</v>
      </c>
      <c r="U5027" t="n">
        <v>9</v>
      </c>
      <c r="V5027" t="n">
        <v>30</v>
      </c>
      <c r="W5027" t="n">
        <v>2</v>
      </c>
      <c r="X5027" t="n">
        <v>285.204991087344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10393</v>
      </c>
      <c r="AG5027" t="n">
        <v>170</v>
      </c>
      <c r="AH5027" t="inlineStr">
        <is>
          <t>PT. JALUR MANDIRI UTAMA - PPN (PDG)</t>
        </is>
      </c>
      <c r="AI5027" t="n">
        <v>170</v>
      </c>
      <c r="AJ5027" t="inlineStr">
        <is>
          <t>YOU</t>
        </is>
      </c>
      <c r="AK5027" t="n">
        <v>9</v>
      </c>
      <c r="AL5027" t="inlineStr">
        <is>
          <t>Miss Glam Jambi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YOU</t>
        </is>
      </c>
      <c r="B5028" s="2">
        <f>"20100575001"</f>
        <v/>
      </c>
      <c r="C5028" t="inlineStr">
        <is>
          <t>YOU Cloud Touch Dreamy 3 In 1 Two-Way Cake C403 Light Matte 8gr</t>
        </is>
      </c>
      <c r="D5028" t="inlineStr">
        <is>
          <t>Miss Glam Jambi</t>
        </is>
      </c>
      <c r="E5028" t="n">
        <v>0</v>
      </c>
      <c r="F5028" t="n">
        <v>0.0726</v>
      </c>
      <c r="G5028" t="n">
        <v>0.66</v>
      </c>
      <c r="H5028" t="n">
        <v>3</v>
      </c>
      <c r="I5028" t="n">
        <v>11</v>
      </c>
      <c r="J5028" t="n">
        <v>1</v>
      </c>
      <c r="K5028" t="n">
        <v>2</v>
      </c>
      <c r="L5028" t="n">
        <v>71200</v>
      </c>
      <c r="M5028" t="n">
        <v>89000</v>
      </c>
      <c r="N5028" t="n">
        <v>33</v>
      </c>
      <c r="O5028" t="n">
        <v>0.33</v>
      </c>
      <c r="P5028" t="n">
        <v>1</v>
      </c>
      <c r="Q5028" t="n">
        <v>0.02</v>
      </c>
      <c r="R5028" t="n">
        <v>1</v>
      </c>
      <c r="S5028" t="n">
        <v>6461.4</v>
      </c>
      <c r="T5028" t="n">
        <v>8</v>
      </c>
      <c r="U5028" t="n">
        <v>9</v>
      </c>
      <c r="V5028" t="n">
        <v>30</v>
      </c>
      <c r="W5028" t="n">
        <v>3</v>
      </c>
      <c r="X5028" t="n">
        <v>0</v>
      </c>
      <c r="Y5028" t="n">
        <v>1</v>
      </c>
      <c r="Z5028" t="n">
        <v>1</v>
      </c>
      <c r="AA5028" t="n">
        <v>0</v>
      </c>
      <c r="AB5028" t="n">
        <v>1</v>
      </c>
      <c r="AC5028" t="n">
        <v>1</v>
      </c>
      <c r="AD5028" t="n">
        <v>0</v>
      </c>
      <c r="AE5028" t="n">
        <v>71200</v>
      </c>
      <c r="AF5028" t="n">
        <v>10393</v>
      </c>
      <c r="AG5028" t="n">
        <v>170</v>
      </c>
      <c r="AH5028" t="inlineStr">
        <is>
          <t>PT. JALUR MANDIRI UTAMA - PPN (PDG)</t>
        </is>
      </c>
      <c r="AI5028" t="n">
        <v>170</v>
      </c>
      <c r="AJ5028" t="inlineStr">
        <is>
          <t>YOU</t>
        </is>
      </c>
      <c r="AK5028" t="n">
        <v>9</v>
      </c>
      <c r="AL5028" t="inlineStr">
        <is>
          <t>Miss Glam Jambi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YOU</t>
        </is>
      </c>
      <c r="B5029" s="2">
        <f>"20101207501"</f>
        <v/>
      </c>
      <c r="C5029" t="inlineStr">
        <is>
          <t>YOU Cloud Touch Dreamy Make Up Setting Spray 55ml</t>
        </is>
      </c>
      <c r="D5029" t="inlineStr">
        <is>
          <t>Miss Glam Jambi</t>
        </is>
      </c>
      <c r="E5029" t="n">
        <v>20</v>
      </c>
      <c r="F5029" t="n">
        <v>0.1122</v>
      </c>
      <c r="G5029" t="n">
        <v>0.99</v>
      </c>
      <c r="H5029" t="n">
        <v>3</v>
      </c>
      <c r="I5029" t="n">
        <v>11</v>
      </c>
      <c r="J5029" t="n">
        <v>3</v>
      </c>
      <c r="K5029" t="n">
        <v>0</v>
      </c>
      <c r="L5029" t="n">
        <v>47200</v>
      </c>
      <c r="M5029" t="n">
        <v>59000</v>
      </c>
      <c r="N5029" t="n">
        <v>33</v>
      </c>
      <c r="O5029" t="n">
        <v>0.33</v>
      </c>
      <c r="P5029" t="n">
        <v>1</v>
      </c>
      <c r="Q5029" t="n">
        <v>0.02</v>
      </c>
      <c r="R5029" t="n">
        <v>1</v>
      </c>
      <c r="S5029" t="n">
        <v>6619.8</v>
      </c>
      <c r="T5029" t="n">
        <v>11</v>
      </c>
      <c r="U5029" t="n">
        <v>12</v>
      </c>
      <c r="V5029" t="n">
        <v>30</v>
      </c>
      <c r="W5029" t="n">
        <v>4</v>
      </c>
      <c r="X5029" t="n">
        <v>178.25311942959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10393</v>
      </c>
      <c r="AG5029" t="n">
        <v>170</v>
      </c>
      <c r="AH5029" t="inlineStr">
        <is>
          <t>PT. JALUR MANDIRI UTAMA - PPN (PDG)</t>
        </is>
      </c>
      <c r="AI5029" t="n">
        <v>170</v>
      </c>
      <c r="AJ5029" t="inlineStr">
        <is>
          <t>YOU</t>
        </is>
      </c>
      <c r="AK5029" t="n">
        <v>9</v>
      </c>
      <c r="AL5029" t="inlineStr">
        <is>
          <t>Miss Glam Jambi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YOU</t>
        </is>
      </c>
      <c r="B5030" s="2">
        <f>"8991748007074"</f>
        <v/>
      </c>
      <c r="C5030" t="inlineStr">
        <is>
          <t>YOU Cloud Touch Dreamy- fit Lasting Mesh Cushion N610 Golden Honey 10gr</t>
        </is>
      </c>
      <c r="D5030" t="inlineStr">
        <is>
          <t>Miss Glam Jambi</t>
        </is>
      </c>
      <c r="E5030" t="n">
        <v>1</v>
      </c>
      <c r="F5030" t="n">
        <v>0.02</v>
      </c>
      <c r="G5030" t="n">
        <v>1</v>
      </c>
      <c r="H5030" t="n">
        <v>3</v>
      </c>
      <c r="I5030" t="n">
        <v>11</v>
      </c>
      <c r="J5030" t="n">
        <v>3</v>
      </c>
      <c r="K5030" t="n">
        <v>0</v>
      </c>
      <c r="L5030" t="n">
        <v>117520</v>
      </c>
      <c r="M5030" t="n">
        <v>146900</v>
      </c>
      <c r="N5030" t="n">
        <v>33</v>
      </c>
      <c r="O5030" t="n">
        <v>0.33</v>
      </c>
      <c r="P5030" t="n">
        <v>0</v>
      </c>
      <c r="Q5030" t="n">
        <v>0.02</v>
      </c>
      <c r="R5030" t="n">
        <v>1</v>
      </c>
      <c r="S5030" t="n">
        <v>2938</v>
      </c>
      <c r="T5030" t="n">
        <v>11</v>
      </c>
      <c r="U5030" t="n">
        <v>12</v>
      </c>
      <c r="V5030" t="n">
        <v>30</v>
      </c>
      <c r="W5030" t="n">
        <v>1</v>
      </c>
      <c r="X5030" t="n">
        <v>50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10393</v>
      </c>
      <c r="AG5030" t="n">
        <v>170</v>
      </c>
      <c r="AH5030" t="inlineStr">
        <is>
          <t>PT. JALUR MANDIRI UTAMA - PPN (PDG)</t>
        </is>
      </c>
      <c r="AI5030" t="n">
        <v>170</v>
      </c>
      <c r="AJ5030" t="inlineStr">
        <is>
          <t>YOU</t>
        </is>
      </c>
      <c r="AK5030" t="n">
        <v>9</v>
      </c>
      <c r="AL5030" t="inlineStr">
        <is>
          <t>Miss Glam Jambi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YOU</t>
        </is>
      </c>
      <c r="B5031" s="2">
        <f>"8991748003830"</f>
        <v/>
      </c>
      <c r="C5031" t="inlineStr">
        <is>
          <t>YOU Cloud Touch Fixing Tint P796 Misty Night</t>
        </is>
      </c>
      <c r="D5031" t="inlineStr">
        <is>
          <t>Miss Glam Jambi</t>
        </is>
      </c>
      <c r="E5031" t="n">
        <v>0</v>
      </c>
      <c r="F5031" t="n">
        <v>0.0264</v>
      </c>
      <c r="G5031" t="n">
        <v>0.66</v>
      </c>
      <c r="H5031" t="n">
        <v>3</v>
      </c>
      <c r="I5031" t="n">
        <v>11</v>
      </c>
      <c r="J5031" t="n">
        <v>3</v>
      </c>
      <c r="K5031" t="n">
        <v>0</v>
      </c>
      <c r="L5031" t="n">
        <v>63920</v>
      </c>
      <c r="M5031" t="n">
        <v>79900</v>
      </c>
      <c r="N5031" t="n">
        <v>33</v>
      </c>
      <c r="O5031" t="n">
        <v>0.33</v>
      </c>
      <c r="P5031" t="n">
        <v>1</v>
      </c>
      <c r="Q5031" t="n">
        <v>0.07000000000000001</v>
      </c>
      <c r="R5031" t="n">
        <v>2</v>
      </c>
      <c r="S5031" t="n">
        <v>2109.36</v>
      </c>
      <c r="T5031" t="n">
        <v>8</v>
      </c>
      <c r="U5031" t="n">
        <v>9</v>
      </c>
      <c r="V5031" t="n">
        <v>30</v>
      </c>
      <c r="W5031" t="n">
        <v>1</v>
      </c>
      <c r="X5031" t="n">
        <v>0</v>
      </c>
      <c r="Y5031" t="n">
        <v>1</v>
      </c>
      <c r="Z5031" t="n">
        <v>1</v>
      </c>
      <c r="AA5031" t="n">
        <v>1</v>
      </c>
      <c r="AB5031" t="n">
        <v>0</v>
      </c>
      <c r="AC5031" t="n">
        <v>0</v>
      </c>
      <c r="AD5031" t="n">
        <v>63920</v>
      </c>
      <c r="AE5031" t="n">
        <v>0</v>
      </c>
      <c r="AF5031" t="n">
        <v>10393</v>
      </c>
      <c r="AG5031" t="n">
        <v>170</v>
      </c>
      <c r="AH5031" t="inlineStr">
        <is>
          <t>PT. JALUR MANDIRI UTAMA - PPN (PDG)</t>
        </is>
      </c>
      <c r="AI5031" t="n">
        <v>170</v>
      </c>
      <c r="AJ5031" t="inlineStr">
        <is>
          <t>YOU</t>
        </is>
      </c>
      <c r="AK5031" t="n">
        <v>9</v>
      </c>
      <c r="AL5031" t="inlineStr">
        <is>
          <t>Miss Glam Jambi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YOU</t>
        </is>
      </c>
      <c r="B5032" s="2">
        <f>"8991748003809"</f>
        <v/>
      </c>
      <c r="C5032" t="inlineStr">
        <is>
          <t>YOU Cloud Touch Fixing Tint R199 Airy Kiss</t>
        </is>
      </c>
      <c r="D5032" t="inlineStr">
        <is>
          <t>Miss Glam Jambi</t>
        </is>
      </c>
      <c r="E5032" t="n">
        <v>1</v>
      </c>
      <c r="F5032" t="n">
        <v>0.006600000000000001</v>
      </c>
      <c r="G5032" t="n">
        <v>0.33</v>
      </c>
      <c r="H5032" t="n">
        <v>3</v>
      </c>
      <c r="I5032" t="n">
        <v>11</v>
      </c>
      <c r="J5032" t="n">
        <v>3</v>
      </c>
      <c r="K5032" t="n">
        <v>0</v>
      </c>
      <c r="L5032" t="n">
        <v>63920</v>
      </c>
      <c r="M5032" t="n">
        <v>79900</v>
      </c>
      <c r="N5032" t="n">
        <v>33</v>
      </c>
      <c r="O5032" t="n">
        <v>0.33</v>
      </c>
      <c r="P5032" t="n">
        <v>1</v>
      </c>
      <c r="Q5032" t="n">
        <v>0.03</v>
      </c>
      <c r="R5032" t="n">
        <v>1</v>
      </c>
      <c r="S5032" t="n">
        <v>527.34</v>
      </c>
      <c r="T5032" t="n">
        <v>4</v>
      </c>
      <c r="U5032" t="n">
        <v>5</v>
      </c>
      <c r="V5032" t="n">
        <v>30</v>
      </c>
      <c r="W5032" t="n">
        <v>1</v>
      </c>
      <c r="X5032" t="n">
        <v>151.5151515151515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10393</v>
      </c>
      <c r="AG5032" t="n">
        <v>170</v>
      </c>
      <c r="AH5032" t="inlineStr">
        <is>
          <t>PT. JALUR MANDIRI UTAMA - PPN (PDG)</t>
        </is>
      </c>
      <c r="AI5032" t="n">
        <v>170</v>
      </c>
      <c r="AJ5032" t="inlineStr">
        <is>
          <t>YOU</t>
        </is>
      </c>
      <c r="AK5032" t="n">
        <v>9</v>
      </c>
      <c r="AL5032" t="inlineStr">
        <is>
          <t>Miss Glam Jambi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YOU</t>
        </is>
      </c>
      <c r="B5033" s="2">
        <f>"8991748006480"</f>
        <v/>
      </c>
      <c r="C5033" t="inlineStr">
        <is>
          <t>YOU Cloud Touch Fixing Tint R646 Rose Bloom 2.5gr</t>
        </is>
      </c>
      <c r="D5033" t="inlineStr">
        <is>
          <t>Miss Glam Jambi</t>
        </is>
      </c>
      <c r="E5033" t="n">
        <v>0</v>
      </c>
      <c r="F5033" t="n">
        <v>0.07590000000000001</v>
      </c>
      <c r="G5033" t="n">
        <v>0.99</v>
      </c>
      <c r="H5033" t="n">
        <v>3</v>
      </c>
      <c r="I5033" t="n">
        <v>11</v>
      </c>
      <c r="J5033" t="n">
        <v>3</v>
      </c>
      <c r="K5033" t="n">
        <v>3</v>
      </c>
      <c r="L5033" t="n">
        <v>63920</v>
      </c>
      <c r="M5033" t="n">
        <v>79900</v>
      </c>
      <c r="N5033" t="n">
        <v>33</v>
      </c>
      <c r="O5033" t="n">
        <v>0.33</v>
      </c>
      <c r="P5033" t="n">
        <v>1</v>
      </c>
      <c r="Q5033" t="n">
        <v>0.06</v>
      </c>
      <c r="R5033" t="n">
        <v>2</v>
      </c>
      <c r="S5033" t="n">
        <v>6064.410000000001</v>
      </c>
      <c r="T5033" t="n">
        <v>11</v>
      </c>
      <c r="U5033" t="n">
        <v>12</v>
      </c>
      <c r="V5033" t="n">
        <v>30</v>
      </c>
      <c r="W5033" t="n">
        <v>3</v>
      </c>
      <c r="X5033" t="n">
        <v>0</v>
      </c>
      <c r="Y5033" t="n">
        <v>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10393</v>
      </c>
      <c r="AG5033" t="n">
        <v>170</v>
      </c>
      <c r="AH5033" t="inlineStr">
        <is>
          <t>PT. JALUR MANDIRI UTAMA - PPN (PDG)</t>
        </is>
      </c>
      <c r="AI5033" t="n">
        <v>170</v>
      </c>
      <c r="AJ5033" t="inlineStr">
        <is>
          <t>YOU</t>
        </is>
      </c>
      <c r="AK5033" t="n">
        <v>9</v>
      </c>
      <c r="AL5033" t="inlineStr">
        <is>
          <t>Miss Glam Jambi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YOU</t>
        </is>
      </c>
      <c r="B5034" s="2">
        <f>"8991748003793"</f>
        <v/>
      </c>
      <c r="C5034" t="inlineStr">
        <is>
          <t>YOU Cloud Touch Fixing Tint R667 Puffy Sky</t>
        </is>
      </c>
      <c r="D5034" t="inlineStr">
        <is>
          <t>Miss Glam Jambi</t>
        </is>
      </c>
      <c r="E5034" t="n">
        <v>0</v>
      </c>
      <c r="F5034" t="n">
        <v>0.07920000000000001</v>
      </c>
      <c r="G5034" t="n">
        <v>1.32</v>
      </c>
      <c r="H5034" t="n">
        <v>3</v>
      </c>
      <c r="I5034" t="n">
        <v>11</v>
      </c>
      <c r="J5034" t="n">
        <v>3</v>
      </c>
      <c r="K5034" t="n">
        <v>3</v>
      </c>
      <c r="L5034" t="n">
        <v>63920</v>
      </c>
      <c r="M5034" t="n">
        <v>79900</v>
      </c>
      <c r="N5034" t="n">
        <v>33</v>
      </c>
      <c r="O5034" t="n">
        <v>0.33</v>
      </c>
      <c r="P5034" t="n">
        <v>1</v>
      </c>
      <c r="Q5034" t="n">
        <v>0.03</v>
      </c>
      <c r="R5034" t="n">
        <v>1</v>
      </c>
      <c r="S5034" t="n">
        <v>6328.080000000001</v>
      </c>
      <c r="T5034" t="n">
        <v>15</v>
      </c>
      <c r="U5034" t="n">
        <v>16</v>
      </c>
      <c r="V5034" t="n">
        <v>30</v>
      </c>
      <c r="W5034" t="n">
        <v>3</v>
      </c>
      <c r="X5034" t="n">
        <v>0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10393</v>
      </c>
      <c r="AG5034" t="n">
        <v>170</v>
      </c>
      <c r="AH5034" t="inlineStr">
        <is>
          <t>PT. JALUR MANDIRI UTAMA - PPN (PDG)</t>
        </is>
      </c>
      <c r="AI5034" t="n">
        <v>170</v>
      </c>
      <c r="AJ5034" t="inlineStr">
        <is>
          <t>YOU</t>
        </is>
      </c>
      <c r="AK5034" t="n">
        <v>9</v>
      </c>
      <c r="AL5034" t="inlineStr">
        <is>
          <t>Miss Glam Jambi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YOU</t>
        </is>
      </c>
      <c r="B5035" s="2">
        <f>"8991748003786"</f>
        <v/>
      </c>
      <c r="C5035" t="inlineStr">
        <is>
          <t>YOU Cloud Touch Fixing Tint R868 Sun &amp; Fun</t>
        </is>
      </c>
      <c r="D5035" t="inlineStr">
        <is>
          <t>Miss Glam Jambi</t>
        </is>
      </c>
      <c r="E5035" t="n">
        <v>0</v>
      </c>
      <c r="F5035" t="n">
        <v>0.03</v>
      </c>
      <c r="G5035" t="n">
        <v>1</v>
      </c>
      <c r="H5035" t="n">
        <v>3</v>
      </c>
      <c r="I5035" t="n">
        <v>11</v>
      </c>
      <c r="J5035" t="n">
        <v>3</v>
      </c>
      <c r="K5035" t="n">
        <v>0</v>
      </c>
      <c r="L5035" t="n">
        <v>63920</v>
      </c>
      <c r="M5035" t="n">
        <v>79900</v>
      </c>
      <c r="N5035" t="n">
        <v>33</v>
      </c>
      <c r="O5035" t="n">
        <v>0.33</v>
      </c>
      <c r="P5035" t="n">
        <v>0</v>
      </c>
      <c r="Q5035" t="n">
        <v>0.03</v>
      </c>
      <c r="R5035" t="n">
        <v>1</v>
      </c>
      <c r="S5035" t="n">
        <v>2397</v>
      </c>
      <c r="T5035" t="n">
        <v>11</v>
      </c>
      <c r="U5035" t="n">
        <v>12</v>
      </c>
      <c r="V5035" t="n">
        <v>30</v>
      </c>
      <c r="W5035" t="n">
        <v>1</v>
      </c>
      <c r="X5035" t="n">
        <v>0</v>
      </c>
      <c r="Y5035" t="n">
        <v>1</v>
      </c>
      <c r="Z5035" t="n">
        <v>1</v>
      </c>
      <c r="AA5035" t="n">
        <v>1</v>
      </c>
      <c r="AB5035" t="n">
        <v>0</v>
      </c>
      <c r="AC5035" t="n">
        <v>0</v>
      </c>
      <c r="AD5035" t="n">
        <v>63920</v>
      </c>
      <c r="AE5035" t="n">
        <v>0</v>
      </c>
      <c r="AF5035" t="n">
        <v>10393</v>
      </c>
      <c r="AG5035" t="n">
        <v>170</v>
      </c>
      <c r="AH5035" t="inlineStr">
        <is>
          <t>PT. JALUR MANDIRI UTAMA - PPN (PDG)</t>
        </is>
      </c>
      <c r="AI5035" t="n">
        <v>170</v>
      </c>
      <c r="AJ5035" t="inlineStr">
        <is>
          <t>YOU</t>
        </is>
      </c>
      <c r="AK5035" t="n">
        <v>9</v>
      </c>
      <c r="AL5035" t="inlineStr">
        <is>
          <t>Miss Glam Jambi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YOU</t>
        </is>
      </c>
      <c r="B5036" s="2">
        <f>"8991748005476"</f>
        <v/>
      </c>
      <c r="C5036" t="inlineStr">
        <is>
          <t>YOU Cloud Touch Invisible Setting Powder 0,35gr</t>
        </is>
      </c>
      <c r="D5036" t="inlineStr">
        <is>
          <t>Miss Glam Jambi</t>
        </is>
      </c>
      <c r="E5036" t="n">
        <v>21</v>
      </c>
      <c r="F5036" t="n">
        <v>0.009900000000000001</v>
      </c>
      <c r="G5036" t="n">
        <v>0.33</v>
      </c>
      <c r="H5036" t="n">
        <v>3</v>
      </c>
      <c r="I5036" t="n">
        <v>11</v>
      </c>
      <c r="J5036" t="n">
        <v>3</v>
      </c>
      <c r="K5036" t="n">
        <v>0</v>
      </c>
      <c r="L5036" t="n">
        <v>82320</v>
      </c>
      <c r="M5036" t="n">
        <v>102900</v>
      </c>
      <c r="N5036" t="n">
        <v>33</v>
      </c>
      <c r="O5036" t="n">
        <v>0.33</v>
      </c>
      <c r="P5036" t="n">
        <v>1</v>
      </c>
      <c r="Q5036" t="n">
        <v>0.02</v>
      </c>
      <c r="R5036" t="n">
        <v>1</v>
      </c>
      <c r="S5036" t="n">
        <v>1018.71</v>
      </c>
      <c r="T5036" t="n">
        <v>4</v>
      </c>
      <c r="U5036" t="n">
        <v>5</v>
      </c>
      <c r="V5036" t="n">
        <v>30</v>
      </c>
      <c r="W5036" t="n">
        <v>1</v>
      </c>
      <c r="X5036" t="n">
        <v>2121.212121212121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10393</v>
      </c>
      <c r="AG5036" t="n">
        <v>170</v>
      </c>
      <c r="AH5036" t="inlineStr">
        <is>
          <t>PT. JALUR MANDIRI UTAMA - PPN (PDG)</t>
        </is>
      </c>
      <c r="AI5036" t="n">
        <v>170</v>
      </c>
      <c r="AJ5036" t="inlineStr">
        <is>
          <t>YOU</t>
        </is>
      </c>
      <c r="AK5036" t="n">
        <v>9</v>
      </c>
      <c r="AL5036" t="inlineStr">
        <is>
          <t>Miss Glam Jambi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YOU</t>
        </is>
      </c>
      <c r="B5037" s="2">
        <f>"8991748005452"</f>
        <v/>
      </c>
      <c r="C5037" t="inlineStr">
        <is>
          <t>YOU Cloud Touch Juicy Tint R277 Pink Fizz 2.5gr</t>
        </is>
      </c>
      <c r="D5037" t="inlineStr">
        <is>
          <t>Miss Glam Jambi</t>
        </is>
      </c>
      <c r="E5037" t="n">
        <v>0</v>
      </c>
      <c r="F5037" t="n">
        <v>0.07920000000000001</v>
      </c>
      <c r="G5037" t="n">
        <v>0.66</v>
      </c>
      <c r="H5037" t="n">
        <v>3</v>
      </c>
      <c r="I5037" t="n">
        <v>11</v>
      </c>
      <c r="J5037" t="n">
        <v>3</v>
      </c>
      <c r="K5037" t="n">
        <v>3</v>
      </c>
      <c r="L5037" t="n">
        <v>55920</v>
      </c>
      <c r="M5037" t="n">
        <v>69900</v>
      </c>
      <c r="N5037" t="n">
        <v>33</v>
      </c>
      <c r="O5037" t="n">
        <v>0.33</v>
      </c>
      <c r="P5037" t="n">
        <v>1</v>
      </c>
      <c r="Q5037" t="n">
        <v>0.07000000000000001</v>
      </c>
      <c r="R5037" t="n">
        <v>1</v>
      </c>
      <c r="S5037" t="n">
        <v>5536.080000000001</v>
      </c>
      <c r="T5037" t="n">
        <v>8</v>
      </c>
      <c r="U5037" t="n">
        <v>9</v>
      </c>
      <c r="V5037" t="n">
        <v>30</v>
      </c>
      <c r="W5037" t="n">
        <v>3</v>
      </c>
      <c r="X5037" t="n">
        <v>0</v>
      </c>
      <c r="Y5037" t="n">
        <v>1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10393</v>
      </c>
      <c r="AG5037" t="n">
        <v>170</v>
      </c>
      <c r="AH5037" t="inlineStr">
        <is>
          <t>PT. JALUR MANDIRI UTAMA - PPN (PDG)</t>
        </is>
      </c>
      <c r="AI5037" t="n">
        <v>170</v>
      </c>
      <c r="AJ5037" t="inlineStr">
        <is>
          <t>YOU</t>
        </is>
      </c>
      <c r="AK5037" t="n">
        <v>9</v>
      </c>
      <c r="AL5037" t="inlineStr">
        <is>
          <t>Miss Glam Jambi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YOU</t>
        </is>
      </c>
      <c r="B5038" s="2">
        <f>"8997227896146"</f>
        <v/>
      </c>
      <c r="C5038" t="inlineStr">
        <is>
          <t>YOU Express On Point Eyeliner Black 0,5ml</t>
        </is>
      </c>
      <c r="D5038" t="inlineStr">
        <is>
          <t>Miss Glam Jambi</t>
        </is>
      </c>
      <c r="E5038" t="n">
        <v>15</v>
      </c>
      <c r="F5038" t="n">
        <v>0.07920000000000001</v>
      </c>
      <c r="G5038" t="n">
        <v>0.66</v>
      </c>
      <c r="H5038" t="n">
        <v>3</v>
      </c>
      <c r="I5038" t="n">
        <v>11</v>
      </c>
      <c r="J5038" t="n">
        <v>3</v>
      </c>
      <c r="K5038" t="n">
        <v>0</v>
      </c>
      <c r="L5038" t="n">
        <v>39920</v>
      </c>
      <c r="M5038" t="n">
        <v>49900</v>
      </c>
      <c r="N5038" t="n">
        <v>33</v>
      </c>
      <c r="O5038" t="n">
        <v>0.33</v>
      </c>
      <c r="P5038" t="n">
        <v>1</v>
      </c>
      <c r="Q5038" t="n">
        <v>0.15</v>
      </c>
      <c r="R5038" t="n">
        <v>1</v>
      </c>
      <c r="S5038" t="n">
        <v>3952.08</v>
      </c>
      <c r="T5038" t="n">
        <v>8</v>
      </c>
      <c r="U5038" t="n">
        <v>9</v>
      </c>
      <c r="V5038" t="n">
        <v>30</v>
      </c>
      <c r="W5038" t="n">
        <v>3</v>
      </c>
      <c r="X5038" t="n">
        <v>189.3939393939394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10393</v>
      </c>
      <c r="AG5038" t="n">
        <v>170</v>
      </c>
      <c r="AH5038" t="inlineStr">
        <is>
          <t>PT. JALUR MANDIRI UTAMA - PPN (PDG)</t>
        </is>
      </c>
      <c r="AI5038" t="n">
        <v>170</v>
      </c>
      <c r="AJ5038" t="inlineStr">
        <is>
          <t>YOU</t>
        </is>
      </c>
      <c r="AK5038" t="n">
        <v>9</v>
      </c>
      <c r="AL5038" t="inlineStr">
        <is>
          <t>Miss Glam Jambi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YOU</t>
        </is>
      </c>
      <c r="B5039" s="2">
        <f>"20100706443"</f>
        <v/>
      </c>
      <c r="C5039" t="inlineStr">
        <is>
          <t>YOU Fit-Skin Mattifying Poreless Gel Primer 20ml</t>
        </is>
      </c>
      <c r="D5039" t="inlineStr">
        <is>
          <t>Miss Glam Jambi</t>
        </is>
      </c>
      <c r="E5039" t="n">
        <v>6</v>
      </c>
      <c r="F5039" t="n">
        <v>0.1023</v>
      </c>
      <c r="G5039" t="n">
        <v>0.99</v>
      </c>
      <c r="H5039" t="n">
        <v>3</v>
      </c>
      <c r="I5039" t="n">
        <v>11</v>
      </c>
      <c r="J5039" t="n">
        <v>3</v>
      </c>
      <c r="K5039" t="n">
        <v>0</v>
      </c>
      <c r="L5039" t="n">
        <v>47200</v>
      </c>
      <c r="M5039" t="n">
        <v>59000</v>
      </c>
      <c r="N5039" t="n">
        <v>33</v>
      </c>
      <c r="O5039" t="n">
        <v>0.33</v>
      </c>
      <c r="P5039" t="n">
        <v>1</v>
      </c>
      <c r="Q5039" t="n">
        <v>0.14</v>
      </c>
      <c r="R5039" t="n">
        <v>1</v>
      </c>
      <c r="S5039" t="n">
        <v>6035.7</v>
      </c>
      <c r="T5039" t="n">
        <v>11</v>
      </c>
      <c r="U5039" t="n">
        <v>12</v>
      </c>
      <c r="V5039" t="n">
        <v>30</v>
      </c>
      <c r="W5039" t="n">
        <v>4</v>
      </c>
      <c r="X5039" t="n">
        <v>58.65102639296187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10393</v>
      </c>
      <c r="AG5039" t="n">
        <v>170</v>
      </c>
      <c r="AH5039" t="inlineStr">
        <is>
          <t>PT. JALUR MANDIRI UTAMA - PPN (PDG)</t>
        </is>
      </c>
      <c r="AI5039" t="n">
        <v>170</v>
      </c>
      <c r="AJ5039" t="inlineStr">
        <is>
          <t>YOU</t>
        </is>
      </c>
      <c r="AK5039" t="n">
        <v>9</v>
      </c>
      <c r="AL5039" t="inlineStr">
        <is>
          <t>Miss Glam Jambi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YOU</t>
        </is>
      </c>
      <c r="B5040" s="2">
        <f>"8991748012252"</f>
        <v/>
      </c>
      <c r="C5040" t="inlineStr">
        <is>
          <t>YOU Golden Age Deep Cleansing Facial Wash100gr (New)</t>
        </is>
      </c>
      <c r="D5040" t="inlineStr">
        <is>
          <t>Miss Glam Jambi</t>
        </is>
      </c>
      <c r="E5040" t="n">
        <v>7</v>
      </c>
      <c r="F5040" t="n">
        <v>0.1551</v>
      </c>
      <c r="G5040" t="n">
        <v>1.65</v>
      </c>
      <c r="H5040" t="n">
        <v>3</v>
      </c>
      <c r="I5040" t="n">
        <v>11</v>
      </c>
      <c r="J5040" t="n">
        <v>3</v>
      </c>
      <c r="K5040" t="n">
        <v>0</v>
      </c>
      <c r="L5040" t="n">
        <v>47920</v>
      </c>
      <c r="M5040" t="n">
        <v>59900</v>
      </c>
      <c r="N5040" t="n">
        <v>33</v>
      </c>
      <c r="O5040" t="n">
        <v>0.33</v>
      </c>
      <c r="P5040" t="n">
        <v>1</v>
      </c>
      <c r="Q5040" t="n">
        <v>0.08</v>
      </c>
      <c r="R5040" t="n">
        <v>1</v>
      </c>
      <c r="S5040" t="n">
        <v>9290.49</v>
      </c>
      <c r="T5040" t="n">
        <v>18</v>
      </c>
      <c r="U5040" t="n">
        <v>19</v>
      </c>
      <c r="V5040" t="n">
        <v>30</v>
      </c>
      <c r="W5040" t="n">
        <v>5</v>
      </c>
      <c r="X5040" t="n">
        <v>45.13217279174727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10393</v>
      </c>
      <c r="AG5040" t="n">
        <v>170</v>
      </c>
      <c r="AH5040" t="inlineStr">
        <is>
          <t>PT. JALUR MANDIRI UTAMA - PPN (PDG)</t>
        </is>
      </c>
      <c r="AI5040" t="n">
        <v>170</v>
      </c>
      <c r="AJ5040" t="inlineStr">
        <is>
          <t>YOU</t>
        </is>
      </c>
      <c r="AK5040" t="n">
        <v>9</v>
      </c>
      <c r="AL5040" t="inlineStr">
        <is>
          <t>Miss Glam Jambi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YOU</t>
        </is>
      </c>
      <c r="B5041" s="2">
        <f>"8997227894036"</f>
        <v/>
      </c>
      <c r="C5041" t="inlineStr">
        <is>
          <t>YOU Golden Age Energizing Eye Cream 15gr</t>
        </is>
      </c>
      <c r="D5041" t="inlineStr">
        <is>
          <t>Miss Glam Jambi</t>
        </is>
      </c>
      <c r="E5041" t="n">
        <v>6</v>
      </c>
      <c r="F5041" t="n">
        <v>0.0231</v>
      </c>
      <c r="G5041" t="n">
        <v>0.33</v>
      </c>
      <c r="H5041" t="n">
        <v>3</v>
      </c>
      <c r="I5041" t="n">
        <v>11</v>
      </c>
      <c r="J5041" t="n">
        <v>3</v>
      </c>
      <c r="K5041" t="n">
        <v>0</v>
      </c>
      <c r="L5041" t="n">
        <v>79920</v>
      </c>
      <c r="M5041" t="n">
        <v>103500</v>
      </c>
      <c r="N5041" t="n">
        <v>33</v>
      </c>
      <c r="O5041" t="n">
        <v>0.33</v>
      </c>
      <c r="P5041" t="n">
        <v>1</v>
      </c>
      <c r="Q5041" t="n">
        <v>0.05</v>
      </c>
      <c r="R5041" t="n">
        <v>1</v>
      </c>
      <c r="S5041" t="n">
        <v>2390.85</v>
      </c>
      <c r="T5041" t="n">
        <v>4</v>
      </c>
      <c r="U5041" t="n">
        <v>5</v>
      </c>
      <c r="V5041" t="n">
        <v>30</v>
      </c>
      <c r="W5041" t="n">
        <v>1</v>
      </c>
      <c r="X5041" t="n">
        <v>259.7402597402597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10393</v>
      </c>
      <c r="AG5041" t="n">
        <v>170</v>
      </c>
      <c r="AH5041" t="inlineStr">
        <is>
          <t>PT. JALUR MANDIRI UTAMA - PPN (PDG)</t>
        </is>
      </c>
      <c r="AI5041" t="n">
        <v>170</v>
      </c>
      <c r="AJ5041" t="inlineStr">
        <is>
          <t>YOU</t>
        </is>
      </c>
      <c r="AK5041" t="n">
        <v>9</v>
      </c>
      <c r="AL5041" t="inlineStr">
        <is>
          <t>Miss Glam Jambi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YOU</t>
        </is>
      </c>
      <c r="B5042" s="2">
        <f>"8991748007739"</f>
        <v/>
      </c>
      <c r="C5042" t="inlineStr">
        <is>
          <t>YOU Golden Age Illuminating Day Cream 18gr</t>
        </is>
      </c>
      <c r="D5042" t="inlineStr">
        <is>
          <t>Miss Glam Jambi</t>
        </is>
      </c>
      <c r="E5042" t="n">
        <v>32</v>
      </c>
      <c r="F5042" t="n">
        <v>0.0264</v>
      </c>
      <c r="G5042" t="n">
        <v>0.33</v>
      </c>
      <c r="H5042" t="n">
        <v>3</v>
      </c>
      <c r="I5042" t="n">
        <v>11</v>
      </c>
      <c r="J5042" t="n">
        <v>3</v>
      </c>
      <c r="K5042" t="n">
        <v>0</v>
      </c>
      <c r="L5042" t="n">
        <v>46320</v>
      </c>
      <c r="M5042" t="n">
        <v>57900</v>
      </c>
      <c r="N5042" t="n">
        <v>33</v>
      </c>
      <c r="O5042" t="n">
        <v>0.33</v>
      </c>
      <c r="P5042" t="n">
        <v>1</v>
      </c>
      <c r="Q5042" t="n">
        <v>0.03</v>
      </c>
      <c r="R5042" t="n">
        <v>1</v>
      </c>
      <c r="S5042" t="n">
        <v>1528.56</v>
      </c>
      <c r="T5042" t="n">
        <v>4</v>
      </c>
      <c r="U5042" t="n">
        <v>5</v>
      </c>
      <c r="V5042" t="n">
        <v>30</v>
      </c>
      <c r="W5042" t="n">
        <v>1</v>
      </c>
      <c r="X5042" t="n">
        <v>1212.121212121212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10393</v>
      </c>
      <c r="AG5042" t="n">
        <v>170</v>
      </c>
      <c r="AH5042" t="inlineStr">
        <is>
          <t>PT. JALUR MANDIRI UTAMA - PPN (PDG)</t>
        </is>
      </c>
      <c r="AI5042" t="n">
        <v>170</v>
      </c>
      <c r="AJ5042" t="inlineStr">
        <is>
          <t>YOU</t>
        </is>
      </c>
      <c r="AK5042" t="n">
        <v>9</v>
      </c>
      <c r="AL5042" t="inlineStr">
        <is>
          <t>Miss Glam Jambi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YOU</t>
        </is>
      </c>
      <c r="B5043" s="2">
        <f>"8991748007722"</f>
        <v/>
      </c>
      <c r="C5043" t="inlineStr">
        <is>
          <t>YOU Golden Age Illuminating Day Cream 30gr (New) SPF 35 PA+++</t>
        </is>
      </c>
      <c r="D5043" t="inlineStr">
        <is>
          <t>Miss Glam Jambi</t>
        </is>
      </c>
      <c r="E5043" t="n">
        <v>3</v>
      </c>
      <c r="F5043" t="n">
        <v>0.0396</v>
      </c>
      <c r="G5043" t="n">
        <v>0.33</v>
      </c>
      <c r="H5043" t="n">
        <v>3</v>
      </c>
      <c r="I5043" t="n">
        <v>11</v>
      </c>
      <c r="J5043" t="n">
        <v>3</v>
      </c>
      <c r="K5043" t="n">
        <v>0</v>
      </c>
      <c r="L5043" t="n">
        <v>95920</v>
      </c>
      <c r="M5043" t="n">
        <v>119900</v>
      </c>
      <c r="N5043" t="n">
        <v>33</v>
      </c>
      <c r="O5043" t="n">
        <v>0.33</v>
      </c>
      <c r="P5043" t="n">
        <v>1</v>
      </c>
      <c r="Q5043" t="n">
        <v>0.05</v>
      </c>
      <c r="R5043" t="n">
        <v>1</v>
      </c>
      <c r="S5043" t="n">
        <v>4748.04</v>
      </c>
      <c r="T5043" t="n">
        <v>4</v>
      </c>
      <c r="U5043" t="n">
        <v>5</v>
      </c>
      <c r="V5043" t="n">
        <v>30</v>
      </c>
      <c r="W5043" t="n">
        <v>2</v>
      </c>
      <c r="X5043" t="n">
        <v>75.75757575757575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10393</v>
      </c>
      <c r="AG5043" t="n">
        <v>170</v>
      </c>
      <c r="AH5043" t="inlineStr">
        <is>
          <t>PT. JALUR MANDIRI UTAMA - PPN (PDG)</t>
        </is>
      </c>
      <c r="AI5043" t="n">
        <v>170</v>
      </c>
      <c r="AJ5043" t="inlineStr">
        <is>
          <t>YOU</t>
        </is>
      </c>
      <c r="AK5043" t="n">
        <v>9</v>
      </c>
      <c r="AL5043" t="inlineStr">
        <is>
          <t>Miss Glam Jambi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YOU</t>
        </is>
      </c>
      <c r="B5044" s="2">
        <f>"8991748007685"</f>
        <v/>
      </c>
      <c r="C5044" t="inlineStr">
        <is>
          <t>YOU Golden Age Intensive Serum 20ml</t>
        </is>
      </c>
      <c r="D5044" t="inlineStr">
        <is>
          <t>Miss Glam Jambi</t>
        </is>
      </c>
      <c r="E5044" t="n">
        <v>2</v>
      </c>
      <c r="F5044" t="n">
        <v>0.066</v>
      </c>
      <c r="G5044" t="n">
        <v>0.66</v>
      </c>
      <c r="H5044" t="n">
        <v>3</v>
      </c>
      <c r="I5044" t="n">
        <v>11</v>
      </c>
      <c r="J5044" t="n">
        <v>3</v>
      </c>
      <c r="K5044" t="n">
        <v>0</v>
      </c>
      <c r="L5044" t="n">
        <v>103120</v>
      </c>
      <c r="M5044" t="n">
        <v>128900</v>
      </c>
      <c r="N5044" t="n">
        <v>33</v>
      </c>
      <c r="O5044" t="n">
        <v>0.33</v>
      </c>
      <c r="P5044" t="n">
        <v>1</v>
      </c>
      <c r="Q5044" t="n">
        <v>0.05</v>
      </c>
      <c r="R5044" t="n">
        <v>1</v>
      </c>
      <c r="S5044" t="n">
        <v>8507.4</v>
      </c>
      <c r="T5044" t="n">
        <v>8</v>
      </c>
      <c r="U5044" t="n">
        <v>9</v>
      </c>
      <c r="V5044" t="n">
        <v>30</v>
      </c>
      <c r="W5044" t="n">
        <v>2</v>
      </c>
      <c r="X5044" t="n">
        <v>30.3030303030303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10393</v>
      </c>
      <c r="AG5044" t="n">
        <v>170</v>
      </c>
      <c r="AH5044" t="inlineStr">
        <is>
          <t>PT. JALUR MANDIRI UTAMA - PPN (PDG)</t>
        </is>
      </c>
      <c r="AI5044" t="n">
        <v>170</v>
      </c>
      <c r="AJ5044" t="inlineStr">
        <is>
          <t>YOU</t>
        </is>
      </c>
      <c r="AK5044" t="n">
        <v>9</v>
      </c>
      <c r="AL5044" t="inlineStr">
        <is>
          <t>Miss Glam Jambi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YOU</t>
        </is>
      </c>
      <c r="B5045" s="2">
        <f>"8991748007777"</f>
        <v/>
      </c>
      <c r="C5045" t="inlineStr">
        <is>
          <t>YOU Golden Age Revitalizing Night Cream 18gr</t>
        </is>
      </c>
      <c r="D5045" t="inlineStr">
        <is>
          <t>Miss Glam Jambi</t>
        </is>
      </c>
      <c r="E5045" t="n">
        <v>27</v>
      </c>
      <c r="F5045" t="n">
        <v>0.033</v>
      </c>
      <c r="G5045" t="n">
        <v>0.66</v>
      </c>
      <c r="H5045" t="n">
        <v>3</v>
      </c>
      <c r="I5045" t="n">
        <v>11</v>
      </c>
      <c r="J5045" t="n">
        <v>3</v>
      </c>
      <c r="K5045" t="n">
        <v>0</v>
      </c>
      <c r="L5045" t="n">
        <v>46320</v>
      </c>
      <c r="M5045" t="n">
        <v>57900</v>
      </c>
      <c r="N5045" t="n">
        <v>33</v>
      </c>
      <c r="O5045" t="n">
        <v>0.33</v>
      </c>
      <c r="P5045" t="n">
        <v>1</v>
      </c>
      <c r="Q5045" t="n">
        <v>0.03</v>
      </c>
      <c r="R5045" t="n">
        <v>1</v>
      </c>
      <c r="S5045" t="n">
        <v>1910.7</v>
      </c>
      <c r="T5045" t="n">
        <v>8</v>
      </c>
      <c r="U5045" t="n">
        <v>9</v>
      </c>
      <c r="V5045" t="n">
        <v>30</v>
      </c>
      <c r="W5045" t="n">
        <v>1</v>
      </c>
      <c r="X5045" t="n">
        <v>818.1818181818181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10393</v>
      </c>
      <c r="AG5045" t="n">
        <v>170</v>
      </c>
      <c r="AH5045" t="inlineStr">
        <is>
          <t>PT. JALUR MANDIRI UTAMA - PPN (PDG)</t>
        </is>
      </c>
      <c r="AI5045" t="n">
        <v>170</v>
      </c>
      <c r="AJ5045" t="inlineStr">
        <is>
          <t>YOU</t>
        </is>
      </c>
      <c r="AK5045" t="n">
        <v>9</v>
      </c>
      <c r="AL5045" t="inlineStr">
        <is>
          <t>Miss Glam Jambi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YOU</t>
        </is>
      </c>
      <c r="B5046" s="2">
        <f>"8997227894005"</f>
        <v/>
      </c>
      <c r="C5046" t="inlineStr">
        <is>
          <t>YOU Golden Age Revitalizing Night Cream 30gr</t>
        </is>
      </c>
      <c r="D5046" t="inlineStr">
        <is>
          <t>Miss Glam Jambi</t>
        </is>
      </c>
      <c r="E5046" t="n">
        <v>9</v>
      </c>
      <c r="F5046" t="n">
        <v>0.0495</v>
      </c>
      <c r="G5046" t="n">
        <v>0.66</v>
      </c>
      <c r="H5046" t="n">
        <v>3</v>
      </c>
      <c r="I5046" t="n">
        <v>11</v>
      </c>
      <c r="J5046" t="n">
        <v>3</v>
      </c>
      <c r="K5046" t="n">
        <v>0</v>
      </c>
      <c r="L5046" t="n">
        <v>95920</v>
      </c>
      <c r="M5046" t="n">
        <v>112500</v>
      </c>
      <c r="N5046" t="n">
        <v>33</v>
      </c>
      <c r="O5046" t="n">
        <v>0.33</v>
      </c>
      <c r="P5046" t="n">
        <v>1</v>
      </c>
      <c r="Q5046" t="n">
        <v>0.08</v>
      </c>
      <c r="R5046" t="n">
        <v>1</v>
      </c>
      <c r="S5046" t="n">
        <v>5568.75</v>
      </c>
      <c r="T5046" t="n">
        <v>8</v>
      </c>
      <c r="U5046" t="n">
        <v>9</v>
      </c>
      <c r="V5046" t="n">
        <v>30</v>
      </c>
      <c r="W5046" t="n">
        <v>2</v>
      </c>
      <c r="X5046" t="n">
        <v>181.8181818181818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10393</v>
      </c>
      <c r="AG5046" t="n">
        <v>170</v>
      </c>
      <c r="AH5046" t="inlineStr">
        <is>
          <t>PT. JALUR MANDIRI UTAMA - PPN (PDG)</t>
        </is>
      </c>
      <c r="AI5046" t="n">
        <v>170</v>
      </c>
      <c r="AJ5046" t="inlineStr">
        <is>
          <t>YOU</t>
        </is>
      </c>
      <c r="AK5046" t="n">
        <v>9</v>
      </c>
      <c r="AL5046" t="inlineStr">
        <is>
          <t>Miss Glam Jambi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YOU</t>
        </is>
      </c>
      <c r="B5047" s="2">
        <f>"8991748003281"</f>
        <v/>
      </c>
      <c r="C5047" t="inlineStr">
        <is>
          <t>YOU Hy Amino Bye Bacteria Anti Bacterial Facial Wash 100gr</t>
        </is>
      </c>
      <c r="D5047" t="inlineStr">
        <is>
          <t>Miss Glam Jambi</t>
        </is>
      </c>
      <c r="E5047" t="n">
        <v>11</v>
      </c>
      <c r="F5047" t="n">
        <v>0.3135</v>
      </c>
      <c r="G5047" t="n">
        <v>1.32</v>
      </c>
      <c r="H5047" t="n">
        <v>3</v>
      </c>
      <c r="I5047" t="n">
        <v>11</v>
      </c>
      <c r="J5047" t="n">
        <v>3</v>
      </c>
      <c r="K5047" t="n">
        <v>0</v>
      </c>
      <c r="L5047" t="n">
        <v>27920</v>
      </c>
      <c r="M5047" t="n">
        <v>34900</v>
      </c>
      <c r="N5047" t="n">
        <v>33</v>
      </c>
      <c r="O5047" t="n">
        <v>0.33</v>
      </c>
      <c r="P5047" t="n">
        <v>1</v>
      </c>
      <c r="Q5047" t="n">
        <v>0.05</v>
      </c>
      <c r="R5047" t="n">
        <v>1</v>
      </c>
      <c r="S5047" t="n">
        <v>10941.15</v>
      </c>
      <c r="T5047" t="n">
        <v>14</v>
      </c>
      <c r="U5047" t="n">
        <v>15</v>
      </c>
      <c r="V5047" t="n">
        <v>30</v>
      </c>
      <c r="W5047" t="n">
        <v>10</v>
      </c>
      <c r="X5047" t="n">
        <v>35.08771929824562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10393</v>
      </c>
      <c r="AG5047" t="n">
        <v>170</v>
      </c>
      <c r="AH5047" t="inlineStr">
        <is>
          <t>PT. JALUR MANDIRI UTAMA - PPN (PDG)</t>
        </is>
      </c>
      <c r="AI5047" t="n">
        <v>170</v>
      </c>
      <c r="AJ5047" t="inlineStr">
        <is>
          <t>YOU</t>
        </is>
      </c>
      <c r="AK5047" t="n">
        <v>9</v>
      </c>
      <c r="AL5047" t="inlineStr">
        <is>
          <t>Miss Glam Jambi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YOU</t>
        </is>
      </c>
      <c r="B5048" s="2">
        <f>"8991748003298"</f>
        <v/>
      </c>
      <c r="C5048" t="inlineStr">
        <is>
          <t>YOU Hy Amino Bye-Byeteria Facial Wash 50gr</t>
        </is>
      </c>
      <c r="D5048" t="inlineStr">
        <is>
          <t>Miss Glam Jambi</t>
        </is>
      </c>
      <c r="E5048" t="n">
        <v>29</v>
      </c>
      <c r="F5048" t="n">
        <v>0.1617</v>
      </c>
      <c r="G5048" t="n">
        <v>0.66</v>
      </c>
      <c r="H5048" t="n">
        <v>3</v>
      </c>
      <c r="I5048" t="n">
        <v>11</v>
      </c>
      <c r="J5048" t="n">
        <v>3</v>
      </c>
      <c r="K5048" t="n">
        <v>0</v>
      </c>
      <c r="L5048" t="n">
        <v>16720</v>
      </c>
      <c r="M5048" t="n">
        <v>20900</v>
      </c>
      <c r="N5048" t="n">
        <v>33</v>
      </c>
      <c r="O5048" t="n">
        <v>0.33</v>
      </c>
      <c r="P5048" t="n">
        <v>1</v>
      </c>
      <c r="Q5048" t="n">
        <v>0.07000000000000001</v>
      </c>
      <c r="R5048" t="n">
        <v>1</v>
      </c>
      <c r="S5048" t="n">
        <v>3379.53</v>
      </c>
      <c r="T5048" t="n">
        <v>7</v>
      </c>
      <c r="U5048" t="n">
        <v>8</v>
      </c>
      <c r="V5048" t="n">
        <v>30</v>
      </c>
      <c r="W5048" t="n">
        <v>5</v>
      </c>
      <c r="X5048" t="n">
        <v>179.3444650587508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10393</v>
      </c>
      <c r="AG5048" t="n">
        <v>170</v>
      </c>
      <c r="AH5048" t="inlineStr">
        <is>
          <t>PT. JALUR MANDIRI UTAMA - PPN (PDG)</t>
        </is>
      </c>
      <c r="AI5048" t="n">
        <v>170</v>
      </c>
      <c r="AJ5048" t="inlineStr">
        <is>
          <t>YOU</t>
        </is>
      </c>
      <c r="AK5048" t="n">
        <v>9</v>
      </c>
      <c r="AL5048" t="inlineStr">
        <is>
          <t>Miss Glam Jambi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YOU</t>
        </is>
      </c>
      <c r="B5049" s="2">
        <f>"8991748001836"</f>
        <v/>
      </c>
      <c r="C5049" t="inlineStr">
        <is>
          <t>YOU Hy! Amino Ac-Ttack Anti-Acne Facial Wash 100gr</t>
        </is>
      </c>
      <c r="D5049" t="inlineStr">
        <is>
          <t>Miss Glam Jambi</t>
        </is>
      </c>
      <c r="E5049" t="n">
        <v>8</v>
      </c>
      <c r="F5049" t="n">
        <v>0.0462</v>
      </c>
      <c r="G5049" t="n">
        <v>0.33</v>
      </c>
      <c r="H5049" t="n">
        <v>3</v>
      </c>
      <c r="I5049" t="n">
        <v>11</v>
      </c>
      <c r="J5049" t="n">
        <v>3</v>
      </c>
      <c r="K5049" t="n">
        <v>0</v>
      </c>
      <c r="L5049" t="n">
        <v>27920</v>
      </c>
      <c r="M5049" t="n">
        <v>34900</v>
      </c>
      <c r="N5049" t="n">
        <v>33</v>
      </c>
      <c r="O5049" t="n">
        <v>0.33</v>
      </c>
      <c r="P5049" t="n">
        <v>1</v>
      </c>
      <c r="Q5049" t="n">
        <v>0.25</v>
      </c>
      <c r="R5049" t="n">
        <v>2</v>
      </c>
      <c r="S5049" t="n">
        <v>1612.38</v>
      </c>
      <c r="T5049" t="n">
        <v>4</v>
      </c>
      <c r="U5049" t="n">
        <v>5</v>
      </c>
      <c r="V5049" t="n">
        <v>30</v>
      </c>
      <c r="W5049" t="n">
        <v>2</v>
      </c>
      <c r="X5049" t="n">
        <v>173.1601731601731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10393</v>
      </c>
      <c r="AG5049" t="n">
        <v>170</v>
      </c>
      <c r="AH5049" t="inlineStr">
        <is>
          <t>PT. JALUR MANDIRI UTAMA - PPN (PDG)</t>
        </is>
      </c>
      <c r="AI5049" t="n">
        <v>170</v>
      </c>
      <c r="AJ5049" t="inlineStr">
        <is>
          <t>YOU</t>
        </is>
      </c>
      <c r="AK5049" t="n">
        <v>9</v>
      </c>
      <c r="AL5049" t="inlineStr">
        <is>
          <t>Miss Glam Jambi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YOU</t>
        </is>
      </c>
      <c r="B5050" s="2">
        <f>"8991748001843"</f>
        <v/>
      </c>
      <c r="C5050" t="inlineStr">
        <is>
          <t>YOU Hy! Amino AC-Ttack Anti-Acne Facial Wash 50gr</t>
        </is>
      </c>
      <c r="D5050" t="inlineStr">
        <is>
          <t>Miss Glam Jambi</t>
        </is>
      </c>
      <c r="E5050" t="n">
        <v>4</v>
      </c>
      <c r="F5050" t="n">
        <v>0.5610000000000001</v>
      </c>
      <c r="G5050" t="n">
        <v>3.96</v>
      </c>
      <c r="H5050" t="n">
        <v>3</v>
      </c>
      <c r="I5050" t="n">
        <v>11</v>
      </c>
      <c r="J5050" t="n">
        <v>3</v>
      </c>
      <c r="K5050" t="n">
        <v>10</v>
      </c>
      <c r="L5050" t="n">
        <v>16720</v>
      </c>
      <c r="M5050" t="n">
        <v>20900</v>
      </c>
      <c r="N5050" t="n">
        <v>33</v>
      </c>
      <c r="O5050" t="n">
        <v>0.33</v>
      </c>
      <c r="P5050" t="n">
        <v>1</v>
      </c>
      <c r="Q5050" t="n">
        <v>0.05</v>
      </c>
      <c r="R5050" t="n">
        <v>1</v>
      </c>
      <c r="S5050" t="n">
        <v>11724.9</v>
      </c>
      <c r="T5050" t="n">
        <v>42</v>
      </c>
      <c r="U5050" t="n">
        <v>44</v>
      </c>
      <c r="V5050" t="n">
        <v>30</v>
      </c>
      <c r="W5050" t="n">
        <v>17</v>
      </c>
      <c r="X5050" t="n">
        <v>7.1301247771836</v>
      </c>
      <c r="Y5050" t="n">
        <v>1</v>
      </c>
      <c r="Z5050" t="n">
        <v>3</v>
      </c>
      <c r="AA5050" t="n">
        <v>2</v>
      </c>
      <c r="AB5050" t="n">
        <v>1</v>
      </c>
      <c r="AC5050" t="n">
        <v>3</v>
      </c>
      <c r="AD5050" t="n">
        <v>33440</v>
      </c>
      <c r="AE5050" t="n">
        <v>50160</v>
      </c>
      <c r="AF5050" t="n">
        <v>10393</v>
      </c>
      <c r="AG5050" t="n">
        <v>170</v>
      </c>
      <c r="AH5050" t="inlineStr">
        <is>
          <t>PT. JALUR MANDIRI UTAMA - PPN (PDG)</t>
        </is>
      </c>
      <c r="AI5050" t="n">
        <v>170</v>
      </c>
      <c r="AJ5050" t="inlineStr">
        <is>
          <t>YOU</t>
        </is>
      </c>
      <c r="AK5050" t="n">
        <v>9</v>
      </c>
      <c r="AL5050" t="inlineStr">
        <is>
          <t>Miss Glam Jambi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YOU</t>
        </is>
      </c>
      <c r="B5051" s="2">
        <f>"8991748001874"</f>
        <v/>
      </c>
      <c r="C5051" t="inlineStr">
        <is>
          <t>YOU Hy! Amino Contr-Oil Oil Control Facial Wash 100gr</t>
        </is>
      </c>
      <c r="D5051" t="inlineStr">
        <is>
          <t>Miss Glam Jambi</t>
        </is>
      </c>
      <c r="E5051" t="n">
        <v>10</v>
      </c>
      <c r="F5051" t="n">
        <v>0.1221</v>
      </c>
      <c r="G5051" t="n">
        <v>0.99</v>
      </c>
      <c r="H5051" t="n">
        <v>3</v>
      </c>
      <c r="I5051" t="n">
        <v>11</v>
      </c>
      <c r="J5051" t="n">
        <v>3</v>
      </c>
      <c r="K5051" t="n">
        <v>0</v>
      </c>
      <c r="L5051" t="n">
        <v>27920</v>
      </c>
      <c r="M5051" t="n">
        <v>34900</v>
      </c>
      <c r="N5051" t="n">
        <v>33</v>
      </c>
      <c r="O5051" t="n">
        <v>0.33</v>
      </c>
      <c r="P5051" t="n">
        <v>1</v>
      </c>
      <c r="Q5051" t="n">
        <v>0.03</v>
      </c>
      <c r="R5051" t="n">
        <v>1</v>
      </c>
      <c r="S5051" t="n">
        <v>4261.29</v>
      </c>
      <c r="T5051" t="n">
        <v>11</v>
      </c>
      <c r="U5051" t="n">
        <v>12</v>
      </c>
      <c r="V5051" t="n">
        <v>30</v>
      </c>
      <c r="W5051" t="n">
        <v>4</v>
      </c>
      <c r="X5051" t="n">
        <v>81.9000819000819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10393</v>
      </c>
      <c r="AG5051" t="n">
        <v>170</v>
      </c>
      <c r="AH5051" t="inlineStr">
        <is>
          <t>PT. JALUR MANDIRI UTAMA - PPN (PDG)</t>
        </is>
      </c>
      <c r="AI5051" t="n">
        <v>170</v>
      </c>
      <c r="AJ5051" t="inlineStr">
        <is>
          <t>YOU</t>
        </is>
      </c>
      <c r="AK5051" t="n">
        <v>9</v>
      </c>
      <c r="AL5051" t="inlineStr">
        <is>
          <t>Miss Glam Jambi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YOU</t>
        </is>
      </c>
      <c r="B5052" s="2">
        <f>"8991748001881"</f>
        <v/>
      </c>
      <c r="C5052" t="inlineStr">
        <is>
          <t>YOU Hy! Amino Control-Oil, Oil Control Facial Wash 50gr</t>
        </is>
      </c>
      <c r="D5052" t="inlineStr">
        <is>
          <t>Miss Glam Jambi</t>
        </is>
      </c>
      <c r="E5052" t="n">
        <v>16</v>
      </c>
      <c r="F5052" t="n">
        <v>0.1287</v>
      </c>
      <c r="G5052" t="n">
        <v>0.99</v>
      </c>
      <c r="H5052" t="n">
        <v>3</v>
      </c>
      <c r="I5052" t="n">
        <v>11</v>
      </c>
      <c r="J5052" t="n">
        <v>3</v>
      </c>
      <c r="K5052" t="n">
        <v>0</v>
      </c>
      <c r="L5052" t="n">
        <v>16720</v>
      </c>
      <c r="M5052" t="n">
        <v>20900</v>
      </c>
      <c r="N5052" t="n">
        <v>33</v>
      </c>
      <c r="O5052" t="n">
        <v>0.33</v>
      </c>
      <c r="P5052" t="n">
        <v>1</v>
      </c>
      <c r="Q5052" t="n">
        <v>0.07000000000000001</v>
      </c>
      <c r="R5052" t="n">
        <v>1</v>
      </c>
      <c r="S5052" t="n">
        <v>2689.83</v>
      </c>
      <c r="T5052" t="n">
        <v>11</v>
      </c>
      <c r="U5052" t="n">
        <v>12</v>
      </c>
      <c r="V5052" t="n">
        <v>30</v>
      </c>
      <c r="W5052" t="n">
        <v>4</v>
      </c>
      <c r="X5052" t="n">
        <v>124.3201243201243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10393</v>
      </c>
      <c r="AG5052" t="n">
        <v>170</v>
      </c>
      <c r="AH5052" t="inlineStr">
        <is>
          <t>PT. JALUR MANDIRI UTAMA - PPN (PDG)</t>
        </is>
      </c>
      <c r="AI5052" t="n">
        <v>170</v>
      </c>
      <c r="AJ5052" t="inlineStr">
        <is>
          <t>YOU</t>
        </is>
      </c>
      <c r="AK5052" t="n">
        <v>9</v>
      </c>
      <c r="AL5052" t="inlineStr">
        <is>
          <t>Miss Glam Jambi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YOU</t>
        </is>
      </c>
      <c r="B5053" s="2">
        <f>"101001109728"</f>
        <v/>
      </c>
      <c r="C5053" t="inlineStr">
        <is>
          <t>YOU Hy! Amino Glowing Gentle Cleansing Facial Wash 50gr</t>
        </is>
      </c>
      <c r="D5053" t="inlineStr">
        <is>
          <t>Miss Glam Jambi</t>
        </is>
      </c>
      <c r="E5053" t="n">
        <v>15</v>
      </c>
      <c r="F5053" t="n">
        <v>0.006600000000000001</v>
      </c>
      <c r="G5053" t="n">
        <v>0</v>
      </c>
      <c r="H5053" t="n">
        <v>3</v>
      </c>
      <c r="I5053" t="n">
        <v>11</v>
      </c>
      <c r="J5053" t="n">
        <v>1</v>
      </c>
      <c r="K5053" t="n">
        <v>0</v>
      </c>
      <c r="L5053" t="n">
        <v>16720</v>
      </c>
      <c r="M5053" t="n">
        <v>20900</v>
      </c>
      <c r="N5053" t="n">
        <v>33</v>
      </c>
      <c r="O5053" t="n">
        <v>0.33</v>
      </c>
      <c r="P5053" t="n">
        <v>1</v>
      </c>
      <c r="Q5053" t="n">
        <v>0.08</v>
      </c>
      <c r="R5053" t="n">
        <v>2</v>
      </c>
      <c r="S5053" t="n">
        <v>137.94</v>
      </c>
      <c r="T5053" t="n">
        <v>0</v>
      </c>
      <c r="U5053" t="n">
        <v>1</v>
      </c>
      <c r="V5053" t="n">
        <v>30</v>
      </c>
      <c r="W5053" t="n">
        <v>1</v>
      </c>
      <c r="X5053" t="n">
        <v>2272.727272727273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10393</v>
      </c>
      <c r="AG5053" t="n">
        <v>170</v>
      </c>
      <c r="AH5053" t="inlineStr">
        <is>
          <t>PT. JALUR MANDIRI UTAMA - PPN (PDG)</t>
        </is>
      </c>
      <c r="AI5053" t="n">
        <v>170</v>
      </c>
      <c r="AJ5053" t="inlineStr">
        <is>
          <t>YOU</t>
        </is>
      </c>
      <c r="AK5053" t="n">
        <v>9</v>
      </c>
      <c r="AL5053" t="inlineStr">
        <is>
          <t>Miss Glam Jambi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YOU</t>
        </is>
      </c>
      <c r="B5054" s="2">
        <f>"101001106313"</f>
        <v/>
      </c>
      <c r="C5054" t="inlineStr">
        <is>
          <t>YOU hY! Amino Glowing Gentle-Cleancing Facial Wash 100gr</t>
        </is>
      </c>
      <c r="D5054" t="inlineStr">
        <is>
          <t>Miss Glam Jambi</t>
        </is>
      </c>
      <c r="E5054" t="n">
        <v>9</v>
      </c>
      <c r="F5054" t="n">
        <v>0.4587</v>
      </c>
      <c r="G5054" t="n">
        <v>1.65</v>
      </c>
      <c r="H5054" t="n">
        <v>3</v>
      </c>
      <c r="I5054" t="n">
        <v>11</v>
      </c>
      <c r="J5054" t="n">
        <v>3</v>
      </c>
      <c r="K5054" t="n">
        <v>5</v>
      </c>
      <c r="L5054" t="n">
        <v>27920</v>
      </c>
      <c r="M5054" t="n">
        <v>34900</v>
      </c>
      <c r="N5054" t="n">
        <v>33</v>
      </c>
      <c r="O5054" t="n">
        <v>0.33</v>
      </c>
      <c r="P5054" t="n">
        <v>1</v>
      </c>
      <c r="Q5054" t="n">
        <v>0.12</v>
      </c>
      <c r="R5054" t="n">
        <v>1</v>
      </c>
      <c r="S5054" t="n">
        <v>16008.63</v>
      </c>
      <c r="T5054" t="n">
        <v>17</v>
      </c>
      <c r="U5054" t="n">
        <v>19</v>
      </c>
      <c r="V5054" t="n">
        <v>30</v>
      </c>
      <c r="W5054" t="n">
        <v>14</v>
      </c>
      <c r="X5054" t="n">
        <v>19.62066710268149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10393</v>
      </c>
      <c r="AG5054" t="n">
        <v>170</v>
      </c>
      <c r="AH5054" t="inlineStr">
        <is>
          <t>PT. JALUR MANDIRI UTAMA - PPN (PDG)</t>
        </is>
      </c>
      <c r="AI5054" t="n">
        <v>170</v>
      </c>
      <c r="AJ5054" t="inlineStr">
        <is>
          <t>YOU</t>
        </is>
      </c>
      <c r="AK5054" t="n">
        <v>9</v>
      </c>
      <c r="AL5054" t="inlineStr">
        <is>
          <t>Miss Glam Jambi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YOU</t>
        </is>
      </c>
      <c r="B5055" s="2">
        <f>"8991748001812"</f>
        <v/>
      </c>
      <c r="C5055" t="inlineStr">
        <is>
          <t>YOU Hy! Amino Wow-Tery Hydrating Facial Wash 100gr</t>
        </is>
      </c>
      <c r="D5055" t="inlineStr">
        <is>
          <t>Miss Glam Jambi</t>
        </is>
      </c>
      <c r="E5055" t="n">
        <v>0</v>
      </c>
      <c r="F5055" t="n">
        <v>0.13</v>
      </c>
      <c r="G5055" t="n">
        <v>4</v>
      </c>
      <c r="H5055" t="n">
        <v>3</v>
      </c>
      <c r="I5055" t="n">
        <v>11</v>
      </c>
      <c r="J5055" t="n">
        <v>3</v>
      </c>
      <c r="K5055" t="n">
        <v>3</v>
      </c>
      <c r="L5055" t="n">
        <v>25840</v>
      </c>
      <c r="M5055" t="n">
        <v>32300</v>
      </c>
      <c r="N5055" t="n">
        <v>33</v>
      </c>
      <c r="O5055" t="n">
        <v>0.33</v>
      </c>
      <c r="P5055" t="n">
        <v>0</v>
      </c>
      <c r="Q5055" t="n">
        <v>0.13</v>
      </c>
      <c r="R5055" t="n">
        <v>4</v>
      </c>
      <c r="S5055" t="n">
        <v>4199</v>
      </c>
      <c r="T5055" t="n">
        <v>44</v>
      </c>
      <c r="U5055" t="n">
        <v>45</v>
      </c>
      <c r="V5055" t="n">
        <v>30</v>
      </c>
      <c r="W5055" t="n">
        <v>4</v>
      </c>
      <c r="X5055" t="n">
        <v>0</v>
      </c>
      <c r="Y5055" t="n">
        <v>1</v>
      </c>
      <c r="Z5055" t="n">
        <v>1</v>
      </c>
      <c r="AA5055" t="n">
        <v>1</v>
      </c>
      <c r="AB5055" t="n">
        <v>0</v>
      </c>
      <c r="AC5055" t="n">
        <v>0</v>
      </c>
      <c r="AD5055" t="n">
        <v>25840</v>
      </c>
      <c r="AE5055" t="n">
        <v>0</v>
      </c>
      <c r="AF5055" t="n">
        <v>10393</v>
      </c>
      <c r="AG5055" t="n">
        <v>170</v>
      </c>
      <c r="AH5055" t="inlineStr">
        <is>
          <t>PT. JALUR MANDIRI UTAMA - PPN (PDG)</t>
        </is>
      </c>
      <c r="AI5055" t="n">
        <v>170</v>
      </c>
      <c r="AJ5055" t="inlineStr">
        <is>
          <t>YOU</t>
        </is>
      </c>
      <c r="AK5055" t="n">
        <v>9</v>
      </c>
      <c r="AL5055" t="inlineStr">
        <is>
          <t>Miss Glam Jambi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YOU</t>
        </is>
      </c>
      <c r="B5056" s="2">
        <f>"101001116620"</f>
        <v/>
      </c>
      <c r="C5056" t="inlineStr">
        <is>
          <t>YOU Hy! Amino+ 1.5% Bha Fight Acne Gel Cleanser  100gr</t>
        </is>
      </c>
      <c r="D5056" t="inlineStr">
        <is>
          <t>Miss Glam Jambi</t>
        </is>
      </c>
      <c r="E5056" t="n">
        <v>32</v>
      </c>
      <c r="F5056" t="n">
        <v>0.0165</v>
      </c>
      <c r="G5056" t="n">
        <v>0.33</v>
      </c>
      <c r="H5056" t="n">
        <v>3</v>
      </c>
      <c r="I5056" t="n">
        <v>11</v>
      </c>
      <c r="J5056" t="n">
        <v>1</v>
      </c>
      <c r="K5056" t="n">
        <v>0</v>
      </c>
      <c r="L5056" t="n">
        <v>27920</v>
      </c>
      <c r="M5056" t="n">
        <v>34900</v>
      </c>
      <c r="N5056" t="n">
        <v>33</v>
      </c>
      <c r="O5056" t="n">
        <v>0.33</v>
      </c>
      <c r="P5056" t="n">
        <v>1</v>
      </c>
      <c r="Q5056" t="n">
        <v>0.07000000000000001</v>
      </c>
      <c r="R5056" t="n">
        <v>2</v>
      </c>
      <c r="S5056" t="n">
        <v>575.85</v>
      </c>
      <c r="T5056" t="n">
        <v>4</v>
      </c>
      <c r="U5056" t="n">
        <v>5</v>
      </c>
      <c r="V5056" t="n">
        <v>30</v>
      </c>
      <c r="W5056" t="n">
        <v>1</v>
      </c>
      <c r="X5056" t="n">
        <v>1939.393939393939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10393</v>
      </c>
      <c r="AG5056" t="n">
        <v>170</v>
      </c>
      <c r="AH5056" t="inlineStr">
        <is>
          <t>PT. JALUR MANDIRI UTAMA - PPN (PDG)</t>
        </is>
      </c>
      <c r="AI5056" t="n">
        <v>170</v>
      </c>
      <c r="AJ5056" t="inlineStr">
        <is>
          <t>YOU</t>
        </is>
      </c>
      <c r="AK5056" t="n">
        <v>9</v>
      </c>
      <c r="AL5056" t="inlineStr">
        <is>
          <t>Miss Glam Jambi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YOU</t>
        </is>
      </c>
      <c r="B5057" s="2">
        <f>"101001116728"</f>
        <v/>
      </c>
      <c r="C5057" t="inlineStr">
        <is>
          <t>YOU Hy! Amino+ 2% Niacinamide Brightening Gentle Cleanser  100gr</t>
        </is>
      </c>
      <c r="D5057" t="inlineStr">
        <is>
          <t>Miss Glam Jambi</t>
        </is>
      </c>
      <c r="E5057" t="n">
        <v>21</v>
      </c>
      <c r="F5057" t="n">
        <v>0.0495</v>
      </c>
      <c r="G5057" t="n">
        <v>0.66</v>
      </c>
      <c r="H5057" t="n">
        <v>3</v>
      </c>
      <c r="I5057" t="n">
        <v>11</v>
      </c>
      <c r="J5057" t="n">
        <v>1</v>
      </c>
      <c r="K5057" t="n">
        <v>0</v>
      </c>
      <c r="L5057" t="n">
        <v>27920</v>
      </c>
      <c r="M5057" t="n">
        <v>34900</v>
      </c>
      <c r="N5057" t="n">
        <v>33</v>
      </c>
      <c r="O5057" t="n">
        <v>0.33</v>
      </c>
      <c r="P5057" t="n">
        <v>1</v>
      </c>
      <c r="Q5057" t="n">
        <v>0.25</v>
      </c>
      <c r="R5057" t="n">
        <v>2</v>
      </c>
      <c r="S5057" t="n">
        <v>1727.55</v>
      </c>
      <c r="T5057" t="n">
        <v>8</v>
      </c>
      <c r="U5057" t="n">
        <v>9</v>
      </c>
      <c r="V5057" t="n">
        <v>30</v>
      </c>
      <c r="W5057" t="n">
        <v>2</v>
      </c>
      <c r="X5057" t="n">
        <v>424.2424242424242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10393</v>
      </c>
      <c r="AG5057" t="n">
        <v>170</v>
      </c>
      <c r="AH5057" t="inlineStr">
        <is>
          <t>PT. JALUR MANDIRI UTAMA - PPN (PDG)</t>
        </is>
      </c>
      <c r="AI5057" t="n">
        <v>170</v>
      </c>
      <c r="AJ5057" t="inlineStr">
        <is>
          <t>YOU</t>
        </is>
      </c>
      <c r="AK5057" t="n">
        <v>9</v>
      </c>
      <c r="AL5057" t="inlineStr">
        <is>
          <t>Miss Glam Jambi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YOU</t>
        </is>
      </c>
      <c r="B5058" s="2">
        <f>"101001116829"</f>
        <v/>
      </c>
      <c r="C5058" t="inlineStr">
        <is>
          <t>YOU Hy! Amino+ 20% Centella Barrier Low Ph Gel Cleanser  100gr</t>
        </is>
      </c>
      <c r="D5058" t="inlineStr">
        <is>
          <t>Miss Glam Jambi</t>
        </is>
      </c>
      <c r="E5058" t="n">
        <v>34</v>
      </c>
      <c r="F5058" t="n">
        <v>0.03</v>
      </c>
      <c r="G5058" t="n">
        <v>1</v>
      </c>
      <c r="H5058" t="n">
        <v>3</v>
      </c>
      <c r="I5058" t="n">
        <v>11</v>
      </c>
      <c r="J5058" t="n">
        <v>1</v>
      </c>
      <c r="K5058" t="n">
        <v>0</v>
      </c>
      <c r="L5058" t="n">
        <v>27920</v>
      </c>
      <c r="M5058" t="n">
        <v>34900</v>
      </c>
      <c r="N5058" t="n">
        <v>33</v>
      </c>
      <c r="O5058" t="n">
        <v>0.33</v>
      </c>
      <c r="P5058" t="n">
        <v>0</v>
      </c>
      <c r="Q5058" t="n">
        <v>0.03</v>
      </c>
      <c r="R5058" t="n">
        <v>1</v>
      </c>
      <c r="S5058" t="n">
        <v>1047</v>
      </c>
      <c r="T5058" t="n">
        <v>11</v>
      </c>
      <c r="U5058" t="n">
        <v>12</v>
      </c>
      <c r="V5058" t="n">
        <v>30</v>
      </c>
      <c r="W5058" t="n">
        <v>1</v>
      </c>
      <c r="X5058" t="n">
        <v>1133.333333333333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10393</v>
      </c>
      <c r="AG5058" t="n">
        <v>170</v>
      </c>
      <c r="AH5058" t="inlineStr">
        <is>
          <t>PT. JALUR MANDIRI UTAMA - PPN (PDG)</t>
        </is>
      </c>
      <c r="AI5058" t="n">
        <v>170</v>
      </c>
      <c r="AJ5058" t="inlineStr">
        <is>
          <t>YOU</t>
        </is>
      </c>
      <c r="AK5058" t="n">
        <v>9</v>
      </c>
      <c r="AL5058" t="inlineStr">
        <is>
          <t>Miss Glam Jambi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YOU</t>
        </is>
      </c>
      <c r="B5059" s="2">
        <f>"8997227898508"</f>
        <v/>
      </c>
      <c r="C5059" t="inlineStr">
        <is>
          <t>YOU Lashboom Ultra Volume Mascara 8gr</t>
        </is>
      </c>
      <c r="D5059" t="inlineStr">
        <is>
          <t>Miss Glam Jambi</t>
        </is>
      </c>
      <c r="E5059" t="n">
        <v>5</v>
      </c>
      <c r="F5059" t="n">
        <v>0.2739</v>
      </c>
      <c r="G5059" t="n">
        <v>4.29</v>
      </c>
      <c r="H5059" t="n">
        <v>3</v>
      </c>
      <c r="I5059" t="n">
        <v>11</v>
      </c>
      <c r="J5059" t="n">
        <v>3</v>
      </c>
      <c r="K5059" t="n">
        <v>4</v>
      </c>
      <c r="L5059" t="n">
        <v>61520</v>
      </c>
      <c r="M5059" t="n">
        <v>76900</v>
      </c>
      <c r="N5059" t="n">
        <v>33</v>
      </c>
      <c r="O5059" t="n">
        <v>0.33</v>
      </c>
      <c r="P5059" t="n">
        <v>1</v>
      </c>
      <c r="Q5059" t="n">
        <v>0.44</v>
      </c>
      <c r="R5059" t="n">
        <v>3</v>
      </c>
      <c r="S5059" t="n">
        <v>21062.91</v>
      </c>
      <c r="T5059" t="n">
        <v>47</v>
      </c>
      <c r="U5059" t="n">
        <v>48</v>
      </c>
      <c r="V5059" t="n">
        <v>30</v>
      </c>
      <c r="W5059" t="n">
        <v>9</v>
      </c>
      <c r="X5059" t="n">
        <v>18.25483753194597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10393</v>
      </c>
      <c r="AG5059" t="n">
        <v>170</v>
      </c>
      <c r="AH5059" t="inlineStr">
        <is>
          <t>PT. JALUR MANDIRI UTAMA - PPN (PDG)</t>
        </is>
      </c>
      <c r="AI5059" t="n">
        <v>170</v>
      </c>
      <c r="AJ5059" t="inlineStr">
        <is>
          <t>YOU</t>
        </is>
      </c>
      <c r="AK5059" t="n">
        <v>9</v>
      </c>
      <c r="AL5059" t="inlineStr">
        <is>
          <t>Miss Glam Jambi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YOU</t>
        </is>
      </c>
      <c r="B5060" s="2">
        <f>"8991748010760"</f>
        <v/>
      </c>
      <c r="C5060" t="inlineStr">
        <is>
          <t>YOU Lashtension Enhancing Fiber Mascara 9gr</t>
        </is>
      </c>
      <c r="D5060" t="inlineStr">
        <is>
          <t>Miss Glam Jambi</t>
        </is>
      </c>
      <c r="E5060" t="n">
        <v>23</v>
      </c>
      <c r="F5060" t="n">
        <v>0.1683</v>
      </c>
      <c r="G5060" t="n">
        <v>0.66</v>
      </c>
      <c r="H5060" t="n">
        <v>3</v>
      </c>
      <c r="I5060" t="n">
        <v>11</v>
      </c>
      <c r="J5060" t="n">
        <v>3</v>
      </c>
      <c r="K5060" t="n">
        <v>0</v>
      </c>
      <c r="L5060" t="n">
        <v>43920</v>
      </c>
      <c r="M5060" t="n">
        <v>54900</v>
      </c>
      <c r="N5060" t="n">
        <v>33</v>
      </c>
      <c r="O5060" t="n">
        <v>0.33</v>
      </c>
      <c r="P5060" t="n">
        <v>1</v>
      </c>
      <c r="Q5060" t="n">
        <v>0.07000000000000001</v>
      </c>
      <c r="R5060" t="n">
        <v>1</v>
      </c>
      <c r="S5060" t="n">
        <v>9239.67</v>
      </c>
      <c r="T5060" t="n">
        <v>7</v>
      </c>
      <c r="U5060" t="n">
        <v>8</v>
      </c>
      <c r="V5060" t="n">
        <v>30</v>
      </c>
      <c r="W5060" t="n">
        <v>6</v>
      </c>
      <c r="X5060" t="n">
        <v>136.660724896019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10393</v>
      </c>
      <c r="AG5060" t="n">
        <v>170</v>
      </c>
      <c r="AH5060" t="inlineStr">
        <is>
          <t>PT. JALUR MANDIRI UTAMA - PPN (PDG)</t>
        </is>
      </c>
      <c r="AI5060" t="n">
        <v>170</v>
      </c>
      <c r="AJ5060" t="inlineStr">
        <is>
          <t>YOU</t>
        </is>
      </c>
      <c r="AK5060" t="n">
        <v>9</v>
      </c>
      <c r="AL5060" t="inlineStr">
        <is>
          <t>Miss Glam Jambi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YOU</t>
        </is>
      </c>
      <c r="B5061" s="2">
        <f>"8997227894159"</f>
        <v/>
      </c>
      <c r="C5061" t="inlineStr">
        <is>
          <t>YOU Noutriwear + Airy Fit Loose Powder C302 Classic Ivory 15gr</t>
        </is>
      </c>
      <c r="D5061" t="inlineStr">
        <is>
          <t>Miss Glam Jambi</t>
        </is>
      </c>
      <c r="E5061" t="n">
        <v>1</v>
      </c>
      <c r="F5061" t="n">
        <v>0.3234</v>
      </c>
      <c r="G5061" t="n">
        <v>0.99</v>
      </c>
      <c r="H5061" t="n">
        <v>3</v>
      </c>
      <c r="I5061" t="n">
        <v>11</v>
      </c>
      <c r="J5061" t="n">
        <v>3</v>
      </c>
      <c r="K5061" t="n">
        <v>6</v>
      </c>
      <c r="L5061" t="n">
        <v>55120</v>
      </c>
      <c r="M5061" t="n">
        <v>68900</v>
      </c>
      <c r="N5061" t="n">
        <v>33</v>
      </c>
      <c r="O5061" t="n">
        <v>0.33</v>
      </c>
      <c r="P5061" t="n">
        <v>1</v>
      </c>
      <c r="Q5061" t="n">
        <v>0.1</v>
      </c>
      <c r="R5061" t="n">
        <v>1</v>
      </c>
      <c r="S5061" t="n">
        <v>22282.26</v>
      </c>
      <c r="T5061" t="n">
        <v>10</v>
      </c>
      <c r="U5061" t="n">
        <v>11</v>
      </c>
      <c r="V5061" t="n">
        <v>30</v>
      </c>
      <c r="W5061" t="n">
        <v>10</v>
      </c>
      <c r="X5061" t="n">
        <v>3.092145949288806</v>
      </c>
      <c r="Y5061" t="n">
        <v>1</v>
      </c>
      <c r="Z5061" t="n">
        <v>3</v>
      </c>
      <c r="AA5061" t="n">
        <v>2</v>
      </c>
      <c r="AB5061" t="n">
        <v>1</v>
      </c>
      <c r="AC5061" t="n">
        <v>3</v>
      </c>
      <c r="AD5061" t="n">
        <v>110240</v>
      </c>
      <c r="AE5061" t="n">
        <v>165360</v>
      </c>
      <c r="AF5061" t="n">
        <v>10393</v>
      </c>
      <c r="AG5061" t="n">
        <v>170</v>
      </c>
      <c r="AH5061" t="inlineStr">
        <is>
          <t>PT. JALUR MANDIRI UTAMA - PPN (PDG)</t>
        </is>
      </c>
      <c r="AI5061" t="n">
        <v>170</v>
      </c>
      <c r="AJ5061" t="inlineStr">
        <is>
          <t>YOU</t>
        </is>
      </c>
      <c r="AK5061" t="n">
        <v>9</v>
      </c>
      <c r="AL5061" t="inlineStr">
        <is>
          <t>Miss Glam Jambi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YOU</t>
        </is>
      </c>
      <c r="B5062" s="2">
        <f>"8997227894463"</f>
        <v/>
      </c>
      <c r="C5062" t="inlineStr">
        <is>
          <t>YOU Noutriwear + Airy Fit Loose Powder N507 Shell Beige 15g</t>
        </is>
      </c>
      <c r="D5062" t="inlineStr">
        <is>
          <t>Miss Glam Jambi</t>
        </is>
      </c>
      <c r="E5062" t="n">
        <v>0</v>
      </c>
      <c r="F5062" t="n">
        <v>0.1848</v>
      </c>
      <c r="G5062" t="n">
        <v>0.99</v>
      </c>
      <c r="H5062" t="n">
        <v>3</v>
      </c>
      <c r="I5062" t="n">
        <v>11</v>
      </c>
      <c r="J5062" t="n">
        <v>3</v>
      </c>
      <c r="K5062" t="n">
        <v>3</v>
      </c>
      <c r="L5062" t="n">
        <v>55120</v>
      </c>
      <c r="M5062" t="n">
        <v>68900</v>
      </c>
      <c r="N5062" t="n">
        <v>33</v>
      </c>
      <c r="O5062" t="n">
        <v>0.33</v>
      </c>
      <c r="P5062" t="n">
        <v>1</v>
      </c>
      <c r="Q5062" t="n">
        <v>0.12</v>
      </c>
      <c r="R5062" t="n">
        <v>1</v>
      </c>
      <c r="S5062" t="n">
        <v>12732.72</v>
      </c>
      <c r="T5062" t="n">
        <v>11</v>
      </c>
      <c r="U5062" t="n">
        <v>12</v>
      </c>
      <c r="V5062" t="n">
        <v>30</v>
      </c>
      <c r="W5062" t="n">
        <v>6</v>
      </c>
      <c r="X5062" t="n">
        <v>0</v>
      </c>
      <c r="Y5062" t="n">
        <v>1</v>
      </c>
      <c r="Z5062" t="n">
        <v>3</v>
      </c>
      <c r="AA5062" t="n">
        <v>2</v>
      </c>
      <c r="AB5062" t="n">
        <v>1</v>
      </c>
      <c r="AC5062" t="n">
        <v>3</v>
      </c>
      <c r="AD5062" t="n">
        <v>110240</v>
      </c>
      <c r="AE5062" t="n">
        <v>165360</v>
      </c>
      <c r="AF5062" t="n">
        <v>10393</v>
      </c>
      <c r="AG5062" t="n">
        <v>170</v>
      </c>
      <c r="AH5062" t="inlineStr">
        <is>
          <t>PT. JALUR MANDIRI UTAMA - PPN (PDG)</t>
        </is>
      </c>
      <c r="AI5062" t="n">
        <v>170</v>
      </c>
      <c r="AJ5062" t="inlineStr">
        <is>
          <t>YOU</t>
        </is>
      </c>
      <c r="AK5062" t="n">
        <v>9</v>
      </c>
      <c r="AL5062" t="inlineStr">
        <is>
          <t>Miss Glam Jambi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YOU</t>
        </is>
      </c>
      <c r="B5063" s="2">
        <f>"8997227894166"</f>
        <v/>
      </c>
      <c r="C5063" t="inlineStr">
        <is>
          <t>YOU Noutriwear + Airy Fit Loose Powder W804 Natural Buff 15g</t>
        </is>
      </c>
      <c r="D5063" t="inlineStr">
        <is>
          <t>Miss Glam Jambi</t>
        </is>
      </c>
      <c r="E5063" t="n">
        <v>2</v>
      </c>
      <c r="F5063" t="n">
        <v>0.3036</v>
      </c>
      <c r="G5063" t="n">
        <v>0.99</v>
      </c>
      <c r="H5063" t="n">
        <v>3</v>
      </c>
      <c r="I5063" t="n">
        <v>11</v>
      </c>
      <c r="J5063" t="n">
        <v>3</v>
      </c>
      <c r="K5063" t="n">
        <v>6</v>
      </c>
      <c r="L5063" t="n">
        <v>55120</v>
      </c>
      <c r="M5063" t="n">
        <v>68900</v>
      </c>
      <c r="N5063" t="n">
        <v>33</v>
      </c>
      <c r="O5063" t="n">
        <v>0.33</v>
      </c>
      <c r="P5063" t="n">
        <v>1</v>
      </c>
      <c r="Q5063" t="n">
        <v>0.14</v>
      </c>
      <c r="R5063" t="n">
        <v>2</v>
      </c>
      <c r="S5063" t="n">
        <v>20918.04</v>
      </c>
      <c r="T5063" t="n">
        <v>10</v>
      </c>
      <c r="U5063" t="n">
        <v>11</v>
      </c>
      <c r="V5063" t="n">
        <v>30</v>
      </c>
      <c r="W5063" t="n">
        <v>10</v>
      </c>
      <c r="X5063" t="n">
        <v>6.587615283267456</v>
      </c>
      <c r="Y5063" t="n">
        <v>1</v>
      </c>
      <c r="Z5063" t="n">
        <v>2</v>
      </c>
      <c r="AA5063" t="n">
        <v>1</v>
      </c>
      <c r="AB5063" t="n">
        <v>1</v>
      </c>
      <c r="AC5063" t="n">
        <v>3</v>
      </c>
      <c r="AD5063" t="n">
        <v>55120</v>
      </c>
      <c r="AE5063" t="n">
        <v>165360</v>
      </c>
      <c r="AF5063" t="n">
        <v>10393</v>
      </c>
      <c r="AG5063" t="n">
        <v>170</v>
      </c>
      <c r="AH5063" t="inlineStr">
        <is>
          <t>PT. JALUR MANDIRI UTAMA - PPN (PDG)</t>
        </is>
      </c>
      <c r="AI5063" t="n">
        <v>170</v>
      </c>
      <c r="AJ5063" t="inlineStr">
        <is>
          <t>YOU</t>
        </is>
      </c>
      <c r="AK5063" t="n">
        <v>9</v>
      </c>
      <c r="AL5063" t="inlineStr">
        <is>
          <t>Miss Glam Jambi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YOU</t>
        </is>
      </c>
      <c r="B5064" s="2">
        <f>"8997227891585"</f>
        <v/>
      </c>
      <c r="C5064" t="inlineStr">
        <is>
          <t>YOU Noutriwear + Complete Cover Concealer 04 Light 4.5g</t>
        </is>
      </c>
      <c r="D5064" t="inlineStr">
        <is>
          <t>Miss Glam Jambi</t>
        </is>
      </c>
      <c r="E5064" t="n">
        <v>4</v>
      </c>
      <c r="F5064" t="n">
        <v>0.09569999999999999</v>
      </c>
      <c r="G5064" t="n">
        <v>0.66</v>
      </c>
      <c r="H5064" t="n">
        <v>3</v>
      </c>
      <c r="I5064" t="n">
        <v>11</v>
      </c>
      <c r="J5064" t="n">
        <v>3</v>
      </c>
      <c r="K5064" t="n">
        <v>0</v>
      </c>
      <c r="L5064" t="n">
        <v>41520</v>
      </c>
      <c r="M5064" t="n">
        <v>51900</v>
      </c>
      <c r="N5064" t="n">
        <v>33</v>
      </c>
      <c r="O5064" t="n">
        <v>0.33</v>
      </c>
      <c r="P5064" t="n">
        <v>1</v>
      </c>
      <c r="Q5064" t="n">
        <v>0.12</v>
      </c>
      <c r="R5064" t="n">
        <v>1</v>
      </c>
      <c r="S5064" t="n">
        <v>4966.83</v>
      </c>
      <c r="T5064" t="n">
        <v>7</v>
      </c>
      <c r="U5064" t="n">
        <v>8</v>
      </c>
      <c r="V5064" t="n">
        <v>30</v>
      </c>
      <c r="W5064" t="n">
        <v>3</v>
      </c>
      <c r="X5064" t="n">
        <v>41.79728317659352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10393</v>
      </c>
      <c r="AG5064" t="n">
        <v>170</v>
      </c>
      <c r="AH5064" t="inlineStr">
        <is>
          <t>PT. JALUR MANDIRI UTAMA - PPN (PDG)</t>
        </is>
      </c>
      <c r="AI5064" t="n">
        <v>170</v>
      </c>
      <c r="AJ5064" t="inlineStr">
        <is>
          <t>YOU</t>
        </is>
      </c>
      <c r="AK5064" t="n">
        <v>9</v>
      </c>
      <c r="AL5064" t="inlineStr">
        <is>
          <t>Miss Glam Jambi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YOU</t>
        </is>
      </c>
      <c r="B5065" s="2">
        <f>"8997227891608"</f>
        <v/>
      </c>
      <c r="C5065" t="inlineStr">
        <is>
          <t>YOU Noutriwear + Complete Cover Concealer 08 Rich 4,5g</t>
        </is>
      </c>
      <c r="D5065" t="inlineStr">
        <is>
          <t>Miss Glam Jambi</t>
        </is>
      </c>
      <c r="E5065" t="n">
        <v>0</v>
      </c>
      <c r="F5065" t="n">
        <v>0.05</v>
      </c>
      <c r="G5065" t="n">
        <v>1</v>
      </c>
      <c r="H5065" t="n">
        <v>3</v>
      </c>
      <c r="I5065" t="n">
        <v>11</v>
      </c>
      <c r="J5065" t="n">
        <v>3</v>
      </c>
      <c r="K5065" t="n">
        <v>0</v>
      </c>
      <c r="L5065" t="n">
        <v>41520</v>
      </c>
      <c r="M5065" t="n">
        <v>51900</v>
      </c>
      <c r="N5065" t="n">
        <v>33</v>
      </c>
      <c r="O5065" t="n">
        <v>0.33</v>
      </c>
      <c r="P5065" t="n">
        <v>0</v>
      </c>
      <c r="Q5065" t="n">
        <v>0.05</v>
      </c>
      <c r="R5065" t="n">
        <v>1</v>
      </c>
      <c r="S5065" t="n">
        <v>2595</v>
      </c>
      <c r="T5065" t="n">
        <v>11</v>
      </c>
      <c r="U5065" t="n">
        <v>12</v>
      </c>
      <c r="V5065" t="n">
        <v>30</v>
      </c>
      <c r="W5065" t="n">
        <v>2</v>
      </c>
      <c r="X5065" t="n">
        <v>0</v>
      </c>
      <c r="Y5065" t="n">
        <v>1</v>
      </c>
      <c r="Z5065" t="n">
        <v>2</v>
      </c>
      <c r="AA5065" t="n">
        <v>1</v>
      </c>
      <c r="AB5065" t="n">
        <v>1</v>
      </c>
      <c r="AC5065" t="n">
        <v>3</v>
      </c>
      <c r="AD5065" t="n">
        <v>41520</v>
      </c>
      <c r="AE5065" t="n">
        <v>124560</v>
      </c>
      <c r="AF5065" t="n">
        <v>10393</v>
      </c>
      <c r="AG5065" t="n">
        <v>170</v>
      </c>
      <c r="AH5065" t="inlineStr">
        <is>
          <t>PT. JALUR MANDIRI UTAMA - PPN (PDG)</t>
        </is>
      </c>
      <c r="AI5065" t="n">
        <v>170</v>
      </c>
      <c r="AJ5065" t="inlineStr">
        <is>
          <t>YOU</t>
        </is>
      </c>
      <c r="AK5065" t="n">
        <v>9</v>
      </c>
      <c r="AL5065" t="inlineStr">
        <is>
          <t>Miss Glam Jambi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YOU</t>
        </is>
      </c>
      <c r="B5066" s="2">
        <f>"8997227891592"</f>
        <v/>
      </c>
      <c r="C5066" t="inlineStr">
        <is>
          <t>YOU Noutriwear + Complete Cover Concealer 5 Medium 4,5g</t>
        </is>
      </c>
      <c r="D5066" t="inlineStr">
        <is>
          <t>Miss Glam Jambi</t>
        </is>
      </c>
      <c r="E5066" t="n">
        <v>0</v>
      </c>
      <c r="F5066" t="n">
        <v>0.0231</v>
      </c>
      <c r="G5066" t="n">
        <v>0.33</v>
      </c>
      <c r="H5066" t="n">
        <v>3</v>
      </c>
      <c r="I5066" t="n">
        <v>11</v>
      </c>
      <c r="J5066" t="n">
        <v>3</v>
      </c>
      <c r="K5066" t="n">
        <v>0</v>
      </c>
      <c r="L5066" t="n">
        <v>41520</v>
      </c>
      <c r="M5066" t="n">
        <v>51900</v>
      </c>
      <c r="N5066" t="n">
        <v>33</v>
      </c>
      <c r="O5066" t="n">
        <v>0.33</v>
      </c>
      <c r="P5066" t="n">
        <v>1</v>
      </c>
      <c r="Q5066" t="n">
        <v>0.08</v>
      </c>
      <c r="R5066" t="n">
        <v>1</v>
      </c>
      <c r="S5066" t="n">
        <v>1198.89</v>
      </c>
      <c r="T5066" t="n">
        <v>4</v>
      </c>
      <c r="U5066" t="n">
        <v>5</v>
      </c>
      <c r="V5066" t="n">
        <v>30</v>
      </c>
      <c r="W5066" t="n">
        <v>1</v>
      </c>
      <c r="X5066" t="n">
        <v>0</v>
      </c>
      <c r="Y5066" t="n">
        <v>1</v>
      </c>
      <c r="Z5066" t="n">
        <v>1</v>
      </c>
      <c r="AA5066" t="n">
        <v>1</v>
      </c>
      <c r="AB5066" t="n">
        <v>0</v>
      </c>
      <c r="AC5066" t="n">
        <v>0</v>
      </c>
      <c r="AD5066" t="n">
        <v>41520</v>
      </c>
      <c r="AE5066" t="n">
        <v>0</v>
      </c>
      <c r="AF5066" t="n">
        <v>10393</v>
      </c>
      <c r="AG5066" t="n">
        <v>170</v>
      </c>
      <c r="AH5066" t="inlineStr">
        <is>
          <t>PT. JALUR MANDIRI UTAMA - PPN (PDG)</t>
        </is>
      </c>
      <c r="AI5066" t="n">
        <v>170</v>
      </c>
      <c r="AJ5066" t="inlineStr">
        <is>
          <t>YOU</t>
        </is>
      </c>
      <c r="AK5066" t="n">
        <v>9</v>
      </c>
      <c r="AL5066" t="inlineStr">
        <is>
          <t>Miss Glam Jambi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YOU</t>
        </is>
      </c>
      <c r="B5067" s="2">
        <f>"8997227896320"</f>
        <v/>
      </c>
      <c r="C5067" t="inlineStr">
        <is>
          <t>YOU Noutriwear + Flawless Cushion Foundation W703 Warm Ivory 11g</t>
        </is>
      </c>
      <c r="D5067" t="inlineStr">
        <is>
          <t>Miss Glam Jambi</t>
        </is>
      </c>
      <c r="E5067" t="n">
        <v>14</v>
      </c>
      <c r="F5067" t="n">
        <v>0.009900000000000001</v>
      </c>
      <c r="G5067" t="n">
        <v>0.33</v>
      </c>
      <c r="H5067" t="n">
        <v>3</v>
      </c>
      <c r="I5067" t="n">
        <v>11</v>
      </c>
      <c r="J5067" t="n">
        <v>3</v>
      </c>
      <c r="K5067" t="n">
        <v>0</v>
      </c>
      <c r="L5067" t="n">
        <v>119920</v>
      </c>
      <c r="M5067" t="n">
        <v>149900</v>
      </c>
      <c r="N5067" t="n">
        <v>33</v>
      </c>
      <c r="O5067" t="n">
        <v>0.33</v>
      </c>
      <c r="P5067" t="n">
        <v>1</v>
      </c>
      <c r="Q5067" t="n">
        <v>0.05</v>
      </c>
      <c r="R5067" t="n">
        <v>1</v>
      </c>
      <c r="S5067" t="n">
        <v>1484.01</v>
      </c>
      <c r="T5067" t="n">
        <v>4</v>
      </c>
      <c r="U5067" t="n">
        <v>5</v>
      </c>
      <c r="V5067" t="n">
        <v>30</v>
      </c>
      <c r="W5067" t="n">
        <v>1</v>
      </c>
      <c r="X5067" t="n">
        <v>1414.141414141414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10393</v>
      </c>
      <c r="AG5067" t="n">
        <v>170</v>
      </c>
      <c r="AH5067" t="inlineStr">
        <is>
          <t>PT. JALUR MANDIRI UTAMA - PPN (PDG)</t>
        </is>
      </c>
      <c r="AI5067" t="n">
        <v>170</v>
      </c>
      <c r="AJ5067" t="inlineStr">
        <is>
          <t>YOU</t>
        </is>
      </c>
      <c r="AK5067" t="n">
        <v>9</v>
      </c>
      <c r="AL5067" t="inlineStr">
        <is>
          <t>Miss Glam Jambi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YOU</t>
        </is>
      </c>
      <c r="B5068" s="2">
        <f>"8997227896344"</f>
        <v/>
      </c>
      <c r="C5068" t="inlineStr">
        <is>
          <t>YOU Noutriwear + Flawless Cushion Foundation W805 Yellow Beige 11g</t>
        </is>
      </c>
      <c r="D5068" t="inlineStr">
        <is>
          <t>Miss Glam Jambi</t>
        </is>
      </c>
      <c r="E5068" t="n">
        <v>18</v>
      </c>
      <c r="F5068" t="n">
        <v>0.009900000000000001</v>
      </c>
      <c r="G5068" t="n">
        <v>0.33</v>
      </c>
      <c r="H5068" t="n">
        <v>3</v>
      </c>
      <c r="I5068" t="n">
        <v>11</v>
      </c>
      <c r="J5068" t="n">
        <v>3</v>
      </c>
      <c r="K5068" t="n">
        <v>0</v>
      </c>
      <c r="L5068" t="n">
        <v>119920</v>
      </c>
      <c r="M5068" t="n">
        <v>149900</v>
      </c>
      <c r="N5068" t="n">
        <v>33</v>
      </c>
      <c r="O5068" t="n">
        <v>0.33</v>
      </c>
      <c r="P5068" t="n">
        <v>1</v>
      </c>
      <c r="Q5068" t="n">
        <v>0.03</v>
      </c>
      <c r="R5068" t="n">
        <v>1</v>
      </c>
      <c r="S5068" t="n">
        <v>1484.01</v>
      </c>
      <c r="T5068" t="n">
        <v>4</v>
      </c>
      <c r="U5068" t="n">
        <v>5</v>
      </c>
      <c r="V5068" t="n">
        <v>30</v>
      </c>
      <c r="W5068" t="n">
        <v>1</v>
      </c>
      <c r="X5068" t="n">
        <v>1818.181818181818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10393</v>
      </c>
      <c r="AG5068" t="n">
        <v>170</v>
      </c>
      <c r="AH5068" t="inlineStr">
        <is>
          <t>PT. JALUR MANDIRI UTAMA - PPN (PDG)</t>
        </is>
      </c>
      <c r="AI5068" t="n">
        <v>170</v>
      </c>
      <c r="AJ5068" t="inlineStr">
        <is>
          <t>YOU</t>
        </is>
      </c>
      <c r="AK5068" t="n">
        <v>9</v>
      </c>
      <c r="AL5068" t="inlineStr">
        <is>
          <t>Miss Glam Jambi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YOU</t>
        </is>
      </c>
      <c r="B5069" s="2">
        <f>"8997227891615"</f>
        <v/>
      </c>
      <c r="C5069" t="inlineStr">
        <is>
          <t>YOU Noutriwear + Makeup Stay Lock Mist 55ml</t>
        </is>
      </c>
      <c r="D5069" t="inlineStr">
        <is>
          <t>Miss Glam Jambi</t>
        </is>
      </c>
      <c r="E5069" t="n">
        <v>22</v>
      </c>
      <c r="F5069" t="n">
        <v>0.0561</v>
      </c>
      <c r="G5069" t="n">
        <v>0.33</v>
      </c>
      <c r="H5069" t="n">
        <v>3</v>
      </c>
      <c r="I5069" t="n">
        <v>11</v>
      </c>
      <c r="J5069" t="n">
        <v>3</v>
      </c>
      <c r="K5069" t="n">
        <v>0</v>
      </c>
      <c r="L5069" t="n">
        <v>43920</v>
      </c>
      <c r="M5069" t="n">
        <v>54900</v>
      </c>
      <c r="N5069" t="n">
        <v>33</v>
      </c>
      <c r="O5069" t="n">
        <v>0.33</v>
      </c>
      <c r="P5069" t="n">
        <v>1</v>
      </c>
      <c r="Q5069" t="n">
        <v>0.03</v>
      </c>
      <c r="R5069" t="n">
        <v>1</v>
      </c>
      <c r="S5069" t="n">
        <v>3079.89</v>
      </c>
      <c r="T5069" t="n">
        <v>4</v>
      </c>
      <c r="U5069" t="n">
        <v>5</v>
      </c>
      <c r="V5069" t="n">
        <v>30</v>
      </c>
      <c r="W5069" t="n">
        <v>2</v>
      </c>
      <c r="X5069" t="n">
        <v>392.156862745098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10393</v>
      </c>
      <c r="AG5069" t="n">
        <v>170</v>
      </c>
      <c r="AH5069" t="inlineStr">
        <is>
          <t>PT. JALUR MANDIRI UTAMA - PPN (PDG)</t>
        </is>
      </c>
      <c r="AI5069" t="n">
        <v>170</v>
      </c>
      <c r="AJ5069" t="inlineStr">
        <is>
          <t>YOU</t>
        </is>
      </c>
      <c r="AK5069" t="n">
        <v>9</v>
      </c>
      <c r="AL5069" t="inlineStr">
        <is>
          <t>Miss Glam Jambi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YOU</t>
        </is>
      </c>
      <c r="B5070" s="2">
        <f>"8997227895194"</f>
        <v/>
      </c>
      <c r="C5070" t="inlineStr">
        <is>
          <t>YOU Noutriwear + Silky Pressed Foundation C304 Pink Nude 7g</t>
        </is>
      </c>
      <c r="D5070" t="inlineStr">
        <is>
          <t>Miss Glam Jambi</t>
        </is>
      </c>
      <c r="E5070" t="n">
        <v>5</v>
      </c>
      <c r="F5070" t="n">
        <v>0.006600000000000001</v>
      </c>
      <c r="G5070" t="n">
        <v>0</v>
      </c>
      <c r="H5070" t="n">
        <v>3</v>
      </c>
      <c r="I5070" t="n">
        <v>11</v>
      </c>
      <c r="J5070" t="n">
        <v>3</v>
      </c>
      <c r="K5070" t="n">
        <v>0</v>
      </c>
      <c r="L5070" t="n">
        <v>78320</v>
      </c>
      <c r="M5070" t="n">
        <v>97900</v>
      </c>
      <c r="N5070" t="n">
        <v>33</v>
      </c>
      <c r="O5070" t="n">
        <v>0.33</v>
      </c>
      <c r="P5070" t="n">
        <v>1</v>
      </c>
      <c r="Q5070" t="n">
        <v>0.07000000000000001</v>
      </c>
      <c r="R5070" t="n">
        <v>2</v>
      </c>
      <c r="S5070" t="n">
        <v>646.1400000000001</v>
      </c>
      <c r="T5070" t="n">
        <v>0</v>
      </c>
      <c r="U5070" t="n">
        <v>1</v>
      </c>
      <c r="V5070" t="n">
        <v>30</v>
      </c>
      <c r="W5070" t="n">
        <v>1</v>
      </c>
      <c r="X5070" t="n">
        <v>757.5757575757575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10393</v>
      </c>
      <c r="AG5070" t="n">
        <v>170</v>
      </c>
      <c r="AH5070" t="inlineStr">
        <is>
          <t>PT. JALUR MANDIRI UTAMA - PPN (PDG)</t>
        </is>
      </c>
      <c r="AI5070" t="n">
        <v>170</v>
      </c>
      <c r="AJ5070" t="inlineStr">
        <is>
          <t>YOU</t>
        </is>
      </c>
      <c r="AK5070" t="n">
        <v>9</v>
      </c>
      <c r="AL5070" t="inlineStr">
        <is>
          <t>Miss Glam Jambi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YOU</t>
        </is>
      </c>
      <c r="B5071" s="2">
        <f>"8997227896252"</f>
        <v/>
      </c>
      <c r="C5071" t="inlineStr">
        <is>
          <t>YOU Noutriwear + Velvet Liquid Foundation W805 Yellow Beige 20ml</t>
        </is>
      </c>
      <c r="D5071" t="inlineStr">
        <is>
          <t>Miss Glam Jambi</t>
        </is>
      </c>
      <c r="E5071" t="n">
        <v>18</v>
      </c>
      <c r="F5071" t="n">
        <v>0.0231</v>
      </c>
      <c r="G5071" t="n">
        <v>0.33</v>
      </c>
      <c r="H5071" t="n">
        <v>3</v>
      </c>
      <c r="I5071" t="n">
        <v>11</v>
      </c>
      <c r="J5071" t="n">
        <v>3</v>
      </c>
      <c r="K5071" t="n">
        <v>0</v>
      </c>
      <c r="L5071" t="n">
        <v>78320</v>
      </c>
      <c r="M5071" t="n">
        <v>97900</v>
      </c>
      <c r="N5071" t="n">
        <v>33</v>
      </c>
      <c r="O5071" t="n">
        <v>0.33</v>
      </c>
      <c r="P5071" t="n">
        <v>1</v>
      </c>
      <c r="Q5071" t="n">
        <v>0.03</v>
      </c>
      <c r="R5071" t="n">
        <v>1</v>
      </c>
      <c r="S5071" t="n">
        <v>2261.49</v>
      </c>
      <c r="T5071" t="n">
        <v>4</v>
      </c>
      <c r="U5071" t="n">
        <v>5</v>
      </c>
      <c r="V5071" t="n">
        <v>30</v>
      </c>
      <c r="W5071" t="n">
        <v>1</v>
      </c>
      <c r="X5071" t="n">
        <v>779.2207792207791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10393</v>
      </c>
      <c r="AG5071" t="n">
        <v>170</v>
      </c>
      <c r="AH5071" t="inlineStr">
        <is>
          <t>PT. JALUR MANDIRI UTAMA - PPN (PDG)</t>
        </is>
      </c>
      <c r="AI5071" t="n">
        <v>170</v>
      </c>
      <c r="AJ5071" t="inlineStr">
        <is>
          <t>YOU</t>
        </is>
      </c>
      <c r="AK5071" t="n">
        <v>9</v>
      </c>
      <c r="AL5071" t="inlineStr">
        <is>
          <t>Miss Glam Jambi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YOU</t>
        </is>
      </c>
      <c r="B5072" s="2">
        <f>"8997227896337"</f>
        <v/>
      </c>
      <c r="C5072" t="inlineStr">
        <is>
          <t>YOU Noutriwear Flawless Cushion Foundation C034 Pink Nude 11gr</t>
        </is>
      </c>
      <c r="D5072" t="inlineStr">
        <is>
          <t>Miss Glam Jambi</t>
        </is>
      </c>
      <c r="E5072" t="n">
        <v>2</v>
      </c>
      <c r="F5072" t="n">
        <v>0.0495</v>
      </c>
      <c r="G5072" t="n">
        <v>0.66</v>
      </c>
      <c r="H5072" t="n">
        <v>3</v>
      </c>
      <c r="I5072" t="n">
        <v>11</v>
      </c>
      <c r="J5072" t="n">
        <v>3</v>
      </c>
      <c r="K5072" t="n">
        <v>0</v>
      </c>
      <c r="L5072" t="n">
        <v>119920</v>
      </c>
      <c r="M5072" t="n">
        <v>149900</v>
      </c>
      <c r="N5072" t="n">
        <v>33</v>
      </c>
      <c r="O5072" t="n">
        <v>0.33</v>
      </c>
      <c r="P5072" t="n">
        <v>1</v>
      </c>
      <c r="Q5072" t="n">
        <v>0.08</v>
      </c>
      <c r="R5072" t="n">
        <v>1</v>
      </c>
      <c r="S5072" t="n">
        <v>7420.05</v>
      </c>
      <c r="T5072" t="n">
        <v>8</v>
      </c>
      <c r="U5072" t="n">
        <v>9</v>
      </c>
      <c r="V5072" t="n">
        <v>30</v>
      </c>
      <c r="W5072" t="n">
        <v>2</v>
      </c>
      <c r="X5072" t="n">
        <v>40.4040404040404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10393</v>
      </c>
      <c r="AG5072" t="n">
        <v>170</v>
      </c>
      <c r="AH5072" t="inlineStr">
        <is>
          <t>PT. JALUR MANDIRI UTAMA - PPN (PDG)</t>
        </is>
      </c>
      <c r="AI5072" t="n">
        <v>170</v>
      </c>
      <c r="AJ5072" t="inlineStr">
        <is>
          <t>YOU</t>
        </is>
      </c>
      <c r="AK5072" t="n">
        <v>9</v>
      </c>
      <c r="AL5072" t="inlineStr">
        <is>
          <t>Miss Glam Jambi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YOU</t>
        </is>
      </c>
      <c r="B5073" s="2">
        <f>"8997227894128"</f>
        <v/>
      </c>
      <c r="C5073" t="inlineStr">
        <is>
          <t>YOU Noutriwear Silky Pressed Foundation W805 Yellow Beige 7g</t>
        </is>
      </c>
      <c r="D5073" t="inlineStr">
        <is>
          <t>Miss Glam Jambi</t>
        </is>
      </c>
      <c r="E5073" t="n">
        <v>8</v>
      </c>
      <c r="F5073" t="n">
        <v>0.0165</v>
      </c>
      <c r="G5073" t="n">
        <v>0.33</v>
      </c>
      <c r="H5073" t="n">
        <v>3</v>
      </c>
      <c r="I5073" t="n">
        <v>11</v>
      </c>
      <c r="J5073" t="n">
        <v>3</v>
      </c>
      <c r="K5073" t="n">
        <v>0</v>
      </c>
      <c r="L5073" t="n">
        <v>78320</v>
      </c>
      <c r="M5073" t="n">
        <v>97900</v>
      </c>
      <c r="N5073" t="n">
        <v>33</v>
      </c>
      <c r="O5073" t="n">
        <v>0.33</v>
      </c>
      <c r="P5073" t="n">
        <v>1</v>
      </c>
      <c r="Q5073" t="n">
        <v>0.02</v>
      </c>
      <c r="R5073" t="n">
        <v>1</v>
      </c>
      <c r="S5073" t="n">
        <v>1615.35</v>
      </c>
      <c r="T5073" t="n">
        <v>4</v>
      </c>
      <c r="U5073" t="n">
        <v>5</v>
      </c>
      <c r="V5073" t="n">
        <v>30</v>
      </c>
      <c r="W5073" t="n">
        <v>1</v>
      </c>
      <c r="X5073" t="n">
        <v>484.8484848484848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10393</v>
      </c>
      <c r="AG5073" t="n">
        <v>170</v>
      </c>
      <c r="AH5073" t="inlineStr">
        <is>
          <t>PT. JALUR MANDIRI UTAMA - PPN (PDG)</t>
        </is>
      </c>
      <c r="AI5073" t="n">
        <v>170</v>
      </c>
      <c r="AJ5073" t="inlineStr">
        <is>
          <t>YOU</t>
        </is>
      </c>
      <c r="AK5073" t="n">
        <v>9</v>
      </c>
      <c r="AL5073" t="inlineStr">
        <is>
          <t>Miss Glam Jambi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YOU</t>
        </is>
      </c>
      <c r="B5074" s="2">
        <f>"8997227896313"</f>
        <v/>
      </c>
      <c r="C5074" t="inlineStr">
        <is>
          <t>YOU Noutriwear Velvet Liquid Foundation W709 Sand Beige 20ml</t>
        </is>
      </c>
      <c r="D5074" t="inlineStr">
        <is>
          <t>Miss Glam Jambi</t>
        </is>
      </c>
      <c r="E5074" t="n">
        <v>14</v>
      </c>
      <c r="F5074" t="n">
        <v>0.0231</v>
      </c>
      <c r="G5074" t="n">
        <v>0.33</v>
      </c>
      <c r="H5074" t="n">
        <v>3</v>
      </c>
      <c r="I5074" t="n">
        <v>11</v>
      </c>
      <c r="J5074" t="n">
        <v>3</v>
      </c>
      <c r="K5074" t="n">
        <v>0</v>
      </c>
      <c r="L5074" t="n">
        <v>78320</v>
      </c>
      <c r="M5074" t="n">
        <v>97900</v>
      </c>
      <c r="N5074" t="n">
        <v>33</v>
      </c>
      <c r="O5074" t="n">
        <v>0.33</v>
      </c>
      <c r="P5074" t="n">
        <v>1</v>
      </c>
      <c r="Q5074" t="n">
        <v>0.02</v>
      </c>
      <c r="R5074" t="n">
        <v>1</v>
      </c>
      <c r="S5074" t="n">
        <v>2261.49</v>
      </c>
      <c r="T5074" t="n">
        <v>4</v>
      </c>
      <c r="U5074" t="n">
        <v>5</v>
      </c>
      <c r="V5074" t="n">
        <v>30</v>
      </c>
      <c r="W5074" t="n">
        <v>1</v>
      </c>
      <c r="X5074" t="n">
        <v>606.060606060606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10393</v>
      </c>
      <c r="AG5074" t="n">
        <v>170</v>
      </c>
      <c r="AH5074" t="inlineStr">
        <is>
          <t>PT. JALUR MANDIRI UTAMA - PPN (PDG)</t>
        </is>
      </c>
      <c r="AI5074" t="n">
        <v>170</v>
      </c>
      <c r="AJ5074" t="inlineStr">
        <is>
          <t>YOU</t>
        </is>
      </c>
      <c r="AK5074" t="n">
        <v>9</v>
      </c>
      <c r="AL5074" t="inlineStr">
        <is>
          <t>Miss Glam Jambi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YOU</t>
        </is>
      </c>
      <c r="B5075" s="2">
        <f>"8997227896245"</f>
        <v/>
      </c>
      <c r="C5075" t="inlineStr">
        <is>
          <t>YOU Noutrwear + Velvet Liquid Foundation C304 Pink Nude 20ml</t>
        </is>
      </c>
      <c r="D5075" t="inlineStr">
        <is>
          <t>Miss Glam Jambi</t>
        </is>
      </c>
      <c r="E5075" t="n">
        <v>10</v>
      </c>
      <c r="F5075" t="n">
        <v>0.009900000000000001</v>
      </c>
      <c r="G5075" t="n">
        <v>0.33</v>
      </c>
      <c r="H5075" t="n">
        <v>3</v>
      </c>
      <c r="I5075" t="n">
        <v>11</v>
      </c>
      <c r="J5075" t="n">
        <v>3</v>
      </c>
      <c r="K5075" t="n">
        <v>0</v>
      </c>
      <c r="L5075" t="n">
        <v>78320</v>
      </c>
      <c r="M5075" t="n">
        <v>97900</v>
      </c>
      <c r="N5075" t="n">
        <v>33</v>
      </c>
      <c r="O5075" t="n">
        <v>0.33</v>
      </c>
      <c r="P5075" t="n">
        <v>1</v>
      </c>
      <c r="Q5075" t="n">
        <v>0.02</v>
      </c>
      <c r="R5075" t="n">
        <v>1</v>
      </c>
      <c r="S5075" t="n">
        <v>969.21</v>
      </c>
      <c r="T5075" t="n">
        <v>4</v>
      </c>
      <c r="U5075" t="n">
        <v>5</v>
      </c>
      <c r="V5075" t="n">
        <v>30</v>
      </c>
      <c r="W5075" t="n">
        <v>1</v>
      </c>
      <c r="X5075" t="n">
        <v>1010.10101010101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10393</v>
      </c>
      <c r="AG5075" t="n">
        <v>170</v>
      </c>
      <c r="AH5075" t="inlineStr">
        <is>
          <t>PT. JALUR MANDIRI UTAMA - PPN (PDG)</t>
        </is>
      </c>
      <c r="AI5075" t="n">
        <v>170</v>
      </c>
      <c r="AJ5075" t="inlineStr">
        <is>
          <t>YOU</t>
        </is>
      </c>
      <c r="AK5075" t="n">
        <v>9</v>
      </c>
      <c r="AL5075" t="inlineStr">
        <is>
          <t>Miss Glam Jambi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YOU</t>
        </is>
      </c>
      <c r="B5076" s="2">
        <f>"8997227896115"</f>
        <v/>
      </c>
      <c r="C5076" t="inlineStr">
        <is>
          <t>YOU Prebiotic-Infused Micellar Cleansing Water 110ml</t>
        </is>
      </c>
      <c r="D5076" t="inlineStr">
        <is>
          <t>Miss Glam Jambi</t>
        </is>
      </c>
      <c r="E5076" t="n">
        <v>3</v>
      </c>
      <c r="F5076" t="n">
        <v>0.1617</v>
      </c>
      <c r="G5076" t="n">
        <v>0.99</v>
      </c>
      <c r="H5076" t="n">
        <v>3</v>
      </c>
      <c r="I5076" t="n">
        <v>11</v>
      </c>
      <c r="J5076" t="n">
        <v>3</v>
      </c>
      <c r="K5076" t="n">
        <v>3</v>
      </c>
      <c r="L5076" t="n">
        <v>27120</v>
      </c>
      <c r="M5076" t="n">
        <v>33900</v>
      </c>
      <c r="N5076" t="n">
        <v>33</v>
      </c>
      <c r="O5076" t="n">
        <v>0.33</v>
      </c>
      <c r="P5076" t="n">
        <v>1</v>
      </c>
      <c r="Q5076" t="n">
        <v>0.17</v>
      </c>
      <c r="R5076" t="n">
        <v>2</v>
      </c>
      <c r="S5076" t="n">
        <v>5481.63</v>
      </c>
      <c r="T5076" t="n">
        <v>11</v>
      </c>
      <c r="U5076" t="n">
        <v>12</v>
      </c>
      <c r="V5076" t="n">
        <v>30</v>
      </c>
      <c r="W5076" t="n">
        <v>5</v>
      </c>
      <c r="X5076" t="n">
        <v>18.55287569573284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10393</v>
      </c>
      <c r="AG5076" t="n">
        <v>170</v>
      </c>
      <c r="AH5076" t="inlineStr">
        <is>
          <t>PT. JALUR MANDIRI UTAMA - PPN (PDG)</t>
        </is>
      </c>
      <c r="AI5076" t="n">
        <v>170</v>
      </c>
      <c r="AJ5076" t="inlineStr">
        <is>
          <t>YOU</t>
        </is>
      </c>
      <c r="AK5076" t="n">
        <v>9</v>
      </c>
      <c r="AL5076" t="inlineStr">
        <is>
          <t>Miss Glam Jambi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YOU</t>
        </is>
      </c>
      <c r="B5077" s="2">
        <f>"10300147208"</f>
        <v/>
      </c>
      <c r="C5077" t="inlineStr">
        <is>
          <t>YOU Radiance Antioxidant Brightening Cream 30g</t>
        </is>
      </c>
      <c r="D5077" t="inlineStr">
        <is>
          <t>Miss Glam Jambi</t>
        </is>
      </c>
      <c r="E5077" t="n">
        <v>7</v>
      </c>
      <c r="F5077" t="n">
        <v>0.0726</v>
      </c>
      <c r="G5077" t="n">
        <v>0.99</v>
      </c>
      <c r="H5077" t="n">
        <v>3</v>
      </c>
      <c r="I5077" t="n">
        <v>11</v>
      </c>
      <c r="J5077" t="n">
        <v>1</v>
      </c>
      <c r="K5077" t="n">
        <v>0</v>
      </c>
      <c r="L5077" t="n">
        <v>71920</v>
      </c>
      <c r="M5077" t="n">
        <v>89900</v>
      </c>
      <c r="N5077" t="n">
        <v>33</v>
      </c>
      <c r="O5077" t="n">
        <v>0.33</v>
      </c>
      <c r="P5077" t="n">
        <v>1</v>
      </c>
      <c r="Q5077" t="n">
        <v>0.08</v>
      </c>
      <c r="R5077" t="n">
        <v>2</v>
      </c>
      <c r="S5077" t="n">
        <v>6526.74</v>
      </c>
      <c r="T5077" t="n">
        <v>11</v>
      </c>
      <c r="U5077" t="n">
        <v>12</v>
      </c>
      <c r="V5077" t="n">
        <v>30</v>
      </c>
      <c r="W5077" t="n">
        <v>3</v>
      </c>
      <c r="X5077" t="n">
        <v>96.41873278236915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10393</v>
      </c>
      <c r="AG5077" t="n">
        <v>170</v>
      </c>
      <c r="AH5077" t="inlineStr">
        <is>
          <t>PT. JALUR MANDIRI UTAMA - PPN (PDG)</t>
        </is>
      </c>
      <c r="AI5077" t="n">
        <v>170</v>
      </c>
      <c r="AJ5077" t="inlineStr">
        <is>
          <t>YOU</t>
        </is>
      </c>
      <c r="AK5077" t="n">
        <v>9</v>
      </c>
      <c r="AL5077" t="inlineStr">
        <is>
          <t>Miss Glam Jambi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YOU</t>
        </is>
      </c>
      <c r="B5078" s="2">
        <f>"8991748012122"</f>
        <v/>
      </c>
      <c r="C5078" t="inlineStr">
        <is>
          <t>YOU Radiance Glow Active Night Gel Sakura Extract 3X VC Niacinamide 30gr</t>
        </is>
      </c>
      <c r="D5078" t="inlineStr">
        <is>
          <t>Miss Glam Jambi</t>
        </is>
      </c>
      <c r="E5078" t="n">
        <v>6</v>
      </c>
      <c r="F5078" t="n">
        <v>0.0726</v>
      </c>
      <c r="G5078" t="n">
        <v>0.99</v>
      </c>
      <c r="H5078" t="n">
        <v>3</v>
      </c>
      <c r="I5078" t="n">
        <v>11</v>
      </c>
      <c r="J5078" t="n">
        <v>3</v>
      </c>
      <c r="K5078" t="n">
        <v>0</v>
      </c>
      <c r="L5078" t="n">
        <v>79920</v>
      </c>
      <c r="M5078" t="n">
        <v>99900</v>
      </c>
      <c r="N5078" t="n">
        <v>33</v>
      </c>
      <c r="O5078" t="n">
        <v>0.33</v>
      </c>
      <c r="P5078" t="n">
        <v>1</v>
      </c>
      <c r="Q5078" t="n">
        <v>0.07000000000000001</v>
      </c>
      <c r="R5078" t="n">
        <v>1</v>
      </c>
      <c r="S5078" t="n">
        <v>7252.74</v>
      </c>
      <c r="T5078" t="n">
        <v>11</v>
      </c>
      <c r="U5078" t="n">
        <v>12</v>
      </c>
      <c r="V5078" t="n">
        <v>30</v>
      </c>
      <c r="W5078" t="n">
        <v>3</v>
      </c>
      <c r="X5078" t="n">
        <v>82.64462809917356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10393</v>
      </c>
      <c r="AG5078" t="n">
        <v>170</v>
      </c>
      <c r="AH5078" t="inlineStr">
        <is>
          <t>PT. JALUR MANDIRI UTAMA - PPN (PDG)</t>
        </is>
      </c>
      <c r="AI5078" t="n">
        <v>170</v>
      </c>
      <c r="AJ5078" t="inlineStr">
        <is>
          <t>YOU</t>
        </is>
      </c>
      <c r="AK5078" t="n">
        <v>9</v>
      </c>
      <c r="AL5078" t="inlineStr">
        <is>
          <t>Miss Glam Jambi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YOU</t>
        </is>
      </c>
      <c r="B5079" s="2">
        <f>"8991748012207"</f>
        <v/>
      </c>
      <c r="C5079" t="inlineStr">
        <is>
          <t>YOU Radiance Glow Advanced Day Cream Sakura Exctract 3X VC 30gr</t>
        </is>
      </c>
      <c r="D5079" t="inlineStr">
        <is>
          <t>Miss Glam Jambi</t>
        </is>
      </c>
      <c r="E5079" t="n">
        <v>14</v>
      </c>
      <c r="F5079" t="n">
        <v>0.0726</v>
      </c>
      <c r="G5079" t="n">
        <v>0.66</v>
      </c>
      <c r="H5079" t="n">
        <v>3</v>
      </c>
      <c r="I5079" t="n">
        <v>11</v>
      </c>
      <c r="J5079" t="n">
        <v>3</v>
      </c>
      <c r="K5079" t="n">
        <v>0</v>
      </c>
      <c r="L5079" t="n">
        <v>79920</v>
      </c>
      <c r="M5079" t="n">
        <v>99900</v>
      </c>
      <c r="N5079" t="n">
        <v>33</v>
      </c>
      <c r="O5079" t="n">
        <v>0.33</v>
      </c>
      <c r="P5079" t="n">
        <v>1</v>
      </c>
      <c r="Q5079" t="n">
        <v>0.03</v>
      </c>
      <c r="R5079" t="n">
        <v>1</v>
      </c>
      <c r="S5079" t="n">
        <v>7252.74</v>
      </c>
      <c r="T5079" t="n">
        <v>8</v>
      </c>
      <c r="U5079" t="n">
        <v>9</v>
      </c>
      <c r="V5079" t="n">
        <v>30</v>
      </c>
      <c r="W5079" t="n">
        <v>3</v>
      </c>
      <c r="X5079" t="n">
        <v>192.8374655647383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10393</v>
      </c>
      <c r="AG5079" t="n">
        <v>170</v>
      </c>
      <c r="AH5079" t="inlineStr">
        <is>
          <t>PT. JALUR MANDIRI UTAMA - PPN (PDG)</t>
        </is>
      </c>
      <c r="AI5079" t="n">
        <v>170</v>
      </c>
      <c r="AJ5079" t="inlineStr">
        <is>
          <t>YOU</t>
        </is>
      </c>
      <c r="AK5079" t="n">
        <v>9</v>
      </c>
      <c r="AL5079" t="inlineStr">
        <is>
          <t>Miss Glam Jambi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YOU</t>
        </is>
      </c>
      <c r="B5080" s="2">
        <f>"8991748012832"</f>
        <v/>
      </c>
      <c r="C5080" t="inlineStr">
        <is>
          <t>YOU Radiance Glow Illuminating Serum (Sakura) 20ml</t>
        </is>
      </c>
      <c r="D5080" t="inlineStr">
        <is>
          <t>Miss Glam Jambi</t>
        </is>
      </c>
      <c r="E5080" t="n">
        <v>2</v>
      </c>
      <c r="F5080" t="n">
        <v>0.1848</v>
      </c>
      <c r="G5080" t="n">
        <v>0.99</v>
      </c>
      <c r="H5080" t="n">
        <v>3</v>
      </c>
      <c r="I5080" t="n">
        <v>11</v>
      </c>
      <c r="J5080" t="n">
        <v>3</v>
      </c>
      <c r="K5080" t="n">
        <v>3</v>
      </c>
      <c r="L5080" t="n">
        <v>79920</v>
      </c>
      <c r="M5080" t="n">
        <v>99900</v>
      </c>
      <c r="N5080" t="n">
        <v>33</v>
      </c>
      <c r="O5080" t="n">
        <v>0.33</v>
      </c>
      <c r="P5080" t="n">
        <v>1</v>
      </c>
      <c r="Q5080" t="n">
        <v>0.07000000000000001</v>
      </c>
      <c r="R5080" t="n">
        <v>1</v>
      </c>
      <c r="S5080" t="n">
        <v>18461.52</v>
      </c>
      <c r="T5080" t="n">
        <v>11</v>
      </c>
      <c r="U5080" t="n">
        <v>12</v>
      </c>
      <c r="V5080" t="n">
        <v>30</v>
      </c>
      <c r="W5080" t="n">
        <v>6</v>
      </c>
      <c r="X5080" t="n">
        <v>10.82251082251082</v>
      </c>
      <c r="Y5080" t="n">
        <v>1</v>
      </c>
      <c r="Z5080" t="n">
        <v>1</v>
      </c>
      <c r="AA5080" t="n">
        <v>0</v>
      </c>
      <c r="AB5080" t="n">
        <v>1</v>
      </c>
      <c r="AC5080" t="n">
        <v>3</v>
      </c>
      <c r="AD5080" t="n">
        <v>0</v>
      </c>
      <c r="AE5080" t="n">
        <v>239760</v>
      </c>
      <c r="AF5080" t="n">
        <v>10393</v>
      </c>
      <c r="AG5080" t="n">
        <v>170</v>
      </c>
      <c r="AH5080" t="inlineStr">
        <is>
          <t>PT. JALUR MANDIRI UTAMA - PPN (PDG)</t>
        </is>
      </c>
      <c r="AI5080" t="n">
        <v>170</v>
      </c>
      <c r="AJ5080" t="inlineStr">
        <is>
          <t>YOU</t>
        </is>
      </c>
      <c r="AK5080" t="n">
        <v>9</v>
      </c>
      <c r="AL5080" t="inlineStr">
        <is>
          <t>Miss Glam Jambi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YOU</t>
        </is>
      </c>
      <c r="B5081" s="2">
        <f>"8991748012221"</f>
        <v/>
      </c>
      <c r="C5081" t="inlineStr">
        <is>
          <t>YOU Radiance Glow Purifying Facial Foam Sakura Extract 3X VC Niacinamide 100gr</t>
        </is>
      </c>
      <c r="D5081" t="inlineStr">
        <is>
          <t>Miss Glam Jambi</t>
        </is>
      </c>
      <c r="E5081" t="n">
        <v>11</v>
      </c>
      <c r="F5081" t="n">
        <v>0.33</v>
      </c>
      <c r="G5081" t="n">
        <v>1.98</v>
      </c>
      <c r="H5081" t="n">
        <v>3</v>
      </c>
      <c r="I5081" t="n">
        <v>11</v>
      </c>
      <c r="J5081" t="n">
        <v>3</v>
      </c>
      <c r="K5081" t="n">
        <v>0</v>
      </c>
      <c r="L5081" t="n">
        <v>39920</v>
      </c>
      <c r="M5081" t="n">
        <v>49900</v>
      </c>
      <c r="N5081" t="n">
        <v>33</v>
      </c>
      <c r="O5081" t="n">
        <v>0.33</v>
      </c>
      <c r="P5081" t="n">
        <v>1</v>
      </c>
      <c r="Q5081" t="n">
        <v>0.15</v>
      </c>
      <c r="R5081" t="n">
        <v>2</v>
      </c>
      <c r="S5081" t="n">
        <v>16467</v>
      </c>
      <c r="T5081" t="n">
        <v>21</v>
      </c>
      <c r="U5081" t="n">
        <v>22</v>
      </c>
      <c r="V5081" t="n">
        <v>30</v>
      </c>
      <c r="W5081" t="n">
        <v>10</v>
      </c>
      <c r="X5081" t="n">
        <v>33.33333333333333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10393</v>
      </c>
      <c r="AG5081" t="n">
        <v>170</v>
      </c>
      <c r="AH5081" t="inlineStr">
        <is>
          <t>PT. JALUR MANDIRI UTAMA - PPN (PDG)</t>
        </is>
      </c>
      <c r="AI5081" t="n">
        <v>170</v>
      </c>
      <c r="AJ5081" t="inlineStr">
        <is>
          <t>YOU</t>
        </is>
      </c>
      <c r="AK5081" t="n">
        <v>9</v>
      </c>
      <c r="AL5081" t="inlineStr">
        <is>
          <t>Miss Glam Jambi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YOU</t>
        </is>
      </c>
      <c r="B5082" s="2">
        <f>"8991748012184"</f>
        <v/>
      </c>
      <c r="C5082" t="inlineStr">
        <is>
          <t>YOU Radiance Glow Toner Essence Sakura Extract 100ml</t>
        </is>
      </c>
      <c r="D5082" t="inlineStr">
        <is>
          <t>Miss Glam Jambi</t>
        </is>
      </c>
      <c r="E5082" t="n">
        <v>18</v>
      </c>
      <c r="F5082" t="n">
        <v>0.0495</v>
      </c>
      <c r="G5082" t="n">
        <v>0.33</v>
      </c>
      <c r="H5082" t="n">
        <v>3</v>
      </c>
      <c r="I5082" t="n">
        <v>11</v>
      </c>
      <c r="J5082" t="n">
        <v>3</v>
      </c>
      <c r="K5082" t="n">
        <v>0</v>
      </c>
      <c r="L5082" t="n">
        <v>50320</v>
      </c>
      <c r="M5082" t="n">
        <v>62900</v>
      </c>
      <c r="N5082" t="n">
        <v>33</v>
      </c>
      <c r="O5082" t="n">
        <v>0.33</v>
      </c>
      <c r="P5082" t="n">
        <v>1</v>
      </c>
      <c r="Q5082" t="n">
        <v>0.03</v>
      </c>
      <c r="R5082" t="n">
        <v>1</v>
      </c>
      <c r="S5082" t="n">
        <v>3113.55</v>
      </c>
      <c r="T5082" t="n">
        <v>4</v>
      </c>
      <c r="U5082" t="n">
        <v>5</v>
      </c>
      <c r="V5082" t="n">
        <v>30</v>
      </c>
      <c r="W5082" t="n">
        <v>2</v>
      </c>
      <c r="X5082" t="n">
        <v>363.6363636363636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10393</v>
      </c>
      <c r="AG5082" t="n">
        <v>170</v>
      </c>
      <c r="AH5082" t="inlineStr">
        <is>
          <t>PT. JALUR MANDIRI UTAMA - PPN (PDG)</t>
        </is>
      </c>
      <c r="AI5082" t="n">
        <v>170</v>
      </c>
      <c r="AJ5082" t="inlineStr">
        <is>
          <t>YOU</t>
        </is>
      </c>
      <c r="AK5082" t="n">
        <v>9</v>
      </c>
      <c r="AL5082" t="inlineStr">
        <is>
          <t>Miss Glam Jambi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YOU</t>
        </is>
      </c>
      <c r="B5083" s="2">
        <f>"11200152330"</f>
        <v/>
      </c>
      <c r="C5083" t="inlineStr">
        <is>
          <t>YOU Radiance Plus Acne Brightening Serum  20ml</t>
        </is>
      </c>
      <c r="D5083" t="inlineStr">
        <is>
          <t>Miss Glam Jambi</t>
        </is>
      </c>
      <c r="E5083" t="n">
        <v>11</v>
      </c>
      <c r="F5083" t="n">
        <v>0.0495</v>
      </c>
      <c r="G5083" t="n">
        <v>0.66</v>
      </c>
      <c r="H5083" t="n">
        <v>3</v>
      </c>
      <c r="I5083" t="n">
        <v>11</v>
      </c>
      <c r="J5083" t="n">
        <v>1</v>
      </c>
      <c r="K5083" t="n">
        <v>0</v>
      </c>
      <c r="L5083" t="n">
        <v>71920</v>
      </c>
      <c r="M5083" t="n">
        <v>99900</v>
      </c>
      <c r="N5083" t="n">
        <v>33</v>
      </c>
      <c r="O5083" t="n">
        <v>0.33</v>
      </c>
      <c r="P5083" t="n">
        <v>1</v>
      </c>
      <c r="Q5083" t="n">
        <v>0.02</v>
      </c>
      <c r="R5083" t="n">
        <v>1</v>
      </c>
      <c r="S5083" t="n">
        <v>4945.05</v>
      </c>
      <c r="T5083" t="n">
        <v>8</v>
      </c>
      <c r="U5083" t="n">
        <v>9</v>
      </c>
      <c r="V5083" t="n">
        <v>30</v>
      </c>
      <c r="W5083" t="n">
        <v>2</v>
      </c>
      <c r="X5083" t="n">
        <v>222.2222222222222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10393</v>
      </c>
      <c r="AG5083" t="n">
        <v>170</v>
      </c>
      <c r="AH5083" t="inlineStr">
        <is>
          <t>PT. JALUR MANDIRI UTAMA - PPN (PDG)</t>
        </is>
      </c>
      <c r="AI5083" t="n">
        <v>170</v>
      </c>
      <c r="AJ5083" t="inlineStr">
        <is>
          <t>YOU</t>
        </is>
      </c>
      <c r="AK5083" t="n">
        <v>9</v>
      </c>
      <c r="AL5083" t="inlineStr">
        <is>
          <t>Miss Glam Jambi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YOU</t>
        </is>
      </c>
      <c r="B5084" s="2">
        <f>"10300514855"</f>
        <v/>
      </c>
      <c r="C5084" t="inlineStr">
        <is>
          <t>YOU Radiance Renewal Brightening Moisturizer Gel 30g</t>
        </is>
      </c>
      <c r="D5084" t="inlineStr">
        <is>
          <t>Miss Glam Jambi</t>
        </is>
      </c>
      <c r="E5084" t="n">
        <v>10</v>
      </c>
      <c r="F5084" t="n">
        <v>0.0561</v>
      </c>
      <c r="G5084" t="n">
        <v>0.66</v>
      </c>
      <c r="H5084" t="n">
        <v>3</v>
      </c>
      <c r="I5084" t="n">
        <v>11</v>
      </c>
      <c r="J5084" t="n">
        <v>1</v>
      </c>
      <c r="K5084" t="n">
        <v>0</v>
      </c>
      <c r="L5084" t="n">
        <v>71920</v>
      </c>
      <c r="M5084" t="n">
        <v>89900</v>
      </c>
      <c r="N5084" t="n">
        <v>33</v>
      </c>
      <c r="O5084" t="n">
        <v>0.33</v>
      </c>
      <c r="P5084" t="n">
        <v>1</v>
      </c>
      <c r="Q5084" t="n">
        <v>0.03</v>
      </c>
      <c r="R5084" t="n">
        <v>1</v>
      </c>
      <c r="S5084" t="n">
        <v>5043.39</v>
      </c>
      <c r="T5084" t="n">
        <v>8</v>
      </c>
      <c r="U5084" t="n">
        <v>9</v>
      </c>
      <c r="V5084" t="n">
        <v>30</v>
      </c>
      <c r="W5084" t="n">
        <v>2</v>
      </c>
      <c r="X5084" t="n">
        <v>178.25311942959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10393</v>
      </c>
      <c r="AG5084" t="n">
        <v>170</v>
      </c>
      <c r="AH5084" t="inlineStr">
        <is>
          <t>PT. JALUR MANDIRI UTAMA - PPN (PDG)</t>
        </is>
      </c>
      <c r="AI5084" t="n">
        <v>170</v>
      </c>
      <c r="AJ5084" t="inlineStr">
        <is>
          <t>YOU</t>
        </is>
      </c>
      <c r="AK5084" t="n">
        <v>9</v>
      </c>
      <c r="AL5084" t="inlineStr">
        <is>
          <t>Miss Glam Jambi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"8991748002147"</f>
        <v/>
      </c>
      <c r="C5085" t="inlineStr">
        <is>
          <t>YOU Radiance Up! Antioxidant Serum 20ml</t>
        </is>
      </c>
      <c r="D5085" t="inlineStr">
        <is>
          <t>Miss Glam Jambi</t>
        </is>
      </c>
      <c r="E5085" t="n">
        <v>1</v>
      </c>
      <c r="F5085" t="n">
        <v>0.07920000000000001</v>
      </c>
      <c r="G5085" t="n">
        <v>0.66</v>
      </c>
      <c r="H5085" t="n">
        <v>3</v>
      </c>
      <c r="I5085" t="n">
        <v>11</v>
      </c>
      <c r="J5085" t="n">
        <v>3</v>
      </c>
      <c r="K5085" t="n">
        <v>3</v>
      </c>
      <c r="L5085" t="n">
        <v>100720</v>
      </c>
      <c r="M5085" t="n">
        <v>125900</v>
      </c>
      <c r="N5085" t="n">
        <v>33</v>
      </c>
      <c r="O5085" t="n">
        <v>0.33</v>
      </c>
      <c r="P5085" t="n">
        <v>1</v>
      </c>
      <c r="Q5085" t="n">
        <v>0.15</v>
      </c>
      <c r="R5085" t="n">
        <v>2</v>
      </c>
      <c r="S5085" t="n">
        <v>9971.280000000001</v>
      </c>
      <c r="T5085" t="n">
        <v>8</v>
      </c>
      <c r="U5085" t="n">
        <v>9</v>
      </c>
      <c r="V5085" t="n">
        <v>30</v>
      </c>
      <c r="W5085" t="n">
        <v>3</v>
      </c>
      <c r="X5085" t="n">
        <v>12.62626262626262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10393</v>
      </c>
      <c r="AG5085" t="n">
        <v>170</v>
      </c>
      <c r="AH5085" t="inlineStr">
        <is>
          <t>PT. JALUR MANDIRI UTAMA - PPN (PDG)</t>
        </is>
      </c>
      <c r="AI5085" t="n">
        <v>170</v>
      </c>
      <c r="AJ5085" t="inlineStr">
        <is>
          <t>YOU</t>
        </is>
      </c>
      <c r="AK5085" t="n">
        <v>9</v>
      </c>
      <c r="AL5085" t="inlineStr">
        <is>
          <t>Miss Glam Jambi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"8991748002178"</f>
        <v/>
      </c>
      <c r="C5086" t="inlineStr">
        <is>
          <t>YOU Radiance Up! Deep Moisturizing Cream 30gr</t>
        </is>
      </c>
      <c r="D5086" t="inlineStr">
        <is>
          <t>Miss Glam Jambi</t>
        </is>
      </c>
      <c r="E5086" t="n">
        <v>0</v>
      </c>
      <c r="F5086" t="n">
        <v>0.09240000000000001</v>
      </c>
      <c r="G5086" t="n">
        <v>0.99</v>
      </c>
      <c r="H5086" t="n">
        <v>3</v>
      </c>
      <c r="I5086" t="n">
        <v>11</v>
      </c>
      <c r="J5086" t="n">
        <v>3</v>
      </c>
      <c r="K5086" t="n">
        <v>3</v>
      </c>
      <c r="L5086" t="n">
        <v>100720</v>
      </c>
      <c r="M5086" t="n">
        <v>125900</v>
      </c>
      <c r="N5086" t="n">
        <v>33</v>
      </c>
      <c r="O5086" t="n">
        <v>0.33</v>
      </c>
      <c r="P5086" t="n">
        <v>1</v>
      </c>
      <c r="Q5086" t="n">
        <v>0.27</v>
      </c>
      <c r="R5086" t="n">
        <v>3</v>
      </c>
      <c r="S5086" t="n">
        <v>11633.16</v>
      </c>
      <c r="T5086" t="n">
        <v>11</v>
      </c>
      <c r="U5086" t="n">
        <v>12</v>
      </c>
      <c r="V5086" t="n">
        <v>30</v>
      </c>
      <c r="W5086" t="n">
        <v>3</v>
      </c>
      <c r="X5086" t="n">
        <v>0</v>
      </c>
      <c r="Y5086" t="n">
        <v>1</v>
      </c>
      <c r="Z5086" t="n">
        <v>0</v>
      </c>
      <c r="AA5086" t="n">
        <v>1</v>
      </c>
      <c r="AB5086" t="n">
        <v>0</v>
      </c>
      <c r="AC5086" t="n">
        <v>0</v>
      </c>
      <c r="AD5086" t="n">
        <v>100720</v>
      </c>
      <c r="AE5086" t="n">
        <v>0</v>
      </c>
      <c r="AF5086" t="n">
        <v>10393</v>
      </c>
      <c r="AG5086" t="n">
        <v>170</v>
      </c>
      <c r="AH5086" t="inlineStr">
        <is>
          <t>PT. JALUR MANDIRI UTAMA - PPN (PDG)</t>
        </is>
      </c>
      <c r="AI5086" t="n">
        <v>170</v>
      </c>
      <c r="AJ5086" t="inlineStr">
        <is>
          <t>YOU</t>
        </is>
      </c>
      <c r="AK5086" t="n">
        <v>9</v>
      </c>
      <c r="AL5086" t="inlineStr">
        <is>
          <t>Miss Glam Jambi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"8991748002116"</f>
        <v/>
      </c>
      <c r="C5087" t="inlineStr">
        <is>
          <t>YOU Radiance Up! Pure Cica Essence 100ml</t>
        </is>
      </c>
      <c r="D5087" t="inlineStr">
        <is>
          <t>Miss Glam Jambi</t>
        </is>
      </c>
      <c r="E5087" t="n">
        <v>8</v>
      </c>
      <c r="F5087" t="n">
        <v>0.0495</v>
      </c>
      <c r="G5087" t="n">
        <v>0.33</v>
      </c>
      <c r="H5087" t="n">
        <v>3</v>
      </c>
      <c r="I5087" t="n">
        <v>11</v>
      </c>
      <c r="J5087" t="n">
        <v>3</v>
      </c>
      <c r="K5087" t="n">
        <v>0</v>
      </c>
      <c r="L5087" t="n">
        <v>100720</v>
      </c>
      <c r="M5087" t="n">
        <v>125900</v>
      </c>
      <c r="N5087" t="n">
        <v>33</v>
      </c>
      <c r="O5087" t="n">
        <v>0.33</v>
      </c>
      <c r="P5087" t="n">
        <v>1</v>
      </c>
      <c r="Q5087" t="n">
        <v>0.03</v>
      </c>
      <c r="R5087" t="n">
        <v>1</v>
      </c>
      <c r="S5087" t="n">
        <v>6232.05</v>
      </c>
      <c r="T5087" t="n">
        <v>4</v>
      </c>
      <c r="U5087" t="n">
        <v>5</v>
      </c>
      <c r="V5087" t="n">
        <v>30</v>
      </c>
      <c r="W5087" t="n">
        <v>2</v>
      </c>
      <c r="X5087" t="n">
        <v>161.6161616161616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10393</v>
      </c>
      <c r="AG5087" t="n">
        <v>170</v>
      </c>
      <c r="AH5087" t="inlineStr">
        <is>
          <t>PT. JALUR MANDIRI UTAMA - PPN (PDG)</t>
        </is>
      </c>
      <c r="AI5087" t="n">
        <v>170</v>
      </c>
      <c r="AJ5087" t="inlineStr">
        <is>
          <t>YOU</t>
        </is>
      </c>
      <c r="AK5087" t="n">
        <v>9</v>
      </c>
      <c r="AL5087" t="inlineStr">
        <is>
          <t>Miss Glam Jambi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"102002107634"</f>
        <v/>
      </c>
      <c r="C5088" t="inlineStr">
        <is>
          <t>YOU Reeffect Boost 12% Acid INTENSIVE Peeling Serum 20ml</t>
        </is>
      </c>
      <c r="D5088" t="inlineStr">
        <is>
          <t>Miss Glam Jambi</t>
        </is>
      </c>
      <c r="E5088" t="n">
        <v>6</v>
      </c>
      <c r="F5088" t="n">
        <v>0.1221</v>
      </c>
      <c r="G5088" t="n">
        <v>0.99</v>
      </c>
      <c r="H5088" t="n">
        <v>3</v>
      </c>
      <c r="I5088" t="n">
        <v>11</v>
      </c>
      <c r="J5088" t="n">
        <v>3</v>
      </c>
      <c r="K5088" t="n">
        <v>0</v>
      </c>
      <c r="L5088" t="n">
        <v>71200</v>
      </c>
      <c r="M5088" t="n">
        <v>89000</v>
      </c>
      <c r="N5088" t="n">
        <v>33</v>
      </c>
      <c r="O5088" t="n">
        <v>0.33</v>
      </c>
      <c r="P5088" t="n">
        <v>1</v>
      </c>
      <c r="Q5088" t="n">
        <v>0.17</v>
      </c>
      <c r="R5088" t="n">
        <v>2</v>
      </c>
      <c r="S5088" t="n">
        <v>10866.9</v>
      </c>
      <c r="T5088" t="n">
        <v>11</v>
      </c>
      <c r="U5088" t="n">
        <v>12</v>
      </c>
      <c r="V5088" t="n">
        <v>30</v>
      </c>
      <c r="W5088" t="n">
        <v>4</v>
      </c>
      <c r="X5088" t="n">
        <v>49.14004914004914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10393</v>
      </c>
      <c r="AG5088" t="n">
        <v>170</v>
      </c>
      <c r="AH5088" t="inlineStr">
        <is>
          <t>PT. JALUR MANDIRI UTAMA - PPN (PDG)</t>
        </is>
      </c>
      <c r="AI5088" t="n">
        <v>170</v>
      </c>
      <c r="AJ5088" t="inlineStr">
        <is>
          <t>YOU</t>
        </is>
      </c>
      <c r="AK5088" t="n">
        <v>9</v>
      </c>
      <c r="AL5088" t="inlineStr">
        <is>
          <t>Miss Glam Jambi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"102002107708"</f>
        <v/>
      </c>
      <c r="C5089" t="inlineStr">
        <is>
          <t>YOU Reeffect Boost 12% Acid INTENSIVE Peeling Serum 30ml</t>
        </is>
      </c>
      <c r="D5089" t="inlineStr">
        <is>
          <t>Miss Glam Jambi</t>
        </is>
      </c>
      <c r="E5089" t="n">
        <v>9</v>
      </c>
      <c r="F5089" t="n">
        <v>0.08910000000000001</v>
      </c>
      <c r="G5089" t="n">
        <v>0.66</v>
      </c>
      <c r="H5089" t="n">
        <v>3</v>
      </c>
      <c r="I5089" t="n">
        <v>11</v>
      </c>
      <c r="J5089" t="n">
        <v>3</v>
      </c>
      <c r="K5089" t="n">
        <v>0</v>
      </c>
      <c r="L5089" t="n">
        <v>87200</v>
      </c>
      <c r="M5089" t="n">
        <v>109000</v>
      </c>
      <c r="N5089" t="n">
        <v>33</v>
      </c>
      <c r="O5089" t="n">
        <v>0.33</v>
      </c>
      <c r="P5089" t="n">
        <v>1</v>
      </c>
      <c r="Q5089" t="n">
        <v>0.08</v>
      </c>
      <c r="R5089" t="n">
        <v>1</v>
      </c>
      <c r="S5089" t="n">
        <v>9711.900000000001</v>
      </c>
      <c r="T5089" t="n">
        <v>7</v>
      </c>
      <c r="U5089" t="n">
        <v>8</v>
      </c>
      <c r="V5089" t="n">
        <v>30</v>
      </c>
      <c r="W5089" t="n">
        <v>3</v>
      </c>
      <c r="X5089" t="n">
        <v>101.010101010101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10393</v>
      </c>
      <c r="AG5089" t="n">
        <v>170</v>
      </c>
      <c r="AH5089" t="inlineStr">
        <is>
          <t>PT. JALUR MANDIRI UTAMA - PPN (PDG)</t>
        </is>
      </c>
      <c r="AI5089" t="n">
        <v>170</v>
      </c>
      <c r="AJ5089" t="inlineStr">
        <is>
          <t>YOU</t>
        </is>
      </c>
      <c r="AK5089" t="n">
        <v>9</v>
      </c>
      <c r="AL5089" t="inlineStr">
        <is>
          <t>Miss Glam Jambi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"102002107807"</f>
        <v/>
      </c>
      <c r="C5090" t="inlineStr">
        <is>
          <t>YOU Reeffect Boost 6% Acid Renewal Peeling Serum 20ml</t>
        </is>
      </c>
      <c r="D5090" t="inlineStr">
        <is>
          <t>Miss Glam Jambi</t>
        </is>
      </c>
      <c r="E5090" t="n">
        <v>9</v>
      </c>
      <c r="F5090" t="n">
        <v>0.0396</v>
      </c>
      <c r="G5090" t="n">
        <v>0.66</v>
      </c>
      <c r="H5090" t="n">
        <v>3</v>
      </c>
      <c r="I5090" t="n">
        <v>11</v>
      </c>
      <c r="J5090" t="n">
        <v>3</v>
      </c>
      <c r="K5090" t="n">
        <v>0</v>
      </c>
      <c r="L5090" t="n">
        <v>63200</v>
      </c>
      <c r="M5090" t="n">
        <v>79000</v>
      </c>
      <c r="N5090" t="n">
        <v>33</v>
      </c>
      <c r="O5090" t="n">
        <v>0.33</v>
      </c>
      <c r="P5090" t="n">
        <v>1</v>
      </c>
      <c r="Q5090" t="n">
        <v>0.1</v>
      </c>
      <c r="R5090" t="n">
        <v>1</v>
      </c>
      <c r="S5090" t="n">
        <v>3128.4</v>
      </c>
      <c r="T5090" t="n">
        <v>8</v>
      </c>
      <c r="U5090" t="n">
        <v>9</v>
      </c>
      <c r="V5090" t="n">
        <v>30</v>
      </c>
      <c r="W5090" t="n">
        <v>2</v>
      </c>
      <c r="X5090" t="n">
        <v>227.2727272727273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10393</v>
      </c>
      <c r="AG5090" t="n">
        <v>170</v>
      </c>
      <c r="AH5090" t="inlineStr">
        <is>
          <t>PT. JALUR MANDIRI UTAMA - PPN (PDG)</t>
        </is>
      </c>
      <c r="AI5090" t="n">
        <v>170</v>
      </c>
      <c r="AJ5090" t="inlineStr">
        <is>
          <t>YOU</t>
        </is>
      </c>
      <c r="AK5090" t="n">
        <v>9</v>
      </c>
      <c r="AL5090" t="inlineStr">
        <is>
          <t>Miss Glam Jambi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"8991748002970"</f>
        <v/>
      </c>
      <c r="C5091" t="inlineStr">
        <is>
          <t>YOU Simplicity Love You Tint R999 Peachy Orange 6gr</t>
        </is>
      </c>
      <c r="D5091" t="inlineStr">
        <is>
          <t>Miss Glam Jambi</t>
        </is>
      </c>
      <c r="E5091" t="n">
        <v>0</v>
      </c>
      <c r="F5091" t="n">
        <v>0.1056</v>
      </c>
      <c r="G5091" t="n">
        <v>0.99</v>
      </c>
      <c r="H5091" t="n">
        <v>3</v>
      </c>
      <c r="I5091" t="n">
        <v>11</v>
      </c>
      <c r="J5091" t="n">
        <v>3</v>
      </c>
      <c r="K5091" t="n">
        <v>3</v>
      </c>
      <c r="L5091" t="n">
        <v>36000</v>
      </c>
      <c r="M5091" t="n">
        <v>45000</v>
      </c>
      <c r="N5091" t="n">
        <v>33</v>
      </c>
      <c r="O5091" t="n">
        <v>0.33</v>
      </c>
      <c r="P5091" t="n">
        <v>1</v>
      </c>
      <c r="Q5091" t="n">
        <v>0.06</v>
      </c>
      <c r="R5091" t="n">
        <v>1</v>
      </c>
      <c r="S5091" t="n">
        <v>4752.000000000001</v>
      </c>
      <c r="T5091" t="n">
        <v>11</v>
      </c>
      <c r="U5091" t="n">
        <v>12</v>
      </c>
      <c r="V5091" t="n">
        <v>30</v>
      </c>
      <c r="W5091" t="n">
        <v>4</v>
      </c>
      <c r="X5091" t="n">
        <v>0</v>
      </c>
      <c r="Y5091" t="n">
        <v>1</v>
      </c>
      <c r="Z5091" t="n">
        <v>1</v>
      </c>
      <c r="AA5091" t="n">
        <v>1</v>
      </c>
      <c r="AB5091" t="n">
        <v>0</v>
      </c>
      <c r="AC5091" t="n">
        <v>0</v>
      </c>
      <c r="AD5091" t="n">
        <v>36000</v>
      </c>
      <c r="AE5091" t="n">
        <v>0</v>
      </c>
      <c r="AF5091" t="n">
        <v>10393</v>
      </c>
      <c r="AG5091" t="n">
        <v>170</v>
      </c>
      <c r="AH5091" t="inlineStr">
        <is>
          <t>PT. JALUR MANDIRI UTAMA - PPN (PDG)</t>
        </is>
      </c>
      <c r="AI5091" t="n">
        <v>170</v>
      </c>
      <c r="AJ5091" t="inlineStr">
        <is>
          <t>YOU</t>
        </is>
      </c>
      <c r="AK5091" t="n">
        <v>9</v>
      </c>
      <c r="AL5091" t="inlineStr">
        <is>
          <t>Miss Glam Jambi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"8997227896566"</f>
        <v/>
      </c>
      <c r="C5092" t="inlineStr">
        <is>
          <t>YOU Skin Acneplus Skin Defense Moisturizer 25gr</t>
        </is>
      </c>
      <c r="D5092" t="inlineStr">
        <is>
          <t>Miss Glam Jambi</t>
        </is>
      </c>
      <c r="E5092" t="n">
        <v>0</v>
      </c>
      <c r="F5092" t="n">
        <v>0.09</v>
      </c>
      <c r="G5092" t="n">
        <v>2</v>
      </c>
      <c r="H5092" t="n">
        <v>3</v>
      </c>
      <c r="I5092" t="n">
        <v>11</v>
      </c>
      <c r="J5092" t="n">
        <v>3</v>
      </c>
      <c r="K5092" t="n">
        <v>3</v>
      </c>
      <c r="L5092" t="n">
        <v>28800</v>
      </c>
      <c r="M5092" t="n">
        <v>36000</v>
      </c>
      <c r="N5092" t="n">
        <v>33</v>
      </c>
      <c r="O5092" t="n">
        <v>0.33</v>
      </c>
      <c r="P5092" t="n">
        <v>0</v>
      </c>
      <c r="Q5092" t="n">
        <v>0.09</v>
      </c>
      <c r="R5092" t="n">
        <v>2</v>
      </c>
      <c r="S5092" t="n">
        <v>3240</v>
      </c>
      <c r="T5092" t="n">
        <v>22</v>
      </c>
      <c r="U5092" t="n">
        <v>23</v>
      </c>
      <c r="V5092" t="n">
        <v>30</v>
      </c>
      <c r="W5092" t="n">
        <v>3</v>
      </c>
      <c r="X5092" t="n">
        <v>0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10393</v>
      </c>
      <c r="AG5092" t="n">
        <v>170</v>
      </c>
      <c r="AH5092" t="inlineStr">
        <is>
          <t>PT. JALUR MANDIRI UTAMA - PPN (PDG)</t>
        </is>
      </c>
      <c r="AI5092" t="n">
        <v>170</v>
      </c>
      <c r="AJ5092" t="inlineStr">
        <is>
          <t>YOU</t>
        </is>
      </c>
      <c r="AK5092" t="n">
        <v>9</v>
      </c>
      <c r="AL5092" t="inlineStr">
        <is>
          <t>Miss Glam Jambi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"8997227894173"</f>
        <v/>
      </c>
      <c r="C5093" t="inlineStr">
        <is>
          <t>YOU Stay All Day Pen Eyeliner 1ml</t>
        </is>
      </c>
      <c r="D5093" t="inlineStr">
        <is>
          <t>Miss Glam Jambi</t>
        </is>
      </c>
      <c r="E5093" t="n">
        <v>24</v>
      </c>
      <c r="F5093" t="n">
        <v>0.09569999999999999</v>
      </c>
      <c r="G5093" t="n">
        <v>0.99</v>
      </c>
      <c r="H5093" t="n">
        <v>3</v>
      </c>
      <c r="I5093" t="n">
        <v>11</v>
      </c>
      <c r="J5093" t="n">
        <v>3</v>
      </c>
      <c r="K5093" t="n">
        <v>0</v>
      </c>
      <c r="L5093" t="n">
        <v>60720</v>
      </c>
      <c r="M5093" t="n">
        <v>75900</v>
      </c>
      <c r="N5093" t="n">
        <v>33</v>
      </c>
      <c r="O5093" t="n">
        <v>0.33</v>
      </c>
      <c r="P5093" t="n">
        <v>1</v>
      </c>
      <c r="Q5093" t="n">
        <v>0.1</v>
      </c>
      <c r="R5093" t="n">
        <v>2</v>
      </c>
      <c r="S5093" t="n">
        <v>7263.629999999999</v>
      </c>
      <c r="T5093" t="n">
        <v>11</v>
      </c>
      <c r="U5093" t="n">
        <v>12</v>
      </c>
      <c r="V5093" t="n">
        <v>30</v>
      </c>
      <c r="W5093" t="n">
        <v>3</v>
      </c>
      <c r="X5093" t="n">
        <v>250.7836990595611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10393</v>
      </c>
      <c r="AG5093" t="n">
        <v>170</v>
      </c>
      <c r="AH5093" t="inlineStr">
        <is>
          <t>PT. JALUR MANDIRI UTAMA - PPN (PDG)</t>
        </is>
      </c>
      <c r="AI5093" t="n">
        <v>170</v>
      </c>
      <c r="AJ5093" t="inlineStr">
        <is>
          <t>YOU</t>
        </is>
      </c>
      <c r="AK5093" t="n">
        <v>9</v>
      </c>
      <c r="AL5093" t="inlineStr">
        <is>
          <t>Miss Glam Jambi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"10400615456"</f>
        <v/>
      </c>
      <c r="C5094" t="inlineStr">
        <is>
          <t>YOU Sunbrella 2% Niacinamide Brightening Sunscreen 30ml</t>
        </is>
      </c>
      <c r="D5094" t="inlineStr">
        <is>
          <t>Miss Glam Jambi</t>
        </is>
      </c>
      <c r="E5094" t="n">
        <v>0</v>
      </c>
      <c r="F5094" t="n">
        <v>0.7722</v>
      </c>
      <c r="G5094" t="n">
        <v>3.63</v>
      </c>
      <c r="H5094" t="n">
        <v>3</v>
      </c>
      <c r="I5094" t="n">
        <v>11</v>
      </c>
      <c r="J5094" t="n">
        <v>1</v>
      </c>
      <c r="K5094" t="n">
        <v>15</v>
      </c>
      <c r="L5094" t="n">
        <v>47120</v>
      </c>
      <c r="M5094" t="n">
        <v>58900</v>
      </c>
      <c r="N5094" t="n">
        <v>33</v>
      </c>
      <c r="O5094" t="n">
        <v>0.33</v>
      </c>
      <c r="P5094" t="n">
        <v>1</v>
      </c>
      <c r="Q5094" t="n">
        <v>0.48</v>
      </c>
      <c r="R5094" t="n">
        <v>3</v>
      </c>
      <c r="S5094" t="n">
        <v>45482.58</v>
      </c>
      <c r="T5094" t="n">
        <v>38</v>
      </c>
      <c r="U5094" t="n">
        <v>41</v>
      </c>
      <c r="V5094" t="n">
        <v>30</v>
      </c>
      <c r="W5094" t="n">
        <v>24</v>
      </c>
      <c r="X5094" t="n">
        <v>0</v>
      </c>
      <c r="Y5094" t="n">
        <v>1</v>
      </c>
      <c r="Z5094" t="n">
        <v>9</v>
      </c>
      <c r="AA5094" t="n">
        <v>8</v>
      </c>
      <c r="AB5094" t="n">
        <v>1</v>
      </c>
      <c r="AC5094" t="n">
        <v>1</v>
      </c>
      <c r="AD5094" t="n">
        <v>376960</v>
      </c>
      <c r="AE5094" t="n">
        <v>47120</v>
      </c>
      <c r="AF5094" t="n">
        <v>10393</v>
      </c>
      <c r="AG5094" t="n">
        <v>170</v>
      </c>
      <c r="AH5094" t="inlineStr">
        <is>
          <t>PT. JALUR MANDIRI UTAMA - PPN (PDG)</t>
        </is>
      </c>
      <c r="AI5094" t="n">
        <v>170</v>
      </c>
      <c r="AJ5094" t="inlineStr">
        <is>
          <t>YOU</t>
        </is>
      </c>
      <c r="AK5094" t="n">
        <v>9</v>
      </c>
      <c r="AL5094" t="inlineStr">
        <is>
          <t>Miss Glam Jambi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"10400614658"</f>
        <v/>
      </c>
      <c r="C5095" t="inlineStr">
        <is>
          <t>YOU Sunbrella Acnecare Shield  Sunscreen 30ml</t>
        </is>
      </c>
      <c r="D5095" t="inlineStr">
        <is>
          <t>Miss Glam Jambi</t>
        </is>
      </c>
      <c r="E5095" t="n">
        <v>22</v>
      </c>
      <c r="F5095" t="n">
        <v>0.0825</v>
      </c>
      <c r="G5095" t="n">
        <v>1.32</v>
      </c>
      <c r="H5095" t="n">
        <v>3</v>
      </c>
      <c r="I5095" t="n">
        <v>11</v>
      </c>
      <c r="J5095" t="n">
        <v>3</v>
      </c>
      <c r="K5095" t="n">
        <v>0</v>
      </c>
      <c r="L5095" t="n">
        <v>63920</v>
      </c>
      <c r="M5095" t="n">
        <v>79900</v>
      </c>
      <c r="N5095" t="n">
        <v>33</v>
      </c>
      <c r="O5095" t="n">
        <v>0.33</v>
      </c>
      <c r="P5095" t="n">
        <v>1</v>
      </c>
      <c r="Q5095" t="n">
        <v>0.05</v>
      </c>
      <c r="R5095" t="n">
        <v>1</v>
      </c>
      <c r="S5095" t="n">
        <v>6591.75</v>
      </c>
      <c r="T5095" t="n">
        <v>15</v>
      </c>
      <c r="U5095" t="n">
        <v>16</v>
      </c>
      <c r="V5095" t="n">
        <v>30</v>
      </c>
      <c r="W5095" t="n">
        <v>3</v>
      </c>
      <c r="X5095" t="n">
        <v>266.6666666666666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10393</v>
      </c>
      <c r="AG5095" t="n">
        <v>170</v>
      </c>
      <c r="AH5095" t="inlineStr">
        <is>
          <t>PT. JALUR MANDIRI UTAMA - PPN (PDG)</t>
        </is>
      </c>
      <c r="AI5095" t="n">
        <v>170</v>
      </c>
      <c r="AJ5095" t="inlineStr">
        <is>
          <t>YOU</t>
        </is>
      </c>
      <c r="AK5095" t="n">
        <v>9</v>
      </c>
      <c r="AL5095" t="inlineStr">
        <is>
          <t>Miss Glam Jambi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"8991748006886"</f>
        <v/>
      </c>
      <c r="C5096" t="inlineStr">
        <is>
          <t>YOU Sunbrella Daily Defense Sunscreen Serum Suitable For All Skin 30ml</t>
        </is>
      </c>
      <c r="D5096" t="inlineStr">
        <is>
          <t>Miss Glam Jambi</t>
        </is>
      </c>
      <c r="E5096" t="n">
        <v>1</v>
      </c>
      <c r="F5096" t="n">
        <v>0.6336000000000001</v>
      </c>
      <c r="G5096" t="n">
        <v>3.3</v>
      </c>
      <c r="H5096" t="n">
        <v>3</v>
      </c>
      <c r="I5096" t="n">
        <v>11</v>
      </c>
      <c r="J5096" t="n">
        <v>3</v>
      </c>
      <c r="K5096" t="n">
        <v>12</v>
      </c>
      <c r="L5096" t="n">
        <v>27920</v>
      </c>
      <c r="M5096" t="n">
        <v>34900</v>
      </c>
      <c r="N5096" t="n">
        <v>33</v>
      </c>
      <c r="O5096" t="n">
        <v>0.33</v>
      </c>
      <c r="P5096" t="n">
        <v>1</v>
      </c>
      <c r="Q5096" t="n">
        <v>0.14</v>
      </c>
      <c r="R5096" t="n">
        <v>1</v>
      </c>
      <c r="S5096" t="n">
        <v>22112.64</v>
      </c>
      <c r="T5096" t="n">
        <v>35</v>
      </c>
      <c r="U5096" t="n">
        <v>37</v>
      </c>
      <c r="V5096" t="n">
        <v>30</v>
      </c>
      <c r="W5096" t="n">
        <v>20</v>
      </c>
      <c r="X5096" t="n">
        <v>1.578282828282828</v>
      </c>
      <c r="Y5096" t="n">
        <v>1</v>
      </c>
      <c r="Z5096" t="n">
        <v>7</v>
      </c>
      <c r="AA5096" t="n">
        <v>5</v>
      </c>
      <c r="AB5096" t="n">
        <v>2</v>
      </c>
      <c r="AC5096" t="n">
        <v>3</v>
      </c>
      <c r="AD5096" t="n">
        <v>139600</v>
      </c>
      <c r="AE5096" t="n">
        <v>83760</v>
      </c>
      <c r="AF5096" t="n">
        <v>10393</v>
      </c>
      <c r="AG5096" t="n">
        <v>170</v>
      </c>
      <c r="AH5096" t="inlineStr">
        <is>
          <t>PT. JALUR MANDIRI UTAMA - PPN (PDG)</t>
        </is>
      </c>
      <c r="AI5096" t="n">
        <v>170</v>
      </c>
      <c r="AJ5096" t="inlineStr">
        <is>
          <t>YOU</t>
        </is>
      </c>
      <c r="AK5096" t="n">
        <v>9</v>
      </c>
      <c r="AL5096" t="inlineStr">
        <is>
          <t>Miss Glam Jambi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"10400614509"</f>
        <v/>
      </c>
      <c r="C5097" t="inlineStr">
        <is>
          <t>YOU Sunbrella Gentlecare Physical Sunscreen 30ml</t>
        </is>
      </c>
      <c r="D5097" t="inlineStr">
        <is>
          <t>Miss Glam Jambi</t>
        </is>
      </c>
      <c r="E5097" t="n">
        <v>19</v>
      </c>
      <c r="F5097" t="n">
        <v>0.08910000000000001</v>
      </c>
      <c r="G5097" t="n">
        <v>0.66</v>
      </c>
      <c r="H5097" t="n">
        <v>3</v>
      </c>
      <c r="I5097" t="n">
        <v>11</v>
      </c>
      <c r="J5097" t="n">
        <v>3</v>
      </c>
      <c r="K5097" t="n">
        <v>0</v>
      </c>
      <c r="L5097" t="n">
        <v>63920</v>
      </c>
      <c r="M5097" t="n">
        <v>79900</v>
      </c>
      <c r="N5097" t="n">
        <v>33</v>
      </c>
      <c r="O5097" t="n">
        <v>0.33</v>
      </c>
      <c r="P5097" t="n">
        <v>1</v>
      </c>
      <c r="Q5097" t="n">
        <v>0.05</v>
      </c>
      <c r="R5097" t="n">
        <v>1</v>
      </c>
      <c r="S5097" t="n">
        <v>7119.090000000001</v>
      </c>
      <c r="T5097" t="n">
        <v>7</v>
      </c>
      <c r="U5097" t="n">
        <v>8</v>
      </c>
      <c r="V5097" t="n">
        <v>30</v>
      </c>
      <c r="W5097" t="n">
        <v>3</v>
      </c>
      <c r="X5097" t="n">
        <v>213.2435465768799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10393</v>
      </c>
      <c r="AG5097" t="n">
        <v>170</v>
      </c>
      <c r="AH5097" t="inlineStr">
        <is>
          <t>PT. JALUR MANDIRI UTAMA - PPN (PDG)</t>
        </is>
      </c>
      <c r="AI5097" t="n">
        <v>170</v>
      </c>
      <c r="AJ5097" t="inlineStr">
        <is>
          <t>YOU</t>
        </is>
      </c>
      <c r="AK5097" t="n">
        <v>9</v>
      </c>
      <c r="AL5097" t="inlineStr">
        <is>
          <t>Miss Glam Jambi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"8991748004905"</f>
        <v/>
      </c>
      <c r="C5098" t="inlineStr">
        <is>
          <t>YOU Sunbrella Intensive Care Watery Sunscreen 30ml</t>
        </is>
      </c>
      <c r="D5098" t="inlineStr">
        <is>
          <t>Miss Glam Jambi</t>
        </is>
      </c>
      <c r="E5098" t="n">
        <v>30</v>
      </c>
      <c r="F5098" t="n">
        <v>0.2079</v>
      </c>
      <c r="G5098" t="n">
        <v>0.99</v>
      </c>
      <c r="H5098" t="n">
        <v>3</v>
      </c>
      <c r="I5098" t="n">
        <v>11</v>
      </c>
      <c r="J5098" t="n">
        <v>3</v>
      </c>
      <c r="K5098" t="n">
        <v>0</v>
      </c>
      <c r="L5098" t="n">
        <v>71920</v>
      </c>
      <c r="M5098" t="n">
        <v>89900</v>
      </c>
      <c r="N5098" t="n">
        <v>33</v>
      </c>
      <c r="O5098" t="n">
        <v>0.33</v>
      </c>
      <c r="P5098" t="n">
        <v>1</v>
      </c>
      <c r="Q5098" t="n">
        <v>0.14</v>
      </c>
      <c r="R5098" t="n">
        <v>2</v>
      </c>
      <c r="S5098" t="n">
        <v>18690.21</v>
      </c>
      <c r="T5098" t="n">
        <v>11</v>
      </c>
      <c r="U5098" t="n">
        <v>12</v>
      </c>
      <c r="V5098" t="n">
        <v>30</v>
      </c>
      <c r="W5098" t="n">
        <v>7</v>
      </c>
      <c r="X5098" t="n">
        <v>144.3001443001443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10393</v>
      </c>
      <c r="AG5098" t="n">
        <v>170</v>
      </c>
      <c r="AH5098" t="inlineStr">
        <is>
          <t>PT. JALUR MANDIRI UTAMA - PPN (PDG)</t>
        </is>
      </c>
      <c r="AI5098" t="n">
        <v>170</v>
      </c>
      <c r="AJ5098" t="inlineStr">
        <is>
          <t>YOU</t>
        </is>
      </c>
      <c r="AK5098" t="n">
        <v>9</v>
      </c>
      <c r="AL5098" t="inlineStr">
        <is>
          <t>Miss Glam Jambi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"8991748006916"</f>
        <v/>
      </c>
      <c r="C5099" t="inlineStr">
        <is>
          <t>YOU Sunbrella Sunscreen Spray SPF 50+ PA++++ 50ml</t>
        </is>
      </c>
      <c r="D5099" t="inlineStr">
        <is>
          <t>Miss Glam Jambi</t>
        </is>
      </c>
      <c r="E5099" t="n">
        <v>5</v>
      </c>
      <c r="F5099" t="n">
        <v>0.08910000000000001</v>
      </c>
      <c r="G5099" t="n">
        <v>0.99</v>
      </c>
      <c r="H5099" t="n">
        <v>3</v>
      </c>
      <c r="I5099" t="n">
        <v>11</v>
      </c>
      <c r="J5099" t="n">
        <v>3</v>
      </c>
      <c r="K5099" t="n">
        <v>0</v>
      </c>
      <c r="L5099" t="n">
        <v>55920</v>
      </c>
      <c r="M5099" t="n">
        <v>69900</v>
      </c>
      <c r="N5099" t="n">
        <v>33</v>
      </c>
      <c r="O5099" t="n">
        <v>0.33</v>
      </c>
      <c r="P5099" t="n">
        <v>1</v>
      </c>
      <c r="Q5099" t="n">
        <v>0.07000000000000001</v>
      </c>
      <c r="R5099" t="n">
        <v>1</v>
      </c>
      <c r="S5099" t="n">
        <v>6228.090000000001</v>
      </c>
      <c r="T5099" t="n">
        <v>11</v>
      </c>
      <c r="U5099" t="n">
        <v>12</v>
      </c>
      <c r="V5099" t="n">
        <v>30</v>
      </c>
      <c r="W5099" t="n">
        <v>3</v>
      </c>
      <c r="X5099" t="n">
        <v>56.11672278338944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10393</v>
      </c>
      <c r="AG5099" t="n">
        <v>170</v>
      </c>
      <c r="AH5099" t="inlineStr">
        <is>
          <t>PT. JALUR MANDIRI UTAMA - PPN (PDG)</t>
        </is>
      </c>
      <c r="AI5099" t="n">
        <v>170</v>
      </c>
      <c r="AJ5099" t="inlineStr">
        <is>
          <t>YOU</t>
        </is>
      </c>
      <c r="AK5099" t="n">
        <v>9</v>
      </c>
      <c r="AL5099" t="inlineStr">
        <is>
          <t>Miss Glam Jambi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"8991748006909"</f>
        <v/>
      </c>
      <c r="C5100" t="inlineStr">
        <is>
          <t>YOU Sunbrella Tone Up UV Elixir Sunscreen 40ml</t>
        </is>
      </c>
      <c r="D5100" t="inlineStr">
        <is>
          <t>Miss Glam Jambi</t>
        </is>
      </c>
      <c r="E5100" t="n">
        <v>14</v>
      </c>
      <c r="F5100" t="n">
        <v>0.4026</v>
      </c>
      <c r="G5100" t="n">
        <v>1.32</v>
      </c>
      <c r="H5100" t="n">
        <v>3</v>
      </c>
      <c r="I5100" t="n">
        <v>11</v>
      </c>
      <c r="J5100" t="n">
        <v>3</v>
      </c>
      <c r="K5100" t="n">
        <v>0</v>
      </c>
      <c r="L5100" t="n">
        <v>55920</v>
      </c>
      <c r="M5100" t="n">
        <v>69900</v>
      </c>
      <c r="N5100" t="n">
        <v>33</v>
      </c>
      <c r="O5100" t="n">
        <v>0.33</v>
      </c>
      <c r="P5100" t="n">
        <v>1</v>
      </c>
      <c r="Q5100" t="n">
        <v>0.27</v>
      </c>
      <c r="R5100" t="n">
        <v>3</v>
      </c>
      <c r="S5100" t="n">
        <v>28141.74</v>
      </c>
      <c r="T5100" t="n">
        <v>14</v>
      </c>
      <c r="U5100" t="n">
        <v>16</v>
      </c>
      <c r="V5100" t="n">
        <v>30</v>
      </c>
      <c r="W5100" t="n">
        <v>13</v>
      </c>
      <c r="X5100" t="n">
        <v>34.77396920019871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10393</v>
      </c>
      <c r="AG5100" t="n">
        <v>170</v>
      </c>
      <c r="AH5100" t="inlineStr">
        <is>
          <t>PT. JALUR MANDIRI UTAMA - PPN (PDG)</t>
        </is>
      </c>
      <c r="AI5100" t="n">
        <v>170</v>
      </c>
      <c r="AJ5100" t="inlineStr">
        <is>
          <t>YOU</t>
        </is>
      </c>
      <c r="AK5100" t="n">
        <v>9</v>
      </c>
      <c r="AL5100" t="inlineStr">
        <is>
          <t>Miss Glam Jambi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"10400206721"</f>
        <v/>
      </c>
      <c r="C5101" t="inlineStr">
        <is>
          <t>YOU Sunbrella Ultra Airy Outdoor Sunscreen Spray 50ml</t>
        </is>
      </c>
      <c r="D5101" t="inlineStr">
        <is>
          <t>Miss Glam Jambi</t>
        </is>
      </c>
      <c r="E5101" t="n">
        <v>13</v>
      </c>
      <c r="F5101" t="n">
        <v>0.07920000000000001</v>
      </c>
      <c r="G5101" t="n">
        <v>0.99</v>
      </c>
      <c r="H5101" t="n">
        <v>3</v>
      </c>
      <c r="I5101" t="n">
        <v>11</v>
      </c>
      <c r="J5101" t="n">
        <v>1</v>
      </c>
      <c r="K5101" t="n">
        <v>0</v>
      </c>
      <c r="L5101" t="n">
        <v>55920</v>
      </c>
      <c r="M5101" t="n">
        <v>69900</v>
      </c>
      <c r="N5101" t="n">
        <v>33</v>
      </c>
      <c r="O5101" t="n">
        <v>0.33</v>
      </c>
      <c r="P5101" t="n">
        <v>1</v>
      </c>
      <c r="Q5101" t="n">
        <v>0.07000000000000001</v>
      </c>
      <c r="R5101" t="n">
        <v>1</v>
      </c>
      <c r="S5101" t="n">
        <v>5536.080000000001</v>
      </c>
      <c r="T5101" t="n">
        <v>11</v>
      </c>
      <c r="U5101" t="n">
        <v>12</v>
      </c>
      <c r="V5101" t="n">
        <v>30</v>
      </c>
      <c r="W5101" t="n">
        <v>3</v>
      </c>
      <c r="X5101" t="n">
        <v>164.1414141414141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10393</v>
      </c>
      <c r="AG5101" t="n">
        <v>170</v>
      </c>
      <c r="AH5101" t="inlineStr">
        <is>
          <t>PT. JALUR MANDIRI UTAMA - PPN (PDG)</t>
        </is>
      </c>
      <c r="AI5101" t="n">
        <v>170</v>
      </c>
      <c r="AJ5101" t="inlineStr">
        <is>
          <t>YOU</t>
        </is>
      </c>
      <c r="AK5101" t="n">
        <v>9</v>
      </c>
      <c r="AL5101" t="inlineStr">
        <is>
          <t>Miss Glam Jambi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"8997227895101"</f>
        <v/>
      </c>
      <c r="C5102" t="inlineStr">
        <is>
          <t>YOU Teardrop Brow Definer Br02 Chocolate 0,25gr</t>
        </is>
      </c>
      <c r="D5102" t="inlineStr">
        <is>
          <t>Miss Glam Jambi</t>
        </is>
      </c>
      <c r="E5102" t="n">
        <v>1</v>
      </c>
      <c r="F5102" t="n">
        <v>0.05280000000000001</v>
      </c>
      <c r="G5102" t="n">
        <v>1.98</v>
      </c>
      <c r="H5102" t="n">
        <v>3</v>
      </c>
      <c r="I5102" t="n">
        <v>11</v>
      </c>
      <c r="J5102" t="n">
        <v>3</v>
      </c>
      <c r="K5102" t="n">
        <v>3</v>
      </c>
      <c r="L5102" t="n">
        <v>31920</v>
      </c>
      <c r="M5102" t="n">
        <v>39900</v>
      </c>
      <c r="N5102" t="n">
        <v>33</v>
      </c>
      <c r="O5102" t="n">
        <v>0.33</v>
      </c>
      <c r="P5102" t="n">
        <v>1</v>
      </c>
      <c r="Q5102" t="n">
        <v>0.08</v>
      </c>
      <c r="R5102" t="n">
        <v>2</v>
      </c>
      <c r="S5102" t="n">
        <v>2106.72</v>
      </c>
      <c r="T5102" t="n">
        <v>22</v>
      </c>
      <c r="U5102" t="n">
        <v>23</v>
      </c>
      <c r="V5102" t="n">
        <v>30</v>
      </c>
      <c r="W5102" t="n">
        <v>2</v>
      </c>
      <c r="X5102" t="n">
        <v>18.93939393939394</v>
      </c>
      <c r="Y5102" t="n">
        <v>1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10393</v>
      </c>
      <c r="AG5102" t="n">
        <v>170</v>
      </c>
      <c r="AH5102" t="inlineStr">
        <is>
          <t>PT. JALUR MANDIRI UTAMA - PPN (PDG)</t>
        </is>
      </c>
      <c r="AI5102" t="n">
        <v>170</v>
      </c>
      <c r="AJ5102" t="inlineStr">
        <is>
          <t>YOU</t>
        </is>
      </c>
      <c r="AK5102" t="n">
        <v>9</v>
      </c>
      <c r="AL5102" t="inlineStr">
        <is>
          <t>Miss Glam Jambi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"8997227895118"</f>
        <v/>
      </c>
      <c r="C5103" t="inlineStr">
        <is>
          <t>YOU Teardrop Brow Definer Br03 Ash Brown 0,25gr</t>
        </is>
      </c>
      <c r="D5103" t="inlineStr">
        <is>
          <t>Miss Glam Jambi</t>
        </is>
      </c>
      <c r="E5103" t="n">
        <v>3</v>
      </c>
      <c r="F5103" t="n">
        <v>0.0231</v>
      </c>
      <c r="G5103" t="n">
        <v>0.33</v>
      </c>
      <c r="H5103" t="n">
        <v>3</v>
      </c>
      <c r="I5103" t="n">
        <v>11</v>
      </c>
      <c r="J5103" t="n">
        <v>3</v>
      </c>
      <c r="K5103" t="n">
        <v>0</v>
      </c>
      <c r="L5103" t="n">
        <v>31920</v>
      </c>
      <c r="M5103" t="n">
        <v>39900</v>
      </c>
      <c r="N5103" t="n">
        <v>33</v>
      </c>
      <c r="O5103" t="n">
        <v>0.33</v>
      </c>
      <c r="P5103" t="n">
        <v>1</v>
      </c>
      <c r="Q5103" t="n">
        <v>0.15</v>
      </c>
      <c r="R5103" t="n">
        <v>2</v>
      </c>
      <c r="S5103" t="n">
        <v>921.6900000000001</v>
      </c>
      <c r="T5103" t="n">
        <v>4</v>
      </c>
      <c r="U5103" t="n">
        <v>5</v>
      </c>
      <c r="V5103" t="n">
        <v>30</v>
      </c>
      <c r="W5103" t="n">
        <v>1</v>
      </c>
      <c r="X5103" t="n">
        <v>129.8701298701299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10393</v>
      </c>
      <c r="AG5103" t="n">
        <v>170</v>
      </c>
      <c r="AH5103" t="inlineStr">
        <is>
          <t>PT. JALUR MANDIRI UTAMA - PPN (PDG)</t>
        </is>
      </c>
      <c r="AI5103" t="n">
        <v>170</v>
      </c>
      <c r="AJ5103" t="inlineStr">
        <is>
          <t>YOU</t>
        </is>
      </c>
      <c r="AK5103" t="n">
        <v>9</v>
      </c>
      <c r="AL5103" t="inlineStr">
        <is>
          <t>Miss Glam Jambi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"8997227894708"</f>
        <v/>
      </c>
      <c r="C5104" t="inlineStr">
        <is>
          <t>YOU Teardrop Brow Definer Gy04 Charcoal Grey 0,25gr</t>
        </is>
      </c>
      <c r="D5104" t="inlineStr">
        <is>
          <t>Miss Glam Jambi</t>
        </is>
      </c>
      <c r="E5104" t="n">
        <v>6</v>
      </c>
      <c r="F5104" t="n">
        <v>0.099</v>
      </c>
      <c r="G5104" t="n">
        <v>0.66</v>
      </c>
      <c r="H5104" t="n">
        <v>3</v>
      </c>
      <c r="I5104" t="n">
        <v>11</v>
      </c>
      <c r="J5104" t="n">
        <v>3</v>
      </c>
      <c r="K5104" t="n">
        <v>0</v>
      </c>
      <c r="L5104" t="n">
        <v>31920</v>
      </c>
      <c r="M5104" t="n">
        <v>39900</v>
      </c>
      <c r="N5104" t="n">
        <v>33</v>
      </c>
      <c r="O5104" t="n">
        <v>0.33</v>
      </c>
      <c r="P5104" t="n">
        <v>1</v>
      </c>
      <c r="Q5104" t="n">
        <v>0.17</v>
      </c>
      <c r="R5104" t="n">
        <v>3</v>
      </c>
      <c r="S5104" t="n">
        <v>3950.1</v>
      </c>
      <c r="T5104" t="n">
        <v>7</v>
      </c>
      <c r="U5104" t="n">
        <v>8</v>
      </c>
      <c r="V5104" t="n">
        <v>30</v>
      </c>
      <c r="W5104" t="n">
        <v>3</v>
      </c>
      <c r="X5104" t="n">
        <v>60.6060606060606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10393</v>
      </c>
      <c r="AG5104" t="n">
        <v>170</v>
      </c>
      <c r="AH5104" t="inlineStr">
        <is>
          <t>PT. JALUR MANDIRI UTAMA - PPN (PDG)</t>
        </is>
      </c>
      <c r="AI5104" t="n">
        <v>170</v>
      </c>
      <c r="AJ5104" t="inlineStr">
        <is>
          <t>YOU</t>
        </is>
      </c>
      <c r="AK5104" t="n">
        <v>9</v>
      </c>
      <c r="AL5104" t="inlineStr">
        <is>
          <t>Miss Glam Jambi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"8997227898836"</f>
        <v/>
      </c>
      <c r="C5105" t="inlineStr">
        <is>
          <t>YOU Triple UV Elixir Spf 50 PA++ 30ml</t>
        </is>
      </c>
      <c r="D5105" t="inlineStr">
        <is>
          <t>Miss Glam Jambi</t>
        </is>
      </c>
      <c r="E5105" t="n">
        <v>0</v>
      </c>
      <c r="F5105" t="n">
        <v>0.99</v>
      </c>
      <c r="G5105" t="n">
        <v>3.3</v>
      </c>
      <c r="H5105" t="n">
        <v>3</v>
      </c>
      <c r="I5105" t="n">
        <v>11</v>
      </c>
      <c r="J5105" t="n">
        <v>3</v>
      </c>
      <c r="K5105" t="n">
        <v>19</v>
      </c>
      <c r="L5105" t="n">
        <v>47920</v>
      </c>
      <c r="M5105" t="n">
        <v>59900</v>
      </c>
      <c r="N5105" t="n">
        <v>33</v>
      </c>
      <c r="O5105" t="n">
        <v>0.33</v>
      </c>
      <c r="P5105" t="n">
        <v>1</v>
      </c>
      <c r="Q5105" t="n">
        <v>0.42</v>
      </c>
      <c r="R5105" t="n">
        <v>2</v>
      </c>
      <c r="S5105" t="n">
        <v>59301</v>
      </c>
      <c r="T5105" t="n">
        <v>34</v>
      </c>
      <c r="U5105" t="n">
        <v>37</v>
      </c>
      <c r="V5105" t="n">
        <v>30</v>
      </c>
      <c r="W5105" t="n">
        <v>30</v>
      </c>
      <c r="X5105" t="n">
        <v>0</v>
      </c>
      <c r="Y5105" t="n">
        <v>1</v>
      </c>
      <c r="Z5105" t="n">
        <v>11</v>
      </c>
      <c r="AA5105" t="n">
        <v>10</v>
      </c>
      <c r="AB5105" t="n">
        <v>1</v>
      </c>
      <c r="AC5105" t="n">
        <v>3</v>
      </c>
      <c r="AD5105" t="n">
        <v>479200</v>
      </c>
      <c r="AE5105" t="n">
        <v>143760</v>
      </c>
      <c r="AF5105" t="n">
        <v>10393</v>
      </c>
      <c r="AG5105" t="n">
        <v>170</v>
      </c>
      <c r="AH5105" t="inlineStr">
        <is>
          <t>PT. JALUR MANDIRI UTAMA - PPN (PDG)</t>
        </is>
      </c>
      <c r="AI5105" t="n">
        <v>170</v>
      </c>
      <c r="AJ5105" t="inlineStr">
        <is>
          <t>YOU</t>
        </is>
      </c>
      <c r="AK5105" t="n">
        <v>9</v>
      </c>
      <c r="AL5105" t="inlineStr">
        <is>
          <t>Miss Glam Jambi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ZWITSAL</t>
        </is>
      </c>
      <c r="B5106" s="2">
        <f>"8999999561567"</f>
        <v/>
      </c>
      <c r="C5106" t="inlineStr">
        <is>
          <t>ZWITSAL Eau De Zwitsal Body Mist 100ml</t>
        </is>
      </c>
      <c r="D5106" t="inlineStr">
        <is>
          <t>Miss Glam Jambi</t>
        </is>
      </c>
      <c r="E5106" t="n">
        <v>4</v>
      </c>
      <c r="F5106" t="n">
        <v>0.4323</v>
      </c>
      <c r="G5106" t="n">
        <v>2.31</v>
      </c>
      <c r="H5106" t="n">
        <v>3</v>
      </c>
      <c r="I5106" t="n">
        <v>19</v>
      </c>
      <c r="J5106" t="n">
        <v>3</v>
      </c>
      <c r="K5106" t="n">
        <v>5</v>
      </c>
      <c r="L5106" t="n">
        <v>24735</v>
      </c>
      <c r="M5106" t="n">
        <v>33500</v>
      </c>
      <c r="N5106" t="n">
        <v>33</v>
      </c>
      <c r="O5106" t="n">
        <v>0.33</v>
      </c>
      <c r="P5106" t="n">
        <v>1</v>
      </c>
      <c r="Q5106" t="n">
        <v>0.1</v>
      </c>
      <c r="R5106" t="n">
        <v>1</v>
      </c>
      <c r="S5106" t="n">
        <v>14482.05</v>
      </c>
      <c r="T5106" t="n">
        <v>43</v>
      </c>
      <c r="U5106" t="n">
        <v>45</v>
      </c>
      <c r="V5106" t="n">
        <v>30</v>
      </c>
      <c r="W5106" t="n">
        <v>13</v>
      </c>
      <c r="X5106" t="n">
        <v>9.252833680314597</v>
      </c>
      <c r="Y5106" t="n">
        <v>1</v>
      </c>
      <c r="Z5106" t="n">
        <v>4</v>
      </c>
      <c r="AA5106" t="n">
        <v>4</v>
      </c>
      <c r="AB5106" t="n">
        <v>0</v>
      </c>
      <c r="AC5106" t="n">
        <v>0</v>
      </c>
      <c r="AD5106" t="n">
        <v>98940</v>
      </c>
      <c r="AE5106" t="n">
        <v>0</v>
      </c>
      <c r="AF5106" t="n">
        <v>9802</v>
      </c>
      <c r="AG5106" t="n">
        <v>2206</v>
      </c>
      <c r="AH5106" t="inlineStr">
        <is>
          <t>PT. ENHA PUTRA (ONLINE CASH)</t>
        </is>
      </c>
      <c r="AI5106" t="n">
        <v>364</v>
      </c>
      <c r="AJ5106" t="inlineStr">
        <is>
          <t>ZWITSAL</t>
        </is>
      </c>
      <c r="AK5106" t="n">
        <v>9</v>
      </c>
      <c r="AL5106" t="inlineStr">
        <is>
          <t>Miss Glam Jambi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AHE</t>
        </is>
      </c>
      <c r="B5107" s="2">
        <f>"40100147222"</f>
        <v/>
      </c>
      <c r="C5107" t="inlineStr">
        <is>
          <t>AHE Hairfall Treatment Shampoo 300ml</t>
        </is>
      </c>
      <c r="D5107" t="inlineStr">
        <is>
          <t>Miss Glam Jambi</t>
        </is>
      </c>
      <c r="E5107" t="n">
        <v>1</v>
      </c>
      <c r="F5107" t="n">
        <v>0.0231</v>
      </c>
      <c r="G5107" t="n">
        <v>0.33</v>
      </c>
      <c r="H5107" t="n">
        <v>1</v>
      </c>
      <c r="I5107" t="n">
        <v>2</v>
      </c>
      <c r="J5107" t="n">
        <v>3</v>
      </c>
      <c r="K5107" t="n">
        <v>0</v>
      </c>
      <c r="L5107" t="n">
        <v>33392</v>
      </c>
      <c r="M5107" t="n">
        <v>43500</v>
      </c>
      <c r="N5107" t="n">
        <v>33</v>
      </c>
      <c r="O5107" t="n">
        <v>0.33</v>
      </c>
      <c r="P5107" t="n">
        <v>1</v>
      </c>
      <c r="Q5107" t="n">
        <v>0.02</v>
      </c>
      <c r="R5107" t="n">
        <v>1</v>
      </c>
      <c r="S5107" t="n">
        <v>1004.85</v>
      </c>
      <c r="T5107" t="n">
        <v>1</v>
      </c>
      <c r="U5107" t="n">
        <v>2</v>
      </c>
      <c r="V5107" t="n">
        <v>30</v>
      </c>
      <c r="W5107" t="n">
        <v>1</v>
      </c>
      <c r="X5107" t="n">
        <v>43.29004329004329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inlineStr"/>
      <c r="AG5107" t="inlineStr"/>
      <c r="AH5107" t="inlineStr"/>
      <c r="AI5107" t="n">
        <v>0</v>
      </c>
      <c r="AJ5107" t="inlineStr"/>
      <c r="AK5107" t="n">
        <v>0</v>
      </c>
      <c r="AL5107" t="inlineStr"/>
      <c r="AM5107" t="n">
        <v>0</v>
      </c>
      <c r="AN5107" t="n">
        <v>0</v>
      </c>
      <c r="AO5107" t="n">
        <v>0</v>
      </c>
      <c r="AP5107" t="inlineStr"/>
      <c r="AQ5107" t="inlineStr"/>
    </row>
    <row r="5108">
      <c r="A5108" t="inlineStr">
        <is>
          <t>BDL</t>
        </is>
      </c>
      <c r="B5108" s="2">
        <f>"101001112516"</f>
        <v/>
      </c>
      <c r="C5108" t="inlineStr">
        <is>
          <t>BDL Facial Wash Papaya 120gr</t>
        </is>
      </c>
      <c r="D5108" t="inlineStr">
        <is>
          <t>Miss Glam Jambi</t>
        </is>
      </c>
      <c r="E5108" t="n">
        <v>11</v>
      </c>
      <c r="F5108" t="n">
        <v>0.1023</v>
      </c>
      <c r="G5108" t="n">
        <v>0.66</v>
      </c>
      <c r="H5108" t="n">
        <v>1</v>
      </c>
      <c r="I5108" t="n">
        <v>2</v>
      </c>
      <c r="J5108" t="n">
        <v>1</v>
      </c>
      <c r="K5108" t="n">
        <v>0</v>
      </c>
      <c r="L5108" t="n">
        <v>26454</v>
      </c>
      <c r="M5108" t="n">
        <v>34000</v>
      </c>
      <c r="N5108" t="n">
        <v>33</v>
      </c>
      <c r="O5108" t="n">
        <v>0.33</v>
      </c>
      <c r="P5108" t="n">
        <v>1</v>
      </c>
      <c r="Q5108" t="n">
        <v>0.05</v>
      </c>
      <c r="R5108" t="n">
        <v>1</v>
      </c>
      <c r="S5108" t="n">
        <v>3478.2</v>
      </c>
      <c r="T5108" t="n">
        <v>2</v>
      </c>
      <c r="U5108" t="n">
        <v>3</v>
      </c>
      <c r="V5108" t="n">
        <v>30</v>
      </c>
      <c r="W5108" t="n">
        <v>4</v>
      </c>
      <c r="X5108" t="n">
        <v>107.5268817204301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1169</v>
      </c>
      <c r="AG5108" t="n">
        <v>2298</v>
      </c>
      <c r="AH5108" t="inlineStr">
        <is>
          <t>CV. MAKMUR SEJAHTERA LESTARI - PPN (JMB)</t>
        </is>
      </c>
      <c r="AI5108" t="n">
        <v>754</v>
      </c>
      <c r="AJ5108" t="inlineStr">
        <is>
          <t>BDL</t>
        </is>
      </c>
      <c r="AK5108" t="n">
        <v>15</v>
      </c>
      <c r="AL5108" t="inlineStr">
        <is>
          <t>Miss Glam Muaro Bungo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BDL</t>
        </is>
      </c>
      <c r="B5109" s="2">
        <f>"8992803661644"</f>
        <v/>
      </c>
      <c r="C5109" t="inlineStr">
        <is>
          <t>BDL Papaya Extract Brightening Soap 128gr</t>
        </is>
      </c>
      <c r="D5109" t="inlineStr">
        <is>
          <t>Miss Glam Jambi</t>
        </is>
      </c>
      <c r="E5109" t="n">
        <v>0</v>
      </c>
      <c r="F5109" t="n">
        <v>0.264</v>
      </c>
      <c r="G5109" t="n">
        <v>1.32</v>
      </c>
      <c r="H5109" t="n">
        <v>1</v>
      </c>
      <c r="I5109" t="n">
        <v>2</v>
      </c>
      <c r="J5109" t="n">
        <v>3</v>
      </c>
      <c r="K5109" t="n">
        <v>0</v>
      </c>
      <c r="L5109" t="n">
        <v>10479</v>
      </c>
      <c r="M5109" t="n">
        <v>13500</v>
      </c>
      <c r="N5109" t="n">
        <v>33</v>
      </c>
      <c r="O5109" t="n">
        <v>0.33</v>
      </c>
      <c r="P5109" t="n">
        <v>1</v>
      </c>
      <c r="Q5109" t="n">
        <v>0.18</v>
      </c>
      <c r="R5109" t="n">
        <v>2</v>
      </c>
      <c r="S5109" t="n">
        <v>3564</v>
      </c>
      <c r="T5109" t="n">
        <v>3</v>
      </c>
      <c r="U5109" t="n">
        <v>4</v>
      </c>
      <c r="V5109" t="n">
        <v>30</v>
      </c>
      <c r="W5109" t="n">
        <v>8</v>
      </c>
      <c r="X5109" t="n">
        <v>0</v>
      </c>
      <c r="Y5109" t="n">
        <v>1</v>
      </c>
      <c r="Z5109" t="n">
        <v>8</v>
      </c>
      <c r="AA5109" t="n">
        <v>1</v>
      </c>
      <c r="AB5109" t="n">
        <v>7</v>
      </c>
      <c r="AC5109" t="n">
        <v>7</v>
      </c>
      <c r="AD5109" t="n">
        <v>10479</v>
      </c>
      <c r="AE5109" t="n">
        <v>73353</v>
      </c>
      <c r="AF5109" t="n">
        <v>1169</v>
      </c>
      <c r="AG5109" t="n">
        <v>2298</v>
      </c>
      <c r="AH5109" t="inlineStr">
        <is>
          <t>CV. MAKMUR SEJAHTERA LESTARI - PPN (JMB)</t>
        </is>
      </c>
      <c r="AI5109" t="n">
        <v>754</v>
      </c>
      <c r="AJ5109" t="inlineStr">
        <is>
          <t>BDL</t>
        </is>
      </c>
      <c r="AK5109" t="n">
        <v>15</v>
      </c>
      <c r="AL5109" t="inlineStr">
        <is>
          <t>Miss Glam Muaro Bungo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BDL</t>
        </is>
      </c>
      <c r="B5110" s="2">
        <f>"8992803662771"</f>
        <v/>
      </c>
      <c r="C5110" t="inlineStr">
        <is>
          <t>BDL Papaya Extract Brightening Soap 60gr</t>
        </is>
      </c>
      <c r="D5110" t="inlineStr">
        <is>
          <t>Miss Glam Jambi</t>
        </is>
      </c>
      <c r="E5110" t="n">
        <v>2</v>
      </c>
      <c r="F5110" t="n">
        <v>0.4653</v>
      </c>
      <c r="G5110" t="n">
        <v>1.65</v>
      </c>
      <c r="H5110" t="n">
        <v>1</v>
      </c>
      <c r="I5110" t="n">
        <v>2</v>
      </c>
      <c r="J5110" t="n">
        <v>3</v>
      </c>
      <c r="K5110" t="n">
        <v>0</v>
      </c>
      <c r="L5110" t="n">
        <v>5653</v>
      </c>
      <c r="M5110" t="n">
        <v>7500</v>
      </c>
      <c r="N5110" t="n">
        <v>33</v>
      </c>
      <c r="O5110" t="n">
        <v>0.33</v>
      </c>
      <c r="P5110" t="n">
        <v>1</v>
      </c>
      <c r="Q5110" t="n">
        <v>0.05</v>
      </c>
      <c r="R5110" t="n">
        <v>1</v>
      </c>
      <c r="S5110" t="n">
        <v>3489.75</v>
      </c>
      <c r="T5110" t="n">
        <v>3</v>
      </c>
      <c r="U5110" t="n">
        <v>4</v>
      </c>
      <c r="V5110" t="n">
        <v>30</v>
      </c>
      <c r="W5110" t="n">
        <v>14</v>
      </c>
      <c r="X5110" t="n">
        <v>4.298302170642597</v>
      </c>
      <c r="Y5110" t="n">
        <v>1</v>
      </c>
      <c r="Z5110" t="n">
        <v>12</v>
      </c>
      <c r="AA5110" t="n">
        <v>0</v>
      </c>
      <c r="AB5110" t="n">
        <v>12</v>
      </c>
      <c r="AC5110" t="n">
        <v>12</v>
      </c>
      <c r="AD5110" t="n">
        <v>0</v>
      </c>
      <c r="AE5110" t="n">
        <v>67836</v>
      </c>
      <c r="AF5110" t="n">
        <v>1169</v>
      </c>
      <c r="AG5110" t="n">
        <v>2298</v>
      </c>
      <c r="AH5110" t="inlineStr">
        <is>
          <t>CV. MAKMUR SEJAHTERA LESTARI - PPN (JMB)</t>
        </is>
      </c>
      <c r="AI5110" t="n">
        <v>754</v>
      </c>
      <c r="AJ5110" t="inlineStr">
        <is>
          <t>BDL</t>
        </is>
      </c>
      <c r="AK5110" t="n">
        <v>15</v>
      </c>
      <c r="AL5110" t="inlineStr">
        <is>
          <t>Miss Glam Muaro Bungo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BDL</t>
        </is>
      </c>
      <c r="B5111" s="2">
        <f>"8992803661682"</f>
        <v/>
      </c>
      <c r="C5111" t="inlineStr">
        <is>
          <t>BDL Papaya Extract Brightening Transparent Soap 90gr</t>
        </is>
      </c>
      <c r="D5111" t="inlineStr">
        <is>
          <t>Miss Glam Jambi</t>
        </is>
      </c>
      <c r="E5111" t="n">
        <v>9</v>
      </c>
      <c r="F5111" t="n">
        <v>0.1518</v>
      </c>
      <c r="G5111" t="n">
        <v>0.99</v>
      </c>
      <c r="H5111" t="n">
        <v>1</v>
      </c>
      <c r="I5111" t="n">
        <v>2</v>
      </c>
      <c r="J5111" t="n">
        <v>3</v>
      </c>
      <c r="K5111" t="n">
        <v>0</v>
      </c>
      <c r="L5111" t="n">
        <v>7313</v>
      </c>
      <c r="M5111" t="n">
        <v>9500</v>
      </c>
      <c r="N5111" t="n">
        <v>33</v>
      </c>
      <c r="O5111" t="n">
        <v>0.33</v>
      </c>
      <c r="P5111" t="n">
        <v>1</v>
      </c>
      <c r="Q5111" t="n">
        <v>0.02</v>
      </c>
      <c r="R5111" t="n">
        <v>1</v>
      </c>
      <c r="S5111" t="n">
        <v>1442.1</v>
      </c>
      <c r="T5111" t="n">
        <v>2</v>
      </c>
      <c r="U5111" t="n">
        <v>3</v>
      </c>
      <c r="V5111" t="n">
        <v>30</v>
      </c>
      <c r="W5111" t="n">
        <v>5</v>
      </c>
      <c r="X5111" t="n">
        <v>59.28853754940711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1169</v>
      </c>
      <c r="AG5111" t="n">
        <v>2298</v>
      </c>
      <c r="AH5111" t="inlineStr">
        <is>
          <t>CV. MAKMUR SEJAHTERA LESTARI - PPN (JMB)</t>
        </is>
      </c>
      <c r="AI5111" t="n">
        <v>754</v>
      </c>
      <c r="AJ5111" t="inlineStr">
        <is>
          <t>BDL</t>
        </is>
      </c>
      <c r="AK5111" t="n">
        <v>15</v>
      </c>
      <c r="AL5111" t="inlineStr">
        <is>
          <t>Miss Glam Muaro Bungo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BONAVIE</t>
        </is>
      </c>
      <c r="B5112" s="2">
        <f>"8997220244548"</f>
        <v/>
      </c>
      <c r="C5112" t="inlineStr">
        <is>
          <t>BONAVIE Body Mist Fleur du Jardin 30ml</t>
        </is>
      </c>
      <c r="D5112" t="inlineStr">
        <is>
          <t>Miss Glam Jambi</t>
        </is>
      </c>
      <c r="E5112" t="n">
        <v>1</v>
      </c>
      <c r="F5112" t="n">
        <v>0.07920000000000001</v>
      </c>
      <c r="G5112" t="n">
        <v>0.66</v>
      </c>
      <c r="H5112" t="n">
        <v>1</v>
      </c>
      <c r="I5112" t="n">
        <v>2</v>
      </c>
      <c r="J5112" t="n">
        <v>3</v>
      </c>
      <c r="K5112" t="n">
        <v>3</v>
      </c>
      <c r="L5112" t="n">
        <v>17425</v>
      </c>
      <c r="M5112" t="n">
        <v>20500</v>
      </c>
      <c r="N5112" t="n">
        <v>33</v>
      </c>
      <c r="O5112" t="n">
        <v>0.33</v>
      </c>
      <c r="P5112" t="n">
        <v>1</v>
      </c>
      <c r="Q5112" t="n">
        <v>0.02</v>
      </c>
      <c r="R5112" t="n">
        <v>1</v>
      </c>
      <c r="S5112" t="n">
        <v>1623.6</v>
      </c>
      <c r="T5112" t="n">
        <v>2</v>
      </c>
      <c r="U5112" t="n">
        <v>3</v>
      </c>
      <c r="V5112" t="n">
        <v>30</v>
      </c>
      <c r="W5112" t="n">
        <v>3</v>
      </c>
      <c r="X5112" t="n">
        <v>12.62626262626262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196</v>
      </c>
      <c r="AG5112" t="n">
        <v>2392</v>
      </c>
      <c r="AH5112" t="inlineStr">
        <is>
          <t>CV. BUMI ANGKASA SEJAHTERA  - PPN (BKL)</t>
        </is>
      </c>
      <c r="AI5112" t="n">
        <v>1434</v>
      </c>
      <c r="AJ5112" t="inlineStr">
        <is>
          <t>BONAVIE</t>
        </is>
      </c>
      <c r="AK5112" t="n">
        <v>18</v>
      </c>
      <c r="AL5112" t="inlineStr">
        <is>
          <t>Miss Glam Bengkulu</t>
        </is>
      </c>
      <c r="AM5112" t="n">
        <v>3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BONAVIE</t>
        </is>
      </c>
      <c r="B5113" s="2">
        <f>"8997220244531"</f>
        <v/>
      </c>
      <c r="C5113" t="inlineStr">
        <is>
          <t>BONAVIE Body Mist Maison du Safran 30ml</t>
        </is>
      </c>
      <c r="D5113" t="inlineStr">
        <is>
          <t>Miss Glam Jambi</t>
        </is>
      </c>
      <c r="E5113" t="n">
        <v>2</v>
      </c>
      <c r="F5113" t="n">
        <v>0.1122</v>
      </c>
      <c r="G5113" t="n">
        <v>0.66</v>
      </c>
      <c r="H5113" t="n">
        <v>1</v>
      </c>
      <c r="I5113" t="n">
        <v>2</v>
      </c>
      <c r="J5113" t="n">
        <v>3</v>
      </c>
      <c r="K5113" t="n">
        <v>3</v>
      </c>
      <c r="L5113" t="n">
        <v>17425</v>
      </c>
      <c r="M5113" t="n">
        <v>20500</v>
      </c>
      <c r="N5113" t="n">
        <v>33</v>
      </c>
      <c r="O5113" t="n">
        <v>0.33</v>
      </c>
      <c r="P5113" t="n">
        <v>1</v>
      </c>
      <c r="Q5113" t="n">
        <v>0.05</v>
      </c>
      <c r="R5113" t="n">
        <v>1</v>
      </c>
      <c r="S5113" t="n">
        <v>2300.1</v>
      </c>
      <c r="T5113" t="n">
        <v>2</v>
      </c>
      <c r="U5113" t="n">
        <v>3</v>
      </c>
      <c r="V5113" t="n">
        <v>30</v>
      </c>
      <c r="W5113" t="n">
        <v>4</v>
      </c>
      <c r="X5113" t="n">
        <v>17.825311942959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196</v>
      </c>
      <c r="AG5113" t="n">
        <v>2392</v>
      </c>
      <c r="AH5113" t="inlineStr">
        <is>
          <t>CV. BUMI ANGKASA SEJAHTERA  - PPN (BKL)</t>
        </is>
      </c>
      <c r="AI5113" t="n">
        <v>1434</v>
      </c>
      <c r="AJ5113" t="inlineStr">
        <is>
          <t>BONAVIE</t>
        </is>
      </c>
      <c r="AK5113" t="n">
        <v>18</v>
      </c>
      <c r="AL5113" t="inlineStr">
        <is>
          <t>Miss Glam Bengkulu</t>
        </is>
      </c>
      <c r="AM5113" t="n">
        <v>3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BONAVIE</t>
        </is>
      </c>
      <c r="B5114" s="2">
        <f>"8997220245040"</f>
        <v/>
      </c>
      <c r="C5114" t="inlineStr">
        <is>
          <t>BONAVIE Eau de Parfum - Fleur du Jardin 30ml</t>
        </is>
      </c>
      <c r="D5114" t="inlineStr">
        <is>
          <t>Miss Glam Jambi</t>
        </is>
      </c>
      <c r="E5114" t="n">
        <v>6</v>
      </c>
      <c r="F5114" t="n">
        <v>0.7623000000000001</v>
      </c>
      <c r="G5114" t="n">
        <v>1.98</v>
      </c>
      <c r="H5114" t="n">
        <v>1</v>
      </c>
      <c r="I5114" t="n">
        <v>2</v>
      </c>
      <c r="J5114" t="n">
        <v>12</v>
      </c>
      <c r="K5114" t="n">
        <v>0</v>
      </c>
      <c r="L5114" t="n">
        <v>44203</v>
      </c>
      <c r="M5114" t="n">
        <v>52000</v>
      </c>
      <c r="N5114" t="n">
        <v>33</v>
      </c>
      <c r="O5114" t="n">
        <v>0.33</v>
      </c>
      <c r="P5114" t="n">
        <v>1</v>
      </c>
      <c r="Q5114" t="n">
        <v>0.02</v>
      </c>
      <c r="R5114" t="n">
        <v>1</v>
      </c>
      <c r="S5114" t="n">
        <v>39639.60000000001</v>
      </c>
      <c r="T5114" t="n">
        <v>4</v>
      </c>
      <c r="U5114" t="n">
        <v>5</v>
      </c>
      <c r="V5114" t="n">
        <v>30</v>
      </c>
      <c r="W5114" t="n">
        <v>23</v>
      </c>
      <c r="X5114" t="n">
        <v>7.870916961826052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196</v>
      </c>
      <c r="AG5114" t="n">
        <v>2392</v>
      </c>
      <c r="AH5114" t="inlineStr">
        <is>
          <t>CV. BUMI ANGKASA SEJAHTERA  - PPN (BKL)</t>
        </is>
      </c>
      <c r="AI5114" t="n">
        <v>1434</v>
      </c>
      <c r="AJ5114" t="inlineStr">
        <is>
          <t>BONAVIE</t>
        </is>
      </c>
      <c r="AK5114" t="n">
        <v>18</v>
      </c>
      <c r="AL5114" t="inlineStr">
        <is>
          <t>Miss Glam Bengkulu</t>
        </is>
      </c>
      <c r="AM5114" t="n">
        <v>3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BONAVIE</t>
        </is>
      </c>
      <c r="B5115" s="2">
        <f>"8997220245262"</f>
        <v/>
      </c>
      <c r="C5115" t="inlineStr">
        <is>
          <t>BONAVIE Eau de Parfum - Le Jasmin Doux 30ml</t>
        </is>
      </c>
      <c r="D5115" t="inlineStr">
        <is>
          <t>Miss Glam Jambi</t>
        </is>
      </c>
      <c r="E5115" t="n">
        <v>0</v>
      </c>
      <c r="F5115" t="n">
        <v>0.2805</v>
      </c>
      <c r="G5115" t="n">
        <v>0.66</v>
      </c>
      <c r="H5115" t="n">
        <v>1</v>
      </c>
      <c r="I5115" t="n">
        <v>2</v>
      </c>
      <c r="J5115" t="n">
        <v>3</v>
      </c>
      <c r="K5115" t="n">
        <v>8</v>
      </c>
      <c r="L5115" t="n">
        <v>44203</v>
      </c>
      <c r="M5115" t="n">
        <v>52000</v>
      </c>
      <c r="N5115" t="n">
        <v>33</v>
      </c>
      <c r="O5115" t="n">
        <v>0.33</v>
      </c>
      <c r="P5115" t="n">
        <v>1</v>
      </c>
      <c r="Q5115" t="n">
        <v>0.07000000000000001</v>
      </c>
      <c r="R5115" t="n">
        <v>1</v>
      </c>
      <c r="S5115" t="n">
        <v>14586</v>
      </c>
      <c r="T5115" t="n">
        <v>2</v>
      </c>
      <c r="U5115" t="n">
        <v>3</v>
      </c>
      <c r="V5115" t="n">
        <v>30</v>
      </c>
      <c r="W5115" t="n">
        <v>9</v>
      </c>
      <c r="X5115" t="n">
        <v>0</v>
      </c>
      <c r="Y5115" t="n">
        <v>1</v>
      </c>
      <c r="Z5115" t="n">
        <v>1</v>
      </c>
      <c r="AA5115" t="n">
        <v>0</v>
      </c>
      <c r="AB5115" t="n">
        <v>1</v>
      </c>
      <c r="AC5115" t="n">
        <v>3</v>
      </c>
      <c r="AD5115" t="n">
        <v>0</v>
      </c>
      <c r="AE5115" t="n">
        <v>132609</v>
      </c>
      <c r="AF5115" t="n">
        <v>196</v>
      </c>
      <c r="AG5115" t="n">
        <v>2392</v>
      </c>
      <c r="AH5115" t="inlineStr">
        <is>
          <t>CV. BUMI ANGKASA SEJAHTERA  - PPN (BKL)</t>
        </is>
      </c>
      <c r="AI5115" t="n">
        <v>1434</v>
      </c>
      <c r="AJ5115" t="inlineStr">
        <is>
          <t>BONAVIE</t>
        </is>
      </c>
      <c r="AK5115" t="n">
        <v>18</v>
      </c>
      <c r="AL5115" t="inlineStr">
        <is>
          <t>Miss Glam Bengkulu</t>
        </is>
      </c>
      <c r="AM5115" t="n">
        <v>3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BONAVIE</t>
        </is>
      </c>
      <c r="B5116" s="2">
        <f>"8997220245026"</f>
        <v/>
      </c>
      <c r="C5116" t="inlineStr">
        <is>
          <t>BONAVIE Eau de Parfum - Marie Antoinette 30ml</t>
        </is>
      </c>
      <c r="D5116" t="inlineStr">
        <is>
          <t>Miss Glam Jambi</t>
        </is>
      </c>
      <c r="E5116" t="n">
        <v>1</v>
      </c>
      <c r="F5116" t="n">
        <v>0.2574</v>
      </c>
      <c r="G5116" t="n">
        <v>0.99</v>
      </c>
      <c r="H5116" t="n">
        <v>1</v>
      </c>
      <c r="I5116" t="n">
        <v>2</v>
      </c>
      <c r="J5116" t="n">
        <v>3</v>
      </c>
      <c r="K5116" t="n">
        <v>7</v>
      </c>
      <c r="L5116" t="n">
        <v>44203</v>
      </c>
      <c r="M5116" t="n">
        <v>52000</v>
      </c>
      <c r="N5116" t="n">
        <v>33</v>
      </c>
      <c r="O5116" t="n">
        <v>0.33</v>
      </c>
      <c r="P5116" t="n">
        <v>1</v>
      </c>
      <c r="Q5116" t="n">
        <v>0.05</v>
      </c>
      <c r="R5116" t="n">
        <v>1</v>
      </c>
      <c r="S5116" t="n">
        <v>13384.8</v>
      </c>
      <c r="T5116" t="n">
        <v>2</v>
      </c>
      <c r="U5116" t="n">
        <v>3</v>
      </c>
      <c r="V5116" t="n">
        <v>30</v>
      </c>
      <c r="W5116" t="n">
        <v>8</v>
      </c>
      <c r="X5116" t="n">
        <v>3.885003885003885</v>
      </c>
      <c r="Y5116" t="n">
        <v>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196</v>
      </c>
      <c r="AG5116" t="n">
        <v>2392</v>
      </c>
      <c r="AH5116" t="inlineStr">
        <is>
          <t>CV. BUMI ANGKASA SEJAHTERA  - PPN (BKL)</t>
        </is>
      </c>
      <c r="AI5116" t="n">
        <v>1434</v>
      </c>
      <c r="AJ5116" t="inlineStr">
        <is>
          <t>BONAVIE</t>
        </is>
      </c>
      <c r="AK5116" t="n">
        <v>18</v>
      </c>
      <c r="AL5116" t="inlineStr">
        <is>
          <t>Miss Glam Bengkulu</t>
        </is>
      </c>
      <c r="AM5116" t="n">
        <v>3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BONAVIE</t>
        </is>
      </c>
      <c r="B5117" s="2">
        <f>"8997220245330"</f>
        <v/>
      </c>
      <c r="C5117" t="inlineStr">
        <is>
          <t>BONAVIE Eau de Parfum - Mon Petit Soleil 30ml</t>
        </is>
      </c>
      <c r="D5117" t="inlineStr">
        <is>
          <t>Miss Glam Jambi</t>
        </is>
      </c>
      <c r="E5117" t="n">
        <v>3</v>
      </c>
      <c r="F5117" t="n">
        <v>0.5247000000000001</v>
      </c>
      <c r="G5117" t="n">
        <v>1.32</v>
      </c>
      <c r="H5117" t="n">
        <v>1</v>
      </c>
      <c r="I5117" t="n">
        <v>2</v>
      </c>
      <c r="J5117" t="n">
        <v>3</v>
      </c>
      <c r="K5117" t="n">
        <v>13</v>
      </c>
      <c r="L5117" t="n">
        <v>44203</v>
      </c>
      <c r="M5117" t="n">
        <v>52000</v>
      </c>
      <c r="N5117" t="n">
        <v>33</v>
      </c>
      <c r="O5117" t="n">
        <v>0.33</v>
      </c>
      <c r="P5117" t="n">
        <v>1</v>
      </c>
      <c r="Q5117" t="n">
        <v>0.05</v>
      </c>
      <c r="R5117" t="n">
        <v>2</v>
      </c>
      <c r="S5117" t="n">
        <v>27284.4</v>
      </c>
      <c r="T5117" t="n">
        <v>3</v>
      </c>
      <c r="U5117" t="n">
        <v>4</v>
      </c>
      <c r="V5117" t="n">
        <v>30</v>
      </c>
      <c r="W5117" t="n">
        <v>16</v>
      </c>
      <c r="X5117" t="n">
        <v>5.717552887364207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196</v>
      </c>
      <c r="AG5117" t="n">
        <v>2392</v>
      </c>
      <c r="AH5117" t="inlineStr">
        <is>
          <t>CV. BUMI ANGKASA SEJAHTERA  - PPN (BKL)</t>
        </is>
      </c>
      <c r="AI5117" t="n">
        <v>1434</v>
      </c>
      <c r="AJ5117" t="inlineStr">
        <is>
          <t>BONAVIE</t>
        </is>
      </c>
      <c r="AK5117" t="n">
        <v>18</v>
      </c>
      <c r="AL5117" t="inlineStr">
        <is>
          <t>Miss Glam Bengkulu</t>
        </is>
      </c>
      <c r="AM5117" t="n">
        <v>3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BONAVIE</t>
        </is>
      </c>
      <c r="B5118" s="2">
        <f>"8997220246177"</f>
        <v/>
      </c>
      <c r="C5118" t="inlineStr">
        <is>
          <t>BONAVIE Fau De Parfum Poudret Et Plume 30 ml</t>
        </is>
      </c>
      <c r="D5118" t="inlineStr">
        <is>
          <t>Miss Glam Jambi</t>
        </is>
      </c>
      <c r="E5118" t="n">
        <v>0</v>
      </c>
      <c r="F5118" t="n">
        <v>0.2343</v>
      </c>
      <c r="G5118" t="n">
        <v>0.66</v>
      </c>
      <c r="H5118" t="n">
        <v>1</v>
      </c>
      <c r="I5118" t="n">
        <v>2</v>
      </c>
      <c r="J5118" t="n">
        <v>3</v>
      </c>
      <c r="K5118" t="n">
        <v>6</v>
      </c>
      <c r="L5118" t="n">
        <v>44203</v>
      </c>
      <c r="M5118" t="n">
        <v>52000</v>
      </c>
      <c r="N5118" t="n">
        <v>33</v>
      </c>
      <c r="O5118" t="n">
        <v>0.33</v>
      </c>
      <c r="P5118" t="n">
        <v>1</v>
      </c>
      <c r="Q5118" t="n">
        <v>0.11</v>
      </c>
      <c r="R5118" t="n">
        <v>2</v>
      </c>
      <c r="S5118" t="n">
        <v>12183.6</v>
      </c>
      <c r="T5118" t="n">
        <v>2</v>
      </c>
      <c r="U5118" t="n">
        <v>3</v>
      </c>
      <c r="V5118" t="n">
        <v>30</v>
      </c>
      <c r="W5118" t="n">
        <v>8</v>
      </c>
      <c r="X5118" t="n">
        <v>0</v>
      </c>
      <c r="Y5118" t="n">
        <v>1</v>
      </c>
      <c r="Z5118" t="n">
        <v>2</v>
      </c>
      <c r="AA5118" t="n">
        <v>0</v>
      </c>
      <c r="AB5118" t="n">
        <v>2</v>
      </c>
      <c r="AC5118" t="n">
        <v>3</v>
      </c>
      <c r="AD5118" t="n">
        <v>0</v>
      </c>
      <c r="AE5118" t="n">
        <v>132609</v>
      </c>
      <c r="AF5118" t="n">
        <v>196</v>
      </c>
      <c r="AG5118" t="n">
        <v>2392</v>
      </c>
      <c r="AH5118" t="inlineStr">
        <is>
          <t>CV. BUMI ANGKASA SEJAHTERA  - PPN (BKL)</t>
        </is>
      </c>
      <c r="AI5118" t="n">
        <v>1434</v>
      </c>
      <c r="AJ5118" t="inlineStr">
        <is>
          <t>BONAVIE</t>
        </is>
      </c>
      <c r="AK5118" t="n">
        <v>18</v>
      </c>
      <c r="AL5118" t="inlineStr">
        <is>
          <t>Miss Glam Bengkulu</t>
        </is>
      </c>
      <c r="AM5118" t="n">
        <v>3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CAPTAIN</t>
        </is>
      </c>
      <c r="B5119" s="2">
        <f>"8997240890923"</f>
        <v/>
      </c>
      <c r="C5119" t="inlineStr">
        <is>
          <t>CAPTAIN Men's Care Black Pomade Natural Shine 30gr</t>
        </is>
      </c>
      <c r="D5119" t="inlineStr">
        <is>
          <t>Miss Glam Jambi</t>
        </is>
      </c>
      <c r="E5119" t="n">
        <v>0</v>
      </c>
      <c r="F5119" t="n">
        <v>0.1353</v>
      </c>
      <c r="G5119" t="n">
        <v>0.66</v>
      </c>
      <c r="H5119" t="n">
        <v>1</v>
      </c>
      <c r="I5119" t="n">
        <v>2</v>
      </c>
      <c r="J5119" t="n">
        <v>3</v>
      </c>
      <c r="K5119" t="n">
        <v>0</v>
      </c>
      <c r="L5119" t="n">
        <v>33750</v>
      </c>
      <c r="M5119" t="n">
        <v>44000</v>
      </c>
      <c r="N5119" t="n">
        <v>33</v>
      </c>
      <c r="O5119" t="n">
        <v>0.33</v>
      </c>
      <c r="P5119" t="n">
        <v>1</v>
      </c>
      <c r="Q5119" t="n">
        <v>0.04</v>
      </c>
      <c r="R5119" t="n">
        <v>1</v>
      </c>
      <c r="S5119" t="n">
        <v>5953.2</v>
      </c>
      <c r="T5119" t="n">
        <v>2</v>
      </c>
      <c r="U5119" t="n">
        <v>3</v>
      </c>
      <c r="V5119" t="n">
        <v>30</v>
      </c>
      <c r="W5119" t="n">
        <v>5</v>
      </c>
      <c r="X5119" t="n">
        <v>0</v>
      </c>
      <c r="Y5119" t="n">
        <v>1</v>
      </c>
      <c r="Z5119" t="n">
        <v>5</v>
      </c>
      <c r="AA5119" t="n">
        <v>1</v>
      </c>
      <c r="AB5119" t="n">
        <v>4</v>
      </c>
      <c r="AC5119" t="n">
        <v>4</v>
      </c>
      <c r="AD5119" t="n">
        <v>33750</v>
      </c>
      <c r="AE5119" t="n">
        <v>135000</v>
      </c>
      <c r="AF5119" t="n">
        <v>397</v>
      </c>
      <c r="AG5119" t="n">
        <v>107</v>
      </c>
      <c r="AH5119" t="inlineStr">
        <is>
          <t xml:space="preserve">CV. DAHLIA - PPN (PDG) </t>
        </is>
      </c>
      <c r="AI5119" t="n">
        <v>1945</v>
      </c>
      <c r="AJ5119" t="inlineStr">
        <is>
          <t>CAPTAIN</t>
        </is>
      </c>
      <c r="AK5119" t="n">
        <v>7</v>
      </c>
      <c r="AL5119" t="inlineStr">
        <is>
          <t>Miss Glam Padang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COLAB</t>
        </is>
      </c>
      <c r="B5120" s="2">
        <f>"5016155132331"</f>
        <v/>
      </c>
      <c r="C5120" t="inlineStr">
        <is>
          <t>COLAB Dry Shampoo Unicorn 200ml</t>
        </is>
      </c>
      <c r="D5120" t="inlineStr">
        <is>
          <t>Miss Glam Jambi</t>
        </is>
      </c>
      <c r="E5120" t="n">
        <v>0</v>
      </c>
      <c r="F5120" t="n">
        <v>0.03</v>
      </c>
      <c r="G5120" t="n">
        <v>1</v>
      </c>
      <c r="H5120" t="n">
        <v>1</v>
      </c>
      <c r="I5120" t="n">
        <v>2</v>
      </c>
      <c r="J5120" t="n">
        <v>3</v>
      </c>
      <c r="K5120" t="n">
        <v>0</v>
      </c>
      <c r="L5120" t="n">
        <v>76469</v>
      </c>
      <c r="M5120" t="n">
        <v>149500</v>
      </c>
      <c r="N5120" t="n">
        <v>33</v>
      </c>
      <c r="O5120" t="n">
        <v>0.33</v>
      </c>
      <c r="P5120" t="n">
        <v>0</v>
      </c>
      <c r="Q5120" t="n">
        <v>0.03</v>
      </c>
      <c r="R5120" t="n">
        <v>1</v>
      </c>
      <c r="S5120" t="n">
        <v>4485</v>
      </c>
      <c r="T5120" t="n">
        <v>2</v>
      </c>
      <c r="U5120" t="n">
        <v>3</v>
      </c>
      <c r="V5120" t="n">
        <v>30</v>
      </c>
      <c r="W5120" t="n">
        <v>1</v>
      </c>
      <c r="X5120" t="n">
        <v>0</v>
      </c>
      <c r="Y5120" t="n">
        <v>1</v>
      </c>
      <c r="Z5120" t="n">
        <v>1</v>
      </c>
      <c r="AA5120" t="n">
        <v>1</v>
      </c>
      <c r="AB5120" t="n">
        <v>0</v>
      </c>
      <c r="AC5120" t="n">
        <v>0</v>
      </c>
      <c r="AD5120" t="n">
        <v>76469</v>
      </c>
      <c r="AE5120" t="n">
        <v>0</v>
      </c>
      <c r="AF5120" t="inlineStr"/>
      <c r="AG5120" t="inlineStr"/>
      <c r="AH5120" t="inlineStr"/>
      <c r="AI5120" t="n">
        <v>0</v>
      </c>
      <c r="AJ5120" t="inlineStr"/>
      <c r="AK5120" t="n">
        <v>0</v>
      </c>
      <c r="AL5120" t="inlineStr"/>
      <c r="AM5120" t="n">
        <v>0</v>
      </c>
      <c r="AN5120" t="n">
        <v>0</v>
      </c>
      <c r="AO5120" t="n">
        <v>0</v>
      </c>
      <c r="AP5120" t="inlineStr"/>
      <c r="AQ5120" t="inlineStr"/>
    </row>
    <row r="5121">
      <c r="A5121" t="inlineStr">
        <is>
          <t>DIOSYS</t>
        </is>
      </c>
      <c r="B5121" s="2">
        <f>"8997025470548"</f>
        <v/>
      </c>
      <c r="C5121" t="inlineStr">
        <is>
          <t>DIOSYS Serum Vitamin Rambut Merah 60ml</t>
        </is>
      </c>
      <c r="D5121" t="inlineStr">
        <is>
          <t>Miss Glam Jambi</t>
        </is>
      </c>
      <c r="E5121" t="n">
        <v>0</v>
      </c>
      <c r="F5121" t="n">
        <v>0.009900000000000001</v>
      </c>
      <c r="G5121" t="n">
        <v>0.33</v>
      </c>
      <c r="H5121" t="n">
        <v>1</v>
      </c>
      <c r="I5121" t="n">
        <v>2</v>
      </c>
      <c r="J5121" t="n">
        <v>3</v>
      </c>
      <c r="K5121" t="n">
        <v>0</v>
      </c>
      <c r="L5121" t="n">
        <v>17000</v>
      </c>
      <c r="M5121" t="n">
        <v>25000</v>
      </c>
      <c r="N5121" t="n">
        <v>33</v>
      </c>
      <c r="O5121" t="n">
        <v>0.33</v>
      </c>
      <c r="P5121" t="n">
        <v>1</v>
      </c>
      <c r="Q5121" t="n">
        <v>0.02</v>
      </c>
      <c r="R5121" t="n">
        <v>1</v>
      </c>
      <c r="S5121" t="n">
        <v>247.5</v>
      </c>
      <c r="T5121" t="n">
        <v>1</v>
      </c>
      <c r="U5121" t="n">
        <v>2</v>
      </c>
      <c r="V5121" t="n">
        <v>30</v>
      </c>
      <c r="W5121" t="n">
        <v>1</v>
      </c>
      <c r="X5121" t="n">
        <v>0</v>
      </c>
      <c r="Y5121" t="n">
        <v>1</v>
      </c>
      <c r="Z5121" t="n">
        <v>1</v>
      </c>
      <c r="AA5121" t="n">
        <v>1</v>
      </c>
      <c r="AB5121" t="n">
        <v>0</v>
      </c>
      <c r="AC5121" t="n">
        <v>0</v>
      </c>
      <c r="AD5121" t="n">
        <v>17000</v>
      </c>
      <c r="AE5121" t="n">
        <v>0</v>
      </c>
      <c r="AF5121" t="n">
        <v>1178</v>
      </c>
      <c r="AG5121" t="n">
        <v>3237</v>
      </c>
      <c r="AH5121" t="inlineStr">
        <is>
          <t>CV. MEGA MULIA PERKASA - PPN (TPG)</t>
        </is>
      </c>
      <c r="AI5121" t="n">
        <v>1150</v>
      </c>
      <c r="AJ5121" t="inlineStr">
        <is>
          <t>DIOSYS</t>
        </is>
      </c>
      <c r="AK5121" t="n">
        <v>30</v>
      </c>
      <c r="AL5121" t="inlineStr">
        <is>
          <t>Miss Glam Tanjung Pinang</t>
        </is>
      </c>
      <c r="AM5121" t="n">
        <v>4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DIOSYS</t>
        </is>
      </c>
      <c r="B5122" s="2">
        <f>"8997025470531"</f>
        <v/>
      </c>
      <c r="C5122" t="inlineStr">
        <is>
          <t>DIOSYS Vitamin Rambut Biru 60ml</t>
        </is>
      </c>
      <c r="D5122" t="inlineStr">
        <is>
          <t>Miss Glam Jambi</t>
        </is>
      </c>
      <c r="E5122" t="n">
        <v>2</v>
      </c>
      <c r="F5122" t="n">
        <v>0.006600000000000001</v>
      </c>
      <c r="G5122" t="n">
        <v>0.33</v>
      </c>
      <c r="H5122" t="n">
        <v>1</v>
      </c>
      <c r="I5122" t="n">
        <v>2</v>
      </c>
      <c r="J5122" t="n">
        <v>3</v>
      </c>
      <c r="K5122" t="n">
        <v>0</v>
      </c>
      <c r="L5122" t="n">
        <v>17000</v>
      </c>
      <c r="M5122" t="n">
        <v>25000</v>
      </c>
      <c r="N5122" t="n">
        <v>33</v>
      </c>
      <c r="O5122" t="n">
        <v>0.33</v>
      </c>
      <c r="P5122" t="n">
        <v>1</v>
      </c>
      <c r="Q5122" t="n">
        <v>0.05</v>
      </c>
      <c r="R5122" t="n">
        <v>3</v>
      </c>
      <c r="S5122" t="n">
        <v>165</v>
      </c>
      <c r="T5122" t="n">
        <v>1</v>
      </c>
      <c r="U5122" t="n">
        <v>2</v>
      </c>
      <c r="V5122" t="n">
        <v>30</v>
      </c>
      <c r="W5122" t="n">
        <v>1</v>
      </c>
      <c r="X5122" t="n">
        <v>303.030303030303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1178</v>
      </c>
      <c r="AG5122" t="n">
        <v>3237</v>
      </c>
      <c r="AH5122" t="inlineStr">
        <is>
          <t>CV. MEGA MULIA PERKASA - PPN (TPG)</t>
        </is>
      </c>
      <c r="AI5122" t="n">
        <v>1150</v>
      </c>
      <c r="AJ5122" t="inlineStr">
        <is>
          <t>DIOSYS</t>
        </is>
      </c>
      <c r="AK5122" t="n">
        <v>30</v>
      </c>
      <c r="AL5122" t="inlineStr">
        <is>
          <t>Miss Glam Tanjung Pinang</t>
        </is>
      </c>
      <c r="AM5122" t="n">
        <v>4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DOM POMADE</t>
        </is>
      </c>
      <c r="B5123" s="2">
        <f>"11000409654"</f>
        <v/>
      </c>
      <c r="C5123" t="inlineStr">
        <is>
          <t>DOM POMADE Oil Based Heavy Galaxy Terror 100gr</t>
        </is>
      </c>
      <c r="D5123" t="inlineStr">
        <is>
          <t>Miss Glam Jambi</t>
        </is>
      </c>
      <c r="E5123" t="n">
        <v>4</v>
      </c>
      <c r="F5123" t="n">
        <v>0.006600000000000001</v>
      </c>
      <c r="G5123" t="n">
        <v>0.33</v>
      </c>
      <c r="H5123" t="n">
        <v>1</v>
      </c>
      <c r="I5123" t="n">
        <v>2</v>
      </c>
      <c r="J5123" t="n">
        <v>3</v>
      </c>
      <c r="K5123" t="n">
        <v>0</v>
      </c>
      <c r="L5123" t="n">
        <v>50000</v>
      </c>
      <c r="M5123" t="n">
        <v>70000</v>
      </c>
      <c r="N5123" t="n">
        <v>33</v>
      </c>
      <c r="O5123" t="n">
        <v>0.33</v>
      </c>
      <c r="P5123" t="n">
        <v>1</v>
      </c>
      <c r="Q5123" t="n">
        <v>0.02</v>
      </c>
      <c r="R5123" t="n">
        <v>1</v>
      </c>
      <c r="S5123" t="n">
        <v>462.0000000000001</v>
      </c>
      <c r="T5123" t="n">
        <v>1</v>
      </c>
      <c r="U5123" t="n">
        <v>2</v>
      </c>
      <c r="V5123" t="n">
        <v>30</v>
      </c>
      <c r="W5123" t="n">
        <v>1</v>
      </c>
      <c r="X5123" t="n">
        <v>606.060606060606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inlineStr"/>
      <c r="AG5123" t="inlineStr"/>
      <c r="AH5123" t="inlineStr"/>
      <c r="AI5123" t="n">
        <v>0</v>
      </c>
      <c r="AJ5123" t="inlineStr"/>
      <c r="AK5123" t="n">
        <v>0</v>
      </c>
      <c r="AL5123" t="inlineStr"/>
      <c r="AM5123" t="n">
        <v>0</v>
      </c>
      <c r="AN5123" t="n">
        <v>0</v>
      </c>
      <c r="AO5123" t="n">
        <v>0</v>
      </c>
      <c r="AP5123" t="inlineStr"/>
      <c r="AQ5123" t="inlineStr"/>
    </row>
    <row r="5124">
      <c r="A5124" t="inlineStr">
        <is>
          <t>DORSKIN</t>
        </is>
      </c>
      <c r="B5124" s="2">
        <f>"10300710656"</f>
        <v/>
      </c>
      <c r="C5124" t="inlineStr">
        <is>
          <t>DORSKIN Pink Bliss Moisturizer Light Watery Gel For Oily Skin 30gr</t>
        </is>
      </c>
      <c r="D5124" t="inlineStr">
        <is>
          <t>Miss Glam Jambi</t>
        </is>
      </c>
      <c r="E5124" t="n">
        <v>3</v>
      </c>
      <c r="F5124" t="n">
        <v>0.0231</v>
      </c>
      <c r="G5124" t="n">
        <v>0.33</v>
      </c>
      <c r="H5124" t="n">
        <v>1</v>
      </c>
      <c r="I5124" t="n">
        <v>2</v>
      </c>
      <c r="J5124" t="n">
        <v>3</v>
      </c>
      <c r="K5124" t="n">
        <v>0</v>
      </c>
      <c r="L5124" t="n">
        <v>93219</v>
      </c>
      <c r="M5124" t="n">
        <v>117000</v>
      </c>
      <c r="N5124" t="n">
        <v>33</v>
      </c>
      <c r="O5124" t="n">
        <v>0.33</v>
      </c>
      <c r="P5124" t="n">
        <v>1</v>
      </c>
      <c r="Q5124" t="n">
        <v>0.03</v>
      </c>
      <c r="R5124" t="n">
        <v>1</v>
      </c>
      <c r="S5124" t="n">
        <v>2702.7</v>
      </c>
      <c r="T5124" t="n">
        <v>1</v>
      </c>
      <c r="U5124" t="n">
        <v>2</v>
      </c>
      <c r="V5124" t="n">
        <v>30</v>
      </c>
      <c r="W5124" t="n">
        <v>1</v>
      </c>
      <c r="X5124" t="n">
        <v>129.8701298701299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174</v>
      </c>
      <c r="AG5124" t="n">
        <v>3654</v>
      </c>
      <c r="AH5124" t="inlineStr">
        <is>
          <t>CV. BEAUTY PRATAMA - PPN - (BPP)</t>
        </is>
      </c>
      <c r="AI5124" t="n">
        <v>1114</v>
      </c>
      <c r="AJ5124" t="inlineStr">
        <is>
          <t>DORSKIN</t>
        </is>
      </c>
      <c r="AK5124" t="n">
        <v>44</v>
      </c>
      <c r="AL5124" t="inlineStr">
        <is>
          <t>Miss Glam Balikpapan</t>
        </is>
      </c>
      <c r="AM5124" t="n">
        <v>3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EIEM BEAUTY</t>
        </is>
      </c>
      <c r="B5125" s="2">
        <f>"8994455150064"</f>
        <v/>
      </c>
      <c r="C5125" t="inlineStr">
        <is>
          <t>EIEM BEAUTY Natural Sunscreen Spf 50 50ml</t>
        </is>
      </c>
      <c r="D5125" t="inlineStr">
        <is>
          <t>Miss Glam Jambi</t>
        </is>
      </c>
      <c r="E5125" t="n">
        <v>7</v>
      </c>
      <c r="F5125" t="n">
        <v>0.0495</v>
      </c>
      <c r="G5125" t="n">
        <v>0.66</v>
      </c>
      <c r="H5125" t="n">
        <v>1</v>
      </c>
      <c r="I5125" t="n">
        <v>2</v>
      </c>
      <c r="J5125" t="n">
        <v>3</v>
      </c>
      <c r="K5125" t="n">
        <v>0</v>
      </c>
      <c r="L5125" t="n">
        <v>30324</v>
      </c>
      <c r="M5125" t="n">
        <v>37000</v>
      </c>
      <c r="N5125" t="n">
        <v>33</v>
      </c>
      <c r="O5125" t="n">
        <v>0.33</v>
      </c>
      <c r="P5125" t="n">
        <v>1</v>
      </c>
      <c r="Q5125" t="n">
        <v>0.08</v>
      </c>
      <c r="R5125" t="n">
        <v>1</v>
      </c>
      <c r="S5125" t="n">
        <v>1831.5</v>
      </c>
      <c r="T5125" t="n">
        <v>2</v>
      </c>
      <c r="U5125" t="n">
        <v>3</v>
      </c>
      <c r="V5125" t="n">
        <v>30</v>
      </c>
      <c r="W5125" t="n">
        <v>2</v>
      </c>
      <c r="X5125" t="n">
        <v>141.4141414141414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494</v>
      </c>
      <c r="AG5125" t="n">
        <v>107</v>
      </c>
      <c r="AH5125" t="inlineStr">
        <is>
          <t xml:space="preserve">CV. DAHLIA - PPN (PDG) </t>
        </is>
      </c>
      <c r="AI5125" t="n">
        <v>1286</v>
      </c>
      <c r="AJ5125" t="inlineStr">
        <is>
          <t>EIEM BEAUTY</t>
        </is>
      </c>
      <c r="AK5125" t="n">
        <v>7</v>
      </c>
      <c r="AL5125" t="inlineStr">
        <is>
          <t>Miss Glam Padang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EIEM BEAUTY</t>
        </is>
      </c>
      <c r="B5126" s="2">
        <f>"10300725104"</f>
        <v/>
      </c>
      <c r="C5126" t="inlineStr">
        <is>
          <t>EIEM BEAUTY Reti - IV Moisturizer 50gr</t>
        </is>
      </c>
      <c r="D5126" t="inlineStr">
        <is>
          <t>Miss Glam Jambi</t>
        </is>
      </c>
      <c r="E5126" t="n">
        <v>1</v>
      </c>
      <c r="F5126" t="n">
        <v>0.0231</v>
      </c>
      <c r="G5126" t="n">
        <v>0.33</v>
      </c>
      <c r="H5126" t="n">
        <v>1</v>
      </c>
      <c r="I5126" t="n">
        <v>2</v>
      </c>
      <c r="J5126" t="n">
        <v>1</v>
      </c>
      <c r="K5126" t="n">
        <v>0</v>
      </c>
      <c r="L5126" t="n">
        <v>30248</v>
      </c>
      <c r="M5126" t="n">
        <v>40000</v>
      </c>
      <c r="N5126" t="n">
        <v>33</v>
      </c>
      <c r="O5126" t="n">
        <v>0.33</v>
      </c>
      <c r="P5126" t="n">
        <v>1</v>
      </c>
      <c r="Q5126" t="n">
        <v>0.07000000000000001</v>
      </c>
      <c r="R5126" t="n">
        <v>1</v>
      </c>
      <c r="S5126" t="n">
        <v>924.0000000000001</v>
      </c>
      <c r="T5126" t="n">
        <v>1</v>
      </c>
      <c r="U5126" t="n">
        <v>2</v>
      </c>
      <c r="V5126" t="n">
        <v>30</v>
      </c>
      <c r="W5126" t="n">
        <v>1</v>
      </c>
      <c r="X5126" t="n">
        <v>43.29004329004329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494</v>
      </c>
      <c r="AG5126" t="n">
        <v>107</v>
      </c>
      <c r="AH5126" t="inlineStr">
        <is>
          <t xml:space="preserve">CV. DAHLIA - PPN (PDG) </t>
        </is>
      </c>
      <c r="AI5126" t="n">
        <v>1286</v>
      </c>
      <c r="AJ5126" t="inlineStr">
        <is>
          <t>EIEM BEAUTY</t>
        </is>
      </c>
      <c r="AK5126" t="n">
        <v>7</v>
      </c>
      <c r="AL5126" t="inlineStr">
        <is>
          <t>Miss Glam Padang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EIEM BEAUTY</t>
        </is>
      </c>
      <c r="B5127" s="2">
        <f>"8994455150002"</f>
        <v/>
      </c>
      <c r="C5127" t="inlineStr">
        <is>
          <t>EIEM BEAUTY Water Bank Moisturizer 30gr</t>
        </is>
      </c>
      <c r="D5127" t="inlineStr">
        <is>
          <t>Miss Glam Jambi</t>
        </is>
      </c>
      <c r="E5127" t="n">
        <v>1</v>
      </c>
      <c r="F5127" t="n">
        <v>0.1221</v>
      </c>
      <c r="G5127" t="n">
        <v>0.66</v>
      </c>
      <c r="H5127" t="n">
        <v>1</v>
      </c>
      <c r="I5127" t="n">
        <v>2</v>
      </c>
      <c r="J5127" t="n">
        <v>3</v>
      </c>
      <c r="K5127" t="n">
        <v>0</v>
      </c>
      <c r="L5127" t="n">
        <v>29412</v>
      </c>
      <c r="M5127" t="n">
        <v>37000</v>
      </c>
      <c r="N5127" t="n">
        <v>33</v>
      </c>
      <c r="O5127" t="n">
        <v>0.33</v>
      </c>
      <c r="P5127" t="n">
        <v>1</v>
      </c>
      <c r="Q5127" t="n">
        <v>0.12</v>
      </c>
      <c r="R5127" t="n">
        <v>1</v>
      </c>
      <c r="S5127" t="n">
        <v>4517.7</v>
      </c>
      <c r="T5127" t="n">
        <v>2</v>
      </c>
      <c r="U5127" t="n">
        <v>3</v>
      </c>
      <c r="V5127" t="n">
        <v>30</v>
      </c>
      <c r="W5127" t="n">
        <v>4</v>
      </c>
      <c r="X5127" t="n">
        <v>8.190008190008189</v>
      </c>
      <c r="Y5127" t="n">
        <v>1</v>
      </c>
      <c r="Z5127" t="n">
        <v>3</v>
      </c>
      <c r="AA5127" t="n">
        <v>0</v>
      </c>
      <c r="AB5127" t="n">
        <v>3</v>
      </c>
      <c r="AC5127" t="n">
        <v>3</v>
      </c>
      <c r="AD5127" t="n">
        <v>0</v>
      </c>
      <c r="AE5127" t="n">
        <v>88236</v>
      </c>
      <c r="AF5127" t="n">
        <v>494</v>
      </c>
      <c r="AG5127" t="n">
        <v>107</v>
      </c>
      <c r="AH5127" t="inlineStr">
        <is>
          <t xml:space="preserve">CV. DAHLIA - PPN (PDG) </t>
        </is>
      </c>
      <c r="AI5127" t="n">
        <v>1286</v>
      </c>
      <c r="AJ5127" t="inlineStr">
        <is>
          <t>EIEM BEAUTY</t>
        </is>
      </c>
      <c r="AK5127" t="n">
        <v>7</v>
      </c>
      <c r="AL5127" t="inlineStr">
        <is>
          <t>Miss Glam Padang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ELFORMULA</t>
        </is>
      </c>
      <c r="B5128" s="2">
        <f>"725765154262"</f>
        <v/>
      </c>
      <c r="C5128" t="inlineStr">
        <is>
          <t>ELFORMULA Cerahydro Barrier Moisture Gel 50ml</t>
        </is>
      </c>
      <c r="D5128" t="inlineStr">
        <is>
          <t>Miss Glam Jambi</t>
        </is>
      </c>
      <c r="E5128" t="n">
        <v>5</v>
      </c>
      <c r="F5128" t="n">
        <v>0.3201</v>
      </c>
      <c r="G5128" t="n">
        <v>1.32</v>
      </c>
      <c r="H5128" t="n">
        <v>1</v>
      </c>
      <c r="I5128" t="n">
        <v>2</v>
      </c>
      <c r="J5128" t="n">
        <v>3</v>
      </c>
      <c r="K5128" t="n">
        <v>0</v>
      </c>
      <c r="L5128" t="n">
        <v>108800</v>
      </c>
      <c r="M5128" t="n">
        <v>128000</v>
      </c>
      <c r="N5128" t="n">
        <v>33</v>
      </c>
      <c r="O5128" t="n">
        <v>0.33</v>
      </c>
      <c r="P5128" t="n">
        <v>1</v>
      </c>
      <c r="Q5128" t="n">
        <v>0.02</v>
      </c>
      <c r="R5128" t="n">
        <v>0</v>
      </c>
      <c r="S5128" t="n">
        <v>40972.8</v>
      </c>
      <c r="T5128" t="n">
        <v>3</v>
      </c>
      <c r="U5128" t="n">
        <v>4</v>
      </c>
      <c r="V5128" t="n">
        <v>30</v>
      </c>
      <c r="W5128" t="n">
        <v>10</v>
      </c>
      <c r="X5128" t="n">
        <v>15.62011871290222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200</v>
      </c>
      <c r="AG5128" t="n">
        <v>2392</v>
      </c>
      <c r="AH5128" t="inlineStr">
        <is>
          <t>CV. BUMI ANGKASA SEJAHTERA  - PPN (BKL)</t>
        </is>
      </c>
      <c r="AI5128" t="n">
        <v>1165</v>
      </c>
      <c r="AJ5128" t="inlineStr">
        <is>
          <t>ELFORMULA</t>
        </is>
      </c>
      <c r="AK5128" t="n">
        <v>18</v>
      </c>
      <c r="AL5128" t="inlineStr">
        <is>
          <t>Miss Glam Bengkulu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ELFORMULA</t>
        </is>
      </c>
      <c r="B5129" s="2">
        <f>"725765154231"</f>
        <v/>
      </c>
      <c r="C5129" t="inlineStr">
        <is>
          <t>ELFORMULA Cerahydro Barrier Serum</t>
        </is>
      </c>
      <c r="D5129" t="inlineStr">
        <is>
          <t>Miss Glam Jambi</t>
        </is>
      </c>
      <c r="E5129" t="n">
        <v>7</v>
      </c>
      <c r="F5129" t="n">
        <v>0.02</v>
      </c>
      <c r="G5129" t="n">
        <v>0</v>
      </c>
      <c r="H5129" t="n">
        <v>1</v>
      </c>
      <c r="I5129" t="n">
        <v>2</v>
      </c>
      <c r="J5129" t="n">
        <v>3</v>
      </c>
      <c r="K5129" t="n">
        <v>0</v>
      </c>
      <c r="L5129" t="n">
        <v>124200</v>
      </c>
      <c r="M5129" t="n">
        <v>146500</v>
      </c>
      <c r="N5129" t="n">
        <v>33</v>
      </c>
      <c r="O5129" t="n">
        <v>0.33</v>
      </c>
      <c r="P5129" t="n">
        <v>0</v>
      </c>
      <c r="Q5129" t="n">
        <v>0.02</v>
      </c>
      <c r="R5129" t="n">
        <v>0</v>
      </c>
      <c r="S5129" t="n">
        <v>2930</v>
      </c>
      <c r="T5129" t="n">
        <v>0</v>
      </c>
      <c r="U5129" t="n">
        <v>1</v>
      </c>
      <c r="V5129" t="n">
        <v>30</v>
      </c>
      <c r="W5129" t="n">
        <v>1</v>
      </c>
      <c r="X5129" t="n">
        <v>350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200</v>
      </c>
      <c r="AG5129" t="n">
        <v>2392</v>
      </c>
      <c r="AH5129" t="inlineStr">
        <is>
          <t>CV. BUMI ANGKASA SEJAHTERA  - PPN (BKL)</t>
        </is>
      </c>
      <c r="AI5129" t="n">
        <v>1165</v>
      </c>
      <c r="AJ5129" t="inlineStr">
        <is>
          <t>ELFORMULA</t>
        </is>
      </c>
      <c r="AK5129" t="n">
        <v>18</v>
      </c>
      <c r="AL5129" t="inlineStr">
        <is>
          <t>Miss Glam Bengkulu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ELFORMULA</t>
        </is>
      </c>
      <c r="B5130" s="2">
        <f>"725765154255"</f>
        <v/>
      </c>
      <c r="C5130" t="inlineStr">
        <is>
          <t>ELFORMULA CeraHydro Barrier Sunscreen SPF 50+++ 50ml</t>
        </is>
      </c>
      <c r="D5130" t="inlineStr">
        <is>
          <t>Miss Glam Jambi</t>
        </is>
      </c>
      <c r="E5130" t="n">
        <v>1</v>
      </c>
      <c r="F5130" t="n">
        <v>0.0396</v>
      </c>
      <c r="G5130" t="n">
        <v>0.66</v>
      </c>
      <c r="H5130" t="n">
        <v>1</v>
      </c>
      <c r="I5130" t="n">
        <v>2</v>
      </c>
      <c r="J5130" t="n">
        <v>3</v>
      </c>
      <c r="K5130" t="n">
        <v>0</v>
      </c>
      <c r="L5130" t="n">
        <v>97200</v>
      </c>
      <c r="M5130" t="n">
        <v>114500</v>
      </c>
      <c r="N5130" t="n">
        <v>33</v>
      </c>
      <c r="O5130" t="n">
        <v>0.33</v>
      </c>
      <c r="P5130" t="n">
        <v>1</v>
      </c>
      <c r="Q5130" t="n">
        <v>0.02</v>
      </c>
      <c r="R5130" t="n">
        <v>1</v>
      </c>
      <c r="S5130" t="n">
        <v>4534.200000000001</v>
      </c>
      <c r="T5130" t="n">
        <v>2</v>
      </c>
      <c r="U5130" t="n">
        <v>3</v>
      </c>
      <c r="V5130" t="n">
        <v>30</v>
      </c>
      <c r="W5130" t="n">
        <v>2</v>
      </c>
      <c r="X5130" t="n">
        <v>25.25252525252525</v>
      </c>
      <c r="Y5130" t="n">
        <v>1</v>
      </c>
      <c r="Z5130" t="n">
        <v>1</v>
      </c>
      <c r="AA5130" t="n">
        <v>0</v>
      </c>
      <c r="AB5130" t="n">
        <v>1</v>
      </c>
      <c r="AC5130" t="n">
        <v>3</v>
      </c>
      <c r="AD5130" t="n">
        <v>0</v>
      </c>
      <c r="AE5130" t="n">
        <v>291600</v>
      </c>
      <c r="AF5130" t="n">
        <v>200</v>
      </c>
      <c r="AG5130" t="n">
        <v>2392</v>
      </c>
      <c r="AH5130" t="inlineStr">
        <is>
          <t>CV. BUMI ANGKASA SEJAHTERA  - PPN (BKL)</t>
        </is>
      </c>
      <c r="AI5130" t="n">
        <v>1165</v>
      </c>
      <c r="AJ5130" t="inlineStr">
        <is>
          <t>ELFORMULA</t>
        </is>
      </c>
      <c r="AK5130" t="n">
        <v>18</v>
      </c>
      <c r="AL5130" t="inlineStr">
        <is>
          <t>Miss Glam Bengkulu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ELFORMULA</t>
        </is>
      </c>
      <c r="B5131" s="2">
        <f>"764460290684"</f>
        <v/>
      </c>
      <c r="C5131" t="inlineStr">
        <is>
          <t>ELFORMULA Daily Gentle Low pH Facial Cleanser 100gr</t>
        </is>
      </c>
      <c r="D5131" t="inlineStr">
        <is>
          <t>Miss Glam Jambi</t>
        </is>
      </c>
      <c r="E5131" t="n">
        <v>7</v>
      </c>
      <c r="F5131" t="n">
        <v>0.0231</v>
      </c>
      <c r="G5131" t="n">
        <v>0.66</v>
      </c>
      <c r="H5131" t="n">
        <v>1</v>
      </c>
      <c r="I5131" t="n">
        <v>2</v>
      </c>
      <c r="J5131" t="n">
        <v>3</v>
      </c>
      <c r="K5131" t="n">
        <v>0</v>
      </c>
      <c r="L5131" t="n">
        <v>79709</v>
      </c>
      <c r="M5131" t="n">
        <v>145000</v>
      </c>
      <c r="N5131" t="n">
        <v>33</v>
      </c>
      <c r="O5131" t="n">
        <v>0.33</v>
      </c>
      <c r="P5131" t="n">
        <v>1</v>
      </c>
      <c r="Q5131" t="n">
        <v>0.02</v>
      </c>
      <c r="R5131" t="n">
        <v>1</v>
      </c>
      <c r="S5131" t="n">
        <v>3349.5</v>
      </c>
      <c r="T5131" t="n">
        <v>2</v>
      </c>
      <c r="U5131" t="n">
        <v>3</v>
      </c>
      <c r="V5131" t="n">
        <v>30</v>
      </c>
      <c r="W5131" t="n">
        <v>1</v>
      </c>
      <c r="X5131" t="n">
        <v>303.030303030303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200</v>
      </c>
      <c r="AG5131" t="n">
        <v>2392</v>
      </c>
      <c r="AH5131" t="inlineStr">
        <is>
          <t>CV. BUMI ANGKASA SEJAHTERA  - PPN (BKL)</t>
        </is>
      </c>
      <c r="AI5131" t="n">
        <v>1165</v>
      </c>
      <c r="AJ5131" t="inlineStr">
        <is>
          <t>ELFORMULA</t>
        </is>
      </c>
      <c r="AK5131" t="n">
        <v>18</v>
      </c>
      <c r="AL5131" t="inlineStr">
        <is>
          <t>Miss Glam Bengkulu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ELFORMULA</t>
        </is>
      </c>
      <c r="B5132" s="2">
        <f>"764460145090"</f>
        <v/>
      </c>
      <c r="C5132" t="inlineStr">
        <is>
          <t>ELFORMULA Intensive Peeling Solution 35gr</t>
        </is>
      </c>
      <c r="D5132" t="inlineStr">
        <is>
          <t>Miss Glam Jambi</t>
        </is>
      </c>
      <c r="E5132" t="n">
        <v>15</v>
      </c>
      <c r="F5132" t="n">
        <v>0.4422</v>
      </c>
      <c r="G5132" t="n">
        <v>1.98</v>
      </c>
      <c r="H5132" t="n">
        <v>1</v>
      </c>
      <c r="I5132" t="n">
        <v>2</v>
      </c>
      <c r="J5132" t="n">
        <v>6</v>
      </c>
      <c r="K5132" t="n">
        <v>0</v>
      </c>
      <c r="L5132" t="n">
        <v>108800</v>
      </c>
      <c r="M5132" t="n">
        <v>135000</v>
      </c>
      <c r="N5132" t="n">
        <v>33</v>
      </c>
      <c r="O5132" t="n">
        <v>0.33</v>
      </c>
      <c r="P5132" t="n">
        <v>1</v>
      </c>
      <c r="Q5132" t="n">
        <v>0.2</v>
      </c>
      <c r="R5132" t="n">
        <v>2</v>
      </c>
      <c r="S5132" t="n">
        <v>59697.00000000001</v>
      </c>
      <c r="T5132" t="n">
        <v>4</v>
      </c>
      <c r="U5132" t="n">
        <v>5</v>
      </c>
      <c r="V5132" t="n">
        <v>30</v>
      </c>
      <c r="W5132" t="n">
        <v>14</v>
      </c>
      <c r="X5132" t="n">
        <v>33.921302578019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200</v>
      </c>
      <c r="AG5132" t="n">
        <v>2392</v>
      </c>
      <c r="AH5132" t="inlineStr">
        <is>
          <t>CV. BUMI ANGKASA SEJAHTERA  - PPN (BKL)</t>
        </is>
      </c>
      <c r="AI5132" t="n">
        <v>1165</v>
      </c>
      <c r="AJ5132" t="inlineStr">
        <is>
          <t>ELFORMULA</t>
        </is>
      </c>
      <c r="AK5132" t="n">
        <v>18</v>
      </c>
      <c r="AL5132" t="inlineStr">
        <is>
          <t>Miss Glam Bengkulu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FLIMTY</t>
        </is>
      </c>
      <c r="B5133" s="2">
        <f>"8994453280015"</f>
        <v/>
      </c>
      <c r="C5133" t="inlineStr">
        <is>
          <t>FLIMTY Flimcol Collagen Drink 150gr</t>
        </is>
      </c>
      <c r="D5133" t="inlineStr">
        <is>
          <t>Miss Glam Jambi</t>
        </is>
      </c>
      <c r="E5133" t="n">
        <v>5</v>
      </c>
      <c r="F5133" t="n">
        <v>0.006600000000000001</v>
      </c>
      <c r="G5133" t="n">
        <v>0.33</v>
      </c>
      <c r="H5133" t="n">
        <v>1</v>
      </c>
      <c r="I5133" t="n">
        <v>2</v>
      </c>
      <c r="J5133" t="n">
        <v>3</v>
      </c>
      <c r="K5133" t="n">
        <v>0</v>
      </c>
      <c r="L5133" t="n">
        <v>156001</v>
      </c>
      <c r="M5133" t="n">
        <v>195000</v>
      </c>
      <c r="N5133" t="n">
        <v>33</v>
      </c>
      <c r="O5133" t="n">
        <v>0.33</v>
      </c>
      <c r="P5133" t="n">
        <v>1</v>
      </c>
      <c r="Q5133" t="n">
        <v>0.02</v>
      </c>
      <c r="R5133" t="n">
        <v>1</v>
      </c>
      <c r="S5133" t="n">
        <v>1287</v>
      </c>
      <c r="T5133" t="n">
        <v>1</v>
      </c>
      <c r="U5133" t="n">
        <v>2</v>
      </c>
      <c r="V5133" t="n">
        <v>30</v>
      </c>
      <c r="W5133" t="n">
        <v>1</v>
      </c>
      <c r="X5133" t="n">
        <v>757.5757575757575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inlineStr"/>
      <c r="AG5133" t="inlineStr"/>
      <c r="AH5133" t="inlineStr"/>
      <c r="AI5133" t="n">
        <v>0</v>
      </c>
      <c r="AJ5133" t="inlineStr"/>
      <c r="AK5133" t="n">
        <v>0</v>
      </c>
      <c r="AL5133" t="inlineStr"/>
      <c r="AM5133" t="n">
        <v>0</v>
      </c>
      <c r="AN5133" t="n">
        <v>0</v>
      </c>
      <c r="AO5133" t="n">
        <v>0</v>
      </c>
      <c r="AP5133" t="inlineStr"/>
      <c r="AQ5133" t="inlineStr"/>
    </row>
    <row r="5134">
      <c r="A5134" t="inlineStr">
        <is>
          <t>FLIMTY</t>
        </is>
      </c>
      <c r="B5134" s="2">
        <f>"8997230500863"</f>
        <v/>
      </c>
      <c r="C5134" t="inlineStr">
        <is>
          <t>FLIMTY Minuman Serbuk Rasa Blackcurrant 240gr</t>
        </is>
      </c>
      <c r="D5134" t="inlineStr">
        <is>
          <t>Miss Glam Jambi</t>
        </is>
      </c>
      <c r="E5134" t="n">
        <v>13</v>
      </c>
      <c r="F5134" t="n">
        <v>0.0726</v>
      </c>
      <c r="G5134" t="n">
        <v>0.99</v>
      </c>
      <c r="H5134" t="n">
        <v>1</v>
      </c>
      <c r="I5134" t="n">
        <v>2</v>
      </c>
      <c r="J5134" t="n">
        <v>3</v>
      </c>
      <c r="K5134" t="n">
        <v>0</v>
      </c>
      <c r="L5134" t="n">
        <v>212400</v>
      </c>
      <c r="M5134" t="n">
        <v>249000</v>
      </c>
      <c r="N5134" t="n">
        <v>33</v>
      </c>
      <c r="O5134" t="n">
        <v>0.33</v>
      </c>
      <c r="P5134" t="n">
        <v>1</v>
      </c>
      <c r="Q5134" t="n">
        <v>0.22</v>
      </c>
      <c r="R5134" t="n">
        <v>2</v>
      </c>
      <c r="S5134" t="n">
        <v>18077.4</v>
      </c>
      <c r="T5134" t="n">
        <v>2</v>
      </c>
      <c r="U5134" t="n">
        <v>3</v>
      </c>
      <c r="V5134" t="n">
        <v>30</v>
      </c>
      <c r="W5134" t="n">
        <v>3</v>
      </c>
      <c r="X5134" t="n">
        <v>179.0633608815427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inlineStr"/>
      <c r="AG5134" t="inlineStr"/>
      <c r="AH5134" t="inlineStr"/>
      <c r="AI5134" t="n">
        <v>0</v>
      </c>
      <c r="AJ5134" t="inlineStr"/>
      <c r="AK5134" t="n">
        <v>0</v>
      </c>
      <c r="AL5134" t="inlineStr"/>
      <c r="AM5134" t="n">
        <v>0</v>
      </c>
      <c r="AN5134" t="n">
        <v>0</v>
      </c>
      <c r="AO5134" t="n">
        <v>0</v>
      </c>
      <c r="AP5134" t="inlineStr"/>
      <c r="AQ5134" t="inlineStr"/>
    </row>
    <row r="5135">
      <c r="A5135" t="inlineStr">
        <is>
          <t>FLIMTY</t>
        </is>
      </c>
      <c r="B5135" s="2">
        <f>"60100301747"</f>
        <v/>
      </c>
      <c r="C5135" t="inlineStr">
        <is>
          <t>FLIMTY Minuman Serbuk Rasa Blackcurrant sachet @15gr</t>
        </is>
      </c>
      <c r="D5135" t="inlineStr">
        <is>
          <t>Miss Glam Jambi</t>
        </is>
      </c>
      <c r="E5135" t="n">
        <v>16</v>
      </c>
      <c r="F5135" t="n">
        <v>0.75</v>
      </c>
      <c r="G5135" t="n">
        <v>5</v>
      </c>
      <c r="H5135" t="n">
        <v>1</v>
      </c>
      <c r="I5135" t="n">
        <v>2</v>
      </c>
      <c r="J5135" t="n">
        <v>3</v>
      </c>
      <c r="K5135" t="n">
        <v>0</v>
      </c>
      <c r="L5135" t="n">
        <v>13178</v>
      </c>
      <c r="M5135" t="n">
        <v>20000</v>
      </c>
      <c r="N5135" t="n">
        <v>33</v>
      </c>
      <c r="O5135" t="n">
        <v>0.33</v>
      </c>
      <c r="P5135" t="n">
        <v>0</v>
      </c>
      <c r="Q5135" t="n">
        <v>0.75</v>
      </c>
      <c r="R5135" t="n">
        <v>5</v>
      </c>
      <c r="S5135" t="n">
        <v>15000</v>
      </c>
      <c r="T5135" t="n">
        <v>10</v>
      </c>
      <c r="U5135" t="n">
        <v>11</v>
      </c>
      <c r="V5135" t="n">
        <v>30</v>
      </c>
      <c r="W5135" t="n">
        <v>23</v>
      </c>
      <c r="X5135" t="n">
        <v>21.33333333333333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inlineStr"/>
      <c r="AG5135" t="inlineStr"/>
      <c r="AH5135" t="inlineStr"/>
      <c r="AI5135" t="n">
        <v>0</v>
      </c>
      <c r="AJ5135" t="inlineStr"/>
      <c r="AK5135" t="n">
        <v>0</v>
      </c>
      <c r="AL5135" t="inlineStr"/>
      <c r="AM5135" t="n">
        <v>0</v>
      </c>
      <c r="AN5135" t="n">
        <v>0</v>
      </c>
      <c r="AO5135" t="n">
        <v>0</v>
      </c>
      <c r="AP5135" t="inlineStr"/>
      <c r="AQ5135" t="inlineStr"/>
    </row>
    <row r="5136">
      <c r="A5136" t="inlineStr">
        <is>
          <t>FLIMTY</t>
        </is>
      </c>
      <c r="B5136" s="2">
        <f>"8997236237091"</f>
        <v/>
      </c>
      <c r="C5136" t="inlineStr">
        <is>
          <t>FLIMTY Minuman Serbuk Rasa Mangga Sachet @15gr</t>
        </is>
      </c>
      <c r="D5136" t="inlineStr">
        <is>
          <t>Miss Glam Jambi</t>
        </is>
      </c>
      <c r="E5136" t="n">
        <v>5</v>
      </c>
      <c r="F5136" t="n">
        <v>0.9</v>
      </c>
      <c r="G5136" t="n">
        <v>7</v>
      </c>
      <c r="H5136" t="n">
        <v>1</v>
      </c>
      <c r="I5136" t="n">
        <v>2</v>
      </c>
      <c r="J5136" t="n">
        <v>3</v>
      </c>
      <c r="K5136" t="n">
        <v>24</v>
      </c>
      <c r="L5136" t="n">
        <v>13178</v>
      </c>
      <c r="M5136" t="n">
        <v>20000</v>
      </c>
      <c r="N5136" t="n">
        <v>33</v>
      </c>
      <c r="O5136" t="n">
        <v>0.33</v>
      </c>
      <c r="P5136" t="n">
        <v>0</v>
      </c>
      <c r="Q5136" t="n">
        <v>0.9</v>
      </c>
      <c r="R5136" t="n">
        <v>7</v>
      </c>
      <c r="S5136" t="n">
        <v>18000</v>
      </c>
      <c r="T5136" t="n">
        <v>14</v>
      </c>
      <c r="U5136" t="n">
        <v>15</v>
      </c>
      <c r="V5136" t="n">
        <v>30</v>
      </c>
      <c r="W5136" t="n">
        <v>27</v>
      </c>
      <c r="X5136" t="n">
        <v>5.555555555555555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inlineStr"/>
      <c r="AG5136" t="inlineStr"/>
      <c r="AH5136" t="inlineStr"/>
      <c r="AI5136" t="n">
        <v>0</v>
      </c>
      <c r="AJ5136" t="inlineStr"/>
      <c r="AK5136" t="n">
        <v>0</v>
      </c>
      <c r="AL5136" t="inlineStr"/>
      <c r="AM5136" t="n">
        <v>0</v>
      </c>
      <c r="AN5136" t="n">
        <v>0</v>
      </c>
      <c r="AO5136" t="n">
        <v>0</v>
      </c>
      <c r="AP5136" t="inlineStr"/>
      <c r="AQ5136" t="inlineStr"/>
    </row>
    <row r="5137">
      <c r="A5137" t="inlineStr">
        <is>
          <t>FLIMTY</t>
        </is>
      </c>
      <c r="B5137" s="2">
        <f>"8997236237084"</f>
        <v/>
      </c>
      <c r="C5137" t="inlineStr">
        <is>
          <t>FLIMTY Minuman Serbuk Rasa Mango 240gr</t>
        </is>
      </c>
      <c r="D5137" t="inlineStr">
        <is>
          <t>Miss Glam Jambi</t>
        </is>
      </c>
      <c r="E5137" t="n">
        <v>5</v>
      </c>
      <c r="F5137" t="n">
        <v>0.15</v>
      </c>
      <c r="G5137" t="n">
        <v>1</v>
      </c>
      <c r="H5137" t="n">
        <v>1</v>
      </c>
      <c r="I5137" t="n">
        <v>2</v>
      </c>
      <c r="J5137" t="n">
        <v>3</v>
      </c>
      <c r="K5137" t="n">
        <v>0</v>
      </c>
      <c r="L5137" t="n">
        <v>209393</v>
      </c>
      <c r="M5137" t="n">
        <v>249000</v>
      </c>
      <c r="N5137" t="n">
        <v>33</v>
      </c>
      <c r="O5137" t="n">
        <v>0.33</v>
      </c>
      <c r="P5137" t="n">
        <v>0</v>
      </c>
      <c r="Q5137" t="n">
        <v>0.15</v>
      </c>
      <c r="R5137" t="n">
        <v>1</v>
      </c>
      <c r="S5137" t="n">
        <v>37350</v>
      </c>
      <c r="T5137" t="n">
        <v>2</v>
      </c>
      <c r="U5137" t="n">
        <v>3</v>
      </c>
      <c r="V5137" t="n">
        <v>30</v>
      </c>
      <c r="W5137" t="n">
        <v>5</v>
      </c>
      <c r="X5137" t="n">
        <v>33.33333333333334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inlineStr"/>
      <c r="AG5137" t="inlineStr"/>
      <c r="AH5137" t="inlineStr"/>
      <c r="AI5137" t="n">
        <v>0</v>
      </c>
      <c r="AJ5137" t="inlineStr"/>
      <c r="AK5137" t="n">
        <v>0</v>
      </c>
      <c r="AL5137" t="inlineStr"/>
      <c r="AM5137" t="n">
        <v>0</v>
      </c>
      <c r="AN5137" t="n">
        <v>0</v>
      </c>
      <c r="AO5137" t="n">
        <v>0</v>
      </c>
      <c r="AP5137" t="inlineStr"/>
      <c r="AQ5137" t="inlineStr"/>
    </row>
    <row r="5138">
      <c r="A5138" t="inlineStr">
        <is>
          <t>FLIMTY</t>
        </is>
      </c>
      <c r="B5138" s="2">
        <f>"19996230582"</f>
        <v/>
      </c>
      <c r="C5138" t="inlineStr">
        <is>
          <t>FLIMTY Minuman Serbuk Rasa Rasberry 240gr</t>
        </is>
      </c>
      <c r="D5138" t="inlineStr">
        <is>
          <t>Miss Glam Jambi</t>
        </is>
      </c>
      <c r="E5138" t="n">
        <v>5</v>
      </c>
      <c r="F5138" t="n">
        <v>0.033</v>
      </c>
      <c r="G5138" t="n">
        <v>0.66</v>
      </c>
      <c r="H5138" t="n">
        <v>1</v>
      </c>
      <c r="I5138" t="n">
        <v>2</v>
      </c>
      <c r="J5138" t="n">
        <v>3</v>
      </c>
      <c r="K5138" t="n">
        <v>0</v>
      </c>
      <c r="L5138" t="n">
        <v>193614</v>
      </c>
      <c r="M5138" t="n">
        <v>249000</v>
      </c>
      <c r="N5138" t="n">
        <v>33</v>
      </c>
      <c r="O5138" t="n">
        <v>0.33</v>
      </c>
      <c r="P5138" t="n">
        <v>1</v>
      </c>
      <c r="Q5138" t="n">
        <v>0.07000000000000001</v>
      </c>
      <c r="R5138" t="n">
        <v>1</v>
      </c>
      <c r="S5138" t="n">
        <v>8217</v>
      </c>
      <c r="T5138" t="n">
        <v>2</v>
      </c>
      <c r="U5138" t="n">
        <v>3</v>
      </c>
      <c r="V5138" t="n">
        <v>30</v>
      </c>
      <c r="W5138" t="n">
        <v>1</v>
      </c>
      <c r="X5138" t="n">
        <v>151.5151515151515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inlineStr"/>
      <c r="AG5138" t="inlineStr"/>
      <c r="AH5138" t="inlineStr"/>
      <c r="AI5138" t="n">
        <v>0</v>
      </c>
      <c r="AJ5138" t="inlineStr"/>
      <c r="AK5138" t="n">
        <v>0</v>
      </c>
      <c r="AL5138" t="inlineStr"/>
      <c r="AM5138" t="n">
        <v>0</v>
      </c>
      <c r="AN5138" t="n">
        <v>0</v>
      </c>
      <c r="AO5138" t="n">
        <v>0</v>
      </c>
      <c r="AP5138" t="inlineStr"/>
      <c r="AQ5138" t="inlineStr"/>
    </row>
    <row r="5139">
      <c r="A5139" t="inlineStr">
        <is>
          <t>FLIMTY</t>
        </is>
      </c>
      <c r="B5139" s="2">
        <f>"8997230500856"</f>
        <v/>
      </c>
      <c r="C5139" t="inlineStr">
        <is>
          <t>FLIMTY Minuman Serbuk Rasa Raspberry Sachet @15gr</t>
        </is>
      </c>
      <c r="D5139" t="inlineStr">
        <is>
          <t>Miss Glam Jambi</t>
        </is>
      </c>
      <c r="E5139" t="n">
        <v>1</v>
      </c>
      <c r="F5139" t="n">
        <v>0.75</v>
      </c>
      <c r="G5139" t="n">
        <v>5</v>
      </c>
      <c r="H5139" t="n">
        <v>1</v>
      </c>
      <c r="I5139" t="n">
        <v>2</v>
      </c>
      <c r="J5139" t="n">
        <v>3</v>
      </c>
      <c r="K5139" t="n">
        <v>22</v>
      </c>
      <c r="L5139" t="n">
        <v>13178</v>
      </c>
      <c r="M5139" t="n">
        <v>20000</v>
      </c>
      <c r="N5139" t="n">
        <v>33</v>
      </c>
      <c r="O5139" t="n">
        <v>0.33</v>
      </c>
      <c r="P5139" t="n">
        <v>0</v>
      </c>
      <c r="Q5139" t="n">
        <v>0.75</v>
      </c>
      <c r="R5139" t="n">
        <v>5</v>
      </c>
      <c r="S5139" t="n">
        <v>15000</v>
      </c>
      <c r="T5139" t="n">
        <v>10</v>
      </c>
      <c r="U5139" t="n">
        <v>11</v>
      </c>
      <c r="V5139" t="n">
        <v>30</v>
      </c>
      <c r="W5139" t="n">
        <v>23</v>
      </c>
      <c r="X5139" t="n">
        <v>1.333333333333333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inlineStr"/>
      <c r="AG5139" t="inlineStr"/>
      <c r="AH5139" t="inlineStr"/>
      <c r="AI5139" t="n">
        <v>0</v>
      </c>
      <c r="AJ5139" t="inlineStr"/>
      <c r="AK5139" t="n">
        <v>0</v>
      </c>
      <c r="AL5139" t="inlineStr"/>
      <c r="AM5139" t="n">
        <v>0</v>
      </c>
      <c r="AN5139" t="n">
        <v>0</v>
      </c>
      <c r="AO5139" t="n">
        <v>0</v>
      </c>
      <c r="AP5139" t="inlineStr"/>
      <c r="AQ5139" t="inlineStr"/>
    </row>
    <row r="5140">
      <c r="A5140" t="inlineStr">
        <is>
          <t>GLOOWBI</t>
        </is>
      </c>
      <c r="B5140" s="2">
        <f>"10300146854"</f>
        <v/>
      </c>
      <c r="C5140" t="inlineStr">
        <is>
          <t>GLOOWBI Bright Skin Tone Up Day Cream 15ml</t>
        </is>
      </c>
      <c r="D5140" t="inlineStr">
        <is>
          <t>Miss Glam Jambi</t>
        </is>
      </c>
      <c r="E5140" t="n">
        <v>4</v>
      </c>
      <c r="F5140" t="n">
        <v>0.1221</v>
      </c>
      <c r="G5140" t="n">
        <v>0.66</v>
      </c>
      <c r="H5140" t="n">
        <v>1</v>
      </c>
      <c r="I5140" t="n">
        <v>2</v>
      </c>
      <c r="J5140" t="n">
        <v>1</v>
      </c>
      <c r="K5140" t="n">
        <v>0</v>
      </c>
      <c r="L5140" t="n">
        <v>28133</v>
      </c>
      <c r="M5140" t="n">
        <v>33500</v>
      </c>
      <c r="N5140" t="n">
        <v>33</v>
      </c>
      <c r="O5140" t="n">
        <v>0.33</v>
      </c>
      <c r="P5140" t="n">
        <v>1</v>
      </c>
      <c r="Q5140" t="n">
        <v>0.07000000000000001</v>
      </c>
      <c r="R5140" t="n">
        <v>1</v>
      </c>
      <c r="S5140" t="n">
        <v>4090.35</v>
      </c>
      <c r="T5140" t="n">
        <v>2</v>
      </c>
      <c r="U5140" t="n">
        <v>3</v>
      </c>
      <c r="V5140" t="n">
        <v>30</v>
      </c>
      <c r="W5140" t="n">
        <v>4</v>
      </c>
      <c r="X5140" t="n">
        <v>32.76003276003276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175</v>
      </c>
      <c r="AG5140" t="n">
        <v>3654</v>
      </c>
      <c r="AH5140" t="inlineStr">
        <is>
          <t>CV. BEAUTY PRATAMA - PPN - (BPP)</t>
        </is>
      </c>
      <c r="AI5140" t="n">
        <v>2119</v>
      </c>
      <c r="AJ5140" t="inlineStr">
        <is>
          <t>GLOOWBI</t>
        </is>
      </c>
      <c r="AK5140" t="n">
        <v>44</v>
      </c>
      <c r="AL5140" t="inlineStr">
        <is>
          <t>Miss Glam Balikpapan</t>
        </is>
      </c>
      <c r="AM5140" t="n">
        <v>3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GLOOWBI</t>
        </is>
      </c>
      <c r="B5141" s="2">
        <f>"10400514701"</f>
        <v/>
      </c>
      <c r="C5141" t="inlineStr">
        <is>
          <t>GLOOWBI Glass Skin Sunscreen SPF 40 PA+++ 50ml</t>
        </is>
      </c>
      <c r="D5141" t="inlineStr">
        <is>
          <t>Miss Glam Jambi</t>
        </is>
      </c>
      <c r="E5141" t="n">
        <v>62</v>
      </c>
      <c r="F5141" t="n">
        <v>1.6236</v>
      </c>
      <c r="G5141" t="n">
        <v>5.28</v>
      </c>
      <c r="H5141" t="n">
        <v>1</v>
      </c>
      <c r="I5141" t="n">
        <v>2</v>
      </c>
      <c r="J5141" t="n">
        <v>3</v>
      </c>
      <c r="K5141" t="n">
        <v>0</v>
      </c>
      <c r="L5141" t="n">
        <v>38483</v>
      </c>
      <c r="M5141" t="n">
        <v>56500</v>
      </c>
      <c r="N5141" t="n">
        <v>33</v>
      </c>
      <c r="O5141" t="n">
        <v>0.33</v>
      </c>
      <c r="P5141" t="n">
        <v>1</v>
      </c>
      <c r="Q5141" t="n">
        <v>1.05</v>
      </c>
      <c r="R5141" t="n">
        <v>5</v>
      </c>
      <c r="S5141" t="n">
        <v>91733.40000000001</v>
      </c>
      <c r="T5141" t="n">
        <v>9</v>
      </c>
      <c r="U5141" t="n">
        <v>11</v>
      </c>
      <c r="V5141" t="n">
        <v>30</v>
      </c>
      <c r="W5141" t="n">
        <v>49</v>
      </c>
      <c r="X5141" t="n">
        <v>38.18674550381867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175</v>
      </c>
      <c r="AG5141" t="n">
        <v>3654</v>
      </c>
      <c r="AH5141" t="inlineStr">
        <is>
          <t>CV. BEAUTY PRATAMA - PPN - (BPP)</t>
        </is>
      </c>
      <c r="AI5141" t="n">
        <v>2119</v>
      </c>
      <c r="AJ5141" t="inlineStr">
        <is>
          <t>GLOOWBI</t>
        </is>
      </c>
      <c r="AK5141" t="n">
        <v>44</v>
      </c>
      <c r="AL5141" t="inlineStr">
        <is>
          <t>Miss Glam Balikpapan</t>
        </is>
      </c>
      <c r="AM5141" t="n">
        <v>3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GLOOWBI</t>
        </is>
      </c>
      <c r="B5142" s="2">
        <f>"101001114918"</f>
        <v/>
      </c>
      <c r="C5142" t="inlineStr">
        <is>
          <t>GLOOWBI Low Ph Bright Facial Wash Cleanse Your Skin Centella Asiatica Extract Niacinamide 120ml</t>
        </is>
      </c>
      <c r="D5142" t="inlineStr">
        <is>
          <t>Miss Glam Jambi</t>
        </is>
      </c>
      <c r="E5142" t="n">
        <v>6</v>
      </c>
      <c r="F5142" t="n">
        <v>0.2013</v>
      </c>
      <c r="G5142" t="n">
        <v>0.99</v>
      </c>
      <c r="H5142" t="n">
        <v>1</v>
      </c>
      <c r="I5142" t="n">
        <v>2</v>
      </c>
      <c r="J5142" t="n">
        <v>1</v>
      </c>
      <c r="K5142" t="n">
        <v>0</v>
      </c>
      <c r="L5142" t="n">
        <v>27590</v>
      </c>
      <c r="M5142" t="n">
        <v>32500</v>
      </c>
      <c r="N5142" t="n">
        <v>33</v>
      </c>
      <c r="O5142" t="n">
        <v>0.33</v>
      </c>
      <c r="P5142" t="n">
        <v>1</v>
      </c>
      <c r="Q5142" t="n">
        <v>0.12</v>
      </c>
      <c r="R5142" t="n">
        <v>2</v>
      </c>
      <c r="S5142" t="n">
        <v>6542.25</v>
      </c>
      <c r="T5142" t="n">
        <v>2</v>
      </c>
      <c r="U5142" t="n">
        <v>3</v>
      </c>
      <c r="V5142" t="n">
        <v>30</v>
      </c>
      <c r="W5142" t="n">
        <v>7</v>
      </c>
      <c r="X5142" t="n">
        <v>29.80625931445604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175</v>
      </c>
      <c r="AG5142" t="n">
        <v>3654</v>
      </c>
      <c r="AH5142" t="inlineStr">
        <is>
          <t>CV. BEAUTY PRATAMA - PPN - (BPP)</t>
        </is>
      </c>
      <c r="AI5142" t="n">
        <v>2119</v>
      </c>
      <c r="AJ5142" t="inlineStr">
        <is>
          <t>GLOOWBI</t>
        </is>
      </c>
      <c r="AK5142" t="n">
        <v>44</v>
      </c>
      <c r="AL5142" t="inlineStr">
        <is>
          <t>Miss Glam Balikpapan</t>
        </is>
      </c>
      <c r="AM5142" t="n">
        <v>3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GOSMILE</t>
        </is>
      </c>
      <c r="B5143" s="2">
        <f>"6957148427999"</f>
        <v/>
      </c>
      <c r="C5143" t="inlineStr">
        <is>
          <t>GO SMILE Clean And Shine 100gr</t>
        </is>
      </c>
      <c r="D5143" t="inlineStr">
        <is>
          <t>Miss Glam Jambi</t>
        </is>
      </c>
      <c r="E5143" t="n">
        <v>3</v>
      </c>
      <c r="F5143" t="n">
        <v>0.0264</v>
      </c>
      <c r="G5143" t="n">
        <v>0.33</v>
      </c>
      <c r="H5143" t="n">
        <v>1</v>
      </c>
      <c r="I5143" t="n">
        <v>2</v>
      </c>
      <c r="J5143" t="n">
        <v>3</v>
      </c>
      <c r="K5143" t="n">
        <v>0</v>
      </c>
      <c r="L5143" t="n">
        <v>17807</v>
      </c>
      <c r="M5143" t="n">
        <v>35000</v>
      </c>
      <c r="N5143" t="n">
        <v>33</v>
      </c>
      <c r="O5143" t="n">
        <v>0.33</v>
      </c>
      <c r="P5143" t="n">
        <v>1</v>
      </c>
      <c r="Q5143" t="n">
        <v>0.05</v>
      </c>
      <c r="R5143" t="n">
        <v>1</v>
      </c>
      <c r="S5143" t="n">
        <v>924.0000000000001</v>
      </c>
      <c r="T5143" t="n">
        <v>1</v>
      </c>
      <c r="U5143" t="n">
        <v>2</v>
      </c>
      <c r="V5143" t="n">
        <v>30</v>
      </c>
      <c r="W5143" t="n">
        <v>1</v>
      </c>
      <c r="X5143" t="n">
        <v>113.6363636363636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inlineStr"/>
      <c r="AG5143" t="inlineStr"/>
      <c r="AH5143" t="inlineStr"/>
      <c r="AI5143" t="n">
        <v>0</v>
      </c>
      <c r="AJ5143" t="inlineStr"/>
      <c r="AK5143" t="n">
        <v>0</v>
      </c>
      <c r="AL5143" t="inlineStr"/>
      <c r="AM5143" t="n">
        <v>0</v>
      </c>
      <c r="AN5143" t="n">
        <v>0</v>
      </c>
      <c r="AO5143" t="n">
        <v>0</v>
      </c>
      <c r="AP5143" t="inlineStr"/>
      <c r="AQ5143" t="inlineStr"/>
    </row>
    <row r="5144">
      <c r="A5144" t="inlineStr">
        <is>
          <t>GOSMILE</t>
        </is>
      </c>
      <c r="B5144" s="2">
        <f>"6957148438391"</f>
        <v/>
      </c>
      <c r="C5144" t="inlineStr">
        <is>
          <t>GOSMILE Bad Breath Go Away Mouthspray Citrus 10ml</t>
        </is>
      </c>
      <c r="D5144" t="inlineStr">
        <is>
          <t>Miss Glam Jambi</t>
        </is>
      </c>
      <c r="E5144" t="n">
        <v>0</v>
      </c>
      <c r="F5144" t="n">
        <v>0.02</v>
      </c>
      <c r="G5144" t="n">
        <v>1</v>
      </c>
      <c r="H5144" t="n">
        <v>1</v>
      </c>
      <c r="I5144" t="n">
        <v>2</v>
      </c>
      <c r="J5144" t="n">
        <v>3</v>
      </c>
      <c r="K5144" t="n">
        <v>0</v>
      </c>
      <c r="L5144" t="n">
        <v>45206</v>
      </c>
      <c r="M5144" t="n">
        <v>58500</v>
      </c>
      <c r="N5144" t="n">
        <v>33</v>
      </c>
      <c r="O5144" t="n">
        <v>0.33</v>
      </c>
      <c r="P5144" t="n">
        <v>0</v>
      </c>
      <c r="Q5144" t="n">
        <v>0.02</v>
      </c>
      <c r="R5144" t="n">
        <v>1</v>
      </c>
      <c r="S5144" t="n">
        <v>1170</v>
      </c>
      <c r="T5144" t="n">
        <v>2</v>
      </c>
      <c r="U5144" t="n">
        <v>3</v>
      </c>
      <c r="V5144" t="n">
        <v>30</v>
      </c>
      <c r="W5144" t="n">
        <v>1</v>
      </c>
      <c r="X5144" t="n">
        <v>0</v>
      </c>
      <c r="Y5144" t="n">
        <v>1</v>
      </c>
      <c r="Z5144" t="n">
        <v>1</v>
      </c>
      <c r="AA5144" t="n">
        <v>1</v>
      </c>
      <c r="AB5144" t="n">
        <v>0</v>
      </c>
      <c r="AC5144" t="n">
        <v>0</v>
      </c>
      <c r="AD5144" t="n">
        <v>45206</v>
      </c>
      <c r="AE5144" t="n">
        <v>0</v>
      </c>
      <c r="AF5144" t="inlineStr"/>
      <c r="AG5144" t="inlineStr"/>
      <c r="AH5144" t="inlineStr"/>
      <c r="AI5144" t="n">
        <v>0</v>
      </c>
      <c r="AJ5144" t="inlineStr"/>
      <c r="AK5144" t="n">
        <v>0</v>
      </c>
      <c r="AL5144" t="inlineStr"/>
      <c r="AM5144" t="n">
        <v>0</v>
      </c>
      <c r="AN5144" t="n">
        <v>0</v>
      </c>
      <c r="AO5144" t="n">
        <v>0</v>
      </c>
      <c r="AP5144" t="inlineStr"/>
      <c r="AQ5144" t="inlineStr"/>
    </row>
    <row r="5145">
      <c r="A5145" t="inlineStr">
        <is>
          <t>HAIR &amp; ME</t>
        </is>
      </c>
      <c r="B5145" s="2">
        <f>"8997025311971"</f>
        <v/>
      </c>
      <c r="C5145" t="inlineStr">
        <is>
          <t>HAIR &amp; ME Hair Spa Honey 300gr</t>
        </is>
      </c>
      <c r="D5145" t="inlineStr">
        <is>
          <t>Miss Glam Jambi</t>
        </is>
      </c>
      <c r="E5145" t="n">
        <v>0</v>
      </c>
      <c r="F5145" t="n">
        <v>0.006600000000000001</v>
      </c>
      <c r="G5145" t="n">
        <v>0.33</v>
      </c>
      <c r="H5145" t="n">
        <v>1</v>
      </c>
      <c r="I5145" t="n">
        <v>2</v>
      </c>
      <c r="J5145" t="n">
        <v>3</v>
      </c>
      <c r="K5145" t="n">
        <v>0</v>
      </c>
      <c r="L5145" t="n">
        <v>36750</v>
      </c>
      <c r="M5145" t="n">
        <v>42500</v>
      </c>
      <c r="N5145" t="n">
        <v>33</v>
      </c>
      <c r="O5145" t="n">
        <v>0.33</v>
      </c>
      <c r="P5145" t="n">
        <v>1</v>
      </c>
      <c r="Q5145" t="n">
        <v>0.05</v>
      </c>
      <c r="R5145" t="n">
        <v>1</v>
      </c>
      <c r="S5145" t="n">
        <v>280.5000000000001</v>
      </c>
      <c r="T5145" t="n">
        <v>1</v>
      </c>
      <c r="U5145" t="n">
        <v>2</v>
      </c>
      <c r="V5145" t="n">
        <v>30</v>
      </c>
      <c r="W5145" t="n">
        <v>1</v>
      </c>
      <c r="X5145" t="n">
        <v>0</v>
      </c>
      <c r="Y5145" t="n">
        <v>1</v>
      </c>
      <c r="Z5145" t="n">
        <v>1</v>
      </c>
      <c r="AA5145" t="n">
        <v>1</v>
      </c>
      <c r="AB5145" t="n">
        <v>0</v>
      </c>
      <c r="AC5145" t="n">
        <v>0</v>
      </c>
      <c r="AD5145" t="n">
        <v>36750</v>
      </c>
      <c r="AE5145" t="n">
        <v>0</v>
      </c>
      <c r="AF5145" t="inlineStr"/>
      <c r="AG5145" t="inlineStr"/>
      <c r="AH5145" t="inlineStr"/>
      <c r="AI5145" t="n">
        <v>0</v>
      </c>
      <c r="AJ5145" t="inlineStr"/>
      <c r="AK5145" t="n">
        <v>0</v>
      </c>
      <c r="AL5145" t="inlineStr"/>
      <c r="AM5145" t="n">
        <v>0</v>
      </c>
      <c r="AN5145" t="n">
        <v>0</v>
      </c>
      <c r="AO5145" t="n">
        <v>0</v>
      </c>
      <c r="AP5145" t="inlineStr"/>
      <c r="AQ5145" t="inlineStr"/>
    </row>
    <row r="5146">
      <c r="A5146" t="inlineStr">
        <is>
          <t>HEIMISH</t>
        </is>
      </c>
      <c r="B5146" s="2">
        <f>"10100605906"</f>
        <v/>
      </c>
      <c r="C5146" t="inlineStr">
        <is>
          <t>HEIMISH All Clean Balm 50ml</t>
        </is>
      </c>
      <c r="D5146" t="inlineStr">
        <is>
          <t>Miss Glam Jambi</t>
        </is>
      </c>
      <c r="E5146" t="n">
        <v>2</v>
      </c>
      <c r="F5146" t="n">
        <v>0.03</v>
      </c>
      <c r="G5146" t="n">
        <v>1</v>
      </c>
      <c r="H5146" t="n">
        <v>1</v>
      </c>
      <c r="I5146" t="n">
        <v>2</v>
      </c>
      <c r="J5146" t="n">
        <v>1</v>
      </c>
      <c r="K5146" t="n">
        <v>0</v>
      </c>
      <c r="L5146" t="n">
        <v>83939</v>
      </c>
      <c r="M5146" t="n">
        <v>112000</v>
      </c>
      <c r="N5146" t="n">
        <v>33</v>
      </c>
      <c r="O5146" t="n">
        <v>0.33</v>
      </c>
      <c r="P5146" t="n">
        <v>0</v>
      </c>
      <c r="Q5146" t="n">
        <v>0.03</v>
      </c>
      <c r="R5146" t="n">
        <v>1</v>
      </c>
      <c r="S5146" t="n">
        <v>3360</v>
      </c>
      <c r="T5146" t="n">
        <v>2</v>
      </c>
      <c r="U5146" t="n">
        <v>3</v>
      </c>
      <c r="V5146" t="n">
        <v>30</v>
      </c>
      <c r="W5146" t="n">
        <v>1</v>
      </c>
      <c r="X5146" t="n">
        <v>66.66666666666667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5637</v>
      </c>
      <c r="AG5146" t="n">
        <v>1</v>
      </c>
      <c r="AH5146" t="inlineStr">
        <is>
          <t>PT. BERSAMA DISTRIVERSA INDONESIA (DC CIPUTAT)</t>
        </is>
      </c>
      <c r="AI5146" t="n">
        <v>427</v>
      </c>
      <c r="AJ5146" t="inlineStr">
        <is>
          <t>HEIMISH</t>
        </is>
      </c>
      <c r="AK5146" t="n">
        <v>44</v>
      </c>
      <c r="AL5146" t="inlineStr">
        <is>
          <t>Miss Glam Balikpapan</t>
        </is>
      </c>
      <c r="AM5146" t="n">
        <v>4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INITO</t>
        </is>
      </c>
      <c r="B5147" s="2">
        <f>"30800306219"</f>
        <v/>
      </c>
      <c r="C5147" t="inlineStr">
        <is>
          <t>INITO Lady Ultra Slim Day 245mm</t>
        </is>
      </c>
      <c r="D5147" t="inlineStr">
        <is>
          <t>Miss Glam Jambi</t>
        </is>
      </c>
      <c r="E5147" t="n">
        <v>5</v>
      </c>
      <c r="F5147" t="n">
        <v>0.05</v>
      </c>
      <c r="G5147" t="n">
        <v>1</v>
      </c>
      <c r="H5147" t="n">
        <v>1</v>
      </c>
      <c r="I5147" t="n">
        <v>2</v>
      </c>
      <c r="J5147" t="n">
        <v>1</v>
      </c>
      <c r="K5147" t="n">
        <v>0</v>
      </c>
      <c r="L5147" t="n">
        <v>16089</v>
      </c>
      <c r="M5147" t="n">
        <v>22000</v>
      </c>
      <c r="N5147" t="n">
        <v>33</v>
      </c>
      <c r="O5147" t="n">
        <v>0.33</v>
      </c>
      <c r="P5147" t="n">
        <v>0</v>
      </c>
      <c r="Q5147" t="n">
        <v>0.05</v>
      </c>
      <c r="R5147" t="n">
        <v>1</v>
      </c>
      <c r="S5147" t="n">
        <v>1100</v>
      </c>
      <c r="T5147" t="n">
        <v>2</v>
      </c>
      <c r="U5147" t="n">
        <v>3</v>
      </c>
      <c r="V5147" t="n">
        <v>30</v>
      </c>
      <c r="W5147" t="n">
        <v>2</v>
      </c>
      <c r="X5147" t="n">
        <v>100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inlineStr"/>
      <c r="AG5147" t="inlineStr"/>
      <c r="AH5147" t="inlineStr"/>
      <c r="AI5147" t="n">
        <v>0</v>
      </c>
      <c r="AJ5147" t="inlineStr"/>
      <c r="AK5147" t="n">
        <v>0</v>
      </c>
      <c r="AL5147" t="inlineStr"/>
      <c r="AM5147" t="n">
        <v>0</v>
      </c>
      <c r="AN5147" t="n">
        <v>0</v>
      </c>
      <c r="AO5147" t="n">
        <v>0</v>
      </c>
      <c r="AP5147" t="inlineStr"/>
      <c r="AQ5147" t="inlineStr"/>
    </row>
    <row r="5148">
      <c r="A5148" t="inlineStr">
        <is>
          <t>JACQUELLE BEAUTE</t>
        </is>
      </c>
      <c r="B5148" s="2">
        <f>"8995917767271"</f>
        <v/>
      </c>
      <c r="C5148" t="inlineStr">
        <is>
          <t>JACQUELLE BEAUTE Princess Ariel Edition Green Tea Extract Oil Control Paper 50 Sheets</t>
        </is>
      </c>
      <c r="D5148" t="inlineStr">
        <is>
          <t>Miss Glam Jambi</t>
        </is>
      </c>
      <c r="E5148" t="n">
        <v>4</v>
      </c>
      <c r="F5148" t="n">
        <v>0.02</v>
      </c>
      <c r="G5148" t="n">
        <v>0</v>
      </c>
      <c r="H5148" t="n">
        <v>1</v>
      </c>
      <c r="I5148" t="n">
        <v>2</v>
      </c>
      <c r="J5148" t="n">
        <v>3</v>
      </c>
      <c r="K5148" t="n">
        <v>0</v>
      </c>
      <c r="L5148" t="n">
        <v>28676</v>
      </c>
      <c r="M5148" t="n">
        <v>39000</v>
      </c>
      <c r="N5148" t="n">
        <v>33</v>
      </c>
      <c r="O5148" t="n">
        <v>0.33</v>
      </c>
      <c r="P5148" t="n">
        <v>0</v>
      </c>
      <c r="Q5148" t="n">
        <v>0.02</v>
      </c>
      <c r="R5148" t="n">
        <v>0</v>
      </c>
      <c r="S5148" t="n">
        <v>780</v>
      </c>
      <c r="T5148" t="n">
        <v>0</v>
      </c>
      <c r="U5148" t="n">
        <v>1</v>
      </c>
      <c r="V5148" t="n">
        <v>30</v>
      </c>
      <c r="W5148" t="n">
        <v>1</v>
      </c>
      <c r="X5148" t="n">
        <v>200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inlineStr"/>
      <c r="AG5148" t="inlineStr"/>
      <c r="AH5148" t="inlineStr"/>
      <c r="AI5148" t="n">
        <v>0</v>
      </c>
      <c r="AJ5148" t="inlineStr"/>
      <c r="AK5148" t="n">
        <v>0</v>
      </c>
      <c r="AL5148" t="inlineStr"/>
      <c r="AM5148" t="n">
        <v>0</v>
      </c>
      <c r="AN5148" t="n">
        <v>0</v>
      </c>
      <c r="AO5148" t="n">
        <v>0</v>
      </c>
      <c r="AP5148" t="inlineStr"/>
      <c r="AQ5148" t="inlineStr"/>
    </row>
    <row r="5149">
      <c r="A5149" t="inlineStr">
        <is>
          <t>JACQUELLE BEAUTE</t>
        </is>
      </c>
      <c r="B5149" s="2">
        <f>"8995917767288"</f>
        <v/>
      </c>
      <c r="C5149" t="inlineStr">
        <is>
          <t>JACQUELLE BEAUTE Princess Aurora Edition Rose Extract Oil Control Paper 50 Sheets</t>
        </is>
      </c>
      <c r="D5149" t="inlineStr">
        <is>
          <t>Miss Glam Jambi</t>
        </is>
      </c>
      <c r="E5149" t="n">
        <v>0</v>
      </c>
      <c r="F5149" t="n">
        <v>0.04</v>
      </c>
      <c r="G5149" t="n">
        <v>1</v>
      </c>
      <c r="H5149" t="n">
        <v>1</v>
      </c>
      <c r="I5149" t="n">
        <v>2</v>
      </c>
      <c r="J5149" t="n">
        <v>3</v>
      </c>
      <c r="K5149" t="n">
        <v>0</v>
      </c>
      <c r="L5149" t="n">
        <v>27925</v>
      </c>
      <c r="M5149" t="n">
        <v>39000</v>
      </c>
      <c r="N5149" t="n">
        <v>33</v>
      </c>
      <c r="O5149" t="n">
        <v>0.33</v>
      </c>
      <c r="P5149" t="n">
        <v>0</v>
      </c>
      <c r="Q5149" t="n">
        <v>0.04</v>
      </c>
      <c r="R5149" t="n">
        <v>1</v>
      </c>
      <c r="S5149" t="n">
        <v>1560</v>
      </c>
      <c r="T5149" t="n">
        <v>2</v>
      </c>
      <c r="U5149" t="n">
        <v>3</v>
      </c>
      <c r="V5149" t="n">
        <v>30</v>
      </c>
      <c r="W5149" t="n">
        <v>2</v>
      </c>
      <c r="X5149" t="n">
        <v>0</v>
      </c>
      <c r="Y5149" t="n">
        <v>1</v>
      </c>
      <c r="Z5149" t="n">
        <v>2</v>
      </c>
      <c r="AA5149" t="n">
        <v>1</v>
      </c>
      <c r="AB5149" t="n">
        <v>1</v>
      </c>
      <c r="AC5149" t="n">
        <v>3</v>
      </c>
      <c r="AD5149" t="n">
        <v>27925</v>
      </c>
      <c r="AE5149" t="n">
        <v>83775</v>
      </c>
      <c r="AF5149" t="inlineStr"/>
      <c r="AG5149" t="inlineStr"/>
      <c r="AH5149" t="inlineStr"/>
      <c r="AI5149" t="n">
        <v>0</v>
      </c>
      <c r="AJ5149" t="inlineStr"/>
      <c r="AK5149" t="n">
        <v>0</v>
      </c>
      <c r="AL5149" t="inlineStr"/>
      <c r="AM5149" t="n">
        <v>0</v>
      </c>
      <c r="AN5149" t="n">
        <v>0</v>
      </c>
      <c r="AO5149" t="n">
        <v>0</v>
      </c>
      <c r="AP5149" t="inlineStr"/>
      <c r="AQ5149" t="inlineStr"/>
    </row>
    <row r="5150">
      <c r="A5150" t="inlineStr">
        <is>
          <t>JACQUELLE BEAUTE</t>
        </is>
      </c>
      <c r="B5150" s="2">
        <f>"8995917767240"</f>
        <v/>
      </c>
      <c r="C5150" t="inlineStr">
        <is>
          <t>JACQUELLE Jasmine Extract Oil Control Paper 50 Sheets</t>
        </is>
      </c>
      <c r="D5150" t="inlineStr">
        <is>
          <t>Miss Glam Jambi</t>
        </is>
      </c>
      <c r="E5150" t="n">
        <v>1</v>
      </c>
      <c r="F5150" t="n">
        <v>0.006600000000000001</v>
      </c>
      <c r="G5150" t="n">
        <v>0.33</v>
      </c>
      <c r="H5150" t="n">
        <v>1</v>
      </c>
      <c r="I5150" t="n">
        <v>2</v>
      </c>
      <c r="J5150" t="n">
        <v>3</v>
      </c>
      <c r="K5150" t="n">
        <v>0</v>
      </c>
      <c r="L5150" t="n">
        <v>27925</v>
      </c>
      <c r="M5150" t="n">
        <v>47000</v>
      </c>
      <c r="N5150" t="n">
        <v>33</v>
      </c>
      <c r="O5150" t="n">
        <v>0.33</v>
      </c>
      <c r="P5150" t="n">
        <v>1</v>
      </c>
      <c r="Q5150" t="n">
        <v>0.05</v>
      </c>
      <c r="R5150" t="n">
        <v>1</v>
      </c>
      <c r="S5150" t="n">
        <v>310.2</v>
      </c>
      <c r="T5150" t="n">
        <v>1</v>
      </c>
      <c r="U5150" t="n">
        <v>2</v>
      </c>
      <c r="V5150" t="n">
        <v>30</v>
      </c>
      <c r="W5150" t="n">
        <v>1</v>
      </c>
      <c r="X5150" t="n">
        <v>151.5151515151515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inlineStr"/>
      <c r="AG5150" t="inlineStr"/>
      <c r="AH5150" t="inlineStr"/>
      <c r="AI5150" t="n">
        <v>0</v>
      </c>
      <c r="AJ5150" t="inlineStr"/>
      <c r="AK5150" t="n">
        <v>0</v>
      </c>
      <c r="AL5150" t="inlineStr"/>
      <c r="AM5150" t="n">
        <v>0</v>
      </c>
      <c r="AN5150" t="n">
        <v>0</v>
      </c>
      <c r="AO5150" t="n">
        <v>0</v>
      </c>
      <c r="AP5150" t="inlineStr"/>
      <c r="AQ5150" t="inlineStr"/>
    </row>
    <row r="5151">
      <c r="A5151" t="inlineStr">
        <is>
          <t>JACQUELLE BEAUTE</t>
        </is>
      </c>
      <c r="B5151" s="2">
        <f>"10500171351"</f>
        <v/>
      </c>
      <c r="C5151" t="inlineStr">
        <is>
          <t>JACQUELLE Rose Extract Oil Control Paper 50 Sheets</t>
        </is>
      </c>
      <c r="D5151" t="inlineStr">
        <is>
          <t>Miss Glam Jambi</t>
        </is>
      </c>
      <c r="E5151" t="n">
        <v>0</v>
      </c>
      <c r="F5151" t="n">
        <v>0.02</v>
      </c>
      <c r="G5151" t="n">
        <v>1</v>
      </c>
      <c r="H5151" t="n">
        <v>1</v>
      </c>
      <c r="I5151" t="n">
        <v>2</v>
      </c>
      <c r="J5151" t="n">
        <v>3</v>
      </c>
      <c r="K5151" t="n">
        <v>0</v>
      </c>
      <c r="L5151" t="n">
        <v>26146</v>
      </c>
      <c r="M5151" t="n">
        <v>37000</v>
      </c>
      <c r="N5151" t="n">
        <v>33</v>
      </c>
      <c r="O5151" t="n">
        <v>0.33</v>
      </c>
      <c r="P5151" t="n">
        <v>0</v>
      </c>
      <c r="Q5151" t="n">
        <v>0.02</v>
      </c>
      <c r="R5151" t="n">
        <v>1</v>
      </c>
      <c r="S5151" t="n">
        <v>740</v>
      </c>
      <c r="T5151" t="n">
        <v>2</v>
      </c>
      <c r="U5151" t="n">
        <v>3</v>
      </c>
      <c r="V5151" t="n">
        <v>30</v>
      </c>
      <c r="W5151" t="n">
        <v>1</v>
      </c>
      <c r="X5151" t="n">
        <v>0</v>
      </c>
      <c r="Y5151" t="n">
        <v>1</v>
      </c>
      <c r="Z5151" t="n">
        <v>1</v>
      </c>
      <c r="AA5151" t="n">
        <v>1</v>
      </c>
      <c r="AB5151" t="n">
        <v>0</v>
      </c>
      <c r="AC5151" t="n">
        <v>0</v>
      </c>
      <c r="AD5151" t="n">
        <v>26146</v>
      </c>
      <c r="AE5151" t="n">
        <v>0</v>
      </c>
      <c r="AF5151" t="inlineStr"/>
      <c r="AG5151" t="inlineStr"/>
      <c r="AH5151" t="inlineStr"/>
      <c r="AI5151" t="n">
        <v>0</v>
      </c>
      <c r="AJ5151" t="inlineStr"/>
      <c r="AK5151" t="n">
        <v>0</v>
      </c>
      <c r="AL5151" t="inlineStr"/>
      <c r="AM5151" t="n">
        <v>0</v>
      </c>
      <c r="AN5151" t="n">
        <v>0</v>
      </c>
      <c r="AO5151" t="n">
        <v>0</v>
      </c>
      <c r="AP5151" t="inlineStr"/>
      <c r="AQ5151" t="inlineStr"/>
    </row>
    <row r="5152">
      <c r="A5152" t="inlineStr">
        <is>
          <t>JAGIYA</t>
        </is>
      </c>
      <c r="B5152" s="2">
        <f>"796554493107"</f>
        <v/>
      </c>
      <c r="C5152" t="inlineStr">
        <is>
          <t>JAGIYA Cherry Blossom Wax 175gr New</t>
        </is>
      </c>
      <c r="D5152" t="inlineStr">
        <is>
          <t>Miss Glam Jambi</t>
        </is>
      </c>
      <c r="E5152" t="n">
        <v>22</v>
      </c>
      <c r="F5152" t="n">
        <v>0.0231</v>
      </c>
      <c r="G5152" t="n">
        <v>0.33</v>
      </c>
      <c r="H5152" t="n">
        <v>1</v>
      </c>
      <c r="I5152" t="n">
        <v>2</v>
      </c>
      <c r="J5152" t="n">
        <v>3</v>
      </c>
      <c r="K5152" t="n">
        <v>0</v>
      </c>
      <c r="L5152" t="n">
        <v>36200</v>
      </c>
      <c r="M5152" t="n">
        <v>49000</v>
      </c>
      <c r="N5152" t="n">
        <v>33</v>
      </c>
      <c r="O5152" t="n">
        <v>0.33</v>
      </c>
      <c r="P5152" t="n">
        <v>1</v>
      </c>
      <c r="Q5152" t="n">
        <v>0.2</v>
      </c>
      <c r="R5152" t="n">
        <v>2</v>
      </c>
      <c r="S5152" t="n">
        <v>1131.9</v>
      </c>
      <c r="T5152" t="n">
        <v>1</v>
      </c>
      <c r="U5152" t="n">
        <v>2</v>
      </c>
      <c r="V5152" t="n">
        <v>30</v>
      </c>
      <c r="W5152" t="n">
        <v>1</v>
      </c>
      <c r="X5152" t="n">
        <v>952.3809523809523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inlineStr"/>
      <c r="AG5152" t="inlineStr"/>
      <c r="AH5152" t="inlineStr"/>
      <c r="AI5152" t="n">
        <v>0</v>
      </c>
      <c r="AJ5152" t="inlineStr"/>
      <c r="AK5152" t="n">
        <v>0</v>
      </c>
      <c r="AL5152" t="inlineStr"/>
      <c r="AM5152" t="n">
        <v>0</v>
      </c>
      <c r="AN5152" t="n">
        <v>0</v>
      </c>
      <c r="AO5152" t="n">
        <v>0</v>
      </c>
      <c r="AP5152" t="inlineStr"/>
      <c r="AQ5152" t="inlineStr"/>
    </row>
    <row r="5153">
      <c r="A5153" t="inlineStr">
        <is>
          <t>KUNTZE</t>
        </is>
      </c>
      <c r="B5153" s="2">
        <f>"9780536521521"</f>
        <v/>
      </c>
      <c r="C5153" t="inlineStr">
        <is>
          <t>KUNTZE Tumitku 30ml</t>
        </is>
      </c>
      <c r="D5153" t="inlineStr">
        <is>
          <t>Miss Glam Jambi</t>
        </is>
      </c>
      <c r="E5153" t="n">
        <v>0</v>
      </c>
      <c r="F5153" t="n">
        <v>0.2739</v>
      </c>
      <c r="G5153" t="n">
        <v>1.32</v>
      </c>
      <c r="H5153" t="n">
        <v>1</v>
      </c>
      <c r="I5153" t="n">
        <v>2</v>
      </c>
      <c r="J5153" t="n">
        <v>3</v>
      </c>
      <c r="K5153" t="n">
        <v>0</v>
      </c>
      <c r="L5153" t="n">
        <v>12672</v>
      </c>
      <c r="M5153" t="n">
        <v>25000</v>
      </c>
      <c r="N5153" t="n">
        <v>33</v>
      </c>
      <c r="O5153" t="n">
        <v>0.33</v>
      </c>
      <c r="P5153" t="n">
        <v>1</v>
      </c>
      <c r="Q5153" t="n">
        <v>0.08</v>
      </c>
      <c r="R5153" t="n">
        <v>2</v>
      </c>
      <c r="S5153" t="n">
        <v>6847.499999999999</v>
      </c>
      <c r="T5153" t="n">
        <v>3</v>
      </c>
      <c r="U5153" t="n">
        <v>4</v>
      </c>
      <c r="V5153" t="n">
        <v>30</v>
      </c>
      <c r="W5153" t="n">
        <v>9</v>
      </c>
      <c r="X5153" t="n">
        <v>0</v>
      </c>
      <c r="Y5153" t="n">
        <v>1</v>
      </c>
      <c r="Z5153" t="n">
        <v>9</v>
      </c>
      <c r="AA5153" t="n">
        <v>1</v>
      </c>
      <c r="AB5153" t="n">
        <v>8</v>
      </c>
      <c r="AC5153" t="n">
        <v>8</v>
      </c>
      <c r="AD5153" t="n">
        <v>12672</v>
      </c>
      <c r="AE5153" t="n">
        <v>101376</v>
      </c>
      <c r="AF5153" t="n">
        <v>6275</v>
      </c>
      <c r="AG5153" t="n">
        <v>1</v>
      </c>
      <c r="AH5153" t="inlineStr">
        <is>
          <t>PT. BERSAMA DISTRIVERSA INDONESIA (DC CIPUTAT)</t>
        </is>
      </c>
      <c r="AI5153" t="n">
        <v>478</v>
      </c>
      <c r="AJ5153" t="inlineStr">
        <is>
          <t>KUNTZE</t>
        </is>
      </c>
      <c r="AK5153" t="n">
        <v>43</v>
      </c>
      <c r="AL5153" t="inlineStr">
        <is>
          <t>Miss Glam Soeta</t>
        </is>
      </c>
      <c r="AM5153" t="n">
        <v>3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LA PERSONAL</t>
        </is>
      </c>
      <c r="B5154" s="2">
        <f>"10600209735"</f>
        <v/>
      </c>
      <c r="C5154" t="inlineStr">
        <is>
          <t>LA PERSONAL Miracle Patch Yellow 36P 0.25mm</t>
        </is>
      </c>
      <c r="D5154" t="inlineStr">
        <is>
          <t>Miss Glam Jambi</t>
        </is>
      </c>
      <c r="E5154" t="n">
        <v>11</v>
      </c>
      <c r="F5154" t="n">
        <v>0.009900000000000001</v>
      </c>
      <c r="G5154" t="n">
        <v>0.33</v>
      </c>
      <c r="H5154" t="n">
        <v>1</v>
      </c>
      <c r="I5154" t="n">
        <v>2</v>
      </c>
      <c r="J5154" t="n">
        <v>3</v>
      </c>
      <c r="K5154" t="n">
        <v>0</v>
      </c>
      <c r="L5154" t="n">
        <v>26828</v>
      </c>
      <c r="M5154" t="n">
        <v>39000</v>
      </c>
      <c r="N5154" t="n">
        <v>33</v>
      </c>
      <c r="O5154" t="n">
        <v>0.33</v>
      </c>
      <c r="P5154" t="n">
        <v>1</v>
      </c>
      <c r="Q5154" t="n">
        <v>0.02</v>
      </c>
      <c r="R5154" t="n">
        <v>1</v>
      </c>
      <c r="S5154" t="n">
        <v>386.1</v>
      </c>
      <c r="T5154" t="n">
        <v>1</v>
      </c>
      <c r="U5154" t="n">
        <v>2</v>
      </c>
      <c r="V5154" t="n">
        <v>30</v>
      </c>
      <c r="W5154" t="n">
        <v>1</v>
      </c>
      <c r="X5154" t="n">
        <v>1111.111111111111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inlineStr"/>
      <c r="AG5154" t="inlineStr"/>
      <c r="AH5154" t="inlineStr"/>
      <c r="AI5154" t="n">
        <v>0</v>
      </c>
      <c r="AJ5154" t="inlineStr"/>
      <c r="AK5154" t="n">
        <v>0</v>
      </c>
      <c r="AL5154" t="inlineStr"/>
      <c r="AM5154" t="n">
        <v>0</v>
      </c>
      <c r="AN5154" t="n">
        <v>0</v>
      </c>
      <c r="AO5154" t="n">
        <v>0</v>
      </c>
      <c r="AP5154" t="inlineStr"/>
      <c r="AQ5154" t="inlineStr"/>
    </row>
    <row r="5155">
      <c r="A5155" t="inlineStr">
        <is>
          <t>LA TULIPE</t>
        </is>
      </c>
      <c r="B5155" s="2">
        <f>"8998113302079"</f>
        <v/>
      </c>
      <c r="C5155" t="inlineStr">
        <is>
          <t>LA TULIPE Soft Foundation Rachel 12.5g</t>
        </is>
      </c>
      <c r="D5155" t="inlineStr">
        <is>
          <t>Miss Glam Jambi</t>
        </is>
      </c>
      <c r="E5155" t="n">
        <v>1</v>
      </c>
      <c r="F5155" t="n">
        <v>0.03</v>
      </c>
      <c r="G5155" t="n">
        <v>1</v>
      </c>
      <c r="H5155" t="n">
        <v>1</v>
      </c>
      <c r="I5155" t="n">
        <v>2</v>
      </c>
      <c r="J5155" t="n">
        <v>3</v>
      </c>
      <c r="K5155" t="n">
        <v>0</v>
      </c>
      <c r="L5155" t="n">
        <v>33000</v>
      </c>
      <c r="M5155" t="n">
        <v>40000</v>
      </c>
      <c r="N5155" t="n">
        <v>33</v>
      </c>
      <c r="O5155" t="n">
        <v>0.33</v>
      </c>
      <c r="P5155" t="n">
        <v>0</v>
      </c>
      <c r="Q5155" t="n">
        <v>0.03</v>
      </c>
      <c r="R5155" t="n">
        <v>1</v>
      </c>
      <c r="S5155" t="n">
        <v>1200</v>
      </c>
      <c r="T5155" t="n">
        <v>2</v>
      </c>
      <c r="U5155" t="n">
        <v>3</v>
      </c>
      <c r="V5155" t="n">
        <v>30</v>
      </c>
      <c r="W5155" t="n">
        <v>1</v>
      </c>
      <c r="X5155" t="n">
        <v>33.33333333333334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inlineStr"/>
      <c r="AG5155" t="inlineStr"/>
      <c r="AH5155" t="inlineStr"/>
      <c r="AI5155" t="n">
        <v>0</v>
      </c>
      <c r="AJ5155" t="inlineStr"/>
      <c r="AK5155" t="n">
        <v>0</v>
      </c>
      <c r="AL5155" t="inlineStr"/>
      <c r="AM5155" t="n">
        <v>0</v>
      </c>
      <c r="AN5155" t="n">
        <v>0</v>
      </c>
      <c r="AO5155" t="n">
        <v>0</v>
      </c>
      <c r="AP5155" t="inlineStr"/>
      <c r="AQ5155" t="inlineStr"/>
    </row>
    <row r="5156">
      <c r="A5156" t="inlineStr">
        <is>
          <t>LADIS</t>
        </is>
      </c>
      <c r="B5156" s="2">
        <f>"30800304147"</f>
        <v/>
      </c>
      <c r="C5156" t="inlineStr">
        <is>
          <t>LADIS Pembalut Celana Menstruasi Size M Pack</t>
        </is>
      </c>
      <c r="D5156" t="inlineStr">
        <is>
          <t>Miss Glam Jambi</t>
        </is>
      </c>
      <c r="E5156" t="n">
        <v>3</v>
      </c>
      <c r="F5156" t="n">
        <v>0.009900000000000001</v>
      </c>
      <c r="G5156" t="n">
        <v>0.33</v>
      </c>
      <c r="H5156" t="n">
        <v>1</v>
      </c>
      <c r="I5156" t="n">
        <v>2</v>
      </c>
      <c r="J5156" t="n">
        <v>1</v>
      </c>
      <c r="K5156" t="n">
        <v>0</v>
      </c>
      <c r="L5156" t="n">
        <v>10125</v>
      </c>
      <c r="M5156" t="n">
        <v>15000</v>
      </c>
      <c r="N5156" t="n">
        <v>33</v>
      </c>
      <c r="O5156" t="n">
        <v>0.33</v>
      </c>
      <c r="P5156" t="n">
        <v>1</v>
      </c>
      <c r="Q5156" t="n">
        <v>0.07000000000000001</v>
      </c>
      <c r="R5156" t="n">
        <v>1</v>
      </c>
      <c r="S5156" t="n">
        <v>148.5</v>
      </c>
      <c r="T5156" t="n">
        <v>1</v>
      </c>
      <c r="U5156" t="n">
        <v>2</v>
      </c>
      <c r="V5156" t="n">
        <v>30</v>
      </c>
      <c r="W5156" t="n">
        <v>1</v>
      </c>
      <c r="X5156" t="n">
        <v>303.030303030303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6343</v>
      </c>
      <c r="AG5156" t="n">
        <v>1</v>
      </c>
      <c r="AH5156" t="inlineStr">
        <is>
          <t>PT. BERSAMA DISTRIVERSA INDONESIA (DC CIPUTAT)</t>
        </is>
      </c>
      <c r="AI5156" t="n">
        <v>1768</v>
      </c>
      <c r="AJ5156" t="inlineStr">
        <is>
          <t>LADIS</t>
        </is>
      </c>
      <c r="AK5156" t="n">
        <v>43</v>
      </c>
      <c r="AL5156" t="inlineStr">
        <is>
          <t>Miss Glam Soeta</t>
        </is>
      </c>
      <c r="AM5156" t="n">
        <v>3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M&amp;S BEAUTY</t>
        </is>
      </c>
      <c r="B5157" s="2">
        <f>"30400421554"</f>
        <v/>
      </c>
      <c r="C5157" t="inlineStr">
        <is>
          <t>M&amp;S BEAUTY Floral Collection Rose Anti Respirant Roll on 50ml</t>
        </is>
      </c>
      <c r="D5157" t="inlineStr">
        <is>
          <t>Miss Glam Jambi</t>
        </is>
      </c>
      <c r="E5157" t="n">
        <v>0</v>
      </c>
      <c r="F5157" t="n">
        <v>0.0231</v>
      </c>
      <c r="G5157" t="n">
        <v>1.32</v>
      </c>
      <c r="H5157" t="n">
        <v>1</v>
      </c>
      <c r="I5157" t="n">
        <v>2</v>
      </c>
      <c r="J5157" t="n">
        <v>3</v>
      </c>
      <c r="K5157" t="n">
        <v>0</v>
      </c>
      <c r="L5157" t="n">
        <v>101377</v>
      </c>
      <c r="M5157" t="n">
        <v>131500</v>
      </c>
      <c r="N5157" t="n">
        <v>33</v>
      </c>
      <c r="O5157" t="n">
        <v>0.33</v>
      </c>
      <c r="P5157" t="n">
        <v>1</v>
      </c>
      <c r="Q5157" t="n">
        <v>0.02</v>
      </c>
      <c r="R5157" t="n">
        <v>1</v>
      </c>
      <c r="S5157" t="n">
        <v>3037.650000000001</v>
      </c>
      <c r="T5157" t="n">
        <v>3</v>
      </c>
      <c r="U5157" t="n">
        <v>4</v>
      </c>
      <c r="V5157" t="n">
        <v>30</v>
      </c>
      <c r="W5157" t="n">
        <v>1</v>
      </c>
      <c r="X5157" t="n">
        <v>0</v>
      </c>
      <c r="Y5157" t="n">
        <v>1</v>
      </c>
      <c r="Z5157" t="n">
        <v>1</v>
      </c>
      <c r="AA5157" t="n">
        <v>1</v>
      </c>
      <c r="AB5157" t="n">
        <v>0</v>
      </c>
      <c r="AC5157" t="n">
        <v>0</v>
      </c>
      <c r="AD5157" t="n">
        <v>101377</v>
      </c>
      <c r="AE5157" t="n">
        <v>0</v>
      </c>
      <c r="AF5157" t="inlineStr"/>
      <c r="AG5157" t="inlineStr"/>
      <c r="AH5157" t="inlineStr"/>
      <c r="AI5157" t="n">
        <v>0</v>
      </c>
      <c r="AJ5157" t="inlineStr"/>
      <c r="AK5157" t="n">
        <v>0</v>
      </c>
      <c r="AL5157" t="inlineStr"/>
      <c r="AM5157" t="n">
        <v>0</v>
      </c>
      <c r="AN5157" t="n">
        <v>0</v>
      </c>
      <c r="AO5157" t="n">
        <v>0</v>
      </c>
      <c r="AP5157" t="inlineStr"/>
      <c r="AQ5157" t="inlineStr"/>
    </row>
    <row r="5158">
      <c r="A5158" t="inlineStr">
        <is>
          <t>MABELLO</t>
        </is>
      </c>
      <c r="B5158" s="2">
        <f>"8991071920002"</f>
        <v/>
      </c>
      <c r="C5158" t="inlineStr">
        <is>
          <t>MABELLO Lulur Badan Bedda Lotong Original 300gr</t>
        </is>
      </c>
      <c r="D5158" t="inlineStr">
        <is>
          <t>Miss Glam Jambi</t>
        </is>
      </c>
      <c r="E5158" t="n">
        <v>0</v>
      </c>
      <c r="F5158" t="n">
        <v>0.0198</v>
      </c>
      <c r="G5158" t="n">
        <v>0.33</v>
      </c>
      <c r="H5158" t="n">
        <v>1</v>
      </c>
      <c r="I5158" t="n">
        <v>2</v>
      </c>
      <c r="J5158" t="n">
        <v>3</v>
      </c>
      <c r="K5158" t="n">
        <v>0</v>
      </c>
      <c r="L5158" t="n">
        <v>51193</v>
      </c>
      <c r="M5158" t="n">
        <v>64000</v>
      </c>
      <c r="N5158" t="n">
        <v>33</v>
      </c>
      <c r="O5158" t="n">
        <v>0.33</v>
      </c>
      <c r="P5158" t="n">
        <v>1</v>
      </c>
      <c r="Q5158" t="n">
        <v>0.14</v>
      </c>
      <c r="R5158" t="n">
        <v>1</v>
      </c>
      <c r="S5158" t="n">
        <v>1267.2</v>
      </c>
      <c r="T5158" t="n">
        <v>1</v>
      </c>
      <c r="U5158" t="n">
        <v>2</v>
      </c>
      <c r="V5158" t="n">
        <v>30</v>
      </c>
      <c r="W5158" t="n">
        <v>1</v>
      </c>
      <c r="X5158" t="n">
        <v>0</v>
      </c>
      <c r="Y5158" t="n">
        <v>1</v>
      </c>
      <c r="Z5158" t="n">
        <v>1</v>
      </c>
      <c r="AA5158" t="n">
        <v>1</v>
      </c>
      <c r="AB5158" t="n">
        <v>0</v>
      </c>
      <c r="AC5158" t="n">
        <v>0</v>
      </c>
      <c r="AD5158" t="n">
        <v>51193</v>
      </c>
      <c r="AE5158" t="n">
        <v>0</v>
      </c>
      <c r="AF5158" t="inlineStr"/>
      <c r="AG5158" t="inlineStr"/>
      <c r="AH5158" t="inlineStr"/>
      <c r="AI5158" t="n">
        <v>0</v>
      </c>
      <c r="AJ5158" t="inlineStr"/>
      <c r="AK5158" t="n">
        <v>0</v>
      </c>
      <c r="AL5158" t="inlineStr"/>
      <c r="AM5158" t="n">
        <v>0</v>
      </c>
      <c r="AN5158" t="n">
        <v>0</v>
      </c>
      <c r="AO5158" t="n">
        <v>0</v>
      </c>
      <c r="AP5158" t="inlineStr"/>
      <c r="AQ5158" t="inlineStr"/>
    </row>
    <row r="5159">
      <c r="A5159" t="inlineStr">
        <is>
          <t>MABELLO</t>
        </is>
      </c>
      <c r="B5159" s="2">
        <f>"8991071920026"</f>
        <v/>
      </c>
      <c r="C5159" t="inlineStr">
        <is>
          <t>MABELLO Lulur Organic Bedda Lotong 100g</t>
        </is>
      </c>
      <c r="D5159" t="inlineStr">
        <is>
          <t>Miss Glam Jambi</t>
        </is>
      </c>
      <c r="E5159" t="n">
        <v>0</v>
      </c>
      <c r="F5159" t="n">
        <v>0.05280000000000001</v>
      </c>
      <c r="G5159" t="n">
        <v>0.33</v>
      </c>
      <c r="H5159" t="n">
        <v>1</v>
      </c>
      <c r="I5159" t="n">
        <v>2</v>
      </c>
      <c r="J5159" t="n">
        <v>3</v>
      </c>
      <c r="K5159" t="n">
        <v>0</v>
      </c>
      <c r="L5159" t="n">
        <v>23084</v>
      </c>
      <c r="M5159" t="n">
        <v>30000</v>
      </c>
      <c r="N5159" t="n">
        <v>33</v>
      </c>
      <c r="O5159" t="n">
        <v>0.33</v>
      </c>
      <c r="P5159" t="n">
        <v>1</v>
      </c>
      <c r="Q5159" t="n">
        <v>0.11</v>
      </c>
      <c r="R5159" t="n">
        <v>2</v>
      </c>
      <c r="S5159" t="n">
        <v>1584</v>
      </c>
      <c r="T5159" t="n">
        <v>1</v>
      </c>
      <c r="U5159" t="n">
        <v>2</v>
      </c>
      <c r="V5159" t="n">
        <v>30</v>
      </c>
      <c r="W5159" t="n">
        <v>2</v>
      </c>
      <c r="X5159" t="n">
        <v>0</v>
      </c>
      <c r="Y5159" t="n">
        <v>1</v>
      </c>
      <c r="Z5159" t="n">
        <v>2</v>
      </c>
      <c r="AA5159" t="n">
        <v>1</v>
      </c>
      <c r="AB5159" t="n">
        <v>1</v>
      </c>
      <c r="AC5159" t="n">
        <v>3</v>
      </c>
      <c r="AD5159" t="n">
        <v>23084</v>
      </c>
      <c r="AE5159" t="n">
        <v>69252</v>
      </c>
      <c r="AF5159" t="inlineStr"/>
      <c r="AG5159" t="inlineStr"/>
      <c r="AH5159" t="inlineStr"/>
      <c r="AI5159" t="n">
        <v>0</v>
      </c>
      <c r="AJ5159" t="inlineStr"/>
      <c r="AK5159" t="n">
        <v>0</v>
      </c>
      <c r="AL5159" t="inlineStr"/>
      <c r="AM5159" t="n">
        <v>0</v>
      </c>
      <c r="AN5159" t="n">
        <v>0</v>
      </c>
      <c r="AO5159" t="n">
        <v>0</v>
      </c>
      <c r="AP5159" t="inlineStr"/>
      <c r="AQ5159" t="inlineStr"/>
    </row>
    <row r="5160">
      <c r="A5160" t="inlineStr">
        <is>
          <t>MABELLO</t>
        </is>
      </c>
      <c r="B5160" s="2">
        <f>"8991071920071"</f>
        <v/>
      </c>
      <c r="C5160" t="inlineStr">
        <is>
          <t>MABELLO Sabun Beras Organic Rice Shop 60gr</t>
        </is>
      </c>
      <c r="D5160" t="inlineStr">
        <is>
          <t>Miss Glam Jambi</t>
        </is>
      </c>
      <c r="E5160" t="n">
        <v>2</v>
      </c>
      <c r="F5160" t="n">
        <v>0.08</v>
      </c>
      <c r="G5160" t="n">
        <v>1</v>
      </c>
      <c r="H5160" t="n">
        <v>1</v>
      </c>
      <c r="I5160" t="n">
        <v>2</v>
      </c>
      <c r="J5160" t="n">
        <v>3</v>
      </c>
      <c r="K5160" t="n">
        <v>0</v>
      </c>
      <c r="L5160" t="n">
        <v>22164</v>
      </c>
      <c r="M5160" t="n">
        <v>27500</v>
      </c>
      <c r="N5160" t="n">
        <v>33</v>
      </c>
      <c r="O5160" t="n">
        <v>0.33</v>
      </c>
      <c r="P5160" t="n">
        <v>0</v>
      </c>
      <c r="Q5160" t="n">
        <v>0.08</v>
      </c>
      <c r="R5160" t="n">
        <v>1</v>
      </c>
      <c r="S5160" t="n">
        <v>2200</v>
      </c>
      <c r="T5160" t="n">
        <v>2</v>
      </c>
      <c r="U5160" t="n">
        <v>3</v>
      </c>
      <c r="V5160" t="n">
        <v>30</v>
      </c>
      <c r="W5160" t="n">
        <v>3</v>
      </c>
      <c r="X5160" t="n">
        <v>25</v>
      </c>
      <c r="Y5160" t="n">
        <v>1</v>
      </c>
      <c r="Z5160" t="n">
        <v>1</v>
      </c>
      <c r="AA5160" t="n">
        <v>0</v>
      </c>
      <c r="AB5160" t="n">
        <v>1</v>
      </c>
      <c r="AC5160" t="n">
        <v>3</v>
      </c>
      <c r="AD5160" t="n">
        <v>0</v>
      </c>
      <c r="AE5160" t="n">
        <v>66492</v>
      </c>
      <c r="AF5160" t="inlineStr"/>
      <c r="AG5160" t="inlineStr"/>
      <c r="AH5160" t="inlineStr"/>
      <c r="AI5160" t="n">
        <v>0</v>
      </c>
      <c r="AJ5160" t="inlineStr"/>
      <c r="AK5160" t="n">
        <v>0</v>
      </c>
      <c r="AL5160" t="inlineStr"/>
      <c r="AM5160" t="n">
        <v>0</v>
      </c>
      <c r="AN5160" t="n">
        <v>0</v>
      </c>
      <c r="AO5160" t="n">
        <v>0</v>
      </c>
      <c r="AP5160" t="inlineStr"/>
      <c r="AQ5160" t="inlineStr"/>
    </row>
    <row r="5161">
      <c r="A5161" t="inlineStr">
        <is>
          <t>MARKS &amp; SPENCER</t>
        </is>
      </c>
      <c r="B5161" s="2">
        <f>"20725679"</f>
        <v/>
      </c>
      <c r="C5161" t="inlineStr">
        <is>
          <t>MARKS &amp; SPENCER Floral Colection Magnolia Anti Perspirant Roll On 50ml New</t>
        </is>
      </c>
      <c r="D5161" t="inlineStr">
        <is>
          <t>Miss Glam Jambi</t>
        </is>
      </c>
      <c r="E5161" t="n">
        <v>0</v>
      </c>
      <c r="F5161" t="n">
        <v>0.006600000000000001</v>
      </c>
      <c r="G5161" t="n">
        <v>0.33</v>
      </c>
      <c r="H5161" t="n">
        <v>1</v>
      </c>
      <c r="I5161" t="n">
        <v>2</v>
      </c>
      <c r="J5161" t="n">
        <v>3</v>
      </c>
      <c r="K5161" t="n">
        <v>0</v>
      </c>
      <c r="L5161" t="n">
        <v>86354</v>
      </c>
      <c r="M5161" t="n">
        <v>109000</v>
      </c>
      <c r="N5161" t="n">
        <v>33</v>
      </c>
      <c r="O5161" t="n">
        <v>0.33</v>
      </c>
      <c r="P5161" t="n">
        <v>1</v>
      </c>
      <c r="Q5161" t="n">
        <v>0.04</v>
      </c>
      <c r="R5161" t="n">
        <v>2</v>
      </c>
      <c r="S5161" t="n">
        <v>719.4000000000001</v>
      </c>
      <c r="T5161" t="n">
        <v>1</v>
      </c>
      <c r="U5161" t="n">
        <v>2</v>
      </c>
      <c r="V5161" t="n">
        <v>30</v>
      </c>
      <c r="W5161" t="n">
        <v>1</v>
      </c>
      <c r="X5161" t="n">
        <v>0</v>
      </c>
      <c r="Y5161" t="n">
        <v>1</v>
      </c>
      <c r="Z5161" t="n">
        <v>1</v>
      </c>
      <c r="AA5161" t="n">
        <v>1</v>
      </c>
      <c r="AB5161" t="n">
        <v>0</v>
      </c>
      <c r="AC5161" t="n">
        <v>0</v>
      </c>
      <c r="AD5161" t="n">
        <v>86354</v>
      </c>
      <c r="AE5161" t="n">
        <v>0</v>
      </c>
      <c r="AF5161" t="inlineStr"/>
      <c r="AG5161" t="inlineStr"/>
      <c r="AH5161" t="inlineStr"/>
      <c r="AI5161" t="n">
        <v>0</v>
      </c>
      <c r="AJ5161" t="inlineStr"/>
      <c r="AK5161" t="n">
        <v>0</v>
      </c>
      <c r="AL5161" t="inlineStr"/>
      <c r="AM5161" t="n">
        <v>0</v>
      </c>
      <c r="AN5161" t="n">
        <v>0</v>
      </c>
      <c r="AO5161" t="n">
        <v>0</v>
      </c>
      <c r="AP5161" t="inlineStr"/>
      <c r="AQ5161" t="inlineStr"/>
    </row>
    <row r="5162">
      <c r="A5162" t="inlineStr">
        <is>
          <t>MISE EN SCENE</t>
        </is>
      </c>
      <c r="B5162" s="2">
        <f>"8809803540339"</f>
        <v/>
      </c>
      <c r="C5162" t="inlineStr">
        <is>
          <t>MISE EN SCENE Perfect Serum Styling Shampoo 530ml</t>
        </is>
      </c>
      <c r="D5162" t="inlineStr">
        <is>
          <t>Miss Glam Jambi</t>
        </is>
      </c>
      <c r="E5162" t="n">
        <v>4</v>
      </c>
      <c r="F5162" t="n">
        <v>0.02</v>
      </c>
      <c r="G5162" t="n">
        <v>1</v>
      </c>
      <c r="H5162" t="n">
        <v>1</v>
      </c>
      <c r="I5162" t="n">
        <v>2</v>
      </c>
      <c r="J5162" t="n">
        <v>3</v>
      </c>
      <c r="K5162" t="n">
        <v>0</v>
      </c>
      <c r="L5162" t="n">
        <v>136413</v>
      </c>
      <c r="M5162" t="n">
        <v>160500</v>
      </c>
      <c r="N5162" t="n">
        <v>33</v>
      </c>
      <c r="O5162" t="n">
        <v>0.33</v>
      </c>
      <c r="P5162" t="n">
        <v>0</v>
      </c>
      <c r="Q5162" t="n">
        <v>0.02</v>
      </c>
      <c r="R5162" t="n">
        <v>1</v>
      </c>
      <c r="S5162" t="n">
        <v>3210</v>
      </c>
      <c r="T5162" t="n">
        <v>2</v>
      </c>
      <c r="U5162" t="n">
        <v>3</v>
      </c>
      <c r="V5162" t="n">
        <v>30</v>
      </c>
      <c r="W5162" t="n">
        <v>1</v>
      </c>
      <c r="X5162" t="n">
        <v>200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6774</v>
      </c>
      <c r="AG5162" t="n">
        <v>1</v>
      </c>
      <c r="AH5162" t="inlineStr">
        <is>
          <t>PT. BERSAMA DISTRIVERSA INDONESIA (DC CIPUTAT)</t>
        </is>
      </c>
      <c r="AI5162" t="n">
        <v>1607</v>
      </c>
      <c r="AJ5162" t="inlineStr">
        <is>
          <t>MISE EN SCENE</t>
        </is>
      </c>
      <c r="AK5162" t="n">
        <v>43</v>
      </c>
      <c r="AL5162" t="inlineStr">
        <is>
          <t>Miss Glam Soeta</t>
        </is>
      </c>
      <c r="AM5162" t="n">
        <v>3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MYKONOS</t>
        </is>
      </c>
      <c r="B5163" s="2">
        <f>"3475932544453"</f>
        <v/>
      </c>
      <c r="C5163" t="inlineStr">
        <is>
          <t>MYKONOS  Eau De Parfum Dark Secret 100ml</t>
        </is>
      </c>
      <c r="D5163" t="inlineStr">
        <is>
          <t>Miss Glam Jambi</t>
        </is>
      </c>
      <c r="E5163" t="n">
        <v>3</v>
      </c>
      <c r="F5163" t="n">
        <v>0.0231</v>
      </c>
      <c r="G5163" t="n">
        <v>0.33</v>
      </c>
      <c r="H5163" t="n">
        <v>1</v>
      </c>
      <c r="I5163" t="n">
        <v>2</v>
      </c>
      <c r="J5163" t="n">
        <v>3</v>
      </c>
      <c r="K5163" t="n">
        <v>0</v>
      </c>
      <c r="L5163" t="n">
        <v>243661</v>
      </c>
      <c r="M5163" t="n">
        <v>348000</v>
      </c>
      <c r="N5163" t="n">
        <v>33</v>
      </c>
      <c r="O5163" t="n">
        <v>0.33</v>
      </c>
      <c r="P5163" t="n">
        <v>1</v>
      </c>
      <c r="Q5163" t="n">
        <v>0.05</v>
      </c>
      <c r="R5163" t="n">
        <v>1</v>
      </c>
      <c r="S5163" t="n">
        <v>8038.800000000001</v>
      </c>
      <c r="T5163" t="n">
        <v>1</v>
      </c>
      <c r="U5163" t="n">
        <v>2</v>
      </c>
      <c r="V5163" t="n">
        <v>30</v>
      </c>
      <c r="W5163" t="n">
        <v>1</v>
      </c>
      <c r="X5163" t="n">
        <v>129.8701298701299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inlineStr"/>
      <c r="AG5163" t="inlineStr"/>
      <c r="AH5163" t="inlineStr"/>
      <c r="AI5163" t="n">
        <v>0</v>
      </c>
      <c r="AJ5163" t="inlineStr"/>
      <c r="AK5163" t="n">
        <v>0</v>
      </c>
      <c r="AL5163" t="inlineStr"/>
      <c r="AM5163" t="n">
        <v>0</v>
      </c>
      <c r="AN5163" t="n">
        <v>0</v>
      </c>
      <c r="AO5163" t="n">
        <v>0</v>
      </c>
      <c r="AP5163" t="inlineStr"/>
      <c r="AQ5163" t="inlineStr"/>
    </row>
    <row r="5164">
      <c r="A5164" t="inlineStr">
        <is>
          <t>MYKONOS</t>
        </is>
      </c>
      <c r="B5164" s="2">
        <f>"30400255320"</f>
        <v/>
      </c>
      <c r="C5164" t="inlineStr">
        <is>
          <t>MYKONOS Affair Extrait De Parfume 15ml</t>
        </is>
      </c>
      <c r="D5164" t="inlineStr">
        <is>
          <t>Miss Glam Jambi</t>
        </is>
      </c>
      <c r="E5164" t="n">
        <v>8</v>
      </c>
      <c r="F5164" t="n">
        <v>0.0231</v>
      </c>
      <c r="G5164" t="n">
        <v>0.33</v>
      </c>
      <c r="H5164" t="n">
        <v>1</v>
      </c>
      <c r="I5164" t="n">
        <v>2</v>
      </c>
      <c r="J5164" t="n">
        <v>1</v>
      </c>
      <c r="K5164" t="n">
        <v>0</v>
      </c>
      <c r="L5164" t="n">
        <v>55378</v>
      </c>
      <c r="M5164" t="n">
        <v>75000</v>
      </c>
      <c r="N5164" t="n">
        <v>33</v>
      </c>
      <c r="O5164" t="n">
        <v>0.33</v>
      </c>
      <c r="P5164" t="n">
        <v>1</v>
      </c>
      <c r="Q5164" t="n">
        <v>0.1</v>
      </c>
      <c r="R5164" t="n">
        <v>1</v>
      </c>
      <c r="S5164" t="n">
        <v>1732.5</v>
      </c>
      <c r="T5164" t="n">
        <v>1</v>
      </c>
      <c r="U5164" t="n">
        <v>2</v>
      </c>
      <c r="V5164" t="n">
        <v>30</v>
      </c>
      <c r="W5164" t="n">
        <v>1</v>
      </c>
      <c r="X5164" t="n">
        <v>346.3203463203463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inlineStr"/>
      <c r="AG5164" t="inlineStr"/>
      <c r="AH5164" t="inlineStr"/>
      <c r="AI5164" t="n">
        <v>0</v>
      </c>
      <c r="AJ5164" t="inlineStr"/>
      <c r="AK5164" t="n">
        <v>0</v>
      </c>
      <c r="AL5164" t="inlineStr"/>
      <c r="AM5164" t="n">
        <v>0</v>
      </c>
      <c r="AN5164" t="n">
        <v>0</v>
      </c>
      <c r="AO5164" t="n">
        <v>0</v>
      </c>
      <c r="AP5164" t="inlineStr"/>
      <c r="AQ5164" t="inlineStr"/>
    </row>
    <row r="5165">
      <c r="A5165" t="inlineStr">
        <is>
          <t>MYKONOS</t>
        </is>
      </c>
      <c r="B5165" s="2">
        <f>"3475932544514"</f>
        <v/>
      </c>
      <c r="C5165" t="inlineStr">
        <is>
          <t>MYKONOS Black Opera Eau De Parfum 15ml</t>
        </is>
      </c>
      <c r="D5165" t="inlineStr">
        <is>
          <t>Miss Glam Jambi</t>
        </is>
      </c>
      <c r="E5165" t="n">
        <v>4</v>
      </c>
      <c r="F5165" t="n">
        <v>0.02</v>
      </c>
      <c r="G5165" t="n">
        <v>1</v>
      </c>
      <c r="H5165" t="n">
        <v>1</v>
      </c>
      <c r="I5165" t="n">
        <v>2</v>
      </c>
      <c r="J5165" t="n">
        <v>3</v>
      </c>
      <c r="K5165" t="n">
        <v>0</v>
      </c>
      <c r="L5165" t="n">
        <v>55393</v>
      </c>
      <c r="M5165" t="n">
        <v>65500</v>
      </c>
      <c r="N5165" t="n">
        <v>33</v>
      </c>
      <c r="O5165" t="n">
        <v>0.33</v>
      </c>
      <c r="P5165" t="n">
        <v>0</v>
      </c>
      <c r="Q5165" t="n">
        <v>0.02</v>
      </c>
      <c r="R5165" t="n">
        <v>1</v>
      </c>
      <c r="S5165" t="n">
        <v>1310</v>
      </c>
      <c r="T5165" t="n">
        <v>2</v>
      </c>
      <c r="U5165" t="n">
        <v>3</v>
      </c>
      <c r="V5165" t="n">
        <v>30</v>
      </c>
      <c r="W5165" t="n">
        <v>1</v>
      </c>
      <c r="X5165" t="n">
        <v>200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inlineStr"/>
      <c r="AG5165" t="inlineStr"/>
      <c r="AH5165" t="inlineStr"/>
      <c r="AI5165" t="n">
        <v>0</v>
      </c>
      <c r="AJ5165" t="inlineStr"/>
      <c r="AK5165" t="n">
        <v>0</v>
      </c>
      <c r="AL5165" t="inlineStr"/>
      <c r="AM5165" t="n">
        <v>0</v>
      </c>
      <c r="AN5165" t="n">
        <v>0</v>
      </c>
      <c r="AO5165" t="n">
        <v>0</v>
      </c>
      <c r="AP5165" t="inlineStr"/>
      <c r="AQ5165" t="inlineStr"/>
    </row>
    <row r="5166">
      <c r="A5166" t="inlineStr">
        <is>
          <t>MYKONOS</t>
        </is>
      </c>
      <c r="B5166" s="2">
        <f>"3475932544736"</f>
        <v/>
      </c>
      <c r="C5166" t="inlineStr">
        <is>
          <t>MYKONOS Cafe Drops Eau De Parfum 50ml</t>
        </is>
      </c>
      <c r="D5166" t="inlineStr">
        <is>
          <t>Miss Glam Jambi</t>
        </is>
      </c>
      <c r="E5166" t="n">
        <v>2</v>
      </c>
      <c r="F5166" t="n">
        <v>0.02</v>
      </c>
      <c r="G5166" t="n">
        <v>1</v>
      </c>
      <c r="H5166" t="n">
        <v>1</v>
      </c>
      <c r="I5166" t="n">
        <v>2</v>
      </c>
      <c r="J5166" t="n">
        <v>3</v>
      </c>
      <c r="K5166" t="n">
        <v>0</v>
      </c>
      <c r="L5166" t="n">
        <v>119731</v>
      </c>
      <c r="M5166" t="n">
        <v>178000</v>
      </c>
      <c r="N5166" t="n">
        <v>33</v>
      </c>
      <c r="O5166" t="n">
        <v>0.33</v>
      </c>
      <c r="P5166" t="n">
        <v>0</v>
      </c>
      <c r="Q5166" t="n">
        <v>0.02</v>
      </c>
      <c r="R5166" t="n">
        <v>1</v>
      </c>
      <c r="S5166" t="n">
        <v>3560</v>
      </c>
      <c r="T5166" t="n">
        <v>2</v>
      </c>
      <c r="U5166" t="n">
        <v>3</v>
      </c>
      <c r="V5166" t="n">
        <v>30</v>
      </c>
      <c r="W5166" t="n">
        <v>1</v>
      </c>
      <c r="X5166" t="n">
        <v>100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inlineStr"/>
      <c r="AG5166" t="inlineStr"/>
      <c r="AH5166" t="inlineStr"/>
      <c r="AI5166" t="n">
        <v>0</v>
      </c>
      <c r="AJ5166" t="inlineStr"/>
      <c r="AK5166" t="n">
        <v>0</v>
      </c>
      <c r="AL5166" t="inlineStr"/>
      <c r="AM5166" t="n">
        <v>0</v>
      </c>
      <c r="AN5166" t="n">
        <v>0</v>
      </c>
      <c r="AO5166" t="n">
        <v>0</v>
      </c>
      <c r="AP5166" t="inlineStr"/>
      <c r="AQ5166" t="inlineStr"/>
    </row>
    <row r="5167">
      <c r="A5167" t="inlineStr">
        <is>
          <t>MYKONOS</t>
        </is>
      </c>
      <c r="B5167" s="2">
        <f>"30400190114"</f>
        <v/>
      </c>
      <c r="C5167" t="inlineStr">
        <is>
          <t>MYKONOS California Blue Extrair De Parfum 50 ml</t>
        </is>
      </c>
      <c r="D5167" t="inlineStr">
        <is>
          <t>Miss Glam Jambi</t>
        </is>
      </c>
      <c r="E5167" t="n">
        <v>1</v>
      </c>
      <c r="F5167" t="n">
        <v>0.0429</v>
      </c>
      <c r="G5167" t="n">
        <v>0.66</v>
      </c>
      <c r="H5167" t="n">
        <v>1</v>
      </c>
      <c r="I5167" t="n">
        <v>2</v>
      </c>
      <c r="J5167" t="n">
        <v>1</v>
      </c>
      <c r="K5167" t="n">
        <v>3</v>
      </c>
      <c r="L5167" t="n">
        <v>129922</v>
      </c>
      <c r="M5167" t="n">
        <v>188000</v>
      </c>
      <c r="N5167" t="n">
        <v>33</v>
      </c>
      <c r="O5167" t="n">
        <v>0.33</v>
      </c>
      <c r="P5167" t="n">
        <v>1</v>
      </c>
      <c r="Q5167" t="n">
        <v>0.02</v>
      </c>
      <c r="R5167" t="n">
        <v>0</v>
      </c>
      <c r="S5167" t="n">
        <v>8065.2</v>
      </c>
      <c r="T5167" t="n">
        <v>2</v>
      </c>
      <c r="U5167" t="n">
        <v>3</v>
      </c>
      <c r="V5167" t="n">
        <v>30</v>
      </c>
      <c r="W5167" t="n">
        <v>2</v>
      </c>
      <c r="X5167" t="n">
        <v>23.31002331002331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inlineStr"/>
      <c r="AG5167" t="inlineStr"/>
      <c r="AH5167" t="inlineStr"/>
      <c r="AI5167" t="n">
        <v>0</v>
      </c>
      <c r="AJ5167" t="inlineStr"/>
      <c r="AK5167" t="n">
        <v>0</v>
      </c>
      <c r="AL5167" t="inlineStr"/>
      <c r="AM5167" t="n">
        <v>0</v>
      </c>
      <c r="AN5167" t="n">
        <v>0</v>
      </c>
      <c r="AO5167" t="n">
        <v>0</v>
      </c>
      <c r="AP5167" t="inlineStr"/>
      <c r="AQ5167" t="inlineStr"/>
    </row>
    <row r="5168">
      <c r="A5168" t="inlineStr">
        <is>
          <t>MYKONOS</t>
        </is>
      </c>
      <c r="B5168" s="2">
        <f>"30400194522"</f>
        <v/>
      </c>
      <c r="C5168" t="inlineStr">
        <is>
          <t>MYKONOS California Club 50ml</t>
        </is>
      </c>
      <c r="D5168" t="inlineStr">
        <is>
          <t>Miss Glam Jambi</t>
        </is>
      </c>
      <c r="E5168" t="n">
        <v>11</v>
      </c>
      <c r="F5168" t="n">
        <v>0.0462</v>
      </c>
      <c r="G5168" t="n">
        <v>0.66</v>
      </c>
      <c r="H5168" t="n">
        <v>1</v>
      </c>
      <c r="I5168" t="n">
        <v>2</v>
      </c>
      <c r="J5168" t="n">
        <v>1</v>
      </c>
      <c r="K5168" t="n">
        <v>0</v>
      </c>
      <c r="L5168" t="n">
        <v>129886</v>
      </c>
      <c r="M5168" t="n">
        <v>177000</v>
      </c>
      <c r="N5168" t="n">
        <v>33</v>
      </c>
      <c r="O5168" t="n">
        <v>0.33</v>
      </c>
      <c r="P5168" t="n">
        <v>1</v>
      </c>
      <c r="Q5168" t="n">
        <v>0.02</v>
      </c>
      <c r="R5168" t="n">
        <v>1</v>
      </c>
      <c r="S5168" t="n">
        <v>8177.400000000001</v>
      </c>
      <c r="T5168" t="n">
        <v>2</v>
      </c>
      <c r="U5168" t="n">
        <v>3</v>
      </c>
      <c r="V5168" t="n">
        <v>30</v>
      </c>
      <c r="W5168" t="n">
        <v>2</v>
      </c>
      <c r="X5168" t="n">
        <v>238.0952380952381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inlineStr"/>
      <c r="AG5168" t="inlineStr"/>
      <c r="AH5168" t="inlineStr"/>
      <c r="AI5168" t="n">
        <v>0</v>
      </c>
      <c r="AJ5168" t="inlineStr"/>
      <c r="AK5168" t="n">
        <v>0</v>
      </c>
      <c r="AL5168" t="inlineStr"/>
      <c r="AM5168" t="n">
        <v>0</v>
      </c>
      <c r="AN5168" t="n">
        <v>0</v>
      </c>
      <c r="AO5168" t="n">
        <v>0</v>
      </c>
      <c r="AP5168" t="inlineStr"/>
      <c r="AQ5168" t="inlineStr"/>
    </row>
    <row r="5169">
      <c r="A5169" t="inlineStr">
        <is>
          <t>MYKONOS</t>
        </is>
      </c>
      <c r="B5169" s="2">
        <f>"3475932543876"</f>
        <v/>
      </c>
      <c r="C5169" t="inlineStr">
        <is>
          <t>MYKONOS Coconut Dreams Eau De Parfum 50ml</t>
        </is>
      </c>
      <c r="D5169" t="inlineStr">
        <is>
          <t>Miss Glam Jambi</t>
        </is>
      </c>
      <c r="E5169" t="n">
        <v>1</v>
      </c>
      <c r="F5169" t="n">
        <v>0.006600000000000001</v>
      </c>
      <c r="G5169" t="n">
        <v>0.33</v>
      </c>
      <c r="H5169" t="n">
        <v>1</v>
      </c>
      <c r="I5169" t="n">
        <v>2</v>
      </c>
      <c r="J5169" t="n">
        <v>3</v>
      </c>
      <c r="K5169" t="n">
        <v>0</v>
      </c>
      <c r="L5169" t="n">
        <v>88840</v>
      </c>
      <c r="M5169" t="n">
        <v>125000</v>
      </c>
      <c r="N5169" t="n">
        <v>33</v>
      </c>
      <c r="O5169" t="n">
        <v>0.33</v>
      </c>
      <c r="P5169" t="n">
        <v>1</v>
      </c>
      <c r="Q5169" t="n">
        <v>0.02</v>
      </c>
      <c r="R5169" t="n">
        <v>1</v>
      </c>
      <c r="S5169" t="n">
        <v>825.0000000000001</v>
      </c>
      <c r="T5169" t="n">
        <v>1</v>
      </c>
      <c r="U5169" t="n">
        <v>2</v>
      </c>
      <c r="V5169" t="n">
        <v>30</v>
      </c>
      <c r="W5169" t="n">
        <v>1</v>
      </c>
      <c r="X5169" t="n">
        <v>151.5151515151515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inlineStr"/>
      <c r="AG5169" t="inlineStr"/>
      <c r="AH5169" t="inlineStr"/>
      <c r="AI5169" t="n">
        <v>0</v>
      </c>
      <c r="AJ5169" t="inlineStr"/>
      <c r="AK5169" t="n">
        <v>0</v>
      </c>
      <c r="AL5169" t="inlineStr"/>
      <c r="AM5169" t="n">
        <v>0</v>
      </c>
      <c r="AN5169" t="n">
        <v>0</v>
      </c>
      <c r="AO5169" t="n">
        <v>0</v>
      </c>
      <c r="AP5169" t="inlineStr"/>
      <c r="AQ5169" t="inlineStr"/>
    </row>
    <row r="5170">
      <c r="A5170" t="inlineStr">
        <is>
          <t>MYKONOS</t>
        </is>
      </c>
      <c r="B5170" s="2">
        <f>"3475932544231"</f>
        <v/>
      </c>
      <c r="C5170" t="inlineStr">
        <is>
          <t>MYKONOS Eau De Parfum Aphrodite 100ml</t>
        </is>
      </c>
      <c r="D5170" t="inlineStr">
        <is>
          <t>Miss Glam Jambi</t>
        </is>
      </c>
      <c r="E5170" t="n">
        <v>6</v>
      </c>
      <c r="F5170" t="n">
        <v>0.009900000000000001</v>
      </c>
      <c r="G5170" t="n">
        <v>0.33</v>
      </c>
      <c r="H5170" t="n">
        <v>1</v>
      </c>
      <c r="I5170" t="n">
        <v>2</v>
      </c>
      <c r="J5170" t="n">
        <v>3</v>
      </c>
      <c r="K5170" t="n">
        <v>0</v>
      </c>
      <c r="L5170" t="n">
        <v>203333</v>
      </c>
      <c r="M5170" t="n">
        <v>275000</v>
      </c>
      <c r="N5170" t="n">
        <v>33</v>
      </c>
      <c r="O5170" t="n">
        <v>0.33</v>
      </c>
      <c r="P5170" t="n">
        <v>1</v>
      </c>
      <c r="Q5170" t="n">
        <v>0.03</v>
      </c>
      <c r="R5170" t="n">
        <v>1</v>
      </c>
      <c r="S5170" t="n">
        <v>2722.5</v>
      </c>
      <c r="T5170" t="n">
        <v>1</v>
      </c>
      <c r="U5170" t="n">
        <v>2</v>
      </c>
      <c r="V5170" t="n">
        <v>30</v>
      </c>
      <c r="W5170" t="n">
        <v>1</v>
      </c>
      <c r="X5170" t="n">
        <v>606.060606060606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inlineStr"/>
      <c r="AG5170" t="inlineStr"/>
      <c r="AH5170" t="inlineStr"/>
      <c r="AI5170" t="n">
        <v>0</v>
      </c>
      <c r="AJ5170" t="inlineStr"/>
      <c r="AK5170" t="n">
        <v>0</v>
      </c>
      <c r="AL5170" t="inlineStr"/>
      <c r="AM5170" t="n">
        <v>0</v>
      </c>
      <c r="AN5170" t="n">
        <v>0</v>
      </c>
      <c r="AO5170" t="n">
        <v>0</v>
      </c>
      <c r="AP5170" t="inlineStr"/>
      <c r="AQ5170" t="inlineStr"/>
    </row>
    <row r="5171">
      <c r="A5171" t="inlineStr">
        <is>
          <t>MYKONOS</t>
        </is>
      </c>
      <c r="B5171" s="2">
        <f>"3475932544484"</f>
        <v/>
      </c>
      <c r="C5171" t="inlineStr">
        <is>
          <t>MYKONOS Eau De Parfum Dark Secret 15ml</t>
        </is>
      </c>
      <c r="D5171" t="inlineStr">
        <is>
          <t>Miss Glam Jambi</t>
        </is>
      </c>
      <c r="E5171" t="n">
        <v>3</v>
      </c>
      <c r="F5171" t="n">
        <v>0.0495</v>
      </c>
      <c r="G5171" t="n">
        <v>0.66</v>
      </c>
      <c r="H5171" t="n">
        <v>1</v>
      </c>
      <c r="I5171" t="n">
        <v>2</v>
      </c>
      <c r="J5171" t="n">
        <v>3</v>
      </c>
      <c r="K5171" t="n">
        <v>12</v>
      </c>
      <c r="L5171" t="n">
        <v>55571</v>
      </c>
      <c r="M5171" t="n">
        <v>65500</v>
      </c>
      <c r="N5171" t="n">
        <v>33</v>
      </c>
      <c r="O5171" t="n">
        <v>0.33</v>
      </c>
      <c r="P5171" t="n">
        <v>1</v>
      </c>
      <c r="Q5171" t="n">
        <v>0.08</v>
      </c>
      <c r="R5171" t="n">
        <v>1</v>
      </c>
      <c r="S5171" t="n">
        <v>3242.25</v>
      </c>
      <c r="T5171" t="n">
        <v>2</v>
      </c>
      <c r="U5171" t="n">
        <v>3</v>
      </c>
      <c r="V5171" t="n">
        <v>30</v>
      </c>
      <c r="W5171" t="n">
        <v>2</v>
      </c>
      <c r="X5171" t="n">
        <v>60.6060606060606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inlineStr"/>
      <c r="AG5171" t="inlineStr"/>
      <c r="AH5171" t="inlineStr"/>
      <c r="AI5171" t="n">
        <v>0</v>
      </c>
      <c r="AJ5171" t="inlineStr"/>
      <c r="AK5171" t="n">
        <v>0</v>
      </c>
      <c r="AL5171" t="inlineStr"/>
      <c r="AM5171" t="n">
        <v>0</v>
      </c>
      <c r="AN5171" t="n">
        <v>0</v>
      </c>
      <c r="AO5171" t="n">
        <v>0</v>
      </c>
      <c r="AP5171" t="inlineStr"/>
      <c r="AQ5171" t="inlineStr"/>
    </row>
    <row r="5172">
      <c r="A5172" t="inlineStr">
        <is>
          <t>MYKONOS</t>
        </is>
      </c>
      <c r="B5172" s="2">
        <f>"3475932544194"</f>
        <v/>
      </c>
      <c r="C5172" t="inlineStr">
        <is>
          <t>MYKONOS Eau De Parfum Enchanted 50ml</t>
        </is>
      </c>
      <c r="D5172" t="inlineStr">
        <is>
          <t>Miss Glam Jambi</t>
        </is>
      </c>
      <c r="E5172" t="n">
        <v>0</v>
      </c>
      <c r="F5172" t="n">
        <v>0.08910000000000001</v>
      </c>
      <c r="G5172" t="n">
        <v>0.66</v>
      </c>
      <c r="H5172" t="n">
        <v>1</v>
      </c>
      <c r="I5172" t="n">
        <v>2</v>
      </c>
      <c r="J5172" t="n">
        <v>3</v>
      </c>
      <c r="K5172" t="n">
        <v>12</v>
      </c>
      <c r="L5172" t="n">
        <v>109784</v>
      </c>
      <c r="M5172" t="n">
        <v>148800</v>
      </c>
      <c r="N5172" t="n">
        <v>33</v>
      </c>
      <c r="O5172" t="n">
        <v>0.33</v>
      </c>
      <c r="P5172" t="n">
        <v>1</v>
      </c>
      <c r="Q5172" t="n">
        <v>0.07000000000000001</v>
      </c>
      <c r="R5172" t="n">
        <v>1</v>
      </c>
      <c r="S5172" t="n">
        <v>13258.08</v>
      </c>
      <c r="T5172" t="n">
        <v>2</v>
      </c>
      <c r="U5172" t="n">
        <v>3</v>
      </c>
      <c r="V5172" t="n">
        <v>30</v>
      </c>
      <c r="W5172" t="n">
        <v>3</v>
      </c>
      <c r="X5172" t="n">
        <v>0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inlineStr"/>
      <c r="AG5172" t="inlineStr"/>
      <c r="AH5172" t="inlineStr"/>
      <c r="AI5172" t="n">
        <v>0</v>
      </c>
      <c r="AJ5172" t="inlineStr"/>
      <c r="AK5172" t="n">
        <v>0</v>
      </c>
      <c r="AL5172" t="inlineStr"/>
      <c r="AM5172" t="n">
        <v>0</v>
      </c>
      <c r="AN5172" t="n">
        <v>0</v>
      </c>
      <c r="AO5172" t="n">
        <v>0</v>
      </c>
      <c r="AP5172" t="inlineStr"/>
      <c r="AQ5172" t="inlineStr"/>
    </row>
    <row r="5173">
      <c r="A5173" t="inlineStr">
        <is>
          <t>MYKONOS</t>
        </is>
      </c>
      <c r="B5173" s="2">
        <f>"3475932544200"</f>
        <v/>
      </c>
      <c r="C5173" t="inlineStr">
        <is>
          <t>MYKONOS Eau De Parfum Matcha Latte 50ml</t>
        </is>
      </c>
      <c r="D5173" t="inlineStr">
        <is>
          <t>Miss Glam Jambi</t>
        </is>
      </c>
      <c r="E5173" t="n">
        <v>3</v>
      </c>
      <c r="F5173" t="n">
        <v>0.03</v>
      </c>
      <c r="G5173" t="n">
        <v>2</v>
      </c>
      <c r="H5173" t="n">
        <v>1</v>
      </c>
      <c r="I5173" t="n">
        <v>2</v>
      </c>
      <c r="J5173" t="n">
        <v>3</v>
      </c>
      <c r="K5173" t="n">
        <v>0</v>
      </c>
      <c r="L5173" t="n">
        <v>109784</v>
      </c>
      <c r="M5173" t="n">
        <v>148800</v>
      </c>
      <c r="N5173" t="n">
        <v>33</v>
      </c>
      <c r="O5173" t="n">
        <v>0.33</v>
      </c>
      <c r="P5173" t="n">
        <v>0</v>
      </c>
      <c r="Q5173" t="n">
        <v>0.03</v>
      </c>
      <c r="R5173" t="n">
        <v>2</v>
      </c>
      <c r="S5173" t="n">
        <v>4464</v>
      </c>
      <c r="T5173" t="n">
        <v>4</v>
      </c>
      <c r="U5173" t="n">
        <v>5</v>
      </c>
      <c r="V5173" t="n">
        <v>30</v>
      </c>
      <c r="W5173" t="n">
        <v>1</v>
      </c>
      <c r="X5173" t="n">
        <v>100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inlineStr"/>
      <c r="AG5173" t="inlineStr"/>
      <c r="AH5173" t="inlineStr"/>
      <c r="AI5173" t="n">
        <v>0</v>
      </c>
      <c r="AJ5173" t="inlineStr"/>
      <c r="AK5173" t="n">
        <v>0</v>
      </c>
      <c r="AL5173" t="inlineStr"/>
      <c r="AM5173" t="n">
        <v>0</v>
      </c>
      <c r="AN5173" t="n">
        <v>0</v>
      </c>
      <c r="AO5173" t="n">
        <v>0</v>
      </c>
      <c r="AP5173" t="inlineStr"/>
      <c r="AQ5173" t="inlineStr"/>
    </row>
    <row r="5174">
      <c r="A5174" t="inlineStr">
        <is>
          <t>MYKONOS</t>
        </is>
      </c>
      <c r="B5174" s="2">
        <f>"3475932544415"</f>
        <v/>
      </c>
      <c r="C5174" t="inlineStr">
        <is>
          <t>MYKONOS Eau De Parfum Pink Beach 50ml</t>
        </is>
      </c>
      <c r="D5174" t="inlineStr">
        <is>
          <t>Miss Glam Jambi</t>
        </is>
      </c>
      <c r="E5174" t="n">
        <v>3</v>
      </c>
      <c r="F5174" t="n">
        <v>0.09569999999999999</v>
      </c>
      <c r="G5174" t="n">
        <v>0.99</v>
      </c>
      <c r="H5174" t="n">
        <v>1</v>
      </c>
      <c r="I5174" t="n">
        <v>2</v>
      </c>
      <c r="J5174" t="n">
        <v>3</v>
      </c>
      <c r="K5174" t="n">
        <v>3</v>
      </c>
      <c r="L5174" t="n">
        <v>95284</v>
      </c>
      <c r="M5174" t="n">
        <v>168000</v>
      </c>
      <c r="N5174" t="n">
        <v>33</v>
      </c>
      <c r="O5174" t="n">
        <v>0.33</v>
      </c>
      <c r="P5174" t="n">
        <v>1</v>
      </c>
      <c r="Q5174" t="n">
        <v>0.05</v>
      </c>
      <c r="R5174" t="n">
        <v>1</v>
      </c>
      <c r="S5174" t="n">
        <v>16077.6</v>
      </c>
      <c r="T5174" t="n">
        <v>2</v>
      </c>
      <c r="U5174" t="n">
        <v>3</v>
      </c>
      <c r="V5174" t="n">
        <v>30</v>
      </c>
      <c r="W5174" t="n">
        <v>3</v>
      </c>
      <c r="X5174" t="n">
        <v>31.34796238244514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inlineStr"/>
      <c r="AG5174" t="inlineStr"/>
      <c r="AH5174" t="inlineStr"/>
      <c r="AI5174" t="n">
        <v>0</v>
      </c>
      <c r="AJ5174" t="inlineStr"/>
      <c r="AK5174" t="n">
        <v>0</v>
      </c>
      <c r="AL5174" t="inlineStr"/>
      <c r="AM5174" t="n">
        <v>0</v>
      </c>
      <c r="AN5174" t="n">
        <v>0</v>
      </c>
      <c r="AO5174" t="n">
        <v>0</v>
      </c>
      <c r="AP5174" t="inlineStr"/>
      <c r="AQ5174" t="inlineStr"/>
    </row>
    <row r="5175">
      <c r="A5175" t="inlineStr">
        <is>
          <t>MYKONOS</t>
        </is>
      </c>
      <c r="B5175" s="2">
        <f>"3475932544309"</f>
        <v/>
      </c>
      <c r="C5175" t="inlineStr">
        <is>
          <t>MYKONOS Eau De Parfum Rouge is Blush 50ml</t>
        </is>
      </c>
      <c r="D5175" t="inlineStr">
        <is>
          <t>Miss Glam Jambi</t>
        </is>
      </c>
      <c r="E5175" t="n">
        <v>0</v>
      </c>
      <c r="F5175" t="n">
        <v>0.006600000000000001</v>
      </c>
      <c r="G5175" t="n">
        <v>0.33</v>
      </c>
      <c r="H5175" t="n">
        <v>1</v>
      </c>
      <c r="I5175" t="n">
        <v>2</v>
      </c>
      <c r="J5175" t="n">
        <v>3</v>
      </c>
      <c r="K5175" t="n">
        <v>12</v>
      </c>
      <c r="L5175" t="n">
        <v>119731</v>
      </c>
      <c r="M5175" t="n">
        <v>178500</v>
      </c>
      <c r="N5175" t="n">
        <v>33</v>
      </c>
      <c r="O5175" t="n">
        <v>0.33</v>
      </c>
      <c r="P5175" t="n">
        <v>1</v>
      </c>
      <c r="Q5175" t="n">
        <v>0.04</v>
      </c>
      <c r="R5175" t="n">
        <v>1</v>
      </c>
      <c r="S5175" t="n">
        <v>1178.1</v>
      </c>
      <c r="T5175" t="n">
        <v>1</v>
      </c>
      <c r="U5175" t="n">
        <v>2</v>
      </c>
      <c r="V5175" t="n">
        <v>30</v>
      </c>
      <c r="W5175" t="n">
        <v>1</v>
      </c>
      <c r="X5175" t="n">
        <v>0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inlineStr"/>
      <c r="AG5175" t="inlineStr"/>
      <c r="AH5175" t="inlineStr"/>
      <c r="AI5175" t="n">
        <v>0</v>
      </c>
      <c r="AJ5175" t="inlineStr"/>
      <c r="AK5175" t="n">
        <v>0</v>
      </c>
      <c r="AL5175" t="inlineStr"/>
      <c r="AM5175" t="n">
        <v>0</v>
      </c>
      <c r="AN5175" t="n">
        <v>0</v>
      </c>
      <c r="AO5175" t="n">
        <v>0</v>
      </c>
      <c r="AP5175" t="inlineStr"/>
      <c r="AQ5175" t="inlineStr"/>
    </row>
    <row r="5176">
      <c r="A5176" t="inlineStr">
        <is>
          <t>MYKONOS</t>
        </is>
      </c>
      <c r="B5176" s="2">
        <f>"3475932543883"</f>
        <v/>
      </c>
      <c r="C5176" t="inlineStr">
        <is>
          <t>MYKONOS Eau De Parfum Vanilla Clouds 50ml</t>
        </is>
      </c>
      <c r="D5176" t="inlineStr">
        <is>
          <t>Miss Glam Jambi</t>
        </is>
      </c>
      <c r="E5176" t="n">
        <v>0</v>
      </c>
      <c r="F5176" t="n">
        <v>0.1287</v>
      </c>
      <c r="G5176" t="n">
        <v>0.66</v>
      </c>
      <c r="H5176" t="n">
        <v>1</v>
      </c>
      <c r="I5176" t="n">
        <v>2</v>
      </c>
      <c r="J5176" t="n">
        <v>3</v>
      </c>
      <c r="K5176" t="n">
        <v>12</v>
      </c>
      <c r="L5176" t="n">
        <v>90784</v>
      </c>
      <c r="M5176" t="n">
        <v>125000</v>
      </c>
      <c r="N5176" t="n">
        <v>33</v>
      </c>
      <c r="O5176" t="n">
        <v>0.33</v>
      </c>
      <c r="P5176" t="n">
        <v>1</v>
      </c>
      <c r="Q5176" t="n">
        <v>0.07000000000000001</v>
      </c>
      <c r="R5176" t="n">
        <v>1</v>
      </c>
      <c r="S5176" t="n">
        <v>16087.5</v>
      </c>
      <c r="T5176" t="n">
        <v>2</v>
      </c>
      <c r="U5176" t="n">
        <v>3</v>
      </c>
      <c r="V5176" t="n">
        <v>30</v>
      </c>
      <c r="W5176" t="n">
        <v>4</v>
      </c>
      <c r="X5176" t="n">
        <v>0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inlineStr"/>
      <c r="AG5176" t="inlineStr"/>
      <c r="AH5176" t="inlineStr"/>
      <c r="AI5176" t="n">
        <v>0</v>
      </c>
      <c r="AJ5176" t="inlineStr"/>
      <c r="AK5176" t="n">
        <v>0</v>
      </c>
      <c r="AL5176" t="inlineStr"/>
      <c r="AM5176" t="n">
        <v>0</v>
      </c>
      <c r="AN5176" t="n">
        <v>0</v>
      </c>
      <c r="AO5176" t="n">
        <v>0</v>
      </c>
      <c r="AP5176" t="inlineStr"/>
      <c r="AQ5176" t="inlineStr"/>
    </row>
    <row r="5177">
      <c r="A5177" t="inlineStr">
        <is>
          <t>MYKONOS</t>
        </is>
      </c>
      <c r="B5177" s="2">
        <f>"3475932544217"</f>
        <v/>
      </c>
      <c r="C5177" t="inlineStr">
        <is>
          <t>MYKONOS Eau De Parfum Xoxo Rosy 50ml</t>
        </is>
      </c>
      <c r="D5177" t="inlineStr">
        <is>
          <t>Miss Glam Jambi</t>
        </is>
      </c>
      <c r="E5177" t="n">
        <v>4</v>
      </c>
      <c r="F5177" t="n">
        <v>0.0165</v>
      </c>
      <c r="G5177" t="n">
        <v>0.33</v>
      </c>
      <c r="H5177" t="n">
        <v>1</v>
      </c>
      <c r="I5177" t="n">
        <v>2</v>
      </c>
      <c r="J5177" t="n">
        <v>3</v>
      </c>
      <c r="K5177" t="n">
        <v>0</v>
      </c>
      <c r="L5177" t="n">
        <v>90594</v>
      </c>
      <c r="M5177" t="n">
        <v>129000</v>
      </c>
      <c r="N5177" t="n">
        <v>33</v>
      </c>
      <c r="O5177" t="n">
        <v>0.33</v>
      </c>
      <c r="P5177" t="n">
        <v>1</v>
      </c>
      <c r="Q5177" t="n">
        <v>0.03</v>
      </c>
      <c r="R5177" t="n">
        <v>1</v>
      </c>
      <c r="S5177" t="n">
        <v>2128.5</v>
      </c>
      <c r="T5177" t="n">
        <v>1</v>
      </c>
      <c r="U5177" t="n">
        <v>2</v>
      </c>
      <c r="V5177" t="n">
        <v>30</v>
      </c>
      <c r="W5177" t="n">
        <v>1</v>
      </c>
      <c r="X5177" t="n">
        <v>242.4242424242424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inlineStr"/>
      <c r="AG5177" t="inlineStr"/>
      <c r="AH5177" t="inlineStr"/>
      <c r="AI5177" t="n">
        <v>0</v>
      </c>
      <c r="AJ5177" t="inlineStr"/>
      <c r="AK5177" t="n">
        <v>0</v>
      </c>
      <c r="AL5177" t="inlineStr"/>
      <c r="AM5177" t="n">
        <v>0</v>
      </c>
      <c r="AN5177" t="n">
        <v>0</v>
      </c>
      <c r="AO5177" t="n">
        <v>0</v>
      </c>
      <c r="AP5177" t="inlineStr"/>
      <c r="AQ5177" t="inlineStr"/>
    </row>
    <row r="5178">
      <c r="A5178" t="inlineStr">
        <is>
          <t>MYKONOS</t>
        </is>
      </c>
      <c r="B5178" s="2">
        <f>"3475932544316"</f>
        <v/>
      </c>
      <c r="C5178" t="inlineStr">
        <is>
          <t>MYKONOS Eau De Perfume Aphrodite 50ml</t>
        </is>
      </c>
      <c r="D5178" t="inlineStr">
        <is>
          <t>Miss Glam Jambi</t>
        </is>
      </c>
      <c r="E5178" t="n">
        <v>0</v>
      </c>
      <c r="F5178" t="n">
        <v>0.0396</v>
      </c>
      <c r="G5178" t="n">
        <v>0.33</v>
      </c>
      <c r="H5178" t="n">
        <v>1</v>
      </c>
      <c r="I5178" t="n">
        <v>2</v>
      </c>
      <c r="J5178" t="n">
        <v>3</v>
      </c>
      <c r="K5178" t="n">
        <v>12</v>
      </c>
      <c r="L5178" t="n">
        <v>109784</v>
      </c>
      <c r="M5178" t="n">
        <v>178000</v>
      </c>
      <c r="N5178" t="n">
        <v>33</v>
      </c>
      <c r="O5178" t="n">
        <v>0.33</v>
      </c>
      <c r="P5178" t="n">
        <v>1</v>
      </c>
      <c r="Q5178" t="n">
        <v>0.02</v>
      </c>
      <c r="R5178" t="n">
        <v>1</v>
      </c>
      <c r="S5178" t="n">
        <v>7048.8</v>
      </c>
      <c r="T5178" t="n">
        <v>1</v>
      </c>
      <c r="U5178" t="n">
        <v>2</v>
      </c>
      <c r="V5178" t="n">
        <v>30</v>
      </c>
      <c r="W5178" t="n">
        <v>2</v>
      </c>
      <c r="X5178" t="n">
        <v>0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inlineStr"/>
      <c r="AG5178" t="inlineStr"/>
      <c r="AH5178" t="inlineStr"/>
      <c r="AI5178" t="n">
        <v>0</v>
      </c>
      <c r="AJ5178" t="inlineStr"/>
      <c r="AK5178" t="n">
        <v>0</v>
      </c>
      <c r="AL5178" t="inlineStr"/>
      <c r="AM5178" t="n">
        <v>0</v>
      </c>
      <c r="AN5178" t="n">
        <v>0</v>
      </c>
      <c r="AO5178" t="n">
        <v>0</v>
      </c>
      <c r="AP5178" t="inlineStr"/>
      <c r="AQ5178" t="inlineStr"/>
    </row>
    <row r="5179">
      <c r="A5179" t="inlineStr">
        <is>
          <t>MYKONOS</t>
        </is>
      </c>
      <c r="B5179" s="2">
        <f>"3475932543937"</f>
        <v/>
      </c>
      <c r="C5179" t="inlineStr">
        <is>
          <t>MYKONOS Extrait De Parfum Enchanted 100ml</t>
        </is>
      </c>
      <c r="D5179" t="inlineStr">
        <is>
          <t>Miss Glam Jambi</t>
        </is>
      </c>
      <c r="E5179" t="n">
        <v>0</v>
      </c>
      <c r="F5179" t="n">
        <v>0.033</v>
      </c>
      <c r="G5179" t="n">
        <v>0.33</v>
      </c>
      <c r="H5179" t="n">
        <v>1</v>
      </c>
      <c r="I5179" t="n">
        <v>2</v>
      </c>
      <c r="J5179" t="n">
        <v>3</v>
      </c>
      <c r="K5179" t="n">
        <v>0</v>
      </c>
      <c r="L5179" t="n">
        <v>180156</v>
      </c>
      <c r="M5179" t="n">
        <v>239000</v>
      </c>
      <c r="N5179" t="n">
        <v>33</v>
      </c>
      <c r="O5179" t="n">
        <v>0.33</v>
      </c>
      <c r="P5179" t="n">
        <v>1</v>
      </c>
      <c r="Q5179" t="n">
        <v>0.06</v>
      </c>
      <c r="R5179" t="n">
        <v>1</v>
      </c>
      <c r="S5179" t="n">
        <v>7887</v>
      </c>
      <c r="T5179" t="n">
        <v>1</v>
      </c>
      <c r="U5179" t="n">
        <v>2</v>
      </c>
      <c r="V5179" t="n">
        <v>30</v>
      </c>
      <c r="W5179" t="n">
        <v>1</v>
      </c>
      <c r="X5179" t="n">
        <v>0</v>
      </c>
      <c r="Y5179" t="n">
        <v>1</v>
      </c>
      <c r="Z5179" t="n">
        <v>1</v>
      </c>
      <c r="AA5179" t="n">
        <v>1</v>
      </c>
      <c r="AB5179" t="n">
        <v>0</v>
      </c>
      <c r="AC5179" t="n">
        <v>0</v>
      </c>
      <c r="AD5179" t="n">
        <v>180156</v>
      </c>
      <c r="AE5179" t="n">
        <v>0</v>
      </c>
      <c r="AF5179" t="inlineStr"/>
      <c r="AG5179" t="inlineStr"/>
      <c r="AH5179" t="inlineStr"/>
      <c r="AI5179" t="n">
        <v>0</v>
      </c>
      <c r="AJ5179" t="inlineStr"/>
      <c r="AK5179" t="n">
        <v>0</v>
      </c>
      <c r="AL5179" t="inlineStr"/>
      <c r="AM5179" t="n">
        <v>0</v>
      </c>
      <c r="AN5179" t="n">
        <v>0</v>
      </c>
      <c r="AO5179" t="n">
        <v>0</v>
      </c>
      <c r="AP5179" t="inlineStr"/>
      <c r="AQ5179" t="inlineStr"/>
    </row>
    <row r="5180">
      <c r="A5180" t="inlineStr">
        <is>
          <t>MYKONOS</t>
        </is>
      </c>
      <c r="B5180" s="2">
        <f>"3475932544521"</f>
        <v/>
      </c>
      <c r="C5180" t="inlineStr">
        <is>
          <t>MYKONOS Extrait De Parfum Musk Aura 15ml</t>
        </is>
      </c>
      <c r="D5180" t="inlineStr">
        <is>
          <t>Miss Glam Jambi</t>
        </is>
      </c>
      <c r="E5180" t="n">
        <v>1</v>
      </c>
      <c r="F5180" t="n">
        <v>0.0165</v>
      </c>
      <c r="G5180" t="n">
        <v>0.33</v>
      </c>
      <c r="H5180" t="n">
        <v>1</v>
      </c>
      <c r="I5180" t="n">
        <v>2</v>
      </c>
      <c r="J5180" t="n">
        <v>3</v>
      </c>
      <c r="K5180" t="n">
        <v>0</v>
      </c>
      <c r="L5180" t="n">
        <v>55378</v>
      </c>
      <c r="M5180" t="n">
        <v>75000</v>
      </c>
      <c r="N5180" t="n">
        <v>33</v>
      </c>
      <c r="O5180" t="n">
        <v>0.33</v>
      </c>
      <c r="P5180" t="n">
        <v>1</v>
      </c>
      <c r="Q5180" t="n">
        <v>0.08</v>
      </c>
      <c r="R5180" t="n">
        <v>1</v>
      </c>
      <c r="S5180" t="n">
        <v>1237.5</v>
      </c>
      <c r="T5180" t="n">
        <v>1</v>
      </c>
      <c r="U5180" t="n">
        <v>2</v>
      </c>
      <c r="V5180" t="n">
        <v>30</v>
      </c>
      <c r="W5180" t="n">
        <v>1</v>
      </c>
      <c r="X5180" t="n">
        <v>60.6060606060606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inlineStr"/>
      <c r="AG5180" t="inlineStr"/>
      <c r="AH5180" t="inlineStr"/>
      <c r="AI5180" t="n">
        <v>0</v>
      </c>
      <c r="AJ5180" t="inlineStr"/>
      <c r="AK5180" t="n">
        <v>0</v>
      </c>
      <c r="AL5180" t="inlineStr"/>
      <c r="AM5180" t="n">
        <v>0</v>
      </c>
      <c r="AN5180" t="n">
        <v>0</v>
      </c>
      <c r="AO5180" t="n">
        <v>0</v>
      </c>
      <c r="AP5180" t="inlineStr"/>
      <c r="AQ5180" t="inlineStr"/>
    </row>
    <row r="5181">
      <c r="A5181" t="inlineStr">
        <is>
          <t>MYKONOS</t>
        </is>
      </c>
      <c r="B5181" s="2">
        <f>"30400194923"</f>
        <v/>
      </c>
      <c r="C5181" t="inlineStr">
        <is>
          <t>MYKONOS Extrait De Parfum On The Rock 100ml</t>
        </is>
      </c>
      <c r="D5181" t="inlineStr">
        <is>
          <t>Miss Glam Jambi</t>
        </is>
      </c>
      <c r="E5181" t="n">
        <v>2</v>
      </c>
      <c r="F5181" t="n">
        <v>0.006600000000000001</v>
      </c>
      <c r="G5181" t="n">
        <v>0.33</v>
      </c>
      <c r="H5181" t="n">
        <v>1</v>
      </c>
      <c r="I5181" t="n">
        <v>2</v>
      </c>
      <c r="J5181" t="n">
        <v>1</v>
      </c>
      <c r="K5181" t="n">
        <v>0</v>
      </c>
      <c r="L5181" t="n">
        <v>0</v>
      </c>
      <c r="M5181" t="n">
        <v>350000</v>
      </c>
      <c r="N5181" t="n">
        <v>33</v>
      </c>
      <c r="O5181" t="n">
        <v>0.33</v>
      </c>
      <c r="P5181" t="n">
        <v>1</v>
      </c>
      <c r="Q5181" t="n">
        <v>0.02</v>
      </c>
      <c r="R5181" t="n">
        <v>1</v>
      </c>
      <c r="S5181" t="n">
        <v>2310</v>
      </c>
      <c r="T5181" t="n">
        <v>1</v>
      </c>
      <c r="U5181" t="n">
        <v>2</v>
      </c>
      <c r="V5181" t="n">
        <v>30</v>
      </c>
      <c r="W5181" t="n">
        <v>1</v>
      </c>
      <c r="X5181" t="n">
        <v>303.030303030303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inlineStr"/>
      <c r="AG5181" t="inlineStr"/>
      <c r="AH5181" t="inlineStr"/>
      <c r="AI5181" t="n">
        <v>0</v>
      </c>
      <c r="AJ5181" t="inlineStr"/>
      <c r="AK5181" t="n">
        <v>0</v>
      </c>
      <c r="AL5181" t="inlineStr"/>
      <c r="AM5181" t="n">
        <v>0</v>
      </c>
      <c r="AN5181" t="n">
        <v>0</v>
      </c>
      <c r="AO5181" t="n">
        <v>0</v>
      </c>
      <c r="AP5181" t="inlineStr"/>
      <c r="AQ5181" t="inlineStr"/>
    </row>
    <row r="5182">
      <c r="A5182" t="inlineStr">
        <is>
          <t>MYKONOS</t>
        </is>
      </c>
      <c r="B5182" s="2">
        <f>"30400195030"</f>
        <v/>
      </c>
      <c r="C5182" t="inlineStr">
        <is>
          <t>MYKONOS Extrait De Parfum Royal Ispahan 15ml</t>
        </is>
      </c>
      <c r="D5182" t="inlineStr">
        <is>
          <t>Miss Glam Jambi</t>
        </is>
      </c>
      <c r="E5182" t="n">
        <v>0</v>
      </c>
      <c r="F5182" t="n">
        <v>0.31</v>
      </c>
      <c r="G5182" t="n">
        <v>4</v>
      </c>
      <c r="H5182" t="n">
        <v>1</v>
      </c>
      <c r="I5182" t="n">
        <v>2</v>
      </c>
      <c r="J5182" t="n">
        <v>1</v>
      </c>
      <c r="K5182" t="n">
        <v>12</v>
      </c>
      <c r="L5182" t="n">
        <v>55588</v>
      </c>
      <c r="M5182" t="n">
        <v>75000</v>
      </c>
      <c r="N5182" t="n">
        <v>33</v>
      </c>
      <c r="O5182" t="n">
        <v>0.33</v>
      </c>
      <c r="P5182" t="n">
        <v>0</v>
      </c>
      <c r="Q5182" t="n">
        <v>0.31</v>
      </c>
      <c r="R5182" t="n">
        <v>4</v>
      </c>
      <c r="S5182" t="n">
        <v>23250</v>
      </c>
      <c r="T5182" t="n">
        <v>8</v>
      </c>
      <c r="U5182" t="n">
        <v>9</v>
      </c>
      <c r="V5182" t="n">
        <v>30</v>
      </c>
      <c r="W5182" t="n">
        <v>10</v>
      </c>
      <c r="X5182" t="n">
        <v>0</v>
      </c>
      <c r="Y5182" t="n">
        <v>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inlineStr"/>
      <c r="AG5182" t="inlineStr"/>
      <c r="AH5182" t="inlineStr"/>
      <c r="AI5182" t="n">
        <v>0</v>
      </c>
      <c r="AJ5182" t="inlineStr"/>
      <c r="AK5182" t="n">
        <v>0</v>
      </c>
      <c r="AL5182" t="inlineStr"/>
      <c r="AM5182" t="n">
        <v>0</v>
      </c>
      <c r="AN5182" t="n">
        <v>0</v>
      </c>
      <c r="AO5182" t="n">
        <v>0</v>
      </c>
      <c r="AP5182" t="inlineStr"/>
      <c r="AQ5182" t="inlineStr"/>
    </row>
    <row r="5183">
      <c r="A5183" t="inlineStr">
        <is>
          <t>MYKONOS</t>
        </is>
      </c>
      <c r="B5183" s="2">
        <f>"30400190529"</f>
        <v/>
      </c>
      <c r="C5183" t="inlineStr">
        <is>
          <t>MYKONOS Hawaiian Crush 15 ml</t>
        </is>
      </c>
      <c r="D5183" t="inlineStr">
        <is>
          <t>Miss Glam Jambi</t>
        </is>
      </c>
      <c r="E5183" t="n">
        <v>6</v>
      </c>
      <c r="F5183" t="n">
        <v>0.0231</v>
      </c>
      <c r="G5183" t="n">
        <v>0.66</v>
      </c>
      <c r="H5183" t="n">
        <v>1</v>
      </c>
      <c r="I5183" t="n">
        <v>2</v>
      </c>
      <c r="J5183" t="n">
        <v>1</v>
      </c>
      <c r="K5183" t="n">
        <v>0</v>
      </c>
      <c r="L5183" t="n">
        <v>55571</v>
      </c>
      <c r="M5183" t="n">
        <v>67000</v>
      </c>
      <c r="N5183" t="n">
        <v>33</v>
      </c>
      <c r="O5183" t="n">
        <v>0.33</v>
      </c>
      <c r="P5183" t="n">
        <v>1</v>
      </c>
      <c r="Q5183" t="n">
        <v>0.05</v>
      </c>
      <c r="R5183" t="n">
        <v>1</v>
      </c>
      <c r="S5183" t="n">
        <v>1547.7</v>
      </c>
      <c r="T5183" t="n">
        <v>2</v>
      </c>
      <c r="U5183" t="n">
        <v>3</v>
      </c>
      <c r="V5183" t="n">
        <v>30</v>
      </c>
      <c r="W5183" t="n">
        <v>1</v>
      </c>
      <c r="X5183" t="n">
        <v>259.7402597402597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inlineStr"/>
      <c r="AG5183" t="inlineStr"/>
      <c r="AH5183" t="inlineStr"/>
      <c r="AI5183" t="n">
        <v>0</v>
      </c>
      <c r="AJ5183" t="inlineStr"/>
      <c r="AK5183" t="n">
        <v>0</v>
      </c>
      <c r="AL5183" t="inlineStr"/>
      <c r="AM5183" t="n">
        <v>0</v>
      </c>
      <c r="AN5183" t="n">
        <v>0</v>
      </c>
      <c r="AO5183" t="n">
        <v>0</v>
      </c>
      <c r="AP5183" t="inlineStr"/>
      <c r="AQ5183" t="inlineStr"/>
    </row>
    <row r="5184">
      <c r="A5184" t="inlineStr">
        <is>
          <t>MYKONOS</t>
        </is>
      </c>
      <c r="B5184" s="2">
        <f>"30400190315"</f>
        <v/>
      </c>
      <c r="C5184" t="inlineStr">
        <is>
          <t>MYKONOS Hawaiian Crush 50ml</t>
        </is>
      </c>
      <c r="D5184" t="inlineStr">
        <is>
          <t>Miss Glam Jambi</t>
        </is>
      </c>
      <c r="E5184" t="n">
        <v>3</v>
      </c>
      <c r="F5184" t="n">
        <v>0.006600000000000001</v>
      </c>
      <c r="G5184" t="n">
        <v>0.33</v>
      </c>
      <c r="H5184" t="n">
        <v>1</v>
      </c>
      <c r="I5184" t="n">
        <v>2</v>
      </c>
      <c r="J5184" t="n">
        <v>1</v>
      </c>
      <c r="K5184" t="n">
        <v>0</v>
      </c>
      <c r="L5184" t="n">
        <v>139784</v>
      </c>
      <c r="M5184" t="n">
        <v>177000</v>
      </c>
      <c r="N5184" t="n">
        <v>33</v>
      </c>
      <c r="O5184" t="n">
        <v>0.33</v>
      </c>
      <c r="P5184" t="n">
        <v>1</v>
      </c>
      <c r="Q5184" t="n">
        <v>0.03</v>
      </c>
      <c r="R5184" t="n">
        <v>1</v>
      </c>
      <c r="S5184" t="n">
        <v>1168.2</v>
      </c>
      <c r="T5184" t="n">
        <v>1</v>
      </c>
      <c r="U5184" t="n">
        <v>2</v>
      </c>
      <c r="V5184" t="n">
        <v>30</v>
      </c>
      <c r="W5184" t="n">
        <v>1</v>
      </c>
      <c r="X5184" t="n">
        <v>454.5454545454545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inlineStr"/>
      <c r="AG5184" t="inlineStr"/>
      <c r="AH5184" t="inlineStr"/>
      <c r="AI5184" t="n">
        <v>0</v>
      </c>
      <c r="AJ5184" t="inlineStr"/>
      <c r="AK5184" t="n">
        <v>0</v>
      </c>
      <c r="AL5184" t="inlineStr"/>
      <c r="AM5184" t="n">
        <v>0</v>
      </c>
      <c r="AN5184" t="n">
        <v>0</v>
      </c>
      <c r="AO5184" t="n">
        <v>0</v>
      </c>
      <c r="AP5184" t="inlineStr"/>
      <c r="AQ5184" t="inlineStr"/>
    </row>
    <row r="5185">
      <c r="A5185" t="inlineStr">
        <is>
          <t>MYKONOS</t>
        </is>
      </c>
      <c r="B5185" s="2">
        <f>"3475932544651"</f>
        <v/>
      </c>
      <c r="C5185" t="inlineStr">
        <is>
          <t>MYKONOS Milk Drops Extrait De Parfum 50ml</t>
        </is>
      </c>
      <c r="D5185" t="inlineStr">
        <is>
          <t>Miss Glam Jambi</t>
        </is>
      </c>
      <c r="E5185" t="n">
        <v>10</v>
      </c>
      <c r="F5185" t="n">
        <v>0.006600000000000001</v>
      </c>
      <c r="G5185" t="n">
        <v>0.33</v>
      </c>
      <c r="H5185" t="n">
        <v>1</v>
      </c>
      <c r="I5185" t="n">
        <v>2</v>
      </c>
      <c r="J5185" t="n">
        <v>3</v>
      </c>
      <c r="K5185" t="n">
        <v>0</v>
      </c>
      <c r="L5185" t="n">
        <v>151030</v>
      </c>
      <c r="M5185" t="n">
        <v>189500</v>
      </c>
      <c r="N5185" t="n">
        <v>33</v>
      </c>
      <c r="O5185" t="n">
        <v>0.33</v>
      </c>
      <c r="P5185" t="n">
        <v>1</v>
      </c>
      <c r="Q5185" t="n">
        <v>0.03</v>
      </c>
      <c r="R5185" t="n">
        <v>1</v>
      </c>
      <c r="S5185" t="n">
        <v>1250.7</v>
      </c>
      <c r="T5185" t="n">
        <v>1</v>
      </c>
      <c r="U5185" t="n">
        <v>2</v>
      </c>
      <c r="V5185" t="n">
        <v>30</v>
      </c>
      <c r="W5185" t="n">
        <v>1</v>
      </c>
      <c r="X5185" t="n">
        <v>1515.151515151515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inlineStr"/>
      <c r="AG5185" t="inlineStr"/>
      <c r="AH5185" t="inlineStr"/>
      <c r="AI5185" t="n">
        <v>0</v>
      </c>
      <c r="AJ5185" t="inlineStr"/>
      <c r="AK5185" t="n">
        <v>0</v>
      </c>
      <c r="AL5185" t="inlineStr"/>
      <c r="AM5185" t="n">
        <v>0</v>
      </c>
      <c r="AN5185" t="n">
        <v>0</v>
      </c>
      <c r="AO5185" t="n">
        <v>0</v>
      </c>
      <c r="AP5185" t="inlineStr"/>
      <c r="AQ5185" t="inlineStr"/>
    </row>
    <row r="5186">
      <c r="A5186" t="inlineStr">
        <is>
          <t>MYKONOS</t>
        </is>
      </c>
      <c r="B5186" s="2">
        <f>"30400190402"</f>
        <v/>
      </c>
      <c r="C5186" t="inlineStr">
        <is>
          <t>MYKONOS On The Rock 15ml</t>
        </is>
      </c>
      <c r="D5186" t="inlineStr">
        <is>
          <t>Miss Glam Jambi</t>
        </is>
      </c>
      <c r="E5186" t="n">
        <v>9</v>
      </c>
      <c r="F5186" t="n">
        <v>0.033</v>
      </c>
      <c r="G5186" t="n">
        <v>0.33</v>
      </c>
      <c r="H5186" t="n">
        <v>1</v>
      </c>
      <c r="I5186" t="n">
        <v>2</v>
      </c>
      <c r="J5186" t="n">
        <v>1</v>
      </c>
      <c r="K5186" t="n">
        <v>0</v>
      </c>
      <c r="L5186" t="n">
        <v>55378</v>
      </c>
      <c r="M5186" t="n">
        <v>67000</v>
      </c>
      <c r="N5186" t="n">
        <v>33</v>
      </c>
      <c r="O5186" t="n">
        <v>0.33</v>
      </c>
      <c r="P5186" t="n">
        <v>1</v>
      </c>
      <c r="Q5186" t="n">
        <v>0.05</v>
      </c>
      <c r="R5186" t="n">
        <v>1</v>
      </c>
      <c r="S5186" t="n">
        <v>2211</v>
      </c>
      <c r="T5186" t="n">
        <v>1</v>
      </c>
      <c r="U5186" t="n">
        <v>2</v>
      </c>
      <c r="V5186" t="n">
        <v>30</v>
      </c>
      <c r="W5186" t="n">
        <v>1</v>
      </c>
      <c r="X5186" t="n">
        <v>272.7272727272727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inlineStr"/>
      <c r="AG5186" t="inlineStr"/>
      <c r="AH5186" t="inlineStr"/>
      <c r="AI5186" t="n">
        <v>0</v>
      </c>
      <c r="AJ5186" t="inlineStr"/>
      <c r="AK5186" t="n">
        <v>0</v>
      </c>
      <c r="AL5186" t="inlineStr"/>
      <c r="AM5186" t="n">
        <v>0</v>
      </c>
      <c r="AN5186" t="n">
        <v>0</v>
      </c>
      <c r="AO5186" t="n">
        <v>0</v>
      </c>
      <c r="AP5186" t="inlineStr"/>
      <c r="AQ5186" t="inlineStr"/>
    </row>
    <row r="5187">
      <c r="A5187" t="inlineStr">
        <is>
          <t>MYKONOS</t>
        </is>
      </c>
      <c r="B5187" s="2">
        <f>"3475932544545"</f>
        <v/>
      </c>
      <c r="C5187" t="inlineStr">
        <is>
          <t>MYKONOS Satin Blanc Extrait De Parfum 15ml</t>
        </is>
      </c>
      <c r="D5187" t="inlineStr">
        <is>
          <t>Miss Glam Jambi</t>
        </is>
      </c>
      <c r="E5187" t="n">
        <v>0</v>
      </c>
      <c r="F5187" t="n">
        <v>0.1221</v>
      </c>
      <c r="G5187" t="n">
        <v>0.66</v>
      </c>
      <c r="H5187" t="n">
        <v>1</v>
      </c>
      <c r="I5187" t="n">
        <v>2</v>
      </c>
      <c r="J5187" t="n">
        <v>3</v>
      </c>
      <c r="K5187" t="n">
        <v>3</v>
      </c>
      <c r="L5187" t="n">
        <v>55393</v>
      </c>
      <c r="M5187" t="n">
        <v>66500</v>
      </c>
      <c r="N5187" t="n">
        <v>33</v>
      </c>
      <c r="O5187" t="n">
        <v>0.33</v>
      </c>
      <c r="P5187" t="n">
        <v>1</v>
      </c>
      <c r="Q5187" t="n">
        <v>0.07000000000000001</v>
      </c>
      <c r="R5187" t="n">
        <v>1</v>
      </c>
      <c r="S5187" t="n">
        <v>8119.65</v>
      </c>
      <c r="T5187" t="n">
        <v>2</v>
      </c>
      <c r="U5187" t="n">
        <v>3</v>
      </c>
      <c r="V5187" t="n">
        <v>30</v>
      </c>
      <c r="W5187" t="n">
        <v>4</v>
      </c>
      <c r="X5187" t="n">
        <v>0</v>
      </c>
      <c r="Y5187" t="n">
        <v>1</v>
      </c>
      <c r="Z5187" t="n">
        <v>1</v>
      </c>
      <c r="AA5187" t="n">
        <v>0</v>
      </c>
      <c r="AB5187" t="n">
        <v>1</v>
      </c>
      <c r="AC5187" t="n">
        <v>3</v>
      </c>
      <c r="AD5187" t="n">
        <v>0</v>
      </c>
      <c r="AE5187" t="n">
        <v>166179</v>
      </c>
      <c r="AF5187" t="inlineStr"/>
      <c r="AG5187" t="inlineStr"/>
      <c r="AH5187" t="inlineStr"/>
      <c r="AI5187" t="n">
        <v>0</v>
      </c>
      <c r="AJ5187" t="inlineStr"/>
      <c r="AK5187" t="n">
        <v>0</v>
      </c>
      <c r="AL5187" t="inlineStr"/>
      <c r="AM5187" t="n">
        <v>0</v>
      </c>
      <c r="AN5187" t="n">
        <v>0</v>
      </c>
      <c r="AO5187" t="n">
        <v>0</v>
      </c>
      <c r="AP5187" t="inlineStr"/>
      <c r="AQ5187" t="inlineStr"/>
    </row>
    <row r="5188">
      <c r="A5188" t="inlineStr">
        <is>
          <t>MYKONOS</t>
        </is>
      </c>
      <c r="B5188" s="2">
        <f>"3475932544552"</f>
        <v/>
      </c>
      <c r="C5188" t="inlineStr">
        <is>
          <t>MYKONOS Sparkling Rose Extrait De Parfum 15ml</t>
        </is>
      </c>
      <c r="D5188" t="inlineStr">
        <is>
          <t>Miss Glam Jambi</t>
        </is>
      </c>
      <c r="E5188" t="n">
        <v>1</v>
      </c>
      <c r="F5188" t="n">
        <v>0.0825</v>
      </c>
      <c r="G5188" t="n">
        <v>0.66</v>
      </c>
      <c r="H5188" t="n">
        <v>1</v>
      </c>
      <c r="I5188" t="n">
        <v>2</v>
      </c>
      <c r="J5188" t="n">
        <v>3</v>
      </c>
      <c r="K5188" t="n">
        <v>3</v>
      </c>
      <c r="L5188" t="n">
        <v>55784</v>
      </c>
      <c r="M5188" t="n">
        <v>67000</v>
      </c>
      <c r="N5188" t="n">
        <v>33</v>
      </c>
      <c r="O5188" t="n">
        <v>0.33</v>
      </c>
      <c r="P5188" t="n">
        <v>1</v>
      </c>
      <c r="Q5188" t="n">
        <v>0.07000000000000001</v>
      </c>
      <c r="R5188" t="n">
        <v>1</v>
      </c>
      <c r="S5188" t="n">
        <v>5527.5</v>
      </c>
      <c r="T5188" t="n">
        <v>2</v>
      </c>
      <c r="U5188" t="n">
        <v>3</v>
      </c>
      <c r="V5188" t="n">
        <v>30</v>
      </c>
      <c r="W5188" t="n">
        <v>3</v>
      </c>
      <c r="X5188" t="n">
        <v>12.12121212121212</v>
      </c>
      <c r="Y5188" t="n">
        <v>1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inlineStr"/>
      <c r="AG5188" t="inlineStr"/>
      <c r="AH5188" t="inlineStr"/>
      <c r="AI5188" t="n">
        <v>0</v>
      </c>
      <c r="AJ5188" t="inlineStr"/>
      <c r="AK5188" t="n">
        <v>0</v>
      </c>
      <c r="AL5188" t="inlineStr"/>
      <c r="AM5188" t="n">
        <v>0</v>
      </c>
      <c r="AN5188" t="n">
        <v>0</v>
      </c>
      <c r="AO5188" t="n">
        <v>0</v>
      </c>
      <c r="AP5188" t="inlineStr"/>
      <c r="AQ5188" t="inlineStr"/>
    </row>
    <row r="5189">
      <c r="A5189" t="inlineStr">
        <is>
          <t>MYKONOS</t>
        </is>
      </c>
      <c r="B5189" s="2">
        <f>"3475932544699"</f>
        <v/>
      </c>
      <c r="C5189" t="inlineStr">
        <is>
          <t>MYKONOS Tea Poetry 15ml</t>
        </is>
      </c>
      <c r="D5189" t="inlineStr">
        <is>
          <t>Miss Glam Jambi</t>
        </is>
      </c>
      <c r="E5189" t="n">
        <v>1</v>
      </c>
      <c r="F5189" t="n">
        <v>0.08</v>
      </c>
      <c r="G5189" t="n">
        <v>1</v>
      </c>
      <c r="H5189" t="n">
        <v>1</v>
      </c>
      <c r="I5189" t="n">
        <v>2</v>
      </c>
      <c r="J5189" t="n">
        <v>3</v>
      </c>
      <c r="K5189" t="n">
        <v>3</v>
      </c>
      <c r="L5189" t="n">
        <v>55378</v>
      </c>
      <c r="M5189" t="n">
        <v>66500</v>
      </c>
      <c r="N5189" t="n">
        <v>33</v>
      </c>
      <c r="O5189" t="n">
        <v>0.33</v>
      </c>
      <c r="P5189" t="n">
        <v>0</v>
      </c>
      <c r="Q5189" t="n">
        <v>0.08</v>
      </c>
      <c r="R5189" t="n">
        <v>1</v>
      </c>
      <c r="S5189" t="n">
        <v>5320</v>
      </c>
      <c r="T5189" t="n">
        <v>2</v>
      </c>
      <c r="U5189" t="n">
        <v>3</v>
      </c>
      <c r="V5189" t="n">
        <v>30</v>
      </c>
      <c r="W5189" t="n">
        <v>3</v>
      </c>
      <c r="X5189" t="n">
        <v>12.5</v>
      </c>
      <c r="Y5189" t="n">
        <v>1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inlineStr"/>
      <c r="AG5189" t="inlineStr"/>
      <c r="AH5189" t="inlineStr"/>
      <c r="AI5189" t="n">
        <v>0</v>
      </c>
      <c r="AJ5189" t="inlineStr"/>
      <c r="AK5189" t="n">
        <v>0</v>
      </c>
      <c r="AL5189" t="inlineStr"/>
      <c r="AM5189" t="n">
        <v>0</v>
      </c>
      <c r="AN5189" t="n">
        <v>0</v>
      </c>
      <c r="AO5189" t="n">
        <v>0</v>
      </c>
      <c r="AP5189" t="inlineStr"/>
      <c r="AQ5189" t="inlineStr"/>
    </row>
    <row r="5190">
      <c r="A5190" t="inlineStr">
        <is>
          <t>MYKONOS</t>
        </is>
      </c>
      <c r="B5190" s="2">
        <f>"30400189938"</f>
        <v/>
      </c>
      <c r="C5190" t="inlineStr">
        <is>
          <t>MYKONOS X SETIAWANADE Glitch Extrait De Parfum 50ml</t>
        </is>
      </c>
      <c r="D5190" t="inlineStr">
        <is>
          <t>Miss Glam Jambi</t>
        </is>
      </c>
      <c r="E5190" t="n">
        <v>0</v>
      </c>
      <c r="F5190" t="n">
        <v>0.08</v>
      </c>
      <c r="G5190" t="n">
        <v>1</v>
      </c>
      <c r="H5190" t="n">
        <v>1</v>
      </c>
      <c r="I5190" t="n">
        <v>2</v>
      </c>
      <c r="J5190" t="n">
        <v>1</v>
      </c>
      <c r="K5190" t="n">
        <v>2</v>
      </c>
      <c r="L5190" t="n">
        <v>180229</v>
      </c>
      <c r="M5190" t="n">
        <v>299000</v>
      </c>
      <c r="N5190" t="n">
        <v>33</v>
      </c>
      <c r="O5190" t="n">
        <v>0.33</v>
      </c>
      <c r="P5190" t="n">
        <v>0</v>
      </c>
      <c r="Q5190" t="n">
        <v>0.08</v>
      </c>
      <c r="R5190" t="n">
        <v>1</v>
      </c>
      <c r="S5190" t="n">
        <v>23920</v>
      </c>
      <c r="T5190" t="n">
        <v>2</v>
      </c>
      <c r="U5190" t="n">
        <v>3</v>
      </c>
      <c r="V5190" t="n">
        <v>30</v>
      </c>
      <c r="W5190" t="n">
        <v>3</v>
      </c>
      <c r="X5190" t="n">
        <v>0</v>
      </c>
      <c r="Y5190" t="n">
        <v>1</v>
      </c>
      <c r="Z5190" t="n">
        <v>1</v>
      </c>
      <c r="AA5190" t="n">
        <v>0</v>
      </c>
      <c r="AB5190" t="n">
        <v>1</v>
      </c>
      <c r="AC5190" t="n">
        <v>1</v>
      </c>
      <c r="AD5190" t="n">
        <v>0</v>
      </c>
      <c r="AE5190" t="n">
        <v>180229</v>
      </c>
      <c r="AF5190" t="inlineStr"/>
      <c r="AG5190" t="inlineStr"/>
      <c r="AH5190" t="inlineStr"/>
      <c r="AI5190" t="n">
        <v>0</v>
      </c>
      <c r="AJ5190" t="inlineStr"/>
      <c r="AK5190" t="n">
        <v>0</v>
      </c>
      <c r="AL5190" t="inlineStr"/>
      <c r="AM5190" t="n">
        <v>0</v>
      </c>
      <c r="AN5190" t="n">
        <v>0</v>
      </c>
      <c r="AO5190" t="n">
        <v>0</v>
      </c>
      <c r="AP5190" t="inlineStr"/>
      <c r="AQ5190" t="inlineStr"/>
    </row>
    <row r="5191">
      <c r="A5191" t="inlineStr">
        <is>
          <t>NO BAD HAIR</t>
        </is>
      </c>
      <c r="B5191" s="2">
        <f>"40200305304"</f>
        <v/>
      </c>
      <c r="C5191" t="inlineStr">
        <is>
          <t>NO BAD HAIR La Poudre 12gr</t>
        </is>
      </c>
      <c r="D5191" t="inlineStr">
        <is>
          <t>Miss Glam Jambi</t>
        </is>
      </c>
      <c r="E5191" t="n">
        <v>2</v>
      </c>
      <c r="F5191" t="n">
        <v>0.02</v>
      </c>
      <c r="G5191" t="n">
        <v>1</v>
      </c>
      <c r="H5191" t="n">
        <v>1</v>
      </c>
      <c r="I5191" t="n">
        <v>2</v>
      </c>
      <c r="J5191" t="n">
        <v>3</v>
      </c>
      <c r="K5191" t="n">
        <v>0</v>
      </c>
      <c r="L5191" t="n">
        <v>122563</v>
      </c>
      <c r="M5191" t="n">
        <v>145000</v>
      </c>
      <c r="N5191" t="n">
        <v>33</v>
      </c>
      <c r="O5191" t="n">
        <v>0.33</v>
      </c>
      <c r="P5191" t="n">
        <v>0</v>
      </c>
      <c r="Q5191" t="n">
        <v>0.02</v>
      </c>
      <c r="R5191" t="n">
        <v>1</v>
      </c>
      <c r="S5191" t="n">
        <v>2900</v>
      </c>
      <c r="T5191" t="n">
        <v>2</v>
      </c>
      <c r="U5191" t="n">
        <v>3</v>
      </c>
      <c r="V5191" t="n">
        <v>30</v>
      </c>
      <c r="W5191" t="n">
        <v>1</v>
      </c>
      <c r="X5191" t="n">
        <v>100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inlineStr"/>
      <c r="AG5191" t="inlineStr"/>
      <c r="AH5191" t="inlineStr"/>
      <c r="AI5191" t="n">
        <v>0</v>
      </c>
      <c r="AJ5191" t="inlineStr"/>
      <c r="AK5191" t="n">
        <v>0</v>
      </c>
      <c r="AL5191" t="inlineStr"/>
      <c r="AM5191" t="n">
        <v>0</v>
      </c>
      <c r="AN5191" t="n">
        <v>0</v>
      </c>
      <c r="AO5191" t="n">
        <v>0</v>
      </c>
      <c r="AP5191" t="inlineStr"/>
      <c r="AQ5191" t="inlineStr"/>
    </row>
    <row r="5192">
      <c r="A5192" t="inlineStr">
        <is>
          <t>OILUM</t>
        </is>
      </c>
      <c r="B5192" s="2">
        <f>"8993005136015"</f>
        <v/>
      </c>
      <c r="C5192" t="inlineStr">
        <is>
          <t>OILUM The Dry Skin Expert Cleansing Bar Hydrating Care 85gr</t>
        </is>
      </c>
      <c r="D5192" t="inlineStr">
        <is>
          <t>Miss Glam Jambi</t>
        </is>
      </c>
      <c r="E5192" t="n">
        <v>2</v>
      </c>
      <c r="F5192" t="n">
        <v>0.03</v>
      </c>
      <c r="G5192" t="n">
        <v>1</v>
      </c>
      <c r="H5192" t="n">
        <v>1</v>
      </c>
      <c r="I5192" t="n">
        <v>2</v>
      </c>
      <c r="J5192" t="n">
        <v>3</v>
      </c>
      <c r="K5192" t="n">
        <v>0</v>
      </c>
      <c r="L5192" t="n">
        <v>16905</v>
      </c>
      <c r="M5192" t="n">
        <v>21000</v>
      </c>
      <c r="N5192" t="n">
        <v>33</v>
      </c>
      <c r="O5192" t="n">
        <v>0.33</v>
      </c>
      <c r="P5192" t="n">
        <v>0</v>
      </c>
      <c r="Q5192" t="n">
        <v>0.03</v>
      </c>
      <c r="R5192" t="n">
        <v>1</v>
      </c>
      <c r="S5192" t="n">
        <v>630</v>
      </c>
      <c r="T5192" t="n">
        <v>2</v>
      </c>
      <c r="U5192" t="n">
        <v>3</v>
      </c>
      <c r="V5192" t="n">
        <v>30</v>
      </c>
      <c r="W5192" t="n">
        <v>1</v>
      </c>
      <c r="X5192" t="n">
        <v>66.66666666666667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2050</v>
      </c>
      <c r="AG5192" t="n">
        <v>2472</v>
      </c>
      <c r="AH5192" t="inlineStr">
        <is>
          <t>PPL - PPN (MDN)</t>
        </is>
      </c>
      <c r="AI5192" t="n">
        <v>1611</v>
      </c>
      <c r="AJ5192" t="inlineStr">
        <is>
          <t>OILUM</t>
        </is>
      </c>
      <c r="AK5192" t="n">
        <v>19</v>
      </c>
      <c r="AL5192" t="inlineStr">
        <is>
          <t>Miss Glam Medan</t>
        </is>
      </c>
      <c r="AM5192" t="n">
        <v>0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PHILOCALY</t>
        </is>
      </c>
      <c r="B5193" s="2">
        <f>"10500330844"</f>
        <v/>
      </c>
      <c r="C5193" t="inlineStr">
        <is>
          <t>PHILOCALY Peel Of Mask Infused Bakuchiol Hyaluronic Acid 30gr</t>
        </is>
      </c>
      <c r="D5193" t="inlineStr">
        <is>
          <t>Miss Glam Jambi</t>
        </is>
      </c>
      <c r="E5193" t="n">
        <v>4</v>
      </c>
      <c r="F5193" t="n">
        <v>0.02</v>
      </c>
      <c r="G5193" t="n">
        <v>1</v>
      </c>
      <c r="H5193" t="n">
        <v>1</v>
      </c>
      <c r="I5193" t="n">
        <v>2</v>
      </c>
      <c r="J5193" t="n">
        <v>3</v>
      </c>
      <c r="K5193" t="n">
        <v>0</v>
      </c>
      <c r="L5193" t="n">
        <v>18357</v>
      </c>
      <c r="M5193" t="n">
        <v>25000</v>
      </c>
      <c r="N5193" t="n">
        <v>33</v>
      </c>
      <c r="O5193" t="n">
        <v>0.33</v>
      </c>
      <c r="P5193" t="n">
        <v>0</v>
      </c>
      <c r="Q5193" t="n">
        <v>0.02</v>
      </c>
      <c r="R5193" t="n">
        <v>1</v>
      </c>
      <c r="S5193" t="n">
        <v>500</v>
      </c>
      <c r="T5193" t="n">
        <v>2</v>
      </c>
      <c r="U5193" t="n">
        <v>3</v>
      </c>
      <c r="V5193" t="n">
        <v>30</v>
      </c>
      <c r="W5193" t="n">
        <v>1</v>
      </c>
      <c r="X5193" t="n">
        <v>200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inlineStr"/>
      <c r="AG5193" t="inlineStr"/>
      <c r="AH5193" t="inlineStr"/>
      <c r="AI5193" t="n">
        <v>0</v>
      </c>
      <c r="AJ5193" t="inlineStr"/>
      <c r="AK5193" t="n">
        <v>0</v>
      </c>
      <c r="AL5193" t="inlineStr"/>
      <c r="AM5193" t="n">
        <v>0</v>
      </c>
      <c r="AN5193" t="n">
        <v>0</v>
      </c>
      <c r="AO5193" t="n">
        <v>0</v>
      </c>
      <c r="AP5193" t="inlineStr"/>
      <c r="AQ5193" t="inlineStr"/>
    </row>
    <row r="5194">
      <c r="A5194" t="inlineStr">
        <is>
          <t>PINKROULETTE</t>
        </is>
      </c>
      <c r="B5194" s="2">
        <f>"10500530927"</f>
        <v/>
      </c>
      <c r="C5194" t="inlineStr">
        <is>
          <t>PINKROULETTE Beverly Wash Off Mask Milk With Marine Collagen 20gr</t>
        </is>
      </c>
      <c r="D5194" t="inlineStr">
        <is>
          <t>Miss Glam Jambi</t>
        </is>
      </c>
      <c r="E5194" t="n">
        <v>10</v>
      </c>
      <c r="F5194" t="n">
        <v>0.07000000000000001</v>
      </c>
      <c r="G5194" t="n">
        <v>2</v>
      </c>
      <c r="H5194" t="n">
        <v>1</v>
      </c>
      <c r="I5194" t="n">
        <v>2</v>
      </c>
      <c r="J5194" t="n">
        <v>3</v>
      </c>
      <c r="K5194" t="n">
        <v>0</v>
      </c>
      <c r="L5194" t="n">
        <v>15582</v>
      </c>
      <c r="M5194" t="n">
        <v>21000</v>
      </c>
      <c r="N5194" t="n">
        <v>33</v>
      </c>
      <c r="O5194" t="n">
        <v>0.33</v>
      </c>
      <c r="P5194" t="n">
        <v>0</v>
      </c>
      <c r="Q5194" t="n">
        <v>0.07000000000000001</v>
      </c>
      <c r="R5194" t="n">
        <v>2</v>
      </c>
      <c r="S5194" t="n">
        <v>1470</v>
      </c>
      <c r="T5194" t="n">
        <v>4</v>
      </c>
      <c r="U5194" t="n">
        <v>5</v>
      </c>
      <c r="V5194" t="n">
        <v>30</v>
      </c>
      <c r="W5194" t="n">
        <v>3</v>
      </c>
      <c r="X5194" t="n">
        <v>142.8571428571428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inlineStr"/>
      <c r="AG5194" t="inlineStr"/>
      <c r="AH5194" t="inlineStr"/>
      <c r="AI5194" t="n">
        <v>0</v>
      </c>
      <c r="AJ5194" t="inlineStr"/>
      <c r="AK5194" t="n">
        <v>0</v>
      </c>
      <c r="AL5194" t="inlineStr"/>
      <c r="AM5194" t="n">
        <v>0</v>
      </c>
      <c r="AN5194" t="n">
        <v>0</v>
      </c>
      <c r="AO5194" t="n">
        <v>0</v>
      </c>
      <c r="AP5194" t="inlineStr"/>
      <c r="AQ5194" t="inlineStr"/>
    </row>
    <row r="5195">
      <c r="A5195" t="inlineStr">
        <is>
          <t>PINKROULETTE</t>
        </is>
      </c>
      <c r="B5195" s="2">
        <f>"10500530120"</f>
        <v/>
      </c>
      <c r="C5195" t="inlineStr">
        <is>
          <t>PINKROULETTE Dubai With Off Mask Coffee With Centella Asiatica 20gr</t>
        </is>
      </c>
      <c r="D5195" t="inlineStr">
        <is>
          <t>Miss Glam Jambi</t>
        </is>
      </c>
      <c r="E5195" t="n">
        <v>0</v>
      </c>
      <c r="F5195" t="n">
        <v>0.006600000000000001</v>
      </c>
      <c r="G5195" t="n">
        <v>0.33</v>
      </c>
      <c r="H5195" t="n">
        <v>1</v>
      </c>
      <c r="I5195" t="n">
        <v>2</v>
      </c>
      <c r="J5195" t="n">
        <v>3</v>
      </c>
      <c r="K5195" t="n">
        <v>0</v>
      </c>
      <c r="L5195" t="n">
        <v>15582</v>
      </c>
      <c r="M5195" t="n">
        <v>21000</v>
      </c>
      <c r="N5195" t="n">
        <v>33</v>
      </c>
      <c r="O5195" t="n">
        <v>0.33</v>
      </c>
      <c r="P5195" t="n">
        <v>1</v>
      </c>
      <c r="Q5195" t="n">
        <v>0.12</v>
      </c>
      <c r="R5195" t="n">
        <v>1</v>
      </c>
      <c r="S5195" t="n">
        <v>138.6</v>
      </c>
      <c r="T5195" t="n">
        <v>1</v>
      </c>
      <c r="U5195" t="n">
        <v>2</v>
      </c>
      <c r="V5195" t="n">
        <v>30</v>
      </c>
      <c r="W5195" t="n">
        <v>1</v>
      </c>
      <c r="X5195" t="n">
        <v>0</v>
      </c>
      <c r="Y5195" t="n">
        <v>1</v>
      </c>
      <c r="Z5195" t="n">
        <v>1</v>
      </c>
      <c r="AA5195" t="n">
        <v>1</v>
      </c>
      <c r="AB5195" t="n">
        <v>0</v>
      </c>
      <c r="AC5195" t="n">
        <v>0</v>
      </c>
      <c r="AD5195" t="n">
        <v>15582</v>
      </c>
      <c r="AE5195" t="n">
        <v>0</v>
      </c>
      <c r="AF5195" t="inlineStr"/>
      <c r="AG5195" t="inlineStr"/>
      <c r="AH5195" t="inlineStr"/>
      <c r="AI5195" t="n">
        <v>0</v>
      </c>
      <c r="AJ5195" t="inlineStr"/>
      <c r="AK5195" t="n">
        <v>0</v>
      </c>
      <c r="AL5195" t="inlineStr"/>
      <c r="AM5195" t="n">
        <v>0</v>
      </c>
      <c r="AN5195" t="n">
        <v>0</v>
      </c>
      <c r="AO5195" t="n">
        <v>0</v>
      </c>
      <c r="AP5195" t="inlineStr"/>
      <c r="AQ5195" t="inlineStr"/>
    </row>
    <row r="5196">
      <c r="A5196" t="inlineStr">
        <is>
          <t>PINKROULETTE</t>
        </is>
      </c>
      <c r="B5196" s="2">
        <f>"10500580749"</f>
        <v/>
      </c>
      <c r="C5196" t="inlineStr">
        <is>
          <t>PINKROULETTE Wash Off Mask Beverly Milk With Marine Collagen 60gr</t>
        </is>
      </c>
      <c r="D5196" t="inlineStr">
        <is>
          <t>Miss Glam Jambi</t>
        </is>
      </c>
      <c r="E5196" t="n">
        <v>0</v>
      </c>
      <c r="F5196" t="n">
        <v>0.033</v>
      </c>
      <c r="G5196" t="n">
        <v>0.33</v>
      </c>
      <c r="H5196" t="n">
        <v>1</v>
      </c>
      <c r="I5196" t="n">
        <v>2</v>
      </c>
      <c r="J5196" t="n">
        <v>3</v>
      </c>
      <c r="K5196" t="n">
        <v>0</v>
      </c>
      <c r="L5196" t="n">
        <v>41172</v>
      </c>
      <c r="M5196" t="n">
        <v>51500</v>
      </c>
      <c r="N5196" t="n">
        <v>33</v>
      </c>
      <c r="O5196" t="n">
        <v>0.33</v>
      </c>
      <c r="P5196" t="n">
        <v>1</v>
      </c>
      <c r="Q5196" t="n">
        <v>0.04</v>
      </c>
      <c r="R5196" t="n">
        <v>1</v>
      </c>
      <c r="S5196" t="n">
        <v>1699.5</v>
      </c>
      <c r="T5196" t="n">
        <v>1</v>
      </c>
      <c r="U5196" t="n">
        <v>2</v>
      </c>
      <c r="V5196" t="n">
        <v>30</v>
      </c>
      <c r="W5196" t="n">
        <v>1</v>
      </c>
      <c r="X5196" t="n">
        <v>0</v>
      </c>
      <c r="Y5196" t="n">
        <v>1</v>
      </c>
      <c r="Z5196" t="n">
        <v>1</v>
      </c>
      <c r="AA5196" t="n">
        <v>1</v>
      </c>
      <c r="AB5196" t="n">
        <v>0</v>
      </c>
      <c r="AC5196" t="n">
        <v>0</v>
      </c>
      <c r="AD5196" t="n">
        <v>41172</v>
      </c>
      <c r="AE5196" t="n">
        <v>0</v>
      </c>
      <c r="AF5196" t="inlineStr"/>
      <c r="AG5196" t="inlineStr"/>
      <c r="AH5196" t="inlineStr"/>
      <c r="AI5196" t="n">
        <v>0</v>
      </c>
      <c r="AJ5196" t="inlineStr"/>
      <c r="AK5196" t="n">
        <v>0</v>
      </c>
      <c r="AL5196" t="inlineStr"/>
      <c r="AM5196" t="n">
        <v>0</v>
      </c>
      <c r="AN5196" t="n">
        <v>0</v>
      </c>
      <c r="AO5196" t="n">
        <v>0</v>
      </c>
      <c r="AP5196" t="inlineStr"/>
      <c r="AQ5196" t="inlineStr"/>
    </row>
    <row r="5197">
      <c r="A5197" t="inlineStr">
        <is>
          <t>PINKROULETTE</t>
        </is>
      </c>
      <c r="B5197" s="2">
        <f>"10500581945"</f>
        <v/>
      </c>
      <c r="C5197" t="inlineStr">
        <is>
          <t>PINKROULETTE Wash Off Mask Coffee With Centella Asiatica Dubai 60gr</t>
        </is>
      </c>
      <c r="D5197" t="inlineStr">
        <is>
          <t>Miss Glam Jambi</t>
        </is>
      </c>
      <c r="E5197" t="n">
        <v>0</v>
      </c>
      <c r="F5197" t="n">
        <v>0.04</v>
      </c>
      <c r="G5197" t="n">
        <v>1</v>
      </c>
      <c r="H5197" t="n">
        <v>1</v>
      </c>
      <c r="I5197" t="n">
        <v>2</v>
      </c>
      <c r="J5197" t="n">
        <v>3</v>
      </c>
      <c r="K5197" t="n">
        <v>0</v>
      </c>
      <c r="L5197" t="n">
        <v>35000</v>
      </c>
      <c r="M5197" t="n">
        <v>50000</v>
      </c>
      <c r="N5197" t="n">
        <v>33</v>
      </c>
      <c r="O5197" t="n">
        <v>0.33</v>
      </c>
      <c r="P5197" t="n">
        <v>0</v>
      </c>
      <c r="Q5197" t="n">
        <v>0.04</v>
      </c>
      <c r="R5197" t="n">
        <v>1</v>
      </c>
      <c r="S5197" t="n">
        <v>2000</v>
      </c>
      <c r="T5197" t="n">
        <v>2</v>
      </c>
      <c r="U5197" t="n">
        <v>3</v>
      </c>
      <c r="V5197" t="n">
        <v>30</v>
      </c>
      <c r="W5197" t="n">
        <v>2</v>
      </c>
      <c r="X5197" t="n">
        <v>0</v>
      </c>
      <c r="Y5197" t="n">
        <v>1</v>
      </c>
      <c r="Z5197" t="n">
        <v>2</v>
      </c>
      <c r="AA5197" t="n">
        <v>1</v>
      </c>
      <c r="AB5197" t="n">
        <v>1</v>
      </c>
      <c r="AC5197" t="n">
        <v>3</v>
      </c>
      <c r="AD5197" t="n">
        <v>35000</v>
      </c>
      <c r="AE5197" t="n">
        <v>105000</v>
      </c>
      <c r="AF5197" t="inlineStr"/>
      <c r="AG5197" t="inlineStr"/>
      <c r="AH5197" t="inlineStr"/>
      <c r="AI5197" t="n">
        <v>0</v>
      </c>
      <c r="AJ5197" t="inlineStr"/>
      <c r="AK5197" t="n">
        <v>0</v>
      </c>
      <c r="AL5197" t="inlineStr"/>
      <c r="AM5197" t="n">
        <v>0</v>
      </c>
      <c r="AN5197" t="n">
        <v>0</v>
      </c>
      <c r="AO5197" t="n">
        <v>0</v>
      </c>
      <c r="AP5197" t="inlineStr"/>
      <c r="AQ5197" t="inlineStr"/>
    </row>
    <row r="5198">
      <c r="A5198" t="inlineStr">
        <is>
          <t>PINKROULETTE</t>
        </is>
      </c>
      <c r="B5198" s="2">
        <f>"10500582060"</f>
        <v/>
      </c>
      <c r="C5198" t="inlineStr">
        <is>
          <t>PINKROULETTE Wash Off Mask Green Tea With Centella Asiatica Russian 60gr</t>
        </is>
      </c>
      <c r="D5198" t="inlineStr">
        <is>
          <t>Miss Glam Jambi</t>
        </is>
      </c>
      <c r="E5198" t="n">
        <v>0</v>
      </c>
      <c r="F5198" t="n">
        <v>0.0231</v>
      </c>
      <c r="G5198" t="n">
        <v>0.33</v>
      </c>
      <c r="H5198" t="n">
        <v>1</v>
      </c>
      <c r="I5198" t="n">
        <v>2</v>
      </c>
      <c r="J5198" t="n">
        <v>3</v>
      </c>
      <c r="K5198" t="n">
        <v>0</v>
      </c>
      <c r="L5198" t="n">
        <v>35000</v>
      </c>
      <c r="M5198" t="n">
        <v>50000</v>
      </c>
      <c r="N5198" t="n">
        <v>33</v>
      </c>
      <c r="O5198" t="n">
        <v>0.33</v>
      </c>
      <c r="P5198" t="n">
        <v>1</v>
      </c>
      <c r="Q5198" t="n">
        <v>0.04</v>
      </c>
      <c r="R5198" t="n">
        <v>1</v>
      </c>
      <c r="S5198" t="n">
        <v>1155</v>
      </c>
      <c r="T5198" t="n">
        <v>1</v>
      </c>
      <c r="U5198" t="n">
        <v>2</v>
      </c>
      <c r="V5198" t="n">
        <v>30</v>
      </c>
      <c r="W5198" t="n">
        <v>1</v>
      </c>
      <c r="X5198" t="n">
        <v>0</v>
      </c>
      <c r="Y5198" t="n">
        <v>1</v>
      </c>
      <c r="Z5198" t="n">
        <v>1</v>
      </c>
      <c r="AA5198" t="n">
        <v>1</v>
      </c>
      <c r="AB5198" t="n">
        <v>0</v>
      </c>
      <c r="AC5198" t="n">
        <v>0</v>
      </c>
      <c r="AD5198" t="n">
        <v>35000</v>
      </c>
      <c r="AE5198" t="n">
        <v>0</v>
      </c>
      <c r="AF5198" t="inlineStr"/>
      <c r="AG5198" t="inlineStr"/>
      <c r="AH5198" t="inlineStr"/>
      <c r="AI5198" t="n">
        <v>0</v>
      </c>
      <c r="AJ5198" t="inlineStr"/>
      <c r="AK5198" t="n">
        <v>0</v>
      </c>
      <c r="AL5198" t="inlineStr"/>
      <c r="AM5198" t="n">
        <v>0</v>
      </c>
      <c r="AN5198" t="n">
        <v>0</v>
      </c>
      <c r="AO5198" t="n">
        <v>0</v>
      </c>
      <c r="AP5198" t="inlineStr"/>
      <c r="AQ5198" t="inlineStr"/>
    </row>
    <row r="5199">
      <c r="A5199" t="inlineStr">
        <is>
          <t>RAECCA</t>
        </is>
      </c>
      <c r="B5199" s="2">
        <f>"20300355010"</f>
        <v/>
      </c>
      <c r="C5199" t="inlineStr">
        <is>
          <t>RAECCA Glow Up Tint Dynamic 5.5ml</t>
        </is>
      </c>
      <c r="D5199" t="inlineStr">
        <is>
          <t>Miss Glam Jambi</t>
        </is>
      </c>
      <c r="E5199" t="n">
        <v>1</v>
      </c>
      <c r="F5199" t="n">
        <v>0.02</v>
      </c>
      <c r="G5199" t="n">
        <v>1</v>
      </c>
      <c r="H5199" t="n">
        <v>1</v>
      </c>
      <c r="I5199" t="n">
        <v>2</v>
      </c>
      <c r="J5199" t="n">
        <v>3</v>
      </c>
      <c r="K5199" t="n">
        <v>0</v>
      </c>
      <c r="L5199" t="n">
        <v>47796</v>
      </c>
      <c r="M5199" t="n">
        <v>52500</v>
      </c>
      <c r="N5199" t="n">
        <v>33</v>
      </c>
      <c r="O5199" t="n">
        <v>0.33</v>
      </c>
      <c r="P5199" t="n">
        <v>0</v>
      </c>
      <c r="Q5199" t="n">
        <v>0.02</v>
      </c>
      <c r="R5199" t="n">
        <v>1</v>
      </c>
      <c r="S5199" t="n">
        <v>1050</v>
      </c>
      <c r="T5199" t="n">
        <v>2</v>
      </c>
      <c r="U5199" t="n">
        <v>3</v>
      </c>
      <c r="V5199" t="n">
        <v>30</v>
      </c>
      <c r="W5199" t="n">
        <v>1</v>
      </c>
      <c r="X5199" t="n">
        <v>50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inlineStr"/>
      <c r="AG5199" t="inlineStr"/>
      <c r="AH5199" t="inlineStr"/>
      <c r="AI5199" t="n">
        <v>0</v>
      </c>
      <c r="AJ5199" t="inlineStr"/>
      <c r="AK5199" t="n">
        <v>0</v>
      </c>
      <c r="AL5199" t="inlineStr"/>
      <c r="AM5199" t="n">
        <v>0</v>
      </c>
      <c r="AN5199" t="n">
        <v>0</v>
      </c>
      <c r="AO5199" t="n">
        <v>0</v>
      </c>
      <c r="AP5199" t="inlineStr"/>
      <c r="AQ5199" t="inlineStr"/>
    </row>
    <row r="5200">
      <c r="A5200" t="inlineStr">
        <is>
          <t>ROSE ALL DAY</t>
        </is>
      </c>
      <c r="B5200" s="2">
        <f>"8997227081283"</f>
        <v/>
      </c>
      <c r="C5200" t="inlineStr">
        <is>
          <t>ROSE ALL DAY The Relest Lightweight Skin Tint Warm Beige 30gr</t>
        </is>
      </c>
      <c r="D5200" t="inlineStr">
        <is>
          <t>Miss Glam Jambi</t>
        </is>
      </c>
      <c r="E5200" t="n">
        <v>4</v>
      </c>
      <c r="F5200" t="n">
        <v>0.02</v>
      </c>
      <c r="G5200" t="n">
        <v>1</v>
      </c>
      <c r="H5200" t="n">
        <v>1</v>
      </c>
      <c r="I5200" t="n">
        <v>2</v>
      </c>
      <c r="J5200" t="n">
        <v>3</v>
      </c>
      <c r="K5200" t="n">
        <v>0</v>
      </c>
      <c r="L5200" t="n">
        <v>119250</v>
      </c>
      <c r="M5200" t="n">
        <v>158000</v>
      </c>
      <c r="N5200" t="n">
        <v>33</v>
      </c>
      <c r="O5200" t="n">
        <v>0.33</v>
      </c>
      <c r="P5200" t="n">
        <v>0</v>
      </c>
      <c r="Q5200" t="n">
        <v>0.02</v>
      </c>
      <c r="R5200" t="n">
        <v>1</v>
      </c>
      <c r="S5200" t="n">
        <v>3160</v>
      </c>
      <c r="T5200" t="n">
        <v>2</v>
      </c>
      <c r="U5200" t="n">
        <v>3</v>
      </c>
      <c r="V5200" t="n">
        <v>30</v>
      </c>
      <c r="W5200" t="n">
        <v>1</v>
      </c>
      <c r="X5200" t="n">
        <v>200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inlineStr"/>
      <c r="AG5200" t="inlineStr"/>
      <c r="AH5200" t="inlineStr"/>
      <c r="AI5200" t="n">
        <v>0</v>
      </c>
      <c r="AJ5200" t="inlineStr"/>
      <c r="AK5200" t="n">
        <v>0</v>
      </c>
      <c r="AL5200" t="inlineStr"/>
      <c r="AM5200" t="n">
        <v>0</v>
      </c>
      <c r="AN5200" t="n">
        <v>0</v>
      </c>
      <c r="AO5200" t="n">
        <v>0</v>
      </c>
      <c r="AP5200" t="inlineStr"/>
      <c r="AQ5200" t="inlineStr"/>
    </row>
    <row r="5201">
      <c r="A5201" t="inlineStr">
        <is>
          <t>SEBAMED</t>
        </is>
      </c>
      <c r="B5201" s="2">
        <f>"4103040046307"</f>
        <v/>
      </c>
      <c r="C5201" t="inlineStr">
        <is>
          <t>SEBAMED Lip Defense Watermelon 4.8gr</t>
        </is>
      </c>
      <c r="D5201" t="inlineStr">
        <is>
          <t>Miss Glam Jambi</t>
        </is>
      </c>
      <c r="E5201" t="n">
        <v>0</v>
      </c>
      <c r="F5201" t="n">
        <v>0.06</v>
      </c>
      <c r="G5201" t="n">
        <v>1</v>
      </c>
      <c r="H5201" t="n">
        <v>1</v>
      </c>
      <c r="I5201" t="n">
        <v>2</v>
      </c>
      <c r="J5201" t="n">
        <v>3</v>
      </c>
      <c r="K5201" t="n">
        <v>0</v>
      </c>
      <c r="L5201" t="n">
        <v>64800</v>
      </c>
      <c r="M5201" t="n">
        <v>79000</v>
      </c>
      <c r="N5201" t="n">
        <v>33</v>
      </c>
      <c r="O5201" t="n">
        <v>0.33</v>
      </c>
      <c r="P5201" t="n">
        <v>0</v>
      </c>
      <c r="Q5201" t="n">
        <v>0.06</v>
      </c>
      <c r="R5201" t="n">
        <v>1</v>
      </c>
      <c r="S5201" t="n">
        <v>4740</v>
      </c>
      <c r="T5201" t="n">
        <v>2</v>
      </c>
      <c r="U5201" t="n">
        <v>3</v>
      </c>
      <c r="V5201" t="n">
        <v>30</v>
      </c>
      <c r="W5201" t="n">
        <v>2</v>
      </c>
      <c r="X5201" t="n">
        <v>0</v>
      </c>
      <c r="Y5201" t="n">
        <v>1</v>
      </c>
      <c r="Z5201" t="n">
        <v>2</v>
      </c>
      <c r="AA5201" t="n">
        <v>1</v>
      </c>
      <c r="AB5201" t="n">
        <v>1</v>
      </c>
      <c r="AC5201" t="n">
        <v>3</v>
      </c>
      <c r="AD5201" t="n">
        <v>64800</v>
      </c>
      <c r="AE5201" t="n">
        <v>194400</v>
      </c>
      <c r="AF5201" t="inlineStr"/>
      <c r="AG5201" t="inlineStr"/>
      <c r="AH5201" t="inlineStr"/>
      <c r="AI5201" t="n">
        <v>0</v>
      </c>
      <c r="AJ5201" t="inlineStr"/>
      <c r="AK5201" t="n">
        <v>0</v>
      </c>
      <c r="AL5201" t="inlineStr"/>
      <c r="AM5201" t="n">
        <v>0</v>
      </c>
      <c r="AN5201" t="n">
        <v>0</v>
      </c>
      <c r="AO5201" t="n">
        <v>0</v>
      </c>
      <c r="AP5201" t="inlineStr"/>
      <c r="AQ5201" t="inlineStr"/>
    </row>
    <row r="5202">
      <c r="A5202" t="inlineStr">
        <is>
          <t>SHEEBY</t>
        </is>
      </c>
      <c r="B5202" s="2">
        <f>"41137"</f>
        <v/>
      </c>
      <c r="C5202" t="inlineStr">
        <is>
          <t>SHEEBY Collagen Drink 50gr</t>
        </is>
      </c>
      <c r="D5202" t="inlineStr">
        <is>
          <t>Miss Glam Jambi</t>
        </is>
      </c>
      <c r="E5202" t="n">
        <v>0</v>
      </c>
      <c r="F5202" t="n">
        <v>0.0231</v>
      </c>
      <c r="G5202" t="n">
        <v>0.66</v>
      </c>
      <c r="H5202" t="n">
        <v>1</v>
      </c>
      <c r="I5202" t="n">
        <v>2</v>
      </c>
      <c r="J5202" t="n">
        <v>3</v>
      </c>
      <c r="K5202" t="n">
        <v>0</v>
      </c>
      <c r="L5202" t="n">
        <v>23000</v>
      </c>
      <c r="M5202" t="n">
        <v>29000</v>
      </c>
      <c r="N5202" t="n">
        <v>33</v>
      </c>
      <c r="O5202" t="n">
        <v>0.33</v>
      </c>
      <c r="P5202" t="n">
        <v>1</v>
      </c>
      <c r="Q5202" t="n">
        <v>0.03</v>
      </c>
      <c r="R5202" t="n">
        <v>1</v>
      </c>
      <c r="S5202" t="n">
        <v>669.9000000000001</v>
      </c>
      <c r="T5202" t="n">
        <v>2</v>
      </c>
      <c r="U5202" t="n">
        <v>3</v>
      </c>
      <c r="V5202" t="n">
        <v>30</v>
      </c>
      <c r="W5202" t="n">
        <v>1</v>
      </c>
      <c r="X5202" t="n">
        <v>0</v>
      </c>
      <c r="Y5202" t="n">
        <v>1</v>
      </c>
      <c r="Z5202" t="n">
        <v>1</v>
      </c>
      <c r="AA5202" t="n">
        <v>1</v>
      </c>
      <c r="AB5202" t="n">
        <v>0</v>
      </c>
      <c r="AC5202" t="n">
        <v>0</v>
      </c>
      <c r="AD5202" t="n">
        <v>23000</v>
      </c>
      <c r="AE5202" t="n">
        <v>0</v>
      </c>
      <c r="AF5202" t="inlineStr"/>
      <c r="AG5202" t="inlineStr"/>
      <c r="AH5202" t="inlineStr"/>
      <c r="AI5202" t="n">
        <v>0</v>
      </c>
      <c r="AJ5202" t="inlineStr"/>
      <c r="AK5202" t="n">
        <v>0</v>
      </c>
      <c r="AL5202" t="inlineStr"/>
      <c r="AM5202" t="n">
        <v>0</v>
      </c>
      <c r="AN5202" t="n">
        <v>0</v>
      </c>
      <c r="AO5202" t="n">
        <v>0</v>
      </c>
      <c r="AP5202" t="inlineStr"/>
      <c r="AQ5202" t="inlineStr"/>
    </row>
    <row r="5203">
      <c r="A5203" t="inlineStr">
        <is>
          <t>SLEEPOVER</t>
        </is>
      </c>
      <c r="B5203" s="2">
        <f>"10500528607"</f>
        <v/>
      </c>
      <c r="C5203" t="inlineStr">
        <is>
          <t>SLEEPOVER Butterfly With Centella Asiatica Organic Face Mask Special Edition 20gr</t>
        </is>
      </c>
      <c r="D5203" t="inlineStr">
        <is>
          <t>Miss Glam Jambi</t>
        </is>
      </c>
      <c r="E5203" t="n">
        <v>2</v>
      </c>
      <c r="F5203" t="n">
        <v>0.03</v>
      </c>
      <c r="G5203" t="n">
        <v>1</v>
      </c>
      <c r="H5203" t="n">
        <v>1</v>
      </c>
      <c r="I5203" t="n">
        <v>2</v>
      </c>
      <c r="J5203" t="n">
        <v>3</v>
      </c>
      <c r="K5203" t="n">
        <v>0</v>
      </c>
      <c r="L5203" t="n">
        <v>3421</v>
      </c>
      <c r="M5203" t="n">
        <v>7000</v>
      </c>
      <c r="N5203" t="n">
        <v>33</v>
      </c>
      <c r="O5203" t="n">
        <v>0.33</v>
      </c>
      <c r="P5203" t="n">
        <v>0</v>
      </c>
      <c r="Q5203" t="n">
        <v>0.03</v>
      </c>
      <c r="R5203" t="n">
        <v>1</v>
      </c>
      <c r="S5203" t="n">
        <v>210</v>
      </c>
      <c r="T5203" t="n">
        <v>2</v>
      </c>
      <c r="U5203" t="n">
        <v>3</v>
      </c>
      <c r="V5203" t="n">
        <v>30</v>
      </c>
      <c r="W5203" t="n">
        <v>1</v>
      </c>
      <c r="X5203" t="n">
        <v>66.66666666666667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inlineStr"/>
      <c r="AG5203" t="inlineStr"/>
      <c r="AH5203" t="inlineStr"/>
      <c r="AI5203" t="n">
        <v>0</v>
      </c>
      <c r="AJ5203" t="inlineStr"/>
      <c r="AK5203" t="n">
        <v>0</v>
      </c>
      <c r="AL5203" t="inlineStr"/>
      <c r="AM5203" t="n">
        <v>0</v>
      </c>
      <c r="AN5203" t="n">
        <v>0</v>
      </c>
      <c r="AO5203" t="n">
        <v>0</v>
      </c>
      <c r="AP5203" t="inlineStr"/>
      <c r="AQ5203" t="inlineStr"/>
    </row>
    <row r="5204">
      <c r="A5204" t="inlineStr">
        <is>
          <t>SLEEPOVER</t>
        </is>
      </c>
      <c r="B5204" s="2">
        <f>"10500528759"</f>
        <v/>
      </c>
      <c r="C5204" t="inlineStr">
        <is>
          <t>SLEEPOVER Calendula With Petal Organic Face Mask Special Edition 20gr</t>
        </is>
      </c>
      <c r="D5204" t="inlineStr">
        <is>
          <t>Miss Glam Jambi</t>
        </is>
      </c>
      <c r="E5204" t="n">
        <v>0</v>
      </c>
      <c r="F5204" t="n">
        <v>0.02</v>
      </c>
      <c r="G5204" t="n">
        <v>1</v>
      </c>
      <c r="H5204" t="n">
        <v>1</v>
      </c>
      <c r="I5204" t="n">
        <v>2</v>
      </c>
      <c r="J5204" t="n">
        <v>3</v>
      </c>
      <c r="K5204" t="n">
        <v>0</v>
      </c>
      <c r="L5204" t="n">
        <v>2797</v>
      </c>
      <c r="M5204" t="n">
        <v>7000</v>
      </c>
      <c r="N5204" t="n">
        <v>33</v>
      </c>
      <c r="O5204" t="n">
        <v>0.33</v>
      </c>
      <c r="P5204" t="n">
        <v>0</v>
      </c>
      <c r="Q5204" t="n">
        <v>0.02</v>
      </c>
      <c r="R5204" t="n">
        <v>1</v>
      </c>
      <c r="S5204" t="n">
        <v>140</v>
      </c>
      <c r="T5204" t="n">
        <v>2</v>
      </c>
      <c r="U5204" t="n">
        <v>3</v>
      </c>
      <c r="V5204" t="n">
        <v>30</v>
      </c>
      <c r="W5204" t="n">
        <v>1</v>
      </c>
      <c r="X5204" t="n">
        <v>0</v>
      </c>
      <c r="Y5204" t="n">
        <v>1</v>
      </c>
      <c r="Z5204" t="n">
        <v>1</v>
      </c>
      <c r="AA5204" t="n">
        <v>1</v>
      </c>
      <c r="AB5204" t="n">
        <v>0</v>
      </c>
      <c r="AC5204" t="n">
        <v>0</v>
      </c>
      <c r="AD5204" t="n">
        <v>2797</v>
      </c>
      <c r="AE5204" t="n">
        <v>0</v>
      </c>
      <c r="AF5204" t="inlineStr"/>
      <c r="AG5204" t="inlineStr"/>
      <c r="AH5204" t="inlineStr"/>
      <c r="AI5204" t="n">
        <v>0</v>
      </c>
      <c r="AJ5204" t="inlineStr"/>
      <c r="AK5204" t="n">
        <v>0</v>
      </c>
      <c r="AL5204" t="inlineStr"/>
      <c r="AM5204" t="n">
        <v>0</v>
      </c>
      <c r="AN5204" t="n">
        <v>0</v>
      </c>
      <c r="AO5204" t="n">
        <v>0</v>
      </c>
      <c r="AP5204" t="inlineStr"/>
      <c r="AQ5204" t="inlineStr"/>
    </row>
    <row r="5205">
      <c r="A5205" t="inlineStr">
        <is>
          <t>SLEEPOVER</t>
        </is>
      </c>
      <c r="B5205" s="2">
        <f>"10500526514"</f>
        <v/>
      </c>
      <c r="C5205" t="inlineStr">
        <is>
          <t>SLEEPOVER Nutella Yummy Nutella Organic Face Mask Special Edition 20gr</t>
        </is>
      </c>
      <c r="D5205" t="inlineStr">
        <is>
          <t>Miss Glam Jambi</t>
        </is>
      </c>
      <c r="E5205" t="n">
        <v>14</v>
      </c>
      <c r="F5205" t="n">
        <v>0.006600000000000001</v>
      </c>
      <c r="G5205" t="n">
        <v>0.33</v>
      </c>
      <c r="H5205" t="n">
        <v>1</v>
      </c>
      <c r="I5205" t="n">
        <v>2</v>
      </c>
      <c r="J5205" t="n">
        <v>3</v>
      </c>
      <c r="K5205" t="n">
        <v>0</v>
      </c>
      <c r="L5205" t="n">
        <v>3421</v>
      </c>
      <c r="M5205" t="n">
        <v>7000</v>
      </c>
      <c r="N5205" t="n">
        <v>33</v>
      </c>
      <c r="O5205" t="n">
        <v>0.33</v>
      </c>
      <c r="P5205" t="n">
        <v>1</v>
      </c>
      <c r="Q5205" t="n">
        <v>0.02</v>
      </c>
      <c r="R5205" t="n">
        <v>1</v>
      </c>
      <c r="S5205" t="n">
        <v>46.2</v>
      </c>
      <c r="T5205" t="n">
        <v>1</v>
      </c>
      <c r="U5205" t="n">
        <v>2</v>
      </c>
      <c r="V5205" t="n">
        <v>30</v>
      </c>
      <c r="W5205" t="n">
        <v>1</v>
      </c>
      <c r="X5205" t="n">
        <v>2121.212121212121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inlineStr"/>
      <c r="AG5205" t="inlineStr"/>
      <c r="AH5205" t="inlineStr"/>
      <c r="AI5205" t="n">
        <v>0</v>
      </c>
      <c r="AJ5205" t="inlineStr"/>
      <c r="AK5205" t="n">
        <v>0</v>
      </c>
      <c r="AL5205" t="inlineStr"/>
      <c r="AM5205" t="n">
        <v>0</v>
      </c>
      <c r="AN5205" t="n">
        <v>0</v>
      </c>
      <c r="AO5205" t="n">
        <v>0</v>
      </c>
      <c r="AP5205" t="inlineStr"/>
      <c r="AQ5205" t="inlineStr"/>
    </row>
    <row r="5206">
      <c r="A5206" t="inlineStr">
        <is>
          <t>SLEEPOVER</t>
        </is>
      </c>
      <c r="B5206" s="2">
        <f>"10500526316"</f>
        <v/>
      </c>
      <c r="C5206" t="inlineStr">
        <is>
          <t>SLEEPOVER Organic Face Mask Boba With Chia Seed 20g</t>
        </is>
      </c>
      <c r="D5206" t="inlineStr">
        <is>
          <t>Miss Glam Jambi</t>
        </is>
      </c>
      <c r="E5206" t="n">
        <v>7</v>
      </c>
      <c r="F5206" t="n">
        <v>0.009900000000000001</v>
      </c>
      <c r="G5206" t="n">
        <v>0.33</v>
      </c>
      <c r="H5206" t="n">
        <v>1</v>
      </c>
      <c r="I5206" t="n">
        <v>2</v>
      </c>
      <c r="J5206" t="n">
        <v>3</v>
      </c>
      <c r="K5206" t="n">
        <v>0</v>
      </c>
      <c r="L5206" t="n">
        <v>3000</v>
      </c>
      <c r="M5206" t="n">
        <v>7000</v>
      </c>
      <c r="N5206" t="n">
        <v>33</v>
      </c>
      <c r="O5206" t="n">
        <v>0.33</v>
      </c>
      <c r="P5206" t="n">
        <v>1</v>
      </c>
      <c r="Q5206" t="n">
        <v>0.03</v>
      </c>
      <c r="R5206" t="n">
        <v>1</v>
      </c>
      <c r="S5206" t="n">
        <v>69.30000000000001</v>
      </c>
      <c r="T5206" t="n">
        <v>1</v>
      </c>
      <c r="U5206" t="n">
        <v>2</v>
      </c>
      <c r="V5206" t="n">
        <v>30</v>
      </c>
      <c r="W5206" t="n">
        <v>1</v>
      </c>
      <c r="X5206" t="n">
        <v>707.070707070707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inlineStr"/>
      <c r="AG5206" t="inlineStr"/>
      <c r="AH5206" t="inlineStr"/>
      <c r="AI5206" t="n">
        <v>0</v>
      </c>
      <c r="AJ5206" t="inlineStr"/>
      <c r="AK5206" t="n">
        <v>0</v>
      </c>
      <c r="AL5206" t="inlineStr"/>
      <c r="AM5206" t="n">
        <v>0</v>
      </c>
      <c r="AN5206" t="n">
        <v>0</v>
      </c>
      <c r="AO5206" t="n">
        <v>0</v>
      </c>
      <c r="AP5206" t="inlineStr"/>
      <c r="AQ5206" t="inlineStr"/>
    </row>
    <row r="5207">
      <c r="A5207" t="inlineStr">
        <is>
          <t>SLEEPOVER</t>
        </is>
      </c>
      <c r="B5207" s="2">
        <f>"10500528855"</f>
        <v/>
      </c>
      <c r="C5207" t="inlineStr">
        <is>
          <t>SLEEPOVER Pink Melon Organic Face Mask 20gr</t>
        </is>
      </c>
      <c r="D5207" t="inlineStr">
        <is>
          <t>Miss Glam Jambi</t>
        </is>
      </c>
      <c r="E5207" t="n">
        <v>4</v>
      </c>
      <c r="F5207" t="n">
        <v>0.02</v>
      </c>
      <c r="G5207" t="n">
        <v>1</v>
      </c>
      <c r="H5207" t="n">
        <v>1</v>
      </c>
      <c r="I5207" t="n">
        <v>2</v>
      </c>
      <c r="J5207" t="n">
        <v>3</v>
      </c>
      <c r="K5207" t="n">
        <v>0</v>
      </c>
      <c r="L5207" t="n">
        <v>3421</v>
      </c>
      <c r="M5207" t="n">
        <v>7000</v>
      </c>
      <c r="N5207" t="n">
        <v>33</v>
      </c>
      <c r="O5207" t="n">
        <v>0.33</v>
      </c>
      <c r="P5207" t="n">
        <v>0</v>
      </c>
      <c r="Q5207" t="n">
        <v>0.02</v>
      </c>
      <c r="R5207" t="n">
        <v>1</v>
      </c>
      <c r="S5207" t="n">
        <v>140</v>
      </c>
      <c r="T5207" t="n">
        <v>2</v>
      </c>
      <c r="U5207" t="n">
        <v>3</v>
      </c>
      <c r="V5207" t="n">
        <v>30</v>
      </c>
      <c r="W5207" t="n">
        <v>1</v>
      </c>
      <c r="X5207" t="n">
        <v>200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inlineStr"/>
      <c r="AG5207" t="inlineStr"/>
      <c r="AH5207" t="inlineStr"/>
      <c r="AI5207" t="n">
        <v>0</v>
      </c>
      <c r="AJ5207" t="inlineStr"/>
      <c r="AK5207" t="n">
        <v>0</v>
      </c>
      <c r="AL5207" t="inlineStr"/>
      <c r="AM5207" t="n">
        <v>0</v>
      </c>
      <c r="AN5207" t="n">
        <v>0</v>
      </c>
      <c r="AO5207" t="n">
        <v>0</v>
      </c>
      <c r="AP5207" t="inlineStr"/>
      <c r="AQ5207" t="inlineStr"/>
    </row>
    <row r="5208">
      <c r="A5208" t="inlineStr">
        <is>
          <t>SLEEPOVER</t>
        </is>
      </c>
      <c r="B5208" s="2">
        <f>"10500534710"</f>
        <v/>
      </c>
      <c r="C5208" t="inlineStr">
        <is>
          <t>SLEEPOVER Vanilla Cake Organic Face Mask 20gr</t>
        </is>
      </c>
      <c r="D5208" t="inlineStr">
        <is>
          <t>Miss Glam Jambi</t>
        </is>
      </c>
      <c r="E5208" t="n">
        <v>1</v>
      </c>
      <c r="F5208" t="n">
        <v>0.02</v>
      </c>
      <c r="G5208" t="n">
        <v>1</v>
      </c>
      <c r="H5208" t="n">
        <v>1</v>
      </c>
      <c r="I5208" t="n">
        <v>2</v>
      </c>
      <c r="J5208" t="n">
        <v>3</v>
      </c>
      <c r="K5208" t="n">
        <v>0</v>
      </c>
      <c r="L5208" t="n">
        <v>2967</v>
      </c>
      <c r="M5208" t="n">
        <v>7000</v>
      </c>
      <c r="N5208" t="n">
        <v>33</v>
      </c>
      <c r="O5208" t="n">
        <v>0.33</v>
      </c>
      <c r="P5208" t="n">
        <v>0</v>
      </c>
      <c r="Q5208" t="n">
        <v>0.02</v>
      </c>
      <c r="R5208" t="n">
        <v>1</v>
      </c>
      <c r="S5208" t="n">
        <v>140</v>
      </c>
      <c r="T5208" t="n">
        <v>2</v>
      </c>
      <c r="U5208" t="n">
        <v>3</v>
      </c>
      <c r="V5208" t="n">
        <v>30</v>
      </c>
      <c r="W5208" t="n">
        <v>1</v>
      </c>
      <c r="X5208" t="n">
        <v>50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inlineStr"/>
      <c r="AG5208" t="inlineStr"/>
      <c r="AH5208" t="inlineStr"/>
      <c r="AI5208" t="n">
        <v>0</v>
      </c>
      <c r="AJ5208" t="inlineStr"/>
      <c r="AK5208" t="n">
        <v>0</v>
      </c>
      <c r="AL5208" t="inlineStr"/>
      <c r="AM5208" t="n">
        <v>0</v>
      </c>
      <c r="AN5208" t="n">
        <v>0</v>
      </c>
      <c r="AO5208" t="n">
        <v>0</v>
      </c>
      <c r="AP5208" t="inlineStr"/>
      <c r="AQ5208" t="inlineStr"/>
    </row>
    <row r="5209">
      <c r="A5209" t="inlineStr">
        <is>
          <t>SMITH</t>
        </is>
      </c>
      <c r="B5209" s="2">
        <f>"8997214760047"</f>
        <v/>
      </c>
      <c r="C5209" t="inlineStr">
        <is>
          <t>SMITH Dapper Spatter Water Based Pomade 85gr</t>
        </is>
      </c>
      <c r="D5209" t="inlineStr">
        <is>
          <t>Miss Glam Jambi</t>
        </is>
      </c>
      <c r="E5209" t="n">
        <v>0</v>
      </c>
      <c r="F5209" t="n">
        <v>0.03</v>
      </c>
      <c r="G5209" t="n">
        <v>1</v>
      </c>
      <c r="H5209" t="n">
        <v>1</v>
      </c>
      <c r="I5209" t="n">
        <v>2</v>
      </c>
      <c r="J5209" t="n">
        <v>3</v>
      </c>
      <c r="K5209" t="n">
        <v>0</v>
      </c>
      <c r="L5209" t="n">
        <v>87500</v>
      </c>
      <c r="M5209" t="n">
        <v>124000</v>
      </c>
      <c r="N5209" t="n">
        <v>33</v>
      </c>
      <c r="O5209" t="n">
        <v>0.33</v>
      </c>
      <c r="P5209" t="n">
        <v>0</v>
      </c>
      <c r="Q5209" t="n">
        <v>0.03</v>
      </c>
      <c r="R5209" t="n">
        <v>1</v>
      </c>
      <c r="S5209" t="n">
        <v>3720</v>
      </c>
      <c r="T5209" t="n">
        <v>2</v>
      </c>
      <c r="U5209" t="n">
        <v>3</v>
      </c>
      <c r="V5209" t="n">
        <v>30</v>
      </c>
      <c r="W5209" t="n">
        <v>1</v>
      </c>
      <c r="X5209" t="n">
        <v>0</v>
      </c>
      <c r="Y5209" t="n">
        <v>1</v>
      </c>
      <c r="Z5209" t="n">
        <v>1</v>
      </c>
      <c r="AA5209" t="n">
        <v>1</v>
      </c>
      <c r="AB5209" t="n">
        <v>0</v>
      </c>
      <c r="AC5209" t="n">
        <v>0</v>
      </c>
      <c r="AD5209" t="n">
        <v>87500</v>
      </c>
      <c r="AE5209" t="n">
        <v>0</v>
      </c>
      <c r="AF5209" t="inlineStr"/>
      <c r="AG5209" t="inlineStr"/>
      <c r="AH5209" t="inlineStr"/>
      <c r="AI5209" t="n">
        <v>0</v>
      </c>
      <c r="AJ5209" t="inlineStr"/>
      <c r="AK5209" t="n">
        <v>0</v>
      </c>
      <c r="AL5209" t="inlineStr"/>
      <c r="AM5209" t="n">
        <v>0</v>
      </c>
      <c r="AN5209" t="n">
        <v>0</v>
      </c>
      <c r="AO5209" t="n">
        <v>0</v>
      </c>
      <c r="AP5209" t="inlineStr"/>
      <c r="AQ5209" t="inlineStr"/>
    </row>
    <row r="5210">
      <c r="A5210" t="inlineStr">
        <is>
          <t>SOME BY MI</t>
        </is>
      </c>
      <c r="B5210" s="2">
        <f>"8809647392224"</f>
        <v/>
      </c>
      <c r="C5210" t="inlineStr">
        <is>
          <t>SOME BY MI AHA BHA PHA 30 Days Miracle Toner 30ml</t>
        </is>
      </c>
      <c r="D5210" t="inlineStr">
        <is>
          <t>Miss Glam Jambi</t>
        </is>
      </c>
      <c r="E5210" t="n">
        <v>3</v>
      </c>
      <c r="F5210" t="n">
        <v>0.02</v>
      </c>
      <c r="G5210" t="n">
        <v>1</v>
      </c>
      <c r="H5210" t="n">
        <v>1</v>
      </c>
      <c r="I5210" t="n">
        <v>2</v>
      </c>
      <c r="J5210" t="n">
        <v>3</v>
      </c>
      <c r="K5210" t="n">
        <v>0</v>
      </c>
      <c r="L5210" t="n">
        <v>33237</v>
      </c>
      <c r="M5210" t="n">
        <v>51000</v>
      </c>
      <c r="N5210" t="n">
        <v>33</v>
      </c>
      <c r="O5210" t="n">
        <v>0.33</v>
      </c>
      <c r="P5210" t="n">
        <v>0</v>
      </c>
      <c r="Q5210" t="n">
        <v>0.02</v>
      </c>
      <c r="R5210" t="n">
        <v>1</v>
      </c>
      <c r="S5210" t="n">
        <v>1020</v>
      </c>
      <c r="T5210" t="n">
        <v>2</v>
      </c>
      <c r="U5210" t="n">
        <v>3</v>
      </c>
      <c r="V5210" t="n">
        <v>30</v>
      </c>
      <c r="W5210" t="n">
        <v>1</v>
      </c>
      <c r="X5210" t="n">
        <v>150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inlineStr"/>
      <c r="AG5210" t="inlineStr"/>
      <c r="AH5210" t="inlineStr"/>
      <c r="AI5210" t="n">
        <v>0</v>
      </c>
      <c r="AJ5210" t="inlineStr"/>
      <c r="AK5210" t="n">
        <v>0</v>
      </c>
      <c r="AL5210" t="inlineStr"/>
      <c r="AM5210" t="n">
        <v>0</v>
      </c>
      <c r="AN5210" t="n">
        <v>0</v>
      </c>
      <c r="AO5210" t="n">
        <v>0</v>
      </c>
      <c r="AP5210" t="inlineStr"/>
      <c r="AQ5210" t="inlineStr"/>
    </row>
    <row r="5211">
      <c r="A5211" t="inlineStr">
        <is>
          <t>SOME BY MI</t>
        </is>
      </c>
      <c r="B5211" s="2">
        <f>"8809647390626"</f>
        <v/>
      </c>
      <c r="C5211" t="inlineStr">
        <is>
          <t>SOME BY MI Miracle Repair LOW pH Gel Cleanser 30ml</t>
        </is>
      </c>
      <c r="D5211" t="inlineStr">
        <is>
          <t>Miss Glam Jambi</t>
        </is>
      </c>
      <c r="E5211" t="n">
        <v>4</v>
      </c>
      <c r="F5211" t="n">
        <v>0.006600000000000001</v>
      </c>
      <c r="G5211" t="n">
        <v>0.33</v>
      </c>
      <c r="H5211" t="n">
        <v>1</v>
      </c>
      <c r="I5211" t="n">
        <v>2</v>
      </c>
      <c r="J5211" t="n">
        <v>3</v>
      </c>
      <c r="K5211" t="n">
        <v>0</v>
      </c>
      <c r="L5211" t="n">
        <v>39306</v>
      </c>
      <c r="M5211" t="n">
        <v>47500</v>
      </c>
      <c r="N5211" t="n">
        <v>33</v>
      </c>
      <c r="O5211" t="n">
        <v>0.33</v>
      </c>
      <c r="P5211" t="n">
        <v>1</v>
      </c>
      <c r="Q5211" t="n">
        <v>0.02</v>
      </c>
      <c r="R5211" t="n">
        <v>1</v>
      </c>
      <c r="S5211" t="n">
        <v>313.5000000000001</v>
      </c>
      <c r="T5211" t="n">
        <v>1</v>
      </c>
      <c r="U5211" t="n">
        <v>2</v>
      </c>
      <c r="V5211" t="n">
        <v>30</v>
      </c>
      <c r="W5211" t="n">
        <v>1</v>
      </c>
      <c r="X5211" t="n">
        <v>606.060606060606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inlineStr"/>
      <c r="AG5211" t="inlineStr"/>
      <c r="AH5211" t="inlineStr"/>
      <c r="AI5211" t="n">
        <v>0</v>
      </c>
      <c r="AJ5211" t="inlineStr"/>
      <c r="AK5211" t="n">
        <v>0</v>
      </c>
      <c r="AL5211" t="inlineStr"/>
      <c r="AM5211" t="n">
        <v>0</v>
      </c>
      <c r="AN5211" t="n">
        <v>0</v>
      </c>
      <c r="AO5211" t="n">
        <v>0</v>
      </c>
      <c r="AP5211" t="inlineStr"/>
      <c r="AQ5211" t="inlineStr"/>
    </row>
    <row r="5212">
      <c r="A5212" t="inlineStr">
        <is>
          <t>SOME BY MI</t>
        </is>
      </c>
      <c r="B5212" s="2">
        <f>"8809647393191"</f>
        <v/>
      </c>
      <c r="C5212" t="inlineStr">
        <is>
          <t>SOME BY MI Yuja Niacin 30 Days Miracle Brightening Toner 30ml</t>
        </is>
      </c>
      <c r="D5212" t="inlineStr">
        <is>
          <t>Miss Glam Jambi</t>
        </is>
      </c>
      <c r="E5212" t="n">
        <v>1</v>
      </c>
      <c r="F5212" t="n">
        <v>0.02</v>
      </c>
      <c r="G5212" t="n">
        <v>0</v>
      </c>
      <c r="H5212" t="n">
        <v>1</v>
      </c>
      <c r="I5212" t="n">
        <v>2</v>
      </c>
      <c r="J5212" t="n">
        <v>3</v>
      </c>
      <c r="K5212" t="n">
        <v>0</v>
      </c>
      <c r="L5212" t="n">
        <v>34803</v>
      </c>
      <c r="M5212" t="n">
        <v>41000</v>
      </c>
      <c r="N5212" t="n">
        <v>33</v>
      </c>
      <c r="O5212" t="n">
        <v>0.33</v>
      </c>
      <c r="P5212" t="n">
        <v>0</v>
      </c>
      <c r="Q5212" t="n">
        <v>0.02</v>
      </c>
      <c r="R5212" t="n">
        <v>0</v>
      </c>
      <c r="S5212" t="n">
        <v>820</v>
      </c>
      <c r="T5212" t="n">
        <v>0</v>
      </c>
      <c r="U5212" t="n">
        <v>1</v>
      </c>
      <c r="V5212" t="n">
        <v>30</v>
      </c>
      <c r="W5212" t="n">
        <v>1</v>
      </c>
      <c r="X5212" t="n">
        <v>50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inlineStr"/>
      <c r="AG5212" t="inlineStr"/>
      <c r="AH5212" t="inlineStr"/>
      <c r="AI5212" t="n">
        <v>0</v>
      </c>
      <c r="AJ5212" t="inlineStr"/>
      <c r="AK5212" t="n">
        <v>0</v>
      </c>
      <c r="AL5212" t="inlineStr"/>
      <c r="AM5212" t="n">
        <v>0</v>
      </c>
      <c r="AN5212" t="n">
        <v>0</v>
      </c>
      <c r="AO5212" t="n">
        <v>0</v>
      </c>
      <c r="AP5212" t="inlineStr"/>
      <c r="AQ5212" t="inlineStr"/>
    </row>
    <row r="5213">
      <c r="A5213" t="inlineStr">
        <is>
          <t>SOONAFTER</t>
        </is>
      </c>
      <c r="B5213" s="2">
        <f>"10600211027"</f>
        <v/>
      </c>
      <c r="C5213" t="inlineStr">
        <is>
          <t>SOONAFTER Cute Story Hologram Acne 20 patch</t>
        </is>
      </c>
      <c r="D5213" t="inlineStr">
        <is>
          <t>Miss Glam Jambi</t>
        </is>
      </c>
      <c r="E5213" t="n">
        <v>15</v>
      </c>
      <c r="F5213" t="n">
        <v>0.02</v>
      </c>
      <c r="G5213" t="n">
        <v>1</v>
      </c>
      <c r="H5213" t="n">
        <v>1</v>
      </c>
      <c r="I5213" t="n">
        <v>2</v>
      </c>
      <c r="J5213" t="n">
        <v>3</v>
      </c>
      <c r="K5213" t="n">
        <v>0</v>
      </c>
      <c r="L5213" t="n">
        <v>21779</v>
      </c>
      <c r="M5213" t="n">
        <v>27000</v>
      </c>
      <c r="N5213" t="n">
        <v>33</v>
      </c>
      <c r="O5213" t="n">
        <v>0.33</v>
      </c>
      <c r="P5213" t="n">
        <v>0</v>
      </c>
      <c r="Q5213" t="n">
        <v>0.02</v>
      </c>
      <c r="R5213" t="n">
        <v>1</v>
      </c>
      <c r="S5213" t="n">
        <v>540</v>
      </c>
      <c r="T5213" t="n">
        <v>2</v>
      </c>
      <c r="U5213" t="n">
        <v>3</v>
      </c>
      <c r="V5213" t="n">
        <v>30</v>
      </c>
      <c r="W5213" t="n">
        <v>1</v>
      </c>
      <c r="X5213" t="n">
        <v>750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inlineStr"/>
      <c r="AG5213" t="inlineStr"/>
      <c r="AH5213" t="inlineStr"/>
      <c r="AI5213" t="n">
        <v>0</v>
      </c>
      <c r="AJ5213" t="inlineStr"/>
      <c r="AK5213" t="n">
        <v>0</v>
      </c>
      <c r="AL5213" t="inlineStr"/>
      <c r="AM5213" t="n">
        <v>0</v>
      </c>
      <c r="AN5213" t="n">
        <v>0</v>
      </c>
      <c r="AO5213" t="n">
        <v>0</v>
      </c>
      <c r="AP5213" t="inlineStr"/>
      <c r="AQ5213" t="inlineStr"/>
    </row>
    <row r="5214">
      <c r="A5214" t="inlineStr">
        <is>
          <t>SUMBER AYU</t>
        </is>
      </c>
      <c r="B5214" s="2">
        <f>"8992856897786"</f>
        <v/>
      </c>
      <c r="C5214" t="inlineStr">
        <is>
          <t>SUMBER AYU Clear White Triple Whitening Extra 90ml</t>
        </is>
      </c>
      <c r="D5214" t="inlineStr">
        <is>
          <t>Miss Glam Jambi</t>
        </is>
      </c>
      <c r="E5214" t="n">
        <v>4</v>
      </c>
      <c r="F5214" t="n">
        <v>0.07920000000000001</v>
      </c>
      <c r="G5214" t="n">
        <v>0.33</v>
      </c>
      <c r="H5214" t="n">
        <v>1</v>
      </c>
      <c r="I5214" t="n">
        <v>2</v>
      </c>
      <c r="J5214" t="n">
        <v>3</v>
      </c>
      <c r="K5214" t="n">
        <v>0</v>
      </c>
      <c r="L5214" t="n">
        <v>19133</v>
      </c>
      <c r="M5214" t="n">
        <v>23500</v>
      </c>
      <c r="N5214" t="n">
        <v>33</v>
      </c>
      <c r="O5214" t="n">
        <v>0.33</v>
      </c>
      <c r="P5214" t="n">
        <v>1</v>
      </c>
      <c r="Q5214" t="n">
        <v>0.03</v>
      </c>
      <c r="R5214" t="n">
        <v>1</v>
      </c>
      <c r="S5214" t="n">
        <v>1861.2</v>
      </c>
      <c r="T5214" t="n">
        <v>1</v>
      </c>
      <c r="U5214" t="n">
        <v>2</v>
      </c>
      <c r="V5214" t="n">
        <v>30</v>
      </c>
      <c r="W5214" t="n">
        <v>3</v>
      </c>
      <c r="X5214" t="n">
        <v>50.5050505050505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187</v>
      </c>
      <c r="AG5214" t="n">
        <v>3476</v>
      </c>
      <c r="AH5214" t="inlineStr">
        <is>
          <t>CV. BINTANG PRIMA PERKASA (ACEH)</t>
        </is>
      </c>
      <c r="AI5214" t="n">
        <v>152</v>
      </c>
      <c r="AJ5214" t="inlineStr">
        <is>
          <t>SUMBER AYU</t>
        </is>
      </c>
      <c r="AK5214" t="n">
        <v>39</v>
      </c>
      <c r="AL5214" t="inlineStr">
        <is>
          <t>Miss Glam Aceh</t>
        </is>
      </c>
      <c r="AM5214" t="n">
        <v>4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SUMBER AYU</t>
        </is>
      </c>
      <c r="B5215" s="2">
        <f>"8992856890459"</f>
        <v/>
      </c>
      <c r="C5215" t="inlineStr">
        <is>
          <t>SUMBER AYU Daun Sirih Musik 60ml</t>
        </is>
      </c>
      <c r="D5215" t="inlineStr">
        <is>
          <t>Miss Glam Jambi</t>
        </is>
      </c>
      <c r="E5215" t="n">
        <v>0</v>
      </c>
      <c r="F5215" t="n">
        <v>0.2673</v>
      </c>
      <c r="G5215" t="n">
        <v>0.99</v>
      </c>
      <c r="H5215" t="n">
        <v>1</v>
      </c>
      <c r="I5215" t="n">
        <v>2</v>
      </c>
      <c r="J5215" t="n">
        <v>3</v>
      </c>
      <c r="K5215" t="n">
        <v>7</v>
      </c>
      <c r="L5215" t="n">
        <v>6266</v>
      </c>
      <c r="M5215" t="n">
        <v>6500</v>
      </c>
      <c r="N5215" t="n">
        <v>33</v>
      </c>
      <c r="O5215" t="n">
        <v>0.33</v>
      </c>
      <c r="P5215" t="n">
        <v>1</v>
      </c>
      <c r="Q5215" t="n">
        <v>0.13</v>
      </c>
      <c r="R5215" t="n">
        <v>2</v>
      </c>
      <c r="S5215" t="n">
        <v>1737.45</v>
      </c>
      <c r="T5215" t="n">
        <v>2</v>
      </c>
      <c r="U5215" t="n">
        <v>3</v>
      </c>
      <c r="V5215" t="n">
        <v>30</v>
      </c>
      <c r="W5215" t="n">
        <v>9</v>
      </c>
      <c r="X5215" t="n">
        <v>0</v>
      </c>
      <c r="Y5215" t="n">
        <v>1</v>
      </c>
      <c r="Z5215" t="n">
        <v>2</v>
      </c>
      <c r="AA5215" t="n">
        <v>0</v>
      </c>
      <c r="AB5215" t="n">
        <v>2</v>
      </c>
      <c r="AC5215" t="n">
        <v>3</v>
      </c>
      <c r="AD5215" t="n">
        <v>0</v>
      </c>
      <c r="AE5215" t="n">
        <v>18798</v>
      </c>
      <c r="AF5215" t="n">
        <v>187</v>
      </c>
      <c r="AG5215" t="n">
        <v>3476</v>
      </c>
      <c r="AH5215" t="inlineStr">
        <is>
          <t>CV. BINTANG PRIMA PERKASA (ACEH)</t>
        </is>
      </c>
      <c r="AI5215" t="n">
        <v>152</v>
      </c>
      <c r="AJ5215" t="inlineStr">
        <is>
          <t>SUMBER AYU</t>
        </is>
      </c>
      <c r="AK5215" t="n">
        <v>39</v>
      </c>
      <c r="AL5215" t="inlineStr">
        <is>
          <t>Miss Glam Aceh</t>
        </is>
      </c>
      <c r="AM5215" t="n">
        <v>4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SUMBER AYU</t>
        </is>
      </c>
      <c r="B5216" s="2">
        <f>"8992856897755"</f>
        <v/>
      </c>
      <c r="C5216" t="inlineStr">
        <is>
          <t>SUMBER AYU Manjakani Keset 200ml</t>
        </is>
      </c>
      <c r="D5216" t="inlineStr">
        <is>
          <t>Miss Glam Jambi</t>
        </is>
      </c>
      <c r="E5216" t="n">
        <v>3</v>
      </c>
      <c r="F5216" t="n">
        <v>0.05</v>
      </c>
      <c r="G5216" t="n">
        <v>1</v>
      </c>
      <c r="H5216" t="n">
        <v>1</v>
      </c>
      <c r="I5216" t="n">
        <v>2</v>
      </c>
      <c r="J5216" t="n">
        <v>3</v>
      </c>
      <c r="K5216" t="n">
        <v>0</v>
      </c>
      <c r="L5216" t="n">
        <v>28420</v>
      </c>
      <c r="M5216" t="n">
        <v>31500</v>
      </c>
      <c r="N5216" t="n">
        <v>33</v>
      </c>
      <c r="O5216" t="n">
        <v>0.33</v>
      </c>
      <c r="P5216" t="n">
        <v>0</v>
      </c>
      <c r="Q5216" t="n">
        <v>0.05</v>
      </c>
      <c r="R5216" t="n">
        <v>1</v>
      </c>
      <c r="S5216" t="n">
        <v>1575</v>
      </c>
      <c r="T5216" t="n">
        <v>2</v>
      </c>
      <c r="U5216" t="n">
        <v>3</v>
      </c>
      <c r="V5216" t="n">
        <v>30</v>
      </c>
      <c r="W5216" t="n">
        <v>2</v>
      </c>
      <c r="X5216" t="n">
        <v>60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187</v>
      </c>
      <c r="AG5216" t="n">
        <v>3476</v>
      </c>
      <c r="AH5216" t="inlineStr">
        <is>
          <t>CV. BINTANG PRIMA PERKASA (ACEH)</t>
        </is>
      </c>
      <c r="AI5216" t="n">
        <v>152</v>
      </c>
      <c r="AJ5216" t="inlineStr">
        <is>
          <t>SUMBER AYU</t>
        </is>
      </c>
      <c r="AK5216" t="n">
        <v>39</v>
      </c>
      <c r="AL5216" t="inlineStr">
        <is>
          <t>Miss Glam Aceh</t>
        </is>
      </c>
      <c r="AM5216" t="n">
        <v>4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SUMBER AYU</t>
        </is>
      </c>
      <c r="B5217" s="2">
        <f>"8992856897731"</f>
        <v/>
      </c>
      <c r="C5217" t="inlineStr">
        <is>
          <t>SUMBER AYU Manjakani Keset 50ml</t>
        </is>
      </c>
      <c r="D5217" t="inlineStr">
        <is>
          <t>Miss Glam Jambi</t>
        </is>
      </c>
      <c r="E5217" t="n">
        <v>0</v>
      </c>
      <c r="F5217" t="n">
        <v>0.1551</v>
      </c>
      <c r="G5217" t="n">
        <v>0.99</v>
      </c>
      <c r="H5217" t="n">
        <v>1</v>
      </c>
      <c r="I5217" t="n">
        <v>2</v>
      </c>
      <c r="J5217" t="n">
        <v>3</v>
      </c>
      <c r="K5217" t="n">
        <v>4</v>
      </c>
      <c r="L5217" t="n">
        <v>8951</v>
      </c>
      <c r="M5217" t="n">
        <v>9500</v>
      </c>
      <c r="N5217" t="n">
        <v>33</v>
      </c>
      <c r="O5217" t="n">
        <v>0.33</v>
      </c>
      <c r="P5217" t="n">
        <v>1</v>
      </c>
      <c r="Q5217" t="n">
        <v>0.1</v>
      </c>
      <c r="R5217" t="n">
        <v>1</v>
      </c>
      <c r="S5217" t="n">
        <v>1473.45</v>
      </c>
      <c r="T5217" t="n">
        <v>2</v>
      </c>
      <c r="U5217" t="n">
        <v>3</v>
      </c>
      <c r="V5217" t="n">
        <v>30</v>
      </c>
      <c r="W5217" t="n">
        <v>5</v>
      </c>
      <c r="X5217" t="n">
        <v>0</v>
      </c>
      <c r="Y5217" t="n">
        <v>1</v>
      </c>
      <c r="Z5217" t="n">
        <v>1</v>
      </c>
      <c r="AA5217" t="n">
        <v>0</v>
      </c>
      <c r="AB5217" t="n">
        <v>1</v>
      </c>
      <c r="AC5217" t="n">
        <v>3</v>
      </c>
      <c r="AD5217" t="n">
        <v>0</v>
      </c>
      <c r="AE5217" t="n">
        <v>26853</v>
      </c>
      <c r="AF5217" t="n">
        <v>187</v>
      </c>
      <c r="AG5217" t="n">
        <v>3476</v>
      </c>
      <c r="AH5217" t="inlineStr">
        <is>
          <t>CV. BINTANG PRIMA PERKASA (ACEH)</t>
        </is>
      </c>
      <c r="AI5217" t="n">
        <v>152</v>
      </c>
      <c r="AJ5217" t="inlineStr">
        <is>
          <t>SUMBER AYU</t>
        </is>
      </c>
      <c r="AK5217" t="n">
        <v>39</v>
      </c>
      <c r="AL5217" t="inlineStr">
        <is>
          <t>Miss Glam Aceh</t>
        </is>
      </c>
      <c r="AM5217" t="n">
        <v>4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SUMBER AYU</t>
        </is>
      </c>
      <c r="B5218" s="2">
        <f>"8992856899209"</f>
        <v/>
      </c>
      <c r="C5218" t="inlineStr">
        <is>
          <t>SUMBER AYU Pearly White Triple Whitening 50ml</t>
        </is>
      </c>
      <c r="D5218" t="inlineStr">
        <is>
          <t>Miss Glam Jambi</t>
        </is>
      </c>
      <c r="E5218" t="n">
        <v>2</v>
      </c>
      <c r="F5218" t="n">
        <v>0.1188</v>
      </c>
      <c r="G5218" t="n">
        <v>0.66</v>
      </c>
      <c r="H5218" t="n">
        <v>1</v>
      </c>
      <c r="I5218" t="n">
        <v>2</v>
      </c>
      <c r="J5218" t="n">
        <v>3</v>
      </c>
      <c r="K5218" t="n">
        <v>3</v>
      </c>
      <c r="L5218" t="n">
        <v>9734</v>
      </c>
      <c r="M5218" t="n">
        <v>10600</v>
      </c>
      <c r="N5218" t="n">
        <v>33</v>
      </c>
      <c r="O5218" t="n">
        <v>0.33</v>
      </c>
      <c r="P5218" t="n">
        <v>1</v>
      </c>
      <c r="Q5218" t="n">
        <v>0.07000000000000001</v>
      </c>
      <c r="R5218" t="n">
        <v>1</v>
      </c>
      <c r="S5218" t="n">
        <v>1259.28</v>
      </c>
      <c r="T5218" t="n">
        <v>2</v>
      </c>
      <c r="U5218" t="n">
        <v>3</v>
      </c>
      <c r="V5218" t="n">
        <v>30</v>
      </c>
      <c r="W5218" t="n">
        <v>4</v>
      </c>
      <c r="X5218" t="n">
        <v>16.83501683501683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187</v>
      </c>
      <c r="AG5218" t="n">
        <v>3476</v>
      </c>
      <c r="AH5218" t="inlineStr">
        <is>
          <t>CV. BINTANG PRIMA PERKASA (ACEH)</t>
        </is>
      </c>
      <c r="AI5218" t="n">
        <v>152</v>
      </c>
      <c r="AJ5218" t="inlineStr">
        <is>
          <t>SUMBER AYU</t>
        </is>
      </c>
      <c r="AK5218" t="n">
        <v>39</v>
      </c>
      <c r="AL5218" t="inlineStr">
        <is>
          <t>Miss Glam Aceh</t>
        </is>
      </c>
      <c r="AM5218" t="n">
        <v>4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SUMBER AYU</t>
        </is>
      </c>
      <c r="B5219" s="2">
        <f>"8992856890428"</f>
        <v/>
      </c>
      <c r="C5219" t="inlineStr">
        <is>
          <t>SUMBER AYU Pembersih Kewanitaan Orchid 60ml</t>
        </is>
      </c>
      <c r="D5219" t="inlineStr">
        <is>
          <t>Miss Glam Jambi</t>
        </is>
      </c>
      <c r="E5219" t="n">
        <v>0</v>
      </c>
      <c r="F5219" t="n">
        <v>0.2277</v>
      </c>
      <c r="G5219" t="n">
        <v>1.65</v>
      </c>
      <c r="H5219" t="n">
        <v>1</v>
      </c>
      <c r="I5219" t="n">
        <v>2</v>
      </c>
      <c r="J5219" t="n">
        <v>3</v>
      </c>
      <c r="K5219" t="n">
        <v>6</v>
      </c>
      <c r="L5219" t="n">
        <v>6266</v>
      </c>
      <c r="M5219" t="n">
        <v>6500</v>
      </c>
      <c r="N5219" t="n">
        <v>33</v>
      </c>
      <c r="O5219" t="n">
        <v>0.33</v>
      </c>
      <c r="P5219" t="n">
        <v>1</v>
      </c>
      <c r="Q5219" t="n">
        <v>0.11</v>
      </c>
      <c r="R5219" t="n">
        <v>2</v>
      </c>
      <c r="S5219" t="n">
        <v>1480.05</v>
      </c>
      <c r="T5219" t="n">
        <v>4</v>
      </c>
      <c r="U5219" t="n">
        <v>5</v>
      </c>
      <c r="V5219" t="n">
        <v>30</v>
      </c>
      <c r="W5219" t="n">
        <v>7</v>
      </c>
      <c r="X5219" t="n">
        <v>0</v>
      </c>
      <c r="Y5219" t="n">
        <v>1</v>
      </c>
      <c r="Z5219" t="n">
        <v>1</v>
      </c>
      <c r="AA5219" t="n">
        <v>0</v>
      </c>
      <c r="AB5219" t="n">
        <v>1</v>
      </c>
      <c r="AC5219" t="n">
        <v>3</v>
      </c>
      <c r="AD5219" t="n">
        <v>0</v>
      </c>
      <c r="AE5219" t="n">
        <v>18798</v>
      </c>
      <c r="AF5219" t="n">
        <v>187</v>
      </c>
      <c r="AG5219" t="n">
        <v>3476</v>
      </c>
      <c r="AH5219" t="inlineStr">
        <is>
          <t>CV. BINTANG PRIMA PERKASA (ACEH)</t>
        </is>
      </c>
      <c r="AI5219" t="n">
        <v>152</v>
      </c>
      <c r="AJ5219" t="inlineStr">
        <is>
          <t>SUMBER AYU</t>
        </is>
      </c>
      <c r="AK5219" t="n">
        <v>39</v>
      </c>
      <c r="AL5219" t="inlineStr">
        <is>
          <t>Miss Glam Aceh</t>
        </is>
      </c>
      <c r="AM5219" t="n">
        <v>4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SUMBER AYU</t>
        </is>
      </c>
      <c r="B5220" s="2">
        <f>"8992856877177"</f>
        <v/>
      </c>
      <c r="C5220" t="inlineStr">
        <is>
          <t>SUMBER AYU Pembersih Kewanitaan Rose 90ml</t>
        </is>
      </c>
      <c r="D5220" t="inlineStr">
        <is>
          <t>Miss Glam Jambi</t>
        </is>
      </c>
      <c r="E5220" t="n">
        <v>1</v>
      </c>
      <c r="F5220" t="n">
        <v>0.1122</v>
      </c>
      <c r="G5220" t="n">
        <v>0.66</v>
      </c>
      <c r="H5220" t="n">
        <v>1</v>
      </c>
      <c r="I5220" t="n">
        <v>2</v>
      </c>
      <c r="J5220" t="n">
        <v>3</v>
      </c>
      <c r="K5220" t="n">
        <v>3</v>
      </c>
      <c r="L5220" t="n">
        <v>9063</v>
      </c>
      <c r="M5220" t="n">
        <v>9500</v>
      </c>
      <c r="N5220" t="n">
        <v>33</v>
      </c>
      <c r="O5220" t="n">
        <v>0.33</v>
      </c>
      <c r="P5220" t="n">
        <v>1</v>
      </c>
      <c r="Q5220" t="n">
        <v>0.08</v>
      </c>
      <c r="R5220" t="n">
        <v>2</v>
      </c>
      <c r="S5220" t="n">
        <v>1065.9</v>
      </c>
      <c r="T5220" t="n">
        <v>2</v>
      </c>
      <c r="U5220" t="n">
        <v>3</v>
      </c>
      <c r="V5220" t="n">
        <v>30</v>
      </c>
      <c r="W5220" t="n">
        <v>4</v>
      </c>
      <c r="X5220" t="n">
        <v>8.9126559714795</v>
      </c>
      <c r="Y5220" t="n">
        <v>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187</v>
      </c>
      <c r="AG5220" t="n">
        <v>3476</v>
      </c>
      <c r="AH5220" t="inlineStr">
        <is>
          <t>CV. BINTANG PRIMA PERKASA (ACEH)</t>
        </is>
      </c>
      <c r="AI5220" t="n">
        <v>152</v>
      </c>
      <c r="AJ5220" t="inlineStr">
        <is>
          <t>SUMBER AYU</t>
        </is>
      </c>
      <c r="AK5220" t="n">
        <v>39</v>
      </c>
      <c r="AL5220" t="inlineStr">
        <is>
          <t>Miss Glam Aceh</t>
        </is>
      </c>
      <c r="AM5220" t="n">
        <v>4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SUMBER AYU</t>
        </is>
      </c>
      <c r="B5221" s="2">
        <f>"8992856890466"</f>
        <v/>
      </c>
      <c r="C5221" t="inlineStr">
        <is>
          <t>SUMBER AYU Pembersih Kewanitaan Rpsr 50gr</t>
        </is>
      </c>
      <c r="D5221" t="inlineStr">
        <is>
          <t>Miss Glam Jambi</t>
        </is>
      </c>
      <c r="E5221" t="n">
        <v>0</v>
      </c>
      <c r="F5221" t="n">
        <v>0.1221</v>
      </c>
      <c r="G5221" t="n">
        <v>0.99</v>
      </c>
      <c r="H5221" t="n">
        <v>1</v>
      </c>
      <c r="I5221" t="n">
        <v>2</v>
      </c>
      <c r="J5221" t="n">
        <v>3</v>
      </c>
      <c r="K5221" t="n">
        <v>3</v>
      </c>
      <c r="L5221" t="n">
        <v>6266</v>
      </c>
      <c r="M5221" t="n">
        <v>6500</v>
      </c>
      <c r="N5221" t="n">
        <v>33</v>
      </c>
      <c r="O5221" t="n">
        <v>0.33</v>
      </c>
      <c r="P5221" t="n">
        <v>1</v>
      </c>
      <c r="Q5221" t="n">
        <v>0.13</v>
      </c>
      <c r="R5221" t="n">
        <v>1</v>
      </c>
      <c r="S5221" t="n">
        <v>793.65</v>
      </c>
      <c r="T5221" t="n">
        <v>2</v>
      </c>
      <c r="U5221" t="n">
        <v>3</v>
      </c>
      <c r="V5221" t="n">
        <v>30</v>
      </c>
      <c r="W5221" t="n">
        <v>4</v>
      </c>
      <c r="X5221" t="n">
        <v>0</v>
      </c>
      <c r="Y5221" t="n">
        <v>1</v>
      </c>
      <c r="Z5221" t="n">
        <v>1</v>
      </c>
      <c r="AA5221" t="n">
        <v>0</v>
      </c>
      <c r="AB5221" t="n">
        <v>1</v>
      </c>
      <c r="AC5221" t="n">
        <v>3</v>
      </c>
      <c r="AD5221" t="n">
        <v>0</v>
      </c>
      <c r="AE5221" t="n">
        <v>18798</v>
      </c>
      <c r="AF5221" t="n">
        <v>187</v>
      </c>
      <c r="AG5221" t="n">
        <v>3476</v>
      </c>
      <c r="AH5221" t="inlineStr">
        <is>
          <t>CV. BINTANG PRIMA PERKASA (ACEH)</t>
        </is>
      </c>
      <c r="AI5221" t="n">
        <v>152</v>
      </c>
      <c r="AJ5221" t="inlineStr">
        <is>
          <t>SUMBER AYU</t>
        </is>
      </c>
      <c r="AK5221" t="n">
        <v>39</v>
      </c>
      <c r="AL5221" t="inlineStr">
        <is>
          <t>Miss Glam Aceh</t>
        </is>
      </c>
      <c r="AM5221" t="n">
        <v>4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SUMBER AYU</t>
        </is>
      </c>
      <c r="B5222" s="2">
        <f>"8992856897779"</f>
        <v/>
      </c>
      <c r="C5222" t="inlineStr">
        <is>
          <t>SUMBER AYU Triple Whitening Clear White 50ml</t>
        </is>
      </c>
      <c r="D5222" t="inlineStr">
        <is>
          <t>Miss Glam Jambi</t>
        </is>
      </c>
      <c r="E5222" t="n">
        <v>2</v>
      </c>
      <c r="F5222" t="n">
        <v>0.5214000000000001</v>
      </c>
      <c r="G5222" t="n">
        <v>2.31</v>
      </c>
      <c r="H5222" t="n">
        <v>1</v>
      </c>
      <c r="I5222" t="n">
        <v>2</v>
      </c>
      <c r="J5222" t="n">
        <v>3</v>
      </c>
      <c r="K5222" t="n">
        <v>14</v>
      </c>
      <c r="L5222" t="n">
        <v>9734</v>
      </c>
      <c r="M5222" t="n">
        <v>10000</v>
      </c>
      <c r="N5222" t="n">
        <v>33</v>
      </c>
      <c r="O5222" t="n">
        <v>0.33</v>
      </c>
      <c r="P5222" t="n">
        <v>1</v>
      </c>
      <c r="Q5222" t="n">
        <v>0.17</v>
      </c>
      <c r="R5222" t="n">
        <v>1</v>
      </c>
      <c r="S5222" t="n">
        <v>5214.000000000001</v>
      </c>
      <c r="T5222" t="n">
        <v>5</v>
      </c>
      <c r="U5222" t="n">
        <v>6</v>
      </c>
      <c r="V5222" t="n">
        <v>30</v>
      </c>
      <c r="W5222" t="n">
        <v>16</v>
      </c>
      <c r="X5222" t="n">
        <v>3.835826620636746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187</v>
      </c>
      <c r="AG5222" t="n">
        <v>3476</v>
      </c>
      <c r="AH5222" t="inlineStr">
        <is>
          <t>CV. BINTANG PRIMA PERKASA (ACEH)</t>
        </is>
      </c>
      <c r="AI5222" t="n">
        <v>152</v>
      </c>
      <c r="AJ5222" t="inlineStr">
        <is>
          <t>SUMBER AYU</t>
        </is>
      </c>
      <c r="AK5222" t="n">
        <v>39</v>
      </c>
      <c r="AL5222" t="inlineStr">
        <is>
          <t>Miss Glam Aceh</t>
        </is>
      </c>
      <c r="AM5222" t="n">
        <v>4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THE FACE COLLAGEN</t>
        </is>
      </c>
      <c r="B5223" s="2">
        <f>"8997014402512"</f>
        <v/>
      </c>
      <c r="C5223" t="inlineStr">
        <is>
          <t>THE FACE COLLAGEN Lightening Day &amp; Night Cream Plus Vitamin E 50gr</t>
        </is>
      </c>
      <c r="D5223" t="inlineStr">
        <is>
          <t>Miss Glam Jambi</t>
        </is>
      </c>
      <c r="E5223" t="n">
        <v>0</v>
      </c>
      <c r="F5223" t="n">
        <v>0.3036</v>
      </c>
      <c r="G5223" t="n">
        <v>0.99</v>
      </c>
      <c r="H5223" t="n">
        <v>1</v>
      </c>
      <c r="I5223" t="n">
        <v>2</v>
      </c>
      <c r="J5223" t="n">
        <v>3</v>
      </c>
      <c r="K5223" t="n">
        <v>0</v>
      </c>
      <c r="L5223" t="n">
        <v>17582</v>
      </c>
      <c r="M5223" t="n">
        <v>21500</v>
      </c>
      <c r="N5223" t="n">
        <v>33</v>
      </c>
      <c r="O5223" t="n">
        <v>0.33</v>
      </c>
      <c r="P5223" t="n">
        <v>1</v>
      </c>
      <c r="Q5223" t="n">
        <v>0.13</v>
      </c>
      <c r="R5223" t="n">
        <v>2</v>
      </c>
      <c r="S5223" t="n">
        <v>6527.400000000001</v>
      </c>
      <c r="T5223" t="n">
        <v>2</v>
      </c>
      <c r="U5223" t="n">
        <v>3</v>
      </c>
      <c r="V5223" t="n">
        <v>30</v>
      </c>
      <c r="W5223" t="n">
        <v>10</v>
      </c>
      <c r="X5223" t="n">
        <v>0</v>
      </c>
      <c r="Y5223" t="n">
        <v>1</v>
      </c>
      <c r="Z5223" t="n">
        <v>10</v>
      </c>
      <c r="AA5223" t="n">
        <v>1</v>
      </c>
      <c r="AB5223" t="n">
        <v>9</v>
      </c>
      <c r="AC5223" t="n">
        <v>9</v>
      </c>
      <c r="AD5223" t="n">
        <v>17582</v>
      </c>
      <c r="AE5223" t="n">
        <v>158238</v>
      </c>
      <c r="AF5223" t="n">
        <v>1025</v>
      </c>
      <c r="AG5223" t="n">
        <v>2468</v>
      </c>
      <c r="AH5223" t="inlineStr">
        <is>
          <t>CV. INDAH JAYA LESTARI  - PPN (MDN)</t>
        </is>
      </c>
      <c r="AI5223" t="n">
        <v>595</v>
      </c>
      <c r="AJ5223" t="inlineStr">
        <is>
          <t>THE FACE COLLAGEN</t>
        </is>
      </c>
      <c r="AK5223" t="n">
        <v>19</v>
      </c>
      <c r="AL5223" t="inlineStr">
        <is>
          <t>Miss Glam Medan</t>
        </is>
      </c>
      <c r="AM5223" t="n">
        <v>4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THIS IS YOUR</t>
        </is>
      </c>
      <c r="B5224" s="2">
        <f>"10300318434"</f>
        <v/>
      </c>
      <c r="C5224" t="inlineStr">
        <is>
          <t>THIS IS YOUR Glowing Everyday Beyond Edition Shooting Refreshing Face Spray 75ml</t>
        </is>
      </c>
      <c r="D5224" t="inlineStr">
        <is>
          <t>Miss Glam Jambi</t>
        </is>
      </c>
      <c r="E5224" t="n">
        <v>2</v>
      </c>
      <c r="F5224" t="n">
        <v>0.0264</v>
      </c>
      <c r="G5224" t="n">
        <v>0.33</v>
      </c>
      <c r="H5224" t="n">
        <v>1</v>
      </c>
      <c r="I5224" t="n">
        <v>2</v>
      </c>
      <c r="J5224" t="n">
        <v>1</v>
      </c>
      <c r="K5224" t="n">
        <v>0</v>
      </c>
      <c r="L5224" t="n">
        <v>55300</v>
      </c>
      <c r="M5224" t="n">
        <v>79000</v>
      </c>
      <c r="N5224" t="n">
        <v>33</v>
      </c>
      <c r="O5224" t="n">
        <v>0.33</v>
      </c>
      <c r="P5224" t="n">
        <v>1</v>
      </c>
      <c r="Q5224" t="n">
        <v>0.07000000000000001</v>
      </c>
      <c r="R5224" t="n">
        <v>2</v>
      </c>
      <c r="S5224" t="n">
        <v>2085.6</v>
      </c>
      <c r="T5224" t="n">
        <v>1</v>
      </c>
      <c r="U5224" t="n">
        <v>2</v>
      </c>
      <c r="V5224" t="n">
        <v>30</v>
      </c>
      <c r="W5224" t="n">
        <v>1</v>
      </c>
      <c r="X5224" t="n">
        <v>75.75757575757575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8903</v>
      </c>
      <c r="AG5224" t="n">
        <v>1</v>
      </c>
      <c r="AH5224" t="inlineStr">
        <is>
          <t>PT. BERSAMA DISTRIVERSA INDONESIA (DC CIPUTAT)</t>
        </is>
      </c>
      <c r="AI5224" t="n">
        <v>2318</v>
      </c>
      <c r="AJ5224" t="inlineStr">
        <is>
          <t>THIS IS YOUR</t>
        </is>
      </c>
      <c r="AK5224" t="n">
        <v>43</v>
      </c>
      <c r="AL5224" t="inlineStr">
        <is>
          <t>Miss Glam Soeta</t>
        </is>
      </c>
      <c r="AM5224" t="n">
        <v>2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VELLS BEAUTY</t>
        </is>
      </c>
      <c r="B5225" s="2">
        <f>"30100229941"</f>
        <v/>
      </c>
      <c r="C5225" t="inlineStr">
        <is>
          <t>VELLS BEAUTY Bedda Lotong Body Scrub 450g</t>
        </is>
      </c>
      <c r="D5225" t="inlineStr">
        <is>
          <t>Miss Glam Jambi</t>
        </is>
      </c>
      <c r="E5225" t="n">
        <v>7</v>
      </c>
      <c r="F5225" t="n">
        <v>0.033</v>
      </c>
      <c r="G5225" t="n">
        <v>0.33</v>
      </c>
      <c r="H5225" t="n">
        <v>1</v>
      </c>
      <c r="I5225" t="n">
        <v>2</v>
      </c>
      <c r="J5225" t="n">
        <v>3</v>
      </c>
      <c r="K5225" t="n">
        <v>0</v>
      </c>
      <c r="L5225" t="n">
        <v>46574</v>
      </c>
      <c r="M5225" t="n">
        <v>69000</v>
      </c>
      <c r="N5225" t="n">
        <v>33</v>
      </c>
      <c r="O5225" t="n">
        <v>0.33</v>
      </c>
      <c r="P5225" t="n">
        <v>1</v>
      </c>
      <c r="Q5225" t="n">
        <v>0.03</v>
      </c>
      <c r="R5225" t="n">
        <v>2</v>
      </c>
      <c r="S5225" t="n">
        <v>2277</v>
      </c>
      <c r="T5225" t="n">
        <v>1</v>
      </c>
      <c r="U5225" t="n">
        <v>2</v>
      </c>
      <c r="V5225" t="n">
        <v>30</v>
      </c>
      <c r="W5225" t="n">
        <v>1</v>
      </c>
      <c r="X5225" t="n">
        <v>212.1212121212121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inlineStr"/>
      <c r="AG5225" t="inlineStr"/>
      <c r="AH5225" t="inlineStr"/>
      <c r="AI5225" t="n">
        <v>0</v>
      </c>
      <c r="AJ5225" t="inlineStr"/>
      <c r="AK5225" t="n">
        <v>0</v>
      </c>
      <c r="AL5225" t="inlineStr"/>
      <c r="AM5225" t="n">
        <v>0</v>
      </c>
      <c r="AN5225" t="n">
        <v>0</v>
      </c>
      <c r="AO5225" t="n">
        <v>0</v>
      </c>
      <c r="AP5225" t="inlineStr"/>
      <c r="AQ5225" t="inlineStr"/>
    </row>
    <row r="5226">
      <c r="A5226" t="inlineStr">
        <is>
          <t>VERSIDENT</t>
        </is>
      </c>
      <c r="B5226" s="2">
        <f>"11100310221"</f>
        <v/>
      </c>
      <c r="C5226" t="inlineStr">
        <is>
          <t>VERSIDENT Shinning Bright Teeth Expert Brightening Toohtpaste 100gr</t>
        </is>
      </c>
      <c r="D5226" t="inlineStr">
        <is>
          <t>Miss Glam Jambi</t>
        </is>
      </c>
      <c r="E5226" t="n">
        <v>0</v>
      </c>
      <c r="F5226" t="n">
        <v>0.006600000000000001</v>
      </c>
      <c r="G5226" t="n">
        <v>0.33</v>
      </c>
      <c r="H5226" t="n">
        <v>1</v>
      </c>
      <c r="I5226" t="n">
        <v>2</v>
      </c>
      <c r="J5226" t="n">
        <v>3</v>
      </c>
      <c r="K5226" t="n">
        <v>0</v>
      </c>
      <c r="L5226" t="n">
        <v>76833</v>
      </c>
      <c r="M5226" t="n">
        <v>120000</v>
      </c>
      <c r="N5226" t="n">
        <v>33</v>
      </c>
      <c r="O5226" t="n">
        <v>0.33</v>
      </c>
      <c r="P5226" t="n">
        <v>1</v>
      </c>
      <c r="Q5226" t="n">
        <v>0.02</v>
      </c>
      <c r="R5226" t="n">
        <v>1</v>
      </c>
      <c r="S5226" t="n">
        <v>792.0000000000001</v>
      </c>
      <c r="T5226" t="n">
        <v>1</v>
      </c>
      <c r="U5226" t="n">
        <v>2</v>
      </c>
      <c r="V5226" t="n">
        <v>30</v>
      </c>
      <c r="W5226" t="n">
        <v>1</v>
      </c>
      <c r="X5226" t="n">
        <v>0</v>
      </c>
      <c r="Y5226" t="n">
        <v>1</v>
      </c>
      <c r="Z5226" t="n">
        <v>1</v>
      </c>
      <c r="AA5226" t="n">
        <v>1</v>
      </c>
      <c r="AB5226" t="n">
        <v>0</v>
      </c>
      <c r="AC5226" t="n">
        <v>0</v>
      </c>
      <c r="AD5226" t="n">
        <v>76833</v>
      </c>
      <c r="AE5226" t="n">
        <v>0</v>
      </c>
      <c r="AF5226" t="n">
        <v>9103</v>
      </c>
      <c r="AG5226" t="n">
        <v>1</v>
      </c>
      <c r="AH5226" t="inlineStr">
        <is>
          <t>PT. BERSAMA DISTRIVERSA INDONESIA (DC CIPUTAT)</t>
        </is>
      </c>
      <c r="AI5226" t="n">
        <v>1893</v>
      </c>
      <c r="AJ5226" t="inlineStr">
        <is>
          <t>VERSIDENT</t>
        </is>
      </c>
      <c r="AK5226" t="n">
        <v>43</v>
      </c>
      <c r="AL5226" t="inlineStr">
        <is>
          <t>Miss Glam Soeta</t>
        </is>
      </c>
      <c r="AM5226" t="n">
        <v>3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VIO</t>
        </is>
      </c>
      <c r="B5227" s="2">
        <f>"8994942028593"</f>
        <v/>
      </c>
      <c r="C5227" t="inlineStr">
        <is>
          <t>VIO Acne Shield Patch 24patch</t>
        </is>
      </c>
      <c r="D5227" t="inlineStr">
        <is>
          <t>Miss Glam Jambi</t>
        </is>
      </c>
      <c r="E5227" t="n">
        <v>66</v>
      </c>
      <c r="F5227" t="n">
        <v>0.1485</v>
      </c>
      <c r="G5227" t="n">
        <v>1.32</v>
      </c>
      <c r="H5227" t="n">
        <v>1</v>
      </c>
      <c r="I5227" t="n">
        <v>2</v>
      </c>
      <c r="J5227" t="n">
        <v>3</v>
      </c>
      <c r="K5227" t="n">
        <v>0</v>
      </c>
      <c r="L5227" t="n">
        <v>31080</v>
      </c>
      <c r="M5227" t="n">
        <v>38000</v>
      </c>
      <c r="N5227" t="n">
        <v>33</v>
      </c>
      <c r="O5227" t="n">
        <v>0.33</v>
      </c>
      <c r="P5227" t="n">
        <v>1</v>
      </c>
      <c r="Q5227" t="n">
        <v>0.05</v>
      </c>
      <c r="R5227" t="n">
        <v>2</v>
      </c>
      <c r="S5227" t="n">
        <v>5643.000000000001</v>
      </c>
      <c r="T5227" t="n">
        <v>3</v>
      </c>
      <c r="U5227" t="n">
        <v>4</v>
      </c>
      <c r="V5227" t="n">
        <v>30</v>
      </c>
      <c r="W5227" t="n">
        <v>5</v>
      </c>
      <c r="X5227" t="n">
        <v>444.4444444444444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inlineStr"/>
      <c r="AG5227" t="inlineStr"/>
      <c r="AH5227" t="inlineStr"/>
      <c r="AI5227" t="n">
        <v>0</v>
      </c>
      <c r="AJ5227" t="inlineStr"/>
      <c r="AK5227" t="n">
        <v>0</v>
      </c>
      <c r="AL5227" t="inlineStr"/>
      <c r="AM5227" t="n">
        <v>0</v>
      </c>
      <c r="AN5227" t="n">
        <v>0</v>
      </c>
      <c r="AO5227" t="n">
        <v>0</v>
      </c>
      <c r="AP5227" t="inlineStr"/>
      <c r="AQ5227" t="inlineStr"/>
    </row>
    <row r="5228">
      <c r="A5228" t="inlineStr">
        <is>
          <t>VIO</t>
        </is>
      </c>
      <c r="B5228" s="2">
        <f>"8994942031203"</f>
        <v/>
      </c>
      <c r="C5228" t="inlineStr">
        <is>
          <t>VIO Acne Shield Patch 24patch Holographic Zodiac</t>
        </is>
      </c>
      <c r="D5228" t="inlineStr">
        <is>
          <t>Miss Glam Jambi</t>
        </is>
      </c>
      <c r="E5228" t="n">
        <v>135</v>
      </c>
      <c r="F5228" t="n">
        <v>0.0231</v>
      </c>
      <c r="G5228" t="n">
        <v>0.66</v>
      </c>
      <c r="H5228" t="n">
        <v>1</v>
      </c>
      <c r="I5228" t="n">
        <v>2</v>
      </c>
      <c r="J5228" t="n">
        <v>3</v>
      </c>
      <c r="K5228" t="n">
        <v>0</v>
      </c>
      <c r="L5228" t="n">
        <v>31968</v>
      </c>
      <c r="M5228" t="n">
        <v>44000</v>
      </c>
      <c r="N5228" t="n">
        <v>33</v>
      </c>
      <c r="O5228" t="n">
        <v>0.33</v>
      </c>
      <c r="P5228" t="n">
        <v>1</v>
      </c>
      <c r="Q5228" t="n">
        <v>0.02</v>
      </c>
      <c r="R5228" t="n">
        <v>1</v>
      </c>
      <c r="S5228" t="n">
        <v>1016.4</v>
      </c>
      <c r="T5228" t="n">
        <v>2</v>
      </c>
      <c r="U5228" t="n">
        <v>3</v>
      </c>
      <c r="V5228" t="n">
        <v>30</v>
      </c>
      <c r="W5228" t="n">
        <v>1</v>
      </c>
      <c r="X5228" t="n">
        <v>5844.155844155844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/>
      <c r="AG5228" t="inlineStr"/>
      <c r="AH5228" t="inlineStr"/>
      <c r="AI5228" t="n">
        <v>0</v>
      </c>
      <c r="AJ5228" t="inlineStr"/>
      <c r="AK5228" t="n">
        <v>0</v>
      </c>
      <c r="AL5228" t="inlineStr"/>
      <c r="AM5228" t="n">
        <v>0</v>
      </c>
      <c r="AN5228" t="n">
        <v>0</v>
      </c>
      <c r="AO5228" t="n">
        <v>0</v>
      </c>
      <c r="AP5228" t="inlineStr"/>
      <c r="AQ5228" t="inlineStr"/>
    </row>
    <row r="5229">
      <c r="A5229" t="inlineStr">
        <is>
          <t>VIO</t>
        </is>
      </c>
      <c r="B5229" s="2">
        <f>"8994942030787"</f>
        <v/>
      </c>
      <c r="C5229" t="inlineStr">
        <is>
          <t>VIO Acne Shield Patch Cute Animals 24patches</t>
        </is>
      </c>
      <c r="D5229" t="inlineStr">
        <is>
          <t>Miss Glam Jambi</t>
        </is>
      </c>
      <c r="E5229" t="n">
        <v>208</v>
      </c>
      <c r="F5229" t="n">
        <v>0.1551</v>
      </c>
      <c r="G5229" t="n">
        <v>0.66</v>
      </c>
      <c r="H5229" t="n">
        <v>1</v>
      </c>
      <c r="I5229" t="n">
        <v>2</v>
      </c>
      <c r="J5229" t="n">
        <v>3</v>
      </c>
      <c r="K5229" t="n">
        <v>0</v>
      </c>
      <c r="L5229" t="n">
        <v>29970</v>
      </c>
      <c r="M5229" t="n">
        <v>39500</v>
      </c>
      <c r="N5229" t="n">
        <v>33</v>
      </c>
      <c r="O5229" t="n">
        <v>0.33</v>
      </c>
      <c r="P5229" t="n">
        <v>1</v>
      </c>
      <c r="Q5229" t="n">
        <v>0.07000000000000001</v>
      </c>
      <c r="R5229" t="n">
        <v>1</v>
      </c>
      <c r="S5229" t="n">
        <v>6126.45</v>
      </c>
      <c r="T5229" t="n">
        <v>2</v>
      </c>
      <c r="U5229" t="n">
        <v>3</v>
      </c>
      <c r="V5229" t="n">
        <v>30</v>
      </c>
      <c r="W5229" t="n">
        <v>5</v>
      </c>
      <c r="X5229" t="n">
        <v>1341.07027724049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inlineStr"/>
      <c r="AG5229" t="inlineStr"/>
      <c r="AH5229" t="inlineStr"/>
      <c r="AI5229" t="n">
        <v>0</v>
      </c>
      <c r="AJ5229" t="inlineStr"/>
      <c r="AK5229" t="n">
        <v>0</v>
      </c>
      <c r="AL5229" t="inlineStr"/>
      <c r="AM5229" t="n">
        <v>0</v>
      </c>
      <c r="AN5229" t="n">
        <v>0</v>
      </c>
      <c r="AO5229" t="n">
        <v>0</v>
      </c>
      <c r="AP5229" t="inlineStr"/>
      <c r="AQ5229" t="inlineStr"/>
    </row>
    <row r="5230">
      <c r="A5230" t="inlineStr">
        <is>
          <t>VIO</t>
        </is>
      </c>
      <c r="B5230" s="2">
        <f>"8994942031333"</f>
        <v/>
      </c>
      <c r="C5230" t="inlineStr">
        <is>
          <t>VIO Acne Shield Patch Japanese Delight 12 Hydrocolloid Patches</t>
        </is>
      </c>
      <c r="D5230" t="inlineStr">
        <is>
          <t>Miss Glam Jambi</t>
        </is>
      </c>
      <c r="E5230" t="n">
        <v>15</v>
      </c>
      <c r="F5230" t="n">
        <v>0.07000000000000001</v>
      </c>
      <c r="G5230" t="n">
        <v>3</v>
      </c>
      <c r="H5230" t="n">
        <v>1</v>
      </c>
      <c r="I5230" t="n">
        <v>2</v>
      </c>
      <c r="J5230" t="n">
        <v>3</v>
      </c>
      <c r="K5230" t="n">
        <v>0</v>
      </c>
      <c r="L5230" t="n">
        <v>14985</v>
      </c>
      <c r="M5230" t="n">
        <v>24000</v>
      </c>
      <c r="N5230" t="n">
        <v>33</v>
      </c>
      <c r="O5230" t="n">
        <v>0.33</v>
      </c>
      <c r="P5230" t="n">
        <v>0</v>
      </c>
      <c r="Q5230" t="n">
        <v>0.07000000000000001</v>
      </c>
      <c r="R5230" t="n">
        <v>3</v>
      </c>
      <c r="S5230" t="n">
        <v>1680</v>
      </c>
      <c r="T5230" t="n">
        <v>6</v>
      </c>
      <c r="U5230" t="n">
        <v>7</v>
      </c>
      <c r="V5230" t="n">
        <v>30</v>
      </c>
      <c r="W5230" t="n">
        <v>3</v>
      </c>
      <c r="X5230" t="n">
        <v>214.2857142857143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inlineStr"/>
      <c r="AG5230" t="inlineStr"/>
      <c r="AH5230" t="inlineStr"/>
      <c r="AI5230" t="n">
        <v>0</v>
      </c>
      <c r="AJ5230" t="inlineStr"/>
      <c r="AK5230" t="n">
        <v>0</v>
      </c>
      <c r="AL5230" t="inlineStr"/>
      <c r="AM5230" t="n">
        <v>0</v>
      </c>
      <c r="AN5230" t="n">
        <v>0</v>
      </c>
      <c r="AO5230" t="n">
        <v>0</v>
      </c>
      <c r="AP5230" t="inlineStr"/>
      <c r="AQ5230" t="inlineStr"/>
    </row>
    <row r="5231">
      <c r="A5231" t="inlineStr">
        <is>
          <t>VIO</t>
        </is>
      </c>
      <c r="B5231" s="2">
        <f>"8994942031357"</f>
        <v/>
      </c>
      <c r="C5231" t="inlineStr">
        <is>
          <t>VIO Acne Shield Patch Meow Meow 24 Hydrocolloid Patches</t>
        </is>
      </c>
      <c r="D5231" t="inlineStr">
        <is>
          <t>Miss Glam Jambi</t>
        </is>
      </c>
      <c r="E5231" t="n">
        <v>103</v>
      </c>
      <c r="F5231" t="n">
        <v>0.03</v>
      </c>
      <c r="G5231" t="n">
        <v>1</v>
      </c>
      <c r="H5231" t="n">
        <v>1</v>
      </c>
      <c r="I5231" t="n">
        <v>2</v>
      </c>
      <c r="J5231" t="n">
        <v>3</v>
      </c>
      <c r="K5231" t="n">
        <v>0</v>
      </c>
      <c r="L5231" t="n">
        <v>29970</v>
      </c>
      <c r="M5231" t="n">
        <v>41000</v>
      </c>
      <c r="N5231" t="n">
        <v>33</v>
      </c>
      <c r="O5231" t="n">
        <v>0.33</v>
      </c>
      <c r="P5231" t="n">
        <v>0</v>
      </c>
      <c r="Q5231" t="n">
        <v>0.03</v>
      </c>
      <c r="R5231" t="n">
        <v>1</v>
      </c>
      <c r="S5231" t="n">
        <v>1230</v>
      </c>
      <c r="T5231" t="n">
        <v>2</v>
      </c>
      <c r="U5231" t="n">
        <v>3</v>
      </c>
      <c r="V5231" t="n">
        <v>30</v>
      </c>
      <c r="W5231" t="n">
        <v>1</v>
      </c>
      <c r="X5231" t="n">
        <v>3433.333333333333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/>
      <c r="AG5231" t="inlineStr"/>
      <c r="AH5231" t="inlineStr"/>
      <c r="AI5231" t="n">
        <v>0</v>
      </c>
      <c r="AJ5231" t="inlineStr"/>
      <c r="AK5231" t="n">
        <v>0</v>
      </c>
      <c r="AL5231" t="inlineStr"/>
      <c r="AM5231" t="n">
        <v>0</v>
      </c>
      <c r="AN5231" t="n">
        <v>0</v>
      </c>
      <c r="AO5231" t="n">
        <v>0</v>
      </c>
      <c r="AP5231" t="inlineStr"/>
      <c r="AQ5231" t="inlineStr"/>
    </row>
    <row r="5232">
      <c r="A5232" t="inlineStr">
        <is>
          <t>VIO</t>
        </is>
      </c>
      <c r="B5232" s="2">
        <f>"8994942031197"</f>
        <v/>
      </c>
      <c r="C5232" t="inlineStr">
        <is>
          <t>VIO Acne Shield Patch Mochi Moji Hydrocolloid</t>
        </is>
      </c>
      <c r="D5232" t="inlineStr">
        <is>
          <t>Miss Glam Jambi</t>
        </is>
      </c>
      <c r="E5232" t="n">
        <v>95</v>
      </c>
      <c r="F5232" t="n">
        <v>0.0231</v>
      </c>
      <c r="G5232" t="n">
        <v>0.33</v>
      </c>
      <c r="H5232" t="n">
        <v>1</v>
      </c>
      <c r="I5232" t="n">
        <v>2</v>
      </c>
      <c r="J5232" t="n">
        <v>3</v>
      </c>
      <c r="K5232" t="n">
        <v>0</v>
      </c>
      <c r="L5232" t="n">
        <v>29970</v>
      </c>
      <c r="M5232" t="n">
        <v>41000</v>
      </c>
      <c r="N5232" t="n">
        <v>33</v>
      </c>
      <c r="O5232" t="n">
        <v>0.33</v>
      </c>
      <c r="P5232" t="n">
        <v>1</v>
      </c>
      <c r="Q5232" t="n">
        <v>0.08</v>
      </c>
      <c r="R5232" t="n">
        <v>1</v>
      </c>
      <c r="S5232" t="n">
        <v>947.1000000000001</v>
      </c>
      <c r="T5232" t="n">
        <v>1</v>
      </c>
      <c r="U5232" t="n">
        <v>2</v>
      </c>
      <c r="V5232" t="n">
        <v>30</v>
      </c>
      <c r="W5232" t="n">
        <v>1</v>
      </c>
      <c r="X5232" t="n">
        <v>4112.554112554112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inlineStr"/>
      <c r="AG5232" t="inlineStr"/>
      <c r="AH5232" t="inlineStr"/>
      <c r="AI5232" t="n">
        <v>0</v>
      </c>
      <c r="AJ5232" t="inlineStr"/>
      <c r="AK5232" t="n">
        <v>0</v>
      </c>
      <c r="AL5232" t="inlineStr"/>
      <c r="AM5232" t="n">
        <v>0</v>
      </c>
      <c r="AN5232" t="n">
        <v>0</v>
      </c>
      <c r="AO5232" t="n">
        <v>0</v>
      </c>
      <c r="AP5232" t="inlineStr"/>
      <c r="AQ5232" t="inlineStr"/>
    </row>
    <row r="5233">
      <c r="A5233" t="inlineStr">
        <is>
          <t>VIO</t>
        </is>
      </c>
      <c r="B5233" s="2">
        <f>"8994942031227"</f>
        <v/>
      </c>
      <c r="C5233" t="inlineStr">
        <is>
          <t>VIO Acne Shield Patch Petite Ocean 24 Hydrocolloid Patches</t>
        </is>
      </c>
      <c r="D5233" t="inlineStr">
        <is>
          <t>Miss Glam Jambi</t>
        </is>
      </c>
      <c r="E5233" t="n">
        <v>103</v>
      </c>
      <c r="F5233" t="n">
        <v>0.033</v>
      </c>
      <c r="G5233" t="n">
        <v>0.33</v>
      </c>
      <c r="H5233" t="n">
        <v>1</v>
      </c>
      <c r="I5233" t="n">
        <v>2</v>
      </c>
      <c r="J5233" t="n">
        <v>3</v>
      </c>
      <c r="K5233" t="n">
        <v>0</v>
      </c>
      <c r="L5233" t="n">
        <v>31968</v>
      </c>
      <c r="M5233" t="n">
        <v>44000</v>
      </c>
      <c r="N5233" t="n">
        <v>33</v>
      </c>
      <c r="O5233" t="n">
        <v>0.33</v>
      </c>
      <c r="P5233" t="n">
        <v>1</v>
      </c>
      <c r="Q5233" t="n">
        <v>0.02</v>
      </c>
      <c r="R5233" t="n">
        <v>1</v>
      </c>
      <c r="S5233" t="n">
        <v>1452</v>
      </c>
      <c r="T5233" t="n">
        <v>1</v>
      </c>
      <c r="U5233" t="n">
        <v>2</v>
      </c>
      <c r="V5233" t="n">
        <v>30</v>
      </c>
      <c r="W5233" t="n">
        <v>1</v>
      </c>
      <c r="X5233" t="n">
        <v>3121.212121212121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/>
      <c r="AG5233" t="inlineStr"/>
      <c r="AH5233" t="inlineStr"/>
      <c r="AI5233" t="n">
        <v>0</v>
      </c>
      <c r="AJ5233" t="inlineStr"/>
      <c r="AK5233" t="n">
        <v>0</v>
      </c>
      <c r="AL5233" t="inlineStr"/>
      <c r="AM5233" t="n">
        <v>0</v>
      </c>
      <c r="AN5233" t="n">
        <v>0</v>
      </c>
      <c r="AO5233" t="n">
        <v>0</v>
      </c>
      <c r="AP5233" t="inlineStr"/>
      <c r="AQ5233" t="inlineStr"/>
    </row>
    <row r="5234">
      <c r="A5234" t="inlineStr">
        <is>
          <t>VIO</t>
        </is>
      </c>
      <c r="B5234" s="2">
        <f>"8994942031135"</f>
        <v/>
      </c>
      <c r="C5234" t="inlineStr">
        <is>
          <t>VIO Acne Shield Patch Spring Blossom 20 Patches</t>
        </is>
      </c>
      <c r="D5234" t="inlineStr">
        <is>
          <t>Miss Glam Jambi</t>
        </is>
      </c>
      <c r="E5234" t="n">
        <v>79</v>
      </c>
      <c r="F5234" t="n">
        <v>0.006600000000000001</v>
      </c>
      <c r="G5234" t="n">
        <v>0.33</v>
      </c>
      <c r="H5234" t="n">
        <v>1</v>
      </c>
      <c r="I5234" t="n">
        <v>2</v>
      </c>
      <c r="J5234" t="n">
        <v>3</v>
      </c>
      <c r="K5234" t="n">
        <v>0</v>
      </c>
      <c r="L5234" t="n">
        <v>34965</v>
      </c>
      <c r="M5234" t="n">
        <v>48000</v>
      </c>
      <c r="N5234" t="n">
        <v>33</v>
      </c>
      <c r="O5234" t="n">
        <v>0.33</v>
      </c>
      <c r="P5234" t="n">
        <v>1</v>
      </c>
      <c r="Q5234" t="n">
        <v>0.07000000000000001</v>
      </c>
      <c r="R5234" t="n">
        <v>1</v>
      </c>
      <c r="S5234" t="n">
        <v>316.8000000000001</v>
      </c>
      <c r="T5234" t="n">
        <v>1</v>
      </c>
      <c r="U5234" t="n">
        <v>2</v>
      </c>
      <c r="V5234" t="n">
        <v>30</v>
      </c>
      <c r="W5234" t="n">
        <v>1</v>
      </c>
      <c r="X5234" t="n">
        <v>11969.69696969697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/>
      <c r="AG5234" t="inlineStr"/>
      <c r="AH5234" t="inlineStr"/>
      <c r="AI5234" t="n">
        <v>0</v>
      </c>
      <c r="AJ5234" t="inlineStr"/>
      <c r="AK5234" t="n">
        <v>0</v>
      </c>
      <c r="AL5234" t="inlineStr"/>
      <c r="AM5234" t="n">
        <v>0</v>
      </c>
      <c r="AN5234" t="n">
        <v>0</v>
      </c>
      <c r="AO5234" t="n">
        <v>0</v>
      </c>
      <c r="AP5234" t="inlineStr"/>
      <c r="AQ5234" t="inlineStr"/>
    </row>
    <row r="5235">
      <c r="A5235" t="inlineStr">
        <is>
          <t>VIO</t>
        </is>
      </c>
      <c r="B5235" s="2">
        <f>"8994942031128"</f>
        <v/>
      </c>
      <c r="C5235" t="inlineStr">
        <is>
          <t>VIO Twinkle Twinkle Acne Shield Patch 20 Patches</t>
        </is>
      </c>
      <c r="D5235" t="inlineStr">
        <is>
          <t>Miss Glam Jambi</t>
        </is>
      </c>
      <c r="E5235" t="n">
        <v>125</v>
      </c>
      <c r="F5235" t="n">
        <v>0.0396</v>
      </c>
      <c r="G5235" t="n">
        <v>0.33</v>
      </c>
      <c r="H5235" t="n">
        <v>1</v>
      </c>
      <c r="I5235" t="n">
        <v>2</v>
      </c>
      <c r="J5235" t="n">
        <v>3</v>
      </c>
      <c r="K5235" t="n">
        <v>0</v>
      </c>
      <c r="L5235" t="n">
        <v>34965</v>
      </c>
      <c r="M5235" t="n">
        <v>48000</v>
      </c>
      <c r="N5235" t="n">
        <v>33</v>
      </c>
      <c r="O5235" t="n">
        <v>0.33</v>
      </c>
      <c r="P5235" t="n">
        <v>1</v>
      </c>
      <c r="Q5235" t="n">
        <v>0.03</v>
      </c>
      <c r="R5235" t="n">
        <v>1</v>
      </c>
      <c r="S5235" t="n">
        <v>1900.8</v>
      </c>
      <c r="T5235" t="n">
        <v>1</v>
      </c>
      <c r="U5235" t="n">
        <v>2</v>
      </c>
      <c r="V5235" t="n">
        <v>30</v>
      </c>
      <c r="W5235" t="n">
        <v>2</v>
      </c>
      <c r="X5235" t="n">
        <v>3156.565656565656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inlineStr"/>
      <c r="AG5235" t="inlineStr"/>
      <c r="AH5235" t="inlineStr"/>
      <c r="AI5235" t="n">
        <v>0</v>
      </c>
      <c r="AJ5235" t="inlineStr"/>
      <c r="AK5235" t="n">
        <v>0</v>
      </c>
      <c r="AL5235" t="inlineStr"/>
      <c r="AM5235" t="n">
        <v>0</v>
      </c>
      <c r="AN5235" t="n">
        <v>0</v>
      </c>
      <c r="AO5235" t="n">
        <v>0</v>
      </c>
      <c r="AP5235" t="inlineStr"/>
      <c r="AQ5235" t="inlineStr"/>
    </row>
    <row r="5236">
      <c r="A5236" t="inlineStr">
        <is>
          <t>WET N WILD</t>
        </is>
      </c>
      <c r="B5236" s="2">
        <f>"77802479112"</f>
        <v/>
      </c>
      <c r="C5236" t="inlineStr">
        <is>
          <t>WET N WILD Brush Makeup Brush Fan</t>
        </is>
      </c>
      <c r="D5236" t="inlineStr">
        <is>
          <t>Miss Glam Jambi</t>
        </is>
      </c>
      <c r="E5236" t="n">
        <v>4</v>
      </c>
      <c r="F5236" t="n">
        <v>0.02</v>
      </c>
      <c r="G5236" t="n">
        <v>1</v>
      </c>
      <c r="H5236" t="n">
        <v>1</v>
      </c>
      <c r="I5236" t="n">
        <v>2</v>
      </c>
      <c r="J5236" t="n">
        <v>3</v>
      </c>
      <c r="K5236" t="n">
        <v>0</v>
      </c>
      <c r="L5236" t="n">
        <v>37667</v>
      </c>
      <c r="M5236" t="n">
        <v>55000</v>
      </c>
      <c r="N5236" t="n">
        <v>33</v>
      </c>
      <c r="O5236" t="n">
        <v>0.33</v>
      </c>
      <c r="P5236" t="n">
        <v>0</v>
      </c>
      <c r="Q5236" t="n">
        <v>0.02</v>
      </c>
      <c r="R5236" t="n">
        <v>1</v>
      </c>
      <c r="S5236" t="n">
        <v>1100</v>
      </c>
      <c r="T5236" t="n">
        <v>2</v>
      </c>
      <c r="U5236" t="n">
        <v>3</v>
      </c>
      <c r="V5236" t="n">
        <v>30</v>
      </c>
      <c r="W5236" t="n">
        <v>1</v>
      </c>
      <c r="X5236" t="n">
        <v>200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/>
      <c r="AG5236" t="inlineStr"/>
      <c r="AH5236" t="inlineStr"/>
      <c r="AI5236" t="n">
        <v>0</v>
      </c>
      <c r="AJ5236" t="inlineStr"/>
      <c r="AK5236" t="n">
        <v>0</v>
      </c>
      <c r="AL5236" t="inlineStr"/>
      <c r="AM5236" t="n">
        <v>0</v>
      </c>
      <c r="AN5236" t="n">
        <v>0</v>
      </c>
      <c r="AO5236" t="n">
        <v>0</v>
      </c>
      <c r="AP5236" t="inlineStr"/>
      <c r="AQ5236" t="inlineStr"/>
    </row>
    <row r="5237">
      <c r="A5237" t="inlineStr">
        <is>
          <t>YU CHUN</t>
        </is>
      </c>
      <c r="B5237" s="2">
        <f>"8997014402932"</f>
        <v/>
      </c>
      <c r="C5237" t="inlineStr">
        <is>
          <t>YU CHUN Mei Cordyceps Brightening Cleanser 100ml</t>
        </is>
      </c>
      <c r="D5237" t="inlineStr">
        <is>
          <t>Miss Glam Jambi</t>
        </is>
      </c>
      <c r="E5237" t="n">
        <v>9</v>
      </c>
      <c r="F5237" t="n">
        <v>0.0165</v>
      </c>
      <c r="G5237" t="n">
        <v>0.33</v>
      </c>
      <c r="H5237" t="n">
        <v>1</v>
      </c>
      <c r="I5237" t="n">
        <v>2</v>
      </c>
      <c r="J5237" t="n">
        <v>3</v>
      </c>
      <c r="K5237" t="n">
        <v>0</v>
      </c>
      <c r="L5237" t="n">
        <v>31968</v>
      </c>
      <c r="M5237" t="n">
        <v>38000</v>
      </c>
      <c r="N5237" t="n">
        <v>33</v>
      </c>
      <c r="O5237" t="n">
        <v>0.33</v>
      </c>
      <c r="P5237" t="n">
        <v>1</v>
      </c>
      <c r="Q5237" t="n">
        <v>0.02</v>
      </c>
      <c r="R5237" t="n">
        <v>1</v>
      </c>
      <c r="S5237" t="n">
        <v>627</v>
      </c>
      <c r="T5237" t="n">
        <v>1</v>
      </c>
      <c r="U5237" t="n">
        <v>2</v>
      </c>
      <c r="V5237" t="n">
        <v>30</v>
      </c>
      <c r="W5237" t="n">
        <v>1</v>
      </c>
      <c r="X5237" t="n">
        <v>545.4545454545454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1509</v>
      </c>
      <c r="AG5237" t="n">
        <v>2011</v>
      </c>
      <c r="AH5237" t="inlineStr">
        <is>
          <t>CV. SEMANGAT JAYA - PPN (PKU)</t>
        </is>
      </c>
      <c r="AI5237" t="n">
        <v>489</v>
      </c>
      <c r="AJ5237" t="inlineStr">
        <is>
          <t>YU CHUN</t>
        </is>
      </c>
      <c r="AK5237" t="n">
        <v>8</v>
      </c>
      <c r="AL5237" t="inlineStr">
        <is>
          <t>Miss Glam Pekanbaru</t>
        </is>
      </c>
      <c r="AM5237" t="n">
        <v>0</v>
      </c>
      <c r="AN5237" t="n">
        <v>500000</v>
      </c>
      <c r="AO5237" t="n">
        <v>0</v>
      </c>
      <c r="AP5237" t="inlineStr"/>
      <c r="AQ5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2025-11-26T23:13:14Z</dcterms:created>
  <dcterms:modified xsi:type="dcterms:W3CDTF">2025-11-26T23:13:15Z</dcterms:modified>
</cp:coreProperties>
</file>